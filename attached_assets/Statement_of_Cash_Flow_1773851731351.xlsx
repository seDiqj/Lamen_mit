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smat\Documents\"/>
    </mc:Choice>
  </mc:AlternateContent>
  <bookViews>
    <workbookView xWindow="0" yWindow="0" windowWidth="23040" windowHeight="9072"/>
  </bookViews>
  <sheets>
    <sheet name="Statement of Cash Flow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5" i="1" l="1"/>
  <c r="C47" i="1" s="1"/>
  <c r="C43" i="1"/>
  <c r="C37" i="1"/>
  <c r="C30" i="1"/>
  <c r="C19" i="1"/>
  <c r="D17" i="1"/>
  <c r="C17" i="1"/>
</calcChain>
</file>

<file path=xl/sharedStrings.xml><?xml version="1.0" encoding="utf-8"?>
<sst xmlns="http://schemas.openxmlformats.org/spreadsheetml/2006/main" count="73" uniqueCount="69">
  <si>
    <t>Da Afghanistan Bank</t>
  </si>
  <si>
    <t>Non-Banking Financial Institutions Supervision Directorate General</t>
  </si>
  <si>
    <t>Follow up and Offsite Supervision Section</t>
  </si>
  <si>
    <t>Statement of Cash Flow</t>
  </si>
  <si>
    <t xml:space="preserve">                                                                MFI Name</t>
  </si>
  <si>
    <t xml:space="preserve">                                                                License Number</t>
  </si>
  <si>
    <t xml:space="preserve">                                                                Date/Period</t>
  </si>
  <si>
    <t xml:space="preserve">                                                                Currency</t>
  </si>
  <si>
    <t>Afghani</t>
  </si>
  <si>
    <t xml:space="preserve">                                                                Frequency</t>
  </si>
  <si>
    <t>Monthly</t>
  </si>
  <si>
    <t>Line Code</t>
  </si>
  <si>
    <t>Items</t>
  </si>
  <si>
    <t>Amounts</t>
  </si>
  <si>
    <t>Cash Flow from Operating Activities</t>
  </si>
  <si>
    <t>Profit Before Tax (PBT)</t>
  </si>
  <si>
    <t>-</t>
  </si>
  <si>
    <t>Adjustment for Cash Flow</t>
  </si>
  <si>
    <t>Depreciation and Amortization</t>
  </si>
  <si>
    <t>to 61900 Depreciation Expense and 15300 - Accumalated Amortization (newly created accounts)</t>
  </si>
  <si>
    <t>Impairment Expense</t>
  </si>
  <si>
    <t>not used currently</t>
  </si>
  <si>
    <t>Gain/Loss on Disposal</t>
  </si>
  <si>
    <t>to 17900-Loss on disposal of assets</t>
  </si>
  <si>
    <t>Foreign Exchange Gain/Loss</t>
  </si>
  <si>
    <t>to 61802-Exchange (gain)/loss</t>
  </si>
  <si>
    <t>Increase/Decrease in Provision</t>
  </si>
  <si>
    <t>80102 Loan loss provision expense</t>
  </si>
  <si>
    <t>Changes in Working Capital</t>
  </si>
  <si>
    <t>Receivables and Prepayments</t>
  </si>
  <si>
    <r>
      <t xml:space="preserve">to closing 13000-Advances   </t>
    </r>
    <r>
      <rPr>
        <sz val="11"/>
        <color rgb="FFFF0000"/>
        <rFont val="Calibri"/>
        <family val="2"/>
        <scheme val="minor"/>
      </rPr>
      <t xml:space="preserve">minus </t>
    </r>
    <r>
      <rPr>
        <sz val="11"/>
        <color theme="1"/>
        <rFont val="Calibri"/>
        <family val="2"/>
        <scheme val="minor"/>
      </rPr>
      <t xml:space="preserve"> 20900 Deferred Murabaha Income</t>
    </r>
  </si>
  <si>
    <t>Payables and Accruals</t>
  </si>
  <si>
    <t>to 20100 Accounts Payable + closing of 20150-Salaries and Wages Payable + 21100 Withheld Taxes:Wage Withholding Tax Payable + 21200 Withheld Taxes:Rent Withholding Tax Payable</t>
  </si>
  <si>
    <t>Finance to Customers</t>
  </si>
  <si>
    <t>to 11000 Accounts Receivable + 20900 Deferred Murabaha Income</t>
  </si>
  <si>
    <t>Inventory</t>
  </si>
  <si>
    <t>to closing of 12000-Inventory</t>
  </si>
  <si>
    <t>Tax Paid</t>
  </si>
  <si>
    <t>Link it tax account (21000 Withheld Taxes) is debited/paid - all debit balances of the account</t>
  </si>
  <si>
    <t>Net Cash Flow from Operating Activities</t>
  </si>
  <si>
    <t>Cash Flow from Financing Activities</t>
  </si>
  <si>
    <t>Capital Introduced by Partners</t>
  </si>
  <si>
    <t>to 30100 Opening Balance Equity</t>
  </si>
  <si>
    <t>Funds Raised through Shariah-compliant Instruments</t>
  </si>
  <si>
    <t xml:space="preserve">to 20120-Donor's Funds (when received) </t>
  </si>
  <si>
    <t>Repayment of Shariah-compliant financing</t>
  </si>
  <si>
    <t>to 20122-Donor's Funds (when paid)</t>
  </si>
  <si>
    <t>Dividend Paid</t>
  </si>
  <si>
    <t>to 30400 Dividend disbursed</t>
  </si>
  <si>
    <t>Net Cash Flow from Financing Activities</t>
  </si>
  <si>
    <t>Cash Flow From Investing Activities</t>
  </si>
  <si>
    <t>Purchase of Property, Vehicles, and Equipments</t>
  </si>
  <si>
    <t>to 17101-Cost of Computers &amp; IT + 17201-Cost of Office Equipment + 17301-Cost of Furniture &amp; Fixtures + 17401-Cost of Vehicles + 17500-Plant and Equipment</t>
  </si>
  <si>
    <t>All Should have negative balance</t>
  </si>
  <si>
    <t>Acquisition of Intangible Assets</t>
  </si>
  <si>
    <t>to 15000-Intangibles</t>
  </si>
  <si>
    <t>Should have negative balance</t>
  </si>
  <si>
    <t>Proceeds from Disposal of Assets</t>
  </si>
  <si>
    <t>17900-Loss on disposal of assets</t>
  </si>
  <si>
    <t>Net Cash Flow from Investing Activities</t>
  </si>
  <si>
    <t>Cash Variation in the Month</t>
  </si>
  <si>
    <t>Cash and Cash Equivalents at the Beginning of the Month</t>
  </si>
  <si>
    <t>To closing balance of the period befor this period</t>
  </si>
  <si>
    <t>Cash and Cash Equivalents at the End of the Month</t>
  </si>
  <si>
    <t>Head of Finance</t>
  </si>
  <si>
    <t>Head of Compliance</t>
  </si>
  <si>
    <t>Name</t>
  </si>
  <si>
    <t>Signature and Date</t>
  </si>
  <si>
    <t>Stamp of the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</si>
</sst>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yy;@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Garamond"/>
      <family val="1"/>
    </font>
    <font>
      <b/>
      <u/>
      <sz val="13"/>
      <color theme="1"/>
      <name val="Garamond"/>
      <family val="1"/>
    </font>
    <font>
      <b/>
      <sz val="12"/>
      <color theme="1"/>
      <name val="Garamond"/>
      <family val="1"/>
    </font>
    <font>
      <b/>
      <sz val="10"/>
      <color theme="1"/>
      <name val="Garamond"/>
      <family val="1"/>
    </font>
    <font>
      <b/>
      <u/>
      <sz val="12"/>
      <color theme="1"/>
      <name val="Garamond"/>
      <family val="1"/>
    </font>
    <font>
      <sz val="12"/>
      <color theme="2" tint="-0.499984740745262"/>
      <name val="Garamond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left" vertical="top" indent="1"/>
    </xf>
    <xf numFmtId="0" fontId="5" fillId="0" borderId="1" xfId="0" applyFont="1" applyBorder="1" applyAlignment="1" applyProtection="1">
      <alignment horizontal="left" indent="1"/>
      <protection locked="0"/>
    </xf>
    <xf numFmtId="164" fontId="5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Alignment="1">
      <alignment horizontal="left" indent="1"/>
    </xf>
    <xf numFmtId="0" fontId="6" fillId="0" borderId="0" xfId="0" applyFont="1" applyAlignment="1">
      <alignment horizontal="center" vertical="center"/>
    </xf>
    <xf numFmtId="0" fontId="5" fillId="0" borderId="2" xfId="0" applyFont="1" applyBorder="1"/>
    <xf numFmtId="0" fontId="5" fillId="0" borderId="2" xfId="0" applyFont="1" applyBorder="1" applyAlignment="1">
      <alignment horizontal="right"/>
    </xf>
    <xf numFmtId="0" fontId="5" fillId="0" borderId="0" xfId="0" applyFont="1" applyAlignment="1">
      <alignment horizontal="center" vertical="center"/>
    </xf>
    <xf numFmtId="0" fontId="0" fillId="0" borderId="2" xfId="0" applyBorder="1"/>
    <xf numFmtId="0" fontId="3" fillId="0" borderId="0" xfId="0" applyFont="1" applyAlignment="1">
      <alignment horizontal="center" vertical="center"/>
    </xf>
    <xf numFmtId="0" fontId="3" fillId="0" borderId="0" xfId="0" applyFont="1"/>
    <xf numFmtId="165" fontId="3" fillId="0" borderId="0" xfId="0" applyNumberFormat="1" applyFont="1" applyAlignment="1">
      <alignment horizontal="right"/>
    </xf>
    <xf numFmtId="0" fontId="5" fillId="0" borderId="0" xfId="0" applyFont="1"/>
    <xf numFmtId="165" fontId="3" fillId="0" borderId="0" xfId="0" applyNumberFormat="1" applyFont="1" applyAlignment="1" applyProtection="1">
      <alignment horizontal="right"/>
      <protection locked="0"/>
    </xf>
    <xf numFmtId="2" fontId="3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5" fontId="5" fillId="0" borderId="2" xfId="0" applyNumberFormat="1" applyFont="1" applyBorder="1"/>
    <xf numFmtId="0" fontId="2" fillId="0" borderId="0" xfId="0" applyFont="1"/>
    <xf numFmtId="165" fontId="5" fillId="0" borderId="0" xfId="0" applyNumberFormat="1" applyFont="1"/>
    <xf numFmtId="0" fontId="7" fillId="0" borderId="0" xfId="0" applyFont="1" applyAlignment="1">
      <alignment horizontal="left" vertical="top" shrinkToFit="1"/>
    </xf>
    <xf numFmtId="0" fontId="7" fillId="0" borderId="0" xfId="1" applyNumberFormat="1" applyFont="1" applyAlignment="1" applyProtection="1">
      <alignment horizontal="left" vertical="top" shrinkToFit="1"/>
    </xf>
    <xf numFmtId="0" fontId="8" fillId="0" borderId="0" xfId="0" applyFont="1" applyAlignment="1">
      <alignment shrinkToFit="1"/>
    </xf>
    <xf numFmtId="0" fontId="8" fillId="0" borderId="2" xfId="0" applyFont="1" applyBorder="1" applyAlignment="1">
      <alignment horizontal="left" vertical="top" shrinkToFit="1"/>
    </xf>
    <xf numFmtId="0" fontId="8" fillId="0" borderId="0" xfId="0" applyFont="1" applyAlignment="1">
      <alignment horizontal="left" vertical="top" shrinkToFit="1"/>
    </xf>
    <xf numFmtId="0" fontId="8" fillId="0" borderId="3" xfId="0" applyFont="1" applyBorder="1" applyAlignment="1">
      <alignment horizontal="left" vertical="top" shrinkToFit="1"/>
    </xf>
    <xf numFmtId="0" fontId="8" fillId="0" borderId="2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smat/Downloads/Monthly%20MFI%20Reports%20-%20For%20MIS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to Financial Statements"/>
      <sheetName val="Statement of Profit or Loss"/>
      <sheetName val="Statement of Financial Position"/>
      <sheetName val="Statement of Cash Flow"/>
      <sheetName val="Statement of Changes in Equity"/>
      <sheetName val="Dashboard Report"/>
      <sheetName val="Customers Information Sheet"/>
      <sheetName val="Coverage Wise Report"/>
    </sheetNames>
    <sheetDataSet>
      <sheetData sheetId="0"/>
      <sheetData sheetId="1">
        <row r="45">
          <cell r="C45">
            <v>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"/>
  <sheetViews>
    <sheetView tabSelected="1" workbookViewId="0">
      <selection activeCell="D36" sqref="D36"/>
    </sheetView>
  </sheetViews>
  <sheetFormatPr defaultRowHeight="14.4" x14ac:dyDescent="0.3"/>
  <cols>
    <col min="1" max="1" width="10.88671875" customWidth="1"/>
    <col min="2" max="3" width="55.109375" customWidth="1"/>
    <col min="4" max="4" width="87.33203125" bestFit="1" customWidth="1"/>
  </cols>
  <sheetData>
    <row r="1" spans="1:4" x14ac:dyDescent="0.3">
      <c r="A1" s="1"/>
      <c r="B1" s="1"/>
      <c r="C1" s="1"/>
      <c r="D1" s="1"/>
    </row>
    <row r="2" spans="1:4" ht="15.6" x14ac:dyDescent="0.3">
      <c r="A2" s="2" t="s">
        <v>0</v>
      </c>
      <c r="B2" s="2"/>
      <c r="C2" s="2"/>
      <c r="D2" s="2"/>
    </row>
    <row r="3" spans="1:4" ht="15.6" x14ac:dyDescent="0.3">
      <c r="A3" s="2" t="s">
        <v>1</v>
      </c>
      <c r="B3" s="2"/>
      <c r="C3" s="2"/>
      <c r="D3" s="2"/>
    </row>
    <row r="4" spans="1:4" ht="15.6" x14ac:dyDescent="0.3">
      <c r="A4" s="2" t="s">
        <v>2</v>
      </c>
      <c r="B4" s="2"/>
      <c r="C4" s="2"/>
      <c r="D4" s="2"/>
    </row>
    <row r="6" spans="1:4" ht="17.399999999999999" x14ac:dyDescent="0.35">
      <c r="A6" s="3" t="s">
        <v>3</v>
      </c>
      <c r="B6" s="3"/>
      <c r="C6" s="3"/>
      <c r="D6" s="3"/>
    </row>
    <row r="8" spans="1:4" ht="15.6" x14ac:dyDescent="0.3">
      <c r="B8" s="4" t="s">
        <v>4</v>
      </c>
      <c r="C8" s="5"/>
    </row>
    <row r="9" spans="1:4" ht="15.6" x14ac:dyDescent="0.3">
      <c r="B9" s="4" t="s">
        <v>5</v>
      </c>
      <c r="C9" s="5"/>
    </row>
    <row r="10" spans="1:4" ht="15.6" x14ac:dyDescent="0.3">
      <c r="B10" s="4" t="s">
        <v>6</v>
      </c>
      <c r="C10" s="6"/>
    </row>
    <row r="11" spans="1:4" ht="15.6" x14ac:dyDescent="0.3">
      <c r="B11" s="4" t="s">
        <v>7</v>
      </c>
      <c r="C11" s="7" t="s">
        <v>8</v>
      </c>
    </row>
    <row r="12" spans="1:4" ht="15.6" x14ac:dyDescent="0.3">
      <c r="B12" s="4" t="s">
        <v>9</v>
      </c>
      <c r="C12" s="7" t="s">
        <v>10</v>
      </c>
    </row>
    <row r="14" spans="1:4" ht="15.6" x14ac:dyDescent="0.3">
      <c r="A14" s="8" t="s">
        <v>11</v>
      </c>
      <c r="B14" s="9" t="s">
        <v>12</v>
      </c>
      <c r="C14" s="10" t="s">
        <v>13</v>
      </c>
    </row>
    <row r="16" spans="1:4" ht="15.6" x14ac:dyDescent="0.3">
      <c r="A16" s="11">
        <v>1</v>
      </c>
      <c r="B16" s="9" t="s">
        <v>14</v>
      </c>
      <c r="C16" s="12"/>
    </row>
    <row r="17" spans="1:4" ht="15.6" x14ac:dyDescent="0.3">
      <c r="A17" s="13">
        <v>1.1000000000000001</v>
      </c>
      <c r="B17" s="14" t="s">
        <v>15</v>
      </c>
      <c r="C17" s="15">
        <f>'[1]Statement of Profit or Loss'!C45</f>
        <v>0</v>
      </c>
      <c r="D17">
        <f>'[1]Statement of Profit or Loss'!C45</f>
        <v>0</v>
      </c>
    </row>
    <row r="18" spans="1:4" ht="15.6" x14ac:dyDescent="0.3">
      <c r="A18" s="11" t="s">
        <v>16</v>
      </c>
      <c r="B18" s="16" t="s">
        <v>17</v>
      </c>
    </row>
    <row r="19" spans="1:4" ht="15.6" x14ac:dyDescent="0.3">
      <c r="A19" s="13">
        <v>1.2</v>
      </c>
      <c r="B19" s="14" t="s">
        <v>18</v>
      </c>
      <c r="C19" s="15">
        <f>'[1]Statement of Profit or Loss'!C37</f>
        <v>0</v>
      </c>
      <c r="D19" t="s">
        <v>19</v>
      </c>
    </row>
    <row r="20" spans="1:4" ht="15.6" x14ac:dyDescent="0.3">
      <c r="A20" s="13">
        <v>1.3</v>
      </c>
      <c r="B20" s="14" t="s">
        <v>20</v>
      </c>
      <c r="C20" s="17"/>
      <c r="D20" t="s">
        <v>21</v>
      </c>
    </row>
    <row r="21" spans="1:4" ht="15.6" x14ac:dyDescent="0.3">
      <c r="A21" s="13">
        <v>1.4</v>
      </c>
      <c r="B21" s="14" t="s">
        <v>22</v>
      </c>
      <c r="C21" s="17"/>
      <c r="D21" t="s">
        <v>23</v>
      </c>
    </row>
    <row r="22" spans="1:4" ht="15.6" x14ac:dyDescent="0.3">
      <c r="A22" s="13">
        <v>1.5</v>
      </c>
      <c r="B22" s="14" t="s">
        <v>24</v>
      </c>
      <c r="C22" s="17"/>
      <c r="D22" t="s">
        <v>25</v>
      </c>
    </row>
    <row r="23" spans="1:4" ht="15.6" x14ac:dyDescent="0.3">
      <c r="A23" s="13">
        <v>1.6</v>
      </c>
      <c r="B23" s="14" t="s">
        <v>26</v>
      </c>
      <c r="C23" s="15"/>
      <c r="D23" t="s">
        <v>27</v>
      </c>
    </row>
    <row r="24" spans="1:4" ht="15.6" x14ac:dyDescent="0.3">
      <c r="A24" s="11" t="s">
        <v>16</v>
      </c>
      <c r="B24" s="16" t="s">
        <v>28</v>
      </c>
    </row>
    <row r="25" spans="1:4" ht="15.6" x14ac:dyDescent="0.3">
      <c r="A25" s="13">
        <v>1.7</v>
      </c>
      <c r="B25" s="14" t="s">
        <v>29</v>
      </c>
      <c r="C25" s="17"/>
      <c r="D25" t="s">
        <v>30</v>
      </c>
    </row>
    <row r="26" spans="1:4" ht="15.6" x14ac:dyDescent="0.3">
      <c r="A26" s="13">
        <v>1.8</v>
      </c>
      <c r="B26" s="14" t="s">
        <v>31</v>
      </c>
      <c r="C26" s="17"/>
      <c r="D26" t="s">
        <v>32</v>
      </c>
    </row>
    <row r="27" spans="1:4" ht="15.6" x14ac:dyDescent="0.3">
      <c r="A27" s="13">
        <v>1.9</v>
      </c>
      <c r="B27" s="14" t="s">
        <v>33</v>
      </c>
      <c r="C27" s="17"/>
      <c r="D27" t="s">
        <v>34</v>
      </c>
    </row>
    <row r="28" spans="1:4" ht="15.6" x14ac:dyDescent="0.3">
      <c r="A28" s="18">
        <v>1.1000000000000001</v>
      </c>
      <c r="B28" s="14" t="s">
        <v>35</v>
      </c>
      <c r="C28" s="17"/>
      <c r="D28" t="s">
        <v>36</v>
      </c>
    </row>
    <row r="29" spans="1:4" ht="15.6" x14ac:dyDescent="0.3">
      <c r="A29" s="18">
        <v>1.1100000000000001</v>
      </c>
      <c r="B29" s="14" t="s">
        <v>37</v>
      </c>
      <c r="C29" s="17"/>
      <c r="D29" t="s">
        <v>38</v>
      </c>
    </row>
    <row r="30" spans="1:4" ht="15.6" x14ac:dyDescent="0.3">
      <c r="A30" s="19">
        <v>1.1200000000000001</v>
      </c>
      <c r="B30" s="9" t="s">
        <v>39</v>
      </c>
      <c r="C30" s="20">
        <f>SUM(C17:C29)</f>
        <v>0</v>
      </c>
    </row>
    <row r="32" spans="1:4" ht="15.6" x14ac:dyDescent="0.3">
      <c r="A32" s="11">
        <v>2</v>
      </c>
      <c r="B32" s="9" t="s">
        <v>40</v>
      </c>
      <c r="C32" s="12"/>
    </row>
    <row r="33" spans="1:5" ht="15.6" x14ac:dyDescent="0.3">
      <c r="A33" s="13">
        <v>2.1</v>
      </c>
      <c r="B33" s="14" t="s">
        <v>41</v>
      </c>
      <c r="C33" s="17"/>
      <c r="D33" t="s">
        <v>42</v>
      </c>
    </row>
    <row r="34" spans="1:5" ht="15.6" x14ac:dyDescent="0.3">
      <c r="A34" s="13">
        <v>2.2000000000000002</v>
      </c>
      <c r="B34" s="14" t="s">
        <v>43</v>
      </c>
      <c r="C34" s="17"/>
      <c r="D34" t="s">
        <v>44</v>
      </c>
    </row>
    <row r="35" spans="1:5" ht="15.6" x14ac:dyDescent="0.3">
      <c r="A35" s="13">
        <v>2.2999999999999998</v>
      </c>
      <c r="B35" s="14" t="s">
        <v>45</v>
      </c>
      <c r="C35" s="17"/>
      <c r="D35" t="s">
        <v>46</v>
      </c>
    </row>
    <row r="36" spans="1:5" ht="15.6" x14ac:dyDescent="0.3">
      <c r="A36" s="13">
        <v>2.4</v>
      </c>
      <c r="B36" s="14" t="s">
        <v>47</v>
      </c>
      <c r="C36" s="17"/>
      <c r="D36" t="s">
        <v>48</v>
      </c>
    </row>
    <row r="37" spans="1:5" ht="15.6" x14ac:dyDescent="0.3">
      <c r="A37" s="11">
        <v>2.5</v>
      </c>
      <c r="B37" s="9" t="s">
        <v>49</v>
      </c>
      <c r="C37" s="20">
        <f>SUM(C33:C36)</f>
        <v>0</v>
      </c>
    </row>
    <row r="39" spans="1:5" ht="15.6" x14ac:dyDescent="0.3">
      <c r="A39" s="11">
        <v>3</v>
      </c>
      <c r="B39" s="9" t="s">
        <v>50</v>
      </c>
      <c r="C39" s="12"/>
    </row>
    <row r="40" spans="1:5" ht="15.6" x14ac:dyDescent="0.3">
      <c r="A40" s="13">
        <v>3.1</v>
      </c>
      <c r="B40" s="14" t="s">
        <v>51</v>
      </c>
      <c r="C40" s="17"/>
      <c r="D40" t="s">
        <v>52</v>
      </c>
      <c r="E40" s="21" t="s">
        <v>53</v>
      </c>
    </row>
    <row r="41" spans="1:5" ht="15.6" x14ac:dyDescent="0.3">
      <c r="A41" s="13">
        <v>3.2</v>
      </c>
      <c r="B41" s="14" t="s">
        <v>54</v>
      </c>
      <c r="C41" s="17"/>
      <c r="D41" t="s">
        <v>55</v>
      </c>
      <c r="E41" s="21" t="s">
        <v>56</v>
      </c>
    </row>
    <row r="42" spans="1:5" ht="15.6" x14ac:dyDescent="0.3">
      <c r="A42" s="13">
        <v>3.3</v>
      </c>
      <c r="B42" s="14" t="s">
        <v>57</v>
      </c>
      <c r="C42" s="17"/>
      <c r="D42" t="s">
        <v>58</v>
      </c>
      <c r="E42" s="21" t="s">
        <v>56</v>
      </c>
    </row>
    <row r="43" spans="1:5" ht="15.6" x14ac:dyDescent="0.3">
      <c r="A43" s="11">
        <v>3.4</v>
      </c>
      <c r="B43" s="9" t="s">
        <v>59</v>
      </c>
      <c r="C43" s="20">
        <f>SUM(C40:C42)</f>
        <v>0</v>
      </c>
    </row>
    <row r="45" spans="1:5" ht="15.6" x14ac:dyDescent="0.3">
      <c r="A45" s="11">
        <v>4</v>
      </c>
      <c r="B45" s="16" t="s">
        <v>60</v>
      </c>
      <c r="C45" s="22">
        <f>SUM(C30,C37,C43)</f>
        <v>0</v>
      </c>
    </row>
    <row r="46" spans="1:5" ht="15.6" x14ac:dyDescent="0.3">
      <c r="A46" s="13">
        <v>5</v>
      </c>
      <c r="B46" s="14" t="s">
        <v>61</v>
      </c>
      <c r="C46" s="17"/>
      <c r="D46" t="s">
        <v>62</v>
      </c>
    </row>
    <row r="47" spans="1:5" ht="15.6" x14ac:dyDescent="0.3">
      <c r="A47" s="11">
        <v>6</v>
      </c>
      <c r="B47" s="9" t="s">
        <v>63</v>
      </c>
      <c r="C47" s="20">
        <f>SUM(C45,C46)</f>
        <v>0</v>
      </c>
    </row>
    <row r="52" spans="2:4" ht="15.6" x14ac:dyDescent="0.3">
      <c r="B52" s="23" t="s">
        <v>64</v>
      </c>
      <c r="C52" s="24" t="s">
        <v>65</v>
      </c>
      <c r="D52" s="24"/>
    </row>
    <row r="53" spans="2:4" ht="15.6" x14ac:dyDescent="0.3">
      <c r="B53" s="25"/>
      <c r="C53" s="25"/>
    </row>
    <row r="54" spans="2:4" ht="15.6" x14ac:dyDescent="0.3">
      <c r="B54" s="26" t="s">
        <v>66</v>
      </c>
      <c r="C54" s="26" t="s">
        <v>66</v>
      </c>
      <c r="D54" s="27"/>
    </row>
    <row r="55" spans="2:4" ht="15.6" x14ac:dyDescent="0.3">
      <c r="B55" s="27" t="s">
        <v>67</v>
      </c>
      <c r="C55" s="28" t="s">
        <v>67</v>
      </c>
      <c r="D55" s="27"/>
    </row>
    <row r="62" spans="2:4" ht="15.6" x14ac:dyDescent="0.3">
      <c r="B62" s="29" t="s">
        <v>68</v>
      </c>
    </row>
  </sheetData>
  <mergeCells count="5">
    <mergeCell ref="A1:D1"/>
    <mergeCell ref="A2:D2"/>
    <mergeCell ref="A3:D3"/>
    <mergeCell ref="A4:D4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 of 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Esmat</dc:creator>
  <cp:lastModifiedBy>Esmat</cp:lastModifiedBy>
  <dcterms:created xsi:type="dcterms:W3CDTF">2026-03-18T16:34:35Z</dcterms:created>
  <dcterms:modified xsi:type="dcterms:W3CDTF">2026-03-18T16:34:54Z</dcterms:modified>
</cp:coreProperties>
</file>