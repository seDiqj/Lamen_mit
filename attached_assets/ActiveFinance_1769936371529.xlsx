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Lamen\React\"/>
    </mc:Choice>
  </mc:AlternateContent>
  <bookViews>
    <workbookView xWindow="0" yWindow="0" windowWidth="23040" windowHeight="9072"/>
  </bookViews>
  <sheets>
    <sheet name="ActiveFinancing" sheetId="1" r:id="rId1"/>
  </sheets>
  <definedNames>
    <definedName name="_xlnm._FilterDatabase" localSheetId="0" hidden="1">ActiveFinancing!$A$4:$IP$4</definedName>
    <definedName name="AccessData">ActiveFinancing!$A$4:$IP$509</definedName>
    <definedName name="_xlnm.Print_Area" localSheetId="0">ActiveFinancing!$A$1:$IP$514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E509" i="1" l="1"/>
  <c r="IB509" i="1"/>
  <c r="HZ509" i="1"/>
  <c r="ID509" i="1" s="1"/>
  <c r="HS509" i="1"/>
  <c r="HR509" i="1" s="1"/>
  <c r="HL509" i="1"/>
  <c r="HK509" i="1"/>
  <c r="HE509" i="1"/>
  <c r="HD509" i="1"/>
  <c r="GX509" i="1"/>
  <c r="GW509" i="1" s="1"/>
  <c r="GQ509" i="1"/>
  <c r="GP509" i="1" s="1"/>
  <c r="GJ509" i="1"/>
  <c r="GI509" i="1"/>
  <c r="GC509" i="1"/>
  <c r="GB509" i="1"/>
  <c r="FV509" i="1"/>
  <c r="FU509" i="1" s="1"/>
  <c r="FO509" i="1"/>
  <c r="FN509" i="1" s="1"/>
  <c r="FH509" i="1"/>
  <c r="FG509" i="1"/>
  <c r="FA509" i="1"/>
  <c r="EZ509" i="1"/>
  <c r="ET509" i="1"/>
  <c r="ES509" i="1" s="1"/>
  <c r="EM509" i="1"/>
  <c r="EL509" i="1" s="1"/>
  <c r="EF509" i="1"/>
  <c r="EE509" i="1"/>
  <c r="DY509" i="1"/>
  <c r="DX509" i="1"/>
  <c r="DR509" i="1"/>
  <c r="DQ509" i="1" s="1"/>
  <c r="DK509" i="1"/>
  <c r="DJ509" i="1" s="1"/>
  <c r="DD509" i="1"/>
  <c r="DC509" i="1"/>
  <c r="CW509" i="1"/>
  <c r="CV509" i="1"/>
  <c r="CP509" i="1"/>
  <c r="CN509" i="1"/>
  <c r="CF509" i="1"/>
  <c r="CD509" i="1"/>
  <c r="IE508" i="1"/>
  <c r="HZ508" i="1"/>
  <c r="IB508" i="1" s="1"/>
  <c r="ID508" i="1" s="1"/>
  <c r="HS508" i="1"/>
  <c r="HR508" i="1"/>
  <c r="HL508" i="1"/>
  <c r="HK508" i="1" s="1"/>
  <c r="HE508" i="1"/>
  <c r="HD508" i="1" s="1"/>
  <c r="GX508" i="1"/>
  <c r="GW508" i="1"/>
  <c r="GQ508" i="1"/>
  <c r="GP508" i="1"/>
  <c r="GJ508" i="1"/>
  <c r="GI508" i="1" s="1"/>
  <c r="GC508" i="1"/>
  <c r="GB508" i="1" s="1"/>
  <c r="FV508" i="1"/>
  <c r="FU508" i="1"/>
  <c r="FO508" i="1"/>
  <c r="FN508" i="1"/>
  <c r="FH508" i="1"/>
  <c r="FG508" i="1" s="1"/>
  <c r="FA508" i="1"/>
  <c r="EZ508" i="1" s="1"/>
  <c r="ET508" i="1"/>
  <c r="ES508" i="1"/>
  <c r="EM508" i="1"/>
  <c r="EL508" i="1"/>
  <c r="EF508" i="1"/>
  <c r="EE508" i="1" s="1"/>
  <c r="DY508" i="1"/>
  <c r="DX508" i="1" s="1"/>
  <c r="DR508" i="1"/>
  <c r="DQ508" i="1"/>
  <c r="DK508" i="1"/>
  <c r="DJ508" i="1"/>
  <c r="DD508" i="1"/>
  <c r="DC508" i="1" s="1"/>
  <c r="CW508" i="1"/>
  <c r="CV508" i="1" s="1"/>
  <c r="CP508" i="1"/>
  <c r="CO508" i="1"/>
  <c r="HX508" i="1" s="1"/>
  <c r="IC508" i="1" s="1"/>
  <c r="CN508" i="1"/>
  <c r="CF508" i="1"/>
  <c r="CD508" i="1"/>
  <c r="IE507" i="1"/>
  <c r="IB507" i="1"/>
  <c r="HZ507" i="1"/>
  <c r="HS507" i="1"/>
  <c r="HR507" i="1" s="1"/>
  <c r="HL507" i="1"/>
  <c r="HK507" i="1"/>
  <c r="HE507" i="1"/>
  <c r="HD507" i="1"/>
  <c r="GX507" i="1"/>
  <c r="GW507" i="1" s="1"/>
  <c r="GQ507" i="1"/>
  <c r="GP507" i="1" s="1"/>
  <c r="GJ507" i="1"/>
  <c r="GI507" i="1"/>
  <c r="GC507" i="1"/>
  <c r="GB507" i="1"/>
  <c r="FV507" i="1"/>
  <c r="FU507" i="1" s="1"/>
  <c r="FO507" i="1"/>
  <c r="FN507" i="1" s="1"/>
  <c r="FH507" i="1"/>
  <c r="FG507" i="1"/>
  <c r="FA507" i="1"/>
  <c r="EZ507" i="1"/>
  <c r="ET507" i="1"/>
  <c r="ES507" i="1" s="1"/>
  <c r="EM507" i="1"/>
  <c r="EL507" i="1" s="1"/>
  <c r="EF507" i="1"/>
  <c r="EE507" i="1"/>
  <c r="DY507" i="1"/>
  <c r="DX507" i="1"/>
  <c r="DR507" i="1"/>
  <c r="DQ507" i="1" s="1"/>
  <c r="DK507" i="1"/>
  <c r="DJ507" i="1" s="1"/>
  <c r="DD507" i="1"/>
  <c r="DC507" i="1"/>
  <c r="CW507" i="1"/>
  <c r="CV507" i="1"/>
  <c r="CP507" i="1"/>
  <c r="CN507" i="1"/>
  <c r="CF507" i="1"/>
  <c r="CD507" i="1"/>
  <c r="IE506" i="1"/>
  <c r="HZ506" i="1"/>
  <c r="IB506" i="1" s="1"/>
  <c r="ID506" i="1" s="1"/>
  <c r="HS506" i="1"/>
  <c r="HR506" i="1"/>
  <c r="HL506" i="1"/>
  <c r="HK506" i="1" s="1"/>
  <c r="HE506" i="1"/>
  <c r="HD506" i="1" s="1"/>
  <c r="GX506" i="1"/>
  <c r="GW506" i="1"/>
  <c r="GQ506" i="1"/>
  <c r="GP506" i="1"/>
  <c r="GJ506" i="1"/>
  <c r="GI506" i="1" s="1"/>
  <c r="GC506" i="1"/>
  <c r="GB506" i="1" s="1"/>
  <c r="FV506" i="1"/>
  <c r="FU506" i="1"/>
  <c r="FO506" i="1"/>
  <c r="FN506" i="1"/>
  <c r="FH506" i="1"/>
  <c r="FG506" i="1" s="1"/>
  <c r="FA506" i="1"/>
  <c r="EZ506" i="1" s="1"/>
  <c r="ET506" i="1"/>
  <c r="ES506" i="1"/>
  <c r="EM506" i="1"/>
  <c r="EL506" i="1"/>
  <c r="EF506" i="1"/>
  <c r="EE506" i="1" s="1"/>
  <c r="DY506" i="1"/>
  <c r="DX506" i="1" s="1"/>
  <c r="DR506" i="1"/>
  <c r="DQ506" i="1"/>
  <c r="DK506" i="1"/>
  <c r="DJ506" i="1"/>
  <c r="DD506" i="1"/>
  <c r="DC506" i="1" s="1"/>
  <c r="CW506" i="1"/>
  <c r="CV506" i="1" s="1"/>
  <c r="HX506" i="1" s="1"/>
  <c r="CP506" i="1"/>
  <c r="CO506" i="1"/>
  <c r="CN506" i="1"/>
  <c r="CF506" i="1"/>
  <c r="CD506" i="1"/>
  <c r="IE505" i="1"/>
  <c r="IB505" i="1"/>
  <c r="HZ505" i="1"/>
  <c r="ID505" i="1" s="1"/>
  <c r="HS505" i="1"/>
  <c r="HR505" i="1" s="1"/>
  <c r="HL505" i="1"/>
  <c r="HK505" i="1"/>
  <c r="HE505" i="1"/>
  <c r="HD505" i="1"/>
  <c r="GX505" i="1"/>
  <c r="GW505" i="1" s="1"/>
  <c r="GQ505" i="1"/>
  <c r="GP505" i="1" s="1"/>
  <c r="GJ505" i="1"/>
  <c r="GI505" i="1"/>
  <c r="GC505" i="1"/>
  <c r="GB505" i="1"/>
  <c r="FV505" i="1"/>
  <c r="FU505" i="1" s="1"/>
  <c r="FO505" i="1"/>
  <c r="FN505" i="1" s="1"/>
  <c r="FH505" i="1"/>
  <c r="FG505" i="1"/>
  <c r="FA505" i="1"/>
  <c r="EZ505" i="1"/>
  <c r="ET505" i="1"/>
  <c r="ES505" i="1" s="1"/>
  <c r="EM505" i="1"/>
  <c r="EL505" i="1" s="1"/>
  <c r="EF505" i="1"/>
  <c r="EE505" i="1"/>
  <c r="DY505" i="1"/>
  <c r="DX505" i="1"/>
  <c r="DR505" i="1"/>
  <c r="DQ505" i="1" s="1"/>
  <c r="DK505" i="1"/>
  <c r="DJ505" i="1" s="1"/>
  <c r="DD505" i="1"/>
  <c r="DC505" i="1"/>
  <c r="CW505" i="1"/>
  <c r="CV505" i="1"/>
  <c r="CP505" i="1"/>
  <c r="CN505" i="1"/>
  <c r="CF505" i="1"/>
  <c r="CD505" i="1"/>
  <c r="IE504" i="1"/>
  <c r="HZ504" i="1"/>
  <c r="IB504" i="1" s="1"/>
  <c r="ID504" i="1" s="1"/>
  <c r="HS504" i="1"/>
  <c r="HR504" i="1"/>
  <c r="HL504" i="1"/>
  <c r="HK504" i="1" s="1"/>
  <c r="HE504" i="1"/>
  <c r="HD504" i="1" s="1"/>
  <c r="GX504" i="1"/>
  <c r="GW504" i="1"/>
  <c r="GQ504" i="1"/>
  <c r="GP504" i="1"/>
  <c r="GJ504" i="1"/>
  <c r="GI504" i="1" s="1"/>
  <c r="GC504" i="1"/>
  <c r="GB504" i="1" s="1"/>
  <c r="FV504" i="1"/>
  <c r="FU504" i="1"/>
  <c r="FO504" i="1"/>
  <c r="FN504" i="1"/>
  <c r="FH504" i="1"/>
  <c r="FG504" i="1" s="1"/>
  <c r="FA504" i="1"/>
  <c r="EZ504" i="1" s="1"/>
  <c r="ET504" i="1"/>
  <c r="ES504" i="1"/>
  <c r="EM504" i="1"/>
  <c r="EL504" i="1"/>
  <c r="EF504" i="1"/>
  <c r="EE504" i="1" s="1"/>
  <c r="DY504" i="1"/>
  <c r="DX504" i="1" s="1"/>
  <c r="DR504" i="1"/>
  <c r="DQ504" i="1"/>
  <c r="DK504" i="1"/>
  <c r="DJ504" i="1"/>
  <c r="DD504" i="1"/>
  <c r="DC504" i="1" s="1"/>
  <c r="CW504" i="1"/>
  <c r="CV504" i="1" s="1"/>
  <c r="CP504" i="1"/>
  <c r="CO504" i="1"/>
  <c r="CN504" i="1"/>
  <c r="CF504" i="1"/>
  <c r="CD504" i="1"/>
  <c r="IE503" i="1"/>
  <c r="IB503" i="1"/>
  <c r="HZ503" i="1"/>
  <c r="HS503" i="1"/>
  <c r="HR503" i="1" s="1"/>
  <c r="HL503" i="1"/>
  <c r="HK503" i="1"/>
  <c r="HE503" i="1"/>
  <c r="HD503" i="1"/>
  <c r="GX503" i="1"/>
  <c r="GW503" i="1" s="1"/>
  <c r="GQ503" i="1"/>
  <c r="GP503" i="1" s="1"/>
  <c r="GJ503" i="1"/>
  <c r="GI503" i="1"/>
  <c r="GC503" i="1"/>
  <c r="GB503" i="1"/>
  <c r="FV503" i="1"/>
  <c r="FU503" i="1" s="1"/>
  <c r="FO503" i="1"/>
  <c r="FN503" i="1" s="1"/>
  <c r="FH503" i="1"/>
  <c r="FG503" i="1"/>
  <c r="FA503" i="1"/>
  <c r="EZ503" i="1"/>
  <c r="ET503" i="1"/>
  <c r="ES503" i="1" s="1"/>
  <c r="EM503" i="1"/>
  <c r="EL503" i="1" s="1"/>
  <c r="EF503" i="1"/>
  <c r="EE503" i="1"/>
  <c r="DY503" i="1"/>
  <c r="DX503" i="1"/>
  <c r="DR503" i="1"/>
  <c r="DQ503" i="1" s="1"/>
  <c r="DK503" i="1"/>
  <c r="DJ503" i="1" s="1"/>
  <c r="DD503" i="1"/>
  <c r="DC503" i="1"/>
  <c r="CW503" i="1"/>
  <c r="CV503" i="1"/>
  <c r="CP503" i="1"/>
  <c r="HY503" i="1" s="1"/>
  <c r="CN503" i="1"/>
  <c r="CF503" i="1"/>
  <c r="CD503" i="1"/>
  <c r="IE502" i="1"/>
  <c r="HZ502" i="1"/>
  <c r="IB502" i="1" s="1"/>
  <c r="ID502" i="1" s="1"/>
  <c r="HS502" i="1"/>
  <c r="HR502" i="1"/>
  <c r="HL502" i="1"/>
  <c r="HK502" i="1" s="1"/>
  <c r="HE502" i="1"/>
  <c r="HD502" i="1" s="1"/>
  <c r="GX502" i="1"/>
  <c r="GW502" i="1"/>
  <c r="GQ502" i="1"/>
  <c r="GP502" i="1"/>
  <c r="GJ502" i="1"/>
  <c r="GI502" i="1" s="1"/>
  <c r="GC502" i="1"/>
  <c r="GB502" i="1" s="1"/>
  <c r="FV502" i="1"/>
  <c r="FU502" i="1"/>
  <c r="FO502" i="1"/>
  <c r="FN502" i="1"/>
  <c r="FH502" i="1"/>
  <c r="FG502" i="1" s="1"/>
  <c r="FA502" i="1"/>
  <c r="EZ502" i="1" s="1"/>
  <c r="ET502" i="1"/>
  <c r="ES502" i="1"/>
  <c r="EM502" i="1"/>
  <c r="EL502" i="1"/>
  <c r="EF502" i="1"/>
  <c r="EE502" i="1" s="1"/>
  <c r="DY502" i="1"/>
  <c r="DX502" i="1" s="1"/>
  <c r="DR502" i="1"/>
  <c r="DQ502" i="1" s="1"/>
  <c r="DK502" i="1"/>
  <c r="DJ502" i="1"/>
  <c r="DD502" i="1"/>
  <c r="DC502" i="1" s="1"/>
  <c r="CW502" i="1"/>
  <c r="CV502" i="1" s="1"/>
  <c r="CP502" i="1"/>
  <c r="CO502" i="1"/>
  <c r="CN502" i="1"/>
  <c r="CF502" i="1"/>
  <c r="CD502" i="1"/>
  <c r="IE501" i="1"/>
  <c r="IB501" i="1"/>
  <c r="HZ501" i="1"/>
  <c r="HS501" i="1"/>
  <c r="HR501" i="1" s="1"/>
  <c r="HL501" i="1"/>
  <c r="HK501" i="1" s="1"/>
  <c r="HE501" i="1"/>
  <c r="HD501" i="1"/>
  <c r="GX501" i="1"/>
  <c r="GW501" i="1" s="1"/>
  <c r="GQ501" i="1"/>
  <c r="GP501" i="1" s="1"/>
  <c r="GJ501" i="1"/>
  <c r="GI501" i="1"/>
  <c r="GC501" i="1"/>
  <c r="GB501" i="1"/>
  <c r="FV501" i="1"/>
  <c r="FU501" i="1" s="1"/>
  <c r="FO501" i="1"/>
  <c r="FN501" i="1" s="1"/>
  <c r="FH501" i="1"/>
  <c r="FG501" i="1"/>
  <c r="FA501" i="1"/>
  <c r="EZ501" i="1"/>
  <c r="ET501" i="1"/>
  <c r="ES501" i="1" s="1"/>
  <c r="EM501" i="1"/>
  <c r="EL501" i="1" s="1"/>
  <c r="EF501" i="1"/>
  <c r="EE501" i="1"/>
  <c r="DY501" i="1"/>
  <c r="DX501" i="1"/>
  <c r="DR501" i="1"/>
  <c r="DQ501" i="1" s="1"/>
  <c r="DK501" i="1"/>
  <c r="DJ501" i="1" s="1"/>
  <c r="DD501" i="1"/>
  <c r="DC501" i="1" s="1"/>
  <c r="CW501" i="1"/>
  <c r="CV501" i="1"/>
  <c r="CP501" i="1"/>
  <c r="CN501" i="1"/>
  <c r="CF501" i="1"/>
  <c r="CD501" i="1"/>
  <c r="IE500" i="1"/>
  <c r="HZ500" i="1"/>
  <c r="IB500" i="1" s="1"/>
  <c r="ID500" i="1" s="1"/>
  <c r="HS500" i="1"/>
  <c r="HR500" i="1"/>
  <c r="HL500" i="1"/>
  <c r="HK500" i="1" s="1"/>
  <c r="HE500" i="1"/>
  <c r="HD500" i="1" s="1"/>
  <c r="GX500" i="1"/>
  <c r="GW500" i="1"/>
  <c r="GQ500" i="1"/>
  <c r="GP500" i="1"/>
  <c r="GJ500" i="1"/>
  <c r="GI500" i="1" s="1"/>
  <c r="GC500" i="1"/>
  <c r="GB500" i="1" s="1"/>
  <c r="FV500" i="1"/>
  <c r="FU500" i="1"/>
  <c r="FO500" i="1"/>
  <c r="FN500" i="1"/>
  <c r="FH500" i="1"/>
  <c r="FG500" i="1" s="1"/>
  <c r="FA500" i="1"/>
  <c r="EZ500" i="1" s="1"/>
  <c r="ET500" i="1"/>
  <c r="ES500" i="1" s="1"/>
  <c r="EM500" i="1"/>
  <c r="EL500" i="1"/>
  <c r="EF500" i="1"/>
  <c r="EE500" i="1" s="1"/>
  <c r="DY500" i="1"/>
  <c r="DX500" i="1" s="1"/>
  <c r="DR500" i="1"/>
  <c r="DQ500" i="1"/>
  <c r="DK500" i="1"/>
  <c r="DJ500" i="1"/>
  <c r="DD500" i="1"/>
  <c r="DC500" i="1" s="1"/>
  <c r="CW500" i="1"/>
  <c r="CV500" i="1" s="1"/>
  <c r="CP500" i="1"/>
  <c r="HY500" i="1" s="1"/>
  <c r="CO500" i="1"/>
  <c r="HX500" i="1" s="1"/>
  <c r="CN500" i="1"/>
  <c r="CF500" i="1"/>
  <c r="CD500" i="1"/>
  <c r="IE499" i="1"/>
  <c r="HZ499" i="1"/>
  <c r="HS499" i="1"/>
  <c r="HR499" i="1" s="1"/>
  <c r="HL499" i="1"/>
  <c r="HK499" i="1"/>
  <c r="HE499" i="1"/>
  <c r="HD499" i="1"/>
  <c r="GX499" i="1"/>
  <c r="GW499" i="1" s="1"/>
  <c r="GQ499" i="1"/>
  <c r="GP499" i="1" s="1"/>
  <c r="GJ499" i="1"/>
  <c r="GI499" i="1" s="1"/>
  <c r="GC499" i="1"/>
  <c r="GB499" i="1"/>
  <c r="FV499" i="1"/>
  <c r="FU499" i="1" s="1"/>
  <c r="FO499" i="1"/>
  <c r="FN499" i="1" s="1"/>
  <c r="FH499" i="1"/>
  <c r="FG499" i="1" s="1"/>
  <c r="FA499" i="1"/>
  <c r="EZ499" i="1"/>
  <c r="ET499" i="1"/>
  <c r="ES499" i="1" s="1"/>
  <c r="EM499" i="1"/>
  <c r="EL499" i="1" s="1"/>
  <c r="EF499" i="1"/>
  <c r="EE499" i="1" s="1"/>
  <c r="DY499" i="1"/>
  <c r="DX499" i="1"/>
  <c r="DR499" i="1"/>
  <c r="DQ499" i="1" s="1"/>
  <c r="DK499" i="1"/>
  <c r="DJ499" i="1" s="1"/>
  <c r="DD499" i="1"/>
  <c r="DC499" i="1"/>
  <c r="CW499" i="1"/>
  <c r="CV499" i="1"/>
  <c r="CP499" i="1"/>
  <c r="CO499" i="1" s="1"/>
  <c r="CN499" i="1"/>
  <c r="CF499" i="1"/>
  <c r="CD499" i="1"/>
  <c r="IE498" i="1"/>
  <c r="ID498" i="1"/>
  <c r="HZ498" i="1"/>
  <c r="IB498" i="1" s="1"/>
  <c r="HS498" i="1"/>
  <c r="HR498" i="1"/>
  <c r="HL498" i="1"/>
  <c r="HK498" i="1" s="1"/>
  <c r="HE498" i="1"/>
  <c r="HD498" i="1" s="1"/>
  <c r="GX498" i="1"/>
  <c r="GW498" i="1" s="1"/>
  <c r="GQ498" i="1"/>
  <c r="GP498" i="1" s="1"/>
  <c r="GJ498" i="1"/>
  <c r="GI498" i="1" s="1"/>
  <c r="GC498" i="1"/>
  <c r="GB498" i="1" s="1"/>
  <c r="FV498" i="1"/>
  <c r="FU498" i="1" s="1"/>
  <c r="FO498" i="1"/>
  <c r="FN498" i="1" s="1"/>
  <c r="FH498" i="1"/>
  <c r="FG498" i="1" s="1"/>
  <c r="FA498" i="1"/>
  <c r="EZ498" i="1" s="1"/>
  <c r="ET498" i="1"/>
  <c r="ES498" i="1"/>
  <c r="EM498" i="1"/>
  <c r="EL498" i="1" s="1"/>
  <c r="EF498" i="1"/>
  <c r="EE498" i="1" s="1"/>
  <c r="DY498" i="1"/>
  <c r="DX498" i="1" s="1"/>
  <c r="DR498" i="1"/>
  <c r="HY498" i="1" s="1"/>
  <c r="DK498" i="1"/>
  <c r="DJ498" i="1"/>
  <c r="DD498" i="1"/>
  <c r="DC498" i="1" s="1"/>
  <c r="CW498" i="1"/>
  <c r="CV498" i="1" s="1"/>
  <c r="CP498" i="1"/>
  <c r="CO498" i="1" s="1"/>
  <c r="CN498" i="1"/>
  <c r="CF498" i="1"/>
  <c r="CD498" i="1"/>
  <c r="IE497" i="1"/>
  <c r="HZ497" i="1"/>
  <c r="HS497" i="1"/>
  <c r="HR497" i="1" s="1"/>
  <c r="HL497" i="1"/>
  <c r="HK497" i="1"/>
  <c r="HE497" i="1"/>
  <c r="HD497" i="1" s="1"/>
  <c r="GX497" i="1"/>
  <c r="GW497" i="1" s="1"/>
  <c r="GQ497" i="1"/>
  <c r="GP497" i="1" s="1"/>
  <c r="GJ497" i="1"/>
  <c r="GI497" i="1" s="1"/>
  <c r="GC497" i="1"/>
  <c r="GB497" i="1"/>
  <c r="FV497" i="1"/>
  <c r="FU497" i="1" s="1"/>
  <c r="FO497" i="1"/>
  <c r="FN497" i="1" s="1"/>
  <c r="FH497" i="1"/>
  <c r="FG497" i="1"/>
  <c r="FA497" i="1"/>
  <c r="EZ497" i="1" s="1"/>
  <c r="ET497" i="1"/>
  <c r="ES497" i="1" s="1"/>
  <c r="EM497" i="1"/>
  <c r="EL497" i="1" s="1"/>
  <c r="EF497" i="1"/>
  <c r="EE497" i="1" s="1"/>
  <c r="DY497" i="1"/>
  <c r="DX497" i="1"/>
  <c r="DR497" i="1"/>
  <c r="DQ497" i="1" s="1"/>
  <c r="DK497" i="1"/>
  <c r="DJ497" i="1" s="1"/>
  <c r="DD497" i="1"/>
  <c r="DC497" i="1"/>
  <c r="CW497" i="1"/>
  <c r="CV497" i="1" s="1"/>
  <c r="CP497" i="1"/>
  <c r="CO497" i="1" s="1"/>
  <c r="CN497" i="1"/>
  <c r="CF497" i="1"/>
  <c r="CD497" i="1"/>
  <c r="IE496" i="1"/>
  <c r="HZ496" i="1"/>
  <c r="HS496" i="1"/>
  <c r="HR496" i="1" s="1"/>
  <c r="HL496" i="1"/>
  <c r="HK496" i="1"/>
  <c r="HE496" i="1"/>
  <c r="HD496" i="1"/>
  <c r="GX496" i="1"/>
  <c r="GW496" i="1"/>
  <c r="GQ496" i="1"/>
  <c r="GP496" i="1" s="1"/>
  <c r="GJ496" i="1"/>
  <c r="GI496" i="1"/>
  <c r="GC496" i="1"/>
  <c r="GB496" i="1"/>
  <c r="FV496" i="1"/>
  <c r="FU496" i="1"/>
  <c r="FO496" i="1"/>
  <c r="FN496" i="1" s="1"/>
  <c r="FH496" i="1"/>
  <c r="FG496" i="1"/>
  <c r="FA496" i="1"/>
  <c r="EZ496" i="1"/>
  <c r="ET496" i="1"/>
  <c r="ES496" i="1"/>
  <c r="EM496" i="1"/>
  <c r="EL496" i="1" s="1"/>
  <c r="EF496" i="1"/>
  <c r="EE496" i="1"/>
  <c r="DY496" i="1"/>
  <c r="DX496" i="1"/>
  <c r="DR496" i="1"/>
  <c r="DQ496" i="1"/>
  <c r="DK496" i="1"/>
  <c r="DJ496" i="1" s="1"/>
  <c r="DD496" i="1"/>
  <c r="DC496" i="1"/>
  <c r="CW496" i="1"/>
  <c r="CV496" i="1"/>
  <c r="CP496" i="1"/>
  <c r="CO496" i="1"/>
  <c r="CN496" i="1"/>
  <c r="CF496" i="1"/>
  <c r="CD496" i="1"/>
  <c r="IE495" i="1"/>
  <c r="ID495" i="1"/>
  <c r="IB495" i="1"/>
  <c r="HZ495" i="1"/>
  <c r="HS495" i="1"/>
  <c r="HR495" i="1"/>
  <c r="HL495" i="1"/>
  <c r="HK495" i="1"/>
  <c r="HE495" i="1"/>
  <c r="HD495" i="1" s="1"/>
  <c r="GX495" i="1"/>
  <c r="GW495" i="1"/>
  <c r="GQ495" i="1"/>
  <c r="GP495" i="1"/>
  <c r="GJ495" i="1"/>
  <c r="GI495" i="1"/>
  <c r="GC495" i="1"/>
  <c r="GB495" i="1" s="1"/>
  <c r="FV495" i="1"/>
  <c r="FU495" i="1"/>
  <c r="FO495" i="1"/>
  <c r="FN495" i="1"/>
  <c r="FH495" i="1"/>
  <c r="FG495" i="1"/>
  <c r="FA495" i="1"/>
  <c r="EZ495" i="1" s="1"/>
  <c r="ET495" i="1"/>
  <c r="ES495" i="1"/>
  <c r="EM495" i="1"/>
  <c r="EL495" i="1"/>
  <c r="EF495" i="1"/>
  <c r="EE495" i="1"/>
  <c r="DY495" i="1"/>
  <c r="DX495" i="1" s="1"/>
  <c r="DR495" i="1"/>
  <c r="DQ495" i="1"/>
  <c r="DK495" i="1"/>
  <c r="DJ495" i="1"/>
  <c r="DD495" i="1"/>
  <c r="DC495" i="1"/>
  <c r="CW495" i="1"/>
  <c r="CV495" i="1" s="1"/>
  <c r="CP495" i="1"/>
  <c r="CO495" i="1"/>
  <c r="CN495" i="1"/>
  <c r="CF495" i="1"/>
  <c r="CD495" i="1"/>
  <c r="IE494" i="1"/>
  <c r="HZ494" i="1"/>
  <c r="HS494" i="1"/>
  <c r="HR494" i="1" s="1"/>
  <c r="HL494" i="1"/>
  <c r="HK494" i="1"/>
  <c r="HE494" i="1"/>
  <c r="HD494" i="1"/>
  <c r="GX494" i="1"/>
  <c r="GW494" i="1"/>
  <c r="GQ494" i="1"/>
  <c r="GP494" i="1" s="1"/>
  <c r="GJ494" i="1"/>
  <c r="GI494" i="1"/>
  <c r="GC494" i="1"/>
  <c r="GB494" i="1"/>
  <c r="FV494" i="1"/>
  <c r="FU494" i="1"/>
  <c r="FO494" i="1"/>
  <c r="FN494" i="1" s="1"/>
  <c r="FH494" i="1"/>
  <c r="FG494" i="1"/>
  <c r="FA494" i="1"/>
  <c r="EZ494" i="1"/>
  <c r="ET494" i="1"/>
  <c r="ES494" i="1"/>
  <c r="EM494" i="1"/>
  <c r="EL494" i="1" s="1"/>
  <c r="EF494" i="1"/>
  <c r="EE494" i="1"/>
  <c r="DY494" i="1"/>
  <c r="DX494" i="1"/>
  <c r="DR494" i="1"/>
  <c r="DQ494" i="1"/>
  <c r="DK494" i="1"/>
  <c r="DJ494" i="1" s="1"/>
  <c r="DD494" i="1"/>
  <c r="DC494" i="1"/>
  <c r="CW494" i="1"/>
  <c r="CV494" i="1"/>
  <c r="CP494" i="1"/>
  <c r="CO494" i="1"/>
  <c r="CN494" i="1"/>
  <c r="CF494" i="1"/>
  <c r="CD494" i="1"/>
  <c r="IE493" i="1"/>
  <c r="ID493" i="1"/>
  <c r="IB493" i="1"/>
  <c r="HZ493" i="1"/>
  <c r="HS493" i="1"/>
  <c r="HR493" i="1"/>
  <c r="HL493" i="1"/>
  <c r="HK493" i="1"/>
  <c r="HE493" i="1"/>
  <c r="HD493" i="1" s="1"/>
  <c r="GX493" i="1"/>
  <c r="GW493" i="1" s="1"/>
  <c r="GQ493" i="1"/>
  <c r="GP493" i="1"/>
  <c r="GJ493" i="1"/>
  <c r="GI493" i="1"/>
  <c r="GC493" i="1"/>
  <c r="GB493" i="1" s="1"/>
  <c r="FV493" i="1"/>
  <c r="FU493" i="1" s="1"/>
  <c r="FO493" i="1"/>
  <c r="FN493" i="1"/>
  <c r="FH493" i="1"/>
  <c r="FG493" i="1"/>
  <c r="FA493" i="1"/>
  <c r="EZ493" i="1" s="1"/>
  <c r="ET493" i="1"/>
  <c r="ES493" i="1" s="1"/>
  <c r="EM493" i="1"/>
  <c r="EL493" i="1"/>
  <c r="EF493" i="1"/>
  <c r="EE493" i="1"/>
  <c r="DY493" i="1"/>
  <c r="DX493" i="1" s="1"/>
  <c r="DR493" i="1"/>
  <c r="DQ493" i="1" s="1"/>
  <c r="DK493" i="1"/>
  <c r="DJ493" i="1"/>
  <c r="DD493" i="1"/>
  <c r="DC493" i="1"/>
  <c r="CW493" i="1"/>
  <c r="CV493" i="1" s="1"/>
  <c r="CP493" i="1"/>
  <c r="CO493" i="1" s="1"/>
  <c r="CN493" i="1"/>
  <c r="CF493" i="1"/>
  <c r="CD493" i="1"/>
  <c r="IE492" i="1"/>
  <c r="HZ492" i="1"/>
  <c r="HS492" i="1"/>
  <c r="HR492" i="1" s="1"/>
  <c r="HL492" i="1"/>
  <c r="HK492" i="1" s="1"/>
  <c r="HE492" i="1"/>
  <c r="HD492" i="1"/>
  <c r="GX492" i="1"/>
  <c r="GW492" i="1"/>
  <c r="GQ492" i="1"/>
  <c r="GP492" i="1" s="1"/>
  <c r="GJ492" i="1"/>
  <c r="GI492" i="1" s="1"/>
  <c r="GC492" i="1"/>
  <c r="GB492" i="1"/>
  <c r="FV492" i="1"/>
  <c r="FU492" i="1"/>
  <c r="FO492" i="1"/>
  <c r="FN492" i="1" s="1"/>
  <c r="FH492" i="1"/>
  <c r="FG492" i="1" s="1"/>
  <c r="FA492" i="1"/>
  <c r="EZ492" i="1"/>
  <c r="ET492" i="1"/>
  <c r="ES492" i="1"/>
  <c r="EM492" i="1"/>
  <c r="EL492" i="1" s="1"/>
  <c r="EF492" i="1"/>
  <c r="EE492" i="1" s="1"/>
  <c r="DY492" i="1"/>
  <c r="DX492" i="1"/>
  <c r="DR492" i="1"/>
  <c r="DQ492" i="1"/>
  <c r="DK492" i="1"/>
  <c r="DJ492" i="1" s="1"/>
  <c r="DD492" i="1"/>
  <c r="DC492" i="1" s="1"/>
  <c r="CW492" i="1"/>
  <c r="CV492" i="1"/>
  <c r="CP492" i="1"/>
  <c r="CO492" i="1"/>
  <c r="HX492" i="1" s="1"/>
  <c r="CN492" i="1"/>
  <c r="CF492" i="1"/>
  <c r="CD492" i="1"/>
  <c r="IE491" i="1"/>
  <c r="HZ491" i="1"/>
  <c r="IB491" i="1" s="1"/>
  <c r="ID491" i="1" s="1"/>
  <c r="HS491" i="1"/>
  <c r="HR491" i="1"/>
  <c r="HL491" i="1"/>
  <c r="HK491" i="1"/>
  <c r="HE491" i="1"/>
  <c r="HD491" i="1" s="1"/>
  <c r="GX491" i="1"/>
  <c r="GW491" i="1" s="1"/>
  <c r="GQ491" i="1"/>
  <c r="GP491" i="1"/>
  <c r="GJ491" i="1"/>
  <c r="GI491" i="1"/>
  <c r="GC491" i="1"/>
  <c r="GB491" i="1" s="1"/>
  <c r="FV491" i="1"/>
  <c r="FU491" i="1" s="1"/>
  <c r="FO491" i="1"/>
  <c r="FN491" i="1"/>
  <c r="FH491" i="1"/>
  <c r="FG491" i="1"/>
  <c r="FA491" i="1"/>
  <c r="EZ491" i="1" s="1"/>
  <c r="ET491" i="1"/>
  <c r="ES491" i="1" s="1"/>
  <c r="EM491" i="1"/>
  <c r="EL491" i="1"/>
  <c r="EF491" i="1"/>
  <c r="EE491" i="1"/>
  <c r="DY491" i="1"/>
  <c r="DX491" i="1" s="1"/>
  <c r="DR491" i="1"/>
  <c r="DQ491" i="1" s="1"/>
  <c r="DK491" i="1"/>
  <c r="DJ491" i="1"/>
  <c r="DD491" i="1"/>
  <c r="DC491" i="1"/>
  <c r="CW491" i="1"/>
  <c r="CV491" i="1" s="1"/>
  <c r="CP491" i="1"/>
  <c r="CO491" i="1" s="1"/>
  <c r="CN491" i="1"/>
  <c r="CF491" i="1"/>
  <c r="CD491" i="1"/>
  <c r="IE490" i="1"/>
  <c r="HZ490" i="1"/>
  <c r="HS490" i="1"/>
  <c r="HR490" i="1" s="1"/>
  <c r="HL490" i="1"/>
  <c r="HK490" i="1" s="1"/>
  <c r="HE490" i="1"/>
  <c r="HD490" i="1"/>
  <c r="GX490" i="1"/>
  <c r="GW490" i="1"/>
  <c r="GQ490" i="1"/>
  <c r="GP490" i="1" s="1"/>
  <c r="GJ490" i="1"/>
  <c r="GI490" i="1" s="1"/>
  <c r="GC490" i="1"/>
  <c r="GB490" i="1"/>
  <c r="FV490" i="1"/>
  <c r="FU490" i="1"/>
  <c r="FO490" i="1"/>
  <c r="FN490" i="1" s="1"/>
  <c r="FH490" i="1"/>
  <c r="FG490" i="1" s="1"/>
  <c r="FA490" i="1"/>
  <c r="EZ490" i="1"/>
  <c r="ET490" i="1"/>
  <c r="ES490" i="1"/>
  <c r="EM490" i="1"/>
  <c r="EL490" i="1" s="1"/>
  <c r="EF490" i="1"/>
  <c r="EE490" i="1" s="1"/>
  <c r="DY490" i="1"/>
  <c r="DX490" i="1"/>
  <c r="DR490" i="1"/>
  <c r="DQ490" i="1"/>
  <c r="DK490" i="1"/>
  <c r="DJ490" i="1" s="1"/>
  <c r="DD490" i="1"/>
  <c r="DC490" i="1" s="1"/>
  <c r="CW490" i="1"/>
  <c r="CV490" i="1"/>
  <c r="CP490" i="1"/>
  <c r="CO490" i="1"/>
  <c r="CN490" i="1"/>
  <c r="CF490" i="1"/>
  <c r="CD490" i="1"/>
  <c r="IE489" i="1"/>
  <c r="ID489" i="1"/>
  <c r="HZ489" i="1"/>
  <c r="IB489" i="1" s="1"/>
  <c r="HS489" i="1"/>
  <c r="HR489" i="1"/>
  <c r="HL489" i="1"/>
  <c r="HK489" i="1"/>
  <c r="HE489" i="1"/>
  <c r="HD489" i="1" s="1"/>
  <c r="GX489" i="1"/>
  <c r="GW489" i="1" s="1"/>
  <c r="GQ489" i="1"/>
  <c r="GP489" i="1"/>
  <c r="GJ489" i="1"/>
  <c r="GI489" i="1"/>
  <c r="GC489" i="1"/>
  <c r="GB489" i="1" s="1"/>
  <c r="FV489" i="1"/>
  <c r="FU489" i="1" s="1"/>
  <c r="FO489" i="1"/>
  <c r="FN489" i="1"/>
  <c r="FH489" i="1"/>
  <c r="FG489" i="1"/>
  <c r="FA489" i="1"/>
  <c r="EZ489" i="1" s="1"/>
  <c r="ET489" i="1"/>
  <c r="ES489" i="1" s="1"/>
  <c r="EM489" i="1"/>
  <c r="EL489" i="1"/>
  <c r="EF489" i="1"/>
  <c r="EE489" i="1"/>
  <c r="DY489" i="1"/>
  <c r="DX489" i="1" s="1"/>
  <c r="DR489" i="1"/>
  <c r="DQ489" i="1" s="1"/>
  <c r="DK489" i="1"/>
  <c r="DJ489" i="1"/>
  <c r="DD489" i="1"/>
  <c r="DC489" i="1"/>
  <c r="CW489" i="1"/>
  <c r="CV489" i="1" s="1"/>
  <c r="CP489" i="1"/>
  <c r="CN489" i="1"/>
  <c r="CF489" i="1"/>
  <c r="CD489" i="1"/>
  <c r="IE488" i="1"/>
  <c r="HZ488" i="1"/>
  <c r="HS488" i="1"/>
  <c r="HR488" i="1" s="1"/>
  <c r="HL488" i="1"/>
  <c r="HK488" i="1" s="1"/>
  <c r="HE488" i="1"/>
  <c r="HD488" i="1"/>
  <c r="GX488" i="1"/>
  <c r="GW488" i="1"/>
  <c r="GQ488" i="1"/>
  <c r="GP488" i="1" s="1"/>
  <c r="GJ488" i="1"/>
  <c r="GI488" i="1" s="1"/>
  <c r="GC488" i="1"/>
  <c r="GB488" i="1"/>
  <c r="FV488" i="1"/>
  <c r="FU488" i="1"/>
  <c r="FO488" i="1"/>
  <c r="FN488" i="1" s="1"/>
  <c r="FH488" i="1"/>
  <c r="FG488" i="1" s="1"/>
  <c r="FA488" i="1"/>
  <c r="EZ488" i="1"/>
  <c r="ET488" i="1"/>
  <c r="ES488" i="1"/>
  <c r="EM488" i="1"/>
  <c r="EL488" i="1" s="1"/>
  <c r="EF488" i="1"/>
  <c r="EE488" i="1" s="1"/>
  <c r="DY488" i="1"/>
  <c r="DX488" i="1"/>
  <c r="DR488" i="1"/>
  <c r="DQ488" i="1"/>
  <c r="DK488" i="1"/>
  <c r="DJ488" i="1" s="1"/>
  <c r="DD488" i="1"/>
  <c r="DC488" i="1" s="1"/>
  <c r="CW488" i="1"/>
  <c r="CV488" i="1"/>
  <c r="CP488" i="1"/>
  <c r="CO488" i="1"/>
  <c r="CN488" i="1"/>
  <c r="CF488" i="1"/>
  <c r="CD488" i="1"/>
  <c r="IE487" i="1"/>
  <c r="HZ487" i="1"/>
  <c r="IB487" i="1" s="1"/>
  <c r="ID487" i="1" s="1"/>
  <c r="HS487" i="1"/>
  <c r="HR487" i="1"/>
  <c r="HL487" i="1"/>
  <c r="HK487" i="1"/>
  <c r="HE487" i="1"/>
  <c r="HD487" i="1" s="1"/>
  <c r="GX487" i="1"/>
  <c r="GW487" i="1" s="1"/>
  <c r="GQ487" i="1"/>
  <c r="GP487" i="1"/>
  <c r="GJ487" i="1"/>
  <c r="GI487" i="1"/>
  <c r="GC487" i="1"/>
  <c r="GB487" i="1" s="1"/>
  <c r="FV487" i="1"/>
  <c r="FU487" i="1" s="1"/>
  <c r="FO487" i="1"/>
  <c r="FN487" i="1"/>
  <c r="FH487" i="1"/>
  <c r="FG487" i="1"/>
  <c r="FA487" i="1"/>
  <c r="EZ487" i="1" s="1"/>
  <c r="ET487" i="1"/>
  <c r="ES487" i="1" s="1"/>
  <c r="EM487" i="1"/>
  <c r="EL487" i="1"/>
  <c r="EF487" i="1"/>
  <c r="EE487" i="1"/>
  <c r="DY487" i="1"/>
  <c r="DX487" i="1" s="1"/>
  <c r="DR487" i="1"/>
  <c r="DQ487" i="1" s="1"/>
  <c r="DK487" i="1"/>
  <c r="DJ487" i="1"/>
  <c r="DD487" i="1"/>
  <c r="DC487" i="1"/>
  <c r="CW487" i="1"/>
  <c r="CV487" i="1" s="1"/>
  <c r="CP487" i="1"/>
  <c r="CO487" i="1" s="1"/>
  <c r="CN487" i="1"/>
  <c r="CF487" i="1"/>
  <c r="CD487" i="1"/>
  <c r="IE486" i="1"/>
  <c r="HZ486" i="1"/>
  <c r="HS486" i="1"/>
  <c r="HR486" i="1" s="1"/>
  <c r="HL486" i="1"/>
  <c r="HK486" i="1" s="1"/>
  <c r="HE486" i="1"/>
  <c r="HD486" i="1"/>
  <c r="GX486" i="1"/>
  <c r="GW486" i="1"/>
  <c r="GQ486" i="1"/>
  <c r="GP486" i="1" s="1"/>
  <c r="GJ486" i="1"/>
  <c r="GI486" i="1" s="1"/>
  <c r="GC486" i="1"/>
  <c r="GB486" i="1"/>
  <c r="FV486" i="1"/>
  <c r="FU486" i="1"/>
  <c r="FO486" i="1"/>
  <c r="FN486" i="1" s="1"/>
  <c r="FH486" i="1"/>
  <c r="FG486" i="1" s="1"/>
  <c r="FA486" i="1"/>
  <c r="EZ486" i="1"/>
  <c r="ET486" i="1"/>
  <c r="ES486" i="1"/>
  <c r="EM486" i="1"/>
  <c r="EL486" i="1" s="1"/>
  <c r="EF486" i="1"/>
  <c r="EE486" i="1" s="1"/>
  <c r="DY486" i="1"/>
  <c r="DX486" i="1"/>
  <c r="DR486" i="1"/>
  <c r="DQ486" i="1"/>
  <c r="DK486" i="1"/>
  <c r="DJ486" i="1" s="1"/>
  <c r="DD486" i="1"/>
  <c r="DC486" i="1" s="1"/>
  <c r="CW486" i="1"/>
  <c r="CV486" i="1"/>
  <c r="CP486" i="1"/>
  <c r="CO486" i="1"/>
  <c r="CN486" i="1"/>
  <c r="CF486" i="1"/>
  <c r="CD486" i="1"/>
  <c r="IE485" i="1"/>
  <c r="HZ485" i="1"/>
  <c r="IB485" i="1" s="1"/>
  <c r="ID485" i="1" s="1"/>
  <c r="HS485" i="1"/>
  <c r="HR485" i="1"/>
  <c r="HL485" i="1"/>
  <c r="HK485" i="1"/>
  <c r="HE485" i="1"/>
  <c r="HD485" i="1" s="1"/>
  <c r="GX485" i="1"/>
  <c r="GW485" i="1" s="1"/>
  <c r="GQ485" i="1"/>
  <c r="GP485" i="1"/>
  <c r="GJ485" i="1"/>
  <c r="GI485" i="1"/>
  <c r="GC485" i="1"/>
  <c r="GB485" i="1" s="1"/>
  <c r="FV485" i="1"/>
  <c r="FU485" i="1" s="1"/>
  <c r="FO485" i="1"/>
  <c r="FN485" i="1"/>
  <c r="FH485" i="1"/>
  <c r="FG485" i="1" s="1"/>
  <c r="FA485" i="1"/>
  <c r="EZ485" i="1" s="1"/>
  <c r="ET485" i="1"/>
  <c r="ES485" i="1" s="1"/>
  <c r="EM485" i="1"/>
  <c r="EL485" i="1"/>
  <c r="EF485" i="1"/>
  <c r="EE485" i="1" s="1"/>
  <c r="DY485" i="1"/>
  <c r="DX485" i="1" s="1"/>
  <c r="DR485" i="1"/>
  <c r="DQ485" i="1" s="1"/>
  <c r="DK485" i="1"/>
  <c r="DJ485" i="1"/>
  <c r="DD485" i="1"/>
  <c r="DC485" i="1" s="1"/>
  <c r="CW485" i="1"/>
  <c r="CP485" i="1"/>
  <c r="CO485" i="1" s="1"/>
  <c r="CN485" i="1"/>
  <c r="CF485" i="1"/>
  <c r="CD485" i="1"/>
  <c r="IE484" i="1"/>
  <c r="HZ484" i="1"/>
  <c r="HS484" i="1"/>
  <c r="HR484" i="1" s="1"/>
  <c r="HL484" i="1"/>
  <c r="HK484" i="1" s="1"/>
  <c r="HE484" i="1"/>
  <c r="HD484" i="1"/>
  <c r="GX484" i="1"/>
  <c r="GW484" i="1" s="1"/>
  <c r="GQ484" i="1"/>
  <c r="GP484" i="1" s="1"/>
  <c r="GJ484" i="1"/>
  <c r="GI484" i="1" s="1"/>
  <c r="GC484" i="1"/>
  <c r="GB484" i="1"/>
  <c r="FV484" i="1"/>
  <c r="FU484" i="1" s="1"/>
  <c r="FO484" i="1"/>
  <c r="FN484" i="1" s="1"/>
  <c r="FH484" i="1"/>
  <c r="FG484" i="1" s="1"/>
  <c r="FA484" i="1"/>
  <c r="EZ484" i="1"/>
  <c r="ET484" i="1"/>
  <c r="ES484" i="1" s="1"/>
  <c r="EM484" i="1"/>
  <c r="EL484" i="1" s="1"/>
  <c r="EF484" i="1"/>
  <c r="EE484" i="1" s="1"/>
  <c r="DY484" i="1"/>
  <c r="DX484" i="1"/>
  <c r="DR484" i="1"/>
  <c r="DQ484" i="1" s="1"/>
  <c r="DK484" i="1"/>
  <c r="DJ484" i="1" s="1"/>
  <c r="DD484" i="1"/>
  <c r="DC484" i="1" s="1"/>
  <c r="CW484" i="1"/>
  <c r="CV484" i="1"/>
  <c r="CP484" i="1"/>
  <c r="HY484" i="1" s="1"/>
  <c r="CN484" i="1"/>
  <c r="CF484" i="1"/>
  <c r="CD484" i="1"/>
  <c r="IE483" i="1"/>
  <c r="HZ483" i="1"/>
  <c r="IB483" i="1" s="1"/>
  <c r="ID483" i="1" s="1"/>
  <c r="HS483" i="1"/>
  <c r="HR483" i="1"/>
  <c r="HL483" i="1"/>
  <c r="HK483" i="1" s="1"/>
  <c r="HE483" i="1"/>
  <c r="HD483" i="1"/>
  <c r="GX483" i="1"/>
  <c r="GW483" i="1" s="1"/>
  <c r="GQ483" i="1"/>
  <c r="GP483" i="1"/>
  <c r="GJ483" i="1"/>
  <c r="GI483" i="1" s="1"/>
  <c r="GC483" i="1"/>
  <c r="GB483" i="1"/>
  <c r="FV483" i="1"/>
  <c r="FU483" i="1" s="1"/>
  <c r="FO483" i="1"/>
  <c r="FN483" i="1"/>
  <c r="FH483" i="1"/>
  <c r="FG483" i="1" s="1"/>
  <c r="FA483" i="1"/>
  <c r="EZ483" i="1" s="1"/>
  <c r="ET483" i="1"/>
  <c r="ES483" i="1" s="1"/>
  <c r="EM483" i="1"/>
  <c r="EL483" i="1"/>
  <c r="EF483" i="1"/>
  <c r="EE483" i="1" s="1"/>
  <c r="DY483" i="1"/>
  <c r="DX483" i="1"/>
  <c r="DR483" i="1"/>
  <c r="DQ483" i="1" s="1"/>
  <c r="DK483" i="1"/>
  <c r="DJ483" i="1"/>
  <c r="DD483" i="1"/>
  <c r="DC483" i="1" s="1"/>
  <c r="CW483" i="1"/>
  <c r="CV483" i="1"/>
  <c r="CP483" i="1"/>
  <c r="CO483" i="1" s="1"/>
  <c r="CN483" i="1"/>
  <c r="CF483" i="1"/>
  <c r="CD483" i="1"/>
  <c r="IE482" i="1"/>
  <c r="HZ482" i="1"/>
  <c r="HS482" i="1"/>
  <c r="HR482" i="1"/>
  <c r="HL482" i="1"/>
  <c r="HK482" i="1" s="1"/>
  <c r="HE482" i="1"/>
  <c r="HD482" i="1"/>
  <c r="GX482" i="1"/>
  <c r="GW482" i="1" s="1"/>
  <c r="GQ482" i="1"/>
  <c r="GP482" i="1"/>
  <c r="GJ482" i="1"/>
  <c r="GI482" i="1"/>
  <c r="GC482" i="1"/>
  <c r="GB482" i="1"/>
  <c r="FV482" i="1"/>
  <c r="FU482" i="1"/>
  <c r="FO482" i="1"/>
  <c r="FN482" i="1"/>
  <c r="FH482" i="1"/>
  <c r="FG482" i="1"/>
  <c r="FA482" i="1"/>
  <c r="EZ482" i="1"/>
  <c r="ET482" i="1"/>
  <c r="ES482" i="1"/>
  <c r="EM482" i="1"/>
  <c r="EL482" i="1"/>
  <c r="EF482" i="1"/>
  <c r="EE482" i="1"/>
  <c r="DY482" i="1"/>
  <c r="DX482" i="1"/>
  <c r="DR482" i="1"/>
  <c r="DQ482" i="1"/>
  <c r="DK482" i="1"/>
  <c r="DJ482" i="1"/>
  <c r="DD482" i="1"/>
  <c r="DC482" i="1"/>
  <c r="CW482" i="1"/>
  <c r="CV482" i="1"/>
  <c r="CP482" i="1"/>
  <c r="CO482" i="1"/>
  <c r="CN482" i="1"/>
  <c r="CF482" i="1"/>
  <c r="CD482" i="1"/>
  <c r="IE481" i="1"/>
  <c r="HZ481" i="1"/>
  <c r="HS481" i="1"/>
  <c r="HR481" i="1"/>
  <c r="HL481" i="1"/>
  <c r="HK481" i="1"/>
  <c r="HE481" i="1"/>
  <c r="HD481" i="1"/>
  <c r="GX481" i="1"/>
  <c r="GW481" i="1"/>
  <c r="GQ481" i="1"/>
  <c r="GP481" i="1"/>
  <c r="GJ481" i="1"/>
  <c r="GI481" i="1"/>
  <c r="GC481" i="1"/>
  <c r="GB481" i="1"/>
  <c r="FV481" i="1"/>
  <c r="FU481" i="1"/>
  <c r="FO481" i="1"/>
  <c r="FN481" i="1"/>
  <c r="FH481" i="1"/>
  <c r="FG481" i="1"/>
  <c r="FA481" i="1"/>
  <c r="EZ481" i="1"/>
  <c r="ET481" i="1"/>
  <c r="ES481" i="1"/>
  <c r="EM481" i="1"/>
  <c r="EL481" i="1"/>
  <c r="EF481" i="1"/>
  <c r="EE481" i="1"/>
  <c r="DY481" i="1"/>
  <c r="DX481" i="1"/>
  <c r="DR481" i="1"/>
  <c r="DQ481" i="1"/>
  <c r="DK481" i="1"/>
  <c r="DJ481" i="1"/>
  <c r="DD481" i="1"/>
  <c r="DC481" i="1"/>
  <c r="CW481" i="1"/>
  <c r="CV481" i="1"/>
  <c r="CP481" i="1"/>
  <c r="HY481" i="1" s="1"/>
  <c r="CO481" i="1"/>
  <c r="HX481" i="1" s="1"/>
  <c r="CN481" i="1"/>
  <c r="CF481" i="1"/>
  <c r="CD481" i="1"/>
  <c r="IE480" i="1"/>
  <c r="IB480" i="1"/>
  <c r="ID480" i="1" s="1"/>
  <c r="HZ480" i="1"/>
  <c r="HS480" i="1"/>
  <c r="HR480" i="1"/>
  <c r="HL480" i="1"/>
  <c r="HK480" i="1" s="1"/>
  <c r="HE480" i="1"/>
  <c r="HD480" i="1"/>
  <c r="GX480" i="1"/>
  <c r="GW480" i="1"/>
  <c r="GQ480" i="1"/>
  <c r="GP480" i="1"/>
  <c r="GJ480" i="1"/>
  <c r="GI480" i="1" s="1"/>
  <c r="GC480" i="1"/>
  <c r="GB480" i="1"/>
  <c r="FV480" i="1"/>
  <c r="FU480" i="1"/>
  <c r="FO480" i="1"/>
  <c r="FN480" i="1"/>
  <c r="FH480" i="1"/>
  <c r="FG480" i="1" s="1"/>
  <c r="FA480" i="1"/>
  <c r="EZ480" i="1"/>
  <c r="ET480" i="1"/>
  <c r="ES480" i="1"/>
  <c r="EM480" i="1"/>
  <c r="EL480" i="1"/>
  <c r="EF480" i="1"/>
  <c r="EE480" i="1" s="1"/>
  <c r="DY480" i="1"/>
  <c r="DX480" i="1"/>
  <c r="DR480" i="1"/>
  <c r="DQ480" i="1"/>
  <c r="DK480" i="1"/>
  <c r="DJ480" i="1"/>
  <c r="DD480" i="1"/>
  <c r="DC480" i="1" s="1"/>
  <c r="CW480" i="1"/>
  <c r="CV480" i="1"/>
  <c r="CP480" i="1"/>
  <c r="CO480" i="1"/>
  <c r="CN480" i="1"/>
  <c r="CF480" i="1"/>
  <c r="CD480" i="1"/>
  <c r="IE479" i="1"/>
  <c r="HZ479" i="1"/>
  <c r="HS479" i="1"/>
  <c r="HR479" i="1"/>
  <c r="HL479" i="1"/>
  <c r="HK479" i="1"/>
  <c r="HE479" i="1"/>
  <c r="HD479" i="1"/>
  <c r="GX479" i="1"/>
  <c r="GW479" i="1" s="1"/>
  <c r="GQ479" i="1"/>
  <c r="GP479" i="1"/>
  <c r="GJ479" i="1"/>
  <c r="GI479" i="1"/>
  <c r="GC479" i="1"/>
  <c r="GB479" i="1"/>
  <c r="FV479" i="1"/>
  <c r="FU479" i="1" s="1"/>
  <c r="FO479" i="1"/>
  <c r="FN479" i="1"/>
  <c r="FH479" i="1"/>
  <c r="FG479" i="1"/>
  <c r="FA479" i="1"/>
  <c r="EZ479" i="1"/>
  <c r="ET479" i="1"/>
  <c r="ES479" i="1" s="1"/>
  <c r="EM479" i="1"/>
  <c r="EL479" i="1"/>
  <c r="EF479" i="1"/>
  <c r="EE479" i="1"/>
  <c r="DY479" i="1"/>
  <c r="DX479" i="1"/>
  <c r="DR479" i="1"/>
  <c r="DQ479" i="1" s="1"/>
  <c r="DK479" i="1"/>
  <c r="DJ479" i="1"/>
  <c r="DD479" i="1"/>
  <c r="DC479" i="1"/>
  <c r="CW479" i="1"/>
  <c r="CV479" i="1"/>
  <c r="CP479" i="1"/>
  <c r="HY479" i="1" s="1"/>
  <c r="CN479" i="1"/>
  <c r="CF479" i="1"/>
  <c r="CD479" i="1"/>
  <c r="IE478" i="1"/>
  <c r="IB478" i="1"/>
  <c r="ID478" i="1" s="1"/>
  <c r="HZ478" i="1"/>
  <c r="HS478" i="1"/>
  <c r="HR478" i="1"/>
  <c r="HL478" i="1"/>
  <c r="HK478" i="1"/>
  <c r="HE478" i="1"/>
  <c r="HD478" i="1"/>
  <c r="GX478" i="1"/>
  <c r="GW478" i="1"/>
  <c r="GQ478" i="1"/>
  <c r="GP478" i="1"/>
  <c r="GJ478" i="1"/>
  <c r="GI478" i="1"/>
  <c r="GC478" i="1"/>
  <c r="GB478" i="1"/>
  <c r="FV478" i="1"/>
  <c r="FU478" i="1"/>
  <c r="FO478" i="1"/>
  <c r="FN478" i="1"/>
  <c r="FH478" i="1"/>
  <c r="FG478" i="1"/>
  <c r="FA478" i="1"/>
  <c r="EZ478" i="1"/>
  <c r="ET478" i="1"/>
  <c r="ES478" i="1"/>
  <c r="EM478" i="1"/>
  <c r="EL478" i="1"/>
  <c r="EF478" i="1"/>
  <c r="EE478" i="1"/>
  <c r="DY478" i="1"/>
  <c r="DX478" i="1"/>
  <c r="DR478" i="1"/>
  <c r="DQ478" i="1"/>
  <c r="DK478" i="1"/>
  <c r="DJ478" i="1"/>
  <c r="DD478" i="1"/>
  <c r="DC478" i="1"/>
  <c r="CW478" i="1"/>
  <c r="CV478" i="1"/>
  <c r="CP478" i="1"/>
  <c r="CO478" i="1"/>
  <c r="CN478" i="1"/>
  <c r="CF478" i="1"/>
  <c r="CD478" i="1"/>
  <c r="IE477" i="1"/>
  <c r="HZ477" i="1"/>
  <c r="HS477" i="1"/>
  <c r="HR477" i="1"/>
  <c r="HL477" i="1"/>
  <c r="HK477" i="1"/>
  <c r="HE477" i="1"/>
  <c r="HD477" i="1"/>
  <c r="GX477" i="1"/>
  <c r="GW477" i="1"/>
  <c r="GQ477" i="1"/>
  <c r="GP477" i="1"/>
  <c r="GJ477" i="1"/>
  <c r="GI477" i="1"/>
  <c r="GC477" i="1"/>
  <c r="GB477" i="1"/>
  <c r="FV477" i="1"/>
  <c r="FU477" i="1"/>
  <c r="FO477" i="1"/>
  <c r="FN477" i="1"/>
  <c r="FH477" i="1"/>
  <c r="FG477" i="1"/>
  <c r="FA477" i="1"/>
  <c r="EZ477" i="1"/>
  <c r="ET477" i="1"/>
  <c r="ES477" i="1"/>
  <c r="EM477" i="1"/>
  <c r="EL477" i="1"/>
  <c r="EF477" i="1"/>
  <c r="EE477" i="1"/>
  <c r="DY477" i="1"/>
  <c r="DX477" i="1"/>
  <c r="DR477" i="1"/>
  <c r="DQ477" i="1"/>
  <c r="DK477" i="1"/>
  <c r="DJ477" i="1"/>
  <c r="DD477" i="1"/>
  <c r="DC477" i="1"/>
  <c r="CW477" i="1"/>
  <c r="CV477" i="1"/>
  <c r="CP477" i="1"/>
  <c r="HY477" i="1" s="1"/>
  <c r="CO477" i="1"/>
  <c r="CN477" i="1"/>
  <c r="CF477" i="1"/>
  <c r="CD477" i="1"/>
  <c r="IE476" i="1"/>
  <c r="IB476" i="1"/>
  <c r="ID476" i="1" s="1"/>
  <c r="HZ476" i="1"/>
  <c r="HS476" i="1"/>
  <c r="HR476" i="1"/>
  <c r="HL476" i="1"/>
  <c r="HK476" i="1"/>
  <c r="HE476" i="1"/>
  <c r="HD476" i="1"/>
  <c r="GX476" i="1"/>
  <c r="GW476" i="1"/>
  <c r="GQ476" i="1"/>
  <c r="GP476" i="1"/>
  <c r="GJ476" i="1"/>
  <c r="GI476" i="1"/>
  <c r="GC476" i="1"/>
  <c r="GB476" i="1"/>
  <c r="FV476" i="1"/>
  <c r="FU476" i="1"/>
  <c r="FO476" i="1"/>
  <c r="FN476" i="1"/>
  <c r="FH476" i="1"/>
  <c r="FG476" i="1"/>
  <c r="FA476" i="1"/>
  <c r="EZ476" i="1"/>
  <c r="ET476" i="1"/>
  <c r="ES476" i="1"/>
  <c r="EM476" i="1"/>
  <c r="EL476" i="1"/>
  <c r="EF476" i="1"/>
  <c r="EE476" i="1"/>
  <c r="DY476" i="1"/>
  <c r="DX476" i="1"/>
  <c r="DR476" i="1"/>
  <c r="DQ476" i="1"/>
  <c r="DK476" i="1"/>
  <c r="DJ476" i="1"/>
  <c r="DD476" i="1"/>
  <c r="DC476" i="1"/>
  <c r="CW476" i="1"/>
  <c r="CV476" i="1"/>
  <c r="CP476" i="1"/>
  <c r="HY476" i="1" s="1"/>
  <c r="CO476" i="1"/>
  <c r="CN476" i="1"/>
  <c r="CF476" i="1"/>
  <c r="CD476" i="1"/>
  <c r="IE475" i="1"/>
  <c r="HZ475" i="1"/>
  <c r="HS475" i="1"/>
  <c r="HR475" i="1"/>
  <c r="HL475" i="1"/>
  <c r="HK475" i="1"/>
  <c r="HE475" i="1"/>
  <c r="HD475" i="1"/>
  <c r="GX475" i="1"/>
  <c r="GW475" i="1" s="1"/>
  <c r="GQ475" i="1"/>
  <c r="GP475" i="1"/>
  <c r="GJ475" i="1"/>
  <c r="GI475" i="1"/>
  <c r="GC475" i="1"/>
  <c r="GB475" i="1"/>
  <c r="FV475" i="1"/>
  <c r="FU475" i="1" s="1"/>
  <c r="FO475" i="1"/>
  <c r="FN475" i="1"/>
  <c r="FH475" i="1"/>
  <c r="FG475" i="1"/>
  <c r="FA475" i="1"/>
  <c r="EZ475" i="1"/>
  <c r="ET475" i="1"/>
  <c r="ES475" i="1" s="1"/>
  <c r="EM475" i="1"/>
  <c r="EL475" i="1"/>
  <c r="EF475" i="1"/>
  <c r="EE475" i="1"/>
  <c r="DY475" i="1"/>
  <c r="DX475" i="1"/>
  <c r="DR475" i="1"/>
  <c r="DQ475" i="1" s="1"/>
  <c r="DK475" i="1"/>
  <c r="DJ475" i="1"/>
  <c r="DD475" i="1"/>
  <c r="DC475" i="1"/>
  <c r="CW475" i="1"/>
  <c r="CV475" i="1"/>
  <c r="CP475" i="1"/>
  <c r="CO475" i="1" s="1"/>
  <c r="CN475" i="1"/>
  <c r="CF475" i="1"/>
  <c r="CD475" i="1"/>
  <c r="IE474" i="1"/>
  <c r="IB474" i="1"/>
  <c r="ID474" i="1" s="1"/>
  <c r="HZ474" i="1"/>
  <c r="HS474" i="1"/>
  <c r="HR474" i="1"/>
  <c r="HL474" i="1"/>
  <c r="HK474" i="1"/>
  <c r="HE474" i="1"/>
  <c r="HD474" i="1"/>
  <c r="GX474" i="1"/>
  <c r="GW474" i="1"/>
  <c r="GQ474" i="1"/>
  <c r="GP474" i="1"/>
  <c r="GJ474" i="1"/>
  <c r="GI474" i="1"/>
  <c r="GC474" i="1"/>
  <c r="GB474" i="1"/>
  <c r="FV474" i="1"/>
  <c r="FU474" i="1"/>
  <c r="FO474" i="1"/>
  <c r="FN474" i="1"/>
  <c r="FH474" i="1"/>
  <c r="FG474" i="1"/>
  <c r="FA474" i="1"/>
  <c r="EZ474" i="1"/>
  <c r="ET474" i="1"/>
  <c r="ES474" i="1"/>
  <c r="EM474" i="1"/>
  <c r="EL474" i="1"/>
  <c r="EF474" i="1"/>
  <c r="EE474" i="1"/>
  <c r="DY474" i="1"/>
  <c r="DX474" i="1"/>
  <c r="DR474" i="1"/>
  <c r="DQ474" i="1"/>
  <c r="DK474" i="1"/>
  <c r="DJ474" i="1"/>
  <c r="DD474" i="1"/>
  <c r="DC474" i="1"/>
  <c r="CW474" i="1"/>
  <c r="CV474" i="1"/>
  <c r="CP474" i="1"/>
  <c r="HY474" i="1" s="1"/>
  <c r="CO474" i="1"/>
  <c r="HX474" i="1" s="1"/>
  <c r="IA474" i="1" s="1"/>
  <c r="CN474" i="1"/>
  <c r="CF474" i="1"/>
  <c r="CD474" i="1"/>
  <c r="IE473" i="1"/>
  <c r="HZ473" i="1"/>
  <c r="HS473" i="1"/>
  <c r="HR473" i="1"/>
  <c r="HL473" i="1"/>
  <c r="HK473" i="1"/>
  <c r="HE473" i="1"/>
  <c r="HD473" i="1"/>
  <c r="GX473" i="1"/>
  <c r="GW473" i="1"/>
  <c r="GQ473" i="1"/>
  <c r="GP473" i="1"/>
  <c r="GJ473" i="1"/>
  <c r="GI473" i="1"/>
  <c r="GC473" i="1"/>
  <c r="GB473" i="1"/>
  <c r="FV473" i="1"/>
  <c r="FU473" i="1"/>
  <c r="FO473" i="1"/>
  <c r="FN473" i="1"/>
  <c r="FH473" i="1"/>
  <c r="FG473" i="1"/>
  <c r="FA473" i="1"/>
  <c r="EZ473" i="1"/>
  <c r="ET473" i="1"/>
  <c r="ES473" i="1"/>
  <c r="EM473" i="1"/>
  <c r="EL473" i="1"/>
  <c r="EF473" i="1"/>
  <c r="EE473" i="1"/>
  <c r="DY473" i="1"/>
  <c r="DX473" i="1"/>
  <c r="DR473" i="1"/>
  <c r="DQ473" i="1"/>
  <c r="DK473" i="1"/>
  <c r="DJ473" i="1"/>
  <c r="DD473" i="1"/>
  <c r="DC473" i="1"/>
  <c r="CW473" i="1"/>
  <c r="CV473" i="1"/>
  <c r="CP473" i="1"/>
  <c r="HY473" i="1" s="1"/>
  <c r="CO473" i="1"/>
  <c r="HX473" i="1" s="1"/>
  <c r="CN473" i="1"/>
  <c r="CF473" i="1"/>
  <c r="CD473" i="1"/>
  <c r="IE472" i="1"/>
  <c r="IB472" i="1"/>
  <c r="ID472" i="1" s="1"/>
  <c r="HZ472" i="1"/>
  <c r="HS472" i="1"/>
  <c r="HR472" i="1"/>
  <c r="HL472" i="1"/>
  <c r="HK472" i="1" s="1"/>
  <c r="HE472" i="1"/>
  <c r="HD472" i="1"/>
  <c r="GX472" i="1"/>
  <c r="GW472" i="1"/>
  <c r="GQ472" i="1"/>
  <c r="GP472" i="1"/>
  <c r="GJ472" i="1"/>
  <c r="GI472" i="1" s="1"/>
  <c r="GC472" i="1"/>
  <c r="GB472" i="1"/>
  <c r="FV472" i="1"/>
  <c r="FU472" i="1"/>
  <c r="FO472" i="1"/>
  <c r="FN472" i="1"/>
  <c r="FH472" i="1"/>
  <c r="FG472" i="1" s="1"/>
  <c r="FA472" i="1"/>
  <c r="EZ472" i="1"/>
  <c r="ET472" i="1"/>
  <c r="ES472" i="1"/>
  <c r="EM472" i="1"/>
  <c r="EL472" i="1"/>
  <c r="EF472" i="1"/>
  <c r="EE472" i="1" s="1"/>
  <c r="DY472" i="1"/>
  <c r="DX472" i="1"/>
  <c r="DR472" i="1"/>
  <c r="DQ472" i="1"/>
  <c r="DK472" i="1"/>
  <c r="DJ472" i="1"/>
  <c r="DD472" i="1"/>
  <c r="DC472" i="1" s="1"/>
  <c r="CW472" i="1"/>
  <c r="CV472" i="1"/>
  <c r="CP472" i="1"/>
  <c r="HY472" i="1" s="1"/>
  <c r="CO472" i="1"/>
  <c r="CN472" i="1"/>
  <c r="CF472" i="1"/>
  <c r="CD472" i="1"/>
  <c r="IE471" i="1"/>
  <c r="HZ471" i="1"/>
  <c r="HY471" i="1"/>
  <c r="HS471" i="1"/>
  <c r="HR471" i="1"/>
  <c r="HL471" i="1"/>
  <c r="HK471" i="1"/>
  <c r="HE471" i="1"/>
  <c r="HD471" i="1"/>
  <c r="GX471" i="1"/>
  <c r="GW471" i="1" s="1"/>
  <c r="GQ471" i="1"/>
  <c r="GP471" i="1"/>
  <c r="GJ471" i="1"/>
  <c r="GI471" i="1"/>
  <c r="GC471" i="1"/>
  <c r="GB471" i="1"/>
  <c r="FV471" i="1"/>
  <c r="FU471" i="1" s="1"/>
  <c r="FO471" i="1"/>
  <c r="FN471" i="1"/>
  <c r="FH471" i="1"/>
  <c r="FG471" i="1"/>
  <c r="FA471" i="1"/>
  <c r="EZ471" i="1"/>
  <c r="ET471" i="1"/>
  <c r="ES471" i="1" s="1"/>
  <c r="EM471" i="1"/>
  <c r="EL471" i="1"/>
  <c r="EF471" i="1"/>
  <c r="EE471" i="1"/>
  <c r="DY471" i="1"/>
  <c r="DX471" i="1"/>
  <c r="DR471" i="1"/>
  <c r="DQ471" i="1" s="1"/>
  <c r="DK471" i="1"/>
  <c r="DJ471" i="1"/>
  <c r="DD471" i="1"/>
  <c r="DC471" i="1"/>
  <c r="CW471" i="1"/>
  <c r="CV471" i="1"/>
  <c r="CP471" i="1"/>
  <c r="CO471" i="1" s="1"/>
  <c r="CN471" i="1"/>
  <c r="CF471" i="1"/>
  <c r="CD471" i="1"/>
  <c r="IE470" i="1"/>
  <c r="IB470" i="1"/>
  <c r="ID470" i="1" s="1"/>
  <c r="HZ470" i="1"/>
  <c r="HS470" i="1"/>
  <c r="HR470" i="1"/>
  <c r="HL470" i="1"/>
  <c r="HK470" i="1"/>
  <c r="HE470" i="1"/>
  <c r="HD470" i="1"/>
  <c r="GX470" i="1"/>
  <c r="GW470" i="1"/>
  <c r="GQ470" i="1"/>
  <c r="GP470" i="1"/>
  <c r="GJ470" i="1"/>
  <c r="GI470" i="1"/>
  <c r="GC470" i="1"/>
  <c r="GB470" i="1"/>
  <c r="FV470" i="1"/>
  <c r="FU470" i="1"/>
  <c r="FO470" i="1"/>
  <c r="FN470" i="1"/>
  <c r="FH470" i="1"/>
  <c r="FG470" i="1"/>
  <c r="FA470" i="1"/>
  <c r="EZ470" i="1"/>
  <c r="ET470" i="1"/>
  <c r="ES470" i="1"/>
  <c r="EM470" i="1"/>
  <c r="EL470" i="1"/>
  <c r="EF470" i="1"/>
  <c r="EE470" i="1"/>
  <c r="DY470" i="1"/>
  <c r="DX470" i="1"/>
  <c r="DR470" i="1"/>
  <c r="DQ470" i="1"/>
  <c r="DK470" i="1"/>
  <c r="DJ470" i="1"/>
  <c r="DD470" i="1"/>
  <c r="DC470" i="1"/>
  <c r="CW470" i="1"/>
  <c r="CV470" i="1"/>
  <c r="CP470" i="1"/>
  <c r="HY470" i="1" s="1"/>
  <c r="CO470" i="1"/>
  <c r="CN470" i="1"/>
  <c r="CF470" i="1"/>
  <c r="CD470" i="1"/>
  <c r="IE469" i="1"/>
  <c r="HZ469" i="1"/>
  <c r="HS469" i="1"/>
  <c r="HR469" i="1"/>
  <c r="HL469" i="1"/>
  <c r="HK469" i="1"/>
  <c r="HE469" i="1"/>
  <c r="HD469" i="1"/>
  <c r="GX469" i="1"/>
  <c r="GW469" i="1"/>
  <c r="GQ469" i="1"/>
  <c r="GP469" i="1"/>
  <c r="GJ469" i="1"/>
  <c r="GI469" i="1"/>
  <c r="GC469" i="1"/>
  <c r="GB469" i="1"/>
  <c r="FV469" i="1"/>
  <c r="FU469" i="1"/>
  <c r="FO469" i="1"/>
  <c r="FN469" i="1"/>
  <c r="FH469" i="1"/>
  <c r="FG469" i="1"/>
  <c r="FA469" i="1"/>
  <c r="EZ469" i="1"/>
  <c r="ET469" i="1"/>
  <c r="ES469" i="1"/>
  <c r="EM469" i="1"/>
  <c r="EL469" i="1"/>
  <c r="EF469" i="1"/>
  <c r="EE469" i="1"/>
  <c r="DY469" i="1"/>
  <c r="DX469" i="1"/>
  <c r="DR469" i="1"/>
  <c r="DQ469" i="1"/>
  <c r="DK469" i="1"/>
  <c r="DJ469" i="1"/>
  <c r="DD469" i="1"/>
  <c r="DC469" i="1"/>
  <c r="CW469" i="1"/>
  <c r="CV469" i="1"/>
  <c r="CP469" i="1"/>
  <c r="HY469" i="1" s="1"/>
  <c r="CO469" i="1"/>
  <c r="HX469" i="1" s="1"/>
  <c r="CN469" i="1"/>
  <c r="CF469" i="1"/>
  <c r="CD469" i="1"/>
  <c r="IE468" i="1"/>
  <c r="IB468" i="1"/>
  <c r="ID468" i="1" s="1"/>
  <c r="HZ468" i="1"/>
  <c r="HS468" i="1"/>
  <c r="HR468" i="1"/>
  <c r="HL468" i="1"/>
  <c r="HK468" i="1" s="1"/>
  <c r="HE468" i="1"/>
  <c r="HD468" i="1"/>
  <c r="GX468" i="1"/>
  <c r="GW468" i="1"/>
  <c r="GQ468" i="1"/>
  <c r="GP468" i="1"/>
  <c r="GJ468" i="1"/>
  <c r="GI468" i="1" s="1"/>
  <c r="GC468" i="1"/>
  <c r="GB468" i="1"/>
  <c r="FV468" i="1"/>
  <c r="FU468" i="1"/>
  <c r="FO468" i="1"/>
  <c r="FN468" i="1"/>
  <c r="FH468" i="1"/>
  <c r="FG468" i="1" s="1"/>
  <c r="FA468" i="1"/>
  <c r="EZ468" i="1"/>
  <c r="ET468" i="1"/>
  <c r="ES468" i="1"/>
  <c r="EM468" i="1"/>
  <c r="EL468" i="1"/>
  <c r="EF468" i="1"/>
  <c r="EE468" i="1" s="1"/>
  <c r="DY468" i="1"/>
  <c r="DX468" i="1"/>
  <c r="DR468" i="1"/>
  <c r="DQ468" i="1"/>
  <c r="DK468" i="1"/>
  <c r="DJ468" i="1"/>
  <c r="DD468" i="1"/>
  <c r="DC468" i="1" s="1"/>
  <c r="CW468" i="1"/>
  <c r="CV468" i="1"/>
  <c r="CP468" i="1"/>
  <c r="CO468" i="1"/>
  <c r="CN468" i="1"/>
  <c r="CF468" i="1"/>
  <c r="CD468" i="1"/>
  <c r="IE467" i="1"/>
  <c r="HZ467" i="1"/>
  <c r="HS467" i="1"/>
  <c r="HR467" i="1"/>
  <c r="HL467" i="1"/>
  <c r="HK467" i="1"/>
  <c r="HE467" i="1"/>
  <c r="HD467" i="1"/>
  <c r="GX467" i="1"/>
  <c r="GW467" i="1"/>
  <c r="GQ467" i="1"/>
  <c r="GP467" i="1"/>
  <c r="GJ467" i="1"/>
  <c r="GI467" i="1"/>
  <c r="GC467" i="1"/>
  <c r="GB467" i="1"/>
  <c r="FV467" i="1"/>
  <c r="FU467" i="1"/>
  <c r="FO467" i="1"/>
  <c r="FN467" i="1"/>
  <c r="FH467" i="1"/>
  <c r="FG467" i="1"/>
  <c r="FA467" i="1"/>
  <c r="EZ467" i="1"/>
  <c r="ET467" i="1"/>
  <c r="HY467" i="1" s="1"/>
  <c r="ES467" i="1"/>
  <c r="EM467" i="1"/>
  <c r="EL467" i="1"/>
  <c r="EF467" i="1"/>
  <c r="EE467" i="1" s="1"/>
  <c r="HX467" i="1" s="1"/>
  <c r="DY467" i="1"/>
  <c r="DX467" i="1"/>
  <c r="DR467" i="1"/>
  <c r="DQ467" i="1"/>
  <c r="DK467" i="1"/>
  <c r="DJ467" i="1"/>
  <c r="DD467" i="1"/>
  <c r="DC467" i="1" s="1"/>
  <c r="CW467" i="1"/>
  <c r="CV467" i="1"/>
  <c r="CP467" i="1"/>
  <c r="CO467" i="1"/>
  <c r="CN467" i="1"/>
  <c r="CF467" i="1"/>
  <c r="CD467" i="1"/>
  <c r="IE466" i="1"/>
  <c r="ID466" i="1"/>
  <c r="IB466" i="1"/>
  <c r="HZ466" i="1"/>
  <c r="HS466" i="1"/>
  <c r="HR466" i="1"/>
  <c r="HL466" i="1"/>
  <c r="HK466" i="1" s="1"/>
  <c r="HE466" i="1"/>
  <c r="HD466" i="1"/>
  <c r="GX466" i="1"/>
  <c r="GW466" i="1" s="1"/>
  <c r="GQ466" i="1"/>
  <c r="GP466" i="1"/>
  <c r="GJ466" i="1"/>
  <c r="GI466" i="1"/>
  <c r="GC466" i="1"/>
  <c r="GB466" i="1"/>
  <c r="FV466" i="1"/>
  <c r="FU466" i="1" s="1"/>
  <c r="FO466" i="1"/>
  <c r="FN466" i="1"/>
  <c r="FH466" i="1"/>
  <c r="FG466" i="1"/>
  <c r="FA466" i="1"/>
  <c r="EZ466" i="1"/>
  <c r="ET466" i="1"/>
  <c r="ES466" i="1" s="1"/>
  <c r="EM466" i="1"/>
  <c r="EL466" i="1" s="1"/>
  <c r="EF466" i="1"/>
  <c r="EE466" i="1" s="1"/>
  <c r="DY466" i="1"/>
  <c r="DX466" i="1"/>
  <c r="DR466" i="1"/>
  <c r="DQ466" i="1" s="1"/>
  <c r="DK466" i="1"/>
  <c r="DJ466" i="1"/>
  <c r="DD466" i="1"/>
  <c r="DC466" i="1"/>
  <c r="CW466" i="1"/>
  <c r="CV466" i="1"/>
  <c r="CP466" i="1"/>
  <c r="CN466" i="1"/>
  <c r="CF466" i="1"/>
  <c r="CD466" i="1"/>
  <c r="IE465" i="1"/>
  <c r="HZ465" i="1"/>
  <c r="HS465" i="1"/>
  <c r="HR465" i="1"/>
  <c r="HL465" i="1"/>
  <c r="HK465" i="1" s="1"/>
  <c r="HE465" i="1"/>
  <c r="HD465" i="1"/>
  <c r="GX465" i="1"/>
  <c r="GW465" i="1"/>
  <c r="GQ465" i="1"/>
  <c r="GP465" i="1"/>
  <c r="GJ465" i="1"/>
  <c r="GI465" i="1" s="1"/>
  <c r="GC465" i="1"/>
  <c r="GB465" i="1"/>
  <c r="FV465" i="1"/>
  <c r="FU465" i="1" s="1"/>
  <c r="FO465" i="1"/>
  <c r="FN465" i="1"/>
  <c r="FH465" i="1"/>
  <c r="FG465" i="1" s="1"/>
  <c r="FA465" i="1"/>
  <c r="EZ465" i="1" s="1"/>
  <c r="ET465" i="1"/>
  <c r="ES465" i="1" s="1"/>
  <c r="EM465" i="1"/>
  <c r="EL465" i="1"/>
  <c r="EF465" i="1"/>
  <c r="EE465" i="1" s="1"/>
  <c r="DY465" i="1"/>
  <c r="DX465" i="1"/>
  <c r="DR465" i="1"/>
  <c r="DQ465" i="1"/>
  <c r="DK465" i="1"/>
  <c r="DJ465" i="1"/>
  <c r="DD465" i="1"/>
  <c r="DC465" i="1" s="1"/>
  <c r="CW465" i="1"/>
  <c r="CV465" i="1"/>
  <c r="CP465" i="1"/>
  <c r="CN465" i="1"/>
  <c r="CF465" i="1"/>
  <c r="CD465" i="1"/>
  <c r="IE464" i="1"/>
  <c r="IB464" i="1"/>
  <c r="ID464" i="1" s="1"/>
  <c r="HZ464" i="1"/>
  <c r="HS464" i="1"/>
  <c r="HR464" i="1"/>
  <c r="HL464" i="1"/>
  <c r="HK464" i="1"/>
  <c r="HE464" i="1"/>
  <c r="HD464" i="1"/>
  <c r="GX464" i="1"/>
  <c r="GW464" i="1" s="1"/>
  <c r="GQ464" i="1"/>
  <c r="GP464" i="1"/>
  <c r="GJ464" i="1"/>
  <c r="GI464" i="1" s="1"/>
  <c r="GC464" i="1"/>
  <c r="GB464" i="1" s="1"/>
  <c r="FV464" i="1"/>
  <c r="FU464" i="1" s="1"/>
  <c r="FO464" i="1"/>
  <c r="FN464" i="1"/>
  <c r="FH464" i="1"/>
  <c r="FG464" i="1"/>
  <c r="FA464" i="1"/>
  <c r="EZ464" i="1" s="1"/>
  <c r="ET464" i="1"/>
  <c r="ES464" i="1" s="1"/>
  <c r="EM464" i="1"/>
  <c r="EL464" i="1" s="1"/>
  <c r="EF464" i="1"/>
  <c r="EE464" i="1"/>
  <c r="DY464" i="1"/>
  <c r="DX464" i="1" s="1"/>
  <c r="DR464" i="1"/>
  <c r="DQ464" i="1" s="1"/>
  <c r="DK464" i="1"/>
  <c r="DJ464" i="1" s="1"/>
  <c r="DD464" i="1"/>
  <c r="DC464" i="1" s="1"/>
  <c r="CW464" i="1"/>
  <c r="CV464" i="1" s="1"/>
  <c r="CP464" i="1"/>
  <c r="CN464" i="1"/>
  <c r="CF464" i="1"/>
  <c r="CD464" i="1"/>
  <c r="IE463" i="1"/>
  <c r="HZ463" i="1"/>
  <c r="HS463" i="1"/>
  <c r="HR463" i="1" s="1"/>
  <c r="HL463" i="1"/>
  <c r="HK463" i="1" s="1"/>
  <c r="HE463" i="1"/>
  <c r="HD463" i="1" s="1"/>
  <c r="GX463" i="1"/>
  <c r="GW463" i="1" s="1"/>
  <c r="GQ463" i="1"/>
  <c r="GP463" i="1" s="1"/>
  <c r="GJ463" i="1"/>
  <c r="GI463" i="1" s="1"/>
  <c r="GC463" i="1"/>
  <c r="GB463" i="1" s="1"/>
  <c r="FV463" i="1"/>
  <c r="FU463" i="1" s="1"/>
  <c r="FO463" i="1"/>
  <c r="FN463" i="1" s="1"/>
  <c r="FH463" i="1"/>
  <c r="FG463" i="1" s="1"/>
  <c r="FA463" i="1"/>
  <c r="EZ463" i="1" s="1"/>
  <c r="ET463" i="1"/>
  <c r="ES463" i="1"/>
  <c r="EM463" i="1"/>
  <c r="EL463" i="1" s="1"/>
  <c r="EF463" i="1"/>
  <c r="EE463" i="1" s="1"/>
  <c r="DY463" i="1"/>
  <c r="DX463" i="1"/>
  <c r="DR463" i="1"/>
  <c r="DQ463" i="1" s="1"/>
  <c r="DK463" i="1"/>
  <c r="DJ463" i="1" s="1"/>
  <c r="DD463" i="1"/>
  <c r="DC463" i="1" s="1"/>
  <c r="CW463" i="1"/>
  <c r="CV463" i="1" s="1"/>
  <c r="CP463" i="1"/>
  <c r="CN463" i="1"/>
  <c r="CF463" i="1"/>
  <c r="CD463" i="1"/>
  <c r="IE462" i="1"/>
  <c r="IB462" i="1"/>
  <c r="ID462" i="1" s="1"/>
  <c r="HZ462" i="1"/>
  <c r="HS462" i="1"/>
  <c r="HR462" i="1"/>
  <c r="HL462" i="1"/>
  <c r="HK462" i="1"/>
  <c r="HE462" i="1"/>
  <c r="HD462" i="1" s="1"/>
  <c r="GX462" i="1"/>
  <c r="GW462" i="1" s="1"/>
  <c r="GQ462" i="1"/>
  <c r="GP462" i="1"/>
  <c r="GJ462" i="1"/>
  <c r="GI462" i="1"/>
  <c r="GC462" i="1"/>
  <c r="GB462" i="1" s="1"/>
  <c r="FV462" i="1"/>
  <c r="FU462" i="1" s="1"/>
  <c r="FO462" i="1"/>
  <c r="FN462" i="1"/>
  <c r="FH462" i="1"/>
  <c r="FG462" i="1"/>
  <c r="FA462" i="1"/>
  <c r="EZ462" i="1" s="1"/>
  <c r="ET462" i="1"/>
  <c r="ES462" i="1" s="1"/>
  <c r="EM462" i="1"/>
  <c r="EL462" i="1"/>
  <c r="EF462" i="1"/>
  <c r="EE462" i="1"/>
  <c r="DY462" i="1"/>
  <c r="DX462" i="1" s="1"/>
  <c r="DR462" i="1"/>
  <c r="DQ462" i="1" s="1"/>
  <c r="DK462" i="1"/>
  <c r="DJ462" i="1"/>
  <c r="DD462" i="1"/>
  <c r="DC462" i="1"/>
  <c r="CW462" i="1"/>
  <c r="CV462" i="1" s="1"/>
  <c r="CP462" i="1"/>
  <c r="HY462" i="1" s="1"/>
  <c r="CN462" i="1"/>
  <c r="CF462" i="1"/>
  <c r="CD462" i="1"/>
  <c r="IE461" i="1"/>
  <c r="HZ461" i="1"/>
  <c r="HS461" i="1"/>
  <c r="HR461" i="1" s="1"/>
  <c r="HL461" i="1"/>
  <c r="HK461" i="1" s="1"/>
  <c r="HE461" i="1"/>
  <c r="HD461" i="1"/>
  <c r="GX461" i="1"/>
  <c r="GW461" i="1" s="1"/>
  <c r="GQ461" i="1"/>
  <c r="GP461" i="1" s="1"/>
  <c r="GJ461" i="1"/>
  <c r="GI461" i="1" s="1"/>
  <c r="GC461" i="1"/>
  <c r="GB461" i="1" s="1"/>
  <c r="FV461" i="1"/>
  <c r="FU461" i="1"/>
  <c r="FO461" i="1"/>
  <c r="FN461" i="1" s="1"/>
  <c r="FH461" i="1"/>
  <c r="FG461" i="1" s="1"/>
  <c r="FA461" i="1"/>
  <c r="EZ461" i="1"/>
  <c r="ET461" i="1"/>
  <c r="ES461" i="1" s="1"/>
  <c r="EM461" i="1"/>
  <c r="EL461" i="1" s="1"/>
  <c r="EF461" i="1"/>
  <c r="EE461" i="1" s="1"/>
  <c r="DY461" i="1"/>
  <c r="DX461" i="1"/>
  <c r="DR461" i="1"/>
  <c r="DQ461" i="1" s="1"/>
  <c r="DK461" i="1"/>
  <c r="DJ461" i="1" s="1"/>
  <c r="DD461" i="1"/>
  <c r="DC461" i="1" s="1"/>
  <c r="CW461" i="1"/>
  <c r="CV461" i="1" s="1"/>
  <c r="CP461" i="1"/>
  <c r="CO461" i="1"/>
  <c r="HX461" i="1" s="1"/>
  <c r="IC461" i="1" s="1"/>
  <c r="CN461" i="1"/>
  <c r="CF461" i="1"/>
  <c r="CD461" i="1"/>
  <c r="IE460" i="1"/>
  <c r="HZ460" i="1"/>
  <c r="HS460" i="1"/>
  <c r="HR460" i="1" s="1"/>
  <c r="HL460" i="1"/>
  <c r="HK460" i="1"/>
  <c r="HE460" i="1"/>
  <c r="HD460" i="1"/>
  <c r="GX460" i="1"/>
  <c r="GW460" i="1" s="1"/>
  <c r="GQ460" i="1"/>
  <c r="GP460" i="1" s="1"/>
  <c r="GJ460" i="1"/>
  <c r="GI460" i="1"/>
  <c r="GC460" i="1"/>
  <c r="GB460" i="1" s="1"/>
  <c r="FV460" i="1"/>
  <c r="FU460" i="1" s="1"/>
  <c r="FO460" i="1"/>
  <c r="FN460" i="1"/>
  <c r="FH460" i="1"/>
  <c r="FG460" i="1" s="1"/>
  <c r="FA460" i="1"/>
  <c r="EZ460" i="1" s="1"/>
  <c r="ET460" i="1"/>
  <c r="ES460" i="1" s="1"/>
  <c r="EM460" i="1"/>
  <c r="EL460" i="1"/>
  <c r="EF460" i="1"/>
  <c r="EE460" i="1"/>
  <c r="DY460" i="1"/>
  <c r="DX460" i="1"/>
  <c r="DR460" i="1"/>
  <c r="DQ460" i="1" s="1"/>
  <c r="DK460" i="1"/>
  <c r="DJ460" i="1" s="1"/>
  <c r="DD460" i="1"/>
  <c r="DC460" i="1"/>
  <c r="CW460" i="1"/>
  <c r="CV460" i="1" s="1"/>
  <c r="CP460" i="1"/>
  <c r="CO460" i="1" s="1"/>
  <c r="CN460" i="1"/>
  <c r="CF460" i="1"/>
  <c r="CD460" i="1"/>
  <c r="IE459" i="1"/>
  <c r="ID459" i="1"/>
  <c r="HZ459" i="1"/>
  <c r="IB459" i="1" s="1"/>
  <c r="HS459" i="1"/>
  <c r="HR459" i="1" s="1"/>
  <c r="HL459" i="1"/>
  <c r="HK459" i="1" s="1"/>
  <c r="HE459" i="1"/>
  <c r="HD459" i="1"/>
  <c r="GX459" i="1"/>
  <c r="GW459" i="1"/>
  <c r="GQ459" i="1"/>
  <c r="GP459" i="1"/>
  <c r="GJ459" i="1"/>
  <c r="GI459" i="1" s="1"/>
  <c r="GC459" i="1"/>
  <c r="GB459" i="1" s="1"/>
  <c r="FV459" i="1"/>
  <c r="FU459" i="1"/>
  <c r="FO459" i="1"/>
  <c r="FN459" i="1"/>
  <c r="FH459" i="1"/>
  <c r="FG459" i="1" s="1"/>
  <c r="FA459" i="1"/>
  <c r="EZ459" i="1" s="1"/>
  <c r="ET459" i="1"/>
  <c r="ES459" i="1"/>
  <c r="EM459" i="1"/>
  <c r="EL459" i="1" s="1"/>
  <c r="EF459" i="1"/>
  <c r="EE459" i="1" s="1"/>
  <c r="DY459" i="1"/>
  <c r="DX459" i="1" s="1"/>
  <c r="DR459" i="1"/>
  <c r="DQ459" i="1"/>
  <c r="DK459" i="1"/>
  <c r="DJ459" i="1" s="1"/>
  <c r="DD459" i="1"/>
  <c r="DC459" i="1" s="1"/>
  <c r="CW459" i="1"/>
  <c r="CV459" i="1" s="1"/>
  <c r="CP459" i="1"/>
  <c r="CO459" i="1"/>
  <c r="CN459" i="1"/>
  <c r="CF459" i="1"/>
  <c r="CD459" i="1"/>
  <c r="IE458" i="1"/>
  <c r="HZ458" i="1"/>
  <c r="HS458" i="1"/>
  <c r="HR458" i="1"/>
  <c r="HL458" i="1"/>
  <c r="HK458" i="1"/>
  <c r="HE458" i="1"/>
  <c r="HD458" i="1"/>
  <c r="GX458" i="1"/>
  <c r="GW458" i="1"/>
  <c r="GQ458" i="1"/>
  <c r="GP458" i="1"/>
  <c r="GJ458" i="1"/>
  <c r="GI458" i="1"/>
  <c r="GC458" i="1"/>
  <c r="GB458" i="1"/>
  <c r="FV458" i="1"/>
  <c r="FU458" i="1"/>
  <c r="FO458" i="1"/>
  <c r="FN458" i="1"/>
  <c r="FH458" i="1"/>
  <c r="FG458" i="1"/>
  <c r="FA458" i="1"/>
  <c r="EZ458" i="1"/>
  <c r="ET458" i="1"/>
  <c r="ES458" i="1"/>
  <c r="EM458" i="1"/>
  <c r="EL458" i="1"/>
  <c r="EF458" i="1"/>
  <c r="EE458" i="1"/>
  <c r="DY458" i="1"/>
  <c r="DX458" i="1"/>
  <c r="DR458" i="1"/>
  <c r="DQ458" i="1"/>
  <c r="DK458" i="1"/>
  <c r="DJ458" i="1"/>
  <c r="DD458" i="1"/>
  <c r="DC458" i="1"/>
  <c r="CW458" i="1"/>
  <c r="CV458" i="1"/>
  <c r="CP458" i="1"/>
  <c r="HY458" i="1" s="1"/>
  <c r="CO458" i="1"/>
  <c r="HX458" i="1" s="1"/>
  <c r="CN458" i="1"/>
  <c r="CF458" i="1"/>
  <c r="CD458" i="1"/>
  <c r="IE457" i="1"/>
  <c r="IB457" i="1"/>
  <c r="ID457" i="1" s="1"/>
  <c r="HZ457" i="1"/>
  <c r="HS457" i="1"/>
  <c r="HR457" i="1"/>
  <c r="HL457" i="1"/>
  <c r="HK457" i="1" s="1"/>
  <c r="HE457" i="1"/>
  <c r="HD457" i="1" s="1"/>
  <c r="GX457" i="1"/>
  <c r="GW457" i="1"/>
  <c r="GQ457" i="1"/>
  <c r="GP457" i="1"/>
  <c r="GJ457" i="1"/>
  <c r="GI457" i="1" s="1"/>
  <c r="GC457" i="1"/>
  <c r="GB457" i="1" s="1"/>
  <c r="FV457" i="1"/>
  <c r="FU457" i="1"/>
  <c r="FO457" i="1"/>
  <c r="FN457" i="1"/>
  <c r="FH457" i="1"/>
  <c r="FG457" i="1" s="1"/>
  <c r="FA457" i="1"/>
  <c r="EZ457" i="1" s="1"/>
  <c r="ET457" i="1"/>
  <c r="ES457" i="1"/>
  <c r="EM457" i="1"/>
  <c r="EL457" i="1"/>
  <c r="EF457" i="1"/>
  <c r="EE457" i="1" s="1"/>
  <c r="DY457" i="1"/>
  <c r="DX457" i="1" s="1"/>
  <c r="DR457" i="1"/>
  <c r="DQ457" i="1"/>
  <c r="DK457" i="1"/>
  <c r="DJ457" i="1"/>
  <c r="DD457" i="1"/>
  <c r="DC457" i="1" s="1"/>
  <c r="CW457" i="1"/>
  <c r="CV457" i="1" s="1"/>
  <c r="CP457" i="1"/>
  <c r="CO457" i="1"/>
  <c r="CN457" i="1"/>
  <c r="CF457" i="1"/>
  <c r="CD457" i="1"/>
  <c r="IE456" i="1"/>
  <c r="IB456" i="1"/>
  <c r="HZ456" i="1"/>
  <c r="ID456" i="1" s="1"/>
  <c r="HS456" i="1"/>
  <c r="HR456" i="1"/>
  <c r="HL456" i="1"/>
  <c r="HK456" i="1"/>
  <c r="HE456" i="1"/>
  <c r="HD456" i="1"/>
  <c r="GX456" i="1"/>
  <c r="GW456" i="1"/>
  <c r="GQ456" i="1"/>
  <c r="GP456" i="1"/>
  <c r="GJ456" i="1"/>
  <c r="GI456" i="1"/>
  <c r="GC456" i="1"/>
  <c r="GB456" i="1"/>
  <c r="FV456" i="1"/>
  <c r="FU456" i="1"/>
  <c r="FO456" i="1"/>
  <c r="FN456" i="1"/>
  <c r="FH456" i="1"/>
  <c r="FG456" i="1"/>
  <c r="FA456" i="1"/>
  <c r="EZ456" i="1"/>
  <c r="ET456" i="1"/>
  <c r="ES456" i="1"/>
  <c r="EM456" i="1"/>
  <c r="EL456" i="1"/>
  <c r="EF456" i="1"/>
  <c r="EE456" i="1"/>
  <c r="DY456" i="1"/>
  <c r="DX456" i="1"/>
  <c r="DR456" i="1"/>
  <c r="DQ456" i="1"/>
  <c r="DK456" i="1"/>
  <c r="DJ456" i="1"/>
  <c r="DD456" i="1"/>
  <c r="DC456" i="1"/>
  <c r="CW456" i="1"/>
  <c r="CV456" i="1"/>
  <c r="CP456" i="1"/>
  <c r="HY456" i="1" s="1"/>
  <c r="CO456" i="1"/>
  <c r="CN456" i="1"/>
  <c r="CF456" i="1"/>
  <c r="CD456" i="1"/>
  <c r="IE455" i="1"/>
  <c r="HZ455" i="1"/>
  <c r="HS455" i="1"/>
  <c r="HR455" i="1" s="1"/>
  <c r="HL455" i="1"/>
  <c r="HK455" i="1"/>
  <c r="HE455" i="1"/>
  <c r="HD455" i="1" s="1"/>
  <c r="GX455" i="1"/>
  <c r="GW455" i="1"/>
  <c r="GQ455" i="1"/>
  <c r="GP455" i="1" s="1"/>
  <c r="GJ455" i="1"/>
  <c r="GI455" i="1"/>
  <c r="GC455" i="1"/>
  <c r="GB455" i="1" s="1"/>
  <c r="FV455" i="1"/>
  <c r="FU455" i="1"/>
  <c r="FO455" i="1"/>
  <c r="FN455" i="1" s="1"/>
  <c r="FH455" i="1"/>
  <c r="FG455" i="1"/>
  <c r="FA455" i="1"/>
  <c r="EZ455" i="1" s="1"/>
  <c r="ET455" i="1"/>
  <c r="ES455" i="1"/>
  <c r="EM455" i="1"/>
  <c r="EL455" i="1" s="1"/>
  <c r="EF455" i="1"/>
  <c r="EE455" i="1"/>
  <c r="DY455" i="1"/>
  <c r="DX455" i="1" s="1"/>
  <c r="DR455" i="1"/>
  <c r="DQ455" i="1"/>
  <c r="DK455" i="1"/>
  <c r="DJ455" i="1" s="1"/>
  <c r="DD455" i="1"/>
  <c r="DC455" i="1"/>
  <c r="CW455" i="1"/>
  <c r="CV455" i="1" s="1"/>
  <c r="CP455" i="1"/>
  <c r="CO455" i="1"/>
  <c r="CN455" i="1"/>
  <c r="CF455" i="1"/>
  <c r="CD455" i="1"/>
  <c r="IE454" i="1"/>
  <c r="HZ454" i="1"/>
  <c r="HS454" i="1"/>
  <c r="HR454" i="1"/>
  <c r="HL454" i="1"/>
  <c r="HK454" i="1"/>
  <c r="HE454" i="1"/>
  <c r="HD454" i="1"/>
  <c r="GX454" i="1"/>
  <c r="GW454" i="1"/>
  <c r="GQ454" i="1"/>
  <c r="GP454" i="1"/>
  <c r="GJ454" i="1"/>
  <c r="GI454" i="1"/>
  <c r="GC454" i="1"/>
  <c r="GB454" i="1"/>
  <c r="FV454" i="1"/>
  <c r="FU454" i="1"/>
  <c r="FO454" i="1"/>
  <c r="FN454" i="1"/>
  <c r="FH454" i="1"/>
  <c r="FG454" i="1"/>
  <c r="FA454" i="1"/>
  <c r="EZ454" i="1"/>
  <c r="ET454" i="1"/>
  <c r="ES454" i="1"/>
  <c r="EM454" i="1"/>
  <c r="EL454" i="1"/>
  <c r="EF454" i="1"/>
  <c r="EE454" i="1"/>
  <c r="DY454" i="1"/>
  <c r="DX454" i="1"/>
  <c r="DR454" i="1"/>
  <c r="DQ454" i="1"/>
  <c r="DK454" i="1"/>
  <c r="DJ454" i="1"/>
  <c r="DD454" i="1"/>
  <c r="DC454" i="1"/>
  <c r="CW454" i="1"/>
  <c r="CV454" i="1"/>
  <c r="CP454" i="1"/>
  <c r="CO454" i="1"/>
  <c r="CN454" i="1"/>
  <c r="CF454" i="1"/>
  <c r="CD454" i="1"/>
  <c r="IE453" i="1"/>
  <c r="HZ453" i="1"/>
  <c r="IB453" i="1" s="1"/>
  <c r="HS453" i="1"/>
  <c r="HR453" i="1" s="1"/>
  <c r="HL453" i="1"/>
  <c r="HK453" i="1" s="1"/>
  <c r="HE453" i="1"/>
  <c r="HD453" i="1"/>
  <c r="GX453" i="1"/>
  <c r="GW453" i="1"/>
  <c r="GQ453" i="1"/>
  <c r="GP453" i="1" s="1"/>
  <c r="GJ453" i="1"/>
  <c r="GI453" i="1" s="1"/>
  <c r="GC453" i="1"/>
  <c r="GB453" i="1"/>
  <c r="FV453" i="1"/>
  <c r="FU453" i="1"/>
  <c r="FO453" i="1"/>
  <c r="FN453" i="1" s="1"/>
  <c r="FH453" i="1"/>
  <c r="FG453" i="1" s="1"/>
  <c r="FA453" i="1"/>
  <c r="EZ453" i="1"/>
  <c r="ET453" i="1"/>
  <c r="ES453" i="1"/>
  <c r="EM453" i="1"/>
  <c r="EL453" i="1" s="1"/>
  <c r="EF453" i="1"/>
  <c r="EE453" i="1" s="1"/>
  <c r="DY453" i="1"/>
  <c r="DX453" i="1"/>
  <c r="DR453" i="1"/>
  <c r="DQ453" i="1"/>
  <c r="DK453" i="1"/>
  <c r="DJ453" i="1" s="1"/>
  <c r="DD453" i="1"/>
  <c r="DC453" i="1" s="1"/>
  <c r="CW453" i="1"/>
  <c r="CV453" i="1"/>
  <c r="CP453" i="1"/>
  <c r="HY453" i="1" s="1"/>
  <c r="CO453" i="1"/>
  <c r="CN453" i="1"/>
  <c r="CF453" i="1"/>
  <c r="CD453" i="1"/>
  <c r="IE452" i="1"/>
  <c r="IB452" i="1"/>
  <c r="ID452" i="1" s="1"/>
  <c r="HZ452" i="1"/>
  <c r="HS452" i="1"/>
  <c r="HR452" i="1"/>
  <c r="HL452" i="1"/>
  <c r="HK452" i="1"/>
  <c r="HE452" i="1"/>
  <c r="HD452" i="1"/>
  <c r="GX452" i="1"/>
  <c r="GW452" i="1"/>
  <c r="GQ452" i="1"/>
  <c r="GP452" i="1"/>
  <c r="GJ452" i="1"/>
  <c r="GI452" i="1"/>
  <c r="GC452" i="1"/>
  <c r="GB452" i="1"/>
  <c r="FV452" i="1"/>
  <c r="FU452" i="1"/>
  <c r="FO452" i="1"/>
  <c r="FN452" i="1"/>
  <c r="FH452" i="1"/>
  <c r="FG452" i="1"/>
  <c r="FA452" i="1"/>
  <c r="EZ452" i="1"/>
  <c r="ET452" i="1"/>
  <c r="ES452" i="1"/>
  <c r="EM452" i="1"/>
  <c r="EL452" i="1"/>
  <c r="EF452" i="1"/>
  <c r="EE452" i="1"/>
  <c r="DY452" i="1"/>
  <c r="DX452" i="1"/>
  <c r="DR452" i="1"/>
  <c r="DQ452" i="1"/>
  <c r="DK452" i="1"/>
  <c r="DJ452" i="1"/>
  <c r="DD452" i="1"/>
  <c r="DC452" i="1"/>
  <c r="CW452" i="1"/>
  <c r="CV452" i="1"/>
  <c r="CP452" i="1"/>
  <c r="CO452" i="1"/>
  <c r="HX452" i="1" s="1"/>
  <c r="IC452" i="1" s="1"/>
  <c r="CN452" i="1"/>
  <c r="CF452" i="1"/>
  <c r="CD452" i="1"/>
  <c r="IE451" i="1"/>
  <c r="ID451" i="1"/>
  <c r="IB451" i="1"/>
  <c r="HZ451" i="1"/>
  <c r="HS451" i="1"/>
  <c r="HR451" i="1"/>
  <c r="HL451" i="1"/>
  <c r="HK451" i="1" s="1"/>
  <c r="HE451" i="1"/>
  <c r="HD451" i="1" s="1"/>
  <c r="GX451" i="1"/>
  <c r="GW451" i="1"/>
  <c r="GQ451" i="1"/>
  <c r="GP451" i="1"/>
  <c r="GJ451" i="1"/>
  <c r="GI451" i="1" s="1"/>
  <c r="GC451" i="1"/>
  <c r="GB451" i="1" s="1"/>
  <c r="FV451" i="1"/>
  <c r="FU451" i="1"/>
  <c r="FO451" i="1"/>
  <c r="FN451" i="1" s="1"/>
  <c r="FH451" i="1"/>
  <c r="FG451" i="1" s="1"/>
  <c r="FA451" i="1"/>
  <c r="EZ451" i="1" s="1"/>
  <c r="ET451" i="1"/>
  <c r="ES451" i="1"/>
  <c r="EM451" i="1"/>
  <c r="EL451" i="1"/>
  <c r="EF451" i="1"/>
  <c r="EE451" i="1" s="1"/>
  <c r="DY451" i="1"/>
  <c r="DX451" i="1" s="1"/>
  <c r="DR451" i="1"/>
  <c r="DQ451" i="1"/>
  <c r="DK451" i="1"/>
  <c r="DJ451" i="1"/>
  <c r="DD451" i="1"/>
  <c r="DC451" i="1" s="1"/>
  <c r="CW451" i="1"/>
  <c r="CV451" i="1" s="1"/>
  <c r="CP451" i="1"/>
  <c r="CO451" i="1"/>
  <c r="CN451" i="1"/>
  <c r="CF451" i="1"/>
  <c r="CD451" i="1"/>
  <c r="IE450" i="1"/>
  <c r="HZ450" i="1"/>
  <c r="HS450" i="1"/>
  <c r="HR450" i="1"/>
  <c r="HL450" i="1"/>
  <c r="HK450" i="1"/>
  <c r="HE450" i="1"/>
  <c r="HD450" i="1"/>
  <c r="GX450" i="1"/>
  <c r="GW450" i="1" s="1"/>
  <c r="GQ450" i="1"/>
  <c r="GP450" i="1"/>
  <c r="GJ450" i="1"/>
  <c r="GI450" i="1"/>
  <c r="GC450" i="1"/>
  <c r="GB450" i="1"/>
  <c r="FV450" i="1"/>
  <c r="FU450" i="1" s="1"/>
  <c r="FO450" i="1"/>
  <c r="FN450" i="1"/>
  <c r="FH450" i="1"/>
  <c r="FG450" i="1"/>
  <c r="FA450" i="1"/>
  <c r="EZ450" i="1"/>
  <c r="ET450" i="1"/>
  <c r="ES450" i="1" s="1"/>
  <c r="EM450" i="1"/>
  <c r="EL450" i="1"/>
  <c r="EF450" i="1"/>
  <c r="EE450" i="1"/>
  <c r="DY450" i="1"/>
  <c r="DX450" i="1"/>
  <c r="DR450" i="1"/>
  <c r="DQ450" i="1" s="1"/>
  <c r="DK450" i="1"/>
  <c r="DJ450" i="1"/>
  <c r="DD450" i="1"/>
  <c r="DC450" i="1"/>
  <c r="CW450" i="1"/>
  <c r="CV450" i="1"/>
  <c r="CP450" i="1"/>
  <c r="CO450" i="1" s="1"/>
  <c r="CN450" i="1"/>
  <c r="CF450" i="1"/>
  <c r="CD450" i="1"/>
  <c r="IE449" i="1"/>
  <c r="IB449" i="1"/>
  <c r="ID449" i="1" s="1"/>
  <c r="HZ449" i="1"/>
  <c r="HS449" i="1"/>
  <c r="HR449" i="1"/>
  <c r="HL449" i="1"/>
  <c r="HK449" i="1"/>
  <c r="HE449" i="1"/>
  <c r="HD449" i="1" s="1"/>
  <c r="GX449" i="1"/>
  <c r="GW449" i="1"/>
  <c r="GQ449" i="1"/>
  <c r="GP449" i="1"/>
  <c r="GJ449" i="1"/>
  <c r="GI449" i="1" s="1"/>
  <c r="GC449" i="1"/>
  <c r="GB449" i="1" s="1"/>
  <c r="FV449" i="1"/>
  <c r="FU449" i="1"/>
  <c r="FO449" i="1"/>
  <c r="FN449" i="1"/>
  <c r="FH449" i="1"/>
  <c r="FG449" i="1"/>
  <c r="FA449" i="1"/>
  <c r="EZ449" i="1" s="1"/>
  <c r="ET449" i="1"/>
  <c r="ES449" i="1"/>
  <c r="EM449" i="1"/>
  <c r="EL449" i="1"/>
  <c r="EF449" i="1"/>
  <c r="EE449" i="1" s="1"/>
  <c r="DY449" i="1"/>
  <c r="DX449" i="1" s="1"/>
  <c r="DR449" i="1"/>
  <c r="DQ449" i="1"/>
  <c r="DK449" i="1"/>
  <c r="DJ449" i="1"/>
  <c r="DD449" i="1"/>
  <c r="DC449" i="1" s="1"/>
  <c r="CW449" i="1"/>
  <c r="CV449" i="1" s="1"/>
  <c r="CP449" i="1"/>
  <c r="CO449" i="1"/>
  <c r="CN449" i="1"/>
  <c r="CF449" i="1"/>
  <c r="CD449" i="1"/>
  <c r="IE448" i="1"/>
  <c r="IB448" i="1"/>
  <c r="HZ448" i="1"/>
  <c r="ID448" i="1" s="1"/>
  <c r="HS448" i="1"/>
  <c r="HR448" i="1"/>
  <c r="HL448" i="1"/>
  <c r="HK448" i="1"/>
  <c r="HE448" i="1"/>
  <c r="HD448" i="1"/>
  <c r="GX448" i="1"/>
  <c r="GW448" i="1"/>
  <c r="GQ448" i="1"/>
  <c r="GP448" i="1"/>
  <c r="GJ448" i="1"/>
  <c r="GI448" i="1"/>
  <c r="GC448" i="1"/>
  <c r="GB448" i="1"/>
  <c r="FV448" i="1"/>
  <c r="FU448" i="1"/>
  <c r="FO448" i="1"/>
  <c r="FN448" i="1"/>
  <c r="FH448" i="1"/>
  <c r="FG448" i="1"/>
  <c r="FA448" i="1"/>
  <c r="EZ448" i="1"/>
  <c r="ET448" i="1"/>
  <c r="ES448" i="1"/>
  <c r="EM448" i="1"/>
  <c r="EL448" i="1"/>
  <c r="EF448" i="1"/>
  <c r="EE448" i="1"/>
  <c r="DY448" i="1"/>
  <c r="DX448" i="1"/>
  <c r="DR448" i="1"/>
  <c r="DQ448" i="1"/>
  <c r="DK448" i="1"/>
  <c r="DJ448" i="1"/>
  <c r="DD448" i="1"/>
  <c r="DC448" i="1"/>
  <c r="CW448" i="1"/>
  <c r="CV448" i="1"/>
  <c r="CP448" i="1"/>
  <c r="HY448" i="1" s="1"/>
  <c r="CO448" i="1"/>
  <c r="HX448" i="1" s="1"/>
  <c r="CN448" i="1"/>
  <c r="CF448" i="1"/>
  <c r="CD448" i="1"/>
  <c r="IE447" i="1"/>
  <c r="HZ447" i="1"/>
  <c r="HS447" i="1"/>
  <c r="HR447" i="1" s="1"/>
  <c r="HL447" i="1"/>
  <c r="HK447" i="1"/>
  <c r="HE447" i="1"/>
  <c r="HD447" i="1"/>
  <c r="GX447" i="1"/>
  <c r="GW447" i="1"/>
  <c r="GQ447" i="1"/>
  <c r="GP447" i="1" s="1"/>
  <c r="GJ447" i="1"/>
  <c r="GI447" i="1"/>
  <c r="GC447" i="1"/>
  <c r="GB447" i="1" s="1"/>
  <c r="FV447" i="1"/>
  <c r="FU447" i="1"/>
  <c r="FO447" i="1"/>
  <c r="FN447" i="1" s="1"/>
  <c r="FH447" i="1"/>
  <c r="FG447" i="1"/>
  <c r="FA447" i="1"/>
  <c r="EZ447" i="1" s="1"/>
  <c r="ET447" i="1"/>
  <c r="ES447" i="1"/>
  <c r="EM447" i="1"/>
  <c r="EL447" i="1" s="1"/>
  <c r="EF447" i="1"/>
  <c r="EE447" i="1"/>
  <c r="DY447" i="1"/>
  <c r="DX447" i="1"/>
  <c r="DR447" i="1"/>
  <c r="DQ447" i="1"/>
  <c r="DK447" i="1"/>
  <c r="DJ447" i="1" s="1"/>
  <c r="DD447" i="1"/>
  <c r="DC447" i="1"/>
  <c r="CW447" i="1"/>
  <c r="CV447" i="1"/>
  <c r="CP447" i="1"/>
  <c r="HY447" i="1" s="1"/>
  <c r="CO447" i="1"/>
  <c r="CN447" i="1"/>
  <c r="CF447" i="1"/>
  <c r="CD447" i="1"/>
  <c r="IE446" i="1"/>
  <c r="IB446" i="1"/>
  <c r="HZ446" i="1"/>
  <c r="ID446" i="1" s="1"/>
  <c r="HS446" i="1"/>
  <c r="HR446" i="1" s="1"/>
  <c r="HL446" i="1"/>
  <c r="HK446" i="1"/>
  <c r="HE446" i="1"/>
  <c r="HD446" i="1"/>
  <c r="GX446" i="1"/>
  <c r="GW446" i="1"/>
  <c r="GQ446" i="1"/>
  <c r="GP446" i="1" s="1"/>
  <c r="GJ446" i="1"/>
  <c r="GI446" i="1"/>
  <c r="GC446" i="1"/>
  <c r="GB446" i="1"/>
  <c r="FV446" i="1"/>
  <c r="FU446" i="1"/>
  <c r="FO446" i="1"/>
  <c r="FN446" i="1" s="1"/>
  <c r="FH446" i="1"/>
  <c r="FG446" i="1"/>
  <c r="FA446" i="1"/>
  <c r="EZ446" i="1"/>
  <c r="ET446" i="1"/>
  <c r="ES446" i="1"/>
  <c r="EM446" i="1"/>
  <c r="EL446" i="1" s="1"/>
  <c r="EF446" i="1"/>
  <c r="EE446" i="1"/>
  <c r="DY446" i="1"/>
  <c r="DX446" i="1"/>
  <c r="DR446" i="1"/>
  <c r="DQ446" i="1"/>
  <c r="DK446" i="1"/>
  <c r="DJ446" i="1" s="1"/>
  <c r="DD446" i="1"/>
  <c r="DC446" i="1"/>
  <c r="CW446" i="1"/>
  <c r="CV446" i="1"/>
  <c r="CP446" i="1"/>
  <c r="HY446" i="1" s="1"/>
  <c r="CO446" i="1"/>
  <c r="CN446" i="1"/>
  <c r="CF446" i="1"/>
  <c r="CD446" i="1"/>
  <c r="IE445" i="1"/>
  <c r="IB445" i="1"/>
  <c r="ID445" i="1" s="1"/>
  <c r="HZ445" i="1"/>
  <c r="HS445" i="1"/>
  <c r="HR445" i="1"/>
  <c r="HL445" i="1"/>
  <c r="HK445" i="1" s="1"/>
  <c r="HE445" i="1"/>
  <c r="HD445" i="1" s="1"/>
  <c r="GX445" i="1"/>
  <c r="GW445" i="1"/>
  <c r="GQ445" i="1"/>
  <c r="GP445" i="1"/>
  <c r="GJ445" i="1"/>
  <c r="GI445" i="1" s="1"/>
  <c r="GC445" i="1"/>
  <c r="GB445" i="1"/>
  <c r="FV445" i="1"/>
  <c r="FU445" i="1"/>
  <c r="FO445" i="1"/>
  <c r="FN445" i="1" s="1"/>
  <c r="FH445" i="1"/>
  <c r="FG445" i="1" s="1"/>
  <c r="FA445" i="1"/>
  <c r="EZ445" i="1"/>
  <c r="ET445" i="1"/>
  <c r="ES445" i="1"/>
  <c r="EM445" i="1"/>
  <c r="EL445" i="1"/>
  <c r="EF445" i="1"/>
  <c r="EE445" i="1" s="1"/>
  <c r="DY445" i="1"/>
  <c r="DX445" i="1"/>
  <c r="DR445" i="1"/>
  <c r="DQ445" i="1"/>
  <c r="DK445" i="1"/>
  <c r="DJ445" i="1" s="1"/>
  <c r="DD445" i="1"/>
  <c r="DC445" i="1" s="1"/>
  <c r="CW445" i="1"/>
  <c r="CV445" i="1"/>
  <c r="CP445" i="1"/>
  <c r="CO445" i="1"/>
  <c r="CN445" i="1"/>
  <c r="CF445" i="1"/>
  <c r="CD445" i="1"/>
  <c r="IE444" i="1"/>
  <c r="HZ444" i="1"/>
  <c r="HS444" i="1"/>
  <c r="HR444" i="1"/>
  <c r="HL444" i="1"/>
  <c r="HK444" i="1"/>
  <c r="HE444" i="1"/>
  <c r="HD444" i="1"/>
  <c r="GX444" i="1"/>
  <c r="GW444" i="1" s="1"/>
  <c r="GQ444" i="1"/>
  <c r="GP444" i="1"/>
  <c r="GJ444" i="1"/>
  <c r="GI444" i="1"/>
  <c r="GC444" i="1"/>
  <c r="GB444" i="1"/>
  <c r="FV444" i="1"/>
  <c r="FU444" i="1" s="1"/>
  <c r="FO444" i="1"/>
  <c r="FN444" i="1"/>
  <c r="FH444" i="1"/>
  <c r="FG444" i="1"/>
  <c r="FA444" i="1"/>
  <c r="EZ444" i="1"/>
  <c r="ET444" i="1"/>
  <c r="ES444" i="1" s="1"/>
  <c r="EM444" i="1"/>
  <c r="EL444" i="1"/>
  <c r="EF444" i="1"/>
  <c r="EE444" i="1"/>
  <c r="DY444" i="1"/>
  <c r="DX444" i="1"/>
  <c r="DR444" i="1"/>
  <c r="DQ444" i="1" s="1"/>
  <c r="DK444" i="1"/>
  <c r="DJ444" i="1"/>
  <c r="DD444" i="1"/>
  <c r="DC444" i="1"/>
  <c r="CW444" i="1"/>
  <c r="CV444" i="1"/>
  <c r="CP444" i="1"/>
  <c r="CO444" i="1" s="1"/>
  <c r="CN444" i="1"/>
  <c r="CF444" i="1"/>
  <c r="CD444" i="1"/>
  <c r="IE443" i="1"/>
  <c r="IB443" i="1"/>
  <c r="ID443" i="1" s="1"/>
  <c r="HZ443" i="1"/>
  <c r="HS443" i="1"/>
  <c r="HR443" i="1"/>
  <c r="HL443" i="1"/>
  <c r="HK443" i="1"/>
  <c r="HE443" i="1"/>
  <c r="HD443" i="1" s="1"/>
  <c r="GX443" i="1"/>
  <c r="GW443" i="1"/>
  <c r="GQ443" i="1"/>
  <c r="GP443" i="1" s="1"/>
  <c r="GJ443" i="1"/>
  <c r="GI443" i="1"/>
  <c r="GC443" i="1"/>
  <c r="GB443" i="1" s="1"/>
  <c r="FV443" i="1"/>
  <c r="FU443" i="1"/>
  <c r="FO443" i="1"/>
  <c r="FN443" i="1"/>
  <c r="FH443" i="1"/>
  <c r="FG443" i="1"/>
  <c r="FA443" i="1"/>
  <c r="EZ443" i="1" s="1"/>
  <c r="ET443" i="1"/>
  <c r="ES443" i="1"/>
  <c r="EM443" i="1"/>
  <c r="EL443" i="1" s="1"/>
  <c r="EF443" i="1"/>
  <c r="EE443" i="1" s="1"/>
  <c r="DY443" i="1"/>
  <c r="DX443" i="1" s="1"/>
  <c r="DR443" i="1"/>
  <c r="DQ443" i="1"/>
  <c r="DK443" i="1"/>
  <c r="DJ443" i="1"/>
  <c r="DD443" i="1"/>
  <c r="DC443" i="1"/>
  <c r="CW443" i="1"/>
  <c r="CV443" i="1" s="1"/>
  <c r="CP443" i="1"/>
  <c r="CO443" i="1"/>
  <c r="CN443" i="1"/>
  <c r="CF443" i="1"/>
  <c r="CD443" i="1"/>
  <c r="IE442" i="1"/>
  <c r="HZ442" i="1"/>
  <c r="HS442" i="1"/>
  <c r="HR442" i="1" s="1"/>
  <c r="HL442" i="1"/>
  <c r="HK442" i="1"/>
  <c r="HE442" i="1"/>
  <c r="HD442" i="1"/>
  <c r="GX442" i="1"/>
  <c r="GW442" i="1"/>
  <c r="GQ442" i="1"/>
  <c r="GP442" i="1" s="1"/>
  <c r="GJ442" i="1"/>
  <c r="GI442" i="1"/>
  <c r="GC442" i="1"/>
  <c r="GB442" i="1"/>
  <c r="FV442" i="1"/>
  <c r="FU442" i="1"/>
  <c r="FO442" i="1"/>
  <c r="FN442" i="1" s="1"/>
  <c r="FH442" i="1"/>
  <c r="FG442" i="1"/>
  <c r="FA442" i="1"/>
  <c r="EZ442" i="1"/>
  <c r="ET442" i="1"/>
  <c r="ES442" i="1"/>
  <c r="EM442" i="1"/>
  <c r="EL442" i="1" s="1"/>
  <c r="EF442" i="1"/>
  <c r="EE442" i="1"/>
  <c r="DY442" i="1"/>
  <c r="DX442" i="1"/>
  <c r="DR442" i="1"/>
  <c r="DQ442" i="1"/>
  <c r="DK442" i="1"/>
  <c r="DJ442" i="1" s="1"/>
  <c r="DD442" i="1"/>
  <c r="DC442" i="1"/>
  <c r="CW442" i="1"/>
  <c r="CV442" i="1"/>
  <c r="CP442" i="1"/>
  <c r="HY442" i="1" s="1"/>
  <c r="CO442" i="1"/>
  <c r="HX442" i="1" s="1"/>
  <c r="CN442" i="1"/>
  <c r="CF442" i="1"/>
  <c r="CD442" i="1"/>
  <c r="IE441" i="1"/>
  <c r="IB441" i="1"/>
  <c r="ID441" i="1" s="1"/>
  <c r="HZ441" i="1"/>
  <c r="HS441" i="1"/>
  <c r="HR441" i="1" s="1"/>
  <c r="HL441" i="1"/>
  <c r="HK441" i="1"/>
  <c r="HE441" i="1"/>
  <c r="HD441" i="1"/>
  <c r="GX441" i="1"/>
  <c r="GW441" i="1"/>
  <c r="GQ441" i="1"/>
  <c r="GP441" i="1" s="1"/>
  <c r="GJ441" i="1"/>
  <c r="GI441" i="1"/>
  <c r="GC441" i="1"/>
  <c r="GB441" i="1"/>
  <c r="FV441" i="1"/>
  <c r="FU441" i="1"/>
  <c r="FO441" i="1"/>
  <c r="FN441" i="1" s="1"/>
  <c r="FH441" i="1"/>
  <c r="FG441" i="1"/>
  <c r="FA441" i="1"/>
  <c r="EZ441" i="1"/>
  <c r="ET441" i="1"/>
  <c r="ES441" i="1"/>
  <c r="EM441" i="1"/>
  <c r="EL441" i="1" s="1"/>
  <c r="EF441" i="1"/>
  <c r="EE441" i="1"/>
  <c r="DY441" i="1"/>
  <c r="DX441" i="1"/>
  <c r="DR441" i="1"/>
  <c r="DQ441" i="1"/>
  <c r="DK441" i="1"/>
  <c r="DJ441" i="1" s="1"/>
  <c r="DD441" i="1"/>
  <c r="DC441" i="1"/>
  <c r="CW441" i="1"/>
  <c r="CV441" i="1"/>
  <c r="CP441" i="1"/>
  <c r="HY441" i="1" s="1"/>
  <c r="CO441" i="1"/>
  <c r="CN441" i="1"/>
  <c r="CF441" i="1"/>
  <c r="CD441" i="1"/>
  <c r="IE440" i="1"/>
  <c r="ID440" i="1"/>
  <c r="IB440" i="1"/>
  <c r="HZ440" i="1"/>
  <c r="HS440" i="1"/>
  <c r="HR440" i="1"/>
  <c r="HL440" i="1"/>
  <c r="HK440" i="1"/>
  <c r="HE440" i="1"/>
  <c r="HD440" i="1"/>
  <c r="GX440" i="1"/>
  <c r="GW440" i="1" s="1"/>
  <c r="GQ440" i="1"/>
  <c r="GP440" i="1"/>
  <c r="GJ440" i="1"/>
  <c r="GI440" i="1"/>
  <c r="GC440" i="1"/>
  <c r="GB440" i="1"/>
  <c r="FV440" i="1"/>
  <c r="FU440" i="1" s="1"/>
  <c r="FO440" i="1"/>
  <c r="FN440" i="1"/>
  <c r="FH440" i="1"/>
  <c r="FG440" i="1"/>
  <c r="FA440" i="1"/>
  <c r="EZ440" i="1"/>
  <c r="ET440" i="1"/>
  <c r="ES440" i="1" s="1"/>
  <c r="EM440" i="1"/>
  <c r="EL440" i="1"/>
  <c r="EF440" i="1"/>
  <c r="EE440" i="1"/>
  <c r="DY440" i="1"/>
  <c r="DX440" i="1"/>
  <c r="DR440" i="1"/>
  <c r="DQ440" i="1" s="1"/>
  <c r="DK440" i="1"/>
  <c r="DJ440" i="1"/>
  <c r="DD440" i="1"/>
  <c r="DC440" i="1"/>
  <c r="CW440" i="1"/>
  <c r="CV440" i="1"/>
  <c r="CP440" i="1"/>
  <c r="HY440" i="1" s="1"/>
  <c r="CN440" i="1"/>
  <c r="CF440" i="1"/>
  <c r="CD440" i="1"/>
  <c r="IE439" i="1"/>
  <c r="HZ439" i="1"/>
  <c r="HS439" i="1"/>
  <c r="HR439" i="1" s="1"/>
  <c r="HL439" i="1"/>
  <c r="HK439" i="1" s="1"/>
  <c r="HE439" i="1"/>
  <c r="HD439" i="1" s="1"/>
  <c r="GX439" i="1"/>
  <c r="GW439" i="1"/>
  <c r="GQ439" i="1"/>
  <c r="GP439" i="1" s="1"/>
  <c r="GJ439" i="1"/>
  <c r="GI439" i="1"/>
  <c r="GC439" i="1"/>
  <c r="GB439" i="1"/>
  <c r="FV439" i="1"/>
  <c r="FU439" i="1"/>
  <c r="FO439" i="1"/>
  <c r="FN439" i="1" s="1"/>
  <c r="FH439" i="1"/>
  <c r="FG439" i="1"/>
  <c r="FA439" i="1"/>
  <c r="EZ439" i="1" s="1"/>
  <c r="ET439" i="1"/>
  <c r="ES439" i="1"/>
  <c r="EM439" i="1"/>
  <c r="EL439" i="1" s="1"/>
  <c r="EF439" i="1"/>
  <c r="EE439" i="1"/>
  <c r="DY439" i="1"/>
  <c r="DX439" i="1" s="1"/>
  <c r="DR439" i="1"/>
  <c r="DQ439" i="1"/>
  <c r="DK439" i="1"/>
  <c r="DJ439" i="1" s="1"/>
  <c r="DD439" i="1"/>
  <c r="DC439" i="1"/>
  <c r="CW439" i="1"/>
  <c r="CV439" i="1"/>
  <c r="CP439" i="1"/>
  <c r="CO439" i="1"/>
  <c r="CN439" i="1"/>
  <c r="CF439" i="1"/>
  <c r="CD439" i="1"/>
  <c r="IE438" i="1"/>
  <c r="ID438" i="1"/>
  <c r="IB438" i="1"/>
  <c r="HZ438" i="1"/>
  <c r="HS438" i="1"/>
  <c r="HR438" i="1"/>
  <c r="HL438" i="1"/>
  <c r="HK438" i="1"/>
  <c r="HE438" i="1"/>
  <c r="HD438" i="1" s="1"/>
  <c r="GX438" i="1"/>
  <c r="GW438" i="1" s="1"/>
  <c r="GQ438" i="1"/>
  <c r="GP438" i="1"/>
  <c r="GJ438" i="1"/>
  <c r="GI438" i="1"/>
  <c r="GC438" i="1"/>
  <c r="GB438" i="1" s="1"/>
  <c r="FV438" i="1"/>
  <c r="FU438" i="1" s="1"/>
  <c r="FO438" i="1"/>
  <c r="FN438" i="1"/>
  <c r="FH438" i="1"/>
  <c r="FG438" i="1"/>
  <c r="FA438" i="1"/>
  <c r="EZ438" i="1" s="1"/>
  <c r="ET438" i="1"/>
  <c r="ES438" i="1" s="1"/>
  <c r="EM438" i="1"/>
  <c r="EL438" i="1"/>
  <c r="EF438" i="1"/>
  <c r="EE438" i="1"/>
  <c r="DY438" i="1"/>
  <c r="DX438" i="1" s="1"/>
  <c r="DR438" i="1"/>
  <c r="DQ438" i="1" s="1"/>
  <c r="DK438" i="1"/>
  <c r="DJ438" i="1"/>
  <c r="DD438" i="1"/>
  <c r="DC438" i="1"/>
  <c r="CW438" i="1"/>
  <c r="CV438" i="1" s="1"/>
  <c r="CP438" i="1"/>
  <c r="CO438" i="1" s="1"/>
  <c r="CN438" i="1"/>
  <c r="CF438" i="1"/>
  <c r="CD438" i="1"/>
  <c r="IE437" i="1"/>
  <c r="HZ437" i="1"/>
  <c r="HS437" i="1"/>
  <c r="HR437" i="1"/>
  <c r="HL437" i="1"/>
  <c r="HK437" i="1"/>
  <c r="HE437" i="1"/>
  <c r="HD437" i="1"/>
  <c r="GX437" i="1"/>
  <c r="GW437" i="1"/>
  <c r="GQ437" i="1"/>
  <c r="GP437" i="1"/>
  <c r="GJ437" i="1"/>
  <c r="GI437" i="1"/>
  <c r="GC437" i="1"/>
  <c r="GB437" i="1"/>
  <c r="FV437" i="1"/>
  <c r="FU437" i="1"/>
  <c r="FO437" i="1"/>
  <c r="FN437" i="1"/>
  <c r="FH437" i="1"/>
  <c r="FG437" i="1"/>
  <c r="FA437" i="1"/>
  <c r="EZ437" i="1"/>
  <c r="ET437" i="1"/>
  <c r="ES437" i="1"/>
  <c r="EM437" i="1"/>
  <c r="EL437" i="1"/>
  <c r="EF437" i="1"/>
  <c r="EE437" i="1"/>
  <c r="DY437" i="1"/>
  <c r="DX437" i="1"/>
  <c r="DR437" i="1"/>
  <c r="DQ437" i="1"/>
  <c r="DK437" i="1"/>
  <c r="DJ437" i="1"/>
  <c r="DD437" i="1"/>
  <c r="DC437" i="1"/>
  <c r="CW437" i="1"/>
  <c r="CV437" i="1"/>
  <c r="CP437" i="1"/>
  <c r="CO437" i="1"/>
  <c r="CN437" i="1"/>
  <c r="CF437" i="1"/>
  <c r="CD437" i="1"/>
  <c r="IE436" i="1"/>
  <c r="HZ436" i="1"/>
  <c r="HS436" i="1"/>
  <c r="HR436" i="1" s="1"/>
  <c r="HL436" i="1"/>
  <c r="HK436" i="1"/>
  <c r="HE436" i="1"/>
  <c r="HD436" i="1"/>
  <c r="GX436" i="1"/>
  <c r="GW436" i="1" s="1"/>
  <c r="GQ436" i="1"/>
  <c r="GP436" i="1" s="1"/>
  <c r="GJ436" i="1"/>
  <c r="GI436" i="1"/>
  <c r="GC436" i="1"/>
  <c r="GB436" i="1"/>
  <c r="FV436" i="1"/>
  <c r="FU436" i="1" s="1"/>
  <c r="FO436" i="1"/>
  <c r="FN436" i="1" s="1"/>
  <c r="FH436" i="1"/>
  <c r="FG436" i="1"/>
  <c r="FA436" i="1"/>
  <c r="EZ436" i="1"/>
  <c r="ET436" i="1"/>
  <c r="ES436" i="1" s="1"/>
  <c r="EM436" i="1"/>
  <c r="EL436" i="1" s="1"/>
  <c r="EF436" i="1"/>
  <c r="EE436" i="1"/>
  <c r="DY436" i="1"/>
  <c r="DX436" i="1"/>
  <c r="DR436" i="1"/>
  <c r="DQ436" i="1" s="1"/>
  <c r="DK436" i="1"/>
  <c r="DJ436" i="1" s="1"/>
  <c r="DD436" i="1"/>
  <c r="DC436" i="1"/>
  <c r="CW436" i="1"/>
  <c r="CV436" i="1"/>
  <c r="CP436" i="1"/>
  <c r="CO436" i="1" s="1"/>
  <c r="CN436" i="1"/>
  <c r="CF436" i="1"/>
  <c r="CD436" i="1"/>
  <c r="IE435" i="1"/>
  <c r="ID435" i="1"/>
  <c r="HZ435" i="1"/>
  <c r="IB435" i="1" s="1"/>
  <c r="HS435" i="1"/>
  <c r="HR435" i="1"/>
  <c r="HL435" i="1"/>
  <c r="HK435" i="1"/>
  <c r="HE435" i="1"/>
  <c r="HD435" i="1"/>
  <c r="GX435" i="1"/>
  <c r="GW435" i="1"/>
  <c r="GQ435" i="1"/>
  <c r="GP435" i="1"/>
  <c r="GJ435" i="1"/>
  <c r="GI435" i="1"/>
  <c r="GC435" i="1"/>
  <c r="GB435" i="1"/>
  <c r="FV435" i="1"/>
  <c r="FU435" i="1"/>
  <c r="FO435" i="1"/>
  <c r="FN435" i="1"/>
  <c r="FH435" i="1"/>
  <c r="FG435" i="1"/>
  <c r="FA435" i="1"/>
  <c r="EZ435" i="1"/>
  <c r="ET435" i="1"/>
  <c r="ES435" i="1"/>
  <c r="EM435" i="1"/>
  <c r="EL435" i="1"/>
  <c r="EF435" i="1"/>
  <c r="EE435" i="1"/>
  <c r="DY435" i="1"/>
  <c r="DX435" i="1"/>
  <c r="DR435" i="1"/>
  <c r="DQ435" i="1"/>
  <c r="DK435" i="1"/>
  <c r="DJ435" i="1"/>
  <c r="DD435" i="1"/>
  <c r="DC435" i="1"/>
  <c r="CW435" i="1"/>
  <c r="CV435" i="1" s="1"/>
  <c r="CP435" i="1"/>
  <c r="CO435" i="1"/>
  <c r="HX435" i="1" s="1"/>
  <c r="CN435" i="1"/>
  <c r="CF435" i="1"/>
  <c r="CD435" i="1"/>
  <c r="IE434" i="1"/>
  <c r="HZ434" i="1"/>
  <c r="IB434" i="1" s="1"/>
  <c r="ID434" i="1" s="1"/>
  <c r="HS434" i="1"/>
  <c r="HR434" i="1" s="1"/>
  <c r="HL434" i="1"/>
  <c r="HK434" i="1"/>
  <c r="HE434" i="1"/>
  <c r="HD434" i="1"/>
  <c r="GX434" i="1"/>
  <c r="GW434" i="1"/>
  <c r="GQ434" i="1"/>
  <c r="GP434" i="1" s="1"/>
  <c r="GJ434" i="1"/>
  <c r="GI434" i="1"/>
  <c r="GC434" i="1"/>
  <c r="GB434" i="1"/>
  <c r="FV434" i="1"/>
  <c r="FU434" i="1"/>
  <c r="FO434" i="1"/>
  <c r="FN434" i="1" s="1"/>
  <c r="FH434" i="1"/>
  <c r="FG434" i="1"/>
  <c r="FA434" i="1"/>
  <c r="EZ434" i="1"/>
  <c r="ET434" i="1"/>
  <c r="ES434" i="1"/>
  <c r="EM434" i="1"/>
  <c r="EL434" i="1" s="1"/>
  <c r="EF434" i="1"/>
  <c r="EE434" i="1"/>
  <c r="DY434" i="1"/>
  <c r="DX434" i="1"/>
  <c r="DR434" i="1"/>
  <c r="DQ434" i="1"/>
  <c r="DK434" i="1"/>
  <c r="DJ434" i="1" s="1"/>
  <c r="DD434" i="1"/>
  <c r="DC434" i="1"/>
  <c r="CW434" i="1"/>
  <c r="CV434" i="1"/>
  <c r="CP434" i="1"/>
  <c r="CO434" i="1"/>
  <c r="HX434" i="1" s="1"/>
  <c r="CN434" i="1"/>
  <c r="CF434" i="1"/>
  <c r="CD434" i="1"/>
  <c r="IE433" i="1"/>
  <c r="HZ433" i="1"/>
  <c r="HS433" i="1"/>
  <c r="HR433" i="1"/>
  <c r="HL433" i="1"/>
  <c r="HK433" i="1"/>
  <c r="HE433" i="1"/>
  <c r="HD433" i="1"/>
  <c r="GX433" i="1"/>
  <c r="GW433" i="1"/>
  <c r="GQ433" i="1"/>
  <c r="GP433" i="1"/>
  <c r="GJ433" i="1"/>
  <c r="GI433" i="1"/>
  <c r="GC433" i="1"/>
  <c r="GB433" i="1"/>
  <c r="FV433" i="1"/>
  <c r="FU433" i="1"/>
  <c r="FO433" i="1"/>
  <c r="FN433" i="1"/>
  <c r="FH433" i="1"/>
  <c r="FG433" i="1"/>
  <c r="FA433" i="1"/>
  <c r="EZ433" i="1"/>
  <c r="ET433" i="1"/>
  <c r="ES433" i="1"/>
  <c r="EM433" i="1"/>
  <c r="EL433" i="1"/>
  <c r="EF433" i="1"/>
  <c r="EE433" i="1"/>
  <c r="DY433" i="1"/>
  <c r="DX433" i="1"/>
  <c r="DR433" i="1"/>
  <c r="DQ433" i="1"/>
  <c r="DK433" i="1"/>
  <c r="DJ433" i="1"/>
  <c r="DD433" i="1"/>
  <c r="DC433" i="1"/>
  <c r="CW433" i="1"/>
  <c r="CV433" i="1"/>
  <c r="CP433" i="1"/>
  <c r="HY433" i="1" s="1"/>
  <c r="IA433" i="1" s="1"/>
  <c r="CO433" i="1"/>
  <c r="HX433" i="1" s="1"/>
  <c r="IC433" i="1" s="1"/>
  <c r="CN433" i="1"/>
  <c r="CF433" i="1"/>
  <c r="CD433" i="1"/>
  <c r="IE432" i="1"/>
  <c r="IB432" i="1"/>
  <c r="ID432" i="1" s="1"/>
  <c r="HZ432" i="1"/>
  <c r="HS432" i="1"/>
  <c r="HR432" i="1"/>
  <c r="HL432" i="1"/>
  <c r="HK432" i="1"/>
  <c r="HE432" i="1"/>
  <c r="HD432" i="1" s="1"/>
  <c r="GX432" i="1"/>
  <c r="GW432" i="1"/>
  <c r="GQ432" i="1"/>
  <c r="GP432" i="1"/>
  <c r="GJ432" i="1"/>
  <c r="GI432" i="1"/>
  <c r="GC432" i="1"/>
  <c r="GB432" i="1" s="1"/>
  <c r="FV432" i="1"/>
  <c r="FU432" i="1"/>
  <c r="FO432" i="1"/>
  <c r="FN432" i="1"/>
  <c r="FH432" i="1"/>
  <c r="FG432" i="1"/>
  <c r="FA432" i="1"/>
  <c r="EZ432" i="1" s="1"/>
  <c r="ET432" i="1"/>
  <c r="ES432" i="1"/>
  <c r="EM432" i="1"/>
  <c r="EL432" i="1"/>
  <c r="EF432" i="1"/>
  <c r="EE432" i="1"/>
  <c r="DY432" i="1"/>
  <c r="DX432" i="1" s="1"/>
  <c r="DR432" i="1"/>
  <c r="DQ432" i="1"/>
  <c r="DK432" i="1"/>
  <c r="DJ432" i="1"/>
  <c r="DD432" i="1"/>
  <c r="DC432" i="1"/>
  <c r="CW432" i="1"/>
  <c r="CV432" i="1" s="1"/>
  <c r="CP432" i="1"/>
  <c r="HY432" i="1" s="1"/>
  <c r="CO432" i="1"/>
  <c r="CN432" i="1"/>
  <c r="CF432" i="1"/>
  <c r="CD432" i="1"/>
  <c r="IE431" i="1"/>
  <c r="HZ431" i="1"/>
  <c r="HS431" i="1"/>
  <c r="HR431" i="1" s="1"/>
  <c r="HL431" i="1"/>
  <c r="HK431" i="1"/>
  <c r="HE431" i="1"/>
  <c r="HD431" i="1"/>
  <c r="GX431" i="1"/>
  <c r="GW431" i="1"/>
  <c r="GQ431" i="1"/>
  <c r="GP431" i="1" s="1"/>
  <c r="HX431" i="1" s="1"/>
  <c r="GJ431" i="1"/>
  <c r="GI431" i="1"/>
  <c r="GC431" i="1"/>
  <c r="GB431" i="1"/>
  <c r="FV431" i="1"/>
  <c r="FU431" i="1"/>
  <c r="FO431" i="1"/>
  <c r="FN431" i="1" s="1"/>
  <c r="FH431" i="1"/>
  <c r="FG431" i="1"/>
  <c r="FA431" i="1"/>
  <c r="EZ431" i="1"/>
  <c r="ET431" i="1"/>
  <c r="ES431" i="1"/>
  <c r="EM431" i="1"/>
  <c r="EL431" i="1" s="1"/>
  <c r="EF431" i="1"/>
  <c r="EE431" i="1"/>
  <c r="DY431" i="1"/>
  <c r="DX431" i="1"/>
  <c r="DR431" i="1"/>
  <c r="DQ431" i="1"/>
  <c r="DK431" i="1"/>
  <c r="DJ431" i="1" s="1"/>
  <c r="DD431" i="1"/>
  <c r="DC431" i="1"/>
  <c r="CW431" i="1"/>
  <c r="CV431" i="1"/>
  <c r="CP431" i="1"/>
  <c r="CO431" i="1"/>
  <c r="CN431" i="1"/>
  <c r="CF431" i="1"/>
  <c r="CD431" i="1"/>
  <c r="IE430" i="1"/>
  <c r="IB430" i="1"/>
  <c r="HZ430" i="1"/>
  <c r="HS430" i="1"/>
  <c r="HR430" i="1"/>
  <c r="HL430" i="1"/>
  <c r="HK430" i="1"/>
  <c r="HE430" i="1"/>
  <c r="HD430" i="1"/>
  <c r="GX430" i="1"/>
  <c r="GW430" i="1" s="1"/>
  <c r="GQ430" i="1"/>
  <c r="GP430" i="1"/>
  <c r="GJ430" i="1"/>
  <c r="GI430" i="1"/>
  <c r="GC430" i="1"/>
  <c r="GB430" i="1" s="1"/>
  <c r="FV430" i="1"/>
  <c r="FU430" i="1" s="1"/>
  <c r="FO430" i="1"/>
  <c r="FN430" i="1"/>
  <c r="FH430" i="1"/>
  <c r="FG430" i="1"/>
  <c r="FA430" i="1"/>
  <c r="EZ430" i="1"/>
  <c r="ET430" i="1"/>
  <c r="ES430" i="1" s="1"/>
  <c r="EM430" i="1"/>
  <c r="EL430" i="1"/>
  <c r="EF430" i="1"/>
  <c r="EE430" i="1"/>
  <c r="DY430" i="1"/>
  <c r="DX430" i="1"/>
  <c r="DR430" i="1"/>
  <c r="DQ430" i="1" s="1"/>
  <c r="DK430" i="1"/>
  <c r="DJ430" i="1"/>
  <c r="DD430" i="1"/>
  <c r="DC430" i="1"/>
  <c r="CW430" i="1"/>
  <c r="CV430" i="1"/>
  <c r="CP430" i="1"/>
  <c r="CN430" i="1"/>
  <c r="CF430" i="1"/>
  <c r="CD430" i="1"/>
  <c r="IE429" i="1"/>
  <c r="HZ429" i="1"/>
  <c r="IB429" i="1" s="1"/>
  <c r="ID429" i="1" s="1"/>
  <c r="HS429" i="1"/>
  <c r="HR429" i="1"/>
  <c r="HL429" i="1"/>
  <c r="HK429" i="1" s="1"/>
  <c r="HE429" i="1"/>
  <c r="HD429" i="1"/>
  <c r="GX429" i="1"/>
  <c r="GW429" i="1"/>
  <c r="GQ429" i="1"/>
  <c r="GP429" i="1"/>
  <c r="GJ429" i="1"/>
  <c r="GI429" i="1" s="1"/>
  <c r="GC429" i="1"/>
  <c r="GB429" i="1"/>
  <c r="FV429" i="1"/>
  <c r="FU429" i="1"/>
  <c r="FO429" i="1"/>
  <c r="FN429" i="1"/>
  <c r="FH429" i="1"/>
  <c r="FG429" i="1" s="1"/>
  <c r="FA429" i="1"/>
  <c r="EZ429" i="1"/>
  <c r="ET429" i="1"/>
  <c r="ES429" i="1"/>
  <c r="EM429" i="1"/>
  <c r="EL429" i="1" s="1"/>
  <c r="EF429" i="1"/>
  <c r="EE429" i="1" s="1"/>
  <c r="DY429" i="1"/>
  <c r="DX429" i="1"/>
  <c r="DR429" i="1"/>
  <c r="DQ429" i="1"/>
  <c r="DK429" i="1"/>
  <c r="DJ429" i="1" s="1"/>
  <c r="DD429" i="1"/>
  <c r="DC429" i="1" s="1"/>
  <c r="CW429" i="1"/>
  <c r="CV429" i="1"/>
  <c r="CP429" i="1"/>
  <c r="CO429" i="1"/>
  <c r="CN429" i="1"/>
  <c r="CF429" i="1"/>
  <c r="CD429" i="1"/>
  <c r="IE428" i="1"/>
  <c r="HZ428" i="1"/>
  <c r="HS428" i="1"/>
  <c r="HR428" i="1" s="1"/>
  <c r="HL428" i="1"/>
  <c r="HK428" i="1"/>
  <c r="HE428" i="1"/>
  <c r="HD428" i="1"/>
  <c r="GX428" i="1"/>
  <c r="GW428" i="1"/>
  <c r="GQ428" i="1"/>
  <c r="GP428" i="1" s="1"/>
  <c r="GJ428" i="1"/>
  <c r="GI428" i="1"/>
  <c r="GC428" i="1"/>
  <c r="GB428" i="1"/>
  <c r="FV428" i="1"/>
  <c r="FU428" i="1"/>
  <c r="FO428" i="1"/>
  <c r="FN428" i="1" s="1"/>
  <c r="FH428" i="1"/>
  <c r="FG428" i="1"/>
  <c r="FA428" i="1"/>
  <c r="EZ428" i="1"/>
  <c r="ET428" i="1"/>
  <c r="ES428" i="1" s="1"/>
  <c r="EM428" i="1"/>
  <c r="EL428" i="1" s="1"/>
  <c r="EF428" i="1"/>
  <c r="EE428" i="1"/>
  <c r="DY428" i="1"/>
  <c r="DX428" i="1"/>
  <c r="DR428" i="1"/>
  <c r="DQ428" i="1" s="1"/>
  <c r="DK428" i="1"/>
  <c r="DJ428" i="1" s="1"/>
  <c r="DD428" i="1"/>
  <c r="DC428" i="1"/>
  <c r="CW428" i="1"/>
  <c r="CV428" i="1"/>
  <c r="CP428" i="1"/>
  <c r="CO428" i="1"/>
  <c r="CN428" i="1"/>
  <c r="CF428" i="1"/>
  <c r="CD428" i="1"/>
  <c r="IE427" i="1"/>
  <c r="IB427" i="1"/>
  <c r="ID427" i="1" s="1"/>
  <c r="HZ427" i="1"/>
  <c r="HS427" i="1"/>
  <c r="HR427" i="1"/>
  <c r="HL427" i="1"/>
  <c r="HK427" i="1"/>
  <c r="HE427" i="1"/>
  <c r="HD427" i="1" s="1"/>
  <c r="GX427" i="1"/>
  <c r="GW427" i="1"/>
  <c r="GQ427" i="1"/>
  <c r="GP427" i="1"/>
  <c r="GJ427" i="1"/>
  <c r="GI427" i="1"/>
  <c r="GC427" i="1"/>
  <c r="GB427" i="1" s="1"/>
  <c r="FV427" i="1"/>
  <c r="FU427" i="1"/>
  <c r="FO427" i="1"/>
  <c r="FN427" i="1"/>
  <c r="FH427" i="1"/>
  <c r="FG427" i="1" s="1"/>
  <c r="FA427" i="1"/>
  <c r="EZ427" i="1" s="1"/>
  <c r="ET427" i="1"/>
  <c r="ES427" i="1"/>
  <c r="EM427" i="1"/>
  <c r="EL427" i="1"/>
  <c r="EF427" i="1"/>
  <c r="EE427" i="1" s="1"/>
  <c r="DY427" i="1"/>
  <c r="DX427" i="1" s="1"/>
  <c r="DR427" i="1"/>
  <c r="DQ427" i="1"/>
  <c r="DK427" i="1"/>
  <c r="DJ427" i="1"/>
  <c r="DD427" i="1"/>
  <c r="DC427" i="1" s="1"/>
  <c r="CW427" i="1"/>
  <c r="CV427" i="1" s="1"/>
  <c r="CP427" i="1"/>
  <c r="CO427" i="1"/>
  <c r="CN427" i="1"/>
  <c r="CF427" i="1"/>
  <c r="CD427" i="1"/>
  <c r="IE426" i="1"/>
  <c r="HZ426" i="1"/>
  <c r="IB426" i="1" s="1"/>
  <c r="ID426" i="1" s="1"/>
  <c r="HS426" i="1"/>
  <c r="HR426" i="1"/>
  <c r="HL426" i="1"/>
  <c r="HK426" i="1"/>
  <c r="HE426" i="1"/>
  <c r="HD426" i="1"/>
  <c r="GX426" i="1"/>
  <c r="GW426" i="1"/>
  <c r="GQ426" i="1"/>
  <c r="GP426" i="1"/>
  <c r="GJ426" i="1"/>
  <c r="GI426" i="1"/>
  <c r="GC426" i="1"/>
  <c r="GB426" i="1"/>
  <c r="FV426" i="1"/>
  <c r="FU426" i="1"/>
  <c r="FO426" i="1"/>
  <c r="FN426" i="1"/>
  <c r="FH426" i="1"/>
  <c r="FG426" i="1"/>
  <c r="FA426" i="1"/>
  <c r="EZ426" i="1"/>
  <c r="ET426" i="1"/>
  <c r="ES426" i="1"/>
  <c r="EM426" i="1"/>
  <c r="EL426" i="1"/>
  <c r="EF426" i="1"/>
  <c r="EE426" i="1"/>
  <c r="DY426" i="1"/>
  <c r="DX426" i="1"/>
  <c r="DR426" i="1"/>
  <c r="DQ426" i="1"/>
  <c r="DK426" i="1"/>
  <c r="DJ426" i="1"/>
  <c r="DD426" i="1"/>
  <c r="DC426" i="1"/>
  <c r="CW426" i="1"/>
  <c r="CV426" i="1"/>
  <c r="CP426" i="1"/>
  <c r="HY426" i="1" s="1"/>
  <c r="CO426" i="1"/>
  <c r="HX426" i="1" s="1"/>
  <c r="CN426" i="1"/>
  <c r="CF426" i="1"/>
  <c r="CD426" i="1"/>
  <c r="IE425" i="1"/>
  <c r="IB425" i="1"/>
  <c r="HZ425" i="1"/>
  <c r="HS425" i="1"/>
  <c r="HR425" i="1"/>
  <c r="HL425" i="1"/>
  <c r="HK425" i="1"/>
  <c r="HE425" i="1"/>
  <c r="HD425" i="1"/>
  <c r="GX425" i="1"/>
  <c r="GW425" i="1"/>
  <c r="GQ425" i="1"/>
  <c r="GP425" i="1"/>
  <c r="GJ425" i="1"/>
  <c r="GI425" i="1"/>
  <c r="GC425" i="1"/>
  <c r="GB425" i="1"/>
  <c r="FV425" i="1"/>
  <c r="FU425" i="1"/>
  <c r="FO425" i="1"/>
  <c r="FN425" i="1"/>
  <c r="FH425" i="1"/>
  <c r="FG425" i="1"/>
  <c r="FA425" i="1"/>
  <c r="EZ425" i="1"/>
  <c r="ET425" i="1"/>
  <c r="ES425" i="1"/>
  <c r="EM425" i="1"/>
  <c r="EL425" i="1"/>
  <c r="EF425" i="1"/>
  <c r="EE425" i="1"/>
  <c r="DY425" i="1"/>
  <c r="DX425" i="1"/>
  <c r="DR425" i="1"/>
  <c r="DQ425" i="1"/>
  <c r="DK425" i="1"/>
  <c r="DJ425" i="1"/>
  <c r="DD425" i="1"/>
  <c r="DC425" i="1"/>
  <c r="CW425" i="1"/>
  <c r="CV425" i="1"/>
  <c r="CP425" i="1"/>
  <c r="HY425" i="1" s="1"/>
  <c r="CO425" i="1"/>
  <c r="CN425" i="1"/>
  <c r="CF425" i="1"/>
  <c r="CD425" i="1"/>
  <c r="IE424" i="1"/>
  <c r="IB424" i="1"/>
  <c r="ID424" i="1" s="1"/>
  <c r="HZ424" i="1"/>
  <c r="HS424" i="1"/>
  <c r="HR424" i="1"/>
  <c r="HL424" i="1"/>
  <c r="HK424" i="1"/>
  <c r="HE424" i="1"/>
  <c r="HD424" i="1" s="1"/>
  <c r="GX424" i="1"/>
  <c r="GW424" i="1"/>
  <c r="GQ424" i="1"/>
  <c r="GP424" i="1"/>
  <c r="GJ424" i="1"/>
  <c r="GI424" i="1"/>
  <c r="GC424" i="1"/>
  <c r="GB424" i="1" s="1"/>
  <c r="FV424" i="1"/>
  <c r="FU424" i="1"/>
  <c r="FO424" i="1"/>
  <c r="FN424" i="1"/>
  <c r="FH424" i="1"/>
  <c r="FG424" i="1"/>
  <c r="FA424" i="1"/>
  <c r="EZ424" i="1" s="1"/>
  <c r="ET424" i="1"/>
  <c r="ES424" i="1"/>
  <c r="EM424" i="1"/>
  <c r="EL424" i="1"/>
  <c r="EF424" i="1"/>
  <c r="EE424" i="1"/>
  <c r="DY424" i="1"/>
  <c r="DX424" i="1" s="1"/>
  <c r="DR424" i="1"/>
  <c r="DQ424" i="1"/>
  <c r="DK424" i="1"/>
  <c r="DJ424" i="1"/>
  <c r="DD424" i="1"/>
  <c r="DC424" i="1"/>
  <c r="CW424" i="1"/>
  <c r="CV424" i="1" s="1"/>
  <c r="CP424" i="1"/>
  <c r="HY424" i="1" s="1"/>
  <c r="CO424" i="1"/>
  <c r="CN424" i="1"/>
  <c r="CF424" i="1"/>
  <c r="CD424" i="1"/>
  <c r="IE423" i="1"/>
  <c r="HZ423" i="1"/>
  <c r="HS423" i="1"/>
  <c r="HR423" i="1" s="1"/>
  <c r="HL423" i="1"/>
  <c r="HK423" i="1"/>
  <c r="HE423" i="1"/>
  <c r="HD423" i="1"/>
  <c r="GX423" i="1"/>
  <c r="GW423" i="1"/>
  <c r="GQ423" i="1"/>
  <c r="GP423" i="1" s="1"/>
  <c r="GJ423" i="1"/>
  <c r="GI423" i="1"/>
  <c r="GC423" i="1"/>
  <c r="GB423" i="1"/>
  <c r="FV423" i="1"/>
  <c r="FU423" i="1"/>
  <c r="FO423" i="1"/>
  <c r="FN423" i="1" s="1"/>
  <c r="FH423" i="1"/>
  <c r="FG423" i="1"/>
  <c r="FA423" i="1"/>
  <c r="EZ423" i="1"/>
  <c r="ET423" i="1"/>
  <c r="ES423" i="1"/>
  <c r="EM423" i="1"/>
  <c r="EL423" i="1" s="1"/>
  <c r="EF423" i="1"/>
  <c r="EE423" i="1" s="1"/>
  <c r="DY423" i="1"/>
  <c r="DX423" i="1"/>
  <c r="DR423" i="1"/>
  <c r="DQ423" i="1"/>
  <c r="DK423" i="1"/>
  <c r="DJ423" i="1" s="1"/>
  <c r="DD423" i="1"/>
  <c r="DC423" i="1" s="1"/>
  <c r="CW423" i="1"/>
  <c r="CV423" i="1"/>
  <c r="CP423" i="1"/>
  <c r="CO423" i="1"/>
  <c r="HX423" i="1" s="1"/>
  <c r="CN423" i="1"/>
  <c r="CF423" i="1"/>
  <c r="CD423" i="1"/>
  <c r="IE422" i="1"/>
  <c r="IB422" i="1"/>
  <c r="HZ422" i="1"/>
  <c r="HS422" i="1"/>
  <c r="HR422" i="1"/>
  <c r="HL422" i="1"/>
  <c r="HK422" i="1"/>
  <c r="HE422" i="1"/>
  <c r="HD422" i="1"/>
  <c r="GX422" i="1"/>
  <c r="GW422" i="1" s="1"/>
  <c r="GQ422" i="1"/>
  <c r="GP422" i="1"/>
  <c r="GJ422" i="1"/>
  <c r="GI422" i="1"/>
  <c r="GC422" i="1"/>
  <c r="GB422" i="1"/>
  <c r="FV422" i="1"/>
  <c r="FU422" i="1" s="1"/>
  <c r="FO422" i="1"/>
  <c r="FN422" i="1"/>
  <c r="FH422" i="1"/>
  <c r="FG422" i="1"/>
  <c r="FA422" i="1"/>
  <c r="EZ422" i="1" s="1"/>
  <c r="ET422" i="1"/>
  <c r="ES422" i="1" s="1"/>
  <c r="EM422" i="1"/>
  <c r="EL422" i="1"/>
  <c r="EF422" i="1"/>
  <c r="EE422" i="1"/>
  <c r="DY422" i="1"/>
  <c r="DX422" i="1"/>
  <c r="DR422" i="1"/>
  <c r="DQ422" i="1" s="1"/>
  <c r="DK422" i="1"/>
  <c r="DJ422" i="1"/>
  <c r="DD422" i="1"/>
  <c r="DC422" i="1"/>
  <c r="CW422" i="1"/>
  <c r="CV422" i="1" s="1"/>
  <c r="CP422" i="1"/>
  <c r="CN422" i="1"/>
  <c r="CF422" i="1"/>
  <c r="CD422" i="1"/>
  <c r="IE421" i="1"/>
  <c r="HZ421" i="1"/>
  <c r="IB421" i="1" s="1"/>
  <c r="ID421" i="1" s="1"/>
  <c r="HS421" i="1"/>
  <c r="HR421" i="1" s="1"/>
  <c r="HL421" i="1"/>
  <c r="HK421" i="1" s="1"/>
  <c r="HE421" i="1"/>
  <c r="HD421" i="1" s="1"/>
  <c r="GX421" i="1"/>
  <c r="GW421" i="1"/>
  <c r="GQ421" i="1"/>
  <c r="GP421" i="1" s="1"/>
  <c r="GJ421" i="1"/>
  <c r="GI421" i="1" s="1"/>
  <c r="GC421" i="1"/>
  <c r="GB421" i="1" s="1"/>
  <c r="FV421" i="1"/>
  <c r="FU421" i="1"/>
  <c r="FO421" i="1"/>
  <c r="FN421" i="1" s="1"/>
  <c r="FH421" i="1"/>
  <c r="FG421" i="1" s="1"/>
  <c r="FA421" i="1"/>
  <c r="EZ421" i="1" s="1"/>
  <c r="ET421" i="1"/>
  <c r="ES421" i="1"/>
  <c r="EM421" i="1"/>
  <c r="EL421" i="1" s="1"/>
  <c r="EF421" i="1"/>
  <c r="EE421" i="1" s="1"/>
  <c r="DY421" i="1"/>
  <c r="DX421" i="1" s="1"/>
  <c r="DR421" i="1"/>
  <c r="DQ421" i="1"/>
  <c r="DK421" i="1"/>
  <c r="DJ421" i="1" s="1"/>
  <c r="DD421" i="1"/>
  <c r="DC421" i="1" s="1"/>
  <c r="CW421" i="1"/>
  <c r="CV421" i="1" s="1"/>
  <c r="CP421" i="1"/>
  <c r="CO421" i="1"/>
  <c r="CN421" i="1"/>
  <c r="CF421" i="1"/>
  <c r="CD421" i="1"/>
  <c r="IE420" i="1"/>
  <c r="HZ420" i="1"/>
  <c r="HY420" i="1"/>
  <c r="HS420" i="1"/>
  <c r="HR420" i="1" s="1"/>
  <c r="HL420" i="1"/>
  <c r="HK420" i="1"/>
  <c r="HE420" i="1"/>
  <c r="HD420" i="1"/>
  <c r="GX420" i="1"/>
  <c r="GW420" i="1"/>
  <c r="GQ420" i="1"/>
  <c r="GP420" i="1" s="1"/>
  <c r="GJ420" i="1"/>
  <c r="GI420" i="1"/>
  <c r="GC420" i="1"/>
  <c r="GB420" i="1"/>
  <c r="FV420" i="1"/>
  <c r="FU420" i="1"/>
  <c r="FO420" i="1"/>
  <c r="FN420" i="1" s="1"/>
  <c r="FH420" i="1"/>
  <c r="FG420" i="1"/>
  <c r="FA420" i="1"/>
  <c r="EZ420" i="1"/>
  <c r="ET420" i="1"/>
  <c r="ES420" i="1" s="1"/>
  <c r="EM420" i="1"/>
  <c r="EL420" i="1" s="1"/>
  <c r="EF420" i="1"/>
  <c r="EE420" i="1"/>
  <c r="DY420" i="1"/>
  <c r="DX420" i="1"/>
  <c r="DR420" i="1"/>
  <c r="DQ420" i="1"/>
  <c r="DK420" i="1"/>
  <c r="DJ420" i="1" s="1"/>
  <c r="DD420" i="1"/>
  <c r="DC420" i="1"/>
  <c r="CW420" i="1"/>
  <c r="CV420" i="1"/>
  <c r="CP420" i="1"/>
  <c r="CO420" i="1" s="1"/>
  <c r="CN420" i="1"/>
  <c r="CF420" i="1"/>
  <c r="CD420" i="1"/>
  <c r="IE419" i="1"/>
  <c r="ID419" i="1"/>
  <c r="IB419" i="1"/>
  <c r="HZ419" i="1"/>
  <c r="HS419" i="1"/>
  <c r="HR419" i="1"/>
  <c r="HL419" i="1"/>
  <c r="HK419" i="1" s="1"/>
  <c r="HE419" i="1"/>
  <c r="HD419" i="1" s="1"/>
  <c r="GX419" i="1"/>
  <c r="GW419" i="1"/>
  <c r="GQ419" i="1"/>
  <c r="GP419" i="1"/>
  <c r="GJ419" i="1"/>
  <c r="GI419" i="1"/>
  <c r="GC419" i="1"/>
  <c r="GB419" i="1" s="1"/>
  <c r="FV419" i="1"/>
  <c r="FU419" i="1"/>
  <c r="FO419" i="1"/>
  <c r="FN419" i="1"/>
  <c r="FH419" i="1"/>
  <c r="FG419" i="1" s="1"/>
  <c r="FA419" i="1"/>
  <c r="EZ419" i="1" s="1"/>
  <c r="ET419" i="1"/>
  <c r="ES419" i="1"/>
  <c r="EM419" i="1"/>
  <c r="EL419" i="1"/>
  <c r="EF419" i="1"/>
  <c r="EE419" i="1"/>
  <c r="DY419" i="1"/>
  <c r="DX419" i="1" s="1"/>
  <c r="DR419" i="1"/>
  <c r="DQ419" i="1"/>
  <c r="DK419" i="1"/>
  <c r="DJ419" i="1"/>
  <c r="DD419" i="1"/>
  <c r="DC419" i="1" s="1"/>
  <c r="CW419" i="1"/>
  <c r="CV419" i="1" s="1"/>
  <c r="CP419" i="1"/>
  <c r="CO419" i="1"/>
  <c r="CN419" i="1"/>
  <c r="CF419" i="1"/>
  <c r="CD419" i="1"/>
  <c r="IE418" i="1"/>
  <c r="HZ418" i="1"/>
  <c r="HS418" i="1"/>
  <c r="HR418" i="1"/>
  <c r="HL418" i="1"/>
  <c r="HK418" i="1"/>
  <c r="HE418" i="1"/>
  <c r="HD418" i="1"/>
  <c r="GX418" i="1"/>
  <c r="GW418" i="1"/>
  <c r="GQ418" i="1"/>
  <c r="GP418" i="1"/>
  <c r="GJ418" i="1"/>
  <c r="GI418" i="1"/>
  <c r="GC418" i="1"/>
  <c r="GB418" i="1"/>
  <c r="FV418" i="1"/>
  <c r="FU418" i="1"/>
  <c r="FO418" i="1"/>
  <c r="FN418" i="1"/>
  <c r="FH418" i="1"/>
  <c r="FG418" i="1"/>
  <c r="FA418" i="1"/>
  <c r="EZ418" i="1"/>
  <c r="ET418" i="1"/>
  <c r="ES418" i="1"/>
  <c r="EM418" i="1"/>
  <c r="EL418" i="1"/>
  <c r="EF418" i="1"/>
  <c r="EE418" i="1"/>
  <c r="DY418" i="1"/>
  <c r="DX418" i="1"/>
  <c r="DR418" i="1"/>
  <c r="DQ418" i="1"/>
  <c r="DK418" i="1"/>
  <c r="DJ418" i="1"/>
  <c r="DD418" i="1"/>
  <c r="DC418" i="1"/>
  <c r="CW418" i="1"/>
  <c r="CV418" i="1"/>
  <c r="CP418" i="1"/>
  <c r="CO418" i="1"/>
  <c r="CN418" i="1"/>
  <c r="CF418" i="1"/>
  <c r="CD418" i="1"/>
  <c r="IE417" i="1"/>
  <c r="HZ417" i="1"/>
  <c r="HS417" i="1"/>
  <c r="HR417" i="1" s="1"/>
  <c r="HL417" i="1"/>
  <c r="HK417" i="1"/>
  <c r="HE417" i="1"/>
  <c r="HD417" i="1" s="1"/>
  <c r="GX417" i="1"/>
  <c r="GW417" i="1"/>
  <c r="GQ417" i="1"/>
  <c r="GP417" i="1" s="1"/>
  <c r="GJ417" i="1"/>
  <c r="GI417" i="1"/>
  <c r="GC417" i="1"/>
  <c r="GB417" i="1" s="1"/>
  <c r="FV417" i="1"/>
  <c r="FU417" i="1"/>
  <c r="FO417" i="1"/>
  <c r="FN417" i="1" s="1"/>
  <c r="FH417" i="1"/>
  <c r="FG417" i="1"/>
  <c r="FA417" i="1"/>
  <c r="EZ417" i="1" s="1"/>
  <c r="ET417" i="1"/>
  <c r="ES417" i="1"/>
  <c r="EM417" i="1"/>
  <c r="EL417" i="1" s="1"/>
  <c r="EF417" i="1"/>
  <c r="EE417" i="1"/>
  <c r="DY417" i="1"/>
  <c r="DX417" i="1"/>
  <c r="DR417" i="1"/>
  <c r="DQ417" i="1"/>
  <c r="DK417" i="1"/>
  <c r="DJ417" i="1" s="1"/>
  <c r="DD417" i="1"/>
  <c r="DC417" i="1"/>
  <c r="CW417" i="1"/>
  <c r="CV417" i="1" s="1"/>
  <c r="CP417" i="1"/>
  <c r="CO417" i="1"/>
  <c r="HX417" i="1" s="1"/>
  <c r="CN417" i="1"/>
  <c r="CF417" i="1"/>
  <c r="CD417" i="1"/>
  <c r="IE416" i="1"/>
  <c r="ID416" i="1"/>
  <c r="IB416" i="1"/>
  <c r="HZ416" i="1"/>
  <c r="HS416" i="1"/>
  <c r="HR416" i="1"/>
  <c r="HL416" i="1"/>
  <c r="HK416" i="1"/>
  <c r="HE416" i="1"/>
  <c r="HD416" i="1" s="1"/>
  <c r="GX416" i="1"/>
  <c r="GW416" i="1"/>
  <c r="GQ416" i="1"/>
  <c r="GP416" i="1"/>
  <c r="GJ416" i="1"/>
  <c r="GI416" i="1"/>
  <c r="GC416" i="1"/>
  <c r="GB416" i="1" s="1"/>
  <c r="FV416" i="1"/>
  <c r="FU416" i="1"/>
  <c r="FO416" i="1"/>
  <c r="FN416" i="1"/>
  <c r="FH416" i="1"/>
  <c r="FG416" i="1"/>
  <c r="FA416" i="1"/>
  <c r="EZ416" i="1" s="1"/>
  <c r="ET416" i="1"/>
  <c r="ES416" i="1"/>
  <c r="EM416" i="1"/>
  <c r="EL416" i="1"/>
  <c r="EF416" i="1"/>
  <c r="EE416" i="1"/>
  <c r="DY416" i="1"/>
  <c r="DX416" i="1" s="1"/>
  <c r="DR416" i="1"/>
  <c r="DQ416" i="1"/>
  <c r="DK416" i="1"/>
  <c r="DJ416" i="1"/>
  <c r="DD416" i="1"/>
  <c r="DC416" i="1"/>
  <c r="CW416" i="1"/>
  <c r="CV416" i="1" s="1"/>
  <c r="CP416" i="1"/>
  <c r="HY416" i="1" s="1"/>
  <c r="CO416" i="1"/>
  <c r="CN416" i="1"/>
  <c r="CF416" i="1"/>
  <c r="CD416" i="1"/>
  <c r="IE415" i="1"/>
  <c r="HZ415" i="1"/>
  <c r="HS415" i="1"/>
  <c r="HR415" i="1" s="1"/>
  <c r="HL415" i="1"/>
  <c r="HK415" i="1" s="1"/>
  <c r="HE415" i="1"/>
  <c r="HD415" i="1"/>
  <c r="GX415" i="1"/>
  <c r="GW415" i="1"/>
  <c r="GQ415" i="1"/>
  <c r="GP415" i="1" s="1"/>
  <c r="GJ415" i="1"/>
  <c r="GI415" i="1" s="1"/>
  <c r="GC415" i="1"/>
  <c r="GB415" i="1"/>
  <c r="FV415" i="1"/>
  <c r="FU415" i="1"/>
  <c r="FO415" i="1"/>
  <c r="FN415" i="1" s="1"/>
  <c r="FH415" i="1"/>
  <c r="FG415" i="1" s="1"/>
  <c r="FA415" i="1"/>
  <c r="EZ415" i="1"/>
  <c r="ET415" i="1"/>
  <c r="ES415" i="1"/>
  <c r="EM415" i="1"/>
  <c r="EL415" i="1" s="1"/>
  <c r="EF415" i="1"/>
  <c r="EE415" i="1" s="1"/>
  <c r="DY415" i="1"/>
  <c r="DX415" i="1"/>
  <c r="DR415" i="1"/>
  <c r="DQ415" i="1"/>
  <c r="DK415" i="1"/>
  <c r="DJ415" i="1" s="1"/>
  <c r="DD415" i="1"/>
  <c r="DC415" i="1" s="1"/>
  <c r="CW415" i="1"/>
  <c r="CV415" i="1"/>
  <c r="CP415" i="1"/>
  <c r="CO415" i="1"/>
  <c r="CN415" i="1"/>
  <c r="CF415" i="1"/>
  <c r="CD415" i="1"/>
  <c r="IE414" i="1"/>
  <c r="HZ414" i="1"/>
  <c r="HS414" i="1"/>
  <c r="HR414" i="1"/>
  <c r="HL414" i="1"/>
  <c r="HK414" i="1"/>
  <c r="HE414" i="1"/>
  <c r="HD414" i="1"/>
  <c r="GX414" i="1"/>
  <c r="GW414" i="1" s="1"/>
  <c r="GQ414" i="1"/>
  <c r="GP414" i="1"/>
  <c r="GJ414" i="1"/>
  <c r="GI414" i="1"/>
  <c r="GC414" i="1"/>
  <c r="GB414" i="1"/>
  <c r="FV414" i="1"/>
  <c r="FU414" i="1" s="1"/>
  <c r="FO414" i="1"/>
  <c r="FN414" i="1"/>
  <c r="FH414" i="1"/>
  <c r="FG414" i="1"/>
  <c r="FA414" i="1"/>
  <c r="EZ414" i="1" s="1"/>
  <c r="ET414" i="1"/>
  <c r="ES414" i="1" s="1"/>
  <c r="EM414" i="1"/>
  <c r="EL414" i="1"/>
  <c r="EF414" i="1"/>
  <c r="EE414" i="1"/>
  <c r="DY414" i="1"/>
  <c r="DX414" i="1" s="1"/>
  <c r="DR414" i="1"/>
  <c r="DQ414" i="1" s="1"/>
  <c r="DK414" i="1"/>
  <c r="DJ414" i="1"/>
  <c r="DD414" i="1"/>
  <c r="DC414" i="1"/>
  <c r="CW414" i="1"/>
  <c r="CV414" i="1" s="1"/>
  <c r="CP414" i="1"/>
  <c r="CN414" i="1"/>
  <c r="CF414" i="1"/>
  <c r="CD414" i="1"/>
  <c r="IE413" i="1"/>
  <c r="ID413" i="1"/>
  <c r="HZ413" i="1"/>
  <c r="IB413" i="1" s="1"/>
  <c r="HS413" i="1"/>
  <c r="HR413" i="1"/>
  <c r="HL413" i="1"/>
  <c r="HK413" i="1"/>
  <c r="HE413" i="1"/>
  <c r="HD413" i="1" s="1"/>
  <c r="GX413" i="1"/>
  <c r="GW413" i="1"/>
  <c r="GQ413" i="1"/>
  <c r="GP413" i="1" s="1"/>
  <c r="GJ413" i="1"/>
  <c r="GI413" i="1"/>
  <c r="GC413" i="1"/>
  <c r="GB413" i="1" s="1"/>
  <c r="FV413" i="1"/>
  <c r="FU413" i="1"/>
  <c r="FO413" i="1"/>
  <c r="FN413" i="1" s="1"/>
  <c r="FH413" i="1"/>
  <c r="FG413" i="1"/>
  <c r="FA413" i="1"/>
  <c r="EZ413" i="1" s="1"/>
  <c r="ET413" i="1"/>
  <c r="ES413" i="1"/>
  <c r="EM413" i="1"/>
  <c r="EL413" i="1" s="1"/>
  <c r="EF413" i="1"/>
  <c r="EE413" i="1" s="1"/>
  <c r="DY413" i="1"/>
  <c r="DX413" i="1" s="1"/>
  <c r="DR413" i="1"/>
  <c r="DQ413" i="1"/>
  <c r="DK413" i="1"/>
  <c r="DJ413" i="1"/>
  <c r="DD413" i="1"/>
  <c r="DC413" i="1" s="1"/>
  <c r="CW413" i="1"/>
  <c r="CV413" i="1" s="1"/>
  <c r="CP413" i="1"/>
  <c r="CO413" i="1"/>
  <c r="CN413" i="1"/>
  <c r="CF413" i="1"/>
  <c r="CD413" i="1"/>
  <c r="IE412" i="1"/>
  <c r="HZ412" i="1"/>
  <c r="HS412" i="1"/>
  <c r="HR412" i="1" s="1"/>
  <c r="HL412" i="1"/>
  <c r="HK412" i="1"/>
  <c r="HE412" i="1"/>
  <c r="HD412" i="1"/>
  <c r="GX412" i="1"/>
  <c r="GW412" i="1"/>
  <c r="GQ412" i="1"/>
  <c r="GP412" i="1" s="1"/>
  <c r="GJ412" i="1"/>
  <c r="GI412" i="1"/>
  <c r="GC412" i="1"/>
  <c r="GB412" i="1"/>
  <c r="FV412" i="1"/>
  <c r="FU412" i="1" s="1"/>
  <c r="FO412" i="1"/>
  <c r="FN412" i="1" s="1"/>
  <c r="FH412" i="1"/>
  <c r="FG412" i="1"/>
  <c r="FA412" i="1"/>
  <c r="EZ412" i="1"/>
  <c r="ET412" i="1"/>
  <c r="ES412" i="1" s="1"/>
  <c r="EM412" i="1"/>
  <c r="EL412" i="1" s="1"/>
  <c r="EF412" i="1"/>
  <c r="EE412" i="1"/>
  <c r="DY412" i="1"/>
  <c r="DX412" i="1"/>
  <c r="DR412" i="1"/>
  <c r="DQ412" i="1" s="1"/>
  <c r="DK412" i="1"/>
  <c r="DJ412" i="1" s="1"/>
  <c r="DD412" i="1"/>
  <c r="DC412" i="1"/>
  <c r="CW412" i="1"/>
  <c r="CV412" i="1"/>
  <c r="CP412" i="1"/>
  <c r="CO412" i="1"/>
  <c r="CN412" i="1"/>
  <c r="CF412" i="1"/>
  <c r="CD412" i="1"/>
  <c r="IE411" i="1"/>
  <c r="IB411" i="1"/>
  <c r="ID411" i="1" s="1"/>
  <c r="HZ411" i="1"/>
  <c r="HS411" i="1"/>
  <c r="HR411" i="1"/>
  <c r="HL411" i="1"/>
  <c r="HK411" i="1"/>
  <c r="HE411" i="1"/>
  <c r="HD411" i="1" s="1"/>
  <c r="GX411" i="1"/>
  <c r="GW411" i="1"/>
  <c r="GQ411" i="1"/>
  <c r="GP411" i="1"/>
  <c r="GJ411" i="1"/>
  <c r="GI411" i="1"/>
  <c r="GC411" i="1"/>
  <c r="GB411" i="1" s="1"/>
  <c r="FV411" i="1"/>
  <c r="FU411" i="1"/>
  <c r="FO411" i="1"/>
  <c r="FN411" i="1"/>
  <c r="FH411" i="1"/>
  <c r="FG411" i="1"/>
  <c r="FA411" i="1"/>
  <c r="EZ411" i="1" s="1"/>
  <c r="ET411" i="1"/>
  <c r="ES411" i="1"/>
  <c r="EM411" i="1"/>
  <c r="EL411" i="1"/>
  <c r="EF411" i="1"/>
  <c r="EE411" i="1" s="1"/>
  <c r="DY411" i="1"/>
  <c r="DX411" i="1" s="1"/>
  <c r="DR411" i="1"/>
  <c r="DQ411" i="1"/>
  <c r="DK411" i="1"/>
  <c r="DJ411" i="1"/>
  <c r="DD411" i="1"/>
  <c r="DC411" i="1" s="1"/>
  <c r="CW411" i="1"/>
  <c r="CV411" i="1" s="1"/>
  <c r="CP411" i="1"/>
  <c r="CO411" i="1"/>
  <c r="HX411" i="1" s="1"/>
  <c r="CN411" i="1"/>
  <c r="CF411" i="1"/>
  <c r="CD411" i="1"/>
  <c r="IE410" i="1"/>
  <c r="HZ410" i="1"/>
  <c r="IB410" i="1" s="1"/>
  <c r="ID410" i="1" s="1"/>
  <c r="HS410" i="1"/>
  <c r="HR410" i="1" s="1"/>
  <c r="HL410" i="1"/>
  <c r="HK410" i="1"/>
  <c r="HE410" i="1"/>
  <c r="HD410" i="1"/>
  <c r="GX410" i="1"/>
  <c r="GW410" i="1"/>
  <c r="GQ410" i="1"/>
  <c r="GP410" i="1" s="1"/>
  <c r="GJ410" i="1"/>
  <c r="GI410" i="1"/>
  <c r="GC410" i="1"/>
  <c r="GB410" i="1"/>
  <c r="FV410" i="1"/>
  <c r="FU410" i="1"/>
  <c r="FO410" i="1"/>
  <c r="FN410" i="1" s="1"/>
  <c r="FH410" i="1"/>
  <c r="FG410" i="1"/>
  <c r="FA410" i="1"/>
  <c r="EZ410" i="1"/>
  <c r="ET410" i="1"/>
  <c r="ES410" i="1"/>
  <c r="EM410" i="1"/>
  <c r="EL410" i="1" s="1"/>
  <c r="EF410" i="1"/>
  <c r="EE410" i="1"/>
  <c r="DY410" i="1"/>
  <c r="DX410" i="1"/>
  <c r="DR410" i="1"/>
  <c r="DQ410" i="1" s="1"/>
  <c r="DK410" i="1"/>
  <c r="DJ410" i="1" s="1"/>
  <c r="DD410" i="1"/>
  <c r="DC410" i="1"/>
  <c r="CW410" i="1"/>
  <c r="CV410" i="1"/>
  <c r="CP410" i="1"/>
  <c r="CN410" i="1"/>
  <c r="CF410" i="1"/>
  <c r="CD410" i="1"/>
  <c r="IE409" i="1"/>
  <c r="HZ409" i="1"/>
  <c r="HS409" i="1"/>
  <c r="HR409" i="1" s="1"/>
  <c r="HL409" i="1"/>
  <c r="HK409" i="1"/>
  <c r="HE409" i="1"/>
  <c r="HD409" i="1" s="1"/>
  <c r="GX409" i="1"/>
  <c r="GW409" i="1"/>
  <c r="GQ409" i="1"/>
  <c r="GP409" i="1" s="1"/>
  <c r="GJ409" i="1"/>
  <c r="GI409" i="1"/>
  <c r="GC409" i="1"/>
  <c r="GB409" i="1"/>
  <c r="FV409" i="1"/>
  <c r="FU409" i="1"/>
  <c r="FO409" i="1"/>
  <c r="FN409" i="1" s="1"/>
  <c r="FH409" i="1"/>
  <c r="FG409" i="1"/>
  <c r="FA409" i="1"/>
  <c r="EZ409" i="1"/>
  <c r="ET409" i="1"/>
  <c r="ES409" i="1"/>
  <c r="EM409" i="1"/>
  <c r="EL409" i="1" s="1"/>
  <c r="EF409" i="1"/>
  <c r="EE409" i="1"/>
  <c r="DY409" i="1"/>
  <c r="DX409" i="1"/>
  <c r="DR409" i="1"/>
  <c r="DQ409" i="1"/>
  <c r="DK409" i="1"/>
  <c r="DJ409" i="1" s="1"/>
  <c r="DD409" i="1"/>
  <c r="DC409" i="1"/>
  <c r="CW409" i="1"/>
  <c r="CV409" i="1" s="1"/>
  <c r="HX409" i="1" s="1"/>
  <c r="IC409" i="1" s="1"/>
  <c r="CP409" i="1"/>
  <c r="CO409" i="1"/>
  <c r="CN409" i="1"/>
  <c r="CF409" i="1"/>
  <c r="CD409" i="1"/>
  <c r="IE408" i="1"/>
  <c r="IB408" i="1"/>
  <c r="ID408" i="1" s="1"/>
  <c r="HZ408" i="1"/>
  <c r="HS408" i="1"/>
  <c r="HR408" i="1"/>
  <c r="HL408" i="1"/>
  <c r="HK408" i="1"/>
  <c r="HE408" i="1"/>
  <c r="HD408" i="1" s="1"/>
  <c r="GX408" i="1"/>
  <c r="GW408" i="1"/>
  <c r="GQ408" i="1"/>
  <c r="GP408" i="1" s="1"/>
  <c r="GJ408" i="1"/>
  <c r="GI408" i="1"/>
  <c r="GC408" i="1"/>
  <c r="GB408" i="1" s="1"/>
  <c r="FV408" i="1"/>
  <c r="FU408" i="1"/>
  <c r="FO408" i="1"/>
  <c r="FN408" i="1"/>
  <c r="FH408" i="1"/>
  <c r="FG408" i="1"/>
  <c r="FA408" i="1"/>
  <c r="EZ408" i="1" s="1"/>
  <c r="ET408" i="1"/>
  <c r="ES408" i="1"/>
  <c r="EM408" i="1"/>
  <c r="EL408" i="1"/>
  <c r="EF408" i="1"/>
  <c r="EE408" i="1"/>
  <c r="DY408" i="1"/>
  <c r="DX408" i="1" s="1"/>
  <c r="DR408" i="1"/>
  <c r="DQ408" i="1"/>
  <c r="DK408" i="1"/>
  <c r="DJ408" i="1"/>
  <c r="DD408" i="1"/>
  <c r="DC408" i="1"/>
  <c r="CW408" i="1"/>
  <c r="CV408" i="1" s="1"/>
  <c r="CP408" i="1"/>
  <c r="HY408" i="1" s="1"/>
  <c r="CO408" i="1"/>
  <c r="CN408" i="1"/>
  <c r="CF408" i="1"/>
  <c r="CD408" i="1"/>
  <c r="IE407" i="1"/>
  <c r="HZ407" i="1"/>
  <c r="HS407" i="1"/>
  <c r="HR407" i="1" s="1"/>
  <c r="HL407" i="1"/>
  <c r="HK407" i="1" s="1"/>
  <c r="HE407" i="1"/>
  <c r="HD407" i="1"/>
  <c r="GX407" i="1"/>
  <c r="GW407" i="1"/>
  <c r="GQ407" i="1"/>
  <c r="GP407" i="1" s="1"/>
  <c r="GJ407" i="1"/>
  <c r="GI407" i="1" s="1"/>
  <c r="GC407" i="1"/>
  <c r="GB407" i="1"/>
  <c r="FV407" i="1"/>
  <c r="FU407" i="1"/>
  <c r="FO407" i="1"/>
  <c r="FN407" i="1"/>
  <c r="FH407" i="1"/>
  <c r="FG407" i="1" s="1"/>
  <c r="FA407" i="1"/>
  <c r="EZ407" i="1"/>
  <c r="ET407" i="1"/>
  <c r="ES407" i="1"/>
  <c r="EM407" i="1"/>
  <c r="EL407" i="1"/>
  <c r="EF407" i="1"/>
  <c r="EE407" i="1" s="1"/>
  <c r="DY407" i="1"/>
  <c r="DX407" i="1"/>
  <c r="DR407" i="1"/>
  <c r="DQ407" i="1"/>
  <c r="DK407" i="1"/>
  <c r="DJ407" i="1" s="1"/>
  <c r="DD407" i="1"/>
  <c r="DC407" i="1" s="1"/>
  <c r="CW407" i="1"/>
  <c r="CV407" i="1"/>
  <c r="CP407" i="1"/>
  <c r="CO407" i="1"/>
  <c r="CN407" i="1"/>
  <c r="CF407" i="1"/>
  <c r="CD407" i="1"/>
  <c r="IE406" i="1"/>
  <c r="ID406" i="1"/>
  <c r="IB406" i="1"/>
  <c r="HZ406" i="1"/>
  <c r="HS406" i="1"/>
  <c r="HR406" i="1"/>
  <c r="HL406" i="1"/>
  <c r="HK406" i="1"/>
  <c r="HE406" i="1"/>
  <c r="HD406" i="1" s="1"/>
  <c r="GX406" i="1"/>
  <c r="GW406" i="1" s="1"/>
  <c r="GQ406" i="1"/>
  <c r="GP406" i="1"/>
  <c r="GJ406" i="1"/>
  <c r="GI406" i="1"/>
  <c r="GC406" i="1"/>
  <c r="GB406" i="1" s="1"/>
  <c r="FV406" i="1"/>
  <c r="FU406" i="1" s="1"/>
  <c r="FO406" i="1"/>
  <c r="FN406" i="1"/>
  <c r="FH406" i="1"/>
  <c r="FG406" i="1"/>
  <c r="FA406" i="1"/>
  <c r="EZ406" i="1"/>
  <c r="ET406" i="1"/>
  <c r="ES406" i="1" s="1"/>
  <c r="EM406" i="1"/>
  <c r="EL406" i="1"/>
  <c r="EF406" i="1"/>
  <c r="EE406" i="1"/>
  <c r="DY406" i="1"/>
  <c r="DX406" i="1"/>
  <c r="DR406" i="1"/>
  <c r="DQ406" i="1" s="1"/>
  <c r="DK406" i="1"/>
  <c r="DJ406" i="1"/>
  <c r="DD406" i="1"/>
  <c r="DC406" i="1"/>
  <c r="CW406" i="1"/>
  <c r="CV406" i="1" s="1"/>
  <c r="CP406" i="1"/>
  <c r="CN406" i="1"/>
  <c r="CF406" i="1"/>
  <c r="CD406" i="1"/>
  <c r="IE405" i="1"/>
  <c r="HZ405" i="1"/>
  <c r="IB405" i="1" s="1"/>
  <c r="ID405" i="1" s="1"/>
  <c r="HS405" i="1"/>
  <c r="HR405" i="1" s="1"/>
  <c r="HL405" i="1"/>
  <c r="HK405" i="1" s="1"/>
  <c r="HE405" i="1"/>
  <c r="HD405" i="1" s="1"/>
  <c r="GX405" i="1"/>
  <c r="GW405" i="1"/>
  <c r="GQ405" i="1"/>
  <c r="GP405" i="1" s="1"/>
  <c r="GJ405" i="1"/>
  <c r="GI405" i="1"/>
  <c r="GC405" i="1"/>
  <c r="GB405" i="1" s="1"/>
  <c r="FV405" i="1"/>
  <c r="FU405" i="1"/>
  <c r="FO405" i="1"/>
  <c r="FN405" i="1" s="1"/>
  <c r="FH405" i="1"/>
  <c r="FG405" i="1" s="1"/>
  <c r="FA405" i="1"/>
  <c r="EZ405" i="1" s="1"/>
  <c r="ET405" i="1"/>
  <c r="ES405" i="1"/>
  <c r="EM405" i="1"/>
  <c r="EL405" i="1"/>
  <c r="EF405" i="1"/>
  <c r="EE405" i="1" s="1"/>
  <c r="DY405" i="1"/>
  <c r="DX405" i="1" s="1"/>
  <c r="DR405" i="1"/>
  <c r="DQ405" i="1"/>
  <c r="DK405" i="1"/>
  <c r="DJ405" i="1" s="1"/>
  <c r="DD405" i="1"/>
  <c r="DC405" i="1" s="1"/>
  <c r="HX405" i="1" s="1"/>
  <c r="CW405" i="1"/>
  <c r="CV405" i="1" s="1"/>
  <c r="CP405" i="1"/>
  <c r="CO405" i="1"/>
  <c r="CN405" i="1"/>
  <c r="CF405" i="1"/>
  <c r="CD405" i="1"/>
  <c r="IE404" i="1"/>
  <c r="HZ404" i="1"/>
  <c r="HS404" i="1"/>
  <c r="HR404" i="1" s="1"/>
  <c r="HL404" i="1"/>
  <c r="HK404" i="1"/>
  <c r="HE404" i="1"/>
  <c r="HD404" i="1" s="1"/>
  <c r="GX404" i="1"/>
  <c r="GW404" i="1"/>
  <c r="GQ404" i="1"/>
  <c r="GP404" i="1" s="1"/>
  <c r="GJ404" i="1"/>
  <c r="GI404" i="1"/>
  <c r="GC404" i="1"/>
  <c r="GB404" i="1"/>
  <c r="FV404" i="1"/>
  <c r="FU404" i="1" s="1"/>
  <c r="FO404" i="1"/>
  <c r="FN404" i="1" s="1"/>
  <c r="FH404" i="1"/>
  <c r="FG404" i="1"/>
  <c r="FA404" i="1"/>
  <c r="EZ404" i="1"/>
  <c r="ET404" i="1"/>
  <c r="ES404" i="1" s="1"/>
  <c r="EM404" i="1"/>
  <c r="EL404" i="1" s="1"/>
  <c r="EF404" i="1"/>
  <c r="EE404" i="1"/>
  <c r="DY404" i="1"/>
  <c r="DX404" i="1" s="1"/>
  <c r="DR404" i="1"/>
  <c r="DQ404" i="1"/>
  <c r="DK404" i="1"/>
  <c r="DJ404" i="1" s="1"/>
  <c r="DD404" i="1"/>
  <c r="DC404" i="1"/>
  <c r="CW404" i="1"/>
  <c r="CV404" i="1"/>
  <c r="CP404" i="1"/>
  <c r="CO404" i="1"/>
  <c r="CN404" i="1"/>
  <c r="CF404" i="1"/>
  <c r="CD404" i="1"/>
  <c r="IE403" i="1"/>
  <c r="IB403" i="1"/>
  <c r="ID403" i="1" s="1"/>
  <c r="HZ403" i="1"/>
  <c r="HS403" i="1"/>
  <c r="HR403" i="1"/>
  <c r="HL403" i="1"/>
  <c r="HK403" i="1" s="1"/>
  <c r="HE403" i="1"/>
  <c r="HD403" i="1" s="1"/>
  <c r="GX403" i="1"/>
  <c r="GW403" i="1"/>
  <c r="GQ403" i="1"/>
  <c r="GP403" i="1"/>
  <c r="GJ403" i="1"/>
  <c r="GI403" i="1" s="1"/>
  <c r="GC403" i="1"/>
  <c r="GB403" i="1" s="1"/>
  <c r="FV403" i="1"/>
  <c r="FU403" i="1"/>
  <c r="FO403" i="1"/>
  <c r="FN403" i="1"/>
  <c r="FH403" i="1"/>
  <c r="FG403" i="1" s="1"/>
  <c r="FA403" i="1"/>
  <c r="EZ403" i="1" s="1"/>
  <c r="ET403" i="1"/>
  <c r="ES403" i="1"/>
  <c r="EM403" i="1"/>
  <c r="EL403" i="1"/>
  <c r="EF403" i="1"/>
  <c r="EE403" i="1" s="1"/>
  <c r="DY403" i="1"/>
  <c r="DX403" i="1" s="1"/>
  <c r="DR403" i="1"/>
  <c r="DQ403" i="1"/>
  <c r="DK403" i="1"/>
  <c r="DJ403" i="1"/>
  <c r="DD403" i="1"/>
  <c r="DC403" i="1" s="1"/>
  <c r="CW403" i="1"/>
  <c r="CV403" i="1" s="1"/>
  <c r="CP403" i="1"/>
  <c r="CO403" i="1"/>
  <c r="CN403" i="1"/>
  <c r="CF403" i="1"/>
  <c r="CD403" i="1"/>
  <c r="IE402" i="1"/>
  <c r="HZ402" i="1"/>
  <c r="IB402" i="1" s="1"/>
  <c r="ID402" i="1" s="1"/>
  <c r="HS402" i="1"/>
  <c r="HR402" i="1"/>
  <c r="HL402" i="1"/>
  <c r="HK402" i="1"/>
  <c r="HE402" i="1"/>
  <c r="HD402" i="1"/>
  <c r="GX402" i="1"/>
  <c r="GW402" i="1" s="1"/>
  <c r="GQ402" i="1"/>
  <c r="GP402" i="1"/>
  <c r="GJ402" i="1"/>
  <c r="GI402" i="1"/>
  <c r="GC402" i="1"/>
  <c r="GB402" i="1"/>
  <c r="FV402" i="1"/>
  <c r="FU402" i="1" s="1"/>
  <c r="FO402" i="1"/>
  <c r="FN402" i="1"/>
  <c r="FH402" i="1"/>
  <c r="FG402" i="1"/>
  <c r="FA402" i="1"/>
  <c r="EZ402" i="1"/>
  <c r="ET402" i="1"/>
  <c r="ES402" i="1" s="1"/>
  <c r="EM402" i="1"/>
  <c r="EL402" i="1"/>
  <c r="EF402" i="1"/>
  <c r="EE402" i="1"/>
  <c r="DY402" i="1"/>
  <c r="DX402" i="1"/>
  <c r="DR402" i="1"/>
  <c r="DQ402" i="1" s="1"/>
  <c r="DK402" i="1"/>
  <c r="DJ402" i="1"/>
  <c r="DD402" i="1"/>
  <c r="DC402" i="1"/>
  <c r="CW402" i="1"/>
  <c r="CV402" i="1"/>
  <c r="CP402" i="1"/>
  <c r="CO402" i="1" s="1"/>
  <c r="CN402" i="1"/>
  <c r="CF402" i="1"/>
  <c r="CD402" i="1"/>
  <c r="IE401" i="1"/>
  <c r="IB401" i="1"/>
  <c r="HZ401" i="1"/>
  <c r="HS401" i="1"/>
  <c r="HR401" i="1" s="1"/>
  <c r="HL401" i="1"/>
  <c r="HK401" i="1"/>
  <c r="HE401" i="1"/>
  <c r="HD401" i="1"/>
  <c r="GX401" i="1"/>
  <c r="GW401" i="1"/>
  <c r="GQ401" i="1"/>
  <c r="GP401" i="1" s="1"/>
  <c r="GJ401" i="1"/>
  <c r="GI401" i="1"/>
  <c r="GC401" i="1"/>
  <c r="GB401" i="1" s="1"/>
  <c r="FV401" i="1"/>
  <c r="FU401" i="1"/>
  <c r="FO401" i="1"/>
  <c r="FN401" i="1" s="1"/>
  <c r="FH401" i="1"/>
  <c r="FG401" i="1"/>
  <c r="FA401" i="1"/>
  <c r="EZ401" i="1"/>
  <c r="ET401" i="1"/>
  <c r="ES401" i="1"/>
  <c r="EM401" i="1"/>
  <c r="EL401" i="1" s="1"/>
  <c r="EF401" i="1"/>
  <c r="EE401" i="1" s="1"/>
  <c r="DY401" i="1"/>
  <c r="DX401" i="1" s="1"/>
  <c r="DR401" i="1"/>
  <c r="DQ401" i="1"/>
  <c r="DK401" i="1"/>
  <c r="DJ401" i="1" s="1"/>
  <c r="DD401" i="1"/>
  <c r="DC401" i="1" s="1"/>
  <c r="CW401" i="1"/>
  <c r="CV401" i="1"/>
  <c r="CP401" i="1"/>
  <c r="CO401" i="1"/>
  <c r="CN401" i="1"/>
  <c r="CF401" i="1"/>
  <c r="CD401" i="1"/>
  <c r="IE400" i="1"/>
  <c r="ID400" i="1"/>
  <c r="IB400" i="1"/>
  <c r="HZ400" i="1"/>
  <c r="HS400" i="1"/>
  <c r="HR400" i="1" s="1"/>
  <c r="HL400" i="1"/>
  <c r="HK400" i="1"/>
  <c r="HE400" i="1"/>
  <c r="HD400" i="1" s="1"/>
  <c r="GX400" i="1"/>
  <c r="GW400" i="1"/>
  <c r="GQ400" i="1"/>
  <c r="GP400" i="1"/>
  <c r="GJ400" i="1"/>
  <c r="GI400" i="1"/>
  <c r="GC400" i="1"/>
  <c r="GB400" i="1" s="1"/>
  <c r="FV400" i="1"/>
  <c r="FU400" i="1"/>
  <c r="FO400" i="1"/>
  <c r="FN400" i="1"/>
  <c r="FH400" i="1"/>
  <c r="FG400" i="1"/>
  <c r="FA400" i="1"/>
  <c r="EZ400" i="1" s="1"/>
  <c r="ET400" i="1"/>
  <c r="ES400" i="1"/>
  <c r="EM400" i="1"/>
  <c r="EL400" i="1" s="1"/>
  <c r="EF400" i="1"/>
  <c r="EE400" i="1"/>
  <c r="DY400" i="1"/>
  <c r="DX400" i="1" s="1"/>
  <c r="DR400" i="1"/>
  <c r="DQ400" i="1"/>
  <c r="DK400" i="1"/>
  <c r="DJ400" i="1"/>
  <c r="HX400" i="1" s="1"/>
  <c r="DD400" i="1"/>
  <c r="DC400" i="1"/>
  <c r="CW400" i="1"/>
  <c r="CV400" i="1" s="1"/>
  <c r="CP400" i="1"/>
  <c r="CO400" i="1"/>
  <c r="CN400" i="1"/>
  <c r="CF400" i="1"/>
  <c r="CD400" i="1"/>
  <c r="IE399" i="1"/>
  <c r="IB399" i="1"/>
  <c r="HZ399" i="1"/>
  <c r="HS399" i="1"/>
  <c r="HR399" i="1"/>
  <c r="HL399" i="1"/>
  <c r="HK399" i="1" s="1"/>
  <c r="HE399" i="1"/>
  <c r="HD399" i="1" s="1"/>
  <c r="GX399" i="1"/>
  <c r="GW399" i="1"/>
  <c r="GQ399" i="1"/>
  <c r="GP399" i="1" s="1"/>
  <c r="GJ399" i="1"/>
  <c r="GI399" i="1" s="1"/>
  <c r="GC399" i="1"/>
  <c r="GB399" i="1"/>
  <c r="FV399" i="1"/>
  <c r="FU399" i="1"/>
  <c r="FO399" i="1"/>
  <c r="FN399" i="1"/>
  <c r="FH399" i="1"/>
  <c r="FG399" i="1" s="1"/>
  <c r="FA399" i="1"/>
  <c r="EZ399" i="1" s="1"/>
  <c r="ET399" i="1"/>
  <c r="ES399" i="1"/>
  <c r="EM399" i="1"/>
  <c r="EL399" i="1" s="1"/>
  <c r="EF399" i="1"/>
  <c r="EE399" i="1" s="1"/>
  <c r="DY399" i="1"/>
  <c r="DX399" i="1"/>
  <c r="DR399" i="1"/>
  <c r="DQ399" i="1"/>
  <c r="DK399" i="1"/>
  <c r="DJ399" i="1" s="1"/>
  <c r="DD399" i="1"/>
  <c r="DC399" i="1" s="1"/>
  <c r="CW399" i="1"/>
  <c r="CV399" i="1" s="1"/>
  <c r="CP399" i="1"/>
  <c r="CO399" i="1"/>
  <c r="CN399" i="1"/>
  <c r="CF399" i="1"/>
  <c r="CD399" i="1"/>
  <c r="IE398" i="1"/>
  <c r="HZ398" i="1"/>
  <c r="HS398" i="1"/>
  <c r="HR398" i="1"/>
  <c r="HL398" i="1"/>
  <c r="HK398" i="1"/>
  <c r="HE398" i="1"/>
  <c r="HD398" i="1"/>
  <c r="GX398" i="1"/>
  <c r="GW398" i="1" s="1"/>
  <c r="GQ398" i="1"/>
  <c r="GP398" i="1"/>
  <c r="GJ398" i="1"/>
  <c r="GI398" i="1" s="1"/>
  <c r="GC398" i="1"/>
  <c r="GB398" i="1" s="1"/>
  <c r="FV398" i="1"/>
  <c r="FU398" i="1" s="1"/>
  <c r="FO398" i="1"/>
  <c r="FN398" i="1"/>
  <c r="FH398" i="1"/>
  <c r="FA398" i="1"/>
  <c r="EZ398" i="1"/>
  <c r="ET398" i="1"/>
  <c r="ES398" i="1" s="1"/>
  <c r="EM398" i="1"/>
  <c r="EL398" i="1"/>
  <c r="EF398" i="1"/>
  <c r="EE398" i="1" s="1"/>
  <c r="DY398" i="1"/>
  <c r="DX398" i="1" s="1"/>
  <c r="DR398" i="1"/>
  <c r="DQ398" i="1" s="1"/>
  <c r="DK398" i="1"/>
  <c r="DJ398" i="1"/>
  <c r="DD398" i="1"/>
  <c r="DC398" i="1"/>
  <c r="CW398" i="1"/>
  <c r="CV398" i="1" s="1"/>
  <c r="CP398" i="1"/>
  <c r="CO398" i="1" s="1"/>
  <c r="CN398" i="1"/>
  <c r="CF398" i="1"/>
  <c r="CD398" i="1"/>
  <c r="IE397" i="1"/>
  <c r="ID397" i="1"/>
  <c r="HZ397" i="1"/>
  <c r="IB397" i="1" s="1"/>
  <c r="HS397" i="1"/>
  <c r="HR397" i="1" s="1"/>
  <c r="HL397" i="1"/>
  <c r="HK397" i="1" s="1"/>
  <c r="HE397" i="1"/>
  <c r="HD397" i="1"/>
  <c r="GX397" i="1"/>
  <c r="GW397" i="1"/>
  <c r="GQ397" i="1"/>
  <c r="GP397" i="1"/>
  <c r="GJ397" i="1"/>
  <c r="GI397" i="1" s="1"/>
  <c r="GC397" i="1"/>
  <c r="GB397" i="1"/>
  <c r="FV397" i="1"/>
  <c r="FU397" i="1" s="1"/>
  <c r="FO397" i="1"/>
  <c r="FN397" i="1" s="1"/>
  <c r="FH397" i="1"/>
  <c r="FG397" i="1" s="1"/>
  <c r="FA397" i="1"/>
  <c r="EZ397" i="1"/>
  <c r="ET397" i="1"/>
  <c r="ES397" i="1" s="1"/>
  <c r="EM397" i="1"/>
  <c r="EL397" i="1"/>
  <c r="EF397" i="1"/>
  <c r="EE397" i="1" s="1"/>
  <c r="DY397" i="1"/>
  <c r="DX397" i="1"/>
  <c r="DR397" i="1"/>
  <c r="DQ397" i="1"/>
  <c r="DK397" i="1"/>
  <c r="DJ397" i="1" s="1"/>
  <c r="DD397" i="1"/>
  <c r="DC397" i="1" s="1"/>
  <c r="CW397" i="1"/>
  <c r="CV397" i="1"/>
  <c r="CP397" i="1"/>
  <c r="CO397" i="1"/>
  <c r="CN397" i="1"/>
  <c r="CF397" i="1"/>
  <c r="CD397" i="1"/>
  <c r="IE396" i="1"/>
  <c r="HZ396" i="1"/>
  <c r="HS396" i="1"/>
  <c r="HR396" i="1"/>
  <c r="HL396" i="1"/>
  <c r="HK396" i="1"/>
  <c r="HE396" i="1"/>
  <c r="HD396" i="1"/>
  <c r="GX396" i="1"/>
  <c r="GW396" i="1" s="1"/>
  <c r="GQ396" i="1"/>
  <c r="GP396" i="1"/>
  <c r="GJ396" i="1"/>
  <c r="GI396" i="1" s="1"/>
  <c r="GC396" i="1"/>
  <c r="GB396" i="1" s="1"/>
  <c r="FV396" i="1"/>
  <c r="FU396" i="1" s="1"/>
  <c r="FO396" i="1"/>
  <c r="FN396" i="1"/>
  <c r="FH396" i="1"/>
  <c r="FG396" i="1"/>
  <c r="FA396" i="1"/>
  <c r="EZ396" i="1"/>
  <c r="ET396" i="1"/>
  <c r="ES396" i="1" s="1"/>
  <c r="EM396" i="1"/>
  <c r="EL396" i="1"/>
  <c r="EF396" i="1"/>
  <c r="EE396" i="1" s="1"/>
  <c r="DY396" i="1"/>
  <c r="DX396" i="1" s="1"/>
  <c r="DR396" i="1"/>
  <c r="DQ396" i="1" s="1"/>
  <c r="DK396" i="1"/>
  <c r="DJ396" i="1"/>
  <c r="DD396" i="1"/>
  <c r="CW396" i="1"/>
  <c r="CV396" i="1"/>
  <c r="CP396" i="1"/>
  <c r="CO396" i="1" s="1"/>
  <c r="CN396" i="1"/>
  <c r="CF396" i="1"/>
  <c r="CD396" i="1"/>
  <c r="IE395" i="1"/>
  <c r="HZ395" i="1"/>
  <c r="IB395" i="1" s="1"/>
  <c r="HS395" i="1"/>
  <c r="HR395" i="1" s="1"/>
  <c r="HL395" i="1"/>
  <c r="HK395" i="1" s="1"/>
  <c r="HE395" i="1"/>
  <c r="HD395" i="1"/>
  <c r="GX395" i="1"/>
  <c r="GW395" i="1"/>
  <c r="GQ395" i="1"/>
  <c r="GP395" i="1"/>
  <c r="GJ395" i="1"/>
  <c r="GI395" i="1" s="1"/>
  <c r="GC395" i="1"/>
  <c r="GB395" i="1"/>
  <c r="FV395" i="1"/>
  <c r="FU395" i="1" s="1"/>
  <c r="FO395" i="1"/>
  <c r="FN395" i="1" s="1"/>
  <c r="FH395" i="1"/>
  <c r="FG395" i="1" s="1"/>
  <c r="FA395" i="1"/>
  <c r="EZ395" i="1"/>
  <c r="ET395" i="1"/>
  <c r="ES395" i="1"/>
  <c r="EM395" i="1"/>
  <c r="EL395" i="1"/>
  <c r="EF395" i="1"/>
  <c r="EE395" i="1" s="1"/>
  <c r="DY395" i="1"/>
  <c r="DX395" i="1"/>
  <c r="DR395" i="1"/>
  <c r="DQ395" i="1" s="1"/>
  <c r="DK395" i="1"/>
  <c r="DJ395" i="1" s="1"/>
  <c r="DD395" i="1"/>
  <c r="DC395" i="1" s="1"/>
  <c r="CW395" i="1"/>
  <c r="CV395" i="1"/>
  <c r="CP395" i="1"/>
  <c r="CO395" i="1" s="1"/>
  <c r="CN395" i="1"/>
  <c r="CF395" i="1"/>
  <c r="CD395" i="1"/>
  <c r="IE394" i="1"/>
  <c r="IB394" i="1"/>
  <c r="ID394" i="1" s="1"/>
  <c r="HZ394" i="1"/>
  <c r="HS394" i="1"/>
  <c r="HR394" i="1"/>
  <c r="HL394" i="1"/>
  <c r="HK394" i="1"/>
  <c r="HE394" i="1"/>
  <c r="HD394" i="1" s="1"/>
  <c r="GX394" i="1"/>
  <c r="GW394" i="1" s="1"/>
  <c r="GQ394" i="1"/>
  <c r="GP394" i="1"/>
  <c r="GJ394" i="1"/>
  <c r="GI394" i="1" s="1"/>
  <c r="GC394" i="1"/>
  <c r="GB394" i="1" s="1"/>
  <c r="FV394" i="1"/>
  <c r="FU394" i="1" s="1"/>
  <c r="FO394" i="1"/>
  <c r="FN394" i="1"/>
  <c r="FH394" i="1"/>
  <c r="FG394" i="1"/>
  <c r="FA394" i="1"/>
  <c r="EZ394" i="1"/>
  <c r="ET394" i="1"/>
  <c r="ES394" i="1" s="1"/>
  <c r="EM394" i="1"/>
  <c r="EL394" i="1"/>
  <c r="EF394" i="1"/>
  <c r="EE394" i="1" s="1"/>
  <c r="DY394" i="1"/>
  <c r="DX394" i="1" s="1"/>
  <c r="DR394" i="1"/>
  <c r="DQ394" i="1" s="1"/>
  <c r="DK394" i="1"/>
  <c r="DJ394" i="1"/>
  <c r="DD394" i="1"/>
  <c r="DC394" i="1"/>
  <c r="CW394" i="1"/>
  <c r="CV394" i="1"/>
  <c r="CP394" i="1"/>
  <c r="CO394" i="1"/>
  <c r="CN394" i="1"/>
  <c r="CF394" i="1"/>
  <c r="CD394" i="1"/>
  <c r="IE393" i="1"/>
  <c r="HZ393" i="1"/>
  <c r="IB393" i="1" s="1"/>
  <c r="ID393" i="1" s="1"/>
  <c r="HS393" i="1"/>
  <c r="HR393" i="1" s="1"/>
  <c r="HL393" i="1"/>
  <c r="HK393" i="1" s="1"/>
  <c r="HE393" i="1"/>
  <c r="HD393" i="1"/>
  <c r="GX393" i="1"/>
  <c r="GW393" i="1" s="1"/>
  <c r="GQ393" i="1"/>
  <c r="GP393" i="1" s="1"/>
  <c r="GJ393" i="1"/>
  <c r="GI393" i="1" s="1"/>
  <c r="GC393" i="1"/>
  <c r="GB393" i="1"/>
  <c r="FV393" i="1"/>
  <c r="FU393" i="1" s="1"/>
  <c r="FO393" i="1"/>
  <c r="FN393" i="1" s="1"/>
  <c r="FH393" i="1"/>
  <c r="FG393" i="1" s="1"/>
  <c r="FA393" i="1"/>
  <c r="EZ393" i="1"/>
  <c r="ET393" i="1"/>
  <c r="ES393" i="1" s="1"/>
  <c r="EM393" i="1"/>
  <c r="EL393" i="1" s="1"/>
  <c r="EF393" i="1"/>
  <c r="EE393" i="1" s="1"/>
  <c r="DY393" i="1"/>
  <c r="DX393" i="1"/>
  <c r="DR393" i="1"/>
  <c r="DQ393" i="1" s="1"/>
  <c r="DK393" i="1"/>
  <c r="DJ393" i="1" s="1"/>
  <c r="DD393" i="1"/>
  <c r="DC393" i="1" s="1"/>
  <c r="CW393" i="1"/>
  <c r="CV393" i="1"/>
  <c r="CP393" i="1"/>
  <c r="CN393" i="1"/>
  <c r="CF393" i="1"/>
  <c r="CD393" i="1"/>
  <c r="IE392" i="1"/>
  <c r="ID392" i="1"/>
  <c r="HZ392" i="1"/>
  <c r="IB392" i="1" s="1"/>
  <c r="HS392" i="1"/>
  <c r="HR392" i="1"/>
  <c r="HL392" i="1"/>
  <c r="HK392" i="1" s="1"/>
  <c r="HE392" i="1"/>
  <c r="HD392" i="1" s="1"/>
  <c r="GX392" i="1"/>
  <c r="GW392" i="1" s="1"/>
  <c r="GQ392" i="1"/>
  <c r="GP392" i="1" s="1"/>
  <c r="GJ392" i="1"/>
  <c r="GI392" i="1" s="1"/>
  <c r="GC392" i="1"/>
  <c r="GB392" i="1" s="1"/>
  <c r="FV392" i="1"/>
  <c r="FU392" i="1" s="1"/>
  <c r="FO392" i="1"/>
  <c r="FN392" i="1" s="1"/>
  <c r="FH392" i="1"/>
  <c r="FG392" i="1" s="1"/>
  <c r="FA392" i="1"/>
  <c r="EZ392" i="1" s="1"/>
  <c r="ET392" i="1"/>
  <c r="ES392" i="1" s="1"/>
  <c r="EM392" i="1"/>
  <c r="EL392" i="1"/>
  <c r="EF392" i="1"/>
  <c r="EE392" i="1" s="1"/>
  <c r="DY392" i="1"/>
  <c r="DX392" i="1" s="1"/>
  <c r="DR392" i="1"/>
  <c r="DQ392" i="1" s="1"/>
  <c r="DK392" i="1"/>
  <c r="DJ392" i="1" s="1"/>
  <c r="DD392" i="1"/>
  <c r="DC392" i="1" s="1"/>
  <c r="CW392" i="1"/>
  <c r="CV392" i="1" s="1"/>
  <c r="CP392" i="1"/>
  <c r="CO392" i="1" s="1"/>
  <c r="CN392" i="1"/>
  <c r="CF392" i="1"/>
  <c r="CD392" i="1"/>
  <c r="IE391" i="1"/>
  <c r="HZ391" i="1"/>
  <c r="HS391" i="1"/>
  <c r="HR391" i="1" s="1"/>
  <c r="HL391" i="1"/>
  <c r="HK391" i="1" s="1"/>
  <c r="HE391" i="1"/>
  <c r="HD391" i="1" s="1"/>
  <c r="GX391" i="1"/>
  <c r="GW391" i="1" s="1"/>
  <c r="GQ391" i="1"/>
  <c r="GP391" i="1" s="1"/>
  <c r="GJ391" i="1"/>
  <c r="GI391" i="1" s="1"/>
  <c r="GC391" i="1"/>
  <c r="GB391" i="1"/>
  <c r="FV391" i="1"/>
  <c r="FU391" i="1" s="1"/>
  <c r="FO391" i="1"/>
  <c r="FN391" i="1" s="1"/>
  <c r="FH391" i="1"/>
  <c r="FG391" i="1" s="1"/>
  <c r="FA391" i="1"/>
  <c r="EZ391" i="1" s="1"/>
  <c r="ET391" i="1"/>
  <c r="ES391" i="1" s="1"/>
  <c r="EM391" i="1"/>
  <c r="EL391" i="1" s="1"/>
  <c r="EF391" i="1"/>
  <c r="EE391" i="1" s="1"/>
  <c r="DY391" i="1"/>
  <c r="DX391" i="1"/>
  <c r="DR391" i="1"/>
  <c r="DQ391" i="1" s="1"/>
  <c r="DK391" i="1"/>
  <c r="DJ391" i="1" s="1"/>
  <c r="DD391" i="1"/>
  <c r="DC391" i="1" s="1"/>
  <c r="CW391" i="1"/>
  <c r="CV391" i="1"/>
  <c r="CP391" i="1"/>
  <c r="CN391" i="1"/>
  <c r="CF391" i="1"/>
  <c r="CD391" i="1"/>
  <c r="IE390" i="1"/>
  <c r="ID390" i="1"/>
  <c r="HZ390" i="1"/>
  <c r="IB390" i="1" s="1"/>
  <c r="HS390" i="1"/>
  <c r="HR390" i="1"/>
  <c r="HL390" i="1"/>
  <c r="HK390" i="1" s="1"/>
  <c r="HE390" i="1"/>
  <c r="HD390" i="1" s="1"/>
  <c r="GX390" i="1"/>
  <c r="GW390" i="1" s="1"/>
  <c r="GQ390" i="1"/>
  <c r="GP390" i="1"/>
  <c r="GJ390" i="1"/>
  <c r="GI390" i="1" s="1"/>
  <c r="GC390" i="1"/>
  <c r="GB390" i="1" s="1"/>
  <c r="FV390" i="1"/>
  <c r="FU390" i="1" s="1"/>
  <c r="FO390" i="1"/>
  <c r="FN390" i="1"/>
  <c r="FH390" i="1"/>
  <c r="FG390" i="1" s="1"/>
  <c r="FA390" i="1"/>
  <c r="EZ390" i="1" s="1"/>
  <c r="ET390" i="1"/>
  <c r="ES390" i="1" s="1"/>
  <c r="EM390" i="1"/>
  <c r="EL390" i="1"/>
  <c r="EF390" i="1"/>
  <c r="EE390" i="1" s="1"/>
  <c r="DY390" i="1"/>
  <c r="DX390" i="1" s="1"/>
  <c r="DR390" i="1"/>
  <c r="DQ390" i="1" s="1"/>
  <c r="DK390" i="1"/>
  <c r="DJ390" i="1" s="1"/>
  <c r="DD390" i="1"/>
  <c r="DC390" i="1" s="1"/>
  <c r="CW390" i="1"/>
  <c r="CV390" i="1" s="1"/>
  <c r="CP390" i="1"/>
  <c r="CO390" i="1" s="1"/>
  <c r="CN390" i="1"/>
  <c r="CF390" i="1"/>
  <c r="CD390" i="1"/>
  <c r="IE389" i="1"/>
  <c r="HZ389" i="1"/>
  <c r="HS389" i="1"/>
  <c r="HR389" i="1" s="1"/>
  <c r="HL389" i="1"/>
  <c r="HK389" i="1" s="1"/>
  <c r="HE389" i="1"/>
  <c r="HD389" i="1" s="1"/>
  <c r="GX389" i="1"/>
  <c r="GW389" i="1" s="1"/>
  <c r="GQ389" i="1"/>
  <c r="GP389" i="1" s="1"/>
  <c r="GJ389" i="1"/>
  <c r="GI389" i="1" s="1"/>
  <c r="GC389" i="1"/>
  <c r="GB389" i="1"/>
  <c r="FV389" i="1"/>
  <c r="FU389" i="1" s="1"/>
  <c r="FO389" i="1"/>
  <c r="FN389" i="1" s="1"/>
  <c r="FH389" i="1"/>
  <c r="FG389" i="1" s="1"/>
  <c r="FA389" i="1"/>
  <c r="EZ389" i="1"/>
  <c r="ET389" i="1"/>
  <c r="ES389" i="1" s="1"/>
  <c r="EM389" i="1"/>
  <c r="EL389" i="1" s="1"/>
  <c r="EF389" i="1"/>
  <c r="EE389" i="1" s="1"/>
  <c r="DY389" i="1"/>
  <c r="DX389" i="1"/>
  <c r="DR389" i="1"/>
  <c r="DQ389" i="1" s="1"/>
  <c r="DK389" i="1"/>
  <c r="DJ389" i="1" s="1"/>
  <c r="DD389" i="1"/>
  <c r="DC389" i="1" s="1"/>
  <c r="CW389" i="1"/>
  <c r="CV389" i="1"/>
  <c r="CP389" i="1"/>
  <c r="CO389" i="1" s="1"/>
  <c r="CN389" i="1"/>
  <c r="CF389" i="1"/>
  <c r="CD389" i="1"/>
  <c r="IE388" i="1"/>
  <c r="HZ388" i="1"/>
  <c r="IB388" i="1" s="1"/>
  <c r="ID388" i="1" s="1"/>
  <c r="HS388" i="1"/>
  <c r="HR388" i="1"/>
  <c r="HL388" i="1"/>
  <c r="HK388" i="1" s="1"/>
  <c r="HE388" i="1"/>
  <c r="HD388" i="1" s="1"/>
  <c r="GX388" i="1"/>
  <c r="GW388" i="1" s="1"/>
  <c r="GQ388" i="1"/>
  <c r="GP388" i="1"/>
  <c r="GJ388" i="1"/>
  <c r="GI388" i="1" s="1"/>
  <c r="GC388" i="1"/>
  <c r="GB388" i="1" s="1"/>
  <c r="FV388" i="1"/>
  <c r="FU388" i="1" s="1"/>
  <c r="FO388" i="1"/>
  <c r="FN388" i="1" s="1"/>
  <c r="FH388" i="1"/>
  <c r="FG388" i="1" s="1"/>
  <c r="FA388" i="1"/>
  <c r="EZ388" i="1" s="1"/>
  <c r="ET388" i="1"/>
  <c r="ES388" i="1" s="1"/>
  <c r="EM388" i="1"/>
  <c r="EL388" i="1" s="1"/>
  <c r="EF388" i="1"/>
  <c r="DY388" i="1"/>
  <c r="DX388" i="1" s="1"/>
  <c r="DR388" i="1"/>
  <c r="DQ388" i="1" s="1"/>
  <c r="DK388" i="1"/>
  <c r="DJ388" i="1"/>
  <c r="DD388" i="1"/>
  <c r="DC388" i="1" s="1"/>
  <c r="CW388" i="1"/>
  <c r="CV388" i="1" s="1"/>
  <c r="CP388" i="1"/>
  <c r="CO388" i="1" s="1"/>
  <c r="CN388" i="1"/>
  <c r="CF388" i="1"/>
  <c r="CD388" i="1"/>
  <c r="IE387" i="1"/>
  <c r="HZ387" i="1"/>
  <c r="HS387" i="1"/>
  <c r="HR387" i="1" s="1"/>
  <c r="HL387" i="1"/>
  <c r="HK387" i="1" s="1"/>
  <c r="HE387" i="1"/>
  <c r="HD387" i="1"/>
  <c r="GX387" i="1"/>
  <c r="GW387" i="1" s="1"/>
  <c r="GQ387" i="1"/>
  <c r="GP387" i="1" s="1"/>
  <c r="GJ387" i="1"/>
  <c r="GI387" i="1"/>
  <c r="GC387" i="1"/>
  <c r="GB387" i="1" s="1"/>
  <c r="FV387" i="1"/>
  <c r="FU387" i="1" s="1"/>
  <c r="FO387" i="1"/>
  <c r="FN387" i="1" s="1"/>
  <c r="FH387" i="1"/>
  <c r="FG387" i="1"/>
  <c r="FA387" i="1"/>
  <c r="EZ387" i="1"/>
  <c r="ET387" i="1"/>
  <c r="ES387" i="1" s="1"/>
  <c r="EM387" i="1"/>
  <c r="EL387" i="1" s="1"/>
  <c r="EF387" i="1"/>
  <c r="EE387" i="1"/>
  <c r="DY387" i="1"/>
  <c r="DX387" i="1"/>
  <c r="DR387" i="1"/>
  <c r="DQ387" i="1" s="1"/>
  <c r="DK387" i="1"/>
  <c r="DJ387" i="1" s="1"/>
  <c r="DD387" i="1"/>
  <c r="DC387" i="1" s="1"/>
  <c r="CW387" i="1"/>
  <c r="CV387" i="1"/>
  <c r="CP387" i="1"/>
  <c r="CO387" i="1" s="1"/>
  <c r="CN387" i="1"/>
  <c r="CF387" i="1"/>
  <c r="CD387" i="1"/>
  <c r="IE386" i="1"/>
  <c r="HZ386" i="1"/>
  <c r="IB386" i="1" s="1"/>
  <c r="ID386" i="1" s="1"/>
  <c r="HS386" i="1"/>
  <c r="HR386" i="1" s="1"/>
  <c r="HL386" i="1"/>
  <c r="HK386" i="1" s="1"/>
  <c r="HE386" i="1"/>
  <c r="HD386" i="1"/>
  <c r="GX386" i="1"/>
  <c r="GW386" i="1" s="1"/>
  <c r="GQ386" i="1"/>
  <c r="GP386" i="1" s="1"/>
  <c r="GJ386" i="1"/>
  <c r="GI386" i="1" s="1"/>
  <c r="GC386" i="1"/>
  <c r="GB386" i="1"/>
  <c r="FV386" i="1"/>
  <c r="FU386" i="1"/>
  <c r="FO386" i="1"/>
  <c r="FN386" i="1"/>
  <c r="FH386" i="1"/>
  <c r="FG386" i="1" s="1"/>
  <c r="FA386" i="1"/>
  <c r="EZ386" i="1"/>
  <c r="ET386" i="1"/>
  <c r="ES386" i="1"/>
  <c r="EM386" i="1"/>
  <c r="EL386" i="1" s="1"/>
  <c r="EF386" i="1"/>
  <c r="EE386" i="1" s="1"/>
  <c r="DY386" i="1"/>
  <c r="DX386" i="1" s="1"/>
  <c r="DR386" i="1"/>
  <c r="DQ386" i="1"/>
  <c r="DK386" i="1"/>
  <c r="DJ386" i="1"/>
  <c r="DD386" i="1"/>
  <c r="DC386" i="1" s="1"/>
  <c r="CW386" i="1"/>
  <c r="CP386" i="1"/>
  <c r="CO386" i="1"/>
  <c r="CN386" i="1"/>
  <c r="CF386" i="1"/>
  <c r="CD386" i="1"/>
  <c r="IE385" i="1"/>
  <c r="ID385" i="1"/>
  <c r="HZ385" i="1"/>
  <c r="IB385" i="1" s="1"/>
  <c r="HS385" i="1"/>
  <c r="HR385" i="1" s="1"/>
  <c r="HL385" i="1"/>
  <c r="HK385" i="1" s="1"/>
  <c r="HE385" i="1"/>
  <c r="HD385" i="1"/>
  <c r="GX385" i="1"/>
  <c r="GW385" i="1" s="1"/>
  <c r="GQ385" i="1"/>
  <c r="GP385" i="1"/>
  <c r="GJ385" i="1"/>
  <c r="GI385" i="1"/>
  <c r="GC385" i="1"/>
  <c r="GB385" i="1" s="1"/>
  <c r="FV385" i="1"/>
  <c r="FU385" i="1" s="1"/>
  <c r="FO385" i="1"/>
  <c r="FN385" i="1"/>
  <c r="FH385" i="1"/>
  <c r="FG385" i="1" s="1"/>
  <c r="FA385" i="1"/>
  <c r="EZ385" i="1" s="1"/>
  <c r="ET385" i="1"/>
  <c r="ES385" i="1" s="1"/>
  <c r="EM385" i="1"/>
  <c r="EL385" i="1"/>
  <c r="EF385" i="1"/>
  <c r="EE385" i="1"/>
  <c r="DY385" i="1"/>
  <c r="DX385" i="1"/>
  <c r="DR385" i="1"/>
  <c r="DQ385" i="1" s="1"/>
  <c r="DK385" i="1"/>
  <c r="DJ385" i="1"/>
  <c r="DD385" i="1"/>
  <c r="DC385" i="1"/>
  <c r="CW385" i="1"/>
  <c r="CV385" i="1" s="1"/>
  <c r="CP385" i="1"/>
  <c r="CN385" i="1"/>
  <c r="CF385" i="1"/>
  <c r="CD385" i="1"/>
  <c r="IE384" i="1"/>
  <c r="HZ384" i="1"/>
  <c r="HS384" i="1"/>
  <c r="HR384" i="1"/>
  <c r="HL384" i="1"/>
  <c r="HK384" i="1" s="1"/>
  <c r="HE384" i="1"/>
  <c r="HD384" i="1"/>
  <c r="GX384" i="1"/>
  <c r="GW384" i="1" s="1"/>
  <c r="GQ384" i="1"/>
  <c r="GP384" i="1"/>
  <c r="GJ384" i="1"/>
  <c r="GI384" i="1" s="1"/>
  <c r="GC384" i="1"/>
  <c r="GB384" i="1" s="1"/>
  <c r="FV384" i="1"/>
  <c r="FU384" i="1" s="1"/>
  <c r="FO384" i="1"/>
  <c r="FN384" i="1"/>
  <c r="FH384" i="1"/>
  <c r="FG384" i="1" s="1"/>
  <c r="FA384" i="1"/>
  <c r="EZ384" i="1"/>
  <c r="ET384" i="1"/>
  <c r="ES384" i="1"/>
  <c r="EM384" i="1"/>
  <c r="EL384" i="1" s="1"/>
  <c r="EF384" i="1"/>
  <c r="EE384" i="1" s="1"/>
  <c r="DY384" i="1"/>
  <c r="DX384" i="1"/>
  <c r="DR384" i="1"/>
  <c r="DQ384" i="1" s="1"/>
  <c r="DK384" i="1"/>
  <c r="DJ384" i="1" s="1"/>
  <c r="DD384" i="1"/>
  <c r="DC384" i="1" s="1"/>
  <c r="CW384" i="1"/>
  <c r="CV384" i="1"/>
  <c r="CP384" i="1"/>
  <c r="CO384" i="1"/>
  <c r="CN384" i="1"/>
  <c r="CF384" i="1"/>
  <c r="CD384" i="1"/>
  <c r="IE383" i="1"/>
  <c r="HZ383" i="1"/>
  <c r="HS383" i="1"/>
  <c r="HR383" i="1" s="1"/>
  <c r="HL383" i="1"/>
  <c r="HK383" i="1"/>
  <c r="HE383" i="1"/>
  <c r="HD383" i="1"/>
  <c r="GX383" i="1"/>
  <c r="GW383" i="1" s="1"/>
  <c r="GQ383" i="1"/>
  <c r="GP383" i="1" s="1"/>
  <c r="GJ383" i="1"/>
  <c r="GI383" i="1"/>
  <c r="GC383" i="1"/>
  <c r="GB383" i="1"/>
  <c r="FV383" i="1"/>
  <c r="FU383" i="1" s="1"/>
  <c r="FO383" i="1"/>
  <c r="FN383" i="1"/>
  <c r="FH383" i="1"/>
  <c r="FG383" i="1" s="1"/>
  <c r="FA383" i="1"/>
  <c r="EZ383" i="1"/>
  <c r="ET383" i="1"/>
  <c r="ES383" i="1" s="1"/>
  <c r="EM383" i="1"/>
  <c r="EL383" i="1" s="1"/>
  <c r="EF383" i="1"/>
  <c r="EE383" i="1"/>
  <c r="DY383" i="1"/>
  <c r="DX383" i="1"/>
  <c r="DR383" i="1"/>
  <c r="DQ383" i="1" s="1"/>
  <c r="DK383" i="1"/>
  <c r="DJ383" i="1"/>
  <c r="DD383" i="1"/>
  <c r="DC383" i="1"/>
  <c r="CW383" i="1"/>
  <c r="CP383" i="1"/>
  <c r="CO383" i="1" s="1"/>
  <c r="CN383" i="1"/>
  <c r="CF383" i="1"/>
  <c r="CD383" i="1"/>
  <c r="IE382" i="1"/>
  <c r="ID382" i="1"/>
  <c r="HZ382" i="1"/>
  <c r="IB382" i="1" s="1"/>
  <c r="HS382" i="1"/>
  <c r="HR382" i="1"/>
  <c r="HL382" i="1"/>
  <c r="HK382" i="1" s="1"/>
  <c r="HE382" i="1"/>
  <c r="HD382" i="1"/>
  <c r="GX382" i="1"/>
  <c r="GW382" i="1" s="1"/>
  <c r="GQ382" i="1"/>
  <c r="GP382" i="1" s="1"/>
  <c r="GJ382" i="1"/>
  <c r="GI382" i="1" s="1"/>
  <c r="GC382" i="1"/>
  <c r="GB382" i="1" s="1"/>
  <c r="FV382" i="1"/>
  <c r="FU382" i="1"/>
  <c r="FO382" i="1"/>
  <c r="FN382" i="1"/>
  <c r="FH382" i="1"/>
  <c r="FG382" i="1" s="1"/>
  <c r="FA382" i="1"/>
  <c r="EZ382" i="1" s="1"/>
  <c r="ET382" i="1"/>
  <c r="ES382" i="1"/>
  <c r="EM382" i="1"/>
  <c r="EL382" i="1" s="1"/>
  <c r="EF382" i="1"/>
  <c r="EE382" i="1" s="1"/>
  <c r="DY382" i="1"/>
  <c r="DX382" i="1"/>
  <c r="DR382" i="1"/>
  <c r="DQ382" i="1" s="1"/>
  <c r="DK382" i="1"/>
  <c r="DJ382" i="1"/>
  <c r="DD382" i="1"/>
  <c r="DC382" i="1" s="1"/>
  <c r="CW382" i="1"/>
  <c r="CV382" i="1" s="1"/>
  <c r="CP382" i="1"/>
  <c r="CO382" i="1" s="1"/>
  <c r="CN382" i="1"/>
  <c r="CF382" i="1"/>
  <c r="CD382" i="1"/>
  <c r="IE381" i="1"/>
  <c r="IB381" i="1"/>
  <c r="ID381" i="1" s="1"/>
  <c r="HZ381" i="1"/>
  <c r="HS381" i="1"/>
  <c r="HR381" i="1" s="1"/>
  <c r="HL381" i="1"/>
  <c r="HK381" i="1" s="1"/>
  <c r="HE381" i="1"/>
  <c r="HD381" i="1" s="1"/>
  <c r="GX381" i="1"/>
  <c r="GW381" i="1" s="1"/>
  <c r="GQ381" i="1"/>
  <c r="GP381" i="1"/>
  <c r="GJ381" i="1"/>
  <c r="GI381" i="1"/>
  <c r="GC381" i="1"/>
  <c r="GB381" i="1"/>
  <c r="FV381" i="1"/>
  <c r="FU381" i="1" s="1"/>
  <c r="FO381" i="1"/>
  <c r="FN381" i="1"/>
  <c r="FH381" i="1"/>
  <c r="FG381" i="1" s="1"/>
  <c r="FA381" i="1"/>
  <c r="EZ381" i="1" s="1"/>
  <c r="ET381" i="1"/>
  <c r="ES381" i="1" s="1"/>
  <c r="EM381" i="1"/>
  <c r="EL381" i="1" s="1"/>
  <c r="EF381" i="1"/>
  <c r="EE381" i="1"/>
  <c r="DY381" i="1"/>
  <c r="DX381" i="1"/>
  <c r="DR381" i="1"/>
  <c r="DQ381" i="1" s="1"/>
  <c r="DK381" i="1"/>
  <c r="DJ381" i="1" s="1"/>
  <c r="DD381" i="1"/>
  <c r="DC381" i="1"/>
  <c r="CW381" i="1"/>
  <c r="CV381" i="1" s="1"/>
  <c r="CP381" i="1"/>
  <c r="CO381" i="1" s="1"/>
  <c r="CN381" i="1"/>
  <c r="CF381" i="1"/>
  <c r="CD381" i="1"/>
  <c r="IE380" i="1"/>
  <c r="HZ380" i="1"/>
  <c r="IB380" i="1" s="1"/>
  <c r="HY380" i="1"/>
  <c r="HS380" i="1"/>
  <c r="HR380" i="1"/>
  <c r="HL380" i="1"/>
  <c r="HK380" i="1" s="1"/>
  <c r="HE380" i="1"/>
  <c r="HD380" i="1"/>
  <c r="GX380" i="1"/>
  <c r="GW380" i="1"/>
  <c r="GQ380" i="1"/>
  <c r="GP380" i="1" s="1"/>
  <c r="GJ380" i="1"/>
  <c r="GI380" i="1" s="1"/>
  <c r="GC380" i="1"/>
  <c r="GB380" i="1" s="1"/>
  <c r="FV380" i="1"/>
  <c r="FU380" i="1" s="1"/>
  <c r="FO380" i="1"/>
  <c r="FN380" i="1" s="1"/>
  <c r="FH380" i="1"/>
  <c r="FG380" i="1" s="1"/>
  <c r="FA380" i="1"/>
  <c r="EZ380" i="1"/>
  <c r="ET380" i="1"/>
  <c r="ES380" i="1"/>
  <c r="EM380" i="1"/>
  <c r="EL380" i="1"/>
  <c r="EF380" i="1"/>
  <c r="EE380" i="1" s="1"/>
  <c r="DY380" i="1"/>
  <c r="DX380" i="1"/>
  <c r="DR380" i="1"/>
  <c r="DQ380" i="1" s="1"/>
  <c r="DK380" i="1"/>
  <c r="DJ380" i="1" s="1"/>
  <c r="DD380" i="1"/>
  <c r="DC380" i="1" s="1"/>
  <c r="CW380" i="1"/>
  <c r="CV380" i="1" s="1"/>
  <c r="CP380" i="1"/>
  <c r="CO380" i="1"/>
  <c r="CN380" i="1"/>
  <c r="CF380" i="1"/>
  <c r="CD380" i="1"/>
  <c r="IE379" i="1"/>
  <c r="ID379" i="1"/>
  <c r="HZ379" i="1"/>
  <c r="IB379" i="1" s="1"/>
  <c r="HS379" i="1"/>
  <c r="HR379" i="1"/>
  <c r="HL379" i="1"/>
  <c r="HK379" i="1" s="1"/>
  <c r="HE379" i="1"/>
  <c r="HD379" i="1"/>
  <c r="GX379" i="1"/>
  <c r="GW379" i="1" s="1"/>
  <c r="GQ379" i="1"/>
  <c r="GP379" i="1" s="1"/>
  <c r="GJ379" i="1"/>
  <c r="GI379" i="1"/>
  <c r="GC379" i="1"/>
  <c r="GB379" i="1"/>
  <c r="FV379" i="1"/>
  <c r="FU379" i="1" s="1"/>
  <c r="FO379" i="1"/>
  <c r="FN379" i="1"/>
  <c r="FH379" i="1"/>
  <c r="FG379" i="1"/>
  <c r="FA379" i="1"/>
  <c r="EZ379" i="1" s="1"/>
  <c r="ET379" i="1"/>
  <c r="ES379" i="1" s="1"/>
  <c r="EM379" i="1"/>
  <c r="EL379" i="1" s="1"/>
  <c r="EF379" i="1"/>
  <c r="EE379" i="1" s="1"/>
  <c r="DY379" i="1"/>
  <c r="DX379" i="1"/>
  <c r="DR379" i="1"/>
  <c r="DQ379" i="1" s="1"/>
  <c r="DK379" i="1"/>
  <c r="DJ379" i="1"/>
  <c r="DD379" i="1"/>
  <c r="DC379" i="1"/>
  <c r="CW379" i="1"/>
  <c r="CV379" i="1"/>
  <c r="CP379" i="1"/>
  <c r="CN379" i="1"/>
  <c r="CF379" i="1"/>
  <c r="CD379" i="1"/>
  <c r="IE378" i="1"/>
  <c r="ID378" i="1"/>
  <c r="HZ378" i="1"/>
  <c r="IB378" i="1" s="1"/>
  <c r="HS378" i="1"/>
  <c r="HR378" i="1"/>
  <c r="HL378" i="1"/>
  <c r="HK378" i="1" s="1"/>
  <c r="HE378" i="1"/>
  <c r="HD378" i="1"/>
  <c r="GX378" i="1"/>
  <c r="GW378" i="1"/>
  <c r="GQ378" i="1"/>
  <c r="GP378" i="1"/>
  <c r="GJ378" i="1"/>
  <c r="GI378" i="1" s="1"/>
  <c r="GC378" i="1"/>
  <c r="GB378" i="1"/>
  <c r="FV378" i="1"/>
  <c r="FU378" i="1" s="1"/>
  <c r="FO378" i="1"/>
  <c r="FN378" i="1"/>
  <c r="FH378" i="1"/>
  <c r="FG378" i="1" s="1"/>
  <c r="FA378" i="1"/>
  <c r="EZ378" i="1" s="1"/>
  <c r="ET378" i="1"/>
  <c r="ES378" i="1"/>
  <c r="EM378" i="1"/>
  <c r="EL378" i="1"/>
  <c r="EF378" i="1"/>
  <c r="EE378" i="1" s="1"/>
  <c r="DY378" i="1"/>
  <c r="DX378" i="1"/>
  <c r="DR378" i="1"/>
  <c r="DQ378" i="1"/>
  <c r="DK378" i="1"/>
  <c r="DJ378" i="1" s="1"/>
  <c r="DD378" i="1"/>
  <c r="DC378" i="1" s="1"/>
  <c r="CW378" i="1"/>
  <c r="CV378" i="1" s="1"/>
  <c r="CP378" i="1"/>
  <c r="CN378" i="1"/>
  <c r="CF378" i="1"/>
  <c r="CD378" i="1"/>
  <c r="IE377" i="1"/>
  <c r="HZ377" i="1"/>
  <c r="HS377" i="1"/>
  <c r="HR377" i="1"/>
  <c r="HL377" i="1"/>
  <c r="HK377" i="1" s="1"/>
  <c r="HE377" i="1"/>
  <c r="HD377" i="1" s="1"/>
  <c r="GX377" i="1"/>
  <c r="GW377" i="1" s="1"/>
  <c r="GQ377" i="1"/>
  <c r="GP377" i="1" s="1"/>
  <c r="GJ377" i="1"/>
  <c r="GI377" i="1"/>
  <c r="GC377" i="1"/>
  <c r="GB377" i="1"/>
  <c r="FV377" i="1"/>
  <c r="FU377" i="1" s="1"/>
  <c r="FO377" i="1"/>
  <c r="FN377" i="1" s="1"/>
  <c r="FH377" i="1"/>
  <c r="FG377" i="1"/>
  <c r="FA377" i="1"/>
  <c r="EZ377" i="1" s="1"/>
  <c r="ET377" i="1"/>
  <c r="ES377" i="1" s="1"/>
  <c r="EM377" i="1"/>
  <c r="EL377" i="1"/>
  <c r="EF377" i="1"/>
  <c r="EE377" i="1" s="1"/>
  <c r="DY377" i="1"/>
  <c r="DX377" i="1"/>
  <c r="DR377" i="1"/>
  <c r="DQ377" i="1" s="1"/>
  <c r="DK377" i="1"/>
  <c r="DJ377" i="1" s="1"/>
  <c r="DD377" i="1"/>
  <c r="HY377" i="1" s="1"/>
  <c r="DC377" i="1"/>
  <c r="CW377" i="1"/>
  <c r="CV377" i="1"/>
  <c r="CP377" i="1"/>
  <c r="CO377" i="1" s="1"/>
  <c r="CN377" i="1"/>
  <c r="CF377" i="1"/>
  <c r="CD377" i="1"/>
  <c r="IE376" i="1"/>
  <c r="HZ376" i="1"/>
  <c r="IB376" i="1" s="1"/>
  <c r="HS376" i="1"/>
  <c r="HR376" i="1" s="1"/>
  <c r="HL376" i="1"/>
  <c r="HK376" i="1" s="1"/>
  <c r="HE376" i="1"/>
  <c r="HD376" i="1"/>
  <c r="GX376" i="1"/>
  <c r="GW376" i="1"/>
  <c r="GQ376" i="1"/>
  <c r="GP376" i="1"/>
  <c r="GJ376" i="1"/>
  <c r="GI376" i="1" s="1"/>
  <c r="GC376" i="1"/>
  <c r="GB376" i="1"/>
  <c r="FV376" i="1"/>
  <c r="FU376" i="1"/>
  <c r="FO376" i="1"/>
  <c r="FN376" i="1" s="1"/>
  <c r="FH376" i="1"/>
  <c r="FG376" i="1" s="1"/>
  <c r="FA376" i="1"/>
  <c r="EZ376" i="1" s="1"/>
  <c r="ET376" i="1"/>
  <c r="ES376" i="1"/>
  <c r="EM376" i="1"/>
  <c r="EL376" i="1"/>
  <c r="EF376" i="1"/>
  <c r="EE376" i="1" s="1"/>
  <c r="DY376" i="1"/>
  <c r="DX376" i="1" s="1"/>
  <c r="DR376" i="1"/>
  <c r="DQ376" i="1"/>
  <c r="DK376" i="1"/>
  <c r="DJ376" i="1"/>
  <c r="DD376" i="1"/>
  <c r="DC376" i="1" s="1"/>
  <c r="CW376" i="1"/>
  <c r="CV376" i="1"/>
  <c r="CP376" i="1"/>
  <c r="CN376" i="1"/>
  <c r="CF376" i="1"/>
  <c r="CD376" i="1"/>
  <c r="IE375" i="1"/>
  <c r="IB375" i="1"/>
  <c r="ID375" i="1" s="1"/>
  <c r="HZ375" i="1"/>
  <c r="HS375" i="1"/>
  <c r="HR375" i="1"/>
  <c r="HL375" i="1"/>
  <c r="HK375" i="1"/>
  <c r="HE375" i="1"/>
  <c r="HD375" i="1" s="1"/>
  <c r="GX375" i="1"/>
  <c r="GW375" i="1" s="1"/>
  <c r="GQ375" i="1"/>
  <c r="GP375" i="1"/>
  <c r="GJ375" i="1"/>
  <c r="GI375" i="1" s="1"/>
  <c r="GC375" i="1"/>
  <c r="GB375" i="1" s="1"/>
  <c r="FV375" i="1"/>
  <c r="FU375" i="1" s="1"/>
  <c r="FO375" i="1"/>
  <c r="FN375" i="1"/>
  <c r="FH375" i="1"/>
  <c r="FG375" i="1"/>
  <c r="FA375" i="1"/>
  <c r="EZ375" i="1"/>
  <c r="ET375" i="1"/>
  <c r="ES375" i="1" s="1"/>
  <c r="EM375" i="1"/>
  <c r="EL375" i="1"/>
  <c r="EF375" i="1"/>
  <c r="EE375" i="1"/>
  <c r="DY375" i="1"/>
  <c r="DX375" i="1" s="1"/>
  <c r="DR375" i="1"/>
  <c r="DQ375" i="1" s="1"/>
  <c r="DK375" i="1"/>
  <c r="DJ375" i="1" s="1"/>
  <c r="DD375" i="1"/>
  <c r="DC375" i="1"/>
  <c r="CW375" i="1"/>
  <c r="CV375" i="1"/>
  <c r="CP375" i="1"/>
  <c r="CO375" i="1"/>
  <c r="CN375" i="1"/>
  <c r="CF375" i="1"/>
  <c r="CD375" i="1"/>
  <c r="IE374" i="1"/>
  <c r="IB374" i="1"/>
  <c r="ID374" i="1" s="1"/>
  <c r="HZ374" i="1"/>
  <c r="HS374" i="1"/>
  <c r="HR374" i="1"/>
  <c r="HL374" i="1"/>
  <c r="HK374" i="1"/>
  <c r="HE374" i="1"/>
  <c r="HD374" i="1" s="1"/>
  <c r="GX374" i="1"/>
  <c r="GW374" i="1"/>
  <c r="GQ374" i="1"/>
  <c r="GP374" i="1"/>
  <c r="GJ374" i="1"/>
  <c r="GI374" i="1"/>
  <c r="GC374" i="1"/>
  <c r="GB374" i="1" s="1"/>
  <c r="FV374" i="1"/>
  <c r="FU374" i="1"/>
  <c r="FO374" i="1"/>
  <c r="FN374" i="1"/>
  <c r="FH374" i="1"/>
  <c r="FG374" i="1"/>
  <c r="FA374" i="1"/>
  <c r="EZ374" i="1" s="1"/>
  <c r="ET374" i="1"/>
  <c r="ES374" i="1"/>
  <c r="EM374" i="1"/>
  <c r="EL374" i="1"/>
  <c r="EF374" i="1"/>
  <c r="EE374" i="1"/>
  <c r="DY374" i="1"/>
  <c r="DX374" i="1" s="1"/>
  <c r="DR374" i="1"/>
  <c r="DQ374" i="1"/>
  <c r="DK374" i="1"/>
  <c r="DJ374" i="1"/>
  <c r="DD374" i="1"/>
  <c r="DC374" i="1"/>
  <c r="CW374" i="1"/>
  <c r="CV374" i="1" s="1"/>
  <c r="CP374" i="1"/>
  <c r="CO374" i="1"/>
  <c r="HX374" i="1" s="1"/>
  <c r="CN374" i="1"/>
  <c r="CF374" i="1"/>
  <c r="CD374" i="1"/>
  <c r="IE373" i="1"/>
  <c r="HZ373" i="1"/>
  <c r="HS373" i="1"/>
  <c r="HR373" i="1" s="1"/>
  <c r="HL373" i="1"/>
  <c r="HK373" i="1"/>
  <c r="HE373" i="1"/>
  <c r="HD373" i="1"/>
  <c r="GX373" i="1"/>
  <c r="GW373" i="1"/>
  <c r="GQ373" i="1"/>
  <c r="GP373" i="1" s="1"/>
  <c r="GJ373" i="1"/>
  <c r="GI373" i="1"/>
  <c r="GC373" i="1"/>
  <c r="GB373" i="1"/>
  <c r="FV373" i="1"/>
  <c r="FU373" i="1"/>
  <c r="FO373" i="1"/>
  <c r="FN373" i="1" s="1"/>
  <c r="FH373" i="1"/>
  <c r="FG373" i="1"/>
  <c r="FA373" i="1"/>
  <c r="EZ373" i="1"/>
  <c r="ET373" i="1"/>
  <c r="ES373" i="1"/>
  <c r="EM373" i="1"/>
  <c r="EL373" i="1" s="1"/>
  <c r="EF373" i="1"/>
  <c r="EE373" i="1"/>
  <c r="DY373" i="1"/>
  <c r="DX373" i="1"/>
  <c r="DR373" i="1"/>
  <c r="DQ373" i="1"/>
  <c r="DK373" i="1"/>
  <c r="DJ373" i="1" s="1"/>
  <c r="DD373" i="1"/>
  <c r="DC373" i="1"/>
  <c r="CW373" i="1"/>
  <c r="CV373" i="1"/>
  <c r="CP373" i="1"/>
  <c r="CO373" i="1"/>
  <c r="CN373" i="1"/>
  <c r="CF373" i="1"/>
  <c r="CD373" i="1"/>
  <c r="IE372" i="1"/>
  <c r="IB372" i="1"/>
  <c r="ID372" i="1" s="1"/>
  <c r="HZ372" i="1"/>
  <c r="HS372" i="1"/>
  <c r="HR372" i="1"/>
  <c r="HL372" i="1"/>
  <c r="HK372" i="1"/>
  <c r="HE372" i="1"/>
  <c r="HD372" i="1" s="1"/>
  <c r="GX372" i="1"/>
  <c r="GW372" i="1"/>
  <c r="GQ372" i="1"/>
  <c r="GP372" i="1"/>
  <c r="GJ372" i="1"/>
  <c r="GI372" i="1"/>
  <c r="GC372" i="1"/>
  <c r="GB372" i="1" s="1"/>
  <c r="FV372" i="1"/>
  <c r="FU372" i="1"/>
  <c r="FO372" i="1"/>
  <c r="FN372" i="1"/>
  <c r="FH372" i="1"/>
  <c r="FG372" i="1"/>
  <c r="FA372" i="1"/>
  <c r="EZ372" i="1" s="1"/>
  <c r="ET372" i="1"/>
  <c r="ES372" i="1"/>
  <c r="EM372" i="1"/>
  <c r="EL372" i="1"/>
  <c r="EF372" i="1"/>
  <c r="EE372" i="1"/>
  <c r="DY372" i="1"/>
  <c r="DX372" i="1" s="1"/>
  <c r="DR372" i="1"/>
  <c r="DQ372" i="1"/>
  <c r="DK372" i="1"/>
  <c r="DJ372" i="1"/>
  <c r="DD372" i="1"/>
  <c r="DC372" i="1"/>
  <c r="CW372" i="1"/>
  <c r="CV372" i="1" s="1"/>
  <c r="CP372" i="1"/>
  <c r="CO372" i="1"/>
  <c r="CN372" i="1"/>
  <c r="CF372" i="1"/>
  <c r="CD372" i="1"/>
  <c r="IE371" i="1"/>
  <c r="HZ371" i="1"/>
  <c r="HS371" i="1"/>
  <c r="HR371" i="1" s="1"/>
  <c r="HL371" i="1"/>
  <c r="HK371" i="1"/>
  <c r="HE371" i="1"/>
  <c r="HD371" i="1"/>
  <c r="GX371" i="1"/>
  <c r="GW371" i="1"/>
  <c r="GQ371" i="1"/>
  <c r="GP371" i="1" s="1"/>
  <c r="GJ371" i="1"/>
  <c r="GI371" i="1"/>
  <c r="GC371" i="1"/>
  <c r="GB371" i="1"/>
  <c r="FV371" i="1"/>
  <c r="FU371" i="1"/>
  <c r="FO371" i="1"/>
  <c r="FN371" i="1" s="1"/>
  <c r="FH371" i="1"/>
  <c r="FG371" i="1"/>
  <c r="FA371" i="1"/>
  <c r="EZ371" i="1"/>
  <c r="ET371" i="1"/>
  <c r="ES371" i="1"/>
  <c r="EM371" i="1"/>
  <c r="EL371" i="1" s="1"/>
  <c r="EF371" i="1"/>
  <c r="EE371" i="1"/>
  <c r="DY371" i="1"/>
  <c r="DX371" i="1"/>
  <c r="DR371" i="1"/>
  <c r="DQ371" i="1"/>
  <c r="DK371" i="1"/>
  <c r="DJ371" i="1" s="1"/>
  <c r="DD371" i="1"/>
  <c r="DC371" i="1"/>
  <c r="CW371" i="1"/>
  <c r="CV371" i="1"/>
  <c r="CP371" i="1"/>
  <c r="CO371" i="1"/>
  <c r="HX371" i="1" s="1"/>
  <c r="CN371" i="1"/>
  <c r="CF371" i="1"/>
  <c r="CD371" i="1"/>
  <c r="IE370" i="1"/>
  <c r="IB370" i="1"/>
  <c r="HZ370" i="1"/>
  <c r="HS370" i="1"/>
  <c r="HR370" i="1"/>
  <c r="HL370" i="1"/>
  <c r="HK370" i="1"/>
  <c r="HE370" i="1"/>
  <c r="HD370" i="1"/>
  <c r="GX370" i="1"/>
  <c r="GW370" i="1"/>
  <c r="GQ370" i="1"/>
  <c r="GP370" i="1"/>
  <c r="GJ370" i="1"/>
  <c r="GI370" i="1"/>
  <c r="GC370" i="1"/>
  <c r="GB370" i="1"/>
  <c r="FV370" i="1"/>
  <c r="FU370" i="1"/>
  <c r="FO370" i="1"/>
  <c r="FN370" i="1"/>
  <c r="FH370" i="1"/>
  <c r="FG370" i="1"/>
  <c r="FA370" i="1"/>
  <c r="EZ370" i="1"/>
  <c r="ET370" i="1"/>
  <c r="ES370" i="1"/>
  <c r="EM370" i="1"/>
  <c r="EL370" i="1"/>
  <c r="EF370" i="1"/>
  <c r="EE370" i="1"/>
  <c r="DY370" i="1"/>
  <c r="DX370" i="1"/>
  <c r="DR370" i="1"/>
  <c r="DQ370" i="1"/>
  <c r="DK370" i="1"/>
  <c r="DJ370" i="1"/>
  <c r="DD370" i="1"/>
  <c r="DC370" i="1"/>
  <c r="CW370" i="1"/>
  <c r="CV370" i="1"/>
  <c r="CP370" i="1"/>
  <c r="HY370" i="1" s="1"/>
  <c r="CO370" i="1"/>
  <c r="CN370" i="1"/>
  <c r="CF370" i="1"/>
  <c r="CD370" i="1"/>
  <c r="IE369" i="1"/>
  <c r="HZ369" i="1"/>
  <c r="IB369" i="1" s="1"/>
  <c r="ID369" i="1" s="1"/>
  <c r="HS369" i="1"/>
  <c r="HR369" i="1" s="1"/>
  <c r="HL369" i="1"/>
  <c r="HK369" i="1"/>
  <c r="HE369" i="1"/>
  <c r="HD369" i="1"/>
  <c r="GX369" i="1"/>
  <c r="GW369" i="1"/>
  <c r="GQ369" i="1"/>
  <c r="GP369" i="1" s="1"/>
  <c r="GJ369" i="1"/>
  <c r="GI369" i="1"/>
  <c r="GC369" i="1"/>
  <c r="GB369" i="1"/>
  <c r="FV369" i="1"/>
  <c r="FU369" i="1"/>
  <c r="FO369" i="1"/>
  <c r="FN369" i="1" s="1"/>
  <c r="FH369" i="1"/>
  <c r="FG369" i="1"/>
  <c r="FA369" i="1"/>
  <c r="EZ369" i="1"/>
  <c r="ET369" i="1"/>
  <c r="ES369" i="1"/>
  <c r="EM369" i="1"/>
  <c r="EL369" i="1" s="1"/>
  <c r="EF369" i="1"/>
  <c r="EE369" i="1"/>
  <c r="DY369" i="1"/>
  <c r="DX369" i="1"/>
  <c r="DR369" i="1"/>
  <c r="DQ369" i="1"/>
  <c r="DK369" i="1"/>
  <c r="DJ369" i="1" s="1"/>
  <c r="DD369" i="1"/>
  <c r="DC369" i="1"/>
  <c r="CW369" i="1"/>
  <c r="CV369" i="1"/>
  <c r="CP369" i="1"/>
  <c r="CO369" i="1"/>
  <c r="HX369" i="1" s="1"/>
  <c r="CN369" i="1"/>
  <c r="CF369" i="1"/>
  <c r="CD369" i="1"/>
  <c r="IE368" i="1"/>
  <c r="HZ368" i="1"/>
  <c r="HS368" i="1"/>
  <c r="HR368" i="1"/>
  <c r="HL368" i="1"/>
  <c r="HK368" i="1"/>
  <c r="HE368" i="1"/>
  <c r="HD368" i="1" s="1"/>
  <c r="GX368" i="1"/>
  <c r="GW368" i="1"/>
  <c r="GQ368" i="1"/>
  <c r="GP368" i="1"/>
  <c r="GJ368" i="1"/>
  <c r="GI368" i="1"/>
  <c r="GC368" i="1"/>
  <c r="GB368" i="1" s="1"/>
  <c r="FV368" i="1"/>
  <c r="FU368" i="1"/>
  <c r="FO368" i="1"/>
  <c r="FN368" i="1"/>
  <c r="FH368" i="1"/>
  <c r="FG368" i="1"/>
  <c r="FA368" i="1"/>
  <c r="EZ368" i="1" s="1"/>
  <c r="ET368" i="1"/>
  <c r="ES368" i="1"/>
  <c r="EM368" i="1"/>
  <c r="EL368" i="1"/>
  <c r="EF368" i="1"/>
  <c r="EE368" i="1"/>
  <c r="DY368" i="1"/>
  <c r="DX368" i="1" s="1"/>
  <c r="DR368" i="1"/>
  <c r="DQ368" i="1"/>
  <c r="DK368" i="1"/>
  <c r="DJ368" i="1"/>
  <c r="DD368" i="1"/>
  <c r="DC368" i="1"/>
  <c r="CW368" i="1"/>
  <c r="CV368" i="1" s="1"/>
  <c r="CP368" i="1"/>
  <c r="HY368" i="1" s="1"/>
  <c r="CO368" i="1"/>
  <c r="HX368" i="1" s="1"/>
  <c r="CN368" i="1"/>
  <c r="CF368" i="1"/>
  <c r="CD368" i="1"/>
  <c r="IE367" i="1"/>
  <c r="HZ367" i="1"/>
  <c r="IB367" i="1" s="1"/>
  <c r="ID367" i="1" s="1"/>
  <c r="HS367" i="1"/>
  <c r="HR367" i="1"/>
  <c r="HL367" i="1"/>
  <c r="HK367" i="1"/>
  <c r="HE367" i="1"/>
  <c r="HD367" i="1"/>
  <c r="GX367" i="1"/>
  <c r="GW367" i="1"/>
  <c r="GQ367" i="1"/>
  <c r="GP367" i="1"/>
  <c r="GJ367" i="1"/>
  <c r="GI367" i="1"/>
  <c r="GC367" i="1"/>
  <c r="GB367" i="1"/>
  <c r="FV367" i="1"/>
  <c r="FU367" i="1"/>
  <c r="FO367" i="1"/>
  <c r="FN367" i="1"/>
  <c r="FH367" i="1"/>
  <c r="FG367" i="1"/>
  <c r="FA367" i="1"/>
  <c r="EZ367" i="1"/>
  <c r="ET367" i="1"/>
  <c r="ES367" i="1"/>
  <c r="EM367" i="1"/>
  <c r="EL367" i="1"/>
  <c r="EF367" i="1"/>
  <c r="EE367" i="1"/>
  <c r="DY367" i="1"/>
  <c r="DX367" i="1"/>
  <c r="DR367" i="1"/>
  <c r="DQ367" i="1"/>
  <c r="DK367" i="1"/>
  <c r="DJ367" i="1"/>
  <c r="DD367" i="1"/>
  <c r="DC367" i="1"/>
  <c r="CW367" i="1"/>
  <c r="CV367" i="1"/>
  <c r="CP367" i="1"/>
  <c r="HY367" i="1" s="1"/>
  <c r="CO367" i="1"/>
  <c r="CN367" i="1"/>
  <c r="CF367" i="1"/>
  <c r="CD367" i="1"/>
  <c r="IE366" i="1"/>
  <c r="HZ366" i="1"/>
  <c r="HS366" i="1"/>
  <c r="HR366" i="1"/>
  <c r="HL366" i="1"/>
  <c r="HK366" i="1"/>
  <c r="HE366" i="1"/>
  <c r="HD366" i="1"/>
  <c r="GX366" i="1"/>
  <c r="GW366" i="1"/>
  <c r="GQ366" i="1"/>
  <c r="GP366" i="1"/>
  <c r="GJ366" i="1"/>
  <c r="GI366" i="1"/>
  <c r="GC366" i="1"/>
  <c r="GB366" i="1"/>
  <c r="FV366" i="1"/>
  <c r="FU366" i="1"/>
  <c r="FO366" i="1"/>
  <c r="FN366" i="1"/>
  <c r="FH366" i="1"/>
  <c r="FG366" i="1"/>
  <c r="FA366" i="1"/>
  <c r="EZ366" i="1"/>
  <c r="ET366" i="1"/>
  <c r="ES366" i="1"/>
  <c r="EM366" i="1"/>
  <c r="EL366" i="1"/>
  <c r="EF366" i="1"/>
  <c r="EE366" i="1"/>
  <c r="DY366" i="1"/>
  <c r="DX366" i="1"/>
  <c r="DR366" i="1"/>
  <c r="DQ366" i="1"/>
  <c r="DK366" i="1"/>
  <c r="DJ366" i="1"/>
  <c r="DD366" i="1"/>
  <c r="DC366" i="1"/>
  <c r="CW366" i="1"/>
  <c r="CV366" i="1"/>
  <c r="CP366" i="1"/>
  <c r="HY366" i="1" s="1"/>
  <c r="CO366" i="1"/>
  <c r="HX366" i="1" s="1"/>
  <c r="CN366" i="1"/>
  <c r="CF366" i="1"/>
  <c r="CD366" i="1"/>
  <c r="IE365" i="1"/>
  <c r="ID365" i="1"/>
  <c r="HZ365" i="1"/>
  <c r="IB365" i="1" s="1"/>
  <c r="HS365" i="1"/>
  <c r="HR365" i="1" s="1"/>
  <c r="HL365" i="1"/>
  <c r="HK365" i="1"/>
  <c r="HE365" i="1"/>
  <c r="HD365" i="1"/>
  <c r="GX365" i="1"/>
  <c r="GW365" i="1"/>
  <c r="GQ365" i="1"/>
  <c r="GP365" i="1" s="1"/>
  <c r="GJ365" i="1"/>
  <c r="GI365" i="1"/>
  <c r="GC365" i="1"/>
  <c r="GB365" i="1"/>
  <c r="FV365" i="1"/>
  <c r="FU365" i="1"/>
  <c r="FO365" i="1"/>
  <c r="FN365" i="1" s="1"/>
  <c r="FH365" i="1"/>
  <c r="FG365" i="1"/>
  <c r="FA365" i="1"/>
  <c r="EZ365" i="1"/>
  <c r="ET365" i="1"/>
  <c r="ES365" i="1"/>
  <c r="EM365" i="1"/>
  <c r="EL365" i="1" s="1"/>
  <c r="EF365" i="1"/>
  <c r="EE365" i="1"/>
  <c r="DY365" i="1"/>
  <c r="DX365" i="1"/>
  <c r="DR365" i="1"/>
  <c r="DQ365" i="1"/>
  <c r="DK365" i="1"/>
  <c r="DJ365" i="1" s="1"/>
  <c r="DD365" i="1"/>
  <c r="DC365" i="1"/>
  <c r="CW365" i="1"/>
  <c r="CV365" i="1"/>
  <c r="CP365" i="1"/>
  <c r="CO365" i="1"/>
  <c r="CN365" i="1"/>
  <c r="CF365" i="1"/>
  <c r="CD365" i="1"/>
  <c r="IE364" i="1"/>
  <c r="HZ364" i="1"/>
  <c r="HS364" i="1"/>
  <c r="HR364" i="1"/>
  <c r="HL364" i="1"/>
  <c r="HK364" i="1"/>
  <c r="HE364" i="1"/>
  <c r="HD364" i="1" s="1"/>
  <c r="GX364" i="1"/>
  <c r="GW364" i="1"/>
  <c r="GQ364" i="1"/>
  <c r="GP364" i="1"/>
  <c r="GJ364" i="1"/>
  <c r="GI364" i="1"/>
  <c r="GC364" i="1"/>
  <c r="GB364" i="1" s="1"/>
  <c r="FV364" i="1"/>
  <c r="FU364" i="1"/>
  <c r="FO364" i="1"/>
  <c r="FN364" i="1"/>
  <c r="FH364" i="1"/>
  <c r="FG364" i="1"/>
  <c r="FA364" i="1"/>
  <c r="EZ364" i="1" s="1"/>
  <c r="ET364" i="1"/>
  <c r="ES364" i="1"/>
  <c r="EM364" i="1"/>
  <c r="EL364" i="1"/>
  <c r="EF364" i="1"/>
  <c r="EE364" i="1"/>
  <c r="DY364" i="1"/>
  <c r="DX364" i="1" s="1"/>
  <c r="DR364" i="1"/>
  <c r="DQ364" i="1"/>
  <c r="DK364" i="1"/>
  <c r="DJ364" i="1"/>
  <c r="DD364" i="1"/>
  <c r="DC364" i="1"/>
  <c r="CW364" i="1"/>
  <c r="CV364" i="1" s="1"/>
  <c r="CP364" i="1"/>
  <c r="CO364" i="1"/>
  <c r="CN364" i="1"/>
  <c r="CF364" i="1"/>
  <c r="CD364" i="1"/>
  <c r="IE363" i="1"/>
  <c r="HZ363" i="1"/>
  <c r="IB363" i="1" s="1"/>
  <c r="ID363" i="1" s="1"/>
  <c r="HS363" i="1"/>
  <c r="HR363" i="1"/>
  <c r="HL363" i="1"/>
  <c r="HK363" i="1"/>
  <c r="HE363" i="1"/>
  <c r="HD363" i="1"/>
  <c r="GX363" i="1"/>
  <c r="GW363" i="1"/>
  <c r="GQ363" i="1"/>
  <c r="GP363" i="1"/>
  <c r="GJ363" i="1"/>
  <c r="GI363" i="1"/>
  <c r="GC363" i="1"/>
  <c r="GB363" i="1"/>
  <c r="FV363" i="1"/>
  <c r="FU363" i="1"/>
  <c r="FO363" i="1"/>
  <c r="FN363" i="1"/>
  <c r="FH363" i="1"/>
  <c r="FG363" i="1"/>
  <c r="FA363" i="1"/>
  <c r="EZ363" i="1"/>
  <c r="ET363" i="1"/>
  <c r="ES363" i="1"/>
  <c r="EM363" i="1"/>
  <c r="EL363" i="1"/>
  <c r="EF363" i="1"/>
  <c r="EE363" i="1"/>
  <c r="DY363" i="1"/>
  <c r="DX363" i="1"/>
  <c r="DR363" i="1"/>
  <c r="DQ363" i="1"/>
  <c r="DK363" i="1"/>
  <c r="DJ363" i="1"/>
  <c r="DD363" i="1"/>
  <c r="DC363" i="1"/>
  <c r="CW363" i="1"/>
  <c r="CV363" i="1"/>
  <c r="CP363" i="1"/>
  <c r="CO363" i="1"/>
  <c r="CN363" i="1"/>
  <c r="CF363" i="1"/>
  <c r="CD363" i="1"/>
  <c r="IE362" i="1"/>
  <c r="IB362" i="1"/>
  <c r="HZ362" i="1"/>
  <c r="HS362" i="1"/>
  <c r="HR362" i="1"/>
  <c r="HL362" i="1"/>
  <c r="HK362" i="1"/>
  <c r="HE362" i="1"/>
  <c r="HD362" i="1" s="1"/>
  <c r="GX362" i="1"/>
  <c r="GW362" i="1"/>
  <c r="GQ362" i="1"/>
  <c r="GP362" i="1"/>
  <c r="GJ362" i="1"/>
  <c r="GI362" i="1"/>
  <c r="GC362" i="1"/>
  <c r="GB362" i="1" s="1"/>
  <c r="FV362" i="1"/>
  <c r="FU362" i="1"/>
  <c r="FO362" i="1"/>
  <c r="FN362" i="1"/>
  <c r="FH362" i="1"/>
  <c r="FG362" i="1"/>
  <c r="FA362" i="1"/>
  <c r="EZ362" i="1" s="1"/>
  <c r="ET362" i="1"/>
  <c r="ES362" i="1"/>
  <c r="EM362" i="1"/>
  <c r="EL362" i="1"/>
  <c r="EF362" i="1"/>
  <c r="EE362" i="1"/>
  <c r="DY362" i="1"/>
  <c r="DX362" i="1" s="1"/>
  <c r="DR362" i="1"/>
  <c r="DQ362" i="1"/>
  <c r="DK362" i="1"/>
  <c r="DJ362" i="1"/>
  <c r="DD362" i="1"/>
  <c r="DC362" i="1"/>
  <c r="CW362" i="1"/>
  <c r="CV362" i="1" s="1"/>
  <c r="CP362" i="1"/>
  <c r="CO362" i="1"/>
  <c r="CN362" i="1"/>
  <c r="CF362" i="1"/>
  <c r="CD362" i="1"/>
  <c r="IE361" i="1"/>
  <c r="ID361" i="1"/>
  <c r="HZ361" i="1"/>
  <c r="IB361" i="1" s="1"/>
  <c r="HS361" i="1"/>
  <c r="HR361" i="1"/>
  <c r="HL361" i="1"/>
  <c r="HK361" i="1"/>
  <c r="HE361" i="1"/>
  <c r="HD361" i="1"/>
  <c r="GX361" i="1"/>
  <c r="GW361" i="1"/>
  <c r="GQ361" i="1"/>
  <c r="GP361" i="1"/>
  <c r="GJ361" i="1"/>
  <c r="GI361" i="1"/>
  <c r="GC361" i="1"/>
  <c r="GB361" i="1"/>
  <c r="FV361" i="1"/>
  <c r="FU361" i="1"/>
  <c r="FO361" i="1"/>
  <c r="FN361" i="1"/>
  <c r="FH361" i="1"/>
  <c r="FG361" i="1"/>
  <c r="FA361" i="1"/>
  <c r="EZ361" i="1"/>
  <c r="ET361" i="1"/>
  <c r="ES361" i="1"/>
  <c r="EM361" i="1"/>
  <c r="EL361" i="1"/>
  <c r="EF361" i="1"/>
  <c r="EE361" i="1"/>
  <c r="DY361" i="1"/>
  <c r="DX361" i="1"/>
  <c r="DR361" i="1"/>
  <c r="DQ361" i="1"/>
  <c r="DK361" i="1"/>
  <c r="DJ361" i="1"/>
  <c r="DD361" i="1"/>
  <c r="DC361" i="1"/>
  <c r="CW361" i="1"/>
  <c r="CV361" i="1"/>
  <c r="CP361" i="1"/>
  <c r="CO361" i="1"/>
  <c r="HX361" i="1" s="1"/>
  <c r="CN361" i="1"/>
  <c r="CF361" i="1"/>
  <c r="CD361" i="1"/>
  <c r="IE360" i="1"/>
  <c r="IB360" i="1"/>
  <c r="HZ360" i="1"/>
  <c r="HS360" i="1"/>
  <c r="HR360" i="1"/>
  <c r="HL360" i="1"/>
  <c r="HK360" i="1"/>
  <c r="HE360" i="1"/>
  <c r="HD360" i="1"/>
  <c r="GX360" i="1"/>
  <c r="GW360" i="1" s="1"/>
  <c r="GQ360" i="1"/>
  <c r="GP360" i="1"/>
  <c r="GJ360" i="1"/>
  <c r="GI360" i="1"/>
  <c r="GC360" i="1"/>
  <c r="GB360" i="1" s="1"/>
  <c r="FV360" i="1"/>
  <c r="FU360" i="1" s="1"/>
  <c r="FO360" i="1"/>
  <c r="FN360" i="1"/>
  <c r="FH360" i="1"/>
  <c r="FG360" i="1"/>
  <c r="FA360" i="1"/>
  <c r="EZ360" i="1" s="1"/>
  <c r="ET360" i="1"/>
  <c r="ES360" i="1" s="1"/>
  <c r="EM360" i="1"/>
  <c r="EL360" i="1"/>
  <c r="EF360" i="1"/>
  <c r="EE360" i="1"/>
  <c r="DY360" i="1"/>
  <c r="DX360" i="1"/>
  <c r="DR360" i="1"/>
  <c r="DQ360" i="1" s="1"/>
  <c r="DK360" i="1"/>
  <c r="DJ360" i="1"/>
  <c r="DD360" i="1"/>
  <c r="DC360" i="1"/>
  <c r="CW360" i="1"/>
  <c r="CV360" i="1"/>
  <c r="CP360" i="1"/>
  <c r="HY360" i="1" s="1"/>
  <c r="CN360" i="1"/>
  <c r="CF360" i="1"/>
  <c r="CD360" i="1"/>
  <c r="IE359" i="1"/>
  <c r="HZ359" i="1"/>
  <c r="IB359" i="1" s="1"/>
  <c r="ID359" i="1" s="1"/>
  <c r="HS359" i="1"/>
  <c r="HR359" i="1" s="1"/>
  <c r="HL359" i="1"/>
  <c r="HK359" i="1" s="1"/>
  <c r="HE359" i="1"/>
  <c r="HD359" i="1"/>
  <c r="GX359" i="1"/>
  <c r="GW359" i="1"/>
  <c r="GQ359" i="1"/>
  <c r="GP359" i="1"/>
  <c r="GJ359" i="1"/>
  <c r="GI359" i="1" s="1"/>
  <c r="GC359" i="1"/>
  <c r="GB359" i="1"/>
  <c r="FV359" i="1"/>
  <c r="FU359" i="1"/>
  <c r="FO359" i="1"/>
  <c r="FN359" i="1"/>
  <c r="FH359" i="1"/>
  <c r="FG359" i="1" s="1"/>
  <c r="HX359" i="1" s="1"/>
  <c r="FA359" i="1"/>
  <c r="EZ359" i="1"/>
  <c r="ET359" i="1"/>
  <c r="ES359" i="1"/>
  <c r="EM359" i="1"/>
  <c r="EL359" i="1"/>
  <c r="EF359" i="1"/>
  <c r="EE359" i="1" s="1"/>
  <c r="DY359" i="1"/>
  <c r="DX359" i="1"/>
  <c r="DR359" i="1"/>
  <c r="DQ359" i="1"/>
  <c r="DK359" i="1"/>
  <c r="DJ359" i="1"/>
  <c r="DD359" i="1"/>
  <c r="DC359" i="1" s="1"/>
  <c r="CW359" i="1"/>
  <c r="CV359" i="1"/>
  <c r="CP359" i="1"/>
  <c r="CO359" i="1"/>
  <c r="CN359" i="1"/>
  <c r="CF359" i="1"/>
  <c r="CD359" i="1"/>
  <c r="IE358" i="1"/>
  <c r="IB358" i="1"/>
  <c r="HZ358" i="1"/>
  <c r="HS358" i="1"/>
  <c r="HR358" i="1"/>
  <c r="HL358" i="1"/>
  <c r="HK358" i="1"/>
  <c r="HE358" i="1"/>
  <c r="HD358" i="1"/>
  <c r="GX358" i="1"/>
  <c r="GW358" i="1" s="1"/>
  <c r="GQ358" i="1"/>
  <c r="GP358" i="1"/>
  <c r="GJ358" i="1"/>
  <c r="GI358" i="1"/>
  <c r="GC358" i="1"/>
  <c r="GB358" i="1"/>
  <c r="FV358" i="1"/>
  <c r="FU358" i="1" s="1"/>
  <c r="FO358" i="1"/>
  <c r="FN358" i="1"/>
  <c r="FH358" i="1"/>
  <c r="FG358" i="1"/>
  <c r="FA358" i="1"/>
  <c r="EZ358" i="1"/>
  <c r="ET358" i="1"/>
  <c r="ES358" i="1" s="1"/>
  <c r="EM358" i="1"/>
  <c r="EL358" i="1"/>
  <c r="EF358" i="1"/>
  <c r="EE358" i="1"/>
  <c r="DY358" i="1"/>
  <c r="DX358" i="1" s="1"/>
  <c r="DR358" i="1"/>
  <c r="DQ358" i="1" s="1"/>
  <c r="DK358" i="1"/>
  <c r="DJ358" i="1"/>
  <c r="DD358" i="1"/>
  <c r="DC358" i="1"/>
  <c r="CW358" i="1"/>
  <c r="CV358" i="1" s="1"/>
  <c r="CP358" i="1"/>
  <c r="CN358" i="1"/>
  <c r="CF358" i="1"/>
  <c r="CD358" i="1"/>
  <c r="IE357" i="1"/>
  <c r="ID357" i="1"/>
  <c r="HZ357" i="1"/>
  <c r="IB357" i="1" s="1"/>
  <c r="HS357" i="1"/>
  <c r="HR357" i="1"/>
  <c r="HL357" i="1"/>
  <c r="HK357" i="1" s="1"/>
  <c r="HE357" i="1"/>
  <c r="HD357" i="1"/>
  <c r="GX357" i="1"/>
  <c r="GW357" i="1"/>
  <c r="GQ357" i="1"/>
  <c r="GP357" i="1"/>
  <c r="GJ357" i="1"/>
  <c r="GI357" i="1" s="1"/>
  <c r="GC357" i="1"/>
  <c r="GB357" i="1"/>
  <c r="FV357" i="1"/>
  <c r="FU357" i="1"/>
  <c r="FO357" i="1"/>
  <c r="FN357" i="1" s="1"/>
  <c r="FH357" i="1"/>
  <c r="FG357" i="1" s="1"/>
  <c r="FA357" i="1"/>
  <c r="EZ357" i="1"/>
  <c r="ET357" i="1"/>
  <c r="ES357" i="1"/>
  <c r="EM357" i="1"/>
  <c r="EL357" i="1" s="1"/>
  <c r="EF357" i="1"/>
  <c r="EE357" i="1" s="1"/>
  <c r="DY357" i="1"/>
  <c r="DX357" i="1"/>
  <c r="DR357" i="1"/>
  <c r="DQ357" i="1"/>
  <c r="DK357" i="1"/>
  <c r="DJ357" i="1"/>
  <c r="DD357" i="1"/>
  <c r="DC357" i="1" s="1"/>
  <c r="CW357" i="1"/>
  <c r="CV357" i="1"/>
  <c r="CP357" i="1"/>
  <c r="CO357" i="1"/>
  <c r="CN357" i="1"/>
  <c r="CF357" i="1"/>
  <c r="CD357" i="1"/>
  <c r="IE356" i="1"/>
  <c r="HZ356" i="1"/>
  <c r="HS356" i="1"/>
  <c r="HR356" i="1"/>
  <c r="HL356" i="1"/>
  <c r="HK356" i="1"/>
  <c r="HE356" i="1"/>
  <c r="HD356" i="1" s="1"/>
  <c r="GX356" i="1"/>
  <c r="GW356" i="1" s="1"/>
  <c r="GQ356" i="1"/>
  <c r="GP356" i="1"/>
  <c r="GJ356" i="1"/>
  <c r="GI356" i="1"/>
  <c r="GC356" i="1"/>
  <c r="GB356" i="1" s="1"/>
  <c r="FV356" i="1"/>
  <c r="FU356" i="1" s="1"/>
  <c r="FO356" i="1"/>
  <c r="FN356" i="1"/>
  <c r="FH356" i="1"/>
  <c r="FG356" i="1"/>
  <c r="FA356" i="1"/>
  <c r="EZ356" i="1"/>
  <c r="ET356" i="1"/>
  <c r="ES356" i="1" s="1"/>
  <c r="EM356" i="1"/>
  <c r="EL356" i="1"/>
  <c r="EF356" i="1"/>
  <c r="EE356" i="1"/>
  <c r="DY356" i="1"/>
  <c r="DX356" i="1" s="1"/>
  <c r="DR356" i="1"/>
  <c r="DQ356" i="1" s="1"/>
  <c r="DK356" i="1"/>
  <c r="DJ356" i="1"/>
  <c r="DD356" i="1"/>
  <c r="DC356" i="1"/>
  <c r="CW356" i="1"/>
  <c r="CV356" i="1"/>
  <c r="CP356" i="1"/>
  <c r="CN356" i="1"/>
  <c r="CF356" i="1"/>
  <c r="CD356" i="1"/>
  <c r="IE355" i="1"/>
  <c r="HZ355" i="1"/>
  <c r="IB355" i="1" s="1"/>
  <c r="ID355" i="1" s="1"/>
  <c r="HS355" i="1"/>
  <c r="HR355" i="1" s="1"/>
  <c r="HL355" i="1"/>
  <c r="HK355" i="1" s="1"/>
  <c r="HE355" i="1"/>
  <c r="HD355" i="1"/>
  <c r="GX355" i="1"/>
  <c r="GW355" i="1"/>
  <c r="GQ355" i="1"/>
  <c r="GP355" i="1"/>
  <c r="GJ355" i="1"/>
  <c r="GI355" i="1" s="1"/>
  <c r="GC355" i="1"/>
  <c r="GB355" i="1"/>
  <c r="FV355" i="1"/>
  <c r="FU355" i="1"/>
  <c r="FO355" i="1"/>
  <c r="FN355" i="1" s="1"/>
  <c r="FH355" i="1"/>
  <c r="FG355" i="1" s="1"/>
  <c r="FA355" i="1"/>
  <c r="EZ355" i="1"/>
  <c r="ET355" i="1"/>
  <c r="ES355" i="1"/>
  <c r="EM355" i="1"/>
  <c r="EL355" i="1"/>
  <c r="EF355" i="1"/>
  <c r="EE355" i="1" s="1"/>
  <c r="DY355" i="1"/>
  <c r="DX355" i="1"/>
  <c r="DR355" i="1"/>
  <c r="DQ355" i="1"/>
  <c r="DK355" i="1"/>
  <c r="DJ355" i="1"/>
  <c r="DD355" i="1"/>
  <c r="DC355" i="1" s="1"/>
  <c r="HX355" i="1" s="1"/>
  <c r="CW355" i="1"/>
  <c r="CV355" i="1"/>
  <c r="CP355" i="1"/>
  <c r="CO355" i="1"/>
  <c r="CN355" i="1"/>
  <c r="CF355" i="1"/>
  <c r="CD355" i="1"/>
  <c r="IE354" i="1"/>
  <c r="HZ354" i="1"/>
  <c r="IB354" i="1" s="1"/>
  <c r="HS354" i="1"/>
  <c r="HR354" i="1"/>
  <c r="HL354" i="1"/>
  <c r="HK354" i="1"/>
  <c r="HE354" i="1"/>
  <c r="HD354" i="1" s="1"/>
  <c r="GX354" i="1"/>
  <c r="GW354" i="1" s="1"/>
  <c r="GQ354" i="1"/>
  <c r="GP354" i="1"/>
  <c r="GJ354" i="1"/>
  <c r="GI354" i="1"/>
  <c r="GC354" i="1"/>
  <c r="GB354" i="1"/>
  <c r="FV354" i="1"/>
  <c r="FU354" i="1" s="1"/>
  <c r="FO354" i="1"/>
  <c r="FN354" i="1"/>
  <c r="FH354" i="1"/>
  <c r="FG354" i="1"/>
  <c r="FA354" i="1"/>
  <c r="EZ354" i="1"/>
  <c r="ET354" i="1"/>
  <c r="ES354" i="1" s="1"/>
  <c r="EM354" i="1"/>
  <c r="EL354" i="1"/>
  <c r="EF354" i="1"/>
  <c r="EE354" i="1"/>
  <c r="DY354" i="1"/>
  <c r="DX354" i="1"/>
  <c r="DR354" i="1"/>
  <c r="DQ354" i="1" s="1"/>
  <c r="DK354" i="1"/>
  <c r="DJ354" i="1"/>
  <c r="DD354" i="1"/>
  <c r="DC354" i="1"/>
  <c r="CW354" i="1"/>
  <c r="CV354" i="1"/>
  <c r="CP354" i="1"/>
  <c r="CN354" i="1"/>
  <c r="CF354" i="1"/>
  <c r="CD354" i="1"/>
  <c r="IE353" i="1"/>
  <c r="HZ353" i="1"/>
  <c r="IB353" i="1" s="1"/>
  <c r="ID353" i="1" s="1"/>
  <c r="HS353" i="1"/>
  <c r="HR353" i="1"/>
  <c r="HL353" i="1"/>
  <c r="HK353" i="1" s="1"/>
  <c r="HE353" i="1"/>
  <c r="HD353" i="1"/>
  <c r="GX353" i="1"/>
  <c r="GW353" i="1"/>
  <c r="GQ353" i="1"/>
  <c r="GP353" i="1"/>
  <c r="GJ353" i="1"/>
  <c r="GI353" i="1" s="1"/>
  <c r="GC353" i="1"/>
  <c r="GB353" i="1"/>
  <c r="FV353" i="1"/>
  <c r="FU353" i="1"/>
  <c r="FO353" i="1"/>
  <c r="FN353" i="1"/>
  <c r="FH353" i="1"/>
  <c r="FG353" i="1" s="1"/>
  <c r="FA353" i="1"/>
  <c r="EZ353" i="1"/>
  <c r="ET353" i="1"/>
  <c r="ES353" i="1"/>
  <c r="EM353" i="1"/>
  <c r="EL353" i="1"/>
  <c r="EF353" i="1"/>
  <c r="EE353" i="1" s="1"/>
  <c r="DY353" i="1"/>
  <c r="DX353" i="1"/>
  <c r="DR353" i="1"/>
  <c r="DQ353" i="1"/>
  <c r="DK353" i="1"/>
  <c r="DJ353" i="1" s="1"/>
  <c r="DD353" i="1"/>
  <c r="DC353" i="1" s="1"/>
  <c r="CW353" i="1"/>
  <c r="CV353" i="1"/>
  <c r="CP353" i="1"/>
  <c r="HY353" i="1" s="1"/>
  <c r="CO353" i="1"/>
  <c r="CN353" i="1"/>
  <c r="CF353" i="1"/>
  <c r="CD353" i="1"/>
  <c r="IE352" i="1"/>
  <c r="IB352" i="1"/>
  <c r="ID352" i="1" s="1"/>
  <c r="HZ352" i="1"/>
  <c r="HS352" i="1"/>
  <c r="HR352" i="1"/>
  <c r="HL352" i="1"/>
  <c r="HK352" i="1"/>
  <c r="HE352" i="1"/>
  <c r="HD352" i="1"/>
  <c r="GX352" i="1"/>
  <c r="GW352" i="1" s="1"/>
  <c r="GQ352" i="1"/>
  <c r="GP352" i="1"/>
  <c r="GJ352" i="1"/>
  <c r="GI352" i="1"/>
  <c r="GC352" i="1"/>
  <c r="GB352" i="1"/>
  <c r="FV352" i="1"/>
  <c r="FU352" i="1" s="1"/>
  <c r="FO352" i="1"/>
  <c r="FN352" i="1"/>
  <c r="FH352" i="1"/>
  <c r="FG352" i="1"/>
  <c r="FA352" i="1"/>
  <c r="EZ352" i="1"/>
  <c r="ET352" i="1"/>
  <c r="ES352" i="1" s="1"/>
  <c r="EM352" i="1"/>
  <c r="EL352" i="1"/>
  <c r="EF352" i="1"/>
  <c r="EE352" i="1"/>
  <c r="DY352" i="1"/>
  <c r="DX352" i="1" s="1"/>
  <c r="DR352" i="1"/>
  <c r="DQ352" i="1" s="1"/>
  <c r="DK352" i="1"/>
  <c r="DJ352" i="1"/>
  <c r="DD352" i="1"/>
  <c r="DC352" i="1"/>
  <c r="CW352" i="1"/>
  <c r="CV352" i="1" s="1"/>
  <c r="CP352" i="1"/>
  <c r="CN352" i="1"/>
  <c r="CF352" i="1"/>
  <c r="CD352" i="1"/>
  <c r="IE351" i="1"/>
  <c r="ID351" i="1"/>
  <c r="HZ351" i="1"/>
  <c r="IB351" i="1" s="1"/>
  <c r="HS351" i="1"/>
  <c r="HR351" i="1"/>
  <c r="HL351" i="1"/>
  <c r="HK351" i="1" s="1"/>
  <c r="HE351" i="1"/>
  <c r="HD351" i="1"/>
  <c r="GX351" i="1"/>
  <c r="GW351" i="1"/>
  <c r="GQ351" i="1"/>
  <c r="GP351" i="1" s="1"/>
  <c r="GJ351" i="1"/>
  <c r="GI351" i="1" s="1"/>
  <c r="GC351" i="1"/>
  <c r="GB351" i="1"/>
  <c r="FV351" i="1"/>
  <c r="FU351" i="1"/>
  <c r="FO351" i="1"/>
  <c r="FN351" i="1" s="1"/>
  <c r="FH351" i="1"/>
  <c r="FG351" i="1" s="1"/>
  <c r="FA351" i="1"/>
  <c r="EZ351" i="1"/>
  <c r="ET351" i="1"/>
  <c r="ES351" i="1"/>
  <c r="EM351" i="1"/>
  <c r="EL351" i="1" s="1"/>
  <c r="EF351" i="1"/>
  <c r="EE351" i="1" s="1"/>
  <c r="DY351" i="1"/>
  <c r="DX351" i="1"/>
  <c r="DR351" i="1"/>
  <c r="DQ351" i="1"/>
  <c r="DK351" i="1"/>
  <c r="DJ351" i="1"/>
  <c r="DD351" i="1"/>
  <c r="DC351" i="1" s="1"/>
  <c r="CW351" i="1"/>
  <c r="CV351" i="1"/>
  <c r="CP351" i="1"/>
  <c r="CO351" i="1"/>
  <c r="CN351" i="1"/>
  <c r="CF351" i="1"/>
  <c r="CD351" i="1"/>
  <c r="IE350" i="1"/>
  <c r="HZ350" i="1"/>
  <c r="HS350" i="1"/>
  <c r="HR350" i="1"/>
  <c r="HL350" i="1"/>
  <c r="HK350" i="1"/>
  <c r="HE350" i="1"/>
  <c r="HD350" i="1" s="1"/>
  <c r="GX350" i="1"/>
  <c r="GW350" i="1" s="1"/>
  <c r="GQ350" i="1"/>
  <c r="GP350" i="1"/>
  <c r="GJ350" i="1"/>
  <c r="GI350" i="1"/>
  <c r="GC350" i="1"/>
  <c r="GB350" i="1" s="1"/>
  <c r="FV350" i="1"/>
  <c r="FU350" i="1" s="1"/>
  <c r="FO350" i="1"/>
  <c r="FN350" i="1"/>
  <c r="FH350" i="1"/>
  <c r="FG350" i="1"/>
  <c r="FA350" i="1"/>
  <c r="EZ350" i="1" s="1"/>
  <c r="ET350" i="1"/>
  <c r="ES350" i="1" s="1"/>
  <c r="EM350" i="1"/>
  <c r="EL350" i="1"/>
  <c r="EF350" i="1"/>
  <c r="EE350" i="1"/>
  <c r="DY350" i="1"/>
  <c r="DX350" i="1"/>
  <c r="DR350" i="1"/>
  <c r="DQ350" i="1" s="1"/>
  <c r="DK350" i="1"/>
  <c r="DJ350" i="1"/>
  <c r="DD350" i="1"/>
  <c r="DC350" i="1"/>
  <c r="CW350" i="1"/>
  <c r="CV350" i="1" s="1"/>
  <c r="CP350" i="1"/>
  <c r="CN350" i="1"/>
  <c r="CF350" i="1"/>
  <c r="CD350" i="1"/>
  <c r="IE349" i="1"/>
  <c r="ID349" i="1"/>
  <c r="HZ349" i="1"/>
  <c r="IB349" i="1" s="1"/>
  <c r="HS349" i="1"/>
  <c r="HR349" i="1" s="1"/>
  <c r="HL349" i="1"/>
  <c r="HK349" i="1" s="1"/>
  <c r="HE349" i="1"/>
  <c r="HD349" i="1"/>
  <c r="GX349" i="1"/>
  <c r="GW349" i="1"/>
  <c r="GQ349" i="1"/>
  <c r="GP349" i="1" s="1"/>
  <c r="GJ349" i="1"/>
  <c r="GI349" i="1" s="1"/>
  <c r="GC349" i="1"/>
  <c r="GB349" i="1"/>
  <c r="FV349" i="1"/>
  <c r="FU349" i="1"/>
  <c r="FO349" i="1"/>
  <c r="FN349" i="1"/>
  <c r="FH349" i="1"/>
  <c r="FG349" i="1" s="1"/>
  <c r="FA349" i="1"/>
  <c r="EZ349" i="1"/>
  <c r="ET349" i="1"/>
  <c r="ES349" i="1"/>
  <c r="EM349" i="1"/>
  <c r="EL349" i="1" s="1"/>
  <c r="EF349" i="1"/>
  <c r="EE349" i="1" s="1"/>
  <c r="DY349" i="1"/>
  <c r="DX349" i="1"/>
  <c r="DR349" i="1"/>
  <c r="DQ349" i="1"/>
  <c r="DK349" i="1"/>
  <c r="DJ349" i="1" s="1"/>
  <c r="HX349" i="1" s="1"/>
  <c r="DD349" i="1"/>
  <c r="DC349" i="1" s="1"/>
  <c r="CW349" i="1"/>
  <c r="CV349" i="1"/>
  <c r="CP349" i="1"/>
  <c r="CO349" i="1"/>
  <c r="CN349" i="1"/>
  <c r="CF349" i="1"/>
  <c r="CD349" i="1"/>
  <c r="IE348" i="1"/>
  <c r="ID348" i="1"/>
  <c r="IB348" i="1"/>
  <c r="HZ348" i="1"/>
  <c r="HS348" i="1"/>
  <c r="HR348" i="1"/>
  <c r="HL348" i="1"/>
  <c r="HK348" i="1"/>
  <c r="HE348" i="1"/>
  <c r="HD348" i="1" s="1"/>
  <c r="GX348" i="1"/>
  <c r="GW348" i="1" s="1"/>
  <c r="GQ348" i="1"/>
  <c r="GP348" i="1"/>
  <c r="GJ348" i="1"/>
  <c r="GI348" i="1"/>
  <c r="GC348" i="1"/>
  <c r="GB348" i="1"/>
  <c r="FV348" i="1"/>
  <c r="FU348" i="1" s="1"/>
  <c r="FO348" i="1"/>
  <c r="FN348" i="1"/>
  <c r="FH348" i="1"/>
  <c r="FG348" i="1"/>
  <c r="FA348" i="1"/>
  <c r="EZ348" i="1" s="1"/>
  <c r="ET348" i="1"/>
  <c r="ES348" i="1" s="1"/>
  <c r="EM348" i="1"/>
  <c r="EL348" i="1"/>
  <c r="EF348" i="1"/>
  <c r="EE348" i="1"/>
  <c r="DY348" i="1"/>
  <c r="DX348" i="1"/>
  <c r="DR348" i="1"/>
  <c r="DQ348" i="1" s="1"/>
  <c r="DK348" i="1"/>
  <c r="DJ348" i="1"/>
  <c r="DD348" i="1"/>
  <c r="DC348" i="1"/>
  <c r="CW348" i="1"/>
  <c r="CV348" i="1"/>
  <c r="CP348" i="1"/>
  <c r="CN348" i="1"/>
  <c r="CF348" i="1"/>
  <c r="CD348" i="1"/>
  <c r="IE347" i="1"/>
  <c r="HZ347" i="1"/>
  <c r="HS347" i="1"/>
  <c r="HR347" i="1"/>
  <c r="HL347" i="1"/>
  <c r="HK347" i="1" s="1"/>
  <c r="HE347" i="1"/>
  <c r="HD347" i="1"/>
  <c r="GX347" i="1"/>
  <c r="GW347" i="1"/>
  <c r="GQ347" i="1"/>
  <c r="GP347" i="1" s="1"/>
  <c r="GJ347" i="1"/>
  <c r="GI347" i="1" s="1"/>
  <c r="GC347" i="1"/>
  <c r="GB347" i="1"/>
  <c r="FV347" i="1"/>
  <c r="FU347" i="1"/>
  <c r="FO347" i="1"/>
  <c r="FN347" i="1"/>
  <c r="FH347" i="1"/>
  <c r="FG347" i="1" s="1"/>
  <c r="FA347" i="1"/>
  <c r="EZ347" i="1"/>
  <c r="ET347" i="1"/>
  <c r="ES347" i="1"/>
  <c r="EM347" i="1"/>
  <c r="EL347" i="1"/>
  <c r="EF347" i="1"/>
  <c r="EE347" i="1" s="1"/>
  <c r="DY347" i="1"/>
  <c r="DX347" i="1"/>
  <c r="DR347" i="1"/>
  <c r="DQ347" i="1"/>
  <c r="DK347" i="1"/>
  <c r="DJ347" i="1"/>
  <c r="DD347" i="1"/>
  <c r="DC347" i="1" s="1"/>
  <c r="CW347" i="1"/>
  <c r="CV347" i="1"/>
  <c r="CP347" i="1"/>
  <c r="HY347" i="1" s="1"/>
  <c r="CO347" i="1"/>
  <c r="CN347" i="1"/>
  <c r="CF347" i="1"/>
  <c r="CD347" i="1"/>
  <c r="IE346" i="1"/>
  <c r="HZ346" i="1"/>
  <c r="IB346" i="1" s="1"/>
  <c r="ID346" i="1" s="1"/>
  <c r="HS346" i="1"/>
  <c r="HR346" i="1"/>
  <c r="HL346" i="1"/>
  <c r="HK346" i="1"/>
  <c r="HE346" i="1"/>
  <c r="HD346" i="1" s="1"/>
  <c r="GX346" i="1"/>
  <c r="GW346" i="1" s="1"/>
  <c r="GQ346" i="1"/>
  <c r="GP346" i="1"/>
  <c r="GJ346" i="1"/>
  <c r="GI346" i="1"/>
  <c r="GC346" i="1"/>
  <c r="GB346" i="1" s="1"/>
  <c r="FV346" i="1"/>
  <c r="FU346" i="1" s="1"/>
  <c r="FO346" i="1"/>
  <c r="FN346" i="1"/>
  <c r="FH346" i="1"/>
  <c r="FG346" i="1"/>
  <c r="FA346" i="1"/>
  <c r="EZ346" i="1"/>
  <c r="ET346" i="1"/>
  <c r="ES346" i="1" s="1"/>
  <c r="EM346" i="1"/>
  <c r="EL346" i="1"/>
  <c r="EF346" i="1"/>
  <c r="EE346" i="1"/>
  <c r="DY346" i="1"/>
  <c r="DX346" i="1"/>
  <c r="DR346" i="1"/>
  <c r="DQ346" i="1" s="1"/>
  <c r="DK346" i="1"/>
  <c r="DJ346" i="1"/>
  <c r="DD346" i="1"/>
  <c r="DC346" i="1"/>
  <c r="CW346" i="1"/>
  <c r="CV346" i="1"/>
  <c r="CP346" i="1"/>
  <c r="CN346" i="1"/>
  <c r="CF346" i="1"/>
  <c r="CD346" i="1"/>
  <c r="IE345" i="1"/>
  <c r="HZ345" i="1"/>
  <c r="IB345" i="1" s="1"/>
  <c r="HS345" i="1"/>
  <c r="HR345" i="1" s="1"/>
  <c r="HL345" i="1"/>
  <c r="HK345" i="1" s="1"/>
  <c r="HE345" i="1"/>
  <c r="HD345" i="1"/>
  <c r="GX345" i="1"/>
  <c r="GW345" i="1"/>
  <c r="GQ345" i="1"/>
  <c r="GP345" i="1"/>
  <c r="GJ345" i="1"/>
  <c r="GI345" i="1" s="1"/>
  <c r="GC345" i="1"/>
  <c r="GB345" i="1"/>
  <c r="FV345" i="1"/>
  <c r="FU345" i="1"/>
  <c r="FO345" i="1"/>
  <c r="FN345" i="1"/>
  <c r="FH345" i="1"/>
  <c r="FG345" i="1" s="1"/>
  <c r="FA345" i="1"/>
  <c r="EZ345" i="1"/>
  <c r="ET345" i="1"/>
  <c r="ES345" i="1"/>
  <c r="EM345" i="1"/>
  <c r="EL345" i="1"/>
  <c r="EF345" i="1"/>
  <c r="EE345" i="1" s="1"/>
  <c r="DY345" i="1"/>
  <c r="DX345" i="1"/>
  <c r="DR345" i="1"/>
  <c r="DQ345" i="1"/>
  <c r="DK345" i="1"/>
  <c r="DJ345" i="1" s="1"/>
  <c r="DD345" i="1"/>
  <c r="DC345" i="1" s="1"/>
  <c r="CW345" i="1"/>
  <c r="CV345" i="1"/>
  <c r="CP345" i="1"/>
  <c r="HY345" i="1" s="1"/>
  <c r="CO345" i="1"/>
  <c r="CN345" i="1"/>
  <c r="CF345" i="1"/>
  <c r="CD345" i="1"/>
  <c r="IE344" i="1"/>
  <c r="IB344" i="1"/>
  <c r="HZ344" i="1"/>
  <c r="ID344" i="1" s="1"/>
  <c r="HS344" i="1"/>
  <c r="HR344" i="1"/>
  <c r="HL344" i="1"/>
  <c r="HK344" i="1"/>
  <c r="HE344" i="1"/>
  <c r="HD344" i="1"/>
  <c r="GX344" i="1"/>
  <c r="GW344" i="1" s="1"/>
  <c r="GQ344" i="1"/>
  <c r="GP344" i="1"/>
  <c r="GJ344" i="1"/>
  <c r="GI344" i="1"/>
  <c r="GC344" i="1"/>
  <c r="GB344" i="1"/>
  <c r="FV344" i="1"/>
  <c r="FU344" i="1" s="1"/>
  <c r="FO344" i="1"/>
  <c r="FN344" i="1"/>
  <c r="FH344" i="1"/>
  <c r="FG344" i="1"/>
  <c r="FA344" i="1"/>
  <c r="EZ344" i="1"/>
  <c r="ET344" i="1"/>
  <c r="ES344" i="1" s="1"/>
  <c r="EM344" i="1"/>
  <c r="EL344" i="1"/>
  <c r="EF344" i="1"/>
  <c r="EE344" i="1"/>
  <c r="DY344" i="1"/>
  <c r="DX344" i="1" s="1"/>
  <c r="DR344" i="1"/>
  <c r="DQ344" i="1" s="1"/>
  <c r="DK344" i="1"/>
  <c r="DJ344" i="1"/>
  <c r="DD344" i="1"/>
  <c r="DC344" i="1"/>
  <c r="CW344" i="1"/>
  <c r="CV344" i="1" s="1"/>
  <c r="CP344" i="1"/>
  <c r="CN344" i="1"/>
  <c r="CF344" i="1"/>
  <c r="CD344" i="1"/>
  <c r="IE343" i="1"/>
  <c r="ID343" i="1"/>
  <c r="HZ343" i="1"/>
  <c r="IB343" i="1" s="1"/>
  <c r="HS343" i="1"/>
  <c r="HR343" i="1"/>
  <c r="HL343" i="1"/>
  <c r="HK343" i="1" s="1"/>
  <c r="HE343" i="1"/>
  <c r="HD343" i="1"/>
  <c r="GX343" i="1"/>
  <c r="GW343" i="1"/>
  <c r="GQ343" i="1"/>
  <c r="GP343" i="1"/>
  <c r="GJ343" i="1"/>
  <c r="GI343" i="1" s="1"/>
  <c r="GC343" i="1"/>
  <c r="GB343" i="1"/>
  <c r="FV343" i="1"/>
  <c r="FU343" i="1"/>
  <c r="FO343" i="1"/>
  <c r="FN343" i="1" s="1"/>
  <c r="FH343" i="1"/>
  <c r="FG343" i="1" s="1"/>
  <c r="FA343" i="1"/>
  <c r="EZ343" i="1"/>
  <c r="ET343" i="1"/>
  <c r="ES343" i="1"/>
  <c r="EM343" i="1"/>
  <c r="EL343" i="1" s="1"/>
  <c r="EF343" i="1"/>
  <c r="EE343" i="1" s="1"/>
  <c r="DY343" i="1"/>
  <c r="DX343" i="1"/>
  <c r="DR343" i="1"/>
  <c r="DQ343" i="1"/>
  <c r="DK343" i="1"/>
  <c r="DJ343" i="1"/>
  <c r="DD343" i="1"/>
  <c r="DC343" i="1" s="1"/>
  <c r="CW343" i="1"/>
  <c r="CV343" i="1"/>
  <c r="CP343" i="1"/>
  <c r="CO343" i="1"/>
  <c r="HX343" i="1" s="1"/>
  <c r="CN343" i="1"/>
  <c r="CF343" i="1"/>
  <c r="CD343" i="1"/>
  <c r="IE342" i="1"/>
  <c r="HZ342" i="1"/>
  <c r="HS342" i="1"/>
  <c r="HR342" i="1"/>
  <c r="HL342" i="1"/>
  <c r="HK342" i="1"/>
  <c r="HE342" i="1"/>
  <c r="HD342" i="1"/>
  <c r="GX342" i="1"/>
  <c r="GW342" i="1" s="1"/>
  <c r="GQ342" i="1"/>
  <c r="GP342" i="1"/>
  <c r="GJ342" i="1"/>
  <c r="GI342" i="1"/>
  <c r="GC342" i="1"/>
  <c r="GB342" i="1" s="1"/>
  <c r="FV342" i="1"/>
  <c r="FU342" i="1" s="1"/>
  <c r="FO342" i="1"/>
  <c r="FN342" i="1"/>
  <c r="FH342" i="1"/>
  <c r="FG342" i="1"/>
  <c r="FA342" i="1"/>
  <c r="EZ342" i="1" s="1"/>
  <c r="ET342" i="1"/>
  <c r="ES342" i="1" s="1"/>
  <c r="EM342" i="1"/>
  <c r="EL342" i="1"/>
  <c r="EF342" i="1"/>
  <c r="EE342" i="1"/>
  <c r="DY342" i="1"/>
  <c r="DX342" i="1"/>
  <c r="DR342" i="1"/>
  <c r="DQ342" i="1" s="1"/>
  <c r="DK342" i="1"/>
  <c r="DJ342" i="1"/>
  <c r="DD342" i="1"/>
  <c r="DC342" i="1"/>
  <c r="CW342" i="1"/>
  <c r="CV342" i="1" s="1"/>
  <c r="CP342" i="1"/>
  <c r="CN342" i="1"/>
  <c r="CF342" i="1"/>
  <c r="CD342" i="1"/>
  <c r="IE341" i="1"/>
  <c r="ID341" i="1"/>
  <c r="HZ341" i="1"/>
  <c r="IB341" i="1" s="1"/>
  <c r="HS341" i="1"/>
  <c r="HR341" i="1" s="1"/>
  <c r="HL341" i="1"/>
  <c r="HK341" i="1" s="1"/>
  <c r="HE341" i="1"/>
  <c r="HD341" i="1"/>
  <c r="GX341" i="1"/>
  <c r="GW341" i="1"/>
  <c r="GQ341" i="1"/>
  <c r="GP341" i="1" s="1"/>
  <c r="GJ341" i="1"/>
  <c r="GI341" i="1" s="1"/>
  <c r="GC341" i="1"/>
  <c r="GB341" i="1"/>
  <c r="FV341" i="1"/>
  <c r="FU341" i="1"/>
  <c r="FO341" i="1"/>
  <c r="FN341" i="1"/>
  <c r="FH341" i="1"/>
  <c r="FG341" i="1" s="1"/>
  <c r="FA341" i="1"/>
  <c r="EZ341" i="1"/>
  <c r="ET341" i="1"/>
  <c r="ES341" i="1"/>
  <c r="EM341" i="1"/>
  <c r="EL341" i="1" s="1"/>
  <c r="EF341" i="1"/>
  <c r="EE341" i="1" s="1"/>
  <c r="DY341" i="1"/>
  <c r="DX341" i="1"/>
  <c r="DR341" i="1"/>
  <c r="DQ341" i="1"/>
  <c r="DK341" i="1"/>
  <c r="DJ341" i="1"/>
  <c r="HX341" i="1" s="1"/>
  <c r="DD341" i="1"/>
  <c r="DC341" i="1" s="1"/>
  <c r="CW341" i="1"/>
  <c r="CV341" i="1"/>
  <c r="CP341" i="1"/>
  <c r="CO341" i="1"/>
  <c r="CN341" i="1"/>
  <c r="CF341" i="1"/>
  <c r="CD341" i="1"/>
  <c r="IE340" i="1"/>
  <c r="ID340" i="1"/>
  <c r="IB340" i="1"/>
  <c r="HZ340" i="1"/>
  <c r="HS340" i="1"/>
  <c r="HR340" i="1"/>
  <c r="HL340" i="1"/>
  <c r="HK340" i="1"/>
  <c r="HE340" i="1"/>
  <c r="HD340" i="1" s="1"/>
  <c r="GX340" i="1"/>
  <c r="GW340" i="1" s="1"/>
  <c r="GQ340" i="1"/>
  <c r="GP340" i="1"/>
  <c r="GJ340" i="1"/>
  <c r="GI340" i="1"/>
  <c r="GC340" i="1"/>
  <c r="GB340" i="1"/>
  <c r="FV340" i="1"/>
  <c r="FU340" i="1" s="1"/>
  <c r="FO340" i="1"/>
  <c r="FN340" i="1"/>
  <c r="FH340" i="1"/>
  <c r="FG340" i="1"/>
  <c r="FA340" i="1"/>
  <c r="EZ340" i="1" s="1"/>
  <c r="ET340" i="1"/>
  <c r="ES340" i="1" s="1"/>
  <c r="EM340" i="1"/>
  <c r="EL340" i="1"/>
  <c r="EF340" i="1"/>
  <c r="EE340" i="1"/>
  <c r="DY340" i="1"/>
  <c r="DX340" i="1"/>
  <c r="DR340" i="1"/>
  <c r="DQ340" i="1" s="1"/>
  <c r="DK340" i="1"/>
  <c r="DJ340" i="1"/>
  <c r="DD340" i="1"/>
  <c r="DC340" i="1"/>
  <c r="CW340" i="1"/>
  <c r="CV340" i="1"/>
  <c r="CP340" i="1"/>
  <c r="CN340" i="1"/>
  <c r="CF340" i="1"/>
  <c r="CD340" i="1"/>
  <c r="IE339" i="1"/>
  <c r="HZ339" i="1"/>
  <c r="HS339" i="1"/>
  <c r="HR339" i="1"/>
  <c r="HL339" i="1"/>
  <c r="HK339" i="1" s="1"/>
  <c r="HE339" i="1"/>
  <c r="HD339" i="1"/>
  <c r="GX339" i="1"/>
  <c r="GW339" i="1"/>
  <c r="GQ339" i="1"/>
  <c r="GP339" i="1" s="1"/>
  <c r="GJ339" i="1"/>
  <c r="GI339" i="1" s="1"/>
  <c r="GC339" i="1"/>
  <c r="GB339" i="1"/>
  <c r="FV339" i="1"/>
  <c r="FU339" i="1"/>
  <c r="FO339" i="1"/>
  <c r="FN339" i="1" s="1"/>
  <c r="FH339" i="1"/>
  <c r="FG339" i="1" s="1"/>
  <c r="FA339" i="1"/>
  <c r="EZ339" i="1"/>
  <c r="ET339" i="1"/>
  <c r="ES339" i="1"/>
  <c r="EM339" i="1"/>
  <c r="EL339" i="1"/>
  <c r="EF339" i="1"/>
  <c r="EE339" i="1" s="1"/>
  <c r="DY339" i="1"/>
  <c r="DX339" i="1"/>
  <c r="DR339" i="1"/>
  <c r="DQ339" i="1"/>
  <c r="DK339" i="1"/>
  <c r="DJ339" i="1"/>
  <c r="DD339" i="1"/>
  <c r="DC339" i="1" s="1"/>
  <c r="CW339" i="1"/>
  <c r="CV339" i="1"/>
  <c r="CP339" i="1"/>
  <c r="CO339" i="1"/>
  <c r="CN339" i="1"/>
  <c r="CF339" i="1"/>
  <c r="CD339" i="1"/>
  <c r="IE338" i="1"/>
  <c r="ID338" i="1"/>
  <c r="HZ338" i="1"/>
  <c r="IB338" i="1" s="1"/>
  <c r="HS338" i="1"/>
  <c r="HR338" i="1"/>
  <c r="HL338" i="1"/>
  <c r="HK338" i="1"/>
  <c r="HE338" i="1"/>
  <c r="HD338" i="1" s="1"/>
  <c r="GX338" i="1"/>
  <c r="GW338" i="1" s="1"/>
  <c r="GQ338" i="1"/>
  <c r="GP338" i="1"/>
  <c r="GJ338" i="1"/>
  <c r="GI338" i="1"/>
  <c r="GC338" i="1"/>
  <c r="GB338" i="1" s="1"/>
  <c r="FV338" i="1"/>
  <c r="FU338" i="1" s="1"/>
  <c r="FO338" i="1"/>
  <c r="FN338" i="1"/>
  <c r="FH338" i="1"/>
  <c r="FG338" i="1"/>
  <c r="FA338" i="1"/>
  <c r="EZ338" i="1"/>
  <c r="ET338" i="1"/>
  <c r="ES338" i="1" s="1"/>
  <c r="EM338" i="1"/>
  <c r="EL338" i="1"/>
  <c r="EF338" i="1"/>
  <c r="EE338" i="1"/>
  <c r="DY338" i="1"/>
  <c r="DX338" i="1"/>
  <c r="DR338" i="1"/>
  <c r="DQ338" i="1" s="1"/>
  <c r="DK338" i="1"/>
  <c r="DJ338" i="1"/>
  <c r="DD338" i="1"/>
  <c r="DC338" i="1"/>
  <c r="CW338" i="1"/>
  <c r="CV338" i="1"/>
  <c r="CP338" i="1"/>
  <c r="CN338" i="1"/>
  <c r="CF338" i="1"/>
  <c r="CD338" i="1"/>
  <c r="IE337" i="1"/>
  <c r="HZ337" i="1"/>
  <c r="IB337" i="1" s="1"/>
  <c r="HS337" i="1"/>
  <c r="HR337" i="1"/>
  <c r="HL337" i="1"/>
  <c r="HK337" i="1" s="1"/>
  <c r="HE337" i="1"/>
  <c r="HD337" i="1"/>
  <c r="GX337" i="1"/>
  <c r="GW337" i="1"/>
  <c r="GQ337" i="1"/>
  <c r="GP337" i="1"/>
  <c r="GJ337" i="1"/>
  <c r="GI337" i="1" s="1"/>
  <c r="GC337" i="1"/>
  <c r="GB337" i="1"/>
  <c r="FV337" i="1"/>
  <c r="FU337" i="1"/>
  <c r="FO337" i="1"/>
  <c r="FN337" i="1"/>
  <c r="FH337" i="1"/>
  <c r="FG337" i="1" s="1"/>
  <c r="FA337" i="1"/>
  <c r="EZ337" i="1"/>
  <c r="ET337" i="1"/>
  <c r="ES337" i="1"/>
  <c r="EM337" i="1"/>
  <c r="EL337" i="1"/>
  <c r="EF337" i="1"/>
  <c r="EE337" i="1" s="1"/>
  <c r="DY337" i="1"/>
  <c r="DX337" i="1"/>
  <c r="DR337" i="1"/>
  <c r="DQ337" i="1"/>
  <c r="DK337" i="1"/>
  <c r="DJ337" i="1" s="1"/>
  <c r="DD337" i="1"/>
  <c r="DC337" i="1" s="1"/>
  <c r="CW337" i="1"/>
  <c r="CV337" i="1"/>
  <c r="CP337" i="1"/>
  <c r="HY337" i="1" s="1"/>
  <c r="CO337" i="1"/>
  <c r="CN337" i="1"/>
  <c r="CF337" i="1"/>
  <c r="CD337" i="1"/>
  <c r="IE336" i="1"/>
  <c r="IB336" i="1"/>
  <c r="HZ336" i="1"/>
  <c r="ID336" i="1" s="1"/>
  <c r="HS336" i="1"/>
  <c r="HR336" i="1"/>
  <c r="HL336" i="1"/>
  <c r="HK336" i="1"/>
  <c r="HE336" i="1"/>
  <c r="HD336" i="1"/>
  <c r="GX336" i="1"/>
  <c r="GW336" i="1" s="1"/>
  <c r="GQ336" i="1"/>
  <c r="GP336" i="1"/>
  <c r="GJ336" i="1"/>
  <c r="GI336" i="1"/>
  <c r="GC336" i="1"/>
  <c r="GB336" i="1"/>
  <c r="FV336" i="1"/>
  <c r="FU336" i="1" s="1"/>
  <c r="FO336" i="1"/>
  <c r="FN336" i="1"/>
  <c r="FH336" i="1"/>
  <c r="FG336" i="1"/>
  <c r="FA336" i="1"/>
  <c r="EZ336" i="1"/>
  <c r="ET336" i="1"/>
  <c r="ES336" i="1" s="1"/>
  <c r="EM336" i="1"/>
  <c r="EL336" i="1"/>
  <c r="EF336" i="1"/>
  <c r="EE336" i="1"/>
  <c r="DY336" i="1"/>
  <c r="DX336" i="1" s="1"/>
  <c r="DR336" i="1"/>
  <c r="DQ336" i="1" s="1"/>
  <c r="DK336" i="1"/>
  <c r="DJ336" i="1"/>
  <c r="DD336" i="1"/>
  <c r="DC336" i="1"/>
  <c r="CW336" i="1"/>
  <c r="CV336" i="1" s="1"/>
  <c r="CP336" i="1"/>
  <c r="CN336" i="1"/>
  <c r="CF336" i="1"/>
  <c r="CD336" i="1"/>
  <c r="IE335" i="1"/>
  <c r="ID335" i="1"/>
  <c r="HZ335" i="1"/>
  <c r="IB335" i="1" s="1"/>
  <c r="HS335" i="1"/>
  <c r="HR335" i="1"/>
  <c r="HL335" i="1"/>
  <c r="HK335" i="1" s="1"/>
  <c r="HE335" i="1"/>
  <c r="HD335" i="1"/>
  <c r="GX335" i="1"/>
  <c r="GW335" i="1"/>
  <c r="GQ335" i="1"/>
  <c r="GP335" i="1"/>
  <c r="GJ335" i="1"/>
  <c r="GI335" i="1" s="1"/>
  <c r="GC335" i="1"/>
  <c r="GB335" i="1"/>
  <c r="FV335" i="1"/>
  <c r="FU335" i="1"/>
  <c r="FO335" i="1"/>
  <c r="FN335" i="1" s="1"/>
  <c r="FH335" i="1"/>
  <c r="FG335" i="1" s="1"/>
  <c r="FA335" i="1"/>
  <c r="EZ335" i="1"/>
  <c r="ET335" i="1"/>
  <c r="ES335" i="1"/>
  <c r="EM335" i="1"/>
  <c r="EL335" i="1" s="1"/>
  <c r="EF335" i="1"/>
  <c r="EE335" i="1" s="1"/>
  <c r="DY335" i="1"/>
  <c r="DX335" i="1"/>
  <c r="DR335" i="1"/>
  <c r="DQ335" i="1"/>
  <c r="DK335" i="1"/>
  <c r="DJ335" i="1"/>
  <c r="DD335" i="1"/>
  <c r="DC335" i="1" s="1"/>
  <c r="CW335" i="1"/>
  <c r="CV335" i="1"/>
  <c r="CP335" i="1"/>
  <c r="CO335" i="1"/>
  <c r="CN335" i="1"/>
  <c r="CF335" i="1"/>
  <c r="CD335" i="1"/>
  <c r="IE334" i="1"/>
  <c r="HZ334" i="1"/>
  <c r="HS334" i="1"/>
  <c r="HR334" i="1"/>
  <c r="HL334" i="1"/>
  <c r="HK334" i="1"/>
  <c r="HE334" i="1"/>
  <c r="HD334" i="1"/>
  <c r="GX334" i="1"/>
  <c r="GW334" i="1" s="1"/>
  <c r="GQ334" i="1"/>
  <c r="GP334" i="1"/>
  <c r="GJ334" i="1"/>
  <c r="GI334" i="1"/>
  <c r="GC334" i="1"/>
  <c r="GB334" i="1" s="1"/>
  <c r="FV334" i="1"/>
  <c r="FU334" i="1" s="1"/>
  <c r="FO334" i="1"/>
  <c r="FN334" i="1"/>
  <c r="FH334" i="1"/>
  <c r="FG334" i="1"/>
  <c r="FA334" i="1"/>
  <c r="EZ334" i="1"/>
  <c r="ET334" i="1"/>
  <c r="ES334" i="1" s="1"/>
  <c r="EM334" i="1"/>
  <c r="EL334" i="1"/>
  <c r="EF334" i="1"/>
  <c r="EE334" i="1"/>
  <c r="DY334" i="1"/>
  <c r="DX334" i="1"/>
  <c r="DR334" i="1"/>
  <c r="DQ334" i="1" s="1"/>
  <c r="DK334" i="1"/>
  <c r="DJ334" i="1"/>
  <c r="DD334" i="1"/>
  <c r="DC334" i="1"/>
  <c r="CW334" i="1"/>
  <c r="CV334" i="1" s="1"/>
  <c r="CP334" i="1"/>
  <c r="CN334" i="1"/>
  <c r="CF334" i="1"/>
  <c r="CD334" i="1"/>
  <c r="IE333" i="1"/>
  <c r="ID333" i="1"/>
  <c r="HZ333" i="1"/>
  <c r="IB333" i="1" s="1"/>
  <c r="HS333" i="1"/>
  <c r="HR333" i="1"/>
  <c r="HL333" i="1"/>
  <c r="HK333" i="1" s="1"/>
  <c r="HE333" i="1"/>
  <c r="HD333" i="1"/>
  <c r="GX333" i="1"/>
  <c r="GW333" i="1"/>
  <c r="GQ333" i="1"/>
  <c r="GP333" i="1" s="1"/>
  <c r="GJ333" i="1"/>
  <c r="GI333" i="1" s="1"/>
  <c r="GC333" i="1"/>
  <c r="GB333" i="1"/>
  <c r="FV333" i="1"/>
  <c r="FU333" i="1" s="1"/>
  <c r="FO333" i="1"/>
  <c r="FN333" i="1" s="1"/>
  <c r="FH333" i="1"/>
  <c r="FG333" i="1" s="1"/>
  <c r="FA333" i="1"/>
  <c r="EZ333" i="1"/>
  <c r="ET333" i="1"/>
  <c r="ES333" i="1"/>
  <c r="EM333" i="1"/>
  <c r="EL333" i="1"/>
  <c r="EF333" i="1"/>
  <c r="EE333" i="1" s="1"/>
  <c r="DY333" i="1"/>
  <c r="DX333" i="1"/>
  <c r="DR333" i="1"/>
  <c r="DQ333" i="1"/>
  <c r="DK333" i="1"/>
  <c r="DD333" i="1"/>
  <c r="DC333" i="1" s="1"/>
  <c r="CW333" i="1"/>
  <c r="CV333" i="1"/>
  <c r="CP333" i="1"/>
  <c r="CO333" i="1"/>
  <c r="CN333" i="1"/>
  <c r="CF333" i="1"/>
  <c r="CD333" i="1"/>
  <c r="IE332" i="1"/>
  <c r="ID332" i="1"/>
  <c r="HZ332" i="1"/>
  <c r="IB332" i="1" s="1"/>
  <c r="HS332" i="1"/>
  <c r="HR332" i="1"/>
  <c r="HL332" i="1"/>
  <c r="HK332" i="1"/>
  <c r="HE332" i="1"/>
  <c r="HD332" i="1"/>
  <c r="GX332" i="1"/>
  <c r="GW332" i="1" s="1"/>
  <c r="GQ332" i="1"/>
  <c r="GP332" i="1"/>
  <c r="GJ332" i="1"/>
  <c r="GI332" i="1"/>
  <c r="GC332" i="1"/>
  <c r="GB332" i="1" s="1"/>
  <c r="FV332" i="1"/>
  <c r="FU332" i="1" s="1"/>
  <c r="FO332" i="1"/>
  <c r="FN332" i="1"/>
  <c r="FH332" i="1"/>
  <c r="FG332" i="1" s="1"/>
  <c r="FA332" i="1"/>
  <c r="EZ332" i="1"/>
  <c r="ET332" i="1"/>
  <c r="ES332" i="1" s="1"/>
  <c r="EM332" i="1"/>
  <c r="EL332" i="1"/>
  <c r="EF332" i="1"/>
  <c r="EE332" i="1"/>
  <c r="DY332" i="1"/>
  <c r="DX332" i="1"/>
  <c r="DR332" i="1"/>
  <c r="DQ332" i="1" s="1"/>
  <c r="DK332" i="1"/>
  <c r="DJ332" i="1"/>
  <c r="DD332" i="1"/>
  <c r="DC332" i="1"/>
  <c r="CW332" i="1"/>
  <c r="CV332" i="1" s="1"/>
  <c r="CP332" i="1"/>
  <c r="CN332" i="1"/>
  <c r="CF332" i="1"/>
  <c r="CD332" i="1"/>
  <c r="IE331" i="1"/>
  <c r="ID331" i="1"/>
  <c r="HZ331" i="1"/>
  <c r="IB331" i="1" s="1"/>
  <c r="HY331" i="1"/>
  <c r="HS331" i="1"/>
  <c r="HR331" i="1"/>
  <c r="HL331" i="1"/>
  <c r="HK331" i="1" s="1"/>
  <c r="HE331" i="1"/>
  <c r="HD331" i="1"/>
  <c r="GX331" i="1"/>
  <c r="GW331" i="1"/>
  <c r="GQ331" i="1"/>
  <c r="GP331" i="1" s="1"/>
  <c r="GJ331" i="1"/>
  <c r="GI331" i="1" s="1"/>
  <c r="GC331" i="1"/>
  <c r="GB331" i="1"/>
  <c r="FV331" i="1"/>
  <c r="FU331" i="1" s="1"/>
  <c r="FO331" i="1"/>
  <c r="FN331" i="1"/>
  <c r="FH331" i="1"/>
  <c r="FG331" i="1" s="1"/>
  <c r="FA331" i="1"/>
  <c r="EZ331" i="1"/>
  <c r="ET331" i="1"/>
  <c r="ES331" i="1"/>
  <c r="EM331" i="1"/>
  <c r="EL331" i="1"/>
  <c r="EF331" i="1"/>
  <c r="EE331" i="1" s="1"/>
  <c r="DY331" i="1"/>
  <c r="DX331" i="1"/>
  <c r="DR331" i="1"/>
  <c r="DQ331" i="1"/>
  <c r="DK331" i="1"/>
  <c r="DJ331" i="1" s="1"/>
  <c r="DD331" i="1"/>
  <c r="DC331" i="1" s="1"/>
  <c r="CW331" i="1"/>
  <c r="CV331" i="1"/>
  <c r="CP331" i="1"/>
  <c r="CO331" i="1"/>
  <c r="CN331" i="1"/>
  <c r="CF331" i="1"/>
  <c r="CD331" i="1"/>
  <c r="IE330" i="1"/>
  <c r="HZ330" i="1"/>
  <c r="IB330" i="1" s="1"/>
  <c r="HS330" i="1"/>
  <c r="HR330" i="1"/>
  <c r="HL330" i="1"/>
  <c r="HK330" i="1"/>
  <c r="HE330" i="1"/>
  <c r="HD330" i="1"/>
  <c r="GX330" i="1"/>
  <c r="GW330" i="1" s="1"/>
  <c r="GQ330" i="1"/>
  <c r="GP330" i="1"/>
  <c r="GJ330" i="1"/>
  <c r="GI330" i="1"/>
  <c r="GC330" i="1"/>
  <c r="GB330" i="1" s="1"/>
  <c r="FV330" i="1"/>
  <c r="FU330" i="1" s="1"/>
  <c r="FO330" i="1"/>
  <c r="FN330" i="1"/>
  <c r="FH330" i="1"/>
  <c r="FG330" i="1" s="1"/>
  <c r="FA330" i="1"/>
  <c r="EZ330" i="1" s="1"/>
  <c r="ET330" i="1"/>
  <c r="ES330" i="1" s="1"/>
  <c r="EM330" i="1"/>
  <c r="EL330" i="1"/>
  <c r="EF330" i="1"/>
  <c r="EE330" i="1"/>
  <c r="DY330" i="1"/>
  <c r="DX330" i="1"/>
  <c r="DR330" i="1"/>
  <c r="DQ330" i="1" s="1"/>
  <c r="DK330" i="1"/>
  <c r="DJ330" i="1"/>
  <c r="DD330" i="1"/>
  <c r="DC330" i="1"/>
  <c r="CW330" i="1"/>
  <c r="CV330" i="1" s="1"/>
  <c r="CP330" i="1"/>
  <c r="CN330" i="1"/>
  <c r="CF330" i="1"/>
  <c r="CD330" i="1"/>
  <c r="IE329" i="1"/>
  <c r="ID329" i="1"/>
  <c r="HZ329" i="1"/>
  <c r="IB329" i="1" s="1"/>
  <c r="HY329" i="1"/>
  <c r="HS329" i="1"/>
  <c r="HR329" i="1"/>
  <c r="HL329" i="1"/>
  <c r="HK329" i="1" s="1"/>
  <c r="HE329" i="1"/>
  <c r="HD329" i="1"/>
  <c r="GX329" i="1"/>
  <c r="GW329" i="1"/>
  <c r="GQ329" i="1"/>
  <c r="GP329" i="1" s="1"/>
  <c r="GJ329" i="1"/>
  <c r="GI329" i="1" s="1"/>
  <c r="GC329" i="1"/>
  <c r="GB329" i="1"/>
  <c r="FV329" i="1"/>
  <c r="FU329" i="1" s="1"/>
  <c r="FO329" i="1"/>
  <c r="FN329" i="1"/>
  <c r="FH329" i="1"/>
  <c r="FG329" i="1" s="1"/>
  <c r="FA329" i="1"/>
  <c r="EZ329" i="1"/>
  <c r="ET329" i="1"/>
  <c r="ES329" i="1" s="1"/>
  <c r="HX329" i="1" s="1"/>
  <c r="EM329" i="1"/>
  <c r="EL329" i="1"/>
  <c r="EF329" i="1"/>
  <c r="EE329" i="1" s="1"/>
  <c r="DY329" i="1"/>
  <c r="DX329" i="1"/>
  <c r="DR329" i="1"/>
  <c r="DQ329" i="1"/>
  <c r="DK329" i="1"/>
  <c r="DJ329" i="1" s="1"/>
  <c r="DD329" i="1"/>
  <c r="DC329" i="1" s="1"/>
  <c r="CW329" i="1"/>
  <c r="CV329" i="1"/>
  <c r="CP329" i="1"/>
  <c r="CO329" i="1"/>
  <c r="CN329" i="1"/>
  <c r="CF329" i="1"/>
  <c r="CD329" i="1"/>
  <c r="IE328" i="1"/>
  <c r="HZ328" i="1"/>
  <c r="IB328" i="1" s="1"/>
  <c r="HS328" i="1"/>
  <c r="HR328" i="1"/>
  <c r="HL328" i="1"/>
  <c r="HK328" i="1" s="1"/>
  <c r="HE328" i="1"/>
  <c r="HD328" i="1" s="1"/>
  <c r="GX328" i="1"/>
  <c r="GW328" i="1" s="1"/>
  <c r="GQ328" i="1"/>
  <c r="GP328" i="1"/>
  <c r="GJ328" i="1"/>
  <c r="GI328" i="1"/>
  <c r="GC328" i="1"/>
  <c r="GB328" i="1" s="1"/>
  <c r="FV328" i="1"/>
  <c r="FU328" i="1" s="1"/>
  <c r="FO328" i="1"/>
  <c r="FN328" i="1"/>
  <c r="FH328" i="1"/>
  <c r="FG328" i="1" s="1"/>
  <c r="FA328" i="1"/>
  <c r="EZ328" i="1"/>
  <c r="ET328" i="1"/>
  <c r="ES328" i="1" s="1"/>
  <c r="EM328" i="1"/>
  <c r="EL328" i="1"/>
  <c r="EF328" i="1"/>
  <c r="EE328" i="1"/>
  <c r="DY328" i="1"/>
  <c r="DX328" i="1"/>
  <c r="DR328" i="1"/>
  <c r="DQ328" i="1" s="1"/>
  <c r="DK328" i="1"/>
  <c r="DJ328" i="1"/>
  <c r="DD328" i="1"/>
  <c r="DC328" i="1"/>
  <c r="CW328" i="1"/>
  <c r="CV328" i="1" s="1"/>
  <c r="CP328" i="1"/>
  <c r="CN328" i="1"/>
  <c r="CF328" i="1"/>
  <c r="CD328" i="1"/>
  <c r="IE327" i="1"/>
  <c r="ID327" i="1"/>
  <c r="HZ327" i="1"/>
  <c r="IB327" i="1" s="1"/>
  <c r="HS327" i="1"/>
  <c r="HR327" i="1"/>
  <c r="HL327" i="1"/>
  <c r="HK327" i="1" s="1"/>
  <c r="HE327" i="1"/>
  <c r="HD327" i="1" s="1"/>
  <c r="GX327" i="1"/>
  <c r="GW327" i="1"/>
  <c r="GQ327" i="1"/>
  <c r="GP327" i="1" s="1"/>
  <c r="GJ327" i="1"/>
  <c r="GI327" i="1" s="1"/>
  <c r="GC327" i="1"/>
  <c r="GB327" i="1"/>
  <c r="FV327" i="1"/>
  <c r="FU327" i="1" s="1"/>
  <c r="FO327" i="1"/>
  <c r="FN327" i="1" s="1"/>
  <c r="FH327" i="1"/>
  <c r="FG327" i="1" s="1"/>
  <c r="FA327" i="1"/>
  <c r="EZ327" i="1"/>
  <c r="ET327" i="1"/>
  <c r="ES327" i="1"/>
  <c r="EM327" i="1"/>
  <c r="EL327" i="1"/>
  <c r="EF327" i="1"/>
  <c r="EE327" i="1" s="1"/>
  <c r="DY327" i="1"/>
  <c r="DX327" i="1" s="1"/>
  <c r="DR327" i="1"/>
  <c r="DQ327" i="1"/>
  <c r="DK327" i="1"/>
  <c r="DJ327" i="1" s="1"/>
  <c r="DD327" i="1"/>
  <c r="DC327" i="1" s="1"/>
  <c r="CW327" i="1"/>
  <c r="CP327" i="1"/>
  <c r="CO327" i="1"/>
  <c r="CN327" i="1"/>
  <c r="CF327" i="1"/>
  <c r="CD327" i="1"/>
  <c r="IE326" i="1"/>
  <c r="HZ326" i="1"/>
  <c r="IB326" i="1" s="1"/>
  <c r="HS326" i="1"/>
  <c r="HR326" i="1" s="1"/>
  <c r="HL326" i="1"/>
  <c r="HK326" i="1"/>
  <c r="HE326" i="1"/>
  <c r="HD326" i="1" s="1"/>
  <c r="GX326" i="1"/>
  <c r="GW326" i="1" s="1"/>
  <c r="GQ326" i="1"/>
  <c r="GP326" i="1"/>
  <c r="GJ326" i="1"/>
  <c r="GI326" i="1"/>
  <c r="GC326" i="1"/>
  <c r="GB326" i="1" s="1"/>
  <c r="FV326" i="1"/>
  <c r="FU326" i="1" s="1"/>
  <c r="FO326" i="1"/>
  <c r="FN326" i="1"/>
  <c r="FH326" i="1"/>
  <c r="FG326" i="1" s="1"/>
  <c r="FA326" i="1"/>
  <c r="EZ326" i="1"/>
  <c r="ET326" i="1"/>
  <c r="ES326" i="1" s="1"/>
  <c r="EM326" i="1"/>
  <c r="EL326" i="1"/>
  <c r="EF326" i="1"/>
  <c r="EE326" i="1"/>
  <c r="DY326" i="1"/>
  <c r="DX326" i="1"/>
  <c r="DR326" i="1"/>
  <c r="DQ326" i="1" s="1"/>
  <c r="DK326" i="1"/>
  <c r="DJ326" i="1" s="1"/>
  <c r="DD326" i="1"/>
  <c r="DC326" i="1"/>
  <c r="CW326" i="1"/>
  <c r="CV326" i="1" s="1"/>
  <c r="CP326" i="1"/>
  <c r="CN326" i="1"/>
  <c r="CF326" i="1"/>
  <c r="CD326" i="1"/>
  <c r="IE325" i="1"/>
  <c r="HZ325" i="1"/>
  <c r="IB325" i="1" s="1"/>
  <c r="HS325" i="1"/>
  <c r="HR325" i="1"/>
  <c r="HL325" i="1"/>
  <c r="HK325" i="1" s="1"/>
  <c r="HE325" i="1"/>
  <c r="HD325" i="1" s="1"/>
  <c r="GX325" i="1"/>
  <c r="GW325" i="1" s="1"/>
  <c r="GQ325" i="1"/>
  <c r="GP325" i="1" s="1"/>
  <c r="GJ325" i="1"/>
  <c r="GI325" i="1" s="1"/>
  <c r="GC325" i="1"/>
  <c r="GB325" i="1"/>
  <c r="FV325" i="1"/>
  <c r="FU325" i="1"/>
  <c r="FO325" i="1"/>
  <c r="FN325" i="1" s="1"/>
  <c r="FH325" i="1"/>
  <c r="FG325" i="1" s="1"/>
  <c r="FA325" i="1"/>
  <c r="EZ325" i="1"/>
  <c r="ET325" i="1"/>
  <c r="ES325" i="1" s="1"/>
  <c r="EM325" i="1"/>
  <c r="EL325" i="1" s="1"/>
  <c r="EF325" i="1"/>
  <c r="EE325" i="1" s="1"/>
  <c r="DY325" i="1"/>
  <c r="DX325" i="1"/>
  <c r="DR325" i="1"/>
  <c r="DQ325" i="1"/>
  <c r="DK325" i="1"/>
  <c r="DJ325" i="1"/>
  <c r="DD325" i="1"/>
  <c r="DC325" i="1" s="1"/>
  <c r="CW325" i="1"/>
  <c r="CV325" i="1" s="1"/>
  <c r="CP325" i="1"/>
  <c r="CO325" i="1"/>
  <c r="CN325" i="1"/>
  <c r="CF325" i="1"/>
  <c r="CD325" i="1"/>
  <c r="IE324" i="1"/>
  <c r="HZ324" i="1"/>
  <c r="HS324" i="1"/>
  <c r="HR324" i="1"/>
  <c r="HL324" i="1"/>
  <c r="HK324" i="1" s="1"/>
  <c r="HE324" i="1"/>
  <c r="HD324" i="1"/>
  <c r="GX324" i="1"/>
  <c r="GW324" i="1" s="1"/>
  <c r="GQ324" i="1"/>
  <c r="GP324" i="1" s="1"/>
  <c r="GJ324" i="1"/>
  <c r="GI324" i="1" s="1"/>
  <c r="GC324" i="1"/>
  <c r="GB324" i="1" s="1"/>
  <c r="FV324" i="1"/>
  <c r="FU324" i="1" s="1"/>
  <c r="FO324" i="1"/>
  <c r="FN324" i="1"/>
  <c r="FH324" i="1"/>
  <c r="FG324" i="1"/>
  <c r="FA324" i="1"/>
  <c r="EZ324" i="1" s="1"/>
  <c r="ET324" i="1"/>
  <c r="ES324" i="1" s="1"/>
  <c r="EM324" i="1"/>
  <c r="EL324" i="1"/>
  <c r="EF324" i="1"/>
  <c r="EE324" i="1" s="1"/>
  <c r="DY324" i="1"/>
  <c r="DX324" i="1"/>
  <c r="DR324" i="1"/>
  <c r="DQ324" i="1" s="1"/>
  <c r="DK324" i="1"/>
  <c r="DJ324" i="1"/>
  <c r="DD324" i="1"/>
  <c r="DC324" i="1"/>
  <c r="CW324" i="1"/>
  <c r="CV324" i="1"/>
  <c r="CP324" i="1"/>
  <c r="CN324" i="1"/>
  <c r="CF324" i="1"/>
  <c r="CD324" i="1"/>
  <c r="IE323" i="1"/>
  <c r="HZ323" i="1"/>
  <c r="HS323" i="1"/>
  <c r="HR323" i="1"/>
  <c r="HL323" i="1"/>
  <c r="HK323" i="1" s="1"/>
  <c r="HE323" i="1"/>
  <c r="HD323" i="1"/>
  <c r="GX323" i="1"/>
  <c r="GW323" i="1" s="1"/>
  <c r="GQ323" i="1"/>
  <c r="GP323" i="1"/>
  <c r="GJ323" i="1"/>
  <c r="GI323" i="1" s="1"/>
  <c r="GC323" i="1"/>
  <c r="GB323" i="1" s="1"/>
  <c r="FV323" i="1"/>
  <c r="FU323" i="1" s="1"/>
  <c r="FO323" i="1"/>
  <c r="FN323" i="1" s="1"/>
  <c r="FH323" i="1"/>
  <c r="FG323" i="1" s="1"/>
  <c r="FA323" i="1"/>
  <c r="EZ323" i="1"/>
  <c r="ET323" i="1"/>
  <c r="ES323" i="1"/>
  <c r="EM323" i="1"/>
  <c r="EL323" i="1" s="1"/>
  <c r="EF323" i="1"/>
  <c r="EE323" i="1" s="1"/>
  <c r="DY323" i="1"/>
  <c r="DX323" i="1"/>
  <c r="DR323" i="1"/>
  <c r="DQ323" i="1" s="1"/>
  <c r="DK323" i="1"/>
  <c r="DJ323" i="1"/>
  <c r="DD323" i="1"/>
  <c r="DC323" i="1" s="1"/>
  <c r="CW323" i="1"/>
  <c r="CV323" i="1"/>
  <c r="CP323" i="1"/>
  <c r="CO323" i="1"/>
  <c r="CN323" i="1"/>
  <c r="CF323" i="1"/>
  <c r="CD323" i="1"/>
  <c r="IE322" i="1"/>
  <c r="IB322" i="1"/>
  <c r="HZ322" i="1"/>
  <c r="HS322" i="1"/>
  <c r="HR322" i="1" s="1"/>
  <c r="HL322" i="1"/>
  <c r="HK322" i="1"/>
  <c r="HE322" i="1"/>
  <c r="HD322" i="1"/>
  <c r="GX322" i="1"/>
  <c r="GW322" i="1" s="1"/>
  <c r="GQ322" i="1"/>
  <c r="GP322" i="1"/>
  <c r="GJ322" i="1"/>
  <c r="GI322" i="1"/>
  <c r="GC322" i="1"/>
  <c r="GB322" i="1"/>
  <c r="FV322" i="1"/>
  <c r="FU322" i="1" s="1"/>
  <c r="FO322" i="1"/>
  <c r="FN322" i="1"/>
  <c r="FH322" i="1"/>
  <c r="FG322" i="1" s="1"/>
  <c r="FA322" i="1"/>
  <c r="EZ322" i="1" s="1"/>
  <c r="ET322" i="1"/>
  <c r="ES322" i="1" s="1"/>
  <c r="EM322" i="1"/>
  <c r="EL322" i="1" s="1"/>
  <c r="EF322" i="1"/>
  <c r="EE322" i="1"/>
  <c r="DY322" i="1"/>
  <c r="DX322" i="1"/>
  <c r="DR322" i="1"/>
  <c r="DQ322" i="1" s="1"/>
  <c r="DK322" i="1"/>
  <c r="DJ322" i="1"/>
  <c r="DD322" i="1"/>
  <c r="DC322" i="1"/>
  <c r="CW322" i="1"/>
  <c r="CP322" i="1"/>
  <c r="CO322" i="1" s="1"/>
  <c r="CN322" i="1"/>
  <c r="CF322" i="1"/>
  <c r="CD322" i="1"/>
  <c r="IE321" i="1"/>
  <c r="ID321" i="1"/>
  <c r="HZ321" i="1"/>
  <c r="IB321" i="1" s="1"/>
  <c r="HS321" i="1"/>
  <c r="HR321" i="1"/>
  <c r="HL321" i="1"/>
  <c r="HK321" i="1" s="1"/>
  <c r="HE321" i="1"/>
  <c r="HD321" i="1"/>
  <c r="GX321" i="1"/>
  <c r="GW321" i="1"/>
  <c r="GQ321" i="1"/>
  <c r="GP321" i="1" s="1"/>
  <c r="GJ321" i="1"/>
  <c r="GI321" i="1" s="1"/>
  <c r="GC321" i="1"/>
  <c r="GB321" i="1" s="1"/>
  <c r="FV321" i="1"/>
  <c r="FU321" i="1" s="1"/>
  <c r="FO321" i="1"/>
  <c r="FN321" i="1"/>
  <c r="FH321" i="1"/>
  <c r="FG321" i="1" s="1"/>
  <c r="FA321" i="1"/>
  <c r="EZ321" i="1" s="1"/>
  <c r="ET321" i="1"/>
  <c r="ES321" i="1"/>
  <c r="EM321" i="1"/>
  <c r="EL321" i="1"/>
  <c r="EF321" i="1"/>
  <c r="DY321" i="1"/>
  <c r="DX321" i="1"/>
  <c r="DR321" i="1"/>
  <c r="DQ321" i="1" s="1"/>
  <c r="DK321" i="1"/>
  <c r="DJ321" i="1" s="1"/>
  <c r="DD321" i="1"/>
  <c r="DC321" i="1" s="1"/>
  <c r="CW321" i="1"/>
  <c r="CV321" i="1" s="1"/>
  <c r="CP321" i="1"/>
  <c r="CO321" i="1"/>
  <c r="CN321" i="1"/>
  <c r="CF321" i="1"/>
  <c r="CD321" i="1"/>
  <c r="IE320" i="1"/>
  <c r="IB320" i="1"/>
  <c r="ID320" i="1" s="1"/>
  <c r="HZ320" i="1"/>
  <c r="HS320" i="1"/>
  <c r="HR320" i="1"/>
  <c r="HL320" i="1"/>
  <c r="HK320" i="1" s="1"/>
  <c r="HE320" i="1"/>
  <c r="HD320" i="1"/>
  <c r="GX320" i="1"/>
  <c r="GW320" i="1" s="1"/>
  <c r="GQ320" i="1"/>
  <c r="GP320" i="1" s="1"/>
  <c r="GJ320" i="1"/>
  <c r="GI320" i="1" s="1"/>
  <c r="GC320" i="1"/>
  <c r="GB320" i="1"/>
  <c r="FV320" i="1"/>
  <c r="FU320" i="1" s="1"/>
  <c r="FO320" i="1"/>
  <c r="FN320" i="1"/>
  <c r="FH320" i="1"/>
  <c r="FG320" i="1"/>
  <c r="FA320" i="1"/>
  <c r="EZ320" i="1" s="1"/>
  <c r="ET320" i="1"/>
  <c r="ES320" i="1" s="1"/>
  <c r="EM320" i="1"/>
  <c r="EL320" i="1" s="1"/>
  <c r="EF320" i="1"/>
  <c r="EE320" i="1" s="1"/>
  <c r="DY320" i="1"/>
  <c r="DX320" i="1" s="1"/>
  <c r="DR320" i="1"/>
  <c r="DQ320" i="1" s="1"/>
  <c r="DK320" i="1"/>
  <c r="DJ320" i="1"/>
  <c r="DD320" i="1"/>
  <c r="DC320" i="1"/>
  <c r="CW320" i="1"/>
  <c r="CV320" i="1"/>
  <c r="CP320" i="1"/>
  <c r="CN320" i="1"/>
  <c r="CF320" i="1"/>
  <c r="CD320" i="1"/>
  <c r="IE319" i="1"/>
  <c r="HZ319" i="1"/>
  <c r="IB319" i="1" s="1"/>
  <c r="HS319" i="1"/>
  <c r="HR319" i="1"/>
  <c r="HL319" i="1"/>
  <c r="HK319" i="1" s="1"/>
  <c r="HE319" i="1"/>
  <c r="HD319" i="1" s="1"/>
  <c r="GX319" i="1"/>
  <c r="GW319" i="1"/>
  <c r="GQ319" i="1"/>
  <c r="GP319" i="1" s="1"/>
  <c r="GJ319" i="1"/>
  <c r="GI319" i="1" s="1"/>
  <c r="GC319" i="1"/>
  <c r="GB319" i="1"/>
  <c r="FV319" i="1"/>
  <c r="FU319" i="1" s="1"/>
  <c r="FO319" i="1"/>
  <c r="FN319" i="1"/>
  <c r="FH319" i="1"/>
  <c r="FG319" i="1" s="1"/>
  <c r="FA319" i="1"/>
  <c r="EZ319" i="1" s="1"/>
  <c r="ET319" i="1"/>
  <c r="ES319" i="1" s="1"/>
  <c r="EM319" i="1"/>
  <c r="EL319" i="1"/>
  <c r="EF319" i="1"/>
  <c r="EE319" i="1" s="1"/>
  <c r="DY319" i="1"/>
  <c r="DX319" i="1"/>
  <c r="DR319" i="1"/>
  <c r="DQ319" i="1"/>
  <c r="DK319" i="1"/>
  <c r="DJ319" i="1" s="1"/>
  <c r="DD319" i="1"/>
  <c r="DC319" i="1" s="1"/>
  <c r="CW319" i="1"/>
  <c r="CV319" i="1" s="1"/>
  <c r="CP319" i="1"/>
  <c r="CO319" i="1" s="1"/>
  <c r="CN319" i="1"/>
  <c r="CF319" i="1"/>
  <c r="CD319" i="1"/>
  <c r="IE318" i="1"/>
  <c r="ID318" i="1"/>
  <c r="HZ318" i="1"/>
  <c r="IB318" i="1" s="1"/>
  <c r="HS318" i="1"/>
  <c r="HR318" i="1"/>
  <c r="HL318" i="1"/>
  <c r="HK318" i="1" s="1"/>
  <c r="HE318" i="1"/>
  <c r="HD318" i="1" s="1"/>
  <c r="GX318" i="1"/>
  <c r="GW318" i="1" s="1"/>
  <c r="GQ318" i="1"/>
  <c r="GP318" i="1" s="1"/>
  <c r="GJ318" i="1"/>
  <c r="GI318" i="1" s="1"/>
  <c r="GC318" i="1"/>
  <c r="GB318" i="1"/>
  <c r="FV318" i="1"/>
  <c r="FU318" i="1" s="1"/>
  <c r="FO318" i="1"/>
  <c r="FN318" i="1"/>
  <c r="FH318" i="1"/>
  <c r="FG318" i="1"/>
  <c r="FA318" i="1"/>
  <c r="EZ318" i="1" s="1"/>
  <c r="ET318" i="1"/>
  <c r="ES318" i="1" s="1"/>
  <c r="EM318" i="1"/>
  <c r="EL318" i="1"/>
  <c r="EF318" i="1"/>
  <c r="EE318" i="1" s="1"/>
  <c r="DY318" i="1"/>
  <c r="DX318" i="1" s="1"/>
  <c r="DR318" i="1"/>
  <c r="DQ318" i="1" s="1"/>
  <c r="DK318" i="1"/>
  <c r="DJ318" i="1" s="1"/>
  <c r="DD318" i="1"/>
  <c r="DC318" i="1"/>
  <c r="CW318" i="1"/>
  <c r="CV318" i="1"/>
  <c r="CP318" i="1"/>
  <c r="CN318" i="1"/>
  <c r="CF318" i="1"/>
  <c r="CD318" i="1"/>
  <c r="IE317" i="1"/>
  <c r="ID317" i="1"/>
  <c r="HZ317" i="1"/>
  <c r="IB317" i="1" s="1"/>
  <c r="HS317" i="1"/>
  <c r="HR317" i="1" s="1"/>
  <c r="HL317" i="1"/>
  <c r="HK317" i="1" s="1"/>
  <c r="HE317" i="1"/>
  <c r="HD317" i="1" s="1"/>
  <c r="GX317" i="1"/>
  <c r="GW317" i="1" s="1"/>
  <c r="GQ317" i="1"/>
  <c r="GP317" i="1"/>
  <c r="GJ317" i="1"/>
  <c r="GI317" i="1" s="1"/>
  <c r="GC317" i="1"/>
  <c r="GB317" i="1"/>
  <c r="FV317" i="1"/>
  <c r="FU317" i="1" s="1"/>
  <c r="FO317" i="1"/>
  <c r="FN317" i="1" s="1"/>
  <c r="FH317" i="1"/>
  <c r="FG317" i="1" s="1"/>
  <c r="FA317" i="1"/>
  <c r="EZ317" i="1" s="1"/>
  <c r="ET317" i="1"/>
  <c r="ES317" i="1"/>
  <c r="EM317" i="1"/>
  <c r="EL317" i="1" s="1"/>
  <c r="EF317" i="1"/>
  <c r="EE317" i="1" s="1"/>
  <c r="DY317" i="1"/>
  <c r="DX317" i="1" s="1"/>
  <c r="DR317" i="1"/>
  <c r="DQ317" i="1"/>
  <c r="DK317" i="1"/>
  <c r="DJ317" i="1" s="1"/>
  <c r="DD317" i="1"/>
  <c r="DC317" i="1" s="1"/>
  <c r="CW317" i="1"/>
  <c r="CV317" i="1"/>
  <c r="CP317" i="1"/>
  <c r="CN317" i="1"/>
  <c r="CF317" i="1"/>
  <c r="CD317" i="1"/>
  <c r="IE316" i="1"/>
  <c r="IB316" i="1"/>
  <c r="HZ316" i="1"/>
  <c r="HS316" i="1"/>
  <c r="HR316" i="1" s="1"/>
  <c r="HL316" i="1"/>
  <c r="HK316" i="1"/>
  <c r="HE316" i="1"/>
  <c r="HD316" i="1" s="1"/>
  <c r="GX316" i="1"/>
  <c r="GW316" i="1" s="1"/>
  <c r="GQ316" i="1"/>
  <c r="GP316" i="1" s="1"/>
  <c r="GJ316" i="1"/>
  <c r="GI316" i="1" s="1"/>
  <c r="GC316" i="1"/>
  <c r="GB316" i="1"/>
  <c r="FV316" i="1"/>
  <c r="FU316" i="1" s="1"/>
  <c r="FO316" i="1"/>
  <c r="FN316" i="1" s="1"/>
  <c r="FH316" i="1"/>
  <c r="FG316" i="1" s="1"/>
  <c r="FA316" i="1"/>
  <c r="EZ316" i="1"/>
  <c r="ET316" i="1"/>
  <c r="ES316" i="1" s="1"/>
  <c r="EM316" i="1"/>
  <c r="EL316" i="1"/>
  <c r="EF316" i="1"/>
  <c r="EE316" i="1" s="1"/>
  <c r="DY316" i="1"/>
  <c r="DX316" i="1"/>
  <c r="DR316" i="1"/>
  <c r="DQ316" i="1" s="1"/>
  <c r="DK316" i="1"/>
  <c r="DJ316" i="1"/>
  <c r="DD316" i="1"/>
  <c r="DC316" i="1"/>
  <c r="CW316" i="1"/>
  <c r="CV316" i="1" s="1"/>
  <c r="CP316" i="1"/>
  <c r="CO316" i="1" s="1"/>
  <c r="CN316" i="1"/>
  <c r="CF316" i="1"/>
  <c r="CD316" i="1"/>
  <c r="IE315" i="1"/>
  <c r="HZ315" i="1"/>
  <c r="HS315" i="1"/>
  <c r="HR315" i="1" s="1"/>
  <c r="HL315" i="1"/>
  <c r="HK315" i="1"/>
  <c r="HE315" i="1"/>
  <c r="HD315" i="1" s="1"/>
  <c r="GX315" i="1"/>
  <c r="GW315" i="1" s="1"/>
  <c r="GQ315" i="1"/>
  <c r="GP315" i="1" s="1"/>
  <c r="GJ315" i="1"/>
  <c r="GI315" i="1"/>
  <c r="GC315" i="1"/>
  <c r="GB315" i="1"/>
  <c r="FV315" i="1"/>
  <c r="FU315" i="1" s="1"/>
  <c r="FO315" i="1"/>
  <c r="FN315" i="1" s="1"/>
  <c r="FH315" i="1"/>
  <c r="FG315" i="1"/>
  <c r="FA315" i="1"/>
  <c r="EZ315" i="1"/>
  <c r="ET315" i="1"/>
  <c r="ES315" i="1" s="1"/>
  <c r="EM315" i="1"/>
  <c r="EL315" i="1" s="1"/>
  <c r="EF315" i="1"/>
  <c r="EE315" i="1"/>
  <c r="DY315" i="1"/>
  <c r="DX315" i="1" s="1"/>
  <c r="DR315" i="1"/>
  <c r="DQ315" i="1"/>
  <c r="DK315" i="1"/>
  <c r="DD315" i="1"/>
  <c r="DC315" i="1"/>
  <c r="CW315" i="1"/>
  <c r="CV315" i="1"/>
  <c r="CP315" i="1"/>
  <c r="CO315" i="1"/>
  <c r="CN315" i="1"/>
  <c r="CF315" i="1"/>
  <c r="CD315" i="1"/>
  <c r="IE314" i="1"/>
  <c r="IB314" i="1"/>
  <c r="ID314" i="1" s="1"/>
  <c r="HZ314" i="1"/>
  <c r="HS314" i="1"/>
  <c r="HR314" i="1" s="1"/>
  <c r="HL314" i="1"/>
  <c r="HK314" i="1" s="1"/>
  <c r="HE314" i="1"/>
  <c r="HD314" i="1" s="1"/>
  <c r="GX314" i="1"/>
  <c r="GW314" i="1"/>
  <c r="GQ314" i="1"/>
  <c r="GP314" i="1" s="1"/>
  <c r="GJ314" i="1"/>
  <c r="GI314" i="1" s="1"/>
  <c r="GC314" i="1"/>
  <c r="GB314" i="1" s="1"/>
  <c r="FV314" i="1"/>
  <c r="FU314" i="1"/>
  <c r="FO314" i="1"/>
  <c r="FN314" i="1"/>
  <c r="FH314" i="1"/>
  <c r="FG314" i="1" s="1"/>
  <c r="FA314" i="1"/>
  <c r="EZ314" i="1" s="1"/>
  <c r="ET314" i="1"/>
  <c r="ES314" i="1"/>
  <c r="EM314" i="1"/>
  <c r="EL314" i="1"/>
  <c r="EF314" i="1"/>
  <c r="EE314" i="1"/>
  <c r="DY314" i="1"/>
  <c r="DX314" i="1" s="1"/>
  <c r="DR314" i="1"/>
  <c r="DQ314" i="1"/>
  <c r="DK314" i="1"/>
  <c r="DJ314" i="1" s="1"/>
  <c r="DD314" i="1"/>
  <c r="DC314" i="1"/>
  <c r="CW314" i="1"/>
  <c r="CV314" i="1" s="1"/>
  <c r="CP314" i="1"/>
  <c r="CO314" i="1"/>
  <c r="CN314" i="1"/>
  <c r="CF314" i="1"/>
  <c r="CD314" i="1"/>
  <c r="IE313" i="1"/>
  <c r="HZ313" i="1"/>
  <c r="HS313" i="1"/>
  <c r="HR313" i="1" s="1"/>
  <c r="HL313" i="1"/>
  <c r="HK313" i="1"/>
  <c r="HE313" i="1"/>
  <c r="HD313" i="1"/>
  <c r="GX313" i="1"/>
  <c r="GW313" i="1" s="1"/>
  <c r="GQ313" i="1"/>
  <c r="GP313" i="1" s="1"/>
  <c r="GJ313" i="1"/>
  <c r="GI313" i="1"/>
  <c r="GC313" i="1"/>
  <c r="GB313" i="1"/>
  <c r="FV313" i="1"/>
  <c r="FU313" i="1"/>
  <c r="FO313" i="1"/>
  <c r="FN313" i="1" s="1"/>
  <c r="FH313" i="1"/>
  <c r="FG313" i="1"/>
  <c r="FA313" i="1"/>
  <c r="EZ313" i="1"/>
  <c r="ET313" i="1"/>
  <c r="ES313" i="1" s="1"/>
  <c r="EM313" i="1"/>
  <c r="EL313" i="1" s="1"/>
  <c r="EF313" i="1"/>
  <c r="EE313" i="1"/>
  <c r="DY313" i="1"/>
  <c r="DX313" i="1" s="1"/>
  <c r="DR313" i="1"/>
  <c r="DQ313" i="1"/>
  <c r="DK313" i="1"/>
  <c r="DJ313" i="1" s="1"/>
  <c r="DD313" i="1"/>
  <c r="DC313" i="1" s="1"/>
  <c r="CW313" i="1"/>
  <c r="HY313" i="1" s="1"/>
  <c r="CP313" i="1"/>
  <c r="CO313" i="1" s="1"/>
  <c r="CN313" i="1"/>
  <c r="CF313" i="1"/>
  <c r="CD313" i="1"/>
  <c r="IE312" i="1"/>
  <c r="ID312" i="1"/>
  <c r="IB312" i="1"/>
  <c r="HZ312" i="1"/>
  <c r="HS312" i="1"/>
  <c r="HR312" i="1" s="1"/>
  <c r="HL312" i="1"/>
  <c r="HK312" i="1" s="1"/>
  <c r="HE312" i="1"/>
  <c r="HD312" i="1"/>
  <c r="GX312" i="1"/>
  <c r="GW312" i="1" s="1"/>
  <c r="GQ312" i="1"/>
  <c r="GP312" i="1"/>
  <c r="GJ312" i="1"/>
  <c r="GI312" i="1" s="1"/>
  <c r="GC312" i="1"/>
  <c r="GB312" i="1" s="1"/>
  <c r="FV312" i="1"/>
  <c r="FU312" i="1" s="1"/>
  <c r="FO312" i="1"/>
  <c r="FN312" i="1"/>
  <c r="FH312" i="1"/>
  <c r="FG312" i="1"/>
  <c r="FA312" i="1"/>
  <c r="EZ312" i="1" s="1"/>
  <c r="ET312" i="1"/>
  <c r="ES312" i="1" s="1"/>
  <c r="EM312" i="1"/>
  <c r="EL312" i="1" s="1"/>
  <c r="EF312" i="1"/>
  <c r="EE312" i="1"/>
  <c r="DY312" i="1"/>
  <c r="DX312" i="1" s="1"/>
  <c r="DR312" i="1"/>
  <c r="DQ312" i="1" s="1"/>
  <c r="DK312" i="1"/>
  <c r="DJ312" i="1"/>
  <c r="DD312" i="1"/>
  <c r="DC312" i="1"/>
  <c r="CW312" i="1"/>
  <c r="CV312" i="1"/>
  <c r="CP312" i="1"/>
  <c r="CN312" i="1"/>
  <c r="CF312" i="1"/>
  <c r="CD312" i="1"/>
  <c r="IE311" i="1"/>
  <c r="ID311" i="1"/>
  <c r="HZ311" i="1"/>
  <c r="IB311" i="1" s="1"/>
  <c r="HS311" i="1"/>
  <c r="HR311" i="1"/>
  <c r="HL311" i="1"/>
  <c r="HK311" i="1" s="1"/>
  <c r="HE311" i="1"/>
  <c r="HD311" i="1"/>
  <c r="GX311" i="1"/>
  <c r="GW311" i="1" s="1"/>
  <c r="GQ311" i="1"/>
  <c r="GP311" i="1" s="1"/>
  <c r="GJ311" i="1"/>
  <c r="GI311" i="1"/>
  <c r="GC311" i="1"/>
  <c r="GB311" i="1" s="1"/>
  <c r="FV311" i="1"/>
  <c r="FU311" i="1" s="1"/>
  <c r="FO311" i="1"/>
  <c r="FN311" i="1" s="1"/>
  <c r="FH311" i="1"/>
  <c r="FG311" i="1"/>
  <c r="FA311" i="1"/>
  <c r="EZ311" i="1"/>
  <c r="ET311" i="1"/>
  <c r="ES311" i="1" s="1"/>
  <c r="EM311" i="1"/>
  <c r="EL311" i="1" s="1"/>
  <c r="EF311" i="1"/>
  <c r="EE311" i="1"/>
  <c r="DY311" i="1"/>
  <c r="DX311" i="1"/>
  <c r="DR311" i="1"/>
  <c r="DQ311" i="1" s="1"/>
  <c r="DK311" i="1"/>
  <c r="DJ311" i="1" s="1"/>
  <c r="DD311" i="1"/>
  <c r="DC311" i="1"/>
  <c r="CW311" i="1"/>
  <c r="CV311" i="1"/>
  <c r="CP311" i="1"/>
  <c r="CN311" i="1"/>
  <c r="CF311" i="1"/>
  <c r="CD311" i="1"/>
  <c r="IE310" i="1"/>
  <c r="HZ310" i="1"/>
  <c r="IB310" i="1" s="1"/>
  <c r="ID310" i="1" s="1"/>
  <c r="HS310" i="1"/>
  <c r="HR310" i="1" s="1"/>
  <c r="HL310" i="1"/>
  <c r="HK310" i="1" s="1"/>
  <c r="HE310" i="1"/>
  <c r="HD310" i="1" s="1"/>
  <c r="GX310" i="1"/>
  <c r="GW310" i="1"/>
  <c r="GQ310" i="1"/>
  <c r="GP310" i="1" s="1"/>
  <c r="GJ310" i="1"/>
  <c r="GI310" i="1" s="1"/>
  <c r="GC310" i="1"/>
  <c r="GB310" i="1" s="1"/>
  <c r="FV310" i="1"/>
  <c r="FU310" i="1"/>
  <c r="FO310" i="1"/>
  <c r="FN310" i="1" s="1"/>
  <c r="FH310" i="1"/>
  <c r="FG310" i="1" s="1"/>
  <c r="FA310" i="1"/>
  <c r="EZ310" i="1" s="1"/>
  <c r="ET310" i="1"/>
  <c r="ES310" i="1"/>
  <c r="EM310" i="1"/>
  <c r="EL310" i="1"/>
  <c r="EF310" i="1"/>
  <c r="EE310" i="1" s="1"/>
  <c r="DY310" i="1"/>
  <c r="DX310" i="1" s="1"/>
  <c r="DR310" i="1"/>
  <c r="DQ310" i="1"/>
  <c r="DK310" i="1"/>
  <c r="DJ310" i="1" s="1"/>
  <c r="DD310" i="1"/>
  <c r="DC310" i="1" s="1"/>
  <c r="CW310" i="1"/>
  <c r="CV310" i="1" s="1"/>
  <c r="CP310" i="1"/>
  <c r="CO310" i="1"/>
  <c r="CN310" i="1"/>
  <c r="CF310" i="1"/>
  <c r="CD310" i="1"/>
  <c r="IE309" i="1"/>
  <c r="IB309" i="1"/>
  <c r="HZ309" i="1"/>
  <c r="HS309" i="1"/>
  <c r="HR309" i="1" s="1"/>
  <c r="HL309" i="1"/>
  <c r="HK309" i="1"/>
  <c r="HE309" i="1"/>
  <c r="HD309" i="1" s="1"/>
  <c r="GX309" i="1"/>
  <c r="GW309" i="1" s="1"/>
  <c r="GQ309" i="1"/>
  <c r="GP309" i="1" s="1"/>
  <c r="GJ309" i="1"/>
  <c r="GI309" i="1"/>
  <c r="GC309" i="1"/>
  <c r="GB309" i="1" s="1"/>
  <c r="FV309" i="1"/>
  <c r="FU309" i="1" s="1"/>
  <c r="FO309" i="1"/>
  <c r="FN309" i="1" s="1"/>
  <c r="FH309" i="1"/>
  <c r="FG309" i="1"/>
  <c r="FA309" i="1"/>
  <c r="EZ309" i="1" s="1"/>
  <c r="ET309" i="1"/>
  <c r="ES309" i="1" s="1"/>
  <c r="EM309" i="1"/>
  <c r="EL309" i="1" s="1"/>
  <c r="EF309" i="1"/>
  <c r="EE309" i="1"/>
  <c r="DY309" i="1"/>
  <c r="DX309" i="1" s="1"/>
  <c r="DR309" i="1"/>
  <c r="DQ309" i="1" s="1"/>
  <c r="DK309" i="1"/>
  <c r="DJ309" i="1" s="1"/>
  <c r="DD309" i="1"/>
  <c r="DC309" i="1"/>
  <c r="CW309" i="1"/>
  <c r="CV309" i="1" s="1"/>
  <c r="CP309" i="1"/>
  <c r="HY309" i="1" s="1"/>
  <c r="CN309" i="1"/>
  <c r="CF309" i="1"/>
  <c r="CD309" i="1"/>
  <c r="IE308" i="1"/>
  <c r="ID308" i="1"/>
  <c r="HZ308" i="1"/>
  <c r="IB308" i="1" s="1"/>
  <c r="HS308" i="1"/>
  <c r="HR308" i="1" s="1"/>
  <c r="HL308" i="1"/>
  <c r="HK308" i="1" s="1"/>
  <c r="HE308" i="1"/>
  <c r="HD308" i="1" s="1"/>
  <c r="GX308" i="1"/>
  <c r="GW308" i="1"/>
  <c r="GQ308" i="1"/>
  <c r="GP308" i="1"/>
  <c r="GJ308" i="1"/>
  <c r="GI308" i="1" s="1"/>
  <c r="GC308" i="1"/>
  <c r="GB308" i="1" s="1"/>
  <c r="FV308" i="1"/>
  <c r="FU308" i="1"/>
  <c r="FO308" i="1"/>
  <c r="FN308" i="1"/>
  <c r="FH308" i="1"/>
  <c r="FG308" i="1" s="1"/>
  <c r="FA308" i="1"/>
  <c r="EZ308" i="1" s="1"/>
  <c r="ET308" i="1"/>
  <c r="ES308" i="1"/>
  <c r="EM308" i="1"/>
  <c r="EL308" i="1"/>
  <c r="EF308" i="1"/>
  <c r="EE308" i="1" s="1"/>
  <c r="DY308" i="1"/>
  <c r="DX308" i="1" s="1"/>
  <c r="DR308" i="1"/>
  <c r="DQ308" i="1"/>
  <c r="DK308" i="1"/>
  <c r="DJ308" i="1" s="1"/>
  <c r="HX308" i="1" s="1"/>
  <c r="DD308" i="1"/>
  <c r="DC308" i="1" s="1"/>
  <c r="CW308" i="1"/>
  <c r="CV308" i="1" s="1"/>
  <c r="CP308" i="1"/>
  <c r="CO308" i="1"/>
  <c r="CN308" i="1"/>
  <c r="CF308" i="1"/>
  <c r="CD308" i="1"/>
  <c r="IE307" i="1"/>
  <c r="HZ307" i="1"/>
  <c r="HS307" i="1"/>
  <c r="HR307" i="1" s="1"/>
  <c r="HL307" i="1"/>
  <c r="HK307" i="1"/>
  <c r="HE307" i="1"/>
  <c r="HD307" i="1" s="1"/>
  <c r="GX307" i="1"/>
  <c r="GW307" i="1" s="1"/>
  <c r="GQ307" i="1"/>
  <c r="GP307" i="1" s="1"/>
  <c r="GJ307" i="1"/>
  <c r="GI307" i="1"/>
  <c r="GC307" i="1"/>
  <c r="GB307" i="1"/>
  <c r="FV307" i="1"/>
  <c r="FU307" i="1" s="1"/>
  <c r="FO307" i="1"/>
  <c r="FN307" i="1" s="1"/>
  <c r="FH307" i="1"/>
  <c r="FG307" i="1"/>
  <c r="FA307" i="1"/>
  <c r="EZ307" i="1"/>
  <c r="ET307" i="1"/>
  <c r="ES307" i="1" s="1"/>
  <c r="EM307" i="1"/>
  <c r="EL307" i="1" s="1"/>
  <c r="EF307" i="1"/>
  <c r="EE307" i="1"/>
  <c r="DY307" i="1"/>
  <c r="DX307" i="1"/>
  <c r="DR307" i="1"/>
  <c r="DQ307" i="1" s="1"/>
  <c r="DK307" i="1"/>
  <c r="DJ307" i="1" s="1"/>
  <c r="DD307" i="1"/>
  <c r="DC307" i="1"/>
  <c r="CW307" i="1"/>
  <c r="CV307" i="1" s="1"/>
  <c r="CP307" i="1"/>
  <c r="CN307" i="1"/>
  <c r="CF307" i="1"/>
  <c r="CD307" i="1"/>
  <c r="IE306" i="1"/>
  <c r="ID306" i="1"/>
  <c r="HZ306" i="1"/>
  <c r="IB306" i="1" s="1"/>
  <c r="HS306" i="1"/>
  <c r="HR306" i="1"/>
  <c r="HL306" i="1"/>
  <c r="HK306" i="1" s="1"/>
  <c r="HE306" i="1"/>
  <c r="HD306" i="1" s="1"/>
  <c r="GX306" i="1"/>
  <c r="GW306" i="1"/>
  <c r="GQ306" i="1"/>
  <c r="GP306" i="1" s="1"/>
  <c r="GJ306" i="1"/>
  <c r="GI306" i="1" s="1"/>
  <c r="GC306" i="1"/>
  <c r="GB306" i="1" s="1"/>
  <c r="FV306" i="1"/>
  <c r="FU306" i="1"/>
  <c r="FO306" i="1"/>
  <c r="FN306" i="1" s="1"/>
  <c r="FH306" i="1"/>
  <c r="FG306" i="1" s="1"/>
  <c r="FA306" i="1"/>
  <c r="EZ306" i="1" s="1"/>
  <c r="ET306" i="1"/>
  <c r="ES306" i="1"/>
  <c r="EM306" i="1"/>
  <c r="EL306" i="1" s="1"/>
  <c r="EF306" i="1"/>
  <c r="EE306" i="1" s="1"/>
  <c r="DY306" i="1"/>
  <c r="DX306" i="1" s="1"/>
  <c r="DR306" i="1"/>
  <c r="DQ306" i="1"/>
  <c r="DK306" i="1"/>
  <c r="DJ306" i="1"/>
  <c r="DD306" i="1"/>
  <c r="DC306" i="1" s="1"/>
  <c r="CW306" i="1"/>
  <c r="CV306" i="1" s="1"/>
  <c r="CP306" i="1"/>
  <c r="CO306" i="1"/>
  <c r="CN306" i="1"/>
  <c r="CF306" i="1"/>
  <c r="CD306" i="1"/>
  <c r="IE305" i="1"/>
  <c r="HZ305" i="1"/>
  <c r="HS305" i="1"/>
  <c r="HR305" i="1" s="1"/>
  <c r="HL305" i="1"/>
  <c r="HK305" i="1"/>
  <c r="HE305" i="1"/>
  <c r="HD305" i="1"/>
  <c r="GX305" i="1"/>
  <c r="GW305" i="1" s="1"/>
  <c r="GQ305" i="1"/>
  <c r="GP305" i="1" s="1"/>
  <c r="GJ305" i="1"/>
  <c r="GI305" i="1"/>
  <c r="GC305" i="1"/>
  <c r="GB305" i="1" s="1"/>
  <c r="FV305" i="1"/>
  <c r="FU305" i="1" s="1"/>
  <c r="FO305" i="1"/>
  <c r="FN305" i="1" s="1"/>
  <c r="FH305" i="1"/>
  <c r="FG305" i="1"/>
  <c r="FA305" i="1"/>
  <c r="EZ305" i="1"/>
  <c r="ET305" i="1"/>
  <c r="ES305" i="1" s="1"/>
  <c r="EM305" i="1"/>
  <c r="EL305" i="1" s="1"/>
  <c r="EF305" i="1"/>
  <c r="EE305" i="1"/>
  <c r="DY305" i="1"/>
  <c r="DX305" i="1" s="1"/>
  <c r="DR305" i="1"/>
  <c r="DQ305" i="1" s="1"/>
  <c r="DK305" i="1"/>
  <c r="DJ305" i="1" s="1"/>
  <c r="DD305" i="1"/>
  <c r="DC305" i="1"/>
  <c r="CW305" i="1"/>
  <c r="CV305" i="1"/>
  <c r="CP305" i="1"/>
  <c r="CN305" i="1"/>
  <c r="CF305" i="1"/>
  <c r="CD305" i="1"/>
  <c r="IE304" i="1"/>
  <c r="HZ304" i="1"/>
  <c r="IB304" i="1" s="1"/>
  <c r="ID304" i="1" s="1"/>
  <c r="HS304" i="1"/>
  <c r="HR304" i="1"/>
  <c r="HL304" i="1"/>
  <c r="HK304" i="1" s="1"/>
  <c r="HE304" i="1"/>
  <c r="HD304" i="1" s="1"/>
  <c r="GX304" i="1"/>
  <c r="GW304" i="1"/>
  <c r="GQ304" i="1"/>
  <c r="GP304" i="1"/>
  <c r="GJ304" i="1"/>
  <c r="GI304" i="1" s="1"/>
  <c r="GC304" i="1"/>
  <c r="GB304" i="1" s="1"/>
  <c r="FV304" i="1"/>
  <c r="FU304" i="1"/>
  <c r="FO304" i="1"/>
  <c r="FN304" i="1"/>
  <c r="FH304" i="1"/>
  <c r="FG304" i="1" s="1"/>
  <c r="FA304" i="1"/>
  <c r="EZ304" i="1" s="1"/>
  <c r="ET304" i="1"/>
  <c r="ES304" i="1"/>
  <c r="EM304" i="1"/>
  <c r="EL304" i="1" s="1"/>
  <c r="EF304" i="1"/>
  <c r="EE304" i="1" s="1"/>
  <c r="DY304" i="1"/>
  <c r="DX304" i="1" s="1"/>
  <c r="DR304" i="1"/>
  <c r="DQ304" i="1"/>
  <c r="DK304" i="1"/>
  <c r="DJ304" i="1"/>
  <c r="DD304" i="1"/>
  <c r="DC304" i="1" s="1"/>
  <c r="HX304" i="1" s="1"/>
  <c r="CW304" i="1"/>
  <c r="CV304" i="1" s="1"/>
  <c r="CP304" i="1"/>
  <c r="CO304" i="1"/>
  <c r="CN304" i="1"/>
  <c r="CF304" i="1"/>
  <c r="CD304" i="1"/>
  <c r="IE303" i="1"/>
  <c r="IB303" i="1"/>
  <c r="HZ303" i="1"/>
  <c r="HS303" i="1"/>
  <c r="HR303" i="1" s="1"/>
  <c r="HL303" i="1"/>
  <c r="HK303" i="1"/>
  <c r="HE303" i="1"/>
  <c r="HD303" i="1"/>
  <c r="GX303" i="1"/>
  <c r="GW303" i="1" s="1"/>
  <c r="GQ303" i="1"/>
  <c r="GP303" i="1" s="1"/>
  <c r="GJ303" i="1"/>
  <c r="GI303" i="1"/>
  <c r="GC303" i="1"/>
  <c r="GB303" i="1"/>
  <c r="FV303" i="1"/>
  <c r="FU303" i="1" s="1"/>
  <c r="FO303" i="1"/>
  <c r="FN303" i="1" s="1"/>
  <c r="FH303" i="1"/>
  <c r="FG303" i="1"/>
  <c r="FA303" i="1"/>
  <c r="EZ303" i="1"/>
  <c r="ET303" i="1"/>
  <c r="ES303" i="1" s="1"/>
  <c r="EM303" i="1"/>
  <c r="EL303" i="1" s="1"/>
  <c r="EF303" i="1"/>
  <c r="EE303" i="1"/>
  <c r="DY303" i="1"/>
  <c r="DX303" i="1" s="1"/>
  <c r="DR303" i="1"/>
  <c r="DQ303" i="1" s="1"/>
  <c r="DK303" i="1"/>
  <c r="DJ303" i="1" s="1"/>
  <c r="DD303" i="1"/>
  <c r="DC303" i="1"/>
  <c r="CW303" i="1"/>
  <c r="CV303" i="1"/>
  <c r="CP303" i="1"/>
  <c r="HY303" i="1" s="1"/>
  <c r="CN303" i="1"/>
  <c r="CF303" i="1"/>
  <c r="CD303" i="1"/>
  <c r="IE302" i="1"/>
  <c r="HZ302" i="1"/>
  <c r="IB302" i="1" s="1"/>
  <c r="ID302" i="1" s="1"/>
  <c r="HS302" i="1"/>
  <c r="HR302" i="1" s="1"/>
  <c r="HL302" i="1"/>
  <c r="HK302" i="1" s="1"/>
  <c r="HE302" i="1"/>
  <c r="HD302" i="1" s="1"/>
  <c r="GX302" i="1"/>
  <c r="GW302" i="1"/>
  <c r="GQ302" i="1"/>
  <c r="GP302" i="1" s="1"/>
  <c r="GJ302" i="1"/>
  <c r="GI302" i="1" s="1"/>
  <c r="GC302" i="1"/>
  <c r="GB302" i="1" s="1"/>
  <c r="FV302" i="1"/>
  <c r="FU302" i="1"/>
  <c r="FO302" i="1"/>
  <c r="FN302" i="1" s="1"/>
  <c r="FH302" i="1"/>
  <c r="FG302" i="1" s="1"/>
  <c r="FA302" i="1"/>
  <c r="EZ302" i="1" s="1"/>
  <c r="ET302" i="1"/>
  <c r="ES302" i="1"/>
  <c r="EM302" i="1"/>
  <c r="EL302" i="1"/>
  <c r="EF302" i="1"/>
  <c r="EE302" i="1" s="1"/>
  <c r="DY302" i="1"/>
  <c r="DX302" i="1" s="1"/>
  <c r="DR302" i="1"/>
  <c r="DQ302" i="1"/>
  <c r="DK302" i="1"/>
  <c r="DJ302" i="1" s="1"/>
  <c r="DD302" i="1"/>
  <c r="DC302" i="1" s="1"/>
  <c r="CW302" i="1"/>
  <c r="CV302" i="1" s="1"/>
  <c r="CP302" i="1"/>
  <c r="CO302" i="1"/>
  <c r="CN302" i="1"/>
  <c r="CF302" i="1"/>
  <c r="CD302" i="1"/>
  <c r="IE301" i="1"/>
  <c r="HZ301" i="1"/>
  <c r="HS301" i="1"/>
  <c r="HR301" i="1" s="1"/>
  <c r="HL301" i="1"/>
  <c r="HK301" i="1"/>
  <c r="HE301" i="1"/>
  <c r="HD301" i="1" s="1"/>
  <c r="GX301" i="1"/>
  <c r="GW301" i="1" s="1"/>
  <c r="GQ301" i="1"/>
  <c r="GP301" i="1" s="1"/>
  <c r="GJ301" i="1"/>
  <c r="GI301" i="1"/>
  <c r="GC301" i="1"/>
  <c r="GB301" i="1" s="1"/>
  <c r="FV301" i="1"/>
  <c r="FU301" i="1" s="1"/>
  <c r="FO301" i="1"/>
  <c r="FN301" i="1" s="1"/>
  <c r="FH301" i="1"/>
  <c r="FG301" i="1"/>
  <c r="FA301" i="1"/>
  <c r="EZ301" i="1" s="1"/>
  <c r="ET301" i="1"/>
  <c r="ES301" i="1" s="1"/>
  <c r="EM301" i="1"/>
  <c r="EL301" i="1" s="1"/>
  <c r="EF301" i="1"/>
  <c r="EE301" i="1"/>
  <c r="DY301" i="1"/>
  <c r="DX301" i="1"/>
  <c r="DR301" i="1"/>
  <c r="DQ301" i="1" s="1"/>
  <c r="DK301" i="1"/>
  <c r="DJ301" i="1" s="1"/>
  <c r="DD301" i="1"/>
  <c r="DC301" i="1"/>
  <c r="CW301" i="1"/>
  <c r="CV301" i="1" s="1"/>
  <c r="CP301" i="1"/>
  <c r="CN301" i="1"/>
  <c r="CF301" i="1"/>
  <c r="CD301" i="1"/>
  <c r="IE300" i="1"/>
  <c r="ID300" i="1"/>
  <c r="HZ300" i="1"/>
  <c r="IB300" i="1" s="1"/>
  <c r="HS300" i="1"/>
  <c r="HR300" i="1"/>
  <c r="HL300" i="1"/>
  <c r="HK300" i="1" s="1"/>
  <c r="HE300" i="1"/>
  <c r="HD300" i="1" s="1"/>
  <c r="GX300" i="1"/>
  <c r="GW300" i="1"/>
  <c r="GQ300" i="1"/>
  <c r="GP300" i="1"/>
  <c r="GJ300" i="1"/>
  <c r="GI300" i="1" s="1"/>
  <c r="GC300" i="1"/>
  <c r="GB300" i="1" s="1"/>
  <c r="FV300" i="1"/>
  <c r="FU300" i="1"/>
  <c r="FO300" i="1"/>
  <c r="FN300" i="1" s="1"/>
  <c r="FH300" i="1"/>
  <c r="FG300" i="1" s="1"/>
  <c r="FA300" i="1"/>
  <c r="EZ300" i="1" s="1"/>
  <c r="ET300" i="1"/>
  <c r="ES300" i="1"/>
  <c r="EM300" i="1"/>
  <c r="EL300" i="1"/>
  <c r="EF300" i="1"/>
  <c r="EE300" i="1" s="1"/>
  <c r="DY300" i="1"/>
  <c r="DX300" i="1" s="1"/>
  <c r="DR300" i="1"/>
  <c r="DQ300" i="1"/>
  <c r="DK300" i="1"/>
  <c r="DJ300" i="1"/>
  <c r="DD300" i="1"/>
  <c r="DC300" i="1" s="1"/>
  <c r="CW300" i="1"/>
  <c r="CV300" i="1" s="1"/>
  <c r="CP300" i="1"/>
  <c r="HY300" i="1" s="1"/>
  <c r="CO300" i="1"/>
  <c r="CN300" i="1"/>
  <c r="CF300" i="1"/>
  <c r="CD300" i="1"/>
  <c r="IE299" i="1"/>
  <c r="HZ299" i="1"/>
  <c r="HS299" i="1"/>
  <c r="HR299" i="1" s="1"/>
  <c r="HL299" i="1"/>
  <c r="HK299" i="1"/>
  <c r="HE299" i="1"/>
  <c r="HD299" i="1"/>
  <c r="GX299" i="1"/>
  <c r="GW299" i="1" s="1"/>
  <c r="GQ299" i="1"/>
  <c r="GP299" i="1" s="1"/>
  <c r="GJ299" i="1"/>
  <c r="GI299" i="1"/>
  <c r="GC299" i="1"/>
  <c r="GB299" i="1"/>
  <c r="FV299" i="1"/>
  <c r="FU299" i="1" s="1"/>
  <c r="FO299" i="1"/>
  <c r="FN299" i="1" s="1"/>
  <c r="FH299" i="1"/>
  <c r="FG299" i="1"/>
  <c r="FA299" i="1"/>
  <c r="EZ299" i="1" s="1"/>
  <c r="ET299" i="1"/>
  <c r="ES299" i="1" s="1"/>
  <c r="EM299" i="1"/>
  <c r="EL299" i="1" s="1"/>
  <c r="EF299" i="1"/>
  <c r="EE299" i="1"/>
  <c r="DY299" i="1"/>
  <c r="DX299" i="1"/>
  <c r="DR299" i="1"/>
  <c r="DQ299" i="1" s="1"/>
  <c r="DK299" i="1"/>
  <c r="DJ299" i="1" s="1"/>
  <c r="DD299" i="1"/>
  <c r="DC299" i="1"/>
  <c r="CW299" i="1"/>
  <c r="CV299" i="1"/>
  <c r="CP299" i="1"/>
  <c r="CN299" i="1"/>
  <c r="CF299" i="1"/>
  <c r="CD299" i="1"/>
  <c r="IE298" i="1"/>
  <c r="HZ298" i="1"/>
  <c r="IB298" i="1" s="1"/>
  <c r="ID298" i="1" s="1"/>
  <c r="HS298" i="1"/>
  <c r="HR298" i="1"/>
  <c r="HL298" i="1"/>
  <c r="HK298" i="1" s="1"/>
  <c r="HE298" i="1"/>
  <c r="HD298" i="1" s="1"/>
  <c r="GX298" i="1"/>
  <c r="GW298" i="1"/>
  <c r="GQ298" i="1"/>
  <c r="GP298" i="1" s="1"/>
  <c r="GJ298" i="1"/>
  <c r="GI298" i="1" s="1"/>
  <c r="GC298" i="1"/>
  <c r="GB298" i="1" s="1"/>
  <c r="FV298" i="1"/>
  <c r="FU298" i="1"/>
  <c r="FO298" i="1"/>
  <c r="FN298" i="1" s="1"/>
  <c r="FH298" i="1"/>
  <c r="FG298" i="1" s="1"/>
  <c r="FA298" i="1"/>
  <c r="EZ298" i="1" s="1"/>
  <c r="ET298" i="1"/>
  <c r="ES298" i="1"/>
  <c r="EM298" i="1"/>
  <c r="EL298" i="1" s="1"/>
  <c r="EF298" i="1"/>
  <c r="EE298" i="1" s="1"/>
  <c r="DY298" i="1"/>
  <c r="DX298" i="1" s="1"/>
  <c r="DR298" i="1"/>
  <c r="DQ298" i="1"/>
  <c r="DK298" i="1"/>
  <c r="DJ298" i="1"/>
  <c r="HX298" i="1" s="1"/>
  <c r="DD298" i="1"/>
  <c r="DC298" i="1" s="1"/>
  <c r="CW298" i="1"/>
  <c r="CV298" i="1" s="1"/>
  <c r="CP298" i="1"/>
  <c r="CO298" i="1"/>
  <c r="CN298" i="1"/>
  <c r="CF298" i="1"/>
  <c r="CD298" i="1"/>
  <c r="IE297" i="1"/>
  <c r="HZ297" i="1"/>
  <c r="HS297" i="1"/>
  <c r="HR297" i="1" s="1"/>
  <c r="HL297" i="1"/>
  <c r="HK297" i="1"/>
  <c r="HE297" i="1"/>
  <c r="HD297" i="1"/>
  <c r="GX297" i="1"/>
  <c r="GW297" i="1" s="1"/>
  <c r="GQ297" i="1"/>
  <c r="GP297" i="1" s="1"/>
  <c r="GJ297" i="1"/>
  <c r="GI297" i="1"/>
  <c r="GC297" i="1"/>
  <c r="GB297" i="1" s="1"/>
  <c r="FV297" i="1"/>
  <c r="FU297" i="1" s="1"/>
  <c r="FO297" i="1"/>
  <c r="FN297" i="1" s="1"/>
  <c r="FH297" i="1"/>
  <c r="FG297" i="1"/>
  <c r="FA297" i="1"/>
  <c r="EZ297" i="1" s="1"/>
  <c r="ET297" i="1"/>
  <c r="ES297" i="1" s="1"/>
  <c r="EM297" i="1"/>
  <c r="EL297" i="1" s="1"/>
  <c r="EF297" i="1"/>
  <c r="EE297" i="1"/>
  <c r="DY297" i="1"/>
  <c r="DX297" i="1" s="1"/>
  <c r="DR297" i="1"/>
  <c r="DQ297" i="1" s="1"/>
  <c r="DK297" i="1"/>
  <c r="DJ297" i="1" s="1"/>
  <c r="DD297" i="1"/>
  <c r="DC297" i="1"/>
  <c r="CW297" i="1"/>
  <c r="CV297" i="1"/>
  <c r="CP297" i="1"/>
  <c r="CN297" i="1"/>
  <c r="CF297" i="1"/>
  <c r="CD297" i="1"/>
  <c r="IE296" i="1"/>
  <c r="ID296" i="1"/>
  <c r="HZ296" i="1"/>
  <c r="IB296" i="1" s="1"/>
  <c r="HS296" i="1"/>
  <c r="HR296" i="1"/>
  <c r="HL296" i="1"/>
  <c r="HK296" i="1" s="1"/>
  <c r="HE296" i="1"/>
  <c r="HD296" i="1" s="1"/>
  <c r="GX296" i="1"/>
  <c r="GW296" i="1"/>
  <c r="GQ296" i="1"/>
  <c r="GP296" i="1" s="1"/>
  <c r="GJ296" i="1"/>
  <c r="GI296" i="1" s="1"/>
  <c r="GC296" i="1"/>
  <c r="GB296" i="1" s="1"/>
  <c r="FV296" i="1"/>
  <c r="FU296" i="1"/>
  <c r="FO296" i="1"/>
  <c r="FN296" i="1"/>
  <c r="FH296" i="1"/>
  <c r="FG296" i="1" s="1"/>
  <c r="FA296" i="1"/>
  <c r="EZ296" i="1" s="1"/>
  <c r="ET296" i="1"/>
  <c r="ES296" i="1"/>
  <c r="EM296" i="1"/>
  <c r="EL296" i="1"/>
  <c r="EF296" i="1"/>
  <c r="EE296" i="1" s="1"/>
  <c r="DY296" i="1"/>
  <c r="DX296" i="1" s="1"/>
  <c r="DR296" i="1"/>
  <c r="DQ296" i="1"/>
  <c r="DK296" i="1"/>
  <c r="DJ296" i="1"/>
  <c r="DD296" i="1"/>
  <c r="DC296" i="1" s="1"/>
  <c r="CW296" i="1"/>
  <c r="CV296" i="1" s="1"/>
  <c r="CP296" i="1"/>
  <c r="CO296" i="1"/>
  <c r="CN296" i="1"/>
  <c r="CF296" i="1"/>
  <c r="CD296" i="1"/>
  <c r="IE295" i="1"/>
  <c r="HZ295" i="1"/>
  <c r="HS295" i="1"/>
  <c r="HR295" i="1" s="1"/>
  <c r="HL295" i="1"/>
  <c r="HK295" i="1"/>
  <c r="HE295" i="1"/>
  <c r="HD295" i="1"/>
  <c r="GX295" i="1"/>
  <c r="GW295" i="1" s="1"/>
  <c r="GQ295" i="1"/>
  <c r="GP295" i="1" s="1"/>
  <c r="GJ295" i="1"/>
  <c r="GI295" i="1"/>
  <c r="GC295" i="1"/>
  <c r="GB295" i="1" s="1"/>
  <c r="FV295" i="1"/>
  <c r="FU295" i="1" s="1"/>
  <c r="FO295" i="1"/>
  <c r="FN295" i="1" s="1"/>
  <c r="FH295" i="1"/>
  <c r="FG295" i="1"/>
  <c r="FA295" i="1"/>
  <c r="EZ295" i="1"/>
  <c r="ET295" i="1"/>
  <c r="ES295" i="1" s="1"/>
  <c r="EM295" i="1"/>
  <c r="EL295" i="1" s="1"/>
  <c r="EF295" i="1"/>
  <c r="EE295" i="1"/>
  <c r="DY295" i="1"/>
  <c r="DX295" i="1"/>
  <c r="DR295" i="1"/>
  <c r="DQ295" i="1" s="1"/>
  <c r="DK295" i="1"/>
  <c r="DJ295" i="1" s="1"/>
  <c r="DD295" i="1"/>
  <c r="DC295" i="1" s="1"/>
  <c r="CW295" i="1"/>
  <c r="CV295" i="1"/>
  <c r="CP295" i="1"/>
  <c r="CN295" i="1"/>
  <c r="CF295" i="1"/>
  <c r="CD295" i="1"/>
  <c r="IE294" i="1"/>
  <c r="HZ294" i="1"/>
  <c r="IB294" i="1" s="1"/>
  <c r="ID294" i="1" s="1"/>
  <c r="HS294" i="1"/>
  <c r="HR294" i="1" s="1"/>
  <c r="HL294" i="1"/>
  <c r="HK294" i="1" s="1"/>
  <c r="HE294" i="1"/>
  <c r="HD294" i="1" s="1"/>
  <c r="GX294" i="1"/>
  <c r="GW294" i="1" s="1"/>
  <c r="GQ294" i="1"/>
  <c r="GP294" i="1" s="1"/>
  <c r="GJ294" i="1"/>
  <c r="GI294" i="1" s="1"/>
  <c r="GC294" i="1"/>
  <c r="GB294" i="1" s="1"/>
  <c r="FV294" i="1"/>
  <c r="FU294" i="1" s="1"/>
  <c r="FO294" i="1"/>
  <c r="FN294" i="1" s="1"/>
  <c r="FH294" i="1"/>
  <c r="FG294" i="1" s="1"/>
  <c r="FA294" i="1"/>
  <c r="EZ294" i="1" s="1"/>
  <c r="ET294" i="1"/>
  <c r="ES294" i="1" s="1"/>
  <c r="EM294" i="1"/>
  <c r="EL294" i="1" s="1"/>
  <c r="EF294" i="1"/>
  <c r="EE294" i="1" s="1"/>
  <c r="DY294" i="1"/>
  <c r="DX294" i="1" s="1"/>
  <c r="DR294" i="1"/>
  <c r="DQ294" i="1" s="1"/>
  <c r="DK294" i="1"/>
  <c r="DJ294" i="1" s="1"/>
  <c r="DD294" i="1"/>
  <c r="DC294" i="1" s="1"/>
  <c r="CW294" i="1"/>
  <c r="CV294" i="1" s="1"/>
  <c r="CP294" i="1"/>
  <c r="CO294" i="1" s="1"/>
  <c r="CN294" i="1"/>
  <c r="CF294" i="1"/>
  <c r="CD294" i="1"/>
  <c r="IE293" i="1"/>
  <c r="HZ293" i="1"/>
  <c r="HS293" i="1"/>
  <c r="HR293" i="1" s="1"/>
  <c r="HL293" i="1"/>
  <c r="HK293" i="1" s="1"/>
  <c r="HE293" i="1"/>
  <c r="HD293" i="1" s="1"/>
  <c r="GX293" i="1"/>
  <c r="GW293" i="1" s="1"/>
  <c r="GQ293" i="1"/>
  <c r="GP293" i="1" s="1"/>
  <c r="GJ293" i="1"/>
  <c r="GI293" i="1" s="1"/>
  <c r="GC293" i="1"/>
  <c r="GB293" i="1"/>
  <c r="FV293" i="1"/>
  <c r="FU293" i="1" s="1"/>
  <c r="FO293" i="1"/>
  <c r="FN293" i="1" s="1"/>
  <c r="FH293" i="1"/>
  <c r="FG293" i="1" s="1"/>
  <c r="FA293" i="1"/>
  <c r="EZ293" i="1" s="1"/>
  <c r="ET293" i="1"/>
  <c r="ES293" i="1" s="1"/>
  <c r="EM293" i="1"/>
  <c r="EL293" i="1" s="1"/>
  <c r="EF293" i="1"/>
  <c r="EE293" i="1" s="1"/>
  <c r="DY293" i="1"/>
  <c r="DX293" i="1" s="1"/>
  <c r="DR293" i="1"/>
  <c r="DQ293" i="1" s="1"/>
  <c r="DK293" i="1"/>
  <c r="DJ293" i="1" s="1"/>
  <c r="DD293" i="1"/>
  <c r="CW293" i="1"/>
  <c r="CV293" i="1" s="1"/>
  <c r="CP293" i="1"/>
  <c r="CO293" i="1" s="1"/>
  <c r="CN293" i="1"/>
  <c r="CF293" i="1"/>
  <c r="CD293" i="1"/>
  <c r="IE292" i="1"/>
  <c r="HZ292" i="1"/>
  <c r="IB292" i="1" s="1"/>
  <c r="ID292" i="1" s="1"/>
  <c r="HS292" i="1"/>
  <c r="HR292" i="1"/>
  <c r="HL292" i="1"/>
  <c r="HK292" i="1" s="1"/>
  <c r="HE292" i="1"/>
  <c r="HD292" i="1" s="1"/>
  <c r="GX292" i="1"/>
  <c r="GW292" i="1"/>
  <c r="GQ292" i="1"/>
  <c r="GP292" i="1"/>
  <c r="GJ292" i="1"/>
  <c r="GI292" i="1" s="1"/>
  <c r="GC292" i="1"/>
  <c r="GB292" i="1" s="1"/>
  <c r="FV292" i="1"/>
  <c r="FU292" i="1" s="1"/>
  <c r="FO292" i="1"/>
  <c r="FN292" i="1"/>
  <c r="FH292" i="1"/>
  <c r="FG292" i="1" s="1"/>
  <c r="FA292" i="1"/>
  <c r="EZ292" i="1" s="1"/>
  <c r="ET292" i="1"/>
  <c r="ES292" i="1"/>
  <c r="EM292" i="1"/>
  <c r="EL292" i="1" s="1"/>
  <c r="EF292" i="1"/>
  <c r="EE292" i="1" s="1"/>
  <c r="DY292" i="1"/>
  <c r="DX292" i="1" s="1"/>
  <c r="DR292" i="1"/>
  <c r="DQ292" i="1"/>
  <c r="DK292" i="1"/>
  <c r="DJ292" i="1"/>
  <c r="DD292" i="1"/>
  <c r="CW292" i="1"/>
  <c r="CV292" i="1" s="1"/>
  <c r="CP292" i="1"/>
  <c r="CO292" i="1"/>
  <c r="CN292" i="1"/>
  <c r="CF292" i="1"/>
  <c r="CD292" i="1"/>
  <c r="IE291" i="1"/>
  <c r="HZ291" i="1"/>
  <c r="HS291" i="1"/>
  <c r="HR291" i="1" s="1"/>
  <c r="HL291" i="1"/>
  <c r="HK291" i="1"/>
  <c r="HE291" i="1"/>
  <c r="HD291" i="1" s="1"/>
  <c r="GX291" i="1"/>
  <c r="GW291" i="1" s="1"/>
  <c r="GQ291" i="1"/>
  <c r="GP291" i="1" s="1"/>
  <c r="GJ291" i="1"/>
  <c r="GI291" i="1"/>
  <c r="GC291" i="1"/>
  <c r="GB291" i="1"/>
  <c r="FV291" i="1"/>
  <c r="FU291" i="1" s="1"/>
  <c r="FO291" i="1"/>
  <c r="FN291" i="1" s="1"/>
  <c r="FH291" i="1"/>
  <c r="FG291" i="1"/>
  <c r="FA291" i="1"/>
  <c r="EZ291" i="1"/>
  <c r="ET291" i="1"/>
  <c r="ES291" i="1" s="1"/>
  <c r="EM291" i="1"/>
  <c r="EL291" i="1" s="1"/>
  <c r="EF291" i="1"/>
  <c r="EE291" i="1" s="1"/>
  <c r="DY291" i="1"/>
  <c r="DX291" i="1"/>
  <c r="DR291" i="1"/>
  <c r="DQ291" i="1" s="1"/>
  <c r="DK291" i="1"/>
  <c r="DJ291" i="1" s="1"/>
  <c r="DD291" i="1"/>
  <c r="DC291" i="1"/>
  <c r="CW291" i="1"/>
  <c r="CP291" i="1"/>
  <c r="CO291" i="1" s="1"/>
  <c r="CN291" i="1"/>
  <c r="CF291" i="1"/>
  <c r="CD291" i="1"/>
  <c r="IE290" i="1"/>
  <c r="ID290" i="1"/>
  <c r="IB290" i="1"/>
  <c r="HZ290" i="1"/>
  <c r="HS290" i="1"/>
  <c r="HR290" i="1"/>
  <c r="HL290" i="1"/>
  <c r="HK290" i="1" s="1"/>
  <c r="HE290" i="1"/>
  <c r="HD290" i="1" s="1"/>
  <c r="GX290" i="1"/>
  <c r="GW290" i="1" s="1"/>
  <c r="GQ290" i="1"/>
  <c r="GP290" i="1" s="1"/>
  <c r="GJ290" i="1"/>
  <c r="GI290" i="1"/>
  <c r="GC290" i="1"/>
  <c r="GB290" i="1" s="1"/>
  <c r="FV290" i="1"/>
  <c r="FU290" i="1"/>
  <c r="FO290" i="1"/>
  <c r="FN290" i="1"/>
  <c r="FH290" i="1"/>
  <c r="FG290" i="1"/>
  <c r="FA290" i="1"/>
  <c r="EZ290" i="1" s="1"/>
  <c r="ET290" i="1"/>
  <c r="ES290" i="1" s="1"/>
  <c r="EM290" i="1"/>
  <c r="EL290" i="1" s="1"/>
  <c r="EF290" i="1"/>
  <c r="EE290" i="1" s="1"/>
  <c r="DY290" i="1"/>
  <c r="DX290" i="1" s="1"/>
  <c r="DR290" i="1"/>
  <c r="DQ290" i="1" s="1"/>
  <c r="DK290" i="1"/>
  <c r="DJ290" i="1"/>
  <c r="DD290" i="1"/>
  <c r="DC290" i="1"/>
  <c r="CW290" i="1"/>
  <c r="CV290" i="1" s="1"/>
  <c r="CP290" i="1"/>
  <c r="HY290" i="1" s="1"/>
  <c r="CN290" i="1"/>
  <c r="CF290" i="1"/>
  <c r="CD290" i="1"/>
  <c r="IE289" i="1"/>
  <c r="IB289" i="1"/>
  <c r="HZ289" i="1"/>
  <c r="HS289" i="1"/>
  <c r="HR289" i="1" s="1"/>
  <c r="HL289" i="1"/>
  <c r="HK289" i="1" s="1"/>
  <c r="HE289" i="1"/>
  <c r="HD289" i="1" s="1"/>
  <c r="GX289" i="1"/>
  <c r="GW289" i="1" s="1"/>
  <c r="GQ289" i="1"/>
  <c r="GP289" i="1" s="1"/>
  <c r="GJ289" i="1"/>
  <c r="GI289" i="1"/>
  <c r="GC289" i="1"/>
  <c r="GB289" i="1"/>
  <c r="FV289" i="1"/>
  <c r="FU289" i="1" s="1"/>
  <c r="FO289" i="1"/>
  <c r="FN289" i="1" s="1"/>
  <c r="FH289" i="1"/>
  <c r="FG289" i="1" s="1"/>
  <c r="FA289" i="1"/>
  <c r="EZ289" i="1" s="1"/>
  <c r="ET289" i="1"/>
  <c r="ES289" i="1"/>
  <c r="EM289" i="1"/>
  <c r="EL289" i="1" s="1"/>
  <c r="EF289" i="1"/>
  <c r="EE289" i="1"/>
  <c r="DY289" i="1"/>
  <c r="DX289" i="1"/>
  <c r="DR289" i="1"/>
  <c r="DQ289" i="1"/>
  <c r="DK289" i="1"/>
  <c r="DJ289" i="1" s="1"/>
  <c r="DD289" i="1"/>
  <c r="DC289" i="1" s="1"/>
  <c r="CW289" i="1"/>
  <c r="CV289" i="1" s="1"/>
  <c r="CP289" i="1"/>
  <c r="HY289" i="1" s="1"/>
  <c r="CN289" i="1"/>
  <c r="CF289" i="1"/>
  <c r="CD289" i="1"/>
  <c r="IE288" i="1"/>
  <c r="IB288" i="1"/>
  <c r="ID288" i="1" s="1"/>
  <c r="HZ288" i="1"/>
  <c r="HY288" i="1"/>
  <c r="HS288" i="1"/>
  <c r="HR288" i="1"/>
  <c r="HL288" i="1"/>
  <c r="HK288" i="1"/>
  <c r="HE288" i="1"/>
  <c r="HD288" i="1" s="1"/>
  <c r="GX288" i="1"/>
  <c r="GW288" i="1"/>
  <c r="GQ288" i="1"/>
  <c r="GP288" i="1" s="1"/>
  <c r="GJ288" i="1"/>
  <c r="GI288" i="1" s="1"/>
  <c r="GC288" i="1"/>
  <c r="GB288" i="1" s="1"/>
  <c r="FV288" i="1"/>
  <c r="FU288" i="1"/>
  <c r="FO288" i="1"/>
  <c r="FN288" i="1" s="1"/>
  <c r="FH288" i="1"/>
  <c r="FG288" i="1"/>
  <c r="FA288" i="1"/>
  <c r="EZ288" i="1" s="1"/>
  <c r="ET288" i="1"/>
  <c r="ES288" i="1" s="1"/>
  <c r="EM288" i="1"/>
  <c r="EL288" i="1"/>
  <c r="EF288" i="1"/>
  <c r="EE288" i="1" s="1"/>
  <c r="DY288" i="1"/>
  <c r="DX288" i="1" s="1"/>
  <c r="DR288" i="1"/>
  <c r="DQ288" i="1"/>
  <c r="DK288" i="1"/>
  <c r="DJ288" i="1"/>
  <c r="DD288" i="1"/>
  <c r="DC288" i="1" s="1"/>
  <c r="CW288" i="1"/>
  <c r="CV288" i="1" s="1"/>
  <c r="CP288" i="1"/>
  <c r="CO288" i="1" s="1"/>
  <c r="CN288" i="1"/>
  <c r="CF288" i="1"/>
  <c r="CD288" i="1"/>
  <c r="IE287" i="1"/>
  <c r="HZ287" i="1"/>
  <c r="HS287" i="1"/>
  <c r="HR287" i="1" s="1"/>
  <c r="HL287" i="1"/>
  <c r="HK287" i="1" s="1"/>
  <c r="HE287" i="1"/>
  <c r="HD287" i="1" s="1"/>
  <c r="GX287" i="1"/>
  <c r="GW287" i="1" s="1"/>
  <c r="GQ287" i="1"/>
  <c r="GP287" i="1" s="1"/>
  <c r="GJ287" i="1"/>
  <c r="GI287" i="1" s="1"/>
  <c r="GC287" i="1"/>
  <c r="GB287" i="1"/>
  <c r="FV287" i="1"/>
  <c r="FU287" i="1"/>
  <c r="FO287" i="1"/>
  <c r="FN287" i="1" s="1"/>
  <c r="FH287" i="1"/>
  <c r="FG287" i="1"/>
  <c r="FA287" i="1"/>
  <c r="EZ287" i="1" s="1"/>
  <c r="ET287" i="1"/>
  <c r="ES287" i="1" s="1"/>
  <c r="EM287" i="1"/>
  <c r="EL287" i="1" s="1"/>
  <c r="EF287" i="1"/>
  <c r="EE287" i="1"/>
  <c r="DY287" i="1"/>
  <c r="DX287" i="1" s="1"/>
  <c r="DR287" i="1"/>
  <c r="DQ287" i="1"/>
  <c r="DK287" i="1"/>
  <c r="DJ287" i="1" s="1"/>
  <c r="DD287" i="1"/>
  <c r="DC287" i="1" s="1"/>
  <c r="CW287" i="1"/>
  <c r="CV287" i="1" s="1"/>
  <c r="CP287" i="1"/>
  <c r="CO287" i="1" s="1"/>
  <c r="CN287" i="1"/>
  <c r="CF287" i="1"/>
  <c r="CD287" i="1"/>
  <c r="IE286" i="1"/>
  <c r="ID286" i="1"/>
  <c r="IB286" i="1"/>
  <c r="HZ286" i="1"/>
  <c r="HS286" i="1"/>
  <c r="HR286" i="1"/>
  <c r="HL286" i="1"/>
  <c r="HK286" i="1" s="1"/>
  <c r="HE286" i="1"/>
  <c r="HD286" i="1"/>
  <c r="GX286" i="1"/>
  <c r="GW286" i="1"/>
  <c r="GQ286" i="1"/>
  <c r="GP286" i="1"/>
  <c r="GJ286" i="1"/>
  <c r="GI286" i="1" s="1"/>
  <c r="GC286" i="1"/>
  <c r="GB286" i="1"/>
  <c r="FV286" i="1"/>
  <c r="FU286" i="1"/>
  <c r="FO286" i="1"/>
  <c r="FN286" i="1"/>
  <c r="FH286" i="1"/>
  <c r="FG286" i="1" s="1"/>
  <c r="FA286" i="1"/>
  <c r="EZ286" i="1"/>
  <c r="ET286" i="1"/>
  <c r="ES286" i="1"/>
  <c r="EM286" i="1"/>
  <c r="EL286" i="1"/>
  <c r="EF286" i="1"/>
  <c r="EE286" i="1" s="1"/>
  <c r="DY286" i="1"/>
  <c r="DX286" i="1"/>
  <c r="DR286" i="1"/>
  <c r="DQ286" i="1"/>
  <c r="DK286" i="1"/>
  <c r="DJ286" i="1"/>
  <c r="DD286" i="1"/>
  <c r="DC286" i="1" s="1"/>
  <c r="CW286" i="1"/>
  <c r="CV286" i="1"/>
  <c r="CP286" i="1"/>
  <c r="CO286" i="1"/>
  <c r="HX286" i="1" s="1"/>
  <c r="CN286" i="1"/>
  <c r="CF286" i="1"/>
  <c r="CD286" i="1"/>
  <c r="IE285" i="1"/>
  <c r="HZ285" i="1"/>
  <c r="HS285" i="1"/>
  <c r="HR285" i="1" s="1"/>
  <c r="HL285" i="1"/>
  <c r="HK285" i="1"/>
  <c r="HE285" i="1"/>
  <c r="HD285" i="1"/>
  <c r="GX285" i="1"/>
  <c r="GW285" i="1"/>
  <c r="GQ285" i="1"/>
  <c r="GP285" i="1" s="1"/>
  <c r="GJ285" i="1"/>
  <c r="GI285" i="1" s="1"/>
  <c r="GC285" i="1"/>
  <c r="GB285" i="1" s="1"/>
  <c r="FV285" i="1"/>
  <c r="FU285" i="1" s="1"/>
  <c r="FO285" i="1"/>
  <c r="FN285" i="1" s="1"/>
  <c r="FH285" i="1"/>
  <c r="FG285" i="1" s="1"/>
  <c r="FA285" i="1"/>
  <c r="EZ285" i="1"/>
  <c r="ET285" i="1"/>
  <c r="ES285" i="1"/>
  <c r="EM285" i="1"/>
  <c r="EL285" i="1" s="1"/>
  <c r="EF285" i="1"/>
  <c r="EE285" i="1" s="1"/>
  <c r="DY285" i="1"/>
  <c r="DX285" i="1" s="1"/>
  <c r="DR285" i="1"/>
  <c r="DQ285" i="1" s="1"/>
  <c r="DK285" i="1"/>
  <c r="DJ285" i="1" s="1"/>
  <c r="DD285" i="1"/>
  <c r="DC285" i="1"/>
  <c r="CW285" i="1"/>
  <c r="CP285" i="1"/>
  <c r="CO285" i="1"/>
  <c r="CN285" i="1"/>
  <c r="CF285" i="1"/>
  <c r="CD285" i="1"/>
  <c r="IE284" i="1"/>
  <c r="HZ284" i="1"/>
  <c r="HS284" i="1"/>
  <c r="HR284" i="1" s="1"/>
  <c r="HL284" i="1"/>
  <c r="HK284" i="1"/>
  <c r="HE284" i="1"/>
  <c r="HD284" i="1"/>
  <c r="GX284" i="1"/>
  <c r="GW284" i="1"/>
  <c r="GQ284" i="1"/>
  <c r="GP284" i="1" s="1"/>
  <c r="GJ284" i="1"/>
  <c r="GI284" i="1"/>
  <c r="GC284" i="1"/>
  <c r="GB284" i="1"/>
  <c r="FV284" i="1"/>
  <c r="FU284" i="1"/>
  <c r="FO284" i="1"/>
  <c r="FN284" i="1" s="1"/>
  <c r="FH284" i="1"/>
  <c r="FG284" i="1"/>
  <c r="FA284" i="1"/>
  <c r="EZ284" i="1"/>
  <c r="ET284" i="1"/>
  <c r="ES284" i="1"/>
  <c r="EM284" i="1"/>
  <c r="EL284" i="1" s="1"/>
  <c r="EF284" i="1"/>
  <c r="EE284" i="1"/>
  <c r="DY284" i="1"/>
  <c r="DX284" i="1"/>
  <c r="DR284" i="1"/>
  <c r="DQ284" i="1"/>
  <c r="DK284" i="1"/>
  <c r="DJ284" i="1" s="1"/>
  <c r="HX284" i="1" s="1"/>
  <c r="DD284" i="1"/>
  <c r="DC284" i="1"/>
  <c r="CW284" i="1"/>
  <c r="CV284" i="1"/>
  <c r="CP284" i="1"/>
  <c r="CO284" i="1"/>
  <c r="CN284" i="1"/>
  <c r="CF284" i="1"/>
  <c r="CD284" i="1"/>
  <c r="IE283" i="1"/>
  <c r="IB283" i="1"/>
  <c r="ID283" i="1" s="1"/>
  <c r="HZ283" i="1"/>
  <c r="HS283" i="1"/>
  <c r="HR283" i="1"/>
  <c r="HL283" i="1"/>
  <c r="HK283" i="1"/>
  <c r="HE283" i="1"/>
  <c r="HD283" i="1" s="1"/>
  <c r="GX283" i="1"/>
  <c r="GW283" i="1"/>
  <c r="GQ283" i="1"/>
  <c r="GP283" i="1"/>
  <c r="GJ283" i="1"/>
  <c r="GI283" i="1"/>
  <c r="GC283" i="1"/>
  <c r="GB283" i="1" s="1"/>
  <c r="FV283" i="1"/>
  <c r="FU283" i="1"/>
  <c r="FO283" i="1"/>
  <c r="FN283" i="1"/>
  <c r="FH283" i="1"/>
  <c r="FG283" i="1"/>
  <c r="FA283" i="1"/>
  <c r="EZ283" i="1" s="1"/>
  <c r="ET283" i="1"/>
  <c r="ES283" i="1"/>
  <c r="EM283" i="1"/>
  <c r="EL283" i="1"/>
  <c r="EF283" i="1"/>
  <c r="EE283" i="1"/>
  <c r="DY283" i="1"/>
  <c r="DX283" i="1" s="1"/>
  <c r="DR283" i="1"/>
  <c r="DQ283" i="1"/>
  <c r="DK283" i="1"/>
  <c r="DJ283" i="1"/>
  <c r="DD283" i="1"/>
  <c r="DC283" i="1"/>
  <c r="CW283" i="1"/>
  <c r="CV283" i="1" s="1"/>
  <c r="CP283" i="1"/>
  <c r="CO283" i="1"/>
  <c r="CN283" i="1"/>
  <c r="CF283" i="1"/>
  <c r="CD283" i="1"/>
  <c r="IE282" i="1"/>
  <c r="IB282" i="1"/>
  <c r="HZ282" i="1"/>
  <c r="HS282" i="1"/>
  <c r="HR282" i="1" s="1"/>
  <c r="HL282" i="1"/>
  <c r="HK282" i="1"/>
  <c r="HE282" i="1"/>
  <c r="HD282" i="1"/>
  <c r="GX282" i="1"/>
  <c r="GW282" i="1"/>
  <c r="GQ282" i="1"/>
  <c r="GP282" i="1" s="1"/>
  <c r="GJ282" i="1"/>
  <c r="GI282" i="1"/>
  <c r="GC282" i="1"/>
  <c r="GB282" i="1"/>
  <c r="FV282" i="1"/>
  <c r="FU282" i="1"/>
  <c r="FO282" i="1"/>
  <c r="FN282" i="1" s="1"/>
  <c r="FH282" i="1"/>
  <c r="FG282" i="1"/>
  <c r="FA282" i="1"/>
  <c r="EZ282" i="1"/>
  <c r="ET282" i="1"/>
  <c r="ES282" i="1"/>
  <c r="EM282" i="1"/>
  <c r="EL282" i="1" s="1"/>
  <c r="EF282" i="1"/>
  <c r="EE282" i="1"/>
  <c r="DY282" i="1"/>
  <c r="DX282" i="1"/>
  <c r="DR282" i="1"/>
  <c r="DQ282" i="1"/>
  <c r="DK282" i="1"/>
  <c r="DJ282" i="1" s="1"/>
  <c r="DD282" i="1"/>
  <c r="DC282" i="1"/>
  <c r="CW282" i="1"/>
  <c r="CV282" i="1"/>
  <c r="HX282" i="1" s="1"/>
  <c r="CP282" i="1"/>
  <c r="HY282" i="1" s="1"/>
  <c r="CO282" i="1"/>
  <c r="CN282" i="1"/>
  <c r="CF282" i="1"/>
  <c r="CD282" i="1"/>
  <c r="IE281" i="1"/>
  <c r="IB281" i="1"/>
  <c r="ID281" i="1" s="1"/>
  <c r="HZ281" i="1"/>
  <c r="HS281" i="1"/>
  <c r="HR281" i="1"/>
  <c r="HL281" i="1"/>
  <c r="HK281" i="1"/>
  <c r="HE281" i="1"/>
  <c r="HD281" i="1" s="1"/>
  <c r="GX281" i="1"/>
  <c r="GW281" i="1"/>
  <c r="GQ281" i="1"/>
  <c r="GP281" i="1"/>
  <c r="GJ281" i="1"/>
  <c r="GI281" i="1"/>
  <c r="GC281" i="1"/>
  <c r="GB281" i="1" s="1"/>
  <c r="FV281" i="1"/>
  <c r="FU281" i="1"/>
  <c r="FO281" i="1"/>
  <c r="FN281" i="1"/>
  <c r="FH281" i="1"/>
  <c r="FG281" i="1"/>
  <c r="FA281" i="1"/>
  <c r="EZ281" i="1" s="1"/>
  <c r="ET281" i="1"/>
  <c r="ES281" i="1"/>
  <c r="EM281" i="1"/>
  <c r="EL281" i="1"/>
  <c r="EF281" i="1"/>
  <c r="EE281" i="1"/>
  <c r="DY281" i="1"/>
  <c r="DX281" i="1" s="1"/>
  <c r="DR281" i="1"/>
  <c r="DQ281" i="1"/>
  <c r="DK281" i="1"/>
  <c r="DJ281" i="1"/>
  <c r="DD281" i="1"/>
  <c r="DC281" i="1"/>
  <c r="CW281" i="1"/>
  <c r="CV281" i="1" s="1"/>
  <c r="CP281" i="1"/>
  <c r="CO281" i="1"/>
  <c r="CN281" i="1"/>
  <c r="CF281" i="1"/>
  <c r="CD281" i="1"/>
  <c r="IE280" i="1"/>
  <c r="IB280" i="1"/>
  <c r="HZ280" i="1"/>
  <c r="HS280" i="1"/>
  <c r="HR280" i="1" s="1"/>
  <c r="HL280" i="1"/>
  <c r="HK280" i="1"/>
  <c r="HE280" i="1"/>
  <c r="HD280" i="1"/>
  <c r="GX280" i="1"/>
  <c r="GW280" i="1"/>
  <c r="GQ280" i="1"/>
  <c r="GP280" i="1" s="1"/>
  <c r="GJ280" i="1"/>
  <c r="GI280" i="1"/>
  <c r="GC280" i="1"/>
  <c r="GB280" i="1"/>
  <c r="FV280" i="1"/>
  <c r="FU280" i="1"/>
  <c r="FO280" i="1"/>
  <c r="FN280" i="1" s="1"/>
  <c r="FH280" i="1"/>
  <c r="FG280" i="1"/>
  <c r="FA280" i="1"/>
  <c r="EZ280" i="1"/>
  <c r="ET280" i="1"/>
  <c r="ES280" i="1"/>
  <c r="EM280" i="1"/>
  <c r="EL280" i="1" s="1"/>
  <c r="EF280" i="1"/>
  <c r="EE280" i="1"/>
  <c r="DY280" i="1"/>
  <c r="DX280" i="1"/>
  <c r="HX280" i="1" s="1"/>
  <c r="DR280" i="1"/>
  <c r="DQ280" i="1"/>
  <c r="DK280" i="1"/>
  <c r="DJ280" i="1" s="1"/>
  <c r="DD280" i="1"/>
  <c r="DC280" i="1"/>
  <c r="CW280" i="1"/>
  <c r="CV280" i="1"/>
  <c r="CP280" i="1"/>
  <c r="HY280" i="1" s="1"/>
  <c r="CO280" i="1"/>
  <c r="CN280" i="1"/>
  <c r="CF280" i="1"/>
  <c r="CD280" i="1"/>
  <c r="IE279" i="1"/>
  <c r="ID279" i="1"/>
  <c r="IB279" i="1"/>
  <c r="HZ279" i="1"/>
  <c r="HS279" i="1"/>
  <c r="HR279" i="1"/>
  <c r="HL279" i="1"/>
  <c r="HK279" i="1"/>
  <c r="HE279" i="1"/>
  <c r="HD279" i="1" s="1"/>
  <c r="GX279" i="1"/>
  <c r="GW279" i="1"/>
  <c r="GQ279" i="1"/>
  <c r="GP279" i="1"/>
  <c r="GJ279" i="1"/>
  <c r="GI279" i="1"/>
  <c r="GC279" i="1"/>
  <c r="GB279" i="1" s="1"/>
  <c r="FV279" i="1"/>
  <c r="FU279" i="1"/>
  <c r="FO279" i="1"/>
  <c r="FN279" i="1"/>
  <c r="FH279" i="1"/>
  <c r="FG279" i="1"/>
  <c r="FA279" i="1"/>
  <c r="EZ279" i="1" s="1"/>
  <c r="ET279" i="1"/>
  <c r="ES279" i="1"/>
  <c r="EM279" i="1"/>
  <c r="EL279" i="1"/>
  <c r="EF279" i="1"/>
  <c r="EE279" i="1"/>
  <c r="DY279" i="1"/>
  <c r="DX279" i="1" s="1"/>
  <c r="DR279" i="1"/>
  <c r="DQ279" i="1"/>
  <c r="DK279" i="1"/>
  <c r="DJ279" i="1"/>
  <c r="DD279" i="1"/>
  <c r="DC279" i="1"/>
  <c r="CW279" i="1"/>
  <c r="CV279" i="1" s="1"/>
  <c r="CP279" i="1"/>
  <c r="CO279" i="1"/>
  <c r="CN279" i="1"/>
  <c r="CF279" i="1"/>
  <c r="CD279" i="1"/>
  <c r="IE278" i="1"/>
  <c r="IB278" i="1"/>
  <c r="HZ278" i="1"/>
  <c r="HS278" i="1"/>
  <c r="HR278" i="1" s="1"/>
  <c r="HL278" i="1"/>
  <c r="HK278" i="1"/>
  <c r="HE278" i="1"/>
  <c r="HD278" i="1"/>
  <c r="GX278" i="1"/>
  <c r="GW278" i="1"/>
  <c r="GQ278" i="1"/>
  <c r="GP278" i="1" s="1"/>
  <c r="GJ278" i="1"/>
  <c r="GI278" i="1"/>
  <c r="GC278" i="1"/>
  <c r="GB278" i="1"/>
  <c r="FV278" i="1"/>
  <c r="FU278" i="1"/>
  <c r="FO278" i="1"/>
  <c r="FN278" i="1" s="1"/>
  <c r="FH278" i="1"/>
  <c r="FG278" i="1"/>
  <c r="FA278" i="1"/>
  <c r="EZ278" i="1"/>
  <c r="ET278" i="1"/>
  <c r="ES278" i="1"/>
  <c r="EM278" i="1"/>
  <c r="EL278" i="1" s="1"/>
  <c r="EF278" i="1"/>
  <c r="EE278" i="1"/>
  <c r="DY278" i="1"/>
  <c r="DX278" i="1"/>
  <c r="DR278" i="1"/>
  <c r="DQ278" i="1"/>
  <c r="DK278" i="1"/>
  <c r="DJ278" i="1" s="1"/>
  <c r="DD278" i="1"/>
  <c r="DC278" i="1"/>
  <c r="CW278" i="1"/>
  <c r="CV278" i="1"/>
  <c r="HX278" i="1" s="1"/>
  <c r="CP278" i="1"/>
  <c r="HY278" i="1" s="1"/>
  <c r="CO278" i="1"/>
  <c r="CN278" i="1"/>
  <c r="CF278" i="1"/>
  <c r="CD278" i="1"/>
  <c r="IE277" i="1"/>
  <c r="IB277" i="1"/>
  <c r="ID277" i="1" s="1"/>
  <c r="HZ277" i="1"/>
  <c r="HS277" i="1"/>
  <c r="HR277" i="1"/>
  <c r="HL277" i="1"/>
  <c r="HK277" i="1"/>
  <c r="HE277" i="1"/>
  <c r="HD277" i="1" s="1"/>
  <c r="GX277" i="1"/>
  <c r="GW277" i="1"/>
  <c r="GQ277" i="1"/>
  <c r="GP277" i="1"/>
  <c r="GJ277" i="1"/>
  <c r="GI277" i="1"/>
  <c r="GC277" i="1"/>
  <c r="GB277" i="1" s="1"/>
  <c r="FV277" i="1"/>
  <c r="FU277" i="1"/>
  <c r="FO277" i="1"/>
  <c r="FN277" i="1"/>
  <c r="FH277" i="1"/>
  <c r="FG277" i="1"/>
  <c r="FA277" i="1"/>
  <c r="EZ277" i="1" s="1"/>
  <c r="ET277" i="1"/>
  <c r="ES277" i="1"/>
  <c r="EM277" i="1"/>
  <c r="EL277" i="1"/>
  <c r="EF277" i="1"/>
  <c r="EE277" i="1"/>
  <c r="DY277" i="1"/>
  <c r="DX277" i="1" s="1"/>
  <c r="DR277" i="1"/>
  <c r="DQ277" i="1"/>
  <c r="DK277" i="1"/>
  <c r="DJ277" i="1"/>
  <c r="DD277" i="1"/>
  <c r="DC277" i="1"/>
  <c r="CW277" i="1"/>
  <c r="CV277" i="1" s="1"/>
  <c r="CP277" i="1"/>
  <c r="CO277" i="1"/>
  <c r="CN277" i="1"/>
  <c r="CF277" i="1"/>
  <c r="CD277" i="1"/>
  <c r="IE276" i="1"/>
  <c r="HZ276" i="1"/>
  <c r="HS276" i="1"/>
  <c r="HR276" i="1" s="1"/>
  <c r="HL276" i="1"/>
  <c r="HK276" i="1"/>
  <c r="HE276" i="1"/>
  <c r="HD276" i="1"/>
  <c r="GX276" i="1"/>
  <c r="GW276" i="1"/>
  <c r="GQ276" i="1"/>
  <c r="GP276" i="1" s="1"/>
  <c r="GJ276" i="1"/>
  <c r="GI276" i="1"/>
  <c r="GC276" i="1"/>
  <c r="GB276" i="1"/>
  <c r="FV276" i="1"/>
  <c r="FU276" i="1"/>
  <c r="FO276" i="1"/>
  <c r="FN276" i="1" s="1"/>
  <c r="FH276" i="1"/>
  <c r="FG276" i="1"/>
  <c r="FA276" i="1"/>
  <c r="EZ276" i="1"/>
  <c r="ET276" i="1"/>
  <c r="ES276" i="1"/>
  <c r="EM276" i="1"/>
  <c r="EL276" i="1" s="1"/>
  <c r="EF276" i="1"/>
  <c r="EE276" i="1"/>
  <c r="DY276" i="1"/>
  <c r="DX276" i="1"/>
  <c r="DR276" i="1"/>
  <c r="DQ276" i="1"/>
  <c r="DK276" i="1"/>
  <c r="DJ276" i="1" s="1"/>
  <c r="DD276" i="1"/>
  <c r="DC276" i="1"/>
  <c r="CW276" i="1"/>
  <c r="CV276" i="1"/>
  <c r="HX276" i="1" s="1"/>
  <c r="CP276" i="1"/>
  <c r="CO276" i="1"/>
  <c r="CN276" i="1"/>
  <c r="CF276" i="1"/>
  <c r="CD276" i="1"/>
  <c r="IE275" i="1"/>
  <c r="IB275" i="1"/>
  <c r="ID275" i="1" s="1"/>
  <c r="HZ275" i="1"/>
  <c r="HS275" i="1"/>
  <c r="HR275" i="1"/>
  <c r="HL275" i="1"/>
  <c r="HK275" i="1"/>
  <c r="HE275" i="1"/>
  <c r="HD275" i="1" s="1"/>
  <c r="GX275" i="1"/>
  <c r="GW275" i="1"/>
  <c r="GQ275" i="1"/>
  <c r="GP275" i="1"/>
  <c r="GJ275" i="1"/>
  <c r="GI275" i="1"/>
  <c r="GC275" i="1"/>
  <c r="GB275" i="1" s="1"/>
  <c r="FV275" i="1"/>
  <c r="FU275" i="1"/>
  <c r="FO275" i="1"/>
  <c r="FN275" i="1"/>
  <c r="FH275" i="1"/>
  <c r="FG275" i="1"/>
  <c r="FA275" i="1"/>
  <c r="EZ275" i="1" s="1"/>
  <c r="ET275" i="1"/>
  <c r="ES275" i="1"/>
  <c r="EM275" i="1"/>
  <c r="EL275" i="1"/>
  <c r="EF275" i="1"/>
  <c r="EE275" i="1"/>
  <c r="DY275" i="1"/>
  <c r="DX275" i="1" s="1"/>
  <c r="DR275" i="1"/>
  <c r="DQ275" i="1"/>
  <c r="DK275" i="1"/>
  <c r="DJ275" i="1"/>
  <c r="DD275" i="1"/>
  <c r="DC275" i="1"/>
  <c r="CW275" i="1"/>
  <c r="CV275" i="1" s="1"/>
  <c r="CP275" i="1"/>
  <c r="CO275" i="1"/>
  <c r="HX275" i="1" s="1"/>
  <c r="CN275" i="1"/>
  <c r="CF275" i="1"/>
  <c r="CD275" i="1"/>
  <c r="IE274" i="1"/>
  <c r="HZ274" i="1"/>
  <c r="HS274" i="1"/>
  <c r="HR274" i="1" s="1"/>
  <c r="HL274" i="1"/>
  <c r="HK274" i="1"/>
  <c r="HE274" i="1"/>
  <c r="HD274" i="1"/>
  <c r="GX274" i="1"/>
  <c r="GW274" i="1"/>
  <c r="GQ274" i="1"/>
  <c r="GP274" i="1" s="1"/>
  <c r="GJ274" i="1"/>
  <c r="GI274" i="1"/>
  <c r="GC274" i="1"/>
  <c r="GB274" i="1"/>
  <c r="FV274" i="1"/>
  <c r="FU274" i="1"/>
  <c r="FO274" i="1"/>
  <c r="FN274" i="1" s="1"/>
  <c r="FH274" i="1"/>
  <c r="FG274" i="1"/>
  <c r="FA274" i="1"/>
  <c r="EZ274" i="1"/>
  <c r="ET274" i="1"/>
  <c r="ES274" i="1"/>
  <c r="EM274" i="1"/>
  <c r="EL274" i="1" s="1"/>
  <c r="EF274" i="1"/>
  <c r="EE274" i="1"/>
  <c r="DY274" i="1"/>
  <c r="DX274" i="1"/>
  <c r="HX274" i="1" s="1"/>
  <c r="DR274" i="1"/>
  <c r="DQ274" i="1"/>
  <c r="DK274" i="1"/>
  <c r="DJ274" i="1" s="1"/>
  <c r="DD274" i="1"/>
  <c r="DC274" i="1"/>
  <c r="CW274" i="1"/>
  <c r="CV274" i="1"/>
  <c r="CP274" i="1"/>
  <c r="HY274" i="1" s="1"/>
  <c r="CO274" i="1"/>
  <c r="CN274" i="1"/>
  <c r="CF274" i="1"/>
  <c r="CD274" i="1"/>
  <c r="IE273" i="1"/>
  <c r="ID273" i="1"/>
  <c r="IB273" i="1"/>
  <c r="HZ273" i="1"/>
  <c r="HS273" i="1"/>
  <c r="HR273" i="1"/>
  <c r="HL273" i="1"/>
  <c r="HK273" i="1"/>
  <c r="HE273" i="1"/>
  <c r="HD273" i="1" s="1"/>
  <c r="GX273" i="1"/>
  <c r="GW273" i="1"/>
  <c r="GQ273" i="1"/>
  <c r="GP273" i="1"/>
  <c r="GJ273" i="1"/>
  <c r="GI273" i="1"/>
  <c r="GC273" i="1"/>
  <c r="GB273" i="1" s="1"/>
  <c r="FV273" i="1"/>
  <c r="FU273" i="1"/>
  <c r="FO273" i="1"/>
  <c r="FN273" i="1"/>
  <c r="FH273" i="1"/>
  <c r="FG273" i="1"/>
  <c r="FA273" i="1"/>
  <c r="EZ273" i="1" s="1"/>
  <c r="ET273" i="1"/>
  <c r="ES273" i="1"/>
  <c r="EM273" i="1"/>
  <c r="EL273" i="1"/>
  <c r="EF273" i="1"/>
  <c r="EE273" i="1"/>
  <c r="DY273" i="1"/>
  <c r="DX273" i="1" s="1"/>
  <c r="DR273" i="1"/>
  <c r="DQ273" i="1"/>
  <c r="DK273" i="1"/>
  <c r="DJ273" i="1"/>
  <c r="DD273" i="1"/>
  <c r="DC273" i="1"/>
  <c r="CW273" i="1"/>
  <c r="CV273" i="1" s="1"/>
  <c r="CP273" i="1"/>
  <c r="CO273" i="1"/>
  <c r="CN273" i="1"/>
  <c r="CF273" i="1"/>
  <c r="CD273" i="1"/>
  <c r="IE272" i="1"/>
  <c r="HZ272" i="1"/>
  <c r="HS272" i="1"/>
  <c r="HR272" i="1" s="1"/>
  <c r="HL272" i="1"/>
  <c r="HK272" i="1"/>
  <c r="HE272" i="1"/>
  <c r="HD272" i="1"/>
  <c r="GX272" i="1"/>
  <c r="GW272" i="1"/>
  <c r="GQ272" i="1"/>
  <c r="GP272" i="1" s="1"/>
  <c r="GJ272" i="1"/>
  <c r="GI272" i="1"/>
  <c r="GC272" i="1"/>
  <c r="GB272" i="1"/>
  <c r="FV272" i="1"/>
  <c r="FU272" i="1" s="1"/>
  <c r="FO272" i="1"/>
  <c r="FN272" i="1" s="1"/>
  <c r="FH272" i="1"/>
  <c r="FG272" i="1"/>
  <c r="FA272" i="1"/>
  <c r="EZ272" i="1"/>
  <c r="ET272" i="1"/>
  <c r="ES272" i="1"/>
  <c r="EM272" i="1"/>
  <c r="EL272" i="1" s="1"/>
  <c r="EF272" i="1"/>
  <c r="EE272" i="1"/>
  <c r="DY272" i="1"/>
  <c r="DX272" i="1"/>
  <c r="DR272" i="1"/>
  <c r="DQ272" i="1" s="1"/>
  <c r="DK272" i="1"/>
  <c r="DJ272" i="1" s="1"/>
  <c r="DD272" i="1"/>
  <c r="DC272" i="1"/>
  <c r="CW272" i="1"/>
  <c r="CV272" i="1"/>
  <c r="CP272" i="1"/>
  <c r="CN272" i="1"/>
  <c r="CF272" i="1"/>
  <c r="CD272" i="1"/>
  <c r="IE271" i="1"/>
  <c r="ID271" i="1"/>
  <c r="IB271" i="1"/>
  <c r="HZ271" i="1"/>
  <c r="HS271" i="1"/>
  <c r="HR271" i="1"/>
  <c r="HL271" i="1"/>
  <c r="HK271" i="1" s="1"/>
  <c r="HE271" i="1"/>
  <c r="HD271" i="1" s="1"/>
  <c r="GX271" i="1"/>
  <c r="GW271" i="1"/>
  <c r="GQ271" i="1"/>
  <c r="GP271" i="1"/>
  <c r="GJ271" i="1"/>
  <c r="GI271" i="1"/>
  <c r="GC271" i="1"/>
  <c r="GB271" i="1" s="1"/>
  <c r="FV271" i="1"/>
  <c r="FU271" i="1"/>
  <c r="FO271" i="1"/>
  <c r="FN271" i="1"/>
  <c r="FH271" i="1"/>
  <c r="FG271" i="1"/>
  <c r="FA271" i="1"/>
  <c r="EZ271" i="1" s="1"/>
  <c r="ET271" i="1"/>
  <c r="ES271" i="1"/>
  <c r="EM271" i="1"/>
  <c r="EL271" i="1"/>
  <c r="EF271" i="1"/>
  <c r="EE271" i="1"/>
  <c r="DY271" i="1"/>
  <c r="DX271" i="1" s="1"/>
  <c r="DR271" i="1"/>
  <c r="DQ271" i="1"/>
  <c r="DK271" i="1"/>
  <c r="DJ271" i="1"/>
  <c r="DD271" i="1"/>
  <c r="DC271" i="1" s="1"/>
  <c r="CW271" i="1"/>
  <c r="CV271" i="1" s="1"/>
  <c r="CP271" i="1"/>
  <c r="HY271" i="1" s="1"/>
  <c r="CO271" i="1"/>
  <c r="CN271" i="1"/>
  <c r="CF271" i="1"/>
  <c r="CD271" i="1"/>
  <c r="IE270" i="1"/>
  <c r="HZ270" i="1"/>
  <c r="HS270" i="1"/>
  <c r="HR270" i="1" s="1"/>
  <c r="HL270" i="1"/>
  <c r="HK270" i="1"/>
  <c r="HE270" i="1"/>
  <c r="HD270" i="1"/>
  <c r="GX270" i="1"/>
  <c r="GW270" i="1" s="1"/>
  <c r="GQ270" i="1"/>
  <c r="GP270" i="1" s="1"/>
  <c r="GJ270" i="1"/>
  <c r="GI270" i="1"/>
  <c r="GC270" i="1"/>
  <c r="GB270" i="1"/>
  <c r="FV270" i="1"/>
  <c r="FU270" i="1"/>
  <c r="FO270" i="1"/>
  <c r="FN270" i="1" s="1"/>
  <c r="FH270" i="1"/>
  <c r="FG270" i="1"/>
  <c r="FA270" i="1"/>
  <c r="EZ270" i="1"/>
  <c r="ET270" i="1"/>
  <c r="ES270" i="1"/>
  <c r="EM270" i="1"/>
  <c r="EF270" i="1"/>
  <c r="EE270" i="1"/>
  <c r="DY270" i="1"/>
  <c r="DX270" i="1"/>
  <c r="DR270" i="1"/>
  <c r="DQ270" i="1" s="1"/>
  <c r="DK270" i="1"/>
  <c r="DJ270" i="1" s="1"/>
  <c r="DD270" i="1"/>
  <c r="DC270" i="1"/>
  <c r="CW270" i="1"/>
  <c r="CV270" i="1"/>
  <c r="CP270" i="1"/>
  <c r="CO270" i="1"/>
  <c r="CN270" i="1"/>
  <c r="CF270" i="1"/>
  <c r="CD270" i="1"/>
  <c r="IE269" i="1"/>
  <c r="ID269" i="1"/>
  <c r="IB269" i="1"/>
  <c r="HZ269" i="1"/>
  <c r="HS269" i="1"/>
  <c r="HR269" i="1"/>
  <c r="HL269" i="1"/>
  <c r="HK269" i="1" s="1"/>
  <c r="HE269" i="1"/>
  <c r="HD269" i="1" s="1"/>
  <c r="GX269" i="1"/>
  <c r="GW269" i="1"/>
  <c r="GQ269" i="1"/>
  <c r="GP269" i="1"/>
  <c r="GJ269" i="1"/>
  <c r="GI269" i="1" s="1"/>
  <c r="GC269" i="1"/>
  <c r="GB269" i="1" s="1"/>
  <c r="FV269" i="1"/>
  <c r="FU269" i="1"/>
  <c r="FO269" i="1"/>
  <c r="FN269" i="1"/>
  <c r="FH269" i="1"/>
  <c r="FG269" i="1" s="1"/>
  <c r="FA269" i="1"/>
  <c r="EZ269" i="1" s="1"/>
  <c r="ET269" i="1"/>
  <c r="ES269" i="1"/>
  <c r="EM269" i="1"/>
  <c r="EL269" i="1"/>
  <c r="EF269" i="1"/>
  <c r="EE269" i="1"/>
  <c r="DY269" i="1"/>
  <c r="DX269" i="1" s="1"/>
  <c r="DR269" i="1"/>
  <c r="DQ269" i="1"/>
  <c r="DK269" i="1"/>
  <c r="DJ269" i="1"/>
  <c r="DD269" i="1"/>
  <c r="DC269" i="1"/>
  <c r="CW269" i="1"/>
  <c r="CV269" i="1" s="1"/>
  <c r="CP269" i="1"/>
  <c r="CO269" i="1"/>
  <c r="CN269" i="1"/>
  <c r="CF269" i="1"/>
  <c r="CD269" i="1"/>
  <c r="IE268" i="1"/>
  <c r="HZ268" i="1"/>
  <c r="HS268" i="1"/>
  <c r="HR268" i="1" s="1"/>
  <c r="HL268" i="1"/>
  <c r="HK268" i="1"/>
  <c r="HE268" i="1"/>
  <c r="HD268" i="1"/>
  <c r="GX268" i="1"/>
  <c r="GW268" i="1" s="1"/>
  <c r="GQ268" i="1"/>
  <c r="GP268" i="1" s="1"/>
  <c r="GJ268" i="1"/>
  <c r="GI268" i="1"/>
  <c r="GC268" i="1"/>
  <c r="GB268" i="1"/>
  <c r="FV268" i="1"/>
  <c r="FU268" i="1"/>
  <c r="FO268" i="1"/>
  <c r="FN268" i="1" s="1"/>
  <c r="FH268" i="1"/>
  <c r="FG268" i="1"/>
  <c r="FA268" i="1"/>
  <c r="EZ268" i="1"/>
  <c r="ET268" i="1"/>
  <c r="ES268" i="1"/>
  <c r="EM268" i="1"/>
  <c r="EL268" i="1" s="1"/>
  <c r="EF268" i="1"/>
  <c r="EE268" i="1"/>
  <c r="DY268" i="1"/>
  <c r="DX268" i="1"/>
  <c r="DR268" i="1"/>
  <c r="DQ268" i="1"/>
  <c r="DK268" i="1"/>
  <c r="DD268" i="1"/>
  <c r="DC268" i="1"/>
  <c r="CW268" i="1"/>
  <c r="CV268" i="1"/>
  <c r="CP268" i="1"/>
  <c r="CO268" i="1"/>
  <c r="CN268" i="1"/>
  <c r="CF268" i="1"/>
  <c r="CD268" i="1"/>
  <c r="IE267" i="1"/>
  <c r="ID267" i="1"/>
  <c r="IB267" i="1"/>
  <c r="HZ267" i="1"/>
  <c r="HS267" i="1"/>
  <c r="HR267" i="1"/>
  <c r="HL267" i="1"/>
  <c r="HK267" i="1" s="1"/>
  <c r="HE267" i="1"/>
  <c r="HD267" i="1" s="1"/>
  <c r="GX267" i="1"/>
  <c r="GW267" i="1"/>
  <c r="GQ267" i="1"/>
  <c r="GP267" i="1"/>
  <c r="GJ267" i="1"/>
  <c r="GI267" i="1"/>
  <c r="GC267" i="1"/>
  <c r="GB267" i="1" s="1"/>
  <c r="FV267" i="1"/>
  <c r="FU267" i="1"/>
  <c r="FO267" i="1"/>
  <c r="FN267" i="1"/>
  <c r="FH267" i="1"/>
  <c r="FG267" i="1" s="1"/>
  <c r="FA267" i="1"/>
  <c r="EZ267" i="1" s="1"/>
  <c r="ET267" i="1"/>
  <c r="ES267" i="1"/>
  <c r="EM267" i="1"/>
  <c r="EL267" i="1"/>
  <c r="EF267" i="1"/>
  <c r="EE267" i="1" s="1"/>
  <c r="DY267" i="1"/>
  <c r="DX267" i="1" s="1"/>
  <c r="DR267" i="1"/>
  <c r="DQ267" i="1"/>
  <c r="DK267" i="1"/>
  <c r="DJ267" i="1"/>
  <c r="DD267" i="1"/>
  <c r="DC267" i="1"/>
  <c r="HX267" i="1" s="1"/>
  <c r="CW267" i="1"/>
  <c r="CV267" i="1" s="1"/>
  <c r="CP267" i="1"/>
  <c r="CO267" i="1"/>
  <c r="CN267" i="1"/>
  <c r="CF267" i="1"/>
  <c r="CD267" i="1"/>
  <c r="IE266" i="1"/>
  <c r="IB266" i="1"/>
  <c r="HZ266" i="1"/>
  <c r="HS266" i="1"/>
  <c r="HR266" i="1" s="1"/>
  <c r="HL266" i="1"/>
  <c r="HK266" i="1"/>
  <c r="HE266" i="1"/>
  <c r="HD266" i="1"/>
  <c r="GX266" i="1"/>
  <c r="GW266" i="1"/>
  <c r="GQ266" i="1"/>
  <c r="GP266" i="1" s="1"/>
  <c r="GJ266" i="1"/>
  <c r="GI266" i="1"/>
  <c r="GC266" i="1"/>
  <c r="GB266" i="1"/>
  <c r="FV266" i="1"/>
  <c r="FU266" i="1" s="1"/>
  <c r="FO266" i="1"/>
  <c r="FN266" i="1" s="1"/>
  <c r="FH266" i="1"/>
  <c r="FG266" i="1"/>
  <c r="FA266" i="1"/>
  <c r="EZ266" i="1"/>
  <c r="ET266" i="1"/>
  <c r="ES266" i="1" s="1"/>
  <c r="EM266" i="1"/>
  <c r="EL266" i="1" s="1"/>
  <c r="EF266" i="1"/>
  <c r="EE266" i="1"/>
  <c r="DY266" i="1"/>
  <c r="DX266" i="1"/>
  <c r="DR266" i="1"/>
  <c r="DQ266" i="1"/>
  <c r="DK266" i="1"/>
  <c r="DJ266" i="1" s="1"/>
  <c r="DD266" i="1"/>
  <c r="DC266" i="1"/>
  <c r="CW266" i="1"/>
  <c r="CV266" i="1"/>
  <c r="CP266" i="1"/>
  <c r="CO266" i="1" s="1"/>
  <c r="HX266" i="1" s="1"/>
  <c r="CN266" i="1"/>
  <c r="CF266" i="1"/>
  <c r="CD266" i="1"/>
  <c r="IE265" i="1"/>
  <c r="IB265" i="1"/>
  <c r="ID265" i="1" s="1"/>
  <c r="HZ265" i="1"/>
  <c r="HS265" i="1"/>
  <c r="HR265" i="1"/>
  <c r="HL265" i="1"/>
  <c r="HK265" i="1"/>
  <c r="HE265" i="1"/>
  <c r="HD265" i="1" s="1"/>
  <c r="GX265" i="1"/>
  <c r="GW265" i="1"/>
  <c r="GQ265" i="1"/>
  <c r="GP265" i="1"/>
  <c r="GJ265" i="1"/>
  <c r="GI265" i="1"/>
  <c r="GC265" i="1"/>
  <c r="GB265" i="1" s="1"/>
  <c r="FV265" i="1"/>
  <c r="FU265" i="1"/>
  <c r="FO265" i="1"/>
  <c r="FN265" i="1"/>
  <c r="FH265" i="1"/>
  <c r="FG265" i="1" s="1"/>
  <c r="FA265" i="1"/>
  <c r="EZ265" i="1" s="1"/>
  <c r="ET265" i="1"/>
  <c r="ES265" i="1"/>
  <c r="EM265" i="1"/>
  <c r="EL265" i="1"/>
  <c r="EF265" i="1"/>
  <c r="EE265" i="1"/>
  <c r="DY265" i="1"/>
  <c r="DX265" i="1" s="1"/>
  <c r="DR265" i="1"/>
  <c r="DQ265" i="1"/>
  <c r="DK265" i="1"/>
  <c r="DJ265" i="1"/>
  <c r="DD265" i="1"/>
  <c r="DC265" i="1" s="1"/>
  <c r="CW265" i="1"/>
  <c r="CV265" i="1" s="1"/>
  <c r="CP265" i="1"/>
  <c r="CO265" i="1"/>
  <c r="HX265" i="1" s="1"/>
  <c r="CN265" i="1"/>
  <c r="CF265" i="1"/>
  <c r="CD265" i="1"/>
  <c r="IE264" i="1"/>
  <c r="IB264" i="1"/>
  <c r="HZ264" i="1"/>
  <c r="HS264" i="1"/>
  <c r="HR264" i="1" s="1"/>
  <c r="HL264" i="1"/>
  <c r="HK264" i="1"/>
  <c r="HE264" i="1"/>
  <c r="HD264" i="1"/>
  <c r="GX264" i="1"/>
  <c r="GW264" i="1"/>
  <c r="GQ264" i="1"/>
  <c r="GP264" i="1" s="1"/>
  <c r="GJ264" i="1"/>
  <c r="GI264" i="1"/>
  <c r="GC264" i="1"/>
  <c r="GB264" i="1"/>
  <c r="FV264" i="1"/>
  <c r="FU264" i="1" s="1"/>
  <c r="FO264" i="1"/>
  <c r="FN264" i="1" s="1"/>
  <c r="FH264" i="1"/>
  <c r="FG264" i="1"/>
  <c r="FA264" i="1"/>
  <c r="EZ264" i="1" s="1"/>
  <c r="ET264" i="1"/>
  <c r="ES264" i="1"/>
  <c r="EM264" i="1"/>
  <c r="EL264" i="1" s="1"/>
  <c r="EF264" i="1"/>
  <c r="EE264" i="1"/>
  <c r="DY264" i="1"/>
  <c r="DX264" i="1" s="1"/>
  <c r="DR264" i="1"/>
  <c r="DQ264" i="1" s="1"/>
  <c r="DK264" i="1"/>
  <c r="DJ264" i="1" s="1"/>
  <c r="DD264" i="1"/>
  <c r="DC264" i="1"/>
  <c r="CW264" i="1"/>
  <c r="CV264" i="1" s="1"/>
  <c r="CP264" i="1"/>
  <c r="CN264" i="1"/>
  <c r="CF264" i="1"/>
  <c r="CD264" i="1"/>
  <c r="IE263" i="1"/>
  <c r="ID263" i="1"/>
  <c r="IB263" i="1"/>
  <c r="HZ263" i="1"/>
  <c r="HS263" i="1"/>
  <c r="HR263" i="1"/>
  <c r="HL263" i="1"/>
  <c r="HK263" i="1"/>
  <c r="HE263" i="1"/>
  <c r="HD263" i="1" s="1"/>
  <c r="GX263" i="1"/>
  <c r="GW263" i="1"/>
  <c r="GQ263" i="1"/>
  <c r="GP263" i="1"/>
  <c r="GJ263" i="1"/>
  <c r="GI263" i="1" s="1"/>
  <c r="GC263" i="1"/>
  <c r="GB263" i="1" s="1"/>
  <c r="FV263" i="1"/>
  <c r="FU263" i="1"/>
  <c r="FO263" i="1"/>
  <c r="FN263" i="1" s="1"/>
  <c r="FH263" i="1"/>
  <c r="FG263" i="1"/>
  <c r="FA263" i="1"/>
  <c r="EZ263" i="1" s="1"/>
  <c r="ET263" i="1"/>
  <c r="ES263" i="1"/>
  <c r="EM263" i="1"/>
  <c r="EL263" i="1"/>
  <c r="EF263" i="1"/>
  <c r="EE263" i="1"/>
  <c r="DY263" i="1"/>
  <c r="DX263" i="1" s="1"/>
  <c r="DR263" i="1"/>
  <c r="DQ263" i="1"/>
  <c r="DK263" i="1"/>
  <c r="DJ263" i="1" s="1"/>
  <c r="DD263" i="1"/>
  <c r="DC263" i="1" s="1"/>
  <c r="CW263" i="1"/>
  <c r="CV263" i="1"/>
  <c r="CP263" i="1"/>
  <c r="CO263" i="1"/>
  <c r="CN263" i="1"/>
  <c r="CF263" i="1"/>
  <c r="CD263" i="1"/>
  <c r="IE262" i="1"/>
  <c r="ID262" i="1"/>
  <c r="IB262" i="1"/>
  <c r="HZ262" i="1"/>
  <c r="HS262" i="1"/>
  <c r="HR262" i="1"/>
  <c r="HL262" i="1"/>
  <c r="HK262" i="1"/>
  <c r="HE262" i="1"/>
  <c r="HD262" i="1" s="1"/>
  <c r="GX262" i="1"/>
  <c r="GW262" i="1"/>
  <c r="GQ262" i="1"/>
  <c r="GP262" i="1"/>
  <c r="GJ262" i="1"/>
  <c r="GI262" i="1"/>
  <c r="GC262" i="1"/>
  <c r="GB262" i="1" s="1"/>
  <c r="FV262" i="1"/>
  <c r="FU262" i="1"/>
  <c r="FO262" i="1"/>
  <c r="FN262" i="1"/>
  <c r="FH262" i="1"/>
  <c r="FG262" i="1"/>
  <c r="FA262" i="1"/>
  <c r="EZ262" i="1" s="1"/>
  <c r="ET262" i="1"/>
  <c r="ES262" i="1"/>
  <c r="EM262" i="1"/>
  <c r="EL262" i="1"/>
  <c r="EF262" i="1"/>
  <c r="EE262" i="1"/>
  <c r="DY262" i="1"/>
  <c r="DX262" i="1" s="1"/>
  <c r="DR262" i="1"/>
  <c r="DQ262" i="1"/>
  <c r="DK262" i="1"/>
  <c r="DJ262" i="1"/>
  <c r="DD262" i="1"/>
  <c r="DC262" i="1"/>
  <c r="CW262" i="1"/>
  <c r="CV262" i="1" s="1"/>
  <c r="CP262" i="1"/>
  <c r="HY262" i="1" s="1"/>
  <c r="CO262" i="1"/>
  <c r="CN262" i="1"/>
  <c r="CF262" i="1"/>
  <c r="CD262" i="1"/>
  <c r="IE261" i="1"/>
  <c r="ID261" i="1"/>
  <c r="IB261" i="1"/>
  <c r="HZ261" i="1"/>
  <c r="HS261" i="1"/>
  <c r="HR261" i="1" s="1"/>
  <c r="HL261" i="1"/>
  <c r="HK261" i="1" s="1"/>
  <c r="HE261" i="1"/>
  <c r="HD261" i="1" s="1"/>
  <c r="GX261" i="1"/>
  <c r="GW261" i="1"/>
  <c r="GQ261" i="1"/>
  <c r="GP261" i="1" s="1"/>
  <c r="GJ261" i="1"/>
  <c r="GI261" i="1" s="1"/>
  <c r="GC261" i="1"/>
  <c r="GB261" i="1" s="1"/>
  <c r="FV261" i="1"/>
  <c r="FU261" i="1"/>
  <c r="FO261" i="1"/>
  <c r="FN261" i="1"/>
  <c r="FH261" i="1"/>
  <c r="FG261" i="1" s="1"/>
  <c r="FA261" i="1"/>
  <c r="EZ261" i="1" s="1"/>
  <c r="ET261" i="1"/>
  <c r="ES261" i="1"/>
  <c r="EM261" i="1"/>
  <c r="EL261" i="1" s="1"/>
  <c r="EF261" i="1"/>
  <c r="EE261" i="1" s="1"/>
  <c r="DY261" i="1"/>
  <c r="DX261" i="1" s="1"/>
  <c r="DR261" i="1"/>
  <c r="DQ261" i="1"/>
  <c r="DK261" i="1"/>
  <c r="DJ261" i="1" s="1"/>
  <c r="DD261" i="1"/>
  <c r="DC261" i="1" s="1"/>
  <c r="CW261" i="1"/>
  <c r="CV261" i="1" s="1"/>
  <c r="CP261" i="1"/>
  <c r="CO261" i="1"/>
  <c r="CN261" i="1"/>
  <c r="CF261" i="1"/>
  <c r="CD261" i="1"/>
  <c r="IE260" i="1"/>
  <c r="HZ260" i="1"/>
  <c r="HY260" i="1"/>
  <c r="HS260" i="1"/>
  <c r="HR260" i="1"/>
  <c r="HL260" i="1"/>
  <c r="HK260" i="1"/>
  <c r="HE260" i="1"/>
  <c r="HD260" i="1"/>
  <c r="GX260" i="1"/>
  <c r="GW260" i="1" s="1"/>
  <c r="GQ260" i="1"/>
  <c r="GP260" i="1"/>
  <c r="GJ260" i="1"/>
  <c r="GI260" i="1"/>
  <c r="GC260" i="1"/>
  <c r="GB260" i="1" s="1"/>
  <c r="FV260" i="1"/>
  <c r="FU260" i="1" s="1"/>
  <c r="FO260" i="1"/>
  <c r="FN260" i="1"/>
  <c r="FH260" i="1"/>
  <c r="FG260" i="1"/>
  <c r="FA260" i="1"/>
  <c r="EZ260" i="1"/>
  <c r="ET260" i="1"/>
  <c r="ES260" i="1" s="1"/>
  <c r="EM260" i="1"/>
  <c r="EL260" i="1"/>
  <c r="EF260" i="1"/>
  <c r="EE260" i="1"/>
  <c r="DY260" i="1"/>
  <c r="DX260" i="1" s="1"/>
  <c r="DR260" i="1"/>
  <c r="DQ260" i="1" s="1"/>
  <c r="DK260" i="1"/>
  <c r="DJ260" i="1"/>
  <c r="DD260" i="1"/>
  <c r="DC260" i="1"/>
  <c r="CW260" i="1"/>
  <c r="CV260" i="1"/>
  <c r="CP260" i="1"/>
  <c r="CO260" i="1" s="1"/>
  <c r="CN260" i="1"/>
  <c r="CF260" i="1"/>
  <c r="CD260" i="1"/>
  <c r="IE259" i="1"/>
  <c r="ID259" i="1"/>
  <c r="IB259" i="1"/>
  <c r="HZ259" i="1"/>
  <c r="HS259" i="1"/>
  <c r="HR259" i="1"/>
  <c r="HL259" i="1"/>
  <c r="HK259" i="1" s="1"/>
  <c r="HE259" i="1"/>
  <c r="HD259" i="1" s="1"/>
  <c r="GX259" i="1"/>
  <c r="GW259" i="1"/>
  <c r="GQ259" i="1"/>
  <c r="GP259" i="1"/>
  <c r="GJ259" i="1"/>
  <c r="GI259" i="1"/>
  <c r="GC259" i="1"/>
  <c r="GB259" i="1" s="1"/>
  <c r="FV259" i="1"/>
  <c r="FU259" i="1"/>
  <c r="FO259" i="1"/>
  <c r="FN259" i="1"/>
  <c r="FH259" i="1"/>
  <c r="FG259" i="1" s="1"/>
  <c r="FA259" i="1"/>
  <c r="EZ259" i="1" s="1"/>
  <c r="ET259" i="1"/>
  <c r="ES259" i="1" s="1"/>
  <c r="EM259" i="1"/>
  <c r="EL259" i="1"/>
  <c r="EF259" i="1"/>
  <c r="EE259" i="1" s="1"/>
  <c r="DY259" i="1"/>
  <c r="DX259" i="1" s="1"/>
  <c r="DR259" i="1"/>
  <c r="DQ259" i="1" s="1"/>
  <c r="DK259" i="1"/>
  <c r="DJ259" i="1"/>
  <c r="DD259" i="1"/>
  <c r="DC259" i="1"/>
  <c r="CW259" i="1"/>
  <c r="CV259" i="1" s="1"/>
  <c r="CP259" i="1"/>
  <c r="CO259" i="1" s="1"/>
  <c r="CN259" i="1"/>
  <c r="CF259" i="1"/>
  <c r="CD259" i="1"/>
  <c r="IE258" i="1"/>
  <c r="HZ258" i="1"/>
  <c r="HY258" i="1"/>
  <c r="HS258" i="1"/>
  <c r="HR258" i="1" s="1"/>
  <c r="HL258" i="1"/>
  <c r="HK258" i="1" s="1"/>
  <c r="HE258" i="1"/>
  <c r="HD258" i="1"/>
  <c r="GX258" i="1"/>
  <c r="GW258" i="1"/>
  <c r="GQ258" i="1"/>
  <c r="GP258" i="1" s="1"/>
  <c r="GJ258" i="1"/>
  <c r="GI258" i="1" s="1"/>
  <c r="GC258" i="1"/>
  <c r="GB258" i="1"/>
  <c r="FV258" i="1"/>
  <c r="FU258" i="1" s="1"/>
  <c r="FO258" i="1"/>
  <c r="FN258" i="1" s="1"/>
  <c r="FH258" i="1"/>
  <c r="FG258" i="1" s="1"/>
  <c r="FA258" i="1"/>
  <c r="EZ258" i="1"/>
  <c r="ET258" i="1"/>
  <c r="ES258" i="1" s="1"/>
  <c r="EM258" i="1"/>
  <c r="EL258" i="1" s="1"/>
  <c r="EF258" i="1"/>
  <c r="EE258" i="1" s="1"/>
  <c r="DY258" i="1"/>
  <c r="DX258" i="1"/>
  <c r="DR258" i="1"/>
  <c r="DQ258" i="1" s="1"/>
  <c r="DK258" i="1"/>
  <c r="DJ258" i="1" s="1"/>
  <c r="DD258" i="1"/>
  <c r="DC258" i="1" s="1"/>
  <c r="CW258" i="1"/>
  <c r="CV258" i="1"/>
  <c r="CP258" i="1"/>
  <c r="CO258" i="1" s="1"/>
  <c r="HX258" i="1" s="1"/>
  <c r="CN258" i="1"/>
  <c r="CF258" i="1"/>
  <c r="CD258" i="1"/>
  <c r="IE257" i="1"/>
  <c r="IB257" i="1"/>
  <c r="ID257" i="1" s="1"/>
  <c r="HZ257" i="1"/>
  <c r="HS257" i="1"/>
  <c r="HR257" i="1"/>
  <c r="HL257" i="1"/>
  <c r="HK257" i="1" s="1"/>
  <c r="HE257" i="1"/>
  <c r="HD257" i="1" s="1"/>
  <c r="GX257" i="1"/>
  <c r="GW257" i="1" s="1"/>
  <c r="GQ257" i="1"/>
  <c r="GP257" i="1"/>
  <c r="GJ257" i="1"/>
  <c r="GI257" i="1" s="1"/>
  <c r="GC257" i="1"/>
  <c r="GB257" i="1" s="1"/>
  <c r="FV257" i="1"/>
  <c r="FU257" i="1" s="1"/>
  <c r="FO257" i="1"/>
  <c r="FN257" i="1"/>
  <c r="FH257" i="1"/>
  <c r="FG257" i="1"/>
  <c r="FA257" i="1"/>
  <c r="EZ257" i="1" s="1"/>
  <c r="ET257" i="1"/>
  <c r="ES257" i="1" s="1"/>
  <c r="EM257" i="1"/>
  <c r="EL257" i="1"/>
  <c r="EF257" i="1"/>
  <c r="EE257" i="1" s="1"/>
  <c r="DY257" i="1"/>
  <c r="DX257" i="1" s="1"/>
  <c r="DR257" i="1"/>
  <c r="DQ257" i="1" s="1"/>
  <c r="DK257" i="1"/>
  <c r="DJ257" i="1"/>
  <c r="DD257" i="1"/>
  <c r="DC257" i="1" s="1"/>
  <c r="CW257" i="1"/>
  <c r="CV257" i="1" s="1"/>
  <c r="CP257" i="1"/>
  <c r="CN257" i="1"/>
  <c r="CF257" i="1"/>
  <c r="CD257" i="1"/>
  <c r="IE256" i="1"/>
  <c r="HZ256" i="1"/>
  <c r="HS256" i="1"/>
  <c r="HR256" i="1" s="1"/>
  <c r="HL256" i="1"/>
  <c r="HK256" i="1" s="1"/>
  <c r="HE256" i="1"/>
  <c r="HD256" i="1"/>
  <c r="GX256" i="1"/>
  <c r="GW256" i="1" s="1"/>
  <c r="GQ256" i="1"/>
  <c r="GP256" i="1" s="1"/>
  <c r="GJ256" i="1"/>
  <c r="GI256" i="1" s="1"/>
  <c r="GC256" i="1"/>
  <c r="GB256" i="1"/>
  <c r="FV256" i="1"/>
  <c r="FU256" i="1" s="1"/>
  <c r="FO256" i="1"/>
  <c r="FN256" i="1" s="1"/>
  <c r="FH256" i="1"/>
  <c r="FG256" i="1" s="1"/>
  <c r="FA256" i="1"/>
  <c r="EZ256" i="1"/>
  <c r="ET256" i="1"/>
  <c r="ES256" i="1"/>
  <c r="EM256" i="1"/>
  <c r="EL256" i="1" s="1"/>
  <c r="EF256" i="1"/>
  <c r="EE256" i="1" s="1"/>
  <c r="DY256" i="1"/>
  <c r="DX256" i="1"/>
  <c r="DR256" i="1"/>
  <c r="DK256" i="1"/>
  <c r="DJ256" i="1" s="1"/>
  <c r="DD256" i="1"/>
  <c r="DC256" i="1" s="1"/>
  <c r="CW256" i="1"/>
  <c r="CV256" i="1"/>
  <c r="CP256" i="1"/>
  <c r="CO256" i="1" s="1"/>
  <c r="CN256" i="1"/>
  <c r="CF256" i="1"/>
  <c r="CD256" i="1"/>
  <c r="IE255" i="1"/>
  <c r="ID255" i="1"/>
  <c r="IB255" i="1"/>
  <c r="HZ255" i="1"/>
  <c r="HS255" i="1"/>
  <c r="HR255" i="1"/>
  <c r="HL255" i="1"/>
  <c r="HK255" i="1" s="1"/>
  <c r="HE255" i="1"/>
  <c r="HD255" i="1" s="1"/>
  <c r="GX255" i="1"/>
  <c r="GW255" i="1" s="1"/>
  <c r="GQ255" i="1"/>
  <c r="GP255" i="1"/>
  <c r="GJ255" i="1"/>
  <c r="GI255" i="1" s="1"/>
  <c r="GC255" i="1"/>
  <c r="GB255" i="1" s="1"/>
  <c r="FV255" i="1"/>
  <c r="FU255" i="1" s="1"/>
  <c r="FO255" i="1"/>
  <c r="FN255" i="1"/>
  <c r="FH255" i="1"/>
  <c r="FG255" i="1" s="1"/>
  <c r="FA255" i="1"/>
  <c r="EZ255" i="1" s="1"/>
  <c r="ET255" i="1"/>
  <c r="ES255" i="1" s="1"/>
  <c r="EM255" i="1"/>
  <c r="EL255" i="1"/>
  <c r="EF255" i="1"/>
  <c r="EE255" i="1" s="1"/>
  <c r="DY255" i="1"/>
  <c r="DX255" i="1" s="1"/>
  <c r="DR255" i="1"/>
  <c r="DQ255" i="1" s="1"/>
  <c r="DK255" i="1"/>
  <c r="DJ255" i="1"/>
  <c r="DD255" i="1"/>
  <c r="DC255" i="1" s="1"/>
  <c r="CW255" i="1"/>
  <c r="CV255" i="1" s="1"/>
  <c r="CP255" i="1"/>
  <c r="CN255" i="1"/>
  <c r="CF255" i="1"/>
  <c r="CD255" i="1"/>
  <c r="IE254" i="1"/>
  <c r="HZ254" i="1"/>
  <c r="HS254" i="1"/>
  <c r="HR254" i="1" s="1"/>
  <c r="HL254" i="1"/>
  <c r="HK254" i="1" s="1"/>
  <c r="HE254" i="1"/>
  <c r="HD254" i="1"/>
  <c r="GX254" i="1"/>
  <c r="GW254" i="1"/>
  <c r="GQ254" i="1"/>
  <c r="GP254" i="1" s="1"/>
  <c r="GJ254" i="1"/>
  <c r="GI254" i="1" s="1"/>
  <c r="GC254" i="1"/>
  <c r="GB254" i="1"/>
  <c r="FV254" i="1"/>
  <c r="FU254" i="1" s="1"/>
  <c r="FO254" i="1"/>
  <c r="FN254" i="1" s="1"/>
  <c r="FH254" i="1"/>
  <c r="FG254" i="1" s="1"/>
  <c r="FA254" i="1"/>
  <c r="EZ254" i="1"/>
  <c r="ET254" i="1"/>
  <c r="ES254" i="1" s="1"/>
  <c r="EM254" i="1"/>
  <c r="EL254" i="1" s="1"/>
  <c r="EF254" i="1"/>
  <c r="EE254" i="1" s="1"/>
  <c r="DY254" i="1"/>
  <c r="DX254" i="1"/>
  <c r="DR254" i="1"/>
  <c r="DQ254" i="1" s="1"/>
  <c r="DK254" i="1"/>
  <c r="DJ254" i="1" s="1"/>
  <c r="DD254" i="1"/>
  <c r="DC254" i="1" s="1"/>
  <c r="CW254" i="1"/>
  <c r="CV254" i="1"/>
  <c r="CP254" i="1"/>
  <c r="CN254" i="1"/>
  <c r="CF254" i="1"/>
  <c r="CD254" i="1"/>
  <c r="IE253" i="1"/>
  <c r="IB253" i="1"/>
  <c r="ID253" i="1" s="1"/>
  <c r="HZ253" i="1"/>
  <c r="HS253" i="1"/>
  <c r="HR253" i="1"/>
  <c r="HL253" i="1"/>
  <c r="HK253" i="1"/>
  <c r="HE253" i="1"/>
  <c r="HD253" i="1" s="1"/>
  <c r="GX253" i="1"/>
  <c r="GW253" i="1" s="1"/>
  <c r="GQ253" i="1"/>
  <c r="GP253" i="1"/>
  <c r="GJ253" i="1"/>
  <c r="GI253" i="1"/>
  <c r="GC253" i="1"/>
  <c r="GB253" i="1" s="1"/>
  <c r="FV253" i="1"/>
  <c r="FU253" i="1" s="1"/>
  <c r="FO253" i="1"/>
  <c r="FN253" i="1"/>
  <c r="FH253" i="1"/>
  <c r="FG253" i="1"/>
  <c r="FA253" i="1"/>
  <c r="EZ253" i="1" s="1"/>
  <c r="ET253" i="1"/>
  <c r="ES253" i="1" s="1"/>
  <c r="EM253" i="1"/>
  <c r="EL253" i="1"/>
  <c r="EF253" i="1"/>
  <c r="EE253" i="1"/>
  <c r="DY253" i="1"/>
  <c r="DX253" i="1" s="1"/>
  <c r="DR253" i="1"/>
  <c r="DQ253" i="1" s="1"/>
  <c r="DK253" i="1"/>
  <c r="DJ253" i="1"/>
  <c r="DD253" i="1"/>
  <c r="DC253" i="1"/>
  <c r="CW253" i="1"/>
  <c r="CV253" i="1" s="1"/>
  <c r="CP253" i="1"/>
  <c r="HY253" i="1" s="1"/>
  <c r="CN253" i="1"/>
  <c r="CF253" i="1"/>
  <c r="CD253" i="1"/>
  <c r="IE252" i="1"/>
  <c r="HZ252" i="1"/>
  <c r="HS252" i="1"/>
  <c r="HR252" i="1" s="1"/>
  <c r="HL252" i="1"/>
  <c r="HK252" i="1" s="1"/>
  <c r="HE252" i="1"/>
  <c r="HD252" i="1"/>
  <c r="GX252" i="1"/>
  <c r="GW252" i="1"/>
  <c r="GQ252" i="1"/>
  <c r="GP252" i="1" s="1"/>
  <c r="GJ252" i="1"/>
  <c r="GI252" i="1" s="1"/>
  <c r="GC252" i="1"/>
  <c r="GB252" i="1"/>
  <c r="FV252" i="1"/>
  <c r="FU252" i="1"/>
  <c r="FO252" i="1"/>
  <c r="FN252" i="1" s="1"/>
  <c r="FH252" i="1"/>
  <c r="FG252" i="1" s="1"/>
  <c r="FA252" i="1"/>
  <c r="EZ252" i="1"/>
  <c r="ET252" i="1"/>
  <c r="ES252" i="1" s="1"/>
  <c r="EM252" i="1"/>
  <c r="EL252" i="1" s="1"/>
  <c r="EF252" i="1"/>
  <c r="EE252" i="1" s="1"/>
  <c r="DY252" i="1"/>
  <c r="DX252" i="1"/>
  <c r="DR252" i="1"/>
  <c r="DQ252" i="1"/>
  <c r="DK252" i="1"/>
  <c r="DD252" i="1"/>
  <c r="DC252" i="1" s="1"/>
  <c r="CW252" i="1"/>
  <c r="CV252" i="1"/>
  <c r="CP252" i="1"/>
  <c r="CO252" i="1"/>
  <c r="CN252" i="1"/>
  <c r="CF252" i="1"/>
  <c r="CD252" i="1"/>
  <c r="IE251" i="1"/>
  <c r="IB251" i="1"/>
  <c r="ID251" i="1" s="1"/>
  <c r="HZ251" i="1"/>
  <c r="HS251" i="1"/>
  <c r="HR251" i="1"/>
  <c r="HL251" i="1"/>
  <c r="HK251" i="1" s="1"/>
  <c r="HE251" i="1"/>
  <c r="HD251" i="1" s="1"/>
  <c r="GX251" i="1"/>
  <c r="GW251" i="1" s="1"/>
  <c r="GQ251" i="1"/>
  <c r="GP251" i="1"/>
  <c r="GJ251" i="1"/>
  <c r="GI251" i="1" s="1"/>
  <c r="GC251" i="1"/>
  <c r="GB251" i="1" s="1"/>
  <c r="FV251" i="1"/>
  <c r="FU251" i="1" s="1"/>
  <c r="FO251" i="1"/>
  <c r="FN251" i="1"/>
  <c r="FH251" i="1"/>
  <c r="FG251" i="1" s="1"/>
  <c r="FA251" i="1"/>
  <c r="EZ251" i="1" s="1"/>
  <c r="ET251" i="1"/>
  <c r="ES251" i="1" s="1"/>
  <c r="EM251" i="1"/>
  <c r="EL251" i="1"/>
  <c r="EF251" i="1"/>
  <c r="EE251" i="1" s="1"/>
  <c r="DY251" i="1"/>
  <c r="DX251" i="1" s="1"/>
  <c r="DR251" i="1"/>
  <c r="DQ251" i="1" s="1"/>
  <c r="DK251" i="1"/>
  <c r="DJ251" i="1"/>
  <c r="DD251" i="1"/>
  <c r="DC251" i="1" s="1"/>
  <c r="CW251" i="1"/>
  <c r="CV251" i="1" s="1"/>
  <c r="CP251" i="1"/>
  <c r="CN251" i="1"/>
  <c r="CF251" i="1"/>
  <c r="CD251" i="1"/>
  <c r="IE250" i="1"/>
  <c r="HZ250" i="1"/>
  <c r="HS250" i="1"/>
  <c r="HR250" i="1" s="1"/>
  <c r="HL250" i="1"/>
  <c r="HK250" i="1" s="1"/>
  <c r="HE250" i="1"/>
  <c r="HD250" i="1"/>
  <c r="GX250" i="1"/>
  <c r="GW250" i="1" s="1"/>
  <c r="GQ250" i="1"/>
  <c r="GP250" i="1" s="1"/>
  <c r="GJ250" i="1"/>
  <c r="GI250" i="1" s="1"/>
  <c r="GC250" i="1"/>
  <c r="GB250" i="1"/>
  <c r="FV250" i="1"/>
  <c r="FU250" i="1"/>
  <c r="FO250" i="1"/>
  <c r="FN250" i="1" s="1"/>
  <c r="FH250" i="1"/>
  <c r="FG250" i="1" s="1"/>
  <c r="FA250" i="1"/>
  <c r="EZ250" i="1"/>
  <c r="ET250" i="1"/>
  <c r="ES250" i="1" s="1"/>
  <c r="EM250" i="1"/>
  <c r="EL250" i="1" s="1"/>
  <c r="EF250" i="1"/>
  <c r="EE250" i="1" s="1"/>
  <c r="DY250" i="1"/>
  <c r="DX250" i="1"/>
  <c r="DR250" i="1"/>
  <c r="DQ250" i="1" s="1"/>
  <c r="DK250" i="1"/>
  <c r="DJ250" i="1" s="1"/>
  <c r="DD250" i="1"/>
  <c r="DC250" i="1" s="1"/>
  <c r="CW250" i="1"/>
  <c r="CV250" i="1"/>
  <c r="CP250" i="1"/>
  <c r="CN250" i="1"/>
  <c r="CF250" i="1"/>
  <c r="CD250" i="1"/>
  <c r="IE249" i="1"/>
  <c r="ID249" i="1"/>
  <c r="IB249" i="1"/>
  <c r="HZ249" i="1"/>
  <c r="HS249" i="1"/>
  <c r="HR249" i="1"/>
  <c r="HL249" i="1"/>
  <c r="HK249" i="1"/>
  <c r="HE249" i="1"/>
  <c r="HD249" i="1" s="1"/>
  <c r="GX249" i="1"/>
  <c r="GW249" i="1" s="1"/>
  <c r="GQ249" i="1"/>
  <c r="GP249" i="1"/>
  <c r="GJ249" i="1"/>
  <c r="GI249" i="1"/>
  <c r="GC249" i="1"/>
  <c r="GB249" i="1" s="1"/>
  <c r="FV249" i="1"/>
  <c r="FU249" i="1" s="1"/>
  <c r="FO249" i="1"/>
  <c r="FN249" i="1"/>
  <c r="FH249" i="1"/>
  <c r="FG249" i="1"/>
  <c r="FA249" i="1"/>
  <c r="EZ249" i="1" s="1"/>
  <c r="ET249" i="1"/>
  <c r="ES249" i="1" s="1"/>
  <c r="EM249" i="1"/>
  <c r="EL249" i="1"/>
  <c r="EF249" i="1"/>
  <c r="EE249" i="1"/>
  <c r="DY249" i="1"/>
  <c r="DX249" i="1" s="1"/>
  <c r="DR249" i="1"/>
  <c r="DQ249" i="1" s="1"/>
  <c r="DK249" i="1"/>
  <c r="DJ249" i="1"/>
  <c r="DD249" i="1"/>
  <c r="DC249" i="1"/>
  <c r="CW249" i="1"/>
  <c r="CV249" i="1" s="1"/>
  <c r="CP249" i="1"/>
  <c r="HY249" i="1" s="1"/>
  <c r="CN249" i="1"/>
  <c r="CF249" i="1"/>
  <c r="CD249" i="1"/>
  <c r="IE248" i="1"/>
  <c r="HZ248" i="1"/>
  <c r="HS248" i="1"/>
  <c r="HR248" i="1" s="1"/>
  <c r="HL248" i="1"/>
  <c r="HK248" i="1" s="1"/>
  <c r="HE248" i="1"/>
  <c r="HD248" i="1"/>
  <c r="GX248" i="1"/>
  <c r="GW248" i="1"/>
  <c r="GQ248" i="1"/>
  <c r="GP248" i="1" s="1"/>
  <c r="GJ248" i="1"/>
  <c r="GI248" i="1" s="1"/>
  <c r="GC248" i="1"/>
  <c r="GB248" i="1"/>
  <c r="FV248" i="1"/>
  <c r="FU248" i="1"/>
  <c r="FO248" i="1"/>
  <c r="FN248" i="1" s="1"/>
  <c r="FH248" i="1"/>
  <c r="FG248" i="1" s="1"/>
  <c r="FA248" i="1"/>
  <c r="EZ248" i="1"/>
  <c r="ET248" i="1"/>
  <c r="ES248" i="1"/>
  <c r="EM248" i="1"/>
  <c r="EL248" i="1" s="1"/>
  <c r="EF248" i="1"/>
  <c r="EE248" i="1" s="1"/>
  <c r="DY248" i="1"/>
  <c r="DX248" i="1"/>
  <c r="DR248" i="1"/>
  <c r="DQ248" i="1"/>
  <c r="HX248" i="1" s="1"/>
  <c r="DK248" i="1"/>
  <c r="DJ248" i="1" s="1"/>
  <c r="DD248" i="1"/>
  <c r="DC248" i="1" s="1"/>
  <c r="CW248" i="1"/>
  <c r="CV248" i="1"/>
  <c r="CP248" i="1"/>
  <c r="CO248" i="1"/>
  <c r="CN248" i="1"/>
  <c r="CF248" i="1"/>
  <c r="CD248" i="1"/>
  <c r="IE247" i="1"/>
  <c r="IB247" i="1"/>
  <c r="ID247" i="1" s="1"/>
  <c r="HZ247" i="1"/>
  <c r="HS247" i="1"/>
  <c r="HR247" i="1"/>
  <c r="HL247" i="1"/>
  <c r="HK247" i="1"/>
  <c r="HE247" i="1"/>
  <c r="HD247" i="1" s="1"/>
  <c r="GX247" i="1"/>
  <c r="GW247" i="1" s="1"/>
  <c r="GQ247" i="1"/>
  <c r="GP247" i="1"/>
  <c r="GJ247" i="1"/>
  <c r="GI247" i="1"/>
  <c r="GC247" i="1"/>
  <c r="GB247" i="1" s="1"/>
  <c r="FV247" i="1"/>
  <c r="FU247" i="1" s="1"/>
  <c r="FO247" i="1"/>
  <c r="FN247" i="1"/>
  <c r="FH247" i="1"/>
  <c r="FG247" i="1" s="1"/>
  <c r="FA247" i="1"/>
  <c r="EZ247" i="1" s="1"/>
  <c r="ET247" i="1"/>
  <c r="ES247" i="1" s="1"/>
  <c r="EM247" i="1"/>
  <c r="EL247" i="1"/>
  <c r="EF247" i="1"/>
  <c r="EE247" i="1"/>
  <c r="DY247" i="1"/>
  <c r="DX247" i="1" s="1"/>
  <c r="DR247" i="1"/>
  <c r="DQ247" i="1" s="1"/>
  <c r="DK247" i="1"/>
  <c r="DJ247" i="1"/>
  <c r="DD247" i="1"/>
  <c r="DC247" i="1"/>
  <c r="CW247" i="1"/>
  <c r="CV247" i="1" s="1"/>
  <c r="CP247" i="1"/>
  <c r="CN247" i="1"/>
  <c r="CF247" i="1"/>
  <c r="CD247" i="1"/>
  <c r="IE246" i="1"/>
  <c r="HZ246" i="1"/>
  <c r="HX246" i="1"/>
  <c r="HS246" i="1"/>
  <c r="HR246" i="1" s="1"/>
  <c r="HL246" i="1"/>
  <c r="HK246" i="1" s="1"/>
  <c r="HE246" i="1"/>
  <c r="HD246" i="1"/>
  <c r="GX246" i="1"/>
  <c r="GW246" i="1" s="1"/>
  <c r="GQ246" i="1"/>
  <c r="GP246" i="1" s="1"/>
  <c r="GJ246" i="1"/>
  <c r="GI246" i="1" s="1"/>
  <c r="GC246" i="1"/>
  <c r="GB246" i="1"/>
  <c r="FV246" i="1"/>
  <c r="FU246" i="1" s="1"/>
  <c r="FO246" i="1"/>
  <c r="FN246" i="1" s="1"/>
  <c r="FH246" i="1"/>
  <c r="FG246" i="1" s="1"/>
  <c r="FA246" i="1"/>
  <c r="EZ246" i="1"/>
  <c r="ET246" i="1"/>
  <c r="ES246" i="1" s="1"/>
  <c r="EM246" i="1"/>
  <c r="EL246" i="1" s="1"/>
  <c r="EF246" i="1"/>
  <c r="EE246" i="1" s="1"/>
  <c r="DY246" i="1"/>
  <c r="DX246" i="1"/>
  <c r="DR246" i="1"/>
  <c r="DQ246" i="1"/>
  <c r="DK246" i="1"/>
  <c r="DJ246" i="1" s="1"/>
  <c r="DD246" i="1"/>
  <c r="DC246" i="1" s="1"/>
  <c r="CW246" i="1"/>
  <c r="CV246" i="1"/>
  <c r="CP246" i="1"/>
  <c r="CO246" i="1" s="1"/>
  <c r="CN246" i="1"/>
  <c r="CF246" i="1"/>
  <c r="CD246" i="1"/>
  <c r="IE245" i="1"/>
  <c r="IB245" i="1"/>
  <c r="ID245" i="1" s="1"/>
  <c r="HZ245" i="1"/>
  <c r="HS245" i="1"/>
  <c r="HR245" i="1"/>
  <c r="HL245" i="1"/>
  <c r="HK245" i="1" s="1"/>
  <c r="HE245" i="1"/>
  <c r="HD245" i="1" s="1"/>
  <c r="GX245" i="1"/>
  <c r="GW245" i="1" s="1"/>
  <c r="GQ245" i="1"/>
  <c r="GP245" i="1"/>
  <c r="GJ245" i="1"/>
  <c r="GI245" i="1" s="1"/>
  <c r="GC245" i="1"/>
  <c r="GB245" i="1" s="1"/>
  <c r="FV245" i="1"/>
  <c r="FU245" i="1" s="1"/>
  <c r="FO245" i="1"/>
  <c r="FN245" i="1"/>
  <c r="FH245" i="1"/>
  <c r="FG245" i="1"/>
  <c r="FA245" i="1"/>
  <c r="ET245" i="1"/>
  <c r="ES245" i="1" s="1"/>
  <c r="EM245" i="1"/>
  <c r="EL245" i="1"/>
  <c r="EF245" i="1"/>
  <c r="EE245" i="1" s="1"/>
  <c r="DY245" i="1"/>
  <c r="DX245" i="1" s="1"/>
  <c r="DR245" i="1"/>
  <c r="DQ245" i="1" s="1"/>
  <c r="DK245" i="1"/>
  <c r="DJ245" i="1"/>
  <c r="DD245" i="1"/>
  <c r="DC245" i="1" s="1"/>
  <c r="CW245" i="1"/>
  <c r="CV245" i="1" s="1"/>
  <c r="CP245" i="1"/>
  <c r="CO245" i="1" s="1"/>
  <c r="CN245" i="1"/>
  <c r="CF245" i="1"/>
  <c r="CD245" i="1"/>
  <c r="IE244" i="1"/>
  <c r="HZ244" i="1"/>
  <c r="HS244" i="1"/>
  <c r="HR244" i="1" s="1"/>
  <c r="HL244" i="1"/>
  <c r="HK244" i="1" s="1"/>
  <c r="HE244" i="1"/>
  <c r="HD244" i="1"/>
  <c r="GX244" i="1"/>
  <c r="GW244" i="1"/>
  <c r="GQ244" i="1"/>
  <c r="GP244" i="1" s="1"/>
  <c r="GJ244" i="1"/>
  <c r="GI244" i="1" s="1"/>
  <c r="GC244" i="1"/>
  <c r="GB244" i="1"/>
  <c r="FV244" i="1"/>
  <c r="FU244" i="1"/>
  <c r="FO244" i="1"/>
  <c r="FN244" i="1" s="1"/>
  <c r="FH244" i="1"/>
  <c r="FG244" i="1" s="1"/>
  <c r="FA244" i="1"/>
  <c r="EZ244" i="1"/>
  <c r="ET244" i="1"/>
  <c r="ES244" i="1"/>
  <c r="EM244" i="1"/>
  <c r="EL244" i="1" s="1"/>
  <c r="EF244" i="1"/>
  <c r="EE244" i="1" s="1"/>
  <c r="DY244" i="1"/>
  <c r="DX244" i="1"/>
  <c r="DR244" i="1"/>
  <c r="DQ244" i="1"/>
  <c r="DK244" i="1"/>
  <c r="DJ244" i="1" s="1"/>
  <c r="DD244" i="1"/>
  <c r="CW244" i="1"/>
  <c r="CV244" i="1"/>
  <c r="CP244" i="1"/>
  <c r="CO244" i="1"/>
  <c r="CN244" i="1"/>
  <c r="CF244" i="1"/>
  <c r="CD244" i="1"/>
  <c r="IE243" i="1"/>
  <c r="IB243" i="1"/>
  <c r="ID243" i="1" s="1"/>
  <c r="HZ243" i="1"/>
  <c r="HS243" i="1"/>
  <c r="HR243" i="1"/>
  <c r="HL243" i="1"/>
  <c r="HK243" i="1"/>
  <c r="HE243" i="1"/>
  <c r="HD243" i="1" s="1"/>
  <c r="GX243" i="1"/>
  <c r="GW243" i="1" s="1"/>
  <c r="GQ243" i="1"/>
  <c r="GP243" i="1"/>
  <c r="GJ243" i="1"/>
  <c r="GI243" i="1" s="1"/>
  <c r="GC243" i="1"/>
  <c r="GB243" i="1" s="1"/>
  <c r="FV243" i="1"/>
  <c r="FU243" i="1" s="1"/>
  <c r="FO243" i="1"/>
  <c r="FN243" i="1"/>
  <c r="FH243" i="1"/>
  <c r="FG243" i="1"/>
  <c r="FA243" i="1"/>
  <c r="EZ243" i="1" s="1"/>
  <c r="ET243" i="1"/>
  <c r="ES243" i="1" s="1"/>
  <c r="EM243" i="1"/>
  <c r="EL243" i="1"/>
  <c r="EF243" i="1"/>
  <c r="EE243" i="1"/>
  <c r="DY243" i="1"/>
  <c r="DX243" i="1" s="1"/>
  <c r="DR243" i="1"/>
  <c r="DQ243" i="1" s="1"/>
  <c r="DK243" i="1"/>
  <c r="DJ243" i="1"/>
  <c r="DD243" i="1"/>
  <c r="DC243" i="1"/>
  <c r="CW243" i="1"/>
  <c r="CV243" i="1" s="1"/>
  <c r="CP243" i="1"/>
  <c r="CO243" i="1" s="1"/>
  <c r="CN243" i="1"/>
  <c r="CF243" i="1"/>
  <c r="CD243" i="1"/>
  <c r="IE242" i="1"/>
  <c r="HZ242" i="1"/>
  <c r="HS242" i="1"/>
  <c r="HR242" i="1" s="1"/>
  <c r="HL242" i="1"/>
  <c r="HK242" i="1" s="1"/>
  <c r="HE242" i="1"/>
  <c r="HD242" i="1" s="1"/>
  <c r="GX242" i="1"/>
  <c r="GW242" i="1" s="1"/>
  <c r="GQ242" i="1"/>
  <c r="GP242" i="1" s="1"/>
  <c r="GJ242" i="1"/>
  <c r="GI242" i="1" s="1"/>
  <c r="GC242" i="1"/>
  <c r="GB242" i="1" s="1"/>
  <c r="FV242" i="1"/>
  <c r="FU242" i="1" s="1"/>
  <c r="FO242" i="1"/>
  <c r="FN242" i="1" s="1"/>
  <c r="FH242" i="1"/>
  <c r="FG242" i="1" s="1"/>
  <c r="FA242" i="1"/>
  <c r="EZ242" i="1" s="1"/>
  <c r="ET242" i="1"/>
  <c r="ES242" i="1" s="1"/>
  <c r="EM242" i="1"/>
  <c r="EL242" i="1" s="1"/>
  <c r="EF242" i="1"/>
  <c r="EE242" i="1" s="1"/>
  <c r="DY242" i="1"/>
  <c r="DX242" i="1" s="1"/>
  <c r="DR242" i="1"/>
  <c r="DQ242" i="1" s="1"/>
  <c r="DK242" i="1"/>
  <c r="DJ242" i="1" s="1"/>
  <c r="DD242" i="1"/>
  <c r="DC242" i="1" s="1"/>
  <c r="CW242" i="1"/>
  <c r="CV242" i="1" s="1"/>
  <c r="CP242" i="1"/>
  <c r="CO242" i="1" s="1"/>
  <c r="CN242" i="1"/>
  <c r="CF242" i="1"/>
  <c r="CD242" i="1"/>
  <c r="IE241" i="1"/>
  <c r="ID241" i="1"/>
  <c r="IB241" i="1"/>
  <c r="HZ241" i="1"/>
  <c r="HS241" i="1"/>
  <c r="HR241" i="1"/>
  <c r="HL241" i="1"/>
  <c r="HK241" i="1" s="1"/>
  <c r="HE241" i="1"/>
  <c r="HD241" i="1" s="1"/>
  <c r="GX241" i="1"/>
  <c r="GW241" i="1" s="1"/>
  <c r="GQ241" i="1"/>
  <c r="GP241" i="1" s="1"/>
  <c r="GJ241" i="1"/>
  <c r="GI241" i="1" s="1"/>
  <c r="GC241" i="1"/>
  <c r="GB241" i="1" s="1"/>
  <c r="FV241" i="1"/>
  <c r="FU241" i="1" s="1"/>
  <c r="FO241" i="1"/>
  <c r="FN241" i="1" s="1"/>
  <c r="FH241" i="1"/>
  <c r="FG241" i="1" s="1"/>
  <c r="FA241" i="1"/>
  <c r="EZ241" i="1" s="1"/>
  <c r="ET241" i="1"/>
  <c r="ES241" i="1" s="1"/>
  <c r="EM241" i="1"/>
  <c r="EL241" i="1" s="1"/>
  <c r="EF241" i="1"/>
  <c r="EE241" i="1" s="1"/>
  <c r="DY241" i="1"/>
  <c r="DX241" i="1" s="1"/>
  <c r="DR241" i="1"/>
  <c r="DQ241" i="1" s="1"/>
  <c r="DK241" i="1"/>
  <c r="DJ241" i="1"/>
  <c r="DD241" i="1"/>
  <c r="DC241" i="1" s="1"/>
  <c r="CW241" i="1"/>
  <c r="CV241" i="1" s="1"/>
  <c r="CP241" i="1"/>
  <c r="CO241" i="1" s="1"/>
  <c r="CN241" i="1"/>
  <c r="CF241" i="1"/>
  <c r="CD241" i="1"/>
  <c r="IE240" i="1"/>
  <c r="HZ240" i="1"/>
  <c r="HS240" i="1"/>
  <c r="HR240" i="1" s="1"/>
  <c r="HL240" i="1"/>
  <c r="HK240" i="1" s="1"/>
  <c r="HE240" i="1"/>
  <c r="HD240" i="1" s="1"/>
  <c r="GX240" i="1"/>
  <c r="GW240" i="1" s="1"/>
  <c r="GQ240" i="1"/>
  <c r="GP240" i="1" s="1"/>
  <c r="GJ240" i="1"/>
  <c r="GI240" i="1" s="1"/>
  <c r="GC240" i="1"/>
  <c r="GB240" i="1"/>
  <c r="FV240" i="1"/>
  <c r="FU240" i="1" s="1"/>
  <c r="FO240" i="1"/>
  <c r="FN240" i="1" s="1"/>
  <c r="FH240" i="1"/>
  <c r="FG240" i="1" s="1"/>
  <c r="FA240" i="1"/>
  <c r="EZ240" i="1" s="1"/>
  <c r="ET240" i="1"/>
  <c r="ES240" i="1"/>
  <c r="EM240" i="1"/>
  <c r="EL240" i="1" s="1"/>
  <c r="EF240" i="1"/>
  <c r="EE240" i="1" s="1"/>
  <c r="DY240" i="1"/>
  <c r="DX240" i="1" s="1"/>
  <c r="DR240" i="1"/>
  <c r="DQ240" i="1" s="1"/>
  <c r="DK240" i="1"/>
  <c r="DJ240" i="1" s="1"/>
  <c r="DD240" i="1"/>
  <c r="DC240" i="1" s="1"/>
  <c r="CW240" i="1"/>
  <c r="CV240" i="1" s="1"/>
  <c r="CP240" i="1"/>
  <c r="CO240" i="1" s="1"/>
  <c r="CN240" i="1"/>
  <c r="CF240" i="1"/>
  <c r="CD240" i="1"/>
  <c r="IE239" i="1"/>
  <c r="ID239" i="1"/>
  <c r="IB239" i="1"/>
  <c r="HZ239" i="1"/>
  <c r="HS239" i="1"/>
  <c r="HR239" i="1"/>
  <c r="HL239" i="1"/>
  <c r="HK239" i="1" s="1"/>
  <c r="HE239" i="1"/>
  <c r="HD239" i="1" s="1"/>
  <c r="GX239" i="1"/>
  <c r="GW239" i="1" s="1"/>
  <c r="GQ239" i="1"/>
  <c r="GP239" i="1"/>
  <c r="GJ239" i="1"/>
  <c r="GI239" i="1"/>
  <c r="GC239" i="1"/>
  <c r="GB239" i="1"/>
  <c r="FV239" i="1"/>
  <c r="FU239" i="1" s="1"/>
  <c r="FO239" i="1"/>
  <c r="FN239" i="1" s="1"/>
  <c r="FH239" i="1"/>
  <c r="FG239" i="1"/>
  <c r="FA239" i="1"/>
  <c r="EZ239" i="1" s="1"/>
  <c r="ET239" i="1"/>
  <c r="ES239" i="1" s="1"/>
  <c r="EM239" i="1"/>
  <c r="EL239" i="1"/>
  <c r="EF239" i="1"/>
  <c r="EE239" i="1"/>
  <c r="DY239" i="1"/>
  <c r="DX239" i="1"/>
  <c r="DR239" i="1"/>
  <c r="DQ239" i="1" s="1"/>
  <c r="DK239" i="1"/>
  <c r="DJ239" i="1" s="1"/>
  <c r="DD239" i="1"/>
  <c r="DC239" i="1" s="1"/>
  <c r="CW239" i="1"/>
  <c r="CV239" i="1" s="1"/>
  <c r="CP239" i="1"/>
  <c r="CN239" i="1"/>
  <c r="CF239" i="1"/>
  <c r="CD239" i="1"/>
  <c r="IE238" i="1"/>
  <c r="ID238" i="1"/>
  <c r="HZ238" i="1"/>
  <c r="IB238" i="1" s="1"/>
  <c r="HS238" i="1"/>
  <c r="HR238" i="1" s="1"/>
  <c r="HL238" i="1"/>
  <c r="HK238" i="1" s="1"/>
  <c r="HE238" i="1"/>
  <c r="HD238" i="1"/>
  <c r="GX238" i="1"/>
  <c r="GW238" i="1"/>
  <c r="GQ238" i="1"/>
  <c r="GP238" i="1"/>
  <c r="GJ238" i="1"/>
  <c r="GI238" i="1" s="1"/>
  <c r="GC238" i="1"/>
  <c r="GB238" i="1"/>
  <c r="FV238" i="1"/>
  <c r="FU238" i="1" s="1"/>
  <c r="FO238" i="1"/>
  <c r="FN238" i="1" s="1"/>
  <c r="FH238" i="1"/>
  <c r="FG238" i="1" s="1"/>
  <c r="FA238" i="1"/>
  <c r="EZ238" i="1" s="1"/>
  <c r="ET238" i="1"/>
  <c r="ES238" i="1" s="1"/>
  <c r="EM238" i="1"/>
  <c r="EL238" i="1" s="1"/>
  <c r="EF238" i="1"/>
  <c r="EE238" i="1" s="1"/>
  <c r="DY238" i="1"/>
  <c r="DX238" i="1"/>
  <c r="DR238" i="1"/>
  <c r="DQ238" i="1" s="1"/>
  <c r="DK238" i="1"/>
  <c r="DJ238" i="1" s="1"/>
  <c r="DD238" i="1"/>
  <c r="DC238" i="1" s="1"/>
  <c r="CW238" i="1"/>
  <c r="CV238" i="1" s="1"/>
  <c r="CP238" i="1"/>
  <c r="CN238" i="1"/>
  <c r="CF238" i="1"/>
  <c r="CD238" i="1"/>
  <c r="IE237" i="1"/>
  <c r="ID237" i="1"/>
  <c r="HZ237" i="1"/>
  <c r="IB237" i="1" s="1"/>
  <c r="HS237" i="1"/>
  <c r="HR237" i="1"/>
  <c r="HL237" i="1"/>
  <c r="HK237" i="1" s="1"/>
  <c r="HE237" i="1"/>
  <c r="HD237" i="1" s="1"/>
  <c r="GX237" i="1"/>
  <c r="GW237" i="1" s="1"/>
  <c r="GQ237" i="1"/>
  <c r="GP237" i="1" s="1"/>
  <c r="GJ237" i="1"/>
  <c r="GI237" i="1" s="1"/>
  <c r="GC237" i="1"/>
  <c r="GB237" i="1" s="1"/>
  <c r="FV237" i="1"/>
  <c r="FU237" i="1" s="1"/>
  <c r="FO237" i="1"/>
  <c r="FN237" i="1" s="1"/>
  <c r="FH237" i="1"/>
  <c r="FG237" i="1" s="1"/>
  <c r="FA237" i="1"/>
  <c r="EZ237" i="1" s="1"/>
  <c r="ET237" i="1"/>
  <c r="ES237" i="1" s="1"/>
  <c r="EM237" i="1"/>
  <c r="EL237" i="1"/>
  <c r="EF237" i="1"/>
  <c r="EE237" i="1" s="1"/>
  <c r="DY237" i="1"/>
  <c r="DX237" i="1" s="1"/>
  <c r="DR237" i="1"/>
  <c r="DQ237" i="1" s="1"/>
  <c r="DK237" i="1"/>
  <c r="DJ237" i="1"/>
  <c r="DD237" i="1"/>
  <c r="DC237" i="1" s="1"/>
  <c r="CW237" i="1"/>
  <c r="CV237" i="1" s="1"/>
  <c r="CP237" i="1"/>
  <c r="CO237" i="1" s="1"/>
  <c r="CN237" i="1"/>
  <c r="CF237" i="1"/>
  <c r="CD237" i="1"/>
  <c r="IE236" i="1"/>
  <c r="HZ236" i="1"/>
  <c r="HS236" i="1"/>
  <c r="HR236" i="1" s="1"/>
  <c r="HL236" i="1"/>
  <c r="HK236" i="1" s="1"/>
  <c r="HE236" i="1"/>
  <c r="HD236" i="1" s="1"/>
  <c r="GX236" i="1"/>
  <c r="GW236" i="1" s="1"/>
  <c r="GQ236" i="1"/>
  <c r="GP236" i="1" s="1"/>
  <c r="GJ236" i="1"/>
  <c r="GI236" i="1" s="1"/>
  <c r="GC236" i="1"/>
  <c r="GB236" i="1"/>
  <c r="FV236" i="1"/>
  <c r="FU236" i="1" s="1"/>
  <c r="FO236" i="1"/>
  <c r="FN236" i="1" s="1"/>
  <c r="FH236" i="1"/>
  <c r="FG236" i="1" s="1"/>
  <c r="FA236" i="1"/>
  <c r="EZ236" i="1" s="1"/>
  <c r="ET236" i="1"/>
  <c r="ES236" i="1" s="1"/>
  <c r="EM236" i="1"/>
  <c r="EL236" i="1" s="1"/>
  <c r="EF236" i="1"/>
  <c r="EE236" i="1" s="1"/>
  <c r="DY236" i="1"/>
  <c r="DX236" i="1" s="1"/>
  <c r="DR236" i="1"/>
  <c r="DQ236" i="1" s="1"/>
  <c r="DK236" i="1"/>
  <c r="DJ236" i="1" s="1"/>
  <c r="DD236" i="1"/>
  <c r="DC236" i="1" s="1"/>
  <c r="CW236" i="1"/>
  <c r="CV236" i="1"/>
  <c r="CP236" i="1"/>
  <c r="CN236" i="1"/>
  <c r="CF236" i="1"/>
  <c r="CD236" i="1"/>
  <c r="IE235" i="1"/>
  <c r="HZ235" i="1"/>
  <c r="IB235" i="1" s="1"/>
  <c r="ID235" i="1" s="1"/>
  <c r="HS235" i="1"/>
  <c r="HR235" i="1" s="1"/>
  <c r="HL235" i="1"/>
  <c r="HK235" i="1" s="1"/>
  <c r="HE235" i="1"/>
  <c r="HD235" i="1" s="1"/>
  <c r="GX235" i="1"/>
  <c r="GW235" i="1" s="1"/>
  <c r="GQ235" i="1"/>
  <c r="GP235" i="1"/>
  <c r="GJ235" i="1"/>
  <c r="GI235" i="1" s="1"/>
  <c r="GC235" i="1"/>
  <c r="GB235" i="1" s="1"/>
  <c r="FV235" i="1"/>
  <c r="FU235" i="1" s="1"/>
  <c r="FO235" i="1"/>
  <c r="FN235" i="1"/>
  <c r="FH235" i="1"/>
  <c r="FG235" i="1" s="1"/>
  <c r="FA235" i="1"/>
  <c r="EZ235" i="1" s="1"/>
  <c r="ET235" i="1"/>
  <c r="ES235" i="1" s="1"/>
  <c r="EM235" i="1"/>
  <c r="EL235" i="1"/>
  <c r="EF235" i="1"/>
  <c r="EE235" i="1" s="1"/>
  <c r="DY235" i="1"/>
  <c r="DX235" i="1" s="1"/>
  <c r="DR235" i="1"/>
  <c r="DQ235" i="1" s="1"/>
  <c r="DK235" i="1"/>
  <c r="DJ235" i="1"/>
  <c r="DD235" i="1"/>
  <c r="DC235" i="1" s="1"/>
  <c r="CW235" i="1"/>
  <c r="CV235" i="1" s="1"/>
  <c r="CP235" i="1"/>
  <c r="CO235" i="1" s="1"/>
  <c r="CN235" i="1"/>
  <c r="CF235" i="1"/>
  <c r="CD235" i="1"/>
  <c r="IE234" i="1"/>
  <c r="HZ234" i="1"/>
  <c r="HS234" i="1"/>
  <c r="HR234" i="1" s="1"/>
  <c r="HL234" i="1"/>
  <c r="HK234" i="1" s="1"/>
  <c r="HE234" i="1"/>
  <c r="HD234" i="1" s="1"/>
  <c r="GX234" i="1"/>
  <c r="GW234" i="1" s="1"/>
  <c r="GQ234" i="1"/>
  <c r="GP234" i="1" s="1"/>
  <c r="GJ234" i="1"/>
  <c r="GI234" i="1" s="1"/>
  <c r="GC234" i="1"/>
  <c r="GB234" i="1" s="1"/>
  <c r="FV234" i="1"/>
  <c r="FU234" i="1" s="1"/>
  <c r="FO234" i="1"/>
  <c r="FN234" i="1" s="1"/>
  <c r="FH234" i="1"/>
  <c r="FG234" i="1" s="1"/>
  <c r="FA234" i="1"/>
  <c r="EZ234" i="1"/>
  <c r="ET234" i="1"/>
  <c r="ES234" i="1" s="1"/>
  <c r="EM234" i="1"/>
  <c r="EL234" i="1" s="1"/>
  <c r="EF234" i="1"/>
  <c r="EE234" i="1" s="1"/>
  <c r="DY234" i="1"/>
  <c r="DX234" i="1"/>
  <c r="DR234" i="1"/>
  <c r="DQ234" i="1" s="1"/>
  <c r="DK234" i="1"/>
  <c r="DJ234" i="1" s="1"/>
  <c r="DD234" i="1"/>
  <c r="DC234" i="1" s="1"/>
  <c r="CW234" i="1"/>
  <c r="CP234" i="1"/>
  <c r="CO234" i="1" s="1"/>
  <c r="CN234" i="1"/>
  <c r="CF234" i="1"/>
  <c r="CD234" i="1"/>
  <c r="IE233" i="1"/>
  <c r="HZ233" i="1"/>
  <c r="IB233" i="1" s="1"/>
  <c r="ID233" i="1" s="1"/>
  <c r="HS233" i="1"/>
  <c r="HR233" i="1"/>
  <c r="HL233" i="1"/>
  <c r="HK233" i="1" s="1"/>
  <c r="HE233" i="1"/>
  <c r="HD233" i="1" s="1"/>
  <c r="GX233" i="1"/>
  <c r="GW233" i="1" s="1"/>
  <c r="GQ233" i="1"/>
  <c r="GP233" i="1" s="1"/>
  <c r="GJ233" i="1"/>
  <c r="GI233" i="1" s="1"/>
  <c r="GC233" i="1"/>
  <c r="GB233" i="1" s="1"/>
  <c r="FV233" i="1"/>
  <c r="FU233" i="1" s="1"/>
  <c r="FO233" i="1"/>
  <c r="FN233" i="1"/>
  <c r="FH233" i="1"/>
  <c r="FG233" i="1" s="1"/>
  <c r="FA233" i="1"/>
  <c r="EZ233" i="1" s="1"/>
  <c r="ET233" i="1"/>
  <c r="ES233" i="1" s="1"/>
  <c r="EM233" i="1"/>
  <c r="EL233" i="1" s="1"/>
  <c r="EF233" i="1"/>
  <c r="EE233" i="1" s="1"/>
  <c r="DY233" i="1"/>
  <c r="DX233" i="1" s="1"/>
  <c r="DR233" i="1"/>
  <c r="DQ233" i="1" s="1"/>
  <c r="DK233" i="1"/>
  <c r="DJ233" i="1"/>
  <c r="DD233" i="1"/>
  <c r="CW233" i="1"/>
  <c r="CV233" i="1" s="1"/>
  <c r="CP233" i="1"/>
  <c r="CO233" i="1" s="1"/>
  <c r="CN233" i="1"/>
  <c r="CF233" i="1"/>
  <c r="CD233" i="1"/>
  <c r="IE232" i="1"/>
  <c r="HZ232" i="1"/>
  <c r="HS232" i="1"/>
  <c r="HR232" i="1" s="1"/>
  <c r="HL232" i="1"/>
  <c r="HK232" i="1" s="1"/>
  <c r="HE232" i="1"/>
  <c r="HD232" i="1"/>
  <c r="GX232" i="1"/>
  <c r="GW232" i="1" s="1"/>
  <c r="GQ232" i="1"/>
  <c r="GP232" i="1" s="1"/>
  <c r="GJ232" i="1"/>
  <c r="GI232" i="1" s="1"/>
  <c r="GC232" i="1"/>
  <c r="GB232" i="1"/>
  <c r="FV232" i="1"/>
  <c r="FU232" i="1" s="1"/>
  <c r="FO232" i="1"/>
  <c r="FN232" i="1" s="1"/>
  <c r="FH232" i="1"/>
  <c r="FG232" i="1" s="1"/>
  <c r="FA232" i="1"/>
  <c r="EZ232" i="1"/>
  <c r="ET232" i="1"/>
  <c r="ES232" i="1" s="1"/>
  <c r="EM232" i="1"/>
  <c r="EL232" i="1" s="1"/>
  <c r="EF232" i="1"/>
  <c r="EE232" i="1" s="1"/>
  <c r="DY232" i="1"/>
  <c r="DX232" i="1"/>
  <c r="DR232" i="1"/>
  <c r="DQ232" i="1" s="1"/>
  <c r="DK232" i="1"/>
  <c r="DJ232" i="1" s="1"/>
  <c r="DD232" i="1"/>
  <c r="DC232" i="1" s="1"/>
  <c r="CW232" i="1"/>
  <c r="CV232" i="1" s="1"/>
  <c r="CP232" i="1"/>
  <c r="CN232" i="1"/>
  <c r="CF232" i="1"/>
  <c r="CD232" i="1"/>
  <c r="IE231" i="1"/>
  <c r="ID231" i="1"/>
  <c r="HZ231" i="1"/>
  <c r="IB231" i="1" s="1"/>
  <c r="HS231" i="1"/>
  <c r="HR231" i="1"/>
  <c r="HL231" i="1"/>
  <c r="HK231" i="1" s="1"/>
  <c r="HE231" i="1"/>
  <c r="HD231" i="1" s="1"/>
  <c r="GX231" i="1"/>
  <c r="GW231" i="1" s="1"/>
  <c r="GQ231" i="1"/>
  <c r="GP231" i="1" s="1"/>
  <c r="GJ231" i="1"/>
  <c r="GI231" i="1" s="1"/>
  <c r="GC231" i="1"/>
  <c r="GB231" i="1" s="1"/>
  <c r="FV231" i="1"/>
  <c r="FU231" i="1" s="1"/>
  <c r="FO231" i="1"/>
  <c r="FN231" i="1"/>
  <c r="FH231" i="1"/>
  <c r="FG231" i="1" s="1"/>
  <c r="FA231" i="1"/>
  <c r="EZ231" i="1" s="1"/>
  <c r="ET231" i="1"/>
  <c r="ES231" i="1" s="1"/>
  <c r="EM231" i="1"/>
  <c r="EL231" i="1" s="1"/>
  <c r="EF231" i="1"/>
  <c r="EE231" i="1" s="1"/>
  <c r="DY231" i="1"/>
  <c r="DX231" i="1" s="1"/>
  <c r="DR231" i="1"/>
  <c r="DK231" i="1"/>
  <c r="DJ231" i="1" s="1"/>
  <c r="DD231" i="1"/>
  <c r="DC231" i="1" s="1"/>
  <c r="CW231" i="1"/>
  <c r="CV231" i="1" s="1"/>
  <c r="CP231" i="1"/>
  <c r="CO231" i="1" s="1"/>
  <c r="CN231" i="1"/>
  <c r="CF231" i="1"/>
  <c r="CD231" i="1"/>
  <c r="IE230" i="1"/>
  <c r="HZ230" i="1"/>
  <c r="HS230" i="1"/>
  <c r="HR230" i="1" s="1"/>
  <c r="HL230" i="1"/>
  <c r="HK230" i="1" s="1"/>
  <c r="HE230" i="1"/>
  <c r="HD230" i="1"/>
  <c r="GX230" i="1"/>
  <c r="GW230" i="1" s="1"/>
  <c r="GQ230" i="1"/>
  <c r="GP230" i="1" s="1"/>
  <c r="GJ230" i="1"/>
  <c r="GI230" i="1" s="1"/>
  <c r="GC230" i="1"/>
  <c r="GB230" i="1"/>
  <c r="FV230" i="1"/>
  <c r="FU230" i="1" s="1"/>
  <c r="FO230" i="1"/>
  <c r="FN230" i="1" s="1"/>
  <c r="FH230" i="1"/>
  <c r="FG230" i="1" s="1"/>
  <c r="FA230" i="1"/>
  <c r="EZ230" i="1" s="1"/>
  <c r="ET230" i="1"/>
  <c r="ES230" i="1" s="1"/>
  <c r="EM230" i="1"/>
  <c r="EL230" i="1" s="1"/>
  <c r="EF230" i="1"/>
  <c r="EE230" i="1" s="1"/>
  <c r="DY230" i="1"/>
  <c r="DX230" i="1"/>
  <c r="DR230" i="1"/>
  <c r="DQ230" i="1" s="1"/>
  <c r="DK230" i="1"/>
  <c r="DJ230" i="1" s="1"/>
  <c r="DD230" i="1"/>
  <c r="DC230" i="1" s="1"/>
  <c r="CW230" i="1"/>
  <c r="CV230" i="1" s="1"/>
  <c r="CP230" i="1"/>
  <c r="CO230" i="1" s="1"/>
  <c r="CN230" i="1"/>
  <c r="CF230" i="1"/>
  <c r="CD230" i="1"/>
  <c r="IE229" i="1"/>
  <c r="ID229" i="1"/>
  <c r="HZ229" i="1"/>
  <c r="IB229" i="1" s="1"/>
  <c r="HS229" i="1"/>
  <c r="HR229" i="1"/>
  <c r="HL229" i="1"/>
  <c r="HK229" i="1" s="1"/>
  <c r="HE229" i="1"/>
  <c r="HD229" i="1" s="1"/>
  <c r="GX229" i="1"/>
  <c r="GW229" i="1" s="1"/>
  <c r="GQ229" i="1"/>
  <c r="GP229" i="1" s="1"/>
  <c r="GJ229" i="1"/>
  <c r="GI229" i="1" s="1"/>
  <c r="GC229" i="1"/>
  <c r="GB229" i="1" s="1"/>
  <c r="FV229" i="1"/>
  <c r="FU229" i="1" s="1"/>
  <c r="FO229" i="1"/>
  <c r="FN229" i="1" s="1"/>
  <c r="FH229" i="1"/>
  <c r="FG229" i="1" s="1"/>
  <c r="FA229" i="1"/>
  <c r="EZ229" i="1" s="1"/>
  <c r="ET229" i="1"/>
  <c r="ES229" i="1" s="1"/>
  <c r="EM229" i="1"/>
  <c r="EL229" i="1"/>
  <c r="EF229" i="1"/>
  <c r="EE229" i="1" s="1"/>
  <c r="DY229" i="1"/>
  <c r="DX229" i="1" s="1"/>
  <c r="DR229" i="1"/>
  <c r="DQ229" i="1" s="1"/>
  <c r="DK229" i="1"/>
  <c r="DJ229" i="1"/>
  <c r="DD229" i="1"/>
  <c r="DC229" i="1" s="1"/>
  <c r="CW229" i="1"/>
  <c r="CV229" i="1" s="1"/>
  <c r="CP229" i="1"/>
  <c r="CO229" i="1" s="1"/>
  <c r="CN229" i="1"/>
  <c r="CF229" i="1"/>
  <c r="CD229" i="1"/>
  <c r="IE228" i="1"/>
  <c r="HZ228" i="1"/>
  <c r="HS228" i="1"/>
  <c r="HR228" i="1" s="1"/>
  <c r="HL228" i="1"/>
  <c r="HK228" i="1" s="1"/>
  <c r="HE228" i="1"/>
  <c r="HD228" i="1" s="1"/>
  <c r="GX228" i="1"/>
  <c r="GW228" i="1" s="1"/>
  <c r="GQ228" i="1"/>
  <c r="GP228" i="1" s="1"/>
  <c r="GJ228" i="1"/>
  <c r="GI228" i="1" s="1"/>
  <c r="GC228" i="1"/>
  <c r="GB228" i="1"/>
  <c r="FV228" i="1"/>
  <c r="FU228" i="1" s="1"/>
  <c r="FO228" i="1"/>
  <c r="FN228" i="1" s="1"/>
  <c r="FH228" i="1"/>
  <c r="FG228" i="1" s="1"/>
  <c r="FA228" i="1"/>
  <c r="EZ228" i="1" s="1"/>
  <c r="ET228" i="1"/>
  <c r="ES228" i="1" s="1"/>
  <c r="EM228" i="1"/>
  <c r="EL228" i="1" s="1"/>
  <c r="EF228" i="1"/>
  <c r="EE228" i="1" s="1"/>
  <c r="DY228" i="1"/>
  <c r="DX228" i="1" s="1"/>
  <c r="DR228" i="1"/>
  <c r="DQ228" i="1" s="1"/>
  <c r="DK228" i="1"/>
  <c r="DJ228" i="1" s="1"/>
  <c r="DD228" i="1"/>
  <c r="DC228" i="1" s="1"/>
  <c r="CW228" i="1"/>
  <c r="CV228" i="1"/>
  <c r="CP228" i="1"/>
  <c r="CN228" i="1"/>
  <c r="CF228" i="1"/>
  <c r="CD228" i="1"/>
  <c r="IE227" i="1"/>
  <c r="HZ227" i="1"/>
  <c r="IB227" i="1" s="1"/>
  <c r="ID227" i="1" s="1"/>
  <c r="HS227" i="1"/>
  <c r="HR227" i="1" s="1"/>
  <c r="HL227" i="1"/>
  <c r="HK227" i="1" s="1"/>
  <c r="HE227" i="1"/>
  <c r="HD227" i="1" s="1"/>
  <c r="GX227" i="1"/>
  <c r="GW227" i="1" s="1"/>
  <c r="GQ227" i="1"/>
  <c r="GP227" i="1"/>
  <c r="GJ227" i="1"/>
  <c r="GI227" i="1" s="1"/>
  <c r="GC227" i="1"/>
  <c r="GB227" i="1" s="1"/>
  <c r="FV227" i="1"/>
  <c r="FU227" i="1" s="1"/>
  <c r="FO227" i="1"/>
  <c r="FN227" i="1"/>
  <c r="FH227" i="1"/>
  <c r="FG227" i="1" s="1"/>
  <c r="FA227" i="1"/>
  <c r="EZ227" i="1" s="1"/>
  <c r="ET227" i="1"/>
  <c r="ES227" i="1" s="1"/>
  <c r="EM227" i="1"/>
  <c r="EL227" i="1"/>
  <c r="EF227" i="1"/>
  <c r="EE227" i="1" s="1"/>
  <c r="DY227" i="1"/>
  <c r="DX227" i="1" s="1"/>
  <c r="DR227" i="1"/>
  <c r="DQ227" i="1" s="1"/>
  <c r="DK227" i="1"/>
  <c r="DJ227" i="1"/>
  <c r="DD227" i="1"/>
  <c r="DC227" i="1" s="1"/>
  <c r="CW227" i="1"/>
  <c r="CV227" i="1" s="1"/>
  <c r="CP227" i="1"/>
  <c r="CO227" i="1" s="1"/>
  <c r="CN227" i="1"/>
  <c r="CF227" i="1"/>
  <c r="CD227" i="1"/>
  <c r="IE226" i="1"/>
  <c r="HZ226" i="1"/>
  <c r="HS226" i="1"/>
  <c r="HR226" i="1" s="1"/>
  <c r="HL226" i="1"/>
  <c r="HK226" i="1" s="1"/>
  <c r="HE226" i="1"/>
  <c r="HD226" i="1" s="1"/>
  <c r="GX226" i="1"/>
  <c r="GW226" i="1" s="1"/>
  <c r="GQ226" i="1"/>
  <c r="GP226" i="1" s="1"/>
  <c r="GJ226" i="1"/>
  <c r="GI226" i="1" s="1"/>
  <c r="GC226" i="1"/>
  <c r="GB226" i="1" s="1"/>
  <c r="FV226" i="1"/>
  <c r="FU226" i="1" s="1"/>
  <c r="FO226" i="1"/>
  <c r="FN226" i="1" s="1"/>
  <c r="FH226" i="1"/>
  <c r="FG226" i="1" s="1"/>
  <c r="FA226" i="1"/>
  <c r="EZ226" i="1"/>
  <c r="ET226" i="1"/>
  <c r="ES226" i="1" s="1"/>
  <c r="EM226" i="1"/>
  <c r="EL226" i="1" s="1"/>
  <c r="EF226" i="1"/>
  <c r="EE226" i="1" s="1"/>
  <c r="DY226" i="1"/>
  <c r="DX226" i="1"/>
  <c r="DR226" i="1"/>
  <c r="DQ226" i="1" s="1"/>
  <c r="DK226" i="1"/>
  <c r="DJ226" i="1" s="1"/>
  <c r="DD226" i="1"/>
  <c r="CW226" i="1"/>
  <c r="CV226" i="1"/>
  <c r="CP226" i="1"/>
  <c r="CO226" i="1" s="1"/>
  <c r="CN226" i="1"/>
  <c r="CF226" i="1"/>
  <c r="CD226" i="1"/>
  <c r="IE225" i="1"/>
  <c r="ID225" i="1"/>
  <c r="HZ225" i="1"/>
  <c r="IB225" i="1" s="1"/>
  <c r="HS225" i="1"/>
  <c r="HR225" i="1" s="1"/>
  <c r="HL225" i="1"/>
  <c r="HK225" i="1" s="1"/>
  <c r="HE225" i="1"/>
  <c r="HD225" i="1" s="1"/>
  <c r="GX225" i="1"/>
  <c r="GW225" i="1" s="1"/>
  <c r="GQ225" i="1"/>
  <c r="GP225" i="1" s="1"/>
  <c r="GJ225" i="1"/>
  <c r="GI225" i="1" s="1"/>
  <c r="GC225" i="1"/>
  <c r="GB225" i="1" s="1"/>
  <c r="FV225" i="1"/>
  <c r="FU225" i="1" s="1"/>
  <c r="FO225" i="1"/>
  <c r="FN225" i="1"/>
  <c r="FH225" i="1"/>
  <c r="FG225" i="1" s="1"/>
  <c r="FA225" i="1"/>
  <c r="EZ225" i="1" s="1"/>
  <c r="ET225" i="1"/>
  <c r="ES225" i="1" s="1"/>
  <c r="EM225" i="1"/>
  <c r="EL225" i="1"/>
  <c r="EF225" i="1"/>
  <c r="EE225" i="1" s="1"/>
  <c r="DY225" i="1"/>
  <c r="DX225" i="1" s="1"/>
  <c r="DR225" i="1"/>
  <c r="DQ225" i="1" s="1"/>
  <c r="DK225" i="1"/>
  <c r="DJ225" i="1"/>
  <c r="DD225" i="1"/>
  <c r="DC225" i="1" s="1"/>
  <c r="CW225" i="1"/>
  <c r="CV225" i="1" s="1"/>
  <c r="CP225" i="1"/>
  <c r="CN225" i="1"/>
  <c r="CF225" i="1"/>
  <c r="CD225" i="1"/>
  <c r="IE224" i="1"/>
  <c r="HZ224" i="1"/>
  <c r="HS224" i="1"/>
  <c r="HR224" i="1" s="1"/>
  <c r="HL224" i="1"/>
  <c r="HK224" i="1" s="1"/>
  <c r="HE224" i="1"/>
  <c r="HD224" i="1"/>
  <c r="GX224" i="1"/>
  <c r="GW224" i="1" s="1"/>
  <c r="GQ224" i="1"/>
  <c r="GP224" i="1" s="1"/>
  <c r="GJ224" i="1"/>
  <c r="GI224" i="1" s="1"/>
  <c r="GC224" i="1"/>
  <c r="GB224" i="1" s="1"/>
  <c r="FV224" i="1"/>
  <c r="FU224" i="1" s="1"/>
  <c r="FO224" i="1"/>
  <c r="FN224" i="1" s="1"/>
  <c r="FH224" i="1"/>
  <c r="FG224" i="1" s="1"/>
  <c r="FA224" i="1"/>
  <c r="EZ224" i="1" s="1"/>
  <c r="ET224" i="1"/>
  <c r="ES224" i="1" s="1"/>
  <c r="EM224" i="1"/>
  <c r="EL224" i="1" s="1"/>
  <c r="EF224" i="1"/>
  <c r="EE224" i="1" s="1"/>
  <c r="DY224" i="1"/>
  <c r="DX224" i="1"/>
  <c r="DR224" i="1"/>
  <c r="DQ224" i="1" s="1"/>
  <c r="DK224" i="1"/>
  <c r="DJ224" i="1" s="1"/>
  <c r="DD224" i="1"/>
  <c r="DC224" i="1" s="1"/>
  <c r="CW224" i="1"/>
  <c r="CV224" i="1"/>
  <c r="CP224" i="1"/>
  <c r="CO224" i="1" s="1"/>
  <c r="CN224" i="1"/>
  <c r="CF224" i="1"/>
  <c r="CD224" i="1"/>
  <c r="IE223" i="1"/>
  <c r="ID223" i="1"/>
  <c r="HZ223" i="1"/>
  <c r="IB223" i="1" s="1"/>
  <c r="HS223" i="1"/>
  <c r="HR223" i="1" s="1"/>
  <c r="HL223" i="1"/>
  <c r="HK223" i="1" s="1"/>
  <c r="HE223" i="1"/>
  <c r="HD223" i="1" s="1"/>
  <c r="GX223" i="1"/>
  <c r="GW223" i="1" s="1"/>
  <c r="GQ223" i="1"/>
  <c r="GP223" i="1" s="1"/>
  <c r="GJ223" i="1"/>
  <c r="GI223" i="1" s="1"/>
  <c r="GC223" i="1"/>
  <c r="GB223" i="1" s="1"/>
  <c r="FV223" i="1"/>
  <c r="FU223" i="1" s="1"/>
  <c r="FO223" i="1"/>
  <c r="FN223" i="1" s="1"/>
  <c r="FH223" i="1"/>
  <c r="FG223" i="1" s="1"/>
  <c r="FA223" i="1"/>
  <c r="EZ223" i="1" s="1"/>
  <c r="ET223" i="1"/>
  <c r="ES223" i="1" s="1"/>
  <c r="EM223" i="1"/>
  <c r="EL223" i="1"/>
  <c r="EF223" i="1"/>
  <c r="EE223" i="1" s="1"/>
  <c r="DY223" i="1"/>
  <c r="DX223" i="1" s="1"/>
  <c r="DR223" i="1"/>
  <c r="DQ223" i="1" s="1"/>
  <c r="DK223" i="1"/>
  <c r="DJ223" i="1"/>
  <c r="DD223" i="1"/>
  <c r="DC223" i="1" s="1"/>
  <c r="CW223" i="1"/>
  <c r="CV223" i="1" s="1"/>
  <c r="CP223" i="1"/>
  <c r="CN223" i="1"/>
  <c r="CF223" i="1"/>
  <c r="CD223" i="1"/>
  <c r="IE222" i="1"/>
  <c r="HZ222" i="1"/>
  <c r="HS222" i="1"/>
  <c r="HR222" i="1" s="1"/>
  <c r="HL222" i="1"/>
  <c r="HK222" i="1" s="1"/>
  <c r="HE222" i="1"/>
  <c r="HD222" i="1" s="1"/>
  <c r="GX222" i="1"/>
  <c r="GW222" i="1" s="1"/>
  <c r="GQ222" i="1"/>
  <c r="GP222" i="1" s="1"/>
  <c r="GJ222" i="1"/>
  <c r="GI222" i="1" s="1"/>
  <c r="GC222" i="1"/>
  <c r="GB222" i="1"/>
  <c r="FV222" i="1"/>
  <c r="FU222" i="1" s="1"/>
  <c r="FO222" i="1"/>
  <c r="FN222" i="1" s="1"/>
  <c r="FH222" i="1"/>
  <c r="FG222" i="1" s="1"/>
  <c r="FA222" i="1"/>
  <c r="EZ222" i="1" s="1"/>
  <c r="ET222" i="1"/>
  <c r="ES222" i="1" s="1"/>
  <c r="EM222" i="1"/>
  <c r="EL222" i="1" s="1"/>
  <c r="EF222" i="1"/>
  <c r="EE222" i="1" s="1"/>
  <c r="DY222" i="1"/>
  <c r="DX222" i="1" s="1"/>
  <c r="DR222" i="1"/>
  <c r="DQ222" i="1" s="1"/>
  <c r="DK222" i="1"/>
  <c r="DJ222" i="1" s="1"/>
  <c r="DD222" i="1"/>
  <c r="DC222" i="1" s="1"/>
  <c r="CW222" i="1"/>
  <c r="CV222" i="1"/>
  <c r="CP222" i="1"/>
  <c r="CO222" i="1" s="1"/>
  <c r="HX222" i="1" s="1"/>
  <c r="CN222" i="1"/>
  <c r="CF222" i="1"/>
  <c r="CD222" i="1"/>
  <c r="IE221" i="1"/>
  <c r="HZ221" i="1"/>
  <c r="IB221" i="1" s="1"/>
  <c r="ID221" i="1" s="1"/>
  <c r="HS221" i="1"/>
  <c r="HR221" i="1" s="1"/>
  <c r="HL221" i="1"/>
  <c r="HK221" i="1" s="1"/>
  <c r="HE221" i="1"/>
  <c r="HD221" i="1" s="1"/>
  <c r="GX221" i="1"/>
  <c r="GW221" i="1" s="1"/>
  <c r="GQ221" i="1"/>
  <c r="GP221" i="1"/>
  <c r="GJ221" i="1"/>
  <c r="GI221" i="1" s="1"/>
  <c r="GC221" i="1"/>
  <c r="GB221" i="1" s="1"/>
  <c r="FV221" i="1"/>
  <c r="FU221" i="1" s="1"/>
  <c r="FO221" i="1"/>
  <c r="FN221" i="1" s="1"/>
  <c r="FH221" i="1"/>
  <c r="FG221" i="1" s="1"/>
  <c r="FA221" i="1"/>
  <c r="EZ221" i="1" s="1"/>
  <c r="ET221" i="1"/>
  <c r="ES221" i="1" s="1"/>
  <c r="EM221" i="1"/>
  <c r="EL221" i="1" s="1"/>
  <c r="EF221" i="1"/>
  <c r="EE221" i="1" s="1"/>
  <c r="DY221" i="1"/>
  <c r="DX221" i="1" s="1"/>
  <c r="DR221" i="1"/>
  <c r="DQ221" i="1" s="1"/>
  <c r="DK221" i="1"/>
  <c r="DJ221" i="1"/>
  <c r="DD221" i="1"/>
  <c r="DC221" i="1" s="1"/>
  <c r="CW221" i="1"/>
  <c r="CV221" i="1" s="1"/>
  <c r="CP221" i="1"/>
  <c r="CO221" i="1" s="1"/>
  <c r="CN221" i="1"/>
  <c r="CF221" i="1"/>
  <c r="CD221" i="1"/>
  <c r="IE220" i="1"/>
  <c r="HZ220" i="1"/>
  <c r="HS220" i="1"/>
  <c r="HR220" i="1" s="1"/>
  <c r="HL220" i="1"/>
  <c r="HK220" i="1" s="1"/>
  <c r="HE220" i="1"/>
  <c r="HD220" i="1"/>
  <c r="GX220" i="1"/>
  <c r="GW220" i="1" s="1"/>
  <c r="GQ220" i="1"/>
  <c r="GP220" i="1" s="1"/>
  <c r="GJ220" i="1"/>
  <c r="GI220" i="1" s="1"/>
  <c r="GC220" i="1"/>
  <c r="GB220" i="1" s="1"/>
  <c r="FV220" i="1"/>
  <c r="FU220" i="1" s="1"/>
  <c r="FO220" i="1"/>
  <c r="FN220" i="1" s="1"/>
  <c r="FH220" i="1"/>
  <c r="FG220" i="1" s="1"/>
  <c r="FA220" i="1"/>
  <c r="EZ220" i="1" s="1"/>
  <c r="ET220" i="1"/>
  <c r="ES220" i="1" s="1"/>
  <c r="EM220" i="1"/>
  <c r="EL220" i="1" s="1"/>
  <c r="EF220" i="1"/>
  <c r="EE220" i="1" s="1"/>
  <c r="DY220" i="1"/>
  <c r="DX220" i="1" s="1"/>
  <c r="DR220" i="1"/>
  <c r="DQ220" i="1" s="1"/>
  <c r="DK220" i="1"/>
  <c r="DJ220" i="1" s="1"/>
  <c r="DD220" i="1"/>
  <c r="DC220" i="1" s="1"/>
  <c r="CW220" i="1"/>
  <c r="CP220" i="1"/>
  <c r="CO220" i="1" s="1"/>
  <c r="CN220" i="1"/>
  <c r="CF220" i="1"/>
  <c r="CD220" i="1"/>
  <c r="IE219" i="1"/>
  <c r="ID219" i="1"/>
  <c r="HZ219" i="1"/>
  <c r="IB219" i="1" s="1"/>
  <c r="HS219" i="1"/>
  <c r="HR219" i="1"/>
  <c r="HL219" i="1"/>
  <c r="HK219" i="1" s="1"/>
  <c r="HE219" i="1"/>
  <c r="HD219" i="1" s="1"/>
  <c r="GX219" i="1"/>
  <c r="GW219" i="1" s="1"/>
  <c r="GQ219" i="1"/>
  <c r="GP219" i="1" s="1"/>
  <c r="GJ219" i="1"/>
  <c r="GI219" i="1" s="1"/>
  <c r="GC219" i="1"/>
  <c r="GB219" i="1" s="1"/>
  <c r="FV219" i="1"/>
  <c r="FU219" i="1" s="1"/>
  <c r="FO219" i="1"/>
  <c r="FN219" i="1"/>
  <c r="FH219" i="1"/>
  <c r="FG219" i="1" s="1"/>
  <c r="FA219" i="1"/>
  <c r="EZ219" i="1" s="1"/>
  <c r="ET219" i="1"/>
  <c r="ES219" i="1" s="1"/>
  <c r="EM219" i="1"/>
  <c r="EL219" i="1"/>
  <c r="EF219" i="1"/>
  <c r="EE219" i="1" s="1"/>
  <c r="DY219" i="1"/>
  <c r="DX219" i="1" s="1"/>
  <c r="DR219" i="1"/>
  <c r="DQ219" i="1"/>
  <c r="DK219" i="1"/>
  <c r="DJ219" i="1"/>
  <c r="DD219" i="1"/>
  <c r="DC219" i="1" s="1"/>
  <c r="CW219" i="1"/>
  <c r="CV219" i="1" s="1"/>
  <c r="CP219" i="1"/>
  <c r="CO219" i="1" s="1"/>
  <c r="CN219" i="1"/>
  <c r="CF219" i="1"/>
  <c r="CD219" i="1"/>
  <c r="IE218" i="1"/>
  <c r="ID218" i="1"/>
  <c r="HZ218" i="1"/>
  <c r="IB218" i="1" s="1"/>
  <c r="HS218" i="1"/>
  <c r="HR218" i="1"/>
  <c r="HL218" i="1"/>
  <c r="HK218" i="1"/>
  <c r="HE218" i="1"/>
  <c r="HD218" i="1" s="1"/>
  <c r="GX218" i="1"/>
  <c r="GW218" i="1" s="1"/>
  <c r="GQ218" i="1"/>
  <c r="GP218" i="1"/>
  <c r="GJ218" i="1"/>
  <c r="GI218" i="1"/>
  <c r="GC218" i="1"/>
  <c r="GB218" i="1" s="1"/>
  <c r="FV218" i="1"/>
  <c r="FU218" i="1" s="1"/>
  <c r="FO218" i="1"/>
  <c r="FN218" i="1" s="1"/>
  <c r="FH218" i="1"/>
  <c r="FG218" i="1"/>
  <c r="FA218" i="1"/>
  <c r="EZ218" i="1"/>
  <c r="ET218" i="1"/>
  <c r="ES218" i="1" s="1"/>
  <c r="EM218" i="1"/>
  <c r="EL218" i="1"/>
  <c r="EF218" i="1"/>
  <c r="EE218" i="1"/>
  <c r="DY218" i="1"/>
  <c r="DX218" i="1" s="1"/>
  <c r="DR218" i="1"/>
  <c r="DQ218" i="1" s="1"/>
  <c r="DK218" i="1"/>
  <c r="DJ218" i="1" s="1"/>
  <c r="DD218" i="1"/>
  <c r="DC218" i="1" s="1"/>
  <c r="CW218" i="1"/>
  <c r="CV218" i="1"/>
  <c r="CP218" i="1"/>
  <c r="CN218" i="1"/>
  <c r="CF218" i="1"/>
  <c r="CD218" i="1"/>
  <c r="IE217" i="1"/>
  <c r="HZ217" i="1"/>
  <c r="HS217" i="1"/>
  <c r="HR217" i="1" s="1"/>
  <c r="HL217" i="1"/>
  <c r="HK217" i="1" s="1"/>
  <c r="HE217" i="1"/>
  <c r="HD217" i="1"/>
  <c r="GX217" i="1"/>
  <c r="GW217" i="1" s="1"/>
  <c r="GQ217" i="1"/>
  <c r="GP217" i="1"/>
  <c r="GJ217" i="1"/>
  <c r="GI217" i="1" s="1"/>
  <c r="GC217" i="1"/>
  <c r="GB217" i="1"/>
  <c r="FV217" i="1"/>
  <c r="FU217" i="1"/>
  <c r="FO217" i="1"/>
  <c r="FN217" i="1" s="1"/>
  <c r="FH217" i="1"/>
  <c r="FG217" i="1" s="1"/>
  <c r="FA217" i="1"/>
  <c r="EZ217" i="1"/>
  <c r="ET217" i="1"/>
  <c r="ES217" i="1" s="1"/>
  <c r="EM217" i="1"/>
  <c r="EL217" i="1" s="1"/>
  <c r="EF217" i="1"/>
  <c r="EE217" i="1" s="1"/>
  <c r="DY217" i="1"/>
  <c r="DX217" i="1" s="1"/>
  <c r="DR217" i="1"/>
  <c r="DQ217" i="1"/>
  <c r="DK217" i="1"/>
  <c r="DJ217" i="1"/>
  <c r="DD217" i="1"/>
  <c r="DC217" i="1" s="1"/>
  <c r="CW217" i="1"/>
  <c r="CV217" i="1"/>
  <c r="CP217" i="1"/>
  <c r="CO217" i="1"/>
  <c r="HX217" i="1" s="1"/>
  <c r="CN217" i="1"/>
  <c r="CF217" i="1"/>
  <c r="CD217" i="1"/>
  <c r="IE216" i="1"/>
  <c r="HZ216" i="1"/>
  <c r="HS216" i="1"/>
  <c r="HR216" i="1" s="1"/>
  <c r="HL216" i="1"/>
  <c r="HK216" i="1"/>
  <c r="HE216" i="1"/>
  <c r="HD216" i="1"/>
  <c r="GX216" i="1"/>
  <c r="GW216" i="1" s="1"/>
  <c r="GQ216" i="1"/>
  <c r="GP216" i="1" s="1"/>
  <c r="GJ216" i="1"/>
  <c r="GI216" i="1" s="1"/>
  <c r="GC216" i="1"/>
  <c r="GB216" i="1" s="1"/>
  <c r="FV216" i="1"/>
  <c r="FU216" i="1" s="1"/>
  <c r="FO216" i="1"/>
  <c r="FN216" i="1" s="1"/>
  <c r="FH216" i="1"/>
  <c r="FG216" i="1" s="1"/>
  <c r="FA216" i="1"/>
  <c r="EZ216" i="1"/>
  <c r="ET216" i="1"/>
  <c r="ES216" i="1" s="1"/>
  <c r="EM216" i="1"/>
  <c r="EL216" i="1"/>
  <c r="EF216" i="1"/>
  <c r="EE216" i="1" s="1"/>
  <c r="DY216" i="1"/>
  <c r="DX216" i="1" s="1"/>
  <c r="DR216" i="1"/>
  <c r="DQ216" i="1" s="1"/>
  <c r="DK216" i="1"/>
  <c r="DJ216" i="1"/>
  <c r="DD216" i="1"/>
  <c r="DC216" i="1" s="1"/>
  <c r="CW216" i="1"/>
  <c r="CP216" i="1"/>
  <c r="CO216" i="1" s="1"/>
  <c r="CN216" i="1"/>
  <c r="CF216" i="1"/>
  <c r="CD216" i="1"/>
  <c r="IE215" i="1"/>
  <c r="HZ215" i="1"/>
  <c r="HS215" i="1"/>
  <c r="HR215" i="1"/>
  <c r="HL215" i="1"/>
  <c r="HK215" i="1" s="1"/>
  <c r="HE215" i="1"/>
  <c r="HD215" i="1" s="1"/>
  <c r="GX215" i="1"/>
  <c r="GW215" i="1" s="1"/>
  <c r="GQ215" i="1"/>
  <c r="GP215" i="1"/>
  <c r="GJ215" i="1"/>
  <c r="GI215" i="1" s="1"/>
  <c r="GC215" i="1"/>
  <c r="GB215" i="1" s="1"/>
  <c r="FV215" i="1"/>
  <c r="FU215" i="1"/>
  <c r="FO215" i="1"/>
  <c r="FN215" i="1"/>
  <c r="FH215" i="1"/>
  <c r="FG215" i="1" s="1"/>
  <c r="FA215" i="1"/>
  <c r="EZ215" i="1"/>
  <c r="ET215" i="1"/>
  <c r="ES215" i="1" s="1"/>
  <c r="EM215" i="1"/>
  <c r="EL215" i="1" s="1"/>
  <c r="EF215" i="1"/>
  <c r="EE215" i="1" s="1"/>
  <c r="DY215" i="1"/>
  <c r="DX215" i="1"/>
  <c r="DR215" i="1"/>
  <c r="DQ215" i="1" s="1"/>
  <c r="DK215" i="1"/>
  <c r="DJ215" i="1"/>
  <c r="DD215" i="1"/>
  <c r="DC215" i="1" s="1"/>
  <c r="CW215" i="1"/>
  <c r="CV215" i="1"/>
  <c r="CP215" i="1"/>
  <c r="CO215" i="1"/>
  <c r="HX215" i="1" s="1"/>
  <c r="CN215" i="1"/>
  <c r="CF215" i="1"/>
  <c r="CD215" i="1"/>
  <c r="IE214" i="1"/>
  <c r="IB214" i="1"/>
  <c r="HZ214" i="1"/>
  <c r="HS214" i="1"/>
  <c r="HR214" i="1" s="1"/>
  <c r="HL214" i="1"/>
  <c r="HK214" i="1"/>
  <c r="HE214" i="1"/>
  <c r="HD214" i="1"/>
  <c r="GX214" i="1"/>
  <c r="GW214" i="1" s="1"/>
  <c r="GQ214" i="1"/>
  <c r="GP214" i="1"/>
  <c r="GJ214" i="1"/>
  <c r="GI214" i="1"/>
  <c r="GC214" i="1"/>
  <c r="GB214" i="1" s="1"/>
  <c r="FV214" i="1"/>
  <c r="FU214" i="1" s="1"/>
  <c r="FO214" i="1"/>
  <c r="FN214" i="1" s="1"/>
  <c r="FH214" i="1"/>
  <c r="FG214" i="1" s="1"/>
  <c r="FA214" i="1"/>
  <c r="EZ214" i="1"/>
  <c r="ET214" i="1"/>
  <c r="ES214" i="1" s="1"/>
  <c r="EM214" i="1"/>
  <c r="EL214" i="1" s="1"/>
  <c r="EF214" i="1"/>
  <c r="EE214" i="1"/>
  <c r="DY214" i="1"/>
  <c r="DX214" i="1"/>
  <c r="DR214" i="1"/>
  <c r="DQ214" i="1" s="1"/>
  <c r="DK214" i="1"/>
  <c r="DJ214" i="1" s="1"/>
  <c r="DD214" i="1"/>
  <c r="DC214" i="1" s="1"/>
  <c r="CW214" i="1"/>
  <c r="CV214" i="1" s="1"/>
  <c r="CP214" i="1"/>
  <c r="CO214" i="1" s="1"/>
  <c r="CN214" i="1"/>
  <c r="CF214" i="1"/>
  <c r="CD214" i="1"/>
  <c r="IE213" i="1"/>
  <c r="HZ213" i="1"/>
  <c r="HS213" i="1"/>
  <c r="HR213" i="1" s="1"/>
  <c r="HL213" i="1"/>
  <c r="HK213" i="1" s="1"/>
  <c r="HE213" i="1"/>
  <c r="HD213" i="1"/>
  <c r="GX213" i="1"/>
  <c r="GW213" i="1"/>
  <c r="GQ213" i="1"/>
  <c r="GP213" i="1" s="1"/>
  <c r="GJ213" i="1"/>
  <c r="GI213" i="1" s="1"/>
  <c r="GC213" i="1"/>
  <c r="GB213" i="1" s="1"/>
  <c r="FV213" i="1"/>
  <c r="FU213" i="1"/>
  <c r="FO213" i="1"/>
  <c r="FN213" i="1" s="1"/>
  <c r="FH213" i="1"/>
  <c r="FG213" i="1" s="1"/>
  <c r="FA213" i="1"/>
  <c r="EZ213" i="1"/>
  <c r="ET213" i="1"/>
  <c r="ES213" i="1"/>
  <c r="EM213" i="1"/>
  <c r="EL213" i="1" s="1"/>
  <c r="EF213" i="1"/>
  <c r="EE213" i="1" s="1"/>
  <c r="DY213" i="1"/>
  <c r="DX213" i="1" s="1"/>
  <c r="DR213" i="1"/>
  <c r="DQ213" i="1" s="1"/>
  <c r="DK213" i="1"/>
  <c r="DJ213" i="1"/>
  <c r="DD213" i="1"/>
  <c r="DC213" i="1" s="1"/>
  <c r="CW213" i="1"/>
  <c r="CP213" i="1"/>
  <c r="CO213" i="1"/>
  <c r="CN213" i="1"/>
  <c r="CF213" i="1"/>
  <c r="CD213" i="1"/>
  <c r="IE212" i="1"/>
  <c r="ID212" i="1"/>
  <c r="IB212" i="1"/>
  <c r="HZ212" i="1"/>
  <c r="HS212" i="1"/>
  <c r="HR212" i="1" s="1"/>
  <c r="HL212" i="1"/>
  <c r="HK212" i="1" s="1"/>
  <c r="HE212" i="1"/>
  <c r="HD212" i="1"/>
  <c r="GX212" i="1"/>
  <c r="GW212" i="1" s="1"/>
  <c r="GQ212" i="1"/>
  <c r="GP212" i="1"/>
  <c r="GJ212" i="1"/>
  <c r="GI212" i="1" s="1"/>
  <c r="GC212" i="1"/>
  <c r="GB212" i="1" s="1"/>
  <c r="FV212" i="1"/>
  <c r="FU212" i="1" s="1"/>
  <c r="FO212" i="1"/>
  <c r="FN212" i="1"/>
  <c r="FH212" i="1"/>
  <c r="FG212" i="1" s="1"/>
  <c r="FA212" i="1"/>
  <c r="EZ212" i="1" s="1"/>
  <c r="ET212" i="1"/>
  <c r="ES212" i="1" s="1"/>
  <c r="EM212" i="1"/>
  <c r="EL212" i="1" s="1"/>
  <c r="EF212" i="1"/>
  <c r="EE212" i="1"/>
  <c r="DY212" i="1"/>
  <c r="DX212" i="1" s="1"/>
  <c r="DR212" i="1"/>
  <c r="DQ212" i="1" s="1"/>
  <c r="DK212" i="1"/>
  <c r="DJ212" i="1"/>
  <c r="DD212" i="1"/>
  <c r="DC212" i="1"/>
  <c r="CW212" i="1"/>
  <c r="CV212" i="1"/>
  <c r="CP212" i="1"/>
  <c r="CN212" i="1"/>
  <c r="CF212" i="1"/>
  <c r="CD212" i="1"/>
  <c r="IE211" i="1"/>
  <c r="ID211" i="1"/>
  <c r="HZ211" i="1"/>
  <c r="IB211" i="1" s="1"/>
  <c r="HS211" i="1"/>
  <c r="HR211" i="1"/>
  <c r="HL211" i="1"/>
  <c r="HK211" i="1" s="1"/>
  <c r="HE211" i="1"/>
  <c r="HD211" i="1" s="1"/>
  <c r="GX211" i="1"/>
  <c r="GW211" i="1" s="1"/>
  <c r="GQ211" i="1"/>
  <c r="GP211" i="1" s="1"/>
  <c r="GJ211" i="1"/>
  <c r="GI211" i="1" s="1"/>
  <c r="GC211" i="1"/>
  <c r="GB211" i="1" s="1"/>
  <c r="FV211" i="1"/>
  <c r="FU211" i="1" s="1"/>
  <c r="FO211" i="1"/>
  <c r="FN211" i="1"/>
  <c r="FH211" i="1"/>
  <c r="FG211" i="1" s="1"/>
  <c r="FA211" i="1"/>
  <c r="EZ211" i="1"/>
  <c r="ET211" i="1"/>
  <c r="ES211" i="1" s="1"/>
  <c r="EM211" i="1"/>
  <c r="EL211" i="1" s="1"/>
  <c r="EF211" i="1"/>
  <c r="EE211" i="1" s="1"/>
  <c r="DY211" i="1"/>
  <c r="DX211" i="1"/>
  <c r="DR211" i="1"/>
  <c r="DQ211" i="1" s="1"/>
  <c r="DK211" i="1"/>
  <c r="DJ211" i="1" s="1"/>
  <c r="DD211" i="1"/>
  <c r="DC211" i="1" s="1"/>
  <c r="CW211" i="1"/>
  <c r="CV211" i="1" s="1"/>
  <c r="CP211" i="1"/>
  <c r="HY211" i="1" s="1"/>
  <c r="CO211" i="1"/>
  <c r="CN211" i="1"/>
  <c r="CF211" i="1"/>
  <c r="CD211" i="1"/>
  <c r="IE210" i="1"/>
  <c r="HZ210" i="1"/>
  <c r="HS210" i="1"/>
  <c r="HR210" i="1" s="1"/>
  <c r="HL210" i="1"/>
  <c r="HK210" i="1" s="1"/>
  <c r="HE210" i="1"/>
  <c r="HD210" i="1"/>
  <c r="GX210" i="1"/>
  <c r="GW210" i="1" s="1"/>
  <c r="GQ210" i="1"/>
  <c r="GP210" i="1" s="1"/>
  <c r="GJ210" i="1"/>
  <c r="GI210" i="1"/>
  <c r="GC210" i="1"/>
  <c r="GB210" i="1"/>
  <c r="FV210" i="1"/>
  <c r="FU210" i="1" s="1"/>
  <c r="FO210" i="1"/>
  <c r="FN210" i="1" s="1"/>
  <c r="FH210" i="1"/>
  <c r="FG210" i="1" s="1"/>
  <c r="FA210" i="1"/>
  <c r="EZ210" i="1" s="1"/>
  <c r="ET210" i="1"/>
  <c r="ES210" i="1" s="1"/>
  <c r="EM210" i="1"/>
  <c r="EL210" i="1" s="1"/>
  <c r="EF210" i="1"/>
  <c r="EE210" i="1" s="1"/>
  <c r="DY210" i="1"/>
  <c r="DX210" i="1"/>
  <c r="DR210" i="1"/>
  <c r="DQ210" i="1" s="1"/>
  <c r="DK210" i="1"/>
  <c r="DJ210" i="1"/>
  <c r="DD210" i="1"/>
  <c r="DC210" i="1" s="1"/>
  <c r="CW210" i="1"/>
  <c r="CV210" i="1" s="1"/>
  <c r="CP210" i="1"/>
  <c r="CN210" i="1"/>
  <c r="CF210" i="1"/>
  <c r="CD210" i="1"/>
  <c r="IE209" i="1"/>
  <c r="ID209" i="1"/>
  <c r="HZ209" i="1"/>
  <c r="IB209" i="1" s="1"/>
  <c r="HS209" i="1"/>
  <c r="HR209" i="1"/>
  <c r="HL209" i="1"/>
  <c r="HK209" i="1" s="1"/>
  <c r="HE209" i="1"/>
  <c r="HD209" i="1"/>
  <c r="GX209" i="1"/>
  <c r="GW209" i="1"/>
  <c r="GQ209" i="1"/>
  <c r="GP209" i="1"/>
  <c r="GJ209" i="1"/>
  <c r="GI209" i="1" s="1"/>
  <c r="GC209" i="1"/>
  <c r="GB209" i="1" s="1"/>
  <c r="FV209" i="1"/>
  <c r="FU209" i="1" s="1"/>
  <c r="FO209" i="1"/>
  <c r="FN209" i="1"/>
  <c r="FH209" i="1"/>
  <c r="FG209" i="1" s="1"/>
  <c r="FA209" i="1"/>
  <c r="EZ209" i="1" s="1"/>
  <c r="ET209" i="1"/>
  <c r="ES209" i="1"/>
  <c r="EM209" i="1"/>
  <c r="EL209" i="1"/>
  <c r="EF209" i="1"/>
  <c r="EE209" i="1" s="1"/>
  <c r="DY209" i="1"/>
  <c r="DX209" i="1"/>
  <c r="DR209" i="1"/>
  <c r="DQ209" i="1" s="1"/>
  <c r="DK209" i="1"/>
  <c r="DJ209" i="1" s="1"/>
  <c r="DD209" i="1"/>
  <c r="DC209" i="1" s="1"/>
  <c r="CW209" i="1"/>
  <c r="CV209" i="1"/>
  <c r="CP209" i="1"/>
  <c r="CN209" i="1"/>
  <c r="CF209" i="1"/>
  <c r="CD209" i="1"/>
  <c r="IE208" i="1"/>
  <c r="IB208" i="1"/>
  <c r="ID208" i="1" s="1"/>
  <c r="HZ208" i="1"/>
  <c r="HS208" i="1"/>
  <c r="HR208" i="1"/>
  <c r="HL208" i="1"/>
  <c r="HK208" i="1"/>
  <c r="HE208" i="1"/>
  <c r="HD208" i="1" s="1"/>
  <c r="GX208" i="1"/>
  <c r="GW208" i="1" s="1"/>
  <c r="GQ208" i="1"/>
  <c r="GP208" i="1" s="1"/>
  <c r="GJ208" i="1"/>
  <c r="GI208" i="1"/>
  <c r="GC208" i="1"/>
  <c r="GB208" i="1"/>
  <c r="FV208" i="1"/>
  <c r="FU208" i="1" s="1"/>
  <c r="FO208" i="1"/>
  <c r="FN208" i="1"/>
  <c r="FH208" i="1"/>
  <c r="FG208" i="1"/>
  <c r="FA208" i="1"/>
  <c r="EZ208" i="1" s="1"/>
  <c r="ET208" i="1"/>
  <c r="ES208" i="1" s="1"/>
  <c r="EM208" i="1"/>
  <c r="EL208" i="1" s="1"/>
  <c r="EF208" i="1"/>
  <c r="EE208" i="1" s="1"/>
  <c r="DY208" i="1"/>
  <c r="DX208" i="1"/>
  <c r="DR208" i="1"/>
  <c r="DQ208" i="1" s="1"/>
  <c r="DK208" i="1"/>
  <c r="DJ208" i="1" s="1"/>
  <c r="DD208" i="1"/>
  <c r="DC208" i="1"/>
  <c r="CW208" i="1"/>
  <c r="CV208" i="1"/>
  <c r="CP208" i="1"/>
  <c r="CN208" i="1"/>
  <c r="CF208" i="1"/>
  <c r="CD208" i="1"/>
  <c r="IE207" i="1"/>
  <c r="HZ207" i="1"/>
  <c r="HS207" i="1"/>
  <c r="HR207" i="1"/>
  <c r="HL207" i="1"/>
  <c r="HK207" i="1"/>
  <c r="HE207" i="1"/>
  <c r="HD207" i="1"/>
  <c r="GX207" i="1"/>
  <c r="GW207" i="1" s="1"/>
  <c r="GQ207" i="1"/>
  <c r="GP207" i="1"/>
  <c r="GJ207" i="1"/>
  <c r="GI207" i="1"/>
  <c r="GC207" i="1"/>
  <c r="GB207" i="1" s="1"/>
  <c r="FV207" i="1"/>
  <c r="FU207" i="1" s="1"/>
  <c r="FO207" i="1"/>
  <c r="FN207" i="1"/>
  <c r="FH207" i="1"/>
  <c r="FG207" i="1"/>
  <c r="FA207" i="1"/>
  <c r="EZ207" i="1"/>
  <c r="ET207" i="1"/>
  <c r="ES207" i="1" s="1"/>
  <c r="EM207" i="1"/>
  <c r="EL207" i="1"/>
  <c r="EF207" i="1"/>
  <c r="EE207" i="1"/>
  <c r="DY207" i="1"/>
  <c r="DX207" i="1" s="1"/>
  <c r="DR207" i="1"/>
  <c r="DQ207" i="1" s="1"/>
  <c r="DK207" i="1"/>
  <c r="DJ207" i="1"/>
  <c r="DD207" i="1"/>
  <c r="DC207" i="1"/>
  <c r="CW207" i="1"/>
  <c r="CV207" i="1"/>
  <c r="CP207" i="1"/>
  <c r="CO207" i="1" s="1"/>
  <c r="CN207" i="1"/>
  <c r="CF207" i="1"/>
  <c r="CD207" i="1"/>
  <c r="IE206" i="1"/>
  <c r="HZ206" i="1"/>
  <c r="HS206" i="1"/>
  <c r="HR206" i="1"/>
  <c r="HL206" i="1"/>
  <c r="HK206" i="1" s="1"/>
  <c r="HE206" i="1"/>
  <c r="HD206" i="1"/>
  <c r="GX206" i="1"/>
  <c r="GW206" i="1"/>
  <c r="GQ206" i="1"/>
  <c r="GP206" i="1" s="1"/>
  <c r="GJ206" i="1"/>
  <c r="GI206" i="1" s="1"/>
  <c r="GC206" i="1"/>
  <c r="GB206" i="1"/>
  <c r="FV206" i="1"/>
  <c r="FU206" i="1"/>
  <c r="FO206" i="1"/>
  <c r="FN206" i="1" s="1"/>
  <c r="FH206" i="1"/>
  <c r="FG206" i="1" s="1"/>
  <c r="FA206" i="1"/>
  <c r="EZ206" i="1"/>
  <c r="ET206" i="1"/>
  <c r="ES206" i="1"/>
  <c r="EM206" i="1"/>
  <c r="EL206" i="1"/>
  <c r="EF206" i="1"/>
  <c r="EE206" i="1" s="1"/>
  <c r="DY206" i="1"/>
  <c r="DX206" i="1"/>
  <c r="DR206" i="1"/>
  <c r="DQ206" i="1"/>
  <c r="DK206" i="1"/>
  <c r="DJ206" i="1" s="1"/>
  <c r="DD206" i="1"/>
  <c r="DC206" i="1" s="1"/>
  <c r="CW206" i="1"/>
  <c r="CV206" i="1"/>
  <c r="CP206" i="1"/>
  <c r="CO206" i="1"/>
  <c r="CN206" i="1"/>
  <c r="CF206" i="1"/>
  <c r="CD206" i="1"/>
  <c r="IE205" i="1"/>
  <c r="ID205" i="1"/>
  <c r="HZ205" i="1"/>
  <c r="IB205" i="1" s="1"/>
  <c r="HS205" i="1"/>
  <c r="HR205" i="1"/>
  <c r="HL205" i="1"/>
  <c r="HK205" i="1"/>
  <c r="HE205" i="1"/>
  <c r="HD205" i="1" s="1"/>
  <c r="GX205" i="1"/>
  <c r="GW205" i="1" s="1"/>
  <c r="GQ205" i="1"/>
  <c r="GP205" i="1"/>
  <c r="GJ205" i="1"/>
  <c r="GI205" i="1"/>
  <c r="GC205" i="1"/>
  <c r="GB205" i="1" s="1"/>
  <c r="FV205" i="1"/>
  <c r="FU205" i="1" s="1"/>
  <c r="FO205" i="1"/>
  <c r="FN205" i="1"/>
  <c r="FH205" i="1"/>
  <c r="FG205" i="1"/>
  <c r="FA205" i="1"/>
  <c r="EZ205" i="1"/>
  <c r="ET205" i="1"/>
  <c r="ES205" i="1" s="1"/>
  <c r="EM205" i="1"/>
  <c r="EL205" i="1"/>
  <c r="EF205" i="1"/>
  <c r="EE205" i="1"/>
  <c r="DY205" i="1"/>
  <c r="DX205" i="1" s="1"/>
  <c r="DR205" i="1"/>
  <c r="DQ205" i="1" s="1"/>
  <c r="DK205" i="1"/>
  <c r="DJ205" i="1"/>
  <c r="DD205" i="1"/>
  <c r="DC205" i="1"/>
  <c r="CW205" i="1"/>
  <c r="CV205" i="1"/>
  <c r="CP205" i="1"/>
  <c r="CO205" i="1"/>
  <c r="CN205" i="1"/>
  <c r="CF205" i="1"/>
  <c r="CD205" i="1"/>
  <c r="IE204" i="1"/>
  <c r="HZ204" i="1"/>
  <c r="HS204" i="1"/>
  <c r="HR204" i="1" s="1"/>
  <c r="HL204" i="1"/>
  <c r="HK204" i="1" s="1"/>
  <c r="HE204" i="1"/>
  <c r="HD204" i="1"/>
  <c r="GX204" i="1"/>
  <c r="GW204" i="1"/>
  <c r="GQ204" i="1"/>
  <c r="GP204" i="1" s="1"/>
  <c r="GJ204" i="1"/>
  <c r="GI204" i="1" s="1"/>
  <c r="GC204" i="1"/>
  <c r="GB204" i="1"/>
  <c r="FV204" i="1"/>
  <c r="FU204" i="1"/>
  <c r="FO204" i="1"/>
  <c r="FN204" i="1" s="1"/>
  <c r="FH204" i="1"/>
  <c r="FG204" i="1" s="1"/>
  <c r="FA204" i="1"/>
  <c r="EZ204" i="1"/>
  <c r="ET204" i="1"/>
  <c r="ES204" i="1"/>
  <c r="EM204" i="1"/>
  <c r="EL204" i="1" s="1"/>
  <c r="EF204" i="1"/>
  <c r="EE204" i="1" s="1"/>
  <c r="DY204" i="1"/>
  <c r="DX204" i="1"/>
  <c r="DR204" i="1"/>
  <c r="DQ204" i="1"/>
  <c r="DK204" i="1"/>
  <c r="DJ204" i="1" s="1"/>
  <c r="DD204" i="1"/>
  <c r="DC204" i="1" s="1"/>
  <c r="CW204" i="1"/>
  <c r="CV204" i="1"/>
  <c r="CP204" i="1"/>
  <c r="CO204" i="1"/>
  <c r="CN204" i="1"/>
  <c r="CF204" i="1"/>
  <c r="CD204" i="1"/>
  <c r="IE203" i="1"/>
  <c r="ID203" i="1"/>
  <c r="HZ203" i="1"/>
  <c r="IB203" i="1" s="1"/>
  <c r="HS203" i="1"/>
  <c r="HR203" i="1"/>
  <c r="HL203" i="1"/>
  <c r="HK203" i="1"/>
  <c r="HE203" i="1"/>
  <c r="HD203" i="1"/>
  <c r="GX203" i="1"/>
  <c r="GW203" i="1" s="1"/>
  <c r="GQ203" i="1"/>
  <c r="GP203" i="1"/>
  <c r="GJ203" i="1"/>
  <c r="GI203" i="1"/>
  <c r="GC203" i="1"/>
  <c r="GB203" i="1"/>
  <c r="FV203" i="1"/>
  <c r="FU203" i="1" s="1"/>
  <c r="FO203" i="1"/>
  <c r="FN203" i="1"/>
  <c r="FH203" i="1"/>
  <c r="FG203" i="1"/>
  <c r="FA203" i="1"/>
  <c r="EZ203" i="1"/>
  <c r="ET203" i="1"/>
  <c r="ES203" i="1" s="1"/>
  <c r="EM203" i="1"/>
  <c r="EL203" i="1"/>
  <c r="EF203" i="1"/>
  <c r="EE203" i="1"/>
  <c r="DY203" i="1"/>
  <c r="DX203" i="1"/>
  <c r="DR203" i="1"/>
  <c r="DQ203" i="1" s="1"/>
  <c r="DK203" i="1"/>
  <c r="DJ203" i="1"/>
  <c r="DD203" i="1"/>
  <c r="DC203" i="1"/>
  <c r="CW203" i="1"/>
  <c r="CV203" i="1"/>
  <c r="CP203" i="1"/>
  <c r="CO203" i="1" s="1"/>
  <c r="HX203" i="1" s="1"/>
  <c r="CN203" i="1"/>
  <c r="CF203" i="1"/>
  <c r="CD203" i="1"/>
  <c r="IE202" i="1"/>
  <c r="IB202" i="1"/>
  <c r="HZ202" i="1"/>
  <c r="ID202" i="1" s="1"/>
  <c r="HS202" i="1"/>
  <c r="HR202" i="1" s="1"/>
  <c r="HL202" i="1"/>
  <c r="HK202" i="1"/>
  <c r="HE202" i="1"/>
  <c r="HD202" i="1"/>
  <c r="GX202" i="1"/>
  <c r="GW202" i="1"/>
  <c r="GQ202" i="1"/>
  <c r="GP202" i="1" s="1"/>
  <c r="GJ202" i="1"/>
  <c r="GI202" i="1"/>
  <c r="GC202" i="1"/>
  <c r="GB202" i="1"/>
  <c r="FV202" i="1"/>
  <c r="FU202" i="1"/>
  <c r="FO202" i="1"/>
  <c r="FN202" i="1" s="1"/>
  <c r="FH202" i="1"/>
  <c r="FG202" i="1"/>
  <c r="FA202" i="1"/>
  <c r="EZ202" i="1"/>
  <c r="ET202" i="1"/>
  <c r="ES202" i="1"/>
  <c r="EM202" i="1"/>
  <c r="EL202" i="1" s="1"/>
  <c r="EF202" i="1"/>
  <c r="EE202" i="1"/>
  <c r="DY202" i="1"/>
  <c r="DX202" i="1"/>
  <c r="DR202" i="1"/>
  <c r="DQ202" i="1"/>
  <c r="DK202" i="1"/>
  <c r="DJ202" i="1" s="1"/>
  <c r="DD202" i="1"/>
  <c r="DC202" i="1"/>
  <c r="CW202" i="1"/>
  <c r="CV202" i="1"/>
  <c r="CP202" i="1"/>
  <c r="CO202" i="1"/>
  <c r="CN202" i="1"/>
  <c r="CF202" i="1"/>
  <c r="CD202" i="1"/>
  <c r="IE201" i="1"/>
  <c r="ID201" i="1"/>
  <c r="HZ201" i="1"/>
  <c r="IB201" i="1" s="1"/>
  <c r="HS201" i="1"/>
  <c r="HR201" i="1"/>
  <c r="HL201" i="1"/>
  <c r="HK201" i="1"/>
  <c r="HE201" i="1"/>
  <c r="HD201" i="1" s="1"/>
  <c r="GX201" i="1"/>
  <c r="GW201" i="1" s="1"/>
  <c r="GQ201" i="1"/>
  <c r="GP201" i="1"/>
  <c r="GJ201" i="1"/>
  <c r="GI201" i="1"/>
  <c r="GC201" i="1"/>
  <c r="GB201" i="1" s="1"/>
  <c r="FV201" i="1"/>
  <c r="FU201" i="1" s="1"/>
  <c r="FO201" i="1"/>
  <c r="FN201" i="1"/>
  <c r="FH201" i="1"/>
  <c r="FG201" i="1"/>
  <c r="FA201" i="1"/>
  <c r="EZ201" i="1" s="1"/>
  <c r="ET201" i="1"/>
  <c r="ES201" i="1" s="1"/>
  <c r="EM201" i="1"/>
  <c r="EL201" i="1"/>
  <c r="EF201" i="1"/>
  <c r="EE201" i="1"/>
  <c r="DY201" i="1"/>
  <c r="DX201" i="1" s="1"/>
  <c r="DR201" i="1"/>
  <c r="DQ201" i="1" s="1"/>
  <c r="DK201" i="1"/>
  <c r="DJ201" i="1"/>
  <c r="DD201" i="1"/>
  <c r="DC201" i="1"/>
  <c r="CW201" i="1"/>
  <c r="CV201" i="1" s="1"/>
  <c r="CP201" i="1"/>
  <c r="CO201" i="1" s="1"/>
  <c r="CN201" i="1"/>
  <c r="CF201" i="1"/>
  <c r="CD201" i="1"/>
  <c r="IE200" i="1"/>
  <c r="IB200" i="1"/>
  <c r="ID200" i="1" s="1"/>
  <c r="HZ200" i="1"/>
  <c r="HS200" i="1"/>
  <c r="HR200" i="1"/>
  <c r="HL200" i="1"/>
  <c r="HK200" i="1"/>
  <c r="HE200" i="1"/>
  <c r="HD200" i="1"/>
  <c r="GX200" i="1"/>
  <c r="GW200" i="1"/>
  <c r="GQ200" i="1"/>
  <c r="GP200" i="1"/>
  <c r="GJ200" i="1"/>
  <c r="GI200" i="1"/>
  <c r="GC200" i="1"/>
  <c r="GB200" i="1"/>
  <c r="FV200" i="1"/>
  <c r="FU200" i="1"/>
  <c r="FO200" i="1"/>
  <c r="FN200" i="1"/>
  <c r="FH200" i="1"/>
  <c r="FG200" i="1"/>
  <c r="FA200" i="1"/>
  <c r="EZ200" i="1"/>
  <c r="ET200" i="1"/>
  <c r="ES200" i="1"/>
  <c r="EM200" i="1"/>
  <c r="EL200" i="1"/>
  <c r="EF200" i="1"/>
  <c r="EE200" i="1"/>
  <c r="DY200" i="1"/>
  <c r="DX200" i="1"/>
  <c r="DR200" i="1"/>
  <c r="DQ200" i="1"/>
  <c r="DK200" i="1"/>
  <c r="DJ200" i="1"/>
  <c r="DD200" i="1"/>
  <c r="DC200" i="1"/>
  <c r="CW200" i="1"/>
  <c r="CV200" i="1"/>
  <c r="CP200" i="1"/>
  <c r="HY200" i="1" s="1"/>
  <c r="CO200" i="1"/>
  <c r="CN200" i="1"/>
  <c r="CF200" i="1"/>
  <c r="CD200" i="1"/>
  <c r="IE199" i="1"/>
  <c r="ID199" i="1"/>
  <c r="HZ199" i="1"/>
  <c r="IB199" i="1" s="1"/>
  <c r="HS199" i="1"/>
  <c r="HR199" i="1"/>
  <c r="HL199" i="1"/>
  <c r="HK199" i="1"/>
  <c r="HE199" i="1"/>
  <c r="HD199" i="1" s="1"/>
  <c r="GX199" i="1"/>
  <c r="GW199" i="1"/>
  <c r="GQ199" i="1"/>
  <c r="GP199" i="1"/>
  <c r="GJ199" i="1"/>
  <c r="GI199" i="1"/>
  <c r="GC199" i="1"/>
  <c r="GB199" i="1" s="1"/>
  <c r="FV199" i="1"/>
  <c r="FU199" i="1"/>
  <c r="FO199" i="1"/>
  <c r="FN199" i="1"/>
  <c r="FH199" i="1"/>
  <c r="FG199" i="1"/>
  <c r="FA199" i="1"/>
  <c r="EZ199" i="1" s="1"/>
  <c r="ET199" i="1"/>
  <c r="ES199" i="1"/>
  <c r="EM199" i="1"/>
  <c r="EL199" i="1"/>
  <c r="EF199" i="1"/>
  <c r="EE199" i="1"/>
  <c r="DY199" i="1"/>
  <c r="DX199" i="1" s="1"/>
  <c r="DR199" i="1"/>
  <c r="DQ199" i="1"/>
  <c r="DK199" i="1"/>
  <c r="DJ199" i="1"/>
  <c r="DD199" i="1"/>
  <c r="DC199" i="1"/>
  <c r="CW199" i="1"/>
  <c r="CV199" i="1" s="1"/>
  <c r="CP199" i="1"/>
  <c r="CO199" i="1"/>
  <c r="CN199" i="1"/>
  <c r="CF199" i="1"/>
  <c r="CD199" i="1"/>
  <c r="IE198" i="1"/>
  <c r="HZ198" i="1"/>
  <c r="IB198" i="1" s="1"/>
  <c r="HS198" i="1"/>
  <c r="HR198" i="1"/>
  <c r="HL198" i="1"/>
  <c r="HK198" i="1" s="1"/>
  <c r="HE198" i="1"/>
  <c r="HD198" i="1"/>
  <c r="GX198" i="1"/>
  <c r="GW198" i="1"/>
  <c r="GQ198" i="1"/>
  <c r="GP198" i="1"/>
  <c r="GJ198" i="1"/>
  <c r="GI198" i="1" s="1"/>
  <c r="GC198" i="1"/>
  <c r="GB198" i="1"/>
  <c r="FV198" i="1"/>
  <c r="FU198" i="1"/>
  <c r="FO198" i="1"/>
  <c r="FN198" i="1"/>
  <c r="FH198" i="1"/>
  <c r="FG198" i="1" s="1"/>
  <c r="FA198" i="1"/>
  <c r="EZ198" i="1"/>
  <c r="ET198" i="1"/>
  <c r="ES198" i="1"/>
  <c r="EM198" i="1"/>
  <c r="EL198" i="1"/>
  <c r="EF198" i="1"/>
  <c r="EE198" i="1" s="1"/>
  <c r="DY198" i="1"/>
  <c r="DX198" i="1"/>
  <c r="DR198" i="1"/>
  <c r="DQ198" i="1"/>
  <c r="DK198" i="1"/>
  <c r="DJ198" i="1"/>
  <c r="DD198" i="1"/>
  <c r="DC198" i="1" s="1"/>
  <c r="CW198" i="1"/>
  <c r="CV198" i="1"/>
  <c r="CP198" i="1"/>
  <c r="CO198" i="1"/>
  <c r="HX198" i="1" s="1"/>
  <c r="CN198" i="1"/>
  <c r="CF198" i="1"/>
  <c r="CD198" i="1"/>
  <c r="IE197" i="1"/>
  <c r="HZ197" i="1"/>
  <c r="HS197" i="1"/>
  <c r="HR197" i="1"/>
  <c r="HL197" i="1"/>
  <c r="HK197" i="1"/>
  <c r="HE197" i="1"/>
  <c r="HD197" i="1"/>
  <c r="GX197" i="1"/>
  <c r="GW197" i="1"/>
  <c r="GQ197" i="1"/>
  <c r="GP197" i="1"/>
  <c r="GJ197" i="1"/>
  <c r="GI197" i="1"/>
  <c r="GC197" i="1"/>
  <c r="GB197" i="1"/>
  <c r="FV197" i="1"/>
  <c r="FU197" i="1"/>
  <c r="FO197" i="1"/>
  <c r="FN197" i="1"/>
  <c r="FH197" i="1"/>
  <c r="FG197" i="1"/>
  <c r="FA197" i="1"/>
  <c r="EZ197" i="1"/>
  <c r="ET197" i="1"/>
  <c r="ES197" i="1"/>
  <c r="EM197" i="1"/>
  <c r="EL197" i="1"/>
  <c r="EF197" i="1"/>
  <c r="EE197" i="1"/>
  <c r="DY197" i="1"/>
  <c r="DX197" i="1"/>
  <c r="DR197" i="1"/>
  <c r="DQ197" i="1"/>
  <c r="DK197" i="1"/>
  <c r="DJ197" i="1"/>
  <c r="DD197" i="1"/>
  <c r="DC197" i="1"/>
  <c r="CW197" i="1"/>
  <c r="CV197" i="1"/>
  <c r="CP197" i="1"/>
  <c r="HY197" i="1" s="1"/>
  <c r="CO197" i="1"/>
  <c r="HX197" i="1" s="1"/>
  <c r="CN197" i="1"/>
  <c r="CF197" i="1"/>
  <c r="CD197" i="1"/>
  <c r="IE196" i="1"/>
  <c r="HZ196" i="1"/>
  <c r="HS196" i="1"/>
  <c r="HR196" i="1" s="1"/>
  <c r="HL196" i="1"/>
  <c r="HK196" i="1" s="1"/>
  <c r="HE196" i="1"/>
  <c r="HD196" i="1"/>
  <c r="GX196" i="1"/>
  <c r="GW196" i="1"/>
  <c r="GQ196" i="1"/>
  <c r="GP196" i="1" s="1"/>
  <c r="GJ196" i="1"/>
  <c r="GI196" i="1" s="1"/>
  <c r="GC196" i="1"/>
  <c r="GB196" i="1"/>
  <c r="FV196" i="1"/>
  <c r="FU196" i="1"/>
  <c r="FO196" i="1"/>
  <c r="FN196" i="1" s="1"/>
  <c r="FH196" i="1"/>
  <c r="FG196" i="1" s="1"/>
  <c r="FA196" i="1"/>
  <c r="EZ196" i="1"/>
  <c r="ET196" i="1"/>
  <c r="ES196" i="1"/>
  <c r="EM196" i="1"/>
  <c r="EL196" i="1" s="1"/>
  <c r="EF196" i="1"/>
  <c r="EE196" i="1" s="1"/>
  <c r="DY196" i="1"/>
  <c r="DX196" i="1"/>
  <c r="DR196" i="1"/>
  <c r="DQ196" i="1"/>
  <c r="DK196" i="1"/>
  <c r="DJ196" i="1" s="1"/>
  <c r="DD196" i="1"/>
  <c r="DC196" i="1" s="1"/>
  <c r="CW196" i="1"/>
  <c r="CV196" i="1"/>
  <c r="CP196" i="1"/>
  <c r="CO196" i="1"/>
  <c r="CN196" i="1"/>
  <c r="CF196" i="1"/>
  <c r="CD196" i="1"/>
  <c r="IE195" i="1"/>
  <c r="HZ195" i="1"/>
  <c r="HS195" i="1"/>
  <c r="HR195" i="1"/>
  <c r="HL195" i="1"/>
  <c r="HK195" i="1"/>
  <c r="HE195" i="1"/>
  <c r="HD195" i="1"/>
  <c r="GX195" i="1"/>
  <c r="GW195" i="1" s="1"/>
  <c r="GQ195" i="1"/>
  <c r="GP195" i="1"/>
  <c r="GJ195" i="1"/>
  <c r="GI195" i="1"/>
  <c r="GC195" i="1"/>
  <c r="GB195" i="1"/>
  <c r="FV195" i="1"/>
  <c r="FU195" i="1" s="1"/>
  <c r="FO195" i="1"/>
  <c r="FN195" i="1"/>
  <c r="FH195" i="1"/>
  <c r="FG195" i="1"/>
  <c r="FA195" i="1"/>
  <c r="EZ195" i="1"/>
  <c r="ET195" i="1"/>
  <c r="ES195" i="1" s="1"/>
  <c r="EM195" i="1"/>
  <c r="EL195" i="1"/>
  <c r="EF195" i="1"/>
  <c r="EE195" i="1"/>
  <c r="DY195" i="1"/>
  <c r="DX195" i="1"/>
  <c r="DR195" i="1"/>
  <c r="DQ195" i="1" s="1"/>
  <c r="DK195" i="1"/>
  <c r="DJ195" i="1"/>
  <c r="DD195" i="1"/>
  <c r="DC195" i="1"/>
  <c r="CW195" i="1"/>
  <c r="CV195" i="1"/>
  <c r="CP195" i="1"/>
  <c r="CO195" i="1" s="1"/>
  <c r="CN195" i="1"/>
  <c r="CF195" i="1"/>
  <c r="CD195" i="1"/>
  <c r="IE194" i="1"/>
  <c r="IB194" i="1"/>
  <c r="HZ194" i="1"/>
  <c r="ID194" i="1" s="1"/>
  <c r="HS194" i="1"/>
  <c r="HR194" i="1" s="1"/>
  <c r="HL194" i="1"/>
  <c r="HK194" i="1"/>
  <c r="HE194" i="1"/>
  <c r="HD194" i="1"/>
  <c r="GX194" i="1"/>
  <c r="GW194" i="1"/>
  <c r="GQ194" i="1"/>
  <c r="GP194" i="1" s="1"/>
  <c r="GJ194" i="1"/>
  <c r="GI194" i="1"/>
  <c r="GC194" i="1"/>
  <c r="GB194" i="1"/>
  <c r="FV194" i="1"/>
  <c r="FU194" i="1"/>
  <c r="FO194" i="1"/>
  <c r="FN194" i="1" s="1"/>
  <c r="FH194" i="1"/>
  <c r="FG194" i="1"/>
  <c r="FA194" i="1"/>
  <c r="EZ194" i="1"/>
  <c r="ET194" i="1"/>
  <c r="ES194" i="1"/>
  <c r="EM194" i="1"/>
  <c r="EL194" i="1" s="1"/>
  <c r="EF194" i="1"/>
  <c r="EE194" i="1"/>
  <c r="DY194" i="1"/>
  <c r="DX194" i="1"/>
  <c r="DR194" i="1"/>
  <c r="DQ194" i="1"/>
  <c r="DK194" i="1"/>
  <c r="DJ194" i="1" s="1"/>
  <c r="DD194" i="1"/>
  <c r="DC194" i="1"/>
  <c r="CW194" i="1"/>
  <c r="CV194" i="1"/>
  <c r="CP194" i="1"/>
  <c r="CO194" i="1"/>
  <c r="CN194" i="1"/>
  <c r="CF194" i="1"/>
  <c r="CD194" i="1"/>
  <c r="IE193" i="1"/>
  <c r="ID193" i="1"/>
  <c r="HZ193" i="1"/>
  <c r="IB193" i="1" s="1"/>
  <c r="HS193" i="1"/>
  <c r="HR193" i="1"/>
  <c r="HL193" i="1"/>
  <c r="HK193" i="1"/>
  <c r="HE193" i="1"/>
  <c r="HD193" i="1" s="1"/>
  <c r="GX193" i="1"/>
  <c r="GW193" i="1" s="1"/>
  <c r="GQ193" i="1"/>
  <c r="GP193" i="1"/>
  <c r="GJ193" i="1"/>
  <c r="GI193" i="1"/>
  <c r="GC193" i="1"/>
  <c r="GB193" i="1" s="1"/>
  <c r="FV193" i="1"/>
  <c r="FU193" i="1" s="1"/>
  <c r="FO193" i="1"/>
  <c r="FN193" i="1"/>
  <c r="FH193" i="1"/>
  <c r="FG193" i="1"/>
  <c r="FA193" i="1"/>
  <c r="EZ193" i="1" s="1"/>
  <c r="ET193" i="1"/>
  <c r="ES193" i="1" s="1"/>
  <c r="EM193" i="1"/>
  <c r="EL193" i="1"/>
  <c r="EF193" i="1"/>
  <c r="EE193" i="1"/>
  <c r="DY193" i="1"/>
  <c r="DX193" i="1" s="1"/>
  <c r="DR193" i="1"/>
  <c r="DQ193" i="1" s="1"/>
  <c r="DK193" i="1"/>
  <c r="DJ193" i="1"/>
  <c r="DD193" i="1"/>
  <c r="DC193" i="1"/>
  <c r="CW193" i="1"/>
  <c r="CV193" i="1" s="1"/>
  <c r="CP193" i="1"/>
  <c r="CN193" i="1"/>
  <c r="CF193" i="1"/>
  <c r="CD193" i="1"/>
  <c r="IE192" i="1"/>
  <c r="IB192" i="1"/>
  <c r="ID192" i="1" s="1"/>
  <c r="HZ192" i="1"/>
  <c r="HS192" i="1"/>
  <c r="HR192" i="1"/>
  <c r="HL192" i="1"/>
  <c r="HK192" i="1"/>
  <c r="HE192" i="1"/>
  <c r="HD192" i="1"/>
  <c r="GX192" i="1"/>
  <c r="GW192" i="1"/>
  <c r="GQ192" i="1"/>
  <c r="GP192" i="1"/>
  <c r="GJ192" i="1"/>
  <c r="GI192" i="1"/>
  <c r="GC192" i="1"/>
  <c r="GB192" i="1"/>
  <c r="FV192" i="1"/>
  <c r="FU192" i="1"/>
  <c r="FO192" i="1"/>
  <c r="FN192" i="1"/>
  <c r="FH192" i="1"/>
  <c r="FG192" i="1"/>
  <c r="FA192" i="1"/>
  <c r="EZ192" i="1"/>
  <c r="ET192" i="1"/>
  <c r="ES192" i="1"/>
  <c r="EM192" i="1"/>
  <c r="EL192" i="1"/>
  <c r="EF192" i="1"/>
  <c r="EE192" i="1"/>
  <c r="DY192" i="1"/>
  <c r="DX192" i="1"/>
  <c r="DR192" i="1"/>
  <c r="DQ192" i="1"/>
  <c r="DK192" i="1"/>
  <c r="DJ192" i="1"/>
  <c r="DD192" i="1"/>
  <c r="DC192" i="1"/>
  <c r="CW192" i="1"/>
  <c r="CV192" i="1"/>
  <c r="CP192" i="1"/>
  <c r="HY192" i="1" s="1"/>
  <c r="CO192" i="1"/>
  <c r="CN192" i="1"/>
  <c r="CF192" i="1"/>
  <c r="CD192" i="1"/>
  <c r="IE191" i="1"/>
  <c r="ID191" i="1"/>
  <c r="HZ191" i="1"/>
  <c r="IB191" i="1" s="1"/>
  <c r="HS191" i="1"/>
  <c r="HR191" i="1"/>
  <c r="HL191" i="1"/>
  <c r="HK191" i="1"/>
  <c r="HE191" i="1"/>
  <c r="HD191" i="1" s="1"/>
  <c r="GX191" i="1"/>
  <c r="GW191" i="1"/>
  <c r="GQ191" i="1"/>
  <c r="GP191" i="1"/>
  <c r="GJ191" i="1"/>
  <c r="GI191" i="1"/>
  <c r="GC191" i="1"/>
  <c r="GB191" i="1" s="1"/>
  <c r="FV191" i="1"/>
  <c r="FU191" i="1"/>
  <c r="FO191" i="1"/>
  <c r="FN191" i="1"/>
  <c r="FH191" i="1"/>
  <c r="FG191" i="1"/>
  <c r="FA191" i="1"/>
  <c r="EZ191" i="1" s="1"/>
  <c r="ET191" i="1"/>
  <c r="ES191" i="1"/>
  <c r="EM191" i="1"/>
  <c r="EL191" i="1"/>
  <c r="EF191" i="1"/>
  <c r="EE191" i="1"/>
  <c r="DY191" i="1"/>
  <c r="DX191" i="1" s="1"/>
  <c r="DR191" i="1"/>
  <c r="DQ191" i="1"/>
  <c r="DK191" i="1"/>
  <c r="DJ191" i="1"/>
  <c r="HX191" i="1" s="1"/>
  <c r="DD191" i="1"/>
  <c r="DC191" i="1"/>
  <c r="CW191" i="1"/>
  <c r="CV191" i="1" s="1"/>
  <c r="CP191" i="1"/>
  <c r="CO191" i="1"/>
  <c r="CN191" i="1"/>
  <c r="CF191" i="1"/>
  <c r="CD191" i="1"/>
  <c r="IE190" i="1"/>
  <c r="ID190" i="1"/>
  <c r="HZ190" i="1"/>
  <c r="IB190" i="1" s="1"/>
  <c r="HS190" i="1"/>
  <c r="HR190" i="1"/>
  <c r="HL190" i="1"/>
  <c r="HK190" i="1" s="1"/>
  <c r="HE190" i="1"/>
  <c r="HD190" i="1"/>
  <c r="GX190" i="1"/>
  <c r="GW190" i="1"/>
  <c r="GQ190" i="1"/>
  <c r="GP190" i="1"/>
  <c r="GJ190" i="1"/>
  <c r="GI190" i="1" s="1"/>
  <c r="GC190" i="1"/>
  <c r="GB190" i="1"/>
  <c r="FV190" i="1"/>
  <c r="FU190" i="1"/>
  <c r="FO190" i="1"/>
  <c r="FN190" i="1"/>
  <c r="FH190" i="1"/>
  <c r="FG190" i="1" s="1"/>
  <c r="FA190" i="1"/>
  <c r="EZ190" i="1"/>
  <c r="ET190" i="1"/>
  <c r="ES190" i="1"/>
  <c r="EM190" i="1"/>
  <c r="EL190" i="1"/>
  <c r="EF190" i="1"/>
  <c r="EE190" i="1" s="1"/>
  <c r="DY190" i="1"/>
  <c r="DX190" i="1"/>
  <c r="DR190" i="1"/>
  <c r="DQ190" i="1"/>
  <c r="DK190" i="1"/>
  <c r="DJ190" i="1"/>
  <c r="DD190" i="1"/>
  <c r="DC190" i="1" s="1"/>
  <c r="CW190" i="1"/>
  <c r="CV190" i="1"/>
  <c r="CP190" i="1"/>
  <c r="CO190" i="1"/>
  <c r="CN190" i="1"/>
  <c r="CF190" i="1"/>
  <c r="CD190" i="1"/>
  <c r="IE189" i="1"/>
  <c r="HZ189" i="1"/>
  <c r="HS189" i="1"/>
  <c r="HR189" i="1"/>
  <c r="HL189" i="1"/>
  <c r="HK189" i="1"/>
  <c r="HE189" i="1"/>
  <c r="HD189" i="1"/>
  <c r="GX189" i="1"/>
  <c r="GW189" i="1"/>
  <c r="GQ189" i="1"/>
  <c r="GP189" i="1"/>
  <c r="GJ189" i="1"/>
  <c r="GI189" i="1"/>
  <c r="GC189" i="1"/>
  <c r="GB189" i="1"/>
  <c r="FV189" i="1"/>
  <c r="FU189" i="1"/>
  <c r="FO189" i="1"/>
  <c r="FN189" i="1"/>
  <c r="FH189" i="1"/>
  <c r="FG189" i="1"/>
  <c r="FA189" i="1"/>
  <c r="EZ189" i="1"/>
  <c r="ET189" i="1"/>
  <c r="ES189" i="1"/>
  <c r="EM189" i="1"/>
  <c r="EL189" i="1"/>
  <c r="EF189" i="1"/>
  <c r="EE189" i="1"/>
  <c r="DY189" i="1"/>
  <c r="DX189" i="1"/>
  <c r="DR189" i="1"/>
  <c r="DQ189" i="1"/>
  <c r="DK189" i="1"/>
  <c r="DJ189" i="1"/>
  <c r="DD189" i="1"/>
  <c r="DC189" i="1"/>
  <c r="CW189" i="1"/>
  <c r="CV189" i="1"/>
  <c r="CP189" i="1"/>
  <c r="HY189" i="1" s="1"/>
  <c r="CO189" i="1"/>
  <c r="CN189" i="1"/>
  <c r="CF189" i="1"/>
  <c r="CD189" i="1"/>
  <c r="IE188" i="1"/>
  <c r="HZ188" i="1"/>
  <c r="HS188" i="1"/>
  <c r="HR188" i="1" s="1"/>
  <c r="HL188" i="1"/>
  <c r="HK188" i="1" s="1"/>
  <c r="HE188" i="1"/>
  <c r="HD188" i="1"/>
  <c r="GX188" i="1"/>
  <c r="GW188" i="1"/>
  <c r="GQ188" i="1"/>
  <c r="GP188" i="1" s="1"/>
  <c r="GJ188" i="1"/>
  <c r="GI188" i="1" s="1"/>
  <c r="GC188" i="1"/>
  <c r="GB188" i="1"/>
  <c r="FV188" i="1"/>
  <c r="FU188" i="1"/>
  <c r="FO188" i="1"/>
  <c r="FN188" i="1" s="1"/>
  <c r="FH188" i="1"/>
  <c r="FG188" i="1" s="1"/>
  <c r="FA188" i="1"/>
  <c r="EZ188" i="1"/>
  <c r="ET188" i="1"/>
  <c r="ES188" i="1"/>
  <c r="EM188" i="1"/>
  <c r="EL188" i="1" s="1"/>
  <c r="EF188" i="1"/>
  <c r="EE188" i="1" s="1"/>
  <c r="DY188" i="1"/>
  <c r="DX188" i="1"/>
  <c r="DR188" i="1"/>
  <c r="DQ188" i="1"/>
  <c r="DK188" i="1"/>
  <c r="DJ188" i="1" s="1"/>
  <c r="DD188" i="1"/>
  <c r="DC188" i="1" s="1"/>
  <c r="CW188" i="1"/>
  <c r="CV188" i="1"/>
  <c r="CP188" i="1"/>
  <c r="CO188" i="1"/>
  <c r="CN188" i="1"/>
  <c r="CF188" i="1"/>
  <c r="CD188" i="1"/>
  <c r="IE187" i="1"/>
  <c r="ID187" i="1"/>
  <c r="HZ187" i="1"/>
  <c r="IB187" i="1" s="1"/>
  <c r="HS187" i="1"/>
  <c r="HR187" i="1"/>
  <c r="HL187" i="1"/>
  <c r="HK187" i="1"/>
  <c r="HE187" i="1"/>
  <c r="HD187" i="1"/>
  <c r="GX187" i="1"/>
  <c r="GW187" i="1" s="1"/>
  <c r="GQ187" i="1"/>
  <c r="GP187" i="1"/>
  <c r="GJ187" i="1"/>
  <c r="GI187" i="1"/>
  <c r="GC187" i="1"/>
  <c r="GB187" i="1"/>
  <c r="FV187" i="1"/>
  <c r="FO187" i="1"/>
  <c r="FN187" i="1"/>
  <c r="FH187" i="1"/>
  <c r="FG187" i="1"/>
  <c r="FA187" i="1"/>
  <c r="EZ187" i="1"/>
  <c r="ET187" i="1"/>
  <c r="ES187" i="1" s="1"/>
  <c r="EM187" i="1"/>
  <c r="EL187" i="1"/>
  <c r="EF187" i="1"/>
  <c r="EE187" i="1" s="1"/>
  <c r="DY187" i="1"/>
  <c r="DX187" i="1" s="1"/>
  <c r="DR187" i="1"/>
  <c r="DQ187" i="1"/>
  <c r="DK187" i="1"/>
  <c r="DJ187" i="1"/>
  <c r="DD187" i="1"/>
  <c r="DC187" i="1" s="1"/>
  <c r="CW187" i="1"/>
  <c r="CV187" i="1"/>
  <c r="CP187" i="1"/>
  <c r="CO187" i="1"/>
  <c r="CN187" i="1"/>
  <c r="CF187" i="1"/>
  <c r="CD187" i="1"/>
  <c r="IE186" i="1"/>
  <c r="HZ186" i="1"/>
  <c r="HS186" i="1"/>
  <c r="HR186" i="1" s="1"/>
  <c r="HL186" i="1"/>
  <c r="HK186" i="1" s="1"/>
  <c r="HE186" i="1"/>
  <c r="HD186" i="1"/>
  <c r="GX186" i="1"/>
  <c r="GW186" i="1" s="1"/>
  <c r="GQ186" i="1"/>
  <c r="GP186" i="1" s="1"/>
  <c r="GJ186" i="1"/>
  <c r="GI186" i="1"/>
  <c r="GC186" i="1"/>
  <c r="GB186" i="1"/>
  <c r="FV186" i="1"/>
  <c r="FU186" i="1" s="1"/>
  <c r="FO186" i="1"/>
  <c r="FN186" i="1"/>
  <c r="FH186" i="1"/>
  <c r="FG186" i="1" s="1"/>
  <c r="FA186" i="1"/>
  <c r="EZ186" i="1"/>
  <c r="ET186" i="1"/>
  <c r="ES186" i="1" s="1"/>
  <c r="EM186" i="1"/>
  <c r="EL186" i="1" s="1"/>
  <c r="EF186" i="1"/>
  <c r="EE186" i="1" s="1"/>
  <c r="DY186" i="1"/>
  <c r="DX186" i="1"/>
  <c r="DR186" i="1"/>
  <c r="DQ186" i="1" s="1"/>
  <c r="DK186" i="1"/>
  <c r="DJ186" i="1"/>
  <c r="DD186" i="1"/>
  <c r="DC186" i="1"/>
  <c r="CW186" i="1"/>
  <c r="CV186" i="1"/>
  <c r="CP186" i="1"/>
  <c r="CN186" i="1"/>
  <c r="CF186" i="1"/>
  <c r="CD186" i="1"/>
  <c r="IE185" i="1"/>
  <c r="ID185" i="1"/>
  <c r="HZ185" i="1"/>
  <c r="IB185" i="1" s="1"/>
  <c r="HS185" i="1"/>
  <c r="HR185" i="1"/>
  <c r="HL185" i="1"/>
  <c r="HK185" i="1" s="1"/>
  <c r="HE185" i="1"/>
  <c r="HD185" i="1" s="1"/>
  <c r="GX185" i="1"/>
  <c r="GW185" i="1" s="1"/>
  <c r="GQ185" i="1"/>
  <c r="GP185" i="1"/>
  <c r="GJ185" i="1"/>
  <c r="GI185" i="1" s="1"/>
  <c r="GC185" i="1"/>
  <c r="GB185" i="1" s="1"/>
  <c r="FV185" i="1"/>
  <c r="FU185" i="1"/>
  <c r="FO185" i="1"/>
  <c r="FN185" i="1"/>
  <c r="FH185" i="1"/>
  <c r="FG185" i="1" s="1"/>
  <c r="FA185" i="1"/>
  <c r="EZ185" i="1"/>
  <c r="ET185" i="1"/>
  <c r="ES185" i="1" s="1"/>
  <c r="EM185" i="1"/>
  <c r="EL185" i="1"/>
  <c r="EF185" i="1"/>
  <c r="EE185" i="1" s="1"/>
  <c r="DY185" i="1"/>
  <c r="DX185" i="1" s="1"/>
  <c r="DR185" i="1"/>
  <c r="DQ185" i="1" s="1"/>
  <c r="DK185" i="1"/>
  <c r="DJ185" i="1"/>
  <c r="DD185" i="1"/>
  <c r="DC185" i="1" s="1"/>
  <c r="CW185" i="1"/>
  <c r="CV185" i="1"/>
  <c r="CP185" i="1"/>
  <c r="CO185" i="1"/>
  <c r="CN185" i="1"/>
  <c r="CF185" i="1"/>
  <c r="CD185" i="1"/>
  <c r="IE184" i="1"/>
  <c r="HZ184" i="1"/>
  <c r="HS184" i="1"/>
  <c r="HR184" i="1" s="1"/>
  <c r="HL184" i="1"/>
  <c r="HK184" i="1" s="1"/>
  <c r="HE184" i="1"/>
  <c r="HD184" i="1"/>
  <c r="GX184" i="1"/>
  <c r="GW184" i="1" s="1"/>
  <c r="GQ184" i="1"/>
  <c r="GP184" i="1"/>
  <c r="GJ184" i="1"/>
  <c r="GI184" i="1"/>
  <c r="GC184" i="1"/>
  <c r="GB184" i="1"/>
  <c r="FV184" i="1"/>
  <c r="FU184" i="1" s="1"/>
  <c r="FO184" i="1"/>
  <c r="FN184" i="1"/>
  <c r="FH184" i="1"/>
  <c r="FG184" i="1" s="1"/>
  <c r="FA184" i="1"/>
  <c r="EZ184" i="1"/>
  <c r="ET184" i="1"/>
  <c r="ES184" i="1" s="1"/>
  <c r="EM184" i="1"/>
  <c r="EL184" i="1" s="1"/>
  <c r="EF184" i="1"/>
  <c r="EE184" i="1"/>
  <c r="DY184" i="1"/>
  <c r="DX184" i="1"/>
  <c r="DR184" i="1"/>
  <c r="DQ184" i="1" s="1"/>
  <c r="DK184" i="1"/>
  <c r="DJ184" i="1"/>
  <c r="DD184" i="1"/>
  <c r="DC184" i="1"/>
  <c r="CW184" i="1"/>
  <c r="CV184" i="1"/>
  <c r="CP184" i="1"/>
  <c r="CN184" i="1"/>
  <c r="CF184" i="1"/>
  <c r="CD184" i="1"/>
  <c r="IE183" i="1"/>
  <c r="HZ183" i="1"/>
  <c r="HS183" i="1"/>
  <c r="HR183" i="1"/>
  <c r="HL183" i="1"/>
  <c r="HK183" i="1" s="1"/>
  <c r="HE183" i="1"/>
  <c r="HD183" i="1"/>
  <c r="GX183" i="1"/>
  <c r="GW183" i="1" s="1"/>
  <c r="GQ183" i="1"/>
  <c r="GP183" i="1"/>
  <c r="GJ183" i="1"/>
  <c r="GI183" i="1" s="1"/>
  <c r="GC183" i="1"/>
  <c r="GB183" i="1" s="1"/>
  <c r="FV183" i="1"/>
  <c r="FU183" i="1"/>
  <c r="FO183" i="1"/>
  <c r="FN183" i="1"/>
  <c r="FH183" i="1"/>
  <c r="FG183" i="1" s="1"/>
  <c r="FA183" i="1"/>
  <c r="EZ183" i="1"/>
  <c r="ET183" i="1"/>
  <c r="ES183" i="1" s="1"/>
  <c r="EM183" i="1"/>
  <c r="EL183" i="1"/>
  <c r="EF183" i="1"/>
  <c r="EE183" i="1" s="1"/>
  <c r="DY183" i="1"/>
  <c r="DX183" i="1" s="1"/>
  <c r="DR183" i="1"/>
  <c r="DQ183" i="1"/>
  <c r="DK183" i="1"/>
  <c r="DJ183" i="1"/>
  <c r="DD183" i="1"/>
  <c r="DC183" i="1" s="1"/>
  <c r="CW183" i="1"/>
  <c r="CV183" i="1"/>
  <c r="CP183" i="1"/>
  <c r="CO183" i="1"/>
  <c r="CN183" i="1"/>
  <c r="CF183" i="1"/>
  <c r="CD183" i="1"/>
  <c r="IE182" i="1"/>
  <c r="HZ182" i="1"/>
  <c r="HS182" i="1"/>
  <c r="HR182" i="1" s="1"/>
  <c r="HL182" i="1"/>
  <c r="HK182" i="1" s="1"/>
  <c r="HE182" i="1"/>
  <c r="HD182" i="1"/>
  <c r="GX182" i="1"/>
  <c r="GW182" i="1" s="1"/>
  <c r="GQ182" i="1"/>
  <c r="GP182" i="1"/>
  <c r="GJ182" i="1"/>
  <c r="GI182" i="1" s="1"/>
  <c r="GC182" i="1"/>
  <c r="GB182" i="1"/>
  <c r="FV182" i="1"/>
  <c r="FU182" i="1" s="1"/>
  <c r="FO182" i="1"/>
  <c r="FN182" i="1"/>
  <c r="FH182" i="1"/>
  <c r="FG182" i="1" s="1"/>
  <c r="FA182" i="1"/>
  <c r="EZ182" i="1"/>
  <c r="ET182" i="1"/>
  <c r="ES182" i="1" s="1"/>
  <c r="EM182" i="1"/>
  <c r="EL182" i="1" s="1"/>
  <c r="EF182" i="1"/>
  <c r="EE182" i="1" s="1"/>
  <c r="DY182" i="1"/>
  <c r="DX182" i="1"/>
  <c r="DR182" i="1"/>
  <c r="DQ182" i="1" s="1"/>
  <c r="DK182" i="1"/>
  <c r="DJ182" i="1"/>
  <c r="DD182" i="1"/>
  <c r="DC182" i="1"/>
  <c r="CW182" i="1"/>
  <c r="CV182" i="1"/>
  <c r="CP182" i="1"/>
  <c r="CN182" i="1"/>
  <c r="CF182" i="1"/>
  <c r="CD182" i="1"/>
  <c r="IE181" i="1"/>
  <c r="HZ181" i="1"/>
  <c r="IB181" i="1" s="1"/>
  <c r="HS181" i="1"/>
  <c r="HR181" i="1"/>
  <c r="HL181" i="1"/>
  <c r="HK181" i="1" s="1"/>
  <c r="HE181" i="1"/>
  <c r="HD181" i="1" s="1"/>
  <c r="GX181" i="1"/>
  <c r="GW181" i="1" s="1"/>
  <c r="GQ181" i="1"/>
  <c r="GP181" i="1"/>
  <c r="GJ181" i="1"/>
  <c r="GI181" i="1" s="1"/>
  <c r="GC181" i="1"/>
  <c r="GB181" i="1"/>
  <c r="FV181" i="1"/>
  <c r="FU181" i="1" s="1"/>
  <c r="FO181" i="1"/>
  <c r="FN181" i="1"/>
  <c r="FH181" i="1"/>
  <c r="FG181" i="1" s="1"/>
  <c r="FA181" i="1"/>
  <c r="EZ181" i="1"/>
  <c r="ET181" i="1"/>
  <c r="ES181" i="1" s="1"/>
  <c r="EM181" i="1"/>
  <c r="EL181" i="1"/>
  <c r="EF181" i="1"/>
  <c r="EE181" i="1" s="1"/>
  <c r="DY181" i="1"/>
  <c r="DX181" i="1" s="1"/>
  <c r="DR181" i="1"/>
  <c r="DQ181" i="1" s="1"/>
  <c r="DK181" i="1"/>
  <c r="DJ181" i="1"/>
  <c r="DD181" i="1"/>
  <c r="DC181" i="1" s="1"/>
  <c r="CW181" i="1"/>
  <c r="CV181" i="1"/>
  <c r="CP181" i="1"/>
  <c r="CO181" i="1"/>
  <c r="HX181" i="1" s="1"/>
  <c r="CN181" i="1"/>
  <c r="CF181" i="1"/>
  <c r="CD181" i="1"/>
  <c r="IE180" i="1"/>
  <c r="HZ180" i="1"/>
  <c r="HS180" i="1"/>
  <c r="HR180" i="1"/>
  <c r="HL180" i="1"/>
  <c r="HK180" i="1" s="1"/>
  <c r="HE180" i="1"/>
  <c r="HD180" i="1"/>
  <c r="GX180" i="1"/>
  <c r="GW180" i="1" s="1"/>
  <c r="GQ180" i="1"/>
  <c r="GP180" i="1" s="1"/>
  <c r="GJ180" i="1"/>
  <c r="GI180" i="1"/>
  <c r="GC180" i="1"/>
  <c r="GB180" i="1"/>
  <c r="FV180" i="1"/>
  <c r="FU180" i="1" s="1"/>
  <c r="FO180" i="1"/>
  <c r="FN180" i="1"/>
  <c r="FH180" i="1"/>
  <c r="FG180" i="1"/>
  <c r="FA180" i="1"/>
  <c r="EZ180" i="1"/>
  <c r="ET180" i="1"/>
  <c r="ES180" i="1" s="1"/>
  <c r="EM180" i="1"/>
  <c r="EL180" i="1" s="1"/>
  <c r="EF180" i="1"/>
  <c r="EE180" i="1"/>
  <c r="DY180" i="1"/>
  <c r="DX180" i="1"/>
  <c r="DR180" i="1"/>
  <c r="DQ180" i="1" s="1"/>
  <c r="DK180" i="1"/>
  <c r="DJ180" i="1"/>
  <c r="DD180" i="1"/>
  <c r="DC180" i="1"/>
  <c r="CW180" i="1"/>
  <c r="CV180" i="1"/>
  <c r="CP180" i="1"/>
  <c r="CN180" i="1"/>
  <c r="CF180" i="1"/>
  <c r="CD180" i="1"/>
  <c r="IE179" i="1"/>
  <c r="HZ179" i="1"/>
  <c r="IB179" i="1" s="1"/>
  <c r="HS179" i="1"/>
  <c r="HR179" i="1"/>
  <c r="HL179" i="1"/>
  <c r="HK179" i="1" s="1"/>
  <c r="HE179" i="1"/>
  <c r="HD179" i="1" s="1"/>
  <c r="GX179" i="1"/>
  <c r="GW179" i="1" s="1"/>
  <c r="GQ179" i="1"/>
  <c r="GP179" i="1"/>
  <c r="GJ179" i="1"/>
  <c r="GI179" i="1" s="1"/>
  <c r="GC179" i="1"/>
  <c r="GB179" i="1" s="1"/>
  <c r="FV179" i="1"/>
  <c r="FU179" i="1" s="1"/>
  <c r="FO179" i="1"/>
  <c r="FN179" i="1" s="1"/>
  <c r="FH179" i="1"/>
  <c r="FG179" i="1" s="1"/>
  <c r="FA179" i="1"/>
  <c r="EZ179" i="1"/>
  <c r="ET179" i="1"/>
  <c r="ES179" i="1" s="1"/>
  <c r="EM179" i="1"/>
  <c r="EL179" i="1" s="1"/>
  <c r="EF179" i="1"/>
  <c r="EE179" i="1" s="1"/>
  <c r="DY179" i="1"/>
  <c r="DX179" i="1" s="1"/>
  <c r="DR179" i="1"/>
  <c r="DQ179" i="1" s="1"/>
  <c r="DK179" i="1"/>
  <c r="DJ179" i="1" s="1"/>
  <c r="DD179" i="1"/>
  <c r="DC179" i="1" s="1"/>
  <c r="CW179" i="1"/>
  <c r="CV179" i="1"/>
  <c r="CP179" i="1"/>
  <c r="CO179" i="1"/>
  <c r="CN179" i="1"/>
  <c r="CF179" i="1"/>
  <c r="CD179" i="1"/>
  <c r="IE178" i="1"/>
  <c r="HZ178" i="1"/>
  <c r="HS178" i="1"/>
  <c r="HR178" i="1" s="1"/>
  <c r="HL178" i="1"/>
  <c r="HK178" i="1" s="1"/>
  <c r="HE178" i="1"/>
  <c r="HD178" i="1" s="1"/>
  <c r="GX178" i="1"/>
  <c r="GW178" i="1" s="1"/>
  <c r="GQ178" i="1"/>
  <c r="GP178" i="1" s="1"/>
  <c r="GJ178" i="1"/>
  <c r="GI178" i="1" s="1"/>
  <c r="GC178" i="1"/>
  <c r="GB178" i="1"/>
  <c r="FV178" i="1"/>
  <c r="FU178" i="1" s="1"/>
  <c r="FO178" i="1"/>
  <c r="FN178" i="1" s="1"/>
  <c r="FH178" i="1"/>
  <c r="FG178" i="1" s="1"/>
  <c r="FA178" i="1"/>
  <c r="EZ178" i="1" s="1"/>
  <c r="ET178" i="1"/>
  <c r="ES178" i="1" s="1"/>
  <c r="EM178" i="1"/>
  <c r="EL178" i="1"/>
  <c r="EF178" i="1"/>
  <c r="EE178" i="1" s="1"/>
  <c r="DY178" i="1"/>
  <c r="DX178" i="1" s="1"/>
  <c r="DR178" i="1"/>
  <c r="DQ178" i="1" s="1"/>
  <c r="DK178" i="1"/>
  <c r="DJ178" i="1" s="1"/>
  <c r="DD178" i="1"/>
  <c r="DC178" i="1" s="1"/>
  <c r="CW178" i="1"/>
  <c r="CV178" i="1" s="1"/>
  <c r="CP178" i="1"/>
  <c r="CN178" i="1"/>
  <c r="CF178" i="1"/>
  <c r="CD178" i="1"/>
  <c r="IE177" i="1"/>
  <c r="ID177" i="1"/>
  <c r="HZ177" i="1"/>
  <c r="IB177" i="1" s="1"/>
  <c r="HS177" i="1"/>
  <c r="HR177" i="1"/>
  <c r="HL177" i="1"/>
  <c r="HK177" i="1" s="1"/>
  <c r="HE177" i="1"/>
  <c r="HD177" i="1"/>
  <c r="GX177" i="1"/>
  <c r="GW177" i="1" s="1"/>
  <c r="GQ177" i="1"/>
  <c r="GP177" i="1" s="1"/>
  <c r="GJ177" i="1"/>
  <c r="GI177" i="1" s="1"/>
  <c r="GC177" i="1"/>
  <c r="GB177" i="1" s="1"/>
  <c r="FV177" i="1"/>
  <c r="FU177" i="1" s="1"/>
  <c r="FO177" i="1"/>
  <c r="FN177" i="1"/>
  <c r="FH177" i="1"/>
  <c r="FG177" i="1" s="1"/>
  <c r="FA177" i="1"/>
  <c r="EZ177" i="1"/>
  <c r="ET177" i="1"/>
  <c r="ES177" i="1" s="1"/>
  <c r="EM177" i="1"/>
  <c r="EL177" i="1" s="1"/>
  <c r="EF177" i="1"/>
  <c r="EE177" i="1" s="1"/>
  <c r="DY177" i="1"/>
  <c r="DX177" i="1"/>
  <c r="DR177" i="1"/>
  <c r="DQ177" i="1"/>
  <c r="DK177" i="1"/>
  <c r="DJ177" i="1" s="1"/>
  <c r="DD177" i="1"/>
  <c r="DC177" i="1" s="1"/>
  <c r="CW177" i="1"/>
  <c r="CV177" i="1" s="1"/>
  <c r="CP177" i="1"/>
  <c r="CO177" i="1"/>
  <c r="HX177" i="1" s="1"/>
  <c r="CN177" i="1"/>
  <c r="CF177" i="1"/>
  <c r="CD177" i="1"/>
  <c r="IE176" i="1"/>
  <c r="HZ176" i="1"/>
  <c r="HS176" i="1"/>
  <c r="HR176" i="1" s="1"/>
  <c r="HL176" i="1"/>
  <c r="HK176" i="1"/>
  <c r="HE176" i="1"/>
  <c r="HD176" i="1"/>
  <c r="GX176" i="1"/>
  <c r="GW176" i="1" s="1"/>
  <c r="GQ176" i="1"/>
  <c r="GP176" i="1"/>
  <c r="GJ176" i="1"/>
  <c r="GI176" i="1" s="1"/>
  <c r="GC176" i="1"/>
  <c r="GB176" i="1" s="1"/>
  <c r="FV176" i="1"/>
  <c r="FU176" i="1" s="1"/>
  <c r="FO176" i="1"/>
  <c r="FN176" i="1" s="1"/>
  <c r="FH176" i="1"/>
  <c r="FG176" i="1" s="1"/>
  <c r="FA176" i="1"/>
  <c r="EZ176" i="1"/>
  <c r="ET176" i="1"/>
  <c r="ES176" i="1" s="1"/>
  <c r="EM176" i="1"/>
  <c r="EL176" i="1"/>
  <c r="EF176" i="1"/>
  <c r="EE176" i="1" s="1"/>
  <c r="DY176" i="1"/>
  <c r="DX176" i="1" s="1"/>
  <c r="DR176" i="1"/>
  <c r="DQ176" i="1" s="1"/>
  <c r="DK176" i="1"/>
  <c r="DJ176" i="1"/>
  <c r="DD176" i="1"/>
  <c r="DC176" i="1"/>
  <c r="CW176" i="1"/>
  <c r="CV176" i="1" s="1"/>
  <c r="CP176" i="1"/>
  <c r="CN176" i="1"/>
  <c r="CF176" i="1"/>
  <c r="CD176" i="1"/>
  <c r="IE175" i="1"/>
  <c r="ID175" i="1"/>
  <c r="HZ175" i="1"/>
  <c r="IB175" i="1" s="1"/>
  <c r="HS175" i="1"/>
  <c r="HR175" i="1" s="1"/>
  <c r="HL175" i="1"/>
  <c r="HK175" i="1" s="1"/>
  <c r="HE175" i="1"/>
  <c r="HD175" i="1" s="1"/>
  <c r="GX175" i="1"/>
  <c r="GW175" i="1"/>
  <c r="GQ175" i="1"/>
  <c r="GP175" i="1"/>
  <c r="GJ175" i="1"/>
  <c r="GI175" i="1" s="1"/>
  <c r="GC175" i="1"/>
  <c r="GB175" i="1"/>
  <c r="FV175" i="1"/>
  <c r="FU175" i="1" s="1"/>
  <c r="FO175" i="1"/>
  <c r="FN175" i="1" s="1"/>
  <c r="FH175" i="1"/>
  <c r="FG175" i="1" s="1"/>
  <c r="FA175" i="1"/>
  <c r="EZ175" i="1" s="1"/>
  <c r="ET175" i="1"/>
  <c r="ES175" i="1" s="1"/>
  <c r="EM175" i="1"/>
  <c r="EL175" i="1"/>
  <c r="EF175" i="1"/>
  <c r="EE175" i="1" s="1"/>
  <c r="DY175" i="1"/>
  <c r="DX175" i="1"/>
  <c r="DR175" i="1"/>
  <c r="DQ175" i="1" s="1"/>
  <c r="DK175" i="1"/>
  <c r="DJ175" i="1" s="1"/>
  <c r="DD175" i="1"/>
  <c r="DC175" i="1" s="1"/>
  <c r="CW175" i="1"/>
  <c r="CV175" i="1"/>
  <c r="CP175" i="1"/>
  <c r="CO175" i="1"/>
  <c r="CN175" i="1"/>
  <c r="CF175" i="1"/>
  <c r="CD175" i="1"/>
  <c r="IE174" i="1"/>
  <c r="IB174" i="1"/>
  <c r="HZ174" i="1"/>
  <c r="HS174" i="1"/>
  <c r="HR174" i="1" s="1"/>
  <c r="HL174" i="1"/>
  <c r="HK174" i="1" s="1"/>
  <c r="HE174" i="1"/>
  <c r="HD174" i="1" s="1"/>
  <c r="GX174" i="1"/>
  <c r="GW174" i="1" s="1"/>
  <c r="GQ174" i="1"/>
  <c r="GP174" i="1" s="1"/>
  <c r="GJ174" i="1"/>
  <c r="GI174" i="1"/>
  <c r="GC174" i="1"/>
  <c r="GB174" i="1"/>
  <c r="FV174" i="1"/>
  <c r="FU174" i="1" s="1"/>
  <c r="FO174" i="1"/>
  <c r="FN174" i="1"/>
  <c r="FH174" i="1"/>
  <c r="FG174" i="1" s="1"/>
  <c r="FA174" i="1"/>
  <c r="EZ174" i="1" s="1"/>
  <c r="ET174" i="1"/>
  <c r="ES174" i="1" s="1"/>
  <c r="EM174" i="1"/>
  <c r="EL174" i="1" s="1"/>
  <c r="EF174" i="1"/>
  <c r="EE174" i="1" s="1"/>
  <c r="DY174" i="1"/>
  <c r="DX174" i="1"/>
  <c r="DR174" i="1"/>
  <c r="DQ174" i="1" s="1"/>
  <c r="DK174" i="1"/>
  <c r="DJ174" i="1"/>
  <c r="DD174" i="1"/>
  <c r="DC174" i="1" s="1"/>
  <c r="CW174" i="1"/>
  <c r="CV174" i="1" s="1"/>
  <c r="CP174" i="1"/>
  <c r="CN174" i="1"/>
  <c r="CF174" i="1"/>
  <c r="CD174" i="1"/>
  <c r="IE173" i="1"/>
  <c r="HZ173" i="1"/>
  <c r="HS173" i="1"/>
  <c r="HR173" i="1"/>
  <c r="HL173" i="1"/>
  <c r="HK173" i="1" s="1"/>
  <c r="HE173" i="1"/>
  <c r="HD173" i="1" s="1"/>
  <c r="GX173" i="1"/>
  <c r="GW173" i="1" s="1"/>
  <c r="GQ173" i="1"/>
  <c r="GP173" i="1" s="1"/>
  <c r="GJ173" i="1"/>
  <c r="GI173" i="1" s="1"/>
  <c r="GC173" i="1"/>
  <c r="GB173" i="1" s="1"/>
  <c r="FV173" i="1"/>
  <c r="FU173" i="1"/>
  <c r="FO173" i="1"/>
  <c r="FN173" i="1"/>
  <c r="FH173" i="1"/>
  <c r="FG173" i="1" s="1"/>
  <c r="FA173" i="1"/>
  <c r="EZ173" i="1"/>
  <c r="ET173" i="1"/>
  <c r="ES173" i="1" s="1"/>
  <c r="EM173" i="1"/>
  <c r="EL173" i="1" s="1"/>
  <c r="EF173" i="1"/>
  <c r="EE173" i="1" s="1"/>
  <c r="DY173" i="1"/>
  <c r="DX173" i="1"/>
  <c r="DR173" i="1"/>
  <c r="DQ173" i="1" s="1"/>
  <c r="DK173" i="1"/>
  <c r="DJ173" i="1"/>
  <c r="DD173" i="1"/>
  <c r="DC173" i="1" s="1"/>
  <c r="CW173" i="1"/>
  <c r="CV173" i="1" s="1"/>
  <c r="CP173" i="1"/>
  <c r="CO173" i="1"/>
  <c r="CN173" i="1"/>
  <c r="CF173" i="1"/>
  <c r="CD173" i="1"/>
  <c r="IE172" i="1"/>
  <c r="ID172" i="1"/>
  <c r="IB172" i="1"/>
  <c r="HZ172" i="1"/>
  <c r="HS172" i="1"/>
  <c r="HR172" i="1"/>
  <c r="HL172" i="1"/>
  <c r="HK172" i="1"/>
  <c r="HE172" i="1"/>
  <c r="HD172" i="1" s="1"/>
  <c r="GX172" i="1"/>
  <c r="GW172" i="1" s="1"/>
  <c r="GQ172" i="1"/>
  <c r="GP172" i="1" s="1"/>
  <c r="GJ172" i="1"/>
  <c r="GI172" i="1" s="1"/>
  <c r="GC172" i="1"/>
  <c r="GB172" i="1" s="1"/>
  <c r="FV172" i="1"/>
  <c r="FU172" i="1" s="1"/>
  <c r="FO172" i="1"/>
  <c r="FN172" i="1" s="1"/>
  <c r="FH172" i="1"/>
  <c r="FG172" i="1"/>
  <c r="FA172" i="1"/>
  <c r="EZ172" i="1"/>
  <c r="ET172" i="1"/>
  <c r="ES172" i="1" s="1"/>
  <c r="EM172" i="1"/>
  <c r="EL172" i="1"/>
  <c r="EF172" i="1"/>
  <c r="EE172" i="1" s="1"/>
  <c r="DY172" i="1"/>
  <c r="DX172" i="1" s="1"/>
  <c r="DR172" i="1"/>
  <c r="DQ172" i="1" s="1"/>
  <c r="DK172" i="1"/>
  <c r="DJ172" i="1" s="1"/>
  <c r="DD172" i="1"/>
  <c r="DC172" i="1" s="1"/>
  <c r="CW172" i="1"/>
  <c r="CV172" i="1"/>
  <c r="CP172" i="1"/>
  <c r="CN172" i="1"/>
  <c r="CF172" i="1"/>
  <c r="CD172" i="1"/>
  <c r="IE171" i="1"/>
  <c r="HZ171" i="1"/>
  <c r="IB171" i="1" s="1"/>
  <c r="HS171" i="1"/>
  <c r="HR171" i="1" s="1"/>
  <c r="HL171" i="1"/>
  <c r="HK171" i="1" s="1"/>
  <c r="HE171" i="1"/>
  <c r="HD171" i="1"/>
  <c r="GX171" i="1"/>
  <c r="GW171" i="1"/>
  <c r="GQ171" i="1"/>
  <c r="GP171" i="1"/>
  <c r="GJ171" i="1"/>
  <c r="GI171" i="1" s="1"/>
  <c r="GC171" i="1"/>
  <c r="GB171" i="1" s="1"/>
  <c r="FV171" i="1"/>
  <c r="FU171" i="1" s="1"/>
  <c r="FO171" i="1"/>
  <c r="FN171" i="1"/>
  <c r="FH171" i="1"/>
  <c r="FG171" i="1" s="1"/>
  <c r="FA171" i="1"/>
  <c r="EZ171" i="1" s="1"/>
  <c r="ET171" i="1"/>
  <c r="ES171" i="1"/>
  <c r="EM171" i="1"/>
  <c r="EL171" i="1"/>
  <c r="EF171" i="1"/>
  <c r="EE171" i="1" s="1"/>
  <c r="DY171" i="1"/>
  <c r="DX171" i="1"/>
  <c r="DR171" i="1"/>
  <c r="DQ171" i="1" s="1"/>
  <c r="DK171" i="1"/>
  <c r="DJ171" i="1" s="1"/>
  <c r="DD171" i="1"/>
  <c r="DC171" i="1" s="1"/>
  <c r="CW171" i="1"/>
  <c r="CV171" i="1"/>
  <c r="CP171" i="1"/>
  <c r="CO171" i="1" s="1"/>
  <c r="CN171" i="1"/>
  <c r="CF171" i="1"/>
  <c r="CD171" i="1"/>
  <c r="IE170" i="1"/>
  <c r="IB170" i="1"/>
  <c r="ID170" i="1" s="1"/>
  <c r="HZ170" i="1"/>
  <c r="HS170" i="1"/>
  <c r="HR170" i="1" s="1"/>
  <c r="HL170" i="1"/>
  <c r="HK170" i="1" s="1"/>
  <c r="HE170" i="1"/>
  <c r="HD170" i="1" s="1"/>
  <c r="GX170" i="1"/>
  <c r="GW170" i="1" s="1"/>
  <c r="GQ170" i="1"/>
  <c r="GP170" i="1"/>
  <c r="GJ170" i="1"/>
  <c r="GI170" i="1"/>
  <c r="GC170" i="1"/>
  <c r="GB170" i="1"/>
  <c r="FV170" i="1"/>
  <c r="FU170" i="1" s="1"/>
  <c r="FO170" i="1"/>
  <c r="FN170" i="1"/>
  <c r="FH170" i="1"/>
  <c r="FG170" i="1" s="1"/>
  <c r="FA170" i="1"/>
  <c r="EZ170" i="1" s="1"/>
  <c r="ET170" i="1"/>
  <c r="ES170" i="1" s="1"/>
  <c r="EM170" i="1"/>
  <c r="EL170" i="1" s="1"/>
  <c r="EF170" i="1"/>
  <c r="EE170" i="1"/>
  <c r="DY170" i="1"/>
  <c r="DX170" i="1"/>
  <c r="DR170" i="1"/>
  <c r="DQ170" i="1" s="1"/>
  <c r="DK170" i="1"/>
  <c r="DJ170" i="1" s="1"/>
  <c r="DD170" i="1"/>
  <c r="DC170" i="1"/>
  <c r="CW170" i="1"/>
  <c r="CV170" i="1" s="1"/>
  <c r="CP170" i="1"/>
  <c r="CN170" i="1"/>
  <c r="CF170" i="1"/>
  <c r="CD170" i="1"/>
  <c r="IE169" i="1"/>
  <c r="ID169" i="1"/>
  <c r="HZ169" i="1"/>
  <c r="IB169" i="1" s="1"/>
  <c r="HS169" i="1"/>
  <c r="HR169" i="1"/>
  <c r="HL169" i="1"/>
  <c r="HK169" i="1" s="1"/>
  <c r="HE169" i="1"/>
  <c r="HD169" i="1"/>
  <c r="GX169" i="1"/>
  <c r="GW169" i="1"/>
  <c r="GQ169" i="1"/>
  <c r="GP169" i="1" s="1"/>
  <c r="GJ169" i="1"/>
  <c r="GI169" i="1" s="1"/>
  <c r="GC169" i="1"/>
  <c r="GB169" i="1" s="1"/>
  <c r="FV169" i="1"/>
  <c r="FU169" i="1"/>
  <c r="FO169" i="1"/>
  <c r="FN169" i="1" s="1"/>
  <c r="FH169" i="1"/>
  <c r="FG169" i="1" s="1"/>
  <c r="FA169" i="1"/>
  <c r="EZ169" i="1"/>
  <c r="ET169" i="1"/>
  <c r="ES169" i="1"/>
  <c r="EM169" i="1"/>
  <c r="EL169" i="1" s="1"/>
  <c r="EF169" i="1"/>
  <c r="EE169" i="1" s="1"/>
  <c r="DY169" i="1"/>
  <c r="DX169" i="1"/>
  <c r="DR169" i="1"/>
  <c r="HY169" i="1" s="1"/>
  <c r="DK169" i="1"/>
  <c r="DJ169" i="1"/>
  <c r="DD169" i="1"/>
  <c r="DC169" i="1" s="1"/>
  <c r="CW169" i="1"/>
  <c r="CV169" i="1"/>
  <c r="CP169" i="1"/>
  <c r="CO169" i="1"/>
  <c r="CN169" i="1"/>
  <c r="CF169" i="1"/>
  <c r="CD169" i="1"/>
  <c r="IE168" i="1"/>
  <c r="HZ168" i="1"/>
  <c r="HS168" i="1"/>
  <c r="HR168" i="1"/>
  <c r="HL168" i="1"/>
  <c r="HK168" i="1"/>
  <c r="HE168" i="1"/>
  <c r="HD168" i="1"/>
  <c r="GX168" i="1"/>
  <c r="GW168" i="1" s="1"/>
  <c r="GQ168" i="1"/>
  <c r="GP168" i="1"/>
  <c r="GJ168" i="1"/>
  <c r="GI168" i="1" s="1"/>
  <c r="GC168" i="1"/>
  <c r="GB168" i="1" s="1"/>
  <c r="FV168" i="1"/>
  <c r="FU168" i="1" s="1"/>
  <c r="FO168" i="1"/>
  <c r="FN168" i="1"/>
  <c r="FH168" i="1"/>
  <c r="FG168" i="1" s="1"/>
  <c r="FA168" i="1"/>
  <c r="EZ168" i="1"/>
  <c r="ET168" i="1"/>
  <c r="ES168" i="1" s="1"/>
  <c r="EM168" i="1"/>
  <c r="EL168" i="1"/>
  <c r="EF168" i="1"/>
  <c r="EE168" i="1"/>
  <c r="DY168" i="1"/>
  <c r="DX168" i="1" s="1"/>
  <c r="DR168" i="1"/>
  <c r="DQ168" i="1" s="1"/>
  <c r="DK168" i="1"/>
  <c r="DJ168" i="1"/>
  <c r="DD168" i="1"/>
  <c r="DC168" i="1" s="1"/>
  <c r="CW168" i="1"/>
  <c r="CP168" i="1"/>
  <c r="CO168" i="1" s="1"/>
  <c r="CN168" i="1"/>
  <c r="CF168" i="1"/>
  <c r="CD168" i="1"/>
  <c r="IE167" i="1"/>
  <c r="ID167" i="1"/>
  <c r="HZ167" i="1"/>
  <c r="IB167" i="1" s="1"/>
  <c r="HS167" i="1"/>
  <c r="HR167" i="1" s="1"/>
  <c r="HL167" i="1"/>
  <c r="HK167" i="1" s="1"/>
  <c r="HE167" i="1"/>
  <c r="HD167" i="1"/>
  <c r="GX167" i="1"/>
  <c r="GW167" i="1"/>
  <c r="GQ167" i="1"/>
  <c r="GP167" i="1"/>
  <c r="GJ167" i="1"/>
  <c r="GI167" i="1" s="1"/>
  <c r="GC167" i="1"/>
  <c r="GB167" i="1"/>
  <c r="FV167" i="1"/>
  <c r="FU167" i="1" s="1"/>
  <c r="FO167" i="1"/>
  <c r="FN167" i="1" s="1"/>
  <c r="FH167" i="1"/>
  <c r="FG167" i="1" s="1"/>
  <c r="FA167" i="1"/>
  <c r="EZ167" i="1"/>
  <c r="ET167" i="1"/>
  <c r="ES167" i="1" s="1"/>
  <c r="EM167" i="1"/>
  <c r="EL167" i="1"/>
  <c r="EF167" i="1"/>
  <c r="EE167" i="1" s="1"/>
  <c r="DY167" i="1"/>
  <c r="DX167" i="1"/>
  <c r="DR167" i="1"/>
  <c r="DQ167" i="1"/>
  <c r="DK167" i="1"/>
  <c r="DJ167" i="1" s="1"/>
  <c r="DD167" i="1"/>
  <c r="DC167" i="1" s="1"/>
  <c r="CW167" i="1"/>
  <c r="CV167" i="1"/>
  <c r="CP167" i="1"/>
  <c r="CO167" i="1" s="1"/>
  <c r="CN167" i="1"/>
  <c r="CF167" i="1"/>
  <c r="CD167" i="1"/>
  <c r="IE166" i="1"/>
  <c r="IB166" i="1"/>
  <c r="HZ166" i="1"/>
  <c r="HS166" i="1"/>
  <c r="HR166" i="1"/>
  <c r="HL166" i="1"/>
  <c r="HK166" i="1"/>
  <c r="HE166" i="1"/>
  <c r="HD166" i="1" s="1"/>
  <c r="GX166" i="1"/>
  <c r="GW166" i="1" s="1"/>
  <c r="GQ166" i="1"/>
  <c r="GP166" i="1"/>
  <c r="GJ166" i="1"/>
  <c r="GI166" i="1" s="1"/>
  <c r="GC166" i="1"/>
  <c r="GB166" i="1" s="1"/>
  <c r="FV166" i="1"/>
  <c r="FU166" i="1" s="1"/>
  <c r="FO166" i="1"/>
  <c r="FN166" i="1" s="1"/>
  <c r="FH166" i="1"/>
  <c r="FG166" i="1"/>
  <c r="FA166" i="1"/>
  <c r="EZ166" i="1"/>
  <c r="ET166" i="1"/>
  <c r="ES166" i="1" s="1"/>
  <c r="EM166" i="1"/>
  <c r="EL166" i="1"/>
  <c r="EF166" i="1"/>
  <c r="EE166" i="1" s="1"/>
  <c r="DY166" i="1"/>
  <c r="DX166" i="1" s="1"/>
  <c r="DR166" i="1"/>
  <c r="DQ166" i="1" s="1"/>
  <c r="DK166" i="1"/>
  <c r="DJ166" i="1" s="1"/>
  <c r="DD166" i="1"/>
  <c r="CW166" i="1"/>
  <c r="CV166" i="1"/>
  <c r="CP166" i="1"/>
  <c r="CO166" i="1" s="1"/>
  <c r="CN166" i="1"/>
  <c r="CF166" i="1"/>
  <c r="CD166" i="1"/>
  <c r="IE165" i="1"/>
  <c r="HZ165" i="1"/>
  <c r="HS165" i="1"/>
  <c r="HR165" i="1" s="1"/>
  <c r="HL165" i="1"/>
  <c r="HK165" i="1" s="1"/>
  <c r="HE165" i="1"/>
  <c r="HD165" i="1" s="1"/>
  <c r="GX165" i="1"/>
  <c r="GW165" i="1"/>
  <c r="GQ165" i="1"/>
  <c r="GP165" i="1"/>
  <c r="GJ165" i="1"/>
  <c r="GI165" i="1" s="1"/>
  <c r="GC165" i="1"/>
  <c r="GB165" i="1"/>
  <c r="FV165" i="1"/>
  <c r="FU165" i="1"/>
  <c r="FO165" i="1"/>
  <c r="FN165" i="1" s="1"/>
  <c r="FH165" i="1"/>
  <c r="FG165" i="1" s="1"/>
  <c r="FA165" i="1"/>
  <c r="EZ165" i="1" s="1"/>
  <c r="ET165" i="1"/>
  <c r="ES165" i="1" s="1"/>
  <c r="EM165" i="1"/>
  <c r="EL165" i="1" s="1"/>
  <c r="EF165" i="1"/>
  <c r="EE165" i="1" s="1"/>
  <c r="DY165" i="1"/>
  <c r="DX165" i="1" s="1"/>
  <c r="DR165" i="1"/>
  <c r="DQ165" i="1"/>
  <c r="DK165" i="1"/>
  <c r="DJ165" i="1"/>
  <c r="DD165" i="1"/>
  <c r="DC165" i="1" s="1"/>
  <c r="CW165" i="1"/>
  <c r="CV165" i="1"/>
  <c r="CP165" i="1"/>
  <c r="CO165" i="1" s="1"/>
  <c r="CN165" i="1"/>
  <c r="CF165" i="1"/>
  <c r="CD165" i="1"/>
  <c r="IE164" i="1"/>
  <c r="ID164" i="1"/>
  <c r="HZ164" i="1"/>
  <c r="IB164" i="1" s="1"/>
  <c r="HS164" i="1"/>
  <c r="HR164" i="1"/>
  <c r="HL164" i="1"/>
  <c r="HK164" i="1" s="1"/>
  <c r="HE164" i="1"/>
  <c r="HD164" i="1" s="1"/>
  <c r="GX164" i="1"/>
  <c r="GW164" i="1" s="1"/>
  <c r="GQ164" i="1"/>
  <c r="GP164" i="1"/>
  <c r="GJ164" i="1"/>
  <c r="GI164" i="1" s="1"/>
  <c r="GC164" i="1"/>
  <c r="GB164" i="1" s="1"/>
  <c r="FV164" i="1"/>
  <c r="FU164" i="1" s="1"/>
  <c r="FO164" i="1"/>
  <c r="FN164" i="1"/>
  <c r="FH164" i="1"/>
  <c r="FG164" i="1" s="1"/>
  <c r="FA164" i="1"/>
  <c r="EZ164" i="1" s="1"/>
  <c r="ET164" i="1"/>
  <c r="ES164" i="1"/>
  <c r="EM164" i="1"/>
  <c r="EL164" i="1"/>
  <c r="EF164" i="1"/>
  <c r="EE164" i="1" s="1"/>
  <c r="DY164" i="1"/>
  <c r="DX164" i="1" s="1"/>
  <c r="DR164" i="1"/>
  <c r="DQ164" i="1"/>
  <c r="DK164" i="1"/>
  <c r="DJ164" i="1"/>
  <c r="DD164" i="1"/>
  <c r="DC164" i="1" s="1"/>
  <c r="CW164" i="1"/>
  <c r="CV164" i="1" s="1"/>
  <c r="CP164" i="1"/>
  <c r="CO164" i="1" s="1"/>
  <c r="HX164" i="1" s="1"/>
  <c r="CN164" i="1"/>
  <c r="CF164" i="1"/>
  <c r="CD164" i="1"/>
  <c r="IE163" i="1"/>
  <c r="IB163" i="1"/>
  <c r="HZ163" i="1"/>
  <c r="HS163" i="1"/>
  <c r="HR163" i="1" s="1"/>
  <c r="HL163" i="1"/>
  <c r="HK163" i="1"/>
  <c r="HE163" i="1"/>
  <c r="HD163" i="1"/>
  <c r="GX163" i="1"/>
  <c r="GW163" i="1" s="1"/>
  <c r="GQ163" i="1"/>
  <c r="GP163" i="1" s="1"/>
  <c r="GJ163" i="1"/>
  <c r="GI163" i="1" s="1"/>
  <c r="GC163" i="1"/>
  <c r="GB163" i="1"/>
  <c r="FV163" i="1"/>
  <c r="FU163" i="1" s="1"/>
  <c r="FO163" i="1"/>
  <c r="FN163" i="1" s="1"/>
  <c r="FH163" i="1"/>
  <c r="FG163" i="1" s="1"/>
  <c r="FA163" i="1"/>
  <c r="EZ163" i="1"/>
  <c r="ET163" i="1"/>
  <c r="ES163" i="1" s="1"/>
  <c r="EM163" i="1"/>
  <c r="EL163" i="1" s="1"/>
  <c r="EF163" i="1"/>
  <c r="EE163" i="1"/>
  <c r="DY163" i="1"/>
  <c r="DX163" i="1"/>
  <c r="DR163" i="1"/>
  <c r="DQ163" i="1" s="1"/>
  <c r="DK163" i="1"/>
  <c r="DJ163" i="1" s="1"/>
  <c r="DD163" i="1"/>
  <c r="DC163" i="1"/>
  <c r="CW163" i="1"/>
  <c r="CV163" i="1"/>
  <c r="CP163" i="1"/>
  <c r="CN163" i="1"/>
  <c r="CF163" i="1"/>
  <c r="CD163" i="1"/>
  <c r="IE162" i="1"/>
  <c r="IA162" i="1"/>
  <c r="HZ162" i="1"/>
  <c r="IB162" i="1" s="1"/>
  <c r="ID162" i="1" s="1"/>
  <c r="HS162" i="1"/>
  <c r="HR162" i="1"/>
  <c r="HL162" i="1"/>
  <c r="HK162" i="1" s="1"/>
  <c r="HE162" i="1"/>
  <c r="HD162" i="1" s="1"/>
  <c r="GX162" i="1"/>
  <c r="GW162" i="1"/>
  <c r="GQ162" i="1"/>
  <c r="GP162" i="1"/>
  <c r="GJ162" i="1"/>
  <c r="GI162" i="1" s="1"/>
  <c r="GC162" i="1"/>
  <c r="GB162" i="1" s="1"/>
  <c r="FV162" i="1"/>
  <c r="FU162" i="1" s="1"/>
  <c r="FO162" i="1"/>
  <c r="FN162" i="1"/>
  <c r="FH162" i="1"/>
  <c r="FG162" i="1" s="1"/>
  <c r="FA162" i="1"/>
  <c r="EZ162" i="1" s="1"/>
  <c r="ET162" i="1"/>
  <c r="ES162" i="1"/>
  <c r="EM162" i="1"/>
  <c r="EL162" i="1"/>
  <c r="EF162" i="1"/>
  <c r="EE162" i="1" s="1"/>
  <c r="DY162" i="1"/>
  <c r="DX162" i="1" s="1"/>
  <c r="DR162" i="1"/>
  <c r="DQ162" i="1" s="1"/>
  <c r="DK162" i="1"/>
  <c r="DJ162" i="1"/>
  <c r="DD162" i="1"/>
  <c r="DC162" i="1" s="1"/>
  <c r="CW162" i="1"/>
  <c r="CV162" i="1" s="1"/>
  <c r="CP162" i="1"/>
  <c r="HY162" i="1" s="1"/>
  <c r="CO162" i="1"/>
  <c r="HX162" i="1" s="1"/>
  <c r="IC162" i="1" s="1"/>
  <c r="CN162" i="1"/>
  <c r="CF162" i="1"/>
  <c r="CD162" i="1"/>
  <c r="IE161" i="1"/>
  <c r="HZ161" i="1"/>
  <c r="HS161" i="1"/>
  <c r="HR161" i="1" s="1"/>
  <c r="HL161" i="1"/>
  <c r="HK161" i="1" s="1"/>
  <c r="HE161" i="1"/>
  <c r="HD161" i="1"/>
  <c r="GX161" i="1"/>
  <c r="GW161" i="1" s="1"/>
  <c r="GQ161" i="1"/>
  <c r="GP161" i="1" s="1"/>
  <c r="GJ161" i="1"/>
  <c r="GI161" i="1"/>
  <c r="GC161" i="1"/>
  <c r="GB161" i="1"/>
  <c r="FV161" i="1"/>
  <c r="FU161" i="1" s="1"/>
  <c r="FO161" i="1"/>
  <c r="FN161" i="1" s="1"/>
  <c r="FH161" i="1"/>
  <c r="FG161" i="1" s="1"/>
  <c r="FA161" i="1"/>
  <c r="EZ161" i="1"/>
  <c r="ET161" i="1"/>
  <c r="ES161" i="1" s="1"/>
  <c r="EM161" i="1"/>
  <c r="EL161" i="1" s="1"/>
  <c r="EF161" i="1"/>
  <c r="EE161" i="1"/>
  <c r="DY161" i="1"/>
  <c r="DX161" i="1"/>
  <c r="DR161" i="1"/>
  <c r="DQ161" i="1" s="1"/>
  <c r="DK161" i="1"/>
  <c r="DJ161" i="1" s="1"/>
  <c r="DD161" i="1"/>
  <c r="DC161" i="1" s="1"/>
  <c r="CW161" i="1"/>
  <c r="CV161" i="1"/>
  <c r="CP161" i="1"/>
  <c r="CN161" i="1"/>
  <c r="CF161" i="1"/>
  <c r="CD161" i="1"/>
  <c r="IE160" i="1"/>
  <c r="HZ160" i="1"/>
  <c r="IB160" i="1" s="1"/>
  <c r="ID160" i="1" s="1"/>
  <c r="HS160" i="1"/>
  <c r="HR160" i="1"/>
  <c r="HL160" i="1"/>
  <c r="HK160" i="1" s="1"/>
  <c r="HE160" i="1"/>
  <c r="HD160" i="1" s="1"/>
  <c r="GX160" i="1"/>
  <c r="GW160" i="1"/>
  <c r="GQ160" i="1"/>
  <c r="GP160" i="1"/>
  <c r="GJ160" i="1"/>
  <c r="GI160" i="1" s="1"/>
  <c r="GC160" i="1"/>
  <c r="GB160" i="1" s="1"/>
  <c r="FV160" i="1"/>
  <c r="FU160" i="1" s="1"/>
  <c r="FO160" i="1"/>
  <c r="FN160" i="1"/>
  <c r="FH160" i="1"/>
  <c r="FG160" i="1" s="1"/>
  <c r="FA160" i="1"/>
  <c r="EZ160" i="1" s="1"/>
  <c r="ET160" i="1"/>
  <c r="ES160" i="1" s="1"/>
  <c r="EM160" i="1"/>
  <c r="EL160" i="1"/>
  <c r="EF160" i="1"/>
  <c r="EE160" i="1" s="1"/>
  <c r="DY160" i="1"/>
  <c r="DX160" i="1" s="1"/>
  <c r="DR160" i="1"/>
  <c r="DQ160" i="1"/>
  <c r="DK160" i="1"/>
  <c r="DJ160" i="1"/>
  <c r="DD160" i="1"/>
  <c r="DC160" i="1" s="1"/>
  <c r="CW160" i="1"/>
  <c r="CV160" i="1" s="1"/>
  <c r="CP160" i="1"/>
  <c r="CO160" i="1"/>
  <c r="CN160" i="1"/>
  <c r="CF160" i="1"/>
  <c r="CD160" i="1"/>
  <c r="IE159" i="1"/>
  <c r="HZ159" i="1"/>
  <c r="HS159" i="1"/>
  <c r="HR159" i="1" s="1"/>
  <c r="HL159" i="1"/>
  <c r="HK159" i="1"/>
  <c r="HE159" i="1"/>
  <c r="HD159" i="1"/>
  <c r="GX159" i="1"/>
  <c r="GW159" i="1" s="1"/>
  <c r="GQ159" i="1"/>
  <c r="GP159" i="1" s="1"/>
  <c r="GJ159" i="1"/>
  <c r="GI159" i="1"/>
  <c r="GC159" i="1"/>
  <c r="GB159" i="1"/>
  <c r="FV159" i="1"/>
  <c r="FU159" i="1" s="1"/>
  <c r="FO159" i="1"/>
  <c r="FN159" i="1" s="1"/>
  <c r="FH159" i="1"/>
  <c r="FG159" i="1" s="1"/>
  <c r="FA159" i="1"/>
  <c r="EZ159" i="1"/>
  <c r="ET159" i="1"/>
  <c r="ES159" i="1" s="1"/>
  <c r="EM159" i="1"/>
  <c r="EL159" i="1" s="1"/>
  <c r="EF159" i="1"/>
  <c r="EE159" i="1" s="1"/>
  <c r="DY159" i="1"/>
  <c r="DX159" i="1"/>
  <c r="DR159" i="1"/>
  <c r="DQ159" i="1" s="1"/>
  <c r="DK159" i="1"/>
  <c r="DJ159" i="1" s="1"/>
  <c r="DD159" i="1"/>
  <c r="DC159" i="1"/>
  <c r="CW159" i="1"/>
  <c r="CV159" i="1"/>
  <c r="CP159" i="1"/>
  <c r="CN159" i="1"/>
  <c r="CF159" i="1"/>
  <c r="CD159" i="1"/>
  <c r="IE158" i="1"/>
  <c r="ID158" i="1"/>
  <c r="HZ158" i="1"/>
  <c r="IB158" i="1" s="1"/>
  <c r="HS158" i="1"/>
  <c r="HR158" i="1"/>
  <c r="HL158" i="1"/>
  <c r="HK158" i="1" s="1"/>
  <c r="HE158" i="1"/>
  <c r="HD158" i="1" s="1"/>
  <c r="GX158" i="1"/>
  <c r="GW158" i="1" s="1"/>
  <c r="GQ158" i="1"/>
  <c r="GP158" i="1"/>
  <c r="GJ158" i="1"/>
  <c r="GI158" i="1" s="1"/>
  <c r="GC158" i="1"/>
  <c r="GB158" i="1" s="1"/>
  <c r="FV158" i="1"/>
  <c r="FU158" i="1"/>
  <c r="FO158" i="1"/>
  <c r="FN158" i="1"/>
  <c r="FH158" i="1"/>
  <c r="FG158" i="1" s="1"/>
  <c r="FA158" i="1"/>
  <c r="EZ158" i="1" s="1"/>
  <c r="ET158" i="1"/>
  <c r="ES158" i="1" s="1"/>
  <c r="EM158" i="1"/>
  <c r="EL158" i="1"/>
  <c r="EF158" i="1"/>
  <c r="EE158" i="1" s="1"/>
  <c r="DY158" i="1"/>
  <c r="DX158" i="1" s="1"/>
  <c r="DR158" i="1"/>
  <c r="DQ158" i="1"/>
  <c r="DK158" i="1"/>
  <c r="DJ158" i="1"/>
  <c r="DD158" i="1"/>
  <c r="DC158" i="1" s="1"/>
  <c r="CW158" i="1"/>
  <c r="CV158" i="1" s="1"/>
  <c r="CP158" i="1"/>
  <c r="CO158" i="1" s="1"/>
  <c r="CN158" i="1"/>
  <c r="CF158" i="1"/>
  <c r="CD158" i="1"/>
  <c r="IE157" i="1"/>
  <c r="IB157" i="1"/>
  <c r="HZ157" i="1"/>
  <c r="HS157" i="1"/>
  <c r="HR157" i="1" s="1"/>
  <c r="HL157" i="1"/>
  <c r="HK157" i="1"/>
  <c r="HE157" i="1"/>
  <c r="HD157" i="1"/>
  <c r="GX157" i="1"/>
  <c r="GW157" i="1" s="1"/>
  <c r="GQ157" i="1"/>
  <c r="GP157" i="1" s="1"/>
  <c r="GJ157" i="1"/>
  <c r="GI157" i="1" s="1"/>
  <c r="GC157" i="1"/>
  <c r="GB157" i="1"/>
  <c r="FV157" i="1"/>
  <c r="FU157" i="1" s="1"/>
  <c r="FO157" i="1"/>
  <c r="FN157" i="1" s="1"/>
  <c r="FH157" i="1"/>
  <c r="FG157" i="1"/>
  <c r="FA157" i="1"/>
  <c r="EZ157" i="1"/>
  <c r="ET157" i="1"/>
  <c r="ES157" i="1" s="1"/>
  <c r="EM157" i="1"/>
  <c r="EL157" i="1" s="1"/>
  <c r="EF157" i="1"/>
  <c r="EE157" i="1" s="1"/>
  <c r="DY157" i="1"/>
  <c r="DX157" i="1"/>
  <c r="DR157" i="1"/>
  <c r="DQ157" i="1" s="1"/>
  <c r="DK157" i="1"/>
  <c r="DJ157" i="1" s="1"/>
  <c r="DD157" i="1"/>
  <c r="DC157" i="1"/>
  <c r="CW157" i="1"/>
  <c r="CV157" i="1"/>
  <c r="CP157" i="1"/>
  <c r="HY157" i="1" s="1"/>
  <c r="CN157" i="1"/>
  <c r="CF157" i="1"/>
  <c r="CD157" i="1"/>
  <c r="IE156" i="1"/>
  <c r="HZ156" i="1"/>
  <c r="IB156" i="1" s="1"/>
  <c r="ID156" i="1" s="1"/>
  <c r="HS156" i="1"/>
  <c r="HR156" i="1"/>
  <c r="HL156" i="1"/>
  <c r="HK156" i="1" s="1"/>
  <c r="HE156" i="1"/>
  <c r="HD156" i="1" s="1"/>
  <c r="GX156" i="1"/>
  <c r="GW156" i="1"/>
  <c r="GQ156" i="1"/>
  <c r="GP156" i="1"/>
  <c r="GJ156" i="1"/>
  <c r="GI156" i="1" s="1"/>
  <c r="GC156" i="1"/>
  <c r="GB156" i="1" s="1"/>
  <c r="FV156" i="1"/>
  <c r="FU156" i="1"/>
  <c r="FO156" i="1"/>
  <c r="FN156" i="1"/>
  <c r="FH156" i="1"/>
  <c r="FG156" i="1" s="1"/>
  <c r="FA156" i="1"/>
  <c r="EZ156" i="1" s="1"/>
  <c r="ET156" i="1"/>
  <c r="ES156" i="1" s="1"/>
  <c r="EM156" i="1"/>
  <c r="EL156" i="1"/>
  <c r="EF156" i="1"/>
  <c r="EE156" i="1" s="1"/>
  <c r="DY156" i="1"/>
  <c r="DX156" i="1" s="1"/>
  <c r="DR156" i="1"/>
  <c r="DQ156" i="1" s="1"/>
  <c r="DK156" i="1"/>
  <c r="DJ156" i="1"/>
  <c r="DD156" i="1"/>
  <c r="DC156" i="1" s="1"/>
  <c r="CW156" i="1"/>
  <c r="CV156" i="1" s="1"/>
  <c r="CP156" i="1"/>
  <c r="CO156" i="1"/>
  <c r="CN156" i="1"/>
  <c r="CF156" i="1"/>
  <c r="CD156" i="1"/>
  <c r="IE155" i="1"/>
  <c r="IB155" i="1"/>
  <c r="HZ155" i="1"/>
  <c r="HS155" i="1"/>
  <c r="HR155" i="1" s="1"/>
  <c r="HL155" i="1"/>
  <c r="HK155" i="1" s="1"/>
  <c r="HE155" i="1"/>
  <c r="HD155" i="1"/>
  <c r="GX155" i="1"/>
  <c r="GW155" i="1" s="1"/>
  <c r="GQ155" i="1"/>
  <c r="GP155" i="1" s="1"/>
  <c r="GJ155" i="1"/>
  <c r="GI155" i="1"/>
  <c r="GC155" i="1"/>
  <c r="GB155" i="1"/>
  <c r="FV155" i="1"/>
  <c r="FU155" i="1" s="1"/>
  <c r="FO155" i="1"/>
  <c r="FN155" i="1" s="1"/>
  <c r="FH155" i="1"/>
  <c r="FG155" i="1"/>
  <c r="FA155" i="1"/>
  <c r="EZ155" i="1"/>
  <c r="ET155" i="1"/>
  <c r="ES155" i="1" s="1"/>
  <c r="EM155" i="1"/>
  <c r="EL155" i="1" s="1"/>
  <c r="EF155" i="1"/>
  <c r="EE155" i="1"/>
  <c r="DY155" i="1"/>
  <c r="DX155" i="1"/>
  <c r="DR155" i="1"/>
  <c r="DQ155" i="1" s="1"/>
  <c r="DK155" i="1"/>
  <c r="DJ155" i="1" s="1"/>
  <c r="DD155" i="1"/>
  <c r="DC155" i="1" s="1"/>
  <c r="CW155" i="1"/>
  <c r="CV155" i="1"/>
  <c r="CP155" i="1"/>
  <c r="CN155" i="1"/>
  <c r="CF155" i="1"/>
  <c r="CD155" i="1"/>
  <c r="IE154" i="1"/>
  <c r="HZ154" i="1"/>
  <c r="IB154" i="1" s="1"/>
  <c r="ID154" i="1" s="1"/>
  <c r="HS154" i="1"/>
  <c r="HR154" i="1"/>
  <c r="HL154" i="1"/>
  <c r="HK154" i="1" s="1"/>
  <c r="HE154" i="1"/>
  <c r="HD154" i="1" s="1"/>
  <c r="GX154" i="1"/>
  <c r="GW154" i="1"/>
  <c r="GQ154" i="1"/>
  <c r="GP154" i="1"/>
  <c r="GJ154" i="1"/>
  <c r="GI154" i="1" s="1"/>
  <c r="GC154" i="1"/>
  <c r="GB154" i="1" s="1"/>
  <c r="FV154" i="1"/>
  <c r="FU154" i="1" s="1"/>
  <c r="FO154" i="1"/>
  <c r="FN154" i="1"/>
  <c r="FH154" i="1"/>
  <c r="FG154" i="1" s="1"/>
  <c r="FA154" i="1"/>
  <c r="EZ154" i="1" s="1"/>
  <c r="ET154" i="1"/>
  <c r="HY154" i="1" s="1"/>
  <c r="ES154" i="1"/>
  <c r="EM154" i="1"/>
  <c r="EL154" i="1"/>
  <c r="EF154" i="1"/>
  <c r="EE154" i="1" s="1"/>
  <c r="DY154" i="1"/>
  <c r="DX154" i="1" s="1"/>
  <c r="DR154" i="1"/>
  <c r="DQ154" i="1" s="1"/>
  <c r="DK154" i="1"/>
  <c r="DJ154" i="1"/>
  <c r="DD154" i="1"/>
  <c r="DC154" i="1" s="1"/>
  <c r="CW154" i="1"/>
  <c r="CV154" i="1" s="1"/>
  <c r="CP154" i="1"/>
  <c r="CO154" i="1"/>
  <c r="CN154" i="1"/>
  <c r="CF154" i="1"/>
  <c r="CD154" i="1"/>
  <c r="IE153" i="1"/>
  <c r="HZ153" i="1"/>
  <c r="HS153" i="1"/>
  <c r="HR153" i="1" s="1"/>
  <c r="HL153" i="1"/>
  <c r="HK153" i="1" s="1"/>
  <c r="HE153" i="1"/>
  <c r="HD153" i="1"/>
  <c r="GX153" i="1"/>
  <c r="GW153" i="1" s="1"/>
  <c r="GQ153" i="1"/>
  <c r="GP153" i="1" s="1"/>
  <c r="GJ153" i="1"/>
  <c r="GI153" i="1"/>
  <c r="GC153" i="1"/>
  <c r="GB153" i="1"/>
  <c r="FV153" i="1"/>
  <c r="FU153" i="1" s="1"/>
  <c r="FO153" i="1"/>
  <c r="FN153" i="1" s="1"/>
  <c r="FH153" i="1"/>
  <c r="FG153" i="1" s="1"/>
  <c r="FA153" i="1"/>
  <c r="EZ153" i="1"/>
  <c r="ET153" i="1"/>
  <c r="ES153" i="1" s="1"/>
  <c r="EM153" i="1"/>
  <c r="EL153" i="1" s="1"/>
  <c r="EF153" i="1"/>
  <c r="EE153" i="1"/>
  <c r="DY153" i="1"/>
  <c r="DX153" i="1"/>
  <c r="DR153" i="1"/>
  <c r="DQ153" i="1" s="1"/>
  <c r="DK153" i="1"/>
  <c r="DJ153" i="1" s="1"/>
  <c r="DD153" i="1"/>
  <c r="DC153" i="1" s="1"/>
  <c r="CW153" i="1"/>
  <c r="CV153" i="1"/>
  <c r="CP153" i="1"/>
  <c r="CN153" i="1"/>
  <c r="CF153" i="1"/>
  <c r="CD153" i="1"/>
  <c r="IE152" i="1"/>
  <c r="ID152" i="1"/>
  <c r="HZ152" i="1"/>
  <c r="IB152" i="1" s="1"/>
  <c r="HS152" i="1"/>
  <c r="HR152" i="1"/>
  <c r="HL152" i="1"/>
  <c r="HK152" i="1" s="1"/>
  <c r="HE152" i="1"/>
  <c r="HD152" i="1" s="1"/>
  <c r="GX152" i="1"/>
  <c r="GW152" i="1" s="1"/>
  <c r="GQ152" i="1"/>
  <c r="GP152" i="1"/>
  <c r="GJ152" i="1"/>
  <c r="GI152" i="1" s="1"/>
  <c r="GC152" i="1"/>
  <c r="GB152" i="1" s="1"/>
  <c r="FV152" i="1"/>
  <c r="FU152" i="1"/>
  <c r="FO152" i="1"/>
  <c r="FN152" i="1"/>
  <c r="FH152" i="1"/>
  <c r="FG152" i="1" s="1"/>
  <c r="FA152" i="1"/>
  <c r="EZ152" i="1" s="1"/>
  <c r="ET152" i="1"/>
  <c r="ES152" i="1"/>
  <c r="EM152" i="1"/>
  <c r="EL152" i="1"/>
  <c r="EF152" i="1"/>
  <c r="EE152" i="1" s="1"/>
  <c r="DY152" i="1"/>
  <c r="DX152" i="1" s="1"/>
  <c r="DR152" i="1"/>
  <c r="DQ152" i="1"/>
  <c r="DK152" i="1"/>
  <c r="DJ152" i="1"/>
  <c r="DD152" i="1"/>
  <c r="DC152" i="1" s="1"/>
  <c r="CW152" i="1"/>
  <c r="CV152" i="1" s="1"/>
  <c r="CP152" i="1"/>
  <c r="CN152" i="1"/>
  <c r="CF152" i="1"/>
  <c r="CD152" i="1"/>
  <c r="IE151" i="1"/>
  <c r="HZ151" i="1"/>
  <c r="HS151" i="1"/>
  <c r="HR151" i="1" s="1"/>
  <c r="HL151" i="1"/>
  <c r="HK151" i="1"/>
  <c r="HE151" i="1"/>
  <c r="HD151" i="1"/>
  <c r="GX151" i="1"/>
  <c r="GW151" i="1" s="1"/>
  <c r="GQ151" i="1"/>
  <c r="GP151" i="1" s="1"/>
  <c r="GJ151" i="1"/>
  <c r="GI151" i="1" s="1"/>
  <c r="GC151" i="1"/>
  <c r="GB151" i="1"/>
  <c r="FV151" i="1"/>
  <c r="FU151" i="1" s="1"/>
  <c r="FO151" i="1"/>
  <c r="FN151" i="1" s="1"/>
  <c r="FH151" i="1"/>
  <c r="FG151" i="1"/>
  <c r="FA151" i="1"/>
  <c r="EZ151" i="1"/>
  <c r="ET151" i="1"/>
  <c r="ES151" i="1" s="1"/>
  <c r="EM151" i="1"/>
  <c r="EL151" i="1" s="1"/>
  <c r="EF151" i="1"/>
  <c r="EE151" i="1"/>
  <c r="DY151" i="1"/>
  <c r="DX151" i="1"/>
  <c r="DR151" i="1"/>
  <c r="DQ151" i="1" s="1"/>
  <c r="DK151" i="1"/>
  <c r="DJ151" i="1" s="1"/>
  <c r="DD151" i="1"/>
  <c r="DC151" i="1"/>
  <c r="CW151" i="1"/>
  <c r="CV151" i="1"/>
  <c r="CP151" i="1"/>
  <c r="CN151" i="1"/>
  <c r="CF151" i="1"/>
  <c r="CD151" i="1"/>
  <c r="IE150" i="1"/>
  <c r="HZ150" i="1"/>
  <c r="IB150" i="1" s="1"/>
  <c r="ID150" i="1" s="1"/>
  <c r="HS150" i="1"/>
  <c r="HR150" i="1"/>
  <c r="HL150" i="1"/>
  <c r="HK150" i="1" s="1"/>
  <c r="HE150" i="1"/>
  <c r="HD150" i="1" s="1"/>
  <c r="GX150" i="1"/>
  <c r="GW150" i="1" s="1"/>
  <c r="GQ150" i="1"/>
  <c r="GP150" i="1"/>
  <c r="GJ150" i="1"/>
  <c r="GI150" i="1" s="1"/>
  <c r="GC150" i="1"/>
  <c r="GB150" i="1" s="1"/>
  <c r="FV150" i="1"/>
  <c r="FU150" i="1"/>
  <c r="FO150" i="1"/>
  <c r="FN150" i="1"/>
  <c r="FH150" i="1"/>
  <c r="FG150" i="1" s="1"/>
  <c r="FA150" i="1"/>
  <c r="ET150" i="1"/>
  <c r="ES150" i="1" s="1"/>
  <c r="EM150" i="1"/>
  <c r="EL150" i="1"/>
  <c r="EF150" i="1"/>
  <c r="EE150" i="1" s="1"/>
  <c r="DY150" i="1"/>
  <c r="DX150" i="1" s="1"/>
  <c r="DR150" i="1"/>
  <c r="DQ150" i="1"/>
  <c r="DK150" i="1"/>
  <c r="DJ150" i="1"/>
  <c r="DD150" i="1"/>
  <c r="DC150" i="1" s="1"/>
  <c r="CW150" i="1"/>
  <c r="CV150" i="1" s="1"/>
  <c r="CP150" i="1"/>
  <c r="CO150" i="1" s="1"/>
  <c r="CN150" i="1"/>
  <c r="CF150" i="1"/>
  <c r="CD150" i="1"/>
  <c r="IE149" i="1"/>
  <c r="HZ149" i="1"/>
  <c r="HS149" i="1"/>
  <c r="HR149" i="1" s="1"/>
  <c r="HL149" i="1"/>
  <c r="HK149" i="1"/>
  <c r="HE149" i="1"/>
  <c r="HD149" i="1"/>
  <c r="GX149" i="1"/>
  <c r="GW149" i="1" s="1"/>
  <c r="GQ149" i="1"/>
  <c r="GP149" i="1" s="1"/>
  <c r="GJ149" i="1"/>
  <c r="GI149" i="1" s="1"/>
  <c r="GC149" i="1"/>
  <c r="GB149" i="1"/>
  <c r="FV149" i="1"/>
  <c r="FU149" i="1" s="1"/>
  <c r="FO149" i="1"/>
  <c r="FN149" i="1" s="1"/>
  <c r="FH149" i="1"/>
  <c r="FG149" i="1"/>
  <c r="FA149" i="1"/>
  <c r="EZ149" i="1"/>
  <c r="ET149" i="1"/>
  <c r="ES149" i="1" s="1"/>
  <c r="EM149" i="1"/>
  <c r="EL149" i="1" s="1"/>
  <c r="EF149" i="1"/>
  <c r="EE149" i="1" s="1"/>
  <c r="DY149" i="1"/>
  <c r="DX149" i="1"/>
  <c r="DR149" i="1"/>
  <c r="DQ149" i="1" s="1"/>
  <c r="DK149" i="1"/>
  <c r="DJ149" i="1" s="1"/>
  <c r="DD149" i="1"/>
  <c r="DC149" i="1"/>
  <c r="CW149" i="1"/>
  <c r="CV149" i="1"/>
  <c r="CP149" i="1"/>
  <c r="CN149" i="1"/>
  <c r="CF149" i="1"/>
  <c r="CD149" i="1"/>
  <c r="IE148" i="1"/>
  <c r="ID148" i="1"/>
  <c r="HZ148" i="1"/>
  <c r="IB148" i="1" s="1"/>
  <c r="HS148" i="1"/>
  <c r="HR148" i="1"/>
  <c r="HL148" i="1"/>
  <c r="HK148" i="1" s="1"/>
  <c r="HE148" i="1"/>
  <c r="HD148" i="1" s="1"/>
  <c r="GX148" i="1"/>
  <c r="GW148" i="1" s="1"/>
  <c r="GQ148" i="1"/>
  <c r="GP148" i="1"/>
  <c r="GJ148" i="1"/>
  <c r="GI148" i="1" s="1"/>
  <c r="GC148" i="1"/>
  <c r="GB148" i="1" s="1"/>
  <c r="FV148" i="1"/>
  <c r="FU148" i="1" s="1"/>
  <c r="FO148" i="1"/>
  <c r="FN148" i="1"/>
  <c r="FH148" i="1"/>
  <c r="FG148" i="1" s="1"/>
  <c r="FA148" i="1"/>
  <c r="EZ148" i="1" s="1"/>
  <c r="ET148" i="1"/>
  <c r="ES148" i="1"/>
  <c r="EM148" i="1"/>
  <c r="EL148" i="1"/>
  <c r="EF148" i="1"/>
  <c r="EE148" i="1" s="1"/>
  <c r="DY148" i="1"/>
  <c r="DX148" i="1" s="1"/>
  <c r="DR148" i="1"/>
  <c r="DQ148" i="1"/>
  <c r="DK148" i="1"/>
  <c r="DJ148" i="1"/>
  <c r="DD148" i="1"/>
  <c r="DC148" i="1" s="1"/>
  <c r="CW148" i="1"/>
  <c r="CV148" i="1" s="1"/>
  <c r="CP148" i="1"/>
  <c r="CO148" i="1" s="1"/>
  <c r="HX148" i="1" s="1"/>
  <c r="CN148" i="1"/>
  <c r="CF148" i="1"/>
  <c r="CD148" i="1"/>
  <c r="IE147" i="1"/>
  <c r="IB147" i="1"/>
  <c r="HZ147" i="1"/>
  <c r="HS147" i="1"/>
  <c r="HR147" i="1" s="1"/>
  <c r="HL147" i="1"/>
  <c r="HK147" i="1"/>
  <c r="HE147" i="1"/>
  <c r="HD147" i="1"/>
  <c r="GX147" i="1"/>
  <c r="GW147" i="1" s="1"/>
  <c r="GQ147" i="1"/>
  <c r="GP147" i="1" s="1"/>
  <c r="GJ147" i="1"/>
  <c r="GI147" i="1" s="1"/>
  <c r="GC147" i="1"/>
  <c r="GB147" i="1"/>
  <c r="FV147" i="1"/>
  <c r="FU147" i="1" s="1"/>
  <c r="FO147" i="1"/>
  <c r="FN147" i="1" s="1"/>
  <c r="FH147" i="1"/>
  <c r="FG147" i="1" s="1"/>
  <c r="FA147" i="1"/>
  <c r="EZ147" i="1"/>
  <c r="ET147" i="1"/>
  <c r="ES147" i="1" s="1"/>
  <c r="EM147" i="1"/>
  <c r="EL147" i="1" s="1"/>
  <c r="EF147" i="1"/>
  <c r="EE147" i="1"/>
  <c r="DY147" i="1"/>
  <c r="DX147" i="1"/>
  <c r="DR147" i="1"/>
  <c r="DQ147" i="1" s="1"/>
  <c r="DK147" i="1"/>
  <c r="DJ147" i="1" s="1"/>
  <c r="DD147" i="1"/>
  <c r="DC147" i="1"/>
  <c r="CW147" i="1"/>
  <c r="CV147" i="1"/>
  <c r="CP147" i="1"/>
  <c r="CN147" i="1"/>
  <c r="CF147" i="1"/>
  <c r="CD147" i="1"/>
  <c r="IE146" i="1"/>
  <c r="HZ146" i="1"/>
  <c r="IB146" i="1" s="1"/>
  <c r="ID146" i="1" s="1"/>
  <c r="HS146" i="1"/>
  <c r="HR146" i="1"/>
  <c r="HL146" i="1"/>
  <c r="HK146" i="1" s="1"/>
  <c r="HE146" i="1"/>
  <c r="HD146" i="1" s="1"/>
  <c r="GX146" i="1"/>
  <c r="GW146" i="1"/>
  <c r="GQ146" i="1"/>
  <c r="GP146" i="1"/>
  <c r="GJ146" i="1"/>
  <c r="GI146" i="1" s="1"/>
  <c r="GC146" i="1"/>
  <c r="GB146" i="1" s="1"/>
  <c r="FV146" i="1"/>
  <c r="FU146" i="1" s="1"/>
  <c r="FO146" i="1"/>
  <c r="FN146" i="1"/>
  <c r="FH146" i="1"/>
  <c r="FG146" i="1" s="1"/>
  <c r="FA146" i="1"/>
  <c r="EZ146" i="1" s="1"/>
  <c r="ET146" i="1"/>
  <c r="ES146" i="1"/>
  <c r="EM146" i="1"/>
  <c r="EL146" i="1"/>
  <c r="EF146" i="1"/>
  <c r="EE146" i="1" s="1"/>
  <c r="DY146" i="1"/>
  <c r="DX146" i="1" s="1"/>
  <c r="DR146" i="1"/>
  <c r="DQ146" i="1" s="1"/>
  <c r="DK146" i="1"/>
  <c r="DJ146" i="1"/>
  <c r="DD146" i="1"/>
  <c r="DC146" i="1" s="1"/>
  <c r="CW146" i="1"/>
  <c r="CV146" i="1" s="1"/>
  <c r="CP146" i="1"/>
  <c r="CO146" i="1"/>
  <c r="CN146" i="1"/>
  <c r="CF146" i="1"/>
  <c r="CD146" i="1"/>
  <c r="IE145" i="1"/>
  <c r="HZ145" i="1"/>
  <c r="HS145" i="1"/>
  <c r="HR145" i="1" s="1"/>
  <c r="HL145" i="1"/>
  <c r="HK145" i="1" s="1"/>
  <c r="HE145" i="1"/>
  <c r="HD145" i="1"/>
  <c r="GX145" i="1"/>
  <c r="GW145" i="1" s="1"/>
  <c r="GQ145" i="1"/>
  <c r="GP145" i="1" s="1"/>
  <c r="GJ145" i="1"/>
  <c r="GI145" i="1" s="1"/>
  <c r="GC145" i="1"/>
  <c r="GB145" i="1"/>
  <c r="FV145" i="1"/>
  <c r="FU145" i="1" s="1"/>
  <c r="FO145" i="1"/>
  <c r="FN145" i="1" s="1"/>
  <c r="FH145" i="1"/>
  <c r="FG145" i="1" s="1"/>
  <c r="FA145" i="1"/>
  <c r="EZ145" i="1"/>
  <c r="ET145" i="1"/>
  <c r="ES145" i="1" s="1"/>
  <c r="EM145" i="1"/>
  <c r="EL145" i="1" s="1"/>
  <c r="EF145" i="1"/>
  <c r="EE145" i="1"/>
  <c r="DY145" i="1"/>
  <c r="DX145" i="1"/>
  <c r="DR145" i="1"/>
  <c r="DQ145" i="1" s="1"/>
  <c r="DK145" i="1"/>
  <c r="DJ145" i="1" s="1"/>
  <c r="DD145" i="1"/>
  <c r="DC145" i="1" s="1"/>
  <c r="CW145" i="1"/>
  <c r="CV145" i="1"/>
  <c r="CP145" i="1"/>
  <c r="CN145" i="1"/>
  <c r="CF145" i="1"/>
  <c r="CD145" i="1"/>
  <c r="IE144" i="1"/>
  <c r="HZ144" i="1"/>
  <c r="IB144" i="1" s="1"/>
  <c r="ID144" i="1" s="1"/>
  <c r="HS144" i="1"/>
  <c r="HR144" i="1"/>
  <c r="HL144" i="1"/>
  <c r="HK144" i="1" s="1"/>
  <c r="HE144" i="1"/>
  <c r="HD144" i="1" s="1"/>
  <c r="GX144" i="1"/>
  <c r="GW144" i="1"/>
  <c r="GQ144" i="1"/>
  <c r="GP144" i="1"/>
  <c r="GJ144" i="1"/>
  <c r="GI144" i="1" s="1"/>
  <c r="GC144" i="1"/>
  <c r="GB144" i="1" s="1"/>
  <c r="FV144" i="1"/>
  <c r="FU144" i="1" s="1"/>
  <c r="FO144" i="1"/>
  <c r="FN144" i="1"/>
  <c r="FH144" i="1"/>
  <c r="FG144" i="1" s="1"/>
  <c r="FA144" i="1"/>
  <c r="EZ144" i="1" s="1"/>
  <c r="ET144" i="1"/>
  <c r="ES144" i="1" s="1"/>
  <c r="EM144" i="1"/>
  <c r="EL144" i="1"/>
  <c r="EF144" i="1"/>
  <c r="EE144" i="1" s="1"/>
  <c r="DY144" i="1"/>
  <c r="DX144" i="1" s="1"/>
  <c r="DR144" i="1"/>
  <c r="DQ144" i="1"/>
  <c r="DK144" i="1"/>
  <c r="DJ144" i="1"/>
  <c r="DD144" i="1"/>
  <c r="DC144" i="1" s="1"/>
  <c r="CW144" i="1"/>
  <c r="CV144" i="1" s="1"/>
  <c r="CP144" i="1"/>
  <c r="CO144" i="1"/>
  <c r="CN144" i="1"/>
  <c r="CF144" i="1"/>
  <c r="CD144" i="1"/>
  <c r="IE143" i="1"/>
  <c r="HZ143" i="1"/>
  <c r="HS143" i="1"/>
  <c r="HR143" i="1" s="1"/>
  <c r="HL143" i="1"/>
  <c r="HK143" i="1"/>
  <c r="HE143" i="1"/>
  <c r="HD143" i="1"/>
  <c r="GX143" i="1"/>
  <c r="GW143" i="1" s="1"/>
  <c r="GQ143" i="1"/>
  <c r="GP143" i="1" s="1"/>
  <c r="GJ143" i="1"/>
  <c r="GI143" i="1"/>
  <c r="GC143" i="1"/>
  <c r="GB143" i="1"/>
  <c r="FV143" i="1"/>
  <c r="FU143" i="1" s="1"/>
  <c r="FO143" i="1"/>
  <c r="FN143" i="1" s="1"/>
  <c r="FH143" i="1"/>
  <c r="FG143" i="1" s="1"/>
  <c r="FA143" i="1"/>
  <c r="EZ143" i="1"/>
  <c r="ET143" i="1"/>
  <c r="ES143" i="1" s="1"/>
  <c r="EM143" i="1"/>
  <c r="EL143" i="1" s="1"/>
  <c r="EF143" i="1"/>
  <c r="EE143" i="1" s="1"/>
  <c r="DY143" i="1"/>
  <c r="DX143" i="1"/>
  <c r="DR143" i="1"/>
  <c r="DQ143" i="1" s="1"/>
  <c r="DK143" i="1"/>
  <c r="DJ143" i="1" s="1"/>
  <c r="DD143" i="1"/>
  <c r="DC143" i="1"/>
  <c r="CW143" i="1"/>
  <c r="CV143" i="1"/>
  <c r="CP143" i="1"/>
  <c r="CN143" i="1"/>
  <c r="CF143" i="1"/>
  <c r="CD143" i="1"/>
  <c r="IE142" i="1"/>
  <c r="ID142" i="1"/>
  <c r="HZ142" i="1"/>
  <c r="IB142" i="1" s="1"/>
  <c r="HS142" i="1"/>
  <c r="HR142" i="1"/>
  <c r="HL142" i="1"/>
  <c r="HK142" i="1" s="1"/>
  <c r="HE142" i="1"/>
  <c r="HD142" i="1" s="1"/>
  <c r="GX142" i="1"/>
  <c r="GW142" i="1" s="1"/>
  <c r="GQ142" i="1"/>
  <c r="GP142" i="1"/>
  <c r="GJ142" i="1"/>
  <c r="GI142" i="1" s="1"/>
  <c r="GC142" i="1"/>
  <c r="GB142" i="1" s="1"/>
  <c r="FV142" i="1"/>
  <c r="FU142" i="1"/>
  <c r="FO142" i="1"/>
  <c r="FN142" i="1"/>
  <c r="FH142" i="1"/>
  <c r="FG142" i="1" s="1"/>
  <c r="FA142" i="1"/>
  <c r="EZ142" i="1" s="1"/>
  <c r="ET142" i="1"/>
  <c r="ES142" i="1" s="1"/>
  <c r="EM142" i="1"/>
  <c r="EL142" i="1"/>
  <c r="EF142" i="1"/>
  <c r="EE142" i="1" s="1"/>
  <c r="DY142" i="1"/>
  <c r="DX142" i="1" s="1"/>
  <c r="DR142" i="1"/>
  <c r="DQ142" i="1"/>
  <c r="DK142" i="1"/>
  <c r="DJ142" i="1"/>
  <c r="DD142" i="1"/>
  <c r="DC142" i="1" s="1"/>
  <c r="CW142" i="1"/>
  <c r="CV142" i="1" s="1"/>
  <c r="CP142" i="1"/>
  <c r="CO142" i="1" s="1"/>
  <c r="HX142" i="1" s="1"/>
  <c r="CN142" i="1"/>
  <c r="CF142" i="1"/>
  <c r="CD142" i="1"/>
  <c r="IE141" i="1"/>
  <c r="IB141" i="1"/>
  <c r="HZ141" i="1"/>
  <c r="HS141" i="1"/>
  <c r="HR141" i="1" s="1"/>
  <c r="HL141" i="1"/>
  <c r="HK141" i="1"/>
  <c r="HE141" i="1"/>
  <c r="HD141" i="1"/>
  <c r="GX141" i="1"/>
  <c r="GW141" i="1" s="1"/>
  <c r="GQ141" i="1"/>
  <c r="GP141" i="1" s="1"/>
  <c r="GJ141" i="1"/>
  <c r="GI141" i="1" s="1"/>
  <c r="GC141" i="1"/>
  <c r="GB141" i="1"/>
  <c r="FV141" i="1"/>
  <c r="FU141" i="1" s="1"/>
  <c r="FO141" i="1"/>
  <c r="FN141" i="1" s="1"/>
  <c r="FH141" i="1"/>
  <c r="FG141" i="1"/>
  <c r="FA141" i="1"/>
  <c r="EZ141" i="1"/>
  <c r="ET141" i="1"/>
  <c r="ES141" i="1" s="1"/>
  <c r="EM141" i="1"/>
  <c r="EL141" i="1" s="1"/>
  <c r="EF141" i="1"/>
  <c r="EE141" i="1" s="1"/>
  <c r="DY141" i="1"/>
  <c r="DX141" i="1"/>
  <c r="DR141" i="1"/>
  <c r="DQ141" i="1" s="1"/>
  <c r="DK141" i="1"/>
  <c r="DJ141" i="1" s="1"/>
  <c r="DD141" i="1"/>
  <c r="DC141" i="1"/>
  <c r="CW141" i="1"/>
  <c r="CV141" i="1"/>
  <c r="CP141" i="1"/>
  <c r="HY141" i="1" s="1"/>
  <c r="CN141" i="1"/>
  <c r="CF141" i="1"/>
  <c r="CD141" i="1"/>
  <c r="IE140" i="1"/>
  <c r="ID140" i="1"/>
  <c r="HZ140" i="1"/>
  <c r="IB140" i="1" s="1"/>
  <c r="HS140" i="1"/>
  <c r="HR140" i="1"/>
  <c r="HL140" i="1"/>
  <c r="HK140" i="1" s="1"/>
  <c r="HE140" i="1"/>
  <c r="HD140" i="1" s="1"/>
  <c r="GX140" i="1"/>
  <c r="GW140" i="1"/>
  <c r="GQ140" i="1"/>
  <c r="GP140" i="1"/>
  <c r="GJ140" i="1"/>
  <c r="GI140" i="1" s="1"/>
  <c r="GC140" i="1"/>
  <c r="GB140" i="1" s="1"/>
  <c r="FV140" i="1"/>
  <c r="FU140" i="1"/>
  <c r="FO140" i="1"/>
  <c r="FN140" i="1"/>
  <c r="FH140" i="1"/>
  <c r="FG140" i="1" s="1"/>
  <c r="FA140" i="1"/>
  <c r="EZ140" i="1" s="1"/>
  <c r="ET140" i="1"/>
  <c r="ES140" i="1" s="1"/>
  <c r="EM140" i="1"/>
  <c r="EL140" i="1"/>
  <c r="EF140" i="1"/>
  <c r="EE140" i="1" s="1"/>
  <c r="DY140" i="1"/>
  <c r="DX140" i="1" s="1"/>
  <c r="DR140" i="1"/>
  <c r="DQ140" i="1" s="1"/>
  <c r="DK140" i="1"/>
  <c r="DJ140" i="1"/>
  <c r="DD140" i="1"/>
  <c r="DC140" i="1" s="1"/>
  <c r="CW140" i="1"/>
  <c r="CV140" i="1" s="1"/>
  <c r="CP140" i="1"/>
  <c r="CO140" i="1"/>
  <c r="CN140" i="1"/>
  <c r="CF140" i="1"/>
  <c r="CD140" i="1"/>
  <c r="IE139" i="1"/>
  <c r="IB139" i="1"/>
  <c r="HZ139" i="1"/>
  <c r="HS139" i="1"/>
  <c r="HR139" i="1" s="1"/>
  <c r="HL139" i="1"/>
  <c r="HK139" i="1" s="1"/>
  <c r="HE139" i="1"/>
  <c r="HD139" i="1"/>
  <c r="GX139" i="1"/>
  <c r="GW139" i="1" s="1"/>
  <c r="GQ139" i="1"/>
  <c r="GP139" i="1" s="1"/>
  <c r="GJ139" i="1"/>
  <c r="GI139" i="1"/>
  <c r="GC139" i="1"/>
  <c r="GB139" i="1"/>
  <c r="FV139" i="1"/>
  <c r="FU139" i="1" s="1"/>
  <c r="FO139" i="1"/>
  <c r="FN139" i="1" s="1"/>
  <c r="FH139" i="1"/>
  <c r="FG139" i="1"/>
  <c r="FA139" i="1"/>
  <c r="EZ139" i="1"/>
  <c r="ET139" i="1"/>
  <c r="ES139" i="1" s="1"/>
  <c r="EM139" i="1"/>
  <c r="EL139" i="1" s="1"/>
  <c r="EF139" i="1"/>
  <c r="EE139" i="1" s="1"/>
  <c r="DY139" i="1"/>
  <c r="DX139" i="1"/>
  <c r="DR139" i="1"/>
  <c r="DQ139" i="1" s="1"/>
  <c r="DK139" i="1"/>
  <c r="DJ139" i="1" s="1"/>
  <c r="DD139" i="1"/>
  <c r="DC139" i="1" s="1"/>
  <c r="CW139" i="1"/>
  <c r="CV139" i="1" s="1"/>
  <c r="CP139" i="1"/>
  <c r="CN139" i="1"/>
  <c r="CF139" i="1"/>
  <c r="CD139" i="1"/>
  <c r="IE138" i="1"/>
  <c r="HZ138" i="1"/>
  <c r="IB138" i="1" s="1"/>
  <c r="ID138" i="1" s="1"/>
  <c r="HS138" i="1"/>
  <c r="HR138" i="1" s="1"/>
  <c r="HL138" i="1"/>
  <c r="HK138" i="1" s="1"/>
  <c r="HE138" i="1"/>
  <c r="HD138" i="1" s="1"/>
  <c r="GX138" i="1"/>
  <c r="GW138" i="1"/>
  <c r="GQ138" i="1"/>
  <c r="GP138" i="1" s="1"/>
  <c r="GJ138" i="1"/>
  <c r="GI138" i="1" s="1"/>
  <c r="GC138" i="1"/>
  <c r="FV138" i="1"/>
  <c r="FU138" i="1" s="1"/>
  <c r="FO138" i="1"/>
  <c r="FN138" i="1"/>
  <c r="FH138" i="1"/>
  <c r="FG138" i="1" s="1"/>
  <c r="FA138" i="1"/>
  <c r="EZ138" i="1" s="1"/>
  <c r="ET138" i="1"/>
  <c r="ES138" i="1"/>
  <c r="EM138" i="1"/>
  <c r="EL138" i="1" s="1"/>
  <c r="EF138" i="1"/>
  <c r="EE138" i="1" s="1"/>
  <c r="DY138" i="1"/>
  <c r="DX138" i="1" s="1"/>
  <c r="DR138" i="1"/>
  <c r="DQ138" i="1" s="1"/>
  <c r="DK138" i="1"/>
  <c r="DJ138" i="1"/>
  <c r="DD138" i="1"/>
  <c r="DC138" i="1" s="1"/>
  <c r="CW138" i="1"/>
  <c r="CV138" i="1" s="1"/>
  <c r="CP138" i="1"/>
  <c r="CO138" i="1"/>
  <c r="CN138" i="1"/>
  <c r="CF138" i="1"/>
  <c r="CD138" i="1"/>
  <c r="IE137" i="1"/>
  <c r="HZ137" i="1"/>
  <c r="HS137" i="1"/>
  <c r="HR137" i="1" s="1"/>
  <c r="HL137" i="1"/>
  <c r="HK137" i="1"/>
  <c r="HE137" i="1"/>
  <c r="HD137" i="1" s="1"/>
  <c r="GX137" i="1"/>
  <c r="GW137" i="1" s="1"/>
  <c r="GQ137" i="1"/>
  <c r="GP137" i="1" s="1"/>
  <c r="GJ137" i="1"/>
  <c r="GI137" i="1"/>
  <c r="GC137" i="1"/>
  <c r="GB137" i="1"/>
  <c r="FV137" i="1"/>
  <c r="FU137" i="1" s="1"/>
  <c r="FO137" i="1"/>
  <c r="FN137" i="1" s="1"/>
  <c r="FH137" i="1"/>
  <c r="FG137" i="1" s="1"/>
  <c r="FA137" i="1"/>
  <c r="EZ137" i="1"/>
  <c r="ET137" i="1"/>
  <c r="ES137" i="1" s="1"/>
  <c r="EM137" i="1"/>
  <c r="EL137" i="1" s="1"/>
  <c r="EF137" i="1"/>
  <c r="EE137" i="1" s="1"/>
  <c r="DY137" i="1"/>
  <c r="DX137" i="1" s="1"/>
  <c r="DR137" i="1"/>
  <c r="DQ137" i="1" s="1"/>
  <c r="DK137" i="1"/>
  <c r="DJ137" i="1" s="1"/>
  <c r="DD137" i="1"/>
  <c r="DC137" i="1"/>
  <c r="CW137" i="1"/>
  <c r="CV137" i="1" s="1"/>
  <c r="CP137" i="1"/>
  <c r="CN137" i="1"/>
  <c r="CF137" i="1"/>
  <c r="CD137" i="1"/>
  <c r="IE136" i="1"/>
  <c r="ID136" i="1"/>
  <c r="HZ136" i="1"/>
  <c r="IB136" i="1" s="1"/>
  <c r="HS136" i="1"/>
  <c r="HR136" i="1" s="1"/>
  <c r="HL136" i="1"/>
  <c r="HK136" i="1" s="1"/>
  <c r="HE136" i="1"/>
  <c r="HD136" i="1" s="1"/>
  <c r="GX136" i="1"/>
  <c r="GW136" i="1" s="1"/>
  <c r="GQ136" i="1"/>
  <c r="GP136" i="1"/>
  <c r="GJ136" i="1"/>
  <c r="GI136" i="1" s="1"/>
  <c r="GC136" i="1"/>
  <c r="GB136" i="1" s="1"/>
  <c r="FV136" i="1"/>
  <c r="FU136" i="1"/>
  <c r="FO136" i="1"/>
  <c r="FN136" i="1" s="1"/>
  <c r="FH136" i="1"/>
  <c r="FG136" i="1" s="1"/>
  <c r="FA136" i="1"/>
  <c r="EZ136" i="1" s="1"/>
  <c r="ET136" i="1"/>
  <c r="ES136" i="1" s="1"/>
  <c r="EM136" i="1"/>
  <c r="EL136" i="1"/>
  <c r="EF136" i="1"/>
  <c r="EE136" i="1" s="1"/>
  <c r="DY136" i="1"/>
  <c r="DX136" i="1" s="1"/>
  <c r="DR136" i="1"/>
  <c r="DQ136" i="1"/>
  <c r="DK136" i="1"/>
  <c r="DJ136" i="1" s="1"/>
  <c r="DD136" i="1"/>
  <c r="DC136" i="1" s="1"/>
  <c r="CW136" i="1"/>
  <c r="CV136" i="1" s="1"/>
  <c r="CP136" i="1"/>
  <c r="CO136" i="1" s="1"/>
  <c r="CN136" i="1"/>
  <c r="CF136" i="1"/>
  <c r="CD136" i="1"/>
  <c r="IE135" i="1"/>
  <c r="IB135" i="1"/>
  <c r="HZ135" i="1"/>
  <c r="HS135" i="1"/>
  <c r="HR135" i="1" s="1"/>
  <c r="HL135" i="1"/>
  <c r="HK135" i="1"/>
  <c r="HE135" i="1"/>
  <c r="HD135" i="1"/>
  <c r="GX135" i="1"/>
  <c r="GW135" i="1" s="1"/>
  <c r="GQ135" i="1"/>
  <c r="GP135" i="1" s="1"/>
  <c r="GJ135" i="1"/>
  <c r="GI135" i="1" s="1"/>
  <c r="GC135" i="1"/>
  <c r="GB135" i="1"/>
  <c r="FV135" i="1"/>
  <c r="FU135" i="1" s="1"/>
  <c r="FO135" i="1"/>
  <c r="FN135" i="1" s="1"/>
  <c r="FH135" i="1"/>
  <c r="FG135" i="1" s="1"/>
  <c r="FA135" i="1"/>
  <c r="EZ135" i="1" s="1"/>
  <c r="ET135" i="1"/>
  <c r="ES135" i="1" s="1"/>
  <c r="EM135" i="1"/>
  <c r="EL135" i="1" s="1"/>
  <c r="EF135" i="1"/>
  <c r="EE135" i="1"/>
  <c r="DY135" i="1"/>
  <c r="DX135" i="1" s="1"/>
  <c r="DR135" i="1"/>
  <c r="DQ135" i="1" s="1"/>
  <c r="DK135" i="1"/>
  <c r="DJ135" i="1" s="1"/>
  <c r="DD135" i="1"/>
  <c r="DC135" i="1"/>
  <c r="CW135" i="1"/>
  <c r="CV135" i="1"/>
  <c r="CP135" i="1"/>
  <c r="CN135" i="1"/>
  <c r="CF135" i="1"/>
  <c r="CD135" i="1"/>
  <c r="IE134" i="1"/>
  <c r="HZ134" i="1"/>
  <c r="IB134" i="1" s="1"/>
  <c r="ID134" i="1" s="1"/>
  <c r="HS134" i="1"/>
  <c r="HR134" i="1"/>
  <c r="HL134" i="1"/>
  <c r="HK134" i="1" s="1"/>
  <c r="HE134" i="1"/>
  <c r="HD134" i="1" s="1"/>
  <c r="GX134" i="1"/>
  <c r="GW134" i="1"/>
  <c r="GQ134" i="1"/>
  <c r="GP134" i="1" s="1"/>
  <c r="GJ134" i="1"/>
  <c r="GI134" i="1" s="1"/>
  <c r="GC134" i="1"/>
  <c r="GB134" i="1" s="1"/>
  <c r="FV134" i="1"/>
  <c r="FU134" i="1" s="1"/>
  <c r="FO134" i="1"/>
  <c r="FN134" i="1"/>
  <c r="FH134" i="1"/>
  <c r="FG134" i="1" s="1"/>
  <c r="FA134" i="1"/>
  <c r="EZ134" i="1" s="1"/>
  <c r="ET134" i="1"/>
  <c r="ES134" i="1"/>
  <c r="EM134" i="1"/>
  <c r="EL134" i="1" s="1"/>
  <c r="EF134" i="1"/>
  <c r="EE134" i="1" s="1"/>
  <c r="DY134" i="1"/>
  <c r="DX134" i="1" s="1"/>
  <c r="DR134" i="1"/>
  <c r="DQ134" i="1" s="1"/>
  <c r="DK134" i="1"/>
  <c r="DJ134" i="1"/>
  <c r="DD134" i="1"/>
  <c r="DC134" i="1" s="1"/>
  <c r="CW134" i="1"/>
  <c r="CV134" i="1" s="1"/>
  <c r="CP134" i="1"/>
  <c r="CN134" i="1"/>
  <c r="CF134" i="1"/>
  <c r="CD134" i="1"/>
  <c r="IE133" i="1"/>
  <c r="HZ133" i="1"/>
  <c r="HS133" i="1"/>
  <c r="HR133" i="1" s="1"/>
  <c r="HL133" i="1"/>
  <c r="HK133" i="1" s="1"/>
  <c r="HE133" i="1"/>
  <c r="HD133" i="1"/>
  <c r="GX133" i="1"/>
  <c r="GW133" i="1" s="1"/>
  <c r="GQ133" i="1"/>
  <c r="GP133" i="1" s="1"/>
  <c r="GJ133" i="1"/>
  <c r="GI133" i="1" s="1"/>
  <c r="GC133" i="1"/>
  <c r="GB133" i="1" s="1"/>
  <c r="FV133" i="1"/>
  <c r="FU133" i="1" s="1"/>
  <c r="FO133" i="1"/>
  <c r="FN133" i="1" s="1"/>
  <c r="FH133" i="1"/>
  <c r="FG133" i="1"/>
  <c r="FA133" i="1"/>
  <c r="EZ133" i="1" s="1"/>
  <c r="ET133" i="1"/>
  <c r="ES133" i="1" s="1"/>
  <c r="EM133" i="1"/>
  <c r="EL133" i="1" s="1"/>
  <c r="EF133" i="1"/>
  <c r="EE133" i="1"/>
  <c r="DY133" i="1"/>
  <c r="DX133" i="1"/>
  <c r="DR133" i="1"/>
  <c r="DQ133" i="1" s="1"/>
  <c r="DK133" i="1"/>
  <c r="DJ133" i="1" s="1"/>
  <c r="DD133" i="1"/>
  <c r="DC133" i="1" s="1"/>
  <c r="CW133" i="1"/>
  <c r="CV133" i="1"/>
  <c r="CP133" i="1"/>
  <c r="CN133" i="1"/>
  <c r="CF133" i="1"/>
  <c r="CD133" i="1"/>
  <c r="IE132" i="1"/>
  <c r="HZ132" i="1"/>
  <c r="IB132" i="1" s="1"/>
  <c r="ID132" i="1" s="1"/>
  <c r="HY132" i="1"/>
  <c r="HS132" i="1"/>
  <c r="HR132" i="1" s="1"/>
  <c r="HL132" i="1"/>
  <c r="HK132" i="1" s="1"/>
  <c r="HE132" i="1"/>
  <c r="HD132" i="1" s="1"/>
  <c r="GX132" i="1"/>
  <c r="GW132" i="1" s="1"/>
  <c r="GQ132" i="1"/>
  <c r="GP132" i="1" s="1"/>
  <c r="GJ132" i="1"/>
  <c r="GI132" i="1" s="1"/>
  <c r="GC132" i="1"/>
  <c r="GB132" i="1" s="1"/>
  <c r="FV132" i="1"/>
  <c r="FU132" i="1"/>
  <c r="FO132" i="1"/>
  <c r="FN132" i="1" s="1"/>
  <c r="FH132" i="1"/>
  <c r="FG132" i="1" s="1"/>
  <c r="FA132" i="1"/>
  <c r="EZ132" i="1" s="1"/>
  <c r="ET132" i="1"/>
  <c r="ES132" i="1" s="1"/>
  <c r="EM132" i="1"/>
  <c r="EL132" i="1"/>
  <c r="EF132" i="1"/>
  <c r="EE132" i="1" s="1"/>
  <c r="DY132" i="1"/>
  <c r="DX132" i="1" s="1"/>
  <c r="DR132" i="1"/>
  <c r="DQ132" i="1"/>
  <c r="DK132" i="1"/>
  <c r="DJ132" i="1" s="1"/>
  <c r="DD132" i="1"/>
  <c r="DC132" i="1" s="1"/>
  <c r="CW132" i="1"/>
  <c r="CV132" i="1" s="1"/>
  <c r="CP132" i="1"/>
  <c r="CO132" i="1" s="1"/>
  <c r="HX132" i="1" s="1"/>
  <c r="CN132" i="1"/>
  <c r="CF132" i="1"/>
  <c r="CD132" i="1"/>
  <c r="IE131" i="1"/>
  <c r="HZ131" i="1"/>
  <c r="HS131" i="1"/>
  <c r="HR131" i="1" s="1"/>
  <c r="HL131" i="1"/>
  <c r="HK131" i="1" s="1"/>
  <c r="HE131" i="1"/>
  <c r="HD131" i="1" s="1"/>
  <c r="GX131" i="1"/>
  <c r="GW131" i="1" s="1"/>
  <c r="GQ131" i="1"/>
  <c r="GP131" i="1" s="1"/>
  <c r="GJ131" i="1"/>
  <c r="GI131" i="1"/>
  <c r="GC131" i="1"/>
  <c r="GB131" i="1" s="1"/>
  <c r="FV131" i="1"/>
  <c r="FU131" i="1" s="1"/>
  <c r="FO131" i="1"/>
  <c r="FN131" i="1" s="1"/>
  <c r="FH131" i="1"/>
  <c r="FG131" i="1"/>
  <c r="FA131" i="1"/>
  <c r="EZ131" i="1"/>
  <c r="ET131" i="1"/>
  <c r="ES131" i="1" s="1"/>
  <c r="EM131" i="1"/>
  <c r="EL131" i="1" s="1"/>
  <c r="EF131" i="1"/>
  <c r="EE131" i="1" s="1"/>
  <c r="DY131" i="1"/>
  <c r="DX131" i="1"/>
  <c r="DR131" i="1"/>
  <c r="DQ131" i="1" s="1"/>
  <c r="DK131" i="1"/>
  <c r="DJ131" i="1" s="1"/>
  <c r="DD131" i="1"/>
  <c r="DC131" i="1" s="1"/>
  <c r="CW131" i="1"/>
  <c r="CV131" i="1" s="1"/>
  <c r="CP131" i="1"/>
  <c r="CN131" i="1"/>
  <c r="CF131" i="1"/>
  <c r="CD131" i="1"/>
  <c r="IE130" i="1"/>
  <c r="HZ130" i="1"/>
  <c r="IB130" i="1" s="1"/>
  <c r="ID130" i="1" s="1"/>
  <c r="HS130" i="1"/>
  <c r="HR130" i="1"/>
  <c r="HL130" i="1"/>
  <c r="HK130" i="1" s="1"/>
  <c r="HE130" i="1"/>
  <c r="HD130" i="1" s="1"/>
  <c r="GX130" i="1"/>
  <c r="GW130" i="1"/>
  <c r="GQ130" i="1"/>
  <c r="GP130" i="1" s="1"/>
  <c r="GJ130" i="1"/>
  <c r="GI130" i="1" s="1"/>
  <c r="GC130" i="1"/>
  <c r="GB130" i="1" s="1"/>
  <c r="FV130" i="1"/>
  <c r="FU130" i="1" s="1"/>
  <c r="FO130" i="1"/>
  <c r="FN130" i="1"/>
  <c r="FH130" i="1"/>
  <c r="FG130" i="1" s="1"/>
  <c r="FA130" i="1"/>
  <c r="EZ130" i="1" s="1"/>
  <c r="ET130" i="1"/>
  <c r="ES130" i="1" s="1"/>
  <c r="EM130" i="1"/>
  <c r="EL130" i="1" s="1"/>
  <c r="EF130" i="1"/>
  <c r="EE130" i="1" s="1"/>
  <c r="DY130" i="1"/>
  <c r="DX130" i="1" s="1"/>
  <c r="DR130" i="1"/>
  <c r="DQ130" i="1" s="1"/>
  <c r="DK130" i="1"/>
  <c r="DD130" i="1"/>
  <c r="DC130" i="1" s="1"/>
  <c r="CW130" i="1"/>
  <c r="CV130" i="1" s="1"/>
  <c r="CP130" i="1"/>
  <c r="CO130" i="1"/>
  <c r="CN130" i="1"/>
  <c r="CF130" i="1"/>
  <c r="CD130" i="1"/>
  <c r="IE129" i="1"/>
  <c r="HZ129" i="1"/>
  <c r="HS129" i="1"/>
  <c r="HR129" i="1" s="1"/>
  <c r="HL129" i="1"/>
  <c r="HK129" i="1"/>
  <c r="HE129" i="1"/>
  <c r="HD129" i="1" s="1"/>
  <c r="GX129" i="1"/>
  <c r="GW129" i="1" s="1"/>
  <c r="GQ129" i="1"/>
  <c r="GP129" i="1" s="1"/>
  <c r="GJ129" i="1"/>
  <c r="GI129" i="1"/>
  <c r="GC129" i="1"/>
  <c r="GB129" i="1"/>
  <c r="FV129" i="1"/>
  <c r="FU129" i="1" s="1"/>
  <c r="FO129" i="1"/>
  <c r="FN129" i="1" s="1"/>
  <c r="FH129" i="1"/>
  <c r="FG129" i="1" s="1"/>
  <c r="FA129" i="1"/>
  <c r="EZ129" i="1"/>
  <c r="ET129" i="1"/>
  <c r="ES129" i="1" s="1"/>
  <c r="EM129" i="1"/>
  <c r="EL129" i="1" s="1"/>
  <c r="EF129" i="1"/>
  <c r="EE129" i="1" s="1"/>
  <c r="DY129" i="1"/>
  <c r="DX129" i="1" s="1"/>
  <c r="DR129" i="1"/>
  <c r="DQ129" i="1" s="1"/>
  <c r="DK129" i="1"/>
  <c r="DJ129" i="1" s="1"/>
  <c r="DD129" i="1"/>
  <c r="DC129" i="1"/>
  <c r="CW129" i="1"/>
  <c r="CV129" i="1" s="1"/>
  <c r="CP129" i="1"/>
  <c r="CN129" i="1"/>
  <c r="CF129" i="1"/>
  <c r="CD129" i="1"/>
  <c r="IE128" i="1"/>
  <c r="ID128" i="1"/>
  <c r="HZ128" i="1"/>
  <c r="IB128" i="1" s="1"/>
  <c r="HS128" i="1"/>
  <c r="HR128" i="1"/>
  <c r="HL128" i="1"/>
  <c r="HK128" i="1" s="1"/>
  <c r="HE128" i="1"/>
  <c r="HD128" i="1" s="1"/>
  <c r="GX128" i="1"/>
  <c r="GW128" i="1" s="1"/>
  <c r="GQ128" i="1"/>
  <c r="GP128" i="1"/>
  <c r="GJ128" i="1"/>
  <c r="GI128" i="1" s="1"/>
  <c r="GC128" i="1"/>
  <c r="GB128" i="1" s="1"/>
  <c r="FV128" i="1"/>
  <c r="FU128" i="1" s="1"/>
  <c r="FO128" i="1"/>
  <c r="FN128" i="1" s="1"/>
  <c r="FH128" i="1"/>
  <c r="FG128" i="1" s="1"/>
  <c r="FA128" i="1"/>
  <c r="EZ128" i="1" s="1"/>
  <c r="ET128" i="1"/>
  <c r="ES128" i="1"/>
  <c r="EM128" i="1"/>
  <c r="EL128" i="1" s="1"/>
  <c r="EF128" i="1"/>
  <c r="EE128" i="1" s="1"/>
  <c r="DY128" i="1"/>
  <c r="DX128" i="1" s="1"/>
  <c r="DR128" i="1"/>
  <c r="DQ128" i="1"/>
  <c r="DK128" i="1"/>
  <c r="DJ128" i="1"/>
  <c r="DD128" i="1"/>
  <c r="CW128" i="1"/>
  <c r="CV128" i="1" s="1"/>
  <c r="CP128" i="1"/>
  <c r="CO128" i="1" s="1"/>
  <c r="CN128" i="1"/>
  <c r="CF128" i="1"/>
  <c r="CD128" i="1"/>
  <c r="IE127" i="1"/>
  <c r="IB127" i="1"/>
  <c r="HZ127" i="1"/>
  <c r="HS127" i="1"/>
  <c r="HR127" i="1" s="1"/>
  <c r="HL127" i="1"/>
  <c r="HK127" i="1"/>
  <c r="HE127" i="1"/>
  <c r="HD127" i="1" s="1"/>
  <c r="GX127" i="1"/>
  <c r="GW127" i="1" s="1"/>
  <c r="GQ127" i="1"/>
  <c r="GP127" i="1" s="1"/>
  <c r="GJ127" i="1"/>
  <c r="GI127" i="1"/>
  <c r="GC127" i="1"/>
  <c r="GB127" i="1"/>
  <c r="FV127" i="1"/>
  <c r="FU127" i="1" s="1"/>
  <c r="FO127" i="1"/>
  <c r="FN127" i="1" s="1"/>
  <c r="FH127" i="1"/>
  <c r="FG127" i="1" s="1"/>
  <c r="FA127" i="1"/>
  <c r="EZ127" i="1"/>
  <c r="ET127" i="1"/>
  <c r="ES127" i="1" s="1"/>
  <c r="EM127" i="1"/>
  <c r="EL127" i="1" s="1"/>
  <c r="EF127" i="1"/>
  <c r="EE127" i="1" s="1"/>
  <c r="DY127" i="1"/>
  <c r="DX127" i="1" s="1"/>
  <c r="DR127" i="1"/>
  <c r="DQ127" i="1" s="1"/>
  <c r="DK127" i="1"/>
  <c r="DJ127" i="1" s="1"/>
  <c r="DD127" i="1"/>
  <c r="DC127" i="1"/>
  <c r="CW127" i="1"/>
  <c r="CP127" i="1"/>
  <c r="CO127" i="1" s="1"/>
  <c r="CN127" i="1"/>
  <c r="CF127" i="1"/>
  <c r="CD127" i="1"/>
  <c r="IE126" i="1"/>
  <c r="ID126" i="1"/>
  <c r="HZ126" i="1"/>
  <c r="IB126" i="1" s="1"/>
  <c r="HS126" i="1"/>
  <c r="HR126" i="1"/>
  <c r="HL126" i="1"/>
  <c r="HK126" i="1" s="1"/>
  <c r="HE126" i="1"/>
  <c r="HD126" i="1" s="1"/>
  <c r="GX126" i="1"/>
  <c r="GW126" i="1" s="1"/>
  <c r="GQ126" i="1"/>
  <c r="GP126" i="1"/>
  <c r="GJ126" i="1"/>
  <c r="GI126" i="1" s="1"/>
  <c r="GC126" i="1"/>
  <c r="GB126" i="1" s="1"/>
  <c r="FV126" i="1"/>
  <c r="FU126" i="1" s="1"/>
  <c r="FO126" i="1"/>
  <c r="FN126" i="1" s="1"/>
  <c r="FH126" i="1"/>
  <c r="FG126" i="1" s="1"/>
  <c r="FA126" i="1"/>
  <c r="EZ126" i="1" s="1"/>
  <c r="ET126" i="1"/>
  <c r="ES126" i="1"/>
  <c r="EM126" i="1"/>
  <c r="EL126" i="1" s="1"/>
  <c r="EF126" i="1"/>
  <c r="EE126" i="1" s="1"/>
  <c r="DY126" i="1"/>
  <c r="DX126" i="1" s="1"/>
  <c r="DR126" i="1"/>
  <c r="DQ126" i="1"/>
  <c r="DK126" i="1"/>
  <c r="DJ126" i="1"/>
  <c r="DD126" i="1"/>
  <c r="CW126" i="1"/>
  <c r="CV126" i="1" s="1"/>
  <c r="CP126" i="1"/>
  <c r="CO126" i="1" s="1"/>
  <c r="CN126" i="1"/>
  <c r="CF126" i="1"/>
  <c r="CD126" i="1"/>
  <c r="IE125" i="1"/>
  <c r="IB125" i="1"/>
  <c r="HZ125" i="1"/>
  <c r="HS125" i="1"/>
  <c r="HR125" i="1" s="1"/>
  <c r="HL125" i="1"/>
  <c r="HK125" i="1"/>
  <c r="HE125" i="1"/>
  <c r="HD125" i="1" s="1"/>
  <c r="GX125" i="1"/>
  <c r="GW125" i="1" s="1"/>
  <c r="GQ125" i="1"/>
  <c r="GP125" i="1" s="1"/>
  <c r="GJ125" i="1"/>
  <c r="GI125" i="1"/>
  <c r="GC125" i="1"/>
  <c r="GB125" i="1"/>
  <c r="FV125" i="1"/>
  <c r="FU125" i="1" s="1"/>
  <c r="FO125" i="1"/>
  <c r="FN125" i="1" s="1"/>
  <c r="FH125" i="1"/>
  <c r="FG125" i="1" s="1"/>
  <c r="FA125" i="1"/>
  <c r="EZ125" i="1"/>
  <c r="ET125" i="1"/>
  <c r="ES125" i="1" s="1"/>
  <c r="EM125" i="1"/>
  <c r="EL125" i="1" s="1"/>
  <c r="EF125" i="1"/>
  <c r="EE125" i="1" s="1"/>
  <c r="DY125" i="1"/>
  <c r="DX125" i="1" s="1"/>
  <c r="DR125" i="1"/>
  <c r="DQ125" i="1" s="1"/>
  <c r="DK125" i="1"/>
  <c r="DJ125" i="1" s="1"/>
  <c r="DD125" i="1"/>
  <c r="DC125" i="1"/>
  <c r="CW125" i="1"/>
  <c r="CP125" i="1"/>
  <c r="CO125" i="1" s="1"/>
  <c r="CN125" i="1"/>
  <c r="CF125" i="1"/>
  <c r="CD125" i="1"/>
  <c r="IE124" i="1"/>
  <c r="ID124" i="1"/>
  <c r="HZ124" i="1"/>
  <c r="IB124" i="1" s="1"/>
  <c r="HS124" i="1"/>
  <c r="HR124" i="1"/>
  <c r="HL124" i="1"/>
  <c r="HK124" i="1" s="1"/>
  <c r="HE124" i="1"/>
  <c r="HD124" i="1" s="1"/>
  <c r="GX124" i="1"/>
  <c r="GW124" i="1"/>
  <c r="GQ124" i="1"/>
  <c r="GP124" i="1" s="1"/>
  <c r="GJ124" i="1"/>
  <c r="GI124" i="1" s="1"/>
  <c r="HX124" i="1" s="1"/>
  <c r="GC124" i="1"/>
  <c r="GB124" i="1" s="1"/>
  <c r="FV124" i="1"/>
  <c r="FU124" i="1" s="1"/>
  <c r="FO124" i="1"/>
  <c r="FN124" i="1"/>
  <c r="FH124" i="1"/>
  <c r="FG124" i="1" s="1"/>
  <c r="FA124" i="1"/>
  <c r="EZ124" i="1" s="1"/>
  <c r="ET124" i="1"/>
  <c r="ES124" i="1" s="1"/>
  <c r="EM124" i="1"/>
  <c r="EL124" i="1"/>
  <c r="EF124" i="1"/>
  <c r="EE124" i="1" s="1"/>
  <c r="DY124" i="1"/>
  <c r="DX124" i="1"/>
  <c r="DR124" i="1"/>
  <c r="DQ124" i="1" s="1"/>
  <c r="DK124" i="1"/>
  <c r="DJ124" i="1" s="1"/>
  <c r="DD124" i="1"/>
  <c r="DC124" i="1" s="1"/>
  <c r="CW124" i="1"/>
  <c r="CV124" i="1" s="1"/>
  <c r="CP124" i="1"/>
  <c r="CO124" i="1"/>
  <c r="CN124" i="1"/>
  <c r="CF124" i="1"/>
  <c r="CD124" i="1"/>
  <c r="IE123" i="1"/>
  <c r="ID123" i="1"/>
  <c r="IB123" i="1"/>
  <c r="HZ123" i="1"/>
  <c r="HS123" i="1"/>
  <c r="HR123" i="1"/>
  <c r="HL123" i="1"/>
  <c r="HK123" i="1" s="1"/>
  <c r="HE123" i="1"/>
  <c r="HD123" i="1"/>
  <c r="GX123" i="1"/>
  <c r="GW123" i="1" s="1"/>
  <c r="GQ123" i="1"/>
  <c r="GP123" i="1" s="1"/>
  <c r="GJ123" i="1"/>
  <c r="GI123" i="1"/>
  <c r="GC123" i="1"/>
  <c r="GB123" i="1"/>
  <c r="FV123" i="1"/>
  <c r="FU123" i="1" s="1"/>
  <c r="FO123" i="1"/>
  <c r="FN123" i="1" s="1"/>
  <c r="FH123" i="1"/>
  <c r="FG123" i="1"/>
  <c r="FA123" i="1"/>
  <c r="EZ123" i="1" s="1"/>
  <c r="ET123" i="1"/>
  <c r="ES123" i="1" s="1"/>
  <c r="EM123" i="1"/>
  <c r="EL123" i="1" s="1"/>
  <c r="EF123" i="1"/>
  <c r="EE123" i="1" s="1"/>
  <c r="DY123" i="1"/>
  <c r="DX123" i="1"/>
  <c r="DR123" i="1"/>
  <c r="DQ123" i="1" s="1"/>
  <c r="DK123" i="1"/>
  <c r="DJ123" i="1"/>
  <c r="DD123" i="1"/>
  <c r="DC123" i="1" s="1"/>
  <c r="CW123" i="1"/>
  <c r="CV123" i="1"/>
  <c r="CP123" i="1"/>
  <c r="CN123" i="1"/>
  <c r="CF123" i="1"/>
  <c r="CD123" i="1"/>
  <c r="IE122" i="1"/>
  <c r="HZ122" i="1"/>
  <c r="IB122" i="1" s="1"/>
  <c r="HS122" i="1"/>
  <c r="HR122" i="1" s="1"/>
  <c r="HL122" i="1"/>
  <c r="HK122" i="1" s="1"/>
  <c r="HE122" i="1"/>
  <c r="HD122" i="1"/>
  <c r="GX122" i="1"/>
  <c r="GW122" i="1"/>
  <c r="GQ122" i="1"/>
  <c r="GP122" i="1" s="1"/>
  <c r="GJ122" i="1"/>
  <c r="GI122" i="1" s="1"/>
  <c r="GC122" i="1"/>
  <c r="GB122" i="1"/>
  <c r="FV122" i="1"/>
  <c r="FU122" i="1" s="1"/>
  <c r="FO122" i="1"/>
  <c r="FN122" i="1" s="1"/>
  <c r="FH122" i="1"/>
  <c r="FG122" i="1" s="1"/>
  <c r="FA122" i="1"/>
  <c r="EZ122" i="1" s="1"/>
  <c r="ET122" i="1"/>
  <c r="ES122" i="1"/>
  <c r="EM122" i="1"/>
  <c r="EL122" i="1"/>
  <c r="EF122" i="1"/>
  <c r="EE122" i="1" s="1"/>
  <c r="DY122" i="1"/>
  <c r="DX122" i="1" s="1"/>
  <c r="DR122" i="1"/>
  <c r="DQ122" i="1"/>
  <c r="DK122" i="1"/>
  <c r="DJ122" i="1" s="1"/>
  <c r="DD122" i="1"/>
  <c r="DC122" i="1" s="1"/>
  <c r="CW122" i="1"/>
  <c r="CV122" i="1" s="1"/>
  <c r="CP122" i="1"/>
  <c r="CO122" i="1" s="1"/>
  <c r="CN122" i="1"/>
  <c r="CF122" i="1"/>
  <c r="CD122" i="1"/>
  <c r="IE121" i="1"/>
  <c r="HZ121" i="1"/>
  <c r="IB121" i="1" s="1"/>
  <c r="ID121" i="1" s="1"/>
  <c r="HS121" i="1"/>
  <c r="HR121" i="1"/>
  <c r="HL121" i="1"/>
  <c r="HK121" i="1" s="1"/>
  <c r="HE121" i="1"/>
  <c r="HD121" i="1" s="1"/>
  <c r="GX121" i="1"/>
  <c r="GW121" i="1" s="1"/>
  <c r="GQ121" i="1"/>
  <c r="GP121" i="1" s="1"/>
  <c r="GJ121" i="1"/>
  <c r="GI121" i="1" s="1"/>
  <c r="GC121" i="1"/>
  <c r="GB121" i="1" s="1"/>
  <c r="FV121" i="1"/>
  <c r="FU121" i="1" s="1"/>
  <c r="FO121" i="1"/>
  <c r="FN121" i="1"/>
  <c r="FH121" i="1"/>
  <c r="FG121" i="1"/>
  <c r="FA121" i="1"/>
  <c r="EZ121" i="1" s="1"/>
  <c r="ET121" i="1"/>
  <c r="ES121" i="1" s="1"/>
  <c r="EM121" i="1"/>
  <c r="EL121" i="1"/>
  <c r="EF121" i="1"/>
  <c r="EE121" i="1" s="1"/>
  <c r="DY121" i="1"/>
  <c r="DX121" i="1"/>
  <c r="DR121" i="1"/>
  <c r="DQ121" i="1" s="1"/>
  <c r="DK121" i="1"/>
  <c r="DJ121" i="1" s="1"/>
  <c r="DD121" i="1"/>
  <c r="DC121" i="1"/>
  <c r="CW121" i="1"/>
  <c r="CV121" i="1"/>
  <c r="CP121" i="1"/>
  <c r="CO121" i="1" s="1"/>
  <c r="CN121" i="1"/>
  <c r="CF121" i="1"/>
  <c r="CD121" i="1"/>
  <c r="IE120" i="1"/>
  <c r="ID120" i="1"/>
  <c r="HZ120" i="1"/>
  <c r="IB120" i="1" s="1"/>
  <c r="HS120" i="1"/>
  <c r="HR120" i="1"/>
  <c r="HL120" i="1"/>
  <c r="HK120" i="1" s="1"/>
  <c r="HE120" i="1"/>
  <c r="HD120" i="1" s="1"/>
  <c r="GX120" i="1"/>
  <c r="GW120" i="1" s="1"/>
  <c r="GQ120" i="1"/>
  <c r="GP120" i="1"/>
  <c r="GJ120" i="1"/>
  <c r="GI120" i="1" s="1"/>
  <c r="GC120" i="1"/>
  <c r="GB120" i="1"/>
  <c r="FV120" i="1"/>
  <c r="FU120" i="1" s="1"/>
  <c r="FO120" i="1"/>
  <c r="FN120" i="1" s="1"/>
  <c r="FH120" i="1"/>
  <c r="FG120" i="1" s="1"/>
  <c r="FA120" i="1"/>
  <c r="EZ120" i="1" s="1"/>
  <c r="ET120" i="1"/>
  <c r="ES120" i="1"/>
  <c r="EM120" i="1"/>
  <c r="EL120" i="1" s="1"/>
  <c r="EF120" i="1"/>
  <c r="EE120" i="1" s="1"/>
  <c r="DY120" i="1"/>
  <c r="DX120" i="1"/>
  <c r="DR120" i="1"/>
  <c r="DQ120" i="1"/>
  <c r="DK120" i="1"/>
  <c r="DJ120" i="1" s="1"/>
  <c r="DD120" i="1"/>
  <c r="DC120" i="1" s="1"/>
  <c r="CW120" i="1"/>
  <c r="CV120" i="1"/>
  <c r="CP120" i="1"/>
  <c r="CN120" i="1"/>
  <c r="CF120" i="1"/>
  <c r="CD120" i="1"/>
  <c r="IE119" i="1"/>
  <c r="IB119" i="1"/>
  <c r="HZ119" i="1"/>
  <c r="HS119" i="1"/>
  <c r="HR119" i="1" s="1"/>
  <c r="HL119" i="1"/>
  <c r="HK119" i="1"/>
  <c r="HE119" i="1"/>
  <c r="HD119" i="1" s="1"/>
  <c r="GX119" i="1"/>
  <c r="GW119" i="1" s="1"/>
  <c r="GQ119" i="1"/>
  <c r="GP119" i="1" s="1"/>
  <c r="GJ119" i="1"/>
  <c r="GI119" i="1" s="1"/>
  <c r="GC119" i="1"/>
  <c r="GB119" i="1"/>
  <c r="FV119" i="1"/>
  <c r="FU119" i="1"/>
  <c r="FO119" i="1"/>
  <c r="FN119" i="1" s="1"/>
  <c r="FH119" i="1"/>
  <c r="FG119" i="1" s="1"/>
  <c r="FA119" i="1"/>
  <c r="EZ119" i="1"/>
  <c r="ET119" i="1"/>
  <c r="ES119" i="1"/>
  <c r="EM119" i="1"/>
  <c r="EL119" i="1" s="1"/>
  <c r="EF119" i="1"/>
  <c r="EE119" i="1" s="1"/>
  <c r="DY119" i="1"/>
  <c r="DX119" i="1"/>
  <c r="DR119" i="1"/>
  <c r="DQ119" i="1"/>
  <c r="DK119" i="1"/>
  <c r="DJ119" i="1" s="1"/>
  <c r="DD119" i="1"/>
  <c r="DC119" i="1" s="1"/>
  <c r="CW119" i="1"/>
  <c r="CV119" i="1"/>
  <c r="CP119" i="1"/>
  <c r="CO119" i="1"/>
  <c r="CN119" i="1"/>
  <c r="CF119" i="1"/>
  <c r="CD119" i="1"/>
  <c r="IE118" i="1"/>
  <c r="IB118" i="1"/>
  <c r="ID118" i="1" s="1"/>
  <c r="HZ118" i="1"/>
  <c r="HS118" i="1"/>
  <c r="HR118" i="1"/>
  <c r="HL118" i="1"/>
  <c r="HK118" i="1"/>
  <c r="HE118" i="1"/>
  <c r="HD118" i="1" s="1"/>
  <c r="GX118" i="1"/>
  <c r="GW118" i="1" s="1"/>
  <c r="GQ118" i="1"/>
  <c r="GP118" i="1"/>
  <c r="GJ118" i="1"/>
  <c r="GI118" i="1"/>
  <c r="GC118" i="1"/>
  <c r="GB118" i="1" s="1"/>
  <c r="FV118" i="1"/>
  <c r="FU118" i="1" s="1"/>
  <c r="FO118" i="1"/>
  <c r="FN118" i="1"/>
  <c r="FH118" i="1"/>
  <c r="FG118" i="1"/>
  <c r="FA118" i="1"/>
  <c r="EZ118" i="1" s="1"/>
  <c r="ET118" i="1"/>
  <c r="ES118" i="1" s="1"/>
  <c r="EM118" i="1"/>
  <c r="EL118" i="1"/>
  <c r="EF118" i="1"/>
  <c r="EE118" i="1"/>
  <c r="DY118" i="1"/>
  <c r="DX118" i="1" s="1"/>
  <c r="DR118" i="1"/>
  <c r="DQ118" i="1" s="1"/>
  <c r="DK118" i="1"/>
  <c r="DJ118" i="1"/>
  <c r="DD118" i="1"/>
  <c r="DC118" i="1"/>
  <c r="CW118" i="1"/>
  <c r="CV118" i="1" s="1"/>
  <c r="CP118" i="1"/>
  <c r="CN118" i="1"/>
  <c r="CF118" i="1"/>
  <c r="CD118" i="1"/>
  <c r="IE117" i="1"/>
  <c r="HZ117" i="1"/>
  <c r="HS117" i="1"/>
  <c r="HR117" i="1" s="1"/>
  <c r="HL117" i="1"/>
  <c r="HK117" i="1" s="1"/>
  <c r="HE117" i="1"/>
  <c r="HD117" i="1"/>
  <c r="GX117" i="1"/>
  <c r="GW117" i="1"/>
  <c r="GQ117" i="1"/>
  <c r="GP117" i="1" s="1"/>
  <c r="GJ117" i="1"/>
  <c r="GI117" i="1" s="1"/>
  <c r="GC117" i="1"/>
  <c r="GB117" i="1"/>
  <c r="FV117" i="1"/>
  <c r="FU117" i="1"/>
  <c r="FO117" i="1"/>
  <c r="FN117" i="1" s="1"/>
  <c r="FH117" i="1"/>
  <c r="FG117" i="1" s="1"/>
  <c r="FA117" i="1"/>
  <c r="EZ117" i="1"/>
  <c r="ET117" i="1"/>
  <c r="ES117" i="1"/>
  <c r="EM117" i="1"/>
  <c r="EL117" i="1" s="1"/>
  <c r="EF117" i="1"/>
  <c r="EE117" i="1" s="1"/>
  <c r="DY117" i="1"/>
  <c r="DX117" i="1"/>
  <c r="DR117" i="1"/>
  <c r="DQ117" i="1"/>
  <c r="DK117" i="1"/>
  <c r="DJ117" i="1" s="1"/>
  <c r="DD117" i="1"/>
  <c r="DC117" i="1" s="1"/>
  <c r="CW117" i="1"/>
  <c r="CV117" i="1"/>
  <c r="CP117" i="1"/>
  <c r="CO117" i="1"/>
  <c r="CN117" i="1"/>
  <c r="CF117" i="1"/>
  <c r="CD117" i="1"/>
  <c r="IE116" i="1"/>
  <c r="IB116" i="1"/>
  <c r="ID116" i="1" s="1"/>
  <c r="HZ116" i="1"/>
  <c r="HS116" i="1"/>
  <c r="HR116" i="1"/>
  <c r="HL116" i="1"/>
  <c r="HK116" i="1"/>
  <c r="HE116" i="1"/>
  <c r="HD116" i="1" s="1"/>
  <c r="GX116" i="1"/>
  <c r="GW116" i="1" s="1"/>
  <c r="GQ116" i="1"/>
  <c r="GP116" i="1"/>
  <c r="GJ116" i="1"/>
  <c r="GI116" i="1"/>
  <c r="GC116" i="1"/>
  <c r="GB116" i="1" s="1"/>
  <c r="FV116" i="1"/>
  <c r="FU116" i="1" s="1"/>
  <c r="FO116" i="1"/>
  <c r="FN116" i="1"/>
  <c r="FH116" i="1"/>
  <c r="FG116" i="1"/>
  <c r="FA116" i="1"/>
  <c r="EZ116" i="1" s="1"/>
  <c r="ET116" i="1"/>
  <c r="ES116" i="1" s="1"/>
  <c r="EM116" i="1"/>
  <c r="EL116" i="1"/>
  <c r="EF116" i="1"/>
  <c r="EE116" i="1"/>
  <c r="DY116" i="1"/>
  <c r="DX116" i="1" s="1"/>
  <c r="DR116" i="1"/>
  <c r="DQ116" i="1" s="1"/>
  <c r="DK116" i="1"/>
  <c r="DJ116" i="1"/>
  <c r="DD116" i="1"/>
  <c r="DC116" i="1"/>
  <c r="CW116" i="1"/>
  <c r="CV116" i="1" s="1"/>
  <c r="CP116" i="1"/>
  <c r="CN116" i="1"/>
  <c r="CF116" i="1"/>
  <c r="CD116" i="1"/>
  <c r="IE115" i="1"/>
  <c r="HZ115" i="1"/>
  <c r="HS115" i="1"/>
  <c r="HR115" i="1" s="1"/>
  <c r="HL115" i="1"/>
  <c r="HK115" i="1" s="1"/>
  <c r="HE115" i="1"/>
  <c r="HD115" i="1"/>
  <c r="GX115" i="1"/>
  <c r="GW115" i="1"/>
  <c r="GQ115" i="1"/>
  <c r="GP115" i="1" s="1"/>
  <c r="GJ115" i="1"/>
  <c r="GI115" i="1" s="1"/>
  <c r="GC115" i="1"/>
  <c r="GB115" i="1"/>
  <c r="FV115" i="1"/>
  <c r="FU115" i="1"/>
  <c r="FO115" i="1"/>
  <c r="FN115" i="1" s="1"/>
  <c r="FH115" i="1"/>
  <c r="FG115" i="1" s="1"/>
  <c r="FA115" i="1"/>
  <c r="EZ115" i="1"/>
  <c r="ET115" i="1"/>
  <c r="ES115" i="1"/>
  <c r="EM115" i="1"/>
  <c r="EL115" i="1" s="1"/>
  <c r="EF115" i="1"/>
  <c r="EE115" i="1" s="1"/>
  <c r="DY115" i="1"/>
  <c r="DX115" i="1"/>
  <c r="DR115" i="1"/>
  <c r="DQ115" i="1"/>
  <c r="DK115" i="1"/>
  <c r="DJ115" i="1" s="1"/>
  <c r="DD115" i="1"/>
  <c r="DC115" i="1" s="1"/>
  <c r="CW115" i="1"/>
  <c r="CV115" i="1"/>
  <c r="CP115" i="1"/>
  <c r="CO115" i="1"/>
  <c r="HX115" i="1" s="1"/>
  <c r="CN115" i="1"/>
  <c r="CF115" i="1"/>
  <c r="CD115" i="1"/>
  <c r="IE114" i="1"/>
  <c r="ID114" i="1"/>
  <c r="IB114" i="1"/>
  <c r="HZ114" i="1"/>
  <c r="HS114" i="1"/>
  <c r="HR114" i="1"/>
  <c r="HL114" i="1"/>
  <c r="HK114" i="1"/>
  <c r="HE114" i="1"/>
  <c r="HD114" i="1" s="1"/>
  <c r="GX114" i="1"/>
  <c r="GW114" i="1" s="1"/>
  <c r="GQ114" i="1"/>
  <c r="GP114" i="1"/>
  <c r="GJ114" i="1"/>
  <c r="GI114" i="1"/>
  <c r="GC114" i="1"/>
  <c r="GB114" i="1" s="1"/>
  <c r="FV114" i="1"/>
  <c r="FU114" i="1" s="1"/>
  <c r="FO114" i="1"/>
  <c r="FN114" i="1"/>
  <c r="FH114" i="1"/>
  <c r="FG114" i="1"/>
  <c r="FA114" i="1"/>
  <c r="EZ114" i="1" s="1"/>
  <c r="ET114" i="1"/>
  <c r="ES114" i="1" s="1"/>
  <c r="EM114" i="1"/>
  <c r="EL114" i="1"/>
  <c r="EF114" i="1"/>
  <c r="EE114" i="1"/>
  <c r="DY114" i="1"/>
  <c r="DX114" i="1" s="1"/>
  <c r="DR114" i="1"/>
  <c r="DQ114" i="1" s="1"/>
  <c r="DK114" i="1"/>
  <c r="DJ114" i="1"/>
  <c r="DD114" i="1"/>
  <c r="DC114" i="1"/>
  <c r="CW114" i="1"/>
  <c r="CV114" i="1" s="1"/>
  <c r="CP114" i="1"/>
  <c r="CN114" i="1"/>
  <c r="CF114" i="1"/>
  <c r="CD114" i="1"/>
  <c r="IE113" i="1"/>
  <c r="HZ113" i="1"/>
  <c r="HS113" i="1"/>
  <c r="HR113" i="1" s="1"/>
  <c r="HL113" i="1"/>
  <c r="HK113" i="1" s="1"/>
  <c r="HE113" i="1"/>
  <c r="HD113" i="1"/>
  <c r="GX113" i="1"/>
  <c r="GW113" i="1"/>
  <c r="GQ113" i="1"/>
  <c r="GP113" i="1" s="1"/>
  <c r="GJ113" i="1"/>
  <c r="GI113" i="1" s="1"/>
  <c r="GC113" i="1"/>
  <c r="GB113" i="1"/>
  <c r="FV113" i="1"/>
  <c r="FU113" i="1"/>
  <c r="FO113" i="1"/>
  <c r="FN113" i="1" s="1"/>
  <c r="FH113" i="1"/>
  <c r="FG113" i="1" s="1"/>
  <c r="FA113" i="1"/>
  <c r="EZ113" i="1"/>
  <c r="ET113" i="1"/>
  <c r="ES113" i="1"/>
  <c r="EM113" i="1"/>
  <c r="EL113" i="1" s="1"/>
  <c r="EF113" i="1"/>
  <c r="EE113" i="1" s="1"/>
  <c r="DY113" i="1"/>
  <c r="DX113" i="1"/>
  <c r="DR113" i="1"/>
  <c r="DQ113" i="1"/>
  <c r="DK113" i="1"/>
  <c r="DJ113" i="1" s="1"/>
  <c r="DD113" i="1"/>
  <c r="DC113" i="1" s="1"/>
  <c r="CW113" i="1"/>
  <c r="CV113" i="1"/>
  <c r="CP113" i="1"/>
  <c r="CO113" i="1"/>
  <c r="HX113" i="1" s="1"/>
  <c r="CN113" i="1"/>
  <c r="CF113" i="1"/>
  <c r="CD113" i="1"/>
  <c r="IE112" i="1"/>
  <c r="ID112" i="1"/>
  <c r="IB112" i="1"/>
  <c r="HZ112" i="1"/>
  <c r="HS112" i="1"/>
  <c r="HR112" i="1"/>
  <c r="HL112" i="1"/>
  <c r="HK112" i="1"/>
  <c r="HE112" i="1"/>
  <c r="HD112" i="1" s="1"/>
  <c r="GX112" i="1"/>
  <c r="GW112" i="1" s="1"/>
  <c r="GQ112" i="1"/>
  <c r="GP112" i="1"/>
  <c r="GJ112" i="1"/>
  <c r="GI112" i="1"/>
  <c r="GC112" i="1"/>
  <c r="GB112" i="1" s="1"/>
  <c r="FV112" i="1"/>
  <c r="FU112" i="1" s="1"/>
  <c r="FO112" i="1"/>
  <c r="FN112" i="1"/>
  <c r="FH112" i="1"/>
  <c r="FG112" i="1"/>
  <c r="FA112" i="1"/>
  <c r="EZ112" i="1" s="1"/>
  <c r="ET112" i="1"/>
  <c r="ES112" i="1" s="1"/>
  <c r="EM112" i="1"/>
  <c r="EL112" i="1"/>
  <c r="EF112" i="1"/>
  <c r="EE112" i="1"/>
  <c r="DY112" i="1"/>
  <c r="DX112" i="1" s="1"/>
  <c r="DR112" i="1"/>
  <c r="DQ112" i="1" s="1"/>
  <c r="DK112" i="1"/>
  <c r="DJ112" i="1"/>
  <c r="DD112" i="1"/>
  <c r="DC112" i="1"/>
  <c r="CW112" i="1"/>
  <c r="CV112" i="1" s="1"/>
  <c r="CP112" i="1"/>
  <c r="CN112" i="1"/>
  <c r="CF112" i="1"/>
  <c r="CD112" i="1"/>
  <c r="IE111" i="1"/>
  <c r="HZ111" i="1"/>
  <c r="HS111" i="1"/>
  <c r="HR111" i="1" s="1"/>
  <c r="HL111" i="1"/>
  <c r="HK111" i="1" s="1"/>
  <c r="HE111" i="1"/>
  <c r="HD111" i="1"/>
  <c r="GX111" i="1"/>
  <c r="GW111" i="1"/>
  <c r="GQ111" i="1"/>
  <c r="GP111" i="1" s="1"/>
  <c r="GJ111" i="1"/>
  <c r="GI111" i="1" s="1"/>
  <c r="GC111" i="1"/>
  <c r="GB111" i="1"/>
  <c r="FV111" i="1"/>
  <c r="FU111" i="1"/>
  <c r="FO111" i="1"/>
  <c r="FN111" i="1" s="1"/>
  <c r="FH111" i="1"/>
  <c r="FG111" i="1" s="1"/>
  <c r="FA111" i="1"/>
  <c r="EZ111" i="1"/>
  <c r="ET111" i="1"/>
  <c r="ES111" i="1"/>
  <c r="EM111" i="1"/>
  <c r="EL111" i="1" s="1"/>
  <c r="EF111" i="1"/>
  <c r="EE111" i="1" s="1"/>
  <c r="DY111" i="1"/>
  <c r="DX111" i="1"/>
  <c r="DR111" i="1"/>
  <c r="DQ111" i="1"/>
  <c r="DK111" i="1"/>
  <c r="DJ111" i="1" s="1"/>
  <c r="DD111" i="1"/>
  <c r="DC111" i="1" s="1"/>
  <c r="CW111" i="1"/>
  <c r="CV111" i="1"/>
  <c r="CP111" i="1"/>
  <c r="HY111" i="1" s="1"/>
  <c r="CO111" i="1"/>
  <c r="CN111" i="1"/>
  <c r="CF111" i="1"/>
  <c r="CD111" i="1"/>
  <c r="IE110" i="1"/>
  <c r="ID110" i="1"/>
  <c r="IB110" i="1"/>
  <c r="HZ110" i="1"/>
  <c r="HS110" i="1"/>
  <c r="HR110" i="1"/>
  <c r="HL110" i="1"/>
  <c r="HK110" i="1"/>
  <c r="HE110" i="1"/>
  <c r="HD110" i="1" s="1"/>
  <c r="GX110" i="1"/>
  <c r="GW110" i="1" s="1"/>
  <c r="GQ110" i="1"/>
  <c r="GP110" i="1"/>
  <c r="GJ110" i="1"/>
  <c r="GI110" i="1"/>
  <c r="GC110" i="1"/>
  <c r="GB110" i="1" s="1"/>
  <c r="FV110" i="1"/>
  <c r="FU110" i="1" s="1"/>
  <c r="FO110" i="1"/>
  <c r="FN110" i="1"/>
  <c r="FH110" i="1"/>
  <c r="FG110" i="1"/>
  <c r="FA110" i="1"/>
  <c r="EZ110" i="1" s="1"/>
  <c r="ET110" i="1"/>
  <c r="ES110" i="1" s="1"/>
  <c r="EM110" i="1"/>
  <c r="EL110" i="1"/>
  <c r="EF110" i="1"/>
  <c r="EE110" i="1"/>
  <c r="DY110" i="1"/>
  <c r="DX110" i="1" s="1"/>
  <c r="DR110" i="1"/>
  <c r="DQ110" i="1" s="1"/>
  <c r="DK110" i="1"/>
  <c r="DJ110" i="1"/>
  <c r="DD110" i="1"/>
  <c r="DC110" i="1"/>
  <c r="CW110" i="1"/>
  <c r="CV110" i="1" s="1"/>
  <c r="CP110" i="1"/>
  <c r="CN110" i="1"/>
  <c r="CF110" i="1"/>
  <c r="CD110" i="1"/>
  <c r="HZ109" i="1"/>
  <c r="HS109" i="1"/>
  <c r="HR109" i="1"/>
  <c r="HL109" i="1"/>
  <c r="HK109" i="1" s="1"/>
  <c r="HE109" i="1"/>
  <c r="HD109" i="1"/>
  <c r="GX109" i="1"/>
  <c r="GW109" i="1"/>
  <c r="GQ109" i="1"/>
  <c r="GP109" i="1" s="1"/>
  <c r="GJ109" i="1"/>
  <c r="GI109" i="1"/>
  <c r="GC109" i="1"/>
  <c r="GB109" i="1" s="1"/>
  <c r="FV109" i="1"/>
  <c r="FU109" i="1"/>
  <c r="FO109" i="1"/>
  <c r="FN109" i="1" s="1"/>
  <c r="FH109" i="1"/>
  <c r="FG109" i="1" s="1"/>
  <c r="FA109" i="1"/>
  <c r="EZ109" i="1"/>
  <c r="ET109" i="1"/>
  <c r="ES109" i="1"/>
  <c r="EP109" i="1"/>
  <c r="EO109" i="1"/>
  <c r="EM109" i="1"/>
  <c r="EL109" i="1"/>
  <c r="EI109" i="1"/>
  <c r="EH109" i="1"/>
  <c r="EF109" i="1"/>
  <c r="EE109" i="1" s="1"/>
  <c r="EB109" i="1"/>
  <c r="EA109" i="1"/>
  <c r="DY109" i="1"/>
  <c r="DX109" i="1" s="1"/>
  <c r="DU109" i="1"/>
  <c r="DT109" i="1"/>
  <c r="DR109" i="1"/>
  <c r="DQ109" i="1"/>
  <c r="DN109" i="1"/>
  <c r="DM109" i="1"/>
  <c r="DK109" i="1"/>
  <c r="DJ109" i="1"/>
  <c r="DG109" i="1"/>
  <c r="DF109" i="1"/>
  <c r="DD109" i="1"/>
  <c r="DC109" i="1" s="1"/>
  <c r="CZ109" i="1"/>
  <c r="CY109" i="1"/>
  <c r="CW109" i="1"/>
  <c r="CV109" i="1" s="1"/>
  <c r="CS109" i="1"/>
  <c r="CR109" i="1"/>
  <c r="CP109" i="1"/>
  <c r="CO109" i="1" s="1"/>
  <c r="CN109" i="1"/>
  <c r="CM109" i="1"/>
  <c r="IG109" i="1" s="1"/>
  <c r="IH109" i="1" s="1"/>
  <c r="II109" i="1" s="1"/>
  <c r="CJ109" i="1"/>
  <c r="CH109" i="1"/>
  <c r="CF109" i="1"/>
  <c r="CK109" i="1" s="1"/>
  <c r="CD109" i="1"/>
  <c r="AP109" i="1"/>
  <c r="IF109" i="1" s="1"/>
  <c r="AO109" i="1"/>
  <c r="AN109" i="1"/>
  <c r="AK109" i="1"/>
  <c r="I109" i="1"/>
  <c r="J109" i="1" s="1"/>
  <c r="IB108" i="1"/>
  <c r="ID108" i="1" s="1"/>
  <c r="HZ108" i="1"/>
  <c r="FO108" i="1"/>
  <c r="FN108" i="1" s="1"/>
  <c r="FH108" i="1"/>
  <c r="FG108" i="1" s="1"/>
  <c r="FA108" i="1"/>
  <c r="EZ108" i="1"/>
  <c r="ET108" i="1"/>
  <c r="ES108" i="1"/>
  <c r="EP108" i="1"/>
  <c r="EO108" i="1"/>
  <c r="EM108" i="1"/>
  <c r="EL108" i="1"/>
  <c r="EI108" i="1"/>
  <c r="EH108" i="1"/>
  <c r="EF108" i="1"/>
  <c r="EE108" i="1" s="1"/>
  <c r="EB108" i="1"/>
  <c r="EA108" i="1"/>
  <c r="DY108" i="1"/>
  <c r="DX108" i="1" s="1"/>
  <c r="DU108" i="1"/>
  <c r="DT108" i="1"/>
  <c r="DR108" i="1"/>
  <c r="DQ108" i="1"/>
  <c r="DN108" i="1"/>
  <c r="DM108" i="1"/>
  <c r="DK108" i="1"/>
  <c r="DJ108" i="1"/>
  <c r="DG108" i="1"/>
  <c r="DF108" i="1"/>
  <c r="DD108" i="1"/>
  <c r="DC108" i="1" s="1"/>
  <c r="CZ108" i="1"/>
  <c r="CY108" i="1"/>
  <c r="CW108" i="1"/>
  <c r="CV108" i="1" s="1"/>
  <c r="CS108" i="1"/>
  <c r="CR108" i="1"/>
  <c r="CP108" i="1"/>
  <c r="CN108" i="1"/>
  <c r="CM108" i="1"/>
  <c r="IG108" i="1" s="1"/>
  <c r="IH108" i="1" s="1"/>
  <c r="CJ108" i="1"/>
  <c r="CH108" i="1"/>
  <c r="CF108" i="1"/>
  <c r="CK108" i="1" s="1"/>
  <c r="CD108" i="1"/>
  <c r="AO108" i="1"/>
  <c r="CG108" i="1" s="1"/>
  <c r="AN108" i="1"/>
  <c r="AK108" i="1"/>
  <c r="I108" i="1"/>
  <c r="J108" i="1" s="1"/>
  <c r="IB107" i="1"/>
  <c r="ID107" i="1" s="1"/>
  <c r="HZ107" i="1"/>
  <c r="HS107" i="1"/>
  <c r="HR107" i="1" s="1"/>
  <c r="HL107" i="1"/>
  <c r="HK107" i="1"/>
  <c r="HE107" i="1"/>
  <c r="HD107" i="1"/>
  <c r="GX107" i="1"/>
  <c r="GW107" i="1"/>
  <c r="GQ107" i="1"/>
  <c r="GP107" i="1" s="1"/>
  <c r="GJ107" i="1"/>
  <c r="GI107" i="1" s="1"/>
  <c r="GC107" i="1"/>
  <c r="GB107" i="1"/>
  <c r="FV107" i="1"/>
  <c r="FU107" i="1"/>
  <c r="FO107" i="1"/>
  <c r="FN107" i="1" s="1"/>
  <c r="FH107" i="1"/>
  <c r="FG107" i="1" s="1"/>
  <c r="FA107" i="1"/>
  <c r="EZ107" i="1"/>
  <c r="ET107" i="1"/>
  <c r="ES107" i="1"/>
  <c r="EP107" i="1"/>
  <c r="EO107" i="1"/>
  <c r="EM107" i="1"/>
  <c r="EL107" i="1"/>
  <c r="EI107" i="1"/>
  <c r="EH107" i="1"/>
  <c r="EF107" i="1"/>
  <c r="EE107" i="1" s="1"/>
  <c r="EB107" i="1"/>
  <c r="EA107" i="1"/>
  <c r="DY107" i="1"/>
  <c r="DX107" i="1" s="1"/>
  <c r="DU107" i="1"/>
  <c r="DT107" i="1"/>
  <c r="DR107" i="1"/>
  <c r="DQ107" i="1"/>
  <c r="DN107" i="1"/>
  <c r="DM107" i="1"/>
  <c r="DK107" i="1"/>
  <c r="DJ107" i="1"/>
  <c r="DG107" i="1"/>
  <c r="DF107" i="1"/>
  <c r="DD107" i="1"/>
  <c r="DC107" i="1" s="1"/>
  <c r="CZ107" i="1"/>
  <c r="CY107" i="1"/>
  <c r="CW107" i="1"/>
  <c r="CV107" i="1"/>
  <c r="CS107" i="1"/>
  <c r="CR107" i="1"/>
  <c r="CP107" i="1"/>
  <c r="CN107" i="1"/>
  <c r="CM107" i="1"/>
  <c r="IG107" i="1" s="1"/>
  <c r="IH107" i="1" s="1"/>
  <c r="CJ107" i="1"/>
  <c r="CH107" i="1"/>
  <c r="CF107" i="1"/>
  <c r="CK107" i="1" s="1"/>
  <c r="CD107" i="1"/>
  <c r="AO107" i="1"/>
  <c r="AN107" i="1"/>
  <c r="AK107" i="1"/>
  <c r="I107" i="1"/>
  <c r="J107" i="1" s="1"/>
  <c r="IB106" i="1"/>
  <c r="ID106" i="1" s="1"/>
  <c r="HZ106" i="1"/>
  <c r="HS106" i="1"/>
  <c r="HR106" i="1" s="1"/>
  <c r="HL106" i="1"/>
  <c r="HK106" i="1"/>
  <c r="HE106" i="1"/>
  <c r="HD106" i="1"/>
  <c r="GX106" i="1"/>
  <c r="GW106" i="1"/>
  <c r="GQ106" i="1"/>
  <c r="GP106" i="1" s="1"/>
  <c r="GJ106" i="1"/>
  <c r="GI106" i="1" s="1"/>
  <c r="GC106" i="1"/>
  <c r="GB106" i="1" s="1"/>
  <c r="FV106" i="1"/>
  <c r="FU106" i="1" s="1"/>
  <c r="FO106" i="1"/>
  <c r="FN106" i="1"/>
  <c r="FH106" i="1"/>
  <c r="FG106" i="1"/>
  <c r="FA106" i="1"/>
  <c r="EZ106" i="1"/>
  <c r="ET106" i="1"/>
  <c r="ES106" i="1"/>
  <c r="EP106" i="1"/>
  <c r="EO106" i="1"/>
  <c r="EM106" i="1"/>
  <c r="EL106" i="1" s="1"/>
  <c r="EI106" i="1"/>
  <c r="EH106" i="1"/>
  <c r="EF106" i="1"/>
  <c r="EE106" i="1" s="1"/>
  <c r="EB106" i="1"/>
  <c r="EA106" i="1"/>
  <c r="DY106" i="1"/>
  <c r="DX106" i="1"/>
  <c r="DU106" i="1"/>
  <c r="DT106" i="1"/>
  <c r="DR106" i="1"/>
  <c r="DQ106" i="1"/>
  <c r="DN106" i="1"/>
  <c r="DM106" i="1"/>
  <c r="DK106" i="1"/>
  <c r="DJ106" i="1" s="1"/>
  <c r="DG106" i="1"/>
  <c r="DF106" i="1"/>
  <c r="DD106" i="1"/>
  <c r="DC106" i="1" s="1"/>
  <c r="CZ106" i="1"/>
  <c r="CY106" i="1"/>
  <c r="CW106" i="1"/>
  <c r="CV106" i="1" s="1"/>
  <c r="CS106" i="1"/>
  <c r="CR106" i="1"/>
  <c r="CP106" i="1"/>
  <c r="CO106" i="1"/>
  <c r="CM106" i="1"/>
  <c r="IG106" i="1" s="1"/>
  <c r="IH106" i="1" s="1"/>
  <c r="II106" i="1" s="1"/>
  <c r="IK106" i="1" s="1"/>
  <c r="CK106" i="1"/>
  <c r="CJ106" i="1"/>
  <c r="CN106" i="1" s="1"/>
  <c r="CH106" i="1"/>
  <c r="CF106" i="1"/>
  <c r="CD106" i="1"/>
  <c r="AN106" i="1"/>
  <c r="AO106" i="1" s="1"/>
  <c r="CG106" i="1" s="1"/>
  <c r="AK106" i="1"/>
  <c r="AP106" i="1" s="1"/>
  <c r="IF106" i="1" s="1"/>
  <c r="I106" i="1"/>
  <c r="J106" i="1" s="1"/>
  <c r="HZ105" i="1"/>
  <c r="HS105" i="1"/>
  <c r="HR105" i="1"/>
  <c r="HL105" i="1"/>
  <c r="HK105" i="1"/>
  <c r="HE105" i="1"/>
  <c r="HD105" i="1"/>
  <c r="GX105" i="1"/>
  <c r="GW105" i="1"/>
  <c r="GQ105" i="1"/>
  <c r="GP105" i="1"/>
  <c r="GJ105" i="1"/>
  <c r="GI105" i="1" s="1"/>
  <c r="GC105" i="1"/>
  <c r="GB105" i="1" s="1"/>
  <c r="FV105" i="1"/>
  <c r="FU105" i="1" s="1"/>
  <c r="FO105" i="1"/>
  <c r="FN105" i="1"/>
  <c r="FH105" i="1"/>
  <c r="FG105" i="1"/>
  <c r="FA105" i="1"/>
  <c r="EZ105" i="1"/>
  <c r="ET105" i="1"/>
  <c r="ES105" i="1"/>
  <c r="EP105" i="1"/>
  <c r="EO105" i="1"/>
  <c r="EM105" i="1"/>
  <c r="EL105" i="1" s="1"/>
  <c r="EI105" i="1"/>
  <c r="EH105" i="1"/>
  <c r="EF105" i="1"/>
  <c r="EE105" i="1" s="1"/>
  <c r="EB105" i="1"/>
  <c r="EA105" i="1"/>
  <c r="DY105" i="1"/>
  <c r="DX105" i="1"/>
  <c r="DU105" i="1"/>
  <c r="DT105" i="1"/>
  <c r="DR105" i="1"/>
  <c r="DQ105" i="1"/>
  <c r="DN105" i="1"/>
  <c r="DM105" i="1"/>
  <c r="DK105" i="1"/>
  <c r="DJ105" i="1" s="1"/>
  <c r="DG105" i="1"/>
  <c r="DF105" i="1"/>
  <c r="DD105" i="1"/>
  <c r="DC105" i="1" s="1"/>
  <c r="CZ105" i="1"/>
  <c r="CY105" i="1"/>
  <c r="CW105" i="1"/>
  <c r="CV105" i="1" s="1"/>
  <c r="CS105" i="1"/>
  <c r="CR105" i="1"/>
  <c r="CP105" i="1"/>
  <c r="CO105" i="1"/>
  <c r="CM105" i="1"/>
  <c r="CK105" i="1"/>
  <c r="CJ105" i="1"/>
  <c r="CN105" i="1" s="1"/>
  <c r="CH105" i="1"/>
  <c r="CF105" i="1"/>
  <c r="CD105" i="1"/>
  <c r="AN105" i="1"/>
  <c r="AO105" i="1" s="1"/>
  <c r="AK105" i="1"/>
  <c r="I105" i="1"/>
  <c r="J105" i="1" s="1"/>
  <c r="IF104" i="1"/>
  <c r="HZ104" i="1"/>
  <c r="FO104" i="1"/>
  <c r="FN104" i="1"/>
  <c r="FH104" i="1"/>
  <c r="FG104" i="1"/>
  <c r="FA104" i="1"/>
  <c r="EZ104" i="1"/>
  <c r="ET104" i="1"/>
  <c r="ES104" i="1"/>
  <c r="EP104" i="1"/>
  <c r="EO104" i="1"/>
  <c r="EM104" i="1"/>
  <c r="EL104" i="1" s="1"/>
  <c r="EI104" i="1"/>
  <c r="EH104" i="1"/>
  <c r="EF104" i="1"/>
  <c r="EE104" i="1" s="1"/>
  <c r="EB104" i="1"/>
  <c r="EA104" i="1"/>
  <c r="DY104" i="1"/>
  <c r="DX104" i="1"/>
  <c r="DU104" i="1"/>
  <c r="DT104" i="1"/>
  <c r="DR104" i="1"/>
  <c r="DQ104" i="1"/>
  <c r="DN104" i="1"/>
  <c r="DM104" i="1"/>
  <c r="DK104" i="1"/>
  <c r="DJ104" i="1" s="1"/>
  <c r="DG104" i="1"/>
  <c r="DF104" i="1"/>
  <c r="DD104" i="1"/>
  <c r="DC104" i="1" s="1"/>
  <c r="CZ104" i="1"/>
  <c r="CY104" i="1"/>
  <c r="CW104" i="1"/>
  <c r="CV104" i="1" s="1"/>
  <c r="CS104" i="1"/>
  <c r="CR104" i="1"/>
  <c r="CP104" i="1"/>
  <c r="CO104" i="1"/>
  <c r="CN104" i="1"/>
  <c r="CM104" i="1"/>
  <c r="IG104" i="1" s="1"/>
  <c r="IH104" i="1" s="1"/>
  <c r="CK104" i="1"/>
  <c r="CJ104" i="1"/>
  <c r="CH104" i="1"/>
  <c r="CG104" i="1"/>
  <c r="CF104" i="1"/>
  <c r="CD104" i="1"/>
  <c r="AP104" i="1"/>
  <c r="AN104" i="1"/>
  <c r="AO104" i="1" s="1"/>
  <c r="AK104" i="1"/>
  <c r="I104" i="1"/>
  <c r="J104" i="1" s="1"/>
  <c r="HZ103" i="1"/>
  <c r="HS103" i="1"/>
  <c r="HR103" i="1"/>
  <c r="HL103" i="1"/>
  <c r="HK103" i="1" s="1"/>
  <c r="HE103" i="1"/>
  <c r="HD103" i="1"/>
  <c r="GX103" i="1"/>
  <c r="GW103" i="1" s="1"/>
  <c r="GQ103" i="1"/>
  <c r="GP103" i="1" s="1"/>
  <c r="GJ103" i="1"/>
  <c r="GI103" i="1" s="1"/>
  <c r="GC103" i="1"/>
  <c r="GB103" i="1"/>
  <c r="FV103" i="1"/>
  <c r="FU103" i="1"/>
  <c r="FO103" i="1"/>
  <c r="FN103" i="1"/>
  <c r="FH103" i="1"/>
  <c r="FG103" i="1"/>
  <c r="FA103" i="1"/>
  <c r="EZ103" i="1" s="1"/>
  <c r="ET103" i="1"/>
  <c r="ES103" i="1" s="1"/>
  <c r="EP103" i="1"/>
  <c r="EO103" i="1"/>
  <c r="EM103" i="1"/>
  <c r="EL103" i="1" s="1"/>
  <c r="EI103" i="1"/>
  <c r="EJ103" i="1" s="1"/>
  <c r="EH103" i="1"/>
  <c r="EF103" i="1"/>
  <c r="EE103" i="1"/>
  <c r="EB103" i="1"/>
  <c r="EA103" i="1"/>
  <c r="DY103" i="1"/>
  <c r="DX103" i="1"/>
  <c r="DU103" i="1"/>
  <c r="DV103" i="1" s="1"/>
  <c r="DT103" i="1"/>
  <c r="DR103" i="1"/>
  <c r="DQ103" i="1" s="1"/>
  <c r="DN103" i="1"/>
  <c r="DM103" i="1"/>
  <c r="DK103" i="1"/>
  <c r="DJ103" i="1" s="1"/>
  <c r="DG103" i="1"/>
  <c r="DH103" i="1" s="1"/>
  <c r="DF103" i="1"/>
  <c r="DD103" i="1"/>
  <c r="DC103" i="1"/>
  <c r="CZ103" i="1"/>
  <c r="CY103" i="1"/>
  <c r="CW103" i="1"/>
  <c r="CV103" i="1"/>
  <c r="CS103" i="1"/>
  <c r="CR103" i="1"/>
  <c r="CP103" i="1"/>
  <c r="CO103" i="1"/>
  <c r="CM103" i="1"/>
  <c r="CK103" i="1"/>
  <c r="CH103" i="1"/>
  <c r="CJ103" i="1" s="1"/>
  <c r="CN103" i="1" s="1"/>
  <c r="CU103" i="1" s="1"/>
  <c r="DB103" i="1" s="1"/>
  <c r="DI103" i="1" s="1"/>
  <c r="DP103" i="1" s="1"/>
  <c r="DW103" i="1" s="1"/>
  <c r="ED103" i="1" s="1"/>
  <c r="EK103" i="1" s="1"/>
  <c r="CG103" i="1"/>
  <c r="CF103" i="1"/>
  <c r="CD103" i="1"/>
  <c r="AN103" i="1"/>
  <c r="AO103" i="1" s="1"/>
  <c r="AK103" i="1"/>
  <c r="J103" i="1"/>
  <c r="I103" i="1"/>
  <c r="HZ102" i="1"/>
  <c r="HS102" i="1"/>
  <c r="HR102" i="1"/>
  <c r="HL102" i="1"/>
  <c r="HK102" i="1"/>
  <c r="HE102" i="1"/>
  <c r="HD102" i="1" s="1"/>
  <c r="GX102" i="1"/>
  <c r="GW102" i="1" s="1"/>
  <c r="GQ102" i="1"/>
  <c r="GP102" i="1"/>
  <c r="GJ102" i="1"/>
  <c r="GI102" i="1"/>
  <c r="GC102" i="1"/>
  <c r="GB102" i="1"/>
  <c r="FV102" i="1"/>
  <c r="FU102" i="1"/>
  <c r="FO102" i="1"/>
  <c r="FN102" i="1" s="1"/>
  <c r="FH102" i="1"/>
  <c r="FG102" i="1" s="1"/>
  <c r="FA102" i="1"/>
  <c r="EZ102" i="1" s="1"/>
  <c r="ET102" i="1"/>
  <c r="ES102" i="1" s="1"/>
  <c r="EP102" i="1"/>
  <c r="EO102" i="1"/>
  <c r="EM102" i="1"/>
  <c r="EL102" i="1"/>
  <c r="EI102" i="1"/>
  <c r="EH102" i="1"/>
  <c r="EF102" i="1"/>
  <c r="EE102" i="1"/>
  <c r="EB102" i="1"/>
  <c r="EA102" i="1"/>
  <c r="DY102" i="1"/>
  <c r="DX102" i="1" s="1"/>
  <c r="DU102" i="1"/>
  <c r="DT102" i="1"/>
  <c r="DR102" i="1"/>
  <c r="DQ102" i="1" s="1"/>
  <c r="DP102" i="1"/>
  <c r="DN102" i="1"/>
  <c r="DM102" i="1"/>
  <c r="DK102" i="1"/>
  <c r="DJ102" i="1"/>
  <c r="DG102" i="1"/>
  <c r="DF102" i="1"/>
  <c r="DD102" i="1"/>
  <c r="DC102" i="1"/>
  <c r="CZ102" i="1"/>
  <c r="CY102" i="1"/>
  <c r="CW102" i="1"/>
  <c r="CV102" i="1"/>
  <c r="CS102" i="1"/>
  <c r="CR102" i="1"/>
  <c r="CP102" i="1"/>
  <c r="CM102" i="1"/>
  <c r="IG102" i="1" s="1"/>
  <c r="IH102" i="1" s="1"/>
  <c r="CH102" i="1"/>
  <c r="CJ102" i="1" s="1"/>
  <c r="CN102" i="1" s="1"/>
  <c r="CU102" i="1" s="1"/>
  <c r="DB102" i="1" s="1"/>
  <c r="DI102" i="1" s="1"/>
  <c r="CF102" i="1"/>
  <c r="CK102" i="1" s="1"/>
  <c r="CD102" i="1"/>
  <c r="AO102" i="1"/>
  <c r="AN102" i="1"/>
  <c r="AK102" i="1"/>
  <c r="J102" i="1"/>
  <c r="I102" i="1"/>
  <c r="HZ101" i="1"/>
  <c r="HS101" i="1"/>
  <c r="HR101" i="1"/>
  <c r="HL101" i="1"/>
  <c r="HK101" i="1"/>
  <c r="HE101" i="1"/>
  <c r="HD101" i="1"/>
  <c r="GX101" i="1"/>
  <c r="GW101" i="1" s="1"/>
  <c r="GQ101" i="1"/>
  <c r="GP101" i="1" s="1"/>
  <c r="GJ101" i="1"/>
  <c r="GI101" i="1"/>
  <c r="GC101" i="1"/>
  <c r="GB101" i="1"/>
  <c r="FV101" i="1"/>
  <c r="FU101" i="1" s="1"/>
  <c r="FO101" i="1"/>
  <c r="FN101" i="1"/>
  <c r="FH101" i="1"/>
  <c r="FG101" i="1" s="1"/>
  <c r="FA101" i="1"/>
  <c r="EZ101" i="1" s="1"/>
  <c r="ET101" i="1"/>
  <c r="ES101" i="1" s="1"/>
  <c r="EP101" i="1"/>
  <c r="EO101" i="1"/>
  <c r="EM101" i="1"/>
  <c r="EL101" i="1"/>
  <c r="EI101" i="1"/>
  <c r="EH101" i="1"/>
  <c r="EF101" i="1"/>
  <c r="EE101" i="1"/>
  <c r="EB101" i="1"/>
  <c r="EA101" i="1"/>
  <c r="DY101" i="1"/>
  <c r="DX101" i="1" s="1"/>
  <c r="DU101" i="1"/>
  <c r="DT101" i="1"/>
  <c r="DR101" i="1"/>
  <c r="DQ101" i="1" s="1"/>
  <c r="DN101" i="1"/>
  <c r="DO101" i="1" s="1"/>
  <c r="DM101" i="1"/>
  <c r="DK101" i="1"/>
  <c r="DJ101" i="1"/>
  <c r="DG101" i="1"/>
  <c r="DF101" i="1"/>
  <c r="DD101" i="1"/>
  <c r="DC101" i="1"/>
  <c r="CZ101" i="1"/>
  <c r="CY101" i="1"/>
  <c r="CW101" i="1"/>
  <c r="CV101" i="1"/>
  <c r="CS101" i="1"/>
  <c r="CR101" i="1"/>
  <c r="CP101" i="1"/>
  <c r="CO101" i="1"/>
  <c r="CM101" i="1"/>
  <c r="IG101" i="1" s="1"/>
  <c r="IH101" i="1" s="1"/>
  <c r="CH101" i="1"/>
  <c r="CJ101" i="1" s="1"/>
  <c r="CN101" i="1" s="1"/>
  <c r="CU101" i="1" s="1"/>
  <c r="DB101" i="1" s="1"/>
  <c r="DI101" i="1" s="1"/>
  <c r="DP101" i="1" s="1"/>
  <c r="CF101" i="1"/>
  <c r="CK101" i="1" s="1"/>
  <c r="CD101" i="1"/>
  <c r="AO101" i="1"/>
  <c r="AN101" i="1"/>
  <c r="AK101" i="1"/>
  <c r="J101" i="1"/>
  <c r="I101" i="1"/>
  <c r="IB100" i="1"/>
  <c r="ID100" i="1" s="1"/>
  <c r="HZ100" i="1"/>
  <c r="HS100" i="1"/>
  <c r="HR100" i="1" s="1"/>
  <c r="HL100" i="1"/>
  <c r="HK100" i="1"/>
  <c r="HE100" i="1"/>
  <c r="HD100" i="1"/>
  <c r="GX100" i="1"/>
  <c r="GW100" i="1" s="1"/>
  <c r="GQ100" i="1"/>
  <c r="GP100" i="1" s="1"/>
  <c r="GJ100" i="1"/>
  <c r="GI100" i="1"/>
  <c r="GC100" i="1"/>
  <c r="GB100" i="1"/>
  <c r="FV100" i="1"/>
  <c r="FU100" i="1" s="1"/>
  <c r="FO100" i="1"/>
  <c r="FN100" i="1"/>
  <c r="FH100" i="1"/>
  <c r="FG100" i="1" s="1"/>
  <c r="FA100" i="1"/>
  <c r="EZ100" i="1" s="1"/>
  <c r="ET100" i="1"/>
  <c r="ES100" i="1" s="1"/>
  <c r="EP100" i="1"/>
  <c r="EO100" i="1"/>
  <c r="EM100" i="1"/>
  <c r="EL100" i="1"/>
  <c r="EI100" i="1"/>
  <c r="EH100" i="1"/>
  <c r="EF100" i="1"/>
  <c r="EE100" i="1"/>
  <c r="EB100" i="1"/>
  <c r="EA100" i="1"/>
  <c r="DY100" i="1"/>
  <c r="DX100" i="1" s="1"/>
  <c r="DU100" i="1"/>
  <c r="DT100" i="1"/>
  <c r="DR100" i="1"/>
  <c r="DQ100" i="1" s="1"/>
  <c r="DN100" i="1"/>
  <c r="DO100" i="1" s="1"/>
  <c r="DM100" i="1"/>
  <c r="DK100" i="1"/>
  <c r="DJ100" i="1"/>
  <c r="DG100" i="1"/>
  <c r="DF100" i="1"/>
  <c r="DD100" i="1"/>
  <c r="DC100" i="1"/>
  <c r="CZ100" i="1"/>
  <c r="CY100" i="1"/>
  <c r="CW100" i="1"/>
  <c r="CV100" i="1"/>
  <c r="CS100" i="1"/>
  <c r="CR100" i="1"/>
  <c r="CP100" i="1"/>
  <c r="CO100" i="1"/>
  <c r="CM100" i="1"/>
  <c r="IG100" i="1" s="1"/>
  <c r="IH100" i="1" s="1"/>
  <c r="CH100" i="1"/>
  <c r="CJ100" i="1" s="1"/>
  <c r="CN100" i="1" s="1"/>
  <c r="CU100" i="1" s="1"/>
  <c r="DB100" i="1" s="1"/>
  <c r="DI100" i="1" s="1"/>
  <c r="DP100" i="1" s="1"/>
  <c r="CF100" i="1"/>
  <c r="CK100" i="1" s="1"/>
  <c r="CD100" i="1"/>
  <c r="AO100" i="1"/>
  <c r="AN100" i="1"/>
  <c r="AK100" i="1"/>
  <c r="J100" i="1"/>
  <c r="I100" i="1"/>
  <c r="IB99" i="1"/>
  <c r="ID99" i="1" s="1"/>
  <c r="HZ99" i="1"/>
  <c r="FO99" i="1"/>
  <c r="FN99" i="1" s="1"/>
  <c r="FH99" i="1"/>
  <c r="FG99" i="1" s="1"/>
  <c r="FA99" i="1"/>
  <c r="EZ99" i="1" s="1"/>
  <c r="ET99" i="1"/>
  <c r="ES99" i="1" s="1"/>
  <c r="EP99" i="1"/>
  <c r="EO99" i="1"/>
  <c r="EM99" i="1"/>
  <c r="EL99" i="1"/>
  <c r="EI99" i="1"/>
  <c r="EH99" i="1"/>
  <c r="EF99" i="1"/>
  <c r="EE99" i="1"/>
  <c r="EB99" i="1"/>
  <c r="EA99" i="1"/>
  <c r="DY99" i="1"/>
  <c r="DX99" i="1" s="1"/>
  <c r="DU99" i="1"/>
  <c r="DT99" i="1"/>
  <c r="DR99" i="1"/>
  <c r="DQ99" i="1" s="1"/>
  <c r="DP99" i="1"/>
  <c r="DN99" i="1"/>
  <c r="DM99" i="1"/>
  <c r="DK99" i="1"/>
  <c r="DJ99" i="1"/>
  <c r="DG99" i="1"/>
  <c r="DF99" i="1"/>
  <c r="DD99" i="1"/>
  <c r="DC99" i="1"/>
  <c r="CZ99" i="1"/>
  <c r="CY99" i="1"/>
  <c r="CW99" i="1"/>
  <c r="CV99" i="1"/>
  <c r="CS99" i="1"/>
  <c r="CR99" i="1"/>
  <c r="CP99" i="1"/>
  <c r="CM99" i="1"/>
  <c r="CH99" i="1"/>
  <c r="CJ99" i="1" s="1"/>
  <c r="CN99" i="1" s="1"/>
  <c r="CU99" i="1" s="1"/>
  <c r="DB99" i="1" s="1"/>
  <c r="DI99" i="1" s="1"/>
  <c r="CF99" i="1"/>
  <c r="CK99" i="1" s="1"/>
  <c r="CD99" i="1"/>
  <c r="AO99" i="1"/>
  <c r="AN99" i="1"/>
  <c r="AK99" i="1"/>
  <c r="J99" i="1"/>
  <c r="I99" i="1"/>
  <c r="IB98" i="1"/>
  <c r="ID98" i="1" s="1"/>
  <c r="HZ98" i="1"/>
  <c r="HS98" i="1"/>
  <c r="HR98" i="1"/>
  <c r="HL98" i="1"/>
  <c r="HK98" i="1"/>
  <c r="HE98" i="1"/>
  <c r="HD98" i="1"/>
  <c r="GX98" i="1"/>
  <c r="GW98" i="1" s="1"/>
  <c r="GQ98" i="1"/>
  <c r="GP98" i="1"/>
  <c r="GJ98" i="1"/>
  <c r="GI98" i="1"/>
  <c r="GC98" i="1"/>
  <c r="GB98" i="1" s="1"/>
  <c r="FV98" i="1"/>
  <c r="FU98" i="1" s="1"/>
  <c r="FO98" i="1"/>
  <c r="FN98" i="1" s="1"/>
  <c r="FH98" i="1"/>
  <c r="FG98" i="1" s="1"/>
  <c r="FA98" i="1"/>
  <c r="EZ98" i="1"/>
  <c r="ET98" i="1"/>
  <c r="ES98" i="1" s="1"/>
  <c r="EP98" i="1"/>
  <c r="EO98" i="1"/>
  <c r="EM98" i="1"/>
  <c r="EL98" i="1"/>
  <c r="EI98" i="1"/>
  <c r="EH98" i="1"/>
  <c r="EF98" i="1"/>
  <c r="EE98" i="1" s="1"/>
  <c r="EB98" i="1"/>
  <c r="EA98" i="1"/>
  <c r="DY98" i="1"/>
  <c r="DX98" i="1" s="1"/>
  <c r="DU98" i="1"/>
  <c r="DT98" i="1"/>
  <c r="DR98" i="1"/>
  <c r="DQ98" i="1" s="1"/>
  <c r="DN98" i="1"/>
  <c r="DM98" i="1"/>
  <c r="DK98" i="1"/>
  <c r="DJ98" i="1" s="1"/>
  <c r="DG98" i="1"/>
  <c r="DF98" i="1"/>
  <c r="DD98" i="1"/>
  <c r="DC98" i="1" s="1"/>
  <c r="CZ98" i="1"/>
  <c r="CY98" i="1"/>
  <c r="CW98" i="1"/>
  <c r="CV98" i="1"/>
  <c r="CS98" i="1"/>
  <c r="CR98" i="1"/>
  <c r="CP98" i="1"/>
  <c r="HY98" i="1" s="1"/>
  <c r="CO98" i="1"/>
  <c r="HX98" i="1" s="1"/>
  <c r="CM98" i="1"/>
  <c r="CJ98" i="1"/>
  <c r="CN98" i="1" s="1"/>
  <c r="CH98" i="1"/>
  <c r="CG98" i="1"/>
  <c r="CF98" i="1"/>
  <c r="CK98" i="1" s="1"/>
  <c r="CD98" i="1"/>
  <c r="AP98" i="1"/>
  <c r="IF98" i="1" s="1"/>
  <c r="AO98" i="1"/>
  <c r="AN98" i="1"/>
  <c r="AK98" i="1"/>
  <c r="I98" i="1"/>
  <c r="J98" i="1" s="1"/>
  <c r="HZ97" i="1"/>
  <c r="HS97" i="1"/>
  <c r="HR97" i="1"/>
  <c r="HL97" i="1"/>
  <c r="HK97" i="1" s="1"/>
  <c r="HE97" i="1"/>
  <c r="HD97" i="1"/>
  <c r="GX97" i="1"/>
  <c r="GW97" i="1"/>
  <c r="GQ97" i="1"/>
  <c r="GP97" i="1"/>
  <c r="GJ97" i="1"/>
  <c r="GI97" i="1" s="1"/>
  <c r="GC97" i="1"/>
  <c r="GB97" i="1"/>
  <c r="FV97" i="1"/>
  <c r="FU97" i="1"/>
  <c r="FO97" i="1"/>
  <c r="FN97" i="1"/>
  <c r="FH97" i="1"/>
  <c r="FG97" i="1" s="1"/>
  <c r="FA97" i="1"/>
  <c r="EZ97" i="1"/>
  <c r="ET97" i="1"/>
  <c r="ES97" i="1"/>
  <c r="EP97" i="1"/>
  <c r="EO97" i="1"/>
  <c r="EM97" i="1"/>
  <c r="EL97" i="1"/>
  <c r="EI97" i="1"/>
  <c r="EH97" i="1"/>
  <c r="EF97" i="1"/>
  <c r="EE97" i="1" s="1"/>
  <c r="EB97" i="1"/>
  <c r="EA97" i="1"/>
  <c r="DY97" i="1"/>
  <c r="DX97" i="1" s="1"/>
  <c r="DU97" i="1"/>
  <c r="DT97" i="1"/>
  <c r="DR97" i="1"/>
  <c r="DQ97" i="1" s="1"/>
  <c r="DN97" i="1"/>
  <c r="DM97" i="1"/>
  <c r="DK97" i="1"/>
  <c r="DJ97" i="1"/>
  <c r="DG97" i="1"/>
  <c r="DF97" i="1"/>
  <c r="DD97" i="1"/>
  <c r="DC97" i="1" s="1"/>
  <c r="HX97" i="1" s="1"/>
  <c r="IC97" i="1" s="1"/>
  <c r="CZ97" i="1"/>
  <c r="CY97" i="1"/>
  <c r="CW97" i="1"/>
  <c r="CV97" i="1"/>
  <c r="CS97" i="1"/>
  <c r="CR97" i="1"/>
  <c r="CP97" i="1"/>
  <c r="CO97" i="1"/>
  <c r="CN97" i="1"/>
  <c r="CM97" i="1"/>
  <c r="CJ97" i="1"/>
  <c r="CH97" i="1"/>
  <c r="CF97" i="1"/>
  <c r="CK97" i="1" s="1"/>
  <c r="CD97" i="1"/>
  <c r="AO97" i="1"/>
  <c r="AN97" i="1"/>
  <c r="AK97" i="1"/>
  <c r="I97" i="1"/>
  <c r="J97" i="1" s="1"/>
  <c r="IB96" i="1"/>
  <c r="ID96" i="1" s="1"/>
  <c r="HZ96" i="1"/>
  <c r="HS96" i="1"/>
  <c r="HR96" i="1" s="1"/>
  <c r="HL96" i="1"/>
  <c r="HK96" i="1" s="1"/>
  <c r="HE96" i="1"/>
  <c r="HD96" i="1"/>
  <c r="GX96" i="1"/>
  <c r="GW96" i="1"/>
  <c r="GQ96" i="1"/>
  <c r="GP96" i="1" s="1"/>
  <c r="GJ96" i="1"/>
  <c r="GI96" i="1" s="1"/>
  <c r="GC96" i="1"/>
  <c r="GB96" i="1"/>
  <c r="FV96" i="1"/>
  <c r="FU96" i="1"/>
  <c r="FO96" i="1"/>
  <c r="FN96" i="1" s="1"/>
  <c r="FH96" i="1"/>
  <c r="FG96" i="1" s="1"/>
  <c r="FA96" i="1"/>
  <c r="EZ96" i="1"/>
  <c r="ET96" i="1"/>
  <c r="ES96" i="1" s="1"/>
  <c r="EP96" i="1"/>
  <c r="EO96" i="1"/>
  <c r="EM96" i="1"/>
  <c r="EL96" i="1" s="1"/>
  <c r="EI96" i="1"/>
  <c r="EH96" i="1"/>
  <c r="EF96" i="1"/>
  <c r="EE96" i="1" s="1"/>
  <c r="EB96" i="1"/>
  <c r="EA96" i="1"/>
  <c r="DY96" i="1"/>
  <c r="DX96" i="1" s="1"/>
  <c r="DU96" i="1"/>
  <c r="DV96" i="1" s="1"/>
  <c r="DT96" i="1"/>
  <c r="DR96" i="1"/>
  <c r="DQ96" i="1"/>
  <c r="DN96" i="1"/>
  <c r="DM96" i="1"/>
  <c r="DK96" i="1"/>
  <c r="DJ96" i="1"/>
  <c r="DG96" i="1"/>
  <c r="DH96" i="1" s="1"/>
  <c r="DF96" i="1"/>
  <c r="DD96" i="1"/>
  <c r="DC96" i="1" s="1"/>
  <c r="DB96" i="1"/>
  <c r="DI96" i="1" s="1"/>
  <c r="DP96" i="1" s="1"/>
  <c r="DW96" i="1" s="1"/>
  <c r="CZ96" i="1"/>
  <c r="CY96" i="1"/>
  <c r="CW96" i="1"/>
  <c r="CV96" i="1"/>
  <c r="CS96" i="1"/>
  <c r="CT96" i="1" s="1"/>
  <c r="CR96" i="1"/>
  <c r="CP96" i="1"/>
  <c r="CN96" i="1"/>
  <c r="CU96" i="1" s="1"/>
  <c r="CM96" i="1"/>
  <c r="CJ96" i="1"/>
  <c r="CH96" i="1"/>
  <c r="CF96" i="1"/>
  <c r="CK96" i="1" s="1"/>
  <c r="CD96" i="1"/>
  <c r="AO96" i="1"/>
  <c r="AN96" i="1"/>
  <c r="AK96" i="1"/>
  <c r="I96" i="1"/>
  <c r="J96" i="1" s="1"/>
  <c r="HZ95" i="1"/>
  <c r="FO95" i="1"/>
  <c r="FN95" i="1" s="1"/>
  <c r="FH95" i="1"/>
  <c r="FG95" i="1" s="1"/>
  <c r="FA95" i="1"/>
  <c r="EZ95" i="1"/>
  <c r="ET95" i="1"/>
  <c r="ES95" i="1" s="1"/>
  <c r="EP95" i="1"/>
  <c r="EO95" i="1"/>
  <c r="EM95" i="1"/>
  <c r="EL95" i="1"/>
  <c r="EI95" i="1"/>
  <c r="EH95" i="1"/>
  <c r="EF95" i="1"/>
  <c r="EE95" i="1" s="1"/>
  <c r="EB95" i="1"/>
  <c r="EA95" i="1"/>
  <c r="DY95" i="1"/>
  <c r="DX95" i="1" s="1"/>
  <c r="DU95" i="1"/>
  <c r="DT95" i="1"/>
  <c r="DR95" i="1"/>
  <c r="DQ95" i="1"/>
  <c r="DN95" i="1"/>
  <c r="DM95" i="1"/>
  <c r="DK95" i="1"/>
  <c r="DJ95" i="1"/>
  <c r="DI95" i="1"/>
  <c r="DP95" i="1" s="1"/>
  <c r="DW95" i="1" s="1"/>
  <c r="ED95" i="1" s="1"/>
  <c r="EK95" i="1" s="1"/>
  <c r="ER95" i="1" s="1"/>
  <c r="EY95" i="1" s="1"/>
  <c r="FF95" i="1" s="1"/>
  <c r="FM95" i="1" s="1"/>
  <c r="DG95" i="1"/>
  <c r="DH95" i="1" s="1"/>
  <c r="DF95" i="1"/>
  <c r="DD95" i="1"/>
  <c r="DC95" i="1" s="1"/>
  <c r="DB95" i="1"/>
  <c r="CZ95" i="1"/>
  <c r="CY95" i="1"/>
  <c r="CW95" i="1"/>
  <c r="CV95" i="1" s="1"/>
  <c r="CS95" i="1"/>
  <c r="CR95" i="1"/>
  <c r="CP95" i="1"/>
  <c r="CN95" i="1"/>
  <c r="CU95" i="1" s="1"/>
  <c r="CM95" i="1"/>
  <c r="IG95" i="1" s="1"/>
  <c r="IH95" i="1" s="1"/>
  <c r="CJ95" i="1"/>
  <c r="CH95" i="1"/>
  <c r="CG95" i="1"/>
  <c r="CF95" i="1"/>
  <c r="CK95" i="1" s="1"/>
  <c r="CD95" i="1"/>
  <c r="AO95" i="1"/>
  <c r="AP95" i="1" s="1"/>
  <c r="AN95" i="1"/>
  <c r="AK95" i="1"/>
  <c r="I95" i="1"/>
  <c r="J95" i="1" s="1"/>
  <c r="IF94" i="1"/>
  <c r="HZ94" i="1"/>
  <c r="HS94" i="1"/>
  <c r="HR94" i="1"/>
  <c r="HL94" i="1"/>
  <c r="HK94" i="1"/>
  <c r="HE94" i="1"/>
  <c r="HD94" i="1"/>
  <c r="GX94" i="1"/>
  <c r="GW94" i="1"/>
  <c r="GQ94" i="1"/>
  <c r="GP94" i="1"/>
  <c r="GJ94" i="1"/>
  <c r="GI94" i="1"/>
  <c r="GC94" i="1"/>
  <c r="GB94" i="1"/>
  <c r="FV94" i="1"/>
  <c r="FU94" i="1"/>
  <c r="FO94" i="1"/>
  <c r="FN94" i="1"/>
  <c r="FH94" i="1"/>
  <c r="FG94" i="1" s="1"/>
  <c r="FA94" i="1"/>
  <c r="EZ94" i="1"/>
  <c r="ET94" i="1"/>
  <c r="ES94" i="1"/>
  <c r="EP94" i="1"/>
  <c r="EO94" i="1"/>
  <c r="EM94" i="1"/>
  <c r="EL94" i="1"/>
  <c r="EI94" i="1"/>
  <c r="EH94" i="1"/>
  <c r="EF94" i="1"/>
  <c r="EE94" i="1" s="1"/>
  <c r="EB94" i="1"/>
  <c r="EA94" i="1"/>
  <c r="DY94" i="1"/>
  <c r="DX94" i="1" s="1"/>
  <c r="DU94" i="1"/>
  <c r="DT94" i="1"/>
  <c r="DR94" i="1"/>
  <c r="DQ94" i="1" s="1"/>
  <c r="DN94" i="1"/>
  <c r="DM94" i="1"/>
  <c r="DK94" i="1"/>
  <c r="DJ94" i="1" s="1"/>
  <c r="DG94" i="1"/>
  <c r="DF94" i="1"/>
  <c r="DD94" i="1"/>
  <c r="DC94" i="1" s="1"/>
  <c r="CZ94" i="1"/>
  <c r="CY94" i="1"/>
  <c r="CW94" i="1"/>
  <c r="CV94" i="1"/>
  <c r="CS94" i="1"/>
  <c r="CR94" i="1"/>
  <c r="CP94" i="1"/>
  <c r="CO94" i="1"/>
  <c r="CM94" i="1"/>
  <c r="CJ94" i="1"/>
  <c r="CN94" i="1" s="1"/>
  <c r="CH94" i="1"/>
  <c r="CG94" i="1"/>
  <c r="CF94" i="1"/>
  <c r="CK94" i="1" s="1"/>
  <c r="CD94" i="1"/>
  <c r="AP94" i="1"/>
  <c r="AO94" i="1"/>
  <c r="AN94" i="1"/>
  <c r="AK94" i="1"/>
  <c r="I94" i="1"/>
  <c r="J94" i="1" s="1"/>
  <c r="HZ93" i="1"/>
  <c r="FO93" i="1"/>
  <c r="FN93" i="1"/>
  <c r="FH93" i="1"/>
  <c r="FG93" i="1" s="1"/>
  <c r="FA93" i="1"/>
  <c r="EZ93" i="1"/>
  <c r="ET93" i="1"/>
  <c r="ES93" i="1"/>
  <c r="EP93" i="1"/>
  <c r="EO93" i="1"/>
  <c r="EM93" i="1"/>
  <c r="EL93" i="1"/>
  <c r="EI93" i="1"/>
  <c r="EH93" i="1"/>
  <c r="EF93" i="1"/>
  <c r="EE93" i="1" s="1"/>
  <c r="EB93" i="1"/>
  <c r="EA93" i="1"/>
  <c r="DY93" i="1"/>
  <c r="DX93" i="1" s="1"/>
  <c r="DU93" i="1"/>
  <c r="DT93" i="1"/>
  <c r="DR93" i="1"/>
  <c r="DQ93" i="1" s="1"/>
  <c r="DN93" i="1"/>
  <c r="DM93" i="1"/>
  <c r="DK93" i="1"/>
  <c r="DJ93" i="1"/>
  <c r="DG93" i="1"/>
  <c r="DF93" i="1"/>
  <c r="DD93" i="1"/>
  <c r="DC93" i="1" s="1"/>
  <c r="CZ93" i="1"/>
  <c r="CY93" i="1"/>
  <c r="CW93" i="1"/>
  <c r="CV93" i="1"/>
  <c r="CS93" i="1"/>
  <c r="CR93" i="1"/>
  <c r="CP93" i="1"/>
  <c r="CO93" i="1"/>
  <c r="CN93" i="1"/>
  <c r="CM93" i="1"/>
  <c r="CJ93" i="1"/>
  <c r="CH93" i="1"/>
  <c r="CF93" i="1"/>
  <c r="CK93" i="1" s="1"/>
  <c r="CD93" i="1"/>
  <c r="AO93" i="1"/>
  <c r="AN93" i="1"/>
  <c r="AK93" i="1"/>
  <c r="I93" i="1"/>
  <c r="J93" i="1" s="1"/>
  <c r="HZ92" i="1"/>
  <c r="FO92" i="1"/>
  <c r="FN92" i="1" s="1"/>
  <c r="FH92" i="1"/>
  <c r="FG92" i="1" s="1"/>
  <c r="FA92" i="1"/>
  <c r="EZ92" i="1"/>
  <c r="ET92" i="1"/>
  <c r="ES92" i="1" s="1"/>
  <c r="EP92" i="1"/>
  <c r="EO92" i="1"/>
  <c r="EM92" i="1"/>
  <c r="EL92" i="1" s="1"/>
  <c r="EI92" i="1"/>
  <c r="EH92" i="1"/>
  <c r="EF92" i="1"/>
  <c r="EE92" i="1" s="1"/>
  <c r="EB92" i="1"/>
  <c r="EA92" i="1"/>
  <c r="DY92" i="1"/>
  <c r="DX92" i="1" s="1"/>
  <c r="DU92" i="1"/>
  <c r="DV92" i="1" s="1"/>
  <c r="DT92" i="1"/>
  <c r="DR92" i="1"/>
  <c r="DQ92" i="1"/>
  <c r="DN92" i="1"/>
  <c r="DM92" i="1"/>
  <c r="DK92" i="1"/>
  <c r="DJ92" i="1"/>
  <c r="DG92" i="1"/>
  <c r="DH92" i="1" s="1"/>
  <c r="DF92" i="1"/>
  <c r="DD92" i="1"/>
  <c r="DC92" i="1" s="1"/>
  <c r="CZ92" i="1"/>
  <c r="CY92" i="1"/>
  <c r="CW92" i="1"/>
  <c r="CV92" i="1"/>
  <c r="CS92" i="1"/>
  <c r="CT92" i="1" s="1"/>
  <c r="CR92" i="1"/>
  <c r="CP92" i="1"/>
  <c r="CN92" i="1"/>
  <c r="CU92" i="1" s="1"/>
  <c r="DB92" i="1" s="1"/>
  <c r="DI92" i="1" s="1"/>
  <c r="DP92" i="1" s="1"/>
  <c r="DW92" i="1" s="1"/>
  <c r="CM92" i="1"/>
  <c r="CJ92" i="1"/>
  <c r="CH92" i="1"/>
  <c r="CF92" i="1"/>
  <c r="CK92" i="1" s="1"/>
  <c r="CD92" i="1"/>
  <c r="AO92" i="1"/>
  <c r="AN92" i="1"/>
  <c r="AK92" i="1"/>
  <c r="I92" i="1"/>
  <c r="J92" i="1" s="1"/>
  <c r="HZ91" i="1"/>
  <c r="IF91" i="1" s="1"/>
  <c r="FO91" i="1"/>
  <c r="FN91" i="1" s="1"/>
  <c r="FH91" i="1"/>
  <c r="FG91" i="1" s="1"/>
  <c r="FA91" i="1"/>
  <c r="EZ91" i="1"/>
  <c r="ET91" i="1"/>
  <c r="ES91" i="1" s="1"/>
  <c r="EP91" i="1"/>
  <c r="EO91" i="1"/>
  <c r="EM91" i="1"/>
  <c r="EL91" i="1"/>
  <c r="EI91" i="1"/>
  <c r="EH91" i="1"/>
  <c r="EF91" i="1"/>
  <c r="EE91" i="1" s="1"/>
  <c r="EB91" i="1"/>
  <c r="EC91" i="1" s="1"/>
  <c r="EA91" i="1"/>
  <c r="DY91" i="1"/>
  <c r="DX91" i="1" s="1"/>
  <c r="DU91" i="1"/>
  <c r="DT91" i="1"/>
  <c r="DR91" i="1"/>
  <c r="DQ91" i="1"/>
  <c r="DN91" i="1"/>
  <c r="DM91" i="1"/>
  <c r="DK91" i="1"/>
  <c r="DJ91" i="1"/>
  <c r="DG91" i="1"/>
  <c r="DF91" i="1"/>
  <c r="DD91" i="1"/>
  <c r="DC91" i="1" s="1"/>
  <c r="DB91" i="1"/>
  <c r="DI91" i="1" s="1"/>
  <c r="DP91" i="1" s="1"/>
  <c r="DW91" i="1" s="1"/>
  <c r="ED91" i="1" s="1"/>
  <c r="CZ91" i="1"/>
  <c r="CY91" i="1"/>
  <c r="CW91" i="1"/>
  <c r="CV91" i="1" s="1"/>
  <c r="CS91" i="1"/>
  <c r="CR91" i="1"/>
  <c r="CP91" i="1"/>
  <c r="CN91" i="1"/>
  <c r="CU91" i="1" s="1"/>
  <c r="CM91" i="1"/>
  <c r="IG91" i="1" s="1"/>
  <c r="IH91" i="1" s="1"/>
  <c r="II91" i="1" s="1"/>
  <c r="CJ91" i="1"/>
  <c r="CH91" i="1"/>
  <c r="CG91" i="1"/>
  <c r="CF91" i="1"/>
  <c r="CK91" i="1" s="1"/>
  <c r="CD91" i="1"/>
  <c r="AO91" i="1"/>
  <c r="AP91" i="1" s="1"/>
  <c r="AN91" i="1"/>
  <c r="AK91" i="1"/>
  <c r="I91" i="1"/>
  <c r="J91" i="1" s="1"/>
  <c r="HZ90" i="1"/>
  <c r="HS90" i="1"/>
  <c r="HR90" i="1"/>
  <c r="HL90" i="1"/>
  <c r="HK90" i="1"/>
  <c r="HE90" i="1"/>
  <c r="HD90" i="1"/>
  <c r="GX90" i="1"/>
  <c r="GW90" i="1" s="1"/>
  <c r="GQ90" i="1"/>
  <c r="GP90" i="1" s="1"/>
  <c r="GJ90" i="1"/>
  <c r="GI90" i="1" s="1"/>
  <c r="GC90" i="1"/>
  <c r="GB90" i="1"/>
  <c r="FV90" i="1"/>
  <c r="FU90" i="1" s="1"/>
  <c r="FO90" i="1"/>
  <c r="FN90" i="1"/>
  <c r="FH90" i="1"/>
  <c r="FG90" i="1"/>
  <c r="FA90" i="1"/>
  <c r="EZ90" i="1"/>
  <c r="ET90" i="1"/>
  <c r="ES90" i="1"/>
  <c r="EP90" i="1"/>
  <c r="EO90" i="1"/>
  <c r="EM90" i="1"/>
  <c r="EL90" i="1" s="1"/>
  <c r="EI90" i="1"/>
  <c r="EH90" i="1"/>
  <c r="EF90" i="1"/>
  <c r="EE90" i="1" s="1"/>
  <c r="EB90" i="1"/>
  <c r="EA90" i="1"/>
  <c r="DY90" i="1"/>
  <c r="DX90" i="1" s="1"/>
  <c r="DU90" i="1"/>
  <c r="DT90" i="1"/>
  <c r="DR90" i="1"/>
  <c r="DQ90" i="1" s="1"/>
  <c r="DN90" i="1"/>
  <c r="DM90" i="1"/>
  <c r="DK90" i="1"/>
  <c r="DJ90" i="1" s="1"/>
  <c r="DG90" i="1"/>
  <c r="DF90" i="1"/>
  <c r="DD90" i="1"/>
  <c r="DC90" i="1" s="1"/>
  <c r="CZ90" i="1"/>
  <c r="CY90" i="1"/>
  <c r="CW90" i="1"/>
  <c r="CV90" i="1"/>
  <c r="CS90" i="1"/>
  <c r="CR90" i="1"/>
  <c r="CP90" i="1"/>
  <c r="CO90" i="1"/>
  <c r="CM90" i="1"/>
  <c r="IG90" i="1" s="1"/>
  <c r="IH90" i="1" s="1"/>
  <c r="CK90" i="1"/>
  <c r="CJ90" i="1"/>
  <c r="CN90" i="1" s="1"/>
  <c r="CH90" i="1"/>
  <c r="CF90" i="1"/>
  <c r="CD90" i="1"/>
  <c r="AO90" i="1"/>
  <c r="AN90" i="1"/>
  <c r="AK90" i="1"/>
  <c r="I90" i="1"/>
  <c r="J90" i="1" s="1"/>
  <c r="HZ89" i="1"/>
  <c r="FV89" i="1"/>
  <c r="FU89" i="1"/>
  <c r="FO89" i="1"/>
  <c r="FN89" i="1"/>
  <c r="FH89" i="1"/>
  <c r="FG89" i="1" s="1"/>
  <c r="FA89" i="1"/>
  <c r="EZ89" i="1"/>
  <c r="ET89" i="1"/>
  <c r="ES89" i="1"/>
  <c r="EP89" i="1"/>
  <c r="EO89" i="1"/>
  <c r="EM89" i="1"/>
  <c r="EL89" i="1"/>
  <c r="EI89" i="1"/>
  <c r="EH89" i="1"/>
  <c r="EF89" i="1"/>
  <c r="EE89" i="1" s="1"/>
  <c r="EB89" i="1"/>
  <c r="EA89" i="1"/>
  <c r="DY89" i="1"/>
  <c r="DX89" i="1" s="1"/>
  <c r="DU89" i="1"/>
  <c r="DT89" i="1"/>
  <c r="DR89" i="1"/>
  <c r="DQ89" i="1" s="1"/>
  <c r="DN89" i="1"/>
  <c r="DM89" i="1"/>
  <c r="DK89" i="1"/>
  <c r="DJ89" i="1" s="1"/>
  <c r="DG89" i="1"/>
  <c r="DF89" i="1"/>
  <c r="DD89" i="1"/>
  <c r="DC89" i="1" s="1"/>
  <c r="CZ89" i="1"/>
  <c r="CY89" i="1"/>
  <c r="CW89" i="1"/>
  <c r="CV89" i="1"/>
  <c r="CS89" i="1"/>
  <c r="CR89" i="1"/>
  <c r="CP89" i="1"/>
  <c r="CO89" i="1"/>
  <c r="CM89" i="1"/>
  <c r="CJ89" i="1"/>
  <c r="CN89" i="1" s="1"/>
  <c r="CH89" i="1"/>
  <c r="CG89" i="1"/>
  <c r="CF89" i="1"/>
  <c r="CK89" i="1" s="1"/>
  <c r="CD89" i="1"/>
  <c r="AP89" i="1"/>
  <c r="AO89" i="1"/>
  <c r="IB89" i="1" s="1"/>
  <c r="AN89" i="1"/>
  <c r="AK89" i="1"/>
  <c r="I89" i="1"/>
  <c r="J89" i="1" s="1"/>
  <c r="HZ88" i="1"/>
  <c r="HS88" i="1"/>
  <c r="HR88" i="1"/>
  <c r="HL88" i="1"/>
  <c r="HK88" i="1" s="1"/>
  <c r="HE88" i="1"/>
  <c r="HD88" i="1"/>
  <c r="GX88" i="1"/>
  <c r="GW88" i="1"/>
  <c r="GQ88" i="1"/>
  <c r="GP88" i="1"/>
  <c r="GJ88" i="1"/>
  <c r="GI88" i="1"/>
  <c r="GC88" i="1"/>
  <c r="GB88" i="1"/>
  <c r="FV88" i="1"/>
  <c r="FU88" i="1" s="1"/>
  <c r="FO88" i="1"/>
  <c r="FN88" i="1" s="1"/>
  <c r="FH88" i="1"/>
  <c r="FG88" i="1" s="1"/>
  <c r="FA88" i="1"/>
  <c r="EZ88" i="1"/>
  <c r="ET88" i="1"/>
  <c r="ES88" i="1" s="1"/>
  <c r="EP88" i="1"/>
  <c r="EO88" i="1"/>
  <c r="EM88" i="1"/>
  <c r="EL88" i="1"/>
  <c r="EI88" i="1"/>
  <c r="EJ88" i="1" s="1"/>
  <c r="EH88" i="1"/>
  <c r="EF88" i="1"/>
  <c r="EE88" i="1" s="1"/>
  <c r="EB88" i="1"/>
  <c r="EA88" i="1"/>
  <c r="DY88" i="1"/>
  <c r="DX88" i="1" s="1"/>
  <c r="DU88" i="1"/>
  <c r="DT88" i="1"/>
  <c r="DR88" i="1"/>
  <c r="DQ88" i="1"/>
  <c r="DN88" i="1"/>
  <c r="DM88" i="1"/>
  <c r="DK88" i="1"/>
  <c r="DJ88" i="1"/>
  <c r="DI88" i="1"/>
  <c r="DP88" i="1" s="1"/>
  <c r="DW88" i="1" s="1"/>
  <c r="ED88" i="1" s="1"/>
  <c r="EK88" i="1" s="1"/>
  <c r="ER88" i="1" s="1"/>
  <c r="EY88" i="1" s="1"/>
  <c r="FF88" i="1" s="1"/>
  <c r="FM88" i="1" s="1"/>
  <c r="FT88" i="1" s="1"/>
  <c r="GA88" i="1" s="1"/>
  <c r="GH88" i="1" s="1"/>
  <c r="GO88" i="1" s="1"/>
  <c r="GV88" i="1" s="1"/>
  <c r="HC88" i="1" s="1"/>
  <c r="HJ88" i="1" s="1"/>
  <c r="HQ88" i="1" s="1"/>
  <c r="DG88" i="1"/>
  <c r="DH88" i="1" s="1"/>
  <c r="DF88" i="1"/>
  <c r="DD88" i="1"/>
  <c r="DC88" i="1" s="1"/>
  <c r="DB88" i="1"/>
  <c r="CZ88" i="1"/>
  <c r="CY88" i="1"/>
  <c r="CW88" i="1"/>
  <c r="CV88" i="1" s="1"/>
  <c r="CS88" i="1"/>
  <c r="CR88" i="1"/>
  <c r="CP88" i="1"/>
  <c r="CN88" i="1"/>
  <c r="CU88" i="1" s="1"/>
  <c r="CM88" i="1"/>
  <c r="IG88" i="1" s="1"/>
  <c r="IH88" i="1" s="1"/>
  <c r="II88" i="1" s="1"/>
  <c r="IJ88" i="1" s="1"/>
  <c r="CJ88" i="1"/>
  <c r="CH88" i="1"/>
  <c r="CG88" i="1"/>
  <c r="CF88" i="1"/>
  <c r="CK88" i="1" s="1"/>
  <c r="CD88" i="1"/>
  <c r="AO88" i="1"/>
  <c r="IB88" i="1" s="1"/>
  <c r="AN88" i="1"/>
  <c r="AK88" i="1"/>
  <c r="S88" i="1"/>
  <c r="J88" i="1"/>
  <c r="I88" i="1"/>
  <c r="ID87" i="1"/>
  <c r="HZ87" i="1"/>
  <c r="DT87" i="1"/>
  <c r="DN87" i="1"/>
  <c r="DM87" i="1"/>
  <c r="DK87" i="1"/>
  <c r="DJ87" i="1" s="1"/>
  <c r="DG87" i="1"/>
  <c r="DF87" i="1"/>
  <c r="DD87" i="1"/>
  <c r="CZ87" i="1"/>
  <c r="CY87" i="1"/>
  <c r="CW87" i="1"/>
  <c r="CV87" i="1"/>
  <c r="CP87" i="1"/>
  <c r="CO87" i="1"/>
  <c r="CM87" i="1"/>
  <c r="IG87" i="1" s="1"/>
  <c r="IH87" i="1" s="1"/>
  <c r="II87" i="1" s="1"/>
  <c r="CK87" i="1"/>
  <c r="CJ87" i="1"/>
  <c r="CN87" i="1" s="1"/>
  <c r="CH87" i="1"/>
  <c r="CG87" i="1"/>
  <c r="CF87" i="1"/>
  <c r="CD87" i="1"/>
  <c r="AP87" i="1"/>
  <c r="AO87" i="1"/>
  <c r="IB87" i="1" s="1"/>
  <c r="AK87" i="1"/>
  <c r="S87" i="1"/>
  <c r="I87" i="1"/>
  <c r="J87" i="1" s="1"/>
  <c r="HZ86" i="1"/>
  <c r="HS86" i="1"/>
  <c r="HR86" i="1"/>
  <c r="HL86" i="1"/>
  <c r="HK86" i="1" s="1"/>
  <c r="HE86" i="1"/>
  <c r="HD86" i="1"/>
  <c r="GX86" i="1"/>
  <c r="GW86" i="1" s="1"/>
  <c r="GQ86" i="1"/>
  <c r="GP86" i="1"/>
  <c r="GJ86" i="1"/>
  <c r="GI86" i="1" s="1"/>
  <c r="GC86" i="1"/>
  <c r="GB86" i="1"/>
  <c r="FV86" i="1"/>
  <c r="FU86" i="1"/>
  <c r="FO86" i="1"/>
  <c r="FN86" i="1"/>
  <c r="FH86" i="1"/>
  <c r="FG86" i="1" s="1"/>
  <c r="FA86" i="1"/>
  <c r="EZ86" i="1"/>
  <c r="ET86" i="1"/>
  <c r="ES86" i="1" s="1"/>
  <c r="EP86" i="1"/>
  <c r="EO86" i="1"/>
  <c r="EM86" i="1"/>
  <c r="EL86" i="1" s="1"/>
  <c r="EI86" i="1"/>
  <c r="EH86" i="1"/>
  <c r="EF86" i="1"/>
  <c r="EE86" i="1"/>
  <c r="EB86" i="1"/>
  <c r="EA86" i="1"/>
  <c r="DY86" i="1"/>
  <c r="DX86" i="1"/>
  <c r="DU86" i="1"/>
  <c r="DT86" i="1"/>
  <c r="DR86" i="1"/>
  <c r="DQ86" i="1" s="1"/>
  <c r="DN86" i="1"/>
  <c r="DO86" i="1" s="1"/>
  <c r="DM86" i="1"/>
  <c r="DK86" i="1"/>
  <c r="DJ86" i="1" s="1"/>
  <c r="DG86" i="1"/>
  <c r="DF86" i="1"/>
  <c r="DD86" i="1"/>
  <c r="DC86" i="1" s="1"/>
  <c r="HX86" i="1" s="1"/>
  <c r="CZ86" i="1"/>
  <c r="DA86" i="1" s="1"/>
  <c r="CY86" i="1"/>
  <c r="CW86" i="1"/>
  <c r="CV86" i="1"/>
  <c r="CP86" i="1"/>
  <c r="CO86" i="1"/>
  <c r="CM86" i="1"/>
  <c r="CK86" i="1"/>
  <c r="CJ86" i="1"/>
  <c r="CN86" i="1" s="1"/>
  <c r="CU86" i="1" s="1"/>
  <c r="DB86" i="1" s="1"/>
  <c r="DI86" i="1" s="1"/>
  <c r="DP86" i="1" s="1"/>
  <c r="DW86" i="1" s="1"/>
  <c r="ED86" i="1" s="1"/>
  <c r="EK86" i="1" s="1"/>
  <c r="ER86" i="1" s="1"/>
  <c r="EY86" i="1" s="1"/>
  <c r="FF86" i="1" s="1"/>
  <c r="FM86" i="1" s="1"/>
  <c r="FT86" i="1" s="1"/>
  <c r="GA86" i="1" s="1"/>
  <c r="GH86" i="1" s="1"/>
  <c r="GO86" i="1" s="1"/>
  <c r="GV86" i="1" s="1"/>
  <c r="HC86" i="1" s="1"/>
  <c r="CH86" i="1"/>
  <c r="CG86" i="1"/>
  <c r="CF86" i="1"/>
  <c r="CD86" i="1"/>
  <c r="AO86" i="1"/>
  <c r="AN86" i="1"/>
  <c r="AK86" i="1"/>
  <c r="S86" i="1"/>
  <c r="J86" i="1"/>
  <c r="I86" i="1"/>
  <c r="HZ85" i="1"/>
  <c r="GJ85" i="1"/>
  <c r="GI85" i="1" s="1"/>
  <c r="GC85" i="1"/>
  <c r="GB85" i="1"/>
  <c r="FV85" i="1"/>
  <c r="FU85" i="1" s="1"/>
  <c r="FO85" i="1"/>
  <c r="FN85" i="1"/>
  <c r="FH85" i="1"/>
  <c r="FG85" i="1"/>
  <c r="FA85" i="1"/>
  <c r="EZ85" i="1"/>
  <c r="ET85" i="1"/>
  <c r="ES85" i="1"/>
  <c r="EP85" i="1"/>
  <c r="EO85" i="1"/>
  <c r="EM85" i="1"/>
  <c r="EL85" i="1" s="1"/>
  <c r="EI85" i="1"/>
  <c r="EH85" i="1"/>
  <c r="EF85" i="1"/>
  <c r="EE85" i="1" s="1"/>
  <c r="EB85" i="1"/>
  <c r="EA85" i="1"/>
  <c r="DY85" i="1"/>
  <c r="DX85" i="1" s="1"/>
  <c r="DU85" i="1"/>
  <c r="DT85" i="1"/>
  <c r="DR85" i="1"/>
  <c r="DQ85" i="1" s="1"/>
  <c r="DN85" i="1"/>
  <c r="DM85" i="1"/>
  <c r="DK85" i="1"/>
  <c r="DJ85" i="1" s="1"/>
  <c r="DG85" i="1"/>
  <c r="DF85" i="1"/>
  <c r="DD85" i="1"/>
  <c r="DC85" i="1" s="1"/>
  <c r="CZ85" i="1"/>
  <c r="CY85" i="1"/>
  <c r="CW85" i="1"/>
  <c r="HY85" i="1" s="1"/>
  <c r="CV85" i="1"/>
  <c r="CP85" i="1"/>
  <c r="CO85" i="1"/>
  <c r="CM85" i="1"/>
  <c r="CK85" i="1"/>
  <c r="CH85" i="1"/>
  <c r="CJ85" i="1" s="1"/>
  <c r="CG85" i="1"/>
  <c r="CF85" i="1"/>
  <c r="CD85" i="1"/>
  <c r="AN85" i="1"/>
  <c r="AO85" i="1" s="1"/>
  <c r="AK85" i="1"/>
  <c r="S85" i="1"/>
  <c r="J85" i="1"/>
  <c r="I85" i="1"/>
  <c r="HZ84" i="1"/>
  <c r="FO84" i="1"/>
  <c r="FN84" i="1"/>
  <c r="FH84" i="1"/>
  <c r="FG84" i="1" s="1"/>
  <c r="FA84" i="1"/>
  <c r="EZ84" i="1" s="1"/>
  <c r="ET84" i="1"/>
  <c r="ES84" i="1" s="1"/>
  <c r="EP84" i="1"/>
  <c r="EO84" i="1"/>
  <c r="EM84" i="1"/>
  <c r="EL84" i="1"/>
  <c r="EI84" i="1"/>
  <c r="EH84" i="1"/>
  <c r="EF84" i="1"/>
  <c r="EE84" i="1"/>
  <c r="EB84" i="1"/>
  <c r="EA84" i="1"/>
  <c r="DY84" i="1"/>
  <c r="DX84" i="1" s="1"/>
  <c r="DU84" i="1"/>
  <c r="DT84" i="1"/>
  <c r="DR84" i="1"/>
  <c r="DQ84" i="1" s="1"/>
  <c r="DN84" i="1"/>
  <c r="DM84" i="1"/>
  <c r="DK84" i="1"/>
  <c r="DJ84" i="1"/>
  <c r="DG84" i="1"/>
  <c r="DF84" i="1"/>
  <c r="DD84" i="1"/>
  <c r="CZ84" i="1"/>
  <c r="CY84" i="1"/>
  <c r="CW84" i="1"/>
  <c r="CV84" i="1" s="1"/>
  <c r="CP84" i="1"/>
  <c r="CO84" i="1"/>
  <c r="CM84" i="1"/>
  <c r="CJ84" i="1"/>
  <c r="CN84" i="1" s="1"/>
  <c r="CH84" i="1"/>
  <c r="CF84" i="1"/>
  <c r="CK84" i="1" s="1"/>
  <c r="CD84" i="1"/>
  <c r="AO84" i="1"/>
  <c r="AN84" i="1"/>
  <c r="AK84" i="1"/>
  <c r="S84" i="1"/>
  <c r="I84" i="1"/>
  <c r="J84" i="1" s="1"/>
  <c r="HZ83" i="1"/>
  <c r="FO83" i="1"/>
  <c r="FN83" i="1" s="1"/>
  <c r="FH83" i="1"/>
  <c r="FG83" i="1"/>
  <c r="FA83" i="1"/>
  <c r="EZ83" i="1"/>
  <c r="ET83" i="1"/>
  <c r="ES83" i="1"/>
  <c r="EP83" i="1"/>
  <c r="EO83" i="1"/>
  <c r="EM83" i="1"/>
  <c r="EL83" i="1"/>
  <c r="EI83" i="1"/>
  <c r="EH83" i="1"/>
  <c r="EF83" i="1"/>
  <c r="EE83" i="1" s="1"/>
  <c r="EB83" i="1"/>
  <c r="EA83" i="1"/>
  <c r="DY83" i="1"/>
  <c r="DX83" i="1"/>
  <c r="DU83" i="1"/>
  <c r="DT83" i="1"/>
  <c r="DR83" i="1"/>
  <c r="DQ83" i="1"/>
  <c r="DN83" i="1"/>
  <c r="DM83" i="1"/>
  <c r="DK83" i="1"/>
  <c r="DJ83" i="1"/>
  <c r="DD83" i="1"/>
  <c r="DC83" i="1"/>
  <c r="CW83" i="1"/>
  <c r="CV83" i="1"/>
  <c r="CP83" i="1"/>
  <c r="HY83" i="1" s="1"/>
  <c r="CO83" i="1"/>
  <c r="CN83" i="1"/>
  <c r="CM83" i="1"/>
  <c r="CK83" i="1"/>
  <c r="CH83" i="1"/>
  <c r="CJ83" i="1" s="1"/>
  <c r="CF83" i="1"/>
  <c r="CD83" i="1"/>
  <c r="AN83" i="1"/>
  <c r="AO83" i="1" s="1"/>
  <c r="AK83" i="1"/>
  <c r="S83" i="1"/>
  <c r="J83" i="1"/>
  <c r="I83" i="1"/>
  <c r="HZ82" i="1"/>
  <c r="HS82" i="1"/>
  <c r="HR82" i="1"/>
  <c r="HL82" i="1"/>
  <c r="HK82" i="1" s="1"/>
  <c r="HE82" i="1"/>
  <c r="HD82" i="1" s="1"/>
  <c r="GX82" i="1"/>
  <c r="GW82" i="1" s="1"/>
  <c r="GQ82" i="1"/>
  <c r="GP82" i="1"/>
  <c r="GJ82" i="1"/>
  <c r="GI82" i="1"/>
  <c r="GC82" i="1"/>
  <c r="GB82" i="1"/>
  <c r="FV82" i="1"/>
  <c r="FU82" i="1"/>
  <c r="FO82" i="1"/>
  <c r="FN82" i="1"/>
  <c r="FH82" i="1"/>
  <c r="FG82" i="1" s="1"/>
  <c r="FA82" i="1"/>
  <c r="EZ82" i="1" s="1"/>
  <c r="ET82" i="1"/>
  <c r="ES82" i="1" s="1"/>
  <c r="EP82" i="1"/>
  <c r="EO82" i="1"/>
  <c r="EM82" i="1"/>
  <c r="EL82" i="1"/>
  <c r="EI82" i="1"/>
  <c r="EH82" i="1"/>
  <c r="EF82" i="1"/>
  <c r="EE82" i="1"/>
  <c r="EB82" i="1"/>
  <c r="EA82" i="1"/>
  <c r="DY82" i="1"/>
  <c r="DX82" i="1" s="1"/>
  <c r="DU82" i="1"/>
  <c r="DT82" i="1"/>
  <c r="DR82" i="1"/>
  <c r="DQ82" i="1" s="1"/>
  <c r="DK82" i="1"/>
  <c r="DJ82" i="1" s="1"/>
  <c r="DD82" i="1"/>
  <c r="DC82" i="1" s="1"/>
  <c r="DB82" i="1"/>
  <c r="DI82" i="1" s="1"/>
  <c r="CW82" i="1"/>
  <c r="CV82" i="1"/>
  <c r="CP82" i="1"/>
  <c r="HY82" i="1" s="1"/>
  <c r="CO82" i="1"/>
  <c r="HX82" i="1" s="1"/>
  <c r="CM82" i="1"/>
  <c r="IG82" i="1" s="1"/>
  <c r="IH82" i="1" s="1"/>
  <c r="CK82" i="1"/>
  <c r="CH82" i="1"/>
  <c r="CJ82" i="1" s="1"/>
  <c r="CN82" i="1" s="1"/>
  <c r="CU82" i="1" s="1"/>
  <c r="DA82" i="1" s="1"/>
  <c r="CF82" i="1"/>
  <c r="CD82" i="1"/>
  <c r="AN82" i="1"/>
  <c r="AO82" i="1" s="1"/>
  <c r="AK82" i="1"/>
  <c r="S82" i="1"/>
  <c r="I82" i="1"/>
  <c r="J82" i="1" s="1"/>
  <c r="HZ81" i="1"/>
  <c r="FO81" i="1"/>
  <c r="FN81" i="1" s="1"/>
  <c r="FH81" i="1"/>
  <c r="FG81" i="1" s="1"/>
  <c r="FA81" i="1"/>
  <c r="EZ81" i="1"/>
  <c r="ET81" i="1"/>
  <c r="ES81" i="1"/>
  <c r="EP81" i="1"/>
  <c r="EO81" i="1"/>
  <c r="EM81" i="1"/>
  <c r="EL81" i="1" s="1"/>
  <c r="EI81" i="1"/>
  <c r="EH81" i="1"/>
  <c r="EF81" i="1"/>
  <c r="EE81" i="1" s="1"/>
  <c r="EB81" i="1"/>
  <c r="EA81" i="1"/>
  <c r="DY81" i="1"/>
  <c r="DX81" i="1" s="1"/>
  <c r="DW81" i="1"/>
  <c r="DU81" i="1"/>
  <c r="DV81" i="1" s="1"/>
  <c r="DT81" i="1"/>
  <c r="DR81" i="1"/>
  <c r="DQ81" i="1"/>
  <c r="DN81" i="1"/>
  <c r="DM81" i="1"/>
  <c r="DK81" i="1"/>
  <c r="DJ81" i="1"/>
  <c r="DG81" i="1"/>
  <c r="DF81" i="1"/>
  <c r="DD81" i="1"/>
  <c r="DC81" i="1" s="1"/>
  <c r="CW81" i="1"/>
  <c r="CV81" i="1"/>
  <c r="CT81" i="1"/>
  <c r="CP81" i="1"/>
  <c r="CO81" i="1"/>
  <c r="HX81" i="1" s="1"/>
  <c r="CM81" i="1"/>
  <c r="CK81" i="1"/>
  <c r="CH81" i="1"/>
  <c r="CJ81" i="1" s="1"/>
  <c r="CN81" i="1" s="1"/>
  <c r="CU81" i="1" s="1"/>
  <c r="DB81" i="1" s="1"/>
  <c r="DI81" i="1" s="1"/>
  <c r="DP81" i="1" s="1"/>
  <c r="CF81" i="1"/>
  <c r="CD81" i="1"/>
  <c r="AN81" i="1"/>
  <c r="AO81" i="1" s="1"/>
  <c r="AK81" i="1"/>
  <c r="S81" i="1"/>
  <c r="I81" i="1"/>
  <c r="J81" i="1" s="1"/>
  <c r="HZ80" i="1"/>
  <c r="FO80" i="1"/>
  <c r="FN80" i="1" s="1"/>
  <c r="FH80" i="1"/>
  <c r="FG80" i="1" s="1"/>
  <c r="FA80" i="1"/>
  <c r="EZ80" i="1"/>
  <c r="ET80" i="1"/>
  <c r="ES80" i="1"/>
  <c r="EP80" i="1"/>
  <c r="EO80" i="1"/>
  <c r="EM80" i="1"/>
  <c r="EL80" i="1"/>
  <c r="EI80" i="1"/>
  <c r="EH80" i="1"/>
  <c r="EF80" i="1"/>
  <c r="EE80" i="1" s="1"/>
  <c r="EB80" i="1"/>
  <c r="EA80" i="1"/>
  <c r="DY80" i="1"/>
  <c r="DX80" i="1" s="1"/>
  <c r="DU80" i="1"/>
  <c r="DT80" i="1"/>
  <c r="DR80" i="1"/>
  <c r="DQ80" i="1"/>
  <c r="DN80" i="1"/>
  <c r="DM80" i="1"/>
  <c r="DK80" i="1"/>
  <c r="DJ80" i="1" s="1"/>
  <c r="DG80" i="1"/>
  <c r="DH80" i="1" s="1"/>
  <c r="DF80" i="1"/>
  <c r="DD80" i="1"/>
  <c r="DC80" i="1" s="1"/>
  <c r="DB80" i="1"/>
  <c r="DI80" i="1" s="1"/>
  <c r="DP80" i="1" s="1"/>
  <c r="DW80" i="1" s="1"/>
  <c r="CW80" i="1"/>
  <c r="CV80" i="1" s="1"/>
  <c r="CP80" i="1"/>
  <c r="CO80" i="1" s="1"/>
  <c r="CM80" i="1"/>
  <c r="IG80" i="1" s="1"/>
  <c r="IH80" i="1" s="1"/>
  <c r="CH80" i="1"/>
  <c r="CJ80" i="1" s="1"/>
  <c r="CN80" i="1" s="1"/>
  <c r="CU80" i="1" s="1"/>
  <c r="DA80" i="1" s="1"/>
  <c r="CF80" i="1"/>
  <c r="CK80" i="1" s="1"/>
  <c r="CD80" i="1"/>
  <c r="AN80" i="1"/>
  <c r="AO80" i="1" s="1"/>
  <c r="AK80" i="1"/>
  <c r="S80" i="1"/>
  <c r="I80" i="1"/>
  <c r="J80" i="1" s="1"/>
  <c r="HZ79" i="1"/>
  <c r="IF79" i="1" s="1"/>
  <c r="FO79" i="1"/>
  <c r="FN79" i="1" s="1"/>
  <c r="FH79" i="1"/>
  <c r="FG79" i="1"/>
  <c r="FA79" i="1"/>
  <c r="EZ79" i="1"/>
  <c r="ET79" i="1"/>
  <c r="ES79" i="1"/>
  <c r="EP79" i="1"/>
  <c r="EO79" i="1"/>
  <c r="EM79" i="1"/>
  <c r="EL79" i="1"/>
  <c r="EI79" i="1"/>
  <c r="EH79" i="1"/>
  <c r="EF79" i="1"/>
  <c r="EE79" i="1" s="1"/>
  <c r="EB79" i="1"/>
  <c r="EA79" i="1"/>
  <c r="DY79" i="1"/>
  <c r="DX79" i="1" s="1"/>
  <c r="DU79" i="1"/>
  <c r="DT79" i="1"/>
  <c r="DR79" i="1"/>
  <c r="DQ79" i="1"/>
  <c r="DN79" i="1"/>
  <c r="DM79" i="1"/>
  <c r="DK79" i="1"/>
  <c r="DJ79" i="1" s="1"/>
  <c r="DG79" i="1"/>
  <c r="DF79" i="1"/>
  <c r="DD79" i="1"/>
  <c r="DC79" i="1" s="1"/>
  <c r="CZ79" i="1"/>
  <c r="CY79" i="1"/>
  <c r="CW79" i="1"/>
  <c r="CV79" i="1" s="1"/>
  <c r="CP79" i="1"/>
  <c r="CN79" i="1"/>
  <c r="CM79" i="1"/>
  <c r="IG79" i="1" s="1"/>
  <c r="IH79" i="1" s="1"/>
  <c r="II79" i="1" s="1"/>
  <c r="CK79" i="1"/>
  <c r="CJ79" i="1"/>
  <c r="CH79" i="1"/>
  <c r="CF79" i="1"/>
  <c r="CD79" i="1"/>
  <c r="AP79" i="1"/>
  <c r="CR79" i="1" s="1"/>
  <c r="AO79" i="1"/>
  <c r="AN79" i="1"/>
  <c r="AK79" i="1"/>
  <c r="S79" i="1"/>
  <c r="I79" i="1"/>
  <c r="J79" i="1" s="1"/>
  <c r="HZ78" i="1"/>
  <c r="HS78" i="1"/>
  <c r="HR78" i="1"/>
  <c r="HL78" i="1"/>
  <c r="HK78" i="1" s="1"/>
  <c r="HE78" i="1"/>
  <c r="HD78" i="1" s="1"/>
  <c r="GX78" i="1"/>
  <c r="GW78" i="1" s="1"/>
  <c r="GQ78" i="1"/>
  <c r="GP78" i="1"/>
  <c r="GJ78" i="1"/>
  <c r="GI78" i="1"/>
  <c r="GC78" i="1"/>
  <c r="GB78" i="1" s="1"/>
  <c r="FV78" i="1"/>
  <c r="FU78" i="1"/>
  <c r="FO78" i="1"/>
  <c r="FN78" i="1"/>
  <c r="FH78" i="1"/>
  <c r="FG78" i="1"/>
  <c r="FA78" i="1"/>
  <c r="EZ78" i="1"/>
  <c r="ET78" i="1"/>
  <c r="ES78" i="1" s="1"/>
  <c r="EP78" i="1"/>
  <c r="EO78" i="1"/>
  <c r="EM78" i="1"/>
  <c r="EL78" i="1" s="1"/>
  <c r="EI78" i="1"/>
  <c r="EH78" i="1"/>
  <c r="EF78" i="1"/>
  <c r="EE78" i="1"/>
  <c r="EB78" i="1"/>
  <c r="EA78" i="1"/>
  <c r="DY78" i="1"/>
  <c r="DX78" i="1" s="1"/>
  <c r="DU78" i="1"/>
  <c r="DT78" i="1"/>
  <c r="DR78" i="1"/>
  <c r="DQ78" i="1" s="1"/>
  <c r="DN78" i="1"/>
  <c r="DM78" i="1"/>
  <c r="DK78" i="1"/>
  <c r="DJ78" i="1" s="1"/>
  <c r="DG78" i="1"/>
  <c r="DF78" i="1"/>
  <c r="DD78" i="1"/>
  <c r="DC78" i="1"/>
  <c r="CW78" i="1"/>
  <c r="CV78" i="1"/>
  <c r="CP78" i="1"/>
  <c r="CN78" i="1"/>
  <c r="CT78" i="1" s="1"/>
  <c r="CM78" i="1"/>
  <c r="IG78" i="1" s="1"/>
  <c r="IH78" i="1" s="1"/>
  <c r="CJ78" i="1"/>
  <c r="CH78" i="1"/>
  <c r="CF78" i="1"/>
  <c r="CK78" i="1" s="1"/>
  <c r="CD78" i="1"/>
  <c r="AO78" i="1"/>
  <c r="AN78" i="1"/>
  <c r="AK78" i="1"/>
  <c r="S78" i="1"/>
  <c r="I78" i="1"/>
  <c r="J78" i="1" s="1"/>
  <c r="HZ77" i="1"/>
  <c r="FO77" i="1"/>
  <c r="FN77" i="1"/>
  <c r="FH77" i="1"/>
  <c r="FG77" i="1" s="1"/>
  <c r="FA77" i="1"/>
  <c r="EZ77" i="1" s="1"/>
  <c r="ET77" i="1"/>
  <c r="ES77" i="1"/>
  <c r="EP77" i="1"/>
  <c r="EO77" i="1"/>
  <c r="EM77" i="1"/>
  <c r="EL77" i="1" s="1"/>
  <c r="EI77" i="1"/>
  <c r="EH77" i="1"/>
  <c r="EF77" i="1"/>
  <c r="EE77" i="1"/>
  <c r="EB77" i="1"/>
  <c r="EA77" i="1"/>
  <c r="DY77" i="1"/>
  <c r="DX77" i="1"/>
  <c r="DU77" i="1"/>
  <c r="DT77" i="1"/>
  <c r="DR77" i="1"/>
  <c r="DQ77" i="1"/>
  <c r="DN77" i="1"/>
  <c r="DM77" i="1"/>
  <c r="DK77" i="1"/>
  <c r="DJ77" i="1" s="1"/>
  <c r="DG77" i="1"/>
  <c r="DF77" i="1"/>
  <c r="DD77" i="1"/>
  <c r="DC77" i="1"/>
  <c r="CW77" i="1"/>
  <c r="CV77" i="1" s="1"/>
  <c r="CP77" i="1"/>
  <c r="CO77" i="1" s="1"/>
  <c r="HX77" i="1" s="1"/>
  <c r="IC77" i="1" s="1"/>
  <c r="CM77" i="1"/>
  <c r="CK77" i="1"/>
  <c r="CJ77" i="1"/>
  <c r="CH77" i="1"/>
  <c r="CF77" i="1"/>
  <c r="CD77" i="1"/>
  <c r="AN77" i="1"/>
  <c r="AO77" i="1" s="1"/>
  <c r="AK77" i="1"/>
  <c r="S77" i="1"/>
  <c r="J77" i="1"/>
  <c r="I77" i="1"/>
  <c r="HZ76" i="1"/>
  <c r="HS76" i="1"/>
  <c r="HR76" i="1"/>
  <c r="HL76" i="1"/>
  <c r="HK76" i="1"/>
  <c r="HE76" i="1"/>
  <c r="HD76" i="1" s="1"/>
  <c r="GX76" i="1"/>
  <c r="GW76" i="1"/>
  <c r="GQ76" i="1"/>
  <c r="GP76" i="1"/>
  <c r="GJ76" i="1"/>
  <c r="GI76" i="1" s="1"/>
  <c r="GC76" i="1"/>
  <c r="GB76" i="1" s="1"/>
  <c r="FV76" i="1"/>
  <c r="FU76" i="1" s="1"/>
  <c r="FO76" i="1"/>
  <c r="FN76" i="1"/>
  <c r="HX76" i="1" s="1"/>
  <c r="FH76" i="1"/>
  <c r="FG76" i="1" s="1"/>
  <c r="FA76" i="1"/>
  <c r="EZ76" i="1"/>
  <c r="ET76" i="1"/>
  <c r="ES76" i="1"/>
  <c r="EP76" i="1"/>
  <c r="EO76" i="1"/>
  <c r="EM76" i="1"/>
  <c r="EL76" i="1" s="1"/>
  <c r="EI76" i="1"/>
  <c r="EH76" i="1"/>
  <c r="EF76" i="1"/>
  <c r="EE76" i="1"/>
  <c r="EB76" i="1"/>
  <c r="EA76" i="1"/>
  <c r="DY76" i="1"/>
  <c r="DX76" i="1"/>
  <c r="DU76" i="1"/>
  <c r="DT76" i="1"/>
  <c r="DR76" i="1"/>
  <c r="DQ76" i="1"/>
  <c r="DN76" i="1"/>
  <c r="DM76" i="1"/>
  <c r="DK76" i="1"/>
  <c r="DJ76" i="1" s="1"/>
  <c r="DI76" i="1"/>
  <c r="DG76" i="1"/>
  <c r="DH76" i="1" s="1"/>
  <c r="DF76" i="1"/>
  <c r="DD76" i="1"/>
  <c r="DC76" i="1"/>
  <c r="DB76" i="1"/>
  <c r="CZ76" i="1"/>
  <c r="CY76" i="1"/>
  <c r="CW76" i="1"/>
  <c r="CV76" i="1"/>
  <c r="CP76" i="1"/>
  <c r="CO76" i="1"/>
  <c r="CN76" i="1"/>
  <c r="CU76" i="1" s="1"/>
  <c r="CM76" i="1"/>
  <c r="IG76" i="1" s="1"/>
  <c r="IH76" i="1" s="1"/>
  <c r="CK76" i="1"/>
  <c r="CH76" i="1"/>
  <c r="CJ76" i="1" s="1"/>
  <c r="CF76" i="1"/>
  <c r="CD76" i="1"/>
  <c r="AN76" i="1"/>
  <c r="AO76" i="1" s="1"/>
  <c r="AK76" i="1"/>
  <c r="S76" i="1"/>
  <c r="J76" i="1"/>
  <c r="I76" i="1"/>
  <c r="IB75" i="1"/>
  <c r="HZ75" i="1"/>
  <c r="FO75" i="1"/>
  <c r="FN75" i="1"/>
  <c r="FH75" i="1"/>
  <c r="FG75" i="1" s="1"/>
  <c r="FA75" i="1"/>
  <c r="EZ75" i="1" s="1"/>
  <c r="ET75" i="1"/>
  <c r="ES75" i="1" s="1"/>
  <c r="EP75" i="1"/>
  <c r="EO75" i="1"/>
  <c r="EM75" i="1"/>
  <c r="EL75" i="1"/>
  <c r="EI75" i="1"/>
  <c r="EH75" i="1"/>
  <c r="EF75" i="1"/>
  <c r="EE75" i="1" s="1"/>
  <c r="EB75" i="1"/>
  <c r="EA75" i="1"/>
  <c r="DY75" i="1"/>
  <c r="DX75" i="1" s="1"/>
  <c r="DU75" i="1"/>
  <c r="DT75" i="1"/>
  <c r="DR75" i="1"/>
  <c r="DQ75" i="1"/>
  <c r="DN75" i="1"/>
  <c r="DM75" i="1"/>
  <c r="DK75" i="1"/>
  <c r="DJ75" i="1"/>
  <c r="DG75" i="1"/>
  <c r="DF75" i="1"/>
  <c r="DD75" i="1"/>
  <c r="DC75" i="1" s="1"/>
  <c r="CW75" i="1"/>
  <c r="CV75" i="1"/>
  <c r="CP75" i="1"/>
  <c r="CO75" i="1"/>
  <c r="CM75" i="1"/>
  <c r="CK75" i="1"/>
  <c r="CH75" i="1"/>
  <c r="CJ75" i="1" s="1"/>
  <c r="CG75" i="1"/>
  <c r="CF75" i="1"/>
  <c r="CD75" i="1"/>
  <c r="AO75" i="1"/>
  <c r="AP75" i="1" s="1"/>
  <c r="AN75" i="1"/>
  <c r="AK75" i="1"/>
  <c r="S75" i="1"/>
  <c r="J75" i="1"/>
  <c r="I75" i="1"/>
  <c r="HZ74" i="1"/>
  <c r="FO74" i="1"/>
  <c r="FN74" i="1"/>
  <c r="FH74" i="1"/>
  <c r="FG74" i="1" s="1"/>
  <c r="FA74" i="1"/>
  <c r="EZ74" i="1" s="1"/>
  <c r="ET74" i="1"/>
  <c r="ES74" i="1"/>
  <c r="EP74" i="1"/>
  <c r="EO74" i="1"/>
  <c r="EM74" i="1"/>
  <c r="EL74" i="1"/>
  <c r="EI74" i="1"/>
  <c r="EH74" i="1"/>
  <c r="EF74" i="1"/>
  <c r="EE74" i="1" s="1"/>
  <c r="EB74" i="1"/>
  <c r="EA74" i="1"/>
  <c r="DY74" i="1"/>
  <c r="DX74" i="1" s="1"/>
  <c r="DU74" i="1"/>
  <c r="DT74" i="1"/>
  <c r="DR74" i="1"/>
  <c r="DQ74" i="1" s="1"/>
  <c r="DN74" i="1"/>
  <c r="DM74" i="1"/>
  <c r="DK74" i="1"/>
  <c r="DJ74" i="1"/>
  <c r="DG74" i="1"/>
  <c r="DF74" i="1"/>
  <c r="DD74" i="1"/>
  <c r="DC74" i="1"/>
  <c r="CW74" i="1"/>
  <c r="HY74" i="1" s="1"/>
  <c r="CV74" i="1"/>
  <c r="CP74" i="1"/>
  <c r="CO74" i="1"/>
  <c r="CM74" i="1"/>
  <c r="IG74" i="1" s="1"/>
  <c r="IH74" i="1" s="1"/>
  <c r="CK74" i="1"/>
  <c r="CH74" i="1"/>
  <c r="CJ74" i="1" s="1"/>
  <c r="CN74" i="1" s="1"/>
  <c r="CF74" i="1"/>
  <c r="CD74" i="1"/>
  <c r="AO74" i="1"/>
  <c r="AN74" i="1"/>
  <c r="AK74" i="1"/>
  <c r="S74" i="1"/>
  <c r="J74" i="1"/>
  <c r="I74" i="1"/>
  <c r="HZ73" i="1"/>
  <c r="FO73" i="1"/>
  <c r="FN73" i="1"/>
  <c r="FH73" i="1"/>
  <c r="FG73" i="1" s="1"/>
  <c r="FA73" i="1"/>
  <c r="EZ73" i="1" s="1"/>
  <c r="ET73" i="1"/>
  <c r="ES73" i="1" s="1"/>
  <c r="EP73" i="1"/>
  <c r="EO73" i="1"/>
  <c r="EM73" i="1"/>
  <c r="EL73" i="1"/>
  <c r="EK73" i="1"/>
  <c r="ER73" i="1" s="1"/>
  <c r="EY73" i="1" s="1"/>
  <c r="FF73" i="1" s="1"/>
  <c r="FM73" i="1" s="1"/>
  <c r="EI73" i="1"/>
  <c r="EJ73" i="1" s="1"/>
  <c r="EH73" i="1"/>
  <c r="EF73" i="1"/>
  <c r="EE73" i="1"/>
  <c r="EB73" i="1"/>
  <c r="EA73" i="1"/>
  <c r="DY73" i="1"/>
  <c r="DX73" i="1" s="1"/>
  <c r="DU73" i="1"/>
  <c r="DV73" i="1" s="1"/>
  <c r="DT73" i="1"/>
  <c r="DR73" i="1"/>
  <c r="DQ73" i="1"/>
  <c r="DP73" i="1"/>
  <c r="DW73" i="1" s="1"/>
  <c r="ED73" i="1" s="1"/>
  <c r="DN73" i="1"/>
  <c r="DO73" i="1" s="1"/>
  <c r="DM73" i="1"/>
  <c r="DK73" i="1"/>
  <c r="DJ73" i="1"/>
  <c r="DG73" i="1"/>
  <c r="DH73" i="1" s="1"/>
  <c r="DF73" i="1"/>
  <c r="DD73" i="1"/>
  <c r="DC73" i="1" s="1"/>
  <c r="CZ73" i="1"/>
  <c r="DA73" i="1" s="1"/>
  <c r="CY73" i="1"/>
  <c r="CW73" i="1"/>
  <c r="CV73" i="1" s="1"/>
  <c r="CT73" i="1"/>
  <c r="CP73" i="1"/>
  <c r="CN73" i="1"/>
  <c r="CU73" i="1" s="1"/>
  <c r="DB73" i="1" s="1"/>
  <c r="DI73" i="1" s="1"/>
  <c r="CM73" i="1"/>
  <c r="IG73" i="1" s="1"/>
  <c r="IH73" i="1" s="1"/>
  <c r="CJ73" i="1"/>
  <c r="CH73" i="1"/>
  <c r="CF73" i="1"/>
  <c r="CK73" i="1" s="1"/>
  <c r="CD73" i="1"/>
  <c r="AP73" i="1"/>
  <c r="CR73" i="1" s="1"/>
  <c r="AO73" i="1"/>
  <c r="CG73" i="1" s="1"/>
  <c r="AN73" i="1"/>
  <c r="AK73" i="1"/>
  <c r="S73" i="1"/>
  <c r="I73" i="1"/>
  <c r="J73" i="1" s="1"/>
  <c r="HZ72" i="1"/>
  <c r="FO72" i="1"/>
  <c r="FN72" i="1" s="1"/>
  <c r="FH72" i="1"/>
  <c r="FG72" i="1"/>
  <c r="FA72" i="1"/>
  <c r="EZ72" i="1"/>
  <c r="ET72" i="1"/>
  <c r="ES72" i="1"/>
  <c r="EP72" i="1"/>
  <c r="EO72" i="1"/>
  <c r="EM72" i="1"/>
  <c r="EL72" i="1" s="1"/>
  <c r="EI72" i="1"/>
  <c r="EH72" i="1"/>
  <c r="EF72" i="1"/>
  <c r="EE72" i="1" s="1"/>
  <c r="EB72" i="1"/>
  <c r="EA72" i="1"/>
  <c r="DY72" i="1"/>
  <c r="DX72" i="1"/>
  <c r="DU72" i="1"/>
  <c r="DT72" i="1"/>
  <c r="DR72" i="1"/>
  <c r="DQ72" i="1" s="1"/>
  <c r="DK72" i="1"/>
  <c r="DJ72" i="1"/>
  <c r="DD72" i="1"/>
  <c r="DC72" i="1"/>
  <c r="CW72" i="1"/>
  <c r="CV72" i="1"/>
  <c r="CP72" i="1"/>
  <c r="CN72" i="1"/>
  <c r="CM72" i="1"/>
  <c r="CJ72" i="1"/>
  <c r="CH72" i="1"/>
  <c r="CF72" i="1"/>
  <c r="CK72" i="1" s="1"/>
  <c r="CD72" i="1"/>
  <c r="AN72" i="1"/>
  <c r="AO72" i="1" s="1"/>
  <c r="AK72" i="1"/>
  <c r="S72" i="1"/>
  <c r="I72" i="1"/>
  <c r="J72" i="1" s="1"/>
  <c r="HZ71" i="1"/>
  <c r="FO71" i="1"/>
  <c r="FN71" i="1"/>
  <c r="FH71" i="1"/>
  <c r="FG71" i="1"/>
  <c r="FA71" i="1"/>
  <c r="EZ71" i="1"/>
  <c r="ET71" i="1"/>
  <c r="ES71" i="1"/>
  <c r="EP71" i="1"/>
  <c r="EO71" i="1"/>
  <c r="EM71" i="1"/>
  <c r="EL71" i="1" s="1"/>
  <c r="EI71" i="1"/>
  <c r="EH71" i="1"/>
  <c r="EF71" i="1"/>
  <c r="EE71" i="1"/>
  <c r="EB71" i="1"/>
  <c r="EA71" i="1"/>
  <c r="DY71" i="1"/>
  <c r="DX71" i="1"/>
  <c r="DU71" i="1"/>
  <c r="DT71" i="1"/>
  <c r="DR71" i="1"/>
  <c r="DQ71" i="1" s="1"/>
  <c r="DK71" i="1"/>
  <c r="DJ71" i="1"/>
  <c r="DD71" i="1"/>
  <c r="DC71" i="1" s="1"/>
  <c r="CW71" i="1"/>
  <c r="CV71" i="1"/>
  <c r="CP71" i="1"/>
  <c r="CO71" i="1"/>
  <c r="CN71" i="1"/>
  <c r="CM71" i="1"/>
  <c r="IG71" i="1" s="1"/>
  <c r="IH71" i="1" s="1"/>
  <c r="CK71" i="1"/>
  <c r="CH71" i="1"/>
  <c r="CJ71" i="1" s="1"/>
  <c r="CF71" i="1"/>
  <c r="CD71" i="1"/>
  <c r="AN71" i="1"/>
  <c r="AO71" i="1" s="1"/>
  <c r="AK71" i="1"/>
  <c r="S71" i="1"/>
  <c r="I71" i="1"/>
  <c r="J71" i="1" s="1"/>
  <c r="HZ70" i="1"/>
  <c r="HS70" i="1"/>
  <c r="HR70" i="1" s="1"/>
  <c r="HL70" i="1"/>
  <c r="HK70" i="1"/>
  <c r="HE70" i="1"/>
  <c r="HD70" i="1"/>
  <c r="GX70" i="1"/>
  <c r="GW70" i="1"/>
  <c r="GQ70" i="1"/>
  <c r="GP70" i="1" s="1"/>
  <c r="GJ70" i="1"/>
  <c r="GI70" i="1"/>
  <c r="GC70" i="1"/>
  <c r="GB70" i="1"/>
  <c r="FV70" i="1"/>
  <c r="FU70" i="1"/>
  <c r="FO70" i="1"/>
  <c r="FN70" i="1" s="1"/>
  <c r="FH70" i="1"/>
  <c r="FG70" i="1" s="1"/>
  <c r="FA70" i="1"/>
  <c r="EZ70" i="1"/>
  <c r="ET70" i="1"/>
  <c r="ES70" i="1" s="1"/>
  <c r="EP70" i="1"/>
  <c r="EO70" i="1"/>
  <c r="EM70" i="1"/>
  <c r="EL70" i="1"/>
  <c r="EI70" i="1"/>
  <c r="EH70" i="1"/>
  <c r="EF70" i="1"/>
  <c r="EE70" i="1" s="1"/>
  <c r="EB70" i="1"/>
  <c r="EA70" i="1"/>
  <c r="DY70" i="1"/>
  <c r="DX70" i="1" s="1"/>
  <c r="DU70" i="1"/>
  <c r="DT70" i="1"/>
  <c r="DR70" i="1"/>
  <c r="DQ70" i="1" s="1"/>
  <c r="DP70" i="1"/>
  <c r="DW70" i="1" s="1"/>
  <c r="ED70" i="1" s="1"/>
  <c r="EK70" i="1" s="1"/>
  <c r="ER70" i="1" s="1"/>
  <c r="EY70" i="1" s="1"/>
  <c r="FF70" i="1" s="1"/>
  <c r="FM70" i="1" s="1"/>
  <c r="DN70" i="1"/>
  <c r="DM70" i="1"/>
  <c r="DK70" i="1"/>
  <c r="DJ70" i="1"/>
  <c r="DG70" i="1"/>
  <c r="DF70" i="1"/>
  <c r="DD70" i="1"/>
  <c r="DC70" i="1" s="1"/>
  <c r="CZ70" i="1"/>
  <c r="DA70" i="1" s="1"/>
  <c r="CY70" i="1"/>
  <c r="CW70" i="1"/>
  <c r="CV70" i="1" s="1"/>
  <c r="CS70" i="1"/>
  <c r="CR70" i="1"/>
  <c r="CP70" i="1"/>
  <c r="CN70" i="1"/>
  <c r="CU70" i="1" s="1"/>
  <c r="DB70" i="1" s="1"/>
  <c r="DI70" i="1" s="1"/>
  <c r="CM70" i="1"/>
  <c r="CH70" i="1"/>
  <c r="CJ70" i="1" s="1"/>
  <c r="CF70" i="1"/>
  <c r="CK70" i="1" s="1"/>
  <c r="CD70" i="1"/>
  <c r="AP70" i="1"/>
  <c r="IF70" i="1" s="1"/>
  <c r="AN70" i="1"/>
  <c r="AO70" i="1" s="1"/>
  <c r="IB70" i="1" s="1"/>
  <c r="ID70" i="1" s="1"/>
  <c r="AK70" i="1"/>
  <c r="S70" i="1"/>
  <c r="I70" i="1"/>
  <c r="J70" i="1" s="1"/>
  <c r="HZ69" i="1"/>
  <c r="HS69" i="1"/>
  <c r="HR69" i="1"/>
  <c r="HL69" i="1"/>
  <c r="HK69" i="1"/>
  <c r="HE69" i="1"/>
  <c r="HD69" i="1"/>
  <c r="GX69" i="1"/>
  <c r="GW69" i="1" s="1"/>
  <c r="GQ69" i="1"/>
  <c r="GP69" i="1"/>
  <c r="GJ69" i="1"/>
  <c r="GI69" i="1"/>
  <c r="GC69" i="1"/>
  <c r="GB69" i="1"/>
  <c r="FV69" i="1"/>
  <c r="FU69" i="1" s="1"/>
  <c r="FO69" i="1"/>
  <c r="FN69" i="1"/>
  <c r="FH69" i="1"/>
  <c r="FG69" i="1" s="1"/>
  <c r="FA69" i="1"/>
  <c r="EZ69" i="1" s="1"/>
  <c r="ET69" i="1"/>
  <c r="ES69" i="1" s="1"/>
  <c r="EP69" i="1"/>
  <c r="EO69" i="1"/>
  <c r="EM69" i="1"/>
  <c r="EL69" i="1" s="1"/>
  <c r="EI69" i="1"/>
  <c r="EH69" i="1"/>
  <c r="EF69" i="1"/>
  <c r="EE69" i="1"/>
  <c r="EB69" i="1"/>
  <c r="EA69" i="1"/>
  <c r="DY69" i="1"/>
  <c r="DX69" i="1" s="1"/>
  <c r="DU69" i="1"/>
  <c r="DT69" i="1"/>
  <c r="DR69" i="1"/>
  <c r="DQ69" i="1" s="1"/>
  <c r="DN69" i="1"/>
  <c r="DM69" i="1"/>
  <c r="DK69" i="1"/>
  <c r="DJ69" i="1" s="1"/>
  <c r="DG69" i="1"/>
  <c r="DF69" i="1"/>
  <c r="DD69" i="1"/>
  <c r="DC69" i="1"/>
  <c r="CW69" i="1"/>
  <c r="CV69" i="1"/>
  <c r="CP69" i="1"/>
  <c r="CO69" i="1" s="1"/>
  <c r="CM69" i="1"/>
  <c r="CH69" i="1"/>
  <c r="CJ69" i="1" s="1"/>
  <c r="CF69" i="1"/>
  <c r="CK69" i="1" s="1"/>
  <c r="CD69" i="1"/>
  <c r="AN69" i="1"/>
  <c r="AO69" i="1" s="1"/>
  <c r="AK69" i="1"/>
  <c r="S69" i="1"/>
  <c r="J69" i="1"/>
  <c r="I69" i="1"/>
  <c r="ID68" i="1"/>
  <c r="HZ68" i="1"/>
  <c r="HS68" i="1"/>
  <c r="HR68" i="1"/>
  <c r="HL68" i="1"/>
  <c r="HK68" i="1"/>
  <c r="HE68" i="1"/>
  <c r="HD68" i="1"/>
  <c r="GX68" i="1"/>
  <c r="GW68" i="1"/>
  <c r="GQ68" i="1"/>
  <c r="GP68" i="1"/>
  <c r="GJ68" i="1"/>
  <c r="GI68" i="1"/>
  <c r="GC68" i="1"/>
  <c r="GB68" i="1"/>
  <c r="FV68" i="1"/>
  <c r="HY68" i="1" s="1"/>
  <c r="FU68" i="1"/>
  <c r="HX68" i="1" s="1"/>
  <c r="FO68" i="1"/>
  <c r="FN68" i="1"/>
  <c r="FH68" i="1"/>
  <c r="FG68" i="1" s="1"/>
  <c r="FA68" i="1"/>
  <c r="EZ68" i="1"/>
  <c r="ET68" i="1"/>
  <c r="ES68" i="1" s="1"/>
  <c r="EP68" i="1"/>
  <c r="EO68" i="1"/>
  <c r="EM68" i="1"/>
  <c r="EL68" i="1" s="1"/>
  <c r="EI68" i="1"/>
  <c r="EH68" i="1"/>
  <c r="EF68" i="1"/>
  <c r="EE68" i="1"/>
  <c r="EB68" i="1"/>
  <c r="EA68" i="1"/>
  <c r="DY68" i="1"/>
  <c r="DX68" i="1" s="1"/>
  <c r="DU68" i="1"/>
  <c r="DT68" i="1"/>
  <c r="DR68" i="1"/>
  <c r="DQ68" i="1" s="1"/>
  <c r="DN68" i="1"/>
  <c r="DM68" i="1"/>
  <c r="DK68" i="1"/>
  <c r="DJ68" i="1" s="1"/>
  <c r="DG68" i="1"/>
  <c r="DF68" i="1"/>
  <c r="DD68" i="1"/>
  <c r="DC68" i="1"/>
  <c r="CW68" i="1"/>
  <c r="CV68" i="1"/>
  <c r="CP68" i="1"/>
  <c r="CO68" i="1" s="1"/>
  <c r="CM68" i="1"/>
  <c r="CH68" i="1"/>
  <c r="CJ68" i="1" s="1"/>
  <c r="CG68" i="1"/>
  <c r="CF68" i="1"/>
  <c r="CK68" i="1" s="1"/>
  <c r="CD68" i="1"/>
  <c r="AN68" i="1"/>
  <c r="AO68" i="1" s="1"/>
  <c r="IB68" i="1" s="1"/>
  <c r="AK68" i="1"/>
  <c r="S68" i="1"/>
  <c r="I68" i="1"/>
  <c r="J68" i="1" s="1"/>
  <c r="HZ67" i="1"/>
  <c r="HS67" i="1"/>
  <c r="HR67" i="1"/>
  <c r="HL67" i="1"/>
  <c r="HK67" i="1"/>
  <c r="HE67" i="1"/>
  <c r="HD67" i="1"/>
  <c r="GX67" i="1"/>
  <c r="GW67" i="1"/>
  <c r="GQ67" i="1"/>
  <c r="GP67" i="1"/>
  <c r="GJ67" i="1"/>
  <c r="GI67" i="1" s="1"/>
  <c r="GC67" i="1"/>
  <c r="GB67" i="1"/>
  <c r="FV67" i="1"/>
  <c r="FU67" i="1" s="1"/>
  <c r="FO67" i="1"/>
  <c r="FN67" i="1"/>
  <c r="FH67" i="1"/>
  <c r="FG67" i="1" s="1"/>
  <c r="FA67" i="1"/>
  <c r="EZ67" i="1"/>
  <c r="ET67" i="1"/>
  <c r="ES67" i="1"/>
  <c r="EP67" i="1"/>
  <c r="EO67" i="1"/>
  <c r="EM67" i="1"/>
  <c r="EL67" i="1" s="1"/>
  <c r="EI67" i="1"/>
  <c r="EH67" i="1"/>
  <c r="EF67" i="1"/>
  <c r="EE67" i="1" s="1"/>
  <c r="EB67" i="1"/>
  <c r="EA67" i="1"/>
  <c r="DY67" i="1"/>
  <c r="DX67" i="1" s="1"/>
  <c r="DU67" i="1"/>
  <c r="DT67" i="1"/>
  <c r="DR67" i="1"/>
  <c r="DQ67" i="1"/>
  <c r="DN67" i="1"/>
  <c r="DM67" i="1"/>
  <c r="DK67" i="1"/>
  <c r="DJ67" i="1" s="1"/>
  <c r="DG67" i="1"/>
  <c r="DF67" i="1"/>
  <c r="DD67" i="1"/>
  <c r="DC67" i="1" s="1"/>
  <c r="CW67" i="1"/>
  <c r="CV67" i="1" s="1"/>
  <c r="HX67" i="1" s="1"/>
  <c r="CP67" i="1"/>
  <c r="CO67" i="1" s="1"/>
  <c r="CM67" i="1"/>
  <c r="IG67" i="1" s="1"/>
  <c r="IH67" i="1" s="1"/>
  <c r="CK67" i="1"/>
  <c r="CH67" i="1"/>
  <c r="CJ67" i="1" s="1"/>
  <c r="CN67" i="1" s="1"/>
  <c r="CF67" i="1"/>
  <c r="CD67" i="1"/>
  <c r="AO67" i="1"/>
  <c r="AN67" i="1"/>
  <c r="AK67" i="1"/>
  <c r="S67" i="1"/>
  <c r="I67" i="1"/>
  <c r="J67" i="1" s="1"/>
  <c r="HZ66" i="1"/>
  <c r="HS66" i="1"/>
  <c r="HR66" i="1"/>
  <c r="HL66" i="1"/>
  <c r="HK66" i="1" s="1"/>
  <c r="HE66" i="1"/>
  <c r="HD66" i="1"/>
  <c r="GX66" i="1"/>
  <c r="GW66" i="1"/>
  <c r="GQ66" i="1"/>
  <c r="GP66" i="1"/>
  <c r="GJ66" i="1"/>
  <c r="GI66" i="1" s="1"/>
  <c r="GC66" i="1"/>
  <c r="GB66" i="1"/>
  <c r="FV66" i="1"/>
  <c r="FU66" i="1"/>
  <c r="FO66" i="1"/>
  <c r="FN66" i="1"/>
  <c r="FH66" i="1"/>
  <c r="FG66" i="1" s="1"/>
  <c r="FA66" i="1"/>
  <c r="EZ66" i="1"/>
  <c r="ET66" i="1"/>
  <c r="ES66" i="1"/>
  <c r="EP66" i="1"/>
  <c r="EO66" i="1"/>
  <c r="EM66" i="1"/>
  <c r="EL66" i="1" s="1"/>
  <c r="EI66" i="1"/>
  <c r="EH66" i="1"/>
  <c r="EF66" i="1"/>
  <c r="EE66" i="1" s="1"/>
  <c r="EB66" i="1"/>
  <c r="EA66" i="1"/>
  <c r="DY66" i="1"/>
  <c r="DX66" i="1" s="1"/>
  <c r="DU66" i="1"/>
  <c r="DT66" i="1"/>
  <c r="DR66" i="1"/>
  <c r="DQ66" i="1"/>
  <c r="DN66" i="1"/>
  <c r="DM66" i="1"/>
  <c r="DK66" i="1"/>
  <c r="DJ66" i="1" s="1"/>
  <c r="DG66" i="1"/>
  <c r="DF66" i="1"/>
  <c r="DD66" i="1"/>
  <c r="DC66" i="1" s="1"/>
  <c r="CW66" i="1"/>
  <c r="CV66" i="1"/>
  <c r="CT66" i="1"/>
  <c r="CP66" i="1"/>
  <c r="CM66" i="1"/>
  <c r="IG66" i="1" s="1"/>
  <c r="IH66" i="1" s="1"/>
  <c r="CK66" i="1"/>
  <c r="CH66" i="1"/>
  <c r="CJ66" i="1" s="1"/>
  <c r="CN66" i="1" s="1"/>
  <c r="CU66" i="1" s="1"/>
  <c r="CF66" i="1"/>
  <c r="CD66" i="1"/>
  <c r="AO66" i="1"/>
  <c r="AN66" i="1"/>
  <c r="AK66" i="1"/>
  <c r="S66" i="1"/>
  <c r="I66" i="1"/>
  <c r="J66" i="1" s="1"/>
  <c r="HZ65" i="1"/>
  <c r="HS65" i="1"/>
  <c r="HR65" i="1"/>
  <c r="HL65" i="1"/>
  <c r="HK65" i="1"/>
  <c r="HE65" i="1"/>
  <c r="HD65" i="1"/>
  <c r="GX65" i="1"/>
  <c r="GW65" i="1"/>
  <c r="GQ65" i="1"/>
  <c r="GP65" i="1"/>
  <c r="GJ65" i="1"/>
  <c r="GI65" i="1"/>
  <c r="GC65" i="1"/>
  <c r="GB65" i="1"/>
  <c r="FV65" i="1"/>
  <c r="FU65" i="1"/>
  <c r="FO65" i="1"/>
  <c r="FN65" i="1"/>
  <c r="FH65" i="1"/>
  <c r="FG65" i="1" s="1"/>
  <c r="FA65" i="1"/>
  <c r="EZ65" i="1"/>
  <c r="ET65" i="1"/>
  <c r="ES65" i="1"/>
  <c r="EP65" i="1"/>
  <c r="EO65" i="1"/>
  <c r="EM65" i="1"/>
  <c r="EL65" i="1" s="1"/>
  <c r="EI65" i="1"/>
  <c r="EH65" i="1"/>
  <c r="EF65" i="1"/>
  <c r="EE65" i="1" s="1"/>
  <c r="EB65" i="1"/>
  <c r="EA65" i="1"/>
  <c r="DY65" i="1"/>
  <c r="DX65" i="1" s="1"/>
  <c r="DU65" i="1"/>
  <c r="DT65" i="1"/>
  <c r="DR65" i="1"/>
  <c r="DQ65" i="1"/>
  <c r="DN65" i="1"/>
  <c r="DM65" i="1"/>
  <c r="DK65" i="1"/>
  <c r="DJ65" i="1" s="1"/>
  <c r="DG65" i="1"/>
  <c r="DF65" i="1"/>
  <c r="DD65" i="1"/>
  <c r="DC65" i="1" s="1"/>
  <c r="CZ65" i="1"/>
  <c r="CY65" i="1"/>
  <c r="CW65" i="1"/>
  <c r="CV65" i="1" s="1"/>
  <c r="CP65" i="1"/>
  <c r="CO65" i="1"/>
  <c r="CN65" i="1"/>
  <c r="CM65" i="1"/>
  <c r="IG65" i="1" s="1"/>
  <c r="IH65" i="1" s="1"/>
  <c r="CK65" i="1"/>
  <c r="CJ65" i="1"/>
  <c r="CH65" i="1"/>
  <c r="CF65" i="1"/>
  <c r="CD65" i="1"/>
  <c r="AO65" i="1"/>
  <c r="AN65" i="1"/>
  <c r="AK65" i="1"/>
  <c r="S65" i="1"/>
  <c r="J65" i="1"/>
  <c r="I65" i="1"/>
  <c r="HZ64" i="1"/>
  <c r="HS64" i="1"/>
  <c r="HR64" i="1"/>
  <c r="HL64" i="1"/>
  <c r="HK64" i="1" s="1"/>
  <c r="HE64" i="1"/>
  <c r="HD64" i="1" s="1"/>
  <c r="GX64" i="1"/>
  <c r="GW64" i="1"/>
  <c r="GQ64" i="1"/>
  <c r="GP64" i="1" s="1"/>
  <c r="GJ64" i="1"/>
  <c r="GI64" i="1"/>
  <c r="GC64" i="1"/>
  <c r="GB64" i="1"/>
  <c r="FV64" i="1"/>
  <c r="FU64" i="1"/>
  <c r="FO64" i="1"/>
  <c r="FN64" i="1" s="1"/>
  <c r="FH64" i="1"/>
  <c r="FG64" i="1" s="1"/>
  <c r="FA64" i="1"/>
  <c r="EZ64" i="1" s="1"/>
  <c r="ET64" i="1"/>
  <c r="ES64" i="1"/>
  <c r="EP64" i="1"/>
  <c r="EO64" i="1"/>
  <c r="EM64" i="1"/>
  <c r="EL64" i="1"/>
  <c r="EI64" i="1"/>
  <c r="EH64" i="1"/>
  <c r="EF64" i="1"/>
  <c r="EE64" i="1"/>
  <c r="EB64" i="1"/>
  <c r="EA64" i="1"/>
  <c r="DY64" i="1"/>
  <c r="DX64" i="1"/>
  <c r="DU64" i="1"/>
  <c r="DT64" i="1"/>
  <c r="DR64" i="1"/>
  <c r="DQ64" i="1"/>
  <c r="DN64" i="1"/>
  <c r="DM64" i="1"/>
  <c r="DK64" i="1"/>
  <c r="DJ64" i="1"/>
  <c r="DG64" i="1"/>
  <c r="DF64" i="1"/>
  <c r="DD64" i="1"/>
  <c r="DC64" i="1"/>
  <c r="CW64" i="1"/>
  <c r="CV64" i="1"/>
  <c r="CP64" i="1"/>
  <c r="CO64" i="1"/>
  <c r="CM64" i="1"/>
  <c r="CK64" i="1"/>
  <c r="CJ64" i="1"/>
  <c r="CN64" i="1" s="1"/>
  <c r="CH64" i="1"/>
  <c r="CF64" i="1"/>
  <c r="CD64" i="1"/>
  <c r="AN64" i="1"/>
  <c r="AO64" i="1" s="1"/>
  <c r="AK64" i="1"/>
  <c r="S64" i="1"/>
  <c r="J64" i="1"/>
  <c r="I64" i="1"/>
  <c r="IB63" i="1"/>
  <c r="HZ63" i="1"/>
  <c r="HS63" i="1"/>
  <c r="HR63" i="1" s="1"/>
  <c r="HL63" i="1"/>
  <c r="HK63" i="1"/>
  <c r="HE63" i="1"/>
  <c r="HD63" i="1" s="1"/>
  <c r="GX63" i="1"/>
  <c r="GW63" i="1" s="1"/>
  <c r="GQ63" i="1"/>
  <c r="GP63" i="1" s="1"/>
  <c r="GJ63" i="1"/>
  <c r="GI63" i="1"/>
  <c r="GC63" i="1"/>
  <c r="GB63" i="1" s="1"/>
  <c r="FV63" i="1"/>
  <c r="FU63" i="1" s="1"/>
  <c r="FO63" i="1"/>
  <c r="FN63" i="1" s="1"/>
  <c r="FH63" i="1"/>
  <c r="FG63" i="1"/>
  <c r="FA63" i="1"/>
  <c r="EZ63" i="1" s="1"/>
  <c r="ET63" i="1"/>
  <c r="ES63" i="1"/>
  <c r="EP63" i="1"/>
  <c r="EO63" i="1"/>
  <c r="EM63" i="1"/>
  <c r="EL63" i="1"/>
  <c r="EI63" i="1"/>
  <c r="EH63" i="1"/>
  <c r="EF63" i="1"/>
  <c r="EE63" i="1"/>
  <c r="EB63" i="1"/>
  <c r="EA63" i="1"/>
  <c r="DY63" i="1"/>
  <c r="DX63" i="1"/>
  <c r="DU63" i="1"/>
  <c r="DT63" i="1"/>
  <c r="DR63" i="1"/>
  <c r="DQ63" i="1"/>
  <c r="DN63" i="1"/>
  <c r="DM63" i="1"/>
  <c r="DK63" i="1"/>
  <c r="DJ63" i="1"/>
  <c r="DG63" i="1"/>
  <c r="DF63" i="1"/>
  <c r="DD63" i="1"/>
  <c r="DC63" i="1"/>
  <c r="CW63" i="1"/>
  <c r="CV63" i="1"/>
  <c r="CP63" i="1"/>
  <c r="CO63" i="1"/>
  <c r="CM63" i="1"/>
  <c r="CK63" i="1"/>
  <c r="CJ63" i="1"/>
  <c r="CH63" i="1"/>
  <c r="CG63" i="1"/>
  <c r="CF63" i="1"/>
  <c r="CD63" i="1"/>
  <c r="AN63" i="1"/>
  <c r="AO63" i="1" s="1"/>
  <c r="AK63" i="1"/>
  <c r="S63" i="1"/>
  <c r="J63" i="1"/>
  <c r="I63" i="1"/>
  <c r="HZ62" i="1"/>
  <c r="FV62" i="1"/>
  <c r="FU62" i="1" s="1"/>
  <c r="FO62" i="1"/>
  <c r="FN62" i="1"/>
  <c r="FH62" i="1"/>
  <c r="FG62" i="1"/>
  <c r="FA62" i="1"/>
  <c r="EZ62" i="1" s="1"/>
  <c r="ET62" i="1"/>
  <c r="ES62" i="1" s="1"/>
  <c r="EP62" i="1"/>
  <c r="EO62" i="1"/>
  <c r="EM62" i="1"/>
  <c r="EL62" i="1"/>
  <c r="EI62" i="1"/>
  <c r="EH62" i="1"/>
  <c r="EF62" i="1"/>
  <c r="EE62" i="1"/>
  <c r="EB62" i="1"/>
  <c r="EA62" i="1"/>
  <c r="DY62" i="1"/>
  <c r="DX62" i="1"/>
  <c r="DU62" i="1"/>
  <c r="DT62" i="1"/>
  <c r="DR62" i="1"/>
  <c r="DQ62" i="1" s="1"/>
  <c r="DN62" i="1"/>
  <c r="DM62" i="1"/>
  <c r="DK62" i="1"/>
  <c r="DJ62" i="1"/>
  <c r="DG62" i="1"/>
  <c r="DF62" i="1"/>
  <c r="DD62" i="1"/>
  <c r="DC62" i="1"/>
  <c r="CW62" i="1"/>
  <c r="CV62" i="1" s="1"/>
  <c r="CP62" i="1"/>
  <c r="CO62" i="1"/>
  <c r="CM62" i="1"/>
  <c r="CK62" i="1"/>
  <c r="CJ62" i="1"/>
  <c r="CN62" i="1" s="1"/>
  <c r="CT62" i="1" s="1"/>
  <c r="CH62" i="1"/>
  <c r="CF62" i="1"/>
  <c r="CD62" i="1"/>
  <c r="AO62" i="1"/>
  <c r="CG62" i="1" s="1"/>
  <c r="AN62" i="1"/>
  <c r="AK62" i="1"/>
  <c r="S62" i="1"/>
  <c r="J62" i="1"/>
  <c r="I62" i="1"/>
  <c r="HZ61" i="1"/>
  <c r="HS61" i="1"/>
  <c r="HR61" i="1"/>
  <c r="HL61" i="1"/>
  <c r="HK61" i="1" s="1"/>
  <c r="HE61" i="1"/>
  <c r="HD61" i="1" s="1"/>
  <c r="GX61" i="1"/>
  <c r="GW61" i="1"/>
  <c r="GQ61" i="1"/>
  <c r="GP61" i="1" s="1"/>
  <c r="GJ61" i="1"/>
  <c r="GI61" i="1"/>
  <c r="GC61" i="1"/>
  <c r="GB61" i="1"/>
  <c r="FV61" i="1"/>
  <c r="FU61" i="1"/>
  <c r="FO61" i="1"/>
  <c r="FN61" i="1" s="1"/>
  <c r="FH61" i="1"/>
  <c r="FG61" i="1" s="1"/>
  <c r="FA61" i="1"/>
  <c r="EZ61" i="1" s="1"/>
  <c r="ET61" i="1"/>
  <c r="ES61" i="1"/>
  <c r="EP61" i="1"/>
  <c r="EO61" i="1"/>
  <c r="EM61" i="1"/>
  <c r="EL61" i="1"/>
  <c r="EI61" i="1"/>
  <c r="EH61" i="1"/>
  <c r="EF61" i="1"/>
  <c r="EE61" i="1"/>
  <c r="EB61" i="1"/>
  <c r="EA61" i="1"/>
  <c r="DY61" i="1"/>
  <c r="DX61" i="1"/>
  <c r="DU61" i="1"/>
  <c r="DT61" i="1"/>
  <c r="DR61" i="1"/>
  <c r="DQ61" i="1"/>
  <c r="DN61" i="1"/>
  <c r="DM61" i="1"/>
  <c r="DK61" i="1"/>
  <c r="DJ61" i="1"/>
  <c r="DG61" i="1"/>
  <c r="DF61" i="1"/>
  <c r="DD61" i="1"/>
  <c r="DC61" i="1"/>
  <c r="CW61" i="1"/>
  <c r="CV61" i="1"/>
  <c r="CP61" i="1"/>
  <c r="CO61" i="1"/>
  <c r="CM61" i="1"/>
  <c r="IG61" i="1" s="1"/>
  <c r="IH61" i="1" s="1"/>
  <c r="CK61" i="1"/>
  <c r="CH61" i="1"/>
  <c r="CJ61" i="1" s="1"/>
  <c r="CN61" i="1" s="1"/>
  <c r="CF61" i="1"/>
  <c r="CD61" i="1"/>
  <c r="AN61" i="1"/>
  <c r="AO61" i="1" s="1"/>
  <c r="AK61" i="1"/>
  <c r="S61" i="1"/>
  <c r="J61" i="1"/>
  <c r="I61" i="1"/>
  <c r="IB60" i="1"/>
  <c r="HZ60" i="1"/>
  <c r="FV60" i="1"/>
  <c r="FU60" i="1" s="1"/>
  <c r="FO60" i="1"/>
  <c r="FN60" i="1"/>
  <c r="FH60" i="1"/>
  <c r="FG60" i="1" s="1"/>
  <c r="FA60" i="1"/>
  <c r="EZ60" i="1" s="1"/>
  <c r="ET60" i="1"/>
  <c r="ES60" i="1"/>
  <c r="EP60" i="1"/>
  <c r="EO60" i="1"/>
  <c r="EM60" i="1"/>
  <c r="EL60" i="1"/>
  <c r="EI60" i="1"/>
  <c r="EH60" i="1"/>
  <c r="EF60" i="1"/>
  <c r="EE60" i="1"/>
  <c r="EB60" i="1"/>
  <c r="EA60" i="1"/>
  <c r="DY60" i="1"/>
  <c r="DX60" i="1"/>
  <c r="DU60" i="1"/>
  <c r="DT60" i="1"/>
  <c r="DR60" i="1"/>
  <c r="DQ60" i="1"/>
  <c r="DN60" i="1"/>
  <c r="DM60" i="1"/>
  <c r="DK60" i="1"/>
  <c r="DJ60" i="1"/>
  <c r="DG60" i="1"/>
  <c r="DF60" i="1"/>
  <c r="DD60" i="1"/>
  <c r="DC60" i="1"/>
  <c r="CW60" i="1"/>
  <c r="CV60" i="1"/>
  <c r="CU60" i="1"/>
  <c r="CP60" i="1"/>
  <c r="CO60" i="1"/>
  <c r="CM60" i="1"/>
  <c r="IG60" i="1" s="1"/>
  <c r="IH60" i="1" s="1"/>
  <c r="CK60" i="1"/>
  <c r="CJ60" i="1"/>
  <c r="CN60" i="1" s="1"/>
  <c r="CT60" i="1" s="1"/>
  <c r="CH60" i="1"/>
  <c r="CF60" i="1"/>
  <c r="CD60" i="1"/>
  <c r="AN60" i="1"/>
  <c r="AO60" i="1" s="1"/>
  <c r="AK60" i="1"/>
  <c r="S60" i="1"/>
  <c r="J60" i="1"/>
  <c r="I60" i="1"/>
  <c r="IB59" i="1"/>
  <c r="ID59" i="1" s="1"/>
  <c r="HZ59" i="1"/>
  <c r="FV59" i="1"/>
  <c r="FU59" i="1"/>
  <c r="FO59" i="1"/>
  <c r="FN59" i="1"/>
  <c r="FH59" i="1"/>
  <c r="FG59" i="1"/>
  <c r="FA59" i="1"/>
  <c r="EZ59" i="1"/>
  <c r="ET59" i="1"/>
  <c r="ES59" i="1"/>
  <c r="EP59" i="1"/>
  <c r="EO59" i="1"/>
  <c r="EM59" i="1"/>
  <c r="EL59" i="1" s="1"/>
  <c r="EI59" i="1"/>
  <c r="EH59" i="1"/>
  <c r="EF59" i="1"/>
  <c r="EE59" i="1"/>
  <c r="EB59" i="1"/>
  <c r="EA59" i="1"/>
  <c r="DY59" i="1"/>
  <c r="DX59" i="1"/>
  <c r="DU59" i="1"/>
  <c r="DT59" i="1"/>
  <c r="DR59" i="1"/>
  <c r="DQ59" i="1" s="1"/>
  <c r="DN59" i="1"/>
  <c r="DM59" i="1"/>
  <c r="DK59" i="1"/>
  <c r="DJ59" i="1"/>
  <c r="DG59" i="1"/>
  <c r="DF59" i="1"/>
  <c r="DD59" i="1"/>
  <c r="DC59" i="1"/>
  <c r="CW59" i="1"/>
  <c r="CV59" i="1" s="1"/>
  <c r="CP59" i="1"/>
  <c r="CN59" i="1"/>
  <c r="CM59" i="1"/>
  <c r="IG59" i="1" s="1"/>
  <c r="IH59" i="1" s="1"/>
  <c r="CJ59" i="1"/>
  <c r="CH59" i="1"/>
  <c r="CF59" i="1"/>
  <c r="CK59" i="1" s="1"/>
  <c r="CD59" i="1"/>
  <c r="AP59" i="1"/>
  <c r="AO59" i="1"/>
  <c r="CG59" i="1" s="1"/>
  <c r="AN59" i="1"/>
  <c r="AK59" i="1"/>
  <c r="S59" i="1"/>
  <c r="I59" i="1"/>
  <c r="J59" i="1" s="1"/>
  <c r="HZ58" i="1"/>
  <c r="HS58" i="1"/>
  <c r="HR58" i="1"/>
  <c r="HL58" i="1"/>
  <c r="HK58" i="1"/>
  <c r="HE58" i="1"/>
  <c r="HD58" i="1"/>
  <c r="GX58" i="1"/>
  <c r="GW58" i="1" s="1"/>
  <c r="GQ58" i="1"/>
  <c r="GP58" i="1" s="1"/>
  <c r="GJ58" i="1"/>
  <c r="GI58" i="1"/>
  <c r="GC58" i="1"/>
  <c r="GB58" i="1" s="1"/>
  <c r="FV58" i="1"/>
  <c r="FU58" i="1"/>
  <c r="FO58" i="1"/>
  <c r="FN58" i="1"/>
  <c r="FH58" i="1"/>
  <c r="FG58" i="1"/>
  <c r="FA58" i="1"/>
  <c r="EZ58" i="1"/>
  <c r="ET58" i="1"/>
  <c r="ES58" i="1"/>
  <c r="EP58" i="1"/>
  <c r="EO58" i="1"/>
  <c r="EM58" i="1"/>
  <c r="EL58" i="1" s="1"/>
  <c r="EI58" i="1"/>
  <c r="EH58" i="1"/>
  <c r="EF58" i="1"/>
  <c r="EE58" i="1"/>
  <c r="EB58" i="1"/>
  <c r="EA58" i="1"/>
  <c r="DY58" i="1"/>
  <c r="DX58" i="1"/>
  <c r="DU58" i="1"/>
  <c r="DT58" i="1"/>
  <c r="DR58" i="1"/>
  <c r="DQ58" i="1" s="1"/>
  <c r="DN58" i="1"/>
  <c r="DM58" i="1"/>
  <c r="DK58" i="1"/>
  <c r="DJ58" i="1"/>
  <c r="DG58" i="1"/>
  <c r="DF58" i="1"/>
  <c r="DD58" i="1"/>
  <c r="DC58" i="1"/>
  <c r="CW58" i="1"/>
  <c r="CV58" i="1" s="1"/>
  <c r="CP58" i="1"/>
  <c r="CN58" i="1"/>
  <c r="CM58" i="1"/>
  <c r="IG58" i="1" s="1"/>
  <c r="IH58" i="1" s="1"/>
  <c r="CJ58" i="1"/>
  <c r="CH58" i="1"/>
  <c r="CF58" i="1"/>
  <c r="CK58" i="1" s="1"/>
  <c r="CD58" i="1"/>
  <c r="AP58" i="1"/>
  <c r="AO58" i="1"/>
  <c r="AN58" i="1"/>
  <c r="AK58" i="1"/>
  <c r="S58" i="1"/>
  <c r="I58" i="1"/>
  <c r="J58" i="1" s="1"/>
  <c r="HZ57" i="1"/>
  <c r="HS57" i="1"/>
  <c r="HR57" i="1"/>
  <c r="HL57" i="1"/>
  <c r="HK57" i="1" s="1"/>
  <c r="HE57" i="1"/>
  <c r="HD57" i="1" s="1"/>
  <c r="GX57" i="1"/>
  <c r="GW57" i="1"/>
  <c r="GQ57" i="1"/>
  <c r="GP57" i="1"/>
  <c r="GJ57" i="1"/>
  <c r="GI57" i="1"/>
  <c r="GC57" i="1"/>
  <c r="GB57" i="1"/>
  <c r="FV57" i="1"/>
  <c r="FU57" i="1"/>
  <c r="FO57" i="1"/>
  <c r="FN57" i="1" s="1"/>
  <c r="FH57" i="1"/>
  <c r="FG57" i="1" s="1"/>
  <c r="FA57" i="1"/>
  <c r="EZ57" i="1" s="1"/>
  <c r="ET57" i="1"/>
  <c r="ES57" i="1"/>
  <c r="EP57" i="1"/>
  <c r="EO57" i="1"/>
  <c r="EM57" i="1"/>
  <c r="EL57" i="1"/>
  <c r="EI57" i="1"/>
  <c r="EH57" i="1"/>
  <c r="EF57" i="1"/>
  <c r="EE57" i="1"/>
  <c r="EB57" i="1"/>
  <c r="EA57" i="1"/>
  <c r="DY57" i="1"/>
  <c r="DX57" i="1"/>
  <c r="DU57" i="1"/>
  <c r="DT57" i="1"/>
  <c r="DR57" i="1"/>
  <c r="DQ57" i="1"/>
  <c r="DN57" i="1"/>
  <c r="DM57" i="1"/>
  <c r="DK57" i="1"/>
  <c r="DJ57" i="1"/>
  <c r="DG57" i="1"/>
  <c r="DF57" i="1"/>
  <c r="DD57" i="1"/>
  <c r="DC57" i="1" s="1"/>
  <c r="HX57" i="1" s="1"/>
  <c r="CW57" i="1"/>
  <c r="CV57" i="1"/>
  <c r="CP57" i="1"/>
  <c r="CO57" i="1"/>
  <c r="CM57" i="1"/>
  <c r="IG57" i="1" s="1"/>
  <c r="IH57" i="1" s="1"/>
  <c r="CK57" i="1"/>
  <c r="CH57" i="1"/>
  <c r="CJ57" i="1" s="1"/>
  <c r="CN57" i="1" s="1"/>
  <c r="CF57" i="1"/>
  <c r="CD57" i="1"/>
  <c r="AN57" i="1"/>
  <c r="AO57" i="1" s="1"/>
  <c r="AK57" i="1"/>
  <c r="S57" i="1"/>
  <c r="J57" i="1"/>
  <c r="I57" i="1"/>
  <c r="IB56" i="1"/>
  <c r="HZ56" i="1"/>
  <c r="HS56" i="1"/>
  <c r="HR56" i="1" s="1"/>
  <c r="HL56" i="1"/>
  <c r="HK56" i="1"/>
  <c r="HE56" i="1"/>
  <c r="HD56" i="1" s="1"/>
  <c r="GX56" i="1"/>
  <c r="GW56" i="1" s="1"/>
  <c r="GQ56" i="1"/>
  <c r="GP56" i="1" s="1"/>
  <c r="GJ56" i="1"/>
  <c r="GI56" i="1"/>
  <c r="GC56" i="1"/>
  <c r="GB56" i="1" s="1"/>
  <c r="FV56" i="1"/>
  <c r="FU56" i="1"/>
  <c r="FO56" i="1"/>
  <c r="FN56" i="1"/>
  <c r="FH56" i="1"/>
  <c r="FG56" i="1"/>
  <c r="FA56" i="1"/>
  <c r="EZ56" i="1"/>
  <c r="ET56" i="1"/>
  <c r="ES56" i="1"/>
  <c r="EP56" i="1"/>
  <c r="EO56" i="1"/>
  <c r="EM56" i="1"/>
  <c r="EL56" i="1"/>
  <c r="EI56" i="1"/>
  <c r="EH56" i="1"/>
  <c r="EF56" i="1"/>
  <c r="EE56" i="1"/>
  <c r="EB56" i="1"/>
  <c r="EA56" i="1"/>
  <c r="DY56" i="1"/>
  <c r="DX56" i="1"/>
  <c r="DU56" i="1"/>
  <c r="DT56" i="1"/>
  <c r="DR56" i="1"/>
  <c r="DQ56" i="1"/>
  <c r="DN56" i="1"/>
  <c r="DM56" i="1"/>
  <c r="DK56" i="1"/>
  <c r="DJ56" i="1"/>
  <c r="DG56" i="1"/>
  <c r="DF56" i="1"/>
  <c r="DD56" i="1"/>
  <c r="DC56" i="1"/>
  <c r="CW56" i="1"/>
  <c r="CV56" i="1" s="1"/>
  <c r="CP56" i="1"/>
  <c r="CO56" i="1"/>
  <c r="CN56" i="1"/>
  <c r="CM56" i="1"/>
  <c r="IG56" i="1" s="1"/>
  <c r="IH56" i="1" s="1"/>
  <c r="CJ56" i="1"/>
  <c r="CH56" i="1"/>
  <c r="CF56" i="1"/>
  <c r="CK56" i="1" s="1"/>
  <c r="CD56" i="1"/>
  <c r="AO56" i="1"/>
  <c r="AN56" i="1"/>
  <c r="AK56" i="1"/>
  <c r="S56" i="1"/>
  <c r="I56" i="1"/>
  <c r="J56" i="1" s="1"/>
  <c r="HZ55" i="1"/>
  <c r="HS55" i="1"/>
  <c r="HR55" i="1" s="1"/>
  <c r="HL55" i="1"/>
  <c r="HK55" i="1" s="1"/>
  <c r="HE55" i="1"/>
  <c r="HD55" i="1" s="1"/>
  <c r="GX55" i="1"/>
  <c r="GW55" i="1"/>
  <c r="GQ55" i="1"/>
  <c r="GP55" i="1"/>
  <c r="GJ55" i="1"/>
  <c r="GI55" i="1" s="1"/>
  <c r="GC55" i="1"/>
  <c r="GB55" i="1" s="1"/>
  <c r="FV55" i="1"/>
  <c r="FU55" i="1"/>
  <c r="FO55" i="1"/>
  <c r="FN55" i="1"/>
  <c r="FH55" i="1"/>
  <c r="FG55" i="1"/>
  <c r="FA55" i="1"/>
  <c r="EZ55" i="1"/>
  <c r="ET55" i="1"/>
  <c r="ES55" i="1"/>
  <c r="EP55" i="1"/>
  <c r="EO55" i="1"/>
  <c r="EM55" i="1"/>
  <c r="EL55" i="1" s="1"/>
  <c r="EI55" i="1"/>
  <c r="EH55" i="1"/>
  <c r="EF55" i="1"/>
  <c r="EE55" i="1"/>
  <c r="EB55" i="1"/>
  <c r="EA55" i="1"/>
  <c r="DY55" i="1"/>
  <c r="DX55" i="1"/>
  <c r="DU55" i="1"/>
  <c r="DT55" i="1"/>
  <c r="DR55" i="1"/>
  <c r="DQ55" i="1" s="1"/>
  <c r="DN55" i="1"/>
  <c r="DM55" i="1"/>
  <c r="DK55" i="1"/>
  <c r="DJ55" i="1"/>
  <c r="DG55" i="1"/>
  <c r="DF55" i="1"/>
  <c r="DD55" i="1"/>
  <c r="DC55" i="1"/>
  <c r="CZ55" i="1"/>
  <c r="CY55" i="1"/>
  <c r="CW55" i="1"/>
  <c r="CV55" i="1"/>
  <c r="CP55" i="1"/>
  <c r="CM55" i="1"/>
  <c r="CH55" i="1"/>
  <c r="CJ55" i="1" s="1"/>
  <c r="CG55" i="1"/>
  <c r="CF55" i="1"/>
  <c r="CK55" i="1" s="1"/>
  <c r="CD55" i="1"/>
  <c r="AP55" i="1"/>
  <c r="CR55" i="1" s="1"/>
  <c r="AN55" i="1"/>
  <c r="AO55" i="1" s="1"/>
  <c r="IB55" i="1" s="1"/>
  <c r="ID55" i="1" s="1"/>
  <c r="AK55" i="1"/>
  <c r="S55" i="1"/>
  <c r="I55" i="1"/>
  <c r="J55" i="1" s="1"/>
  <c r="HZ54" i="1"/>
  <c r="FO54" i="1"/>
  <c r="FN54" i="1" s="1"/>
  <c r="FH54" i="1"/>
  <c r="FG54" i="1" s="1"/>
  <c r="FA54" i="1"/>
  <c r="EZ54" i="1"/>
  <c r="ET54" i="1"/>
  <c r="ES54" i="1" s="1"/>
  <c r="EP54" i="1"/>
  <c r="EO54" i="1"/>
  <c r="EM54" i="1"/>
  <c r="EL54" i="1"/>
  <c r="EI54" i="1"/>
  <c r="EH54" i="1"/>
  <c r="EF54" i="1"/>
  <c r="EE54" i="1" s="1"/>
  <c r="EB54" i="1"/>
  <c r="EA54" i="1"/>
  <c r="DY54" i="1"/>
  <c r="DX54" i="1" s="1"/>
  <c r="DU54" i="1"/>
  <c r="DT54" i="1"/>
  <c r="DR54" i="1"/>
  <c r="DQ54" i="1" s="1"/>
  <c r="DN54" i="1"/>
  <c r="DM54" i="1"/>
  <c r="DK54" i="1"/>
  <c r="DG54" i="1"/>
  <c r="DF54" i="1"/>
  <c r="DD54" i="1"/>
  <c r="DC54" i="1"/>
  <c r="CZ54" i="1"/>
  <c r="CY54" i="1"/>
  <c r="CW54" i="1"/>
  <c r="CV54" i="1" s="1"/>
  <c r="CP54" i="1"/>
  <c r="CO54" i="1"/>
  <c r="CM54" i="1"/>
  <c r="CJ54" i="1"/>
  <c r="CH54" i="1"/>
  <c r="CG54" i="1"/>
  <c r="CF54" i="1"/>
  <c r="CK54" i="1" s="1"/>
  <c r="CD54" i="1"/>
  <c r="AO54" i="1"/>
  <c r="AN54" i="1"/>
  <c r="AK54" i="1"/>
  <c r="S54" i="1"/>
  <c r="J54" i="1"/>
  <c r="I54" i="1"/>
  <c r="HZ53" i="1"/>
  <c r="HS53" i="1"/>
  <c r="HR53" i="1" s="1"/>
  <c r="HL53" i="1"/>
  <c r="HK53" i="1" s="1"/>
  <c r="HE53" i="1"/>
  <c r="HD53" i="1"/>
  <c r="GX53" i="1"/>
  <c r="GW53" i="1" s="1"/>
  <c r="GQ53" i="1"/>
  <c r="GP53" i="1" s="1"/>
  <c r="GJ53" i="1"/>
  <c r="GI53" i="1"/>
  <c r="GC53" i="1"/>
  <c r="GB53" i="1"/>
  <c r="FV53" i="1"/>
  <c r="FU53" i="1"/>
  <c r="FO53" i="1"/>
  <c r="FN53" i="1"/>
  <c r="FH53" i="1"/>
  <c r="FG53" i="1"/>
  <c r="FA53" i="1"/>
  <c r="EZ53" i="1" s="1"/>
  <c r="ET53" i="1"/>
  <c r="ES53" i="1"/>
  <c r="EP53" i="1"/>
  <c r="EO53" i="1"/>
  <c r="EM53" i="1"/>
  <c r="EL53" i="1"/>
  <c r="EI53" i="1"/>
  <c r="EH53" i="1"/>
  <c r="EF53" i="1"/>
  <c r="EE53" i="1"/>
  <c r="EB53" i="1"/>
  <c r="EA53" i="1"/>
  <c r="DY53" i="1"/>
  <c r="DX53" i="1"/>
  <c r="DU53" i="1"/>
  <c r="DT53" i="1"/>
  <c r="DR53" i="1"/>
  <c r="DQ53" i="1" s="1"/>
  <c r="DN53" i="1"/>
  <c r="DM53" i="1"/>
  <c r="DK53" i="1"/>
  <c r="DJ53" i="1"/>
  <c r="DG53" i="1"/>
  <c r="DF53" i="1"/>
  <c r="DD53" i="1"/>
  <c r="DC53" i="1"/>
  <c r="CZ53" i="1"/>
  <c r="CY53" i="1"/>
  <c r="CW53" i="1"/>
  <c r="CV53" i="1" s="1"/>
  <c r="CP53" i="1"/>
  <c r="CO53" i="1"/>
  <c r="CM53" i="1"/>
  <c r="IG53" i="1" s="1"/>
  <c r="IH53" i="1" s="1"/>
  <c r="CH53" i="1"/>
  <c r="CJ53" i="1" s="1"/>
  <c r="CN53" i="1" s="1"/>
  <c r="CF53" i="1"/>
  <c r="CK53" i="1" s="1"/>
  <c r="CD53" i="1"/>
  <c r="AN53" i="1"/>
  <c r="AO53" i="1" s="1"/>
  <c r="AK53" i="1"/>
  <c r="S53" i="1"/>
  <c r="I53" i="1"/>
  <c r="J53" i="1" s="1"/>
  <c r="IB52" i="1"/>
  <c r="ID52" i="1" s="1"/>
  <c r="HZ52" i="1"/>
  <c r="FO52" i="1"/>
  <c r="FN52" i="1"/>
  <c r="FH52" i="1"/>
  <c r="FG52" i="1" s="1"/>
  <c r="FA52" i="1"/>
  <c r="EZ52" i="1"/>
  <c r="ET52" i="1"/>
  <c r="ES52" i="1"/>
  <c r="EP52" i="1"/>
  <c r="EO52" i="1"/>
  <c r="EM52" i="1"/>
  <c r="EL52" i="1"/>
  <c r="EI52" i="1"/>
  <c r="EH52" i="1"/>
  <c r="EF52" i="1"/>
  <c r="EE52" i="1" s="1"/>
  <c r="EB52" i="1"/>
  <c r="EA52" i="1"/>
  <c r="DY52" i="1"/>
  <c r="DX52" i="1" s="1"/>
  <c r="DU52" i="1"/>
  <c r="DT52" i="1"/>
  <c r="DR52" i="1"/>
  <c r="DQ52" i="1" s="1"/>
  <c r="DN52" i="1"/>
  <c r="DM52" i="1"/>
  <c r="DK52" i="1"/>
  <c r="DJ52" i="1"/>
  <c r="DG52" i="1"/>
  <c r="DF52" i="1"/>
  <c r="DD52" i="1"/>
  <c r="DC52" i="1" s="1"/>
  <c r="CZ52" i="1"/>
  <c r="CY52" i="1"/>
  <c r="CW52" i="1"/>
  <c r="CV52" i="1" s="1"/>
  <c r="CP52" i="1"/>
  <c r="CO52" i="1"/>
  <c r="CN52" i="1"/>
  <c r="CM52" i="1"/>
  <c r="IG52" i="1" s="1"/>
  <c r="IH52" i="1" s="1"/>
  <c r="CJ52" i="1"/>
  <c r="CH52" i="1"/>
  <c r="CG52" i="1"/>
  <c r="CF52" i="1"/>
  <c r="CK52" i="1" s="1"/>
  <c r="CD52" i="1"/>
  <c r="AP52" i="1"/>
  <c r="AO52" i="1"/>
  <c r="AN52" i="1"/>
  <c r="AK52" i="1"/>
  <c r="S52" i="1"/>
  <c r="J52" i="1"/>
  <c r="I52" i="1"/>
  <c r="ID51" i="1"/>
  <c r="HZ51" i="1"/>
  <c r="HY51" i="1"/>
  <c r="FO51" i="1"/>
  <c r="FN51" i="1"/>
  <c r="FH51" i="1"/>
  <c r="FG51" i="1"/>
  <c r="FA51" i="1"/>
  <c r="EZ51" i="1"/>
  <c r="ET51" i="1"/>
  <c r="ES51" i="1"/>
  <c r="EP51" i="1"/>
  <c r="EO51" i="1"/>
  <c r="EM51" i="1"/>
  <c r="EL51" i="1"/>
  <c r="EI51" i="1"/>
  <c r="EH51" i="1"/>
  <c r="EF51" i="1"/>
  <c r="EE51" i="1"/>
  <c r="EB51" i="1"/>
  <c r="EA51" i="1"/>
  <c r="DY51" i="1"/>
  <c r="DX51" i="1"/>
  <c r="DU51" i="1"/>
  <c r="DT51" i="1"/>
  <c r="DR51" i="1"/>
  <c r="DQ51" i="1"/>
  <c r="DN51" i="1"/>
  <c r="DM51" i="1"/>
  <c r="DK51" i="1"/>
  <c r="DJ51" i="1"/>
  <c r="DG51" i="1"/>
  <c r="DF51" i="1"/>
  <c r="DD51" i="1"/>
  <c r="DC51" i="1"/>
  <c r="CZ51" i="1"/>
  <c r="CY51" i="1"/>
  <c r="CW51" i="1"/>
  <c r="CV51" i="1"/>
  <c r="CP51" i="1"/>
  <c r="CO51" i="1"/>
  <c r="CN51" i="1"/>
  <c r="CM51" i="1"/>
  <c r="CH51" i="1"/>
  <c r="CJ51" i="1" s="1"/>
  <c r="CG51" i="1"/>
  <c r="CF51" i="1"/>
  <c r="CK51" i="1" s="1"/>
  <c r="CD51" i="1"/>
  <c r="AN51" i="1"/>
  <c r="AO51" i="1" s="1"/>
  <c r="IB51" i="1" s="1"/>
  <c r="AK51" i="1"/>
  <c r="S51" i="1"/>
  <c r="I51" i="1"/>
  <c r="J51" i="1" s="1"/>
  <c r="HZ50" i="1"/>
  <c r="HS50" i="1"/>
  <c r="HR50" i="1"/>
  <c r="HL50" i="1"/>
  <c r="HK50" i="1"/>
  <c r="HE50" i="1"/>
  <c r="HD50" i="1"/>
  <c r="GX50" i="1"/>
  <c r="GW50" i="1"/>
  <c r="GQ50" i="1"/>
  <c r="GP50" i="1"/>
  <c r="GJ50" i="1"/>
  <c r="GI50" i="1"/>
  <c r="GC50" i="1"/>
  <c r="GB50" i="1"/>
  <c r="FV50" i="1"/>
  <c r="FU50" i="1"/>
  <c r="FO50" i="1"/>
  <c r="FN50" i="1"/>
  <c r="FH50" i="1"/>
  <c r="FG50" i="1" s="1"/>
  <c r="FA50" i="1"/>
  <c r="EZ50" i="1"/>
  <c r="ET50" i="1"/>
  <c r="ES50" i="1" s="1"/>
  <c r="EP50" i="1"/>
  <c r="EO50" i="1"/>
  <c r="EM50" i="1"/>
  <c r="EL50" i="1" s="1"/>
  <c r="EI50" i="1"/>
  <c r="EH50" i="1"/>
  <c r="EF50" i="1"/>
  <c r="EE50" i="1"/>
  <c r="EB50" i="1"/>
  <c r="EA50" i="1"/>
  <c r="DY50" i="1"/>
  <c r="DX50" i="1" s="1"/>
  <c r="DU50" i="1"/>
  <c r="DT50" i="1"/>
  <c r="DR50" i="1"/>
  <c r="DQ50" i="1" s="1"/>
  <c r="DN50" i="1"/>
  <c r="DM50" i="1"/>
  <c r="DK50" i="1"/>
  <c r="DJ50" i="1" s="1"/>
  <c r="DG50" i="1"/>
  <c r="DF50" i="1"/>
  <c r="DD50" i="1"/>
  <c r="DC50" i="1" s="1"/>
  <c r="CZ50" i="1"/>
  <c r="CY50" i="1"/>
  <c r="CW50" i="1"/>
  <c r="CV50" i="1" s="1"/>
  <c r="CP50" i="1"/>
  <c r="CO50" i="1"/>
  <c r="HX50" i="1" s="1"/>
  <c r="CM50" i="1"/>
  <c r="CH50" i="1"/>
  <c r="CJ50" i="1" s="1"/>
  <c r="CG50" i="1"/>
  <c r="CF50" i="1"/>
  <c r="CK50" i="1" s="1"/>
  <c r="CD50" i="1"/>
  <c r="AO50" i="1"/>
  <c r="AP50" i="1" s="1"/>
  <c r="CR50" i="1" s="1"/>
  <c r="AN50" i="1"/>
  <c r="AK50" i="1"/>
  <c r="S50" i="1"/>
  <c r="I50" i="1"/>
  <c r="J50" i="1" s="1"/>
  <c r="HZ49" i="1"/>
  <c r="FO49" i="1"/>
  <c r="FN49" i="1" s="1"/>
  <c r="FH49" i="1"/>
  <c r="FG49" i="1"/>
  <c r="FA49" i="1"/>
  <c r="EZ49" i="1"/>
  <c r="ET49" i="1"/>
  <c r="ES49" i="1"/>
  <c r="EP49" i="1"/>
  <c r="EO49" i="1"/>
  <c r="EM49" i="1"/>
  <c r="EL49" i="1"/>
  <c r="EI49" i="1"/>
  <c r="EH49" i="1"/>
  <c r="EF49" i="1"/>
  <c r="EE49" i="1" s="1"/>
  <c r="EB49" i="1"/>
  <c r="EA49" i="1"/>
  <c r="DY49" i="1"/>
  <c r="DX49" i="1"/>
  <c r="DU49" i="1"/>
  <c r="DT49" i="1"/>
  <c r="DR49" i="1"/>
  <c r="DQ49" i="1"/>
  <c r="DN49" i="1"/>
  <c r="DM49" i="1"/>
  <c r="DK49" i="1"/>
  <c r="DJ49" i="1"/>
  <c r="DG49" i="1"/>
  <c r="DF49" i="1"/>
  <c r="DD49" i="1"/>
  <c r="DC49" i="1"/>
  <c r="CZ49" i="1"/>
  <c r="CY49" i="1"/>
  <c r="CW49" i="1"/>
  <c r="CV49" i="1"/>
  <c r="CP49" i="1"/>
  <c r="CO49" i="1" s="1"/>
  <c r="CM49" i="1"/>
  <c r="CJ49" i="1"/>
  <c r="CN49" i="1" s="1"/>
  <c r="CU49" i="1" s="1"/>
  <c r="CH49" i="1"/>
  <c r="CG49" i="1"/>
  <c r="CF49" i="1"/>
  <c r="CK49" i="1" s="1"/>
  <c r="CD49" i="1"/>
  <c r="AN49" i="1"/>
  <c r="AO49" i="1" s="1"/>
  <c r="AK49" i="1"/>
  <c r="S49" i="1"/>
  <c r="I49" i="1"/>
  <c r="J49" i="1" s="1"/>
  <c r="IB48" i="1"/>
  <c r="ID48" i="1" s="1"/>
  <c r="HZ48" i="1"/>
  <c r="FO48" i="1"/>
  <c r="FN48" i="1"/>
  <c r="FH48" i="1"/>
  <c r="FG48" i="1"/>
  <c r="FA48" i="1"/>
  <c r="EZ48" i="1"/>
  <c r="ET48" i="1"/>
  <c r="ES48" i="1"/>
  <c r="EP48" i="1"/>
  <c r="EO48" i="1"/>
  <c r="EM48" i="1"/>
  <c r="EL48" i="1"/>
  <c r="EI48" i="1"/>
  <c r="EH48" i="1"/>
  <c r="EF48" i="1"/>
  <c r="EE48" i="1"/>
  <c r="EB48" i="1"/>
  <c r="EA48" i="1"/>
  <c r="DY48" i="1"/>
  <c r="DX48" i="1" s="1"/>
  <c r="DU48" i="1"/>
  <c r="DT48" i="1"/>
  <c r="DR48" i="1"/>
  <c r="DQ48" i="1"/>
  <c r="DP48" i="1"/>
  <c r="DN48" i="1"/>
  <c r="DM48" i="1"/>
  <c r="DK48" i="1"/>
  <c r="DJ48" i="1"/>
  <c r="DG48" i="1"/>
  <c r="DF48" i="1"/>
  <c r="DD48" i="1"/>
  <c r="DC48" i="1"/>
  <c r="CZ48" i="1"/>
  <c r="CY48" i="1"/>
  <c r="CW48" i="1"/>
  <c r="CV48" i="1" s="1"/>
  <c r="CU48" i="1"/>
  <c r="DB48" i="1" s="1"/>
  <c r="DI48" i="1" s="1"/>
  <c r="CP48" i="1"/>
  <c r="CO48" i="1"/>
  <c r="CM48" i="1"/>
  <c r="IG48" i="1" s="1"/>
  <c r="IH48" i="1" s="1"/>
  <c r="CK48" i="1"/>
  <c r="CJ48" i="1"/>
  <c r="CN48" i="1" s="1"/>
  <c r="CT48" i="1" s="1"/>
  <c r="CH48" i="1"/>
  <c r="CF48" i="1"/>
  <c r="CD48" i="1"/>
  <c r="AO48" i="1"/>
  <c r="AN48" i="1"/>
  <c r="AK48" i="1"/>
  <c r="S48" i="1"/>
  <c r="I48" i="1"/>
  <c r="J48" i="1" s="1"/>
  <c r="HZ47" i="1"/>
  <c r="FO47" i="1"/>
  <c r="FN47" i="1"/>
  <c r="FH47" i="1"/>
  <c r="FG47" i="1"/>
  <c r="FA47" i="1"/>
  <c r="EZ47" i="1"/>
  <c r="ET47" i="1"/>
  <c r="ES47" i="1"/>
  <c r="EP47" i="1"/>
  <c r="EO47" i="1"/>
  <c r="EM47" i="1"/>
  <c r="EL47" i="1"/>
  <c r="EI47" i="1"/>
  <c r="EH47" i="1"/>
  <c r="EF47" i="1"/>
  <c r="EE47" i="1" s="1"/>
  <c r="EB47" i="1"/>
  <c r="EA47" i="1"/>
  <c r="DY47" i="1"/>
  <c r="DX47" i="1"/>
  <c r="DU47" i="1"/>
  <c r="DT47" i="1"/>
  <c r="DR47" i="1"/>
  <c r="DQ47" i="1"/>
  <c r="DN47" i="1"/>
  <c r="DM47" i="1"/>
  <c r="DK47" i="1"/>
  <c r="DJ47" i="1"/>
  <c r="DG47" i="1"/>
  <c r="DF47" i="1"/>
  <c r="DD47" i="1"/>
  <c r="DC47" i="1" s="1"/>
  <c r="CZ47" i="1"/>
  <c r="CY47" i="1"/>
  <c r="CW47" i="1"/>
  <c r="CV47" i="1"/>
  <c r="CP47" i="1"/>
  <c r="HY47" i="1" s="1"/>
  <c r="CO47" i="1"/>
  <c r="HX47" i="1" s="1"/>
  <c r="IC47" i="1" s="1"/>
  <c r="CM47" i="1"/>
  <c r="CK47" i="1"/>
  <c r="CJ47" i="1"/>
  <c r="CN47" i="1" s="1"/>
  <c r="CH47" i="1"/>
  <c r="CF47" i="1"/>
  <c r="CD47" i="1"/>
  <c r="AP47" i="1"/>
  <c r="CR47" i="1" s="1"/>
  <c r="AN47" i="1"/>
  <c r="AO47" i="1" s="1"/>
  <c r="AK47" i="1"/>
  <c r="S47" i="1"/>
  <c r="I47" i="1"/>
  <c r="J47" i="1" s="1"/>
  <c r="HZ46" i="1"/>
  <c r="FO46" i="1"/>
  <c r="FN46" i="1"/>
  <c r="FH46" i="1"/>
  <c r="FG46" i="1" s="1"/>
  <c r="FA46" i="1"/>
  <c r="EZ46" i="1"/>
  <c r="ET46" i="1"/>
  <c r="ES46" i="1" s="1"/>
  <c r="EP46" i="1"/>
  <c r="EO46" i="1"/>
  <c r="EM46" i="1"/>
  <c r="EL46" i="1"/>
  <c r="EI46" i="1"/>
  <c r="EH46" i="1"/>
  <c r="EF46" i="1"/>
  <c r="EE46" i="1"/>
  <c r="EB46" i="1"/>
  <c r="EA46" i="1"/>
  <c r="DY46" i="1"/>
  <c r="DX46" i="1" s="1"/>
  <c r="DU46" i="1"/>
  <c r="DT46" i="1"/>
  <c r="DR46" i="1"/>
  <c r="DQ46" i="1" s="1"/>
  <c r="DN46" i="1"/>
  <c r="DM46" i="1"/>
  <c r="DK46" i="1"/>
  <c r="DJ46" i="1"/>
  <c r="DG46" i="1"/>
  <c r="DF46" i="1"/>
  <c r="DD46" i="1"/>
  <c r="DC46" i="1"/>
  <c r="CZ46" i="1"/>
  <c r="CY46" i="1"/>
  <c r="CW46" i="1"/>
  <c r="CV46" i="1"/>
  <c r="CP46" i="1"/>
  <c r="HY46" i="1" s="1"/>
  <c r="CO46" i="1"/>
  <c r="CM46" i="1"/>
  <c r="CK46" i="1"/>
  <c r="CH46" i="1"/>
  <c r="CJ46" i="1" s="1"/>
  <c r="CN46" i="1" s="1"/>
  <c r="CF46" i="1"/>
  <c r="CD46" i="1"/>
  <c r="AN46" i="1"/>
  <c r="AO46" i="1" s="1"/>
  <c r="AK46" i="1"/>
  <c r="S46" i="1"/>
  <c r="I46" i="1"/>
  <c r="J46" i="1" s="1"/>
  <c r="HZ45" i="1"/>
  <c r="FO45" i="1"/>
  <c r="FN45" i="1" s="1"/>
  <c r="FH45" i="1"/>
  <c r="FG45" i="1" s="1"/>
  <c r="FA45" i="1"/>
  <c r="EZ45" i="1"/>
  <c r="ET45" i="1"/>
  <c r="ES45" i="1"/>
  <c r="EP45" i="1"/>
  <c r="EO45" i="1"/>
  <c r="EM45" i="1"/>
  <c r="EL45" i="1"/>
  <c r="EI45" i="1"/>
  <c r="EH45" i="1"/>
  <c r="EF45" i="1"/>
  <c r="EE45" i="1"/>
  <c r="EB45" i="1"/>
  <c r="EA45" i="1"/>
  <c r="DY45" i="1"/>
  <c r="DX45" i="1" s="1"/>
  <c r="DU45" i="1"/>
  <c r="DT45" i="1"/>
  <c r="DR45" i="1"/>
  <c r="DQ45" i="1"/>
  <c r="DN45" i="1"/>
  <c r="DM45" i="1"/>
  <c r="DK45" i="1"/>
  <c r="DJ45" i="1"/>
  <c r="DG45" i="1"/>
  <c r="DF45" i="1"/>
  <c r="DD45" i="1"/>
  <c r="DC45" i="1"/>
  <c r="CZ45" i="1"/>
  <c r="CY45" i="1"/>
  <c r="CW45" i="1"/>
  <c r="CV45" i="1" s="1"/>
  <c r="CP45" i="1"/>
  <c r="CN45" i="1"/>
  <c r="CM45" i="1"/>
  <c r="CH45" i="1"/>
  <c r="CJ45" i="1" s="1"/>
  <c r="CF45" i="1"/>
  <c r="CK45" i="1" s="1"/>
  <c r="CD45" i="1"/>
  <c r="AO45" i="1"/>
  <c r="CG45" i="1" s="1"/>
  <c r="AN45" i="1"/>
  <c r="AK45" i="1"/>
  <c r="S45" i="1"/>
  <c r="I45" i="1"/>
  <c r="J45" i="1" s="1"/>
  <c r="ID44" i="1"/>
  <c r="HZ44" i="1"/>
  <c r="FO44" i="1"/>
  <c r="FN44" i="1"/>
  <c r="FH44" i="1"/>
  <c r="FG44" i="1"/>
  <c r="FA44" i="1"/>
  <c r="EZ44" i="1"/>
  <c r="ET44" i="1"/>
  <c r="ES44" i="1"/>
  <c r="EP44" i="1"/>
  <c r="EO44" i="1"/>
  <c r="EM44" i="1"/>
  <c r="EL44" i="1" s="1"/>
  <c r="EI44" i="1"/>
  <c r="EH44" i="1"/>
  <c r="EF44" i="1"/>
  <c r="EE44" i="1"/>
  <c r="EB44" i="1"/>
  <c r="EA44" i="1"/>
  <c r="DY44" i="1"/>
  <c r="DX44" i="1"/>
  <c r="DU44" i="1"/>
  <c r="DT44" i="1"/>
  <c r="DR44" i="1"/>
  <c r="DQ44" i="1"/>
  <c r="DN44" i="1"/>
  <c r="DM44" i="1"/>
  <c r="DK44" i="1"/>
  <c r="DJ44" i="1" s="1"/>
  <c r="DG44" i="1"/>
  <c r="DF44" i="1"/>
  <c r="DD44" i="1"/>
  <c r="DC44" i="1"/>
  <c r="CZ44" i="1"/>
  <c r="CY44" i="1"/>
  <c r="CW44" i="1"/>
  <c r="CV44" i="1"/>
  <c r="CP44" i="1"/>
  <c r="HY44" i="1" s="1"/>
  <c r="CO44" i="1"/>
  <c r="CM44" i="1"/>
  <c r="CH44" i="1"/>
  <c r="CJ44" i="1" s="1"/>
  <c r="CF44" i="1"/>
  <c r="CK44" i="1" s="1"/>
  <c r="CD44" i="1"/>
  <c r="AP44" i="1"/>
  <c r="AN44" i="1"/>
  <c r="AO44" i="1" s="1"/>
  <c r="IB44" i="1" s="1"/>
  <c r="AK44" i="1"/>
  <c r="S44" i="1"/>
  <c r="J44" i="1"/>
  <c r="I44" i="1"/>
  <c r="HZ43" i="1"/>
  <c r="HY43" i="1"/>
  <c r="FO43" i="1"/>
  <c r="FN43" i="1"/>
  <c r="FH43" i="1"/>
  <c r="FG43" i="1"/>
  <c r="FA43" i="1"/>
  <c r="EZ43" i="1" s="1"/>
  <c r="ET43" i="1"/>
  <c r="ES43" i="1" s="1"/>
  <c r="EP43" i="1"/>
  <c r="EO43" i="1"/>
  <c r="EM43" i="1"/>
  <c r="EL43" i="1"/>
  <c r="EI43" i="1"/>
  <c r="EH43" i="1"/>
  <c r="EF43" i="1"/>
  <c r="EE43" i="1"/>
  <c r="EB43" i="1"/>
  <c r="EA43" i="1"/>
  <c r="DY43" i="1"/>
  <c r="DX43" i="1"/>
  <c r="DU43" i="1"/>
  <c r="DT43" i="1"/>
  <c r="DR43" i="1"/>
  <c r="DQ43" i="1" s="1"/>
  <c r="DN43" i="1"/>
  <c r="DM43" i="1"/>
  <c r="DK43" i="1"/>
  <c r="DJ43" i="1"/>
  <c r="DG43" i="1"/>
  <c r="DF43" i="1"/>
  <c r="DD43" i="1"/>
  <c r="DC43" i="1"/>
  <c r="CZ43" i="1"/>
  <c r="CY43" i="1"/>
  <c r="CW43" i="1"/>
  <c r="CV43" i="1"/>
  <c r="CP43" i="1"/>
  <c r="CO43" i="1"/>
  <c r="CM43" i="1"/>
  <c r="CH43" i="1"/>
  <c r="CJ43" i="1" s="1"/>
  <c r="CN43" i="1" s="1"/>
  <c r="CF43" i="1"/>
  <c r="CK43" i="1" s="1"/>
  <c r="CD43" i="1"/>
  <c r="AN43" i="1"/>
  <c r="AO43" i="1" s="1"/>
  <c r="AK43" i="1"/>
  <c r="S43" i="1"/>
  <c r="I43" i="1"/>
  <c r="J43" i="1" s="1"/>
  <c r="HZ42" i="1"/>
  <c r="FO42" i="1"/>
  <c r="FN42" i="1" s="1"/>
  <c r="FH42" i="1"/>
  <c r="FG42" i="1"/>
  <c r="FA42" i="1"/>
  <c r="EZ42" i="1"/>
  <c r="ET42" i="1"/>
  <c r="ES42" i="1"/>
  <c r="EP42" i="1"/>
  <c r="EO42" i="1"/>
  <c r="EM42" i="1"/>
  <c r="EL42" i="1" s="1"/>
  <c r="EI42" i="1"/>
  <c r="EH42" i="1"/>
  <c r="EF42" i="1"/>
  <c r="EE42" i="1" s="1"/>
  <c r="EB42" i="1"/>
  <c r="EA42" i="1"/>
  <c r="DY42" i="1"/>
  <c r="DX42" i="1"/>
  <c r="DU42" i="1"/>
  <c r="DT42" i="1"/>
  <c r="DR42" i="1"/>
  <c r="DQ42" i="1"/>
  <c r="DN42" i="1"/>
  <c r="DM42" i="1"/>
  <c r="DK42" i="1"/>
  <c r="DJ42" i="1" s="1"/>
  <c r="DG42" i="1"/>
  <c r="DF42" i="1"/>
  <c r="DD42" i="1"/>
  <c r="CZ42" i="1"/>
  <c r="CY42" i="1"/>
  <c r="CW42" i="1"/>
  <c r="CV42" i="1"/>
  <c r="CS42" i="1"/>
  <c r="CR42" i="1"/>
  <c r="CP42" i="1"/>
  <c r="CO42" i="1"/>
  <c r="CM42" i="1"/>
  <c r="CK42" i="1"/>
  <c r="CH42" i="1"/>
  <c r="CJ42" i="1" s="1"/>
  <c r="CF42" i="1"/>
  <c r="CD42" i="1"/>
  <c r="AN42" i="1"/>
  <c r="AO42" i="1" s="1"/>
  <c r="AK42" i="1"/>
  <c r="S42" i="1"/>
  <c r="J42" i="1"/>
  <c r="I42" i="1"/>
  <c r="IB41" i="1"/>
  <c r="HZ41" i="1"/>
  <c r="HS41" i="1"/>
  <c r="HR41" i="1"/>
  <c r="HL41" i="1"/>
  <c r="HK41" i="1"/>
  <c r="HE41" i="1"/>
  <c r="HD41" i="1"/>
  <c r="GX41" i="1"/>
  <c r="GW41" i="1" s="1"/>
  <c r="GQ41" i="1"/>
  <c r="GP41" i="1"/>
  <c r="GJ41" i="1"/>
  <c r="GI41" i="1"/>
  <c r="GC41" i="1"/>
  <c r="GB41" i="1"/>
  <c r="FV41" i="1"/>
  <c r="FO41" i="1"/>
  <c r="FN41" i="1"/>
  <c r="FH41" i="1"/>
  <c r="FG41" i="1" s="1"/>
  <c r="FA41" i="1"/>
  <c r="EZ41" i="1" s="1"/>
  <c r="ET41" i="1"/>
  <c r="ES41" i="1"/>
  <c r="EP41" i="1"/>
  <c r="EO41" i="1"/>
  <c r="EM41" i="1"/>
  <c r="EL41" i="1"/>
  <c r="EI41" i="1"/>
  <c r="EH41" i="1"/>
  <c r="EF41" i="1"/>
  <c r="EE41" i="1"/>
  <c r="EB41" i="1"/>
  <c r="EA41" i="1"/>
  <c r="DY41" i="1"/>
  <c r="DX41" i="1" s="1"/>
  <c r="DU41" i="1"/>
  <c r="DT41" i="1"/>
  <c r="DR41" i="1"/>
  <c r="DQ41" i="1"/>
  <c r="DN41" i="1"/>
  <c r="DM41" i="1"/>
  <c r="DK41" i="1"/>
  <c r="DJ41" i="1"/>
  <c r="DG41" i="1"/>
  <c r="DF41" i="1"/>
  <c r="DD41" i="1"/>
  <c r="DC41" i="1"/>
  <c r="CZ41" i="1"/>
  <c r="CY41" i="1"/>
  <c r="CW41" i="1"/>
  <c r="CV41" i="1" s="1"/>
  <c r="CP41" i="1"/>
  <c r="CO41" i="1"/>
  <c r="CM41" i="1"/>
  <c r="IG41" i="1" s="1"/>
  <c r="IH41" i="1" s="1"/>
  <c r="CK41" i="1"/>
  <c r="CJ41" i="1"/>
  <c r="CN41" i="1" s="1"/>
  <c r="CU41" i="1" s="1"/>
  <c r="DB41" i="1" s="1"/>
  <c r="DI41" i="1" s="1"/>
  <c r="DP41" i="1" s="1"/>
  <c r="CH41" i="1"/>
  <c r="CF41" i="1"/>
  <c r="CD41" i="1"/>
  <c r="AO41" i="1"/>
  <c r="AN41" i="1"/>
  <c r="AK41" i="1"/>
  <c r="S41" i="1"/>
  <c r="I41" i="1"/>
  <c r="J41" i="1" s="1"/>
  <c r="HZ40" i="1"/>
  <c r="FO40" i="1"/>
  <c r="FN40" i="1"/>
  <c r="FH40" i="1"/>
  <c r="FG40" i="1"/>
  <c r="FA40" i="1"/>
  <c r="EZ40" i="1"/>
  <c r="ET40" i="1"/>
  <c r="ES40" i="1"/>
  <c r="EP40" i="1"/>
  <c r="EO40" i="1"/>
  <c r="EM40" i="1"/>
  <c r="EL40" i="1"/>
  <c r="EI40" i="1"/>
  <c r="EH40" i="1"/>
  <c r="EF40" i="1"/>
  <c r="EE40" i="1" s="1"/>
  <c r="EB40" i="1"/>
  <c r="EA40" i="1"/>
  <c r="DY40" i="1"/>
  <c r="DX40" i="1"/>
  <c r="DU40" i="1"/>
  <c r="DT40" i="1"/>
  <c r="DR40" i="1"/>
  <c r="DQ40" i="1"/>
  <c r="DN40" i="1"/>
  <c r="DM40" i="1"/>
  <c r="DK40" i="1"/>
  <c r="DJ40" i="1"/>
  <c r="DG40" i="1"/>
  <c r="DF40" i="1"/>
  <c r="DD40" i="1"/>
  <c r="DC40" i="1" s="1"/>
  <c r="CW40" i="1"/>
  <c r="CV40" i="1" s="1"/>
  <c r="CP40" i="1"/>
  <c r="CO40" i="1"/>
  <c r="CM40" i="1"/>
  <c r="CK40" i="1"/>
  <c r="CH40" i="1"/>
  <c r="CJ40" i="1" s="1"/>
  <c r="CN40" i="1" s="1"/>
  <c r="CF40" i="1"/>
  <c r="CD40" i="1"/>
  <c r="AO40" i="1"/>
  <c r="AN40" i="1"/>
  <c r="AK40" i="1"/>
  <c r="S40" i="1"/>
  <c r="I40" i="1"/>
  <c r="J40" i="1" s="1"/>
  <c r="HZ39" i="1"/>
  <c r="FO39" i="1"/>
  <c r="FN39" i="1"/>
  <c r="FH39" i="1"/>
  <c r="FG39" i="1"/>
  <c r="FA39" i="1"/>
  <c r="EZ39" i="1"/>
  <c r="ET39" i="1"/>
  <c r="ES39" i="1"/>
  <c r="EP39" i="1"/>
  <c r="EO39" i="1"/>
  <c r="EM39" i="1"/>
  <c r="EL39" i="1"/>
  <c r="EI39" i="1"/>
  <c r="EH39" i="1"/>
  <c r="EF39" i="1"/>
  <c r="EE39" i="1" s="1"/>
  <c r="EB39" i="1"/>
  <c r="EA39" i="1"/>
  <c r="DY39" i="1"/>
  <c r="DX39" i="1"/>
  <c r="DU39" i="1"/>
  <c r="DT39" i="1"/>
  <c r="DR39" i="1"/>
  <c r="DQ39" i="1"/>
  <c r="DN39" i="1"/>
  <c r="DM39" i="1"/>
  <c r="DK39" i="1"/>
  <c r="DJ39" i="1"/>
  <c r="DG39" i="1"/>
  <c r="DF39" i="1"/>
  <c r="DD39" i="1"/>
  <c r="DC39" i="1" s="1"/>
  <c r="CZ39" i="1"/>
  <c r="CY39" i="1"/>
  <c r="CW39" i="1"/>
  <c r="CV39" i="1"/>
  <c r="CP39" i="1"/>
  <c r="HY39" i="1" s="1"/>
  <c r="CO39" i="1"/>
  <c r="CN39" i="1"/>
  <c r="CT39" i="1" s="1"/>
  <c r="CM39" i="1"/>
  <c r="IG39" i="1" s="1"/>
  <c r="IH39" i="1" s="1"/>
  <c r="CK39" i="1"/>
  <c r="CJ39" i="1"/>
  <c r="CH39" i="1"/>
  <c r="CF39" i="1"/>
  <c r="CD39" i="1"/>
  <c r="AO39" i="1"/>
  <c r="AP39" i="1" s="1"/>
  <c r="CR39" i="1" s="1"/>
  <c r="AN39" i="1"/>
  <c r="AK39" i="1"/>
  <c r="S39" i="1"/>
  <c r="I39" i="1"/>
  <c r="J39" i="1" s="1"/>
  <c r="HZ38" i="1"/>
  <c r="FO38" i="1"/>
  <c r="FN38" i="1"/>
  <c r="FH38" i="1"/>
  <c r="FG38" i="1"/>
  <c r="FA38" i="1"/>
  <c r="EZ38" i="1"/>
  <c r="ET38" i="1"/>
  <c r="ES38" i="1"/>
  <c r="EP38" i="1"/>
  <c r="EO38" i="1"/>
  <c r="EM38" i="1"/>
  <c r="EL38" i="1"/>
  <c r="EI38" i="1"/>
  <c r="EH38" i="1"/>
  <c r="EF38" i="1"/>
  <c r="EE38" i="1"/>
  <c r="EB38" i="1"/>
  <c r="EA38" i="1"/>
  <c r="DY38" i="1"/>
  <c r="DX38" i="1"/>
  <c r="DU38" i="1"/>
  <c r="DT38" i="1"/>
  <c r="DR38" i="1"/>
  <c r="DQ38" i="1"/>
  <c r="DN38" i="1"/>
  <c r="DM38" i="1"/>
  <c r="DK38" i="1"/>
  <c r="DJ38" i="1"/>
  <c r="DG38" i="1"/>
  <c r="DF38" i="1"/>
  <c r="DD38" i="1"/>
  <c r="DC38" i="1" s="1"/>
  <c r="CZ38" i="1"/>
  <c r="CY38" i="1"/>
  <c r="CW38" i="1"/>
  <c r="CV38" i="1" s="1"/>
  <c r="CP38" i="1"/>
  <c r="HY38" i="1" s="1"/>
  <c r="CO38" i="1"/>
  <c r="CN38" i="1"/>
  <c r="CM38" i="1"/>
  <c r="IG38" i="1" s="1"/>
  <c r="IH38" i="1" s="1"/>
  <c r="CK38" i="1"/>
  <c r="CJ38" i="1"/>
  <c r="CH38" i="1"/>
  <c r="CF38" i="1"/>
  <c r="CD38" i="1"/>
  <c r="AN38" i="1"/>
  <c r="AO38" i="1" s="1"/>
  <c r="AK38" i="1"/>
  <c r="S38" i="1"/>
  <c r="I38" i="1"/>
  <c r="J38" i="1" s="1"/>
  <c r="HZ37" i="1"/>
  <c r="GJ37" i="1"/>
  <c r="GI37" i="1" s="1"/>
  <c r="GC37" i="1"/>
  <c r="GB37" i="1" s="1"/>
  <c r="FV37" i="1"/>
  <c r="FU37" i="1"/>
  <c r="FO37" i="1"/>
  <c r="FN37" i="1"/>
  <c r="FH37" i="1"/>
  <c r="FG37" i="1"/>
  <c r="FA37" i="1"/>
  <c r="EZ37" i="1"/>
  <c r="ET37" i="1"/>
  <c r="ES37" i="1"/>
  <c r="EP37" i="1"/>
  <c r="EO37" i="1"/>
  <c r="EM37" i="1"/>
  <c r="EL37" i="1"/>
  <c r="EI37" i="1"/>
  <c r="EH37" i="1"/>
  <c r="EF37" i="1"/>
  <c r="EE37" i="1"/>
  <c r="EB37" i="1"/>
  <c r="EA37" i="1"/>
  <c r="DY37" i="1"/>
  <c r="DX37" i="1"/>
  <c r="DU37" i="1"/>
  <c r="DT37" i="1"/>
  <c r="DR37" i="1"/>
  <c r="DQ37" i="1"/>
  <c r="DN37" i="1"/>
  <c r="DM37" i="1"/>
  <c r="DK37" i="1"/>
  <c r="DJ37" i="1"/>
  <c r="DG37" i="1"/>
  <c r="DF37" i="1"/>
  <c r="DD37" i="1"/>
  <c r="DC37" i="1"/>
  <c r="CZ37" i="1"/>
  <c r="CY37" i="1"/>
  <c r="CW37" i="1"/>
  <c r="CV37" i="1"/>
  <c r="CS37" i="1"/>
  <c r="CR37" i="1"/>
  <c r="CP37" i="1"/>
  <c r="CO37" i="1"/>
  <c r="CM37" i="1"/>
  <c r="CH37" i="1"/>
  <c r="CJ37" i="1" s="1"/>
  <c r="CF37" i="1"/>
  <c r="CK37" i="1" s="1"/>
  <c r="CD37" i="1"/>
  <c r="AN37" i="1"/>
  <c r="AO37" i="1" s="1"/>
  <c r="AP37" i="1" s="1"/>
  <c r="IF37" i="1" s="1"/>
  <c r="AK37" i="1"/>
  <c r="S37" i="1"/>
  <c r="I37" i="1"/>
  <c r="J37" i="1" s="1"/>
  <c r="HZ36" i="1"/>
  <c r="FO36" i="1"/>
  <c r="FN36" i="1" s="1"/>
  <c r="FH36" i="1"/>
  <c r="FG36" i="1"/>
  <c r="FA36" i="1"/>
  <c r="EZ36" i="1"/>
  <c r="ET36" i="1"/>
  <c r="ES36" i="1"/>
  <c r="EP36" i="1"/>
  <c r="EO36" i="1"/>
  <c r="EM36" i="1"/>
  <c r="EL36" i="1" s="1"/>
  <c r="EI36" i="1"/>
  <c r="EH36" i="1"/>
  <c r="EF36" i="1"/>
  <c r="EE36" i="1"/>
  <c r="EB36" i="1"/>
  <c r="EA36" i="1"/>
  <c r="DY36" i="1"/>
  <c r="DX36" i="1"/>
  <c r="DU36" i="1"/>
  <c r="DT36" i="1"/>
  <c r="DR36" i="1"/>
  <c r="DQ36" i="1"/>
  <c r="DN36" i="1"/>
  <c r="DM36" i="1"/>
  <c r="DK36" i="1"/>
  <c r="DJ36" i="1"/>
  <c r="DG36" i="1"/>
  <c r="DF36" i="1"/>
  <c r="DD36" i="1"/>
  <c r="DC36" i="1" s="1"/>
  <c r="HX36" i="1" s="1"/>
  <c r="CZ36" i="1"/>
  <c r="CY36" i="1"/>
  <c r="CW36" i="1"/>
  <c r="CV36" i="1"/>
  <c r="CP36" i="1"/>
  <c r="CO36" i="1" s="1"/>
  <c r="CM36" i="1"/>
  <c r="CH36" i="1"/>
  <c r="CJ36" i="1" s="1"/>
  <c r="CF36" i="1"/>
  <c r="CK36" i="1" s="1"/>
  <c r="CD36" i="1"/>
  <c r="AN36" i="1"/>
  <c r="AO36" i="1" s="1"/>
  <c r="CG36" i="1" s="1"/>
  <c r="AK36" i="1"/>
  <c r="S36" i="1"/>
  <c r="I36" i="1"/>
  <c r="J36" i="1" s="1"/>
  <c r="HZ35" i="1"/>
  <c r="FO35" i="1"/>
  <c r="FN35" i="1" s="1"/>
  <c r="FH35" i="1"/>
  <c r="FG35" i="1"/>
  <c r="FA35" i="1"/>
  <c r="EZ35" i="1"/>
  <c r="ET35" i="1"/>
  <c r="ES35" i="1"/>
  <c r="EP35" i="1"/>
  <c r="EO35" i="1"/>
  <c r="EM35" i="1"/>
  <c r="EL35" i="1" s="1"/>
  <c r="EI35" i="1"/>
  <c r="EH35" i="1"/>
  <c r="EF35" i="1"/>
  <c r="EE35" i="1"/>
  <c r="EB35" i="1"/>
  <c r="EA35" i="1"/>
  <c r="DY35" i="1"/>
  <c r="DX35" i="1"/>
  <c r="DU35" i="1"/>
  <c r="DT35" i="1"/>
  <c r="DR35" i="1"/>
  <c r="DQ35" i="1"/>
  <c r="DN35" i="1"/>
  <c r="DM35" i="1"/>
  <c r="DK35" i="1"/>
  <c r="DJ35" i="1" s="1"/>
  <c r="DG35" i="1"/>
  <c r="DF35" i="1"/>
  <c r="DD35" i="1"/>
  <c r="DC35" i="1" s="1"/>
  <c r="CZ35" i="1"/>
  <c r="CY35" i="1"/>
  <c r="CW35" i="1"/>
  <c r="CV35" i="1"/>
  <c r="HX35" i="1" s="1"/>
  <c r="CP35" i="1"/>
  <c r="CO35" i="1"/>
  <c r="CM35" i="1"/>
  <c r="CK35" i="1"/>
  <c r="CJ35" i="1"/>
  <c r="CH35" i="1"/>
  <c r="CG35" i="1"/>
  <c r="CF35" i="1"/>
  <c r="CD35" i="1"/>
  <c r="AN35" i="1"/>
  <c r="AO35" i="1" s="1"/>
  <c r="AK35" i="1"/>
  <c r="S35" i="1"/>
  <c r="J35" i="1"/>
  <c r="I35" i="1"/>
  <c r="HZ34" i="1"/>
  <c r="FO34" i="1"/>
  <c r="FN34" i="1"/>
  <c r="FH34" i="1"/>
  <c r="FG34" i="1" s="1"/>
  <c r="FA34" i="1"/>
  <c r="EZ34" i="1" s="1"/>
  <c r="ET34" i="1"/>
  <c r="ES34" i="1"/>
  <c r="EP34" i="1"/>
  <c r="EO34" i="1"/>
  <c r="EM34" i="1"/>
  <c r="EL34" i="1" s="1"/>
  <c r="EI34" i="1"/>
  <c r="EH34" i="1"/>
  <c r="EF34" i="1"/>
  <c r="EE34" i="1"/>
  <c r="EB34" i="1"/>
  <c r="EA34" i="1"/>
  <c r="DY34" i="1"/>
  <c r="DX34" i="1"/>
  <c r="DU34" i="1"/>
  <c r="DT34" i="1"/>
  <c r="DR34" i="1"/>
  <c r="DQ34" i="1"/>
  <c r="DN34" i="1"/>
  <c r="DM34" i="1"/>
  <c r="DK34" i="1"/>
  <c r="DJ34" i="1" s="1"/>
  <c r="DG34" i="1"/>
  <c r="DF34" i="1"/>
  <c r="DD34" i="1"/>
  <c r="DC34" i="1" s="1"/>
  <c r="CW34" i="1"/>
  <c r="CV34" i="1"/>
  <c r="CP34" i="1"/>
  <c r="CO34" i="1" s="1"/>
  <c r="CM34" i="1"/>
  <c r="CK34" i="1"/>
  <c r="CH34" i="1"/>
  <c r="CJ34" i="1" s="1"/>
  <c r="CG34" i="1"/>
  <c r="CF34" i="1"/>
  <c r="CD34" i="1"/>
  <c r="AN34" i="1"/>
  <c r="AO34" i="1" s="1"/>
  <c r="IB34" i="1" s="1"/>
  <c r="AK34" i="1"/>
  <c r="S34" i="1"/>
  <c r="J34" i="1"/>
  <c r="I34" i="1"/>
  <c r="IB33" i="1"/>
  <c r="HZ33" i="1"/>
  <c r="FO33" i="1"/>
  <c r="FN33" i="1"/>
  <c r="FH33" i="1"/>
  <c r="FG33" i="1" s="1"/>
  <c r="FA33" i="1"/>
  <c r="EZ33" i="1" s="1"/>
  <c r="ET33" i="1"/>
  <c r="ES33" i="1"/>
  <c r="EP33" i="1"/>
  <c r="EO33" i="1"/>
  <c r="EM33" i="1"/>
  <c r="EL33" i="1" s="1"/>
  <c r="EI33" i="1"/>
  <c r="EH33" i="1"/>
  <c r="EF33" i="1"/>
  <c r="EE33" i="1"/>
  <c r="EB33" i="1"/>
  <c r="EA33" i="1"/>
  <c r="DY33" i="1"/>
  <c r="DX33" i="1"/>
  <c r="DU33" i="1"/>
  <c r="DT33" i="1"/>
  <c r="DR33" i="1"/>
  <c r="DQ33" i="1"/>
  <c r="DN33" i="1"/>
  <c r="DM33" i="1"/>
  <c r="DK33" i="1"/>
  <c r="DJ33" i="1" s="1"/>
  <c r="DG33" i="1"/>
  <c r="DF33" i="1"/>
  <c r="DD33" i="1"/>
  <c r="DC33" i="1" s="1"/>
  <c r="CZ33" i="1"/>
  <c r="CY33" i="1"/>
  <c r="CW33" i="1"/>
  <c r="CV33" i="1"/>
  <c r="CP33" i="1"/>
  <c r="CO33" i="1"/>
  <c r="CM33" i="1"/>
  <c r="CK33" i="1"/>
  <c r="CH33" i="1"/>
  <c r="CJ33" i="1" s="1"/>
  <c r="CN33" i="1" s="1"/>
  <c r="CT33" i="1" s="1"/>
  <c r="CF33" i="1"/>
  <c r="CD33" i="1"/>
  <c r="AO33" i="1"/>
  <c r="AN33" i="1"/>
  <c r="AK33" i="1"/>
  <c r="S33" i="1"/>
  <c r="J33" i="1"/>
  <c r="I33" i="1"/>
  <c r="HZ32" i="1"/>
  <c r="FO32" i="1"/>
  <c r="FN32" i="1"/>
  <c r="FH32" i="1"/>
  <c r="FG32" i="1"/>
  <c r="FA32" i="1"/>
  <c r="EZ32" i="1" s="1"/>
  <c r="ET32" i="1"/>
  <c r="ES32" i="1"/>
  <c r="EP32" i="1"/>
  <c r="EO32" i="1"/>
  <c r="EM32" i="1"/>
  <c r="EL32" i="1"/>
  <c r="EI32" i="1"/>
  <c r="EH32" i="1"/>
  <c r="EF32" i="1"/>
  <c r="EE32" i="1" s="1"/>
  <c r="EB32" i="1"/>
  <c r="EA32" i="1"/>
  <c r="DY32" i="1"/>
  <c r="DX32" i="1"/>
  <c r="DU32" i="1"/>
  <c r="DT32" i="1"/>
  <c r="DR32" i="1"/>
  <c r="DQ32" i="1"/>
  <c r="DN32" i="1"/>
  <c r="DM32" i="1"/>
  <c r="DK32" i="1"/>
  <c r="DJ32" i="1"/>
  <c r="DD32" i="1"/>
  <c r="DC32" i="1" s="1"/>
  <c r="CW32" i="1"/>
  <c r="CV32" i="1"/>
  <c r="CU32" i="1"/>
  <c r="CP32" i="1"/>
  <c r="CM32" i="1"/>
  <c r="CK32" i="1"/>
  <c r="CH32" i="1"/>
  <c r="CJ32" i="1" s="1"/>
  <c r="CN32" i="1" s="1"/>
  <c r="CT32" i="1" s="1"/>
  <c r="CG32" i="1"/>
  <c r="CF32" i="1"/>
  <c r="CD32" i="1"/>
  <c r="AN32" i="1"/>
  <c r="AO32" i="1" s="1"/>
  <c r="IB32" i="1" s="1"/>
  <c r="AK32" i="1"/>
  <c r="S32" i="1"/>
  <c r="J32" i="1"/>
  <c r="I32" i="1"/>
  <c r="IB31" i="1"/>
  <c r="HZ31" i="1"/>
  <c r="FO31" i="1"/>
  <c r="FN31" i="1"/>
  <c r="FH31" i="1"/>
  <c r="FG31" i="1" s="1"/>
  <c r="FA31" i="1"/>
  <c r="EZ31" i="1" s="1"/>
  <c r="ET31" i="1"/>
  <c r="ES31" i="1"/>
  <c r="EP31" i="1"/>
  <c r="EO31" i="1"/>
  <c r="EM31" i="1"/>
  <c r="EL31" i="1" s="1"/>
  <c r="EI31" i="1"/>
  <c r="EH31" i="1"/>
  <c r="EF31" i="1"/>
  <c r="EE31" i="1"/>
  <c r="EB31" i="1"/>
  <c r="EA31" i="1"/>
  <c r="DY31" i="1"/>
  <c r="DX31" i="1"/>
  <c r="DU31" i="1"/>
  <c r="DT31" i="1"/>
  <c r="DR31" i="1"/>
  <c r="DQ31" i="1"/>
  <c r="DN31" i="1"/>
  <c r="DM31" i="1"/>
  <c r="DK31" i="1"/>
  <c r="DJ31" i="1" s="1"/>
  <c r="DG31" i="1"/>
  <c r="DF31" i="1"/>
  <c r="DD31" i="1"/>
  <c r="DC31" i="1" s="1"/>
  <c r="CW31" i="1"/>
  <c r="CV31" i="1"/>
  <c r="CP31" i="1"/>
  <c r="CO31" i="1" s="1"/>
  <c r="CM31" i="1"/>
  <c r="CK31" i="1"/>
  <c r="CJ31" i="1"/>
  <c r="CN31" i="1" s="1"/>
  <c r="CU31" i="1" s="1"/>
  <c r="CH31" i="1"/>
  <c r="CG31" i="1"/>
  <c r="CF31" i="1"/>
  <c r="CD31" i="1"/>
  <c r="AN31" i="1"/>
  <c r="AO31" i="1" s="1"/>
  <c r="AK31" i="1"/>
  <c r="S31" i="1"/>
  <c r="J31" i="1"/>
  <c r="I31" i="1"/>
  <c r="HZ30" i="1"/>
  <c r="GJ30" i="1"/>
  <c r="GI30" i="1"/>
  <c r="GC30" i="1"/>
  <c r="GB30" i="1" s="1"/>
  <c r="FV30" i="1"/>
  <c r="FU30" i="1" s="1"/>
  <c r="FO30" i="1"/>
  <c r="FN30" i="1"/>
  <c r="FH30" i="1"/>
  <c r="FG30" i="1"/>
  <c r="FA30" i="1"/>
  <c r="EZ30" i="1" s="1"/>
  <c r="ET30" i="1"/>
  <c r="ES30" i="1"/>
  <c r="EP30" i="1"/>
  <c r="EO30" i="1"/>
  <c r="EM30" i="1"/>
  <c r="EL30" i="1"/>
  <c r="EI30" i="1"/>
  <c r="EH30" i="1"/>
  <c r="EF30" i="1"/>
  <c r="EE30" i="1" s="1"/>
  <c r="EB30" i="1"/>
  <c r="EA30" i="1"/>
  <c r="DY30" i="1"/>
  <c r="DX30" i="1"/>
  <c r="DU30" i="1"/>
  <c r="DT30" i="1"/>
  <c r="DR30" i="1"/>
  <c r="DQ30" i="1"/>
  <c r="DN30" i="1"/>
  <c r="DM30" i="1"/>
  <c r="DK30" i="1"/>
  <c r="DJ30" i="1"/>
  <c r="DD30" i="1"/>
  <c r="CW30" i="1"/>
  <c r="CV30" i="1"/>
  <c r="CU30" i="1"/>
  <c r="CP30" i="1"/>
  <c r="CO30" i="1" s="1"/>
  <c r="CM30" i="1"/>
  <c r="CK30" i="1"/>
  <c r="CJ30" i="1"/>
  <c r="CN30" i="1" s="1"/>
  <c r="CT30" i="1" s="1"/>
  <c r="CH30" i="1"/>
  <c r="CG30" i="1"/>
  <c r="CF30" i="1"/>
  <c r="CD30" i="1"/>
  <c r="AN30" i="1"/>
  <c r="AO30" i="1" s="1"/>
  <c r="AK30" i="1"/>
  <c r="S30" i="1"/>
  <c r="J30" i="1"/>
  <c r="I30" i="1"/>
  <c r="IB29" i="1"/>
  <c r="HZ29" i="1"/>
  <c r="GJ29" i="1"/>
  <c r="GI29" i="1"/>
  <c r="GC29" i="1"/>
  <c r="GB29" i="1"/>
  <c r="FV29" i="1"/>
  <c r="FU29" i="1" s="1"/>
  <c r="FO29" i="1"/>
  <c r="FN29" i="1"/>
  <c r="FH29" i="1"/>
  <c r="FG29" i="1"/>
  <c r="FA29" i="1"/>
  <c r="EZ29" i="1"/>
  <c r="ET29" i="1"/>
  <c r="ES29" i="1"/>
  <c r="EP29" i="1"/>
  <c r="EO29" i="1"/>
  <c r="EM29" i="1"/>
  <c r="EL29" i="1"/>
  <c r="EI29" i="1"/>
  <c r="EH29" i="1"/>
  <c r="EF29" i="1"/>
  <c r="EE29" i="1" s="1"/>
  <c r="EB29" i="1"/>
  <c r="EA29" i="1"/>
  <c r="DY29" i="1"/>
  <c r="DU29" i="1"/>
  <c r="DT29" i="1"/>
  <c r="DR29" i="1"/>
  <c r="DQ29" i="1"/>
  <c r="DN29" i="1"/>
  <c r="DM29" i="1"/>
  <c r="DK29" i="1"/>
  <c r="DJ29" i="1"/>
  <c r="DD29" i="1"/>
  <c r="DC29" i="1"/>
  <c r="CW29" i="1"/>
  <c r="CV29" i="1"/>
  <c r="CP29" i="1"/>
  <c r="CO29" i="1" s="1"/>
  <c r="CM29" i="1"/>
  <c r="CK29" i="1"/>
  <c r="CH29" i="1"/>
  <c r="CJ29" i="1" s="1"/>
  <c r="CG29" i="1"/>
  <c r="CF29" i="1"/>
  <c r="CD29" i="1"/>
  <c r="AN29" i="1"/>
  <c r="AO29" i="1" s="1"/>
  <c r="AK29" i="1"/>
  <c r="S29" i="1"/>
  <c r="J29" i="1"/>
  <c r="I29" i="1"/>
  <c r="HZ28" i="1"/>
  <c r="GJ28" i="1"/>
  <c r="GI28" i="1"/>
  <c r="GC28" i="1"/>
  <c r="GB28" i="1"/>
  <c r="FV28" i="1"/>
  <c r="FU28" i="1" s="1"/>
  <c r="FO28" i="1"/>
  <c r="FN28" i="1"/>
  <c r="FH28" i="1"/>
  <c r="FG28" i="1" s="1"/>
  <c r="FA28" i="1"/>
  <c r="EZ28" i="1" s="1"/>
  <c r="ET28" i="1"/>
  <c r="ES28" i="1"/>
  <c r="EP28" i="1"/>
  <c r="EO28" i="1"/>
  <c r="EM28" i="1"/>
  <c r="EL28" i="1"/>
  <c r="EI28" i="1"/>
  <c r="EH28" i="1"/>
  <c r="EF28" i="1"/>
  <c r="EE28" i="1" s="1"/>
  <c r="EB28" i="1"/>
  <c r="EA28" i="1"/>
  <c r="DY28" i="1"/>
  <c r="DX28" i="1"/>
  <c r="DU28" i="1"/>
  <c r="DT28" i="1"/>
  <c r="DR28" i="1"/>
  <c r="DQ28" i="1"/>
  <c r="DN28" i="1"/>
  <c r="DM28" i="1"/>
  <c r="DK28" i="1"/>
  <c r="DJ28" i="1"/>
  <c r="DG28" i="1"/>
  <c r="DF28" i="1"/>
  <c r="DD28" i="1"/>
  <c r="DC28" i="1" s="1"/>
  <c r="CW28" i="1"/>
  <c r="CV28" i="1"/>
  <c r="CP28" i="1"/>
  <c r="CO28" i="1"/>
  <c r="CM28" i="1"/>
  <c r="CK28" i="1"/>
  <c r="CH28" i="1"/>
  <c r="CJ28" i="1" s="1"/>
  <c r="CF28" i="1"/>
  <c r="CD28" i="1"/>
  <c r="AN28" i="1"/>
  <c r="AO28" i="1" s="1"/>
  <c r="AK28" i="1"/>
  <c r="S28" i="1"/>
  <c r="I28" i="1"/>
  <c r="J28" i="1" s="1"/>
  <c r="HZ27" i="1"/>
  <c r="GJ27" i="1"/>
  <c r="GI27" i="1"/>
  <c r="GC27" i="1"/>
  <c r="GB27" i="1"/>
  <c r="FV27" i="1"/>
  <c r="FU27" i="1" s="1"/>
  <c r="FO27" i="1"/>
  <c r="FN27" i="1"/>
  <c r="FH27" i="1"/>
  <c r="FG27" i="1" s="1"/>
  <c r="FA27" i="1"/>
  <c r="EZ27" i="1"/>
  <c r="ET27" i="1"/>
  <c r="ES27" i="1"/>
  <c r="EP27" i="1"/>
  <c r="EO27" i="1"/>
  <c r="EM27" i="1"/>
  <c r="EL27" i="1"/>
  <c r="EI27" i="1"/>
  <c r="EH27" i="1"/>
  <c r="EF27" i="1"/>
  <c r="EE27" i="1" s="1"/>
  <c r="EB27" i="1"/>
  <c r="EA27" i="1"/>
  <c r="DY27" i="1"/>
  <c r="DX27" i="1"/>
  <c r="DU27" i="1"/>
  <c r="DT27" i="1"/>
  <c r="DR27" i="1"/>
  <c r="DQ27" i="1"/>
  <c r="DN27" i="1"/>
  <c r="DM27" i="1"/>
  <c r="DK27" i="1"/>
  <c r="DJ27" i="1"/>
  <c r="DG27" i="1"/>
  <c r="DF27" i="1"/>
  <c r="DD27" i="1"/>
  <c r="DC27" i="1" s="1"/>
  <c r="CW27" i="1"/>
  <c r="CV27" i="1"/>
  <c r="CP27" i="1"/>
  <c r="HY27" i="1" s="1"/>
  <c r="CO27" i="1"/>
  <c r="CN27" i="1"/>
  <c r="CT27" i="1" s="1"/>
  <c r="CM27" i="1"/>
  <c r="CK27" i="1"/>
  <c r="CJ27" i="1"/>
  <c r="CH27" i="1"/>
  <c r="CF27" i="1"/>
  <c r="CD27" i="1"/>
  <c r="AO27" i="1"/>
  <c r="CG27" i="1" s="1"/>
  <c r="AN27" i="1"/>
  <c r="AK27" i="1"/>
  <c r="S27" i="1"/>
  <c r="I27" i="1"/>
  <c r="J27" i="1" s="1"/>
  <c r="HZ26" i="1"/>
  <c r="HS26" i="1"/>
  <c r="HR26" i="1"/>
  <c r="HL26" i="1"/>
  <c r="HK26" i="1" s="1"/>
  <c r="HE26" i="1"/>
  <c r="HD26" i="1" s="1"/>
  <c r="GX26" i="1"/>
  <c r="GW26" i="1"/>
  <c r="GQ26" i="1"/>
  <c r="GP26" i="1" s="1"/>
  <c r="GJ26" i="1"/>
  <c r="GI26" i="1" s="1"/>
  <c r="GC26" i="1"/>
  <c r="GB26" i="1"/>
  <c r="FV26" i="1"/>
  <c r="FU26" i="1"/>
  <c r="FO26" i="1"/>
  <c r="FN26" i="1"/>
  <c r="FH26" i="1"/>
  <c r="FG26" i="1"/>
  <c r="FA26" i="1"/>
  <c r="EZ26" i="1" s="1"/>
  <c r="ET26" i="1"/>
  <c r="ES26" i="1"/>
  <c r="EP26" i="1"/>
  <c r="EO26" i="1"/>
  <c r="EM26" i="1"/>
  <c r="EL26" i="1" s="1"/>
  <c r="EI26" i="1"/>
  <c r="EH26" i="1"/>
  <c r="EF26" i="1"/>
  <c r="EE26" i="1" s="1"/>
  <c r="EB26" i="1"/>
  <c r="EA26" i="1"/>
  <c r="DY26" i="1"/>
  <c r="DX26" i="1"/>
  <c r="DU26" i="1"/>
  <c r="DT26" i="1"/>
  <c r="DR26" i="1"/>
  <c r="DQ26" i="1"/>
  <c r="DN26" i="1"/>
  <c r="DM26" i="1"/>
  <c r="DK26" i="1"/>
  <c r="DJ26" i="1" s="1"/>
  <c r="DG26" i="1"/>
  <c r="DF26" i="1"/>
  <c r="DD26" i="1"/>
  <c r="DC26" i="1"/>
  <c r="CZ26" i="1"/>
  <c r="CY26" i="1"/>
  <c r="CW26" i="1"/>
  <c r="CV26" i="1"/>
  <c r="CS26" i="1"/>
  <c r="CR26" i="1"/>
  <c r="CP26" i="1"/>
  <c r="CO26" i="1"/>
  <c r="CM26" i="1"/>
  <c r="CK26" i="1"/>
  <c r="CJ26" i="1"/>
  <c r="CN26" i="1" s="1"/>
  <c r="CH26" i="1"/>
  <c r="CF26" i="1"/>
  <c r="CD26" i="1"/>
  <c r="AP26" i="1"/>
  <c r="IF26" i="1" s="1"/>
  <c r="AN26" i="1"/>
  <c r="AO26" i="1" s="1"/>
  <c r="AK26" i="1"/>
  <c r="S26" i="1"/>
  <c r="I26" i="1"/>
  <c r="J26" i="1" s="1"/>
  <c r="HZ25" i="1"/>
  <c r="HS25" i="1"/>
  <c r="HR25" i="1"/>
  <c r="HL25" i="1"/>
  <c r="HK25" i="1"/>
  <c r="HE25" i="1"/>
  <c r="HD25" i="1" s="1"/>
  <c r="GX25" i="1"/>
  <c r="GW25" i="1"/>
  <c r="GQ25" i="1"/>
  <c r="GP25" i="1"/>
  <c r="GJ25" i="1"/>
  <c r="GI25" i="1" s="1"/>
  <c r="GC25" i="1"/>
  <c r="GB25" i="1"/>
  <c r="FV25" i="1"/>
  <c r="FU25" i="1"/>
  <c r="FO25" i="1"/>
  <c r="FN25" i="1"/>
  <c r="FH25" i="1"/>
  <c r="FG25" i="1" s="1"/>
  <c r="FA25" i="1"/>
  <c r="EZ25" i="1" s="1"/>
  <c r="ET25" i="1"/>
  <c r="ES25" i="1"/>
  <c r="EP25" i="1"/>
  <c r="EO25" i="1"/>
  <c r="EM25" i="1"/>
  <c r="EL25" i="1" s="1"/>
  <c r="EI25" i="1"/>
  <c r="EH25" i="1"/>
  <c r="EF25" i="1"/>
  <c r="EE25" i="1"/>
  <c r="EB25" i="1"/>
  <c r="EA25" i="1"/>
  <c r="DY25" i="1"/>
  <c r="DX25" i="1"/>
  <c r="DU25" i="1"/>
  <c r="DT25" i="1"/>
  <c r="DR25" i="1"/>
  <c r="DQ25" i="1"/>
  <c r="DN25" i="1"/>
  <c r="DM25" i="1"/>
  <c r="DK25" i="1"/>
  <c r="DJ25" i="1" s="1"/>
  <c r="DG25" i="1"/>
  <c r="DF25" i="1"/>
  <c r="DD25" i="1"/>
  <c r="DC25" i="1" s="1"/>
  <c r="CZ25" i="1"/>
  <c r="CY25" i="1"/>
  <c r="CW25" i="1"/>
  <c r="CV25" i="1"/>
  <c r="CS25" i="1"/>
  <c r="CR25" i="1"/>
  <c r="CP25" i="1"/>
  <c r="HY25" i="1" s="1"/>
  <c r="CO25" i="1"/>
  <c r="CM25" i="1"/>
  <c r="CK25" i="1"/>
  <c r="CJ25" i="1"/>
  <c r="CN25" i="1" s="1"/>
  <c r="CH25" i="1"/>
  <c r="CF25" i="1"/>
  <c r="CD25" i="1"/>
  <c r="AN25" i="1"/>
  <c r="AO25" i="1" s="1"/>
  <c r="AK25" i="1"/>
  <c r="S25" i="1"/>
  <c r="I25" i="1"/>
  <c r="J25" i="1" s="1"/>
  <c r="HZ24" i="1"/>
  <c r="GJ24" i="1"/>
  <c r="GI24" i="1"/>
  <c r="GC24" i="1"/>
  <c r="GB24" i="1"/>
  <c r="FV24" i="1"/>
  <c r="FU24" i="1"/>
  <c r="FO24" i="1"/>
  <c r="FN24" i="1"/>
  <c r="FH24" i="1"/>
  <c r="FG24" i="1" s="1"/>
  <c r="FA24" i="1"/>
  <c r="EZ24" i="1"/>
  <c r="ET24" i="1"/>
  <c r="ES24" i="1" s="1"/>
  <c r="EP24" i="1"/>
  <c r="EO24" i="1"/>
  <c r="EM24" i="1"/>
  <c r="EL24" i="1"/>
  <c r="EI24" i="1"/>
  <c r="EH24" i="1"/>
  <c r="EF24" i="1"/>
  <c r="EE24" i="1"/>
  <c r="EB24" i="1"/>
  <c r="EA24" i="1"/>
  <c r="DY24" i="1"/>
  <c r="DX24" i="1" s="1"/>
  <c r="DU24" i="1"/>
  <c r="DT24" i="1"/>
  <c r="DR24" i="1"/>
  <c r="DQ24" i="1"/>
  <c r="DN24" i="1"/>
  <c r="DM24" i="1"/>
  <c r="DK24" i="1"/>
  <c r="DJ24" i="1"/>
  <c r="DD24" i="1"/>
  <c r="DC24" i="1" s="1"/>
  <c r="CW24" i="1"/>
  <c r="CV24" i="1"/>
  <c r="CP24" i="1"/>
  <c r="HY24" i="1" s="1"/>
  <c r="CO24" i="1"/>
  <c r="CM24" i="1"/>
  <c r="CK24" i="1"/>
  <c r="CJ24" i="1"/>
  <c r="CN24" i="1" s="1"/>
  <c r="CH24" i="1"/>
  <c r="CF24" i="1"/>
  <c r="CD24" i="1"/>
  <c r="AN24" i="1"/>
  <c r="AO24" i="1" s="1"/>
  <c r="AK24" i="1"/>
  <c r="S24" i="1"/>
  <c r="I24" i="1"/>
  <c r="J24" i="1" s="1"/>
  <c r="IB23" i="1"/>
  <c r="ID23" i="1" s="1"/>
  <c r="HZ23" i="1"/>
  <c r="HS23" i="1"/>
  <c r="HR23" i="1"/>
  <c r="HL23" i="1"/>
  <c r="HK23" i="1"/>
  <c r="HE23" i="1"/>
  <c r="HD23" i="1" s="1"/>
  <c r="GX23" i="1"/>
  <c r="GW23" i="1"/>
  <c r="GQ23" i="1"/>
  <c r="GP23" i="1"/>
  <c r="GJ23" i="1"/>
  <c r="GI23" i="1"/>
  <c r="GC23" i="1"/>
  <c r="GB23" i="1"/>
  <c r="FV23" i="1"/>
  <c r="FU23" i="1" s="1"/>
  <c r="FO23" i="1"/>
  <c r="FN23" i="1" s="1"/>
  <c r="FH23" i="1"/>
  <c r="FG23" i="1"/>
  <c r="FA23" i="1"/>
  <c r="EZ23" i="1"/>
  <c r="ET23" i="1"/>
  <c r="ES23" i="1" s="1"/>
  <c r="EP23" i="1"/>
  <c r="EO23" i="1"/>
  <c r="EM23" i="1"/>
  <c r="EL23" i="1"/>
  <c r="EI23" i="1"/>
  <c r="EH23" i="1"/>
  <c r="EF23" i="1"/>
  <c r="EE23" i="1"/>
  <c r="EB23" i="1"/>
  <c r="EA23" i="1"/>
  <c r="DY23" i="1"/>
  <c r="DX23" i="1"/>
  <c r="DU23" i="1"/>
  <c r="DT23" i="1"/>
  <c r="DR23" i="1"/>
  <c r="DQ23" i="1" s="1"/>
  <c r="DN23" i="1"/>
  <c r="DM23" i="1"/>
  <c r="DK23" i="1"/>
  <c r="DJ23" i="1" s="1"/>
  <c r="DG23" i="1"/>
  <c r="DF23" i="1"/>
  <c r="DD23" i="1"/>
  <c r="DC23" i="1"/>
  <c r="DB23" i="1"/>
  <c r="DI23" i="1" s="1"/>
  <c r="DP23" i="1" s="1"/>
  <c r="CW23" i="1"/>
  <c r="CV23" i="1"/>
  <c r="CT23" i="1"/>
  <c r="CP23" i="1"/>
  <c r="CO23" i="1"/>
  <c r="CM23" i="1"/>
  <c r="IG23" i="1" s="1"/>
  <c r="IH23" i="1" s="1"/>
  <c r="CH23" i="1"/>
  <c r="CJ23" i="1" s="1"/>
  <c r="CN23" i="1" s="1"/>
  <c r="CU23" i="1" s="1"/>
  <c r="DA23" i="1" s="1"/>
  <c r="CG23" i="1"/>
  <c r="CF23" i="1"/>
  <c r="CK23" i="1" s="1"/>
  <c r="CD23" i="1"/>
  <c r="AN23" i="1"/>
  <c r="AO23" i="1" s="1"/>
  <c r="AP23" i="1" s="1"/>
  <c r="AK23" i="1"/>
  <c r="S23" i="1"/>
  <c r="J23" i="1"/>
  <c r="I23" i="1"/>
  <c r="HZ22" i="1"/>
  <c r="HS22" i="1"/>
  <c r="HR22" i="1" s="1"/>
  <c r="HL22" i="1"/>
  <c r="HK22" i="1"/>
  <c r="HE22" i="1"/>
  <c r="HD22" i="1"/>
  <c r="GX22" i="1"/>
  <c r="GW22" i="1" s="1"/>
  <c r="GQ22" i="1"/>
  <c r="GP22" i="1"/>
  <c r="GJ22" i="1"/>
  <c r="GI22" i="1"/>
  <c r="GC22" i="1"/>
  <c r="GB22" i="1"/>
  <c r="FV22" i="1"/>
  <c r="FU22" i="1"/>
  <c r="FO22" i="1"/>
  <c r="FN22" i="1" s="1"/>
  <c r="FH22" i="1"/>
  <c r="FG22" i="1"/>
  <c r="FA22" i="1"/>
  <c r="EZ22" i="1" s="1"/>
  <c r="ET22" i="1"/>
  <c r="ES22" i="1" s="1"/>
  <c r="EP22" i="1"/>
  <c r="EO22" i="1"/>
  <c r="EM22" i="1"/>
  <c r="EL22" i="1"/>
  <c r="EI22" i="1"/>
  <c r="EH22" i="1"/>
  <c r="EF22" i="1"/>
  <c r="EE22" i="1" s="1"/>
  <c r="EB22" i="1"/>
  <c r="EA22" i="1"/>
  <c r="DY22" i="1"/>
  <c r="DX22" i="1"/>
  <c r="DU22" i="1"/>
  <c r="DT22" i="1"/>
  <c r="DR22" i="1"/>
  <c r="DQ22" i="1" s="1"/>
  <c r="DN22" i="1"/>
  <c r="DM22" i="1"/>
  <c r="DK22" i="1"/>
  <c r="DJ22" i="1"/>
  <c r="DD22" i="1"/>
  <c r="DC22" i="1"/>
  <c r="CW22" i="1"/>
  <c r="CV22" i="1" s="1"/>
  <c r="CP22" i="1"/>
  <c r="CO22" i="1" s="1"/>
  <c r="HX22" i="1" s="1"/>
  <c r="CN22" i="1"/>
  <c r="CM22" i="1"/>
  <c r="IG22" i="1" s="1"/>
  <c r="IH22" i="1" s="1"/>
  <c r="CH22" i="1"/>
  <c r="CJ22" i="1" s="1"/>
  <c r="CG22" i="1"/>
  <c r="CF22" i="1"/>
  <c r="CK22" i="1" s="1"/>
  <c r="CD22" i="1"/>
  <c r="AP22" i="1"/>
  <c r="DF22" i="1" s="1"/>
  <c r="AO22" i="1"/>
  <c r="AN22" i="1"/>
  <c r="AK22" i="1"/>
  <c r="S22" i="1"/>
  <c r="I22" i="1"/>
  <c r="J22" i="1" s="1"/>
  <c r="HZ21" i="1"/>
  <c r="HY21" i="1"/>
  <c r="HS21" i="1"/>
  <c r="HR21" i="1" s="1"/>
  <c r="HL21" i="1"/>
  <c r="HK21" i="1"/>
  <c r="HE21" i="1"/>
  <c r="HD21" i="1"/>
  <c r="GX21" i="1"/>
  <c r="GW21" i="1" s="1"/>
  <c r="GQ21" i="1"/>
  <c r="GP21" i="1"/>
  <c r="GJ21" i="1"/>
  <c r="GI21" i="1"/>
  <c r="GC21" i="1"/>
  <c r="GB21" i="1" s="1"/>
  <c r="FV21" i="1"/>
  <c r="FU21" i="1"/>
  <c r="FO21" i="1"/>
  <c r="FN21" i="1" s="1"/>
  <c r="FH21" i="1"/>
  <c r="FG21" i="1"/>
  <c r="FA21" i="1"/>
  <c r="EZ21" i="1" s="1"/>
  <c r="ET21" i="1"/>
  <c r="ES21" i="1" s="1"/>
  <c r="EP21" i="1"/>
  <c r="EO21" i="1"/>
  <c r="EM21" i="1"/>
  <c r="EL21" i="1"/>
  <c r="EI21" i="1"/>
  <c r="EH21" i="1"/>
  <c r="EF21" i="1"/>
  <c r="EE21" i="1"/>
  <c r="EB21" i="1"/>
  <c r="EA21" i="1"/>
  <c r="DY21" i="1"/>
  <c r="DX21" i="1"/>
  <c r="DU21" i="1"/>
  <c r="DT21" i="1"/>
  <c r="DR21" i="1"/>
  <c r="DQ21" i="1" s="1"/>
  <c r="DN21" i="1"/>
  <c r="DM21" i="1"/>
  <c r="DK21" i="1"/>
  <c r="DJ21" i="1"/>
  <c r="DD21" i="1"/>
  <c r="DC21" i="1"/>
  <c r="CW21" i="1"/>
  <c r="CV21" i="1" s="1"/>
  <c r="CP21" i="1"/>
  <c r="CO21" i="1" s="1"/>
  <c r="CN21" i="1"/>
  <c r="CM21" i="1"/>
  <c r="IG21" i="1" s="1"/>
  <c r="IH21" i="1" s="1"/>
  <c r="CH21" i="1"/>
  <c r="CJ21" i="1" s="1"/>
  <c r="CF21" i="1"/>
  <c r="CK21" i="1" s="1"/>
  <c r="CD21" i="1"/>
  <c r="AO21" i="1"/>
  <c r="AN21" i="1"/>
  <c r="AK21" i="1"/>
  <c r="S21" i="1"/>
  <c r="I21" i="1"/>
  <c r="J21" i="1" s="1"/>
  <c r="HZ20" i="1"/>
  <c r="FO20" i="1"/>
  <c r="FN20" i="1" s="1"/>
  <c r="FH20" i="1"/>
  <c r="FG20" i="1" s="1"/>
  <c r="FA20" i="1"/>
  <c r="EZ20" i="1"/>
  <c r="ET20" i="1"/>
  <c r="ES20" i="1"/>
  <c r="EP20" i="1"/>
  <c r="EO20" i="1"/>
  <c r="EM20" i="1"/>
  <c r="EL20" i="1"/>
  <c r="EI20" i="1"/>
  <c r="EH20" i="1"/>
  <c r="EF20" i="1"/>
  <c r="EE20" i="1"/>
  <c r="EB20" i="1"/>
  <c r="EA20" i="1"/>
  <c r="DY20" i="1"/>
  <c r="DX20" i="1" s="1"/>
  <c r="DU20" i="1"/>
  <c r="DT20" i="1"/>
  <c r="DR20" i="1"/>
  <c r="DQ20" i="1" s="1"/>
  <c r="DN20" i="1"/>
  <c r="DM20" i="1"/>
  <c r="DK20" i="1"/>
  <c r="DJ20" i="1"/>
  <c r="DD20" i="1"/>
  <c r="DC20" i="1"/>
  <c r="CW20" i="1"/>
  <c r="CV20" i="1"/>
  <c r="CP20" i="1"/>
  <c r="CO20" i="1"/>
  <c r="CN20" i="1"/>
  <c r="CM20" i="1"/>
  <c r="IG20" i="1" s="1"/>
  <c r="IH20" i="1" s="1"/>
  <c r="CK20" i="1"/>
  <c r="CH20" i="1"/>
  <c r="CJ20" i="1" s="1"/>
  <c r="CF20" i="1"/>
  <c r="CD20" i="1"/>
  <c r="AN20" i="1"/>
  <c r="AO20" i="1" s="1"/>
  <c r="AP20" i="1" s="1"/>
  <c r="AK20" i="1"/>
  <c r="S20" i="1"/>
  <c r="I20" i="1"/>
  <c r="J20" i="1" s="1"/>
  <c r="HZ19" i="1"/>
  <c r="FO19" i="1"/>
  <c r="FN19" i="1"/>
  <c r="FH19" i="1"/>
  <c r="FG19" i="1" s="1"/>
  <c r="FA19" i="1"/>
  <c r="EZ19" i="1"/>
  <c r="ET19" i="1"/>
  <c r="ES19" i="1" s="1"/>
  <c r="EP19" i="1"/>
  <c r="EO19" i="1"/>
  <c r="EM19" i="1"/>
  <c r="EL19" i="1"/>
  <c r="EI19" i="1"/>
  <c r="EH19" i="1"/>
  <c r="EF19" i="1"/>
  <c r="EE19" i="1"/>
  <c r="EB19" i="1"/>
  <c r="EA19" i="1"/>
  <c r="DY19" i="1"/>
  <c r="DX19" i="1" s="1"/>
  <c r="DU19" i="1"/>
  <c r="DT19" i="1"/>
  <c r="DR19" i="1"/>
  <c r="DQ19" i="1" s="1"/>
  <c r="DN19" i="1"/>
  <c r="DM19" i="1"/>
  <c r="DK19" i="1"/>
  <c r="DJ19" i="1"/>
  <c r="DD19" i="1"/>
  <c r="DC19" i="1"/>
  <c r="CW19" i="1"/>
  <c r="CV19" i="1" s="1"/>
  <c r="HX19" i="1" s="1"/>
  <c r="CU19" i="1"/>
  <c r="DB19" i="1" s="1"/>
  <c r="DI19" i="1" s="1"/>
  <c r="DP19" i="1" s="1"/>
  <c r="DW19" i="1" s="1"/>
  <c r="ED19" i="1" s="1"/>
  <c r="EK19" i="1" s="1"/>
  <c r="ER19" i="1" s="1"/>
  <c r="EY19" i="1" s="1"/>
  <c r="FF19" i="1" s="1"/>
  <c r="FM19" i="1" s="1"/>
  <c r="CP19" i="1"/>
  <c r="CO19" i="1"/>
  <c r="CM19" i="1"/>
  <c r="IG19" i="1" s="1"/>
  <c r="IH19" i="1" s="1"/>
  <c r="CK19" i="1"/>
  <c r="CJ19" i="1"/>
  <c r="CN19" i="1" s="1"/>
  <c r="CT19" i="1" s="1"/>
  <c r="CH19" i="1"/>
  <c r="CF19" i="1"/>
  <c r="CD19" i="1"/>
  <c r="AN19" i="1"/>
  <c r="AO19" i="1" s="1"/>
  <c r="AK19" i="1"/>
  <c r="S19" i="1"/>
  <c r="I19" i="1"/>
  <c r="J19" i="1" s="1"/>
  <c r="IB18" i="1"/>
  <c r="ID18" i="1" s="1"/>
  <c r="HZ18" i="1"/>
  <c r="FO18" i="1"/>
  <c r="FN18" i="1"/>
  <c r="FH18" i="1"/>
  <c r="FG18" i="1" s="1"/>
  <c r="FA18" i="1"/>
  <c r="EZ18" i="1"/>
  <c r="ET18" i="1"/>
  <c r="ES18" i="1"/>
  <c r="EP18" i="1"/>
  <c r="EO18" i="1"/>
  <c r="EM18" i="1"/>
  <c r="EL18" i="1"/>
  <c r="EI18" i="1"/>
  <c r="EH18" i="1"/>
  <c r="EF18" i="1"/>
  <c r="EE18" i="1"/>
  <c r="EB18" i="1"/>
  <c r="EA18" i="1"/>
  <c r="DY18" i="1"/>
  <c r="DX18" i="1" s="1"/>
  <c r="DU18" i="1"/>
  <c r="DT18" i="1"/>
  <c r="DR18" i="1"/>
  <c r="DQ18" i="1" s="1"/>
  <c r="DN18" i="1"/>
  <c r="DM18" i="1"/>
  <c r="DK18" i="1"/>
  <c r="DJ18" i="1"/>
  <c r="DD18" i="1"/>
  <c r="DC18" i="1" s="1"/>
  <c r="CW18" i="1"/>
  <c r="CV18" i="1"/>
  <c r="CT18" i="1"/>
  <c r="CP18" i="1"/>
  <c r="CO18" i="1"/>
  <c r="CM18" i="1"/>
  <c r="IG18" i="1" s="1"/>
  <c r="IH18" i="1" s="1"/>
  <c r="CK18" i="1"/>
  <c r="CJ18" i="1"/>
  <c r="CN18" i="1" s="1"/>
  <c r="CU18" i="1" s="1"/>
  <c r="CH18" i="1"/>
  <c r="CF18" i="1"/>
  <c r="CD18" i="1"/>
  <c r="AN18" i="1"/>
  <c r="AO18" i="1" s="1"/>
  <c r="AK18" i="1"/>
  <c r="S18" i="1"/>
  <c r="I18" i="1"/>
  <c r="J18" i="1" s="1"/>
  <c r="HZ17" i="1"/>
  <c r="FO17" i="1"/>
  <c r="FN17" i="1" s="1"/>
  <c r="FH17" i="1"/>
  <c r="FG17" i="1"/>
  <c r="FA17" i="1"/>
  <c r="EZ17" i="1"/>
  <c r="ET17" i="1"/>
  <c r="ES17" i="1"/>
  <c r="EP17" i="1"/>
  <c r="EO17" i="1"/>
  <c r="EM17" i="1"/>
  <c r="EL17" i="1"/>
  <c r="EI17" i="1"/>
  <c r="EH17" i="1"/>
  <c r="EF17" i="1"/>
  <c r="EE17" i="1" s="1"/>
  <c r="EB17" i="1"/>
  <c r="EA17" i="1"/>
  <c r="DY17" i="1"/>
  <c r="DX17" i="1"/>
  <c r="DU17" i="1"/>
  <c r="DT17" i="1"/>
  <c r="DR17" i="1"/>
  <c r="DQ17" i="1"/>
  <c r="DN17" i="1"/>
  <c r="DM17" i="1"/>
  <c r="DK17" i="1"/>
  <c r="DJ17" i="1"/>
  <c r="DD17" i="1"/>
  <c r="DC17" i="1"/>
  <c r="CW17" i="1"/>
  <c r="CV17" i="1" s="1"/>
  <c r="CP17" i="1"/>
  <c r="CM17" i="1"/>
  <c r="CK17" i="1"/>
  <c r="CH17" i="1"/>
  <c r="CJ17" i="1" s="1"/>
  <c r="CN17" i="1" s="1"/>
  <c r="CF17" i="1"/>
  <c r="CD17" i="1"/>
  <c r="AN17" i="1"/>
  <c r="AO17" i="1" s="1"/>
  <c r="AK17" i="1"/>
  <c r="S17" i="1"/>
  <c r="J17" i="1"/>
  <c r="I17" i="1"/>
  <c r="HZ16" i="1"/>
  <c r="FO16" i="1"/>
  <c r="FN16" i="1"/>
  <c r="FH16" i="1"/>
  <c r="FG16" i="1" s="1"/>
  <c r="FA16" i="1"/>
  <c r="EZ16" i="1" s="1"/>
  <c r="ET16" i="1"/>
  <c r="ES16" i="1" s="1"/>
  <c r="EP16" i="1"/>
  <c r="EO16" i="1"/>
  <c r="EM16" i="1"/>
  <c r="EL16" i="1" s="1"/>
  <c r="EI16" i="1"/>
  <c r="EH16" i="1"/>
  <c r="EF16" i="1"/>
  <c r="EE16" i="1"/>
  <c r="EB16" i="1"/>
  <c r="EA16" i="1"/>
  <c r="DY16" i="1"/>
  <c r="DX16" i="1"/>
  <c r="DU16" i="1"/>
  <c r="DT16" i="1"/>
  <c r="DR16" i="1"/>
  <c r="DQ16" i="1"/>
  <c r="DN16" i="1"/>
  <c r="DM16" i="1"/>
  <c r="DK16" i="1"/>
  <c r="DJ16" i="1" s="1"/>
  <c r="DD16" i="1"/>
  <c r="DC16" i="1"/>
  <c r="CW16" i="1"/>
  <c r="CV16" i="1"/>
  <c r="CU16" i="1"/>
  <c r="CP16" i="1"/>
  <c r="CO16" i="1" s="1"/>
  <c r="CM16" i="1"/>
  <c r="CH16" i="1"/>
  <c r="CJ16" i="1" s="1"/>
  <c r="CN16" i="1" s="1"/>
  <c r="CT16" i="1" s="1"/>
  <c r="CF16" i="1"/>
  <c r="CK16" i="1" s="1"/>
  <c r="CD16" i="1"/>
  <c r="AN16" i="1"/>
  <c r="AO16" i="1" s="1"/>
  <c r="AK16" i="1"/>
  <c r="S16" i="1"/>
  <c r="I16" i="1"/>
  <c r="J16" i="1" s="1"/>
  <c r="IB15" i="1"/>
  <c r="HZ15" i="1"/>
  <c r="FO15" i="1"/>
  <c r="FN15" i="1" s="1"/>
  <c r="FH15" i="1"/>
  <c r="FG15" i="1"/>
  <c r="FA15" i="1"/>
  <c r="EZ15" i="1" s="1"/>
  <c r="ET15" i="1"/>
  <c r="ES15" i="1"/>
  <c r="EP15" i="1"/>
  <c r="EO15" i="1"/>
  <c r="EM15" i="1"/>
  <c r="EL15" i="1" s="1"/>
  <c r="EI15" i="1"/>
  <c r="EH15" i="1"/>
  <c r="EF15" i="1"/>
  <c r="EE15" i="1"/>
  <c r="EB15" i="1"/>
  <c r="EA15" i="1"/>
  <c r="DY15" i="1"/>
  <c r="DX15" i="1"/>
  <c r="DU15" i="1"/>
  <c r="DT15" i="1"/>
  <c r="DR15" i="1"/>
  <c r="DQ15" i="1"/>
  <c r="DN15" i="1"/>
  <c r="DM15" i="1"/>
  <c r="DK15" i="1"/>
  <c r="DJ15" i="1" s="1"/>
  <c r="DD15" i="1"/>
  <c r="DC15" i="1" s="1"/>
  <c r="CW15" i="1"/>
  <c r="CV15" i="1"/>
  <c r="CP15" i="1"/>
  <c r="HY15" i="1" s="1"/>
  <c r="CO15" i="1"/>
  <c r="HX15" i="1" s="1"/>
  <c r="CM15" i="1"/>
  <c r="CH15" i="1"/>
  <c r="CJ15" i="1" s="1"/>
  <c r="CF15" i="1"/>
  <c r="CK15" i="1" s="1"/>
  <c r="CD15" i="1"/>
  <c r="AN15" i="1"/>
  <c r="AO15" i="1" s="1"/>
  <c r="AK15" i="1"/>
  <c r="S15" i="1"/>
  <c r="I15" i="1"/>
  <c r="J15" i="1" s="1"/>
  <c r="IB14" i="1"/>
  <c r="HZ14" i="1"/>
  <c r="IF14" i="1" s="1"/>
  <c r="FO14" i="1"/>
  <c r="FN14" i="1" s="1"/>
  <c r="FH14" i="1"/>
  <c r="FG14" i="1"/>
  <c r="FA14" i="1"/>
  <c r="EZ14" i="1"/>
  <c r="ET14" i="1"/>
  <c r="ES14" i="1" s="1"/>
  <c r="EP14" i="1"/>
  <c r="EO14" i="1"/>
  <c r="EM14" i="1"/>
  <c r="EL14" i="1"/>
  <c r="EI14" i="1"/>
  <c r="EH14" i="1"/>
  <c r="EF14" i="1"/>
  <c r="EE14" i="1"/>
  <c r="EB14" i="1"/>
  <c r="EA14" i="1"/>
  <c r="DY14" i="1"/>
  <c r="DX14" i="1"/>
  <c r="DU14" i="1"/>
  <c r="DT14" i="1"/>
  <c r="DR14" i="1"/>
  <c r="DQ14" i="1" s="1"/>
  <c r="DN14" i="1"/>
  <c r="DM14" i="1"/>
  <c r="DK14" i="1"/>
  <c r="DJ14" i="1"/>
  <c r="DF14" i="1"/>
  <c r="DD14" i="1"/>
  <c r="DC14" i="1"/>
  <c r="CW14" i="1"/>
  <c r="CV14" i="1" s="1"/>
  <c r="CP14" i="1"/>
  <c r="HY14" i="1" s="1"/>
  <c r="CN14" i="1"/>
  <c r="CU14" i="1" s="1"/>
  <c r="DB14" i="1" s="1"/>
  <c r="CM14" i="1"/>
  <c r="CH14" i="1"/>
  <c r="CJ14" i="1" s="1"/>
  <c r="CG14" i="1"/>
  <c r="CF14" i="1"/>
  <c r="CK14" i="1" s="1"/>
  <c r="CD14" i="1"/>
  <c r="AP14" i="1"/>
  <c r="CY14" i="1" s="1"/>
  <c r="AO14" i="1"/>
  <c r="AN14" i="1"/>
  <c r="AK14" i="1"/>
  <c r="S14" i="1"/>
  <c r="J14" i="1"/>
  <c r="I14" i="1"/>
  <c r="HZ13" i="1"/>
  <c r="HY13" i="1"/>
  <c r="FO13" i="1"/>
  <c r="FN13" i="1"/>
  <c r="FH13" i="1"/>
  <c r="FG13" i="1"/>
  <c r="FA13" i="1"/>
  <c r="EZ13" i="1"/>
  <c r="ET13" i="1"/>
  <c r="ES13" i="1" s="1"/>
  <c r="EP13" i="1"/>
  <c r="EO13" i="1"/>
  <c r="EM13" i="1"/>
  <c r="EL13" i="1" s="1"/>
  <c r="EI13" i="1"/>
  <c r="EH13" i="1"/>
  <c r="EF13" i="1"/>
  <c r="EE13" i="1"/>
  <c r="EB13" i="1"/>
  <c r="EA13" i="1"/>
  <c r="DY13" i="1"/>
  <c r="DX13" i="1"/>
  <c r="DU13" i="1"/>
  <c r="DT13" i="1"/>
  <c r="DR13" i="1"/>
  <c r="DQ13" i="1" s="1"/>
  <c r="DN13" i="1"/>
  <c r="DM13" i="1"/>
  <c r="DK13" i="1"/>
  <c r="DJ13" i="1"/>
  <c r="DD13" i="1"/>
  <c r="DC13" i="1" s="1"/>
  <c r="DB13" i="1"/>
  <c r="CW13" i="1"/>
  <c r="CV13" i="1" s="1"/>
  <c r="CT13" i="1"/>
  <c r="CP13" i="1"/>
  <c r="CO13" i="1" s="1"/>
  <c r="HX13" i="1" s="1"/>
  <c r="IA13" i="1" s="1"/>
  <c r="CN13" i="1"/>
  <c r="CU13" i="1" s="1"/>
  <c r="DA13" i="1" s="1"/>
  <c r="CM13" i="1"/>
  <c r="CH13" i="1"/>
  <c r="CJ13" i="1" s="1"/>
  <c r="CF13" i="1"/>
  <c r="CK13" i="1" s="1"/>
  <c r="AL13" i="1"/>
  <c r="AK13" i="1"/>
  <c r="S13" i="1"/>
  <c r="I13" i="1"/>
  <c r="J13" i="1" s="1"/>
  <c r="HZ12" i="1"/>
  <c r="FO12" i="1"/>
  <c r="FN12" i="1"/>
  <c r="FH12" i="1"/>
  <c r="FG12" i="1" s="1"/>
  <c r="FA12" i="1"/>
  <c r="EZ12" i="1"/>
  <c r="ET12" i="1"/>
  <c r="ES12" i="1" s="1"/>
  <c r="EP12" i="1"/>
  <c r="EO12" i="1"/>
  <c r="EM12" i="1"/>
  <c r="EL12" i="1" s="1"/>
  <c r="EI12" i="1"/>
  <c r="EH12" i="1"/>
  <c r="EF12" i="1"/>
  <c r="EE12" i="1"/>
  <c r="EB12" i="1"/>
  <c r="EA12" i="1"/>
  <c r="DY12" i="1"/>
  <c r="DX12" i="1" s="1"/>
  <c r="HX12" i="1" s="1"/>
  <c r="DU12" i="1"/>
  <c r="DT12" i="1"/>
  <c r="DR12" i="1"/>
  <c r="DQ12" i="1" s="1"/>
  <c r="DN12" i="1"/>
  <c r="DM12" i="1"/>
  <c r="DK12" i="1"/>
  <c r="DJ12" i="1" s="1"/>
  <c r="DF12" i="1"/>
  <c r="DD12" i="1"/>
  <c r="DC12" i="1"/>
  <c r="CW12" i="1"/>
  <c r="CV12" i="1" s="1"/>
  <c r="CU12" i="1"/>
  <c r="DB12" i="1" s="1"/>
  <c r="CP12" i="1"/>
  <c r="CO12" i="1"/>
  <c r="CM12" i="1"/>
  <c r="IG12" i="1" s="1"/>
  <c r="IH12" i="1" s="1"/>
  <c r="CK12" i="1"/>
  <c r="CJ12" i="1"/>
  <c r="CN12" i="1" s="1"/>
  <c r="CT12" i="1" s="1"/>
  <c r="CF12" i="1"/>
  <c r="CD12" i="1"/>
  <c r="AP12" i="1"/>
  <c r="AN12" i="1"/>
  <c r="AO12" i="1" s="1"/>
  <c r="CG12" i="1" s="1"/>
  <c r="AK12" i="1"/>
  <c r="S12" i="1"/>
  <c r="I12" i="1"/>
  <c r="J12" i="1" s="1"/>
  <c r="HZ11" i="1"/>
  <c r="GJ11" i="1"/>
  <c r="GI11" i="1"/>
  <c r="GC11" i="1"/>
  <c r="GB11" i="1" s="1"/>
  <c r="FV11" i="1"/>
  <c r="FU11" i="1"/>
  <c r="FO11" i="1"/>
  <c r="FN11" i="1" s="1"/>
  <c r="FH11" i="1"/>
  <c r="FG11" i="1"/>
  <c r="FA11" i="1"/>
  <c r="EZ11" i="1"/>
  <c r="ET11" i="1"/>
  <c r="ES11" i="1"/>
  <c r="EP11" i="1"/>
  <c r="EO11" i="1"/>
  <c r="EM11" i="1"/>
  <c r="EL11" i="1"/>
  <c r="EI11" i="1"/>
  <c r="EH11" i="1"/>
  <c r="EF11" i="1"/>
  <c r="EE11" i="1"/>
  <c r="EB11" i="1"/>
  <c r="EA11" i="1"/>
  <c r="DY11" i="1"/>
  <c r="DX11" i="1"/>
  <c r="DU11" i="1"/>
  <c r="DT11" i="1"/>
  <c r="DR11" i="1"/>
  <c r="DQ11" i="1"/>
  <c r="DN11" i="1"/>
  <c r="DM11" i="1"/>
  <c r="DK11" i="1"/>
  <c r="DJ11" i="1"/>
  <c r="DG11" i="1"/>
  <c r="DF11" i="1"/>
  <c r="DD11" i="1"/>
  <c r="DC11" i="1"/>
  <c r="DA11" i="1"/>
  <c r="CW11" i="1"/>
  <c r="CV11" i="1" s="1"/>
  <c r="CU11" i="1"/>
  <c r="DB11" i="1" s="1"/>
  <c r="CP11" i="1"/>
  <c r="CO11" i="1"/>
  <c r="CM11" i="1"/>
  <c r="IG11" i="1" s="1"/>
  <c r="IH11" i="1" s="1"/>
  <c r="CK11" i="1"/>
  <c r="CJ11" i="1"/>
  <c r="CN11" i="1" s="1"/>
  <c r="CT11" i="1" s="1"/>
  <c r="CH11" i="1"/>
  <c r="CF11" i="1"/>
  <c r="CD11" i="1"/>
  <c r="AO11" i="1"/>
  <c r="AN11" i="1"/>
  <c r="AK11" i="1"/>
  <c r="S11" i="1"/>
  <c r="I11" i="1"/>
  <c r="J11" i="1" s="1"/>
  <c r="HZ10" i="1"/>
  <c r="HS10" i="1"/>
  <c r="HR10" i="1" s="1"/>
  <c r="HL10" i="1"/>
  <c r="HK10" i="1"/>
  <c r="HE10" i="1"/>
  <c r="HD10" i="1"/>
  <c r="GX10" i="1"/>
  <c r="GW10" i="1"/>
  <c r="GQ10" i="1"/>
  <c r="GP10" i="1" s="1"/>
  <c r="GJ10" i="1"/>
  <c r="GI10" i="1"/>
  <c r="GC10" i="1"/>
  <c r="GB10" i="1" s="1"/>
  <c r="FV10" i="1"/>
  <c r="FU10" i="1"/>
  <c r="FO10" i="1"/>
  <c r="FN10" i="1" s="1"/>
  <c r="FH10" i="1"/>
  <c r="FG10" i="1"/>
  <c r="FA10" i="1"/>
  <c r="EZ10" i="1"/>
  <c r="ET10" i="1"/>
  <c r="ES10" i="1"/>
  <c r="EP10" i="1"/>
  <c r="EO10" i="1"/>
  <c r="EM10" i="1"/>
  <c r="EL10" i="1"/>
  <c r="EI10" i="1"/>
  <c r="EH10" i="1"/>
  <c r="EF10" i="1"/>
  <c r="EE10" i="1"/>
  <c r="EB10" i="1"/>
  <c r="EA10" i="1"/>
  <c r="DY10" i="1"/>
  <c r="DX10" i="1"/>
  <c r="DU10" i="1"/>
  <c r="DT10" i="1"/>
  <c r="DQ10" i="1"/>
  <c r="DN10" i="1"/>
  <c r="DM10" i="1"/>
  <c r="DK10" i="1"/>
  <c r="DJ10" i="1"/>
  <c r="DI10" i="1"/>
  <c r="DP10" i="1" s="1"/>
  <c r="DW10" i="1" s="1"/>
  <c r="ED10" i="1" s="1"/>
  <c r="DG10" i="1"/>
  <c r="DF10" i="1"/>
  <c r="DD10" i="1"/>
  <c r="DC10" i="1" s="1"/>
  <c r="CZ10" i="1"/>
  <c r="CY10" i="1"/>
  <c r="CW10" i="1"/>
  <c r="CV10" i="1" s="1"/>
  <c r="CU10" i="1"/>
  <c r="DB10" i="1" s="1"/>
  <c r="CS10" i="1"/>
  <c r="CT10" i="1" s="1"/>
  <c r="CR10" i="1"/>
  <c r="CP10" i="1"/>
  <c r="CM10" i="1"/>
  <c r="CK10" i="1"/>
  <c r="CH10" i="1"/>
  <c r="CJ10" i="1" s="1"/>
  <c r="CN10" i="1" s="1"/>
  <c r="CF10" i="1"/>
  <c r="CD10" i="1"/>
  <c r="BL10" i="1"/>
  <c r="AO10" i="1"/>
  <c r="AK10" i="1"/>
  <c r="S10" i="1"/>
  <c r="I10" i="1"/>
  <c r="J10" i="1" s="1"/>
  <c r="IB9" i="1"/>
  <c r="ID9" i="1" s="1"/>
  <c r="HZ9" i="1"/>
  <c r="GJ9" i="1"/>
  <c r="GI9" i="1"/>
  <c r="GC9" i="1"/>
  <c r="GB9" i="1" s="1"/>
  <c r="FV9" i="1"/>
  <c r="FU9" i="1"/>
  <c r="FO9" i="1"/>
  <c r="FN9" i="1" s="1"/>
  <c r="FH9" i="1"/>
  <c r="FG9" i="1"/>
  <c r="FA9" i="1"/>
  <c r="EZ9" i="1" s="1"/>
  <c r="ET9" i="1"/>
  <c r="ES9" i="1"/>
  <c r="EM9" i="1"/>
  <c r="EL9" i="1" s="1"/>
  <c r="EF9" i="1"/>
  <c r="EE9" i="1"/>
  <c r="DY9" i="1"/>
  <c r="DX9" i="1" s="1"/>
  <c r="DR9" i="1"/>
  <c r="DQ9" i="1"/>
  <c r="DK9" i="1"/>
  <c r="DJ9" i="1" s="1"/>
  <c r="DD9" i="1"/>
  <c r="DC9" i="1"/>
  <c r="CW9" i="1"/>
  <c r="CV9" i="1"/>
  <c r="CP9" i="1"/>
  <c r="CO9" i="1"/>
  <c r="HX9" i="1" s="1"/>
  <c r="CM9" i="1"/>
  <c r="CJ9" i="1"/>
  <c r="CH9" i="1"/>
  <c r="CF9" i="1"/>
  <c r="CK9" i="1" s="1"/>
  <c r="CD9" i="1"/>
  <c r="AN9" i="1"/>
  <c r="AO9" i="1" s="1"/>
  <c r="AK9" i="1"/>
  <c r="S9" i="1"/>
  <c r="J9" i="1"/>
  <c r="I9" i="1"/>
  <c r="HZ8" i="1"/>
  <c r="HS8" i="1"/>
  <c r="HR8" i="1" s="1"/>
  <c r="HL8" i="1"/>
  <c r="HK8" i="1"/>
  <c r="HE8" i="1"/>
  <c r="HD8" i="1" s="1"/>
  <c r="GX8" i="1"/>
  <c r="GW8" i="1" s="1"/>
  <c r="GQ8" i="1"/>
  <c r="GP8" i="1"/>
  <c r="GJ8" i="1"/>
  <c r="GI8" i="1" s="1"/>
  <c r="GC8" i="1"/>
  <c r="GB8" i="1"/>
  <c r="FV8" i="1"/>
  <c r="FU8" i="1"/>
  <c r="FO8" i="1"/>
  <c r="FN8" i="1"/>
  <c r="FH8" i="1"/>
  <c r="FG8" i="1" s="1"/>
  <c r="FA8" i="1"/>
  <c r="EZ8" i="1"/>
  <c r="ET8" i="1"/>
  <c r="ES8" i="1" s="1"/>
  <c r="EP8" i="1"/>
  <c r="EO8" i="1"/>
  <c r="EM8" i="1"/>
  <c r="EL8" i="1" s="1"/>
  <c r="EI8" i="1"/>
  <c r="EH8" i="1"/>
  <c r="EF8" i="1"/>
  <c r="EE8" i="1"/>
  <c r="EB8" i="1"/>
  <c r="EA8" i="1"/>
  <c r="DY8" i="1"/>
  <c r="DX8" i="1" s="1"/>
  <c r="DR8" i="1"/>
  <c r="DQ8" i="1"/>
  <c r="DK8" i="1"/>
  <c r="DJ8" i="1"/>
  <c r="DD8" i="1"/>
  <c r="DC8" i="1"/>
  <c r="CW8" i="1"/>
  <c r="CP8" i="1"/>
  <c r="CO8" i="1"/>
  <c r="CM8" i="1"/>
  <c r="IG8" i="1" s="1"/>
  <c r="IH8" i="1" s="1"/>
  <c r="CK8" i="1"/>
  <c r="CJ8" i="1"/>
  <c r="CN8" i="1" s="1"/>
  <c r="CH8" i="1"/>
  <c r="CF8" i="1"/>
  <c r="CD8" i="1"/>
  <c r="AO8" i="1"/>
  <c r="CG8" i="1" s="1"/>
  <c r="AN8" i="1"/>
  <c r="AK8" i="1"/>
  <c r="S8" i="1"/>
  <c r="J8" i="1"/>
  <c r="I8" i="1"/>
  <c r="HZ7" i="1"/>
  <c r="HS7" i="1"/>
  <c r="HR7" i="1"/>
  <c r="HL7" i="1"/>
  <c r="HK7" i="1" s="1"/>
  <c r="HE7" i="1"/>
  <c r="HD7" i="1" s="1"/>
  <c r="GX7" i="1"/>
  <c r="GW7" i="1" s="1"/>
  <c r="GQ7" i="1"/>
  <c r="GP7" i="1"/>
  <c r="GJ7" i="1"/>
  <c r="GI7" i="1" s="1"/>
  <c r="GC7" i="1"/>
  <c r="GB7" i="1"/>
  <c r="FV7" i="1"/>
  <c r="FU7" i="1" s="1"/>
  <c r="FO7" i="1"/>
  <c r="FN7" i="1"/>
  <c r="FH7" i="1"/>
  <c r="FG7" i="1"/>
  <c r="FA7" i="1"/>
  <c r="EZ7" i="1"/>
  <c r="ET7" i="1"/>
  <c r="ES7" i="1" s="1"/>
  <c r="EP7" i="1"/>
  <c r="EO7" i="1"/>
  <c r="EM7" i="1"/>
  <c r="EL7" i="1" s="1"/>
  <c r="EI7" i="1"/>
  <c r="EH7" i="1"/>
  <c r="EF7" i="1"/>
  <c r="EE7" i="1" s="1"/>
  <c r="EB7" i="1"/>
  <c r="EA7" i="1"/>
  <c r="DY7" i="1"/>
  <c r="DX7" i="1"/>
  <c r="DR7" i="1"/>
  <c r="DQ7" i="1"/>
  <c r="DK7" i="1"/>
  <c r="DJ7" i="1" s="1"/>
  <c r="DD7" i="1"/>
  <c r="DC7" i="1"/>
  <c r="CW7" i="1"/>
  <c r="CV7" i="1" s="1"/>
  <c r="CU7" i="1"/>
  <c r="DB7" i="1" s="1"/>
  <c r="CP7" i="1"/>
  <c r="CO7" i="1"/>
  <c r="CM7" i="1"/>
  <c r="CK7" i="1"/>
  <c r="CJ7" i="1"/>
  <c r="CN7" i="1" s="1"/>
  <c r="CT7" i="1" s="1"/>
  <c r="CH7" i="1"/>
  <c r="CF7" i="1"/>
  <c r="CD7" i="1"/>
  <c r="AO7" i="1"/>
  <c r="CG7" i="1" s="1"/>
  <c r="AN7" i="1"/>
  <c r="AK7" i="1"/>
  <c r="S7" i="1"/>
  <c r="I7" i="1"/>
  <c r="J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HZ6" i="1"/>
  <c r="HS6" i="1"/>
  <c r="HR6" i="1" s="1"/>
  <c r="HL6" i="1"/>
  <c r="HK6" i="1" s="1"/>
  <c r="HE6" i="1"/>
  <c r="HD6" i="1" s="1"/>
  <c r="GX6" i="1"/>
  <c r="GW6" i="1"/>
  <c r="GQ6" i="1"/>
  <c r="GP6" i="1"/>
  <c r="GJ6" i="1"/>
  <c r="GI6" i="1" s="1"/>
  <c r="GC6" i="1"/>
  <c r="GB6" i="1"/>
  <c r="FV6" i="1"/>
  <c r="FU6" i="1" s="1"/>
  <c r="FO6" i="1"/>
  <c r="FN6" i="1"/>
  <c r="FH6" i="1"/>
  <c r="FG6" i="1" s="1"/>
  <c r="FA6" i="1"/>
  <c r="EZ6" i="1"/>
  <c r="ET6" i="1"/>
  <c r="ES6" i="1"/>
  <c r="EP6" i="1"/>
  <c r="EO6" i="1"/>
  <c r="EM6" i="1"/>
  <c r="EL6" i="1" s="1"/>
  <c r="EI6" i="1"/>
  <c r="EH6" i="1"/>
  <c r="EF6" i="1"/>
  <c r="EE6" i="1" s="1"/>
  <c r="EB6" i="1"/>
  <c r="EA6" i="1"/>
  <c r="DY6" i="1"/>
  <c r="DX6" i="1" s="1"/>
  <c r="DR6" i="1"/>
  <c r="DQ6" i="1"/>
  <c r="DK6" i="1"/>
  <c r="DJ6" i="1" s="1"/>
  <c r="DD6" i="1"/>
  <c r="DC6" i="1"/>
  <c r="CW6" i="1"/>
  <c r="CV6" i="1" s="1"/>
  <c r="CP6" i="1"/>
  <c r="CO6" i="1"/>
  <c r="CM6" i="1"/>
  <c r="IG6" i="1" s="1"/>
  <c r="IH6" i="1" s="1"/>
  <c r="CH6" i="1"/>
  <c r="CJ6" i="1" s="1"/>
  <c r="CN6" i="1" s="1"/>
  <c r="CG6" i="1"/>
  <c r="CF6" i="1"/>
  <c r="CK6" i="1" s="1"/>
  <c r="CD6" i="1"/>
  <c r="AO6" i="1"/>
  <c r="AN6" i="1"/>
  <c r="AK6" i="1"/>
  <c r="I6" i="1"/>
  <c r="J6" i="1" s="1"/>
  <c r="A6" i="1"/>
  <c r="HZ5" i="1"/>
  <c r="HS5" i="1"/>
  <c r="HR5" i="1"/>
  <c r="HL5" i="1"/>
  <c r="HK5" i="1"/>
  <c r="HE5" i="1"/>
  <c r="HD5" i="1"/>
  <c r="GX5" i="1"/>
  <c r="GW5" i="1"/>
  <c r="GQ5" i="1"/>
  <c r="GP5" i="1" s="1"/>
  <c r="GJ5" i="1"/>
  <c r="GI5" i="1"/>
  <c r="GC5" i="1"/>
  <c r="GB5" i="1" s="1"/>
  <c r="FV5" i="1"/>
  <c r="FU5" i="1"/>
  <c r="FO5" i="1"/>
  <c r="FN5" i="1"/>
  <c r="FH5" i="1"/>
  <c r="FG5" i="1"/>
  <c r="FA5" i="1"/>
  <c r="EZ5" i="1" s="1"/>
  <c r="ET5" i="1"/>
  <c r="ES5" i="1"/>
  <c r="EP5" i="1"/>
  <c r="EO5" i="1"/>
  <c r="EM5" i="1"/>
  <c r="EL5" i="1"/>
  <c r="EI5" i="1"/>
  <c r="EH5" i="1"/>
  <c r="EF5" i="1"/>
  <c r="EE5" i="1"/>
  <c r="EB5" i="1"/>
  <c r="EA5" i="1"/>
  <c r="DY5" i="1"/>
  <c r="DX5" i="1"/>
  <c r="DR5" i="1"/>
  <c r="DQ5" i="1"/>
  <c r="DK5" i="1"/>
  <c r="DJ5" i="1"/>
  <c r="DD5" i="1"/>
  <c r="DC5" i="1" s="1"/>
  <c r="CW5" i="1"/>
  <c r="CV5" i="1"/>
  <c r="CP5" i="1"/>
  <c r="CO5" i="1" s="1"/>
  <c r="HX5" i="1" s="1"/>
  <c r="CN5" i="1"/>
  <c r="CU5" i="1" s="1"/>
  <c r="CM5" i="1"/>
  <c r="CH5" i="1"/>
  <c r="CJ5" i="1" s="1"/>
  <c r="CF5" i="1"/>
  <c r="CK5" i="1" s="1"/>
  <c r="CD5" i="1"/>
  <c r="AN5" i="1"/>
  <c r="AO5" i="1" s="1"/>
  <c r="CG5" i="1" s="1"/>
  <c r="AK5" i="1"/>
  <c r="J5" i="1"/>
  <c r="I5" i="1"/>
  <c r="AN1" i="1"/>
  <c r="DA49" i="1" l="1"/>
  <c r="IG14" i="1"/>
  <c r="IH14" i="1" s="1"/>
  <c r="II14" i="1" s="1"/>
  <c r="IK14" i="1" s="1"/>
  <c r="IG68" i="1"/>
  <c r="IH68" i="1" s="1"/>
  <c r="IG5" i="1"/>
  <c r="IH5" i="1" s="1"/>
  <c r="IG13" i="1"/>
  <c r="IH13" i="1" s="1"/>
  <c r="CT25" i="1"/>
  <c r="IG44" i="1"/>
  <c r="IH44" i="1" s="1"/>
  <c r="II44" i="1" s="1"/>
  <c r="IG55" i="1"/>
  <c r="IH55" i="1" s="1"/>
  <c r="II55" i="1" s="1"/>
  <c r="IG51" i="1"/>
  <c r="IH51" i="1" s="1"/>
  <c r="IG70" i="1"/>
  <c r="IH70" i="1" s="1"/>
  <c r="II70" i="1" s="1"/>
  <c r="IC9" i="1"/>
  <c r="IA19" i="1"/>
  <c r="IC19" i="1"/>
  <c r="IC15" i="1"/>
  <c r="IA15" i="1"/>
  <c r="IC5" i="1"/>
  <c r="IC12" i="1"/>
  <c r="DF20" i="1"/>
  <c r="CR20" i="1"/>
  <c r="IF20" i="1"/>
  <c r="CY20" i="1"/>
  <c r="DH11" i="1"/>
  <c r="DI11" i="1"/>
  <c r="IC35" i="1"/>
  <c r="DA10" i="1"/>
  <c r="EC10" i="1"/>
  <c r="DI12" i="1"/>
  <c r="DP12" i="1" s="1"/>
  <c r="DW12" i="1" s="1"/>
  <c r="ED12" i="1" s="1"/>
  <c r="EK12" i="1" s="1"/>
  <c r="ER12" i="1" s="1"/>
  <c r="EY12" i="1" s="1"/>
  <c r="FF12" i="1" s="1"/>
  <c r="FM12" i="1" s="1"/>
  <c r="DH12" i="1"/>
  <c r="DO12" i="1"/>
  <c r="EJ19" i="1"/>
  <c r="HY30" i="1"/>
  <c r="DC30" i="1"/>
  <c r="CT47" i="1"/>
  <c r="CU47" i="1"/>
  <c r="DB47" i="1" s="1"/>
  <c r="IB6" i="1"/>
  <c r="ID6" i="1" s="1"/>
  <c r="AP6" i="1"/>
  <c r="AP5" i="1"/>
  <c r="IB5" i="1"/>
  <c r="HX7" i="1"/>
  <c r="CV8" i="1"/>
  <c r="HX8" i="1" s="1"/>
  <c r="HY8" i="1"/>
  <c r="IB10" i="1"/>
  <c r="ID10" i="1" s="1"/>
  <c r="AP10" i="1"/>
  <c r="IF10" i="1" s="1"/>
  <c r="CG10" i="1"/>
  <c r="DH10" i="1"/>
  <c r="DV10" i="1"/>
  <c r="HY16" i="1"/>
  <c r="AP17" i="1"/>
  <c r="IB17" i="1"/>
  <c r="ID17" i="1" s="1"/>
  <c r="CG17" i="1"/>
  <c r="CG18" i="1"/>
  <c r="AP18" i="1"/>
  <c r="CG19" i="1"/>
  <c r="IB19" i="1"/>
  <c r="ID19" i="1" s="1"/>
  <c r="AP19" i="1"/>
  <c r="EC19" i="1"/>
  <c r="HY20" i="1"/>
  <c r="CG25" i="1"/>
  <c r="IB25" i="1"/>
  <c r="ID25" i="1" s="1"/>
  <c r="AP25" i="1"/>
  <c r="IF25" i="1" s="1"/>
  <c r="DB31" i="1"/>
  <c r="DI31" i="1" s="1"/>
  <c r="DA31" i="1"/>
  <c r="CN35" i="1"/>
  <c r="IG35" i="1"/>
  <c r="IH35" i="1" s="1"/>
  <c r="DW41" i="1"/>
  <c r="ED41" i="1" s="1"/>
  <c r="EK41" i="1" s="1"/>
  <c r="ER41" i="1" s="1"/>
  <c r="EY41" i="1" s="1"/>
  <c r="FF41" i="1" s="1"/>
  <c r="FM41" i="1" s="1"/>
  <c r="DV41" i="1"/>
  <c r="HX44" i="1"/>
  <c r="DV48" i="1"/>
  <c r="DW48" i="1"/>
  <c r="ED48" i="1" s="1"/>
  <c r="EK48" i="1" s="1"/>
  <c r="ER48" i="1" s="1"/>
  <c r="EY48" i="1" s="1"/>
  <c r="FF48" i="1" s="1"/>
  <c r="FM48" i="1" s="1"/>
  <c r="HY58" i="1"/>
  <c r="CO58" i="1"/>
  <c r="HX58" i="1" s="1"/>
  <c r="EJ12" i="1"/>
  <c r="DH31" i="1"/>
  <c r="IC57" i="1"/>
  <c r="II66" i="1"/>
  <c r="DB32" i="1"/>
  <c r="DA32" i="1"/>
  <c r="IC67" i="1"/>
  <c r="IC68" i="1"/>
  <c r="IA68" i="1"/>
  <c r="CU6" i="1"/>
  <c r="CT6" i="1"/>
  <c r="HY7" i="1"/>
  <c r="AP9" i="1"/>
  <c r="CG9" i="1"/>
  <c r="CU17" i="1"/>
  <c r="CT17" i="1"/>
  <c r="DA19" i="1"/>
  <c r="HY22" i="1"/>
  <c r="CT24" i="1"/>
  <c r="CU24" i="1"/>
  <c r="CU25" i="1"/>
  <c r="DB25" i="1" s="1"/>
  <c r="DI25" i="1" s="1"/>
  <c r="CG28" i="1"/>
  <c r="AP28" i="1"/>
  <c r="IB28" i="1"/>
  <c r="HY29" i="1"/>
  <c r="DX29" i="1"/>
  <c r="CN34" i="1"/>
  <c r="IG34" i="1"/>
  <c r="IH34" i="1" s="1"/>
  <c r="CR44" i="1"/>
  <c r="IF44" i="1"/>
  <c r="AP46" i="1"/>
  <c r="CG46" i="1"/>
  <c r="IB46" i="1"/>
  <c r="ID46" i="1" s="1"/>
  <c r="CN54" i="1"/>
  <c r="IG54" i="1"/>
  <c r="IH54" i="1" s="1"/>
  <c r="IC76" i="1"/>
  <c r="IC86" i="1"/>
  <c r="EK10" i="1"/>
  <c r="EJ10" i="1"/>
  <c r="DH7" i="1"/>
  <c r="DI7" i="1"/>
  <c r="CU8" i="1"/>
  <c r="CT8" i="1"/>
  <c r="DI14" i="1"/>
  <c r="DP14" i="1" s="1"/>
  <c r="DW14" i="1" s="1"/>
  <c r="DH14" i="1"/>
  <c r="CN29" i="1"/>
  <c r="IG29" i="1"/>
  <c r="IH29" i="1" s="1"/>
  <c r="IB42" i="1"/>
  <c r="AP42" i="1"/>
  <c r="IF42" i="1" s="1"/>
  <c r="CG42" i="1"/>
  <c r="DA7" i="1"/>
  <c r="HY12" i="1"/>
  <c r="IA12" i="1" s="1"/>
  <c r="EC12" i="1"/>
  <c r="EQ12" i="1"/>
  <c r="IC13" i="1"/>
  <c r="AN13" i="1"/>
  <c r="AO13" i="1" s="1"/>
  <c r="CD13" i="1"/>
  <c r="DH13" i="1"/>
  <c r="DI13" i="1"/>
  <c r="CT14" i="1"/>
  <c r="AP15" i="1"/>
  <c r="IF15" i="1" s="1"/>
  <c r="CG15" i="1"/>
  <c r="DB18" i="1"/>
  <c r="DA18" i="1"/>
  <c r="CU21" i="1"/>
  <c r="CT21" i="1"/>
  <c r="DO23" i="1"/>
  <c r="CU26" i="1"/>
  <c r="DB26" i="1" s="1"/>
  <c r="DI26" i="1" s="1"/>
  <c r="DP26" i="1" s="1"/>
  <c r="CT26" i="1"/>
  <c r="IG33" i="1"/>
  <c r="IH33" i="1" s="1"/>
  <c r="IC36" i="1"/>
  <c r="IA36" i="1"/>
  <c r="CG41" i="1"/>
  <c r="AP41" i="1"/>
  <c r="CR41" i="1" s="1"/>
  <c r="DA43" i="1"/>
  <c r="DV12" i="1"/>
  <c r="DA16" i="1"/>
  <c r="DB16" i="1"/>
  <c r="ID16" i="1"/>
  <c r="IC22" i="1"/>
  <c r="IA22" i="1"/>
  <c r="CU40" i="1"/>
  <c r="CT40" i="1"/>
  <c r="HY9" i="1"/>
  <c r="IA9" i="1" s="1"/>
  <c r="AP16" i="1"/>
  <c r="IB16" i="1"/>
  <c r="DA5" i="1"/>
  <c r="DB5" i="1"/>
  <c r="HX6" i="1"/>
  <c r="AP8" i="1"/>
  <c r="IB8" i="1"/>
  <c r="ID8" i="1" s="1"/>
  <c r="DO10" i="1"/>
  <c r="CR12" i="1"/>
  <c r="CY12" i="1"/>
  <c r="CG16" i="1"/>
  <c r="HX21" i="1"/>
  <c r="DV23" i="1"/>
  <c r="DW23" i="1"/>
  <c r="CN36" i="1"/>
  <c r="IG36" i="1"/>
  <c r="IH36" i="1" s="1"/>
  <c r="HY6" i="1"/>
  <c r="IG7" i="1"/>
  <c r="IH7" i="1" s="1"/>
  <c r="IG10" i="1"/>
  <c r="IH10" i="1" s="1"/>
  <c r="II10" i="1" s="1"/>
  <c r="HX11" i="1"/>
  <c r="IB12" i="1"/>
  <c r="ID12" i="1" s="1"/>
  <c r="DA14" i="1"/>
  <c r="DH19" i="1"/>
  <c r="CN28" i="1"/>
  <c r="IG28" i="1"/>
  <c r="IH28" i="1" s="1"/>
  <c r="DH33" i="1"/>
  <c r="ID34" i="1"/>
  <c r="CG38" i="1"/>
  <c r="IB38" i="1"/>
  <c r="ID38" i="1" s="1"/>
  <c r="AP38" i="1"/>
  <c r="FU41" i="1"/>
  <c r="HX41" i="1" s="1"/>
  <c r="HY41" i="1"/>
  <c r="IF47" i="1"/>
  <c r="ID47" i="1"/>
  <c r="CU43" i="1"/>
  <c r="DB43" i="1" s="1"/>
  <c r="DI43" i="1" s="1"/>
  <c r="DP43" i="1" s="1"/>
  <c r="CT43" i="1"/>
  <c r="IG43" i="1"/>
  <c r="IH43" i="1" s="1"/>
  <c r="CT5" i="1"/>
  <c r="CN9" i="1"/>
  <c r="IG9" i="1"/>
  <c r="IH9" i="1" s="1"/>
  <c r="HY10" i="1"/>
  <c r="CO10" i="1"/>
  <c r="HX10" i="1" s="1"/>
  <c r="IB11" i="1"/>
  <c r="ID11" i="1" s="1"/>
  <c r="HY11" i="1"/>
  <c r="DA12" i="1"/>
  <c r="IF12" i="1"/>
  <c r="II12" i="1" s="1"/>
  <c r="CN15" i="1"/>
  <c r="IG15" i="1"/>
  <c r="IH15" i="1" s="1"/>
  <c r="IG16" i="1"/>
  <c r="IH16" i="1" s="1"/>
  <c r="IB20" i="1"/>
  <c r="ID20" i="1" s="1"/>
  <c r="CG20" i="1"/>
  <c r="HX20" i="1"/>
  <c r="CG24" i="1"/>
  <c r="AP24" i="1"/>
  <c r="IB24" i="1"/>
  <c r="ID24" i="1" s="1"/>
  <c r="CG26" i="1"/>
  <c r="IB26" i="1"/>
  <c r="ID26" i="1" s="1"/>
  <c r="HX26" i="1"/>
  <c r="CU33" i="1"/>
  <c r="DB33" i="1" s="1"/>
  <c r="DI33" i="1" s="1"/>
  <c r="CU53" i="1"/>
  <c r="CT53" i="1"/>
  <c r="HX28" i="1"/>
  <c r="CU20" i="1"/>
  <c r="CT20" i="1"/>
  <c r="IB21" i="1"/>
  <c r="ID21" i="1" s="1"/>
  <c r="CG21" i="1"/>
  <c r="HY28" i="1"/>
  <c r="CG33" i="1"/>
  <c r="AP33" i="1"/>
  <c r="CR33" i="1" s="1"/>
  <c r="IB37" i="1"/>
  <c r="ID37" i="1" s="1"/>
  <c r="CN44" i="1"/>
  <c r="IG46" i="1"/>
  <c r="IH46" i="1" s="1"/>
  <c r="IG62" i="1"/>
  <c r="IH62" i="1" s="1"/>
  <c r="AP7" i="1"/>
  <c r="IB7" i="1"/>
  <c r="AP11" i="1"/>
  <c r="CR14" i="1"/>
  <c r="HY17" i="1"/>
  <c r="AP21" i="1"/>
  <c r="CR22" i="1"/>
  <c r="CU27" i="1"/>
  <c r="IF28" i="1"/>
  <c r="ID28" i="1"/>
  <c r="IG30" i="1"/>
  <c r="IH30" i="1" s="1"/>
  <c r="AP31" i="1"/>
  <c r="HX31" i="1"/>
  <c r="HY34" i="1"/>
  <c r="HX39" i="1"/>
  <c r="IF41" i="1"/>
  <c r="II41" i="1" s="1"/>
  <c r="ID41" i="1"/>
  <c r="AP45" i="1"/>
  <c r="IB45" i="1"/>
  <c r="ID45" i="1" s="1"/>
  <c r="HX46" i="1"/>
  <c r="DA48" i="1"/>
  <c r="DO48" i="1"/>
  <c r="IG49" i="1"/>
  <c r="IH49" i="1" s="1"/>
  <c r="IF55" i="1"/>
  <c r="IB57" i="1"/>
  <c r="ID57" i="1" s="1"/>
  <c r="AP57" i="1"/>
  <c r="CG57" i="1"/>
  <c r="CU58" i="1"/>
  <c r="CT58" i="1"/>
  <c r="CG60" i="1"/>
  <c r="AP60" i="1"/>
  <c r="AP61" i="1"/>
  <c r="IB61" i="1"/>
  <c r="ID61" i="1" s="1"/>
  <c r="CG61" i="1"/>
  <c r="HY64" i="1"/>
  <c r="CN69" i="1"/>
  <c r="IG69" i="1"/>
  <c r="IH69" i="1" s="1"/>
  <c r="DO70" i="1"/>
  <c r="EC70" i="1"/>
  <c r="IB72" i="1"/>
  <c r="ID72" i="1" s="1"/>
  <c r="AP72" i="1"/>
  <c r="CG72" i="1"/>
  <c r="CT104" i="1"/>
  <c r="CU104" i="1"/>
  <c r="DB104" i="1" s="1"/>
  <c r="GB138" i="1"/>
  <c r="HY138" i="1"/>
  <c r="IF17" i="1"/>
  <c r="DO19" i="1"/>
  <c r="CY22" i="1"/>
  <c r="ID22" i="1"/>
  <c r="IB22" i="1"/>
  <c r="HX23" i="1"/>
  <c r="IG24" i="1"/>
  <c r="IH24" i="1" s="1"/>
  <c r="IG25" i="1"/>
  <c r="IH25" i="1" s="1"/>
  <c r="II25" i="1" s="1"/>
  <c r="HY26" i="1"/>
  <c r="AP30" i="1"/>
  <c r="HX30" i="1"/>
  <c r="CT31" i="1"/>
  <c r="HY31" i="1"/>
  <c r="ID32" i="1"/>
  <c r="HY33" i="1"/>
  <c r="HY35" i="1"/>
  <c r="IA35" i="1" s="1"/>
  <c r="CG37" i="1"/>
  <c r="CU39" i="1"/>
  <c r="DB39" i="1" s="1"/>
  <c r="CT41" i="1"/>
  <c r="DH41" i="1"/>
  <c r="IA47" i="1"/>
  <c r="HX48" i="1"/>
  <c r="EC48" i="1"/>
  <c r="IF50" i="1"/>
  <c r="CR52" i="1"/>
  <c r="IF52" i="1"/>
  <c r="II52" i="1" s="1"/>
  <c r="HX52" i="1"/>
  <c r="CR58" i="1"/>
  <c r="IF58" i="1"/>
  <c r="II58" i="1" s="1"/>
  <c r="CY58" i="1"/>
  <c r="CU62" i="1"/>
  <c r="CT64" i="1"/>
  <c r="CU64" i="1"/>
  <c r="HX69" i="1"/>
  <c r="HY75" i="1"/>
  <c r="AP77" i="1"/>
  <c r="IB77" i="1"/>
  <c r="ID77" i="1" s="1"/>
  <c r="CG77" i="1"/>
  <c r="ED80" i="1"/>
  <c r="EK80" i="1" s="1"/>
  <c r="ER80" i="1" s="1"/>
  <c r="EY80" i="1" s="1"/>
  <c r="FF80" i="1" s="1"/>
  <c r="FM80" i="1" s="1"/>
  <c r="EC80" i="1"/>
  <c r="DC84" i="1"/>
  <c r="HY84" i="1"/>
  <c r="IB97" i="1"/>
  <c r="CG97" i="1"/>
  <c r="AP97" i="1"/>
  <c r="DB60" i="1"/>
  <c r="DA60" i="1"/>
  <c r="CG81" i="1"/>
  <c r="AP81" i="1"/>
  <c r="IB81" i="1"/>
  <c r="HY5" i="1"/>
  <c r="CG11" i="1"/>
  <c r="HX18" i="1"/>
  <c r="HY23" i="1"/>
  <c r="AP29" i="1"/>
  <c r="IF29" i="1" s="1"/>
  <c r="HX29" i="1"/>
  <c r="IF31" i="1"/>
  <c r="ID31" i="1"/>
  <c r="IF33" i="1"/>
  <c r="ID33" i="1"/>
  <c r="CN37" i="1"/>
  <c r="CU37" i="1" s="1"/>
  <c r="IG37" i="1"/>
  <c r="IH37" i="1" s="1"/>
  <c r="II37" i="1" s="1"/>
  <c r="CU38" i="1"/>
  <c r="DB38" i="1" s="1"/>
  <c r="CT38" i="1"/>
  <c r="HY42" i="1"/>
  <c r="DC42" i="1"/>
  <c r="HX42" i="1" s="1"/>
  <c r="HX43" i="1"/>
  <c r="DO43" i="1"/>
  <c r="IG47" i="1"/>
  <c r="IH47" i="1" s="1"/>
  <c r="II47" i="1" s="1"/>
  <c r="DA47" i="1"/>
  <c r="CG48" i="1"/>
  <c r="AP48" i="1"/>
  <c r="HY48" i="1"/>
  <c r="DB49" i="1"/>
  <c r="CN50" i="1"/>
  <c r="IG50" i="1"/>
  <c r="IH50" i="1" s="1"/>
  <c r="II50" i="1" s="1"/>
  <c r="HY52" i="1"/>
  <c r="HX53" i="1"/>
  <c r="HY55" i="1"/>
  <c r="CO55" i="1"/>
  <c r="HX55" i="1" s="1"/>
  <c r="CU57" i="1"/>
  <c r="CT57" i="1"/>
  <c r="HY59" i="1"/>
  <c r="CO59" i="1"/>
  <c r="HX59" i="1" s="1"/>
  <c r="HY60" i="1"/>
  <c r="CT61" i="1"/>
  <c r="CU61" i="1"/>
  <c r="HY66" i="1"/>
  <c r="EJ70" i="1"/>
  <c r="HX71" i="1"/>
  <c r="CY75" i="1"/>
  <c r="CR75" i="1"/>
  <c r="CG80" i="1"/>
  <c r="AP80" i="1"/>
  <c r="IB80" i="1"/>
  <c r="IL79" i="1"/>
  <c r="IJ79" i="1"/>
  <c r="IK79" i="1"/>
  <c r="IA82" i="1"/>
  <c r="IC82" i="1"/>
  <c r="CO102" i="1"/>
  <c r="HX102" i="1" s="1"/>
  <c r="HY102" i="1"/>
  <c r="ID7" i="1"/>
  <c r="HZ513" i="1"/>
  <c r="HY18" i="1"/>
  <c r="HY19" i="1"/>
  <c r="IF22" i="1"/>
  <c r="II22" i="1" s="1"/>
  <c r="CY23" i="1"/>
  <c r="IF23" i="1"/>
  <c r="II23" i="1" s="1"/>
  <c r="CR23" i="1"/>
  <c r="HX24" i="1"/>
  <c r="HX25" i="1"/>
  <c r="IG27" i="1"/>
  <c r="IH27" i="1" s="1"/>
  <c r="IB27" i="1"/>
  <c r="ID27" i="1" s="1"/>
  <c r="AP35" i="1"/>
  <c r="IB35" i="1"/>
  <c r="ID35" i="1" s="1"/>
  <c r="HY36" i="1"/>
  <c r="HX38" i="1"/>
  <c r="IF39" i="1"/>
  <c r="II39" i="1" s="1"/>
  <c r="IG40" i="1"/>
  <c r="IH40" i="1" s="1"/>
  <c r="CG44" i="1"/>
  <c r="IG45" i="1"/>
  <c r="IH45" i="1" s="1"/>
  <c r="IB47" i="1"/>
  <c r="CG47" i="1"/>
  <c r="DH48" i="1"/>
  <c r="HY53" i="1"/>
  <c r="CU56" i="1"/>
  <c r="CT56" i="1"/>
  <c r="CR59" i="1"/>
  <c r="CY59" i="1"/>
  <c r="CN63" i="1"/>
  <c r="IG63" i="1"/>
  <c r="IH63" i="1" s="1"/>
  <c r="IG64" i="1"/>
  <c r="IH64" i="1" s="1"/>
  <c r="II64" i="1" s="1"/>
  <c r="CG67" i="1"/>
  <c r="IB67" i="1"/>
  <c r="ID67" i="1" s="1"/>
  <c r="AP67" i="1"/>
  <c r="HY67" i="1"/>
  <c r="IA67" i="1" s="1"/>
  <c r="CN68" i="1"/>
  <c r="DH70" i="1"/>
  <c r="CG71" i="1"/>
  <c r="IB71" i="1"/>
  <c r="ID71" i="1" s="1"/>
  <c r="AP71" i="1"/>
  <c r="IF73" i="1"/>
  <c r="IB74" i="1"/>
  <c r="ID74" i="1" s="1"/>
  <c r="CG74" i="1"/>
  <c r="AP74" i="1"/>
  <c r="IF95" i="1"/>
  <c r="II95" i="1" s="1"/>
  <c r="ID95" i="1"/>
  <c r="CU22" i="1"/>
  <c r="CT22" i="1"/>
  <c r="DH23" i="1"/>
  <c r="DB30" i="1"/>
  <c r="DA30" i="1"/>
  <c r="IG32" i="1"/>
  <c r="IH32" i="1" s="1"/>
  <c r="DA33" i="1"/>
  <c r="HX40" i="1"/>
  <c r="IG42" i="1"/>
  <c r="IH42" i="1" s="1"/>
  <c r="II42" i="1" s="1"/>
  <c r="CN42" i="1"/>
  <c r="CU42" i="1" s="1"/>
  <c r="CU46" i="1"/>
  <c r="DB46" i="1" s="1"/>
  <c r="DI46" i="1" s="1"/>
  <c r="CT46" i="1"/>
  <c r="CT65" i="1"/>
  <c r="CU65" i="1"/>
  <c r="DB65" i="1" s="1"/>
  <c r="CG66" i="1"/>
  <c r="AP66" i="1"/>
  <c r="IB66" i="1"/>
  <c r="II73" i="1"/>
  <c r="AP36" i="1"/>
  <c r="CR36" i="1" s="1"/>
  <c r="IB36" i="1"/>
  <c r="ID36" i="1"/>
  <c r="HX37" i="1"/>
  <c r="CU45" i="1"/>
  <c r="CT45" i="1"/>
  <c r="DA46" i="1"/>
  <c r="IC50" i="1"/>
  <c r="CU51" i="1"/>
  <c r="DB51" i="1" s="1"/>
  <c r="CT51" i="1"/>
  <c r="HX56" i="1"/>
  <c r="IB69" i="1"/>
  <c r="ID69" i="1" s="1"/>
  <c r="CG69" i="1"/>
  <c r="AP69" i="1"/>
  <c r="DP76" i="1"/>
  <c r="DO76" i="1"/>
  <c r="IG85" i="1"/>
  <c r="IH85" i="1" s="1"/>
  <c r="CN85" i="1"/>
  <c r="DW99" i="1"/>
  <c r="DV99" i="1"/>
  <c r="CO14" i="1"/>
  <c r="HX14" i="1" s="1"/>
  <c r="HX16" i="1"/>
  <c r="IF16" i="1"/>
  <c r="IG17" i="1"/>
  <c r="IH17" i="1" s="1"/>
  <c r="EQ19" i="1"/>
  <c r="II20" i="1"/>
  <c r="AP27" i="1"/>
  <c r="IF27" i="1" s="1"/>
  <c r="HX27" i="1"/>
  <c r="IG31" i="1"/>
  <c r="IH31" i="1" s="1"/>
  <c r="II31" i="1" s="1"/>
  <c r="AP32" i="1"/>
  <c r="HY32" i="1"/>
  <c r="HX33" i="1"/>
  <c r="AP34" i="1"/>
  <c r="IF34" i="1" s="1"/>
  <c r="HX34" i="1"/>
  <c r="HY37" i="1"/>
  <c r="DA39" i="1"/>
  <c r="IB40" i="1"/>
  <c r="CG40" i="1"/>
  <c r="AP40" i="1"/>
  <c r="HY40" i="1"/>
  <c r="DA41" i="1"/>
  <c r="DO41" i="1"/>
  <c r="ID42" i="1"/>
  <c r="CG43" i="1"/>
  <c r="AP43" i="1"/>
  <c r="IB43" i="1"/>
  <c r="ID43" i="1" s="1"/>
  <c r="DH43" i="1"/>
  <c r="CO45" i="1"/>
  <c r="HX45" i="1" s="1"/>
  <c r="HY45" i="1"/>
  <c r="EJ48" i="1"/>
  <c r="CT49" i="1"/>
  <c r="HY49" i="1"/>
  <c r="HY50" i="1"/>
  <c r="IA50" i="1" s="1"/>
  <c r="HX51" i="1"/>
  <c r="IB53" i="1"/>
  <c r="CG53" i="1"/>
  <c r="AP53" i="1"/>
  <c r="HY54" i="1"/>
  <c r="DJ54" i="1"/>
  <c r="HX54" i="1" s="1"/>
  <c r="IF54" i="1"/>
  <c r="CG56" i="1"/>
  <c r="AP56" i="1"/>
  <c r="HY56" i="1"/>
  <c r="HX61" i="1"/>
  <c r="HY63" i="1"/>
  <c r="CG65" i="1"/>
  <c r="IB65" i="1"/>
  <c r="AP65" i="1"/>
  <c r="CR65" i="1" s="1"/>
  <c r="HY69" i="1"/>
  <c r="CT72" i="1"/>
  <c r="CU72" i="1"/>
  <c r="CO73" i="1"/>
  <c r="HX73" i="1" s="1"/>
  <c r="HY73" i="1"/>
  <c r="IG77" i="1"/>
  <c r="IH77" i="1" s="1"/>
  <c r="CN77" i="1"/>
  <c r="CU83" i="1"/>
  <c r="CT83" i="1"/>
  <c r="IC98" i="1"/>
  <c r="IA98" i="1"/>
  <c r="IF30" i="1"/>
  <c r="ID30" i="1"/>
  <c r="ID14" i="1"/>
  <c r="ID15" i="1"/>
  <c r="DV19" i="1"/>
  <c r="IG26" i="1"/>
  <c r="IH26" i="1" s="1"/>
  <c r="II26" i="1" s="1"/>
  <c r="ID29" i="1"/>
  <c r="IB30" i="1"/>
  <c r="IB39" i="1"/>
  <c r="ID39" i="1" s="1"/>
  <c r="CG39" i="1"/>
  <c r="IF40" i="1"/>
  <c r="ID40" i="1"/>
  <c r="HX49" i="1"/>
  <c r="HY62" i="1"/>
  <c r="HY65" i="1"/>
  <c r="ID65" i="1"/>
  <c r="CU67" i="1"/>
  <c r="CT67" i="1"/>
  <c r="EQ70" i="1"/>
  <c r="CU74" i="1"/>
  <c r="CT74" i="1"/>
  <c r="IC81" i="1"/>
  <c r="EC81" i="1"/>
  <c r="ED81" i="1"/>
  <c r="EK81" i="1" s="1"/>
  <c r="ER81" i="1" s="1"/>
  <c r="EY81" i="1" s="1"/>
  <c r="FF81" i="1" s="1"/>
  <c r="FM81" i="1" s="1"/>
  <c r="ID49" i="1"/>
  <c r="AP54" i="1"/>
  <c r="CR54" i="1" s="1"/>
  <c r="AP64" i="1"/>
  <c r="IB64" i="1"/>
  <c r="ID64" i="1" s="1"/>
  <c r="HX64" i="1"/>
  <c r="CT70" i="1"/>
  <c r="DV70" i="1"/>
  <c r="HY71" i="1"/>
  <c r="ID81" i="1"/>
  <c r="IF81" i="1"/>
  <c r="DO82" i="1"/>
  <c r="DP82" i="1"/>
  <c r="CU84" i="1"/>
  <c r="DB84" i="1" s="1"/>
  <c r="DI84" i="1" s="1"/>
  <c r="DP84" i="1" s="1"/>
  <c r="CT84" i="1"/>
  <c r="IL91" i="1"/>
  <c r="IJ91" i="1"/>
  <c r="IK91" i="1"/>
  <c r="HY99" i="1"/>
  <c r="CO99" i="1"/>
  <c r="HX99" i="1" s="1"/>
  <c r="ID105" i="1"/>
  <c r="CU106" i="1"/>
  <c r="DB106" i="1" s="1"/>
  <c r="CT106" i="1"/>
  <c r="IB49" i="1"/>
  <c r="AP51" i="1"/>
  <c r="IF64" i="1"/>
  <c r="AP68" i="1"/>
  <c r="EC73" i="1"/>
  <c r="IE73" i="1" s="1"/>
  <c r="IG75" i="1"/>
  <c r="IH75" i="1" s="1"/>
  <c r="CN75" i="1"/>
  <c r="II80" i="1"/>
  <c r="ID80" i="1"/>
  <c r="IB83" i="1"/>
  <c r="ID83" i="1" s="1"/>
  <c r="CG83" i="1"/>
  <c r="AP83" i="1"/>
  <c r="IF83" i="1" s="1"/>
  <c r="IG84" i="1"/>
  <c r="IH84" i="1" s="1"/>
  <c r="CG90" i="1"/>
  <c r="IB90" i="1"/>
  <c r="ID90" i="1" s="1"/>
  <c r="AP90" i="1"/>
  <c r="CU93" i="1"/>
  <c r="DB93" i="1" s="1"/>
  <c r="CT93" i="1"/>
  <c r="HY96" i="1"/>
  <c r="CO96" i="1"/>
  <c r="HX96" i="1" s="1"/>
  <c r="ED96" i="1"/>
  <c r="EC96" i="1"/>
  <c r="IF97" i="1"/>
  <c r="HX101" i="1"/>
  <c r="CU108" i="1"/>
  <c r="DB108" i="1" s="1"/>
  <c r="CT108" i="1"/>
  <c r="CO17" i="1"/>
  <c r="HX17" i="1" s="1"/>
  <c r="CO32" i="1"/>
  <c r="HX32" i="1" s="1"/>
  <c r="AP49" i="1"/>
  <c r="CR49" i="1" s="1"/>
  <c r="CN55" i="1"/>
  <c r="ID56" i="1"/>
  <c r="CU59" i="1"/>
  <c r="CT59" i="1"/>
  <c r="HX60" i="1"/>
  <c r="IF60" i="1"/>
  <c r="II60" i="1" s="1"/>
  <c r="ID60" i="1"/>
  <c r="HY61" i="1"/>
  <c r="IB62" i="1"/>
  <c r="AP63" i="1"/>
  <c r="HX63" i="1"/>
  <c r="DB66" i="1"/>
  <c r="DA66" i="1"/>
  <c r="IF66" i="1"/>
  <c r="ID66" i="1"/>
  <c r="CG70" i="1"/>
  <c r="IB76" i="1"/>
  <c r="ID76" i="1" s="1"/>
  <c r="CG76" i="1"/>
  <c r="CO78" i="1"/>
  <c r="HX78" i="1" s="1"/>
  <c r="HY78" i="1"/>
  <c r="HX80" i="1"/>
  <c r="DO80" i="1"/>
  <c r="DH82" i="1"/>
  <c r="IB82" i="1"/>
  <c r="ID82" i="1" s="1"/>
  <c r="HX84" i="1"/>
  <c r="CT87" i="1"/>
  <c r="CU87" i="1"/>
  <c r="DB87" i="1" s="1"/>
  <c r="DA87" i="1"/>
  <c r="ED92" i="1"/>
  <c r="EC92" i="1"/>
  <c r="ID103" i="1"/>
  <c r="HX111" i="1"/>
  <c r="HY122" i="1"/>
  <c r="CU52" i="1"/>
  <c r="DB52" i="1" s="1"/>
  <c r="CT52" i="1"/>
  <c r="ID53" i="1"/>
  <c r="HY57" i="1"/>
  <c r="IA57" i="1" s="1"/>
  <c r="IF59" i="1"/>
  <c r="II59" i="1" s="1"/>
  <c r="AP62" i="1"/>
  <c r="HX62" i="1"/>
  <c r="CG64" i="1"/>
  <c r="DA65" i="1"/>
  <c r="IF72" i="1"/>
  <c r="AP76" i="1"/>
  <c r="IB78" i="1"/>
  <c r="ID78" i="1" s="1"/>
  <c r="CG78" i="1"/>
  <c r="AP78" i="1"/>
  <c r="IF80" i="1"/>
  <c r="DC87" i="1"/>
  <c r="HX87" i="1" s="1"/>
  <c r="HY87" i="1"/>
  <c r="EK91" i="1"/>
  <c r="ER91" i="1" s="1"/>
  <c r="EY91" i="1" s="1"/>
  <c r="FF91" i="1" s="1"/>
  <c r="FM91" i="1" s="1"/>
  <c r="EJ91" i="1"/>
  <c r="EJ95" i="1"/>
  <c r="CU97" i="1"/>
  <c r="DB97" i="1" s="1"/>
  <c r="CT97" i="1"/>
  <c r="EC100" i="1"/>
  <c r="HX103" i="1"/>
  <c r="HX105" i="1"/>
  <c r="DO107" i="1"/>
  <c r="EZ150" i="1"/>
  <c r="HY150" i="1"/>
  <c r="IJ87" i="1"/>
  <c r="IL87" i="1"/>
  <c r="IK87" i="1"/>
  <c r="HY88" i="1"/>
  <c r="CO88" i="1"/>
  <c r="HX88" i="1" s="1"/>
  <c r="HX89" i="1"/>
  <c r="CG92" i="1"/>
  <c r="AP92" i="1"/>
  <c r="IF92" i="1" s="1"/>
  <c r="IB92" i="1"/>
  <c r="ID92" i="1" s="1"/>
  <c r="CU98" i="1"/>
  <c r="DB98" i="1" s="1"/>
  <c r="CT98" i="1"/>
  <c r="DW100" i="1"/>
  <c r="ED100" i="1" s="1"/>
  <c r="EK100" i="1" s="1"/>
  <c r="ER100" i="1" s="1"/>
  <c r="EY100" i="1" s="1"/>
  <c r="FF100" i="1" s="1"/>
  <c r="FM100" i="1" s="1"/>
  <c r="DV100" i="1"/>
  <c r="DW102" i="1"/>
  <c r="DV102" i="1"/>
  <c r="CT105" i="1"/>
  <c r="CU105" i="1"/>
  <c r="DB105" i="1" s="1"/>
  <c r="IC113" i="1"/>
  <c r="IC115" i="1"/>
  <c r="IC124" i="1"/>
  <c r="IC148" i="1"/>
  <c r="IA148" i="1"/>
  <c r="IB58" i="1"/>
  <c r="ID58" i="1" s="1"/>
  <c r="CG58" i="1"/>
  <c r="IF61" i="1"/>
  <c r="II61" i="1" s="1"/>
  <c r="IF63" i="1"/>
  <c r="HX65" i="1"/>
  <c r="HY70" i="1"/>
  <c r="CO70" i="1"/>
  <c r="HX70" i="1" s="1"/>
  <c r="CU71" i="1"/>
  <c r="CT71" i="1"/>
  <c r="II74" i="1"/>
  <c r="HY76" i="1"/>
  <c r="IA76" i="1" s="1"/>
  <c r="CG79" i="1"/>
  <c r="IB79" i="1"/>
  <c r="CT79" i="1"/>
  <c r="CU79" i="1"/>
  <c r="EJ80" i="1"/>
  <c r="IG83" i="1"/>
  <c r="IH83" i="1" s="1"/>
  <c r="DA84" i="1"/>
  <c r="HX93" i="1"/>
  <c r="EC101" i="1"/>
  <c r="HY72" i="1"/>
  <c r="CO72" i="1"/>
  <c r="HX72" i="1" s="1"/>
  <c r="IF75" i="1"/>
  <c r="DA76" i="1"/>
  <c r="HY81" i="1"/>
  <c r="IA81" i="1" s="1"/>
  <c r="DH81" i="1"/>
  <c r="DO84" i="1"/>
  <c r="EQ86" i="1"/>
  <c r="IF89" i="1"/>
  <c r="ID89" i="1"/>
  <c r="CG96" i="1"/>
  <c r="AP96" i="1"/>
  <c r="IF96" i="1" s="1"/>
  <c r="IG98" i="1"/>
  <c r="IH98" i="1" s="1"/>
  <c r="II98" i="1" s="1"/>
  <c r="IG99" i="1"/>
  <c r="IH99" i="1" s="1"/>
  <c r="DW101" i="1"/>
  <c r="ED101" i="1" s="1"/>
  <c r="EK101" i="1" s="1"/>
  <c r="ER101" i="1" s="1"/>
  <c r="EY101" i="1" s="1"/>
  <c r="FF101" i="1" s="1"/>
  <c r="FM101" i="1" s="1"/>
  <c r="DV101" i="1"/>
  <c r="HX117" i="1"/>
  <c r="ID133" i="1"/>
  <c r="IB133" i="1"/>
  <c r="IC164" i="1"/>
  <c r="CV125" i="1"/>
  <c r="HY125" i="1"/>
  <c r="CV127" i="1"/>
  <c r="HY127" i="1"/>
  <c r="IC132" i="1"/>
  <c r="IA132" i="1"/>
  <c r="IC142" i="1"/>
  <c r="HX160" i="1"/>
  <c r="IB73" i="1"/>
  <c r="ID73" i="1" s="1"/>
  <c r="HX74" i="1"/>
  <c r="ID75" i="1"/>
  <c r="CU78" i="1"/>
  <c r="HY79" i="1"/>
  <c r="CO79" i="1"/>
  <c r="HX79" i="1" s="1"/>
  <c r="CG82" i="1"/>
  <c r="AP82" i="1"/>
  <c r="CT82" i="1"/>
  <c r="HX83" i="1"/>
  <c r="CG84" i="1"/>
  <c r="AP84" i="1"/>
  <c r="CR84" i="1" s="1"/>
  <c r="DH84" i="1"/>
  <c r="IB84" i="1"/>
  <c r="ID84" i="1" s="1"/>
  <c r="AP86" i="1"/>
  <c r="IB86" i="1"/>
  <c r="ID86" i="1" s="1"/>
  <c r="DV86" i="1"/>
  <c r="IF87" i="1"/>
  <c r="CR87" i="1"/>
  <c r="CU90" i="1"/>
  <c r="DB90" i="1" s="1"/>
  <c r="CT90" i="1"/>
  <c r="EC95" i="1"/>
  <c r="EQ95" i="1"/>
  <c r="HX100" i="1"/>
  <c r="HY118" i="1"/>
  <c r="HY130" i="1"/>
  <c r="DJ130" i="1"/>
  <c r="HX130" i="1" s="1"/>
  <c r="ID62" i="1"/>
  <c r="ID63" i="1"/>
  <c r="CO66" i="1"/>
  <c r="HX66" i="1" s="1"/>
  <c r="CT76" i="1"/>
  <c r="HY80" i="1"/>
  <c r="EQ80" i="1"/>
  <c r="DA81" i="1"/>
  <c r="DO81" i="1"/>
  <c r="IB85" i="1"/>
  <c r="ID85" i="1" s="1"/>
  <c r="DH86" i="1"/>
  <c r="HY91" i="1"/>
  <c r="CO91" i="1"/>
  <c r="HX91" i="1" s="1"/>
  <c r="IB93" i="1"/>
  <c r="ID93" i="1" s="1"/>
  <c r="CG93" i="1"/>
  <c r="AP93" i="1"/>
  <c r="CU94" i="1"/>
  <c r="DB94" i="1" s="1"/>
  <c r="CT94" i="1"/>
  <c r="HY100" i="1"/>
  <c r="HY101" i="1"/>
  <c r="ER103" i="1"/>
  <c r="EY103" i="1" s="1"/>
  <c r="FF103" i="1" s="1"/>
  <c r="FM103" i="1" s="1"/>
  <c r="FT103" i="1" s="1"/>
  <c r="GA103" i="1" s="1"/>
  <c r="GH103" i="1" s="1"/>
  <c r="GO103" i="1" s="1"/>
  <c r="GV103" i="1" s="1"/>
  <c r="HC103" i="1" s="1"/>
  <c r="EQ103" i="1"/>
  <c r="IL106" i="1"/>
  <c r="IJ106" i="1"/>
  <c r="HY107" i="1"/>
  <c r="CO107" i="1"/>
  <c r="HX107" i="1" s="1"/>
  <c r="HY116" i="1"/>
  <c r="HY119" i="1"/>
  <c r="HX136" i="1"/>
  <c r="HX138" i="1"/>
  <c r="HX144" i="1"/>
  <c r="IB50" i="1"/>
  <c r="ID50" i="1" s="1"/>
  <c r="IB54" i="1"/>
  <c r="ID54" i="1" s="1"/>
  <c r="IF74" i="1"/>
  <c r="CT80" i="1"/>
  <c r="AP85" i="1"/>
  <c r="CR85" i="1" s="1"/>
  <c r="CT86" i="1"/>
  <c r="IL88" i="1"/>
  <c r="IK88" i="1"/>
  <c r="EC88" i="1"/>
  <c r="EQ88" i="1"/>
  <c r="CU89" i="1"/>
  <c r="DB89" i="1" s="1"/>
  <c r="CT89" i="1"/>
  <c r="DH91" i="1"/>
  <c r="ID94" i="1"/>
  <c r="IB94" i="1"/>
  <c r="HY95" i="1"/>
  <c r="CO95" i="1"/>
  <c r="HX95" i="1" s="1"/>
  <c r="EJ100" i="1"/>
  <c r="AP101" i="1"/>
  <c r="IF101" i="1" s="1"/>
  <c r="II101" i="1" s="1"/>
  <c r="CG101" i="1"/>
  <c r="IB101" i="1"/>
  <c r="ID101" i="1" s="1"/>
  <c r="CT101" i="1"/>
  <c r="DH101" i="1"/>
  <c r="EC103" i="1"/>
  <c r="HX104" i="1"/>
  <c r="CG107" i="1"/>
  <c r="AP107" i="1"/>
  <c r="IF107" i="1" s="1"/>
  <c r="II107" i="1" s="1"/>
  <c r="HX122" i="1"/>
  <c r="HY134" i="1"/>
  <c r="CO134" i="1"/>
  <c r="HX134" i="1" s="1"/>
  <c r="HX146" i="1"/>
  <c r="HX150" i="1"/>
  <c r="HX156" i="1"/>
  <c r="HY163" i="1"/>
  <c r="IG72" i="1"/>
  <c r="IH72" i="1" s="1"/>
  <c r="II72" i="1" s="1"/>
  <c r="EQ73" i="1"/>
  <c r="HX75" i="1"/>
  <c r="HY77" i="1"/>
  <c r="IA77" i="1" s="1"/>
  <c r="ID79" i="1"/>
  <c r="DV80" i="1"/>
  <c r="IG81" i="1"/>
  <c r="IH81" i="1" s="1"/>
  <c r="EQ81" i="1"/>
  <c r="HX90" i="1"/>
  <c r="IF90" i="1"/>
  <c r="II90" i="1" s="1"/>
  <c r="HY92" i="1"/>
  <c r="CO92" i="1"/>
  <c r="HX92" i="1" s="1"/>
  <c r="IF93" i="1"/>
  <c r="HX94" i="1"/>
  <c r="IG103" i="1"/>
  <c r="IH103" i="1" s="1"/>
  <c r="DO103" i="1"/>
  <c r="II104" i="1"/>
  <c r="ID104" i="1"/>
  <c r="HY106" i="1"/>
  <c r="CU109" i="1"/>
  <c r="DB109" i="1" s="1"/>
  <c r="CT109" i="1"/>
  <c r="HX140" i="1"/>
  <c r="IB161" i="1"/>
  <c r="ID161" i="1" s="1"/>
  <c r="EC86" i="1"/>
  <c r="DO88" i="1"/>
  <c r="ID88" i="1"/>
  <c r="DO91" i="1"/>
  <c r="IG93" i="1"/>
  <c r="IH93" i="1" s="1"/>
  <c r="DO95" i="1"/>
  <c r="IG97" i="1"/>
  <c r="IH97" i="1" s="1"/>
  <c r="ID97" i="1"/>
  <c r="IB104" i="1"/>
  <c r="CU107" i="1"/>
  <c r="DB107" i="1" s="1"/>
  <c r="DI107" i="1" s="1"/>
  <c r="DP107" i="1" s="1"/>
  <c r="DW107" i="1" s="1"/>
  <c r="CT107" i="1"/>
  <c r="II108" i="1"/>
  <c r="HY110" i="1"/>
  <c r="IB113" i="1"/>
  <c r="ID113" i="1" s="1"/>
  <c r="HY117" i="1"/>
  <c r="ID119" i="1"/>
  <c r="CO123" i="1"/>
  <c r="HX123" i="1" s="1"/>
  <c r="HY123" i="1"/>
  <c r="DC126" i="1"/>
  <c r="HX126" i="1" s="1"/>
  <c r="HY126" i="1"/>
  <c r="DC128" i="1"/>
  <c r="HX128" i="1" s="1"/>
  <c r="HY128" i="1"/>
  <c r="HY144" i="1"/>
  <c r="IB149" i="1"/>
  <c r="ID149" i="1" s="1"/>
  <c r="HY156" i="1"/>
  <c r="IC215" i="1"/>
  <c r="IC217" i="1"/>
  <c r="IC278" i="1"/>
  <c r="IA278" i="1"/>
  <c r="HX85" i="1"/>
  <c r="CT88" i="1"/>
  <c r="IG89" i="1"/>
  <c r="IH89" i="1" s="1"/>
  <c r="II89" i="1" s="1"/>
  <c r="HY90" i="1"/>
  <c r="CT91" i="1"/>
  <c r="IB91" i="1"/>
  <c r="ID91" i="1" s="1"/>
  <c r="DO92" i="1"/>
  <c r="IG94" i="1"/>
  <c r="IH94" i="1" s="1"/>
  <c r="II94" i="1" s="1"/>
  <c r="CT95" i="1"/>
  <c r="IB95" i="1"/>
  <c r="DO96" i="1"/>
  <c r="AP100" i="1"/>
  <c r="IF100" i="1" s="1"/>
  <c r="II100" i="1" s="1"/>
  <c r="CG100" i="1"/>
  <c r="CT100" i="1"/>
  <c r="DH100" i="1"/>
  <c r="IB105" i="1"/>
  <c r="IG105" i="1"/>
  <c r="IH105" i="1" s="1"/>
  <c r="II105" i="1" s="1"/>
  <c r="HY108" i="1"/>
  <c r="CO108" i="1"/>
  <c r="HX108" i="1" s="1"/>
  <c r="IK109" i="1"/>
  <c r="IJ109" i="1"/>
  <c r="HY113" i="1"/>
  <c r="IA113" i="1" s="1"/>
  <c r="HX119" i="1"/>
  <c r="HX121" i="1"/>
  <c r="HX158" i="1"/>
  <c r="HY165" i="1"/>
  <c r="ID186" i="1"/>
  <c r="IB186" i="1"/>
  <c r="HX189" i="1"/>
  <c r="IG86" i="1"/>
  <c r="IH86" i="1" s="1"/>
  <c r="HY93" i="1"/>
  <c r="HY97" i="1"/>
  <c r="IA97" i="1" s="1"/>
  <c r="DO99" i="1"/>
  <c r="EQ101" i="1"/>
  <c r="DO102" i="1"/>
  <c r="AP103" i="1"/>
  <c r="IF103" i="1" s="1"/>
  <c r="IB103" i="1"/>
  <c r="HY103" i="1"/>
  <c r="HY104" i="1"/>
  <c r="AP105" i="1"/>
  <c r="IF105" i="1" s="1"/>
  <c r="AP108" i="1"/>
  <c r="IF108" i="1" s="1"/>
  <c r="IL109" i="1"/>
  <c r="HY112" i="1"/>
  <c r="IB115" i="1"/>
  <c r="ID115" i="1" s="1"/>
  <c r="HY135" i="1"/>
  <c r="HY145" i="1"/>
  <c r="CO152" i="1"/>
  <c r="HX152" i="1" s="1"/>
  <c r="HY152" i="1"/>
  <c r="HX154" i="1"/>
  <c r="HX173" i="1"/>
  <c r="HY185" i="1"/>
  <c r="FU187" i="1"/>
  <c r="HY187" i="1"/>
  <c r="IC203" i="1"/>
  <c r="IB204" i="1"/>
  <c r="ID204" i="1" s="1"/>
  <c r="IC266" i="1"/>
  <c r="EL270" i="1"/>
  <c r="HX270" i="1" s="1"/>
  <c r="HY270" i="1"/>
  <c r="IC284" i="1"/>
  <c r="IC177" i="1"/>
  <c r="IB182" i="1"/>
  <c r="ID182" i="1" s="1"/>
  <c r="HY86" i="1"/>
  <c r="IA86" i="1" s="1"/>
  <c r="EJ86" i="1"/>
  <c r="DV88" i="1"/>
  <c r="HY89" i="1"/>
  <c r="DV91" i="1"/>
  <c r="HY94" i="1"/>
  <c r="DV95" i="1"/>
  <c r="CT103" i="1"/>
  <c r="HY105" i="1"/>
  <c r="IB109" i="1"/>
  <c r="ID109" i="1" s="1"/>
  <c r="CG109" i="1"/>
  <c r="HX109" i="1"/>
  <c r="IB111" i="1"/>
  <c r="ID111" i="1" s="1"/>
  <c r="HY115" i="1"/>
  <c r="IA115" i="1" s="1"/>
  <c r="HY124" i="1"/>
  <c r="IA124" i="1" s="1"/>
  <c r="HY140" i="1"/>
  <c r="HY146" i="1"/>
  <c r="HY160" i="1"/>
  <c r="IC181" i="1"/>
  <c r="IA181" i="1"/>
  <c r="IC191" i="1"/>
  <c r="HY194" i="1"/>
  <c r="HX196" i="1"/>
  <c r="HX227" i="1"/>
  <c r="HY227" i="1"/>
  <c r="AP88" i="1"/>
  <c r="IF88" i="1" s="1"/>
  <c r="IG92" i="1"/>
  <c r="IH92" i="1" s="1"/>
  <c r="II92" i="1" s="1"/>
  <c r="IG96" i="1"/>
  <c r="IH96" i="1" s="1"/>
  <c r="AP99" i="1"/>
  <c r="IF99" i="1" s="1"/>
  <c r="CG99" i="1"/>
  <c r="CT99" i="1"/>
  <c r="DH99" i="1"/>
  <c r="EJ101" i="1"/>
  <c r="AP102" i="1"/>
  <c r="IF102" i="1" s="1"/>
  <c r="II102" i="1" s="1"/>
  <c r="IB102" i="1"/>
  <c r="ID102" i="1" s="1"/>
  <c r="CG102" i="1"/>
  <c r="CT102" i="1"/>
  <c r="DH102" i="1"/>
  <c r="CG105" i="1"/>
  <c r="HX106" i="1"/>
  <c r="HY109" i="1"/>
  <c r="HY114" i="1"/>
  <c r="IB117" i="1"/>
  <c r="ID117" i="1" s="1"/>
  <c r="HY120" i="1"/>
  <c r="CO120" i="1"/>
  <c r="HX120" i="1" s="1"/>
  <c r="HY121" i="1"/>
  <c r="ID145" i="1"/>
  <c r="IB145" i="1"/>
  <c r="HY147" i="1"/>
  <c r="IB151" i="1"/>
  <c r="ID151" i="1" s="1"/>
  <c r="HY161" i="1"/>
  <c r="HY181" i="1"/>
  <c r="HY203" i="1"/>
  <c r="IA203" i="1" s="1"/>
  <c r="HY168" i="1"/>
  <c r="CV168" i="1"/>
  <c r="IB176" i="1"/>
  <c r="ID176" i="1" s="1"/>
  <c r="HY182" i="1"/>
  <c r="CV213" i="1"/>
  <c r="HY213" i="1"/>
  <c r="CO225" i="1"/>
  <c r="HX225" i="1" s="1"/>
  <c r="HY225" i="1"/>
  <c r="HY133" i="1"/>
  <c r="ID139" i="1"/>
  <c r="HY151" i="1"/>
  <c r="ID155" i="1"/>
  <c r="IB165" i="1"/>
  <c r="ID165" i="1"/>
  <c r="HY167" i="1"/>
  <c r="HY171" i="1"/>
  <c r="HX179" i="1"/>
  <c r="HY180" i="1"/>
  <c r="CO193" i="1"/>
  <c r="HX193" i="1" s="1"/>
  <c r="HY193" i="1"/>
  <c r="IC198" i="1"/>
  <c r="CO208" i="1"/>
  <c r="HX208" i="1" s="1"/>
  <c r="HY208" i="1"/>
  <c r="HY222" i="1"/>
  <c r="DC226" i="1"/>
  <c r="HY226" i="1"/>
  <c r="DQ231" i="1"/>
  <c r="HX231" i="1" s="1"/>
  <c r="HY231" i="1"/>
  <c r="ID129" i="1"/>
  <c r="HY131" i="1"/>
  <c r="IB131" i="1"/>
  <c r="ID131" i="1" s="1"/>
  <c r="HY139" i="1"/>
  <c r="ID143" i="1"/>
  <c r="HY148" i="1"/>
  <c r="HY155" i="1"/>
  <c r="HY164" i="1"/>
  <c r="IA164" i="1" s="1"/>
  <c r="HY166" i="1"/>
  <c r="DC166" i="1"/>
  <c r="HX167" i="1"/>
  <c r="HY170" i="1"/>
  <c r="CO170" i="1"/>
  <c r="HX170" i="1" s="1"/>
  <c r="IB188" i="1"/>
  <c r="ID188" i="1" s="1"/>
  <c r="IB195" i="1"/>
  <c r="ID195" i="1" s="1"/>
  <c r="HX199" i="1"/>
  <c r="IA222" i="1"/>
  <c r="IC222" i="1"/>
  <c r="CV234" i="1"/>
  <c r="HX234" i="1" s="1"/>
  <c r="HY234" i="1"/>
  <c r="CO110" i="1"/>
  <c r="HX110" i="1" s="1"/>
  <c r="CO112" i="1"/>
  <c r="HX112" i="1" s="1"/>
  <c r="CO114" i="1"/>
  <c r="HX114" i="1" s="1"/>
  <c r="CO116" i="1"/>
  <c r="HX116" i="1" s="1"/>
  <c r="CO118" i="1"/>
  <c r="HX118" i="1" s="1"/>
  <c r="ID122" i="1"/>
  <c r="ID125" i="1"/>
  <c r="ID127" i="1"/>
  <c r="HY136" i="1"/>
  <c r="HY142" i="1"/>
  <c r="IA142" i="1" s="1"/>
  <c r="IB143" i="1"/>
  <c r="HY149" i="1"/>
  <c r="HY158" i="1"/>
  <c r="IB159" i="1"/>
  <c r="ID159" i="1" s="1"/>
  <c r="HX165" i="1"/>
  <c r="ID166" i="1"/>
  <c r="DQ169" i="1"/>
  <c r="HX169" i="1" s="1"/>
  <c r="IB183" i="1"/>
  <c r="ID183" i="1"/>
  <c r="IC197" i="1"/>
  <c r="IA197" i="1"/>
  <c r="HX125" i="1"/>
  <c r="HX127" i="1"/>
  <c r="HY129" i="1"/>
  <c r="CO129" i="1"/>
  <c r="HX129" i="1" s="1"/>
  <c r="IB129" i="1"/>
  <c r="ID135" i="1"/>
  <c r="HY137" i="1"/>
  <c r="IB137" i="1"/>
  <c r="ID137" i="1" s="1"/>
  <c r="HY143" i="1"/>
  <c r="ID147" i="1"/>
  <c r="IB153" i="1"/>
  <c r="ID153" i="1" s="1"/>
  <c r="HY159" i="1"/>
  <c r="ID163" i="1"/>
  <c r="HX175" i="1"/>
  <c r="ID181" i="1"/>
  <c r="HX188" i="1"/>
  <c r="HX235" i="1"/>
  <c r="HY235" i="1"/>
  <c r="ID141" i="1"/>
  <c r="HY153" i="1"/>
  <c r="ID157" i="1"/>
  <c r="IB168" i="1"/>
  <c r="ID168" i="1" s="1"/>
  <c r="HX171" i="1"/>
  <c r="ID174" i="1"/>
  <c r="HY175" i="1"/>
  <c r="HY183" i="1"/>
  <c r="HY219" i="1"/>
  <c r="IC248" i="1"/>
  <c r="HX166" i="1"/>
  <c r="HY174" i="1"/>
  <c r="HY177" i="1"/>
  <c r="IA177" i="1" s="1"/>
  <c r="IB180" i="1"/>
  <c r="ID180" i="1" s="1"/>
  <c r="HY186" i="1"/>
  <c r="HX190" i="1"/>
  <c r="HY195" i="1"/>
  <c r="HX204" i="1"/>
  <c r="CO210" i="1"/>
  <c r="HX210" i="1" s="1"/>
  <c r="HY210" i="1"/>
  <c r="CO212" i="1"/>
  <c r="HX212" i="1" s="1"/>
  <c r="HY212" i="1"/>
  <c r="IB213" i="1"/>
  <c r="ID213" i="1" s="1"/>
  <c r="ID214" i="1"/>
  <c r="IC280" i="1"/>
  <c r="IA280" i="1"/>
  <c r="CO131" i="1"/>
  <c r="HX131" i="1" s="1"/>
  <c r="CO133" i="1"/>
  <c r="HX133" i="1" s="1"/>
  <c r="CO135" i="1"/>
  <c r="HX135" i="1" s="1"/>
  <c r="CO137" i="1"/>
  <c r="HX137" i="1" s="1"/>
  <c r="CO139" i="1"/>
  <c r="HX139" i="1" s="1"/>
  <c r="CO141" i="1"/>
  <c r="HX141" i="1" s="1"/>
  <c r="CO143" i="1"/>
  <c r="HX143" i="1" s="1"/>
  <c r="CO145" i="1"/>
  <c r="HX145" i="1" s="1"/>
  <c r="CO147" i="1"/>
  <c r="HX147" i="1" s="1"/>
  <c r="CO149" i="1"/>
  <c r="HX149" i="1" s="1"/>
  <c r="CO151" i="1"/>
  <c r="HX151" i="1" s="1"/>
  <c r="CO153" i="1"/>
  <c r="HX153" i="1" s="1"/>
  <c r="CO155" i="1"/>
  <c r="HX155" i="1" s="1"/>
  <c r="CO157" i="1"/>
  <c r="HX157" i="1" s="1"/>
  <c r="CO159" i="1"/>
  <c r="HX159" i="1" s="1"/>
  <c r="CO161" i="1"/>
  <c r="HX161" i="1" s="1"/>
  <c r="CO163" i="1"/>
  <c r="HX163" i="1" s="1"/>
  <c r="HX168" i="1"/>
  <c r="IB173" i="1"/>
  <c r="ID173" i="1" s="1"/>
  <c r="IB178" i="1"/>
  <c r="ID178" i="1" s="1"/>
  <c r="HY179" i="1"/>
  <c r="ID179" i="1"/>
  <c r="HY191" i="1"/>
  <c r="IA191" i="1" s="1"/>
  <c r="CV216" i="1"/>
  <c r="HX216" i="1" s="1"/>
  <c r="HY216" i="1"/>
  <c r="ID216" i="1"/>
  <c r="IB216" i="1"/>
  <c r="HY221" i="1"/>
  <c r="DJ252" i="1"/>
  <c r="HX252" i="1" s="1"/>
  <c r="HY252" i="1"/>
  <c r="IC258" i="1"/>
  <c r="IA258" i="1"/>
  <c r="HX185" i="1"/>
  <c r="IB189" i="1"/>
  <c r="ID189" i="1" s="1"/>
  <c r="HY199" i="1"/>
  <c r="HY201" i="1"/>
  <c r="IB210" i="1"/>
  <c r="ID210" i="1" s="1"/>
  <c r="IB215" i="1"/>
  <c r="ID215" i="1"/>
  <c r="ID226" i="1"/>
  <c r="IB226" i="1"/>
  <c r="DC233" i="1"/>
  <c r="HY233" i="1"/>
  <c r="IA246" i="1"/>
  <c r="IC246" i="1"/>
  <c r="IB197" i="1"/>
  <c r="ID197" i="1"/>
  <c r="HX205" i="1"/>
  <c r="IB207" i="1"/>
  <c r="ID207" i="1"/>
  <c r="HX211" i="1"/>
  <c r="HX213" i="1"/>
  <c r="IB244" i="1"/>
  <c r="ID244" i="1" s="1"/>
  <c r="EZ245" i="1"/>
  <c r="HX245" i="1" s="1"/>
  <c r="HY245" i="1"/>
  <c r="HY246" i="1"/>
  <c r="HY173" i="1"/>
  <c r="HX183" i="1"/>
  <c r="HY184" i="1"/>
  <c r="IB184" i="1"/>
  <c r="ID184" i="1" s="1"/>
  <c r="HX187" i="1"/>
  <c r="HX195" i="1"/>
  <c r="IB196" i="1"/>
  <c r="ID196" i="1" s="1"/>
  <c r="ID198" i="1"/>
  <c r="HX201" i="1"/>
  <c r="HY202" i="1"/>
  <c r="HY205" i="1"/>
  <c r="HY206" i="1"/>
  <c r="IB206" i="1"/>
  <c r="ID206" i="1" s="1"/>
  <c r="HY209" i="1"/>
  <c r="CO209" i="1"/>
  <c r="HX209" i="1" s="1"/>
  <c r="HX194" i="1"/>
  <c r="HX202" i="1"/>
  <c r="HX207" i="1"/>
  <c r="IB217" i="1"/>
  <c r="ID217" i="1" s="1"/>
  <c r="CO218" i="1"/>
  <c r="HX218" i="1" s="1"/>
  <c r="HY218" i="1"/>
  <c r="HY220" i="1"/>
  <c r="CV220" i="1"/>
  <c r="HX220" i="1" s="1"/>
  <c r="CO232" i="1"/>
  <c r="HX232" i="1" s="1"/>
  <c r="HY232" i="1"/>
  <c r="CO236" i="1"/>
  <c r="HX236" i="1" s="1"/>
  <c r="HY236" i="1"/>
  <c r="DC244" i="1"/>
  <c r="HY244" i="1"/>
  <c r="CO247" i="1"/>
  <c r="HX247" i="1" s="1"/>
  <c r="HY247" i="1"/>
  <c r="IC308" i="1"/>
  <c r="HY172" i="1"/>
  <c r="HY188" i="1"/>
  <c r="HY196" i="1"/>
  <c r="HY204" i="1"/>
  <c r="HY207" i="1"/>
  <c r="HY215" i="1"/>
  <c r="IA215" i="1" s="1"/>
  <c r="HY224" i="1"/>
  <c r="HY248" i="1"/>
  <c r="IA248" i="1" s="1"/>
  <c r="HY272" i="1"/>
  <c r="CO272" i="1"/>
  <c r="HX272" i="1" s="1"/>
  <c r="IC275" i="1"/>
  <c r="HY240" i="1"/>
  <c r="HX244" i="1"/>
  <c r="CO254" i="1"/>
  <c r="HX254" i="1" s="1"/>
  <c r="HY254" i="1"/>
  <c r="IC282" i="1"/>
  <c r="IA282" i="1"/>
  <c r="ID171" i="1"/>
  <c r="HY176" i="1"/>
  <c r="HY190" i="1"/>
  <c r="HY198" i="1"/>
  <c r="IA198" i="1" s="1"/>
  <c r="HX219" i="1"/>
  <c r="IB220" i="1"/>
  <c r="ID220" i="1" s="1"/>
  <c r="CO228" i="1"/>
  <c r="HX228" i="1" s="1"/>
  <c r="HY228" i="1"/>
  <c r="IB234" i="1"/>
  <c r="ID234" i="1" s="1"/>
  <c r="HY243" i="1"/>
  <c r="IC298" i="1"/>
  <c r="HY178" i="1"/>
  <c r="HX192" i="1"/>
  <c r="HX200" i="1"/>
  <c r="HX206" i="1"/>
  <c r="CO223" i="1"/>
  <c r="HX223" i="1" s="1"/>
  <c r="HY223" i="1"/>
  <c r="IB230" i="1"/>
  <c r="ID230" i="1" s="1"/>
  <c r="ID254" i="1"/>
  <c r="IB254" i="1"/>
  <c r="IB270" i="1"/>
  <c r="ID270" i="1" s="1"/>
  <c r="IC276" i="1"/>
  <c r="IA276" i="1"/>
  <c r="HY217" i="1"/>
  <c r="IA217" i="1" s="1"/>
  <c r="HX221" i="1"/>
  <c r="HX226" i="1"/>
  <c r="ID232" i="1"/>
  <c r="IB232" i="1"/>
  <c r="CO239" i="1"/>
  <c r="HX239" i="1" s="1"/>
  <c r="HY239" i="1"/>
  <c r="IB248" i="1"/>
  <c r="ID248" i="1" s="1"/>
  <c r="IC265" i="1"/>
  <c r="IC267" i="1"/>
  <c r="IA267" i="1"/>
  <c r="HX283" i="1"/>
  <c r="HX229" i="1"/>
  <c r="HX237" i="1"/>
  <c r="ID258" i="1"/>
  <c r="IB258" i="1"/>
  <c r="HX279" i="1"/>
  <c r="IC304" i="1"/>
  <c r="HX306" i="1"/>
  <c r="CO172" i="1"/>
  <c r="HX172" i="1" s="1"/>
  <c r="CO174" i="1"/>
  <c r="HX174" i="1" s="1"/>
  <c r="CO176" i="1"/>
  <c r="HX176" i="1" s="1"/>
  <c r="CO178" i="1"/>
  <c r="HX178" i="1" s="1"/>
  <c r="CO180" i="1"/>
  <c r="HX180" i="1" s="1"/>
  <c r="CO182" i="1"/>
  <c r="HX182" i="1" s="1"/>
  <c r="CO184" i="1"/>
  <c r="HX184" i="1" s="1"/>
  <c r="CO186" i="1"/>
  <c r="HX186" i="1" s="1"/>
  <c r="HX214" i="1"/>
  <c r="IB222" i="1"/>
  <c r="ID222" i="1" s="1"/>
  <c r="ID228" i="1"/>
  <c r="IB228" i="1"/>
  <c r="HY229" i="1"/>
  <c r="HX230" i="1"/>
  <c r="ID236" i="1"/>
  <c r="IB236" i="1"/>
  <c r="HY237" i="1"/>
  <c r="CO238" i="1"/>
  <c r="HX238" i="1" s="1"/>
  <c r="HY238" i="1"/>
  <c r="HX240" i="1"/>
  <c r="HX243" i="1"/>
  <c r="CO250" i="1"/>
  <c r="HX250" i="1" s="1"/>
  <c r="HY250" i="1"/>
  <c r="HX261" i="1"/>
  <c r="DJ268" i="1"/>
  <c r="HY268" i="1"/>
  <c r="HX224" i="1"/>
  <c r="HY230" i="1"/>
  <c r="HY242" i="1"/>
  <c r="HY256" i="1"/>
  <c r="HX262" i="1"/>
  <c r="HY293" i="1"/>
  <c r="DC293" i="1"/>
  <c r="HX293" i="1" s="1"/>
  <c r="HY214" i="1"/>
  <c r="IB224" i="1"/>
  <c r="ID224" i="1" s="1"/>
  <c r="HX233" i="1"/>
  <c r="HX242" i="1"/>
  <c r="HX269" i="1"/>
  <c r="IC274" i="1"/>
  <c r="IA274" i="1"/>
  <c r="CO290" i="1"/>
  <c r="HX290" i="1" s="1"/>
  <c r="HY241" i="1"/>
  <c r="ID246" i="1"/>
  <c r="IB246" i="1"/>
  <c r="DQ256" i="1"/>
  <c r="HX256" i="1" s="1"/>
  <c r="HY257" i="1"/>
  <c r="IB260" i="1"/>
  <c r="ID260" i="1" s="1"/>
  <c r="HX263" i="1"/>
  <c r="HX296" i="1"/>
  <c r="ID299" i="1"/>
  <c r="IB299" i="1"/>
  <c r="ID252" i="1"/>
  <c r="IB252" i="1"/>
  <c r="HY263" i="1"/>
  <c r="CO264" i="1"/>
  <c r="HX264" i="1" s="1"/>
  <c r="HY264" i="1"/>
  <c r="HY266" i="1"/>
  <c r="IA266" i="1" s="1"/>
  <c r="HX268" i="1"/>
  <c r="IC286" i="1"/>
  <c r="ID240" i="1"/>
  <c r="IB240" i="1"/>
  <c r="HX241" i="1"/>
  <c r="IB242" i="1"/>
  <c r="ID242" i="1" s="1"/>
  <c r="HY251" i="1"/>
  <c r="IB256" i="1"/>
  <c r="ID256" i="1" s="1"/>
  <c r="HY269" i="1"/>
  <c r="HY276" i="1"/>
  <c r="HX277" i="1"/>
  <c r="HX281" i="1"/>
  <c r="ID284" i="1"/>
  <c r="CV285" i="1"/>
  <c r="HX285" i="1" s="1"/>
  <c r="HY285" i="1"/>
  <c r="HY286" i="1"/>
  <c r="IA286" i="1" s="1"/>
  <c r="DJ315" i="1"/>
  <c r="HY315" i="1"/>
  <c r="ID268" i="1"/>
  <c r="IB250" i="1"/>
  <c r="ID250" i="1" s="1"/>
  <c r="HY255" i="1"/>
  <c r="HX259" i="1"/>
  <c r="HX260" i="1"/>
  <c r="IB268" i="1"/>
  <c r="HX271" i="1"/>
  <c r="HX273" i="1"/>
  <c r="HX287" i="1"/>
  <c r="DC292" i="1"/>
  <c r="HX292" i="1" s="1"/>
  <c r="HY292" i="1"/>
  <c r="HX302" i="1"/>
  <c r="IC368" i="1"/>
  <c r="IA368" i="1"/>
  <c r="IC369" i="1"/>
  <c r="HY261" i="1"/>
  <c r="ID272" i="1"/>
  <c r="HY273" i="1"/>
  <c r="HY275" i="1"/>
  <c r="IA275" i="1" s="1"/>
  <c r="HY277" i="1"/>
  <c r="ID278" i="1"/>
  <c r="HY279" i="1"/>
  <c r="ID280" i="1"/>
  <c r="HY281" i="1"/>
  <c r="ID282" i="1"/>
  <c r="HY283" i="1"/>
  <c r="HX294" i="1"/>
  <c r="HY306" i="1"/>
  <c r="HX310" i="1"/>
  <c r="EE321" i="1"/>
  <c r="HX321" i="1" s="1"/>
  <c r="HY321" i="1"/>
  <c r="CO249" i="1"/>
  <c r="HX249" i="1" s="1"/>
  <c r="CO251" i="1"/>
  <c r="HX251" i="1" s="1"/>
  <c r="CO253" i="1"/>
  <c r="HX253" i="1" s="1"/>
  <c r="CO255" i="1"/>
  <c r="HX255" i="1" s="1"/>
  <c r="CO257" i="1"/>
  <c r="HX257" i="1" s="1"/>
  <c r="ID264" i="1"/>
  <c r="HY265" i="1"/>
  <c r="IA265" i="1" s="1"/>
  <c r="IB272" i="1"/>
  <c r="IB274" i="1"/>
  <c r="ID274" i="1" s="1"/>
  <c r="IB276" i="1"/>
  <c r="ID276" i="1" s="1"/>
  <c r="HX288" i="1"/>
  <c r="IC329" i="1"/>
  <c r="IA329" i="1"/>
  <c r="HX345" i="1"/>
  <c r="HY259" i="1"/>
  <c r="HY284" i="1"/>
  <c r="IA284" i="1" s="1"/>
  <c r="HY287" i="1"/>
  <c r="CV291" i="1"/>
  <c r="HX291" i="1" s="1"/>
  <c r="HY291" i="1"/>
  <c r="IB305" i="1"/>
  <c r="ID305" i="1" s="1"/>
  <c r="IC349" i="1"/>
  <c r="ID266" i="1"/>
  <c r="HY267" i="1"/>
  <c r="IC343" i="1"/>
  <c r="HY294" i="1"/>
  <c r="HX300" i="1"/>
  <c r="HX313" i="1"/>
  <c r="IC359" i="1"/>
  <c r="ID285" i="1"/>
  <c r="CO289" i="1"/>
  <c r="HX289" i="1" s="1"/>
  <c r="HY296" i="1"/>
  <c r="HY299" i="1"/>
  <c r="HY312" i="1"/>
  <c r="HX315" i="1"/>
  <c r="HY324" i="1"/>
  <c r="HY350" i="1"/>
  <c r="ID287" i="1"/>
  <c r="HY302" i="1"/>
  <c r="HY305" i="1"/>
  <c r="IB315" i="1"/>
  <c r="ID315" i="1" s="1"/>
  <c r="CO318" i="1"/>
  <c r="HX318" i="1" s="1"/>
  <c r="HY318" i="1"/>
  <c r="IC341" i="1"/>
  <c r="IB285" i="1"/>
  <c r="ID293" i="1"/>
  <c r="HY295" i="1"/>
  <c r="IB295" i="1"/>
  <c r="ID295" i="1" s="1"/>
  <c r="HY308" i="1"/>
  <c r="IA308" i="1" s="1"/>
  <c r="HY311" i="1"/>
  <c r="HY316" i="1"/>
  <c r="HY325" i="1"/>
  <c r="CV327" i="1"/>
  <c r="HX327" i="1" s="1"/>
  <c r="HY327" i="1"/>
  <c r="HX333" i="1"/>
  <c r="HX339" i="1"/>
  <c r="HY348" i="1"/>
  <c r="HX365" i="1"/>
  <c r="HX367" i="1"/>
  <c r="IB284" i="1"/>
  <c r="IB287" i="1"/>
  <c r="ID291" i="1"/>
  <c r="HY298" i="1"/>
  <c r="IA298" i="1" s="1"/>
  <c r="HY301" i="1"/>
  <c r="IB301" i="1"/>
  <c r="ID301" i="1" s="1"/>
  <c r="HY314" i="1"/>
  <c r="CV322" i="1"/>
  <c r="HY322" i="1"/>
  <c r="ID326" i="1"/>
  <c r="HX331" i="1"/>
  <c r="DJ333" i="1"/>
  <c r="HY333" i="1"/>
  <c r="IB293" i="1"/>
  <c r="ID303" i="1"/>
  <c r="HY304" i="1"/>
  <c r="IA304" i="1" s="1"/>
  <c r="HY307" i="1"/>
  <c r="IB307" i="1"/>
  <c r="ID307" i="1" s="1"/>
  <c r="IB313" i="1"/>
  <c r="ID313" i="1" s="1"/>
  <c r="HX319" i="1"/>
  <c r="HY330" i="1"/>
  <c r="ID330" i="1"/>
  <c r="HX347" i="1"/>
  <c r="ID289" i="1"/>
  <c r="IB291" i="1"/>
  <c r="HY297" i="1"/>
  <c r="IB297" i="1"/>
  <c r="ID297" i="1" s="1"/>
  <c r="ID309" i="1"/>
  <c r="HY310" i="1"/>
  <c r="IB324" i="1"/>
  <c r="ID324" i="1" s="1"/>
  <c r="IC371" i="1"/>
  <c r="IA371" i="1"/>
  <c r="IB323" i="1"/>
  <c r="ID323" i="1"/>
  <c r="HY326" i="1"/>
  <c r="HX335" i="1"/>
  <c r="HX337" i="1"/>
  <c r="HY342" i="1"/>
  <c r="ID342" i="1"/>
  <c r="IB342" i="1"/>
  <c r="HY369" i="1"/>
  <c r="IA369" i="1" s="1"/>
  <c r="HY319" i="1"/>
  <c r="CO320" i="1"/>
  <c r="HX320" i="1" s="1"/>
  <c r="HY320" i="1"/>
  <c r="HY328" i="1"/>
  <c r="ID328" i="1"/>
  <c r="HY340" i="1"/>
  <c r="IB347" i="1"/>
  <c r="ID347" i="1" s="1"/>
  <c r="HX351" i="1"/>
  <c r="IB368" i="1"/>
  <c r="ID368" i="1" s="1"/>
  <c r="HX373" i="1"/>
  <c r="HX380" i="1"/>
  <c r="HX382" i="1"/>
  <c r="ID316" i="1"/>
  <c r="HY317" i="1"/>
  <c r="CO317" i="1"/>
  <c r="HX317" i="1" s="1"/>
  <c r="HX323" i="1"/>
  <c r="HY334" i="1"/>
  <c r="HY339" i="1"/>
  <c r="IC374" i="1"/>
  <c r="IA374" i="1"/>
  <c r="CO379" i="1"/>
  <c r="HX379" i="1" s="1"/>
  <c r="HY379" i="1"/>
  <c r="IB384" i="1"/>
  <c r="ID384" i="1" s="1"/>
  <c r="CO295" i="1"/>
  <c r="HX295" i="1" s="1"/>
  <c r="CO297" i="1"/>
  <c r="HX297" i="1" s="1"/>
  <c r="CO299" i="1"/>
  <c r="HX299" i="1" s="1"/>
  <c r="CO301" i="1"/>
  <c r="HX301" i="1" s="1"/>
  <c r="CO303" i="1"/>
  <c r="HX303" i="1" s="1"/>
  <c r="CO305" i="1"/>
  <c r="HX305" i="1" s="1"/>
  <c r="CO307" i="1"/>
  <c r="HX307" i="1" s="1"/>
  <c r="CO309" i="1"/>
  <c r="HX309" i="1" s="1"/>
  <c r="CO311" i="1"/>
  <c r="HX311" i="1" s="1"/>
  <c r="CV313" i="1"/>
  <c r="ID322" i="1"/>
  <c r="HY323" i="1"/>
  <c r="HX325" i="1"/>
  <c r="ID325" i="1"/>
  <c r="ID334" i="1"/>
  <c r="IB334" i="1"/>
  <c r="HX363" i="1"/>
  <c r="IC366" i="1"/>
  <c r="IA366" i="1"/>
  <c r="ID366" i="1"/>
  <c r="IB366" i="1"/>
  <c r="HX375" i="1"/>
  <c r="CV383" i="1"/>
  <c r="HY383" i="1"/>
  <c r="HX314" i="1"/>
  <c r="HY332" i="1"/>
  <c r="IB339" i="1"/>
  <c r="ID339" i="1"/>
  <c r="ID350" i="1"/>
  <c r="IB350" i="1"/>
  <c r="IC355" i="1"/>
  <c r="HX357" i="1"/>
  <c r="IC361" i="1"/>
  <c r="HY375" i="1"/>
  <c r="HX353" i="1"/>
  <c r="HY378" i="1"/>
  <c r="IC405" i="1"/>
  <c r="HY356" i="1"/>
  <c r="ID358" i="1"/>
  <c r="HY359" i="1"/>
  <c r="IA359" i="1" s="1"/>
  <c r="HX370" i="1"/>
  <c r="ID370" i="1"/>
  <c r="HY371" i="1"/>
  <c r="HY374" i="1"/>
  <c r="CO376" i="1"/>
  <c r="HX376" i="1" s="1"/>
  <c r="HY376" i="1"/>
  <c r="CO385" i="1"/>
  <c r="HX385" i="1" s="1"/>
  <c r="HY385" i="1"/>
  <c r="FG398" i="1"/>
  <c r="HY398" i="1"/>
  <c r="CO312" i="1"/>
  <c r="HX312" i="1" s="1"/>
  <c r="HX316" i="1"/>
  <c r="ID319" i="1"/>
  <c r="HY335" i="1"/>
  <c r="HY338" i="1"/>
  <c r="HY343" i="1"/>
  <c r="IA343" i="1" s="1"/>
  <c r="HY346" i="1"/>
  <c r="HY351" i="1"/>
  <c r="HY354" i="1"/>
  <c r="HY357" i="1"/>
  <c r="HX364" i="1"/>
  <c r="ID364" i="1"/>
  <c r="HY365" i="1"/>
  <c r="HX372" i="1"/>
  <c r="HX384" i="1"/>
  <c r="HX412" i="1"/>
  <c r="IC431" i="1"/>
  <c r="HX322" i="1"/>
  <c r="HX362" i="1"/>
  <c r="ID362" i="1"/>
  <c r="HY363" i="1"/>
  <c r="HY364" i="1"/>
  <c r="HY372" i="1"/>
  <c r="IB377" i="1"/>
  <c r="ID377" i="1" s="1"/>
  <c r="HY382" i="1"/>
  <c r="HY384" i="1"/>
  <c r="IC400" i="1"/>
  <c r="HX407" i="1"/>
  <c r="IC411" i="1"/>
  <c r="HY336" i="1"/>
  <c r="ID337" i="1"/>
  <c r="HY341" i="1"/>
  <c r="IA341" i="1" s="1"/>
  <c r="HY344" i="1"/>
  <c r="ID345" i="1"/>
  <c r="HY349" i="1"/>
  <c r="IA349" i="1" s="1"/>
  <c r="HY352" i="1"/>
  <c r="IB356" i="1"/>
  <c r="ID356" i="1" s="1"/>
  <c r="HY358" i="1"/>
  <c r="ID360" i="1"/>
  <c r="HY361" i="1"/>
  <c r="IA361" i="1" s="1"/>
  <c r="HY362" i="1"/>
  <c r="IB364" i="1"/>
  <c r="ID371" i="1"/>
  <c r="HY386" i="1"/>
  <c r="CV386" i="1"/>
  <c r="HX386" i="1" s="1"/>
  <c r="EE388" i="1"/>
  <c r="HY388" i="1"/>
  <c r="ID354" i="1"/>
  <c r="HY355" i="1"/>
  <c r="IA355" i="1" s="1"/>
  <c r="HY373" i="1"/>
  <c r="HY410" i="1"/>
  <c r="CO410" i="1"/>
  <c r="HX410" i="1" s="1"/>
  <c r="IC417" i="1"/>
  <c r="IA417" i="1"/>
  <c r="IC434" i="1"/>
  <c r="HY399" i="1"/>
  <c r="HX408" i="1"/>
  <c r="IC423" i="1"/>
  <c r="HX438" i="1"/>
  <c r="CO378" i="1"/>
  <c r="HX378" i="1" s="1"/>
  <c r="HY387" i="1"/>
  <c r="HX388" i="1"/>
  <c r="HY395" i="1"/>
  <c r="HX404" i="1"/>
  <c r="ID409" i="1"/>
  <c r="IB409" i="1"/>
  <c r="HY412" i="1"/>
  <c r="IB415" i="1"/>
  <c r="ID415" i="1" s="1"/>
  <c r="HY417" i="1"/>
  <c r="IC435" i="1"/>
  <c r="HX444" i="1"/>
  <c r="HX381" i="1"/>
  <c r="IB387" i="1"/>
  <c r="ID387" i="1" s="1"/>
  <c r="HX389" i="1"/>
  <c r="HX402" i="1"/>
  <c r="HY404" i="1"/>
  <c r="CO406" i="1"/>
  <c r="HX406" i="1" s="1"/>
  <c r="HY406" i="1"/>
  <c r="IB407" i="1"/>
  <c r="ID407" i="1" s="1"/>
  <c r="IA409" i="1"/>
  <c r="HX419" i="1"/>
  <c r="HX420" i="1"/>
  <c r="HX432" i="1"/>
  <c r="IB383" i="1"/>
  <c r="ID383" i="1" s="1"/>
  <c r="HX387" i="1"/>
  <c r="HY389" i="1"/>
  <c r="HX390" i="1"/>
  <c r="HX395" i="1"/>
  <c r="HY396" i="1"/>
  <c r="DC396" i="1"/>
  <c r="HX403" i="1"/>
  <c r="HX415" i="1"/>
  <c r="HX428" i="1"/>
  <c r="IC442" i="1"/>
  <c r="IA442" i="1"/>
  <c r="CO324" i="1"/>
  <c r="HX324" i="1" s="1"/>
  <c r="CO326" i="1"/>
  <c r="HX326" i="1" s="1"/>
  <c r="CO328" i="1"/>
  <c r="HX328" i="1" s="1"/>
  <c r="CO330" i="1"/>
  <c r="HX330" i="1" s="1"/>
  <c r="CO332" i="1"/>
  <c r="HX332" i="1" s="1"/>
  <c r="CO334" i="1"/>
  <c r="HX334" i="1" s="1"/>
  <c r="CO336" i="1"/>
  <c r="HX336" i="1" s="1"/>
  <c r="CO338" i="1"/>
  <c r="HX338" i="1" s="1"/>
  <c r="CO340" i="1"/>
  <c r="HX340" i="1" s="1"/>
  <c r="CO342" i="1"/>
  <c r="HX342" i="1" s="1"/>
  <c r="CO344" i="1"/>
  <c r="HX344" i="1" s="1"/>
  <c r="CO346" i="1"/>
  <c r="HX346" i="1" s="1"/>
  <c r="CO348" i="1"/>
  <c r="HX348" i="1" s="1"/>
  <c r="CO350" i="1"/>
  <c r="HX350" i="1" s="1"/>
  <c r="CO352" i="1"/>
  <c r="HX352" i="1" s="1"/>
  <c r="CO354" i="1"/>
  <c r="HX354" i="1" s="1"/>
  <c r="CO356" i="1"/>
  <c r="HX356" i="1" s="1"/>
  <c r="CO358" i="1"/>
  <c r="HX358" i="1" s="1"/>
  <c r="CO360" i="1"/>
  <c r="HX360" i="1" s="1"/>
  <c r="IB371" i="1"/>
  <c r="IB373" i="1"/>
  <c r="ID373" i="1" s="1"/>
  <c r="HX377" i="1"/>
  <c r="ID380" i="1"/>
  <c r="IB389" i="1"/>
  <c r="ID389" i="1" s="1"/>
  <c r="HY390" i="1"/>
  <c r="HY391" i="1"/>
  <c r="HX392" i="1"/>
  <c r="HY393" i="1"/>
  <c r="HX394" i="1"/>
  <c r="HX401" i="1"/>
  <c r="IB420" i="1"/>
  <c r="ID420" i="1" s="1"/>
  <c r="HY428" i="1"/>
  <c r="HY444" i="1"/>
  <c r="HY381" i="1"/>
  <c r="HX383" i="1"/>
  <c r="ID391" i="1"/>
  <c r="IB391" i="1"/>
  <c r="HY392" i="1"/>
  <c r="HY394" i="1"/>
  <c r="HX397" i="1"/>
  <c r="HY402" i="1"/>
  <c r="HX418" i="1"/>
  <c r="ID376" i="1"/>
  <c r="ID396" i="1"/>
  <c r="IB396" i="1"/>
  <c r="HY397" i="1"/>
  <c r="HX399" i="1"/>
  <c r="IC426" i="1"/>
  <c r="IA426" i="1"/>
  <c r="IC467" i="1"/>
  <c r="IA467" i="1"/>
  <c r="HY415" i="1"/>
  <c r="HX429" i="1"/>
  <c r="ID431" i="1"/>
  <c r="IB431" i="1"/>
  <c r="ID433" i="1"/>
  <c r="HY434" i="1"/>
  <c r="IA434" i="1" s="1"/>
  <c r="HX437" i="1"/>
  <c r="HX450" i="1"/>
  <c r="HX456" i="1"/>
  <c r="IC469" i="1"/>
  <c r="IA469" i="1"/>
  <c r="HY418" i="1"/>
  <c r="HY422" i="1"/>
  <c r="HX443" i="1"/>
  <c r="HX396" i="1"/>
  <c r="IB398" i="1"/>
  <c r="ID398" i="1" s="1"/>
  <c r="HY401" i="1"/>
  <c r="HX413" i="1"/>
  <c r="IB414" i="1"/>
  <c r="ID414" i="1" s="1"/>
  <c r="HY430" i="1"/>
  <c r="IB433" i="1"/>
  <c r="HY436" i="1"/>
  <c r="IC458" i="1"/>
  <c r="IA458" i="1"/>
  <c r="HY409" i="1"/>
  <c r="IB417" i="1"/>
  <c r="ID417" i="1" s="1"/>
  <c r="HX424" i="1"/>
  <c r="HX427" i="1"/>
  <c r="IB428" i="1"/>
  <c r="ID428" i="1" s="1"/>
  <c r="IB436" i="1"/>
  <c r="ID436" i="1" s="1"/>
  <c r="ID439" i="1"/>
  <c r="IC448" i="1"/>
  <c r="IA448" i="1"/>
  <c r="HY450" i="1"/>
  <c r="HX451" i="1"/>
  <c r="HY459" i="1"/>
  <c r="CO391" i="1"/>
  <c r="HX391" i="1" s="1"/>
  <c r="CO393" i="1"/>
  <c r="HX393" i="1" s="1"/>
  <c r="ID395" i="1"/>
  <c r="HX398" i="1"/>
  <c r="ID399" i="1"/>
  <c r="ID404" i="1"/>
  <c r="IB404" i="1"/>
  <c r="HY407" i="1"/>
  <c r="IB412" i="1"/>
  <c r="ID412" i="1" s="1"/>
  <c r="HX416" i="1"/>
  <c r="HX421" i="1"/>
  <c r="ID422" i="1"/>
  <c r="HY423" i="1"/>
  <c r="IA423" i="1" s="1"/>
  <c r="HX436" i="1"/>
  <c r="HY439" i="1"/>
  <c r="HX445" i="1"/>
  <c r="HX446" i="1"/>
  <c r="HY400" i="1"/>
  <c r="IA400" i="1" s="1"/>
  <c r="ID401" i="1"/>
  <c r="HY414" i="1"/>
  <c r="CO414" i="1"/>
  <c r="HX414" i="1" s="1"/>
  <c r="IB423" i="1"/>
  <c r="ID423" i="1" s="1"/>
  <c r="HX425" i="1"/>
  <c r="ID425" i="1"/>
  <c r="ID430" i="1"/>
  <c r="HY431" i="1"/>
  <c r="IA431" i="1" s="1"/>
  <c r="HX439" i="1"/>
  <c r="IC473" i="1"/>
  <c r="IA473" i="1"/>
  <c r="IB473" i="1"/>
  <c r="ID473" i="1" s="1"/>
  <c r="HX447" i="1"/>
  <c r="HY452" i="1"/>
  <c r="IA452" i="1" s="1"/>
  <c r="HX453" i="1"/>
  <c r="ID453" i="1"/>
  <c r="ID458" i="1"/>
  <c r="IB458" i="1"/>
  <c r="HX470" i="1"/>
  <c r="IC474" i="1"/>
  <c r="HY475" i="1"/>
  <c r="ID450" i="1"/>
  <c r="IB450" i="1"/>
  <c r="HX457" i="1"/>
  <c r="IC481" i="1"/>
  <c r="IA481" i="1"/>
  <c r="HY405" i="1"/>
  <c r="IA405" i="1" s="1"/>
  <c r="HY413" i="1"/>
  <c r="HY421" i="1"/>
  <c r="HY429" i="1"/>
  <c r="HY437" i="1"/>
  <c r="ID442" i="1"/>
  <c r="HY445" i="1"/>
  <c r="ID455" i="1"/>
  <c r="HY461" i="1"/>
  <c r="IA461" i="1" s="1"/>
  <c r="CO465" i="1"/>
  <c r="HX465" i="1" s="1"/>
  <c r="HY465" i="1"/>
  <c r="HY443" i="1"/>
  <c r="IB444" i="1"/>
  <c r="ID444" i="1" s="1"/>
  <c r="IB455" i="1"/>
  <c r="HX477" i="1"/>
  <c r="IB477" i="1"/>
  <c r="ID477" i="1" s="1"/>
  <c r="ID496" i="1"/>
  <c r="IC500" i="1"/>
  <c r="IA500" i="1"/>
  <c r="HY403" i="1"/>
  <c r="HY411" i="1"/>
  <c r="IA411" i="1" s="1"/>
  <c r="IB418" i="1"/>
  <c r="ID418" i="1" s="1"/>
  <c r="HY419" i="1"/>
  <c r="CO422" i="1"/>
  <c r="HX422" i="1" s="1"/>
  <c r="HY427" i="1"/>
  <c r="CO430" i="1"/>
  <c r="HX430" i="1" s="1"/>
  <c r="HY435" i="1"/>
  <c r="IA435" i="1" s="1"/>
  <c r="IB437" i="1"/>
  <c r="ID437" i="1" s="1"/>
  <c r="IB439" i="1"/>
  <c r="CO440" i="1"/>
  <c r="HX440" i="1" s="1"/>
  <c r="IB442" i="1"/>
  <c r="IB447" i="1"/>
  <c r="ID447" i="1" s="1"/>
  <c r="HX449" i="1"/>
  <c r="HX455" i="1"/>
  <c r="HX459" i="1"/>
  <c r="ID460" i="1"/>
  <c r="IB460" i="1"/>
  <c r="HX475" i="1"/>
  <c r="HY438" i="1"/>
  <c r="HY449" i="1"/>
  <c r="HX454" i="1"/>
  <c r="HY455" i="1"/>
  <c r="HX471" i="1"/>
  <c r="IB482" i="1"/>
  <c r="ID482" i="1"/>
  <c r="HX441" i="1"/>
  <c r="HY454" i="1"/>
  <c r="IB454" i="1"/>
  <c r="ID454" i="1" s="1"/>
  <c r="HY463" i="1"/>
  <c r="CO463" i="1"/>
  <c r="HX463" i="1" s="1"/>
  <c r="HX476" i="1"/>
  <c r="HY478" i="1"/>
  <c r="IB479" i="1"/>
  <c r="ID479" i="1" s="1"/>
  <c r="HY491" i="1"/>
  <c r="HX460" i="1"/>
  <c r="HY460" i="1"/>
  <c r="ID461" i="1"/>
  <c r="IB461" i="1"/>
  <c r="HX472" i="1"/>
  <c r="IB475" i="1"/>
  <c r="ID475" i="1" s="1"/>
  <c r="CV485" i="1"/>
  <c r="HY485" i="1"/>
  <c r="CO489" i="1"/>
  <c r="HX489" i="1" s="1"/>
  <c r="HY489" i="1"/>
  <c r="HY464" i="1"/>
  <c r="HY466" i="1"/>
  <c r="HX468" i="1"/>
  <c r="IB471" i="1"/>
  <c r="ID471" i="1" s="1"/>
  <c r="ID484" i="1"/>
  <c r="IB484" i="1"/>
  <c r="HY451" i="1"/>
  <c r="ID463" i="1"/>
  <c r="IB463" i="1"/>
  <c r="HY468" i="1"/>
  <c r="IB469" i="1"/>
  <c r="ID469" i="1" s="1"/>
  <c r="HY483" i="1"/>
  <c r="IB465" i="1"/>
  <c r="ID465" i="1" s="1"/>
  <c r="ID467" i="1"/>
  <c r="IB467" i="1"/>
  <c r="CO479" i="1"/>
  <c r="HX479" i="1" s="1"/>
  <c r="HX480" i="1"/>
  <c r="IA492" i="1"/>
  <c r="IC492" i="1"/>
  <c r="HY457" i="1"/>
  <c r="HX478" i="1"/>
  <c r="HY480" i="1"/>
  <c r="IB481" i="1"/>
  <c r="ID481" i="1" s="1"/>
  <c r="IB486" i="1"/>
  <c r="ID486" i="1" s="1"/>
  <c r="HX483" i="1"/>
  <c r="HY492" i="1"/>
  <c r="HX486" i="1"/>
  <c r="ID488" i="1"/>
  <c r="IB488" i="1"/>
  <c r="HX491" i="1"/>
  <c r="HY493" i="1"/>
  <c r="HY486" i="1"/>
  <c r="HX494" i="1"/>
  <c r="HX495" i="1"/>
  <c r="CO462" i="1"/>
  <c r="HX462" i="1" s="1"/>
  <c r="CO464" i="1"/>
  <c r="HX464" i="1" s="1"/>
  <c r="CO466" i="1"/>
  <c r="HX466" i="1" s="1"/>
  <c r="HX482" i="1"/>
  <c r="HY487" i="1"/>
  <c r="HX488" i="1"/>
  <c r="ID490" i="1"/>
  <c r="IB490" i="1"/>
  <c r="HX493" i="1"/>
  <c r="HY494" i="1"/>
  <c r="HY495" i="1"/>
  <c r="HX504" i="1"/>
  <c r="HY482" i="1"/>
  <c r="HY488" i="1"/>
  <c r="IC506" i="1"/>
  <c r="IA506" i="1"/>
  <c r="HX487" i="1"/>
  <c r="HX490" i="1"/>
  <c r="IB492" i="1"/>
  <c r="ID492" i="1" s="1"/>
  <c r="HX496" i="1"/>
  <c r="HX502" i="1"/>
  <c r="HX485" i="1"/>
  <c r="HY490" i="1"/>
  <c r="HY496" i="1"/>
  <c r="CO484" i="1"/>
  <c r="HX484" i="1" s="1"/>
  <c r="HY508" i="1"/>
  <c r="IA508" i="1" s="1"/>
  <c r="DQ498" i="1"/>
  <c r="HX498" i="1" s="1"/>
  <c r="ID501" i="1"/>
  <c r="HY502" i="1"/>
  <c r="HY505" i="1"/>
  <c r="ID507" i="1"/>
  <c r="HY497" i="1"/>
  <c r="HY499" i="1"/>
  <c r="ID497" i="1"/>
  <c r="ID499" i="1"/>
  <c r="HY501" i="1"/>
  <c r="HY507" i="1"/>
  <c r="IB494" i="1"/>
  <c r="ID494" i="1" s="1"/>
  <c r="IB496" i="1"/>
  <c r="HX497" i="1"/>
  <c r="HX499" i="1"/>
  <c r="IB499" i="1"/>
  <c r="HY504" i="1"/>
  <c r="IB497" i="1"/>
  <c r="ID503" i="1"/>
  <c r="HY509" i="1"/>
  <c r="HY506" i="1"/>
  <c r="CO501" i="1"/>
  <c r="HX501" i="1" s="1"/>
  <c r="CO503" i="1"/>
  <c r="HX503" i="1" s="1"/>
  <c r="CO505" i="1"/>
  <c r="HX505" i="1" s="1"/>
  <c r="CO507" i="1"/>
  <c r="HX507" i="1" s="1"/>
  <c r="CO509" i="1"/>
  <c r="HX509" i="1" s="1"/>
  <c r="IL14" i="1" l="1"/>
  <c r="IE103" i="1"/>
  <c r="IJ14" i="1"/>
  <c r="IE48" i="1"/>
  <c r="IE12" i="1"/>
  <c r="IK70" i="1"/>
  <c r="IL70" i="1"/>
  <c r="IJ70" i="1"/>
  <c r="IE10" i="1"/>
  <c r="IE19" i="1"/>
  <c r="IC245" i="1"/>
  <c r="IA245" i="1"/>
  <c r="IC321" i="1"/>
  <c r="IA321" i="1"/>
  <c r="IC293" i="1"/>
  <c r="IA293" i="1"/>
  <c r="IK102" i="1"/>
  <c r="IJ102" i="1"/>
  <c r="IL102" i="1"/>
  <c r="IA87" i="1"/>
  <c r="IC87" i="1"/>
  <c r="IL95" i="1"/>
  <c r="IJ95" i="1"/>
  <c r="IK95" i="1"/>
  <c r="IL22" i="1"/>
  <c r="IK22" i="1"/>
  <c r="IJ22" i="1"/>
  <c r="IC234" i="1"/>
  <c r="IA234" i="1"/>
  <c r="IJ90" i="1"/>
  <c r="IL90" i="1"/>
  <c r="IK90" i="1"/>
  <c r="IC54" i="1"/>
  <c r="IA54" i="1"/>
  <c r="IL52" i="1"/>
  <c r="IK52" i="1"/>
  <c r="IJ52" i="1"/>
  <c r="IL41" i="1"/>
  <c r="IK41" i="1"/>
  <c r="IJ41" i="1"/>
  <c r="IC270" i="1"/>
  <c r="IA270" i="1"/>
  <c r="IA231" i="1"/>
  <c r="IC231" i="1"/>
  <c r="IL107" i="1"/>
  <c r="IK107" i="1"/>
  <c r="IJ107" i="1"/>
  <c r="IK101" i="1"/>
  <c r="IL101" i="1"/>
  <c r="IJ101" i="1"/>
  <c r="IC498" i="1"/>
  <c r="IA498" i="1"/>
  <c r="IL23" i="1"/>
  <c r="IK23" i="1"/>
  <c r="IJ23" i="1"/>
  <c r="IJ58" i="1"/>
  <c r="IL58" i="1"/>
  <c r="IK58" i="1"/>
  <c r="IB13" i="1"/>
  <c r="ID13" i="1" s="1"/>
  <c r="AP13" i="1"/>
  <c r="CG13" i="1"/>
  <c r="IK100" i="1"/>
  <c r="IL100" i="1"/>
  <c r="IJ100" i="1"/>
  <c r="IJ61" i="1"/>
  <c r="IK61" i="1"/>
  <c r="IL61" i="1"/>
  <c r="IL60" i="1"/>
  <c r="IK60" i="1"/>
  <c r="IJ60" i="1"/>
  <c r="IA41" i="1"/>
  <c r="IC41" i="1"/>
  <c r="IC256" i="1"/>
  <c r="IA256" i="1"/>
  <c r="IA216" i="1"/>
  <c r="IC216" i="1"/>
  <c r="IC169" i="1"/>
  <c r="IA169" i="1"/>
  <c r="IJ39" i="1"/>
  <c r="IL39" i="1"/>
  <c r="IK39" i="1"/>
  <c r="IK12" i="1"/>
  <c r="IL12" i="1"/>
  <c r="IJ12" i="1"/>
  <c r="IA291" i="1"/>
  <c r="IC291" i="1"/>
  <c r="IA220" i="1"/>
  <c r="IC220" i="1"/>
  <c r="IA486" i="1"/>
  <c r="IC486" i="1"/>
  <c r="IC408" i="1"/>
  <c r="IA408" i="1"/>
  <c r="IC384" i="1"/>
  <c r="IA384" i="1"/>
  <c r="IA238" i="1"/>
  <c r="IC238" i="1"/>
  <c r="IC185" i="1"/>
  <c r="IA185" i="1"/>
  <c r="IC112" i="1"/>
  <c r="IA112" i="1"/>
  <c r="IC154" i="1"/>
  <c r="IA154" i="1"/>
  <c r="IJ94" i="1"/>
  <c r="IL94" i="1"/>
  <c r="IK94" i="1"/>
  <c r="IA74" i="1"/>
  <c r="IC74" i="1"/>
  <c r="IA89" i="1"/>
  <c r="IC89" i="1"/>
  <c r="IA449" i="1"/>
  <c r="IC449" i="1"/>
  <c r="IA393" i="1"/>
  <c r="IC393" i="1"/>
  <c r="IC301" i="1"/>
  <c r="IA301" i="1"/>
  <c r="IC333" i="1"/>
  <c r="IA333" i="1"/>
  <c r="IA244" i="1"/>
  <c r="IC244" i="1"/>
  <c r="IC422" i="1"/>
  <c r="IA422" i="1"/>
  <c r="IC445" i="1"/>
  <c r="IA445" i="1"/>
  <c r="IA396" i="1"/>
  <c r="IC396" i="1"/>
  <c r="IC399" i="1"/>
  <c r="IA399" i="1"/>
  <c r="IC340" i="1"/>
  <c r="IA340" i="1"/>
  <c r="IA378" i="1"/>
  <c r="IC378" i="1"/>
  <c r="IC322" i="1"/>
  <c r="IA322" i="1"/>
  <c r="IC380" i="1"/>
  <c r="IA380" i="1"/>
  <c r="IC347" i="1"/>
  <c r="IA347" i="1"/>
  <c r="IC313" i="1"/>
  <c r="IA313" i="1"/>
  <c r="IA263" i="1"/>
  <c r="IC263" i="1"/>
  <c r="IC250" i="1"/>
  <c r="IA250" i="1"/>
  <c r="IC239" i="1"/>
  <c r="IA239" i="1"/>
  <c r="IC211" i="1"/>
  <c r="IA211" i="1"/>
  <c r="IA159" i="1"/>
  <c r="IC159" i="1"/>
  <c r="IA166" i="1"/>
  <c r="IC166" i="1"/>
  <c r="IC503" i="1"/>
  <c r="IA503" i="1"/>
  <c r="IA484" i="1"/>
  <c r="IC484" i="1"/>
  <c r="IC487" i="1"/>
  <c r="IA487" i="1"/>
  <c r="IA464" i="1"/>
  <c r="IC464" i="1"/>
  <c r="IA476" i="1"/>
  <c r="IC476" i="1"/>
  <c r="IC471" i="1"/>
  <c r="IA471" i="1"/>
  <c r="IC414" i="1"/>
  <c r="IA414" i="1"/>
  <c r="IA427" i="1"/>
  <c r="IC427" i="1"/>
  <c r="IC437" i="1"/>
  <c r="IA437" i="1"/>
  <c r="IA394" i="1"/>
  <c r="IC394" i="1"/>
  <c r="IC377" i="1"/>
  <c r="IA377" i="1"/>
  <c r="IC350" i="1"/>
  <c r="IA350" i="1"/>
  <c r="IC334" i="1"/>
  <c r="IA334" i="1"/>
  <c r="IC428" i="1"/>
  <c r="IA428" i="1"/>
  <c r="IC387" i="1"/>
  <c r="IA387" i="1"/>
  <c r="IC444" i="1"/>
  <c r="IA444" i="1"/>
  <c r="IC412" i="1"/>
  <c r="IA412" i="1"/>
  <c r="IC312" i="1"/>
  <c r="IA312" i="1"/>
  <c r="IC309" i="1"/>
  <c r="IA309" i="1"/>
  <c r="IC323" i="1"/>
  <c r="IA323" i="1"/>
  <c r="IC320" i="1"/>
  <c r="IA320" i="1"/>
  <c r="IC319" i="1"/>
  <c r="IA319" i="1"/>
  <c r="IC367" i="1"/>
  <c r="IA367" i="1"/>
  <c r="IA288" i="1"/>
  <c r="IC288" i="1"/>
  <c r="IC253" i="1"/>
  <c r="IA253" i="1"/>
  <c r="IA294" i="1"/>
  <c r="IC294" i="1"/>
  <c r="IA224" i="1"/>
  <c r="IC224" i="1"/>
  <c r="IA178" i="1"/>
  <c r="IC178" i="1"/>
  <c r="IA192" i="1"/>
  <c r="IC192" i="1"/>
  <c r="IA228" i="1"/>
  <c r="IC228" i="1"/>
  <c r="IC272" i="1"/>
  <c r="IA272" i="1"/>
  <c r="IC195" i="1"/>
  <c r="IA195" i="1"/>
  <c r="IC205" i="1"/>
  <c r="IA205" i="1"/>
  <c r="IA153" i="1"/>
  <c r="IC153" i="1"/>
  <c r="IC137" i="1"/>
  <c r="IA137" i="1"/>
  <c r="IC114" i="1"/>
  <c r="IA114" i="1"/>
  <c r="IA106" i="1"/>
  <c r="IC106" i="1"/>
  <c r="IA227" i="1"/>
  <c r="IC227" i="1"/>
  <c r="IC173" i="1"/>
  <c r="IA173" i="1"/>
  <c r="IC119" i="1"/>
  <c r="IA119" i="1"/>
  <c r="IE88" i="1"/>
  <c r="IC126" i="1"/>
  <c r="IA126" i="1"/>
  <c r="DI109" i="1"/>
  <c r="DH109" i="1"/>
  <c r="IA94" i="1"/>
  <c r="IC94" i="1"/>
  <c r="II81" i="1"/>
  <c r="DH107" i="1"/>
  <c r="IC136" i="1"/>
  <c r="IA136" i="1"/>
  <c r="DI94" i="1"/>
  <c r="DH94" i="1"/>
  <c r="IA83" i="1"/>
  <c r="IC83" i="1"/>
  <c r="IK98" i="1"/>
  <c r="IL98" i="1"/>
  <c r="IJ98" i="1"/>
  <c r="IC72" i="1"/>
  <c r="IA72" i="1"/>
  <c r="IA65" i="1"/>
  <c r="IC65" i="1"/>
  <c r="DI97" i="1"/>
  <c r="DH97" i="1"/>
  <c r="IC78" i="1"/>
  <c r="IA78" i="1"/>
  <c r="DI66" i="1"/>
  <c r="DH66" i="1"/>
  <c r="DI106" i="1"/>
  <c r="DH106" i="1"/>
  <c r="DA25" i="1"/>
  <c r="CR53" i="1"/>
  <c r="IF53" i="1"/>
  <c r="II53" i="1" s="1"/>
  <c r="IC14" i="1"/>
  <c r="IA14" i="1"/>
  <c r="DW76" i="1"/>
  <c r="DV76" i="1"/>
  <c r="CR67" i="1"/>
  <c r="CY67" i="1"/>
  <c r="IF67" i="1"/>
  <c r="II67" i="1" s="1"/>
  <c r="IC25" i="1"/>
  <c r="IA25" i="1"/>
  <c r="CR80" i="1"/>
  <c r="CY80" i="1"/>
  <c r="DB61" i="1"/>
  <c r="DA61" i="1"/>
  <c r="EQ48" i="1"/>
  <c r="IL25" i="1"/>
  <c r="IK25" i="1"/>
  <c r="IJ25" i="1"/>
  <c r="DM72" i="1"/>
  <c r="CY72" i="1"/>
  <c r="DF72" i="1"/>
  <c r="CR72" i="1"/>
  <c r="II30" i="1"/>
  <c r="IA20" i="1"/>
  <c r="IC20" i="1"/>
  <c r="DB40" i="1"/>
  <c r="DA40" i="1"/>
  <c r="DH16" i="1"/>
  <c r="DI16" i="1"/>
  <c r="CU54" i="1"/>
  <c r="CT54" i="1"/>
  <c r="II34" i="1"/>
  <c r="DB17" i="1"/>
  <c r="DA17" i="1"/>
  <c r="DB6" i="1"/>
  <c r="DA6" i="1"/>
  <c r="CU35" i="1"/>
  <c r="CT35" i="1"/>
  <c r="IA7" i="1"/>
  <c r="IC7" i="1"/>
  <c r="IC513" i="1" s="1"/>
  <c r="IC462" i="1"/>
  <c r="IA462" i="1"/>
  <c r="IC404" i="1"/>
  <c r="IA404" i="1"/>
  <c r="IC365" i="1"/>
  <c r="IA365" i="1"/>
  <c r="IA236" i="1"/>
  <c r="IC236" i="1"/>
  <c r="IC129" i="1"/>
  <c r="IA129" i="1"/>
  <c r="IK26" i="1"/>
  <c r="IJ26" i="1"/>
  <c r="IL26" i="1"/>
  <c r="CY32" i="1"/>
  <c r="CR32" i="1"/>
  <c r="DF32" i="1"/>
  <c r="CY69" i="1"/>
  <c r="CR69" i="1"/>
  <c r="IF69" i="1"/>
  <c r="DI65" i="1"/>
  <c r="DH65" i="1"/>
  <c r="DF71" i="1"/>
  <c r="CR71" i="1"/>
  <c r="IF71" i="1"/>
  <c r="II71" i="1" s="1"/>
  <c r="DM71" i="1"/>
  <c r="CY71" i="1"/>
  <c r="IA24" i="1"/>
  <c r="IC24" i="1"/>
  <c r="HY513" i="1"/>
  <c r="IC69" i="1"/>
  <c r="IA69" i="1"/>
  <c r="IC30" i="1"/>
  <c r="IA30" i="1"/>
  <c r="CY57" i="1"/>
  <c r="IF57" i="1"/>
  <c r="II57" i="1" s="1"/>
  <c r="CR57" i="1"/>
  <c r="DF21" i="1"/>
  <c r="CR21" i="1"/>
  <c r="IF21" i="1"/>
  <c r="II21" i="1" s="1"/>
  <c r="CY21" i="1"/>
  <c r="DT7" i="1"/>
  <c r="CR7" i="1"/>
  <c r="DM7" i="1"/>
  <c r="CY7" i="1"/>
  <c r="DF7" i="1"/>
  <c r="DB20" i="1"/>
  <c r="DA20" i="1"/>
  <c r="IC26" i="1"/>
  <c r="IA26" i="1"/>
  <c r="IC21" i="1"/>
  <c r="IA21" i="1"/>
  <c r="DV26" i="1"/>
  <c r="DW26" i="1"/>
  <c r="DP13" i="1"/>
  <c r="DO13" i="1"/>
  <c r="CT34" i="1"/>
  <c r="CU34" i="1"/>
  <c r="DP25" i="1"/>
  <c r="DO25" i="1"/>
  <c r="DI32" i="1"/>
  <c r="DH32" i="1"/>
  <c r="ID5" i="1"/>
  <c r="IC502" i="1"/>
  <c r="IA502" i="1"/>
  <c r="IC495" i="1"/>
  <c r="IA495" i="1"/>
  <c r="IC489" i="1"/>
  <c r="IA489" i="1"/>
  <c r="IC459" i="1"/>
  <c r="IA459" i="1"/>
  <c r="IC453" i="1"/>
  <c r="IA453" i="1"/>
  <c r="IC421" i="1"/>
  <c r="IA421" i="1"/>
  <c r="IC398" i="1"/>
  <c r="IA398" i="1"/>
  <c r="IA413" i="1"/>
  <c r="IC413" i="1"/>
  <c r="IC418" i="1"/>
  <c r="IA418" i="1"/>
  <c r="IC392" i="1"/>
  <c r="IA392" i="1"/>
  <c r="IC346" i="1"/>
  <c r="IA346" i="1"/>
  <c r="IC330" i="1"/>
  <c r="IA330" i="1"/>
  <c r="IC403" i="1"/>
  <c r="IA403" i="1"/>
  <c r="IC432" i="1"/>
  <c r="IA432" i="1"/>
  <c r="IC372" i="1"/>
  <c r="IA372" i="1"/>
  <c r="IC370" i="1"/>
  <c r="IA370" i="1"/>
  <c r="IA375" i="1"/>
  <c r="IC375" i="1"/>
  <c r="IC305" i="1"/>
  <c r="IA305" i="1"/>
  <c r="IA249" i="1"/>
  <c r="IC249" i="1"/>
  <c r="IC302" i="1"/>
  <c r="IA302" i="1"/>
  <c r="IA259" i="1"/>
  <c r="IC259" i="1"/>
  <c r="IA242" i="1"/>
  <c r="IC242" i="1"/>
  <c r="IA174" i="1"/>
  <c r="IC174" i="1"/>
  <c r="IA237" i="1"/>
  <c r="IC237" i="1"/>
  <c r="IC221" i="1"/>
  <c r="IA221" i="1"/>
  <c r="IC207" i="1"/>
  <c r="IA207" i="1"/>
  <c r="IC168" i="1"/>
  <c r="IA168" i="1"/>
  <c r="IA149" i="1"/>
  <c r="IC149" i="1"/>
  <c r="IC133" i="1"/>
  <c r="IA133" i="1"/>
  <c r="IC212" i="1"/>
  <c r="IA212" i="1"/>
  <c r="IC110" i="1"/>
  <c r="IA110" i="1"/>
  <c r="IC225" i="1"/>
  <c r="IA225" i="1"/>
  <c r="IA120" i="1"/>
  <c r="IC120" i="1"/>
  <c r="IK92" i="1"/>
  <c r="IJ92" i="1"/>
  <c r="IL92" i="1"/>
  <c r="IC189" i="1"/>
  <c r="IA189" i="1"/>
  <c r="IE100" i="1"/>
  <c r="IA85" i="1"/>
  <c r="IC85" i="1"/>
  <c r="IC123" i="1"/>
  <c r="IA123" i="1"/>
  <c r="IL108" i="1"/>
  <c r="IK108" i="1"/>
  <c r="IJ108" i="1"/>
  <c r="IA92" i="1"/>
  <c r="IC92" i="1"/>
  <c r="IC150" i="1"/>
  <c r="IA150" i="1"/>
  <c r="CR82" i="1"/>
  <c r="CY82" i="1"/>
  <c r="DF82" i="1"/>
  <c r="DM82" i="1"/>
  <c r="DB79" i="1"/>
  <c r="DA79" i="1"/>
  <c r="IL74" i="1"/>
  <c r="IK74" i="1"/>
  <c r="IJ74" i="1"/>
  <c r="DI105" i="1"/>
  <c r="DH105" i="1"/>
  <c r="DI98" i="1"/>
  <c r="DH98" i="1"/>
  <c r="IA88" i="1"/>
  <c r="IC88" i="1"/>
  <c r="IC105" i="1"/>
  <c r="IA105" i="1"/>
  <c r="IC60" i="1"/>
  <c r="IA60" i="1"/>
  <c r="IC32" i="1"/>
  <c r="IA32" i="1"/>
  <c r="IL80" i="1"/>
  <c r="IK80" i="1"/>
  <c r="IJ80" i="1"/>
  <c r="CR68" i="1"/>
  <c r="IF68" i="1"/>
  <c r="II68" i="1" s="1"/>
  <c r="CY68" i="1"/>
  <c r="IC64" i="1"/>
  <c r="IA64" i="1"/>
  <c r="CR56" i="1"/>
  <c r="CY56" i="1"/>
  <c r="IL31" i="1"/>
  <c r="IK31" i="1"/>
  <c r="IJ31" i="1"/>
  <c r="IJ20" i="1"/>
  <c r="IK20" i="1"/>
  <c r="IL20" i="1"/>
  <c r="IC56" i="1"/>
  <c r="IA56" i="1"/>
  <c r="DB42" i="1"/>
  <c r="DA42" i="1"/>
  <c r="CR35" i="1"/>
  <c r="IF35" i="1"/>
  <c r="IC53" i="1"/>
  <c r="IA53" i="1"/>
  <c r="DH60" i="1"/>
  <c r="DI60" i="1"/>
  <c r="IC48" i="1"/>
  <c r="IA48" i="1"/>
  <c r="CY30" i="1"/>
  <c r="CR30" i="1"/>
  <c r="DF30" i="1"/>
  <c r="IA23" i="1"/>
  <c r="IC23" i="1"/>
  <c r="IC46" i="1"/>
  <c r="IA46" i="1"/>
  <c r="CT37" i="1"/>
  <c r="DB53" i="1"/>
  <c r="DA53" i="1"/>
  <c r="II43" i="1"/>
  <c r="IF38" i="1"/>
  <c r="II38" i="1" s="1"/>
  <c r="CR38" i="1"/>
  <c r="IF8" i="1"/>
  <c r="II8" i="1" s="1"/>
  <c r="DM8" i="1"/>
  <c r="CY8" i="1"/>
  <c r="DF8" i="1"/>
  <c r="CR8" i="1"/>
  <c r="DT8" i="1"/>
  <c r="DH18" i="1"/>
  <c r="DI18" i="1"/>
  <c r="ED14" i="1"/>
  <c r="EC14" i="1"/>
  <c r="ER10" i="1"/>
  <c r="EY10" i="1" s="1"/>
  <c r="FF10" i="1" s="1"/>
  <c r="FM10" i="1" s="1"/>
  <c r="FT10" i="1" s="1"/>
  <c r="GA10" i="1" s="1"/>
  <c r="GH10" i="1" s="1"/>
  <c r="GO10" i="1" s="1"/>
  <c r="GV10" i="1" s="1"/>
  <c r="HC10" i="1" s="1"/>
  <c r="HJ10" i="1" s="1"/>
  <c r="HQ10" i="1" s="1"/>
  <c r="EQ10" i="1"/>
  <c r="DB24" i="1"/>
  <c r="DA24" i="1"/>
  <c r="DH25" i="1"/>
  <c r="CR19" i="1"/>
  <c r="DF19" i="1"/>
  <c r="CY19" i="1"/>
  <c r="IF19" i="1"/>
  <c r="II19" i="1" s="1"/>
  <c r="DM5" i="1"/>
  <c r="DT5" i="1"/>
  <c r="DF5" i="1"/>
  <c r="CR5" i="1"/>
  <c r="CY5" i="1"/>
  <c r="IF5" i="1"/>
  <c r="II5" i="1" s="1"/>
  <c r="IA5" i="1"/>
  <c r="IC509" i="1"/>
  <c r="IA509" i="1"/>
  <c r="IC496" i="1"/>
  <c r="IA496" i="1"/>
  <c r="IC494" i="1"/>
  <c r="IA494" i="1"/>
  <c r="IC483" i="1"/>
  <c r="IA483" i="1"/>
  <c r="IC460" i="1"/>
  <c r="IA460" i="1"/>
  <c r="IC454" i="1"/>
  <c r="IA454" i="1"/>
  <c r="IA455" i="1"/>
  <c r="IC455" i="1"/>
  <c r="IC430" i="1"/>
  <c r="IA430" i="1"/>
  <c r="IC416" i="1"/>
  <c r="IA416" i="1"/>
  <c r="IC360" i="1"/>
  <c r="IA360" i="1"/>
  <c r="IC344" i="1"/>
  <c r="IA344" i="1"/>
  <c r="IC328" i="1"/>
  <c r="IA328" i="1"/>
  <c r="IC420" i="1"/>
  <c r="IA420" i="1"/>
  <c r="IC402" i="1"/>
  <c r="IA402" i="1"/>
  <c r="IA388" i="1"/>
  <c r="IC388" i="1"/>
  <c r="IC353" i="1"/>
  <c r="IA353" i="1"/>
  <c r="IC325" i="1"/>
  <c r="IA325" i="1"/>
  <c r="IC303" i="1"/>
  <c r="IA303" i="1"/>
  <c r="IC379" i="1"/>
  <c r="IA379" i="1"/>
  <c r="IC331" i="1"/>
  <c r="IA331" i="1"/>
  <c r="IC339" i="1"/>
  <c r="IA339" i="1"/>
  <c r="IC318" i="1"/>
  <c r="IA318" i="1"/>
  <c r="IC285" i="1"/>
  <c r="IA285" i="1"/>
  <c r="IC268" i="1"/>
  <c r="IA268" i="1"/>
  <c r="IA233" i="1"/>
  <c r="IC233" i="1"/>
  <c r="IC262" i="1"/>
  <c r="IA262" i="1"/>
  <c r="IC261" i="1"/>
  <c r="IA261" i="1"/>
  <c r="IC214" i="1"/>
  <c r="IA214" i="1"/>
  <c r="IC172" i="1"/>
  <c r="IA172" i="1"/>
  <c r="IA229" i="1"/>
  <c r="IC229" i="1"/>
  <c r="IA219" i="1"/>
  <c r="IC219" i="1"/>
  <c r="IC254" i="1"/>
  <c r="IA254" i="1"/>
  <c r="IC232" i="1"/>
  <c r="IA232" i="1"/>
  <c r="IA202" i="1"/>
  <c r="IC202" i="1"/>
  <c r="IA163" i="1"/>
  <c r="IC163" i="1"/>
  <c r="IA147" i="1"/>
  <c r="IC147" i="1"/>
  <c r="IC131" i="1"/>
  <c r="IA131" i="1"/>
  <c r="IA235" i="1"/>
  <c r="IC235" i="1"/>
  <c r="IA127" i="1"/>
  <c r="IC127" i="1"/>
  <c r="IA165" i="1"/>
  <c r="IC165" i="1"/>
  <c r="IC152" i="1"/>
  <c r="IA152" i="1"/>
  <c r="II97" i="1"/>
  <c r="IC146" i="1"/>
  <c r="IA146" i="1"/>
  <c r="IE86" i="1"/>
  <c r="IA66" i="1"/>
  <c r="IC66" i="1"/>
  <c r="CR86" i="1"/>
  <c r="IF86" i="1"/>
  <c r="II86" i="1" s="1"/>
  <c r="IA93" i="1"/>
  <c r="IC93" i="1"/>
  <c r="IA103" i="1"/>
  <c r="IC103" i="1"/>
  <c r="IF82" i="1"/>
  <c r="II82" i="1" s="1"/>
  <c r="IC63" i="1"/>
  <c r="IA63" i="1"/>
  <c r="IA17" i="1"/>
  <c r="IC17" i="1"/>
  <c r="EK96" i="1"/>
  <c r="EJ96" i="1"/>
  <c r="IE96" i="1" s="1"/>
  <c r="CU75" i="1"/>
  <c r="CT75" i="1"/>
  <c r="CR51" i="1"/>
  <c r="IF51" i="1"/>
  <c r="II51" i="1" s="1"/>
  <c r="IA73" i="1"/>
  <c r="IC73" i="1"/>
  <c r="IA45" i="1"/>
  <c r="IC45" i="1"/>
  <c r="ED99" i="1"/>
  <c r="EC99" i="1"/>
  <c r="EJ81" i="1"/>
  <c r="IE81" i="1" s="1"/>
  <c r="IL42" i="1"/>
  <c r="IK42" i="1"/>
  <c r="IJ42" i="1"/>
  <c r="DI30" i="1"/>
  <c r="DH30" i="1"/>
  <c r="II45" i="1"/>
  <c r="IC38" i="1"/>
  <c r="IA38" i="1"/>
  <c r="IC59" i="1"/>
  <c r="IA59" i="1"/>
  <c r="CR48" i="1"/>
  <c r="IF48" i="1"/>
  <c r="II48" i="1" s="1"/>
  <c r="IC43" i="1"/>
  <c r="IA43" i="1"/>
  <c r="DI38" i="1"/>
  <c r="DH38" i="1"/>
  <c r="CY61" i="1"/>
  <c r="CR61" i="1"/>
  <c r="EQ41" i="1"/>
  <c r="IC10" i="1"/>
  <c r="IA10" i="1"/>
  <c r="CT36" i="1"/>
  <c r="CU36" i="1"/>
  <c r="II33" i="1"/>
  <c r="DA38" i="1"/>
  <c r="IF46" i="1"/>
  <c r="II46" i="1" s="1"/>
  <c r="CR46" i="1"/>
  <c r="IA44" i="1"/>
  <c r="IC44" i="1"/>
  <c r="DP31" i="1"/>
  <c r="DO31" i="1"/>
  <c r="CY17" i="1"/>
  <c r="CR17" i="1"/>
  <c r="DF17" i="1"/>
  <c r="CY6" i="1"/>
  <c r="DF6" i="1"/>
  <c r="IF6" i="1"/>
  <c r="II6" i="1" s="1"/>
  <c r="DM6" i="1"/>
  <c r="DT6" i="1"/>
  <c r="CR6" i="1"/>
  <c r="IC493" i="1"/>
  <c r="IA493" i="1"/>
  <c r="IC383" i="1"/>
  <c r="IA383" i="1"/>
  <c r="IC406" i="1"/>
  <c r="IA406" i="1"/>
  <c r="IC407" i="1"/>
  <c r="IA407" i="1"/>
  <c r="IC307" i="1"/>
  <c r="IA307" i="1"/>
  <c r="IA135" i="1"/>
  <c r="IC135" i="1"/>
  <c r="IA208" i="1"/>
  <c r="IC208" i="1"/>
  <c r="DI49" i="1"/>
  <c r="DH49" i="1"/>
  <c r="IC507" i="1"/>
  <c r="IA507" i="1"/>
  <c r="IA488" i="1"/>
  <c r="IC488" i="1"/>
  <c r="IC465" i="1"/>
  <c r="IA465" i="1"/>
  <c r="IA397" i="1"/>
  <c r="IC397" i="1"/>
  <c r="IC326" i="1"/>
  <c r="IA326" i="1"/>
  <c r="IC296" i="1"/>
  <c r="IA296" i="1"/>
  <c r="IC306" i="1"/>
  <c r="IA306" i="1"/>
  <c r="IA194" i="1"/>
  <c r="IC194" i="1"/>
  <c r="IC201" i="1"/>
  <c r="IA201" i="1"/>
  <c r="IA161" i="1"/>
  <c r="IC161" i="1"/>
  <c r="IA145" i="1"/>
  <c r="IC145" i="1"/>
  <c r="IC210" i="1"/>
  <c r="IA210" i="1"/>
  <c r="IC171" i="1"/>
  <c r="IA171" i="1"/>
  <c r="IA188" i="1"/>
  <c r="IC188" i="1"/>
  <c r="IA125" i="1"/>
  <c r="IC125" i="1"/>
  <c r="IA170" i="1"/>
  <c r="IC170" i="1"/>
  <c r="IA108" i="1"/>
  <c r="IC108" i="1"/>
  <c r="IE91" i="1"/>
  <c r="IA75" i="1"/>
  <c r="IC75" i="1"/>
  <c r="IC134" i="1"/>
  <c r="IA134" i="1"/>
  <c r="IC104" i="1"/>
  <c r="IA104" i="1"/>
  <c r="IC79" i="1"/>
  <c r="IA79" i="1"/>
  <c r="IC160" i="1"/>
  <c r="IA160" i="1"/>
  <c r="DB71" i="1"/>
  <c r="DA71" i="1"/>
  <c r="EQ100" i="1"/>
  <c r="CR76" i="1"/>
  <c r="IF76" i="1"/>
  <c r="II76" i="1" s="1"/>
  <c r="IC62" i="1"/>
  <c r="IA62" i="1"/>
  <c r="DI52" i="1"/>
  <c r="DH52" i="1"/>
  <c r="EK92" i="1"/>
  <c r="EJ92" i="1"/>
  <c r="IE92" i="1" s="1"/>
  <c r="CY63" i="1"/>
  <c r="CR63" i="1"/>
  <c r="DB59" i="1"/>
  <c r="DA59" i="1"/>
  <c r="IA96" i="1"/>
  <c r="IC96" i="1"/>
  <c r="IF85" i="1"/>
  <c r="II85" i="1" s="1"/>
  <c r="II75" i="1"/>
  <c r="IC99" i="1"/>
  <c r="IA99" i="1"/>
  <c r="EQ91" i="1"/>
  <c r="CY64" i="1"/>
  <c r="CR64" i="1"/>
  <c r="DA72" i="1"/>
  <c r="DB72" i="1"/>
  <c r="DA52" i="1"/>
  <c r="IC34" i="1"/>
  <c r="IA34" i="1"/>
  <c r="II17" i="1"/>
  <c r="CU85" i="1"/>
  <c r="CT85" i="1"/>
  <c r="DB45" i="1"/>
  <c r="DA45" i="1"/>
  <c r="IA40" i="1"/>
  <c r="IC40" i="1"/>
  <c r="CR74" i="1"/>
  <c r="CY74" i="1"/>
  <c r="IC71" i="1"/>
  <c r="IA71" i="1"/>
  <c r="DA51" i="1"/>
  <c r="IL37" i="1"/>
  <c r="IK37" i="1"/>
  <c r="IJ37" i="1"/>
  <c r="IC29" i="1"/>
  <c r="IA29" i="1"/>
  <c r="IA52" i="1"/>
  <c r="IC52" i="1"/>
  <c r="DI104" i="1"/>
  <c r="DH104" i="1"/>
  <c r="II69" i="1"/>
  <c r="CR60" i="1"/>
  <c r="CY60" i="1"/>
  <c r="EC41" i="1"/>
  <c r="DB27" i="1"/>
  <c r="DA27" i="1"/>
  <c r="IC28" i="1"/>
  <c r="IA28" i="1"/>
  <c r="II16" i="1"/>
  <c r="DW43" i="1"/>
  <c r="DV43" i="1"/>
  <c r="II28" i="1"/>
  <c r="DO14" i="1"/>
  <c r="IC6" i="1"/>
  <c r="IA6" i="1"/>
  <c r="CY16" i="1"/>
  <c r="DF16" i="1"/>
  <c r="CR16" i="1"/>
  <c r="IF7" i="1"/>
  <c r="DM9" i="1"/>
  <c r="CY9" i="1"/>
  <c r="DT9" i="1"/>
  <c r="EO9" i="1"/>
  <c r="EA9" i="1"/>
  <c r="CR9" i="1"/>
  <c r="EH9" i="1"/>
  <c r="IF9" i="1"/>
  <c r="DF9" i="1"/>
  <c r="HX513" i="1"/>
  <c r="IC485" i="1"/>
  <c r="IA485" i="1"/>
  <c r="IC463" i="1"/>
  <c r="IA463" i="1"/>
  <c r="IC439" i="1"/>
  <c r="IA439" i="1"/>
  <c r="IC415" i="1"/>
  <c r="IA415" i="1"/>
  <c r="IC351" i="1"/>
  <c r="IA351" i="1"/>
  <c r="IC260" i="1"/>
  <c r="IA260" i="1"/>
  <c r="ED107" i="1"/>
  <c r="EC107" i="1"/>
  <c r="IL104" i="1"/>
  <c r="IJ104" i="1"/>
  <c r="IK104" i="1"/>
  <c r="IA90" i="1"/>
  <c r="IC90" i="1"/>
  <c r="IA95" i="1"/>
  <c r="IC95" i="1"/>
  <c r="IA107" i="1"/>
  <c r="IC107" i="1"/>
  <c r="IA91" i="1"/>
  <c r="IC91" i="1"/>
  <c r="IA70" i="1"/>
  <c r="IC70" i="1"/>
  <c r="ED102" i="1"/>
  <c r="EC102" i="1"/>
  <c r="CR62" i="1"/>
  <c r="CY62" i="1"/>
  <c r="IF49" i="1"/>
  <c r="DI108" i="1"/>
  <c r="DH108" i="1"/>
  <c r="IF62" i="1"/>
  <c r="II62" i="1" s="1"/>
  <c r="DB67" i="1"/>
  <c r="DA67" i="1"/>
  <c r="IF36" i="1"/>
  <c r="II36" i="1" s="1"/>
  <c r="IA51" i="1"/>
  <c r="IC51" i="1"/>
  <c r="CY34" i="1"/>
  <c r="CR34" i="1"/>
  <c r="IC27" i="1"/>
  <c r="IA27" i="1"/>
  <c r="DH51" i="1"/>
  <c r="DI51" i="1"/>
  <c r="IJ44" i="1"/>
  <c r="IL44" i="1"/>
  <c r="IK44" i="1"/>
  <c r="IL73" i="1"/>
  <c r="IJ73" i="1"/>
  <c r="IK73" i="1"/>
  <c r="IJ64" i="1"/>
  <c r="IK64" i="1"/>
  <c r="IL64" i="1"/>
  <c r="DB56" i="1"/>
  <c r="DA56" i="1"/>
  <c r="IC102" i="1"/>
  <c r="IA102" i="1"/>
  <c r="IC42" i="1"/>
  <c r="IA42" i="1"/>
  <c r="DB37" i="1"/>
  <c r="DA37" i="1"/>
  <c r="CY29" i="1"/>
  <c r="CR29" i="1"/>
  <c r="DF29" i="1"/>
  <c r="CR81" i="1"/>
  <c r="CY81" i="1"/>
  <c r="DB64" i="1"/>
  <c r="DA64" i="1"/>
  <c r="IF32" i="1"/>
  <c r="II32" i="1" s="1"/>
  <c r="CU69" i="1"/>
  <c r="CT69" i="1"/>
  <c r="IF45" i="1"/>
  <c r="CR45" i="1"/>
  <c r="CU44" i="1"/>
  <c r="CT44" i="1"/>
  <c r="CR24" i="1"/>
  <c r="IF24" i="1"/>
  <c r="II24" i="1" s="1"/>
  <c r="DF24" i="1"/>
  <c r="CY24" i="1"/>
  <c r="II15" i="1"/>
  <c r="II9" i="1"/>
  <c r="CT28" i="1"/>
  <c r="CU28" i="1"/>
  <c r="IA11" i="1"/>
  <c r="IC11" i="1"/>
  <c r="DO26" i="1"/>
  <c r="II29" i="1"/>
  <c r="IL66" i="1"/>
  <c r="IJ66" i="1"/>
  <c r="IK66" i="1"/>
  <c r="IC424" i="1"/>
  <c r="IA424" i="1"/>
  <c r="IC348" i="1"/>
  <c r="IA348" i="1"/>
  <c r="IC251" i="1"/>
  <c r="IA251" i="1"/>
  <c r="IC269" i="1"/>
  <c r="IA269" i="1"/>
  <c r="IC226" i="1"/>
  <c r="IA226" i="1"/>
  <c r="IC187" i="1"/>
  <c r="IA187" i="1"/>
  <c r="IA196" i="1"/>
  <c r="IC196" i="1"/>
  <c r="IE80" i="1"/>
  <c r="IA84" i="1"/>
  <c r="IC84" i="1"/>
  <c r="IC447" i="1"/>
  <c r="IA447" i="1"/>
  <c r="IC358" i="1"/>
  <c r="IA358" i="1"/>
  <c r="IC389" i="1"/>
  <c r="IA389" i="1"/>
  <c r="IA385" i="1"/>
  <c r="IC385" i="1"/>
  <c r="IC382" i="1"/>
  <c r="IA382" i="1"/>
  <c r="IA186" i="1"/>
  <c r="IC186" i="1"/>
  <c r="IC213" i="1"/>
  <c r="IA213" i="1"/>
  <c r="IC504" i="1"/>
  <c r="IA504" i="1"/>
  <c r="IA480" i="1"/>
  <c r="IC480" i="1"/>
  <c r="IC425" i="1"/>
  <c r="IA425" i="1"/>
  <c r="IC456" i="1"/>
  <c r="IA456" i="1"/>
  <c r="IA395" i="1"/>
  <c r="IC395" i="1"/>
  <c r="IC281" i="1"/>
  <c r="IA281" i="1"/>
  <c r="IA184" i="1"/>
  <c r="IC184" i="1"/>
  <c r="IC247" i="1"/>
  <c r="IA247" i="1"/>
  <c r="IC183" i="1"/>
  <c r="IA183" i="1"/>
  <c r="IA204" i="1"/>
  <c r="IC204" i="1"/>
  <c r="IC193" i="1"/>
  <c r="IA193" i="1"/>
  <c r="IC491" i="1"/>
  <c r="IA491" i="1"/>
  <c r="IC479" i="1"/>
  <c r="IA479" i="1"/>
  <c r="IA468" i="1"/>
  <c r="IC468" i="1"/>
  <c r="IC475" i="1"/>
  <c r="IA475" i="1"/>
  <c r="IA470" i="1"/>
  <c r="IC470" i="1"/>
  <c r="IA443" i="1"/>
  <c r="IC443" i="1"/>
  <c r="IC450" i="1"/>
  <c r="IA450" i="1"/>
  <c r="IC354" i="1"/>
  <c r="IA354" i="1"/>
  <c r="IC338" i="1"/>
  <c r="IA338" i="1"/>
  <c r="IA390" i="1"/>
  <c r="IC390" i="1"/>
  <c r="IC438" i="1"/>
  <c r="IA438" i="1"/>
  <c r="IC376" i="1"/>
  <c r="IA376" i="1"/>
  <c r="IC297" i="1"/>
  <c r="IA297" i="1"/>
  <c r="IC373" i="1"/>
  <c r="IA373" i="1"/>
  <c r="IC337" i="1"/>
  <c r="IA337" i="1"/>
  <c r="IC327" i="1"/>
  <c r="IA327" i="1"/>
  <c r="IC300" i="1"/>
  <c r="IA300" i="1"/>
  <c r="IA257" i="1"/>
  <c r="IC257" i="1"/>
  <c r="IC310" i="1"/>
  <c r="IA310" i="1"/>
  <c r="IC273" i="1"/>
  <c r="IA273" i="1"/>
  <c r="IC277" i="1"/>
  <c r="IA277" i="1"/>
  <c r="IC241" i="1"/>
  <c r="IA241" i="1"/>
  <c r="IC264" i="1"/>
  <c r="IA264" i="1"/>
  <c r="IA290" i="1"/>
  <c r="IC290" i="1"/>
  <c r="IC243" i="1"/>
  <c r="IA243" i="1"/>
  <c r="IA182" i="1"/>
  <c r="IC182" i="1"/>
  <c r="IA206" i="1"/>
  <c r="IC206" i="1"/>
  <c r="IA157" i="1"/>
  <c r="IC157" i="1"/>
  <c r="IA141" i="1"/>
  <c r="IC141" i="1"/>
  <c r="IC175" i="1"/>
  <c r="IA175" i="1"/>
  <c r="IC118" i="1"/>
  <c r="IA118" i="1"/>
  <c r="IA167" i="1"/>
  <c r="IC167" i="1"/>
  <c r="IC158" i="1"/>
  <c r="IA158" i="1"/>
  <c r="IC128" i="1"/>
  <c r="IA128" i="1"/>
  <c r="IC140" i="1"/>
  <c r="IA140" i="1"/>
  <c r="IJ72" i="1"/>
  <c r="IK72" i="1"/>
  <c r="IL72" i="1"/>
  <c r="IC122" i="1"/>
  <c r="IA122" i="1"/>
  <c r="DI89" i="1"/>
  <c r="DH89" i="1"/>
  <c r="IC144" i="1"/>
  <c r="IA144" i="1"/>
  <c r="IC130" i="1"/>
  <c r="IA130" i="1"/>
  <c r="DI90" i="1"/>
  <c r="DH90" i="1"/>
  <c r="IF84" i="1"/>
  <c r="II84" i="1" s="1"/>
  <c r="DI87" i="1"/>
  <c r="DO87" i="1" s="1"/>
  <c r="DH87" i="1"/>
  <c r="IC80" i="1"/>
  <c r="IA80" i="1"/>
  <c r="IF56" i="1"/>
  <c r="II56" i="1" s="1"/>
  <c r="DF83" i="1"/>
  <c r="CR83" i="1"/>
  <c r="CY83" i="1"/>
  <c r="DW84" i="1"/>
  <c r="DV84" i="1"/>
  <c r="IE70" i="1"/>
  <c r="DB83" i="1"/>
  <c r="DA83" i="1"/>
  <c r="CR40" i="1"/>
  <c r="CY40" i="1"/>
  <c r="IC33" i="1"/>
  <c r="IA33" i="1"/>
  <c r="CR27" i="1"/>
  <c r="CY27" i="1"/>
  <c r="IA16" i="1"/>
  <c r="IC16" i="1"/>
  <c r="IA37" i="1"/>
  <c r="IC37" i="1"/>
  <c r="CU68" i="1"/>
  <c r="CT68" i="1"/>
  <c r="II63" i="1"/>
  <c r="EJ41" i="1"/>
  <c r="II27" i="1"/>
  <c r="DB57" i="1"/>
  <c r="DA57" i="1"/>
  <c r="IK50" i="1"/>
  <c r="IJ50" i="1"/>
  <c r="IL50" i="1"/>
  <c r="IJ47" i="1"/>
  <c r="IL47" i="1"/>
  <c r="IK47" i="1"/>
  <c r="CR77" i="1"/>
  <c r="IF77" i="1"/>
  <c r="II77" i="1" s="1"/>
  <c r="CY77" i="1"/>
  <c r="DA26" i="1"/>
  <c r="II49" i="1"/>
  <c r="IC31" i="1"/>
  <c r="IA31" i="1"/>
  <c r="CT15" i="1"/>
  <c r="CU15" i="1"/>
  <c r="CT9" i="1"/>
  <c r="CU9" i="1"/>
  <c r="IK10" i="1"/>
  <c r="IJ10" i="1"/>
  <c r="IL10" i="1"/>
  <c r="ED23" i="1"/>
  <c r="EC23" i="1"/>
  <c r="DI5" i="1"/>
  <c r="DH5" i="1"/>
  <c r="CU29" i="1"/>
  <c r="CT29" i="1"/>
  <c r="DB8" i="1"/>
  <c r="DA8" i="1"/>
  <c r="IA58" i="1"/>
  <c r="IC58" i="1"/>
  <c r="CR18" i="1"/>
  <c r="IF18" i="1"/>
  <c r="II18" i="1" s="1"/>
  <c r="DF18" i="1"/>
  <c r="CY18" i="1"/>
  <c r="DV14" i="1"/>
  <c r="DI47" i="1"/>
  <c r="DH47" i="1"/>
  <c r="IA478" i="1"/>
  <c r="IC478" i="1"/>
  <c r="IC457" i="1"/>
  <c r="IA457" i="1"/>
  <c r="IC332" i="1"/>
  <c r="IA332" i="1"/>
  <c r="IC317" i="1"/>
  <c r="IA317" i="1"/>
  <c r="IC289" i="1"/>
  <c r="IA289" i="1"/>
  <c r="IC176" i="1"/>
  <c r="IA176" i="1"/>
  <c r="IA151" i="1"/>
  <c r="IC151" i="1"/>
  <c r="IC156" i="1"/>
  <c r="IA156" i="1"/>
  <c r="IC100" i="1"/>
  <c r="IA100" i="1"/>
  <c r="IC117" i="1"/>
  <c r="IA117" i="1"/>
  <c r="IF78" i="1"/>
  <c r="II78" i="1" s="1"/>
  <c r="CY78" i="1"/>
  <c r="CR78" i="1"/>
  <c r="IC446" i="1"/>
  <c r="IA446" i="1"/>
  <c r="IC342" i="1"/>
  <c r="IA342" i="1"/>
  <c r="IA419" i="1"/>
  <c r="IC419" i="1"/>
  <c r="IC362" i="1"/>
  <c r="IA362" i="1"/>
  <c r="IC315" i="1"/>
  <c r="IA315" i="1"/>
  <c r="IA292" i="1"/>
  <c r="IC292" i="1"/>
  <c r="IC283" i="1"/>
  <c r="IA283" i="1"/>
  <c r="IC505" i="1"/>
  <c r="IA505" i="1"/>
  <c r="IC441" i="1"/>
  <c r="IA441" i="1"/>
  <c r="IA391" i="1"/>
  <c r="IC391" i="1"/>
  <c r="IC429" i="1"/>
  <c r="IA429" i="1"/>
  <c r="IC356" i="1"/>
  <c r="IA356" i="1"/>
  <c r="IC324" i="1"/>
  <c r="IA324" i="1"/>
  <c r="IC364" i="1"/>
  <c r="IA364" i="1"/>
  <c r="IC299" i="1"/>
  <c r="IA299" i="1"/>
  <c r="IC345" i="1"/>
  <c r="IA345" i="1"/>
  <c r="IC287" i="1"/>
  <c r="IA287" i="1"/>
  <c r="IA230" i="1"/>
  <c r="IC230" i="1"/>
  <c r="IC223" i="1"/>
  <c r="IA223" i="1"/>
  <c r="IC209" i="1"/>
  <c r="IA209" i="1"/>
  <c r="IC252" i="1"/>
  <c r="IA252" i="1"/>
  <c r="IA143" i="1"/>
  <c r="IC143" i="1"/>
  <c r="IA499" i="1"/>
  <c r="IC499" i="1"/>
  <c r="IC482" i="1"/>
  <c r="IA482" i="1"/>
  <c r="IA501" i="1"/>
  <c r="IC501" i="1"/>
  <c r="IC497" i="1"/>
  <c r="IA497" i="1"/>
  <c r="IA490" i="1"/>
  <c r="IC490" i="1"/>
  <c r="IA466" i="1"/>
  <c r="IC466" i="1"/>
  <c r="IA472" i="1"/>
  <c r="IC472" i="1"/>
  <c r="IC440" i="1"/>
  <c r="IA440" i="1"/>
  <c r="IC477" i="1"/>
  <c r="IA477" i="1"/>
  <c r="IC436" i="1"/>
  <c r="IA436" i="1"/>
  <c r="IA451" i="1"/>
  <c r="IC451" i="1"/>
  <c r="IC401" i="1"/>
  <c r="IA401" i="1"/>
  <c r="IC352" i="1"/>
  <c r="IA352" i="1"/>
  <c r="IC336" i="1"/>
  <c r="IA336" i="1"/>
  <c r="IC381" i="1"/>
  <c r="IA381" i="1"/>
  <c r="IC410" i="1"/>
  <c r="IA410" i="1"/>
  <c r="IC386" i="1"/>
  <c r="IA386" i="1"/>
  <c r="IA316" i="1"/>
  <c r="IC316" i="1"/>
  <c r="IC357" i="1"/>
  <c r="IA357" i="1"/>
  <c r="IC314" i="1"/>
  <c r="IA314" i="1"/>
  <c r="IC363" i="1"/>
  <c r="IA363" i="1"/>
  <c r="IC311" i="1"/>
  <c r="IA311" i="1"/>
  <c r="IC295" i="1"/>
  <c r="IA295" i="1"/>
  <c r="IC335" i="1"/>
  <c r="IA335" i="1"/>
  <c r="IA255" i="1"/>
  <c r="IC255" i="1"/>
  <c r="IA271" i="1"/>
  <c r="IC271" i="1"/>
  <c r="IC240" i="1"/>
  <c r="IA240" i="1"/>
  <c r="IA180" i="1"/>
  <c r="IC180" i="1"/>
  <c r="IC279" i="1"/>
  <c r="IA279" i="1"/>
  <c r="IA200" i="1"/>
  <c r="IC200" i="1"/>
  <c r="IA218" i="1"/>
  <c r="IC218" i="1"/>
  <c r="IA155" i="1"/>
  <c r="IC155" i="1"/>
  <c r="IA139" i="1"/>
  <c r="IC139" i="1"/>
  <c r="IA190" i="1"/>
  <c r="IC190" i="1"/>
  <c r="IC116" i="1"/>
  <c r="IA116" i="1"/>
  <c r="IC199" i="1"/>
  <c r="IA199" i="1"/>
  <c r="IC179" i="1"/>
  <c r="IA179" i="1"/>
  <c r="II96" i="1"/>
  <c r="IC109" i="1"/>
  <c r="IA109" i="1"/>
  <c r="IC121" i="1"/>
  <c r="IA121" i="1"/>
  <c r="IL105" i="1"/>
  <c r="IJ105" i="1"/>
  <c r="IK105" i="1"/>
  <c r="IE95" i="1"/>
  <c r="IL89" i="1"/>
  <c r="IK89" i="1"/>
  <c r="IJ89" i="1"/>
  <c r="II93" i="1"/>
  <c r="II103" i="1"/>
  <c r="DV107" i="1"/>
  <c r="IE101" i="1"/>
  <c r="IC138" i="1"/>
  <c r="IA138" i="1"/>
  <c r="DA78" i="1"/>
  <c r="DB78" i="1"/>
  <c r="II99" i="1"/>
  <c r="II83" i="1"/>
  <c r="IL59" i="1"/>
  <c r="IK59" i="1"/>
  <c r="IJ59" i="1"/>
  <c r="IC111" i="1"/>
  <c r="IA111" i="1"/>
  <c r="CU55" i="1"/>
  <c r="CT55" i="1"/>
  <c r="IC101" i="1"/>
  <c r="IA101" i="1"/>
  <c r="DI93" i="1"/>
  <c r="DH93" i="1"/>
  <c r="DV82" i="1"/>
  <c r="DW82" i="1"/>
  <c r="IJ55" i="1"/>
  <c r="IK55" i="1"/>
  <c r="IL55" i="1"/>
  <c r="DB74" i="1"/>
  <c r="DA74" i="1"/>
  <c r="IF65" i="1"/>
  <c r="II65" i="1" s="1"/>
  <c r="IC49" i="1"/>
  <c r="IA49" i="1"/>
  <c r="CT77" i="1"/>
  <c r="CU77" i="1"/>
  <c r="IC61" i="1"/>
  <c r="IA61" i="1"/>
  <c r="IF43" i="1"/>
  <c r="CR43" i="1"/>
  <c r="DH26" i="1"/>
  <c r="CR66" i="1"/>
  <c r="CY66" i="1"/>
  <c r="DP46" i="1"/>
  <c r="DO46" i="1"/>
  <c r="DB22" i="1"/>
  <c r="DA22" i="1"/>
  <c r="CT63" i="1"/>
  <c r="CU63" i="1"/>
  <c r="II40" i="1"/>
  <c r="IA55" i="1"/>
  <c r="IC55" i="1"/>
  <c r="CU50" i="1"/>
  <c r="CT50" i="1"/>
  <c r="CT42" i="1"/>
  <c r="IC18" i="1"/>
  <c r="IA18" i="1"/>
  <c r="DB62" i="1"/>
  <c r="DA62" i="1"/>
  <c r="DI39" i="1"/>
  <c r="DH39" i="1"/>
  <c r="DB58" i="1"/>
  <c r="DA58" i="1"/>
  <c r="IC39" i="1"/>
  <c r="IA39" i="1"/>
  <c r="CY31" i="1"/>
  <c r="CR31" i="1"/>
  <c r="CR11" i="1"/>
  <c r="CY11" i="1"/>
  <c r="DO33" i="1"/>
  <c r="DP33" i="1"/>
  <c r="II7" i="1"/>
  <c r="IF11" i="1"/>
  <c r="II11" i="1" s="1"/>
  <c r="DB21" i="1"/>
  <c r="DA21" i="1"/>
  <c r="CY15" i="1"/>
  <c r="DF15" i="1"/>
  <c r="CR15" i="1"/>
  <c r="DP7" i="1"/>
  <c r="DO7" i="1"/>
  <c r="II54" i="1"/>
  <c r="CR28" i="1"/>
  <c r="CY28" i="1"/>
  <c r="DH46" i="1"/>
  <c r="II35" i="1"/>
  <c r="IC8" i="1"/>
  <c r="IA8" i="1"/>
  <c r="DP11" i="1"/>
  <c r="DO11" i="1"/>
  <c r="IE41" i="1" l="1"/>
  <c r="IE87" i="1"/>
  <c r="IK24" i="1"/>
  <c r="IL24" i="1"/>
  <c r="IJ24" i="1"/>
  <c r="IL32" i="1"/>
  <c r="IJ32" i="1"/>
  <c r="IK32" i="1"/>
  <c r="IL36" i="1"/>
  <c r="IK36" i="1"/>
  <c r="IJ36" i="1"/>
  <c r="IK46" i="1"/>
  <c r="IJ46" i="1"/>
  <c r="IL46" i="1"/>
  <c r="IL86" i="1"/>
  <c r="IJ86" i="1"/>
  <c r="IK86" i="1"/>
  <c r="IK77" i="1"/>
  <c r="IL77" i="1"/>
  <c r="IJ77" i="1"/>
  <c r="IL62" i="1"/>
  <c r="IK62" i="1"/>
  <c r="IJ62" i="1"/>
  <c r="IL85" i="1"/>
  <c r="IK85" i="1"/>
  <c r="IJ85" i="1"/>
  <c r="IK84" i="1"/>
  <c r="IJ84" i="1"/>
  <c r="IL84" i="1"/>
  <c r="IL35" i="1"/>
  <c r="IK35" i="1"/>
  <c r="IJ35" i="1"/>
  <c r="IL7" i="1"/>
  <c r="IJ7" i="1"/>
  <c r="IK7" i="1"/>
  <c r="IL103" i="1"/>
  <c r="IJ103" i="1"/>
  <c r="IK103" i="1"/>
  <c r="DI40" i="1"/>
  <c r="DH40" i="1"/>
  <c r="DW33" i="1"/>
  <c r="DV33" i="1"/>
  <c r="IL65" i="1"/>
  <c r="IK65" i="1"/>
  <c r="IJ65" i="1"/>
  <c r="IL27" i="1"/>
  <c r="IJ27" i="1"/>
  <c r="IK27" i="1"/>
  <c r="IK82" i="1"/>
  <c r="IL82" i="1"/>
  <c r="IJ82" i="1"/>
  <c r="IL97" i="1"/>
  <c r="IK97" i="1"/>
  <c r="IJ97" i="1"/>
  <c r="DI24" i="1"/>
  <c r="DH24" i="1"/>
  <c r="DW25" i="1"/>
  <c r="DV25" i="1"/>
  <c r="IK11" i="1"/>
  <c r="IJ11" i="1"/>
  <c r="IL11" i="1"/>
  <c r="DH62" i="1"/>
  <c r="DI62" i="1"/>
  <c r="IJ40" i="1"/>
  <c r="IL40" i="1"/>
  <c r="IK40" i="1"/>
  <c r="ED82" i="1"/>
  <c r="EC82" i="1"/>
  <c r="DB55" i="1"/>
  <c r="DA55" i="1"/>
  <c r="IJ83" i="1"/>
  <c r="IL83" i="1"/>
  <c r="IK83" i="1"/>
  <c r="IL78" i="1"/>
  <c r="IK78" i="1"/>
  <c r="IJ78" i="1"/>
  <c r="DP47" i="1"/>
  <c r="DO47" i="1"/>
  <c r="EK23" i="1"/>
  <c r="EJ23" i="1"/>
  <c r="IE23" i="1" s="1"/>
  <c r="ED84" i="1"/>
  <c r="EC84" i="1"/>
  <c r="DA69" i="1"/>
  <c r="DB69" i="1"/>
  <c r="DP104" i="1"/>
  <c r="DO104" i="1"/>
  <c r="IL76" i="1"/>
  <c r="IK76" i="1"/>
  <c r="IJ76" i="1"/>
  <c r="IJ6" i="1"/>
  <c r="IL6" i="1"/>
  <c r="IK6" i="1"/>
  <c r="DP38" i="1"/>
  <c r="DO38" i="1"/>
  <c r="DP60" i="1"/>
  <c r="DO60" i="1"/>
  <c r="DI42" i="1"/>
  <c r="DH42" i="1"/>
  <c r="DP32" i="1"/>
  <c r="DO32" i="1"/>
  <c r="DH20" i="1"/>
  <c r="DI20" i="1"/>
  <c r="IJ71" i="1"/>
  <c r="IL71" i="1"/>
  <c r="IK71" i="1"/>
  <c r="DI17" i="1"/>
  <c r="DH17" i="1"/>
  <c r="DP97" i="1"/>
  <c r="DO97" i="1"/>
  <c r="IL81" i="1"/>
  <c r="IK81" i="1"/>
  <c r="IJ81" i="1"/>
  <c r="DV7" i="1"/>
  <c r="DW7" i="1"/>
  <c r="DH8" i="1"/>
  <c r="DI8" i="1"/>
  <c r="DI57" i="1"/>
  <c r="DH57" i="1"/>
  <c r="IK75" i="1"/>
  <c r="IJ75" i="1"/>
  <c r="IL75" i="1"/>
  <c r="IL45" i="1"/>
  <c r="IK45" i="1"/>
  <c r="IJ45" i="1"/>
  <c r="DI78" i="1"/>
  <c r="DH78" i="1"/>
  <c r="DP89" i="1"/>
  <c r="DO89" i="1"/>
  <c r="DI56" i="1"/>
  <c r="DH56" i="1"/>
  <c r="IL28" i="1"/>
  <c r="IK28" i="1"/>
  <c r="IJ28" i="1"/>
  <c r="DP106" i="1"/>
  <c r="DO106" i="1"/>
  <c r="DI58" i="1"/>
  <c r="DH58" i="1"/>
  <c r="IL93" i="1"/>
  <c r="IK93" i="1"/>
  <c r="IJ93" i="1"/>
  <c r="DB29" i="1"/>
  <c r="DA29" i="1"/>
  <c r="DB28" i="1"/>
  <c r="DA28" i="1"/>
  <c r="DI37" i="1"/>
  <c r="DH37" i="1"/>
  <c r="EK102" i="1"/>
  <c r="EJ102" i="1"/>
  <c r="IE102" i="1" s="1"/>
  <c r="ER92" i="1"/>
  <c r="EY92" i="1" s="1"/>
  <c r="FF92" i="1" s="1"/>
  <c r="FM92" i="1" s="1"/>
  <c r="EQ92" i="1"/>
  <c r="IK48" i="1"/>
  <c r="IJ48" i="1"/>
  <c r="IL48" i="1"/>
  <c r="DP30" i="1"/>
  <c r="DO30" i="1"/>
  <c r="DB34" i="1"/>
  <c r="DA34" i="1"/>
  <c r="IJ57" i="1"/>
  <c r="IL57" i="1"/>
  <c r="IK57" i="1"/>
  <c r="DB54" i="1"/>
  <c r="DA54" i="1"/>
  <c r="DB63" i="1"/>
  <c r="DA63" i="1"/>
  <c r="DI22" i="1"/>
  <c r="DH22" i="1"/>
  <c r="DI74" i="1"/>
  <c r="DH74" i="1"/>
  <c r="DP93" i="1"/>
  <c r="DO93" i="1"/>
  <c r="IL18" i="1"/>
  <c r="IK18" i="1"/>
  <c r="IJ18" i="1"/>
  <c r="DB9" i="1"/>
  <c r="DA9" i="1"/>
  <c r="IL63" i="1"/>
  <c r="IK63" i="1"/>
  <c r="IJ63" i="1"/>
  <c r="DI83" i="1"/>
  <c r="DH83" i="1"/>
  <c r="DP90" i="1"/>
  <c r="DO90" i="1"/>
  <c r="DB44" i="1"/>
  <c r="DA44" i="1"/>
  <c r="DI64" i="1"/>
  <c r="DH64" i="1"/>
  <c r="DP51" i="1"/>
  <c r="DO51" i="1"/>
  <c r="EK107" i="1"/>
  <c r="EJ107" i="1"/>
  <c r="IE107" i="1" s="1"/>
  <c r="ED43" i="1"/>
  <c r="EC43" i="1"/>
  <c r="DB85" i="1"/>
  <c r="DA85" i="1"/>
  <c r="DI71" i="1"/>
  <c r="DH71" i="1"/>
  <c r="ER96" i="1"/>
  <c r="EY96" i="1" s="1"/>
  <c r="FF96" i="1" s="1"/>
  <c r="FM96" i="1" s="1"/>
  <c r="EQ96" i="1"/>
  <c r="IL19" i="1"/>
  <c r="IJ19" i="1"/>
  <c r="IK19" i="1"/>
  <c r="DI53" i="1"/>
  <c r="DH53" i="1"/>
  <c r="DI79" i="1"/>
  <c r="DH79" i="1"/>
  <c r="DP65" i="1"/>
  <c r="DO65" i="1"/>
  <c r="DB35" i="1"/>
  <c r="DA35" i="1"/>
  <c r="IK67" i="1"/>
  <c r="IJ67" i="1"/>
  <c r="IL67" i="1"/>
  <c r="DP66" i="1"/>
  <c r="DO66" i="1"/>
  <c r="DP94" i="1"/>
  <c r="DO94" i="1"/>
  <c r="DP109" i="1"/>
  <c r="DO109" i="1"/>
  <c r="IK99" i="1"/>
  <c r="IJ99" i="1"/>
  <c r="IL99" i="1"/>
  <c r="DI67" i="1"/>
  <c r="DH67" i="1"/>
  <c r="DI45" i="1"/>
  <c r="DH45" i="1"/>
  <c r="IL49" i="1"/>
  <c r="IK49" i="1"/>
  <c r="IJ49" i="1"/>
  <c r="DH27" i="1"/>
  <c r="DI27" i="1"/>
  <c r="EK99" i="1"/>
  <c r="EJ99" i="1"/>
  <c r="IE99" i="1" s="1"/>
  <c r="IK43" i="1"/>
  <c r="IJ43" i="1"/>
  <c r="IL43" i="1"/>
  <c r="DW11" i="1"/>
  <c r="DV11" i="1"/>
  <c r="DB50" i="1"/>
  <c r="DA50" i="1"/>
  <c r="IL56" i="1"/>
  <c r="IK56" i="1"/>
  <c r="IJ56" i="1"/>
  <c r="IL9" i="1"/>
  <c r="IK9" i="1"/>
  <c r="IJ9" i="1"/>
  <c r="IK16" i="1"/>
  <c r="IJ16" i="1"/>
  <c r="IL16" i="1"/>
  <c r="IL17" i="1"/>
  <c r="IK17" i="1"/>
  <c r="IJ17" i="1"/>
  <c r="DP52" i="1"/>
  <c r="DO52" i="1"/>
  <c r="DP49" i="1"/>
  <c r="DO49" i="1"/>
  <c r="IA513" i="1"/>
  <c r="DP98" i="1"/>
  <c r="DO98" i="1"/>
  <c r="IL30" i="1"/>
  <c r="IK30" i="1"/>
  <c r="IJ30" i="1"/>
  <c r="IL53" i="1"/>
  <c r="IK53" i="1"/>
  <c r="IJ53" i="1"/>
  <c r="DI72" i="1"/>
  <c r="DH72" i="1"/>
  <c r="IL38" i="1"/>
  <c r="IJ38" i="1"/>
  <c r="IK38" i="1"/>
  <c r="IL34" i="1"/>
  <c r="IK34" i="1"/>
  <c r="IJ34" i="1"/>
  <c r="ED76" i="1"/>
  <c r="EC76" i="1"/>
  <c r="DF13" i="1"/>
  <c r="CY13" i="1"/>
  <c r="CR13" i="1"/>
  <c r="IF13" i="1"/>
  <c r="II13" i="1" s="1"/>
  <c r="DB75" i="1"/>
  <c r="DA75" i="1"/>
  <c r="DH21" i="1"/>
  <c r="DI21" i="1"/>
  <c r="DP39" i="1"/>
  <c r="DO39" i="1"/>
  <c r="DW46" i="1"/>
  <c r="DV46" i="1"/>
  <c r="DA77" i="1"/>
  <c r="DB77" i="1"/>
  <c r="DO5" i="1"/>
  <c r="DP5" i="1"/>
  <c r="DA15" i="1"/>
  <c r="DB15" i="1"/>
  <c r="DA68" i="1"/>
  <c r="DB68" i="1"/>
  <c r="IL15" i="1"/>
  <c r="IK15" i="1"/>
  <c r="IJ15" i="1"/>
  <c r="DP108" i="1"/>
  <c r="DO108" i="1"/>
  <c r="IK69" i="1"/>
  <c r="IJ69" i="1"/>
  <c r="IL69" i="1"/>
  <c r="IL33" i="1"/>
  <c r="IK33" i="1"/>
  <c r="IJ33" i="1"/>
  <c r="IL5" i="1"/>
  <c r="IK5" i="1"/>
  <c r="IJ5" i="1"/>
  <c r="EK14" i="1"/>
  <c r="EJ14" i="1"/>
  <c r="IE14" i="1" s="1"/>
  <c r="IL8" i="1"/>
  <c r="IJ8" i="1"/>
  <c r="IK8" i="1"/>
  <c r="IB513" i="1"/>
  <c r="DW13" i="1"/>
  <c r="DV13" i="1"/>
  <c r="DH6" i="1"/>
  <c r="DI6" i="1"/>
  <c r="DP16" i="1"/>
  <c r="DO16" i="1"/>
  <c r="IK54" i="1"/>
  <c r="IJ54" i="1"/>
  <c r="IL54" i="1"/>
  <c r="IK96" i="1"/>
  <c r="IJ96" i="1"/>
  <c r="IL96" i="1"/>
  <c r="IL29" i="1"/>
  <c r="IK29" i="1"/>
  <c r="IJ29" i="1"/>
  <c r="DI59" i="1"/>
  <c r="DH59" i="1"/>
  <c r="DW31" i="1"/>
  <c r="DV31" i="1"/>
  <c r="DB36" i="1"/>
  <c r="DA36" i="1"/>
  <c r="IJ51" i="1"/>
  <c r="IK51" i="1"/>
  <c r="IL51" i="1"/>
  <c r="DP18" i="1"/>
  <c r="DO18" i="1"/>
  <c r="IK68" i="1"/>
  <c r="IJ68" i="1"/>
  <c r="IL68" i="1"/>
  <c r="DP105" i="1"/>
  <c r="DO105" i="1"/>
  <c r="ED26" i="1"/>
  <c r="EC26" i="1"/>
  <c r="IK21" i="1"/>
  <c r="IJ21" i="1"/>
  <c r="IL21" i="1"/>
  <c r="DI61" i="1"/>
  <c r="DH61" i="1"/>
  <c r="DP74" i="1" l="1"/>
  <c r="DO74" i="1"/>
  <c r="DI55" i="1"/>
  <c r="DH55" i="1"/>
  <c r="ER107" i="1"/>
  <c r="EY107" i="1" s="1"/>
  <c r="FF107" i="1" s="1"/>
  <c r="FM107" i="1" s="1"/>
  <c r="EQ107" i="1"/>
  <c r="DI54" i="1"/>
  <c r="DH54" i="1"/>
  <c r="DW106" i="1"/>
  <c r="DV106" i="1"/>
  <c r="DI69" i="1"/>
  <c r="DH69" i="1"/>
  <c r="DI77" i="1"/>
  <c r="DH77" i="1"/>
  <c r="DW98" i="1"/>
  <c r="DV98" i="1"/>
  <c r="DP71" i="1"/>
  <c r="DO71" i="1"/>
  <c r="DW51" i="1"/>
  <c r="DV51" i="1"/>
  <c r="DP37" i="1"/>
  <c r="DO37" i="1"/>
  <c r="DP42" i="1"/>
  <c r="DO42" i="1"/>
  <c r="DW5" i="1"/>
  <c r="DV5" i="1"/>
  <c r="DW66" i="1"/>
  <c r="DV66" i="1"/>
  <c r="DW104" i="1"/>
  <c r="DV104" i="1"/>
  <c r="DW18" i="1"/>
  <c r="DV18" i="1"/>
  <c r="EK76" i="1"/>
  <c r="EJ76" i="1"/>
  <c r="IE76" i="1" s="1"/>
  <c r="ED11" i="1"/>
  <c r="EC11" i="1"/>
  <c r="DH9" i="1"/>
  <c r="DI9" i="1"/>
  <c r="DW30" i="1"/>
  <c r="DV30" i="1"/>
  <c r="DW89" i="1"/>
  <c r="DV89" i="1"/>
  <c r="DP72" i="1"/>
  <c r="DO72" i="1"/>
  <c r="DP22" i="1"/>
  <c r="DO22" i="1"/>
  <c r="DI75" i="1"/>
  <c r="DH75" i="1"/>
  <c r="DW105" i="1"/>
  <c r="DV105" i="1"/>
  <c r="DI68" i="1"/>
  <c r="DH68" i="1"/>
  <c r="IK13" i="1"/>
  <c r="IJ13" i="1"/>
  <c r="IL13" i="1"/>
  <c r="DW109" i="1"/>
  <c r="DV109" i="1"/>
  <c r="DP53" i="1"/>
  <c r="DO53" i="1"/>
  <c r="DP83" i="1"/>
  <c r="DO83" i="1"/>
  <c r="DO78" i="1"/>
  <c r="DP78" i="1"/>
  <c r="EK84" i="1"/>
  <c r="EJ84" i="1"/>
  <c r="IE84" i="1" s="1"/>
  <c r="ED25" i="1"/>
  <c r="EC25" i="1"/>
  <c r="ED33" i="1"/>
  <c r="EC33" i="1"/>
  <c r="ED31" i="1"/>
  <c r="EC31" i="1"/>
  <c r="DW108" i="1"/>
  <c r="DV108" i="1"/>
  <c r="DI29" i="1"/>
  <c r="DH29" i="1"/>
  <c r="DW47" i="1"/>
  <c r="DV47" i="1"/>
  <c r="ER102" i="1"/>
  <c r="EY102" i="1" s="1"/>
  <c r="FF102" i="1" s="1"/>
  <c r="FM102" i="1" s="1"/>
  <c r="FT102" i="1" s="1"/>
  <c r="GA102" i="1" s="1"/>
  <c r="GH102" i="1" s="1"/>
  <c r="GO102" i="1" s="1"/>
  <c r="GV102" i="1" s="1"/>
  <c r="HC102" i="1" s="1"/>
  <c r="EQ102" i="1"/>
  <c r="DW32" i="1"/>
  <c r="DV32" i="1"/>
  <c r="DP17" i="1"/>
  <c r="DO17" i="1"/>
  <c r="DO61" i="1"/>
  <c r="DP61" i="1"/>
  <c r="ER14" i="1"/>
  <c r="EY14" i="1" s="1"/>
  <c r="FF14" i="1" s="1"/>
  <c r="FM14" i="1" s="1"/>
  <c r="EQ14" i="1"/>
  <c r="ED46" i="1"/>
  <c r="EC46" i="1"/>
  <c r="DW49" i="1"/>
  <c r="DV49" i="1"/>
  <c r="DP45" i="1"/>
  <c r="DO45" i="1"/>
  <c r="DI35" i="1"/>
  <c r="DH35" i="1"/>
  <c r="DI85" i="1"/>
  <c r="DH85" i="1"/>
  <c r="DO64" i="1"/>
  <c r="DP64" i="1"/>
  <c r="DW60" i="1"/>
  <c r="DV60" i="1"/>
  <c r="DP21" i="1"/>
  <c r="DO21" i="1"/>
  <c r="EK26" i="1"/>
  <c r="EJ26" i="1"/>
  <c r="IE26" i="1" s="1"/>
  <c r="ED7" i="1"/>
  <c r="EC7" i="1"/>
  <c r="DW16" i="1"/>
  <c r="DV16" i="1"/>
  <c r="DP79" i="1"/>
  <c r="DO79" i="1"/>
  <c r="DW90" i="1"/>
  <c r="DV90" i="1"/>
  <c r="EK82" i="1"/>
  <c r="EJ82" i="1"/>
  <c r="IE82" i="1" s="1"/>
  <c r="DP6" i="1"/>
  <c r="DO6" i="1"/>
  <c r="DI36" i="1"/>
  <c r="DH36" i="1"/>
  <c r="ED13" i="1"/>
  <c r="EC13" i="1"/>
  <c r="DI15" i="1"/>
  <c r="DH15" i="1"/>
  <c r="ER99" i="1"/>
  <c r="EY99" i="1" s="1"/>
  <c r="FF99" i="1" s="1"/>
  <c r="FM99" i="1" s="1"/>
  <c r="EQ99" i="1"/>
  <c r="DW94" i="1"/>
  <c r="DV94" i="1"/>
  <c r="DW93" i="1"/>
  <c r="DV93" i="1"/>
  <c r="DI63" i="1"/>
  <c r="DH63" i="1"/>
  <c r="DI28" i="1"/>
  <c r="DH28" i="1"/>
  <c r="DP57" i="1"/>
  <c r="DO57" i="1"/>
  <c r="DP20" i="1"/>
  <c r="DO20" i="1"/>
  <c r="ER23" i="1"/>
  <c r="EY23" i="1" s="1"/>
  <c r="FF23" i="1" s="1"/>
  <c r="FM23" i="1" s="1"/>
  <c r="FT23" i="1" s="1"/>
  <c r="GA23" i="1" s="1"/>
  <c r="GH23" i="1" s="1"/>
  <c r="GO23" i="1" s="1"/>
  <c r="EQ23" i="1"/>
  <c r="DP62" i="1"/>
  <c r="DO62" i="1"/>
  <c r="DO24" i="1"/>
  <c r="DP24" i="1"/>
  <c r="DP40" i="1"/>
  <c r="DO40" i="1"/>
  <c r="DP59" i="1"/>
  <c r="DO59" i="1"/>
  <c r="DW39" i="1"/>
  <c r="DV39" i="1"/>
  <c r="DW52" i="1"/>
  <c r="DV52" i="1"/>
  <c r="DI50" i="1"/>
  <c r="DH50" i="1"/>
  <c r="DP27" i="1"/>
  <c r="DO27" i="1"/>
  <c r="DP67" i="1"/>
  <c r="DO67" i="1"/>
  <c r="DW65" i="1"/>
  <c r="DV65" i="1"/>
  <c r="EK43" i="1"/>
  <c r="EJ43" i="1"/>
  <c r="IE43" i="1" s="1"/>
  <c r="DI44" i="1"/>
  <c r="DH44" i="1"/>
  <c r="DI34" i="1"/>
  <c r="DH34" i="1"/>
  <c r="DP58" i="1"/>
  <c r="DO58" i="1"/>
  <c r="DP56" i="1"/>
  <c r="DO56" i="1"/>
  <c r="DP8" i="1"/>
  <c r="DO8" i="1"/>
  <c r="DW97" i="1"/>
  <c r="DV97" i="1"/>
  <c r="DW38" i="1"/>
  <c r="DV38" i="1"/>
  <c r="ED90" i="1" l="1"/>
  <c r="EC90" i="1"/>
  <c r="ED51" i="1"/>
  <c r="EC51" i="1"/>
  <c r="DW59" i="1"/>
  <c r="DV59" i="1"/>
  <c r="DP28" i="1"/>
  <c r="DO28" i="1"/>
  <c r="ED94" i="1"/>
  <c r="EC94" i="1"/>
  <c r="DP36" i="1"/>
  <c r="DO36" i="1"/>
  <c r="DW79" i="1"/>
  <c r="DV79" i="1"/>
  <c r="ER26" i="1"/>
  <c r="EY26" i="1" s="1"/>
  <c r="FF26" i="1" s="1"/>
  <c r="FM26" i="1" s="1"/>
  <c r="FT26" i="1" s="1"/>
  <c r="GA26" i="1" s="1"/>
  <c r="GH26" i="1" s="1"/>
  <c r="GO26" i="1" s="1"/>
  <c r="GV26" i="1" s="1"/>
  <c r="HC26" i="1" s="1"/>
  <c r="EQ26" i="1"/>
  <c r="DP75" i="1"/>
  <c r="DO75" i="1"/>
  <c r="ED89" i="1"/>
  <c r="EC89" i="1"/>
  <c r="DP69" i="1"/>
  <c r="DO69" i="1"/>
  <c r="DW61" i="1"/>
  <c r="DV61" i="1"/>
  <c r="DW78" i="1"/>
  <c r="DV78" i="1"/>
  <c r="DP77" i="1"/>
  <c r="DO77" i="1"/>
  <c r="DW8" i="1"/>
  <c r="DV8" i="1"/>
  <c r="DW27" i="1"/>
  <c r="DV27" i="1"/>
  <c r="DW64" i="1"/>
  <c r="DV64" i="1"/>
  <c r="DW45" i="1"/>
  <c r="DV45" i="1"/>
  <c r="ED66" i="1"/>
  <c r="EC66" i="1"/>
  <c r="DW56" i="1"/>
  <c r="DV56" i="1"/>
  <c r="ER43" i="1"/>
  <c r="EY43" i="1" s="1"/>
  <c r="FF43" i="1" s="1"/>
  <c r="FM43" i="1" s="1"/>
  <c r="EQ43" i="1"/>
  <c r="DP50" i="1"/>
  <c r="DO50" i="1"/>
  <c r="ED49" i="1"/>
  <c r="EC49" i="1"/>
  <c r="DW17" i="1"/>
  <c r="DV17" i="1"/>
  <c r="ED47" i="1"/>
  <c r="EC47" i="1"/>
  <c r="EK33" i="1"/>
  <c r="EJ33" i="1"/>
  <c r="IE33" i="1" s="1"/>
  <c r="DW83" i="1"/>
  <c r="DV83" i="1"/>
  <c r="EQ76" i="1"/>
  <c r="ER76" i="1"/>
  <c r="EY76" i="1" s="1"/>
  <c r="FF76" i="1" s="1"/>
  <c r="FM76" i="1" s="1"/>
  <c r="ED5" i="1"/>
  <c r="EC5" i="1"/>
  <c r="DW71" i="1"/>
  <c r="DV71" i="1"/>
  <c r="DW57" i="1"/>
  <c r="DV57" i="1"/>
  <c r="ED109" i="1"/>
  <c r="EC109" i="1"/>
  <c r="EJ11" i="1"/>
  <c r="IE11" i="1" s="1"/>
  <c r="EK11" i="1"/>
  <c r="ED38" i="1"/>
  <c r="EC38" i="1"/>
  <c r="DW40" i="1"/>
  <c r="DV40" i="1"/>
  <c r="DP63" i="1"/>
  <c r="DO63" i="1"/>
  <c r="DV6" i="1"/>
  <c r="DW6" i="1"/>
  <c r="ED16" i="1"/>
  <c r="EC16" i="1"/>
  <c r="DW21" i="1"/>
  <c r="DV21" i="1"/>
  <c r="DP85" i="1"/>
  <c r="DO85" i="1"/>
  <c r="ED30" i="1"/>
  <c r="EC30" i="1"/>
  <c r="ED106" i="1"/>
  <c r="EC106" i="1"/>
  <c r="DP55" i="1"/>
  <c r="DO55" i="1"/>
  <c r="EK13" i="1"/>
  <c r="EJ13" i="1"/>
  <c r="IE13" i="1" s="1"/>
  <c r="ED105" i="1"/>
  <c r="EC105" i="1"/>
  <c r="DP44" i="1"/>
  <c r="DO44" i="1"/>
  <c r="EK31" i="1"/>
  <c r="EJ31" i="1"/>
  <c r="IE31" i="1" s="1"/>
  <c r="DW58" i="1"/>
  <c r="DV58" i="1"/>
  <c r="ED65" i="1"/>
  <c r="EC65" i="1"/>
  <c r="ED52" i="1"/>
  <c r="EC52" i="1"/>
  <c r="DW24" i="1"/>
  <c r="DV24" i="1"/>
  <c r="DW20" i="1"/>
  <c r="DV20" i="1"/>
  <c r="EK46" i="1"/>
  <c r="EJ46" i="1"/>
  <c r="IE46" i="1" s="1"/>
  <c r="DP29" i="1"/>
  <c r="DO29" i="1"/>
  <c r="EK25" i="1"/>
  <c r="EJ25" i="1"/>
  <c r="IE25" i="1" s="1"/>
  <c r="DP68" i="1"/>
  <c r="DO68" i="1"/>
  <c r="DW22" i="1"/>
  <c r="DV22" i="1"/>
  <c r="DP9" i="1"/>
  <c r="DO9" i="1"/>
  <c r="ED18" i="1"/>
  <c r="EC18" i="1"/>
  <c r="DW42" i="1"/>
  <c r="DV42" i="1"/>
  <c r="DP35" i="1"/>
  <c r="DO35" i="1"/>
  <c r="DW53" i="1"/>
  <c r="DV53" i="1"/>
  <c r="ED98" i="1"/>
  <c r="EC98" i="1"/>
  <c r="DP54" i="1"/>
  <c r="DO54" i="1"/>
  <c r="DW74" i="1"/>
  <c r="DV74" i="1"/>
  <c r="DW62" i="1"/>
  <c r="DV62" i="1"/>
  <c r="ED93" i="1"/>
  <c r="EC93" i="1"/>
  <c r="DP15" i="1"/>
  <c r="DO15" i="1"/>
  <c r="ER82" i="1"/>
  <c r="EY82" i="1" s="1"/>
  <c r="FF82" i="1" s="1"/>
  <c r="FM82" i="1" s="1"/>
  <c r="FT82" i="1" s="1"/>
  <c r="GA82" i="1" s="1"/>
  <c r="GH82" i="1" s="1"/>
  <c r="GO82" i="1" s="1"/>
  <c r="GV82" i="1" s="1"/>
  <c r="HC82" i="1" s="1"/>
  <c r="HJ82" i="1" s="1"/>
  <c r="HQ82" i="1" s="1"/>
  <c r="EQ82" i="1"/>
  <c r="EK7" i="1"/>
  <c r="EJ7" i="1"/>
  <c r="IE7" i="1" s="1"/>
  <c r="ED97" i="1"/>
  <c r="EC97" i="1"/>
  <c r="DP34" i="1"/>
  <c r="DO34" i="1"/>
  <c r="DW67" i="1"/>
  <c r="DV67" i="1"/>
  <c r="ED39" i="1"/>
  <c r="EC39" i="1"/>
  <c r="ED60" i="1"/>
  <c r="EC60" i="1"/>
  <c r="ED32" i="1"/>
  <c r="EC32" i="1"/>
  <c r="ED108" i="1"/>
  <c r="EC108" i="1"/>
  <c r="ER84" i="1"/>
  <c r="EY84" i="1" s="1"/>
  <c r="FF84" i="1" s="1"/>
  <c r="FM84" i="1" s="1"/>
  <c r="EQ84" i="1"/>
  <c r="DW72" i="1"/>
  <c r="DV72" i="1"/>
  <c r="ED104" i="1"/>
  <c r="EC104" i="1"/>
  <c r="DW37" i="1"/>
  <c r="DV37" i="1"/>
  <c r="ED24" i="1" l="1"/>
  <c r="EC24" i="1"/>
  <c r="EK47" i="1"/>
  <c r="EJ47" i="1"/>
  <c r="IE47" i="1" s="1"/>
  <c r="EK32" i="1"/>
  <c r="EJ32" i="1"/>
  <c r="IE32" i="1" s="1"/>
  <c r="DW34" i="1"/>
  <c r="DV34" i="1"/>
  <c r="DW15" i="1"/>
  <c r="DV15" i="1"/>
  <c r="ED62" i="1"/>
  <c r="EC62" i="1"/>
  <c r="ER13" i="1"/>
  <c r="EY13" i="1" s="1"/>
  <c r="FF13" i="1" s="1"/>
  <c r="FM13" i="1" s="1"/>
  <c r="EQ13" i="1"/>
  <c r="ED45" i="1"/>
  <c r="EC45" i="1"/>
  <c r="ED72" i="1"/>
  <c r="EC72" i="1"/>
  <c r="ED59" i="1"/>
  <c r="EC59" i="1"/>
  <c r="ED74" i="1"/>
  <c r="EC74" i="1"/>
  <c r="ER31" i="1"/>
  <c r="EY31" i="1" s="1"/>
  <c r="FF31" i="1" s="1"/>
  <c r="FM31" i="1" s="1"/>
  <c r="EQ31" i="1"/>
  <c r="DW55" i="1"/>
  <c r="DV55" i="1"/>
  <c r="DW85" i="1"/>
  <c r="DV85" i="1"/>
  <c r="DW63" i="1"/>
  <c r="DV63" i="1"/>
  <c r="EK109" i="1"/>
  <c r="EJ109" i="1"/>
  <c r="IE109" i="1" s="1"/>
  <c r="ED64" i="1"/>
  <c r="EC64" i="1"/>
  <c r="ED53" i="1"/>
  <c r="EC53" i="1"/>
  <c r="DW77" i="1"/>
  <c r="DV77" i="1"/>
  <c r="DW35" i="1"/>
  <c r="DV35" i="1"/>
  <c r="ED22" i="1"/>
  <c r="EC22" i="1"/>
  <c r="ER46" i="1"/>
  <c r="EY46" i="1" s="1"/>
  <c r="FF46" i="1" s="1"/>
  <c r="FM46" i="1" s="1"/>
  <c r="EQ46" i="1"/>
  <c r="EK52" i="1"/>
  <c r="EJ52" i="1"/>
  <c r="IE52" i="1" s="1"/>
  <c r="ED17" i="1"/>
  <c r="EC17" i="1"/>
  <c r="ED56" i="1"/>
  <c r="EC56" i="1"/>
  <c r="ED78" i="1"/>
  <c r="EC78" i="1"/>
  <c r="DW75" i="1"/>
  <c r="DV75" i="1"/>
  <c r="DW36" i="1"/>
  <c r="DV36" i="1"/>
  <c r="DW29" i="1"/>
  <c r="DV29" i="1"/>
  <c r="EK5" i="1"/>
  <c r="EJ5" i="1"/>
  <c r="IE5" i="1" s="1"/>
  <c r="EK93" i="1"/>
  <c r="EJ93" i="1"/>
  <c r="IE93" i="1" s="1"/>
  <c r="EK39" i="1"/>
  <c r="EJ39" i="1"/>
  <c r="IE39" i="1" s="1"/>
  <c r="ER7" i="1"/>
  <c r="EY7" i="1" s="1"/>
  <c r="FF7" i="1" s="1"/>
  <c r="FM7" i="1" s="1"/>
  <c r="FT7" i="1" s="1"/>
  <c r="GA7" i="1" s="1"/>
  <c r="GH7" i="1" s="1"/>
  <c r="GO7" i="1" s="1"/>
  <c r="GV7" i="1" s="1"/>
  <c r="EQ7" i="1"/>
  <c r="DW54" i="1"/>
  <c r="DV54" i="1"/>
  <c r="DW44" i="1"/>
  <c r="DV44" i="1"/>
  <c r="EK106" i="1"/>
  <c r="EJ106" i="1"/>
  <c r="IE106" i="1" s="1"/>
  <c r="ED21" i="1"/>
  <c r="EC21" i="1"/>
  <c r="ED40" i="1"/>
  <c r="EC40" i="1"/>
  <c r="ED57" i="1"/>
  <c r="EC57" i="1"/>
  <c r="EJ51" i="1"/>
  <c r="IE51" i="1" s="1"/>
  <c r="EK51" i="1"/>
  <c r="EK97" i="1"/>
  <c r="EJ97" i="1"/>
  <c r="IE97" i="1" s="1"/>
  <c r="ED37" i="1"/>
  <c r="EC37" i="1"/>
  <c r="EK108" i="1"/>
  <c r="EJ108" i="1"/>
  <c r="IE108" i="1" s="1"/>
  <c r="ED42" i="1"/>
  <c r="EC42" i="1"/>
  <c r="DW68" i="1"/>
  <c r="DV68" i="1"/>
  <c r="EK65" i="1"/>
  <c r="EJ65" i="1"/>
  <c r="IE65" i="1" s="1"/>
  <c r="ED83" i="1"/>
  <c r="EC83" i="1"/>
  <c r="EK49" i="1"/>
  <c r="EJ49" i="1"/>
  <c r="IE49" i="1" s="1"/>
  <c r="EK66" i="1"/>
  <c r="EJ66" i="1"/>
  <c r="IE66" i="1" s="1"/>
  <c r="ED27" i="1"/>
  <c r="EC27" i="1"/>
  <c r="ED61" i="1"/>
  <c r="EC61" i="1"/>
  <c r="EK94" i="1"/>
  <c r="EJ94" i="1"/>
  <c r="IE94" i="1" s="1"/>
  <c r="EK60" i="1"/>
  <c r="EJ60" i="1"/>
  <c r="IE60" i="1" s="1"/>
  <c r="ED79" i="1"/>
  <c r="EC79" i="1"/>
  <c r="ED67" i="1"/>
  <c r="EC67" i="1"/>
  <c r="EK98" i="1"/>
  <c r="EJ98" i="1"/>
  <c r="IE98" i="1" s="1"/>
  <c r="EK105" i="1"/>
  <c r="EJ105" i="1"/>
  <c r="IE105" i="1" s="1"/>
  <c r="EK30" i="1"/>
  <c r="EJ30" i="1"/>
  <c r="IE30" i="1" s="1"/>
  <c r="EK16" i="1"/>
  <c r="EJ16" i="1"/>
  <c r="IE16" i="1" s="1"/>
  <c r="EK38" i="1"/>
  <c r="EJ38" i="1"/>
  <c r="IE38" i="1" s="1"/>
  <c r="DV9" i="1"/>
  <c r="DW9" i="1"/>
  <c r="EK89" i="1"/>
  <c r="EJ89" i="1"/>
  <c r="IE89" i="1" s="1"/>
  <c r="EK104" i="1"/>
  <c r="EJ104" i="1"/>
  <c r="IE104" i="1" s="1"/>
  <c r="EK18" i="1"/>
  <c r="EJ18" i="1"/>
  <c r="IE18" i="1" s="1"/>
  <c r="ER25" i="1"/>
  <c r="EY25" i="1" s="1"/>
  <c r="FF25" i="1" s="1"/>
  <c r="FM25" i="1" s="1"/>
  <c r="FT25" i="1" s="1"/>
  <c r="GA25" i="1" s="1"/>
  <c r="GH25" i="1" s="1"/>
  <c r="GO25" i="1" s="1"/>
  <c r="GV25" i="1" s="1"/>
  <c r="HC25" i="1" s="1"/>
  <c r="EQ25" i="1"/>
  <c r="ED20" i="1"/>
  <c r="EC20" i="1"/>
  <c r="ED58" i="1"/>
  <c r="EC58" i="1"/>
  <c r="ED6" i="1"/>
  <c r="EC6" i="1"/>
  <c r="ER11" i="1"/>
  <c r="EY11" i="1" s="1"/>
  <c r="FF11" i="1" s="1"/>
  <c r="FM11" i="1" s="1"/>
  <c r="FT11" i="1" s="1"/>
  <c r="GA11" i="1" s="1"/>
  <c r="GH11" i="1" s="1"/>
  <c r="EQ11" i="1"/>
  <c r="ED71" i="1"/>
  <c r="EC71" i="1"/>
  <c r="ER33" i="1"/>
  <c r="EY33" i="1" s="1"/>
  <c r="FF33" i="1" s="1"/>
  <c r="FM33" i="1" s="1"/>
  <c r="EQ33" i="1"/>
  <c r="DW50" i="1"/>
  <c r="DV50" i="1"/>
  <c r="ED8" i="1"/>
  <c r="EC8" i="1"/>
  <c r="DW69" i="1"/>
  <c r="DV69" i="1"/>
  <c r="DW28" i="1"/>
  <c r="DV28" i="1"/>
  <c r="EK90" i="1"/>
  <c r="EJ90" i="1"/>
  <c r="IE90" i="1" s="1"/>
  <c r="EK27" i="1" l="1"/>
  <c r="EJ27" i="1"/>
  <c r="IE27" i="1" s="1"/>
  <c r="ED28" i="1"/>
  <c r="EC28" i="1"/>
  <c r="ER90" i="1"/>
  <c r="EY90" i="1" s="1"/>
  <c r="FF90" i="1" s="1"/>
  <c r="FM90" i="1" s="1"/>
  <c r="FT90" i="1" s="1"/>
  <c r="GA90" i="1" s="1"/>
  <c r="GH90" i="1" s="1"/>
  <c r="GO90" i="1" s="1"/>
  <c r="GV90" i="1" s="1"/>
  <c r="HC90" i="1" s="1"/>
  <c r="EQ90" i="1"/>
  <c r="ED50" i="1"/>
  <c r="EC50" i="1"/>
  <c r="EK6" i="1"/>
  <c r="EJ6" i="1"/>
  <c r="IE6" i="1" s="1"/>
  <c r="ER18" i="1"/>
  <c r="EY18" i="1" s="1"/>
  <c r="FF18" i="1" s="1"/>
  <c r="FM18" i="1" s="1"/>
  <c r="EQ18" i="1"/>
  <c r="ER105" i="1"/>
  <c r="EY105" i="1" s="1"/>
  <c r="FF105" i="1" s="1"/>
  <c r="FM105" i="1" s="1"/>
  <c r="FT105" i="1" s="1"/>
  <c r="GA105" i="1" s="1"/>
  <c r="GH105" i="1" s="1"/>
  <c r="GO105" i="1" s="1"/>
  <c r="GV105" i="1" s="1"/>
  <c r="HC105" i="1" s="1"/>
  <c r="HJ105" i="1" s="1"/>
  <c r="HQ105" i="1" s="1"/>
  <c r="EQ105" i="1"/>
  <c r="ER108" i="1"/>
  <c r="EY108" i="1" s="1"/>
  <c r="FF108" i="1" s="1"/>
  <c r="FM108" i="1" s="1"/>
  <c r="EQ108" i="1"/>
  <c r="EK57" i="1"/>
  <c r="EJ57" i="1"/>
  <c r="IE57" i="1" s="1"/>
  <c r="ED44" i="1"/>
  <c r="EC44" i="1"/>
  <c r="ER39" i="1"/>
  <c r="EY39" i="1" s="1"/>
  <c r="FF39" i="1" s="1"/>
  <c r="FM39" i="1" s="1"/>
  <c r="EQ39" i="1"/>
  <c r="ED63" i="1"/>
  <c r="EC63" i="1"/>
  <c r="EK45" i="1"/>
  <c r="EJ45" i="1"/>
  <c r="IE45" i="1" s="1"/>
  <c r="ED34" i="1"/>
  <c r="EC34" i="1"/>
  <c r="ER65" i="1"/>
  <c r="EY65" i="1" s="1"/>
  <c r="FF65" i="1" s="1"/>
  <c r="FM65" i="1" s="1"/>
  <c r="EQ65" i="1"/>
  <c r="EK22" i="1"/>
  <c r="EJ22" i="1"/>
  <c r="IE22" i="1" s="1"/>
  <c r="EQ60" i="1"/>
  <c r="ER60" i="1"/>
  <c r="EY60" i="1" s="1"/>
  <c r="FF60" i="1" s="1"/>
  <c r="FM60" i="1" s="1"/>
  <c r="ER66" i="1"/>
  <c r="EY66" i="1" s="1"/>
  <c r="FF66" i="1" s="1"/>
  <c r="FM66" i="1" s="1"/>
  <c r="EQ66" i="1"/>
  <c r="ED68" i="1"/>
  <c r="EC68" i="1"/>
  <c r="ED75" i="1"/>
  <c r="EC75" i="1"/>
  <c r="ED35" i="1"/>
  <c r="EC35" i="1"/>
  <c r="EK64" i="1"/>
  <c r="EJ64" i="1"/>
  <c r="IE64" i="1" s="1"/>
  <c r="EK79" i="1"/>
  <c r="EJ79" i="1"/>
  <c r="IE79" i="1" s="1"/>
  <c r="EC36" i="1"/>
  <c r="ED36" i="1"/>
  <c r="EK58" i="1"/>
  <c r="EJ58" i="1"/>
  <c r="IE58" i="1" s="1"/>
  <c r="EK37" i="1"/>
  <c r="EJ37" i="1"/>
  <c r="IE37" i="1" s="1"/>
  <c r="EQ32" i="1"/>
  <c r="ER32" i="1"/>
  <c r="EY32" i="1" s="1"/>
  <c r="FF32" i="1" s="1"/>
  <c r="FM32" i="1" s="1"/>
  <c r="EK71" i="1"/>
  <c r="EJ71" i="1"/>
  <c r="IE71" i="1" s="1"/>
  <c r="ER89" i="1"/>
  <c r="EY89" i="1" s="1"/>
  <c r="FF89" i="1" s="1"/>
  <c r="FM89" i="1" s="1"/>
  <c r="EQ89" i="1"/>
  <c r="ER98" i="1"/>
  <c r="EY98" i="1" s="1"/>
  <c r="FF98" i="1" s="1"/>
  <c r="FM98" i="1" s="1"/>
  <c r="FT98" i="1" s="1"/>
  <c r="GA98" i="1" s="1"/>
  <c r="GH98" i="1" s="1"/>
  <c r="GO98" i="1" s="1"/>
  <c r="GV98" i="1" s="1"/>
  <c r="HC98" i="1" s="1"/>
  <c r="EQ98" i="1"/>
  <c r="ER97" i="1"/>
  <c r="EY97" i="1" s="1"/>
  <c r="FF97" i="1" s="1"/>
  <c r="FM97" i="1" s="1"/>
  <c r="EQ97" i="1"/>
  <c r="EK21" i="1"/>
  <c r="EJ21" i="1"/>
  <c r="IE21" i="1" s="1"/>
  <c r="ED54" i="1"/>
  <c r="EC54" i="1"/>
  <c r="ER5" i="1"/>
  <c r="EY5" i="1" s="1"/>
  <c r="FF5" i="1" s="1"/>
  <c r="FM5" i="1" s="1"/>
  <c r="FT5" i="1" s="1"/>
  <c r="GA5" i="1" s="1"/>
  <c r="GH5" i="1" s="1"/>
  <c r="GO5" i="1" s="1"/>
  <c r="GV5" i="1" s="1"/>
  <c r="EQ5" i="1"/>
  <c r="ED55" i="1"/>
  <c r="EC55" i="1"/>
  <c r="EK59" i="1"/>
  <c r="EJ59" i="1"/>
  <c r="IE59" i="1" s="1"/>
  <c r="EK62" i="1"/>
  <c r="EJ62" i="1"/>
  <c r="IE62" i="1" s="1"/>
  <c r="ER93" i="1"/>
  <c r="EY93" i="1" s="1"/>
  <c r="FF93" i="1" s="1"/>
  <c r="FM93" i="1" s="1"/>
  <c r="EQ93" i="1"/>
  <c r="ED85" i="1"/>
  <c r="EC85" i="1"/>
  <c r="ED69" i="1"/>
  <c r="EC69" i="1"/>
  <c r="EK20" i="1"/>
  <c r="EJ20" i="1"/>
  <c r="IE20" i="1" s="1"/>
  <c r="ER16" i="1"/>
  <c r="EY16" i="1" s="1"/>
  <c r="FF16" i="1" s="1"/>
  <c r="FM16" i="1" s="1"/>
  <c r="EQ16" i="1"/>
  <c r="ER94" i="1"/>
  <c r="EY94" i="1" s="1"/>
  <c r="FF94" i="1" s="1"/>
  <c r="FM94" i="1" s="1"/>
  <c r="EQ94" i="1"/>
  <c r="ER49" i="1"/>
  <c r="EY49" i="1" s="1"/>
  <c r="FF49" i="1" s="1"/>
  <c r="FM49" i="1" s="1"/>
  <c r="EQ49" i="1"/>
  <c r="EK42" i="1"/>
  <c r="EJ42" i="1"/>
  <c r="IE42" i="1" s="1"/>
  <c r="ER51" i="1"/>
  <c r="EY51" i="1" s="1"/>
  <c r="FF51" i="1" s="1"/>
  <c r="FM51" i="1" s="1"/>
  <c r="EQ51" i="1"/>
  <c r="EJ78" i="1"/>
  <c r="IE78" i="1" s="1"/>
  <c r="EK78" i="1"/>
  <c r="ER52" i="1"/>
  <c r="EY52" i="1" s="1"/>
  <c r="FF52" i="1" s="1"/>
  <c r="FM52" i="1" s="1"/>
  <c r="EQ52" i="1"/>
  <c r="ER47" i="1"/>
  <c r="EY47" i="1" s="1"/>
  <c r="FF47" i="1" s="1"/>
  <c r="FM47" i="1" s="1"/>
  <c r="EQ47" i="1"/>
  <c r="EK17" i="1"/>
  <c r="EJ17" i="1"/>
  <c r="IE17" i="1" s="1"/>
  <c r="EQ38" i="1"/>
  <c r="ER38" i="1"/>
  <c r="EY38" i="1" s="1"/>
  <c r="FF38" i="1" s="1"/>
  <c r="FM38" i="1" s="1"/>
  <c r="ER30" i="1"/>
  <c r="EY30" i="1" s="1"/>
  <c r="FF30" i="1" s="1"/>
  <c r="FM30" i="1" s="1"/>
  <c r="FT30" i="1" s="1"/>
  <c r="GA30" i="1" s="1"/>
  <c r="GH30" i="1" s="1"/>
  <c r="EQ30" i="1"/>
  <c r="EK67" i="1"/>
  <c r="EJ67" i="1"/>
  <c r="IE67" i="1" s="1"/>
  <c r="ER106" i="1"/>
  <c r="EY106" i="1" s="1"/>
  <c r="FF106" i="1" s="1"/>
  <c r="FM106" i="1" s="1"/>
  <c r="FT106" i="1" s="1"/>
  <c r="GA106" i="1" s="1"/>
  <c r="GH106" i="1" s="1"/>
  <c r="GO106" i="1" s="1"/>
  <c r="GV106" i="1" s="1"/>
  <c r="HC106" i="1" s="1"/>
  <c r="EQ106" i="1"/>
  <c r="ED29" i="1"/>
  <c r="EC29" i="1"/>
  <c r="ED77" i="1"/>
  <c r="EC77" i="1"/>
  <c r="ER109" i="1"/>
  <c r="EY109" i="1" s="1"/>
  <c r="FF109" i="1" s="1"/>
  <c r="FM109" i="1" s="1"/>
  <c r="FT109" i="1" s="1"/>
  <c r="GA109" i="1" s="1"/>
  <c r="GH109" i="1" s="1"/>
  <c r="GO109" i="1" s="1"/>
  <c r="GV109" i="1" s="1"/>
  <c r="HC109" i="1" s="1"/>
  <c r="EQ109" i="1"/>
  <c r="EJ72" i="1"/>
  <c r="IE72" i="1" s="1"/>
  <c r="EK72" i="1"/>
  <c r="EC15" i="1"/>
  <c r="ED15" i="1"/>
  <c r="IE24" i="1"/>
  <c r="EK53" i="1"/>
  <c r="EJ53" i="1"/>
  <c r="IE53" i="1" s="1"/>
  <c r="ER104" i="1"/>
  <c r="EY104" i="1" s="1"/>
  <c r="FF104" i="1" s="1"/>
  <c r="FM104" i="1" s="1"/>
  <c r="EQ104" i="1"/>
  <c r="EK40" i="1"/>
  <c r="EJ40" i="1"/>
  <c r="IE40" i="1" s="1"/>
  <c r="EK74" i="1"/>
  <c r="EJ74" i="1"/>
  <c r="IE74" i="1" s="1"/>
  <c r="EK8" i="1"/>
  <c r="EJ8" i="1"/>
  <c r="IE8" i="1" s="1"/>
  <c r="ED9" i="1"/>
  <c r="EC9" i="1"/>
  <c r="EK61" i="1"/>
  <c r="EJ61" i="1"/>
  <c r="IE61" i="1" s="1"/>
  <c r="EK83" i="1"/>
  <c r="EJ83" i="1"/>
  <c r="IE83" i="1" s="1"/>
  <c r="EJ56" i="1"/>
  <c r="IE56" i="1" s="1"/>
  <c r="EK56" i="1"/>
  <c r="EK24" i="1"/>
  <c r="EJ24" i="1"/>
  <c r="EQ79" i="1" l="1"/>
  <c r="ER79" i="1"/>
  <c r="EY79" i="1" s="1"/>
  <c r="FF79" i="1" s="1"/>
  <c r="FM79" i="1" s="1"/>
  <c r="ER22" i="1"/>
  <c r="EY22" i="1" s="1"/>
  <c r="FF22" i="1" s="1"/>
  <c r="FM22" i="1" s="1"/>
  <c r="FT22" i="1" s="1"/>
  <c r="GA22" i="1" s="1"/>
  <c r="GH22" i="1" s="1"/>
  <c r="GO22" i="1" s="1"/>
  <c r="GV22" i="1" s="1"/>
  <c r="HC22" i="1" s="1"/>
  <c r="HJ22" i="1" s="1"/>
  <c r="HQ22" i="1" s="1"/>
  <c r="EQ22" i="1"/>
  <c r="EK63" i="1"/>
  <c r="EJ63" i="1"/>
  <c r="IE63" i="1" s="1"/>
  <c r="ER83" i="1"/>
  <c r="EY83" i="1" s="1"/>
  <c r="FF83" i="1" s="1"/>
  <c r="FM83" i="1" s="1"/>
  <c r="EQ83" i="1"/>
  <c r="ER20" i="1"/>
  <c r="EY20" i="1" s="1"/>
  <c r="FF20" i="1" s="1"/>
  <c r="FM20" i="1" s="1"/>
  <c r="EQ20" i="1"/>
  <c r="ER37" i="1"/>
  <c r="EY37" i="1" s="1"/>
  <c r="FF37" i="1" s="1"/>
  <c r="FM37" i="1" s="1"/>
  <c r="FT37" i="1" s="1"/>
  <c r="GA37" i="1" s="1"/>
  <c r="GH37" i="1" s="1"/>
  <c r="EQ37" i="1"/>
  <c r="ER42" i="1"/>
  <c r="EY42" i="1" s="1"/>
  <c r="FF42" i="1" s="1"/>
  <c r="FM42" i="1" s="1"/>
  <c r="EQ42" i="1"/>
  <c r="EK50" i="1"/>
  <c r="EJ50" i="1"/>
  <c r="IE50" i="1" s="1"/>
  <c r="ER74" i="1"/>
  <c r="EY74" i="1" s="1"/>
  <c r="FF74" i="1" s="1"/>
  <c r="FM74" i="1" s="1"/>
  <c r="EQ74" i="1"/>
  <c r="EK77" i="1"/>
  <c r="EJ77" i="1"/>
  <c r="IE77" i="1" s="1"/>
  <c r="ER62" i="1"/>
  <c r="EY62" i="1" s="1"/>
  <c r="FF62" i="1" s="1"/>
  <c r="FM62" i="1" s="1"/>
  <c r="EQ62" i="1"/>
  <c r="EK54" i="1"/>
  <c r="EJ54" i="1"/>
  <c r="IE54" i="1" s="1"/>
  <c r="ER64" i="1"/>
  <c r="EY64" i="1" s="1"/>
  <c r="FF64" i="1" s="1"/>
  <c r="FM64" i="1" s="1"/>
  <c r="FT64" i="1" s="1"/>
  <c r="GA64" i="1" s="1"/>
  <c r="GH64" i="1" s="1"/>
  <c r="GO64" i="1" s="1"/>
  <c r="GV64" i="1" s="1"/>
  <c r="HC64" i="1" s="1"/>
  <c r="EQ64" i="1"/>
  <c r="ER8" i="1"/>
  <c r="EY8" i="1" s="1"/>
  <c r="FF8" i="1" s="1"/>
  <c r="FM8" i="1" s="1"/>
  <c r="FT8" i="1" s="1"/>
  <c r="GA8" i="1" s="1"/>
  <c r="GH8" i="1" s="1"/>
  <c r="GO8" i="1" s="1"/>
  <c r="GV8" i="1" s="1"/>
  <c r="EQ8" i="1"/>
  <c r="ER53" i="1"/>
  <c r="EY53" i="1" s="1"/>
  <c r="FF53" i="1" s="1"/>
  <c r="FM53" i="1" s="1"/>
  <c r="FT53" i="1" s="1"/>
  <c r="GA53" i="1" s="1"/>
  <c r="GH53" i="1" s="1"/>
  <c r="GO53" i="1" s="1"/>
  <c r="EQ53" i="1"/>
  <c r="ER67" i="1"/>
  <c r="EY67" i="1" s="1"/>
  <c r="FF67" i="1" s="1"/>
  <c r="FM67" i="1" s="1"/>
  <c r="FT67" i="1" s="1"/>
  <c r="GA67" i="1" s="1"/>
  <c r="GH67" i="1" s="1"/>
  <c r="GO67" i="1" s="1"/>
  <c r="EQ67" i="1"/>
  <c r="EK68" i="1"/>
  <c r="EJ68" i="1"/>
  <c r="IE68" i="1" s="1"/>
  <c r="EQ61" i="1"/>
  <c r="ER61" i="1"/>
  <c r="EY61" i="1" s="1"/>
  <c r="FF61" i="1" s="1"/>
  <c r="FM61" i="1" s="1"/>
  <c r="FT61" i="1" s="1"/>
  <c r="GA61" i="1" s="1"/>
  <c r="GH61" i="1" s="1"/>
  <c r="GO61" i="1" s="1"/>
  <c r="GV61" i="1" s="1"/>
  <c r="HC61" i="1" s="1"/>
  <c r="EK15" i="1"/>
  <c r="EJ15" i="1"/>
  <c r="IE15" i="1" s="1"/>
  <c r="EQ78" i="1"/>
  <c r="ER78" i="1"/>
  <c r="EY78" i="1" s="1"/>
  <c r="FF78" i="1" s="1"/>
  <c r="FM78" i="1" s="1"/>
  <c r="EK69" i="1"/>
  <c r="EJ69" i="1"/>
  <c r="IE69" i="1" s="1"/>
  <c r="ER58" i="1"/>
  <c r="EY58" i="1" s="1"/>
  <c r="FF58" i="1" s="1"/>
  <c r="FM58" i="1" s="1"/>
  <c r="FT58" i="1" s="1"/>
  <c r="GA58" i="1" s="1"/>
  <c r="GH58" i="1" s="1"/>
  <c r="GO58" i="1" s="1"/>
  <c r="GV58" i="1" s="1"/>
  <c r="HC58" i="1" s="1"/>
  <c r="HJ58" i="1" s="1"/>
  <c r="HQ58" i="1" s="1"/>
  <c r="EQ58" i="1"/>
  <c r="EK34" i="1"/>
  <c r="EJ34" i="1"/>
  <c r="IE34" i="1" s="1"/>
  <c r="EJ44" i="1"/>
  <c r="IE44" i="1" s="1"/>
  <c r="EK44" i="1"/>
  <c r="ER40" i="1"/>
  <c r="EY40" i="1" s="1"/>
  <c r="FF40" i="1" s="1"/>
  <c r="FM40" i="1" s="1"/>
  <c r="EQ40" i="1"/>
  <c r="EK29" i="1"/>
  <c r="EJ29" i="1"/>
  <c r="IE29" i="1" s="1"/>
  <c r="ER59" i="1"/>
  <c r="EY59" i="1" s="1"/>
  <c r="FF59" i="1" s="1"/>
  <c r="FM59" i="1" s="1"/>
  <c r="EQ59" i="1"/>
  <c r="ER21" i="1"/>
  <c r="EY21" i="1" s="1"/>
  <c r="FF21" i="1" s="1"/>
  <c r="FM21" i="1" s="1"/>
  <c r="FT21" i="1" s="1"/>
  <c r="GA21" i="1" s="1"/>
  <c r="GH21" i="1" s="1"/>
  <c r="GO21" i="1" s="1"/>
  <c r="GV21" i="1" s="1"/>
  <c r="HC21" i="1" s="1"/>
  <c r="HJ21" i="1" s="1"/>
  <c r="HQ21" i="1" s="1"/>
  <c r="EQ21" i="1"/>
  <c r="ER71" i="1"/>
  <c r="EY71" i="1" s="1"/>
  <c r="FF71" i="1" s="1"/>
  <c r="FM71" i="1" s="1"/>
  <c r="EQ71" i="1"/>
  <c r="EK36" i="1"/>
  <c r="EJ36" i="1"/>
  <c r="IE36" i="1" s="1"/>
  <c r="EK35" i="1"/>
  <c r="EJ35" i="1"/>
  <c r="IE35" i="1" s="1"/>
  <c r="EK28" i="1"/>
  <c r="EJ28" i="1"/>
  <c r="IE28" i="1" s="1"/>
  <c r="EQ24" i="1"/>
  <c r="ER24" i="1"/>
  <c r="EY24" i="1" s="1"/>
  <c r="FF24" i="1" s="1"/>
  <c r="FM24" i="1" s="1"/>
  <c r="FT24" i="1" s="1"/>
  <c r="GA24" i="1" s="1"/>
  <c r="GH24" i="1" s="1"/>
  <c r="ER72" i="1"/>
  <c r="EY72" i="1" s="1"/>
  <c r="FF72" i="1" s="1"/>
  <c r="FM72" i="1" s="1"/>
  <c r="EQ72" i="1"/>
  <c r="EK85" i="1"/>
  <c r="EJ85" i="1"/>
  <c r="IE85" i="1" s="1"/>
  <c r="ER45" i="1"/>
  <c r="EY45" i="1" s="1"/>
  <c r="FF45" i="1" s="1"/>
  <c r="FM45" i="1" s="1"/>
  <c r="EQ45" i="1"/>
  <c r="ER57" i="1"/>
  <c r="EY57" i="1" s="1"/>
  <c r="FF57" i="1" s="1"/>
  <c r="FM57" i="1" s="1"/>
  <c r="FT57" i="1" s="1"/>
  <c r="GA57" i="1" s="1"/>
  <c r="GH57" i="1" s="1"/>
  <c r="GO57" i="1" s="1"/>
  <c r="EQ57" i="1"/>
  <c r="ER56" i="1"/>
  <c r="EY56" i="1" s="1"/>
  <c r="FF56" i="1" s="1"/>
  <c r="FM56" i="1" s="1"/>
  <c r="FT56" i="1" s="1"/>
  <c r="GA56" i="1" s="1"/>
  <c r="GH56" i="1" s="1"/>
  <c r="GO56" i="1" s="1"/>
  <c r="EQ56" i="1"/>
  <c r="EJ9" i="1"/>
  <c r="IE9" i="1" s="1"/>
  <c r="EK9" i="1"/>
  <c r="ER17" i="1"/>
  <c r="EY17" i="1" s="1"/>
  <c r="FF17" i="1" s="1"/>
  <c r="FM17" i="1" s="1"/>
  <c r="EQ17" i="1"/>
  <c r="EK55" i="1"/>
  <c r="EJ55" i="1"/>
  <c r="IE55" i="1" s="1"/>
  <c r="EK75" i="1"/>
  <c r="EJ75" i="1"/>
  <c r="IE75" i="1" s="1"/>
  <c r="ER6" i="1"/>
  <c r="EY6" i="1" s="1"/>
  <c r="FF6" i="1" s="1"/>
  <c r="FM6" i="1" s="1"/>
  <c r="FT6" i="1" s="1"/>
  <c r="GA6" i="1" s="1"/>
  <c r="GH6" i="1" s="1"/>
  <c r="GO6" i="1" s="1"/>
  <c r="GV6" i="1" s="1"/>
  <c r="EQ6" i="1"/>
  <c r="EQ27" i="1"/>
  <c r="ER27" i="1"/>
  <c r="EY27" i="1" s="1"/>
  <c r="FF27" i="1" s="1"/>
  <c r="FM27" i="1" s="1"/>
  <c r="FT27" i="1" s="1"/>
  <c r="GA27" i="1" s="1"/>
  <c r="GH27" i="1" s="1"/>
  <c r="ER36" i="1" l="1"/>
  <c r="EY36" i="1" s="1"/>
  <c r="FF36" i="1" s="1"/>
  <c r="FM36" i="1" s="1"/>
  <c r="EQ36" i="1"/>
  <c r="ER29" i="1"/>
  <c r="EY29" i="1" s="1"/>
  <c r="FF29" i="1" s="1"/>
  <c r="FM29" i="1" s="1"/>
  <c r="FT29" i="1" s="1"/>
  <c r="GA29" i="1" s="1"/>
  <c r="GH29" i="1" s="1"/>
  <c r="EQ29" i="1"/>
  <c r="ER75" i="1"/>
  <c r="EY75" i="1" s="1"/>
  <c r="FF75" i="1" s="1"/>
  <c r="FM75" i="1" s="1"/>
  <c r="EQ75" i="1"/>
  <c r="ER55" i="1"/>
  <c r="EY55" i="1" s="1"/>
  <c r="FF55" i="1" s="1"/>
  <c r="FM55" i="1" s="1"/>
  <c r="EQ55" i="1"/>
  <c r="ER69" i="1"/>
  <c r="EY69" i="1" s="1"/>
  <c r="FF69" i="1" s="1"/>
  <c r="FM69" i="1" s="1"/>
  <c r="EQ69" i="1"/>
  <c r="ER68" i="1"/>
  <c r="EY68" i="1" s="1"/>
  <c r="FF68" i="1" s="1"/>
  <c r="FM68" i="1" s="1"/>
  <c r="EQ68" i="1"/>
  <c r="ER77" i="1"/>
  <c r="EY77" i="1" s="1"/>
  <c r="FF77" i="1" s="1"/>
  <c r="FM77" i="1" s="1"/>
  <c r="EQ77" i="1"/>
  <c r="ER9" i="1"/>
  <c r="EY9" i="1" s="1"/>
  <c r="FF9" i="1" s="1"/>
  <c r="FM9" i="1" s="1"/>
  <c r="FT9" i="1" s="1"/>
  <c r="GA9" i="1" s="1"/>
  <c r="GH9" i="1" s="1"/>
  <c r="EQ9" i="1"/>
  <c r="ER54" i="1"/>
  <c r="EY54" i="1" s="1"/>
  <c r="FF54" i="1" s="1"/>
  <c r="FM54" i="1" s="1"/>
  <c r="EQ54" i="1"/>
  <c r="ER50" i="1"/>
  <c r="EY50" i="1" s="1"/>
  <c r="FF50" i="1" s="1"/>
  <c r="FM50" i="1" s="1"/>
  <c r="EQ50" i="1"/>
  <c r="EQ63" i="1"/>
  <c r="ER63" i="1"/>
  <c r="EY63" i="1" s="1"/>
  <c r="FF63" i="1" s="1"/>
  <c r="FM63" i="1" s="1"/>
  <c r="ER44" i="1"/>
  <c r="EY44" i="1" s="1"/>
  <c r="FF44" i="1" s="1"/>
  <c r="FM44" i="1" s="1"/>
  <c r="EQ44" i="1"/>
  <c r="ER28" i="1"/>
  <c r="EY28" i="1" s="1"/>
  <c r="FF28" i="1" s="1"/>
  <c r="FM28" i="1" s="1"/>
  <c r="FT28" i="1" s="1"/>
  <c r="GA28" i="1" s="1"/>
  <c r="GH28" i="1" s="1"/>
  <c r="EQ28" i="1"/>
  <c r="ER85" i="1"/>
  <c r="EY85" i="1" s="1"/>
  <c r="FF85" i="1" s="1"/>
  <c r="FM85" i="1" s="1"/>
  <c r="FT85" i="1" s="1"/>
  <c r="GA85" i="1" s="1"/>
  <c r="GH85" i="1" s="1"/>
  <c r="EQ85" i="1"/>
  <c r="ER35" i="1"/>
  <c r="EY35" i="1" s="1"/>
  <c r="FF35" i="1" s="1"/>
  <c r="FM35" i="1" s="1"/>
  <c r="EQ35" i="1"/>
  <c r="ER34" i="1"/>
  <c r="EY34" i="1" s="1"/>
  <c r="FF34" i="1" s="1"/>
  <c r="FM34" i="1" s="1"/>
  <c r="EQ34" i="1"/>
  <c r="ER15" i="1"/>
  <c r="EY15" i="1" s="1"/>
  <c r="FF15" i="1" s="1"/>
  <c r="FM15" i="1" s="1"/>
  <c r="EQ15" i="1"/>
</calcChain>
</file>

<file path=xl/sharedStrings.xml><?xml version="1.0" encoding="utf-8"?>
<sst xmlns="http://schemas.openxmlformats.org/spreadsheetml/2006/main" count="4959" uniqueCount="1268">
  <si>
    <t>Installment Payments</t>
  </si>
  <si>
    <t xml:space="preserve">1st 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</si>
  <si>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</si>
  <si>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</si>
  <si>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</si>
  <si>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</si>
  <si>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</si>
  <si>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</si>
  <si>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</si>
  <si>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</si>
  <si>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</si>
  <si>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</si>
  <si>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</si>
  <si>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</si>
  <si>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</si>
  <si>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</si>
  <si>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</si>
  <si>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</si>
  <si>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</si>
  <si>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</si>
  <si>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</si>
  <si>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Collections</t>
  </si>
  <si>
    <t>Outstanding</t>
  </si>
  <si>
    <t xml:space="preserve">Branch Information </t>
  </si>
  <si>
    <t xml:space="preserve">Financing Officer </t>
  </si>
  <si>
    <t>Customer Information</t>
  </si>
  <si>
    <t xml:space="preserve">Customer Business Information </t>
  </si>
  <si>
    <t xml:space="preserve">Busienss License Information </t>
  </si>
  <si>
    <t xml:space="preserve">Colleteral Information </t>
  </si>
  <si>
    <t>Guarantor Information</t>
  </si>
  <si>
    <t>Financing Committee Decision</t>
  </si>
  <si>
    <t xml:space="preserve">Disbursement Information </t>
  </si>
  <si>
    <t>Payments</t>
  </si>
  <si>
    <t>S/N</t>
  </si>
  <si>
    <t>Branch</t>
  </si>
  <si>
    <t>BranchShort</t>
  </si>
  <si>
    <t>Code</t>
  </si>
  <si>
    <t>FinacneofficerName</t>
  </si>
  <si>
    <t>FinanceofficerCode</t>
  </si>
  <si>
    <t>ApplicationID</t>
  </si>
  <si>
    <t>NewApplicationID</t>
  </si>
  <si>
    <t>IDShort</t>
  </si>
  <si>
    <t>CustomerNo</t>
  </si>
  <si>
    <t>Name</t>
  </si>
  <si>
    <t>LastName</t>
  </si>
  <si>
    <t>FName</t>
  </si>
  <si>
    <t>Gender</t>
  </si>
  <si>
    <t>NoofDependents</t>
  </si>
  <si>
    <t>NID</t>
  </si>
  <si>
    <t>DoB</t>
  </si>
  <si>
    <t>PoB</t>
  </si>
  <si>
    <t>Age</t>
  </si>
  <si>
    <t>HomeAddress</t>
  </si>
  <si>
    <t>District</t>
  </si>
  <si>
    <t>PhoneNumber</t>
  </si>
  <si>
    <t>2ndPhonenumber</t>
  </si>
  <si>
    <t>Products</t>
  </si>
  <si>
    <t>ProductCode</t>
  </si>
  <si>
    <t>Sector</t>
  </si>
  <si>
    <t>Busieness</t>
  </si>
  <si>
    <t>FinancingPurpose</t>
  </si>
  <si>
    <t>FinancingCycle</t>
  </si>
  <si>
    <t>SourceofFund</t>
  </si>
  <si>
    <t>PreviouseFinancing</t>
  </si>
  <si>
    <t>Previouse_institution</t>
  </si>
  <si>
    <t>Request_Date</t>
  </si>
  <si>
    <t>Request_Amount</t>
  </si>
  <si>
    <t>Financing_Duration_(Months)</t>
  </si>
  <si>
    <t>Grace_Period</t>
  </si>
  <si>
    <t>No_of_Installment</t>
  </si>
  <si>
    <t>Principle</t>
  </si>
  <si>
    <t>Margin</t>
  </si>
  <si>
    <t>Profit</t>
  </si>
  <si>
    <t>Total_Receivable</t>
  </si>
  <si>
    <t>Installment_Amount</t>
  </si>
  <si>
    <t>BusinessName</t>
  </si>
  <si>
    <t>Province</t>
  </si>
  <si>
    <t>Vallage</t>
  </si>
  <si>
    <t>DetailedAddress</t>
  </si>
  <si>
    <t>YearsofExperience</t>
  </si>
  <si>
    <t>FullTime/Parttime</t>
  </si>
  <si>
    <t>NewJob</t>
  </si>
  <si>
    <t>TypeofLicence</t>
  </si>
  <si>
    <t>President</t>
  </si>
  <si>
    <t>BusinessLicenseno#</t>
  </si>
  <si>
    <t>LicenceRegisterDate</t>
  </si>
  <si>
    <t>LicenceExpirDate</t>
  </si>
  <si>
    <t>Owner/s</t>
  </si>
  <si>
    <t>OwnerNID</t>
  </si>
  <si>
    <t>Type</t>
  </si>
  <si>
    <t>TD#</t>
  </si>
  <si>
    <t>Village</t>
  </si>
  <si>
    <t>Address</t>
  </si>
  <si>
    <t>PurchasedPrice</t>
  </si>
  <si>
    <t>MarketPrice</t>
  </si>
  <si>
    <t>Size(mm)</t>
  </si>
  <si>
    <t>F.Name</t>
  </si>
  <si>
    <t>NID#</t>
  </si>
  <si>
    <t>Phone#</t>
  </si>
  <si>
    <t>Business</t>
  </si>
  <si>
    <t>BusinessAdd</t>
  </si>
  <si>
    <t>RelationhipwithCustomer</t>
  </si>
  <si>
    <t>Inventory</t>
  </si>
  <si>
    <t>MonthlyNetIncome</t>
  </si>
  <si>
    <t>ApprovedAmount</t>
  </si>
  <si>
    <t>ApprovedDate</t>
  </si>
  <si>
    <t>FinancingDuration(Months)</t>
  </si>
  <si>
    <t>Grant_Amount</t>
  </si>
  <si>
    <t>Disbursement_Date</t>
  </si>
  <si>
    <t>First_Instalment_Date</t>
  </si>
  <si>
    <t>Maturity_Date</t>
  </si>
  <si>
    <t>Committee_Discussion</t>
  </si>
  <si>
    <t>Current_Date</t>
  </si>
  <si>
    <t>Due_Date</t>
  </si>
  <si>
    <t>Total</t>
  </si>
  <si>
    <t>Instalment_Variance</t>
  </si>
  <si>
    <t>Payment_Date</t>
  </si>
  <si>
    <t>LateDays</t>
  </si>
  <si>
    <t>Principle_Amount</t>
  </si>
  <si>
    <t>Margin_Amount</t>
  </si>
  <si>
    <t>Total_Collection</t>
  </si>
  <si>
    <t>Difference</t>
  </si>
  <si>
    <t>Receivable_Amount_Balance</t>
  </si>
  <si>
    <t>Outstanding_Portfolio</t>
  </si>
  <si>
    <t>Total_Late_Days</t>
  </si>
  <si>
    <t>Paid_instalment_No</t>
  </si>
  <si>
    <t>Date_Difference</t>
  </si>
  <si>
    <t>Due_Instalment_No</t>
  </si>
  <si>
    <t>Late_Months</t>
  </si>
  <si>
    <t>unknow</t>
  </si>
  <si>
    <t>Total_Due</t>
  </si>
  <si>
    <t>Kabul</t>
  </si>
  <si>
    <t>KB</t>
  </si>
  <si>
    <t>Faisal Achakzai</t>
  </si>
  <si>
    <t>LMH-H-2025-D001</t>
  </si>
  <si>
    <t>Mr Jamal</t>
  </si>
  <si>
    <t>N/A</t>
  </si>
  <si>
    <t>Gul Baz</t>
  </si>
  <si>
    <t>Male</t>
  </si>
  <si>
    <t>Sarkano Kunar</t>
  </si>
  <si>
    <t>Pol Charkhi, Kabul</t>
  </si>
  <si>
    <t>District 21</t>
  </si>
  <si>
    <t>Qardul Hasana</t>
  </si>
  <si>
    <t>Transportation</t>
  </si>
  <si>
    <t>Three wheel motorcycle (Risksha)</t>
  </si>
  <si>
    <t>Local passenger transport services</t>
  </si>
  <si>
    <t>1st</t>
  </si>
  <si>
    <t>Shareholder</t>
  </si>
  <si>
    <t>Local Transportation</t>
  </si>
  <si>
    <t xml:space="preserve">Kabul </t>
  </si>
  <si>
    <t>Pol Charkhi</t>
  </si>
  <si>
    <t>Pol Charkhi Bazar</t>
  </si>
  <si>
    <t>Raksha</t>
  </si>
  <si>
    <t>LMI-H-2025-D002</t>
  </si>
  <si>
    <t>Mr. Zubair</t>
  </si>
  <si>
    <t>Bahr Abad, Sarkano, Kunar</t>
  </si>
  <si>
    <t>LMI-H-2025-D003</t>
  </si>
  <si>
    <t>Mr. Esmatullah</t>
  </si>
  <si>
    <t>Salarzai</t>
  </si>
  <si>
    <t>Rahimullah</t>
  </si>
  <si>
    <t>1400-1200-12808</t>
  </si>
  <si>
    <t xml:space="preserve">Kunar </t>
  </si>
  <si>
    <t>LMI-H-2025-D004</t>
  </si>
  <si>
    <t>Mr. Abdullah</t>
  </si>
  <si>
    <t>Momand</t>
  </si>
  <si>
    <t>Hayatullah</t>
  </si>
  <si>
    <t>1399-1000-13100</t>
  </si>
  <si>
    <t>Botkhat Charahe, Kabul</t>
  </si>
  <si>
    <t>District 22</t>
  </si>
  <si>
    <t>Botkhat Charahe</t>
  </si>
  <si>
    <t>Kunar</t>
  </si>
  <si>
    <t>KN</t>
  </si>
  <si>
    <t>Nematullah Safi</t>
  </si>
  <si>
    <t>KNR-2025-MR-01</t>
  </si>
  <si>
    <t>Hosain Pari</t>
  </si>
  <si>
    <t>Miragha</t>
  </si>
  <si>
    <t>Female</t>
  </si>
  <si>
    <t>1400-0303-05835</t>
  </si>
  <si>
    <t>Babur, Chawki, Kunar</t>
  </si>
  <si>
    <t>Chawki District</t>
  </si>
  <si>
    <t>0779933218</t>
  </si>
  <si>
    <t>Murabaha</t>
  </si>
  <si>
    <t xml:space="preserve">Clothes </t>
  </si>
  <si>
    <t>Clothes Business</t>
  </si>
  <si>
    <t xml:space="preserve">To expend his Clothes Business </t>
  </si>
  <si>
    <t>Babur</t>
  </si>
  <si>
    <t>Mera Agha</t>
  </si>
  <si>
    <t xml:space="preserve">AbdulMatin </t>
  </si>
  <si>
    <t>1400-0303-66744</t>
  </si>
  <si>
    <t>LMI-MDH-2025-D001</t>
  </si>
  <si>
    <t xml:space="preserve">Mr. Mohammad Asif </t>
  </si>
  <si>
    <t>Muhammad Ashraf</t>
  </si>
  <si>
    <t>1402-0501-86168</t>
  </si>
  <si>
    <t>Laghman</t>
  </si>
  <si>
    <t>Kart-e-now, Kabul</t>
  </si>
  <si>
    <t>District 08</t>
  </si>
  <si>
    <t>Mudaraba</t>
  </si>
  <si>
    <t>Manufacturing</t>
  </si>
  <si>
    <t>Cricket Bat Manufacturing</t>
  </si>
  <si>
    <t>To Purchase Woods for increasing the Manufacture</t>
  </si>
  <si>
    <t>Bat manufacturing</t>
  </si>
  <si>
    <t>Kart-e-now</t>
  </si>
  <si>
    <t>Kart-e-now3rd street</t>
  </si>
  <si>
    <t xml:space="preserve">Municipality </t>
  </si>
  <si>
    <t xml:space="preserve">Mohammad Asif </t>
  </si>
  <si>
    <t>08-05899</t>
  </si>
  <si>
    <t>Atiqullah Khairkhawa</t>
  </si>
  <si>
    <t>1400-0200-17238</t>
  </si>
  <si>
    <t>Land</t>
  </si>
  <si>
    <t>125 (mm)</t>
  </si>
  <si>
    <t>Hedayatullah</t>
  </si>
  <si>
    <t>KNR-2025-MR-06</t>
  </si>
  <si>
    <t xml:space="preserve">Haqiqat </t>
  </si>
  <si>
    <t>Amirzai</t>
  </si>
  <si>
    <t>Saeeda Ahmad</t>
  </si>
  <si>
    <t>1404-0301-56304</t>
  </si>
  <si>
    <t>Asadabad, Central Kunar</t>
  </si>
  <si>
    <t>District 1</t>
  </si>
  <si>
    <t>0775869129</t>
  </si>
  <si>
    <t>Mechanic</t>
  </si>
  <si>
    <t>Spare posts of Vehicle</t>
  </si>
  <si>
    <t>To expend their mehanic for more serices</t>
  </si>
  <si>
    <t xml:space="preserve">Spare posts </t>
  </si>
  <si>
    <t>Asadabad</t>
  </si>
  <si>
    <t>1403-1501-2-2032</t>
  </si>
  <si>
    <t>Muhabat</t>
  </si>
  <si>
    <t>Saeed Ahmad</t>
  </si>
  <si>
    <t>1399-1206-07152</t>
  </si>
  <si>
    <t>0775869140</t>
  </si>
  <si>
    <t>Damkali, Central Kunar</t>
  </si>
  <si>
    <t>KNR-2025-MR-07</t>
  </si>
  <si>
    <t>Taiba</t>
  </si>
  <si>
    <t xml:space="preserve">Mohammad </t>
  </si>
  <si>
    <t xml:space="preserve">Tesha, Central Kunar </t>
  </si>
  <si>
    <t>Central Kunar</t>
  </si>
  <si>
    <t>Grocery</t>
  </si>
  <si>
    <t>To expend his grovery shop</t>
  </si>
  <si>
    <t xml:space="preserve">Tesha </t>
  </si>
  <si>
    <t>Tesha, Central Kunar</t>
  </si>
  <si>
    <t xml:space="preserve">Ezatullah </t>
  </si>
  <si>
    <t>Mohammad</t>
  </si>
  <si>
    <t>1399-1204-00526</t>
  </si>
  <si>
    <t>0770212256</t>
  </si>
  <si>
    <t>KNR-2025-MR-11</t>
  </si>
  <si>
    <t xml:space="preserve">Ansarullah </t>
  </si>
  <si>
    <t>Majidi</t>
  </si>
  <si>
    <t>Abdul Rahman</t>
  </si>
  <si>
    <t>1400-1000-67568</t>
  </si>
  <si>
    <t>0774848207</t>
  </si>
  <si>
    <t xml:space="preserve">Zakirullah </t>
  </si>
  <si>
    <t>Abdulrahman</t>
  </si>
  <si>
    <t>1400-1200-41744</t>
  </si>
  <si>
    <t>Hijrat Asadabad, Central Kunar</t>
  </si>
  <si>
    <t>Sadaqat Ahmadi</t>
  </si>
  <si>
    <t>KNR-2025-MR-126</t>
  </si>
  <si>
    <t xml:space="preserve">Bawar Khan </t>
  </si>
  <si>
    <t>Qazi</t>
  </si>
  <si>
    <t>Mohammad Tahir</t>
  </si>
  <si>
    <t>1400-0306-24070</t>
  </si>
  <si>
    <t>Endarser, Central Kunar</t>
  </si>
  <si>
    <t>District 2</t>
  </si>
  <si>
    <t>Grocery Shop</t>
  </si>
  <si>
    <t>Drinks and Fresh Juice</t>
  </si>
  <si>
    <t>kunar</t>
  </si>
  <si>
    <t>Endarser</t>
  </si>
  <si>
    <t>Bawar Khan Qazi</t>
  </si>
  <si>
    <t>1404-1501-2-110</t>
  </si>
  <si>
    <t>Zirak</t>
  </si>
  <si>
    <t>Qazikhil</t>
  </si>
  <si>
    <t>Dalawar Khan</t>
  </si>
  <si>
    <t>1402-0500-22928</t>
  </si>
  <si>
    <t>0773053232</t>
  </si>
  <si>
    <t>Central Kunar, 4 Guzar, 2 District</t>
  </si>
  <si>
    <t>KNR-2025-MR-127</t>
  </si>
  <si>
    <t xml:space="preserve">Nohzat </t>
  </si>
  <si>
    <t>Zaheer</t>
  </si>
  <si>
    <t>Saeed Nabi</t>
  </si>
  <si>
    <t>1400-0102-84866</t>
  </si>
  <si>
    <t>Muni, Shegal, Kunar</t>
  </si>
  <si>
    <t xml:space="preserve">Shegal District </t>
  </si>
  <si>
    <t>Muni</t>
  </si>
  <si>
    <t xml:space="preserve">Baheer ullah </t>
  </si>
  <si>
    <t>Bahar</t>
  </si>
  <si>
    <t xml:space="preserve">Mohammad Amin </t>
  </si>
  <si>
    <t>1403-0402-21784</t>
  </si>
  <si>
    <t>KNR-2025-MR-128</t>
  </si>
  <si>
    <t xml:space="preserve">Mujiburrahman </t>
  </si>
  <si>
    <t>Safi</t>
  </si>
  <si>
    <t>1403-0700-60688</t>
  </si>
  <si>
    <t>Damkali</t>
  </si>
  <si>
    <t xml:space="preserve">Jawad </t>
  </si>
  <si>
    <t xml:space="preserve">Safi </t>
  </si>
  <si>
    <t>Mohammad Jan Safi</t>
  </si>
  <si>
    <t>1399-0902-65496</t>
  </si>
  <si>
    <t>KNR-2025-MR-129</t>
  </si>
  <si>
    <t>Israr Ahmad</t>
  </si>
  <si>
    <t>Azizi</t>
  </si>
  <si>
    <t>Azizurahman</t>
  </si>
  <si>
    <t>1404-0503-11022</t>
  </si>
  <si>
    <t>Karhala, Central Kunar</t>
  </si>
  <si>
    <t xml:space="preserve">Karhala </t>
  </si>
  <si>
    <t>Karhala Central Kunar</t>
  </si>
  <si>
    <t xml:space="preserve">Ismail khan </t>
  </si>
  <si>
    <t xml:space="preserve">Khan Ji </t>
  </si>
  <si>
    <t xml:space="preserve">Faiz Khan </t>
  </si>
  <si>
    <t>1400-0405-03666</t>
  </si>
  <si>
    <t>0777213782</t>
  </si>
  <si>
    <t>KNR-2025-MR-130</t>
  </si>
  <si>
    <t xml:space="preserve">Naseerullah </t>
  </si>
  <si>
    <t>Hasebullah</t>
  </si>
  <si>
    <t>1399-0600-79046</t>
  </si>
  <si>
    <t>Islam Jan</t>
  </si>
  <si>
    <t>1400-1103-33550</t>
  </si>
  <si>
    <t>0765657411</t>
  </si>
  <si>
    <t>KNR-2025-MR-131</t>
  </si>
  <si>
    <t xml:space="preserve">Ayoub Khan </t>
  </si>
  <si>
    <t>Shinwari</t>
  </si>
  <si>
    <t>Mohammad Shern</t>
  </si>
  <si>
    <t>1399-1203-21784</t>
  </si>
  <si>
    <t xml:space="preserve">Haseebullah </t>
  </si>
  <si>
    <t>Yousefzai</t>
  </si>
  <si>
    <t>Sayam</t>
  </si>
  <si>
    <t>1400-0104-27582</t>
  </si>
  <si>
    <t>KNR-2025-MR-132</t>
  </si>
  <si>
    <t xml:space="preserve">Naqeebullah </t>
  </si>
  <si>
    <t>Humdard</t>
  </si>
  <si>
    <t xml:space="preserve">Saeed Ullah </t>
  </si>
  <si>
    <t>1403-0702-67638</t>
  </si>
  <si>
    <t>0705080940</t>
  </si>
  <si>
    <t>KNR-2025-MR-133</t>
  </si>
  <si>
    <t xml:space="preserve">Ka Ka Gul </t>
  </si>
  <si>
    <t>Molah Gory</t>
  </si>
  <si>
    <t>Sher Alam</t>
  </si>
  <si>
    <t>1403-0902-30686</t>
  </si>
  <si>
    <t>Kotki, Narang, Kunar</t>
  </si>
  <si>
    <t>District Narang</t>
  </si>
  <si>
    <t>Flour Machine</t>
  </si>
  <si>
    <t xml:space="preserve">Flour Machine </t>
  </si>
  <si>
    <t>To expend his flour Business</t>
  </si>
  <si>
    <t>Kotki</t>
  </si>
  <si>
    <t xml:space="preserve">Karimullah </t>
  </si>
  <si>
    <t>Karimi</t>
  </si>
  <si>
    <t>Kaka Gul</t>
  </si>
  <si>
    <t>1403-0102-11322</t>
  </si>
  <si>
    <t>KNR-2025-MR-134</t>
  </si>
  <si>
    <t xml:space="preserve">Tawheedullah </t>
  </si>
  <si>
    <t>Hashimi</t>
  </si>
  <si>
    <t>Mohammad Hashim, Hashimi</t>
  </si>
  <si>
    <t>1401-0800-27736</t>
  </si>
  <si>
    <t>Charki, Khas Kunar</t>
  </si>
  <si>
    <t>Khas Kunar</t>
  </si>
  <si>
    <t xml:space="preserve">Solar System </t>
  </si>
  <si>
    <t>Solar Shop</t>
  </si>
  <si>
    <t>To expend his Solar shop</t>
  </si>
  <si>
    <t>Charki</t>
  </si>
  <si>
    <t xml:space="preserve">Amaduddin </t>
  </si>
  <si>
    <t xml:space="preserve">Ebadullah </t>
  </si>
  <si>
    <t>1402-0501-45674</t>
  </si>
  <si>
    <t>0775855622</t>
  </si>
  <si>
    <t>KNR-2025-MR-135</t>
  </si>
  <si>
    <t xml:space="preserve">Saeedullah </t>
  </si>
  <si>
    <t>Mohammadi</t>
  </si>
  <si>
    <t xml:space="preserve">Din Mohammad </t>
  </si>
  <si>
    <t>1402-0601-12252</t>
  </si>
  <si>
    <t>Nesha Gam, Ghaziabad, Kunar</t>
  </si>
  <si>
    <t>District Ghaziabad</t>
  </si>
  <si>
    <t>Nesha Gam</t>
  </si>
  <si>
    <t xml:space="preserve">Mirwais </t>
  </si>
  <si>
    <t xml:space="preserve">Sajid </t>
  </si>
  <si>
    <t>Shir Mohammad Khan</t>
  </si>
  <si>
    <t>1402-1201-91210</t>
  </si>
  <si>
    <t>070082846</t>
  </si>
  <si>
    <t>KNR-2025-MR-136</t>
  </si>
  <si>
    <t xml:space="preserve">Ehsanullah </t>
  </si>
  <si>
    <t>Majboor</t>
  </si>
  <si>
    <t>Mohammada Jan</t>
  </si>
  <si>
    <t>1400-0102-75152</t>
  </si>
  <si>
    <t>Mobile Accessories</t>
  </si>
  <si>
    <t>Mobile Accessories shop</t>
  </si>
  <si>
    <t>To expend his Accessories shop</t>
  </si>
  <si>
    <t>1403-1501-1-545</t>
  </si>
  <si>
    <t>Zaki</t>
  </si>
  <si>
    <t>Mohammda Jan</t>
  </si>
  <si>
    <t>1403-0201-45110</t>
  </si>
  <si>
    <t>0777750485</t>
  </si>
  <si>
    <t>Nangarhar</t>
  </si>
  <si>
    <t>NG</t>
  </si>
  <si>
    <t>Sahil Khan Salarzai</t>
  </si>
  <si>
    <t>LMI-Nangarhar -2025-0088</t>
  </si>
  <si>
    <t xml:space="preserve">Hewad </t>
  </si>
  <si>
    <t>Abdul Rahmen</t>
  </si>
  <si>
    <t>1400-0504-73392</t>
  </si>
  <si>
    <t>Kampono, 1st District, Nangarhar</t>
  </si>
  <si>
    <t>Kitchen Equipments</t>
  </si>
  <si>
    <t>Rental of Kitchen Equipments</t>
  </si>
  <si>
    <t>To expend his business</t>
  </si>
  <si>
    <t>Kampono</t>
  </si>
  <si>
    <t xml:space="preserve">Abdul Hakim </t>
  </si>
  <si>
    <t>Hamidi</t>
  </si>
  <si>
    <t>Abdul Hamid</t>
  </si>
  <si>
    <t>1400-0302-66376</t>
  </si>
  <si>
    <t>LMI-Nangarhar -2025-0089</t>
  </si>
  <si>
    <t xml:space="preserve">Emal Khan </t>
  </si>
  <si>
    <t>Abdul Rahim</t>
  </si>
  <si>
    <t>1401-0100-25542</t>
  </si>
  <si>
    <t>Car</t>
  </si>
  <si>
    <t xml:space="preserve">Khair Mohammad Khan </t>
  </si>
  <si>
    <t>Yar</t>
  </si>
  <si>
    <t>Yar Mohammad Khan</t>
  </si>
  <si>
    <t>1398-1100-70410</t>
  </si>
  <si>
    <t>KNR-2025-MR-137</t>
  </si>
  <si>
    <t xml:space="preserve">Wali Khan </t>
  </si>
  <si>
    <t>Mamoond</t>
  </si>
  <si>
    <t>Abdulrof</t>
  </si>
  <si>
    <t>1400-0104-81666</t>
  </si>
  <si>
    <t>Dangam, Kunar</t>
  </si>
  <si>
    <t>Dangam District</t>
  </si>
  <si>
    <t>Mobile</t>
  </si>
  <si>
    <t>Mobile shop</t>
  </si>
  <si>
    <t>To expend his mobile Shop</t>
  </si>
  <si>
    <t>Dangam</t>
  </si>
  <si>
    <t>Shir Hassan</t>
  </si>
  <si>
    <t>Malang</t>
  </si>
  <si>
    <t>Shir Ali</t>
  </si>
  <si>
    <t>1403-0302-14812</t>
  </si>
  <si>
    <t>0700242124</t>
  </si>
  <si>
    <t>KNR-2025-MR-138</t>
  </si>
  <si>
    <t>Qari Abdul Baqi</t>
  </si>
  <si>
    <t>Armani</t>
  </si>
  <si>
    <t xml:space="preserve">Shir Ahmad Khan </t>
  </si>
  <si>
    <t>1400-0203-47130</t>
  </si>
  <si>
    <t xml:space="preserve">Fuel </t>
  </si>
  <si>
    <t>To expend his Fuel shop</t>
  </si>
  <si>
    <t>Tools Shop</t>
  </si>
  <si>
    <t>Rohullah</t>
  </si>
  <si>
    <t>1403-1501-2-123</t>
  </si>
  <si>
    <t>Koshistani</t>
  </si>
  <si>
    <t xml:space="preserve">Niamat Ullah </t>
  </si>
  <si>
    <t>1401-0200-106624</t>
  </si>
  <si>
    <t>0705720551</t>
  </si>
  <si>
    <t>District Nesha Gam</t>
  </si>
  <si>
    <t>KNR-2025-MR-139</t>
  </si>
  <si>
    <t xml:space="preserve">Attaulrahman </t>
  </si>
  <si>
    <t>Khair Mohammad Mohammadi</t>
  </si>
  <si>
    <t>1399-0601-57260</t>
  </si>
  <si>
    <t>Korgam, Central Kunar</t>
  </si>
  <si>
    <t>Korgam</t>
  </si>
  <si>
    <t xml:space="preserve">Abdullah </t>
  </si>
  <si>
    <t xml:space="preserve">Khair Mohammad Mohammadi </t>
  </si>
  <si>
    <t>1399-0700-11884</t>
  </si>
  <si>
    <t>0777701281</t>
  </si>
  <si>
    <t>KNR-2025-MR-140</t>
  </si>
  <si>
    <t xml:space="preserve">Noorzaman </t>
  </si>
  <si>
    <t xml:space="preserve">Mohammad Zamin </t>
  </si>
  <si>
    <t>1403-0802-86960</t>
  </si>
  <si>
    <t>Yargal, Asadabad, Kunar</t>
  </si>
  <si>
    <t xml:space="preserve">Pharma </t>
  </si>
  <si>
    <t>Medicines</t>
  </si>
  <si>
    <t>To expend his Pharmacy</t>
  </si>
  <si>
    <t>Yargal</t>
  </si>
  <si>
    <t>Ziaurrahman</t>
  </si>
  <si>
    <t>Fazal Rahman</t>
  </si>
  <si>
    <t>1402-1202-43984</t>
  </si>
  <si>
    <t>077691663</t>
  </si>
  <si>
    <t>KNR-2025-MR-141</t>
  </si>
  <si>
    <t>Hanifullah</t>
  </si>
  <si>
    <t>Tanwir</t>
  </si>
  <si>
    <t>Shir Mohammad</t>
  </si>
  <si>
    <t>1400-0200-39570</t>
  </si>
  <si>
    <t>Lahoredag, Munawar, Kunar</t>
  </si>
  <si>
    <t>Munawar District</t>
  </si>
  <si>
    <t>food</t>
  </si>
  <si>
    <t>Flour</t>
  </si>
  <si>
    <t>To expend his flour business</t>
  </si>
  <si>
    <t>Lahoredag</t>
  </si>
  <si>
    <t xml:space="preserve">Israrullah </t>
  </si>
  <si>
    <t>Abid</t>
  </si>
  <si>
    <t>Rizwan Ullah</t>
  </si>
  <si>
    <t>1399-1206-68290</t>
  </si>
  <si>
    <t>0776065264</t>
  </si>
  <si>
    <t>KNR-2025-MR-142</t>
  </si>
  <si>
    <t xml:space="preserve">Hameedullah </t>
  </si>
  <si>
    <t>Alokozay</t>
  </si>
  <si>
    <t>Abdullah Ahmad</t>
  </si>
  <si>
    <t>1400-1100-91788</t>
  </si>
  <si>
    <t>Central Village, Sarkano, Kunar</t>
  </si>
  <si>
    <t>Sarkano District</t>
  </si>
  <si>
    <t>Central Village</t>
  </si>
  <si>
    <t>Alokozai</t>
  </si>
  <si>
    <t>Mirza Ali Khan</t>
  </si>
  <si>
    <t>1399-1001-14626</t>
  </si>
  <si>
    <t>KNR-2025-MR-154</t>
  </si>
  <si>
    <t xml:space="preserve">Zubeir </t>
  </si>
  <si>
    <t>1399-1101-01492</t>
  </si>
  <si>
    <t xml:space="preserve">Nasirullah </t>
  </si>
  <si>
    <t>Nasiri</t>
  </si>
  <si>
    <t>Abdulmatin</t>
  </si>
  <si>
    <t>1399-1205-57542</t>
  </si>
  <si>
    <t>0772133419</t>
  </si>
  <si>
    <t>KNR-2025-MR-144</t>
  </si>
  <si>
    <t xml:space="preserve">Waser Ullah </t>
  </si>
  <si>
    <t xml:space="preserve">Wali Mohammad Khan Safi </t>
  </si>
  <si>
    <t>1400-0107-02494</t>
  </si>
  <si>
    <t>Damkali, Asadabad Kunar</t>
  </si>
  <si>
    <t xml:space="preserve">Asadabad </t>
  </si>
  <si>
    <t>Masihullah</t>
  </si>
  <si>
    <t>Khair Khwa</t>
  </si>
  <si>
    <t>Shena dorkakhil</t>
  </si>
  <si>
    <t>1399-1100-05156</t>
  </si>
  <si>
    <t>0779290082</t>
  </si>
  <si>
    <t>KNR-2025-MR-145</t>
  </si>
  <si>
    <t xml:space="preserve">Rahmatullah </t>
  </si>
  <si>
    <t>Mahiudin</t>
  </si>
  <si>
    <t>1399-1000-35898</t>
  </si>
  <si>
    <t>KNR-2025-MR-146</t>
  </si>
  <si>
    <t xml:space="preserve">Anwarul Haq </t>
  </si>
  <si>
    <t>Sana</t>
  </si>
  <si>
    <t>Sanaul Haq</t>
  </si>
  <si>
    <t>1401-1201-45986</t>
  </si>
  <si>
    <t>Saliman</t>
  </si>
  <si>
    <t>1403-0700-06668</t>
  </si>
  <si>
    <t>0765657240</t>
  </si>
  <si>
    <t>Gulzar</t>
  </si>
  <si>
    <t>LMI-MBH-2025-D007</t>
  </si>
  <si>
    <t xml:space="preserve">Rohullah </t>
  </si>
  <si>
    <t>Hazrati</t>
  </si>
  <si>
    <t>Hazrat shah</t>
  </si>
  <si>
    <t>1398-0100-14414</t>
  </si>
  <si>
    <t>Arzan Qymat 2nd Square, Kabul</t>
  </si>
  <si>
    <t>District 12</t>
  </si>
  <si>
    <t>Tailor</t>
  </si>
  <si>
    <t>To Expend his Tailor Machine</t>
  </si>
  <si>
    <t>Arzan Qymat</t>
  </si>
  <si>
    <t xml:space="preserve">Qudratullah </t>
  </si>
  <si>
    <t>1397-1000-01614</t>
  </si>
  <si>
    <t>0707489119</t>
  </si>
  <si>
    <t>Arzan Qymat, District 12 (Guzar 5th), Kabul</t>
  </si>
  <si>
    <t>KNR-2025-MR-147</t>
  </si>
  <si>
    <t xml:space="preserve">Rahimullah </t>
  </si>
  <si>
    <t>Mohammad Amin</t>
  </si>
  <si>
    <t>1399-0800-99644</t>
  </si>
  <si>
    <t>Doshakhil, Central Kunar</t>
  </si>
  <si>
    <t>Doshakhil</t>
  </si>
  <si>
    <t xml:space="preserve">Morsalin </t>
  </si>
  <si>
    <t>1399-0800-53728</t>
  </si>
  <si>
    <t>0767151060</t>
  </si>
  <si>
    <t>KNR-2025-MR-148</t>
  </si>
  <si>
    <t xml:space="preserve">Hafizullah </t>
  </si>
  <si>
    <t>Mohammad Qasam</t>
  </si>
  <si>
    <t>1400-0400-06568</t>
  </si>
  <si>
    <t xml:space="preserve">Qiamudin </t>
  </si>
  <si>
    <t>Bidar</t>
  </si>
  <si>
    <t xml:space="preserve">Hazrat Alam Safi </t>
  </si>
  <si>
    <t>1401-0102-64210</t>
  </si>
  <si>
    <t>0778646520</t>
  </si>
  <si>
    <t>KNR-2025-MR-149</t>
  </si>
  <si>
    <t xml:space="preserve">Dawood </t>
  </si>
  <si>
    <t>1401-0200-19998</t>
  </si>
  <si>
    <t>Tarkhawobu, Munawar District, Kunar</t>
  </si>
  <si>
    <t>District Munawar</t>
  </si>
  <si>
    <t>Tarkhawobu</t>
  </si>
  <si>
    <t>Sardarsaid</t>
  </si>
  <si>
    <t>Toty</t>
  </si>
  <si>
    <t>1399-1205-60650</t>
  </si>
  <si>
    <t>0767767205</t>
  </si>
  <si>
    <t>KNR-2025-MR-150</t>
  </si>
  <si>
    <t xml:space="preserve">Wali Rahman </t>
  </si>
  <si>
    <t xml:space="preserve">Shah Mohammad </t>
  </si>
  <si>
    <t>1402-0201-63860</t>
  </si>
  <si>
    <t>Barkali, Munawar, Kunar</t>
  </si>
  <si>
    <t>Munawar</t>
  </si>
  <si>
    <t>Barkali</t>
  </si>
  <si>
    <t xml:space="preserve">Ismatullah </t>
  </si>
  <si>
    <t>1402-1103-48392</t>
  </si>
  <si>
    <t>0778451523</t>
  </si>
  <si>
    <t>LMI-25-MRBH-0012</t>
  </si>
  <si>
    <t xml:space="preserve">Mustafa </t>
  </si>
  <si>
    <t>Khairkhwa</t>
  </si>
  <si>
    <t>Atiqullah KhairKhwa</t>
  </si>
  <si>
    <t>1400-0200-17408</t>
  </si>
  <si>
    <t>Qulauye Khuja Bughra, Kabul</t>
  </si>
  <si>
    <t>District 15</t>
  </si>
  <si>
    <t>To Start a new business of groceries</t>
  </si>
  <si>
    <t>Khuja Bughra</t>
  </si>
  <si>
    <t>Faisal</t>
  </si>
  <si>
    <t xml:space="preserve">Abdul Majid </t>
  </si>
  <si>
    <t>1403-0803-20338</t>
  </si>
  <si>
    <t>0783143077</t>
  </si>
  <si>
    <t>KNR-2025-MR-151</t>
  </si>
  <si>
    <t>Wahedullah</t>
  </si>
  <si>
    <t>Lal Shah</t>
  </si>
  <si>
    <t>1399-0800-97102</t>
  </si>
  <si>
    <t>Chenar Daba, Central Kunar</t>
  </si>
  <si>
    <t>Chenar Daba</t>
  </si>
  <si>
    <t xml:space="preserve">Mohammadwali </t>
  </si>
  <si>
    <t xml:space="preserve">Aziz ullah </t>
  </si>
  <si>
    <t>1399-0901-51020</t>
  </si>
  <si>
    <t>0764387699</t>
  </si>
  <si>
    <t>KNR-2025-MR-152</t>
  </si>
  <si>
    <t>Samar ullah Sahaar</t>
  </si>
  <si>
    <t>Sahar</t>
  </si>
  <si>
    <t xml:space="preserve">Mohammad Zaman </t>
  </si>
  <si>
    <t>1402-1101-25336</t>
  </si>
  <si>
    <t>Akhonzada, Khas Kunar</t>
  </si>
  <si>
    <t>Hygiene products</t>
  </si>
  <si>
    <t>Cleaning items Shops</t>
  </si>
  <si>
    <t xml:space="preserve">To expend his Business </t>
  </si>
  <si>
    <t>Akhonzada</t>
  </si>
  <si>
    <t>Mohammad Sabet</t>
  </si>
  <si>
    <t>1399-0901-58710</t>
  </si>
  <si>
    <t>0771148628</t>
  </si>
  <si>
    <t>KNR-2025-MR-153</t>
  </si>
  <si>
    <t xml:space="preserve">Mohammad Aslam </t>
  </si>
  <si>
    <t>Ghulam Sarwar</t>
  </si>
  <si>
    <t>1399-1003-20685</t>
  </si>
  <si>
    <t>Sewing</t>
  </si>
  <si>
    <t xml:space="preserve">Sewing Tools and Clothes </t>
  </si>
  <si>
    <t>Karhala</t>
  </si>
  <si>
    <t>Mohammad Nadar</t>
  </si>
  <si>
    <t>Sarwari</t>
  </si>
  <si>
    <t>1401-0800-56216</t>
  </si>
  <si>
    <t>0767587929</t>
  </si>
  <si>
    <t>Mirwais</t>
  </si>
  <si>
    <t>Mohammad Jan</t>
  </si>
  <si>
    <t>1400-0404-93584</t>
  </si>
  <si>
    <t>Damkali, Doshakha, Central Kunar</t>
  </si>
  <si>
    <t xml:space="preserve">Construction </t>
  </si>
  <si>
    <t xml:space="preserve">Construction Materials </t>
  </si>
  <si>
    <t>To expend his Construction Materials Business</t>
  </si>
  <si>
    <t>Constriction Materials</t>
  </si>
  <si>
    <t>1403-1501-1-942</t>
  </si>
  <si>
    <t xml:space="preserve">Shafiqullah </t>
  </si>
  <si>
    <t>Amiri</t>
  </si>
  <si>
    <t>Abdullah Jan bekor</t>
  </si>
  <si>
    <t>1399-1202-83214</t>
  </si>
  <si>
    <t>0775766541</t>
  </si>
  <si>
    <t>KNR-2025-MR-155</t>
  </si>
  <si>
    <t xml:space="preserve">Sayed Shareef </t>
  </si>
  <si>
    <t>Sharafat</t>
  </si>
  <si>
    <t>Pacha Jan</t>
  </si>
  <si>
    <t>1399-0901-66938</t>
  </si>
  <si>
    <t>Clothes Shop</t>
  </si>
  <si>
    <t xml:space="preserve">Said Akbar Shah </t>
  </si>
  <si>
    <t>Sadat</t>
  </si>
  <si>
    <t>Mohammd Esa</t>
  </si>
  <si>
    <t>1404-0200-65694</t>
  </si>
  <si>
    <t>KNR-2025-MR-156</t>
  </si>
  <si>
    <t>Enayat u Rahman</t>
  </si>
  <si>
    <t>Najam</t>
  </si>
  <si>
    <t>Mosafar Zamanzai</t>
  </si>
  <si>
    <t>1400-0305-78034</t>
  </si>
  <si>
    <t>Chagi, Central Kunar</t>
  </si>
  <si>
    <t>District 3</t>
  </si>
  <si>
    <t xml:space="preserve">Pharmacy </t>
  </si>
  <si>
    <t>Chagi</t>
  </si>
  <si>
    <t>1403-1501-1-335</t>
  </si>
  <si>
    <t xml:space="preserve">Habib Rashid </t>
  </si>
  <si>
    <t>Bahder</t>
  </si>
  <si>
    <t>1403-0402-97724</t>
  </si>
  <si>
    <t>0777469648</t>
  </si>
  <si>
    <t>KNR-2025-MR-157</t>
  </si>
  <si>
    <t>Mujeebullah</t>
  </si>
  <si>
    <t>Ghulam Hasan</t>
  </si>
  <si>
    <t>1399-1102-79498</t>
  </si>
  <si>
    <t>Qais</t>
  </si>
  <si>
    <t>Mohibullah</t>
  </si>
  <si>
    <t>1399-1102-79720</t>
  </si>
  <si>
    <t>077156597</t>
  </si>
  <si>
    <t>KNR-2025-MR-158</t>
  </si>
  <si>
    <t xml:space="preserve">Ruhullah </t>
  </si>
  <si>
    <t>Rahimi</t>
  </si>
  <si>
    <t>Rahimullah Rahimi</t>
  </si>
  <si>
    <t>1400-1203-89924</t>
  </si>
  <si>
    <t xml:space="preserve">Hasibullah </t>
  </si>
  <si>
    <t>Aftab</t>
  </si>
  <si>
    <t>1403-1201-83098</t>
  </si>
  <si>
    <t>0707789083</t>
  </si>
  <si>
    <t>KNR-2025-MR-159</t>
  </si>
  <si>
    <t xml:space="preserve">Sardar Wali </t>
  </si>
  <si>
    <t>Mirsalam</t>
  </si>
  <si>
    <t>1399-1001-61492</t>
  </si>
  <si>
    <t>Bahra Abad, Sarkano, Kunar</t>
  </si>
  <si>
    <t>District Sarkano</t>
  </si>
  <si>
    <t>Bahra Abad</t>
  </si>
  <si>
    <t>Sifoorahman</t>
  </si>
  <si>
    <t>Salar</t>
  </si>
  <si>
    <t>Mohammad Yousef</t>
  </si>
  <si>
    <t>1403-0803-00910</t>
  </si>
  <si>
    <t>0770115910</t>
  </si>
  <si>
    <t>KNR-2025-MR-160</t>
  </si>
  <si>
    <t xml:space="preserve">Hanifullah </t>
  </si>
  <si>
    <t>Hanifzai</t>
  </si>
  <si>
    <t>Mohammad Hanif</t>
  </si>
  <si>
    <t>1402-0702-45830</t>
  </si>
  <si>
    <t>Qaichai, Wadapor, Kunar</t>
  </si>
  <si>
    <t>Wadapor District</t>
  </si>
  <si>
    <t>Qaichai</t>
  </si>
  <si>
    <t>Abdul wali Khan</t>
  </si>
  <si>
    <t>Ali Khan</t>
  </si>
  <si>
    <t>1403-0901-29598</t>
  </si>
  <si>
    <t>0771089135</t>
  </si>
  <si>
    <t>KNR-2025-MR-161</t>
  </si>
  <si>
    <t>Zakira</t>
  </si>
  <si>
    <t xml:space="preserve">Hakim Jan </t>
  </si>
  <si>
    <t>1404-0600-32699</t>
  </si>
  <si>
    <t>Muslim Abad Sarkano, Kunar</t>
  </si>
  <si>
    <t>Muslim Abad</t>
  </si>
  <si>
    <t xml:space="preserve">Rsaheed </t>
  </si>
  <si>
    <t>Rahim Dad Khan</t>
  </si>
  <si>
    <t>1399-1103-00154</t>
  </si>
  <si>
    <t>0773008456</t>
  </si>
  <si>
    <t>KNR-2025-MR-162</t>
  </si>
  <si>
    <t>Mohammad Nasim</t>
  </si>
  <si>
    <t xml:space="preserve">Aminzai </t>
  </si>
  <si>
    <t>1403-0401-90888</t>
  </si>
  <si>
    <t xml:space="preserve">Mohammad Naeem </t>
  </si>
  <si>
    <t>1399-0700-94386</t>
  </si>
  <si>
    <t>0774359671</t>
  </si>
  <si>
    <t>KNR-2025-MR-163</t>
  </si>
  <si>
    <t xml:space="preserve">Mirza Mohaammad </t>
  </si>
  <si>
    <t>Arsalahi</t>
  </si>
  <si>
    <t>Mohammad Razaq Arsalahi</t>
  </si>
  <si>
    <t>1400-0106-41418</t>
  </si>
  <si>
    <t>Elyas</t>
  </si>
  <si>
    <t>Mohammd Dawood</t>
  </si>
  <si>
    <t>1402-1001-49884</t>
  </si>
  <si>
    <t>0777740011</t>
  </si>
  <si>
    <t>KNR-2025-MR-166</t>
  </si>
  <si>
    <t xml:space="preserve">Mohammad Bilal </t>
  </si>
  <si>
    <t>Yoursafzay</t>
  </si>
  <si>
    <t xml:space="preserve">Shahid Khan </t>
  </si>
  <si>
    <t>1402-0500-98186</t>
  </si>
  <si>
    <t xml:space="preserve">Shoes </t>
  </si>
  <si>
    <t>Shoes Shop</t>
  </si>
  <si>
    <t>To expend his Shoes shop</t>
  </si>
  <si>
    <t xml:space="preserve">Asadullah </t>
  </si>
  <si>
    <t xml:space="preserve">Ashna </t>
  </si>
  <si>
    <t xml:space="preserve">Abdul Rahman </t>
  </si>
  <si>
    <t>1403-0802-09032</t>
  </si>
  <si>
    <t>0767438345</t>
  </si>
  <si>
    <t>KNR-2025-MR-167</t>
  </si>
  <si>
    <t xml:space="preserve">Shukrullah </t>
  </si>
  <si>
    <t xml:space="preserve">Zaynullah </t>
  </si>
  <si>
    <t>1402-0501-69556</t>
  </si>
  <si>
    <t>Dandobai, 4th district, Kunar</t>
  </si>
  <si>
    <t>District 4</t>
  </si>
  <si>
    <t>Dandobai</t>
  </si>
  <si>
    <t xml:space="preserve">Irshadullah </t>
  </si>
  <si>
    <t xml:space="preserve">Momand </t>
  </si>
  <si>
    <t>Mohammad Hashim Momand</t>
  </si>
  <si>
    <t>1399-1201-63142</t>
  </si>
  <si>
    <t>0777796855</t>
  </si>
  <si>
    <t>KNR-2025-MR-168</t>
  </si>
  <si>
    <t xml:space="preserve">Muhammad Naeem </t>
  </si>
  <si>
    <t>Khamoosh</t>
  </si>
  <si>
    <t xml:space="preserve">Abdul Raoof </t>
  </si>
  <si>
    <t>1403-0701-94820</t>
  </si>
  <si>
    <t xml:space="preserve">Nik Mohammad </t>
  </si>
  <si>
    <t xml:space="preserve">Khan </t>
  </si>
  <si>
    <t>Yaqoob</t>
  </si>
  <si>
    <t>1399-1002-69132</t>
  </si>
  <si>
    <t>0777860497</t>
  </si>
  <si>
    <t>KNR-2025-MR-169</t>
  </si>
  <si>
    <t xml:space="preserve">Nisar </t>
  </si>
  <si>
    <t>Dalawar</t>
  </si>
  <si>
    <t>1401-1000-70882</t>
  </si>
  <si>
    <t>Andarser Karhala, Central Kunar</t>
  </si>
  <si>
    <t>Andarser Karhala</t>
  </si>
  <si>
    <t xml:space="preserve">Bahawar khan </t>
  </si>
  <si>
    <t xml:space="preserve">Qazi </t>
  </si>
  <si>
    <t>0777780105</t>
  </si>
  <si>
    <t>KNR-2025-MR-170</t>
  </si>
  <si>
    <t xml:space="preserve">Nasir Ahmad </t>
  </si>
  <si>
    <t>Akhundzada</t>
  </si>
  <si>
    <t>Ghulam Hazrat Akhundzada</t>
  </si>
  <si>
    <t>1400-0305-53022</t>
  </si>
  <si>
    <t xml:space="preserve">Parwiz </t>
  </si>
  <si>
    <t>Nasir Ahmad Akhundzada</t>
  </si>
  <si>
    <t>1400-0305-53060</t>
  </si>
  <si>
    <t>0777201640</t>
  </si>
  <si>
    <t>KNR-2025-MR-171</t>
  </si>
  <si>
    <t>Hemmat</t>
  </si>
  <si>
    <t>Saeed khan Salarzai</t>
  </si>
  <si>
    <t>1400-0500-62286</t>
  </si>
  <si>
    <t xml:space="preserve">Attaurahman </t>
  </si>
  <si>
    <t>Mosem</t>
  </si>
  <si>
    <t>1399-0601-05432</t>
  </si>
  <si>
    <t>0785057288</t>
  </si>
  <si>
    <t>KNR-2025-MR-172</t>
  </si>
  <si>
    <t xml:space="preserve">Hazir Gull </t>
  </si>
  <si>
    <t>Stoman</t>
  </si>
  <si>
    <t>Nik Mohammad Momand</t>
  </si>
  <si>
    <t>1400-0404-55976</t>
  </si>
  <si>
    <t>Baharabad Sarkano, Kunar</t>
  </si>
  <si>
    <t>Baharabad</t>
  </si>
  <si>
    <t>Shirzaman</t>
  </si>
  <si>
    <t>1401-0101-51352</t>
  </si>
  <si>
    <t>0777691433</t>
  </si>
  <si>
    <t>KNR-2025-MR-174</t>
  </si>
  <si>
    <t xml:space="preserve">Fridullah </t>
  </si>
  <si>
    <t>Mohammad Nadir</t>
  </si>
  <si>
    <t>1404-0501-35822</t>
  </si>
  <si>
    <t xml:space="preserve">Shakiruulah </t>
  </si>
  <si>
    <t>Mohammad Rasool</t>
  </si>
  <si>
    <t>14400-0300-99354</t>
  </si>
  <si>
    <t>0765657305</t>
  </si>
  <si>
    <t>KNR-2025-MR-175</t>
  </si>
  <si>
    <t>Ikramullah</t>
  </si>
  <si>
    <t>1399-1100-84196</t>
  </si>
  <si>
    <t>Plastic bag</t>
  </si>
  <si>
    <t xml:space="preserve">Plastic bags </t>
  </si>
  <si>
    <t xml:space="preserve">To expend his business </t>
  </si>
  <si>
    <t>Plastic &amp; Cartans Shop</t>
  </si>
  <si>
    <t>1403-1501-1-958</t>
  </si>
  <si>
    <t xml:space="preserve">Barakatullah </t>
  </si>
  <si>
    <t>1399-1100-85356</t>
  </si>
  <si>
    <t>0774484566</t>
  </si>
  <si>
    <t>KNR-2025-MR-176</t>
  </si>
  <si>
    <t>Gulab Saeed</t>
  </si>
  <si>
    <t>1404-0601-35234</t>
  </si>
  <si>
    <t xml:space="preserve">Ihsanullah </t>
  </si>
  <si>
    <t>Ihsan</t>
  </si>
  <si>
    <t>Bahram Saeed</t>
  </si>
  <si>
    <t>1404-0503-14204</t>
  </si>
  <si>
    <t>KNR-2025-MR-178</t>
  </si>
  <si>
    <t xml:space="preserve">Hayatullah </t>
  </si>
  <si>
    <t>Muhammadi</t>
  </si>
  <si>
    <t>1399-0601-58048</t>
  </si>
  <si>
    <t>Foods</t>
  </si>
  <si>
    <t xml:space="preserve">Gul Mohammad </t>
  </si>
  <si>
    <t>1402-0902-42682</t>
  </si>
  <si>
    <t>0766467162</t>
  </si>
  <si>
    <t xml:space="preserve">Akbar Khan </t>
  </si>
  <si>
    <t>Habibullah</t>
  </si>
  <si>
    <t>1402-0702-27160</t>
  </si>
  <si>
    <t>Hijrat kali, Central Kunar</t>
  </si>
  <si>
    <t>Hijrat kali</t>
  </si>
  <si>
    <t>1403-1501-1-807</t>
  </si>
  <si>
    <t>1402-0502-69582</t>
  </si>
  <si>
    <t>KNR-2025-MR-179</t>
  </si>
  <si>
    <t>Rafiullahullah</t>
  </si>
  <si>
    <t xml:space="preserve">Aziz Gul </t>
  </si>
  <si>
    <t>1400-1200-00734</t>
  </si>
  <si>
    <t>Gorgam, 1st district, Kunar</t>
  </si>
  <si>
    <t>Gorgam</t>
  </si>
  <si>
    <t>Aziz Gul Safi</t>
  </si>
  <si>
    <t>1403-1501-1-123</t>
  </si>
  <si>
    <t>Sheer Ahmad</t>
  </si>
  <si>
    <t>Mohammad Qatalan</t>
  </si>
  <si>
    <t>1400-0400-56640</t>
  </si>
  <si>
    <t>0774004526</t>
  </si>
  <si>
    <t>KNR-2025-MR-180</t>
  </si>
  <si>
    <t xml:space="preserve">Gul Omar </t>
  </si>
  <si>
    <t>Amirzada</t>
  </si>
  <si>
    <t>Mira Jan</t>
  </si>
  <si>
    <t>1401-0900-19446</t>
  </si>
  <si>
    <t xml:space="preserve">Printing </t>
  </si>
  <si>
    <t>Roll of Banners</t>
  </si>
  <si>
    <t>To expend his Prinitng Business</t>
  </si>
  <si>
    <t xml:space="preserve">Almas Prinitng </t>
  </si>
  <si>
    <t>Gul Omar Amirzada</t>
  </si>
  <si>
    <t>1404-1501-1-397</t>
  </si>
  <si>
    <t>Mashwanai</t>
  </si>
  <si>
    <t xml:space="preserve">Jumadin </t>
  </si>
  <si>
    <t>1400-0100-57338</t>
  </si>
  <si>
    <t>0766499202</t>
  </si>
  <si>
    <t>Asmar, Kunar</t>
  </si>
  <si>
    <t>Asmar District</t>
  </si>
  <si>
    <t>KNR-2025-MR-173</t>
  </si>
  <si>
    <t xml:space="preserve">Abdul Salaam </t>
  </si>
  <si>
    <t xml:space="preserve">Mohammad Roz Khan </t>
  </si>
  <si>
    <t>1402-0302-50784</t>
  </si>
  <si>
    <t>Damkali, Asadabd, Kunar</t>
  </si>
  <si>
    <t>Damkali, Asadabad, Kunar</t>
  </si>
  <si>
    <t>Abdul Salaam Shinwari</t>
  </si>
  <si>
    <t>1403-1501-3-156</t>
  </si>
  <si>
    <t xml:space="preserve">Sohaib </t>
  </si>
  <si>
    <t>Mohammad Hassan</t>
  </si>
  <si>
    <t>1404-0700-04928</t>
  </si>
  <si>
    <t>0764141301</t>
  </si>
  <si>
    <t>Balin, Central Kunar</t>
  </si>
  <si>
    <t>Ayaz Salarzai</t>
  </si>
  <si>
    <t>LMI-Nangarhar -2025-MR-01</t>
  </si>
  <si>
    <t xml:space="preserve">Abdul Ghafar </t>
  </si>
  <si>
    <t>PAINDAKHIL</t>
  </si>
  <si>
    <t>1399-1206-77018</t>
  </si>
  <si>
    <t>Jalalabad 1st District, Nangarhar</t>
  </si>
  <si>
    <t>Jalalabad</t>
  </si>
  <si>
    <t xml:space="preserve">Sharifullah </t>
  </si>
  <si>
    <t>Panidakhil</t>
  </si>
  <si>
    <t>Gul Wazir</t>
  </si>
  <si>
    <t>1400-1100-99712</t>
  </si>
  <si>
    <t>0787725334</t>
  </si>
  <si>
    <t xml:space="preserve">Jalalabad, 4th District, Nangarhar </t>
  </si>
  <si>
    <t>LMI-Nangarhar -2025-MR-02</t>
  </si>
  <si>
    <t xml:space="preserve">Laiq </t>
  </si>
  <si>
    <t>Ashna</t>
  </si>
  <si>
    <t xml:space="preserve">Nasrullah </t>
  </si>
  <si>
    <t>1399-0900-85442</t>
  </si>
  <si>
    <t>Chawk Talashi, 1st District, Nangarhar</t>
  </si>
  <si>
    <t>Chawk Talashi</t>
  </si>
  <si>
    <t xml:space="preserve">Ikramullah </t>
  </si>
  <si>
    <t xml:space="preserve">Ayinullah </t>
  </si>
  <si>
    <t>1402-0600-41586</t>
  </si>
  <si>
    <t>0730024133</t>
  </si>
  <si>
    <t>NGR-2025-MR-05</t>
  </si>
  <si>
    <t xml:space="preserve">Tasal </t>
  </si>
  <si>
    <t xml:space="preserve">Naqibullah </t>
  </si>
  <si>
    <t>1404-0601-47982</t>
  </si>
  <si>
    <t>Kampono, Central Nangarhar</t>
  </si>
  <si>
    <t>Central Jalalaabd</t>
  </si>
  <si>
    <t xml:space="preserve">Dental </t>
  </si>
  <si>
    <t>Dental Materials</t>
  </si>
  <si>
    <t>To expend his Clinic</t>
  </si>
  <si>
    <t xml:space="preserve">Omid </t>
  </si>
  <si>
    <t>Naqibullah</t>
  </si>
  <si>
    <t>1402-0401-60000</t>
  </si>
  <si>
    <t>0775844698</t>
  </si>
  <si>
    <t>NGR-2025-MR-06</t>
  </si>
  <si>
    <t xml:space="preserve">Zerak </t>
  </si>
  <si>
    <t xml:space="preserve">Zulfiqar Safi </t>
  </si>
  <si>
    <t>1399-0800-42926</t>
  </si>
  <si>
    <t>Qasaba, Jalalabad, Nangarhar</t>
  </si>
  <si>
    <t xml:space="preserve">Decoration </t>
  </si>
  <si>
    <t xml:space="preserve">Car Decoration for weddings </t>
  </si>
  <si>
    <t>Qasaba</t>
  </si>
  <si>
    <t xml:space="preserve">Qasaba, Jalalabad, Nanrgarhar </t>
  </si>
  <si>
    <t xml:space="preserve">Khwazak </t>
  </si>
  <si>
    <t xml:space="preserve">Zulfiqar </t>
  </si>
  <si>
    <t>1399-0800-42872</t>
  </si>
  <si>
    <t>0730904140</t>
  </si>
  <si>
    <t>NGR-2025-MR-07</t>
  </si>
  <si>
    <t xml:space="preserve">Jamil </t>
  </si>
  <si>
    <t>Fazal Haq</t>
  </si>
  <si>
    <t>1403-1000-65652</t>
  </si>
  <si>
    <t>Kunduz</t>
  </si>
  <si>
    <t>Mirwais Meen, Besood, Nangarhar</t>
  </si>
  <si>
    <t>Besood District</t>
  </si>
  <si>
    <t xml:space="preserve">Mirwais Meena </t>
  </si>
  <si>
    <t>Mirwais Meena, Besood District, Nangarhar</t>
  </si>
  <si>
    <t xml:space="preserve">Mashwani </t>
  </si>
  <si>
    <t xml:space="preserve">Mohammad Tahir Khan </t>
  </si>
  <si>
    <t>1400-0400-74062</t>
  </si>
  <si>
    <t>0700535440</t>
  </si>
  <si>
    <t>Mirwais Meena, Besood, Nangarhar</t>
  </si>
  <si>
    <t>NGR-2025-MR-08</t>
  </si>
  <si>
    <t>Ali Asghar</t>
  </si>
  <si>
    <t>Ghulam Habib</t>
  </si>
  <si>
    <t>1404-0202-62298</t>
  </si>
  <si>
    <t>Qali Janan Khan, Jalalabad, Nangarhar</t>
  </si>
  <si>
    <t>Central Jalalabad</t>
  </si>
  <si>
    <t xml:space="preserve">Qali Janan Khan </t>
  </si>
  <si>
    <t>Qali Janan khan, Central Jalalabad, Nangarhar</t>
  </si>
  <si>
    <t xml:space="preserve">Salman </t>
  </si>
  <si>
    <t>Noor Habib Qazi Khil</t>
  </si>
  <si>
    <t>1399-1002-54102</t>
  </si>
  <si>
    <t>0770702974</t>
  </si>
  <si>
    <t>NGR-2025-MR-09</t>
  </si>
  <si>
    <t xml:space="preserve">Sabwoon </t>
  </si>
  <si>
    <t>Ashrafi</t>
  </si>
  <si>
    <t>Fazal Rabi</t>
  </si>
  <si>
    <t>1398-0600-16088</t>
  </si>
  <si>
    <t>Majborabad, Central Jalalabad, Nangarhar</t>
  </si>
  <si>
    <t>Liberatory</t>
  </si>
  <si>
    <t>Liberatory Tools</t>
  </si>
  <si>
    <t>To expend his Liberatory</t>
  </si>
  <si>
    <t>Majborabad</t>
  </si>
  <si>
    <t xml:space="preserve">Shamil Gul </t>
  </si>
  <si>
    <t>Nangarhari</t>
  </si>
  <si>
    <t>Spin Gul</t>
  </si>
  <si>
    <t>1401-1200-14108</t>
  </si>
  <si>
    <t>0785852481</t>
  </si>
  <si>
    <t>NGR-2025-MR-010</t>
  </si>
  <si>
    <t xml:space="preserve">Noor Agha </t>
  </si>
  <si>
    <t>Khaksar</t>
  </si>
  <si>
    <t>Mohammad Darwad</t>
  </si>
  <si>
    <t>1404-0500-41328</t>
  </si>
  <si>
    <t>Maidan Wardak</t>
  </si>
  <si>
    <t xml:space="preserve">Popcorn </t>
  </si>
  <si>
    <t>Popcorn Business</t>
  </si>
  <si>
    <t>To expend his Popcorn Business</t>
  </si>
  <si>
    <t xml:space="preserve">Sadat Khan </t>
  </si>
  <si>
    <t>Arab</t>
  </si>
  <si>
    <t xml:space="preserve">Hazrat Khan </t>
  </si>
  <si>
    <t>1402-1200-51508</t>
  </si>
  <si>
    <t>0785666719</t>
  </si>
  <si>
    <t>KNR-2025-MR-012</t>
  </si>
  <si>
    <t xml:space="preserve">Subhanullah </t>
  </si>
  <si>
    <t>Kohestani</t>
  </si>
  <si>
    <t>Shern</t>
  </si>
  <si>
    <t>1398-1100-50496</t>
  </si>
  <si>
    <t>Beland Garbela, Jalalabad, Nangarhar</t>
  </si>
  <si>
    <t>Beland Garbela</t>
  </si>
  <si>
    <t>Jalalabad, Nangarhar</t>
  </si>
  <si>
    <t xml:space="preserve">Habibiullah </t>
  </si>
  <si>
    <t>Wardak</t>
  </si>
  <si>
    <t>Khaesta Gul</t>
  </si>
  <si>
    <t>1402-1002-96702</t>
  </si>
  <si>
    <t>0764169371</t>
  </si>
  <si>
    <t>NGR-2025-MR-013</t>
  </si>
  <si>
    <t xml:space="preserve">Mohammad Fahim </t>
  </si>
  <si>
    <t>Pardis</t>
  </si>
  <si>
    <t>Zaman</t>
  </si>
  <si>
    <t>1401-1100-90418</t>
  </si>
  <si>
    <t>Talashi Chawk, Jalalabad, Nangarhar</t>
  </si>
  <si>
    <t>Blacksmithing</t>
  </si>
  <si>
    <t>Tools of Blacksmithing</t>
  </si>
  <si>
    <t>To expend his Blacksmithing Shop</t>
  </si>
  <si>
    <t>Talashi Chawk</t>
  </si>
  <si>
    <t>Talashi Chawk, Central Jalalabad</t>
  </si>
  <si>
    <t xml:space="preserve">Ahmad Omaid </t>
  </si>
  <si>
    <t>Zamanzai</t>
  </si>
  <si>
    <t>1401-0302-18980</t>
  </si>
  <si>
    <t>0782005056</t>
  </si>
  <si>
    <t>NGR-2025-MR-014</t>
  </si>
  <si>
    <t xml:space="preserve">Gulagha </t>
  </si>
  <si>
    <t>Noorabaz Khan</t>
  </si>
  <si>
    <t>1399-1103-95670</t>
  </si>
  <si>
    <t>Cosmetics</t>
  </si>
  <si>
    <t>Cosmetics Shop</t>
  </si>
  <si>
    <t>To expend his Cosmetics shop</t>
  </si>
  <si>
    <t xml:space="preserve">Akhtar Gul </t>
  </si>
  <si>
    <t>1399-1102-98446</t>
  </si>
  <si>
    <t>0781601852</t>
  </si>
  <si>
    <t>LMI-MBH-2025-D001</t>
  </si>
  <si>
    <t>Mr. Ebadullah</t>
  </si>
  <si>
    <t>1399-1001-37678</t>
  </si>
  <si>
    <t>Taxi</t>
  </si>
  <si>
    <t xml:space="preserve">Abdulmatin </t>
  </si>
  <si>
    <t>Car (Toyota Corolla 1994)</t>
  </si>
  <si>
    <t>LMI-MBH-2025-D002</t>
  </si>
  <si>
    <t xml:space="preserve">Mr. Safiullah </t>
  </si>
  <si>
    <t>Malikzada</t>
  </si>
  <si>
    <t>Najeebullah</t>
  </si>
  <si>
    <t>1401-0302-59128</t>
  </si>
  <si>
    <t>Kololapashta,Kabul</t>
  </si>
  <si>
    <t>District 04</t>
  </si>
  <si>
    <t>Kololapashta, Kabul</t>
  </si>
  <si>
    <t xml:space="preserve">Safiullah </t>
  </si>
  <si>
    <t>01-15872</t>
  </si>
  <si>
    <t>Bashir Ahmad</t>
  </si>
  <si>
    <t>Car (Toyota Corolla)</t>
  </si>
  <si>
    <t xml:space="preserve">Zakiullah </t>
  </si>
  <si>
    <t>Makilzada</t>
  </si>
  <si>
    <t>Najibullah</t>
  </si>
  <si>
    <t>1401-0302-59206</t>
  </si>
  <si>
    <t>Driver</t>
  </si>
  <si>
    <t>Brother</t>
  </si>
  <si>
    <t>Vehicle</t>
  </si>
  <si>
    <t>LMI-MBH-2025-D004</t>
  </si>
  <si>
    <t>Khuda Dost</t>
  </si>
  <si>
    <t xml:space="preserve">Nazari </t>
  </si>
  <si>
    <t>Rahim khuda Nazari</t>
  </si>
  <si>
    <t>1396-1000-29044</t>
  </si>
  <si>
    <t>Panjsher</t>
  </si>
  <si>
    <t xml:space="preserve">Qalifatullah 12th street, Kabul </t>
  </si>
  <si>
    <t>District 10</t>
  </si>
  <si>
    <t>Qalifatullah</t>
  </si>
  <si>
    <t>Qalifatullah, 12th street, Kabul</t>
  </si>
  <si>
    <t xml:space="preserve">Flaz Khuda </t>
  </si>
  <si>
    <t>Kalantari</t>
  </si>
  <si>
    <t>Flaz Ullah</t>
  </si>
  <si>
    <t>1399-1203-40750</t>
  </si>
  <si>
    <t>0744445296</t>
  </si>
  <si>
    <t>Father</t>
  </si>
  <si>
    <t>LMI-25-MRBH-0013</t>
  </si>
  <si>
    <t xml:space="preserve">Naseer Jaan </t>
  </si>
  <si>
    <t>Kashmiri</t>
  </si>
  <si>
    <t>Gul Nabi</t>
  </si>
  <si>
    <t>1400-0300-03300</t>
  </si>
  <si>
    <t>Kart-e-now 3rd street, Kabul</t>
  </si>
  <si>
    <t>District 8</t>
  </si>
  <si>
    <t>Children Clothes Business</t>
  </si>
  <si>
    <t>To expend his Clothes shop</t>
  </si>
  <si>
    <t>Kart-e-now 3rd street</t>
  </si>
  <si>
    <t>Shirn Agha</t>
  </si>
  <si>
    <t>Khoshdel</t>
  </si>
  <si>
    <t>Ghosodin</t>
  </si>
  <si>
    <t>1402-0701-26732</t>
  </si>
  <si>
    <t>0783873654</t>
  </si>
  <si>
    <t>LMI-25-MRBH-0014</t>
  </si>
  <si>
    <t>Nabizada</t>
  </si>
  <si>
    <t>Abdulwahab</t>
  </si>
  <si>
    <t>1399-1001-20460</t>
  </si>
  <si>
    <t>Between Charahe Traffic and Charahe Taimani, Kabul</t>
  </si>
  <si>
    <t>1399-1100-68292</t>
  </si>
  <si>
    <t>Apartment</t>
  </si>
  <si>
    <t>Kolulapashta</t>
  </si>
  <si>
    <t>80 (mm)</t>
  </si>
  <si>
    <t>Abdul Wahab</t>
  </si>
  <si>
    <t>Abdul Nabi Nabizada</t>
  </si>
  <si>
    <t>0767610836</t>
  </si>
  <si>
    <t>LMI-MSH-2025-D001</t>
  </si>
  <si>
    <t xml:space="preserve">Mr. Zabihullah </t>
  </si>
  <si>
    <t>1400-1001-22758</t>
  </si>
  <si>
    <t>District 4, Kabul</t>
  </si>
  <si>
    <t>Musharakat</t>
  </si>
  <si>
    <t>Agriculture</t>
  </si>
  <si>
    <t>Chicken Form</t>
  </si>
  <si>
    <t>To Expend his form and purchasing more checkens</t>
  </si>
  <si>
    <t xml:space="preserve">Ajmal </t>
  </si>
  <si>
    <t xml:space="preserve">Qadari </t>
  </si>
  <si>
    <t>Ahmad Fawad</t>
  </si>
  <si>
    <t>1402-0701-74958</t>
  </si>
  <si>
    <t>Friend</t>
  </si>
  <si>
    <t>Zuhra Nadeem</t>
  </si>
  <si>
    <t>LMI-25-MRBH-0015</t>
  </si>
  <si>
    <t xml:space="preserve">Zarmina </t>
  </si>
  <si>
    <t>Obaidi</t>
  </si>
  <si>
    <t xml:space="preserve">Shern Aqa Obaidi </t>
  </si>
  <si>
    <t>1400-0304-01737</t>
  </si>
  <si>
    <t>Kapisa</t>
  </si>
  <si>
    <t>Kotal Khair Khana, 17th District, Kabul</t>
  </si>
  <si>
    <t>17 District</t>
  </si>
  <si>
    <t>Tailor Tools</t>
  </si>
  <si>
    <t>To expend his Tailor Business</t>
  </si>
  <si>
    <t>District 7</t>
  </si>
  <si>
    <t>Kotal Khair Khana</t>
  </si>
  <si>
    <t>Abdul Warees</t>
  </si>
  <si>
    <t>Fedayee</t>
  </si>
  <si>
    <t>Khuja Mer</t>
  </si>
  <si>
    <t>1404-0500-59524</t>
  </si>
  <si>
    <t>0748354936</t>
  </si>
  <si>
    <t>NGR-2025-MR-018</t>
  </si>
  <si>
    <t>Abdul Zahir</t>
  </si>
  <si>
    <t>Halim</t>
  </si>
  <si>
    <t>Abdul Tahir</t>
  </si>
  <si>
    <t>1401-0200-31338</t>
  </si>
  <si>
    <t>22/02/1370</t>
  </si>
  <si>
    <t>Spenghar Tawar, 2nd District, Nangarhar</t>
  </si>
  <si>
    <t>Laboratory</t>
  </si>
  <si>
    <t>Teeth Making Laboratory</t>
  </si>
  <si>
    <t>KNR-2025-MR-184</t>
  </si>
  <si>
    <t>Abdullah</t>
  </si>
  <si>
    <t xml:space="preserve">Zabi Ullah </t>
  </si>
  <si>
    <t>1402-0602-29424</t>
  </si>
  <si>
    <t>Karhala, Central Kunar, Kunar</t>
  </si>
  <si>
    <t>Car Spare Parts chop and Services</t>
  </si>
  <si>
    <t>NGR-2025-MR-022</t>
  </si>
  <si>
    <t>Sahil</t>
  </si>
  <si>
    <t xml:space="preserve">Mohammadudin </t>
  </si>
  <si>
    <t>1403-0600-87024</t>
  </si>
  <si>
    <t>01/01/1376</t>
  </si>
  <si>
    <t>Tarily, Chaparhar District, Nangarhar</t>
  </si>
  <si>
    <t>Chaparhar District</t>
  </si>
  <si>
    <t>Trade</t>
  </si>
  <si>
    <t>Grocery Store</t>
  </si>
  <si>
    <t>NGR-2025-MR-016</t>
  </si>
  <si>
    <t xml:space="preserve">Ismail Khan </t>
  </si>
  <si>
    <t>Rashidi</t>
  </si>
  <si>
    <t>Delawar Khan Raside</t>
  </si>
  <si>
    <t>1401-0200-75093</t>
  </si>
  <si>
    <t>08/02/1367</t>
  </si>
  <si>
    <t>Daman, Central Nangarhar, Nangarhar</t>
  </si>
  <si>
    <t>Central Nangarhar</t>
  </si>
  <si>
    <t>Livestock</t>
  </si>
  <si>
    <t>NGR-2025-MR-021</t>
  </si>
  <si>
    <t>Majid</t>
  </si>
  <si>
    <t>1404-0201-12310</t>
  </si>
  <si>
    <t>04/06/1373</t>
  </si>
  <si>
    <t>Kama Pol 2nd street, 8th District, Nangarhar</t>
  </si>
  <si>
    <t>NGR-2025-MR-019</t>
  </si>
  <si>
    <t>Esa Khan</t>
  </si>
  <si>
    <t>1400-1100-22744</t>
  </si>
  <si>
    <t>20/02/1365</t>
  </si>
  <si>
    <t>Spar Parts</t>
  </si>
  <si>
    <t>NGR-2025-MR-015</t>
  </si>
  <si>
    <t>Shir Ahmad</t>
  </si>
  <si>
    <t>Gulab</t>
  </si>
  <si>
    <t>1404-0700-34816</t>
  </si>
  <si>
    <t>28/6/1366</t>
  </si>
  <si>
    <t>Kooz Kunar</t>
  </si>
  <si>
    <t>Central Nangarhar, Nangarhar</t>
  </si>
  <si>
    <t>Cloting Store</t>
  </si>
  <si>
    <t>NGR-2025-MR-017</t>
  </si>
  <si>
    <t>Waheedullah</t>
  </si>
  <si>
    <t>Noor Ahmad Khan</t>
  </si>
  <si>
    <t>1402-0301-30082</t>
  </si>
  <si>
    <t>Samar Khil, Besood District, Nangarhar</t>
  </si>
  <si>
    <t>District Besood</t>
  </si>
  <si>
    <t>Cosmotics</t>
  </si>
  <si>
    <t>NGR-2025-MR-020</t>
  </si>
  <si>
    <t xml:space="preserve">Walayat </t>
  </si>
  <si>
    <t>Wali Zaheer</t>
  </si>
  <si>
    <t>Asil Khan Shinwari</t>
  </si>
  <si>
    <t>1402-0401-46154</t>
  </si>
  <si>
    <t>25/09/1366</t>
  </si>
  <si>
    <t>Mawela, Shiwari District, Nangarhar</t>
  </si>
  <si>
    <t>District Shinwari</t>
  </si>
  <si>
    <t>Service</t>
  </si>
  <si>
    <t>Clinic</t>
  </si>
  <si>
    <t>KNR-2025-MR-191</t>
  </si>
  <si>
    <t>Amanullah</t>
  </si>
  <si>
    <t xml:space="preserve">Shah Suliman </t>
  </si>
  <si>
    <t>1400-1003-12212</t>
  </si>
  <si>
    <t>Farming</t>
  </si>
  <si>
    <t>Animal husbandry</t>
  </si>
  <si>
    <t>KNR-2025-MR-193</t>
  </si>
  <si>
    <t>Badam Khan</t>
  </si>
  <si>
    <t>Shahzada</t>
  </si>
  <si>
    <t>1399-1104-18736</t>
  </si>
  <si>
    <t>Bakery</t>
  </si>
  <si>
    <t>Bakery Vendor</t>
  </si>
  <si>
    <t>KNR-2025-MR-187</t>
  </si>
  <si>
    <t>Taj Muhammad</t>
  </si>
  <si>
    <t>Mohammad Ali</t>
  </si>
  <si>
    <t>1402-1002-81900</t>
  </si>
  <si>
    <t>Kara Mar, Central kunar, Kunar</t>
  </si>
  <si>
    <t>Tiloring</t>
  </si>
  <si>
    <t>Tailoring &amp; Cloth House</t>
  </si>
  <si>
    <t>KNR-2025-MR-181</t>
  </si>
  <si>
    <t>Hassan Khan</t>
  </si>
  <si>
    <t>Shah Jahan</t>
  </si>
  <si>
    <t>1400-0305-53898</t>
  </si>
  <si>
    <t>Mano, Central Kunar, Kunar</t>
  </si>
  <si>
    <t>KNR-2025-MR-189</t>
  </si>
  <si>
    <t xml:space="preserve">Khair u Rahman </t>
  </si>
  <si>
    <t>Haji Fazalurahman</t>
  </si>
  <si>
    <t>1402-0201-67670</t>
  </si>
  <si>
    <t>Shop</t>
  </si>
  <si>
    <t>Glasses Shop</t>
  </si>
  <si>
    <t xml:space="preserve">KNR-2025-MR-185 </t>
  </si>
  <si>
    <t xml:space="preserve">Zaker ullah </t>
  </si>
  <si>
    <t>Fazli</t>
  </si>
  <si>
    <t>Taj Mohammad</t>
  </si>
  <si>
    <t>1402-0302-49806</t>
  </si>
  <si>
    <t xml:space="preserve">Hisara, Munawar, Kunar </t>
  </si>
  <si>
    <t>General Store</t>
  </si>
  <si>
    <t>KNR-2025-MR-192</t>
  </si>
  <si>
    <t>Naeem</t>
  </si>
  <si>
    <t>1399-1101-67400</t>
  </si>
  <si>
    <t>Car Spare Parts</t>
  </si>
  <si>
    <t>LMI-MBH-2025-D005</t>
  </si>
  <si>
    <t>Shahzada Momand</t>
  </si>
  <si>
    <t>1398-0600-55128</t>
  </si>
  <si>
    <t>8th District Kabul</t>
  </si>
  <si>
    <t>Manufacturing machine spare parts</t>
  </si>
  <si>
    <t>KNR-2025-MR-190</t>
  </si>
  <si>
    <t>Muhammad Khitab</t>
  </si>
  <si>
    <t xml:space="preserve">Turabullah </t>
  </si>
  <si>
    <t>1399-0902-33470</t>
  </si>
  <si>
    <t>Badinazor, Chawli District, Kunar</t>
  </si>
  <si>
    <t>Public Transport</t>
  </si>
  <si>
    <t>KNR-2025-MR-188</t>
  </si>
  <si>
    <t>Izatullah</t>
  </si>
  <si>
    <t>Abdul Ghafar Khan</t>
  </si>
  <si>
    <t>1399-0701-07248</t>
  </si>
  <si>
    <t>Car Workshop</t>
  </si>
  <si>
    <t>NGR-2025-MR-023</t>
  </si>
  <si>
    <t>Abdul Bayes</t>
  </si>
  <si>
    <t>Ghulam Farooq Kakar</t>
  </si>
  <si>
    <t>1400-0103-79414</t>
  </si>
  <si>
    <t>22/04/1379</t>
  </si>
  <si>
    <t>Kakarona, Besood District, Nangarhar</t>
  </si>
  <si>
    <t>KNR-2025-MR-186</t>
  </si>
  <si>
    <t>Muhammad Khan</t>
  </si>
  <si>
    <t>Mohammad Khalil</t>
  </si>
  <si>
    <t>1402-1100-70478</t>
  </si>
  <si>
    <t>Lahore dag, Munawar, Kunar</t>
  </si>
  <si>
    <t>Store</t>
  </si>
  <si>
    <t>Kitchen utensils</t>
  </si>
  <si>
    <t>KN1100001</t>
  </si>
  <si>
    <t>Add Row Above</t>
  </si>
  <si>
    <t>IndirectMale</t>
  </si>
  <si>
    <t>IndirectFemale</t>
  </si>
  <si>
    <t>DirectMale</t>
  </si>
  <si>
    <t>DirectFemale</t>
  </si>
  <si>
    <t>PrincipleAmount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</si>
</sst>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[$AFN]\ #,##0"/>
    <numFmt numFmtId="165" formatCode="[$AFN]\ #,##0.00"/>
    <numFmt numFmtId="166" formatCode="_(* #,##0_);_(* \(#,##0\);_(* &quot;-&quot;??_);_(@_)"/>
    <numFmt numFmtId="167" formatCode="[$-409]mmmm\ d\,\ yyyy;@"/>
    <numFmt numFmtId="168" formatCode="[$-409]dd\-mmm\-yy;@"/>
    <numFmt numFmtId="169" formatCode="_(* #,##0.0000_);_(* \(#,##0.0000\);_(* &quot;-&quot;??_);_(@_)"/>
    <numFmt numFmtId="170" formatCode="_-* #,##0_-;\-* #,##0_-;_-* &quot;-&quot;??_-;_-@_-"/>
    <numFmt numFmtId="171" formatCode="[$-409]d\-mmm\-yy;@"/>
    <numFmt numFmtId="172" formatCode="0.0000"/>
    <numFmt numFmtId="173" formatCode="000\-00\-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6">
    <xf numFmtId="0" fontId="0" fillId="0" borderId="0" xfId="0"/>
    <xf numFmtId="0" fontId="0" fillId="0" borderId="0" xfId="0" applyAlignment="1">
      <alignment horizontal="center" vertical="top"/>
    </xf>
    <xf numFmtId="164" fontId="0" fillId="0" borderId="0" xfId="0" applyNumberFormat="1"/>
    <xf numFmtId="43" fontId="0" fillId="0" borderId="0" xfId="1" applyFont="1"/>
    <xf numFmtId="9" fontId="0" fillId="0" borderId="0" xfId="0" applyNumberFormat="1"/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6" fontId="2" fillId="3" borderId="1" xfId="1" applyNumberFormat="1" applyFont="1" applyFill="1" applyBorder="1" applyAlignment="1">
      <alignment horizontal="center" vertical="center" wrapText="1"/>
    </xf>
    <xf numFmtId="166" fontId="2" fillId="3" borderId="2" xfId="1" applyNumberFormat="1" applyFont="1" applyFill="1" applyBorder="1" applyAlignment="1">
      <alignment horizontal="center" vertical="center" wrapText="1"/>
    </xf>
    <xf numFmtId="166" fontId="2" fillId="3" borderId="3" xfId="1" applyNumberFormat="1" applyFont="1" applyFill="1" applyBorder="1" applyAlignment="1">
      <alignment horizontal="center" vertical="center" wrapText="1"/>
    </xf>
    <xf numFmtId="166" fontId="2" fillId="3" borderId="0" xfId="1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6" fontId="2" fillId="3" borderId="4" xfId="1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3" fillId="5" borderId="5" xfId="0" applyFont="1" applyFill="1" applyBorder="1" applyAlignment="1" applyProtection="1">
      <alignment horizontal="center" vertical="center"/>
      <protection locked="0"/>
    </xf>
    <xf numFmtId="0" fontId="3" fillId="5" borderId="6" xfId="0" applyFont="1" applyFill="1" applyBorder="1" applyAlignment="1" applyProtection="1">
      <alignment horizontal="center" vertical="center"/>
      <protection locked="0"/>
    </xf>
    <xf numFmtId="0" fontId="3" fillId="5" borderId="7" xfId="0" applyFont="1" applyFill="1" applyBorder="1" applyAlignment="1" applyProtection="1">
      <alignment horizontal="center" vertical="center"/>
      <protection locked="0"/>
    </xf>
    <xf numFmtId="0" fontId="3" fillId="6" borderId="8" xfId="0" applyFont="1" applyFill="1" applyBorder="1" applyAlignment="1" applyProtection="1">
      <alignment horizontal="center" vertical="center"/>
      <protection locked="0"/>
    </xf>
    <xf numFmtId="0" fontId="3" fillId="6" borderId="9" xfId="0" applyFont="1" applyFill="1" applyBorder="1" applyAlignment="1" applyProtection="1">
      <alignment horizontal="center" vertical="center"/>
      <protection locked="0"/>
    </xf>
    <xf numFmtId="0" fontId="3" fillId="6" borderId="10" xfId="0" applyFont="1" applyFill="1" applyBorder="1" applyAlignment="1" applyProtection="1">
      <alignment horizontal="center" vertical="center"/>
      <protection locked="0"/>
    </xf>
    <xf numFmtId="0" fontId="3" fillId="7" borderId="11" xfId="0" applyFont="1" applyFill="1" applyBorder="1" applyAlignment="1" applyProtection="1">
      <alignment horizontal="center" vertical="center"/>
      <protection locked="0"/>
    </xf>
    <xf numFmtId="0" fontId="3" fillId="7" borderId="9" xfId="0" applyFont="1" applyFill="1" applyBorder="1" applyAlignment="1" applyProtection="1">
      <alignment horizontal="center" vertical="center"/>
      <protection locked="0"/>
    </xf>
    <xf numFmtId="0" fontId="3" fillId="7" borderId="10" xfId="0" applyFont="1" applyFill="1" applyBorder="1" applyAlignment="1" applyProtection="1">
      <alignment horizontal="center" vertical="center"/>
      <protection locked="0"/>
    </xf>
    <xf numFmtId="0" fontId="3" fillId="8" borderId="11" xfId="0" applyFont="1" applyFill="1" applyBorder="1" applyAlignment="1" applyProtection="1">
      <alignment horizontal="center" vertical="center"/>
      <protection locked="0"/>
    </xf>
    <xf numFmtId="0" fontId="3" fillId="8" borderId="9" xfId="0" applyFont="1" applyFill="1" applyBorder="1" applyAlignment="1" applyProtection="1">
      <alignment horizontal="center" vertical="center"/>
      <protection locked="0"/>
    </xf>
    <xf numFmtId="0" fontId="3" fillId="8" borderId="10" xfId="0" applyFont="1" applyFill="1" applyBorder="1" applyAlignment="1" applyProtection="1">
      <alignment horizontal="center" vertical="center"/>
      <protection locked="0"/>
    </xf>
    <xf numFmtId="0" fontId="3" fillId="9" borderId="8" xfId="0" applyFont="1" applyFill="1" applyBorder="1" applyAlignment="1" applyProtection="1">
      <alignment horizontal="center" vertical="center"/>
      <protection locked="0"/>
    </xf>
    <xf numFmtId="0" fontId="3" fillId="9" borderId="9" xfId="0" applyFont="1" applyFill="1" applyBorder="1" applyAlignment="1" applyProtection="1">
      <alignment horizontal="center" vertical="center"/>
      <protection locked="0"/>
    </xf>
    <xf numFmtId="0" fontId="3" fillId="9" borderId="10" xfId="0" applyFont="1" applyFill="1" applyBorder="1" applyAlignment="1" applyProtection="1">
      <alignment horizontal="center" vertical="center"/>
      <protection locked="0"/>
    </xf>
    <xf numFmtId="0" fontId="3" fillId="10" borderId="5" xfId="0" applyFont="1" applyFill="1" applyBorder="1" applyAlignment="1" applyProtection="1">
      <alignment horizontal="center" vertical="center"/>
      <protection locked="0"/>
    </xf>
    <xf numFmtId="0" fontId="3" fillId="10" borderId="6" xfId="0" applyFont="1" applyFill="1" applyBorder="1" applyAlignment="1" applyProtection="1">
      <alignment horizontal="center" vertical="center"/>
      <protection locked="0"/>
    </xf>
    <xf numFmtId="0" fontId="3" fillId="10" borderId="7" xfId="0" applyFont="1" applyFill="1" applyBorder="1" applyAlignment="1" applyProtection="1">
      <alignment horizontal="center" vertical="center"/>
      <protection locked="0"/>
    </xf>
    <xf numFmtId="0" fontId="3" fillId="4" borderId="11" xfId="0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11" borderId="5" xfId="0" applyFont="1" applyFill="1" applyBorder="1" applyAlignment="1" applyProtection="1">
      <alignment horizontal="center" vertical="center"/>
      <protection locked="0"/>
    </xf>
    <xf numFmtId="0" fontId="3" fillId="11" borderId="6" xfId="0" applyFont="1" applyFill="1" applyBorder="1" applyAlignment="1" applyProtection="1">
      <alignment horizontal="center" vertical="center"/>
      <protection locked="0"/>
    </xf>
    <xf numFmtId="0" fontId="3" fillId="11" borderId="7" xfId="0" applyFont="1" applyFill="1" applyBorder="1" applyAlignment="1" applyProtection="1">
      <alignment horizontal="center" vertical="center"/>
      <protection locked="0"/>
    </xf>
    <xf numFmtId="0" fontId="3" fillId="11" borderId="0" xfId="0" applyFont="1" applyFill="1" applyBorder="1" applyAlignment="1" applyProtection="1">
      <alignment horizontal="center" vertical="center"/>
      <protection locked="0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 applyProtection="1">
      <alignment vertical="center"/>
      <protection locked="0"/>
    </xf>
    <xf numFmtId="0" fontId="4" fillId="4" borderId="16" xfId="0" applyFont="1" applyFill="1" applyBorder="1" applyAlignment="1" applyProtection="1">
      <alignment horizontal="center" vertical="center"/>
      <protection locked="0"/>
    </xf>
    <xf numFmtId="0" fontId="4" fillId="4" borderId="17" xfId="0" applyFont="1" applyFill="1" applyBorder="1" applyAlignment="1" applyProtection="1">
      <alignment horizontal="center" vertical="center"/>
      <protection locked="0"/>
    </xf>
    <xf numFmtId="0" fontId="4" fillId="4" borderId="18" xfId="0" applyFont="1" applyFill="1" applyBorder="1" applyAlignment="1" applyProtection="1">
      <alignment horizontal="center" vertical="center"/>
      <protection locked="0"/>
    </xf>
    <xf numFmtId="0" fontId="4" fillId="4" borderId="19" xfId="0" applyFont="1" applyFill="1" applyBorder="1" applyAlignment="1" applyProtection="1">
      <alignment horizontal="center" vertical="center"/>
      <protection locked="0"/>
    </xf>
    <xf numFmtId="0" fontId="4" fillId="4" borderId="20" xfId="0" applyFont="1" applyFill="1" applyBorder="1" applyAlignment="1" applyProtection="1">
      <alignment horizontal="center" vertical="center"/>
      <protection locked="0"/>
    </xf>
    <xf numFmtId="0" fontId="4" fillId="5" borderId="19" xfId="0" applyFont="1" applyFill="1" applyBorder="1" applyAlignment="1" applyProtection="1">
      <alignment horizontal="center" vertical="center"/>
      <protection locked="0"/>
    </xf>
    <xf numFmtId="0" fontId="4" fillId="5" borderId="21" xfId="0" applyFont="1" applyFill="1" applyBorder="1" applyAlignment="1" applyProtection="1">
      <alignment horizontal="center" vertical="center"/>
      <protection locked="0"/>
    </xf>
    <xf numFmtId="0" fontId="4" fillId="5" borderId="21" xfId="0" applyFont="1" applyFill="1" applyBorder="1" applyAlignment="1" applyProtection="1">
      <alignment horizontal="center" vertical="top"/>
      <protection locked="0"/>
    </xf>
    <xf numFmtId="0" fontId="4" fillId="5" borderId="22" xfId="0" applyFont="1" applyFill="1" applyBorder="1" applyAlignment="1" applyProtection="1">
      <alignment horizontal="center" vertical="center"/>
      <protection locked="0"/>
    </xf>
    <xf numFmtId="0" fontId="4" fillId="5" borderId="22" xfId="0" applyFont="1" applyFill="1" applyBorder="1" applyAlignment="1" applyProtection="1">
      <alignment horizontal="center" vertical="center" wrapText="1"/>
      <protection locked="0"/>
    </xf>
    <xf numFmtId="0" fontId="4" fillId="5" borderId="22" xfId="0" applyFont="1" applyFill="1" applyBorder="1" applyAlignment="1" applyProtection="1">
      <alignment horizontal="left" vertical="center"/>
      <protection locked="0"/>
    </xf>
    <xf numFmtId="0" fontId="4" fillId="5" borderId="20" xfId="0" applyFont="1" applyFill="1" applyBorder="1" applyAlignment="1" applyProtection="1">
      <alignment horizontal="center" vertical="center"/>
      <protection locked="0"/>
    </xf>
    <xf numFmtId="0" fontId="4" fillId="6" borderId="23" xfId="0" applyFont="1" applyFill="1" applyBorder="1" applyAlignment="1" applyProtection="1">
      <alignment horizontal="center" vertical="center" wrapText="1"/>
      <protection locked="0"/>
    </xf>
    <xf numFmtId="0" fontId="4" fillId="6" borderId="24" xfId="0" applyFont="1" applyFill="1" applyBorder="1" applyAlignment="1" applyProtection="1">
      <alignment horizontal="center" vertical="center" wrapText="1"/>
      <protection locked="0"/>
    </xf>
    <xf numFmtId="0" fontId="4" fillId="6" borderId="24" xfId="0" applyFont="1" applyFill="1" applyBorder="1" applyAlignment="1" applyProtection="1">
      <alignment horizontal="center" vertical="center"/>
      <protection locked="0"/>
    </xf>
    <xf numFmtId="43" fontId="4" fillId="6" borderId="24" xfId="1" applyFont="1" applyFill="1" applyBorder="1" applyAlignment="1" applyProtection="1">
      <alignment horizontal="center" vertical="center"/>
      <protection locked="0"/>
    </xf>
    <xf numFmtId="9" fontId="4" fillId="6" borderId="24" xfId="0" applyNumberFormat="1" applyFont="1" applyFill="1" applyBorder="1" applyAlignment="1" applyProtection="1">
      <alignment horizontal="center" vertical="center"/>
      <protection locked="0"/>
    </xf>
    <xf numFmtId="43" fontId="4" fillId="6" borderId="24" xfId="1" applyFont="1" applyFill="1" applyBorder="1" applyAlignment="1" applyProtection="1">
      <alignment horizontal="center" vertical="center" wrapText="1"/>
      <protection locked="0"/>
    </xf>
    <xf numFmtId="0" fontId="4" fillId="6" borderId="25" xfId="0" applyFont="1" applyFill="1" applyBorder="1" applyAlignment="1" applyProtection="1">
      <alignment horizontal="center" vertical="center" wrapText="1"/>
      <protection locked="0"/>
    </xf>
    <xf numFmtId="0" fontId="4" fillId="7" borderId="26" xfId="0" applyFont="1" applyFill="1" applyBorder="1" applyAlignment="1" applyProtection="1">
      <alignment horizontal="center" vertical="center"/>
      <protection locked="0"/>
    </xf>
    <xf numFmtId="0" fontId="4" fillId="7" borderId="24" xfId="0" applyFont="1" applyFill="1" applyBorder="1" applyAlignment="1" applyProtection="1">
      <alignment horizontal="center" vertical="center"/>
      <protection locked="0"/>
    </xf>
    <xf numFmtId="0" fontId="4" fillId="7" borderId="24" xfId="0" applyFont="1" applyFill="1" applyBorder="1" applyAlignment="1" applyProtection="1">
      <alignment horizontal="left" vertical="center"/>
      <protection locked="0"/>
    </xf>
    <xf numFmtId="0" fontId="4" fillId="7" borderId="24" xfId="0" applyFont="1" applyFill="1" applyBorder="1" applyAlignment="1" applyProtection="1">
      <alignment vertical="center"/>
      <protection locked="0"/>
    </xf>
    <xf numFmtId="0" fontId="4" fillId="7" borderId="24" xfId="0" applyFont="1" applyFill="1" applyBorder="1" applyAlignment="1" applyProtection="1">
      <alignment horizontal="center" vertical="center" wrapText="1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 wrapText="1"/>
      <protection locked="0"/>
    </xf>
    <xf numFmtId="0" fontId="4" fillId="8" borderId="25" xfId="0" applyFont="1" applyFill="1" applyBorder="1" applyAlignment="1" applyProtection="1">
      <alignment horizontal="center" vertical="center" wrapText="1"/>
      <protection locked="0"/>
    </xf>
    <xf numFmtId="0" fontId="4" fillId="9" borderId="23" xfId="0" applyFont="1" applyFill="1" applyBorder="1" applyAlignment="1" applyProtection="1">
      <alignment horizontal="center" vertical="center"/>
      <protection locked="0"/>
    </xf>
    <xf numFmtId="0" fontId="4" fillId="9" borderId="24" xfId="0" applyFont="1" applyFill="1" applyBorder="1" applyAlignment="1" applyProtection="1">
      <alignment horizontal="center" vertical="center"/>
      <protection locked="0"/>
    </xf>
    <xf numFmtId="0" fontId="4" fillId="9" borderId="24" xfId="0" applyFont="1" applyFill="1" applyBorder="1" applyAlignment="1" applyProtection="1">
      <alignment horizontal="center" vertical="center" wrapText="1"/>
      <protection locked="0"/>
    </xf>
    <xf numFmtId="0" fontId="4" fillId="9" borderId="24" xfId="0" applyFont="1" applyFill="1" applyBorder="1" applyAlignment="1" applyProtection="1">
      <alignment horizontal="left" vertical="center"/>
      <protection locked="0"/>
    </xf>
    <xf numFmtId="0" fontId="4" fillId="9" borderId="25" xfId="0" applyFont="1" applyFill="1" applyBorder="1" applyAlignment="1" applyProtection="1">
      <alignment horizontal="center" vertical="center" wrapText="1"/>
      <protection locked="0"/>
    </xf>
    <xf numFmtId="0" fontId="4" fillId="10" borderId="27" xfId="0" applyFont="1" applyFill="1" applyBorder="1" applyAlignment="1" applyProtection="1">
      <alignment horizontal="center" vertical="center" wrapText="1"/>
      <protection locked="0"/>
    </xf>
    <xf numFmtId="0" fontId="4" fillId="10" borderId="28" xfId="0" applyFont="1" applyFill="1" applyBorder="1" applyAlignment="1" applyProtection="1">
      <alignment horizontal="center" vertical="center" wrapText="1"/>
      <protection locked="0"/>
    </xf>
    <xf numFmtId="0" fontId="4" fillId="10" borderId="28" xfId="0" applyFont="1" applyFill="1" applyBorder="1" applyAlignment="1" applyProtection="1">
      <alignment vertical="center" wrapText="1"/>
      <protection locked="0"/>
    </xf>
    <xf numFmtId="0" fontId="4" fillId="10" borderId="28" xfId="0" applyFont="1" applyFill="1" applyBorder="1" applyAlignment="1" applyProtection="1">
      <alignment horizontal="left" vertical="center" wrapText="1"/>
      <protection locked="0"/>
    </xf>
    <xf numFmtId="43" fontId="4" fillId="10" borderId="28" xfId="1" applyFont="1" applyFill="1" applyBorder="1" applyAlignment="1" applyProtection="1">
      <alignment horizontal="center" vertical="center" wrapText="1"/>
      <protection locked="0"/>
    </xf>
    <xf numFmtId="165" fontId="4" fillId="10" borderId="29" xfId="1" applyNumberFormat="1" applyFont="1" applyFill="1" applyBorder="1" applyAlignment="1" applyProtection="1">
      <alignment horizontal="center" vertical="center" wrapText="1"/>
      <protection locked="0"/>
    </xf>
    <xf numFmtId="43" fontId="4" fillId="4" borderId="26" xfId="1" applyFont="1" applyFill="1" applyBorder="1" applyAlignment="1" applyProtection="1">
      <alignment horizontal="center" vertical="center" wrapText="1"/>
      <protection locked="0"/>
    </xf>
    <xf numFmtId="0" fontId="4" fillId="4" borderId="24" xfId="0" applyFont="1" applyFill="1" applyBorder="1" applyAlignment="1" applyProtection="1">
      <alignment horizontal="center" vertical="center" wrapText="1"/>
      <protection locked="0"/>
    </xf>
    <xf numFmtId="43" fontId="4" fillId="4" borderId="25" xfId="1" applyFont="1" applyFill="1" applyBorder="1" applyAlignment="1" applyProtection="1">
      <alignment horizontal="center" vertical="center" wrapText="1"/>
      <protection locked="0"/>
    </xf>
    <xf numFmtId="0" fontId="4" fillId="11" borderId="19" xfId="0" applyFont="1" applyFill="1" applyBorder="1" applyAlignment="1" applyProtection="1">
      <alignment horizontal="center" vertical="center" wrapText="1"/>
      <protection locked="0"/>
    </xf>
    <xf numFmtId="0" fontId="4" fillId="11" borderId="20" xfId="0" applyFont="1" applyFill="1" applyBorder="1" applyAlignment="1" applyProtection="1">
      <alignment horizontal="center" vertical="center" wrapText="1"/>
      <protection locked="0"/>
    </xf>
    <xf numFmtId="0" fontId="4" fillId="11" borderId="30" xfId="0" applyFont="1" applyFill="1" applyBorder="1" applyAlignment="1" applyProtection="1">
      <alignment horizontal="center" vertical="center" wrapText="1"/>
      <protection locked="0"/>
    </xf>
    <xf numFmtId="0" fontId="4" fillId="11" borderId="31" xfId="0" applyFont="1" applyFill="1" applyBorder="1" applyAlignment="1" applyProtection="1">
      <alignment vertical="center" wrapText="1"/>
      <protection locked="0"/>
    </xf>
    <xf numFmtId="0" fontId="4" fillId="11" borderId="0" xfId="0" applyFont="1" applyFill="1" applyBorder="1" applyAlignment="1" applyProtection="1">
      <alignment vertical="center" wrapText="1"/>
      <protection locked="0"/>
    </xf>
    <xf numFmtId="0" fontId="2" fillId="3" borderId="4" xfId="0" applyFont="1" applyFill="1" applyBorder="1" applyAlignment="1">
      <alignment vertical="center"/>
    </xf>
    <xf numFmtId="166" fontId="2" fillId="3" borderId="4" xfId="1" applyNumberFormat="1" applyFont="1" applyFill="1" applyBorder="1" applyAlignment="1">
      <alignment horizontal="center" vertical="center"/>
    </xf>
    <xf numFmtId="166" fontId="2" fillId="3" borderId="4" xfId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1" fontId="5" fillId="3" borderId="4" xfId="0" applyNumberFormat="1" applyFont="1" applyFill="1" applyBorder="1" applyAlignment="1">
      <alignment vertical="center" wrapText="1"/>
    </xf>
    <xf numFmtId="166" fontId="2" fillId="3" borderId="24" xfId="1" applyNumberFormat="1" applyFont="1" applyFill="1" applyBorder="1" applyAlignment="1">
      <alignment vertical="center" wrapText="1"/>
    </xf>
    <xf numFmtId="166" fontId="5" fillId="3" borderId="24" xfId="1" applyNumberFormat="1" applyFont="1" applyFill="1" applyBorder="1" applyAlignment="1">
      <alignment vertical="center" wrapText="1"/>
    </xf>
    <xf numFmtId="166" fontId="2" fillId="3" borderId="4" xfId="1" applyNumberFormat="1" applyFont="1" applyFill="1" applyBorder="1" applyAlignment="1">
      <alignment vertical="center" wrapText="1"/>
    </xf>
    <xf numFmtId="166" fontId="2" fillId="3" borderId="4" xfId="1" applyNumberFormat="1" applyFont="1" applyFill="1" applyBorder="1" applyAlignment="1">
      <alignment vertical="center"/>
    </xf>
    <xf numFmtId="166" fontId="2" fillId="3" borderId="0" xfId="1" applyNumberFormat="1" applyFont="1" applyFill="1" applyBorder="1" applyAlignment="1">
      <alignment vertical="center" wrapText="1"/>
    </xf>
    <xf numFmtId="166" fontId="6" fillId="0" borderId="4" xfId="1" applyNumberFormat="1" applyFont="1" applyFill="1" applyBorder="1"/>
    <xf numFmtId="166" fontId="0" fillId="0" borderId="0" xfId="1" applyNumberFormat="1" applyFont="1" applyBorder="1"/>
    <xf numFmtId="43" fontId="0" fillId="0" borderId="0" xfId="0" applyNumberFormat="1"/>
    <xf numFmtId="172" fontId="0" fillId="0" borderId="0" xfId="0" applyNumberFormat="1"/>
    <xf numFmtId="166" fontId="0" fillId="0" borderId="4" xfId="1" applyNumberFormat="1" applyFont="1" applyFill="1" applyBorder="1"/>
    <xf numFmtId="0" fontId="0" fillId="0" borderId="36" xfId="0" applyFill="1" applyBorder="1"/>
    <xf numFmtId="0" fontId="0" fillId="0" borderId="4" xfId="0" applyFill="1" applyBorder="1"/>
    <xf numFmtId="43" fontId="0" fillId="0" borderId="0" xfId="1" applyFont="1" applyBorder="1"/>
    <xf numFmtId="9" fontId="0" fillId="0" borderId="0" xfId="2" applyNumberFormat="1" applyFont="1" applyBorder="1"/>
    <xf numFmtId="43" fontId="0" fillId="0" borderId="0" xfId="1" applyFont="1" applyFill="1" applyBorder="1"/>
    <xf numFmtId="43" fontId="0" fillId="0" borderId="0" xfId="1" applyFont="1" applyBorder="1" applyAlignment="1"/>
    <xf numFmtId="167" fontId="0" fillId="0" borderId="0" xfId="0" applyNumberFormat="1"/>
    <xf numFmtId="15" fontId="6" fillId="0" borderId="0" xfId="0" applyNumberFormat="1" applyFont="1"/>
    <xf numFmtId="171" fontId="0" fillId="0" borderId="0" xfId="0" applyNumberFormat="1"/>
    <xf numFmtId="1" fontId="0" fillId="0" borderId="0" xfId="0" applyNumberFormat="1"/>
    <xf numFmtId="169" fontId="0" fillId="0" borderId="0" xfId="1" applyNumberFormat="1" applyFont="1" applyBorder="1"/>
    <xf numFmtId="166" fontId="6" fillId="0" borderId="0" xfId="1" applyNumberFormat="1" applyFont="1" applyFill="1" applyBorder="1"/>
    <xf numFmtId="0" fontId="0" fillId="13" borderId="0" xfId="0" applyFill="1"/>
    <xf numFmtId="0" fontId="2" fillId="13" borderId="0" xfId="0" applyFont="1" applyFill="1"/>
    <xf numFmtId="0" fontId="0" fillId="13" borderId="0" xfId="0" applyFill="1" applyAlignment="1">
      <alignment horizontal="center" vertical="top"/>
    </xf>
    <xf numFmtId="164" fontId="0" fillId="13" borderId="0" xfId="0" applyNumberFormat="1" applyFill="1"/>
    <xf numFmtId="43" fontId="0" fillId="13" borderId="0" xfId="1" applyFont="1" applyFill="1" applyBorder="1"/>
    <xf numFmtId="9" fontId="0" fillId="13" borderId="0" xfId="2" applyNumberFormat="1" applyFont="1" applyFill="1" applyBorder="1"/>
    <xf numFmtId="43" fontId="0" fillId="13" borderId="0" xfId="1" applyFont="1" applyFill="1" applyBorder="1" applyAlignment="1"/>
    <xf numFmtId="165" fontId="0" fillId="13" borderId="0" xfId="0" applyNumberFormat="1" applyFill="1"/>
    <xf numFmtId="167" fontId="0" fillId="13" borderId="0" xfId="0" applyNumberFormat="1" applyFill="1"/>
    <xf numFmtId="15" fontId="6" fillId="13" borderId="0" xfId="0" applyNumberFormat="1" applyFont="1" applyFill="1"/>
    <xf numFmtId="166" fontId="0" fillId="13" borderId="0" xfId="1" applyNumberFormat="1" applyFont="1" applyFill="1" applyBorder="1"/>
    <xf numFmtId="171" fontId="0" fillId="13" borderId="0" xfId="0" applyNumberFormat="1" applyFill="1"/>
    <xf numFmtId="1" fontId="0" fillId="13" borderId="0" xfId="0" applyNumberFormat="1" applyFill="1"/>
    <xf numFmtId="166" fontId="2" fillId="13" borderId="0" xfId="1" applyNumberFormat="1" applyFont="1" applyFill="1" applyBorder="1"/>
    <xf numFmtId="169" fontId="0" fillId="13" borderId="0" xfId="1" applyNumberFormat="1" applyFont="1" applyFill="1" applyBorder="1"/>
    <xf numFmtId="166" fontId="6" fillId="13" borderId="0" xfId="1" applyNumberFormat="1" applyFont="1" applyFill="1" applyBorder="1"/>
    <xf numFmtId="166" fontId="2" fillId="0" borderId="0" xfId="1" applyNumberFormat="1" applyFont="1" applyFill="1" applyBorder="1"/>
    <xf numFmtId="166" fontId="0" fillId="0" borderId="0" xfId="1" applyNumberFormat="1" applyFont="1" applyFill="1" applyBorder="1"/>
    <xf numFmtId="168" fontId="0" fillId="0" borderId="0" xfId="0" applyNumberFormat="1"/>
    <xf numFmtId="169" fontId="0" fillId="0" borderId="0" xfId="1" applyNumberFormat="1" applyFont="1" applyFill="1" applyBorder="1"/>
    <xf numFmtId="166" fontId="7" fillId="0" borderId="38" xfId="1" applyNumberFormat="1" applyFont="1" applyFill="1" applyBorder="1"/>
    <xf numFmtId="166" fontId="7" fillId="0" borderId="0" xfId="1" applyNumberFormat="1" applyFont="1" applyFill="1" applyBorder="1"/>
    <xf numFmtId="0" fontId="0" fillId="0" borderId="32" xfId="0" applyFill="1" applyBorder="1"/>
    <xf numFmtId="0" fontId="0" fillId="0" borderId="33" xfId="0" applyFill="1" applyBorder="1"/>
    <xf numFmtId="0" fontId="0" fillId="0" borderId="33" xfId="0" applyFill="1" applyBorder="1" applyAlignment="1">
      <alignment horizontal="center" vertical="top"/>
    </xf>
    <xf numFmtId="0" fontId="0" fillId="0" borderId="33" xfId="0" applyFill="1" applyBorder="1" applyAlignment="1">
      <alignment wrapText="1"/>
    </xf>
    <xf numFmtId="167" fontId="0" fillId="0" borderId="4" xfId="0" applyNumberFormat="1" applyFill="1" applyBorder="1"/>
    <xf numFmtId="0" fontId="0" fillId="0" borderId="33" xfId="0" applyNumberFormat="1" applyFill="1" applyBorder="1"/>
    <xf numFmtId="0" fontId="0" fillId="0" borderId="9" xfId="0" applyFill="1" applyBorder="1"/>
    <xf numFmtId="0" fontId="0" fillId="0" borderId="34" xfId="0" applyFill="1" applyBorder="1"/>
    <xf numFmtId="0" fontId="0" fillId="0" borderId="34" xfId="0" applyFill="1" applyBorder="1" applyAlignment="1">
      <alignment horizontal="center"/>
    </xf>
    <xf numFmtId="14" fontId="0" fillId="0" borderId="24" xfId="0" applyNumberFormat="1" applyFill="1" applyBorder="1"/>
    <xf numFmtId="164" fontId="0" fillId="0" borderId="34" xfId="0" applyNumberFormat="1" applyFill="1" applyBorder="1"/>
    <xf numFmtId="43" fontId="0" fillId="0" borderId="9" xfId="1" applyFont="1" applyFill="1" applyBorder="1"/>
    <xf numFmtId="9" fontId="0" fillId="0" borderId="9" xfId="2" applyNumberFormat="1" applyFont="1" applyFill="1" applyBorder="1"/>
    <xf numFmtId="43" fontId="0" fillId="0" borderId="33" xfId="1" applyFont="1" applyFill="1" applyBorder="1"/>
    <xf numFmtId="43" fontId="0" fillId="0" borderId="4" xfId="1" applyFont="1" applyFill="1" applyBorder="1" applyAlignment="1"/>
    <xf numFmtId="165" fontId="0" fillId="0" borderId="34" xfId="0" applyNumberFormat="1" applyFill="1" applyBorder="1"/>
    <xf numFmtId="167" fontId="0" fillId="0" borderId="33" xfId="0" applyNumberFormat="1" applyFill="1" applyBorder="1"/>
    <xf numFmtId="15" fontId="6" fillId="0" borderId="33" xfId="0" applyNumberFormat="1" applyFont="1" applyFill="1" applyBorder="1"/>
    <xf numFmtId="15" fontId="6" fillId="0" borderId="35" xfId="0" applyNumberFormat="1" applyFont="1" applyFill="1" applyBorder="1"/>
    <xf numFmtId="166" fontId="0" fillId="0" borderId="10" xfId="0" applyNumberFormat="1" applyFill="1" applyBorder="1"/>
    <xf numFmtId="14" fontId="0" fillId="0" borderId="35" xfId="0" applyNumberFormat="1" applyFill="1" applyBorder="1"/>
    <xf numFmtId="15" fontId="6" fillId="0" borderId="4" xfId="0" applyNumberFormat="1" applyFont="1" applyFill="1" applyBorder="1"/>
    <xf numFmtId="168" fontId="0" fillId="0" borderId="4" xfId="0" applyNumberFormat="1" applyFill="1" applyBorder="1"/>
    <xf numFmtId="1" fontId="0" fillId="0" borderId="4" xfId="0" applyNumberFormat="1" applyFill="1" applyBorder="1"/>
    <xf numFmtId="169" fontId="0" fillId="0" borderId="4" xfId="1" applyNumberFormat="1" applyFont="1" applyFill="1" applyBorder="1"/>
    <xf numFmtId="170" fontId="0" fillId="0" borderId="0" xfId="1" applyNumberFormat="1" applyFont="1" applyFill="1" applyBorder="1"/>
    <xf numFmtId="166" fontId="0" fillId="0" borderId="0" xfId="1" applyNumberFormat="1" applyFont="1" applyFill="1"/>
    <xf numFmtId="0" fontId="0" fillId="0" borderId="0" xfId="0" applyFill="1"/>
    <xf numFmtId="0" fontId="0" fillId="0" borderId="4" xfId="0" applyNumberFormat="1" applyFill="1" applyBorder="1"/>
    <xf numFmtId="0" fontId="0" fillId="0" borderId="4" xfId="0" applyFill="1" applyBorder="1" applyAlignment="1">
      <alignment horizontal="center"/>
    </xf>
    <xf numFmtId="14" fontId="0" fillId="0" borderId="4" xfId="0" applyNumberFormat="1" applyFill="1" applyBorder="1"/>
    <xf numFmtId="164" fontId="0" fillId="0" borderId="4" xfId="0" applyNumberFormat="1" applyFill="1" applyBorder="1"/>
    <xf numFmtId="9" fontId="0" fillId="0" borderId="4" xfId="2" applyNumberFormat="1" applyFont="1" applyFill="1" applyBorder="1"/>
    <xf numFmtId="43" fontId="0" fillId="0" borderId="4" xfId="1" applyFont="1" applyFill="1" applyBorder="1"/>
    <xf numFmtId="165" fontId="0" fillId="0" borderId="4" xfId="0" applyNumberFormat="1" applyFill="1" applyBorder="1"/>
    <xf numFmtId="166" fontId="0" fillId="0" borderId="37" xfId="0" applyNumberFormat="1" applyFill="1" applyBorder="1"/>
    <xf numFmtId="171" fontId="0" fillId="0" borderId="37" xfId="0" applyNumberFormat="1" applyFill="1" applyBorder="1" applyAlignment="1">
      <alignment wrapText="1"/>
    </xf>
    <xf numFmtId="0" fontId="0" fillId="0" borderId="4" xfId="0" quotePrefix="1" applyNumberFormat="1" applyFill="1" applyBorder="1"/>
    <xf numFmtId="0" fontId="0" fillId="0" borderId="4" xfId="0" quotePrefix="1" applyFill="1" applyBorder="1"/>
    <xf numFmtId="0" fontId="0" fillId="0" borderId="37" xfId="0" applyFill="1" applyBorder="1"/>
    <xf numFmtId="0" fontId="0" fillId="0" borderId="0" xfId="0" applyFill="1" applyBorder="1"/>
    <xf numFmtId="0" fontId="0" fillId="0" borderId="24" xfId="0" applyFill="1" applyBorder="1"/>
    <xf numFmtId="0" fontId="0" fillId="0" borderId="24" xfId="0" applyNumberFormat="1" applyFill="1" applyBorder="1"/>
    <xf numFmtId="164" fontId="0" fillId="0" borderId="24" xfId="0" applyNumberFormat="1" applyFill="1" applyBorder="1"/>
    <xf numFmtId="43" fontId="0" fillId="0" borderId="24" xfId="1" applyFont="1" applyFill="1" applyBorder="1"/>
    <xf numFmtId="9" fontId="0" fillId="0" borderId="24" xfId="2" applyNumberFormat="1" applyFont="1" applyFill="1" applyBorder="1"/>
    <xf numFmtId="0" fontId="0" fillId="0" borderId="24" xfId="0" quotePrefix="1" applyFill="1" applyBorder="1"/>
    <xf numFmtId="165" fontId="0" fillId="0" borderId="24" xfId="0" applyNumberFormat="1" applyFill="1" applyBorder="1"/>
    <xf numFmtId="0" fontId="0" fillId="0" borderId="28" xfId="0" applyFill="1" applyBorder="1"/>
    <xf numFmtId="166" fontId="0" fillId="0" borderId="4" xfId="1" applyNumberFormat="1" applyFont="1" applyFill="1" applyBorder="1" applyAlignment="1"/>
    <xf numFmtId="0" fontId="0" fillId="0" borderId="4" xfId="0" applyFill="1" applyBorder="1" applyAlignment="1">
      <alignment horizontal="center" vertical="top"/>
    </xf>
    <xf numFmtId="173" fontId="0" fillId="0" borderId="4" xfId="0" applyNumberFormat="1" applyFill="1" applyBorder="1"/>
    <xf numFmtId="171" fontId="0" fillId="0" borderId="4" xfId="0" applyNumberFormat="1" applyFill="1" applyBorder="1"/>
    <xf numFmtId="166" fontId="0" fillId="0" borderId="3" xfId="1" applyNumberFormat="1" applyFont="1" applyFill="1" applyBorder="1"/>
    <xf numFmtId="0" fontId="0" fillId="0" borderId="26" xfId="0" applyFill="1" applyBorder="1"/>
    <xf numFmtId="166" fontId="0" fillId="0" borderId="23" xfId="1" applyNumberFormat="1" applyFont="1" applyFill="1" applyBorder="1"/>
    <xf numFmtId="43" fontId="0" fillId="12" borderId="0" xfId="1" applyFont="1" applyFill="1"/>
    <xf numFmtId="0" fontId="3" fillId="12" borderId="12" xfId="0" applyFont="1" applyFill="1" applyBorder="1" applyAlignment="1" applyProtection="1">
      <alignment horizontal="center" vertical="center"/>
      <protection locked="0"/>
    </xf>
    <xf numFmtId="43" fontId="4" fillId="12" borderId="0" xfId="1" applyFont="1" applyFill="1" applyBorder="1" applyAlignment="1" applyProtection="1">
      <alignment horizontal="center" vertical="center" wrapText="1"/>
      <protection locked="0"/>
    </xf>
    <xf numFmtId="166" fontId="0" fillId="12" borderId="33" xfId="1" applyNumberFormat="1" applyFont="1" applyFill="1" applyBorder="1"/>
    <xf numFmtId="43" fontId="0" fillId="12" borderId="4" xfId="1" applyFont="1" applyFill="1" applyBorder="1"/>
    <xf numFmtId="43" fontId="0" fillId="12" borderId="0" xfId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1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IY1002"/>
  <sheetViews>
    <sheetView showGridLines="0" tabSelected="1" topLeftCell="BV1" zoomScaleNormal="100" zoomScaleSheetLayoutView="100" workbookViewId="0">
      <selection activeCell="AQ10" sqref="AQ10"/>
    </sheetView>
  </sheetViews>
  <sheetFormatPr defaultColWidth="9.109375" defaultRowHeight="14.4" x14ac:dyDescent="0.3"/>
  <cols>
    <col min="1" max="1" width="6.33203125" bestFit="1" customWidth="1"/>
    <col min="2" max="2" width="14.5546875" bestFit="1" customWidth="1"/>
    <col min="3" max="3" width="15.5546875" customWidth="1"/>
    <col min="4" max="4" width="8.44140625" customWidth="1"/>
    <col min="5" max="5" width="16" customWidth="1"/>
    <col min="6" max="6" width="19.44140625" customWidth="1"/>
    <col min="7" max="7" width="21" customWidth="1"/>
    <col min="8" max="8" width="15" customWidth="1"/>
    <col min="9" max="9" width="8.88671875" style="1" customWidth="1"/>
    <col min="10" max="10" width="15" customWidth="1"/>
    <col min="11" max="11" width="19.6640625" customWidth="1"/>
    <col min="12" max="12" width="12.6640625" customWidth="1"/>
    <col min="13" max="13" width="18.33203125" customWidth="1"/>
    <col min="14" max="14" width="8.33203125" customWidth="1"/>
    <col min="15" max="15" width="10.5546875" customWidth="1"/>
    <col min="16" max="16" width="16.44140625" customWidth="1"/>
    <col min="17" max="17" width="18.5546875" customWidth="1"/>
    <col min="18" max="18" width="14" customWidth="1"/>
    <col min="19" max="19" width="8.6640625" customWidth="1"/>
    <col min="20" max="20" width="37.109375" customWidth="1"/>
    <col min="21" max="21" width="17.88671875" customWidth="1"/>
    <col min="22" max="22" width="22.109375" customWidth="1"/>
    <col min="23" max="23" width="19.88671875" customWidth="1"/>
    <col min="24" max="24" width="12.6640625" customWidth="1"/>
    <col min="25" max="25" width="10.5546875" customWidth="1"/>
    <col min="26" max="26" width="16.6640625" customWidth="1"/>
    <col min="27" max="27" width="28.6640625" customWidth="1"/>
    <col min="28" max="28" width="43.5546875" customWidth="1"/>
    <col min="29" max="29" width="14" customWidth="1"/>
    <col min="30" max="30" width="13.109375" customWidth="1"/>
    <col min="31" max="31" width="15.109375" customWidth="1"/>
    <col min="32" max="32" width="16.5546875" customWidth="1"/>
    <col min="33" max="33" width="13.6640625" customWidth="1"/>
    <col min="34" max="34" width="19" style="2" customWidth="1"/>
    <col min="35" max="35" width="15.5546875" customWidth="1"/>
    <col min="36" max="36" width="12.6640625" bestFit="1" customWidth="1"/>
    <col min="37" max="37" width="12.5546875" customWidth="1"/>
    <col min="38" max="38" width="15.33203125" style="114" bestFit="1" customWidth="1"/>
    <col min="39" max="39" width="15.33203125" style="4" customWidth="1"/>
    <col min="40" max="40" width="14.44140625" style="114" bestFit="1" customWidth="1"/>
    <col min="41" max="41" width="16.33203125" style="5" bestFit="1" customWidth="1"/>
    <col min="42" max="42" width="13.88671875" style="114" bestFit="1" customWidth="1"/>
    <col min="43" max="43" width="19.33203125" customWidth="1"/>
    <col min="44" max="44" width="12.6640625" customWidth="1"/>
    <col min="45" max="45" width="17.88671875" customWidth="1"/>
    <col min="46" max="46" width="20.33203125" customWidth="1"/>
    <col min="47" max="47" width="38.6640625" customWidth="1"/>
    <col min="48" max="48" width="12.33203125" customWidth="1"/>
    <col min="49" max="50" width="8.88671875" customWidth="1"/>
    <col min="51" max="51" width="16.6640625" customWidth="1"/>
    <col min="52" max="52" width="19.44140625" customWidth="1"/>
    <col min="53" max="53" width="16.33203125" customWidth="1"/>
    <col min="54" max="54" width="15.109375" customWidth="1"/>
    <col min="55" max="55" width="12.33203125" customWidth="1"/>
    <col min="56" max="56" width="18.33203125" customWidth="1"/>
    <col min="57" max="57" width="15.44140625" customWidth="1"/>
    <col min="58" max="58" width="22.33203125" customWidth="1"/>
    <col min="59" max="61" width="9.109375" customWidth="1"/>
    <col min="62" max="62" width="11.44140625" customWidth="1"/>
    <col min="63" max="63" width="45" customWidth="1"/>
    <col min="64" max="64" width="12.6640625" style="2" customWidth="1"/>
    <col min="65" max="65" width="12.6640625" customWidth="1"/>
    <col min="66" max="67" width="9.109375" customWidth="1"/>
    <col min="68" max="68" width="19" customWidth="1"/>
    <col min="69" max="69" width="12.5546875" customWidth="1"/>
    <col min="70" max="70" width="27.109375" customWidth="1"/>
    <col min="71" max="71" width="16.44140625" customWidth="1"/>
    <col min="72" max="72" width="11" customWidth="1"/>
    <col min="73" max="73" width="35.88671875" customWidth="1"/>
    <col min="74" max="74" width="16.6640625" customWidth="1"/>
    <col min="75" max="75" width="9.109375" customWidth="1"/>
    <col min="76" max="76" width="13.6640625" customWidth="1"/>
    <col min="77" max="77" width="12.44140625" customWidth="1"/>
    <col min="78" max="78" width="16.5546875" customWidth="1"/>
    <col min="79" max="79" width="11.5546875" customWidth="1"/>
    <col min="80" max="80" width="10.5546875" customWidth="1"/>
    <col min="81" max="81" width="17" style="5" customWidth="1"/>
    <col min="82" max="82" width="15.33203125" style="114" customWidth="1"/>
    <col min="83" max="83" width="18.5546875" customWidth="1"/>
    <col min="84" max="84" width="14.88671875" customWidth="1"/>
    <col min="85" max="85" width="13.88671875" style="114" customWidth="1"/>
    <col min="86" max="86" width="13.109375" style="205" customWidth="1"/>
    <col min="87" max="87" width="18.5546875" customWidth="1"/>
    <col min="88" max="89" width="11.6640625" customWidth="1"/>
    <col min="90" max="92" width="14" customWidth="1"/>
    <col min="93" max="96" width="14" style="139" customWidth="1"/>
    <col min="97" max="97" width="14" customWidth="1"/>
    <col min="98" max="98" width="14" style="119" customWidth="1"/>
    <col min="99" max="99" width="14" customWidth="1"/>
    <col min="100" max="103" width="14" style="139" customWidth="1"/>
    <col min="104" max="104" width="14" customWidth="1"/>
    <col min="105" max="105" width="15" customWidth="1"/>
    <col min="106" max="106" width="14" customWidth="1"/>
    <col min="107" max="110" width="14" style="139" customWidth="1"/>
    <col min="111" max="113" width="14" customWidth="1"/>
    <col min="114" max="117" width="14" style="139" customWidth="1"/>
    <col min="118" max="120" width="14" customWidth="1"/>
    <col min="121" max="124" width="14" style="139" customWidth="1"/>
    <col min="125" max="127" width="14" customWidth="1"/>
    <col min="128" max="131" width="14" style="139" customWidth="1"/>
    <col min="132" max="134" width="14" customWidth="1"/>
    <col min="135" max="138" width="14" style="139" customWidth="1"/>
    <col min="139" max="141" width="14" customWidth="1"/>
    <col min="142" max="145" width="14" style="139" customWidth="1"/>
    <col min="146" max="148" width="14" customWidth="1"/>
    <col min="149" max="152" width="14" style="139" customWidth="1"/>
    <col min="153" max="155" width="14" customWidth="1"/>
    <col min="156" max="159" width="14" style="139" customWidth="1"/>
    <col min="160" max="162" width="14" customWidth="1"/>
    <col min="163" max="166" width="14" style="139" customWidth="1"/>
    <col min="167" max="169" width="14" customWidth="1"/>
    <col min="170" max="173" width="14" style="139" customWidth="1"/>
    <col min="174" max="176" width="14" customWidth="1"/>
    <col min="177" max="180" width="14" style="139" customWidth="1"/>
    <col min="181" max="183" width="14" customWidth="1"/>
    <col min="184" max="187" width="14" style="139" customWidth="1"/>
    <col min="188" max="190" width="14" customWidth="1"/>
    <col min="191" max="194" width="14" style="139" customWidth="1"/>
    <col min="195" max="197" width="14" customWidth="1"/>
    <col min="198" max="201" width="14" style="139" customWidth="1"/>
    <col min="202" max="204" width="14" customWidth="1"/>
    <col min="205" max="208" width="14" style="141" customWidth="1"/>
    <col min="209" max="211" width="14" customWidth="1"/>
    <col min="212" max="215" width="14" style="139" customWidth="1"/>
    <col min="216" max="218" width="14" customWidth="1"/>
    <col min="219" max="222" width="14" style="139" customWidth="1"/>
    <col min="223" max="225" width="14" customWidth="1"/>
    <col min="226" max="229" width="14" style="139" customWidth="1"/>
    <col min="230" max="231" width="14" customWidth="1"/>
    <col min="232" max="232" width="13.6640625" style="139" bestFit="1" customWidth="1"/>
    <col min="233" max="233" width="12.44140625" style="139" bestFit="1" customWidth="1"/>
    <col min="234" max="234" width="13.6640625" style="139" bestFit="1" customWidth="1"/>
    <col min="235" max="235" width="14" style="139" customWidth="1"/>
    <col min="236" max="237" width="16.88671875" style="139" bestFit="1" customWidth="1"/>
    <col min="238" max="238" width="14" style="139" customWidth="1"/>
    <col min="239" max="246" width="10.33203125" style="139" customWidth="1"/>
    <col min="252" max="252" width="10.109375" bestFit="1" customWidth="1"/>
    <col min="259" max="259" width="9.5546875" bestFit="1" customWidth="1"/>
  </cols>
  <sheetData>
    <row r="1" spans="1:250" ht="14.4" customHeight="1" x14ac:dyDescent="0.3">
      <c r="AL1" s="3"/>
      <c r="AN1" s="3">
        <f>AN11/AI11</f>
        <v>414.50400000000002</v>
      </c>
      <c r="AP1" s="3"/>
      <c r="CD1" s="3"/>
      <c r="CG1" s="3"/>
      <c r="CH1" s="200"/>
      <c r="CN1" s="6" t="s">
        <v>0</v>
      </c>
      <c r="CO1" s="7"/>
      <c r="CP1" s="7"/>
      <c r="CQ1" s="7"/>
      <c r="CR1" s="7"/>
      <c r="CS1" s="7"/>
      <c r="CT1" s="8"/>
      <c r="CU1" s="6" t="s">
        <v>0</v>
      </c>
      <c r="CV1" s="7"/>
      <c r="CW1" s="7"/>
      <c r="CX1" s="7"/>
      <c r="CY1" s="7"/>
      <c r="CZ1" s="7"/>
      <c r="DA1" s="8"/>
      <c r="DB1" s="6" t="s">
        <v>0</v>
      </c>
      <c r="DC1" s="7"/>
      <c r="DD1" s="7"/>
      <c r="DE1" s="7"/>
      <c r="DF1" s="7"/>
      <c r="DG1" s="7"/>
      <c r="DH1" s="8"/>
      <c r="DI1" s="6" t="s">
        <v>0</v>
      </c>
      <c r="DJ1" s="7"/>
      <c r="DK1" s="7"/>
      <c r="DL1" s="7"/>
      <c r="DM1" s="7"/>
      <c r="DN1" s="7"/>
      <c r="DO1" s="8"/>
      <c r="DP1" s="6" t="s">
        <v>0</v>
      </c>
      <c r="DQ1" s="7"/>
      <c r="DR1" s="7"/>
      <c r="DS1" s="7"/>
      <c r="DT1" s="7"/>
      <c r="DU1" s="7"/>
      <c r="DV1" s="8"/>
      <c r="DW1" s="6" t="s">
        <v>0</v>
      </c>
      <c r="DX1" s="7"/>
      <c r="DY1" s="7"/>
      <c r="DZ1" s="7"/>
      <c r="EA1" s="7"/>
      <c r="EB1" s="7"/>
      <c r="EC1" s="8"/>
      <c r="ED1" s="6" t="s">
        <v>0</v>
      </c>
      <c r="EE1" s="7"/>
      <c r="EF1" s="7"/>
      <c r="EG1" s="7"/>
      <c r="EH1" s="7"/>
      <c r="EI1" s="7"/>
      <c r="EJ1" s="8"/>
      <c r="EK1" s="6" t="s">
        <v>0</v>
      </c>
      <c r="EL1" s="7"/>
      <c r="EM1" s="7"/>
      <c r="EN1" s="7"/>
      <c r="EO1" s="7"/>
      <c r="EP1" s="7"/>
      <c r="EQ1" s="8"/>
      <c r="ER1" s="6" t="s">
        <v>0</v>
      </c>
      <c r="ES1" s="7"/>
      <c r="ET1" s="7"/>
      <c r="EU1" s="7"/>
      <c r="EV1" s="7"/>
      <c r="EW1" s="7"/>
      <c r="EX1" s="8"/>
      <c r="EY1" s="6" t="s">
        <v>0</v>
      </c>
      <c r="EZ1" s="7"/>
      <c r="FA1" s="7"/>
      <c r="FB1" s="7"/>
      <c r="FC1" s="7"/>
      <c r="FD1" s="7"/>
      <c r="FE1" s="8"/>
      <c r="FF1" s="6" t="s">
        <v>0</v>
      </c>
      <c r="FG1" s="7"/>
      <c r="FH1" s="7"/>
      <c r="FI1" s="7"/>
      <c r="FJ1" s="7"/>
      <c r="FK1" s="7"/>
      <c r="FL1" s="8"/>
      <c r="FM1" s="6" t="s">
        <v>0</v>
      </c>
      <c r="FN1" s="7"/>
      <c r="FO1" s="7"/>
      <c r="FP1" s="7"/>
      <c r="FQ1" s="7"/>
      <c r="FR1" s="7"/>
      <c r="FS1" s="8"/>
      <c r="FT1" s="6" t="s">
        <v>0</v>
      </c>
      <c r="FU1" s="7"/>
      <c r="FV1" s="7"/>
      <c r="FW1" s="7"/>
      <c r="FX1" s="7"/>
      <c r="FY1" s="7"/>
      <c r="FZ1" s="8"/>
      <c r="GA1" s="6" t="s">
        <v>0</v>
      </c>
      <c r="GB1" s="7"/>
      <c r="GC1" s="7"/>
      <c r="GD1" s="7"/>
      <c r="GE1" s="7"/>
      <c r="GF1" s="7"/>
      <c r="GG1" s="8"/>
      <c r="GH1" s="6" t="s">
        <v>0</v>
      </c>
      <c r="GI1" s="7"/>
      <c r="GJ1" s="7"/>
      <c r="GK1" s="7"/>
      <c r="GL1" s="7"/>
      <c r="GM1" s="7"/>
      <c r="GN1" s="8"/>
      <c r="GO1" s="6" t="s">
        <v>0</v>
      </c>
      <c r="GP1" s="7"/>
      <c r="GQ1" s="7"/>
      <c r="GR1" s="7"/>
      <c r="GS1" s="7"/>
      <c r="GT1" s="7"/>
      <c r="GU1" s="8"/>
      <c r="GV1" s="6" t="s">
        <v>0</v>
      </c>
      <c r="GW1" s="7"/>
      <c r="GX1" s="7"/>
      <c r="GY1" s="7"/>
      <c r="GZ1" s="7"/>
      <c r="HA1" s="7"/>
      <c r="HB1" s="8"/>
      <c r="HC1" s="6" t="s">
        <v>0</v>
      </c>
      <c r="HD1" s="7"/>
      <c r="HE1" s="7"/>
      <c r="HF1" s="7"/>
      <c r="HG1" s="7"/>
      <c r="HH1" s="7"/>
      <c r="HI1" s="8"/>
      <c r="HJ1" s="6" t="s">
        <v>0</v>
      </c>
      <c r="HK1" s="7"/>
      <c r="HL1" s="7"/>
      <c r="HM1" s="7"/>
      <c r="HN1" s="7"/>
      <c r="HO1" s="7"/>
      <c r="HP1" s="8"/>
      <c r="HQ1" s="6" t="s">
        <v>0</v>
      </c>
      <c r="HR1" s="7"/>
      <c r="HS1" s="7"/>
      <c r="HT1" s="7"/>
      <c r="HU1" s="7"/>
      <c r="HV1" s="7"/>
      <c r="HW1" s="8"/>
      <c r="HX1" s="9"/>
      <c r="HY1" s="10"/>
      <c r="HZ1" s="10"/>
      <c r="IA1" s="11"/>
      <c r="IB1" s="9"/>
      <c r="IC1" s="10"/>
      <c r="ID1" s="10"/>
      <c r="IE1" s="11"/>
      <c r="IF1" s="12"/>
      <c r="IG1" s="12"/>
      <c r="IH1" s="12"/>
      <c r="II1" s="12"/>
      <c r="IJ1" s="12"/>
      <c r="IK1" s="12"/>
      <c r="IL1" s="12"/>
    </row>
    <row r="2" spans="1:250" ht="15" customHeight="1" thickBot="1" x14ac:dyDescent="0.35">
      <c r="AH2"/>
      <c r="AL2" s="3"/>
      <c r="AN2" s="3"/>
      <c r="AO2"/>
      <c r="AP2" s="3"/>
      <c r="BL2"/>
      <c r="CD2" s="3"/>
      <c r="CG2" s="3"/>
      <c r="CH2" s="200"/>
      <c r="CN2" s="13" t="s">
        <v>1</v>
      </c>
      <c r="CO2" s="14"/>
      <c r="CP2" s="14"/>
      <c r="CQ2" s="14"/>
      <c r="CR2" s="14"/>
      <c r="CS2" s="14"/>
      <c r="CT2" s="15"/>
      <c r="CU2" s="13" t="s">
        <v>2</v>
      </c>
      <c r="CV2" s="14"/>
      <c r="CW2" s="14"/>
      <c r="CX2" s="14"/>
      <c r="CY2" s="14"/>
      <c r="CZ2" s="14"/>
      <c r="DA2" s="15"/>
      <c r="DB2" s="13" t="s">
        <v>3</v>
      </c>
      <c r="DC2" s="14"/>
      <c r="DD2" s="14"/>
      <c r="DE2" s="14"/>
      <c r="DF2" s="14"/>
      <c r="DG2" s="14"/>
      <c r="DH2" s="15"/>
      <c r="DI2" s="13" t="s">
        <v>4</v>
      </c>
      <c r="DJ2" s="14"/>
      <c r="DK2" s="14"/>
      <c r="DL2" s="14"/>
      <c r="DM2" s="14"/>
      <c r="DN2" s="14"/>
      <c r="DO2" s="15"/>
      <c r="DP2" s="13" t="s">
        <v>5</v>
      </c>
      <c r="DQ2" s="14"/>
      <c r="DR2" s="14"/>
      <c r="DS2" s="14"/>
      <c r="DT2" s="14"/>
      <c r="DU2" s="14"/>
      <c r="DV2" s="15"/>
      <c r="DW2" s="13" t="s">
        <v>6</v>
      </c>
      <c r="DX2" s="14"/>
      <c r="DY2" s="14"/>
      <c r="DZ2" s="14"/>
      <c r="EA2" s="14"/>
      <c r="EB2" s="14"/>
      <c r="EC2" s="15"/>
      <c r="ED2" s="13" t="s">
        <v>7</v>
      </c>
      <c r="EE2" s="14"/>
      <c r="EF2" s="14"/>
      <c r="EG2" s="14"/>
      <c r="EH2" s="14"/>
      <c r="EI2" s="14"/>
      <c r="EJ2" s="15"/>
      <c r="EK2" s="13" t="s">
        <v>8</v>
      </c>
      <c r="EL2" s="14"/>
      <c r="EM2" s="14"/>
      <c r="EN2" s="14"/>
      <c r="EO2" s="14"/>
      <c r="EP2" s="14"/>
      <c r="EQ2" s="15"/>
      <c r="ER2" s="13" t="s">
        <v>9</v>
      </c>
      <c r="ES2" s="14"/>
      <c r="ET2" s="14"/>
      <c r="EU2" s="14"/>
      <c r="EV2" s="14"/>
      <c r="EW2" s="14"/>
      <c r="EX2" s="15"/>
      <c r="EY2" s="13" t="s">
        <v>10</v>
      </c>
      <c r="EZ2" s="14"/>
      <c r="FA2" s="14"/>
      <c r="FB2" s="14"/>
      <c r="FC2" s="14"/>
      <c r="FD2" s="14"/>
      <c r="FE2" s="15"/>
      <c r="FF2" s="13" t="s">
        <v>11</v>
      </c>
      <c r="FG2" s="14"/>
      <c r="FH2" s="14"/>
      <c r="FI2" s="14"/>
      <c r="FJ2" s="14"/>
      <c r="FK2" s="14"/>
      <c r="FL2" s="15"/>
      <c r="FM2" s="13" t="s">
        <v>12</v>
      </c>
      <c r="FN2" s="14"/>
      <c r="FO2" s="14"/>
      <c r="FP2" s="14"/>
      <c r="FQ2" s="14"/>
      <c r="FR2" s="14"/>
      <c r="FS2" s="15"/>
      <c r="FT2" s="13" t="s">
        <v>13</v>
      </c>
      <c r="FU2" s="14"/>
      <c r="FV2" s="14"/>
      <c r="FW2" s="14"/>
      <c r="FX2" s="14"/>
      <c r="FY2" s="14"/>
      <c r="FZ2" s="15"/>
      <c r="GA2" s="13" t="s">
        <v>14</v>
      </c>
      <c r="GB2" s="14"/>
      <c r="GC2" s="14"/>
      <c r="GD2" s="14"/>
      <c r="GE2" s="14"/>
      <c r="GF2" s="14"/>
      <c r="GG2" s="15"/>
      <c r="GH2" s="13" t="s">
        <v>15</v>
      </c>
      <c r="GI2" s="14"/>
      <c r="GJ2" s="14"/>
      <c r="GK2" s="14"/>
      <c r="GL2" s="14"/>
      <c r="GM2" s="14"/>
      <c r="GN2" s="15"/>
      <c r="GO2" s="13" t="s">
        <v>16</v>
      </c>
      <c r="GP2" s="14"/>
      <c r="GQ2" s="14"/>
      <c r="GR2" s="14"/>
      <c r="GS2" s="14"/>
      <c r="GT2" s="14"/>
      <c r="GU2" s="15"/>
      <c r="GV2" s="13" t="s">
        <v>17</v>
      </c>
      <c r="GW2" s="14"/>
      <c r="GX2" s="14"/>
      <c r="GY2" s="14"/>
      <c r="GZ2" s="14"/>
      <c r="HA2" s="14"/>
      <c r="HB2" s="15"/>
      <c r="HC2" s="13" t="s">
        <v>18</v>
      </c>
      <c r="HD2" s="14"/>
      <c r="HE2" s="14"/>
      <c r="HF2" s="14"/>
      <c r="HG2" s="14"/>
      <c r="HH2" s="14"/>
      <c r="HI2" s="15"/>
      <c r="HJ2" s="13" t="s">
        <v>19</v>
      </c>
      <c r="HK2" s="14"/>
      <c r="HL2" s="14"/>
      <c r="HM2" s="14"/>
      <c r="HN2" s="14"/>
      <c r="HO2" s="14"/>
      <c r="HP2" s="15"/>
      <c r="HQ2" s="13" t="s">
        <v>20</v>
      </c>
      <c r="HR2" s="14"/>
      <c r="HS2" s="14"/>
      <c r="HT2" s="14"/>
      <c r="HU2" s="14"/>
      <c r="HV2" s="14"/>
      <c r="HW2" s="15"/>
      <c r="HX2" s="9" t="s">
        <v>21</v>
      </c>
      <c r="HY2" s="10"/>
      <c r="HZ2" s="10"/>
      <c r="IA2" s="11"/>
      <c r="IB2" s="16" t="s">
        <v>22</v>
      </c>
      <c r="IC2" s="16"/>
      <c r="ID2" s="16"/>
      <c r="IE2" s="16"/>
      <c r="IF2" s="12"/>
      <c r="IG2" s="12"/>
      <c r="IH2" s="12"/>
      <c r="II2" s="12"/>
      <c r="IJ2" s="12"/>
      <c r="IK2" s="12"/>
      <c r="IL2" s="12"/>
    </row>
    <row r="3" spans="1:250" ht="15" customHeight="1" thickBot="1" x14ac:dyDescent="0.35">
      <c r="A3" s="17" t="s">
        <v>23</v>
      </c>
      <c r="B3" s="18"/>
      <c r="C3" s="18"/>
      <c r="D3" s="19"/>
      <c r="E3" s="17" t="s">
        <v>24</v>
      </c>
      <c r="F3" s="19"/>
      <c r="G3" s="20" t="s">
        <v>25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2"/>
      <c r="X3" s="23"/>
      <c r="Y3" s="23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5"/>
      <c r="AR3" s="26" t="s">
        <v>26</v>
      </c>
      <c r="AS3" s="27"/>
      <c r="AT3" s="27"/>
      <c r="AU3" s="27"/>
      <c r="AV3" s="27"/>
      <c r="AW3" s="27"/>
      <c r="AX3" s="28"/>
      <c r="AY3" s="29" t="s">
        <v>27</v>
      </c>
      <c r="AZ3" s="30"/>
      <c r="BA3" s="30"/>
      <c r="BB3" s="30"/>
      <c r="BC3" s="31"/>
      <c r="BD3" s="32" t="s">
        <v>28</v>
      </c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4"/>
      <c r="BP3" s="35" t="s">
        <v>29</v>
      </c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7"/>
      <c r="CD3" s="38" t="s">
        <v>30</v>
      </c>
      <c r="CE3" s="39"/>
      <c r="CF3" s="39"/>
      <c r="CG3" s="40"/>
      <c r="CH3" s="201"/>
      <c r="CI3" s="41" t="s">
        <v>31</v>
      </c>
      <c r="CJ3" s="42"/>
      <c r="CK3" s="42"/>
      <c r="CL3" s="43"/>
      <c r="CM3" s="44"/>
      <c r="CN3" s="45" t="s">
        <v>32</v>
      </c>
      <c r="CO3" s="14"/>
      <c r="CP3" s="14"/>
      <c r="CQ3" s="14"/>
      <c r="CR3" s="14"/>
      <c r="CS3" s="14"/>
      <c r="CT3" s="46"/>
      <c r="CU3" s="45" t="s">
        <v>32</v>
      </c>
      <c r="CV3" s="14"/>
      <c r="CW3" s="14"/>
      <c r="CX3" s="14"/>
      <c r="CY3" s="14"/>
      <c r="CZ3" s="14"/>
      <c r="DA3" s="46"/>
      <c r="DB3" s="45" t="s">
        <v>32</v>
      </c>
      <c r="DC3" s="14"/>
      <c r="DD3" s="14"/>
      <c r="DE3" s="14"/>
      <c r="DF3" s="14"/>
      <c r="DG3" s="14"/>
      <c r="DH3" s="46"/>
      <c r="DI3" s="45" t="s">
        <v>32</v>
      </c>
      <c r="DJ3" s="14"/>
      <c r="DK3" s="14"/>
      <c r="DL3" s="14"/>
      <c r="DM3" s="14"/>
      <c r="DN3" s="14"/>
      <c r="DO3" s="46"/>
      <c r="DP3" s="45" t="s">
        <v>32</v>
      </c>
      <c r="DQ3" s="14"/>
      <c r="DR3" s="14"/>
      <c r="DS3" s="14"/>
      <c r="DT3" s="14"/>
      <c r="DU3" s="14"/>
      <c r="DV3" s="46"/>
      <c r="DW3" s="45" t="s">
        <v>32</v>
      </c>
      <c r="DX3" s="14"/>
      <c r="DY3" s="14"/>
      <c r="DZ3" s="14"/>
      <c r="EA3" s="14"/>
      <c r="EB3" s="14"/>
      <c r="EC3" s="46"/>
      <c r="ED3" s="45" t="s">
        <v>32</v>
      </c>
      <c r="EE3" s="14"/>
      <c r="EF3" s="14"/>
      <c r="EG3" s="14"/>
      <c r="EH3" s="14"/>
      <c r="EI3" s="14"/>
      <c r="EJ3" s="46"/>
      <c r="EK3" s="45" t="s">
        <v>32</v>
      </c>
      <c r="EL3" s="14"/>
      <c r="EM3" s="14"/>
      <c r="EN3" s="14"/>
      <c r="EO3" s="14"/>
      <c r="EP3" s="14"/>
      <c r="EQ3" s="46"/>
      <c r="ER3" s="45" t="s">
        <v>32</v>
      </c>
      <c r="ES3" s="14"/>
      <c r="ET3" s="14"/>
      <c r="EU3" s="14"/>
      <c r="EV3" s="14"/>
      <c r="EW3" s="14"/>
      <c r="EX3" s="46"/>
      <c r="EY3" s="45" t="s">
        <v>32</v>
      </c>
      <c r="EZ3" s="14"/>
      <c r="FA3" s="14"/>
      <c r="FB3" s="14"/>
      <c r="FC3" s="14"/>
      <c r="FD3" s="14"/>
      <c r="FE3" s="46"/>
      <c r="FF3" s="45" t="s">
        <v>32</v>
      </c>
      <c r="FG3" s="14"/>
      <c r="FH3" s="14"/>
      <c r="FI3" s="14"/>
      <c r="FJ3" s="14"/>
      <c r="FK3" s="14"/>
      <c r="FL3" s="46"/>
      <c r="FM3" s="45" t="s">
        <v>32</v>
      </c>
      <c r="FN3" s="14"/>
      <c r="FO3" s="14"/>
      <c r="FP3" s="14"/>
      <c r="FQ3" s="14"/>
      <c r="FR3" s="14"/>
      <c r="FS3" s="46"/>
      <c r="FT3" s="45" t="s">
        <v>32</v>
      </c>
      <c r="FU3" s="14"/>
      <c r="FV3" s="14"/>
      <c r="FW3" s="14"/>
      <c r="FX3" s="14"/>
      <c r="FY3" s="14"/>
      <c r="FZ3" s="46"/>
      <c r="GA3" s="45" t="s">
        <v>32</v>
      </c>
      <c r="GB3" s="14"/>
      <c r="GC3" s="14"/>
      <c r="GD3" s="14"/>
      <c r="GE3" s="14"/>
      <c r="GF3" s="14"/>
      <c r="GG3" s="46"/>
      <c r="GH3" s="45" t="s">
        <v>32</v>
      </c>
      <c r="GI3" s="14"/>
      <c r="GJ3" s="14"/>
      <c r="GK3" s="14"/>
      <c r="GL3" s="14"/>
      <c r="GM3" s="14"/>
      <c r="GN3" s="46"/>
      <c r="GO3" s="45" t="s">
        <v>32</v>
      </c>
      <c r="GP3" s="14"/>
      <c r="GQ3" s="14"/>
      <c r="GR3" s="14"/>
      <c r="GS3" s="14"/>
      <c r="GT3" s="14"/>
      <c r="GU3" s="46"/>
      <c r="GV3" s="45" t="s">
        <v>32</v>
      </c>
      <c r="GW3" s="14"/>
      <c r="GX3" s="14"/>
      <c r="GY3" s="14"/>
      <c r="GZ3" s="14"/>
      <c r="HA3" s="14"/>
      <c r="HB3" s="46"/>
      <c r="HC3" s="45" t="s">
        <v>32</v>
      </c>
      <c r="HD3" s="14"/>
      <c r="HE3" s="14"/>
      <c r="HF3" s="14"/>
      <c r="HG3" s="14"/>
      <c r="HH3" s="14"/>
      <c r="HI3" s="46"/>
      <c r="HJ3" s="45" t="s">
        <v>32</v>
      </c>
      <c r="HK3" s="14"/>
      <c r="HL3" s="14"/>
      <c r="HM3" s="14"/>
      <c r="HN3" s="14"/>
      <c r="HO3" s="14"/>
      <c r="HP3" s="46"/>
      <c r="HQ3" s="45" t="s">
        <v>32</v>
      </c>
      <c r="HR3" s="14"/>
      <c r="HS3" s="14"/>
      <c r="HT3" s="14"/>
      <c r="HU3" s="14"/>
      <c r="HV3" s="14"/>
      <c r="HW3" s="46"/>
      <c r="HX3" s="9"/>
      <c r="HY3" s="10"/>
      <c r="HZ3" s="10"/>
      <c r="IA3" s="11"/>
      <c r="IB3" s="16"/>
      <c r="IC3" s="16"/>
      <c r="ID3" s="16"/>
      <c r="IE3" s="16"/>
      <c r="IF3" s="12"/>
      <c r="IG3" s="12"/>
      <c r="IH3" s="12"/>
      <c r="II3" s="12"/>
      <c r="IJ3" s="12"/>
      <c r="IK3" s="12"/>
      <c r="IL3" s="12"/>
    </row>
    <row r="4" spans="1:250" ht="43.8" thickBot="1" x14ac:dyDescent="0.35">
      <c r="A4" s="47" t="s">
        <v>33</v>
      </c>
      <c r="B4" s="48" t="s">
        <v>34</v>
      </c>
      <c r="C4" s="49" t="s">
        <v>35</v>
      </c>
      <c r="D4" s="50" t="s">
        <v>36</v>
      </c>
      <c r="E4" s="51" t="s">
        <v>37</v>
      </c>
      <c r="F4" s="52" t="s">
        <v>38</v>
      </c>
      <c r="G4" s="53" t="s">
        <v>39</v>
      </c>
      <c r="H4" s="54" t="s">
        <v>40</v>
      </c>
      <c r="I4" s="55" t="s">
        <v>41</v>
      </c>
      <c r="J4" s="54" t="s">
        <v>42</v>
      </c>
      <c r="K4" s="54" t="s">
        <v>43</v>
      </c>
      <c r="L4" s="56" t="s">
        <v>44</v>
      </c>
      <c r="M4" s="56" t="s">
        <v>45</v>
      </c>
      <c r="N4" s="56" t="s">
        <v>46</v>
      </c>
      <c r="O4" s="57" t="s">
        <v>47</v>
      </c>
      <c r="P4" s="56" t="s">
        <v>48</v>
      </c>
      <c r="Q4" s="56" t="s">
        <v>49</v>
      </c>
      <c r="R4" s="56" t="s">
        <v>50</v>
      </c>
      <c r="S4" s="56" t="s">
        <v>51</v>
      </c>
      <c r="T4" s="58" t="s">
        <v>52</v>
      </c>
      <c r="U4" s="56" t="s">
        <v>53</v>
      </c>
      <c r="V4" s="56" t="s">
        <v>54</v>
      </c>
      <c r="W4" s="59" t="s">
        <v>55</v>
      </c>
      <c r="X4" s="60" t="s">
        <v>56</v>
      </c>
      <c r="Y4" s="60" t="s">
        <v>57</v>
      </c>
      <c r="Z4" s="61" t="s">
        <v>58</v>
      </c>
      <c r="AA4" s="61" t="s">
        <v>59</v>
      </c>
      <c r="AB4" s="62" t="s">
        <v>60</v>
      </c>
      <c r="AC4" s="61" t="s">
        <v>61</v>
      </c>
      <c r="AD4" s="61" t="s">
        <v>62</v>
      </c>
      <c r="AE4" s="61" t="s">
        <v>63</v>
      </c>
      <c r="AF4" s="61" t="s">
        <v>64</v>
      </c>
      <c r="AG4" s="62" t="s">
        <v>65</v>
      </c>
      <c r="AH4" s="61" t="s">
        <v>66</v>
      </c>
      <c r="AI4" s="61" t="s">
        <v>67</v>
      </c>
      <c r="AJ4" s="61" t="s">
        <v>68</v>
      </c>
      <c r="AK4" s="61" t="s">
        <v>69</v>
      </c>
      <c r="AL4" s="63" t="s">
        <v>1267</v>
      </c>
      <c r="AM4" s="64" t="s">
        <v>71</v>
      </c>
      <c r="AN4" s="63" t="s">
        <v>72</v>
      </c>
      <c r="AO4" s="62" t="s">
        <v>73</v>
      </c>
      <c r="AP4" s="65" t="s">
        <v>74</v>
      </c>
      <c r="AQ4" s="66" t="s">
        <v>75</v>
      </c>
      <c r="AR4" s="67" t="s">
        <v>76</v>
      </c>
      <c r="AS4" s="68" t="s">
        <v>53</v>
      </c>
      <c r="AT4" s="69" t="s">
        <v>77</v>
      </c>
      <c r="AU4" s="70" t="s">
        <v>78</v>
      </c>
      <c r="AV4" s="71" t="s">
        <v>79</v>
      </c>
      <c r="AW4" s="71" t="s">
        <v>80</v>
      </c>
      <c r="AX4" s="71" t="s">
        <v>81</v>
      </c>
      <c r="AY4" s="72" t="s">
        <v>82</v>
      </c>
      <c r="AZ4" s="73" t="s">
        <v>83</v>
      </c>
      <c r="BA4" s="74" t="s">
        <v>84</v>
      </c>
      <c r="BB4" s="74" t="s">
        <v>85</v>
      </c>
      <c r="BC4" s="75" t="s">
        <v>86</v>
      </c>
      <c r="BD4" s="76" t="s">
        <v>87</v>
      </c>
      <c r="BE4" s="77" t="s">
        <v>88</v>
      </c>
      <c r="BF4" s="77" t="s">
        <v>89</v>
      </c>
      <c r="BG4" s="77" t="s">
        <v>90</v>
      </c>
      <c r="BH4" s="78" t="s">
        <v>76</v>
      </c>
      <c r="BI4" s="78" t="s">
        <v>53</v>
      </c>
      <c r="BJ4" s="78" t="s">
        <v>91</v>
      </c>
      <c r="BK4" s="79" t="s">
        <v>92</v>
      </c>
      <c r="BL4" s="78" t="s">
        <v>93</v>
      </c>
      <c r="BM4" s="78" t="s">
        <v>94</v>
      </c>
      <c r="BN4" s="78" t="s">
        <v>95</v>
      </c>
      <c r="BO4" s="80" t="s">
        <v>89</v>
      </c>
      <c r="BP4" s="81" t="s">
        <v>43</v>
      </c>
      <c r="BQ4" s="82" t="s">
        <v>44</v>
      </c>
      <c r="BR4" s="82" t="s">
        <v>96</v>
      </c>
      <c r="BS4" s="82" t="s">
        <v>97</v>
      </c>
      <c r="BT4" s="82" t="s">
        <v>98</v>
      </c>
      <c r="BU4" s="83" t="s">
        <v>52</v>
      </c>
      <c r="BV4" s="82" t="s">
        <v>53</v>
      </c>
      <c r="BW4" s="84" t="s">
        <v>99</v>
      </c>
      <c r="BX4" s="83" t="s">
        <v>100</v>
      </c>
      <c r="BY4" s="82" t="s">
        <v>53</v>
      </c>
      <c r="BZ4" s="82" t="s">
        <v>101</v>
      </c>
      <c r="CA4" s="82" t="s">
        <v>79</v>
      </c>
      <c r="CB4" s="85" t="s">
        <v>102</v>
      </c>
      <c r="CC4" s="86" t="s">
        <v>103</v>
      </c>
      <c r="CD4" s="87" t="s">
        <v>104</v>
      </c>
      <c r="CE4" s="88" t="s">
        <v>105</v>
      </c>
      <c r="CF4" s="88" t="s">
        <v>106</v>
      </c>
      <c r="CG4" s="89" t="s">
        <v>107</v>
      </c>
      <c r="CH4" s="202" t="s">
        <v>68</v>
      </c>
      <c r="CI4" s="90" t="s">
        <v>108</v>
      </c>
      <c r="CJ4" s="91" t="s">
        <v>109</v>
      </c>
      <c r="CK4" s="92" t="s">
        <v>110</v>
      </c>
      <c r="CL4" s="93" t="s">
        <v>111</v>
      </c>
      <c r="CM4" s="94" t="s">
        <v>112</v>
      </c>
      <c r="CN4" s="95" t="s">
        <v>113</v>
      </c>
      <c r="CO4" s="96" t="s">
        <v>70</v>
      </c>
      <c r="CP4" s="96" t="s">
        <v>71</v>
      </c>
      <c r="CQ4" s="97" t="s">
        <v>114</v>
      </c>
      <c r="CR4" s="97" t="s">
        <v>115</v>
      </c>
      <c r="CS4" s="98" t="s">
        <v>116</v>
      </c>
      <c r="CT4" s="99" t="s">
        <v>117</v>
      </c>
      <c r="CU4" s="95" t="s">
        <v>113</v>
      </c>
      <c r="CV4" s="96" t="s">
        <v>70</v>
      </c>
      <c r="CW4" s="96" t="s">
        <v>71</v>
      </c>
      <c r="CX4" s="97" t="s">
        <v>114</v>
      </c>
      <c r="CY4" s="97" t="s">
        <v>115</v>
      </c>
      <c r="CZ4" s="98" t="s">
        <v>116</v>
      </c>
      <c r="DA4" s="99" t="s">
        <v>117</v>
      </c>
      <c r="DB4" s="95" t="s">
        <v>113</v>
      </c>
      <c r="DC4" s="96" t="s">
        <v>70</v>
      </c>
      <c r="DD4" s="96" t="s">
        <v>71</v>
      </c>
      <c r="DE4" s="97" t="s">
        <v>114</v>
      </c>
      <c r="DF4" s="97" t="s">
        <v>115</v>
      </c>
      <c r="DG4" s="98" t="s">
        <v>116</v>
      </c>
      <c r="DH4" s="99" t="s">
        <v>117</v>
      </c>
      <c r="DI4" s="95" t="s">
        <v>113</v>
      </c>
      <c r="DJ4" s="96" t="s">
        <v>70</v>
      </c>
      <c r="DK4" s="96" t="s">
        <v>71</v>
      </c>
      <c r="DL4" s="97" t="s">
        <v>114</v>
      </c>
      <c r="DM4" s="97" t="s">
        <v>115</v>
      </c>
      <c r="DN4" s="98" t="s">
        <v>116</v>
      </c>
      <c r="DO4" s="99" t="s">
        <v>117</v>
      </c>
      <c r="DP4" s="95" t="s">
        <v>113</v>
      </c>
      <c r="DQ4" s="96" t="s">
        <v>70</v>
      </c>
      <c r="DR4" s="96" t="s">
        <v>71</v>
      </c>
      <c r="DS4" s="97" t="s">
        <v>114</v>
      </c>
      <c r="DT4" s="97" t="s">
        <v>115</v>
      </c>
      <c r="DU4" s="98" t="s">
        <v>116</v>
      </c>
      <c r="DV4" s="99" t="s">
        <v>117</v>
      </c>
      <c r="DW4" s="95" t="s">
        <v>113</v>
      </c>
      <c r="DX4" s="96" t="s">
        <v>70</v>
      </c>
      <c r="DY4" s="96" t="s">
        <v>71</v>
      </c>
      <c r="DZ4" s="97" t="s">
        <v>114</v>
      </c>
      <c r="EA4" s="97" t="s">
        <v>115</v>
      </c>
      <c r="EB4" s="98" t="s">
        <v>116</v>
      </c>
      <c r="EC4" s="99" t="s">
        <v>117</v>
      </c>
      <c r="ED4" s="95" t="s">
        <v>113</v>
      </c>
      <c r="EE4" s="96" t="s">
        <v>70</v>
      </c>
      <c r="EF4" s="96" t="s">
        <v>71</v>
      </c>
      <c r="EG4" s="97" t="s">
        <v>114</v>
      </c>
      <c r="EH4" s="97" t="s">
        <v>115</v>
      </c>
      <c r="EI4" s="98" t="s">
        <v>116</v>
      </c>
      <c r="EJ4" s="99" t="s">
        <v>117</v>
      </c>
      <c r="EK4" s="95" t="s">
        <v>113</v>
      </c>
      <c r="EL4" s="96" t="s">
        <v>70</v>
      </c>
      <c r="EM4" s="96" t="s">
        <v>71</v>
      </c>
      <c r="EN4" s="97" t="s">
        <v>114</v>
      </c>
      <c r="EO4" s="97" t="s">
        <v>115</v>
      </c>
      <c r="EP4" s="98" t="s">
        <v>116</v>
      </c>
      <c r="EQ4" s="99" t="s">
        <v>117</v>
      </c>
      <c r="ER4" s="95" t="s">
        <v>113</v>
      </c>
      <c r="ES4" s="96" t="s">
        <v>70</v>
      </c>
      <c r="ET4" s="96" t="s">
        <v>71</v>
      </c>
      <c r="EU4" s="97" t="s">
        <v>114</v>
      </c>
      <c r="EV4" s="97" t="s">
        <v>115</v>
      </c>
      <c r="EW4" s="98" t="s">
        <v>116</v>
      </c>
      <c r="EX4" s="99" t="s">
        <v>117</v>
      </c>
      <c r="EY4" s="95" t="s">
        <v>113</v>
      </c>
      <c r="EZ4" s="96" t="s">
        <v>70</v>
      </c>
      <c r="FA4" s="96" t="s">
        <v>71</v>
      </c>
      <c r="FB4" s="97" t="s">
        <v>114</v>
      </c>
      <c r="FC4" s="97" t="s">
        <v>115</v>
      </c>
      <c r="FD4" s="98" t="s">
        <v>116</v>
      </c>
      <c r="FE4" s="99" t="s">
        <v>117</v>
      </c>
      <c r="FF4" s="95" t="s">
        <v>113</v>
      </c>
      <c r="FG4" s="96" t="s">
        <v>70</v>
      </c>
      <c r="FH4" s="96" t="s">
        <v>71</v>
      </c>
      <c r="FI4" s="97" t="s">
        <v>114</v>
      </c>
      <c r="FJ4" s="97" t="s">
        <v>115</v>
      </c>
      <c r="FK4" s="98" t="s">
        <v>116</v>
      </c>
      <c r="FL4" s="99" t="s">
        <v>117</v>
      </c>
      <c r="FM4" s="95" t="s">
        <v>113</v>
      </c>
      <c r="FN4" s="96" t="s">
        <v>70</v>
      </c>
      <c r="FO4" s="96" t="s">
        <v>71</v>
      </c>
      <c r="FP4" s="97" t="s">
        <v>114</v>
      </c>
      <c r="FQ4" s="97" t="s">
        <v>115</v>
      </c>
      <c r="FR4" s="98" t="s">
        <v>116</v>
      </c>
      <c r="FS4" s="99" t="s">
        <v>117</v>
      </c>
      <c r="FT4" s="95" t="s">
        <v>113</v>
      </c>
      <c r="FU4" s="96" t="s">
        <v>70</v>
      </c>
      <c r="FV4" s="96" t="s">
        <v>71</v>
      </c>
      <c r="FW4" s="97" t="s">
        <v>114</v>
      </c>
      <c r="FX4" s="97" t="s">
        <v>115</v>
      </c>
      <c r="FY4" s="98" t="s">
        <v>116</v>
      </c>
      <c r="FZ4" s="99" t="s">
        <v>117</v>
      </c>
      <c r="GA4" s="95" t="s">
        <v>113</v>
      </c>
      <c r="GB4" s="96" t="s">
        <v>70</v>
      </c>
      <c r="GC4" s="96" t="s">
        <v>71</v>
      </c>
      <c r="GD4" s="97" t="s">
        <v>114</v>
      </c>
      <c r="GE4" s="97" t="s">
        <v>115</v>
      </c>
      <c r="GF4" s="98" t="s">
        <v>116</v>
      </c>
      <c r="GG4" s="99" t="s">
        <v>117</v>
      </c>
      <c r="GH4" s="95" t="s">
        <v>113</v>
      </c>
      <c r="GI4" s="96" t="s">
        <v>70</v>
      </c>
      <c r="GJ4" s="96" t="s">
        <v>71</v>
      </c>
      <c r="GK4" s="97" t="s">
        <v>114</v>
      </c>
      <c r="GL4" s="97" t="s">
        <v>115</v>
      </c>
      <c r="GM4" s="98" t="s">
        <v>116</v>
      </c>
      <c r="GN4" s="99" t="s">
        <v>117</v>
      </c>
      <c r="GO4" s="95" t="s">
        <v>113</v>
      </c>
      <c r="GP4" s="96" t="s">
        <v>70</v>
      </c>
      <c r="GQ4" s="96" t="s">
        <v>71</v>
      </c>
      <c r="GR4" s="97" t="s">
        <v>114</v>
      </c>
      <c r="GS4" s="97" t="s">
        <v>115</v>
      </c>
      <c r="GT4" s="98" t="s">
        <v>116</v>
      </c>
      <c r="GU4" s="99" t="s">
        <v>117</v>
      </c>
      <c r="GV4" s="95" t="s">
        <v>113</v>
      </c>
      <c r="GW4" s="96" t="s">
        <v>70</v>
      </c>
      <c r="GX4" s="96" t="s">
        <v>71</v>
      </c>
      <c r="GY4" s="97" t="s">
        <v>114</v>
      </c>
      <c r="GZ4" s="97" t="s">
        <v>115</v>
      </c>
      <c r="HA4" s="98" t="s">
        <v>116</v>
      </c>
      <c r="HB4" s="99" t="s">
        <v>117</v>
      </c>
      <c r="HC4" s="95" t="s">
        <v>113</v>
      </c>
      <c r="HD4" s="96" t="s">
        <v>70</v>
      </c>
      <c r="HE4" s="96" t="s">
        <v>71</v>
      </c>
      <c r="HF4" s="97" t="s">
        <v>114</v>
      </c>
      <c r="HG4" s="97" t="s">
        <v>115</v>
      </c>
      <c r="HH4" s="98" t="s">
        <v>116</v>
      </c>
      <c r="HI4" s="99" t="s">
        <v>117</v>
      </c>
      <c r="HJ4" s="95" t="s">
        <v>113</v>
      </c>
      <c r="HK4" s="96" t="s">
        <v>70</v>
      </c>
      <c r="HL4" s="96" t="s">
        <v>71</v>
      </c>
      <c r="HM4" s="97" t="s">
        <v>114</v>
      </c>
      <c r="HN4" s="97" t="s">
        <v>115</v>
      </c>
      <c r="HO4" s="98" t="s">
        <v>116</v>
      </c>
      <c r="HP4" s="99" t="s">
        <v>117</v>
      </c>
      <c r="HQ4" s="95" t="s">
        <v>113</v>
      </c>
      <c r="HR4" s="96" t="s">
        <v>70</v>
      </c>
      <c r="HS4" s="96" t="s">
        <v>71</v>
      </c>
      <c r="HT4" s="97" t="s">
        <v>114</v>
      </c>
      <c r="HU4" s="97" t="s">
        <v>115</v>
      </c>
      <c r="HV4" s="98" t="s">
        <v>116</v>
      </c>
      <c r="HW4" s="99" t="s">
        <v>117</v>
      </c>
      <c r="HX4" s="100" t="s">
        <v>118</v>
      </c>
      <c r="HY4" s="100" t="s">
        <v>119</v>
      </c>
      <c r="HZ4" s="101" t="s">
        <v>120</v>
      </c>
      <c r="IA4" s="101" t="s">
        <v>121</v>
      </c>
      <c r="IB4" s="102" t="s">
        <v>122</v>
      </c>
      <c r="IC4" s="102" t="s">
        <v>123</v>
      </c>
      <c r="ID4" s="103" t="s">
        <v>121</v>
      </c>
      <c r="IE4" s="102" t="s">
        <v>124</v>
      </c>
      <c r="IF4" s="104" t="s">
        <v>125</v>
      </c>
      <c r="IG4" s="104" t="s">
        <v>126</v>
      </c>
      <c r="IH4" s="104" t="s">
        <v>127</v>
      </c>
      <c r="II4" s="104" t="s">
        <v>128</v>
      </c>
      <c r="IJ4" s="104" t="s">
        <v>124</v>
      </c>
      <c r="IK4" s="104" t="s">
        <v>129</v>
      </c>
      <c r="IL4" s="104" t="s">
        <v>130</v>
      </c>
      <c r="IM4" s="104" t="s">
        <v>1263</v>
      </c>
      <c r="IN4" s="104" t="s">
        <v>1264</v>
      </c>
      <c r="IO4" s="104" t="s">
        <v>1265</v>
      </c>
      <c r="IP4" s="104" t="s">
        <v>1266</v>
      </c>
    </row>
    <row r="5" spans="1:250" ht="15" customHeight="1" thickBot="1" x14ac:dyDescent="0.35">
      <c r="A5" s="144">
        <v>1</v>
      </c>
      <c r="B5" s="145" t="s">
        <v>131</v>
      </c>
      <c r="C5" s="145" t="s">
        <v>132</v>
      </c>
      <c r="D5" s="145">
        <v>101</v>
      </c>
      <c r="E5" s="145" t="s">
        <v>133</v>
      </c>
      <c r="F5" s="145"/>
      <c r="G5" s="145" t="s">
        <v>134</v>
      </c>
      <c r="H5" s="145">
        <v>1011300001</v>
      </c>
      <c r="I5" s="146" t="str">
        <f t="shared" ref="I5:I68" si="0">RIGHT(H5,7)</f>
        <v>1300001</v>
      </c>
      <c r="J5" s="145" t="str">
        <f t="shared" ref="J5:J68" si="1">CONCATENATE(C5,I5)</f>
        <v>KB1300001</v>
      </c>
      <c r="K5" s="145" t="s">
        <v>135</v>
      </c>
      <c r="L5" s="145" t="s">
        <v>136</v>
      </c>
      <c r="M5" s="147" t="s">
        <v>137</v>
      </c>
      <c r="N5" s="145" t="s">
        <v>138</v>
      </c>
      <c r="O5" s="145"/>
      <c r="P5" s="145">
        <v>19921584</v>
      </c>
      <c r="Q5" s="148"/>
      <c r="R5" s="145" t="s">
        <v>139</v>
      </c>
      <c r="S5" s="145"/>
      <c r="T5" s="145" t="s">
        <v>140</v>
      </c>
      <c r="U5" s="145" t="s">
        <v>141</v>
      </c>
      <c r="V5" s="149">
        <v>786285222</v>
      </c>
      <c r="W5" s="145"/>
      <c r="X5" s="150" t="s">
        <v>142</v>
      </c>
      <c r="Y5" s="151">
        <v>13</v>
      </c>
      <c r="Z5" s="151" t="s">
        <v>143</v>
      </c>
      <c r="AA5" s="151" t="s">
        <v>144</v>
      </c>
      <c r="AB5" s="151" t="s">
        <v>145</v>
      </c>
      <c r="AC5" s="151" t="s">
        <v>146</v>
      </c>
      <c r="AD5" s="151" t="s">
        <v>147</v>
      </c>
      <c r="AE5" s="152" t="s">
        <v>136</v>
      </c>
      <c r="AF5" s="152" t="s">
        <v>136</v>
      </c>
      <c r="AG5" s="153">
        <v>45693</v>
      </c>
      <c r="AH5" s="154">
        <v>225000</v>
      </c>
      <c r="AI5" s="151">
        <v>20</v>
      </c>
      <c r="AJ5" s="150">
        <v>3</v>
      </c>
      <c r="AK5" s="150">
        <f>AI5-AJ5</f>
        <v>17</v>
      </c>
      <c r="AL5" s="155">
        <v>212088</v>
      </c>
      <c r="AM5" s="156">
        <v>0</v>
      </c>
      <c r="AN5" s="155">
        <f>AL5*AM5</f>
        <v>0</v>
      </c>
      <c r="AO5" s="157">
        <f t="shared" ref="AO5:AO12" si="2">AL5+AN5</f>
        <v>212088</v>
      </c>
      <c r="AP5" s="158">
        <f t="shared" ref="AP5:AP68" si="3">AO5/AK5</f>
        <v>12475.764705882353</v>
      </c>
      <c r="AQ5" s="151" t="s">
        <v>148</v>
      </c>
      <c r="AR5" s="151" t="s">
        <v>149</v>
      </c>
      <c r="AS5" s="151" t="s">
        <v>141</v>
      </c>
      <c r="AT5" s="151" t="s">
        <v>150</v>
      </c>
      <c r="AU5" s="151" t="s">
        <v>151</v>
      </c>
      <c r="AV5" s="151">
        <v>3</v>
      </c>
      <c r="AW5" s="151" t="s">
        <v>136</v>
      </c>
      <c r="AX5" s="151" t="s">
        <v>136</v>
      </c>
      <c r="AY5" s="151" t="s">
        <v>136</v>
      </c>
      <c r="AZ5" s="151" t="s">
        <v>136</v>
      </c>
      <c r="BA5" s="151" t="s">
        <v>136</v>
      </c>
      <c r="BB5" s="151" t="s">
        <v>136</v>
      </c>
      <c r="BC5" s="151" t="s">
        <v>136</v>
      </c>
      <c r="BD5" s="151" t="s">
        <v>136</v>
      </c>
      <c r="BE5" s="151" t="s">
        <v>136</v>
      </c>
      <c r="BF5" s="151" t="s">
        <v>152</v>
      </c>
      <c r="BG5" s="151" t="s">
        <v>136</v>
      </c>
      <c r="BH5" s="151" t="s">
        <v>136</v>
      </c>
      <c r="BI5" s="151" t="s">
        <v>136</v>
      </c>
      <c r="BJ5" s="151" t="s">
        <v>136</v>
      </c>
      <c r="BK5" s="151" t="s">
        <v>136</v>
      </c>
      <c r="BL5" s="154">
        <v>212088</v>
      </c>
      <c r="BM5" s="154">
        <v>212088</v>
      </c>
      <c r="BN5" s="151" t="s">
        <v>136</v>
      </c>
      <c r="BO5" s="151" t="s">
        <v>136</v>
      </c>
      <c r="BP5" s="151" t="s">
        <v>136</v>
      </c>
      <c r="BQ5" s="151" t="s">
        <v>136</v>
      </c>
      <c r="BR5" s="151" t="s">
        <v>136</v>
      </c>
      <c r="BS5" s="151" t="s">
        <v>136</v>
      </c>
      <c r="BT5" s="151" t="s">
        <v>136</v>
      </c>
      <c r="BU5" s="151" t="s">
        <v>136</v>
      </c>
      <c r="BV5" s="151" t="s">
        <v>136</v>
      </c>
      <c r="BW5" s="151" t="s">
        <v>136</v>
      </c>
      <c r="BX5" s="151" t="s">
        <v>136</v>
      </c>
      <c r="BY5" s="151" t="s">
        <v>136</v>
      </c>
      <c r="BZ5" s="151" t="s">
        <v>136</v>
      </c>
      <c r="CA5" s="151" t="s">
        <v>136</v>
      </c>
      <c r="CB5" s="151" t="s">
        <v>136</v>
      </c>
      <c r="CC5" s="159" t="s">
        <v>136</v>
      </c>
      <c r="CD5" s="155">
        <f t="shared" ref="CD5:CD68" si="4">AL5</f>
        <v>212088</v>
      </c>
      <c r="CE5" s="148">
        <v>45780</v>
      </c>
      <c r="CF5" s="150">
        <f t="shared" ref="CF5:CF68" si="5">AI5</f>
        <v>20</v>
      </c>
      <c r="CG5" s="155">
        <f t="shared" ref="CG5:CG68" si="6">AO5</f>
        <v>212088</v>
      </c>
      <c r="CH5" s="203">
        <f t="shared" ref="CH5:CH11" si="7">AJ5</f>
        <v>3</v>
      </c>
      <c r="CI5" s="160">
        <v>45780</v>
      </c>
      <c r="CJ5" s="161">
        <f>EDATE(CI5,IF(OR(CH5="",CH5=0),1,CH5))</f>
        <v>45872</v>
      </c>
      <c r="CK5" s="162">
        <f>EDATE(CI5,CF5)</f>
        <v>46390</v>
      </c>
      <c r="CL5" s="163"/>
      <c r="CM5" s="164">
        <f t="shared" ref="CM5:CM68" ca="1" si="8">TODAY()</f>
        <v>46054</v>
      </c>
      <c r="CN5" s="165">
        <f t="shared" ref="CN5:CN68" si="9">CJ5</f>
        <v>45872</v>
      </c>
      <c r="CO5" s="109">
        <f t="shared" ref="CO5:CO68" si="10">CQ5-CP5</f>
        <v>12476</v>
      </c>
      <c r="CP5" s="109">
        <f t="shared" ref="CP5:CP68" si="11">CQ5/(1+AM5)*AM5</f>
        <v>0</v>
      </c>
      <c r="CQ5" s="109">
        <v>12476</v>
      </c>
      <c r="CR5" s="109">
        <f t="shared" ref="CR5:CR68" si="12">IF(CQ5&lt;=0,0,CQ5-AP5)</f>
        <v>0.23529411764684482</v>
      </c>
      <c r="CS5" s="166">
        <v>45921</v>
      </c>
      <c r="CT5" s="167">
        <f t="shared" ref="CT5:CT68" si="13">IF(CS5&lt;CN5,0,CS5-CN5)</f>
        <v>49</v>
      </c>
      <c r="CU5" s="165">
        <f t="shared" ref="CU5:CU68" si="14">EDATE(CN5,1)</f>
        <v>45903</v>
      </c>
      <c r="CV5" s="109">
        <f t="shared" ref="CV5:CV68" si="15">CX5-CW5</f>
        <v>12476</v>
      </c>
      <c r="CW5" s="109">
        <f t="shared" ref="CW5:CW68" si="16">CX5/(1+AM5)*AM5</f>
        <v>0</v>
      </c>
      <c r="CX5" s="109">
        <v>12476</v>
      </c>
      <c r="CY5" s="109">
        <f t="shared" ref="CY5:CY68" si="17">IF(CX5&lt;=0,0,CX5-AP5)</f>
        <v>0.23529411764684482</v>
      </c>
      <c r="CZ5" s="166">
        <v>45939</v>
      </c>
      <c r="DA5" s="167">
        <f t="shared" ref="DA5:DA68" si="18">IF(CZ5&lt;CU5,0,CZ5-CU5)</f>
        <v>36</v>
      </c>
      <c r="DB5" s="165">
        <f t="shared" ref="DB5:DB68" si="19">EDATE(CU5,1)</f>
        <v>45933</v>
      </c>
      <c r="DC5" s="109">
        <f t="shared" ref="DC5:DC68" si="20">DE5-DD5</f>
        <v>12475.764705882353</v>
      </c>
      <c r="DD5" s="109">
        <f t="shared" ref="DD5:DD68" si="21">DE5/(1+AM5)*AM5</f>
        <v>0</v>
      </c>
      <c r="DE5" s="109">
        <v>12475.764705882353</v>
      </c>
      <c r="DF5" s="109">
        <f t="shared" ref="DF5:DF68" si="22">IF(DE5&lt;=0,0,DE5-AP5)</f>
        <v>0</v>
      </c>
      <c r="DG5" s="166">
        <v>46029</v>
      </c>
      <c r="DH5" s="167">
        <f t="shared" ref="DH5:DH68" si="23">IF(DG5&lt;DB5,0,DG5-DB5)</f>
        <v>96</v>
      </c>
      <c r="DI5" s="165">
        <f t="shared" ref="DI5:DI68" si="24">EDATE(DB5,1)</f>
        <v>45964</v>
      </c>
      <c r="DJ5" s="109">
        <f t="shared" ref="DJ5:DJ68" si="25">DL5-DK5</f>
        <v>12475.764705882353</v>
      </c>
      <c r="DK5" s="109">
        <f t="shared" ref="DK5:DK68" si="26">DL5/(1+AM5)*AM5</f>
        <v>0</v>
      </c>
      <c r="DL5" s="109">
        <v>12475.764705882353</v>
      </c>
      <c r="DM5" s="109">
        <f t="shared" ref="DM5:DM68" si="27">IF(DL5&lt;=0,0,DL5-AP5)</f>
        <v>0</v>
      </c>
      <c r="DN5" s="166">
        <v>46029</v>
      </c>
      <c r="DO5" s="167">
        <f t="shared" ref="DO5:DO68" si="28">IF(DN5&lt;DI5,0,DN5-DI5)</f>
        <v>65</v>
      </c>
      <c r="DP5" s="165">
        <f>EDATE(DI5,1)</f>
        <v>45994</v>
      </c>
      <c r="DQ5" s="109">
        <f t="shared" ref="DQ5:DQ68" si="29">DS5-DR5</f>
        <v>12475.764705882353</v>
      </c>
      <c r="DR5" s="109">
        <f>DS5/(1+AM5)*AM5</f>
        <v>0</v>
      </c>
      <c r="DS5" s="109">
        <v>12475.764705882353</v>
      </c>
      <c r="DT5" s="109">
        <f t="shared" ref="DT5:DT68" si="30">IF(DS5&lt;=0,0,DS5-AP5)</f>
        <v>0</v>
      </c>
      <c r="DU5" s="166">
        <v>46029</v>
      </c>
      <c r="DV5" s="167">
        <f t="shared" ref="DV5:DV68" si="31">IF(DU5&lt;DP5,0,DU5-DP5)</f>
        <v>35</v>
      </c>
      <c r="DW5" s="165">
        <f t="shared" ref="DW5:DW68" si="32">EDATE(DP5,1)</f>
        <v>46025</v>
      </c>
      <c r="DX5" s="109">
        <f t="shared" ref="DX5:DX68" si="33">DZ5-DY5</f>
        <v>0</v>
      </c>
      <c r="DY5" s="109">
        <f t="shared" ref="DY5:DY68" si="34">DZ5/(1+AM5)*AM5</f>
        <v>0</v>
      </c>
      <c r="DZ5" s="109"/>
      <c r="EA5" s="109">
        <f t="shared" ref="EA5:EA68" si="35">IF(DZ5&lt;=0,0,DZ5-AP5)</f>
        <v>0</v>
      </c>
      <c r="EB5" s="166">
        <f ca="1">TODAY()</f>
        <v>46054</v>
      </c>
      <c r="EC5" s="167">
        <f t="shared" ref="EC5:EC68" ca="1" si="36">IF(EB5&lt;DW5,0,EB5-DW5)</f>
        <v>29</v>
      </c>
      <c r="ED5" s="165">
        <f t="shared" ref="ED5:ED68" si="37">EDATE(DW5,1)</f>
        <v>46056</v>
      </c>
      <c r="EE5" s="109">
        <f t="shared" ref="EE5:EE68" si="38">EG5-EF5</f>
        <v>0</v>
      </c>
      <c r="EF5" s="109">
        <f t="shared" ref="EF5:EF68" si="39">EG5/(1+AM5)*AM5</f>
        <v>0</v>
      </c>
      <c r="EG5" s="109"/>
      <c r="EH5" s="109">
        <f t="shared" ref="EH5:EH68" si="40">IF(EG5&lt;=0,0,EG5-AP5)</f>
        <v>0</v>
      </c>
      <c r="EI5" s="166">
        <f ca="1">TODAY()</f>
        <v>46054</v>
      </c>
      <c r="EJ5" s="167">
        <f t="shared" ref="EJ5:EJ68" ca="1" si="41">IF(EI5&lt;ED5,0,EI5-ED5)</f>
        <v>0</v>
      </c>
      <c r="EK5" s="165">
        <f t="shared" ref="EK5:EK68" si="42">EDATE(ED5,1)</f>
        <v>46084</v>
      </c>
      <c r="EL5" s="109">
        <f t="shared" ref="EL5:EL68" si="43">EN5-EM5</f>
        <v>0</v>
      </c>
      <c r="EM5" s="109">
        <f t="shared" ref="EM5:EM68" si="44">EN5/(1+AM5)*AM5</f>
        <v>0</v>
      </c>
      <c r="EN5" s="109"/>
      <c r="EO5" s="109">
        <f t="shared" ref="EO5:EO68" si="45">IF(EN5&lt;=0,0,EN5-AP5)</f>
        <v>0</v>
      </c>
      <c r="EP5" s="166">
        <f ca="1">TODAY()</f>
        <v>46054</v>
      </c>
      <c r="EQ5" s="167">
        <f t="shared" ref="EQ5:EQ68" ca="1" si="46">IF(EP5&lt;EK5,0,EP5-EK5)</f>
        <v>0</v>
      </c>
      <c r="ER5" s="165">
        <f t="shared" ref="ER5:ER68" si="47">EDATE(EK5,1)</f>
        <v>46115</v>
      </c>
      <c r="ES5" s="109">
        <f t="shared" ref="ES5:ES68" si="48">EU5-ET5</f>
        <v>0</v>
      </c>
      <c r="ET5" s="109">
        <f t="shared" ref="ET5:ET68" si="49">EU5/(1+AM5)*AM5</f>
        <v>0</v>
      </c>
      <c r="EU5" s="109"/>
      <c r="EV5" s="109"/>
      <c r="EW5" s="166"/>
      <c r="EX5" s="166"/>
      <c r="EY5" s="165">
        <f t="shared" ref="EY5:EY68" si="50">EDATE(ER5,1)</f>
        <v>46145</v>
      </c>
      <c r="EZ5" s="109">
        <f t="shared" ref="EZ5:EZ68" si="51">FB5-FA5</f>
        <v>0</v>
      </c>
      <c r="FA5" s="109">
        <f t="shared" ref="FA5:FA68" si="52">FB5/(1+AM5)*AM5</f>
        <v>0</v>
      </c>
      <c r="FB5" s="109"/>
      <c r="FC5" s="109"/>
      <c r="FD5" s="166"/>
      <c r="FE5" s="166"/>
      <c r="FF5" s="165">
        <f t="shared" ref="FF5:FF68" si="53">EDATE(EY5,1)</f>
        <v>46176</v>
      </c>
      <c r="FG5" s="109">
        <f t="shared" ref="FG5:FG68" si="54">FI5-FH5</f>
        <v>0</v>
      </c>
      <c r="FH5" s="109">
        <f t="shared" ref="FH5:FH68" si="55">FI5/(1+AM5)*AM5</f>
        <v>0</v>
      </c>
      <c r="FI5" s="109"/>
      <c r="FJ5" s="109"/>
      <c r="FK5" s="166"/>
      <c r="FL5" s="166"/>
      <c r="FM5" s="165">
        <f t="shared" ref="FM5:FM68" si="56">EDATE(FF5,1)</f>
        <v>46206</v>
      </c>
      <c r="FN5" s="109">
        <f t="shared" ref="FN5:FN68" si="57">FP5-FO5</f>
        <v>0</v>
      </c>
      <c r="FO5" s="109">
        <f t="shared" ref="FO5:FO68" si="58">FP5/(1+AM5)*AM5</f>
        <v>0</v>
      </c>
      <c r="FP5" s="109"/>
      <c r="FQ5" s="109"/>
      <c r="FR5" s="166"/>
      <c r="FS5" s="166"/>
      <c r="FT5" s="165">
        <f t="shared" ref="FT5:FT11" si="59">EDATE(FM5,1)</f>
        <v>46237</v>
      </c>
      <c r="FU5" s="109">
        <f t="shared" ref="FU5:FU11" si="60">FW5-FV5</f>
        <v>0</v>
      </c>
      <c r="FV5" s="109">
        <f t="shared" ref="FV5:FV11" si="61">FW5/(1+AM5)*AM5</f>
        <v>0</v>
      </c>
      <c r="FW5" s="109"/>
      <c r="FX5" s="109"/>
      <c r="FY5" s="166"/>
      <c r="FZ5" s="166"/>
      <c r="GA5" s="165">
        <f t="shared" ref="GA5:GA11" si="62">EDATE(FT5,1)</f>
        <v>46268</v>
      </c>
      <c r="GB5" s="109">
        <f t="shared" ref="GB5:GB11" si="63">GD5-GC5</f>
        <v>0</v>
      </c>
      <c r="GC5" s="109">
        <f t="shared" ref="GC5:GC11" si="64">GD5/(1+AM5)*AM5</f>
        <v>0</v>
      </c>
      <c r="GD5" s="109"/>
      <c r="GE5" s="109"/>
      <c r="GF5" s="166"/>
      <c r="GG5" s="166"/>
      <c r="GH5" s="165">
        <f t="shared" ref="GH5:GH11" si="65">EDATE(GA5,1)</f>
        <v>46298</v>
      </c>
      <c r="GI5" s="109">
        <f t="shared" ref="GI5:GI11" si="66">GK5-GJ5</f>
        <v>0</v>
      </c>
      <c r="GJ5" s="109">
        <f t="shared" ref="GJ5:GJ11" si="67">GK5/(1+AM5)*AM5</f>
        <v>0</v>
      </c>
      <c r="GK5" s="109"/>
      <c r="GL5" s="109"/>
      <c r="GM5" s="166"/>
      <c r="GN5" s="166"/>
      <c r="GO5" s="165">
        <f>EDATE(GH5,1)</f>
        <v>46329</v>
      </c>
      <c r="GP5" s="109">
        <f>GR5-GQ5</f>
        <v>0</v>
      </c>
      <c r="GQ5" s="109">
        <f>GR5/(1+AM5)*AM5</f>
        <v>0</v>
      </c>
      <c r="GR5" s="109"/>
      <c r="GS5" s="109"/>
      <c r="GT5" s="166"/>
      <c r="GU5" s="166"/>
      <c r="GV5" s="165">
        <f>EDATE(GO5,1)</f>
        <v>46359</v>
      </c>
      <c r="GW5" s="168">
        <f>GY5-GX5</f>
        <v>0</v>
      </c>
      <c r="GX5" s="168">
        <f>GY5/(1+AM5)*AM5</f>
        <v>0</v>
      </c>
      <c r="GY5" s="168"/>
      <c r="GZ5" s="168"/>
      <c r="HA5" s="166"/>
      <c r="HB5" s="166"/>
      <c r="HC5" s="165"/>
      <c r="HD5" s="109">
        <f>HF5-HE5</f>
        <v>0</v>
      </c>
      <c r="HE5" s="109">
        <f>HF5/(1+AM5)*AM5</f>
        <v>0</v>
      </c>
      <c r="HF5" s="109"/>
      <c r="HG5" s="109"/>
      <c r="HH5" s="166"/>
      <c r="HI5" s="166"/>
      <c r="HJ5" s="165"/>
      <c r="HK5" s="109">
        <f>HM5-HL5</f>
        <v>0</v>
      </c>
      <c r="HL5" s="109">
        <f>HM5/(1+AM5)*AM5</f>
        <v>0</v>
      </c>
      <c r="HM5" s="109"/>
      <c r="HN5" s="109"/>
      <c r="HO5" s="166"/>
      <c r="HP5" s="166"/>
      <c r="HQ5" s="165"/>
      <c r="HR5" s="109">
        <f>HT5-HS5</f>
        <v>0</v>
      </c>
      <c r="HS5" s="109">
        <f>HT5/(1+AM5)*AM5</f>
        <v>0</v>
      </c>
      <c r="HT5" s="109"/>
      <c r="HU5" s="109"/>
      <c r="HV5" s="166"/>
      <c r="HW5" s="166"/>
      <c r="HX5" s="105">
        <f>CO5+CV5+DC5+DJ5+DQ5+DX5+EE5+EL5+ES5+EZ5+FG5+FN5+FU5+GB5+GI5+GP5+GW5+HD5+HK5+HR5</f>
        <v>62379.294117647049</v>
      </c>
      <c r="HY5" s="105">
        <f>CP5+CW5+DD5+DK5+DR5+DY5+EF5+EM5+ET5+FA5+FH5+FO5+FV5+GC5+GJ5+GQ5+GX5+HE5+HL5+HS5</f>
        <v>0</v>
      </c>
      <c r="HZ5" s="105">
        <f>CQ5+CX5+DE5+DL5+DS5+DZ5+EG5+EN5+EU5+FB5+FI5+FP5+FW5+GD5+GK5+GR5+GY5+HF5+HM5+HT5</f>
        <v>62379.294117647049</v>
      </c>
      <c r="IA5" s="105">
        <f t="shared" ref="IA5:IA68" si="68">HX5+HY5-HZ5</f>
        <v>0</v>
      </c>
      <c r="IB5" s="109">
        <f t="shared" ref="IB5:IB68" si="69">AO5-HZ5</f>
        <v>149708.70588235295</v>
      </c>
      <c r="IC5" s="109">
        <f t="shared" ref="IC5:IC68" si="70">AL5-HX5</f>
        <v>149708.70588235295</v>
      </c>
      <c r="ID5" s="109">
        <f t="shared" ref="ID5:ID68" si="71">(HZ5+IB5)-AO5</f>
        <v>0</v>
      </c>
      <c r="IE5" s="109">
        <f t="shared" ref="IE5:IE68" ca="1" si="72">CT5+DA5+DH5+DO5+DV5+EC5+EJ5</f>
        <v>310</v>
      </c>
      <c r="IF5" s="139">
        <f t="shared" ref="IF5:IF68" si="73">HZ5/AP5</f>
        <v>5.0000377201916173</v>
      </c>
      <c r="IG5" s="139">
        <f t="shared" ref="IG5:IG68" ca="1" si="74">CM5-CJ5</f>
        <v>182</v>
      </c>
      <c r="IH5" s="169">
        <f t="shared" ref="IH5:IH68" ca="1" si="75">IG5/30</f>
        <v>6.0666666666666664</v>
      </c>
      <c r="II5" s="139">
        <f t="shared" ref="II5:II68" ca="1" si="76">IF(IH5&lt;=0,0,IH5-IF5)</f>
        <v>1.0666289464750491</v>
      </c>
      <c r="IJ5" s="169">
        <f t="shared" ref="IJ5:IJ68" ca="1" si="77">IF(II5&lt;=0,0,II5*30)</f>
        <v>31.998868394251474</v>
      </c>
      <c r="IK5" s="169">
        <f ca="1">II5</f>
        <v>1.0666289464750491</v>
      </c>
      <c r="IL5" s="170">
        <f t="shared" ref="IL5:IL68" ca="1" si="78">IF(II5=0,0,II5*AP5)</f>
        <v>13307.011764705896</v>
      </c>
      <c r="IM5" s="171"/>
      <c r="IN5" s="171"/>
      <c r="IO5" s="171"/>
      <c r="IP5" s="171"/>
    </row>
    <row r="6" spans="1:250" ht="15" customHeight="1" thickBot="1" x14ac:dyDescent="0.35">
      <c r="A6" s="110">
        <f t="shared" ref="A6:A69" si="79">A5+1</f>
        <v>2</v>
      </c>
      <c r="B6" s="111" t="s">
        <v>131</v>
      </c>
      <c r="C6" s="145" t="s">
        <v>132</v>
      </c>
      <c r="D6" s="145">
        <v>101</v>
      </c>
      <c r="E6" s="111" t="s">
        <v>133</v>
      </c>
      <c r="F6" s="111"/>
      <c r="G6" s="111" t="s">
        <v>153</v>
      </c>
      <c r="H6" s="145">
        <v>1011300002</v>
      </c>
      <c r="I6" s="146" t="str">
        <f t="shared" si="0"/>
        <v>1300002</v>
      </c>
      <c r="J6" s="145" t="str">
        <f t="shared" si="1"/>
        <v>KB1300002</v>
      </c>
      <c r="K6" s="111" t="s">
        <v>154</v>
      </c>
      <c r="L6" s="145" t="s">
        <v>136</v>
      </c>
      <c r="M6" s="111" t="s">
        <v>137</v>
      </c>
      <c r="N6" s="111" t="s">
        <v>138</v>
      </c>
      <c r="O6" s="111"/>
      <c r="P6" s="111">
        <v>16896834</v>
      </c>
      <c r="Q6" s="148"/>
      <c r="R6" s="145" t="s">
        <v>155</v>
      </c>
      <c r="S6" s="111"/>
      <c r="T6" s="145" t="s">
        <v>140</v>
      </c>
      <c r="U6" s="145" t="s">
        <v>141</v>
      </c>
      <c r="V6" s="172">
        <v>764762067</v>
      </c>
      <c r="W6" s="111"/>
      <c r="X6" s="111" t="s">
        <v>142</v>
      </c>
      <c r="Y6" s="111">
        <v>13</v>
      </c>
      <c r="Z6" s="111" t="s">
        <v>143</v>
      </c>
      <c r="AA6" s="111" t="s">
        <v>144</v>
      </c>
      <c r="AB6" s="111" t="s">
        <v>145</v>
      </c>
      <c r="AC6" s="111" t="s">
        <v>146</v>
      </c>
      <c r="AD6" s="111" t="s">
        <v>147</v>
      </c>
      <c r="AE6" s="173" t="s">
        <v>136</v>
      </c>
      <c r="AF6" s="173" t="s">
        <v>136</v>
      </c>
      <c r="AG6" s="174">
        <v>45693</v>
      </c>
      <c r="AH6" s="175">
        <v>225000</v>
      </c>
      <c r="AI6" s="111">
        <v>20</v>
      </c>
      <c r="AJ6" s="111">
        <v>3</v>
      </c>
      <c r="AK6" s="150">
        <f t="shared" ref="AK6:AK69" si="80">AI6-AJ6</f>
        <v>17</v>
      </c>
      <c r="AL6" s="155">
        <v>212088</v>
      </c>
      <c r="AM6" s="176">
        <v>0</v>
      </c>
      <c r="AN6" s="177">
        <f>AL6*AM6</f>
        <v>0</v>
      </c>
      <c r="AO6" s="157">
        <f t="shared" si="2"/>
        <v>212088</v>
      </c>
      <c r="AP6" s="158">
        <f t="shared" si="3"/>
        <v>12475.764705882353</v>
      </c>
      <c r="AQ6" s="111" t="s">
        <v>148</v>
      </c>
      <c r="AR6" s="111" t="s">
        <v>149</v>
      </c>
      <c r="AS6" s="111" t="s">
        <v>141</v>
      </c>
      <c r="AT6" s="111" t="s">
        <v>150</v>
      </c>
      <c r="AU6" s="111" t="s">
        <v>151</v>
      </c>
      <c r="AV6" s="111">
        <v>4</v>
      </c>
      <c r="AW6" s="111" t="s">
        <v>136</v>
      </c>
      <c r="AX6" s="111" t="s">
        <v>136</v>
      </c>
      <c r="AY6" s="111" t="s">
        <v>136</v>
      </c>
      <c r="AZ6" s="111" t="s">
        <v>136</v>
      </c>
      <c r="BA6" s="111" t="s">
        <v>136</v>
      </c>
      <c r="BB6" s="111" t="s">
        <v>136</v>
      </c>
      <c r="BC6" s="111" t="s">
        <v>136</v>
      </c>
      <c r="BD6" s="111" t="s">
        <v>136</v>
      </c>
      <c r="BE6" s="111" t="s">
        <v>136</v>
      </c>
      <c r="BF6" s="111" t="s">
        <v>152</v>
      </c>
      <c r="BG6" s="111" t="s">
        <v>136</v>
      </c>
      <c r="BH6" s="111" t="s">
        <v>136</v>
      </c>
      <c r="BI6" s="111" t="s">
        <v>136</v>
      </c>
      <c r="BJ6" s="111" t="s">
        <v>136</v>
      </c>
      <c r="BK6" s="111" t="s">
        <v>136</v>
      </c>
      <c r="BL6" s="175">
        <v>212088</v>
      </c>
      <c r="BM6" s="175">
        <v>212088</v>
      </c>
      <c r="BN6" s="111" t="s">
        <v>136</v>
      </c>
      <c r="BO6" s="111" t="s">
        <v>136</v>
      </c>
      <c r="BP6" s="111" t="s">
        <v>136</v>
      </c>
      <c r="BQ6" s="111" t="s">
        <v>136</v>
      </c>
      <c r="BR6" s="111" t="s">
        <v>136</v>
      </c>
      <c r="BS6" s="111" t="s">
        <v>136</v>
      </c>
      <c r="BT6" s="111" t="s">
        <v>136</v>
      </c>
      <c r="BU6" s="111" t="s">
        <v>136</v>
      </c>
      <c r="BV6" s="111" t="s">
        <v>136</v>
      </c>
      <c r="BW6" s="111" t="s">
        <v>136</v>
      </c>
      <c r="BX6" s="111" t="s">
        <v>136</v>
      </c>
      <c r="BY6" s="111" t="s">
        <v>136</v>
      </c>
      <c r="BZ6" s="111" t="s">
        <v>136</v>
      </c>
      <c r="CA6" s="111" t="s">
        <v>136</v>
      </c>
      <c r="CB6" s="111" t="s">
        <v>136</v>
      </c>
      <c r="CC6" s="178" t="s">
        <v>136</v>
      </c>
      <c r="CD6" s="177">
        <f t="shared" si="4"/>
        <v>212088</v>
      </c>
      <c r="CE6" s="148">
        <v>45780</v>
      </c>
      <c r="CF6" s="111">
        <f t="shared" si="5"/>
        <v>20</v>
      </c>
      <c r="CG6" s="177">
        <f t="shared" si="6"/>
        <v>212088</v>
      </c>
      <c r="CH6" s="203">
        <f t="shared" si="7"/>
        <v>3</v>
      </c>
      <c r="CI6" s="148">
        <v>45780</v>
      </c>
      <c r="CJ6" s="161">
        <f t="shared" ref="CJ6:CJ69" si="81">EDATE(CI6,IF(OR(CH6="",CH6=0),1,CH6))</f>
        <v>45872</v>
      </c>
      <c r="CK6" s="162">
        <f t="shared" ref="CK6:CK69" si="82">EDATE(CI6,CF6)</f>
        <v>46390</v>
      </c>
      <c r="CL6" s="179"/>
      <c r="CM6" s="164">
        <f t="shared" ca="1" si="8"/>
        <v>46054</v>
      </c>
      <c r="CN6" s="165">
        <f t="shared" si="9"/>
        <v>45872</v>
      </c>
      <c r="CO6" s="109">
        <f t="shared" si="10"/>
        <v>12476</v>
      </c>
      <c r="CP6" s="109">
        <f t="shared" si="11"/>
        <v>0</v>
      </c>
      <c r="CQ6" s="109">
        <v>12476</v>
      </c>
      <c r="CR6" s="109">
        <f t="shared" si="12"/>
        <v>0.23529411764684482</v>
      </c>
      <c r="CS6" s="166">
        <v>45921</v>
      </c>
      <c r="CT6" s="167">
        <f t="shared" si="13"/>
        <v>49</v>
      </c>
      <c r="CU6" s="165">
        <f t="shared" si="14"/>
        <v>45903</v>
      </c>
      <c r="CV6" s="109">
        <f t="shared" si="15"/>
        <v>12476</v>
      </c>
      <c r="CW6" s="109">
        <f t="shared" si="16"/>
        <v>0</v>
      </c>
      <c r="CX6" s="109">
        <v>12476</v>
      </c>
      <c r="CY6" s="109">
        <f t="shared" si="17"/>
        <v>0.23529411764684482</v>
      </c>
      <c r="CZ6" s="166">
        <v>45939</v>
      </c>
      <c r="DA6" s="167">
        <f t="shared" si="18"/>
        <v>36</v>
      </c>
      <c r="DB6" s="165">
        <f t="shared" si="19"/>
        <v>45933</v>
      </c>
      <c r="DC6" s="109">
        <f t="shared" si="20"/>
        <v>12475.764705882353</v>
      </c>
      <c r="DD6" s="109">
        <f t="shared" si="21"/>
        <v>0</v>
      </c>
      <c r="DE6" s="109">
        <v>12475.764705882353</v>
      </c>
      <c r="DF6" s="109">
        <f t="shared" si="22"/>
        <v>0</v>
      </c>
      <c r="DG6" s="166">
        <v>46029</v>
      </c>
      <c r="DH6" s="167">
        <f t="shared" si="23"/>
        <v>96</v>
      </c>
      <c r="DI6" s="165">
        <f t="shared" si="24"/>
        <v>45964</v>
      </c>
      <c r="DJ6" s="109">
        <f t="shared" si="25"/>
        <v>12475.764705882353</v>
      </c>
      <c r="DK6" s="109">
        <f t="shared" si="26"/>
        <v>0</v>
      </c>
      <c r="DL6" s="109">
        <v>12475.764705882353</v>
      </c>
      <c r="DM6" s="109">
        <f t="shared" si="27"/>
        <v>0</v>
      </c>
      <c r="DN6" s="166">
        <v>46029</v>
      </c>
      <c r="DO6" s="167">
        <f t="shared" si="28"/>
        <v>65</v>
      </c>
      <c r="DP6" s="165">
        <f>EDATE(DI6,1)</f>
        <v>45994</v>
      </c>
      <c r="DQ6" s="109">
        <f t="shared" si="29"/>
        <v>12475.764705882353</v>
      </c>
      <c r="DR6" s="109">
        <f>DS6/(1+AM6)*AM6</f>
        <v>0</v>
      </c>
      <c r="DS6" s="109">
        <v>12475.764705882353</v>
      </c>
      <c r="DT6" s="109">
        <f t="shared" si="30"/>
        <v>0</v>
      </c>
      <c r="DU6" s="166">
        <v>46029</v>
      </c>
      <c r="DV6" s="167">
        <f t="shared" si="31"/>
        <v>35</v>
      </c>
      <c r="DW6" s="165">
        <f t="shared" si="32"/>
        <v>46025</v>
      </c>
      <c r="DX6" s="109">
        <f t="shared" si="33"/>
        <v>0</v>
      </c>
      <c r="DY6" s="109">
        <f t="shared" si="34"/>
        <v>0</v>
      </c>
      <c r="DZ6" s="109"/>
      <c r="EA6" s="109">
        <f t="shared" si="35"/>
        <v>0</v>
      </c>
      <c r="EB6" s="166">
        <f ca="1">TODAY()</f>
        <v>46054</v>
      </c>
      <c r="EC6" s="167">
        <f t="shared" ca="1" si="36"/>
        <v>29</v>
      </c>
      <c r="ED6" s="165">
        <f t="shared" si="37"/>
        <v>46056</v>
      </c>
      <c r="EE6" s="109">
        <f t="shared" si="38"/>
        <v>0</v>
      </c>
      <c r="EF6" s="109">
        <f t="shared" si="39"/>
        <v>0</v>
      </c>
      <c r="EG6" s="109"/>
      <c r="EH6" s="109">
        <f t="shared" si="40"/>
        <v>0</v>
      </c>
      <c r="EI6" s="166">
        <f ca="1">TODAY()</f>
        <v>46054</v>
      </c>
      <c r="EJ6" s="167">
        <f t="shared" ca="1" si="41"/>
        <v>0</v>
      </c>
      <c r="EK6" s="165">
        <f t="shared" si="42"/>
        <v>46084</v>
      </c>
      <c r="EL6" s="109">
        <f t="shared" si="43"/>
        <v>0</v>
      </c>
      <c r="EM6" s="109">
        <f t="shared" si="44"/>
        <v>0</v>
      </c>
      <c r="EN6" s="109"/>
      <c r="EO6" s="109">
        <f t="shared" si="45"/>
        <v>0</v>
      </c>
      <c r="EP6" s="166">
        <f ca="1">TODAY()</f>
        <v>46054</v>
      </c>
      <c r="EQ6" s="167">
        <f t="shared" ca="1" si="46"/>
        <v>0</v>
      </c>
      <c r="ER6" s="165">
        <f t="shared" si="47"/>
        <v>46115</v>
      </c>
      <c r="ES6" s="109">
        <f t="shared" si="48"/>
        <v>0</v>
      </c>
      <c r="ET6" s="109">
        <f t="shared" si="49"/>
        <v>0</v>
      </c>
      <c r="EU6" s="109"/>
      <c r="EV6" s="109"/>
      <c r="EW6" s="166"/>
      <c r="EX6" s="166"/>
      <c r="EY6" s="165">
        <f t="shared" si="50"/>
        <v>46145</v>
      </c>
      <c r="EZ6" s="109">
        <f t="shared" si="51"/>
        <v>0</v>
      </c>
      <c r="FA6" s="109">
        <f t="shared" si="52"/>
        <v>0</v>
      </c>
      <c r="FB6" s="109"/>
      <c r="FC6" s="109"/>
      <c r="FD6" s="166"/>
      <c r="FE6" s="166"/>
      <c r="FF6" s="165">
        <f t="shared" si="53"/>
        <v>46176</v>
      </c>
      <c r="FG6" s="109">
        <f t="shared" si="54"/>
        <v>0</v>
      </c>
      <c r="FH6" s="109">
        <f t="shared" si="55"/>
        <v>0</v>
      </c>
      <c r="FI6" s="109"/>
      <c r="FJ6" s="109"/>
      <c r="FK6" s="166"/>
      <c r="FL6" s="166"/>
      <c r="FM6" s="165">
        <f t="shared" si="56"/>
        <v>46206</v>
      </c>
      <c r="FN6" s="109">
        <f t="shared" si="57"/>
        <v>0</v>
      </c>
      <c r="FO6" s="109">
        <f t="shared" si="58"/>
        <v>0</v>
      </c>
      <c r="FP6" s="109"/>
      <c r="FQ6" s="109"/>
      <c r="FR6" s="166"/>
      <c r="FS6" s="166"/>
      <c r="FT6" s="165">
        <f t="shared" si="59"/>
        <v>46237</v>
      </c>
      <c r="FU6" s="109">
        <f t="shared" si="60"/>
        <v>0</v>
      </c>
      <c r="FV6" s="109">
        <f t="shared" si="61"/>
        <v>0</v>
      </c>
      <c r="FW6" s="109"/>
      <c r="FX6" s="109"/>
      <c r="FY6" s="166"/>
      <c r="FZ6" s="166"/>
      <c r="GA6" s="165">
        <f t="shared" si="62"/>
        <v>46268</v>
      </c>
      <c r="GB6" s="109">
        <f t="shared" si="63"/>
        <v>0</v>
      </c>
      <c r="GC6" s="109">
        <f t="shared" si="64"/>
        <v>0</v>
      </c>
      <c r="GD6" s="109"/>
      <c r="GE6" s="109"/>
      <c r="GF6" s="166"/>
      <c r="GG6" s="166"/>
      <c r="GH6" s="165">
        <f t="shared" si="65"/>
        <v>46298</v>
      </c>
      <c r="GI6" s="109">
        <f t="shared" si="66"/>
        <v>0</v>
      </c>
      <c r="GJ6" s="109">
        <f t="shared" si="67"/>
        <v>0</v>
      </c>
      <c r="GK6" s="109"/>
      <c r="GL6" s="109"/>
      <c r="GM6" s="166"/>
      <c r="GN6" s="166"/>
      <c r="GO6" s="165">
        <f>EDATE(GH6,1)</f>
        <v>46329</v>
      </c>
      <c r="GP6" s="109">
        <f>GR6-GQ6</f>
        <v>0</v>
      </c>
      <c r="GQ6" s="109">
        <f>GR6/(1+AM6)*AM6</f>
        <v>0</v>
      </c>
      <c r="GR6" s="109"/>
      <c r="GS6" s="109"/>
      <c r="GT6" s="166"/>
      <c r="GU6" s="166"/>
      <c r="GV6" s="165">
        <f>EDATE(GO6,1)</f>
        <v>46359</v>
      </c>
      <c r="GW6" s="168">
        <f>GY6-GX6</f>
        <v>0</v>
      </c>
      <c r="GX6" s="168">
        <f>GY6/(1+AM6)*AM6</f>
        <v>0</v>
      </c>
      <c r="GY6" s="168"/>
      <c r="GZ6" s="168"/>
      <c r="HA6" s="166"/>
      <c r="HB6" s="166"/>
      <c r="HC6" s="165"/>
      <c r="HD6" s="109">
        <f>HF6-HE6</f>
        <v>0</v>
      </c>
      <c r="HE6" s="109">
        <f>HF6/(1+AM6)*AM6</f>
        <v>0</v>
      </c>
      <c r="HF6" s="109"/>
      <c r="HG6" s="109"/>
      <c r="HH6" s="166"/>
      <c r="HI6" s="166"/>
      <c r="HJ6" s="165"/>
      <c r="HK6" s="109">
        <f>HM6-HL6</f>
        <v>0</v>
      </c>
      <c r="HL6" s="109">
        <f>HM6/(1+AM6)*AM6</f>
        <v>0</v>
      </c>
      <c r="HM6" s="109"/>
      <c r="HN6" s="109"/>
      <c r="HO6" s="166"/>
      <c r="HP6" s="166"/>
      <c r="HQ6" s="165"/>
      <c r="HR6" s="109">
        <f>HT6-HS6</f>
        <v>0</v>
      </c>
      <c r="HS6" s="109">
        <f>HT6/(1+AM6)*AM6</f>
        <v>0</v>
      </c>
      <c r="HT6" s="109"/>
      <c r="HU6" s="109"/>
      <c r="HV6" s="166"/>
      <c r="HW6" s="166"/>
      <c r="HX6" s="105">
        <f>CO6+CV6+DC6+DJ6+DQ6+DX6+EE6+EL6+ES6+EZ6+FG6+FN6+FU6+GB6+GI6+GP6+GW6+HD6+HK6+HR6</f>
        <v>62379.294117647049</v>
      </c>
      <c r="HY6" s="105">
        <f t="shared" ref="HY6:HZ69" si="83">CP6+CW6+DD6+DK6+DR6+DY6+EF6+EM6+ET6+FA6+FH6+FO6+FV6+GC6+GJ6+GQ6+GX6+HE6+HL6+HS6</f>
        <v>0</v>
      </c>
      <c r="HZ6" s="105">
        <f>CQ6+CX6+DE6+DL6+DS6+DZ6+EG6+EN6+EU6+FB6+FI6+FP6+FW6+GD6+GK6+GR6+GY6+HF6+HM6+HT6</f>
        <v>62379.294117647049</v>
      </c>
      <c r="IA6" s="105">
        <f t="shared" si="68"/>
        <v>0</v>
      </c>
      <c r="IB6" s="109">
        <f t="shared" si="69"/>
        <v>149708.70588235295</v>
      </c>
      <c r="IC6" s="109">
        <f t="shared" si="70"/>
        <v>149708.70588235295</v>
      </c>
      <c r="ID6" s="109">
        <f t="shared" si="71"/>
        <v>0</v>
      </c>
      <c r="IE6" s="109">
        <f t="shared" ca="1" si="72"/>
        <v>310</v>
      </c>
      <c r="IF6" s="139">
        <f t="shared" si="73"/>
        <v>5.0000377201916173</v>
      </c>
      <c r="IG6" s="139">
        <f t="shared" ca="1" si="74"/>
        <v>182</v>
      </c>
      <c r="IH6" s="169">
        <f t="shared" ca="1" si="75"/>
        <v>6.0666666666666664</v>
      </c>
      <c r="II6" s="139">
        <f t="shared" ca="1" si="76"/>
        <v>1.0666289464750491</v>
      </c>
      <c r="IJ6" s="169">
        <f t="shared" ca="1" si="77"/>
        <v>31.998868394251474</v>
      </c>
      <c r="IK6" s="169">
        <f t="shared" ref="IK6:IK69" ca="1" si="84">II6</f>
        <v>1.0666289464750491</v>
      </c>
      <c r="IL6" s="170">
        <f t="shared" ca="1" si="78"/>
        <v>13307.011764705896</v>
      </c>
      <c r="IM6" s="171"/>
      <c r="IN6" s="171"/>
      <c r="IO6" s="171"/>
      <c r="IP6" s="171"/>
    </row>
    <row r="7" spans="1:250" ht="15" customHeight="1" thickBot="1" x14ac:dyDescent="0.35">
      <c r="A7" s="110">
        <f t="shared" si="79"/>
        <v>3</v>
      </c>
      <c r="B7" s="111" t="s">
        <v>131</v>
      </c>
      <c r="C7" s="145" t="s">
        <v>132</v>
      </c>
      <c r="D7" s="145">
        <v>101</v>
      </c>
      <c r="E7" s="111" t="s">
        <v>133</v>
      </c>
      <c r="F7" s="111"/>
      <c r="G7" s="111" t="s">
        <v>156</v>
      </c>
      <c r="H7" s="145">
        <v>1011300003</v>
      </c>
      <c r="I7" s="146" t="str">
        <f t="shared" si="0"/>
        <v>1300003</v>
      </c>
      <c r="J7" s="145" t="str">
        <f t="shared" si="1"/>
        <v>KB1300003</v>
      </c>
      <c r="K7" s="111" t="s">
        <v>157</v>
      </c>
      <c r="L7" s="111" t="s">
        <v>158</v>
      </c>
      <c r="M7" s="111" t="s">
        <v>159</v>
      </c>
      <c r="N7" s="111" t="s">
        <v>138</v>
      </c>
      <c r="O7" s="111"/>
      <c r="P7" s="111" t="s">
        <v>160</v>
      </c>
      <c r="Q7" s="148">
        <v>36004</v>
      </c>
      <c r="R7" s="111" t="s">
        <v>161</v>
      </c>
      <c r="S7" s="111">
        <f t="shared" ref="S7:S70" ca="1" si="85">DATEDIF(Q7,TODAY(),"Y")</f>
        <v>27</v>
      </c>
      <c r="T7" s="145" t="s">
        <v>140</v>
      </c>
      <c r="U7" s="145" t="s">
        <v>141</v>
      </c>
      <c r="V7" s="172">
        <v>788473086</v>
      </c>
      <c r="W7" s="111"/>
      <c r="X7" s="111" t="s">
        <v>142</v>
      </c>
      <c r="Y7" s="111">
        <v>13</v>
      </c>
      <c r="Z7" s="111" t="s">
        <v>143</v>
      </c>
      <c r="AA7" s="111" t="s">
        <v>144</v>
      </c>
      <c r="AB7" s="111" t="s">
        <v>145</v>
      </c>
      <c r="AC7" s="111" t="s">
        <v>146</v>
      </c>
      <c r="AD7" s="111" t="s">
        <v>147</v>
      </c>
      <c r="AE7" s="173" t="s">
        <v>136</v>
      </c>
      <c r="AF7" s="173" t="s">
        <v>136</v>
      </c>
      <c r="AG7" s="174">
        <v>45703</v>
      </c>
      <c r="AH7" s="175">
        <v>230000</v>
      </c>
      <c r="AI7" s="111">
        <v>20</v>
      </c>
      <c r="AJ7" s="111">
        <v>3</v>
      </c>
      <c r="AK7" s="150">
        <f t="shared" si="80"/>
        <v>17</v>
      </c>
      <c r="AL7" s="177">
        <v>224500</v>
      </c>
      <c r="AM7" s="176">
        <v>0</v>
      </c>
      <c r="AN7" s="177">
        <f>AL7*AM7</f>
        <v>0</v>
      </c>
      <c r="AO7" s="157">
        <f t="shared" si="2"/>
        <v>224500</v>
      </c>
      <c r="AP7" s="158">
        <f t="shared" si="3"/>
        <v>13205.882352941177</v>
      </c>
      <c r="AQ7" s="111" t="s">
        <v>148</v>
      </c>
      <c r="AR7" s="111" t="s">
        <v>149</v>
      </c>
      <c r="AS7" s="111" t="s">
        <v>141</v>
      </c>
      <c r="AT7" s="111" t="s">
        <v>150</v>
      </c>
      <c r="AU7" s="111" t="s">
        <v>151</v>
      </c>
      <c r="AV7" s="111">
        <v>3</v>
      </c>
      <c r="AW7" s="111" t="s">
        <v>136</v>
      </c>
      <c r="AX7" s="111" t="s">
        <v>136</v>
      </c>
      <c r="AY7" s="111" t="s">
        <v>136</v>
      </c>
      <c r="AZ7" s="111" t="s">
        <v>136</v>
      </c>
      <c r="BA7" s="111" t="s">
        <v>136</v>
      </c>
      <c r="BB7" s="111" t="s">
        <v>136</v>
      </c>
      <c r="BC7" s="111" t="s">
        <v>136</v>
      </c>
      <c r="BD7" s="111" t="s">
        <v>136</v>
      </c>
      <c r="BE7" s="111" t="s">
        <v>136</v>
      </c>
      <c r="BF7" s="111" t="s">
        <v>152</v>
      </c>
      <c r="BG7" s="111" t="s">
        <v>136</v>
      </c>
      <c r="BH7" s="111" t="s">
        <v>136</v>
      </c>
      <c r="BI7" s="111" t="s">
        <v>136</v>
      </c>
      <c r="BJ7" s="111" t="s">
        <v>136</v>
      </c>
      <c r="BK7" s="111" t="s">
        <v>136</v>
      </c>
      <c r="BL7" s="175">
        <v>212088</v>
      </c>
      <c r="BM7" s="175">
        <v>224500</v>
      </c>
      <c r="BN7" s="111" t="s">
        <v>136</v>
      </c>
      <c r="BO7" s="111" t="s">
        <v>136</v>
      </c>
      <c r="BP7" s="111" t="s">
        <v>136</v>
      </c>
      <c r="BQ7" s="111" t="s">
        <v>136</v>
      </c>
      <c r="BR7" s="111" t="s">
        <v>136</v>
      </c>
      <c r="BS7" s="111" t="s">
        <v>136</v>
      </c>
      <c r="BT7" s="111" t="s">
        <v>136</v>
      </c>
      <c r="BU7" s="111" t="s">
        <v>136</v>
      </c>
      <c r="BV7" s="111" t="s">
        <v>136</v>
      </c>
      <c r="BW7" s="111" t="s">
        <v>136</v>
      </c>
      <c r="BX7" s="111" t="s">
        <v>136</v>
      </c>
      <c r="BY7" s="111" t="s">
        <v>136</v>
      </c>
      <c r="BZ7" s="111" t="s">
        <v>136</v>
      </c>
      <c r="CA7" s="111" t="s">
        <v>136</v>
      </c>
      <c r="CB7" s="111" t="s">
        <v>136</v>
      </c>
      <c r="CC7" s="178" t="s">
        <v>136</v>
      </c>
      <c r="CD7" s="177">
        <f t="shared" si="4"/>
        <v>224500</v>
      </c>
      <c r="CE7" s="148">
        <v>45781</v>
      </c>
      <c r="CF7" s="111">
        <f t="shared" si="5"/>
        <v>20</v>
      </c>
      <c r="CG7" s="177">
        <f t="shared" si="6"/>
        <v>224500</v>
      </c>
      <c r="CH7" s="203">
        <f t="shared" si="7"/>
        <v>3</v>
      </c>
      <c r="CI7" s="148">
        <v>45781</v>
      </c>
      <c r="CJ7" s="161">
        <f t="shared" si="81"/>
        <v>45873</v>
      </c>
      <c r="CK7" s="162">
        <f t="shared" si="82"/>
        <v>46391</v>
      </c>
      <c r="CL7" s="179"/>
      <c r="CM7" s="164">
        <f t="shared" ca="1" si="8"/>
        <v>46054</v>
      </c>
      <c r="CN7" s="165">
        <f t="shared" si="9"/>
        <v>45873</v>
      </c>
      <c r="CO7" s="109">
        <f t="shared" si="10"/>
        <v>13206</v>
      </c>
      <c r="CP7" s="109">
        <f t="shared" si="11"/>
        <v>0</v>
      </c>
      <c r="CQ7" s="109">
        <v>13206</v>
      </c>
      <c r="CR7" s="109">
        <f t="shared" si="12"/>
        <v>0.11764705882342241</v>
      </c>
      <c r="CS7" s="166">
        <v>45921</v>
      </c>
      <c r="CT7" s="167">
        <f t="shared" si="13"/>
        <v>48</v>
      </c>
      <c r="CU7" s="165">
        <f t="shared" si="14"/>
        <v>45904</v>
      </c>
      <c r="CV7" s="109">
        <f t="shared" si="15"/>
        <v>13206</v>
      </c>
      <c r="CW7" s="109">
        <f t="shared" si="16"/>
        <v>0</v>
      </c>
      <c r="CX7" s="109">
        <v>13206</v>
      </c>
      <c r="CY7" s="109">
        <f t="shared" si="17"/>
        <v>0.11764705882342241</v>
      </c>
      <c r="CZ7" s="166">
        <v>45939</v>
      </c>
      <c r="DA7" s="167">
        <f t="shared" si="18"/>
        <v>35</v>
      </c>
      <c r="DB7" s="165">
        <f t="shared" si="19"/>
        <v>45934</v>
      </c>
      <c r="DC7" s="109">
        <f t="shared" si="20"/>
        <v>13205.882352941177</v>
      </c>
      <c r="DD7" s="109">
        <f t="shared" si="21"/>
        <v>0</v>
      </c>
      <c r="DE7" s="109">
        <v>13205.882352941177</v>
      </c>
      <c r="DF7" s="109">
        <f t="shared" si="22"/>
        <v>0</v>
      </c>
      <c r="DG7" s="166">
        <v>46029</v>
      </c>
      <c r="DH7" s="167">
        <f t="shared" si="23"/>
        <v>95</v>
      </c>
      <c r="DI7" s="165">
        <f t="shared" si="24"/>
        <v>45965</v>
      </c>
      <c r="DJ7" s="109">
        <f t="shared" si="25"/>
        <v>13205.882352941177</v>
      </c>
      <c r="DK7" s="109">
        <f t="shared" si="26"/>
        <v>0</v>
      </c>
      <c r="DL7" s="109">
        <v>13205.882352941177</v>
      </c>
      <c r="DM7" s="109">
        <f t="shared" si="27"/>
        <v>0</v>
      </c>
      <c r="DN7" s="166">
        <v>46029</v>
      </c>
      <c r="DO7" s="167">
        <f t="shared" si="28"/>
        <v>64</v>
      </c>
      <c r="DP7" s="165">
        <f>EDATE(DI7,1)</f>
        <v>45995</v>
      </c>
      <c r="DQ7" s="109">
        <f t="shared" si="29"/>
        <v>13205.882352941177</v>
      </c>
      <c r="DR7" s="109">
        <f>DS7/(1+AM7)*AM7</f>
        <v>0</v>
      </c>
      <c r="DS7" s="109">
        <v>13205.882352941177</v>
      </c>
      <c r="DT7" s="109">
        <f t="shared" si="30"/>
        <v>0</v>
      </c>
      <c r="DU7" s="166">
        <v>46029</v>
      </c>
      <c r="DV7" s="167">
        <f t="shared" si="31"/>
        <v>34</v>
      </c>
      <c r="DW7" s="165">
        <f t="shared" si="32"/>
        <v>46026</v>
      </c>
      <c r="DX7" s="109">
        <f t="shared" si="33"/>
        <v>0</v>
      </c>
      <c r="DY7" s="109">
        <f t="shared" si="34"/>
        <v>0</v>
      </c>
      <c r="DZ7" s="109"/>
      <c r="EA7" s="109">
        <f t="shared" si="35"/>
        <v>0</v>
      </c>
      <c r="EB7" s="166">
        <f ca="1">TODAY()</f>
        <v>46054</v>
      </c>
      <c r="EC7" s="167">
        <f t="shared" ca="1" si="36"/>
        <v>28</v>
      </c>
      <c r="ED7" s="165">
        <f t="shared" si="37"/>
        <v>46057</v>
      </c>
      <c r="EE7" s="109">
        <f t="shared" si="38"/>
        <v>0</v>
      </c>
      <c r="EF7" s="109">
        <f t="shared" si="39"/>
        <v>0</v>
      </c>
      <c r="EG7" s="109"/>
      <c r="EH7" s="109">
        <f t="shared" si="40"/>
        <v>0</v>
      </c>
      <c r="EI7" s="166">
        <f ca="1">TODAY()</f>
        <v>46054</v>
      </c>
      <c r="EJ7" s="167">
        <f t="shared" ca="1" si="41"/>
        <v>0</v>
      </c>
      <c r="EK7" s="165">
        <f t="shared" si="42"/>
        <v>46085</v>
      </c>
      <c r="EL7" s="109">
        <f t="shared" si="43"/>
        <v>0</v>
      </c>
      <c r="EM7" s="109">
        <f t="shared" si="44"/>
        <v>0</v>
      </c>
      <c r="EN7" s="109"/>
      <c r="EO7" s="109">
        <f t="shared" si="45"/>
        <v>0</v>
      </c>
      <c r="EP7" s="166">
        <f ca="1">TODAY()</f>
        <v>46054</v>
      </c>
      <c r="EQ7" s="167">
        <f t="shared" ca="1" si="46"/>
        <v>0</v>
      </c>
      <c r="ER7" s="165">
        <f t="shared" si="47"/>
        <v>46116</v>
      </c>
      <c r="ES7" s="109">
        <f t="shared" si="48"/>
        <v>0</v>
      </c>
      <c r="ET7" s="109">
        <f t="shared" si="49"/>
        <v>0</v>
      </c>
      <c r="EU7" s="109"/>
      <c r="EV7" s="109"/>
      <c r="EW7" s="166"/>
      <c r="EX7" s="166"/>
      <c r="EY7" s="165">
        <f t="shared" si="50"/>
        <v>46146</v>
      </c>
      <c r="EZ7" s="109">
        <f t="shared" si="51"/>
        <v>0</v>
      </c>
      <c r="FA7" s="109">
        <f t="shared" si="52"/>
        <v>0</v>
      </c>
      <c r="FB7" s="109"/>
      <c r="FC7" s="109"/>
      <c r="FD7" s="166"/>
      <c r="FE7" s="166"/>
      <c r="FF7" s="165">
        <f t="shared" si="53"/>
        <v>46177</v>
      </c>
      <c r="FG7" s="109">
        <f t="shared" si="54"/>
        <v>0</v>
      </c>
      <c r="FH7" s="109">
        <f t="shared" si="55"/>
        <v>0</v>
      </c>
      <c r="FI7" s="109"/>
      <c r="FJ7" s="109"/>
      <c r="FK7" s="166"/>
      <c r="FL7" s="166"/>
      <c r="FM7" s="165">
        <f t="shared" si="56"/>
        <v>46207</v>
      </c>
      <c r="FN7" s="109">
        <f t="shared" si="57"/>
        <v>0</v>
      </c>
      <c r="FO7" s="109">
        <f t="shared" si="58"/>
        <v>0</v>
      </c>
      <c r="FP7" s="109"/>
      <c r="FQ7" s="109"/>
      <c r="FR7" s="166"/>
      <c r="FS7" s="166"/>
      <c r="FT7" s="165">
        <f t="shared" si="59"/>
        <v>46238</v>
      </c>
      <c r="FU7" s="109">
        <f t="shared" si="60"/>
        <v>0</v>
      </c>
      <c r="FV7" s="109">
        <f t="shared" si="61"/>
        <v>0</v>
      </c>
      <c r="FW7" s="109"/>
      <c r="FX7" s="109"/>
      <c r="FY7" s="166"/>
      <c r="FZ7" s="166"/>
      <c r="GA7" s="165">
        <f t="shared" si="62"/>
        <v>46269</v>
      </c>
      <c r="GB7" s="109">
        <f t="shared" si="63"/>
        <v>0</v>
      </c>
      <c r="GC7" s="109">
        <f t="shared" si="64"/>
        <v>0</v>
      </c>
      <c r="GD7" s="109"/>
      <c r="GE7" s="109"/>
      <c r="GF7" s="166"/>
      <c r="GG7" s="166"/>
      <c r="GH7" s="165">
        <f t="shared" si="65"/>
        <v>46299</v>
      </c>
      <c r="GI7" s="109">
        <f t="shared" si="66"/>
        <v>0</v>
      </c>
      <c r="GJ7" s="109">
        <f t="shared" si="67"/>
        <v>0</v>
      </c>
      <c r="GK7" s="109"/>
      <c r="GL7" s="109"/>
      <c r="GM7" s="166"/>
      <c r="GN7" s="166"/>
      <c r="GO7" s="165">
        <f>EDATE(GH7,1)</f>
        <v>46330</v>
      </c>
      <c r="GP7" s="109">
        <f>GR7-GQ7</f>
        <v>0</v>
      </c>
      <c r="GQ7" s="109">
        <f>GR7/(1+AM7)*AM7</f>
        <v>0</v>
      </c>
      <c r="GR7" s="109"/>
      <c r="GS7" s="109"/>
      <c r="GT7" s="166"/>
      <c r="GU7" s="166"/>
      <c r="GV7" s="165">
        <f>EDATE(GO7,1)</f>
        <v>46360</v>
      </c>
      <c r="GW7" s="168">
        <f>GY7-GX7</f>
        <v>0</v>
      </c>
      <c r="GX7" s="168">
        <f>GY7/(1+AM7)*AM7</f>
        <v>0</v>
      </c>
      <c r="GY7" s="168"/>
      <c r="GZ7" s="168"/>
      <c r="HA7" s="166"/>
      <c r="HB7" s="166"/>
      <c r="HC7" s="165"/>
      <c r="HD7" s="109">
        <f>HF7-HE7</f>
        <v>0</v>
      </c>
      <c r="HE7" s="109">
        <f>HF7/(1+AM7)*AM7</f>
        <v>0</v>
      </c>
      <c r="HF7" s="109"/>
      <c r="HG7" s="109"/>
      <c r="HH7" s="166"/>
      <c r="HI7" s="166"/>
      <c r="HJ7" s="165"/>
      <c r="HK7" s="109">
        <f>HM7-HL7</f>
        <v>0</v>
      </c>
      <c r="HL7" s="109">
        <f>HM7/(1+AM7)*AM7</f>
        <v>0</v>
      </c>
      <c r="HM7" s="109"/>
      <c r="HN7" s="109"/>
      <c r="HO7" s="166"/>
      <c r="HP7" s="166"/>
      <c r="HQ7" s="165"/>
      <c r="HR7" s="109">
        <f>HT7-HS7</f>
        <v>0</v>
      </c>
      <c r="HS7" s="109">
        <f>HT7/(1+AM7)*AM7</f>
        <v>0</v>
      </c>
      <c r="HT7" s="109"/>
      <c r="HU7" s="109"/>
      <c r="HV7" s="166"/>
      <c r="HW7" s="166"/>
      <c r="HX7" s="105">
        <f>CO7+CV7+DC7+DJ7+DQ7+DX7+EE7+EL7+ES7+EZ7+FG7+FN7+FU7+GB7+GI7+GP7+GW7+HD7+HK7+HR7</f>
        <v>66029.647058823524</v>
      </c>
      <c r="HY7" s="105">
        <f t="shared" si="83"/>
        <v>0</v>
      </c>
      <c r="HZ7" s="105">
        <f>CQ7+CX7+DE7+DL7+DS7+DZ7+EG7+EN7+EU7+FB7+FI7+FP7+FW7+GD7+GK7+GR7+GY7+HF7+HM7+HT7</f>
        <v>66029.647058823524</v>
      </c>
      <c r="IA7" s="105">
        <f t="shared" si="68"/>
        <v>0</v>
      </c>
      <c r="IB7" s="109">
        <f t="shared" si="69"/>
        <v>158470.35294117648</v>
      </c>
      <c r="IC7" s="109">
        <f t="shared" si="70"/>
        <v>158470.35294117648</v>
      </c>
      <c r="ID7" s="109">
        <f t="shared" si="71"/>
        <v>0</v>
      </c>
      <c r="IE7" s="109">
        <f t="shared" ca="1" si="72"/>
        <v>304</v>
      </c>
      <c r="IF7" s="139">
        <f t="shared" si="73"/>
        <v>5.000017817371937</v>
      </c>
      <c r="IG7" s="139">
        <f t="shared" ca="1" si="74"/>
        <v>181</v>
      </c>
      <c r="IH7" s="169">
        <f t="shared" ca="1" si="75"/>
        <v>6.0333333333333332</v>
      </c>
      <c r="II7" s="139">
        <f t="shared" ca="1" si="76"/>
        <v>1.0333155159613963</v>
      </c>
      <c r="IJ7" s="169">
        <f t="shared" ca="1" si="77"/>
        <v>30.999465478841888</v>
      </c>
      <c r="IK7" s="169">
        <f t="shared" ca="1" si="84"/>
        <v>1.0333155159613963</v>
      </c>
      <c r="IL7" s="170">
        <f t="shared" ca="1" si="78"/>
        <v>13645.843137254909</v>
      </c>
      <c r="IM7" s="171"/>
      <c r="IN7" s="171"/>
      <c r="IO7" s="171"/>
      <c r="IP7" s="171"/>
    </row>
    <row r="8" spans="1:250" ht="15" customHeight="1" thickBot="1" x14ac:dyDescent="0.35">
      <c r="A8" s="110">
        <f t="shared" si="79"/>
        <v>4</v>
      </c>
      <c r="B8" s="111" t="s">
        <v>131</v>
      </c>
      <c r="C8" s="145" t="s">
        <v>132</v>
      </c>
      <c r="D8" s="145">
        <v>101</v>
      </c>
      <c r="E8" s="111" t="s">
        <v>133</v>
      </c>
      <c r="F8" s="111"/>
      <c r="G8" s="111" t="s">
        <v>162</v>
      </c>
      <c r="H8" s="145">
        <v>1011300004</v>
      </c>
      <c r="I8" s="146" t="str">
        <f t="shared" si="0"/>
        <v>1300004</v>
      </c>
      <c r="J8" s="145" t="str">
        <f t="shared" si="1"/>
        <v>KB1300004</v>
      </c>
      <c r="K8" s="111" t="s">
        <v>163</v>
      </c>
      <c r="L8" s="111" t="s">
        <v>164</v>
      </c>
      <c r="M8" s="111" t="s">
        <v>165</v>
      </c>
      <c r="N8" s="111" t="s">
        <v>138</v>
      </c>
      <c r="O8" s="111"/>
      <c r="P8" s="111" t="s">
        <v>166</v>
      </c>
      <c r="Q8" s="148">
        <v>35842</v>
      </c>
      <c r="R8" s="111" t="s">
        <v>161</v>
      </c>
      <c r="S8" s="111">
        <f t="shared" ca="1" si="85"/>
        <v>27</v>
      </c>
      <c r="T8" s="145" t="s">
        <v>167</v>
      </c>
      <c r="U8" s="145" t="s">
        <v>168</v>
      </c>
      <c r="V8" s="172">
        <v>781381834</v>
      </c>
      <c r="W8" s="111"/>
      <c r="X8" s="111" t="s">
        <v>142</v>
      </c>
      <c r="Y8" s="111">
        <v>13</v>
      </c>
      <c r="Z8" s="111" t="s">
        <v>143</v>
      </c>
      <c r="AA8" s="111" t="s">
        <v>144</v>
      </c>
      <c r="AB8" s="111" t="s">
        <v>145</v>
      </c>
      <c r="AC8" s="111" t="s">
        <v>146</v>
      </c>
      <c r="AD8" s="111" t="s">
        <v>147</v>
      </c>
      <c r="AE8" s="173" t="s">
        <v>136</v>
      </c>
      <c r="AF8" s="173" t="s">
        <v>136</v>
      </c>
      <c r="AG8" s="174">
        <v>45720</v>
      </c>
      <c r="AH8" s="175">
        <v>220000</v>
      </c>
      <c r="AI8" s="111">
        <v>20</v>
      </c>
      <c r="AJ8" s="111">
        <v>3</v>
      </c>
      <c r="AK8" s="150">
        <f t="shared" si="80"/>
        <v>17</v>
      </c>
      <c r="AL8" s="177">
        <v>212088.01</v>
      </c>
      <c r="AM8" s="176">
        <v>0</v>
      </c>
      <c r="AN8" s="177">
        <f>AL8*AM8</f>
        <v>0</v>
      </c>
      <c r="AO8" s="157">
        <f t="shared" si="2"/>
        <v>212088.01</v>
      </c>
      <c r="AP8" s="158">
        <f t="shared" si="3"/>
        <v>12475.765294117647</v>
      </c>
      <c r="AQ8" s="111" t="s">
        <v>148</v>
      </c>
      <c r="AR8" s="111" t="s">
        <v>149</v>
      </c>
      <c r="AS8" s="111" t="s">
        <v>168</v>
      </c>
      <c r="AT8" s="145" t="s">
        <v>169</v>
      </c>
      <c r="AU8" s="145" t="s">
        <v>169</v>
      </c>
      <c r="AV8" s="111">
        <v>3</v>
      </c>
      <c r="AW8" s="111" t="s">
        <v>136</v>
      </c>
      <c r="AX8" s="111" t="s">
        <v>136</v>
      </c>
      <c r="AY8" s="111" t="s">
        <v>136</v>
      </c>
      <c r="AZ8" s="111" t="s">
        <v>136</v>
      </c>
      <c r="BA8" s="111" t="s">
        <v>136</v>
      </c>
      <c r="BB8" s="111" t="s">
        <v>136</v>
      </c>
      <c r="BC8" s="111" t="s">
        <v>136</v>
      </c>
      <c r="BD8" s="111" t="s">
        <v>136</v>
      </c>
      <c r="BE8" s="111" t="s">
        <v>136</v>
      </c>
      <c r="BF8" s="111" t="s">
        <v>152</v>
      </c>
      <c r="BG8" s="111" t="s">
        <v>136</v>
      </c>
      <c r="BH8" s="111" t="s">
        <v>136</v>
      </c>
      <c r="BI8" s="111" t="s">
        <v>136</v>
      </c>
      <c r="BJ8" s="111" t="s">
        <v>136</v>
      </c>
      <c r="BK8" s="111" t="s">
        <v>136</v>
      </c>
      <c r="BL8" s="175">
        <v>212088</v>
      </c>
      <c r="BM8" s="175">
        <v>212088</v>
      </c>
      <c r="BN8" s="111" t="s">
        <v>136</v>
      </c>
      <c r="BO8" s="111" t="s">
        <v>136</v>
      </c>
      <c r="BP8" s="111" t="s">
        <v>136</v>
      </c>
      <c r="BQ8" s="111" t="s">
        <v>136</v>
      </c>
      <c r="BR8" s="111" t="s">
        <v>136</v>
      </c>
      <c r="BS8" s="111" t="s">
        <v>136</v>
      </c>
      <c r="BT8" s="111" t="s">
        <v>136</v>
      </c>
      <c r="BU8" s="111" t="s">
        <v>136</v>
      </c>
      <c r="BV8" s="111" t="s">
        <v>136</v>
      </c>
      <c r="BW8" s="111" t="s">
        <v>136</v>
      </c>
      <c r="BX8" s="111" t="s">
        <v>136</v>
      </c>
      <c r="BY8" s="111" t="s">
        <v>136</v>
      </c>
      <c r="BZ8" s="111" t="s">
        <v>136</v>
      </c>
      <c r="CA8" s="111" t="s">
        <v>136</v>
      </c>
      <c r="CB8" s="111" t="s">
        <v>136</v>
      </c>
      <c r="CC8" s="178" t="s">
        <v>136</v>
      </c>
      <c r="CD8" s="177">
        <f t="shared" si="4"/>
        <v>212088.01</v>
      </c>
      <c r="CE8" s="148">
        <v>45781</v>
      </c>
      <c r="CF8" s="111">
        <f t="shared" si="5"/>
        <v>20</v>
      </c>
      <c r="CG8" s="177">
        <f t="shared" si="6"/>
        <v>212088.01</v>
      </c>
      <c r="CH8" s="203">
        <f t="shared" si="7"/>
        <v>3</v>
      </c>
      <c r="CI8" s="148">
        <v>45781</v>
      </c>
      <c r="CJ8" s="161">
        <f t="shared" si="81"/>
        <v>45873</v>
      </c>
      <c r="CK8" s="162">
        <f t="shared" si="82"/>
        <v>46391</v>
      </c>
      <c r="CL8" s="180"/>
      <c r="CM8" s="164">
        <f t="shared" ca="1" si="8"/>
        <v>46054</v>
      </c>
      <c r="CN8" s="165">
        <f t="shared" si="9"/>
        <v>45873</v>
      </c>
      <c r="CO8" s="109">
        <f t="shared" si="10"/>
        <v>12476</v>
      </c>
      <c r="CP8" s="109">
        <f t="shared" si="11"/>
        <v>0</v>
      </c>
      <c r="CQ8" s="109">
        <v>12476</v>
      </c>
      <c r="CR8" s="109">
        <f t="shared" si="12"/>
        <v>0.23470588235250034</v>
      </c>
      <c r="CS8" s="166">
        <v>45921</v>
      </c>
      <c r="CT8" s="167">
        <f t="shared" si="13"/>
        <v>48</v>
      </c>
      <c r="CU8" s="165">
        <f t="shared" si="14"/>
        <v>45904</v>
      </c>
      <c r="CV8" s="109">
        <f t="shared" si="15"/>
        <v>12476</v>
      </c>
      <c r="CW8" s="109">
        <f t="shared" si="16"/>
        <v>0</v>
      </c>
      <c r="CX8" s="109">
        <v>12476</v>
      </c>
      <c r="CY8" s="109">
        <f t="shared" si="17"/>
        <v>0.23470588235250034</v>
      </c>
      <c r="CZ8" s="166">
        <v>45939</v>
      </c>
      <c r="DA8" s="167">
        <f t="shared" si="18"/>
        <v>35</v>
      </c>
      <c r="DB8" s="165">
        <f t="shared" si="19"/>
        <v>45934</v>
      </c>
      <c r="DC8" s="109">
        <f t="shared" si="20"/>
        <v>12475.764705882353</v>
      </c>
      <c r="DD8" s="109">
        <f t="shared" si="21"/>
        <v>0</v>
      </c>
      <c r="DE8" s="109">
        <v>12475.764705882353</v>
      </c>
      <c r="DF8" s="109">
        <f t="shared" si="22"/>
        <v>-5.8823529434448574E-4</v>
      </c>
      <c r="DG8" s="166">
        <v>46029</v>
      </c>
      <c r="DH8" s="167">
        <f t="shared" si="23"/>
        <v>95</v>
      </c>
      <c r="DI8" s="165">
        <f t="shared" si="24"/>
        <v>45965</v>
      </c>
      <c r="DJ8" s="109">
        <f t="shared" si="25"/>
        <v>12475.764705882353</v>
      </c>
      <c r="DK8" s="109">
        <f t="shared" si="26"/>
        <v>0</v>
      </c>
      <c r="DL8" s="109">
        <v>12475.764705882353</v>
      </c>
      <c r="DM8" s="109">
        <f t="shared" si="27"/>
        <v>-5.8823529434448574E-4</v>
      </c>
      <c r="DN8" s="166">
        <v>46029</v>
      </c>
      <c r="DO8" s="167">
        <f t="shared" si="28"/>
        <v>64</v>
      </c>
      <c r="DP8" s="165">
        <f>EDATE(DI8,1)</f>
        <v>45995</v>
      </c>
      <c r="DQ8" s="109">
        <f t="shared" si="29"/>
        <v>12475.764705882353</v>
      </c>
      <c r="DR8" s="109">
        <f>DS8/(1+AM8)*AM8</f>
        <v>0</v>
      </c>
      <c r="DS8" s="109">
        <v>12475.764705882353</v>
      </c>
      <c r="DT8" s="109">
        <f t="shared" si="30"/>
        <v>-5.8823529434448574E-4</v>
      </c>
      <c r="DU8" s="166">
        <v>46029</v>
      </c>
      <c r="DV8" s="167">
        <f t="shared" si="31"/>
        <v>34</v>
      </c>
      <c r="DW8" s="165">
        <f t="shared" si="32"/>
        <v>46026</v>
      </c>
      <c r="DX8" s="109">
        <f t="shared" si="33"/>
        <v>0</v>
      </c>
      <c r="DY8" s="109">
        <f t="shared" si="34"/>
        <v>0</v>
      </c>
      <c r="DZ8" s="109"/>
      <c r="EA8" s="109">
        <f t="shared" si="35"/>
        <v>0</v>
      </c>
      <c r="EB8" s="166">
        <f ca="1">TODAY()</f>
        <v>46054</v>
      </c>
      <c r="EC8" s="167">
        <f t="shared" ca="1" si="36"/>
        <v>28</v>
      </c>
      <c r="ED8" s="165">
        <f t="shared" si="37"/>
        <v>46057</v>
      </c>
      <c r="EE8" s="109">
        <f t="shared" si="38"/>
        <v>0</v>
      </c>
      <c r="EF8" s="109">
        <f t="shared" si="39"/>
        <v>0</v>
      </c>
      <c r="EG8" s="109"/>
      <c r="EH8" s="109">
        <f t="shared" si="40"/>
        <v>0</v>
      </c>
      <c r="EI8" s="166">
        <f ca="1">TODAY()</f>
        <v>46054</v>
      </c>
      <c r="EJ8" s="167">
        <f t="shared" ca="1" si="41"/>
        <v>0</v>
      </c>
      <c r="EK8" s="165">
        <f t="shared" si="42"/>
        <v>46085</v>
      </c>
      <c r="EL8" s="109">
        <f t="shared" si="43"/>
        <v>0</v>
      </c>
      <c r="EM8" s="109">
        <f t="shared" si="44"/>
        <v>0</v>
      </c>
      <c r="EN8" s="109"/>
      <c r="EO8" s="109">
        <f t="shared" si="45"/>
        <v>0</v>
      </c>
      <c r="EP8" s="166">
        <f ca="1">TODAY()</f>
        <v>46054</v>
      </c>
      <c r="EQ8" s="167">
        <f t="shared" ca="1" si="46"/>
        <v>0</v>
      </c>
      <c r="ER8" s="165">
        <f t="shared" si="47"/>
        <v>46116</v>
      </c>
      <c r="ES8" s="109">
        <f t="shared" si="48"/>
        <v>0</v>
      </c>
      <c r="ET8" s="109">
        <f t="shared" si="49"/>
        <v>0</v>
      </c>
      <c r="EU8" s="109"/>
      <c r="EV8" s="109"/>
      <c r="EW8" s="166"/>
      <c r="EX8" s="166"/>
      <c r="EY8" s="165">
        <f t="shared" si="50"/>
        <v>46146</v>
      </c>
      <c r="EZ8" s="109">
        <f t="shared" si="51"/>
        <v>0</v>
      </c>
      <c r="FA8" s="109">
        <f t="shared" si="52"/>
        <v>0</v>
      </c>
      <c r="FB8" s="109"/>
      <c r="FC8" s="109"/>
      <c r="FD8" s="166"/>
      <c r="FE8" s="166"/>
      <c r="FF8" s="165">
        <f t="shared" si="53"/>
        <v>46177</v>
      </c>
      <c r="FG8" s="109">
        <f t="shared" si="54"/>
        <v>0</v>
      </c>
      <c r="FH8" s="109">
        <f t="shared" si="55"/>
        <v>0</v>
      </c>
      <c r="FI8" s="109"/>
      <c r="FJ8" s="109"/>
      <c r="FK8" s="166"/>
      <c r="FL8" s="166"/>
      <c r="FM8" s="165">
        <f t="shared" si="56"/>
        <v>46207</v>
      </c>
      <c r="FN8" s="109">
        <f t="shared" si="57"/>
        <v>0</v>
      </c>
      <c r="FO8" s="109">
        <f t="shared" si="58"/>
        <v>0</v>
      </c>
      <c r="FP8" s="109"/>
      <c r="FQ8" s="109"/>
      <c r="FR8" s="166"/>
      <c r="FS8" s="166"/>
      <c r="FT8" s="165">
        <f t="shared" si="59"/>
        <v>46238</v>
      </c>
      <c r="FU8" s="109">
        <f t="shared" si="60"/>
        <v>0</v>
      </c>
      <c r="FV8" s="109">
        <f t="shared" si="61"/>
        <v>0</v>
      </c>
      <c r="FW8" s="109"/>
      <c r="FX8" s="109"/>
      <c r="FY8" s="166"/>
      <c r="FZ8" s="166"/>
      <c r="GA8" s="165">
        <f t="shared" si="62"/>
        <v>46269</v>
      </c>
      <c r="GB8" s="109">
        <f t="shared" si="63"/>
        <v>0</v>
      </c>
      <c r="GC8" s="109">
        <f t="shared" si="64"/>
        <v>0</v>
      </c>
      <c r="GD8" s="109"/>
      <c r="GE8" s="109"/>
      <c r="GF8" s="166"/>
      <c r="GG8" s="166"/>
      <c r="GH8" s="165">
        <f t="shared" si="65"/>
        <v>46299</v>
      </c>
      <c r="GI8" s="109">
        <f t="shared" si="66"/>
        <v>0</v>
      </c>
      <c r="GJ8" s="109">
        <f t="shared" si="67"/>
        <v>0</v>
      </c>
      <c r="GK8" s="109"/>
      <c r="GL8" s="109"/>
      <c r="GM8" s="166"/>
      <c r="GN8" s="166"/>
      <c r="GO8" s="165">
        <f>EDATE(GH8,1)</f>
        <v>46330</v>
      </c>
      <c r="GP8" s="109">
        <f>GR8-GQ8</f>
        <v>0</v>
      </c>
      <c r="GQ8" s="109">
        <f>GR8/(1+AM8)*AM8</f>
        <v>0</v>
      </c>
      <c r="GR8" s="109"/>
      <c r="GS8" s="109"/>
      <c r="GT8" s="166"/>
      <c r="GU8" s="166"/>
      <c r="GV8" s="165">
        <f>EDATE(GO8,1)</f>
        <v>46360</v>
      </c>
      <c r="GW8" s="168">
        <f>GY8-GX8</f>
        <v>0</v>
      </c>
      <c r="GX8" s="168">
        <f>GY8/(1+AM8)*AM8</f>
        <v>0</v>
      </c>
      <c r="GY8" s="168"/>
      <c r="GZ8" s="168"/>
      <c r="HA8" s="166"/>
      <c r="HB8" s="166"/>
      <c r="HC8" s="165"/>
      <c r="HD8" s="109">
        <f>HF8-HE8</f>
        <v>0</v>
      </c>
      <c r="HE8" s="109">
        <f>HF8/(1+AM8)*AM8</f>
        <v>0</v>
      </c>
      <c r="HF8" s="109"/>
      <c r="HG8" s="109"/>
      <c r="HH8" s="166"/>
      <c r="HI8" s="166"/>
      <c r="HJ8" s="165"/>
      <c r="HK8" s="109">
        <f>HM8-HL8</f>
        <v>0</v>
      </c>
      <c r="HL8" s="109">
        <f>HM8/(1+AM8)*AM8</f>
        <v>0</v>
      </c>
      <c r="HM8" s="109"/>
      <c r="HN8" s="109"/>
      <c r="HO8" s="166"/>
      <c r="HP8" s="166"/>
      <c r="HQ8" s="165"/>
      <c r="HR8" s="109">
        <f>HT8-HS8</f>
        <v>0</v>
      </c>
      <c r="HS8" s="109">
        <f>HT8/(1+AM8)*AM8</f>
        <v>0</v>
      </c>
      <c r="HT8" s="109"/>
      <c r="HU8" s="109"/>
      <c r="HV8" s="166"/>
      <c r="HW8" s="166"/>
      <c r="HX8" s="105">
        <f t="shared" ref="HX8:HZ71" si="86">CO8+CV8+DC8+DJ8+DQ8+DX8+EE8+EL8+ES8+EZ8+FG8+FN8+FU8+GB8+GI8+GP8+GW8+HD8+HK8+HR8</f>
        <v>62379.294117647049</v>
      </c>
      <c r="HY8" s="105">
        <f t="shared" si="83"/>
        <v>0</v>
      </c>
      <c r="HZ8" s="105">
        <f t="shared" si="83"/>
        <v>62379.294117647049</v>
      </c>
      <c r="IA8" s="105">
        <f t="shared" si="68"/>
        <v>0</v>
      </c>
      <c r="IB8" s="109">
        <f t="shared" si="69"/>
        <v>149708.71588235296</v>
      </c>
      <c r="IC8" s="109">
        <f t="shared" si="70"/>
        <v>149708.71588235296</v>
      </c>
      <c r="ID8" s="109">
        <f t="shared" si="71"/>
        <v>0</v>
      </c>
      <c r="IE8" s="109">
        <f t="shared" ca="1" si="72"/>
        <v>304</v>
      </c>
      <c r="IF8" s="139">
        <f t="shared" si="73"/>
        <v>5.0000374844386526</v>
      </c>
      <c r="IG8" s="139">
        <f t="shared" ca="1" si="74"/>
        <v>181</v>
      </c>
      <c r="IH8" s="139">
        <f t="shared" ca="1" si="75"/>
        <v>6.0333333333333332</v>
      </c>
      <c r="II8" s="139">
        <f t="shared" ca="1" si="76"/>
        <v>1.0332958488946806</v>
      </c>
      <c r="IJ8" s="169">
        <f t="shared" ca="1" si="77"/>
        <v>30.998875466840417</v>
      </c>
      <c r="IK8" s="169">
        <f t="shared" ca="1" si="84"/>
        <v>1.0332958488946806</v>
      </c>
      <c r="IL8" s="170">
        <f t="shared" ca="1" si="78"/>
        <v>12891.15649019609</v>
      </c>
      <c r="IM8" s="171"/>
      <c r="IN8" s="171"/>
      <c r="IO8" s="171"/>
      <c r="IP8" s="171"/>
    </row>
    <row r="9" spans="1:250" ht="15" customHeight="1" thickBot="1" x14ac:dyDescent="0.35">
      <c r="A9" s="110">
        <f t="shared" si="79"/>
        <v>5</v>
      </c>
      <c r="B9" s="111" t="s">
        <v>170</v>
      </c>
      <c r="C9" s="145" t="s">
        <v>171</v>
      </c>
      <c r="D9" s="145">
        <v>102</v>
      </c>
      <c r="E9" s="111" t="s">
        <v>172</v>
      </c>
      <c r="F9" s="111"/>
      <c r="G9" s="111" t="s">
        <v>173</v>
      </c>
      <c r="H9" s="111">
        <v>1021100001</v>
      </c>
      <c r="I9" s="146" t="str">
        <f t="shared" si="0"/>
        <v>1100001</v>
      </c>
      <c r="J9" s="145" t="str">
        <f t="shared" si="1"/>
        <v>KN1100001</v>
      </c>
      <c r="K9" s="111" t="s">
        <v>174</v>
      </c>
      <c r="L9" s="111" t="s">
        <v>136</v>
      </c>
      <c r="M9" s="111" t="s">
        <v>175</v>
      </c>
      <c r="N9" s="111" t="s">
        <v>176</v>
      </c>
      <c r="O9" s="111"/>
      <c r="P9" s="111" t="s">
        <v>177</v>
      </c>
      <c r="Q9" s="148">
        <v>37442</v>
      </c>
      <c r="R9" s="111" t="s">
        <v>170</v>
      </c>
      <c r="S9" s="111">
        <f t="shared" ca="1" si="85"/>
        <v>23</v>
      </c>
      <c r="T9" s="145" t="s">
        <v>178</v>
      </c>
      <c r="U9" s="145" t="s">
        <v>179</v>
      </c>
      <c r="V9" s="181">
        <v>771461790</v>
      </c>
      <c r="W9" s="182" t="s">
        <v>180</v>
      </c>
      <c r="X9" s="111" t="s">
        <v>181</v>
      </c>
      <c r="Y9" s="111">
        <v>11</v>
      </c>
      <c r="Z9" s="111" t="s">
        <v>182</v>
      </c>
      <c r="AA9" s="111" t="s">
        <v>183</v>
      </c>
      <c r="AB9" s="111" t="s">
        <v>184</v>
      </c>
      <c r="AC9" s="111" t="s">
        <v>146</v>
      </c>
      <c r="AD9" s="111" t="s">
        <v>147</v>
      </c>
      <c r="AE9" s="173" t="s">
        <v>136</v>
      </c>
      <c r="AF9" s="173" t="s">
        <v>136</v>
      </c>
      <c r="AG9" s="174">
        <v>45865</v>
      </c>
      <c r="AH9" s="175">
        <v>30000</v>
      </c>
      <c r="AI9" s="111">
        <v>18</v>
      </c>
      <c r="AJ9" s="111">
        <v>3</v>
      </c>
      <c r="AK9" s="150">
        <f t="shared" si="80"/>
        <v>15</v>
      </c>
      <c r="AL9" s="177">
        <v>30030</v>
      </c>
      <c r="AM9" s="176">
        <v>0.18</v>
      </c>
      <c r="AN9" s="177">
        <f>AL9*AM9</f>
        <v>5405.4</v>
      </c>
      <c r="AO9" s="157">
        <f t="shared" si="2"/>
        <v>35435.4</v>
      </c>
      <c r="AP9" s="158">
        <f t="shared" si="3"/>
        <v>2362.36</v>
      </c>
      <c r="AQ9" s="111" t="s">
        <v>136</v>
      </c>
      <c r="AR9" s="111" t="s">
        <v>170</v>
      </c>
      <c r="AS9" s="111" t="s">
        <v>179</v>
      </c>
      <c r="AT9" s="145" t="s">
        <v>185</v>
      </c>
      <c r="AU9" s="145" t="s">
        <v>178</v>
      </c>
      <c r="AV9" s="111">
        <v>5</v>
      </c>
      <c r="AW9" s="111" t="s">
        <v>136</v>
      </c>
      <c r="AX9" s="111" t="s">
        <v>136</v>
      </c>
      <c r="AY9" s="111" t="s">
        <v>136</v>
      </c>
      <c r="AZ9" s="111" t="s">
        <v>136</v>
      </c>
      <c r="BA9" s="111" t="s">
        <v>136</v>
      </c>
      <c r="BB9" s="111" t="s">
        <v>136</v>
      </c>
      <c r="BC9" s="111" t="s">
        <v>136</v>
      </c>
      <c r="BD9" s="111" t="s">
        <v>136</v>
      </c>
      <c r="BE9" s="111" t="s">
        <v>136</v>
      </c>
      <c r="BF9" s="111" t="s">
        <v>136</v>
      </c>
      <c r="BG9" s="111" t="s">
        <v>136</v>
      </c>
      <c r="BH9" s="111" t="s">
        <v>136</v>
      </c>
      <c r="BI9" s="111" t="s">
        <v>136</v>
      </c>
      <c r="BJ9" s="111" t="s">
        <v>136</v>
      </c>
      <c r="BK9" s="111" t="s">
        <v>136</v>
      </c>
      <c r="BL9" s="111" t="s">
        <v>136</v>
      </c>
      <c r="BM9" s="111" t="s">
        <v>136</v>
      </c>
      <c r="BN9" s="111" t="s">
        <v>136</v>
      </c>
      <c r="BO9" s="111" t="s">
        <v>136</v>
      </c>
      <c r="BP9" s="111" t="s">
        <v>186</v>
      </c>
      <c r="BQ9" s="111" t="s">
        <v>136</v>
      </c>
      <c r="BR9" s="111" t="s">
        <v>187</v>
      </c>
      <c r="BS9" s="111" t="s">
        <v>188</v>
      </c>
      <c r="BT9" s="182" t="s">
        <v>180</v>
      </c>
      <c r="BU9" s="111" t="s">
        <v>178</v>
      </c>
      <c r="BV9" s="111" t="s">
        <v>179</v>
      </c>
      <c r="BW9" s="111"/>
      <c r="BX9" s="111"/>
      <c r="BY9" s="111"/>
      <c r="BZ9" s="111"/>
      <c r="CA9" s="111"/>
      <c r="CB9" s="111"/>
      <c r="CC9" s="178"/>
      <c r="CD9" s="177">
        <f t="shared" si="4"/>
        <v>30030</v>
      </c>
      <c r="CE9" s="148">
        <v>45870</v>
      </c>
      <c r="CF9" s="111">
        <f t="shared" si="5"/>
        <v>18</v>
      </c>
      <c r="CG9" s="177">
        <f t="shared" si="6"/>
        <v>35435.4</v>
      </c>
      <c r="CH9" s="203">
        <f t="shared" si="7"/>
        <v>3</v>
      </c>
      <c r="CI9" s="148">
        <v>45870</v>
      </c>
      <c r="CJ9" s="161">
        <f t="shared" si="81"/>
        <v>45962</v>
      </c>
      <c r="CK9" s="162">
        <f t="shared" si="82"/>
        <v>46419</v>
      </c>
      <c r="CL9" s="180"/>
      <c r="CM9" s="164">
        <f t="shared" ca="1" si="8"/>
        <v>46054</v>
      </c>
      <c r="CN9" s="165">
        <f t="shared" si="9"/>
        <v>45962</v>
      </c>
      <c r="CO9" s="109">
        <f t="shared" si="10"/>
        <v>2001.6949152542372</v>
      </c>
      <c r="CP9" s="109">
        <f t="shared" si="11"/>
        <v>360.30508474576271</v>
      </c>
      <c r="CQ9" s="109">
        <v>2362</v>
      </c>
      <c r="CR9" s="109">
        <f t="shared" si="12"/>
        <v>-0.36000000000012733</v>
      </c>
      <c r="CS9" s="166">
        <v>45951</v>
      </c>
      <c r="CT9" s="167">
        <f t="shared" si="13"/>
        <v>0</v>
      </c>
      <c r="CU9" s="165">
        <f t="shared" si="14"/>
        <v>45992</v>
      </c>
      <c r="CV9" s="109">
        <f t="shared" si="15"/>
        <v>2001.6949152542372</v>
      </c>
      <c r="CW9" s="109">
        <f t="shared" si="16"/>
        <v>360.30508474576271</v>
      </c>
      <c r="CX9" s="109">
        <v>2362</v>
      </c>
      <c r="CY9" s="109">
        <f t="shared" si="17"/>
        <v>-0.36000000000012733</v>
      </c>
      <c r="CZ9" s="166">
        <v>45951</v>
      </c>
      <c r="DA9" s="167">
        <f t="shared" si="18"/>
        <v>0</v>
      </c>
      <c r="DB9" s="165">
        <f t="shared" si="19"/>
        <v>46023</v>
      </c>
      <c r="DC9" s="109">
        <f t="shared" si="20"/>
        <v>1928.8135593220338</v>
      </c>
      <c r="DD9" s="109">
        <f t="shared" si="21"/>
        <v>347.18644067796612</v>
      </c>
      <c r="DE9" s="109">
        <v>2276</v>
      </c>
      <c r="DF9" s="109">
        <f t="shared" si="22"/>
        <v>-86.360000000000127</v>
      </c>
      <c r="DG9" s="166">
        <v>45951</v>
      </c>
      <c r="DH9" s="167">
        <f t="shared" si="23"/>
        <v>0</v>
      </c>
      <c r="DI9" s="165">
        <f t="shared" si="24"/>
        <v>46054</v>
      </c>
      <c r="DJ9" s="109">
        <f t="shared" si="25"/>
        <v>2001.6949152542372</v>
      </c>
      <c r="DK9" s="109">
        <f t="shared" si="26"/>
        <v>360.30508474576271</v>
      </c>
      <c r="DL9" s="109">
        <v>2362</v>
      </c>
      <c r="DM9" s="109">
        <f t="shared" si="27"/>
        <v>-0.36000000000012733</v>
      </c>
      <c r="DN9" s="166">
        <v>46009</v>
      </c>
      <c r="DO9" s="167">
        <f t="shared" si="28"/>
        <v>0</v>
      </c>
      <c r="DP9" s="165">
        <f>DI9+31</f>
        <v>46085</v>
      </c>
      <c r="DQ9" s="109">
        <f t="shared" si="29"/>
        <v>2001.6949152542372</v>
      </c>
      <c r="DR9" s="109">
        <f>DS9/(1+AM9)*AM9</f>
        <v>360.30508474576271</v>
      </c>
      <c r="DS9" s="109">
        <v>2362</v>
      </c>
      <c r="DT9" s="109">
        <f t="shared" si="30"/>
        <v>-0.36000000000012733</v>
      </c>
      <c r="DU9" s="166">
        <v>46009</v>
      </c>
      <c r="DV9" s="167">
        <f t="shared" si="31"/>
        <v>0</v>
      </c>
      <c r="DW9" s="165">
        <f t="shared" si="32"/>
        <v>46116</v>
      </c>
      <c r="DX9" s="109">
        <f t="shared" si="33"/>
        <v>2001.6949152542372</v>
      </c>
      <c r="DY9" s="109">
        <f t="shared" si="34"/>
        <v>360.30508474576271</v>
      </c>
      <c r="DZ9" s="109">
        <v>2362</v>
      </c>
      <c r="EA9" s="109">
        <f t="shared" si="35"/>
        <v>-0.36000000000012733</v>
      </c>
      <c r="EB9" s="166">
        <v>46009</v>
      </c>
      <c r="EC9" s="167">
        <f t="shared" si="36"/>
        <v>0</v>
      </c>
      <c r="ED9" s="165">
        <f t="shared" si="37"/>
        <v>46146</v>
      </c>
      <c r="EE9" s="109">
        <f t="shared" si="38"/>
        <v>2001.6949152542372</v>
      </c>
      <c r="EF9" s="109">
        <f t="shared" si="39"/>
        <v>360.30508474576271</v>
      </c>
      <c r="EG9" s="109">
        <v>2362</v>
      </c>
      <c r="EH9" s="109">
        <f t="shared" si="40"/>
        <v>-0.36000000000012733</v>
      </c>
      <c r="EI9" s="166">
        <v>46009</v>
      </c>
      <c r="EJ9" s="167">
        <f t="shared" si="41"/>
        <v>0</v>
      </c>
      <c r="EK9" s="165">
        <f t="shared" si="42"/>
        <v>46177</v>
      </c>
      <c r="EL9" s="109">
        <f t="shared" si="43"/>
        <v>2162.7118644067796</v>
      </c>
      <c r="EM9" s="109">
        <f t="shared" si="44"/>
        <v>389.28813559322032</v>
      </c>
      <c r="EN9" s="109">
        <v>2552</v>
      </c>
      <c r="EO9" s="109">
        <f t="shared" si="45"/>
        <v>189.63999999999987</v>
      </c>
      <c r="EP9" s="166">
        <v>46009</v>
      </c>
      <c r="EQ9" s="167">
        <f t="shared" si="46"/>
        <v>0</v>
      </c>
      <c r="ER9" s="165">
        <f t="shared" si="47"/>
        <v>46207</v>
      </c>
      <c r="ES9" s="109">
        <f t="shared" si="48"/>
        <v>0</v>
      </c>
      <c r="ET9" s="109">
        <f t="shared" si="49"/>
        <v>0</v>
      </c>
      <c r="EU9" s="109"/>
      <c r="EV9" s="109"/>
      <c r="EW9" s="166"/>
      <c r="EX9" s="166"/>
      <c r="EY9" s="165">
        <f t="shared" si="50"/>
        <v>46238</v>
      </c>
      <c r="EZ9" s="109">
        <f t="shared" si="51"/>
        <v>0</v>
      </c>
      <c r="FA9" s="109">
        <f t="shared" si="52"/>
        <v>0</v>
      </c>
      <c r="FB9" s="109"/>
      <c r="FC9" s="109"/>
      <c r="FD9" s="166"/>
      <c r="FE9" s="166"/>
      <c r="FF9" s="165">
        <f t="shared" si="53"/>
        <v>46269</v>
      </c>
      <c r="FG9" s="109">
        <f t="shared" si="54"/>
        <v>0</v>
      </c>
      <c r="FH9" s="109">
        <f t="shared" si="55"/>
        <v>0</v>
      </c>
      <c r="FI9" s="109"/>
      <c r="FJ9" s="109"/>
      <c r="FK9" s="166"/>
      <c r="FL9" s="166"/>
      <c r="FM9" s="165">
        <f t="shared" si="56"/>
        <v>46299</v>
      </c>
      <c r="FN9" s="109">
        <f t="shared" si="57"/>
        <v>0</v>
      </c>
      <c r="FO9" s="109">
        <f t="shared" si="58"/>
        <v>0</v>
      </c>
      <c r="FP9" s="109"/>
      <c r="FQ9" s="109"/>
      <c r="FR9" s="166"/>
      <c r="FS9" s="166"/>
      <c r="FT9" s="165">
        <f t="shared" si="59"/>
        <v>46330</v>
      </c>
      <c r="FU9" s="109">
        <f t="shared" si="60"/>
        <v>0</v>
      </c>
      <c r="FV9" s="109">
        <f t="shared" si="61"/>
        <v>0</v>
      </c>
      <c r="FW9" s="109"/>
      <c r="FX9" s="109"/>
      <c r="FY9" s="166"/>
      <c r="FZ9" s="166"/>
      <c r="GA9" s="165">
        <f t="shared" si="62"/>
        <v>46360</v>
      </c>
      <c r="GB9" s="109">
        <f t="shared" si="63"/>
        <v>0</v>
      </c>
      <c r="GC9" s="109">
        <f t="shared" si="64"/>
        <v>0</v>
      </c>
      <c r="GD9" s="109"/>
      <c r="GE9" s="109"/>
      <c r="GF9" s="166"/>
      <c r="GG9" s="166"/>
      <c r="GH9" s="165">
        <f t="shared" si="65"/>
        <v>46391</v>
      </c>
      <c r="GI9" s="109">
        <f t="shared" si="66"/>
        <v>0</v>
      </c>
      <c r="GJ9" s="109">
        <f t="shared" si="67"/>
        <v>0</v>
      </c>
      <c r="GK9" s="109"/>
      <c r="GL9" s="109"/>
      <c r="GM9" s="166"/>
      <c r="GN9" s="166"/>
      <c r="GO9" s="165"/>
      <c r="GP9" s="109"/>
      <c r="GQ9" s="109"/>
      <c r="GR9" s="109"/>
      <c r="GS9" s="109"/>
      <c r="GT9" s="166"/>
      <c r="GU9" s="166"/>
      <c r="GV9" s="165"/>
      <c r="GW9" s="168"/>
      <c r="GX9" s="168"/>
      <c r="GY9" s="168"/>
      <c r="GZ9" s="168"/>
      <c r="HA9" s="166"/>
      <c r="HB9" s="166"/>
      <c r="HC9" s="165"/>
      <c r="HD9" s="109"/>
      <c r="HE9" s="109"/>
      <c r="HF9" s="109"/>
      <c r="HG9" s="109"/>
      <c r="HH9" s="166"/>
      <c r="HI9" s="166"/>
      <c r="HJ9" s="165"/>
      <c r="HK9" s="109"/>
      <c r="HL9" s="109"/>
      <c r="HM9" s="109"/>
      <c r="HN9" s="109"/>
      <c r="HO9" s="166"/>
      <c r="HP9" s="166"/>
      <c r="HQ9" s="165"/>
      <c r="HR9" s="109"/>
      <c r="HS9" s="109"/>
      <c r="HT9" s="109"/>
      <c r="HU9" s="109"/>
      <c r="HV9" s="166"/>
      <c r="HW9" s="166"/>
      <c r="HX9" s="105">
        <f t="shared" si="86"/>
        <v>16101.694915254235</v>
      </c>
      <c r="HY9" s="105">
        <f t="shared" si="83"/>
        <v>2898.3050847457625</v>
      </c>
      <c r="HZ9" s="105">
        <f t="shared" si="83"/>
        <v>19000</v>
      </c>
      <c r="IA9" s="105">
        <f t="shared" si="68"/>
        <v>0</v>
      </c>
      <c r="IB9" s="109">
        <f t="shared" si="69"/>
        <v>16435.400000000001</v>
      </c>
      <c r="IC9" s="109">
        <f t="shared" si="70"/>
        <v>13928.305084745765</v>
      </c>
      <c r="ID9" s="109">
        <f t="shared" si="71"/>
        <v>0</v>
      </c>
      <c r="IE9" s="109">
        <f t="shared" si="72"/>
        <v>0</v>
      </c>
      <c r="IF9" s="139">
        <f t="shared" si="73"/>
        <v>8.0428046529741444</v>
      </c>
      <c r="IG9" s="139">
        <f t="shared" ca="1" si="74"/>
        <v>92</v>
      </c>
      <c r="IH9" s="169">
        <f t="shared" ca="1" si="75"/>
        <v>3.0666666666666669</v>
      </c>
      <c r="II9" s="139">
        <f t="shared" ca="1" si="76"/>
        <v>-4.9761379863074779</v>
      </c>
      <c r="IJ9" s="169">
        <f t="shared" ca="1" si="77"/>
        <v>0</v>
      </c>
      <c r="IK9" s="169">
        <f t="shared" ca="1" si="84"/>
        <v>-4.9761379863074779</v>
      </c>
      <c r="IL9" s="170">
        <f t="shared" ca="1" si="78"/>
        <v>-11755.429333333333</v>
      </c>
      <c r="IM9" s="171"/>
      <c r="IN9" s="171"/>
      <c r="IO9" s="171"/>
      <c r="IP9" s="171"/>
    </row>
    <row r="10" spans="1:250" ht="15" customHeight="1" thickBot="1" x14ac:dyDescent="0.35">
      <c r="A10" s="110">
        <f t="shared" si="79"/>
        <v>6</v>
      </c>
      <c r="B10" s="111" t="s">
        <v>131</v>
      </c>
      <c r="C10" s="145" t="s">
        <v>132</v>
      </c>
      <c r="D10" s="145">
        <v>101</v>
      </c>
      <c r="E10" s="111" t="s">
        <v>133</v>
      </c>
      <c r="F10" s="111"/>
      <c r="G10" s="111" t="s">
        <v>189</v>
      </c>
      <c r="H10" s="111">
        <v>1011000001</v>
      </c>
      <c r="I10" s="146" t="str">
        <f t="shared" si="0"/>
        <v>1000001</v>
      </c>
      <c r="J10" s="145" t="str">
        <f t="shared" si="1"/>
        <v>KB1000001</v>
      </c>
      <c r="K10" s="111" t="s">
        <v>190</v>
      </c>
      <c r="L10" s="111" t="s">
        <v>164</v>
      </c>
      <c r="M10" s="111" t="s">
        <v>191</v>
      </c>
      <c r="N10" s="111" t="s">
        <v>138</v>
      </c>
      <c r="O10" s="111"/>
      <c r="P10" s="111" t="s">
        <v>192</v>
      </c>
      <c r="Q10" s="148">
        <v>31859</v>
      </c>
      <c r="R10" s="111" t="s">
        <v>193</v>
      </c>
      <c r="S10" s="111">
        <f t="shared" ca="1" si="85"/>
        <v>38</v>
      </c>
      <c r="T10" s="111" t="s">
        <v>194</v>
      </c>
      <c r="U10" s="145" t="s">
        <v>195</v>
      </c>
      <c r="V10" s="172">
        <v>777869919</v>
      </c>
      <c r="W10" s="111"/>
      <c r="X10" s="111" t="s">
        <v>196</v>
      </c>
      <c r="Y10" s="111">
        <v>10</v>
      </c>
      <c r="Z10" s="111" t="s">
        <v>197</v>
      </c>
      <c r="AA10" s="111" t="s">
        <v>198</v>
      </c>
      <c r="AB10" s="111" t="s">
        <v>199</v>
      </c>
      <c r="AC10" s="111" t="s">
        <v>146</v>
      </c>
      <c r="AD10" s="111" t="s">
        <v>147</v>
      </c>
      <c r="AE10" s="173" t="s">
        <v>136</v>
      </c>
      <c r="AF10" s="173" t="s">
        <v>136</v>
      </c>
      <c r="AG10" s="174">
        <v>45748</v>
      </c>
      <c r="AH10" s="175">
        <v>1500000</v>
      </c>
      <c r="AI10" s="111">
        <v>24</v>
      </c>
      <c r="AJ10" s="111">
        <v>3</v>
      </c>
      <c r="AK10" s="150">
        <f t="shared" si="80"/>
        <v>21</v>
      </c>
      <c r="AL10" s="177">
        <v>1500000</v>
      </c>
      <c r="AM10" s="176">
        <v>0.5</v>
      </c>
      <c r="AN10" s="177">
        <v>0</v>
      </c>
      <c r="AO10" s="157">
        <f t="shared" si="2"/>
        <v>1500000</v>
      </c>
      <c r="AP10" s="158">
        <f t="shared" si="3"/>
        <v>71428.571428571435</v>
      </c>
      <c r="AQ10" s="111" t="s">
        <v>200</v>
      </c>
      <c r="AR10" s="111" t="s">
        <v>149</v>
      </c>
      <c r="AS10" s="111" t="s">
        <v>195</v>
      </c>
      <c r="AT10" s="111" t="s">
        <v>201</v>
      </c>
      <c r="AU10" s="111" t="s">
        <v>202</v>
      </c>
      <c r="AV10" s="111">
        <v>4</v>
      </c>
      <c r="AW10" s="111" t="s">
        <v>136</v>
      </c>
      <c r="AX10" s="111" t="s">
        <v>136</v>
      </c>
      <c r="AY10" s="111" t="s">
        <v>203</v>
      </c>
      <c r="AZ10" s="111" t="s">
        <v>204</v>
      </c>
      <c r="BA10" s="111" t="s">
        <v>205</v>
      </c>
      <c r="BB10" s="174">
        <v>45736</v>
      </c>
      <c r="BC10" s="174">
        <v>46101</v>
      </c>
      <c r="BD10" s="111" t="s">
        <v>206</v>
      </c>
      <c r="BE10" s="111" t="s">
        <v>207</v>
      </c>
      <c r="BF10" s="111" t="s">
        <v>208</v>
      </c>
      <c r="BG10" s="111"/>
      <c r="BH10" s="111" t="s">
        <v>131</v>
      </c>
      <c r="BI10" s="111" t="s">
        <v>131</v>
      </c>
      <c r="BJ10" s="111"/>
      <c r="BK10" s="111"/>
      <c r="BL10" s="175">
        <f>36000*70</f>
        <v>2520000</v>
      </c>
      <c r="BM10" s="175">
        <v>2600000</v>
      </c>
      <c r="BN10" s="111" t="s">
        <v>209</v>
      </c>
      <c r="BO10" s="111"/>
      <c r="BP10" s="111" t="s">
        <v>136</v>
      </c>
      <c r="BQ10" s="111" t="s">
        <v>136</v>
      </c>
      <c r="BR10" s="111" t="s">
        <v>136</v>
      </c>
      <c r="BS10" s="111" t="s">
        <v>136</v>
      </c>
      <c r="BT10" s="111" t="s">
        <v>136</v>
      </c>
      <c r="BU10" s="111" t="s">
        <v>136</v>
      </c>
      <c r="BV10" s="111" t="s">
        <v>136</v>
      </c>
      <c r="BW10" s="111" t="s">
        <v>136</v>
      </c>
      <c r="BX10" s="111" t="s">
        <v>136</v>
      </c>
      <c r="BY10" s="111" t="s">
        <v>136</v>
      </c>
      <c r="BZ10" s="111" t="s">
        <v>136</v>
      </c>
      <c r="CA10" s="111" t="s">
        <v>136</v>
      </c>
      <c r="CB10" s="111" t="s">
        <v>136</v>
      </c>
      <c r="CC10" s="178" t="s">
        <v>136</v>
      </c>
      <c r="CD10" s="177">
        <f t="shared" si="4"/>
        <v>1500000</v>
      </c>
      <c r="CE10" s="148">
        <v>45786</v>
      </c>
      <c r="CF10" s="111">
        <f t="shared" si="5"/>
        <v>24</v>
      </c>
      <c r="CG10" s="177">
        <f t="shared" si="6"/>
        <v>1500000</v>
      </c>
      <c r="CH10" s="203">
        <f t="shared" si="7"/>
        <v>3</v>
      </c>
      <c r="CI10" s="148">
        <v>45786</v>
      </c>
      <c r="CJ10" s="161">
        <f t="shared" si="81"/>
        <v>45878</v>
      </c>
      <c r="CK10" s="162">
        <f t="shared" si="82"/>
        <v>46516</v>
      </c>
      <c r="CL10" s="179"/>
      <c r="CM10" s="164">
        <f t="shared" ca="1" si="8"/>
        <v>46054</v>
      </c>
      <c r="CN10" s="165">
        <f t="shared" si="9"/>
        <v>45878</v>
      </c>
      <c r="CO10" s="109">
        <f t="shared" si="10"/>
        <v>0</v>
      </c>
      <c r="CP10" s="109">
        <f t="shared" si="11"/>
        <v>0</v>
      </c>
      <c r="CQ10" s="109"/>
      <c r="CR10" s="109">
        <f t="shared" si="12"/>
        <v>0</v>
      </c>
      <c r="CS10" s="166">
        <f ca="1">TODAY()</f>
        <v>46054</v>
      </c>
      <c r="CT10" s="167">
        <f t="shared" ca="1" si="13"/>
        <v>176</v>
      </c>
      <c r="CU10" s="165">
        <f t="shared" si="14"/>
        <v>45909</v>
      </c>
      <c r="CV10" s="109">
        <f t="shared" si="15"/>
        <v>0</v>
      </c>
      <c r="CW10" s="109">
        <f t="shared" si="16"/>
        <v>0</v>
      </c>
      <c r="CX10" s="109"/>
      <c r="CY10" s="109">
        <f t="shared" si="17"/>
        <v>0</v>
      </c>
      <c r="CZ10" s="166">
        <f ca="1">TODAY()</f>
        <v>46054</v>
      </c>
      <c r="DA10" s="167">
        <f t="shared" ca="1" si="18"/>
        <v>145</v>
      </c>
      <c r="DB10" s="165">
        <f t="shared" si="19"/>
        <v>45939</v>
      </c>
      <c r="DC10" s="109">
        <f t="shared" si="20"/>
        <v>0</v>
      </c>
      <c r="DD10" s="109">
        <f t="shared" si="21"/>
        <v>0</v>
      </c>
      <c r="DE10" s="109"/>
      <c r="DF10" s="109">
        <f t="shared" si="22"/>
        <v>0</v>
      </c>
      <c r="DG10" s="166">
        <f ca="1">TODAY()</f>
        <v>46054</v>
      </c>
      <c r="DH10" s="167">
        <f t="shared" ca="1" si="23"/>
        <v>115</v>
      </c>
      <c r="DI10" s="165">
        <f t="shared" si="24"/>
        <v>45970</v>
      </c>
      <c r="DJ10" s="109">
        <f t="shared" si="25"/>
        <v>0</v>
      </c>
      <c r="DK10" s="109">
        <f t="shared" si="26"/>
        <v>0</v>
      </c>
      <c r="DL10" s="109">
        <v>0</v>
      </c>
      <c r="DM10" s="109">
        <f t="shared" si="27"/>
        <v>0</v>
      </c>
      <c r="DN10" s="166">
        <f t="shared" ref="DN10:DN70" ca="1" si="87">TODAY()</f>
        <v>46054</v>
      </c>
      <c r="DO10" s="167">
        <f t="shared" ca="1" si="28"/>
        <v>84</v>
      </c>
      <c r="DP10" s="165">
        <f>EDATE(DI10,1)</f>
        <v>46000</v>
      </c>
      <c r="DQ10" s="109">
        <f t="shared" si="29"/>
        <v>0</v>
      </c>
      <c r="DR10" s="109">
        <v>0</v>
      </c>
      <c r="DS10" s="109"/>
      <c r="DT10" s="109">
        <f t="shared" si="30"/>
        <v>0</v>
      </c>
      <c r="DU10" s="166">
        <f t="shared" ref="DU10:DU73" ca="1" si="88">TODAY()</f>
        <v>46054</v>
      </c>
      <c r="DV10" s="167">
        <f t="shared" ca="1" si="31"/>
        <v>54</v>
      </c>
      <c r="DW10" s="165">
        <f t="shared" si="32"/>
        <v>46031</v>
      </c>
      <c r="DX10" s="109">
        <f t="shared" si="33"/>
        <v>0</v>
      </c>
      <c r="DY10" s="109">
        <f t="shared" si="34"/>
        <v>0</v>
      </c>
      <c r="DZ10" s="109"/>
      <c r="EA10" s="109">
        <f t="shared" si="35"/>
        <v>0</v>
      </c>
      <c r="EB10" s="166">
        <f t="shared" ref="EB10:EB73" ca="1" si="89">TODAY()</f>
        <v>46054</v>
      </c>
      <c r="EC10" s="167">
        <f t="shared" ca="1" si="36"/>
        <v>23</v>
      </c>
      <c r="ED10" s="165">
        <f t="shared" si="37"/>
        <v>46062</v>
      </c>
      <c r="EE10" s="109">
        <f t="shared" si="38"/>
        <v>0</v>
      </c>
      <c r="EF10" s="109">
        <f t="shared" si="39"/>
        <v>0</v>
      </c>
      <c r="EG10" s="109"/>
      <c r="EH10" s="109">
        <f t="shared" si="40"/>
        <v>0</v>
      </c>
      <c r="EI10" s="166">
        <f t="shared" ref="EI10:EI73" ca="1" si="90">TODAY()</f>
        <v>46054</v>
      </c>
      <c r="EJ10" s="167">
        <f t="shared" ca="1" si="41"/>
        <v>0</v>
      </c>
      <c r="EK10" s="165">
        <f t="shared" si="42"/>
        <v>46090</v>
      </c>
      <c r="EL10" s="109">
        <f t="shared" si="43"/>
        <v>0</v>
      </c>
      <c r="EM10" s="109">
        <f t="shared" si="44"/>
        <v>0</v>
      </c>
      <c r="EN10" s="109"/>
      <c r="EO10" s="109">
        <f t="shared" si="45"/>
        <v>0</v>
      </c>
      <c r="EP10" s="166">
        <f t="shared" ref="EP10:EP73" ca="1" si="91">TODAY()</f>
        <v>46054</v>
      </c>
      <c r="EQ10" s="167">
        <f t="shared" ca="1" si="46"/>
        <v>0</v>
      </c>
      <c r="ER10" s="165">
        <f t="shared" si="47"/>
        <v>46121</v>
      </c>
      <c r="ES10" s="109">
        <f t="shared" si="48"/>
        <v>0</v>
      </c>
      <c r="ET10" s="109">
        <f t="shared" si="49"/>
        <v>0</v>
      </c>
      <c r="EU10" s="109"/>
      <c r="EV10" s="109"/>
      <c r="EW10" s="166"/>
      <c r="EX10" s="166"/>
      <c r="EY10" s="165">
        <f t="shared" si="50"/>
        <v>46151</v>
      </c>
      <c r="EZ10" s="109">
        <f t="shared" si="51"/>
        <v>0</v>
      </c>
      <c r="FA10" s="109">
        <f t="shared" si="52"/>
        <v>0</v>
      </c>
      <c r="FB10" s="109"/>
      <c r="FC10" s="109"/>
      <c r="FD10" s="166"/>
      <c r="FE10" s="166"/>
      <c r="FF10" s="165">
        <f t="shared" si="53"/>
        <v>46182</v>
      </c>
      <c r="FG10" s="109">
        <f t="shared" si="54"/>
        <v>0</v>
      </c>
      <c r="FH10" s="109">
        <f t="shared" si="55"/>
        <v>0</v>
      </c>
      <c r="FI10" s="109"/>
      <c r="FJ10" s="109"/>
      <c r="FK10" s="166"/>
      <c r="FL10" s="166"/>
      <c r="FM10" s="165">
        <f t="shared" si="56"/>
        <v>46212</v>
      </c>
      <c r="FN10" s="109">
        <f t="shared" si="57"/>
        <v>0</v>
      </c>
      <c r="FO10" s="109">
        <f t="shared" si="58"/>
        <v>0</v>
      </c>
      <c r="FP10" s="109"/>
      <c r="FQ10" s="109"/>
      <c r="FR10" s="166"/>
      <c r="FS10" s="166"/>
      <c r="FT10" s="165">
        <f t="shared" si="59"/>
        <v>46243</v>
      </c>
      <c r="FU10" s="109">
        <f t="shared" si="60"/>
        <v>0</v>
      </c>
      <c r="FV10" s="109">
        <f t="shared" si="61"/>
        <v>0</v>
      </c>
      <c r="FW10" s="109"/>
      <c r="FX10" s="109"/>
      <c r="FY10" s="166"/>
      <c r="FZ10" s="166"/>
      <c r="GA10" s="165">
        <f t="shared" si="62"/>
        <v>46274</v>
      </c>
      <c r="GB10" s="109">
        <f t="shared" si="63"/>
        <v>0</v>
      </c>
      <c r="GC10" s="109">
        <f t="shared" si="64"/>
        <v>0</v>
      </c>
      <c r="GD10" s="109"/>
      <c r="GE10" s="109"/>
      <c r="GF10" s="166"/>
      <c r="GG10" s="166"/>
      <c r="GH10" s="165">
        <f t="shared" si="65"/>
        <v>46304</v>
      </c>
      <c r="GI10" s="109">
        <f t="shared" si="66"/>
        <v>0</v>
      </c>
      <c r="GJ10" s="109">
        <f t="shared" si="67"/>
        <v>0</v>
      </c>
      <c r="GK10" s="109"/>
      <c r="GL10" s="109"/>
      <c r="GM10" s="166"/>
      <c r="GN10" s="166"/>
      <c r="GO10" s="165">
        <f>EDATE(GH10,1)</f>
        <v>46335</v>
      </c>
      <c r="GP10" s="109">
        <f>GR10-GQ10</f>
        <v>0</v>
      </c>
      <c r="GQ10" s="109">
        <f>GR10/(1+AM10)*AM10</f>
        <v>0</v>
      </c>
      <c r="GR10" s="109"/>
      <c r="GS10" s="109"/>
      <c r="GT10" s="166"/>
      <c r="GU10" s="166"/>
      <c r="GV10" s="165">
        <f>EDATE(GO10,1)</f>
        <v>46365</v>
      </c>
      <c r="GW10" s="168">
        <f>GY10-GX10</f>
        <v>0</v>
      </c>
      <c r="GX10" s="168">
        <f>GY10/(1+AM10)*AM10</f>
        <v>0</v>
      </c>
      <c r="GY10" s="168"/>
      <c r="GZ10" s="168"/>
      <c r="HA10" s="166"/>
      <c r="HB10" s="166"/>
      <c r="HC10" s="165">
        <f>EDATE(GV10,1)</f>
        <v>46396</v>
      </c>
      <c r="HD10" s="109">
        <f>HF10-HE10</f>
        <v>0</v>
      </c>
      <c r="HE10" s="109">
        <f>HF10/(1+AM10)*AM10</f>
        <v>0</v>
      </c>
      <c r="HF10" s="109"/>
      <c r="HG10" s="109"/>
      <c r="HH10" s="166"/>
      <c r="HI10" s="166"/>
      <c r="HJ10" s="165">
        <f>EDATE(HC10,1)</f>
        <v>46427</v>
      </c>
      <c r="HK10" s="109">
        <f>HM10-HL10</f>
        <v>0</v>
      </c>
      <c r="HL10" s="109">
        <f>HM10/(1+AM10)*AM10</f>
        <v>0</v>
      </c>
      <c r="HM10" s="109"/>
      <c r="HN10" s="109"/>
      <c r="HO10" s="166"/>
      <c r="HP10" s="166"/>
      <c r="HQ10" s="165">
        <f>EDATE(HJ10,1)</f>
        <v>46455</v>
      </c>
      <c r="HR10" s="109">
        <f>HT10-HS10</f>
        <v>0</v>
      </c>
      <c r="HS10" s="109">
        <f>HT10/(1+AM10)*AM10</f>
        <v>0</v>
      </c>
      <c r="HT10" s="109"/>
      <c r="HU10" s="109"/>
      <c r="HV10" s="166"/>
      <c r="HW10" s="166"/>
      <c r="HX10" s="105">
        <f t="shared" si="86"/>
        <v>0</v>
      </c>
      <c r="HY10" s="105">
        <f t="shared" si="83"/>
        <v>0</v>
      </c>
      <c r="HZ10" s="105">
        <f t="shared" si="83"/>
        <v>0</v>
      </c>
      <c r="IA10" s="105">
        <f t="shared" si="68"/>
        <v>0</v>
      </c>
      <c r="IB10" s="109">
        <f t="shared" si="69"/>
        <v>1500000</v>
      </c>
      <c r="IC10" s="109">
        <f t="shared" si="70"/>
        <v>1500000</v>
      </c>
      <c r="ID10" s="109">
        <f t="shared" si="71"/>
        <v>0</v>
      </c>
      <c r="IE10" s="109">
        <f t="shared" ca="1" si="72"/>
        <v>597</v>
      </c>
      <c r="IF10" s="139">
        <f t="shared" si="73"/>
        <v>0</v>
      </c>
      <c r="IG10" s="139">
        <f t="shared" ca="1" si="74"/>
        <v>176</v>
      </c>
      <c r="IH10" s="169">
        <f t="shared" ca="1" si="75"/>
        <v>5.8666666666666663</v>
      </c>
      <c r="II10" s="139">
        <f t="shared" ca="1" si="76"/>
        <v>5.8666666666666663</v>
      </c>
      <c r="IJ10" s="169">
        <f t="shared" ca="1" si="77"/>
        <v>176</v>
      </c>
      <c r="IK10" s="169">
        <f t="shared" ca="1" si="84"/>
        <v>5.8666666666666663</v>
      </c>
      <c r="IL10" s="170">
        <f t="shared" ca="1" si="78"/>
        <v>419047.61904761905</v>
      </c>
      <c r="IM10" s="171"/>
      <c r="IN10" s="171"/>
      <c r="IO10" s="171"/>
      <c r="IP10" s="171"/>
    </row>
    <row r="11" spans="1:250" ht="15" customHeight="1" thickBot="1" x14ac:dyDescent="0.35">
      <c r="A11" s="110">
        <f t="shared" si="79"/>
        <v>7</v>
      </c>
      <c r="B11" s="111" t="s">
        <v>170</v>
      </c>
      <c r="C11" s="145" t="s">
        <v>171</v>
      </c>
      <c r="D11" s="145">
        <v>102</v>
      </c>
      <c r="E11" s="111" t="s">
        <v>210</v>
      </c>
      <c r="F11" s="111"/>
      <c r="G11" s="111" t="s">
        <v>211</v>
      </c>
      <c r="H11" s="111">
        <v>1021100006</v>
      </c>
      <c r="I11" s="146" t="str">
        <f t="shared" si="0"/>
        <v>1100006</v>
      </c>
      <c r="J11" s="145" t="str">
        <f t="shared" si="1"/>
        <v>KN1100006</v>
      </c>
      <c r="K11" s="111" t="s">
        <v>212</v>
      </c>
      <c r="L11" s="111" t="s">
        <v>213</v>
      </c>
      <c r="M11" s="111" t="s">
        <v>214</v>
      </c>
      <c r="N11" s="111" t="s">
        <v>138</v>
      </c>
      <c r="O11" s="111"/>
      <c r="P11" s="111" t="s">
        <v>215</v>
      </c>
      <c r="Q11" s="148">
        <v>33534</v>
      </c>
      <c r="R11" s="111" t="s">
        <v>170</v>
      </c>
      <c r="S11" s="111">
        <f t="shared" ca="1" si="85"/>
        <v>34</v>
      </c>
      <c r="T11" s="111" t="s">
        <v>216</v>
      </c>
      <c r="U11" s="145" t="s">
        <v>217</v>
      </c>
      <c r="V11" s="181">
        <v>778382706</v>
      </c>
      <c r="W11" s="182" t="s">
        <v>218</v>
      </c>
      <c r="X11" s="111" t="s">
        <v>181</v>
      </c>
      <c r="Y11" s="111">
        <v>11</v>
      </c>
      <c r="Z11" s="111" t="s">
        <v>219</v>
      </c>
      <c r="AA11" s="111" t="s">
        <v>220</v>
      </c>
      <c r="AB11" s="111" t="s">
        <v>221</v>
      </c>
      <c r="AC11" s="111" t="s">
        <v>146</v>
      </c>
      <c r="AD11" s="111" t="s">
        <v>147</v>
      </c>
      <c r="AE11" s="173" t="s">
        <v>136</v>
      </c>
      <c r="AF11" s="173" t="s">
        <v>136</v>
      </c>
      <c r="AG11" s="174">
        <v>45865</v>
      </c>
      <c r="AH11" s="175">
        <v>40000</v>
      </c>
      <c r="AI11" s="111">
        <v>18</v>
      </c>
      <c r="AJ11" s="111">
        <v>3</v>
      </c>
      <c r="AK11" s="150">
        <f t="shared" si="80"/>
        <v>15</v>
      </c>
      <c r="AL11" s="177">
        <v>41450.400000000001</v>
      </c>
      <c r="AM11" s="176">
        <v>0.18</v>
      </c>
      <c r="AN11" s="177">
        <f t="shared" ref="AN11:AN74" si="92">AL11*AM11</f>
        <v>7461.0720000000001</v>
      </c>
      <c r="AO11" s="157">
        <f t="shared" si="2"/>
        <v>48911.472000000002</v>
      </c>
      <c r="AP11" s="158">
        <f t="shared" si="3"/>
        <v>3260.7647999999999</v>
      </c>
      <c r="AQ11" s="111" t="s">
        <v>222</v>
      </c>
      <c r="AR11" s="111" t="s">
        <v>170</v>
      </c>
      <c r="AS11" s="111" t="s">
        <v>217</v>
      </c>
      <c r="AT11" s="111" t="s">
        <v>223</v>
      </c>
      <c r="AU11" s="111" t="s">
        <v>216</v>
      </c>
      <c r="AV11" s="111">
        <v>5</v>
      </c>
      <c r="AW11" s="111" t="s">
        <v>136</v>
      </c>
      <c r="AX11" s="111" t="s">
        <v>136</v>
      </c>
      <c r="AY11" s="111" t="s">
        <v>203</v>
      </c>
      <c r="AZ11" s="111" t="s">
        <v>212</v>
      </c>
      <c r="BA11" s="111" t="s">
        <v>224</v>
      </c>
      <c r="BB11" s="174">
        <v>45737</v>
      </c>
      <c r="BC11" s="174">
        <v>46101</v>
      </c>
      <c r="BD11" s="111" t="s">
        <v>136</v>
      </c>
      <c r="BE11" s="111" t="s">
        <v>136</v>
      </c>
      <c r="BF11" s="111" t="s">
        <v>136</v>
      </c>
      <c r="BG11" s="111" t="s">
        <v>136</v>
      </c>
      <c r="BH11" s="111" t="s">
        <v>136</v>
      </c>
      <c r="BI11" s="111" t="s">
        <v>136</v>
      </c>
      <c r="BJ11" s="111" t="s">
        <v>136</v>
      </c>
      <c r="BK11" s="111" t="s">
        <v>136</v>
      </c>
      <c r="BL11" s="111" t="s">
        <v>136</v>
      </c>
      <c r="BM11" s="111" t="s">
        <v>136</v>
      </c>
      <c r="BN11" s="111" t="s">
        <v>136</v>
      </c>
      <c r="BO11" s="111" t="s">
        <v>136</v>
      </c>
      <c r="BP11" s="111" t="s">
        <v>225</v>
      </c>
      <c r="BQ11" s="111" t="s">
        <v>213</v>
      </c>
      <c r="BR11" s="111" t="s">
        <v>226</v>
      </c>
      <c r="BS11" s="111" t="s">
        <v>227</v>
      </c>
      <c r="BT11" s="182" t="s">
        <v>228</v>
      </c>
      <c r="BU11" s="111" t="s">
        <v>229</v>
      </c>
      <c r="BV11" s="111" t="s">
        <v>217</v>
      </c>
      <c r="BW11" s="111"/>
      <c r="BX11" s="111"/>
      <c r="BY11" s="111"/>
      <c r="BZ11" s="111"/>
      <c r="CA11" s="111"/>
      <c r="CB11" s="111"/>
      <c r="CC11" s="178"/>
      <c r="CD11" s="177">
        <f t="shared" si="4"/>
        <v>41450.400000000001</v>
      </c>
      <c r="CE11" s="148">
        <v>45870</v>
      </c>
      <c r="CF11" s="111">
        <f t="shared" si="5"/>
        <v>18</v>
      </c>
      <c r="CG11" s="177">
        <f t="shared" si="6"/>
        <v>48911.472000000002</v>
      </c>
      <c r="CH11" s="203">
        <f t="shared" si="7"/>
        <v>3</v>
      </c>
      <c r="CI11" s="148">
        <v>45870</v>
      </c>
      <c r="CJ11" s="161">
        <f t="shared" si="81"/>
        <v>45962</v>
      </c>
      <c r="CK11" s="162">
        <f t="shared" si="82"/>
        <v>46419</v>
      </c>
      <c r="CL11" s="180"/>
      <c r="CM11" s="164">
        <f t="shared" ca="1" si="8"/>
        <v>46054</v>
      </c>
      <c r="CN11" s="165">
        <f t="shared" si="9"/>
        <v>45962</v>
      </c>
      <c r="CO11" s="109">
        <f t="shared" si="10"/>
        <v>2762.7118644067796</v>
      </c>
      <c r="CP11" s="109">
        <f t="shared" si="11"/>
        <v>497.28813559322037</v>
      </c>
      <c r="CQ11" s="109">
        <v>3260</v>
      </c>
      <c r="CR11" s="109">
        <f t="shared" si="12"/>
        <v>-0.76479999999992287</v>
      </c>
      <c r="CS11" s="166">
        <v>45910</v>
      </c>
      <c r="CT11" s="167">
        <f t="shared" si="13"/>
        <v>0</v>
      </c>
      <c r="CU11" s="165">
        <f t="shared" si="14"/>
        <v>45992</v>
      </c>
      <c r="CV11" s="109">
        <f t="shared" si="15"/>
        <v>2762.7118644067796</v>
      </c>
      <c r="CW11" s="109">
        <f t="shared" si="16"/>
        <v>497.28813559322037</v>
      </c>
      <c r="CX11" s="109">
        <v>3260</v>
      </c>
      <c r="CY11" s="109">
        <f t="shared" si="17"/>
        <v>-0.76479999999992287</v>
      </c>
      <c r="CZ11" s="166">
        <v>46033</v>
      </c>
      <c r="DA11" s="167">
        <f t="shared" si="18"/>
        <v>41</v>
      </c>
      <c r="DB11" s="165">
        <f t="shared" si="19"/>
        <v>46023</v>
      </c>
      <c r="DC11" s="109">
        <f t="shared" si="20"/>
        <v>0</v>
      </c>
      <c r="DD11" s="109">
        <f t="shared" si="21"/>
        <v>0</v>
      </c>
      <c r="DE11" s="109"/>
      <c r="DF11" s="109">
        <f t="shared" si="22"/>
        <v>0</v>
      </c>
      <c r="DG11" s="166">
        <f ca="1">TODAY()</f>
        <v>46054</v>
      </c>
      <c r="DH11" s="167">
        <f t="shared" ca="1" si="23"/>
        <v>31</v>
      </c>
      <c r="DI11" s="165">
        <f t="shared" si="24"/>
        <v>46054</v>
      </c>
      <c r="DJ11" s="109">
        <f t="shared" si="25"/>
        <v>0</v>
      </c>
      <c r="DK11" s="109">
        <f t="shared" si="26"/>
        <v>0</v>
      </c>
      <c r="DL11" s="109">
        <v>0</v>
      </c>
      <c r="DM11" s="109">
        <f t="shared" si="27"/>
        <v>0</v>
      </c>
      <c r="DN11" s="166">
        <f t="shared" ca="1" si="87"/>
        <v>46054</v>
      </c>
      <c r="DO11" s="167">
        <f t="shared" ca="1" si="28"/>
        <v>0</v>
      </c>
      <c r="DP11" s="165">
        <f t="shared" ref="DP11:DP74" si="93">DI11+31</f>
        <v>46085</v>
      </c>
      <c r="DQ11" s="109">
        <f t="shared" si="29"/>
        <v>0</v>
      </c>
      <c r="DR11" s="109">
        <f t="shared" ref="DR11:DR74" si="94">DS11/(1+AM11)*AM11</f>
        <v>0</v>
      </c>
      <c r="DS11" s="109"/>
      <c r="DT11" s="109">
        <f t="shared" si="30"/>
        <v>0</v>
      </c>
      <c r="DU11" s="166">
        <f t="shared" ca="1" si="88"/>
        <v>46054</v>
      </c>
      <c r="DV11" s="167">
        <f t="shared" ca="1" si="31"/>
        <v>0</v>
      </c>
      <c r="DW11" s="165">
        <f t="shared" si="32"/>
        <v>46116</v>
      </c>
      <c r="DX11" s="109">
        <f t="shared" si="33"/>
        <v>0</v>
      </c>
      <c r="DY11" s="109">
        <f t="shared" si="34"/>
        <v>0</v>
      </c>
      <c r="DZ11" s="109"/>
      <c r="EA11" s="109">
        <f t="shared" si="35"/>
        <v>0</v>
      </c>
      <c r="EB11" s="166">
        <f t="shared" ca="1" si="89"/>
        <v>46054</v>
      </c>
      <c r="EC11" s="167">
        <f t="shared" ca="1" si="36"/>
        <v>0</v>
      </c>
      <c r="ED11" s="165">
        <f t="shared" si="37"/>
        <v>46146</v>
      </c>
      <c r="EE11" s="109">
        <f t="shared" si="38"/>
        <v>0</v>
      </c>
      <c r="EF11" s="109">
        <f t="shared" si="39"/>
        <v>0</v>
      </c>
      <c r="EG11" s="109"/>
      <c r="EH11" s="109">
        <f t="shared" si="40"/>
        <v>0</v>
      </c>
      <c r="EI11" s="166">
        <f t="shared" ca="1" si="90"/>
        <v>46054</v>
      </c>
      <c r="EJ11" s="167">
        <f t="shared" ca="1" si="41"/>
        <v>0</v>
      </c>
      <c r="EK11" s="165">
        <f t="shared" si="42"/>
        <v>46177</v>
      </c>
      <c r="EL11" s="109">
        <f t="shared" si="43"/>
        <v>0</v>
      </c>
      <c r="EM11" s="109">
        <f t="shared" si="44"/>
        <v>0</v>
      </c>
      <c r="EN11" s="109"/>
      <c r="EO11" s="109">
        <f t="shared" si="45"/>
        <v>0</v>
      </c>
      <c r="EP11" s="166">
        <f t="shared" ca="1" si="91"/>
        <v>46054</v>
      </c>
      <c r="EQ11" s="167">
        <f t="shared" ca="1" si="46"/>
        <v>0</v>
      </c>
      <c r="ER11" s="165">
        <f t="shared" si="47"/>
        <v>46207</v>
      </c>
      <c r="ES11" s="109">
        <f t="shared" si="48"/>
        <v>0</v>
      </c>
      <c r="ET11" s="109">
        <f t="shared" si="49"/>
        <v>0</v>
      </c>
      <c r="EU11" s="109"/>
      <c r="EV11" s="109"/>
      <c r="EW11" s="166"/>
      <c r="EX11" s="166"/>
      <c r="EY11" s="165">
        <f t="shared" si="50"/>
        <v>46238</v>
      </c>
      <c r="EZ11" s="109">
        <f t="shared" si="51"/>
        <v>0</v>
      </c>
      <c r="FA11" s="109">
        <f t="shared" si="52"/>
        <v>0</v>
      </c>
      <c r="FB11" s="109"/>
      <c r="FC11" s="109"/>
      <c r="FD11" s="166"/>
      <c r="FE11" s="166"/>
      <c r="FF11" s="165">
        <f t="shared" si="53"/>
        <v>46269</v>
      </c>
      <c r="FG11" s="109">
        <f t="shared" si="54"/>
        <v>0</v>
      </c>
      <c r="FH11" s="109">
        <f t="shared" si="55"/>
        <v>0</v>
      </c>
      <c r="FI11" s="109"/>
      <c r="FJ11" s="109"/>
      <c r="FK11" s="166"/>
      <c r="FL11" s="166"/>
      <c r="FM11" s="165">
        <f t="shared" si="56"/>
        <v>46299</v>
      </c>
      <c r="FN11" s="109">
        <f t="shared" si="57"/>
        <v>0</v>
      </c>
      <c r="FO11" s="109">
        <f t="shared" si="58"/>
        <v>0</v>
      </c>
      <c r="FP11" s="109"/>
      <c r="FQ11" s="109"/>
      <c r="FR11" s="166"/>
      <c r="FS11" s="166"/>
      <c r="FT11" s="165">
        <f t="shared" si="59"/>
        <v>46330</v>
      </c>
      <c r="FU11" s="109">
        <f t="shared" si="60"/>
        <v>0</v>
      </c>
      <c r="FV11" s="109">
        <f t="shared" si="61"/>
        <v>0</v>
      </c>
      <c r="FW11" s="109"/>
      <c r="FX11" s="109"/>
      <c r="FY11" s="166"/>
      <c r="FZ11" s="166"/>
      <c r="GA11" s="165">
        <f t="shared" si="62"/>
        <v>46360</v>
      </c>
      <c r="GB11" s="109">
        <f t="shared" si="63"/>
        <v>0</v>
      </c>
      <c r="GC11" s="109">
        <f t="shared" si="64"/>
        <v>0</v>
      </c>
      <c r="GD11" s="109"/>
      <c r="GE11" s="109"/>
      <c r="GF11" s="166"/>
      <c r="GG11" s="166"/>
      <c r="GH11" s="165">
        <f t="shared" si="65"/>
        <v>46391</v>
      </c>
      <c r="GI11" s="109">
        <f t="shared" si="66"/>
        <v>0</v>
      </c>
      <c r="GJ11" s="109">
        <f t="shared" si="67"/>
        <v>0</v>
      </c>
      <c r="GK11" s="109"/>
      <c r="GL11" s="109"/>
      <c r="GM11" s="166"/>
      <c r="GN11" s="166"/>
      <c r="GO11" s="165"/>
      <c r="GP11" s="109"/>
      <c r="GQ11" s="109"/>
      <c r="GR11" s="109"/>
      <c r="GS11" s="109"/>
      <c r="GT11" s="166"/>
      <c r="GU11" s="166"/>
      <c r="GV11" s="165"/>
      <c r="GW11" s="168"/>
      <c r="GX11" s="168"/>
      <c r="GY11" s="168"/>
      <c r="GZ11" s="168"/>
      <c r="HA11" s="166"/>
      <c r="HB11" s="166"/>
      <c r="HC11" s="165"/>
      <c r="HD11" s="109"/>
      <c r="HE11" s="109"/>
      <c r="HF11" s="109"/>
      <c r="HG11" s="109"/>
      <c r="HH11" s="166"/>
      <c r="HI11" s="166"/>
      <c r="HJ11" s="165"/>
      <c r="HK11" s="109"/>
      <c r="HL11" s="109"/>
      <c r="HM11" s="109"/>
      <c r="HN11" s="109"/>
      <c r="HO11" s="166"/>
      <c r="HP11" s="166"/>
      <c r="HQ11" s="165"/>
      <c r="HR11" s="109"/>
      <c r="HS11" s="109"/>
      <c r="HT11" s="109"/>
      <c r="HU11" s="109"/>
      <c r="HV11" s="166"/>
      <c r="HW11" s="166"/>
      <c r="HX11" s="105">
        <f t="shared" si="86"/>
        <v>5525.4237288135591</v>
      </c>
      <c r="HY11" s="105">
        <f t="shared" si="83"/>
        <v>994.57627118644075</v>
      </c>
      <c r="HZ11" s="105">
        <f t="shared" si="83"/>
        <v>6520</v>
      </c>
      <c r="IA11" s="105">
        <f t="shared" si="68"/>
        <v>0</v>
      </c>
      <c r="IB11" s="109">
        <f t="shared" si="69"/>
        <v>42391.472000000002</v>
      </c>
      <c r="IC11" s="109">
        <f t="shared" si="70"/>
        <v>35924.976271186446</v>
      </c>
      <c r="ID11" s="109">
        <f t="shared" si="71"/>
        <v>0</v>
      </c>
      <c r="IE11" s="109">
        <f t="shared" ca="1" si="72"/>
        <v>72</v>
      </c>
      <c r="IF11" s="139">
        <f t="shared" si="73"/>
        <v>1.999530907595666</v>
      </c>
      <c r="IG11" s="139">
        <f t="shared" ca="1" si="74"/>
        <v>92</v>
      </c>
      <c r="IH11" s="169">
        <f t="shared" ca="1" si="75"/>
        <v>3.0666666666666669</v>
      </c>
      <c r="II11" s="139">
        <f t="shared" ca="1" si="76"/>
        <v>1.0671357590710009</v>
      </c>
      <c r="IJ11" s="169">
        <f t="shared" ca="1" si="77"/>
        <v>32.014072772130028</v>
      </c>
      <c r="IK11" s="169">
        <f t="shared" ca="1" si="84"/>
        <v>1.0671357590710009</v>
      </c>
      <c r="IL11" s="170">
        <f t="shared" ca="1" si="78"/>
        <v>3479.6787200000003</v>
      </c>
      <c r="IM11" s="171"/>
      <c r="IN11" s="171"/>
      <c r="IO11" s="171"/>
      <c r="IP11" s="171"/>
    </row>
    <row r="12" spans="1:250" ht="15" customHeight="1" thickBot="1" x14ac:dyDescent="0.35">
      <c r="A12" s="110">
        <f t="shared" si="79"/>
        <v>8</v>
      </c>
      <c r="B12" s="111" t="s">
        <v>170</v>
      </c>
      <c r="C12" s="145" t="s">
        <v>171</v>
      </c>
      <c r="D12" s="145">
        <v>102</v>
      </c>
      <c r="E12" s="111" t="s">
        <v>210</v>
      </c>
      <c r="F12" s="111"/>
      <c r="G12" s="111" t="s">
        <v>230</v>
      </c>
      <c r="H12" s="111">
        <v>1021100007</v>
      </c>
      <c r="I12" s="146" t="str">
        <f t="shared" si="0"/>
        <v>1100007</v>
      </c>
      <c r="J12" s="145" t="str">
        <f t="shared" si="1"/>
        <v>KN1100007</v>
      </c>
      <c r="K12" s="111" t="s">
        <v>231</v>
      </c>
      <c r="L12" s="111" t="s">
        <v>136</v>
      </c>
      <c r="M12" s="111" t="s">
        <v>232</v>
      </c>
      <c r="N12" s="111" t="s">
        <v>176</v>
      </c>
      <c r="O12" s="111"/>
      <c r="P12" s="111">
        <v>34184659</v>
      </c>
      <c r="Q12" s="148">
        <v>34779</v>
      </c>
      <c r="R12" s="111" t="s">
        <v>170</v>
      </c>
      <c r="S12" s="111">
        <f t="shared" ca="1" si="85"/>
        <v>30</v>
      </c>
      <c r="T12" s="111" t="s">
        <v>233</v>
      </c>
      <c r="U12" s="145" t="s">
        <v>234</v>
      </c>
      <c r="V12" s="172">
        <v>767372832</v>
      </c>
      <c r="W12" s="111"/>
      <c r="X12" s="111" t="s">
        <v>181</v>
      </c>
      <c r="Y12" s="111">
        <v>11</v>
      </c>
      <c r="Z12" s="111" t="s">
        <v>235</v>
      </c>
      <c r="AA12" s="111" t="s">
        <v>235</v>
      </c>
      <c r="AB12" s="111" t="s">
        <v>236</v>
      </c>
      <c r="AC12" s="111" t="s">
        <v>146</v>
      </c>
      <c r="AD12" s="111" t="s">
        <v>147</v>
      </c>
      <c r="AE12" s="173" t="s">
        <v>136</v>
      </c>
      <c r="AF12" s="173" t="s">
        <v>136</v>
      </c>
      <c r="AG12" s="174">
        <v>45871</v>
      </c>
      <c r="AH12" s="175">
        <v>30000</v>
      </c>
      <c r="AI12" s="111">
        <v>12</v>
      </c>
      <c r="AJ12" s="111">
        <v>0</v>
      </c>
      <c r="AK12" s="150">
        <f t="shared" si="80"/>
        <v>12</v>
      </c>
      <c r="AL12" s="177">
        <v>21265.55</v>
      </c>
      <c r="AM12" s="176">
        <v>0.18</v>
      </c>
      <c r="AN12" s="177">
        <f t="shared" si="92"/>
        <v>3827.7989999999995</v>
      </c>
      <c r="AO12" s="157">
        <f t="shared" si="2"/>
        <v>25093.348999999998</v>
      </c>
      <c r="AP12" s="158">
        <f t="shared" si="3"/>
        <v>2091.1124166666664</v>
      </c>
      <c r="AQ12" s="178" t="s">
        <v>136</v>
      </c>
      <c r="AR12" s="178" t="s">
        <v>170</v>
      </c>
      <c r="AS12" s="111" t="s">
        <v>234</v>
      </c>
      <c r="AT12" s="111" t="s">
        <v>237</v>
      </c>
      <c r="AU12" s="111" t="s">
        <v>238</v>
      </c>
      <c r="AV12" s="111">
        <v>2</v>
      </c>
      <c r="AW12" s="111" t="s">
        <v>136</v>
      </c>
      <c r="AX12" s="111" t="s">
        <v>136</v>
      </c>
      <c r="AY12" s="111" t="s">
        <v>136</v>
      </c>
      <c r="AZ12" s="111" t="s">
        <v>136</v>
      </c>
      <c r="BA12" s="111" t="s">
        <v>136</v>
      </c>
      <c r="BB12" s="111" t="s">
        <v>136</v>
      </c>
      <c r="BC12" s="111" t="s">
        <v>136</v>
      </c>
      <c r="BD12" s="111" t="s">
        <v>136</v>
      </c>
      <c r="BE12" s="111" t="s">
        <v>136</v>
      </c>
      <c r="BF12" s="111" t="s">
        <v>136</v>
      </c>
      <c r="BG12" s="111" t="s">
        <v>136</v>
      </c>
      <c r="BH12" s="111" t="s">
        <v>136</v>
      </c>
      <c r="BI12" s="111" t="s">
        <v>136</v>
      </c>
      <c r="BJ12" s="111" t="s">
        <v>136</v>
      </c>
      <c r="BK12" s="111" t="s">
        <v>136</v>
      </c>
      <c r="BL12" s="111" t="s">
        <v>136</v>
      </c>
      <c r="BM12" s="111" t="s">
        <v>136</v>
      </c>
      <c r="BN12" s="111" t="s">
        <v>136</v>
      </c>
      <c r="BO12" s="111" t="s">
        <v>136</v>
      </c>
      <c r="BP12" s="111" t="s">
        <v>239</v>
      </c>
      <c r="BQ12" s="111" t="s">
        <v>136</v>
      </c>
      <c r="BR12" s="111" t="s">
        <v>240</v>
      </c>
      <c r="BS12" s="111" t="s">
        <v>241</v>
      </c>
      <c r="BT12" s="182" t="s">
        <v>242</v>
      </c>
      <c r="BU12" s="111" t="s">
        <v>233</v>
      </c>
      <c r="BV12" s="111" t="s">
        <v>234</v>
      </c>
      <c r="BW12" s="111"/>
      <c r="BX12" s="111"/>
      <c r="BY12" s="111"/>
      <c r="BZ12" s="111"/>
      <c r="CA12" s="111"/>
      <c r="CB12" s="111"/>
      <c r="CC12" s="178"/>
      <c r="CD12" s="177">
        <f t="shared" si="4"/>
        <v>21265.55</v>
      </c>
      <c r="CE12" s="148">
        <v>45874</v>
      </c>
      <c r="CF12" s="111">
        <f t="shared" si="5"/>
        <v>12</v>
      </c>
      <c r="CG12" s="177">
        <f t="shared" si="6"/>
        <v>25093.348999999998</v>
      </c>
      <c r="CH12" s="203">
        <v>0</v>
      </c>
      <c r="CI12" s="148">
        <v>45874</v>
      </c>
      <c r="CJ12" s="161">
        <f t="shared" si="81"/>
        <v>45905</v>
      </c>
      <c r="CK12" s="162">
        <f t="shared" si="82"/>
        <v>46239</v>
      </c>
      <c r="CL12" s="180"/>
      <c r="CM12" s="164">
        <f t="shared" ca="1" si="8"/>
        <v>46054</v>
      </c>
      <c r="CN12" s="165">
        <f t="shared" si="9"/>
        <v>45905</v>
      </c>
      <c r="CO12" s="109">
        <f t="shared" si="10"/>
        <v>1771.1864406779662</v>
      </c>
      <c r="CP12" s="109">
        <f t="shared" si="11"/>
        <v>318.81355932203388</v>
      </c>
      <c r="CQ12" s="109">
        <v>2090</v>
      </c>
      <c r="CR12" s="109">
        <f t="shared" si="12"/>
        <v>-1.1124166666663768</v>
      </c>
      <c r="CS12" s="166">
        <v>45909</v>
      </c>
      <c r="CT12" s="167">
        <f t="shared" si="13"/>
        <v>4</v>
      </c>
      <c r="CU12" s="165">
        <f t="shared" si="14"/>
        <v>45935</v>
      </c>
      <c r="CV12" s="109">
        <f t="shared" si="15"/>
        <v>1762.7118644067796</v>
      </c>
      <c r="CW12" s="109">
        <f t="shared" si="16"/>
        <v>317.28813559322037</v>
      </c>
      <c r="CX12" s="109">
        <v>2080</v>
      </c>
      <c r="CY12" s="109">
        <f t="shared" si="17"/>
        <v>-11.112416666666377</v>
      </c>
      <c r="CZ12" s="166">
        <v>45939</v>
      </c>
      <c r="DA12" s="167">
        <f t="shared" si="18"/>
        <v>4</v>
      </c>
      <c r="DB12" s="165">
        <f t="shared" si="19"/>
        <v>45966</v>
      </c>
      <c r="DC12" s="109">
        <f t="shared" si="20"/>
        <v>889.83050847457628</v>
      </c>
      <c r="DD12" s="109">
        <f t="shared" si="21"/>
        <v>160.16949152542372</v>
      </c>
      <c r="DE12" s="109">
        <v>1050</v>
      </c>
      <c r="DF12" s="109">
        <f t="shared" si="22"/>
        <v>-1041.1124166666664</v>
      </c>
      <c r="DG12" s="166">
        <v>45970</v>
      </c>
      <c r="DH12" s="167">
        <f t="shared" si="23"/>
        <v>4</v>
      </c>
      <c r="DI12" s="165">
        <f t="shared" si="24"/>
        <v>45996</v>
      </c>
      <c r="DJ12" s="109">
        <f t="shared" si="25"/>
        <v>0</v>
      </c>
      <c r="DK12" s="109">
        <f t="shared" si="26"/>
        <v>0</v>
      </c>
      <c r="DL12" s="109">
        <v>0</v>
      </c>
      <c r="DM12" s="109">
        <f t="shared" si="27"/>
        <v>0</v>
      </c>
      <c r="DN12" s="166">
        <f t="shared" ca="1" si="87"/>
        <v>46054</v>
      </c>
      <c r="DO12" s="167">
        <f t="shared" ca="1" si="28"/>
        <v>58</v>
      </c>
      <c r="DP12" s="165">
        <f t="shared" si="93"/>
        <v>46027</v>
      </c>
      <c r="DQ12" s="109">
        <f t="shared" si="29"/>
        <v>0</v>
      </c>
      <c r="DR12" s="109">
        <f t="shared" si="94"/>
        <v>0</v>
      </c>
      <c r="DS12" s="109"/>
      <c r="DT12" s="109">
        <f t="shared" si="30"/>
        <v>0</v>
      </c>
      <c r="DU12" s="166">
        <f t="shared" ca="1" si="88"/>
        <v>46054</v>
      </c>
      <c r="DV12" s="167">
        <f t="shared" ca="1" si="31"/>
        <v>27</v>
      </c>
      <c r="DW12" s="165">
        <f t="shared" si="32"/>
        <v>46058</v>
      </c>
      <c r="DX12" s="109">
        <f t="shared" si="33"/>
        <v>0</v>
      </c>
      <c r="DY12" s="109">
        <f t="shared" si="34"/>
        <v>0</v>
      </c>
      <c r="DZ12" s="109"/>
      <c r="EA12" s="109">
        <f t="shared" si="35"/>
        <v>0</v>
      </c>
      <c r="EB12" s="166">
        <f t="shared" ca="1" si="89"/>
        <v>46054</v>
      </c>
      <c r="EC12" s="167">
        <f t="shared" ca="1" si="36"/>
        <v>0</v>
      </c>
      <c r="ED12" s="165">
        <f t="shared" si="37"/>
        <v>46086</v>
      </c>
      <c r="EE12" s="109">
        <f t="shared" si="38"/>
        <v>0</v>
      </c>
      <c r="EF12" s="109">
        <f t="shared" si="39"/>
        <v>0</v>
      </c>
      <c r="EG12" s="109"/>
      <c r="EH12" s="109">
        <f t="shared" si="40"/>
        <v>0</v>
      </c>
      <c r="EI12" s="166">
        <f t="shared" ca="1" si="90"/>
        <v>46054</v>
      </c>
      <c r="EJ12" s="167">
        <f t="shared" ca="1" si="41"/>
        <v>0</v>
      </c>
      <c r="EK12" s="165">
        <f t="shared" si="42"/>
        <v>46117</v>
      </c>
      <c r="EL12" s="109">
        <f t="shared" si="43"/>
        <v>0</v>
      </c>
      <c r="EM12" s="109">
        <f t="shared" si="44"/>
        <v>0</v>
      </c>
      <c r="EN12" s="109"/>
      <c r="EO12" s="109">
        <f t="shared" si="45"/>
        <v>0</v>
      </c>
      <c r="EP12" s="166">
        <f t="shared" ca="1" si="91"/>
        <v>46054</v>
      </c>
      <c r="EQ12" s="167">
        <f t="shared" ca="1" si="46"/>
        <v>0</v>
      </c>
      <c r="ER12" s="165">
        <f t="shared" si="47"/>
        <v>46147</v>
      </c>
      <c r="ES12" s="109">
        <f t="shared" si="48"/>
        <v>0</v>
      </c>
      <c r="ET12" s="109">
        <f t="shared" si="49"/>
        <v>0</v>
      </c>
      <c r="EU12" s="109"/>
      <c r="EV12" s="109"/>
      <c r="EW12" s="166"/>
      <c r="EX12" s="166"/>
      <c r="EY12" s="165">
        <f t="shared" si="50"/>
        <v>46178</v>
      </c>
      <c r="EZ12" s="109">
        <f t="shared" si="51"/>
        <v>0</v>
      </c>
      <c r="FA12" s="109">
        <f t="shared" si="52"/>
        <v>0</v>
      </c>
      <c r="FB12" s="109"/>
      <c r="FC12" s="109"/>
      <c r="FD12" s="166"/>
      <c r="FE12" s="166"/>
      <c r="FF12" s="165">
        <f t="shared" si="53"/>
        <v>46208</v>
      </c>
      <c r="FG12" s="109">
        <f t="shared" si="54"/>
        <v>0</v>
      </c>
      <c r="FH12" s="109">
        <f t="shared" si="55"/>
        <v>0</v>
      </c>
      <c r="FI12" s="109"/>
      <c r="FJ12" s="109"/>
      <c r="FK12" s="166"/>
      <c r="FL12" s="166"/>
      <c r="FM12" s="165">
        <f t="shared" si="56"/>
        <v>46239</v>
      </c>
      <c r="FN12" s="109">
        <f t="shared" si="57"/>
        <v>0</v>
      </c>
      <c r="FO12" s="109">
        <f t="shared" si="58"/>
        <v>0</v>
      </c>
      <c r="FP12" s="109"/>
      <c r="FQ12" s="109"/>
      <c r="FR12" s="166"/>
      <c r="FS12" s="166"/>
      <c r="FT12" s="165"/>
      <c r="FU12" s="109"/>
      <c r="FV12" s="109"/>
      <c r="FW12" s="109"/>
      <c r="FX12" s="109"/>
      <c r="FY12" s="166"/>
      <c r="FZ12" s="166"/>
      <c r="GA12" s="165"/>
      <c r="GB12" s="109"/>
      <c r="GC12" s="109"/>
      <c r="GD12" s="109"/>
      <c r="GE12" s="109"/>
      <c r="GF12" s="166"/>
      <c r="GG12" s="166"/>
      <c r="GH12" s="165"/>
      <c r="GI12" s="109"/>
      <c r="GJ12" s="109"/>
      <c r="GK12" s="109"/>
      <c r="GL12" s="109"/>
      <c r="GM12" s="166"/>
      <c r="GN12" s="166"/>
      <c r="GO12" s="165"/>
      <c r="GP12" s="109"/>
      <c r="GQ12" s="109"/>
      <c r="GR12" s="109"/>
      <c r="GS12" s="109"/>
      <c r="GT12" s="166"/>
      <c r="GU12" s="166"/>
      <c r="GV12" s="165"/>
      <c r="GW12" s="168"/>
      <c r="GX12" s="168"/>
      <c r="GY12" s="168"/>
      <c r="GZ12" s="168"/>
      <c r="HA12" s="166"/>
      <c r="HB12" s="166"/>
      <c r="HC12" s="165"/>
      <c r="HD12" s="109"/>
      <c r="HE12" s="109"/>
      <c r="HF12" s="109"/>
      <c r="HG12" s="109"/>
      <c r="HH12" s="166"/>
      <c r="HI12" s="166"/>
      <c r="HJ12" s="165"/>
      <c r="HK12" s="109"/>
      <c r="HL12" s="109"/>
      <c r="HM12" s="109"/>
      <c r="HN12" s="109"/>
      <c r="HO12" s="166"/>
      <c r="HP12" s="166"/>
      <c r="HQ12" s="165"/>
      <c r="HR12" s="109"/>
      <c r="HS12" s="109"/>
      <c r="HT12" s="109"/>
      <c r="HU12" s="109"/>
      <c r="HV12" s="166"/>
      <c r="HW12" s="166"/>
      <c r="HX12" s="105">
        <f t="shared" si="86"/>
        <v>4423.7288135593217</v>
      </c>
      <c r="HY12" s="105">
        <f t="shared" si="83"/>
        <v>796.27118644067798</v>
      </c>
      <c r="HZ12" s="105">
        <f t="shared" si="83"/>
        <v>5220</v>
      </c>
      <c r="IA12" s="105">
        <f t="shared" si="68"/>
        <v>0</v>
      </c>
      <c r="IB12" s="109">
        <f t="shared" si="69"/>
        <v>19873.348999999998</v>
      </c>
      <c r="IC12" s="109">
        <f t="shared" si="70"/>
        <v>16841.821186440677</v>
      </c>
      <c r="ID12" s="109">
        <f t="shared" si="71"/>
        <v>0</v>
      </c>
      <c r="IE12" s="109">
        <f t="shared" ca="1" si="72"/>
        <v>97</v>
      </c>
      <c r="IF12" s="139">
        <f t="shared" si="73"/>
        <v>2.4962789940872385</v>
      </c>
      <c r="IG12" s="139">
        <f t="shared" ca="1" si="74"/>
        <v>149</v>
      </c>
      <c r="IH12" s="169">
        <f t="shared" ca="1" si="75"/>
        <v>4.9666666666666668</v>
      </c>
      <c r="II12" s="139">
        <f t="shared" ca="1" si="76"/>
        <v>2.4703876725794283</v>
      </c>
      <c r="IJ12" s="169">
        <f t="shared" ca="1" si="77"/>
        <v>74.11163017738285</v>
      </c>
      <c r="IK12" s="169">
        <f t="shared" ca="1" si="84"/>
        <v>2.4703876725794283</v>
      </c>
      <c r="IL12" s="170">
        <f t="shared" ca="1" si="78"/>
        <v>5165.8583361111096</v>
      </c>
      <c r="IM12" s="171"/>
      <c r="IN12" s="171"/>
      <c r="IO12" s="171"/>
      <c r="IP12" s="171"/>
    </row>
    <row r="13" spans="1:250" ht="15" thickBot="1" x14ac:dyDescent="0.35">
      <c r="A13" s="110">
        <f t="shared" si="79"/>
        <v>9</v>
      </c>
      <c r="B13" s="111" t="s">
        <v>170</v>
      </c>
      <c r="C13" s="111" t="s">
        <v>171</v>
      </c>
      <c r="D13" s="111">
        <v>102</v>
      </c>
      <c r="E13" s="111" t="s">
        <v>210</v>
      </c>
      <c r="F13" s="111"/>
      <c r="G13" s="111" t="s">
        <v>243</v>
      </c>
      <c r="H13" s="111">
        <v>1021100011</v>
      </c>
      <c r="I13" s="146" t="str">
        <f t="shared" si="0"/>
        <v>1100011</v>
      </c>
      <c r="J13" s="145" t="str">
        <f t="shared" si="1"/>
        <v>KN1100011</v>
      </c>
      <c r="K13" s="111" t="s">
        <v>244</v>
      </c>
      <c r="L13" s="111" t="s">
        <v>245</v>
      </c>
      <c r="M13" s="111" t="s">
        <v>246</v>
      </c>
      <c r="N13" s="111" t="s">
        <v>138</v>
      </c>
      <c r="O13" s="111"/>
      <c r="P13" s="111" t="s">
        <v>247</v>
      </c>
      <c r="Q13" s="148">
        <v>38074</v>
      </c>
      <c r="R13" s="111" t="s">
        <v>170</v>
      </c>
      <c r="S13" s="111">
        <f t="shared" ca="1" si="85"/>
        <v>21</v>
      </c>
      <c r="T13" s="111" t="s">
        <v>216</v>
      </c>
      <c r="U13" s="111" t="s">
        <v>217</v>
      </c>
      <c r="V13" s="181">
        <v>777750965</v>
      </c>
      <c r="W13" s="182" t="s">
        <v>248</v>
      </c>
      <c r="X13" s="111" t="s">
        <v>181</v>
      </c>
      <c r="Y13" s="111">
        <v>11</v>
      </c>
      <c r="Z13" s="111" t="s">
        <v>235</v>
      </c>
      <c r="AA13" s="111" t="s">
        <v>235</v>
      </c>
      <c r="AB13" s="111" t="s">
        <v>236</v>
      </c>
      <c r="AC13" s="111" t="s">
        <v>146</v>
      </c>
      <c r="AD13" s="111" t="s">
        <v>147</v>
      </c>
      <c r="AE13" s="173" t="s">
        <v>136</v>
      </c>
      <c r="AF13" s="173" t="s">
        <v>136</v>
      </c>
      <c r="AG13" s="174">
        <v>45871</v>
      </c>
      <c r="AH13" s="175">
        <v>100000</v>
      </c>
      <c r="AI13" s="111">
        <v>14</v>
      </c>
      <c r="AJ13" s="111">
        <v>2</v>
      </c>
      <c r="AK13" s="150">
        <f t="shared" si="80"/>
        <v>12</v>
      </c>
      <c r="AL13" s="177">
        <f>(30020+450)*1.01</f>
        <v>30774.7</v>
      </c>
      <c r="AM13" s="176">
        <v>0.18</v>
      </c>
      <c r="AN13" s="177">
        <f t="shared" si="92"/>
        <v>5539.4459999999999</v>
      </c>
      <c r="AO13" s="157">
        <f>(AL13+AN13)</f>
        <v>36314.146000000001</v>
      </c>
      <c r="AP13" s="158">
        <f t="shared" si="3"/>
        <v>3026.1788333333334</v>
      </c>
      <c r="AQ13" s="111" t="s">
        <v>136</v>
      </c>
      <c r="AR13" s="178" t="s">
        <v>170</v>
      </c>
      <c r="AS13" s="111" t="s">
        <v>217</v>
      </c>
      <c r="AT13" s="111" t="s">
        <v>223</v>
      </c>
      <c r="AU13" s="111" t="s">
        <v>216</v>
      </c>
      <c r="AV13" s="111">
        <v>2</v>
      </c>
      <c r="AW13" s="111" t="s">
        <v>136</v>
      </c>
      <c r="AX13" s="111" t="s">
        <v>136</v>
      </c>
      <c r="AY13" s="111" t="s">
        <v>136</v>
      </c>
      <c r="AZ13" s="111" t="s">
        <v>136</v>
      </c>
      <c r="BA13" s="111" t="s">
        <v>136</v>
      </c>
      <c r="BB13" s="111" t="s">
        <v>136</v>
      </c>
      <c r="BC13" s="111" t="s">
        <v>136</v>
      </c>
      <c r="BD13" s="111" t="s">
        <v>136</v>
      </c>
      <c r="BE13" s="111" t="s">
        <v>136</v>
      </c>
      <c r="BF13" s="111" t="s">
        <v>136</v>
      </c>
      <c r="BG13" s="111" t="s">
        <v>136</v>
      </c>
      <c r="BH13" s="111" t="s">
        <v>136</v>
      </c>
      <c r="BI13" s="111" t="s">
        <v>136</v>
      </c>
      <c r="BJ13" s="111" t="s">
        <v>136</v>
      </c>
      <c r="BK13" s="111" t="s">
        <v>136</v>
      </c>
      <c r="BL13" s="111" t="s">
        <v>136</v>
      </c>
      <c r="BM13" s="111" t="s">
        <v>136</v>
      </c>
      <c r="BN13" s="111" t="s">
        <v>136</v>
      </c>
      <c r="BO13" s="111" t="s">
        <v>136</v>
      </c>
      <c r="BP13" s="111" t="s">
        <v>249</v>
      </c>
      <c r="BQ13" s="111" t="s">
        <v>245</v>
      </c>
      <c r="BR13" s="111" t="s">
        <v>250</v>
      </c>
      <c r="BS13" s="111" t="s">
        <v>251</v>
      </c>
      <c r="BT13" s="182" t="s">
        <v>248</v>
      </c>
      <c r="BU13" s="111" t="s">
        <v>252</v>
      </c>
      <c r="BV13" s="111" t="s">
        <v>217</v>
      </c>
      <c r="BW13" s="111"/>
      <c r="BX13" s="111"/>
      <c r="BY13" s="111"/>
      <c r="BZ13" s="111"/>
      <c r="CA13" s="111"/>
      <c r="CB13" s="111"/>
      <c r="CC13" s="178"/>
      <c r="CD13" s="177">
        <f t="shared" si="4"/>
        <v>30774.7</v>
      </c>
      <c r="CE13" s="148">
        <v>45874</v>
      </c>
      <c r="CF13" s="111">
        <f t="shared" si="5"/>
        <v>14</v>
      </c>
      <c r="CG13" s="177">
        <f t="shared" si="6"/>
        <v>36314.146000000001</v>
      </c>
      <c r="CH13" s="203">
        <f t="shared" ref="CH13:CH76" si="95">AJ13</f>
        <v>2</v>
      </c>
      <c r="CI13" s="148">
        <v>45874</v>
      </c>
      <c r="CJ13" s="161">
        <f t="shared" si="81"/>
        <v>45935</v>
      </c>
      <c r="CK13" s="162">
        <f t="shared" si="82"/>
        <v>46300</v>
      </c>
      <c r="CL13" s="180"/>
      <c r="CM13" s="164">
        <f t="shared" ca="1" si="8"/>
        <v>46054</v>
      </c>
      <c r="CN13" s="165">
        <f t="shared" si="9"/>
        <v>45935</v>
      </c>
      <c r="CO13" s="109">
        <f t="shared" si="10"/>
        <v>2567.7966101694915</v>
      </c>
      <c r="CP13" s="109">
        <f t="shared" si="11"/>
        <v>462.20338983050846</v>
      </c>
      <c r="CQ13" s="109">
        <v>3030</v>
      </c>
      <c r="CR13" s="109">
        <f t="shared" si="12"/>
        <v>3.8211666666666133</v>
      </c>
      <c r="CS13" s="166">
        <v>45970</v>
      </c>
      <c r="CT13" s="167">
        <f t="shared" si="13"/>
        <v>35</v>
      </c>
      <c r="CU13" s="165">
        <f t="shared" si="14"/>
        <v>45966</v>
      </c>
      <c r="CV13" s="109">
        <f t="shared" si="15"/>
        <v>2567.7966101694915</v>
      </c>
      <c r="CW13" s="109">
        <f t="shared" si="16"/>
        <v>462.20338983050846</v>
      </c>
      <c r="CX13" s="109">
        <v>3030</v>
      </c>
      <c r="CY13" s="109">
        <f t="shared" si="17"/>
        <v>3.8211666666666133</v>
      </c>
      <c r="CZ13" s="166">
        <v>46000</v>
      </c>
      <c r="DA13" s="167">
        <f t="shared" si="18"/>
        <v>34</v>
      </c>
      <c r="DB13" s="165">
        <f t="shared" si="19"/>
        <v>45996</v>
      </c>
      <c r="DC13" s="109">
        <f t="shared" si="20"/>
        <v>2584.7457627118642</v>
      </c>
      <c r="DD13" s="109">
        <f t="shared" si="21"/>
        <v>465.25423728813564</v>
      </c>
      <c r="DE13" s="109">
        <v>3050</v>
      </c>
      <c r="DF13" s="109">
        <f t="shared" si="22"/>
        <v>23.821166666666613</v>
      </c>
      <c r="DG13" s="166">
        <v>46033</v>
      </c>
      <c r="DH13" s="167">
        <f t="shared" si="23"/>
        <v>37</v>
      </c>
      <c r="DI13" s="165">
        <f t="shared" si="24"/>
        <v>46027</v>
      </c>
      <c r="DJ13" s="109">
        <f t="shared" si="25"/>
        <v>0</v>
      </c>
      <c r="DK13" s="109">
        <f t="shared" si="26"/>
        <v>0</v>
      </c>
      <c r="DL13" s="109">
        <v>0</v>
      </c>
      <c r="DM13" s="109">
        <f t="shared" si="27"/>
        <v>0</v>
      </c>
      <c r="DN13" s="166">
        <f t="shared" ca="1" si="87"/>
        <v>46054</v>
      </c>
      <c r="DO13" s="167">
        <f t="shared" ca="1" si="28"/>
        <v>27</v>
      </c>
      <c r="DP13" s="165">
        <f t="shared" si="93"/>
        <v>46058</v>
      </c>
      <c r="DQ13" s="109">
        <f t="shared" si="29"/>
        <v>0</v>
      </c>
      <c r="DR13" s="109">
        <f t="shared" si="94"/>
        <v>0</v>
      </c>
      <c r="DS13" s="109"/>
      <c r="DT13" s="109">
        <f t="shared" si="30"/>
        <v>0</v>
      </c>
      <c r="DU13" s="166">
        <f t="shared" ca="1" si="88"/>
        <v>46054</v>
      </c>
      <c r="DV13" s="167">
        <f t="shared" ca="1" si="31"/>
        <v>0</v>
      </c>
      <c r="DW13" s="165">
        <f t="shared" si="32"/>
        <v>46086</v>
      </c>
      <c r="DX13" s="109">
        <f t="shared" si="33"/>
        <v>0</v>
      </c>
      <c r="DY13" s="109">
        <f t="shared" si="34"/>
        <v>0</v>
      </c>
      <c r="DZ13" s="109"/>
      <c r="EA13" s="109">
        <f t="shared" si="35"/>
        <v>0</v>
      </c>
      <c r="EB13" s="166">
        <f t="shared" ca="1" si="89"/>
        <v>46054</v>
      </c>
      <c r="EC13" s="167">
        <f t="shared" ca="1" si="36"/>
        <v>0</v>
      </c>
      <c r="ED13" s="165">
        <f t="shared" si="37"/>
        <v>46117</v>
      </c>
      <c r="EE13" s="109">
        <f t="shared" si="38"/>
        <v>0</v>
      </c>
      <c r="EF13" s="109">
        <f t="shared" si="39"/>
        <v>0</v>
      </c>
      <c r="EG13" s="109"/>
      <c r="EH13" s="109">
        <f t="shared" si="40"/>
        <v>0</v>
      </c>
      <c r="EI13" s="166">
        <f t="shared" ca="1" si="90"/>
        <v>46054</v>
      </c>
      <c r="EJ13" s="167">
        <f t="shared" ca="1" si="41"/>
        <v>0</v>
      </c>
      <c r="EK13" s="165">
        <f t="shared" si="42"/>
        <v>46147</v>
      </c>
      <c r="EL13" s="109">
        <f t="shared" si="43"/>
        <v>0</v>
      </c>
      <c r="EM13" s="109">
        <f t="shared" si="44"/>
        <v>0</v>
      </c>
      <c r="EN13" s="109"/>
      <c r="EO13" s="109">
        <f t="shared" si="45"/>
        <v>0</v>
      </c>
      <c r="EP13" s="166">
        <f t="shared" ca="1" si="91"/>
        <v>46054</v>
      </c>
      <c r="EQ13" s="167">
        <f t="shared" ca="1" si="46"/>
        <v>0</v>
      </c>
      <c r="ER13" s="165">
        <f t="shared" si="47"/>
        <v>46178</v>
      </c>
      <c r="ES13" s="109">
        <f t="shared" si="48"/>
        <v>0</v>
      </c>
      <c r="ET13" s="109">
        <f t="shared" si="49"/>
        <v>0</v>
      </c>
      <c r="EU13" s="109"/>
      <c r="EV13" s="109"/>
      <c r="EW13" s="166"/>
      <c r="EX13" s="166"/>
      <c r="EY13" s="165">
        <f t="shared" si="50"/>
        <v>46208</v>
      </c>
      <c r="EZ13" s="109">
        <f t="shared" si="51"/>
        <v>0</v>
      </c>
      <c r="FA13" s="109">
        <f t="shared" si="52"/>
        <v>0</v>
      </c>
      <c r="FB13" s="109"/>
      <c r="FC13" s="109"/>
      <c r="FD13" s="166"/>
      <c r="FE13" s="166"/>
      <c r="FF13" s="165">
        <f t="shared" si="53"/>
        <v>46239</v>
      </c>
      <c r="FG13" s="109">
        <f t="shared" si="54"/>
        <v>0</v>
      </c>
      <c r="FH13" s="109">
        <f t="shared" si="55"/>
        <v>0</v>
      </c>
      <c r="FI13" s="109"/>
      <c r="FJ13" s="109"/>
      <c r="FK13" s="166"/>
      <c r="FL13" s="166"/>
      <c r="FM13" s="165">
        <f t="shared" si="56"/>
        <v>46270</v>
      </c>
      <c r="FN13" s="109">
        <f t="shared" si="57"/>
        <v>0</v>
      </c>
      <c r="FO13" s="109">
        <f t="shared" si="58"/>
        <v>0</v>
      </c>
      <c r="FP13" s="109"/>
      <c r="FQ13" s="109"/>
      <c r="FR13" s="166"/>
      <c r="FS13" s="166"/>
      <c r="FT13" s="165"/>
      <c r="FU13" s="109"/>
      <c r="FV13" s="109"/>
      <c r="FW13" s="109"/>
      <c r="FX13" s="109"/>
      <c r="FY13" s="166"/>
      <c r="FZ13" s="166"/>
      <c r="GA13" s="165"/>
      <c r="GB13" s="109"/>
      <c r="GC13" s="109"/>
      <c r="GD13" s="109"/>
      <c r="GE13" s="109"/>
      <c r="GF13" s="166"/>
      <c r="GG13" s="166"/>
      <c r="GH13" s="165"/>
      <c r="GI13" s="109"/>
      <c r="GJ13" s="109"/>
      <c r="GK13" s="109"/>
      <c r="GL13" s="109"/>
      <c r="GM13" s="166"/>
      <c r="GN13" s="166"/>
      <c r="GO13" s="165"/>
      <c r="GP13" s="109"/>
      <c r="GQ13" s="109"/>
      <c r="GR13" s="109"/>
      <c r="GS13" s="109"/>
      <c r="GT13" s="166"/>
      <c r="GU13" s="166"/>
      <c r="GV13" s="165"/>
      <c r="GW13" s="168"/>
      <c r="GX13" s="168"/>
      <c r="GY13" s="168"/>
      <c r="GZ13" s="168"/>
      <c r="HA13" s="166"/>
      <c r="HB13" s="166"/>
      <c r="HC13" s="165"/>
      <c r="HD13" s="109"/>
      <c r="HE13" s="109"/>
      <c r="HF13" s="109"/>
      <c r="HG13" s="109"/>
      <c r="HH13" s="166"/>
      <c r="HI13" s="166"/>
      <c r="HJ13" s="165"/>
      <c r="HK13" s="109"/>
      <c r="HL13" s="109"/>
      <c r="HM13" s="109"/>
      <c r="HN13" s="109"/>
      <c r="HO13" s="166"/>
      <c r="HP13" s="166"/>
      <c r="HQ13" s="165"/>
      <c r="HR13" s="109"/>
      <c r="HS13" s="109"/>
      <c r="HT13" s="109"/>
      <c r="HU13" s="109"/>
      <c r="HV13" s="166"/>
      <c r="HW13" s="166"/>
      <c r="HX13" s="105">
        <f t="shared" si="86"/>
        <v>7720.3389830508477</v>
      </c>
      <c r="HY13" s="105">
        <f t="shared" si="83"/>
        <v>1389.6610169491526</v>
      </c>
      <c r="HZ13" s="105">
        <f t="shared" si="83"/>
        <v>9110</v>
      </c>
      <c r="IA13" s="105">
        <f t="shared" si="68"/>
        <v>0</v>
      </c>
      <c r="IB13" s="109">
        <f t="shared" si="69"/>
        <v>27204.146000000001</v>
      </c>
      <c r="IC13" s="109">
        <f t="shared" si="70"/>
        <v>23054.361016949151</v>
      </c>
      <c r="ID13" s="109">
        <f t="shared" si="71"/>
        <v>0</v>
      </c>
      <c r="IE13" s="109">
        <f t="shared" ca="1" si="72"/>
        <v>133</v>
      </c>
      <c r="IF13" s="139">
        <f t="shared" si="73"/>
        <v>3.0103971053043628</v>
      </c>
      <c r="IG13" s="139">
        <f t="shared" ca="1" si="74"/>
        <v>119</v>
      </c>
      <c r="IH13" s="169">
        <f t="shared" ca="1" si="75"/>
        <v>3.9666666666666668</v>
      </c>
      <c r="II13" s="139">
        <f t="shared" ca="1" si="76"/>
        <v>0.95626956136230401</v>
      </c>
      <c r="IJ13" s="169">
        <f t="shared" ca="1" si="77"/>
        <v>28.688086840869119</v>
      </c>
      <c r="IK13" s="169">
        <f t="shared" ca="1" si="84"/>
        <v>0.95626956136230401</v>
      </c>
      <c r="IL13" s="170">
        <f t="shared" ca="1" si="78"/>
        <v>2893.8427055555558</v>
      </c>
      <c r="IM13" s="171"/>
      <c r="IN13" s="171"/>
      <c r="IO13" s="171"/>
      <c r="IP13" s="171"/>
    </row>
    <row r="14" spans="1:250" ht="15" thickBot="1" x14ac:dyDescent="0.35">
      <c r="A14" s="110">
        <f t="shared" si="79"/>
        <v>10</v>
      </c>
      <c r="B14" s="111" t="s">
        <v>170</v>
      </c>
      <c r="C14" s="111" t="s">
        <v>171</v>
      </c>
      <c r="D14" s="111">
        <v>102</v>
      </c>
      <c r="E14" s="111" t="s">
        <v>253</v>
      </c>
      <c r="F14" s="111"/>
      <c r="G14" s="111" t="s">
        <v>254</v>
      </c>
      <c r="H14" s="111">
        <v>1021100126</v>
      </c>
      <c r="I14" s="146" t="str">
        <f t="shared" si="0"/>
        <v>1100126</v>
      </c>
      <c r="J14" s="145" t="str">
        <f t="shared" si="1"/>
        <v>KN1100126</v>
      </c>
      <c r="K14" s="111" t="s">
        <v>255</v>
      </c>
      <c r="L14" s="111" t="s">
        <v>256</v>
      </c>
      <c r="M14" s="111" t="s">
        <v>257</v>
      </c>
      <c r="N14" s="111" t="s">
        <v>138</v>
      </c>
      <c r="O14" s="111"/>
      <c r="P14" s="148" t="s">
        <v>258</v>
      </c>
      <c r="Q14" s="148">
        <v>28434</v>
      </c>
      <c r="R14" s="111" t="s">
        <v>170</v>
      </c>
      <c r="S14" s="111">
        <f t="shared" ca="1" si="85"/>
        <v>48</v>
      </c>
      <c r="T14" s="111" t="s">
        <v>259</v>
      </c>
      <c r="U14" s="111" t="s">
        <v>260</v>
      </c>
      <c r="V14" s="172">
        <v>777780105</v>
      </c>
      <c r="W14" s="111"/>
      <c r="X14" s="111" t="s">
        <v>181</v>
      </c>
      <c r="Y14" s="111">
        <v>11</v>
      </c>
      <c r="Z14" s="111" t="s">
        <v>235</v>
      </c>
      <c r="AA14" s="111" t="s">
        <v>261</v>
      </c>
      <c r="AB14" s="111" t="s">
        <v>236</v>
      </c>
      <c r="AC14" s="111" t="s">
        <v>146</v>
      </c>
      <c r="AD14" s="111" t="s">
        <v>147</v>
      </c>
      <c r="AE14" s="173" t="s">
        <v>136</v>
      </c>
      <c r="AF14" s="173" t="s">
        <v>136</v>
      </c>
      <c r="AG14" s="174">
        <v>45874</v>
      </c>
      <c r="AH14" s="175">
        <v>90000</v>
      </c>
      <c r="AI14" s="111">
        <v>12</v>
      </c>
      <c r="AJ14" s="111">
        <v>0</v>
      </c>
      <c r="AK14" s="150">
        <f t="shared" si="80"/>
        <v>12</v>
      </c>
      <c r="AL14" s="177">
        <v>20000</v>
      </c>
      <c r="AM14" s="176">
        <v>0.18</v>
      </c>
      <c r="AN14" s="177">
        <f t="shared" si="92"/>
        <v>3600</v>
      </c>
      <c r="AO14" s="157">
        <f t="shared" ref="AO14:AO77" si="96">AL14+AN14</f>
        <v>23600</v>
      </c>
      <c r="AP14" s="158">
        <f t="shared" si="3"/>
        <v>1966.6666666666667</v>
      </c>
      <c r="AQ14" s="111" t="s">
        <v>262</v>
      </c>
      <c r="AR14" s="111" t="s">
        <v>263</v>
      </c>
      <c r="AS14" s="111" t="s">
        <v>260</v>
      </c>
      <c r="AT14" s="111" t="s">
        <v>264</v>
      </c>
      <c r="AU14" s="111" t="s">
        <v>259</v>
      </c>
      <c r="AV14" s="111">
        <v>4</v>
      </c>
      <c r="AW14" s="111" t="s">
        <v>136</v>
      </c>
      <c r="AX14" s="111" t="s">
        <v>136</v>
      </c>
      <c r="AY14" s="111" t="s">
        <v>203</v>
      </c>
      <c r="AZ14" s="111" t="s">
        <v>265</v>
      </c>
      <c r="BA14" s="111" t="s">
        <v>266</v>
      </c>
      <c r="BB14" s="174">
        <v>45737</v>
      </c>
      <c r="BC14" s="174">
        <v>46101</v>
      </c>
      <c r="BD14" s="111" t="s">
        <v>136</v>
      </c>
      <c r="BE14" s="111" t="s">
        <v>136</v>
      </c>
      <c r="BF14" s="111" t="s">
        <v>136</v>
      </c>
      <c r="BG14" s="111" t="s">
        <v>136</v>
      </c>
      <c r="BH14" s="111" t="s">
        <v>136</v>
      </c>
      <c r="BI14" s="111" t="s">
        <v>136</v>
      </c>
      <c r="BJ14" s="111" t="s">
        <v>136</v>
      </c>
      <c r="BK14" s="111" t="s">
        <v>136</v>
      </c>
      <c r="BL14" s="111" t="s">
        <v>136</v>
      </c>
      <c r="BM14" s="111" t="s">
        <v>136</v>
      </c>
      <c r="BN14" s="111" t="s">
        <v>136</v>
      </c>
      <c r="BO14" s="111" t="s">
        <v>136</v>
      </c>
      <c r="BP14" s="111" t="s">
        <v>267</v>
      </c>
      <c r="BQ14" s="111" t="s">
        <v>268</v>
      </c>
      <c r="BR14" s="111" t="s">
        <v>269</v>
      </c>
      <c r="BS14" s="111" t="s">
        <v>270</v>
      </c>
      <c r="BT14" s="182" t="s">
        <v>271</v>
      </c>
      <c r="BU14" s="111" t="s">
        <v>272</v>
      </c>
      <c r="BV14" s="111" t="s">
        <v>260</v>
      </c>
      <c r="BW14" s="111"/>
      <c r="BX14" s="111"/>
      <c r="BY14" s="111"/>
      <c r="BZ14" s="111"/>
      <c r="CA14" s="111"/>
      <c r="CB14" s="111"/>
      <c r="CC14" s="178"/>
      <c r="CD14" s="177">
        <f t="shared" si="4"/>
        <v>20000</v>
      </c>
      <c r="CE14" s="148">
        <v>45921</v>
      </c>
      <c r="CF14" s="111">
        <f t="shared" si="5"/>
        <v>12</v>
      </c>
      <c r="CG14" s="177">
        <f t="shared" si="6"/>
        <v>23600</v>
      </c>
      <c r="CH14" s="203">
        <f t="shared" si="95"/>
        <v>0</v>
      </c>
      <c r="CI14" s="148">
        <v>45921</v>
      </c>
      <c r="CJ14" s="161">
        <f t="shared" si="81"/>
        <v>45951</v>
      </c>
      <c r="CK14" s="162">
        <f t="shared" si="82"/>
        <v>46286</v>
      </c>
      <c r="CL14" s="180"/>
      <c r="CM14" s="164">
        <f t="shared" ca="1" si="8"/>
        <v>46054</v>
      </c>
      <c r="CN14" s="165">
        <f t="shared" si="9"/>
        <v>45951</v>
      </c>
      <c r="CO14" s="109">
        <f t="shared" si="10"/>
        <v>1754.2372881355932</v>
      </c>
      <c r="CP14" s="109">
        <f t="shared" si="11"/>
        <v>315.76271186440681</v>
      </c>
      <c r="CQ14" s="109">
        <v>2070</v>
      </c>
      <c r="CR14" s="109">
        <f t="shared" si="12"/>
        <v>103.33333333333326</v>
      </c>
      <c r="CS14" s="166">
        <v>45950</v>
      </c>
      <c r="CT14" s="167">
        <f t="shared" si="13"/>
        <v>0</v>
      </c>
      <c r="CU14" s="165">
        <f t="shared" si="14"/>
        <v>45982</v>
      </c>
      <c r="CV14" s="109">
        <f t="shared" si="15"/>
        <v>1694.9152542372881</v>
      </c>
      <c r="CW14" s="109">
        <f t="shared" si="16"/>
        <v>305.08474576271186</v>
      </c>
      <c r="CX14" s="109">
        <v>2000</v>
      </c>
      <c r="CY14" s="109">
        <f t="shared" si="17"/>
        <v>33.333333333333258</v>
      </c>
      <c r="CZ14" s="166">
        <v>45981</v>
      </c>
      <c r="DA14" s="167">
        <f t="shared" si="18"/>
        <v>0</v>
      </c>
      <c r="DB14" s="165">
        <f t="shared" si="19"/>
        <v>46012</v>
      </c>
      <c r="DC14" s="109">
        <f t="shared" si="20"/>
        <v>1694.9152542372881</v>
      </c>
      <c r="DD14" s="109">
        <f t="shared" si="21"/>
        <v>305.08474576271186</v>
      </c>
      <c r="DE14" s="109">
        <v>2000</v>
      </c>
      <c r="DF14" s="109">
        <f t="shared" si="22"/>
        <v>33.333333333333258</v>
      </c>
      <c r="DG14" s="166">
        <v>46011</v>
      </c>
      <c r="DH14" s="167">
        <f t="shared" si="23"/>
        <v>0</v>
      </c>
      <c r="DI14" s="165">
        <f t="shared" si="24"/>
        <v>46043</v>
      </c>
      <c r="DJ14" s="109">
        <f t="shared" si="25"/>
        <v>0</v>
      </c>
      <c r="DK14" s="109">
        <f t="shared" si="26"/>
        <v>0</v>
      </c>
      <c r="DL14" s="109">
        <v>0</v>
      </c>
      <c r="DM14" s="109">
        <f t="shared" si="27"/>
        <v>0</v>
      </c>
      <c r="DN14" s="166">
        <f t="shared" ca="1" si="87"/>
        <v>46054</v>
      </c>
      <c r="DO14" s="167">
        <f t="shared" ca="1" si="28"/>
        <v>11</v>
      </c>
      <c r="DP14" s="165">
        <f t="shared" si="93"/>
        <v>46074</v>
      </c>
      <c r="DQ14" s="109">
        <f t="shared" si="29"/>
        <v>0</v>
      </c>
      <c r="DR14" s="109">
        <f t="shared" si="94"/>
        <v>0</v>
      </c>
      <c r="DS14" s="109"/>
      <c r="DT14" s="109">
        <f t="shared" si="30"/>
        <v>0</v>
      </c>
      <c r="DU14" s="166">
        <f t="shared" ca="1" si="88"/>
        <v>46054</v>
      </c>
      <c r="DV14" s="167">
        <f t="shared" ca="1" si="31"/>
        <v>0</v>
      </c>
      <c r="DW14" s="165">
        <f t="shared" si="32"/>
        <v>46102</v>
      </c>
      <c r="DX14" s="109">
        <f t="shared" si="33"/>
        <v>0</v>
      </c>
      <c r="DY14" s="109">
        <f t="shared" si="34"/>
        <v>0</v>
      </c>
      <c r="DZ14" s="109"/>
      <c r="EA14" s="109">
        <f t="shared" si="35"/>
        <v>0</v>
      </c>
      <c r="EB14" s="166">
        <f t="shared" ca="1" si="89"/>
        <v>46054</v>
      </c>
      <c r="EC14" s="167">
        <f t="shared" ca="1" si="36"/>
        <v>0</v>
      </c>
      <c r="ED14" s="165">
        <f t="shared" si="37"/>
        <v>46133</v>
      </c>
      <c r="EE14" s="109">
        <f t="shared" si="38"/>
        <v>0</v>
      </c>
      <c r="EF14" s="109">
        <f t="shared" si="39"/>
        <v>0</v>
      </c>
      <c r="EG14" s="109"/>
      <c r="EH14" s="109">
        <f t="shared" si="40"/>
        <v>0</v>
      </c>
      <c r="EI14" s="166">
        <f t="shared" ca="1" si="90"/>
        <v>46054</v>
      </c>
      <c r="EJ14" s="167">
        <f t="shared" ca="1" si="41"/>
        <v>0</v>
      </c>
      <c r="EK14" s="165">
        <f t="shared" si="42"/>
        <v>46163</v>
      </c>
      <c r="EL14" s="109">
        <f t="shared" si="43"/>
        <v>0</v>
      </c>
      <c r="EM14" s="109">
        <f t="shared" si="44"/>
        <v>0</v>
      </c>
      <c r="EN14" s="109"/>
      <c r="EO14" s="109">
        <f t="shared" si="45"/>
        <v>0</v>
      </c>
      <c r="EP14" s="166">
        <f t="shared" ca="1" si="91"/>
        <v>46054</v>
      </c>
      <c r="EQ14" s="167">
        <f t="shared" ca="1" si="46"/>
        <v>0</v>
      </c>
      <c r="ER14" s="165">
        <f t="shared" si="47"/>
        <v>46194</v>
      </c>
      <c r="ES14" s="109">
        <f t="shared" si="48"/>
        <v>0</v>
      </c>
      <c r="ET14" s="109">
        <f t="shared" si="49"/>
        <v>0</v>
      </c>
      <c r="EU14" s="109"/>
      <c r="EV14" s="109"/>
      <c r="EW14" s="166"/>
      <c r="EX14" s="166"/>
      <c r="EY14" s="165">
        <f t="shared" si="50"/>
        <v>46224</v>
      </c>
      <c r="EZ14" s="109">
        <f t="shared" si="51"/>
        <v>0</v>
      </c>
      <c r="FA14" s="109">
        <f t="shared" si="52"/>
        <v>0</v>
      </c>
      <c r="FB14" s="109"/>
      <c r="FC14" s="109"/>
      <c r="FD14" s="166"/>
      <c r="FE14" s="166"/>
      <c r="FF14" s="165">
        <f t="shared" si="53"/>
        <v>46255</v>
      </c>
      <c r="FG14" s="109">
        <f t="shared" si="54"/>
        <v>0</v>
      </c>
      <c r="FH14" s="109">
        <f t="shared" si="55"/>
        <v>0</v>
      </c>
      <c r="FI14" s="109"/>
      <c r="FJ14" s="109"/>
      <c r="FK14" s="166"/>
      <c r="FL14" s="166"/>
      <c r="FM14" s="165">
        <f t="shared" si="56"/>
        <v>46286</v>
      </c>
      <c r="FN14" s="109">
        <f t="shared" si="57"/>
        <v>0</v>
      </c>
      <c r="FO14" s="109">
        <f t="shared" si="58"/>
        <v>0</v>
      </c>
      <c r="FP14" s="109"/>
      <c r="FQ14" s="109"/>
      <c r="FR14" s="166"/>
      <c r="FS14" s="166"/>
      <c r="FT14" s="165"/>
      <c r="FU14" s="109"/>
      <c r="FV14" s="109"/>
      <c r="FW14" s="109"/>
      <c r="FX14" s="109"/>
      <c r="FY14" s="166"/>
      <c r="FZ14" s="166"/>
      <c r="GA14" s="165"/>
      <c r="GB14" s="109"/>
      <c r="GC14" s="109"/>
      <c r="GD14" s="109"/>
      <c r="GE14" s="109"/>
      <c r="GF14" s="166"/>
      <c r="GG14" s="166"/>
      <c r="GH14" s="165"/>
      <c r="GI14" s="109"/>
      <c r="GJ14" s="109"/>
      <c r="GK14" s="109"/>
      <c r="GL14" s="109"/>
      <c r="GM14" s="166"/>
      <c r="GN14" s="166"/>
      <c r="GO14" s="165"/>
      <c r="GP14" s="109"/>
      <c r="GQ14" s="109"/>
      <c r="GR14" s="109"/>
      <c r="GS14" s="109"/>
      <c r="GT14" s="166"/>
      <c r="GU14" s="166"/>
      <c r="GV14" s="165"/>
      <c r="GW14" s="168"/>
      <c r="GX14" s="168"/>
      <c r="GY14" s="168"/>
      <c r="GZ14" s="168"/>
      <c r="HA14" s="166"/>
      <c r="HB14" s="166"/>
      <c r="HC14" s="165"/>
      <c r="HD14" s="109"/>
      <c r="HE14" s="109"/>
      <c r="HF14" s="109"/>
      <c r="HG14" s="109"/>
      <c r="HH14" s="166"/>
      <c r="HI14" s="166"/>
      <c r="HJ14" s="165"/>
      <c r="HK14" s="109"/>
      <c r="HL14" s="109"/>
      <c r="HM14" s="109"/>
      <c r="HN14" s="109"/>
      <c r="HO14" s="166"/>
      <c r="HP14" s="166"/>
      <c r="HQ14" s="165"/>
      <c r="HR14" s="109"/>
      <c r="HS14" s="109"/>
      <c r="HT14" s="109"/>
      <c r="HU14" s="109"/>
      <c r="HV14" s="166"/>
      <c r="HW14" s="166"/>
      <c r="HX14" s="105">
        <f t="shared" si="86"/>
        <v>5144.0677966101694</v>
      </c>
      <c r="HY14" s="105">
        <f t="shared" si="83"/>
        <v>925.93220338983065</v>
      </c>
      <c r="HZ14" s="105">
        <f t="shared" si="83"/>
        <v>6070</v>
      </c>
      <c r="IA14" s="105">
        <f t="shared" si="68"/>
        <v>0</v>
      </c>
      <c r="IB14" s="109">
        <f t="shared" si="69"/>
        <v>17530</v>
      </c>
      <c r="IC14" s="109">
        <f t="shared" si="70"/>
        <v>14855.932203389832</v>
      </c>
      <c r="ID14" s="109">
        <f t="shared" si="71"/>
        <v>0</v>
      </c>
      <c r="IE14" s="109">
        <f t="shared" ca="1" si="72"/>
        <v>11</v>
      </c>
      <c r="IF14" s="139">
        <f t="shared" si="73"/>
        <v>3.0864406779661016</v>
      </c>
      <c r="IG14" s="139">
        <f t="shared" ca="1" si="74"/>
        <v>103</v>
      </c>
      <c r="IH14" s="169">
        <f t="shared" ca="1" si="75"/>
        <v>3.4333333333333331</v>
      </c>
      <c r="II14" s="139">
        <f t="shared" ca="1" si="76"/>
        <v>0.34689265536723157</v>
      </c>
      <c r="IJ14" s="169">
        <f t="shared" ca="1" si="77"/>
        <v>10.406779661016948</v>
      </c>
      <c r="IK14" s="169">
        <f t="shared" ca="1" si="84"/>
        <v>0.34689265536723157</v>
      </c>
      <c r="IL14" s="170">
        <f t="shared" ca="1" si="78"/>
        <v>682.22222222222217</v>
      </c>
      <c r="IM14" s="171"/>
      <c r="IN14" s="171"/>
      <c r="IO14" s="171"/>
      <c r="IP14" s="171"/>
    </row>
    <row r="15" spans="1:250" ht="15" customHeight="1" thickBot="1" x14ac:dyDescent="0.35">
      <c r="A15" s="110">
        <f t="shared" si="79"/>
        <v>11</v>
      </c>
      <c r="B15" s="111" t="s">
        <v>170</v>
      </c>
      <c r="C15" s="111" t="s">
        <v>171</v>
      </c>
      <c r="D15" s="111">
        <v>102</v>
      </c>
      <c r="E15" s="111" t="s">
        <v>253</v>
      </c>
      <c r="F15" s="111"/>
      <c r="G15" s="111" t="s">
        <v>273</v>
      </c>
      <c r="H15" s="111">
        <v>1021100127</v>
      </c>
      <c r="I15" s="146" t="str">
        <f t="shared" si="0"/>
        <v>1100127</v>
      </c>
      <c r="J15" s="145" t="str">
        <f t="shared" si="1"/>
        <v>KN1100127</v>
      </c>
      <c r="K15" s="111" t="s">
        <v>274</v>
      </c>
      <c r="L15" s="111" t="s">
        <v>275</v>
      </c>
      <c r="M15" s="111" t="s">
        <v>276</v>
      </c>
      <c r="N15" s="111" t="s">
        <v>138</v>
      </c>
      <c r="O15" s="111"/>
      <c r="P15" s="111" t="s">
        <v>277</v>
      </c>
      <c r="Q15" s="148">
        <v>33813</v>
      </c>
      <c r="R15" s="145" t="s">
        <v>170</v>
      </c>
      <c r="S15" s="111">
        <f t="shared" ca="1" si="85"/>
        <v>33</v>
      </c>
      <c r="T15" s="111" t="s">
        <v>278</v>
      </c>
      <c r="U15" s="111" t="s">
        <v>279</v>
      </c>
      <c r="V15" s="172">
        <v>773832190</v>
      </c>
      <c r="W15" s="111"/>
      <c r="X15" s="111" t="s">
        <v>181</v>
      </c>
      <c r="Y15" s="111">
        <v>11</v>
      </c>
      <c r="Z15" s="111" t="s">
        <v>235</v>
      </c>
      <c r="AA15" s="111" t="s">
        <v>261</v>
      </c>
      <c r="AB15" s="111" t="s">
        <v>236</v>
      </c>
      <c r="AC15" s="111" t="s">
        <v>146</v>
      </c>
      <c r="AD15" s="111" t="s">
        <v>147</v>
      </c>
      <c r="AE15" s="173" t="s">
        <v>136</v>
      </c>
      <c r="AF15" s="173" t="s">
        <v>136</v>
      </c>
      <c r="AG15" s="174">
        <v>45874</v>
      </c>
      <c r="AH15" s="175">
        <v>40000</v>
      </c>
      <c r="AI15" s="111">
        <v>12</v>
      </c>
      <c r="AJ15" s="111">
        <v>0</v>
      </c>
      <c r="AK15" s="150">
        <f t="shared" si="80"/>
        <v>12</v>
      </c>
      <c r="AL15" s="177">
        <v>16020</v>
      </c>
      <c r="AM15" s="176">
        <v>0.18</v>
      </c>
      <c r="AN15" s="177">
        <f t="shared" si="92"/>
        <v>2883.6</v>
      </c>
      <c r="AO15" s="157">
        <f t="shared" si="96"/>
        <v>18903.599999999999</v>
      </c>
      <c r="AP15" s="158">
        <f t="shared" si="3"/>
        <v>1575.3</v>
      </c>
      <c r="AQ15" s="111"/>
      <c r="AR15" s="111" t="s">
        <v>170</v>
      </c>
      <c r="AS15" s="111" t="s">
        <v>279</v>
      </c>
      <c r="AT15" s="111" t="s">
        <v>280</v>
      </c>
      <c r="AU15" s="111" t="s">
        <v>278</v>
      </c>
      <c r="AV15" s="111">
        <v>5</v>
      </c>
      <c r="AW15" s="111" t="s">
        <v>136</v>
      </c>
      <c r="AX15" s="111" t="s">
        <v>136</v>
      </c>
      <c r="AY15" s="111" t="s">
        <v>136</v>
      </c>
      <c r="AZ15" s="111" t="s">
        <v>136</v>
      </c>
      <c r="BA15" s="111" t="s">
        <v>136</v>
      </c>
      <c r="BB15" s="111" t="s">
        <v>136</v>
      </c>
      <c r="BC15" s="111" t="s">
        <v>136</v>
      </c>
      <c r="BD15" s="111" t="s">
        <v>136</v>
      </c>
      <c r="BE15" s="111" t="s">
        <v>136</v>
      </c>
      <c r="BF15" s="111" t="s">
        <v>136</v>
      </c>
      <c r="BG15" s="111" t="s">
        <v>136</v>
      </c>
      <c r="BH15" s="111" t="s">
        <v>136</v>
      </c>
      <c r="BI15" s="111" t="s">
        <v>136</v>
      </c>
      <c r="BJ15" s="111" t="s">
        <v>136</v>
      </c>
      <c r="BK15" s="111" t="s">
        <v>136</v>
      </c>
      <c r="BL15" s="111" t="s">
        <v>136</v>
      </c>
      <c r="BM15" s="111" t="s">
        <v>136</v>
      </c>
      <c r="BN15" s="111" t="s">
        <v>136</v>
      </c>
      <c r="BO15" s="111" t="s">
        <v>136</v>
      </c>
      <c r="BP15" s="111" t="s">
        <v>281</v>
      </c>
      <c r="BQ15" s="111" t="s">
        <v>282</v>
      </c>
      <c r="BR15" s="111" t="s">
        <v>283</v>
      </c>
      <c r="BS15" s="111" t="s">
        <v>284</v>
      </c>
      <c r="BT15" s="111" t="s">
        <v>136</v>
      </c>
      <c r="BU15" s="111" t="s">
        <v>278</v>
      </c>
      <c r="BV15" s="111" t="s">
        <v>279</v>
      </c>
      <c r="BW15" s="111"/>
      <c r="BX15" s="111"/>
      <c r="BY15" s="111"/>
      <c r="BZ15" s="111"/>
      <c r="CA15" s="111"/>
      <c r="CB15" s="111"/>
      <c r="CC15" s="178"/>
      <c r="CD15" s="177">
        <f t="shared" si="4"/>
        <v>16020</v>
      </c>
      <c r="CE15" s="148">
        <v>45920</v>
      </c>
      <c r="CF15" s="111">
        <f t="shared" si="5"/>
        <v>12</v>
      </c>
      <c r="CG15" s="177">
        <f t="shared" si="6"/>
        <v>18903.599999999999</v>
      </c>
      <c r="CH15" s="203">
        <f t="shared" si="95"/>
        <v>0</v>
      </c>
      <c r="CI15" s="148">
        <v>45920</v>
      </c>
      <c r="CJ15" s="161">
        <f t="shared" si="81"/>
        <v>45950</v>
      </c>
      <c r="CK15" s="162">
        <f t="shared" si="82"/>
        <v>46285</v>
      </c>
      <c r="CL15" s="180"/>
      <c r="CM15" s="164">
        <f t="shared" ca="1" si="8"/>
        <v>46054</v>
      </c>
      <c r="CN15" s="165">
        <f t="shared" si="9"/>
        <v>45950</v>
      </c>
      <c r="CO15" s="109">
        <f t="shared" si="10"/>
        <v>1338.9830508474577</v>
      </c>
      <c r="CP15" s="109">
        <f t="shared" si="11"/>
        <v>241.01694915254237</v>
      </c>
      <c r="CQ15" s="109">
        <v>1580</v>
      </c>
      <c r="CR15" s="109">
        <f t="shared" si="12"/>
        <v>4.7000000000000455</v>
      </c>
      <c r="CS15" s="166">
        <v>45955</v>
      </c>
      <c r="CT15" s="167">
        <f t="shared" si="13"/>
        <v>5</v>
      </c>
      <c r="CU15" s="165">
        <f t="shared" si="14"/>
        <v>45981</v>
      </c>
      <c r="CV15" s="109">
        <f t="shared" si="15"/>
        <v>1338.9830508474577</v>
      </c>
      <c r="CW15" s="109">
        <f t="shared" si="16"/>
        <v>241.01694915254237</v>
      </c>
      <c r="CX15" s="109">
        <v>1580</v>
      </c>
      <c r="CY15" s="109">
        <f t="shared" si="17"/>
        <v>4.7000000000000455</v>
      </c>
      <c r="CZ15" s="166">
        <v>46000</v>
      </c>
      <c r="DA15" s="167">
        <f t="shared" si="18"/>
        <v>19</v>
      </c>
      <c r="DB15" s="165">
        <f t="shared" si="19"/>
        <v>46011</v>
      </c>
      <c r="DC15" s="109">
        <f t="shared" si="20"/>
        <v>1423.7288135593221</v>
      </c>
      <c r="DD15" s="109">
        <f t="shared" si="21"/>
        <v>256.27118644067798</v>
      </c>
      <c r="DE15" s="109">
        <v>1680</v>
      </c>
      <c r="DF15" s="109">
        <f t="shared" si="22"/>
        <v>104.70000000000005</v>
      </c>
      <c r="DG15" s="166">
        <v>46019</v>
      </c>
      <c r="DH15" s="167">
        <f t="shared" si="23"/>
        <v>8</v>
      </c>
      <c r="DI15" s="165">
        <f t="shared" si="24"/>
        <v>46042</v>
      </c>
      <c r="DJ15" s="109">
        <f t="shared" si="25"/>
        <v>0</v>
      </c>
      <c r="DK15" s="109">
        <f t="shared" si="26"/>
        <v>0</v>
      </c>
      <c r="DL15" s="109">
        <v>0</v>
      </c>
      <c r="DM15" s="109">
        <f t="shared" si="27"/>
        <v>0</v>
      </c>
      <c r="DN15" s="166">
        <f t="shared" ca="1" si="87"/>
        <v>46054</v>
      </c>
      <c r="DO15" s="167">
        <f t="shared" ca="1" si="28"/>
        <v>12</v>
      </c>
      <c r="DP15" s="165">
        <f t="shared" si="93"/>
        <v>46073</v>
      </c>
      <c r="DQ15" s="109">
        <f t="shared" si="29"/>
        <v>0</v>
      </c>
      <c r="DR15" s="109">
        <f t="shared" si="94"/>
        <v>0</v>
      </c>
      <c r="DS15" s="109"/>
      <c r="DT15" s="109">
        <f t="shared" si="30"/>
        <v>0</v>
      </c>
      <c r="DU15" s="166">
        <f t="shared" ca="1" si="88"/>
        <v>46054</v>
      </c>
      <c r="DV15" s="167">
        <f t="shared" ca="1" si="31"/>
        <v>0</v>
      </c>
      <c r="DW15" s="165">
        <f t="shared" si="32"/>
        <v>46101</v>
      </c>
      <c r="DX15" s="109">
        <f t="shared" si="33"/>
        <v>0</v>
      </c>
      <c r="DY15" s="109">
        <f t="shared" si="34"/>
        <v>0</v>
      </c>
      <c r="DZ15" s="109"/>
      <c r="EA15" s="109">
        <f t="shared" si="35"/>
        <v>0</v>
      </c>
      <c r="EB15" s="166">
        <f t="shared" ca="1" si="89"/>
        <v>46054</v>
      </c>
      <c r="EC15" s="167">
        <f t="shared" ca="1" si="36"/>
        <v>0</v>
      </c>
      <c r="ED15" s="165">
        <f t="shared" si="37"/>
        <v>46132</v>
      </c>
      <c r="EE15" s="109">
        <f t="shared" si="38"/>
        <v>0</v>
      </c>
      <c r="EF15" s="109">
        <f t="shared" si="39"/>
        <v>0</v>
      </c>
      <c r="EG15" s="109"/>
      <c r="EH15" s="109">
        <f t="shared" si="40"/>
        <v>0</v>
      </c>
      <c r="EI15" s="166">
        <f t="shared" ca="1" si="90"/>
        <v>46054</v>
      </c>
      <c r="EJ15" s="167">
        <f t="shared" ca="1" si="41"/>
        <v>0</v>
      </c>
      <c r="EK15" s="165">
        <f t="shared" si="42"/>
        <v>46162</v>
      </c>
      <c r="EL15" s="109">
        <f t="shared" si="43"/>
        <v>0</v>
      </c>
      <c r="EM15" s="109">
        <f t="shared" si="44"/>
        <v>0</v>
      </c>
      <c r="EN15" s="109"/>
      <c r="EO15" s="109">
        <f t="shared" si="45"/>
        <v>0</v>
      </c>
      <c r="EP15" s="166">
        <f t="shared" ca="1" si="91"/>
        <v>46054</v>
      </c>
      <c r="EQ15" s="167">
        <f t="shared" ca="1" si="46"/>
        <v>0</v>
      </c>
      <c r="ER15" s="165">
        <f t="shared" si="47"/>
        <v>46193</v>
      </c>
      <c r="ES15" s="109">
        <f t="shared" si="48"/>
        <v>0</v>
      </c>
      <c r="ET15" s="109">
        <f t="shared" si="49"/>
        <v>0</v>
      </c>
      <c r="EU15" s="109"/>
      <c r="EV15" s="109"/>
      <c r="EW15" s="166"/>
      <c r="EX15" s="166"/>
      <c r="EY15" s="165">
        <f t="shared" si="50"/>
        <v>46223</v>
      </c>
      <c r="EZ15" s="109">
        <f t="shared" si="51"/>
        <v>0</v>
      </c>
      <c r="FA15" s="109">
        <f t="shared" si="52"/>
        <v>0</v>
      </c>
      <c r="FB15" s="109"/>
      <c r="FC15" s="109"/>
      <c r="FD15" s="166"/>
      <c r="FE15" s="166"/>
      <c r="FF15" s="165">
        <f t="shared" si="53"/>
        <v>46254</v>
      </c>
      <c r="FG15" s="109">
        <f t="shared" si="54"/>
        <v>0</v>
      </c>
      <c r="FH15" s="109">
        <f t="shared" si="55"/>
        <v>0</v>
      </c>
      <c r="FI15" s="109"/>
      <c r="FJ15" s="109"/>
      <c r="FK15" s="166"/>
      <c r="FL15" s="166"/>
      <c r="FM15" s="165">
        <f t="shared" si="56"/>
        <v>46285</v>
      </c>
      <c r="FN15" s="109">
        <f t="shared" si="57"/>
        <v>0</v>
      </c>
      <c r="FO15" s="109">
        <f t="shared" si="58"/>
        <v>0</v>
      </c>
      <c r="FP15" s="109"/>
      <c r="FQ15" s="109"/>
      <c r="FR15" s="166"/>
      <c r="FS15" s="166"/>
      <c r="FT15" s="165"/>
      <c r="FU15" s="109"/>
      <c r="FV15" s="109"/>
      <c r="FW15" s="109"/>
      <c r="FX15" s="109"/>
      <c r="FY15" s="166"/>
      <c r="FZ15" s="166"/>
      <c r="GA15" s="165"/>
      <c r="GB15" s="109"/>
      <c r="GC15" s="109"/>
      <c r="GD15" s="109"/>
      <c r="GE15" s="109"/>
      <c r="GF15" s="166"/>
      <c r="GG15" s="166"/>
      <c r="GH15" s="165"/>
      <c r="GI15" s="109"/>
      <c r="GJ15" s="109"/>
      <c r="GK15" s="109"/>
      <c r="GL15" s="109"/>
      <c r="GM15" s="166"/>
      <c r="GN15" s="166"/>
      <c r="GO15" s="165"/>
      <c r="GP15" s="109"/>
      <c r="GQ15" s="109"/>
      <c r="GR15" s="109"/>
      <c r="GS15" s="109"/>
      <c r="GT15" s="166"/>
      <c r="GU15" s="166"/>
      <c r="GV15" s="165"/>
      <c r="GW15" s="168"/>
      <c r="GX15" s="168"/>
      <c r="GY15" s="168"/>
      <c r="GZ15" s="168"/>
      <c r="HA15" s="166"/>
      <c r="HB15" s="166"/>
      <c r="HC15" s="165"/>
      <c r="HD15" s="109"/>
      <c r="HE15" s="109"/>
      <c r="HF15" s="109"/>
      <c r="HG15" s="109"/>
      <c r="HH15" s="166"/>
      <c r="HI15" s="166"/>
      <c r="HJ15" s="165"/>
      <c r="HK15" s="109"/>
      <c r="HL15" s="109"/>
      <c r="HM15" s="109"/>
      <c r="HN15" s="109"/>
      <c r="HO15" s="166"/>
      <c r="HP15" s="166"/>
      <c r="HQ15" s="165"/>
      <c r="HR15" s="109"/>
      <c r="HS15" s="109"/>
      <c r="HT15" s="109"/>
      <c r="HU15" s="109"/>
      <c r="HV15" s="166"/>
      <c r="HW15" s="166"/>
      <c r="HX15" s="105">
        <f t="shared" si="86"/>
        <v>4101.6949152542375</v>
      </c>
      <c r="HY15" s="105">
        <f t="shared" si="83"/>
        <v>738.30508474576277</v>
      </c>
      <c r="HZ15" s="105">
        <f t="shared" si="83"/>
        <v>4840</v>
      </c>
      <c r="IA15" s="105">
        <f t="shared" si="68"/>
        <v>0</v>
      </c>
      <c r="IB15" s="109">
        <f t="shared" si="69"/>
        <v>14063.599999999999</v>
      </c>
      <c r="IC15" s="109">
        <f t="shared" si="70"/>
        <v>11918.305084745763</v>
      </c>
      <c r="ID15" s="109">
        <f t="shared" si="71"/>
        <v>0</v>
      </c>
      <c r="IE15" s="109">
        <f t="shared" ca="1" si="72"/>
        <v>44</v>
      </c>
      <c r="IF15" s="139">
        <f t="shared" si="73"/>
        <v>3.0724306481305148</v>
      </c>
      <c r="IG15" s="139">
        <f t="shared" ca="1" si="74"/>
        <v>104</v>
      </c>
      <c r="IH15" s="169">
        <f t="shared" ca="1" si="75"/>
        <v>3.4666666666666668</v>
      </c>
      <c r="II15" s="139">
        <f t="shared" ca="1" si="76"/>
        <v>0.39423601853615198</v>
      </c>
      <c r="IJ15" s="169">
        <f t="shared" ca="1" si="77"/>
        <v>11.82708055608456</v>
      </c>
      <c r="IK15" s="169">
        <f t="shared" ca="1" si="84"/>
        <v>0.39423601853615198</v>
      </c>
      <c r="IL15" s="170">
        <f t="shared" ca="1" si="78"/>
        <v>621.04000000000019</v>
      </c>
      <c r="IM15" s="171"/>
      <c r="IN15" s="171"/>
      <c r="IO15" s="171"/>
      <c r="IP15" s="171"/>
    </row>
    <row r="16" spans="1:250" ht="15" customHeight="1" thickBot="1" x14ac:dyDescent="0.35">
      <c r="A16" s="110">
        <f t="shared" si="79"/>
        <v>12</v>
      </c>
      <c r="B16" s="111" t="s">
        <v>170</v>
      </c>
      <c r="C16" s="111" t="s">
        <v>171</v>
      </c>
      <c r="D16" s="111">
        <v>102</v>
      </c>
      <c r="E16" s="111" t="s">
        <v>253</v>
      </c>
      <c r="F16" s="111"/>
      <c r="G16" s="111" t="s">
        <v>285</v>
      </c>
      <c r="H16" s="111">
        <v>1021100128</v>
      </c>
      <c r="I16" s="146" t="str">
        <f t="shared" si="0"/>
        <v>1100128</v>
      </c>
      <c r="J16" s="145" t="str">
        <f t="shared" si="1"/>
        <v>KN1100128</v>
      </c>
      <c r="K16" s="111" t="s">
        <v>286</v>
      </c>
      <c r="L16" s="111" t="s">
        <v>287</v>
      </c>
      <c r="M16" s="111" t="s">
        <v>164</v>
      </c>
      <c r="N16" s="111" t="s">
        <v>138</v>
      </c>
      <c r="O16" s="111"/>
      <c r="P16" s="111" t="s">
        <v>288</v>
      </c>
      <c r="Q16" s="148">
        <v>37645</v>
      </c>
      <c r="R16" s="111" t="s">
        <v>170</v>
      </c>
      <c r="S16" s="111">
        <f t="shared" ca="1" si="85"/>
        <v>23</v>
      </c>
      <c r="T16" s="111" t="s">
        <v>229</v>
      </c>
      <c r="U16" s="111" t="s">
        <v>217</v>
      </c>
      <c r="V16" s="172">
        <v>773635533</v>
      </c>
      <c r="W16" s="111"/>
      <c r="X16" s="111" t="s">
        <v>181</v>
      </c>
      <c r="Y16" s="111">
        <v>11</v>
      </c>
      <c r="Z16" s="111" t="s">
        <v>235</v>
      </c>
      <c r="AA16" s="111" t="s">
        <v>261</v>
      </c>
      <c r="AB16" s="111" t="s">
        <v>236</v>
      </c>
      <c r="AC16" s="111" t="s">
        <v>146</v>
      </c>
      <c r="AD16" s="111" t="s">
        <v>147</v>
      </c>
      <c r="AE16" s="173" t="s">
        <v>136</v>
      </c>
      <c r="AF16" s="173" t="s">
        <v>136</v>
      </c>
      <c r="AG16" s="174">
        <v>45875</v>
      </c>
      <c r="AH16" s="175">
        <v>40000</v>
      </c>
      <c r="AI16" s="111">
        <v>12</v>
      </c>
      <c r="AJ16" s="111">
        <v>0</v>
      </c>
      <c r="AK16" s="150">
        <f t="shared" si="80"/>
        <v>12</v>
      </c>
      <c r="AL16" s="177">
        <v>15000</v>
      </c>
      <c r="AM16" s="176">
        <v>0.18</v>
      </c>
      <c r="AN16" s="177">
        <f t="shared" si="92"/>
        <v>2700</v>
      </c>
      <c r="AO16" s="157">
        <f t="shared" si="96"/>
        <v>17700</v>
      </c>
      <c r="AP16" s="158">
        <f t="shared" si="3"/>
        <v>1475</v>
      </c>
      <c r="AQ16" s="111" t="s">
        <v>136</v>
      </c>
      <c r="AR16" s="111" t="s">
        <v>170</v>
      </c>
      <c r="AS16" s="111" t="s">
        <v>217</v>
      </c>
      <c r="AT16" s="111" t="s">
        <v>289</v>
      </c>
      <c r="AU16" s="111" t="s">
        <v>229</v>
      </c>
      <c r="AV16" s="111">
        <v>4</v>
      </c>
      <c r="AW16" s="111" t="s">
        <v>136</v>
      </c>
      <c r="AX16" s="111" t="s">
        <v>136</v>
      </c>
      <c r="AY16" s="111" t="s">
        <v>136</v>
      </c>
      <c r="AZ16" s="111" t="s">
        <v>136</v>
      </c>
      <c r="BA16" s="111" t="s">
        <v>136</v>
      </c>
      <c r="BB16" s="111" t="s">
        <v>136</v>
      </c>
      <c r="BC16" s="111" t="s">
        <v>136</v>
      </c>
      <c r="BD16" s="111" t="s">
        <v>136</v>
      </c>
      <c r="BE16" s="111" t="s">
        <v>136</v>
      </c>
      <c r="BF16" s="111" t="s">
        <v>136</v>
      </c>
      <c r="BG16" s="111" t="s">
        <v>136</v>
      </c>
      <c r="BH16" s="111" t="s">
        <v>136</v>
      </c>
      <c r="BI16" s="111" t="s">
        <v>136</v>
      </c>
      <c r="BJ16" s="111" t="s">
        <v>136</v>
      </c>
      <c r="BK16" s="111" t="s">
        <v>136</v>
      </c>
      <c r="BL16" s="111" t="s">
        <v>136</v>
      </c>
      <c r="BM16" s="111" t="s">
        <v>136</v>
      </c>
      <c r="BN16" s="111" t="s">
        <v>136</v>
      </c>
      <c r="BO16" s="111" t="s">
        <v>136</v>
      </c>
      <c r="BP16" s="111" t="s">
        <v>290</v>
      </c>
      <c r="BQ16" s="111" t="s">
        <v>291</v>
      </c>
      <c r="BR16" s="111" t="s">
        <v>292</v>
      </c>
      <c r="BS16" s="111" t="s">
        <v>293</v>
      </c>
      <c r="BT16" s="111" t="s">
        <v>136</v>
      </c>
      <c r="BU16" s="111" t="s">
        <v>229</v>
      </c>
      <c r="BV16" s="111" t="s">
        <v>217</v>
      </c>
      <c r="BW16" s="111"/>
      <c r="BX16" s="111"/>
      <c r="BY16" s="111"/>
      <c r="BZ16" s="111"/>
      <c r="CA16" s="111"/>
      <c r="CB16" s="111"/>
      <c r="CC16" s="178"/>
      <c r="CD16" s="177">
        <f t="shared" si="4"/>
        <v>15000</v>
      </c>
      <c r="CE16" s="148">
        <v>45921</v>
      </c>
      <c r="CF16" s="111">
        <f t="shared" si="5"/>
        <v>12</v>
      </c>
      <c r="CG16" s="177">
        <f t="shared" si="6"/>
        <v>17700</v>
      </c>
      <c r="CH16" s="203">
        <f t="shared" si="95"/>
        <v>0</v>
      </c>
      <c r="CI16" s="148">
        <v>45921</v>
      </c>
      <c r="CJ16" s="161">
        <f t="shared" si="81"/>
        <v>45951</v>
      </c>
      <c r="CK16" s="162">
        <f t="shared" si="82"/>
        <v>46286</v>
      </c>
      <c r="CL16" s="180"/>
      <c r="CM16" s="164">
        <f t="shared" ca="1" si="8"/>
        <v>46054</v>
      </c>
      <c r="CN16" s="165">
        <f t="shared" si="9"/>
        <v>45951</v>
      </c>
      <c r="CO16" s="109">
        <f t="shared" si="10"/>
        <v>1254.2372881355932</v>
      </c>
      <c r="CP16" s="109">
        <f t="shared" si="11"/>
        <v>225.76271186440675</v>
      </c>
      <c r="CQ16" s="109">
        <v>1480</v>
      </c>
      <c r="CR16" s="109">
        <f t="shared" si="12"/>
        <v>5</v>
      </c>
      <c r="CS16" s="166">
        <v>45950</v>
      </c>
      <c r="CT16" s="167">
        <f t="shared" si="13"/>
        <v>0</v>
      </c>
      <c r="CU16" s="165">
        <f t="shared" si="14"/>
        <v>45982</v>
      </c>
      <c r="CV16" s="109">
        <f t="shared" si="15"/>
        <v>1254.2372881355932</v>
      </c>
      <c r="CW16" s="109">
        <f t="shared" si="16"/>
        <v>225.76271186440675</v>
      </c>
      <c r="CX16" s="109">
        <v>1480</v>
      </c>
      <c r="CY16" s="109">
        <f t="shared" si="17"/>
        <v>5</v>
      </c>
      <c r="CZ16" s="166">
        <v>45985</v>
      </c>
      <c r="DA16" s="167">
        <f t="shared" si="18"/>
        <v>3</v>
      </c>
      <c r="DB16" s="165">
        <f t="shared" si="19"/>
        <v>46012</v>
      </c>
      <c r="DC16" s="109">
        <f t="shared" si="20"/>
        <v>1254.2372881355932</v>
      </c>
      <c r="DD16" s="109">
        <f t="shared" si="21"/>
        <v>225.76271186440675</v>
      </c>
      <c r="DE16" s="109">
        <v>1480</v>
      </c>
      <c r="DF16" s="109">
        <f t="shared" si="22"/>
        <v>5</v>
      </c>
      <c r="DG16" s="166">
        <v>46012</v>
      </c>
      <c r="DH16" s="167">
        <f t="shared" si="23"/>
        <v>0</v>
      </c>
      <c r="DI16" s="165">
        <f t="shared" si="24"/>
        <v>46043</v>
      </c>
      <c r="DJ16" s="109">
        <f t="shared" si="25"/>
        <v>0</v>
      </c>
      <c r="DK16" s="109">
        <f t="shared" si="26"/>
        <v>0</v>
      </c>
      <c r="DL16" s="109">
        <v>0</v>
      </c>
      <c r="DM16" s="109">
        <f t="shared" si="27"/>
        <v>0</v>
      </c>
      <c r="DN16" s="166">
        <f t="shared" ca="1" si="87"/>
        <v>46054</v>
      </c>
      <c r="DO16" s="167">
        <f t="shared" ca="1" si="28"/>
        <v>11</v>
      </c>
      <c r="DP16" s="165">
        <f t="shared" si="93"/>
        <v>46074</v>
      </c>
      <c r="DQ16" s="109">
        <f t="shared" si="29"/>
        <v>0</v>
      </c>
      <c r="DR16" s="109">
        <f t="shared" si="94"/>
        <v>0</v>
      </c>
      <c r="DS16" s="109"/>
      <c r="DT16" s="109">
        <f t="shared" si="30"/>
        <v>0</v>
      </c>
      <c r="DU16" s="166">
        <f t="shared" ca="1" si="88"/>
        <v>46054</v>
      </c>
      <c r="DV16" s="167">
        <f t="shared" ca="1" si="31"/>
        <v>0</v>
      </c>
      <c r="DW16" s="165">
        <f t="shared" si="32"/>
        <v>46102</v>
      </c>
      <c r="DX16" s="109">
        <f t="shared" si="33"/>
        <v>0</v>
      </c>
      <c r="DY16" s="109">
        <f t="shared" si="34"/>
        <v>0</v>
      </c>
      <c r="DZ16" s="109"/>
      <c r="EA16" s="109">
        <f t="shared" si="35"/>
        <v>0</v>
      </c>
      <c r="EB16" s="166">
        <f t="shared" ca="1" si="89"/>
        <v>46054</v>
      </c>
      <c r="EC16" s="167">
        <f t="shared" ca="1" si="36"/>
        <v>0</v>
      </c>
      <c r="ED16" s="165">
        <f t="shared" si="37"/>
        <v>46133</v>
      </c>
      <c r="EE16" s="109">
        <f t="shared" si="38"/>
        <v>0</v>
      </c>
      <c r="EF16" s="109">
        <f t="shared" si="39"/>
        <v>0</v>
      </c>
      <c r="EG16" s="109"/>
      <c r="EH16" s="109">
        <f t="shared" si="40"/>
        <v>0</v>
      </c>
      <c r="EI16" s="166">
        <f t="shared" ca="1" si="90"/>
        <v>46054</v>
      </c>
      <c r="EJ16" s="167">
        <f t="shared" ca="1" si="41"/>
        <v>0</v>
      </c>
      <c r="EK16" s="165">
        <f t="shared" si="42"/>
        <v>46163</v>
      </c>
      <c r="EL16" s="109">
        <f t="shared" si="43"/>
        <v>0</v>
      </c>
      <c r="EM16" s="109">
        <f t="shared" si="44"/>
        <v>0</v>
      </c>
      <c r="EN16" s="109"/>
      <c r="EO16" s="109">
        <f t="shared" si="45"/>
        <v>0</v>
      </c>
      <c r="EP16" s="166">
        <f t="shared" ca="1" si="91"/>
        <v>46054</v>
      </c>
      <c r="EQ16" s="167">
        <f t="shared" ca="1" si="46"/>
        <v>0</v>
      </c>
      <c r="ER16" s="165">
        <f t="shared" si="47"/>
        <v>46194</v>
      </c>
      <c r="ES16" s="109">
        <f t="shared" si="48"/>
        <v>0</v>
      </c>
      <c r="ET16" s="109">
        <f t="shared" si="49"/>
        <v>0</v>
      </c>
      <c r="EU16" s="109"/>
      <c r="EV16" s="109"/>
      <c r="EW16" s="166"/>
      <c r="EX16" s="166"/>
      <c r="EY16" s="165">
        <f t="shared" si="50"/>
        <v>46224</v>
      </c>
      <c r="EZ16" s="109">
        <f t="shared" si="51"/>
        <v>0</v>
      </c>
      <c r="FA16" s="109">
        <f t="shared" si="52"/>
        <v>0</v>
      </c>
      <c r="FB16" s="109"/>
      <c r="FC16" s="109"/>
      <c r="FD16" s="166"/>
      <c r="FE16" s="166"/>
      <c r="FF16" s="165">
        <f t="shared" si="53"/>
        <v>46255</v>
      </c>
      <c r="FG16" s="109">
        <f t="shared" si="54"/>
        <v>0</v>
      </c>
      <c r="FH16" s="109">
        <f t="shared" si="55"/>
        <v>0</v>
      </c>
      <c r="FI16" s="109"/>
      <c r="FJ16" s="109"/>
      <c r="FK16" s="166"/>
      <c r="FL16" s="166"/>
      <c r="FM16" s="165">
        <f t="shared" si="56"/>
        <v>46286</v>
      </c>
      <c r="FN16" s="109">
        <f t="shared" si="57"/>
        <v>0</v>
      </c>
      <c r="FO16" s="109">
        <f t="shared" si="58"/>
        <v>0</v>
      </c>
      <c r="FP16" s="109"/>
      <c r="FQ16" s="109"/>
      <c r="FR16" s="166"/>
      <c r="FS16" s="166"/>
      <c r="FT16" s="165"/>
      <c r="FU16" s="109"/>
      <c r="FV16" s="109"/>
      <c r="FW16" s="109"/>
      <c r="FX16" s="109"/>
      <c r="FY16" s="166"/>
      <c r="FZ16" s="166"/>
      <c r="GA16" s="165"/>
      <c r="GB16" s="109"/>
      <c r="GC16" s="109"/>
      <c r="GD16" s="109"/>
      <c r="GE16" s="109"/>
      <c r="GF16" s="166"/>
      <c r="GG16" s="166"/>
      <c r="GH16" s="165"/>
      <c r="GI16" s="109"/>
      <c r="GJ16" s="109"/>
      <c r="GK16" s="109"/>
      <c r="GL16" s="109"/>
      <c r="GM16" s="166"/>
      <c r="GN16" s="166"/>
      <c r="GO16" s="165"/>
      <c r="GP16" s="109"/>
      <c r="GQ16" s="109"/>
      <c r="GR16" s="109"/>
      <c r="GS16" s="109"/>
      <c r="GT16" s="166"/>
      <c r="GU16" s="166"/>
      <c r="GV16" s="165"/>
      <c r="GW16" s="168"/>
      <c r="GX16" s="168"/>
      <c r="GY16" s="168"/>
      <c r="GZ16" s="168"/>
      <c r="HA16" s="166"/>
      <c r="HB16" s="166"/>
      <c r="HC16" s="165"/>
      <c r="HD16" s="109"/>
      <c r="HE16" s="109"/>
      <c r="HF16" s="109"/>
      <c r="HG16" s="109"/>
      <c r="HH16" s="166"/>
      <c r="HI16" s="166"/>
      <c r="HJ16" s="165"/>
      <c r="HK16" s="109"/>
      <c r="HL16" s="109"/>
      <c r="HM16" s="109"/>
      <c r="HN16" s="109"/>
      <c r="HO16" s="166"/>
      <c r="HP16" s="166"/>
      <c r="HQ16" s="165"/>
      <c r="HR16" s="109"/>
      <c r="HS16" s="109"/>
      <c r="HT16" s="109"/>
      <c r="HU16" s="109"/>
      <c r="HV16" s="166"/>
      <c r="HW16" s="166"/>
      <c r="HX16" s="105">
        <f t="shared" si="86"/>
        <v>3762.7118644067796</v>
      </c>
      <c r="HY16" s="105">
        <f t="shared" si="83"/>
        <v>677.2881355932202</v>
      </c>
      <c r="HZ16" s="105">
        <f t="shared" si="83"/>
        <v>4440</v>
      </c>
      <c r="IA16" s="105">
        <f t="shared" si="68"/>
        <v>0</v>
      </c>
      <c r="IB16" s="109">
        <f t="shared" si="69"/>
        <v>13260</v>
      </c>
      <c r="IC16" s="109">
        <f t="shared" si="70"/>
        <v>11237.28813559322</v>
      </c>
      <c r="ID16" s="109">
        <f t="shared" si="71"/>
        <v>0</v>
      </c>
      <c r="IE16" s="109">
        <f t="shared" ca="1" si="72"/>
        <v>14</v>
      </c>
      <c r="IF16" s="139">
        <f t="shared" si="73"/>
        <v>3.0101694915254238</v>
      </c>
      <c r="IG16" s="139">
        <f t="shared" ca="1" si="74"/>
        <v>103</v>
      </c>
      <c r="IH16" s="169">
        <f t="shared" ca="1" si="75"/>
        <v>3.4333333333333331</v>
      </c>
      <c r="II16" s="139">
        <f t="shared" ca="1" si="76"/>
        <v>0.42316384180790934</v>
      </c>
      <c r="IJ16" s="169">
        <f t="shared" ca="1" si="77"/>
        <v>12.69491525423728</v>
      </c>
      <c r="IK16" s="169">
        <f t="shared" ca="1" si="84"/>
        <v>0.42316384180790934</v>
      </c>
      <c r="IL16" s="170">
        <f t="shared" ca="1" si="78"/>
        <v>624.16666666666629</v>
      </c>
      <c r="IM16" s="171"/>
      <c r="IN16" s="171"/>
      <c r="IO16" s="171"/>
      <c r="IP16" s="171"/>
    </row>
    <row r="17" spans="1:250" ht="15" customHeight="1" thickBot="1" x14ac:dyDescent="0.35">
      <c r="A17" s="110">
        <f t="shared" si="79"/>
        <v>13</v>
      </c>
      <c r="B17" s="111" t="s">
        <v>170</v>
      </c>
      <c r="C17" s="111" t="s">
        <v>171</v>
      </c>
      <c r="D17" s="111">
        <v>102</v>
      </c>
      <c r="E17" s="111" t="s">
        <v>253</v>
      </c>
      <c r="F17" s="111"/>
      <c r="G17" s="111" t="s">
        <v>294</v>
      </c>
      <c r="H17" s="111">
        <v>1021100129</v>
      </c>
      <c r="I17" s="146" t="str">
        <f t="shared" si="0"/>
        <v>1100129</v>
      </c>
      <c r="J17" s="145" t="str">
        <f t="shared" si="1"/>
        <v>KN1100129</v>
      </c>
      <c r="K17" s="111" t="s">
        <v>295</v>
      </c>
      <c r="L17" s="111" t="s">
        <v>296</v>
      </c>
      <c r="M17" s="111" t="s">
        <v>297</v>
      </c>
      <c r="N17" s="111" t="s">
        <v>138</v>
      </c>
      <c r="O17" s="111"/>
      <c r="P17" s="111" t="s">
        <v>298</v>
      </c>
      <c r="Q17" s="148">
        <v>34618</v>
      </c>
      <c r="R17" s="111" t="s">
        <v>170</v>
      </c>
      <c r="S17" s="111">
        <f t="shared" ca="1" si="85"/>
        <v>31</v>
      </c>
      <c r="T17" s="111" t="s">
        <v>299</v>
      </c>
      <c r="U17" s="111" t="s">
        <v>217</v>
      </c>
      <c r="V17" s="172">
        <v>705080940</v>
      </c>
      <c r="W17" s="111"/>
      <c r="X17" s="111" t="s">
        <v>181</v>
      </c>
      <c r="Y17" s="111">
        <v>11</v>
      </c>
      <c r="Z17" s="111" t="s">
        <v>235</v>
      </c>
      <c r="AA17" s="111" t="s">
        <v>235</v>
      </c>
      <c r="AB17" s="111" t="s">
        <v>236</v>
      </c>
      <c r="AC17" s="111" t="s">
        <v>146</v>
      </c>
      <c r="AD17" s="111" t="s">
        <v>147</v>
      </c>
      <c r="AE17" s="173" t="s">
        <v>136</v>
      </c>
      <c r="AF17" s="173" t="s">
        <v>136</v>
      </c>
      <c r="AG17" s="174">
        <v>45875</v>
      </c>
      <c r="AH17" s="175">
        <v>50000</v>
      </c>
      <c r="AI17" s="111">
        <v>12</v>
      </c>
      <c r="AJ17" s="111">
        <v>0</v>
      </c>
      <c r="AK17" s="150">
        <f t="shared" si="80"/>
        <v>12</v>
      </c>
      <c r="AL17" s="177">
        <v>20463</v>
      </c>
      <c r="AM17" s="176">
        <v>0.18</v>
      </c>
      <c r="AN17" s="177">
        <f t="shared" si="92"/>
        <v>3683.3399999999997</v>
      </c>
      <c r="AO17" s="157">
        <f t="shared" si="96"/>
        <v>24146.34</v>
      </c>
      <c r="AP17" s="158">
        <f t="shared" si="3"/>
        <v>2012.1949999999999</v>
      </c>
      <c r="AQ17" s="111" t="s">
        <v>136</v>
      </c>
      <c r="AR17" s="111" t="s">
        <v>170</v>
      </c>
      <c r="AS17" s="111" t="s">
        <v>217</v>
      </c>
      <c r="AT17" s="111" t="s">
        <v>300</v>
      </c>
      <c r="AU17" s="111" t="s">
        <v>301</v>
      </c>
      <c r="AV17" s="111"/>
      <c r="AW17" s="111" t="s">
        <v>136</v>
      </c>
      <c r="AX17" s="111" t="s">
        <v>136</v>
      </c>
      <c r="AY17" s="111" t="s">
        <v>136</v>
      </c>
      <c r="AZ17" s="111" t="s">
        <v>136</v>
      </c>
      <c r="BA17" s="111" t="s">
        <v>136</v>
      </c>
      <c r="BB17" s="111" t="s">
        <v>136</v>
      </c>
      <c r="BC17" s="111" t="s">
        <v>136</v>
      </c>
      <c r="BD17" s="111" t="s">
        <v>136</v>
      </c>
      <c r="BE17" s="111" t="s">
        <v>136</v>
      </c>
      <c r="BF17" s="111" t="s">
        <v>136</v>
      </c>
      <c r="BG17" s="111" t="s">
        <v>136</v>
      </c>
      <c r="BH17" s="111" t="s">
        <v>136</v>
      </c>
      <c r="BI17" s="111" t="s">
        <v>136</v>
      </c>
      <c r="BJ17" s="111" t="s">
        <v>136</v>
      </c>
      <c r="BK17" s="111" t="s">
        <v>136</v>
      </c>
      <c r="BL17" s="111" t="s">
        <v>136</v>
      </c>
      <c r="BM17" s="111" t="s">
        <v>136</v>
      </c>
      <c r="BN17" s="111" t="s">
        <v>136</v>
      </c>
      <c r="BO17" s="111" t="s">
        <v>136</v>
      </c>
      <c r="BP17" s="111" t="s">
        <v>302</v>
      </c>
      <c r="BQ17" s="111" t="s">
        <v>303</v>
      </c>
      <c r="BR17" s="111" t="s">
        <v>304</v>
      </c>
      <c r="BS17" s="111" t="s">
        <v>305</v>
      </c>
      <c r="BT17" s="182" t="s">
        <v>306</v>
      </c>
      <c r="BU17" s="111" t="s">
        <v>301</v>
      </c>
      <c r="BV17" s="111" t="s">
        <v>217</v>
      </c>
      <c r="BW17" s="111"/>
      <c r="BX17" s="111"/>
      <c r="BY17" s="111"/>
      <c r="BZ17" s="111"/>
      <c r="CA17" s="111"/>
      <c r="CB17" s="111"/>
      <c r="CC17" s="178"/>
      <c r="CD17" s="177">
        <f t="shared" si="4"/>
        <v>20463</v>
      </c>
      <c r="CE17" s="148">
        <v>45921</v>
      </c>
      <c r="CF17" s="111">
        <f t="shared" si="5"/>
        <v>12</v>
      </c>
      <c r="CG17" s="177">
        <f t="shared" si="6"/>
        <v>24146.34</v>
      </c>
      <c r="CH17" s="203">
        <f t="shared" si="95"/>
        <v>0</v>
      </c>
      <c r="CI17" s="148">
        <v>45921</v>
      </c>
      <c r="CJ17" s="161">
        <f t="shared" si="81"/>
        <v>45951</v>
      </c>
      <c r="CK17" s="162">
        <f t="shared" si="82"/>
        <v>46286</v>
      </c>
      <c r="CL17" s="180"/>
      <c r="CM17" s="164">
        <f t="shared" ca="1" si="8"/>
        <v>46054</v>
      </c>
      <c r="CN17" s="165">
        <f t="shared" si="9"/>
        <v>45951</v>
      </c>
      <c r="CO17" s="109">
        <f t="shared" si="10"/>
        <v>1677.9661016949153</v>
      </c>
      <c r="CP17" s="109">
        <f t="shared" si="11"/>
        <v>302.03389830508473</v>
      </c>
      <c r="CQ17" s="109">
        <v>1980</v>
      </c>
      <c r="CR17" s="109">
        <f t="shared" si="12"/>
        <v>-32.194999999999936</v>
      </c>
      <c r="CS17" s="166">
        <v>45951</v>
      </c>
      <c r="CT17" s="167">
        <f t="shared" si="13"/>
        <v>0</v>
      </c>
      <c r="CU17" s="165">
        <f t="shared" si="14"/>
        <v>45982</v>
      </c>
      <c r="CV17" s="109">
        <f t="shared" si="15"/>
        <v>1677.9661016949153</v>
      </c>
      <c r="CW17" s="109">
        <f t="shared" si="16"/>
        <v>302.03389830508473</v>
      </c>
      <c r="CX17" s="109">
        <v>1980</v>
      </c>
      <c r="CY17" s="109">
        <f t="shared" si="17"/>
        <v>-32.194999999999936</v>
      </c>
      <c r="CZ17" s="166">
        <v>45984</v>
      </c>
      <c r="DA17" s="167">
        <f t="shared" si="18"/>
        <v>2</v>
      </c>
      <c r="DB17" s="165">
        <f t="shared" si="19"/>
        <v>46012</v>
      </c>
      <c r="DC17" s="109">
        <f t="shared" si="20"/>
        <v>1677.9661016949153</v>
      </c>
      <c r="DD17" s="109">
        <f t="shared" si="21"/>
        <v>302.03389830508473</v>
      </c>
      <c r="DE17" s="109">
        <v>1980</v>
      </c>
      <c r="DF17" s="109">
        <f t="shared" si="22"/>
        <v>-32.194999999999936</v>
      </c>
      <c r="DG17" s="166">
        <v>46014</v>
      </c>
      <c r="DH17" s="167">
        <f t="shared" si="23"/>
        <v>2</v>
      </c>
      <c r="DI17" s="165">
        <f t="shared" si="24"/>
        <v>46043</v>
      </c>
      <c r="DJ17" s="109">
        <f t="shared" si="25"/>
        <v>0</v>
      </c>
      <c r="DK17" s="109">
        <f t="shared" si="26"/>
        <v>0</v>
      </c>
      <c r="DL17" s="109">
        <v>0</v>
      </c>
      <c r="DM17" s="109">
        <f t="shared" si="27"/>
        <v>0</v>
      </c>
      <c r="DN17" s="166">
        <f t="shared" ca="1" si="87"/>
        <v>46054</v>
      </c>
      <c r="DO17" s="167">
        <f t="shared" ca="1" si="28"/>
        <v>11</v>
      </c>
      <c r="DP17" s="165">
        <f t="shared" si="93"/>
        <v>46074</v>
      </c>
      <c r="DQ17" s="109">
        <f t="shared" si="29"/>
        <v>0</v>
      </c>
      <c r="DR17" s="109">
        <f t="shared" si="94"/>
        <v>0</v>
      </c>
      <c r="DS17" s="109"/>
      <c r="DT17" s="109">
        <f t="shared" si="30"/>
        <v>0</v>
      </c>
      <c r="DU17" s="166">
        <f t="shared" ca="1" si="88"/>
        <v>46054</v>
      </c>
      <c r="DV17" s="167">
        <f t="shared" ca="1" si="31"/>
        <v>0</v>
      </c>
      <c r="DW17" s="165">
        <f t="shared" si="32"/>
        <v>46102</v>
      </c>
      <c r="DX17" s="109">
        <f t="shared" si="33"/>
        <v>0</v>
      </c>
      <c r="DY17" s="109">
        <f t="shared" si="34"/>
        <v>0</v>
      </c>
      <c r="DZ17" s="109"/>
      <c r="EA17" s="109">
        <f t="shared" si="35"/>
        <v>0</v>
      </c>
      <c r="EB17" s="166">
        <f t="shared" ca="1" si="89"/>
        <v>46054</v>
      </c>
      <c r="EC17" s="167">
        <f t="shared" ca="1" si="36"/>
        <v>0</v>
      </c>
      <c r="ED17" s="165">
        <f t="shared" si="37"/>
        <v>46133</v>
      </c>
      <c r="EE17" s="109">
        <f t="shared" si="38"/>
        <v>0</v>
      </c>
      <c r="EF17" s="109">
        <f t="shared" si="39"/>
        <v>0</v>
      </c>
      <c r="EG17" s="109"/>
      <c r="EH17" s="109">
        <f t="shared" si="40"/>
        <v>0</v>
      </c>
      <c r="EI17" s="166">
        <f t="shared" ca="1" si="90"/>
        <v>46054</v>
      </c>
      <c r="EJ17" s="167">
        <f t="shared" ca="1" si="41"/>
        <v>0</v>
      </c>
      <c r="EK17" s="165">
        <f t="shared" si="42"/>
        <v>46163</v>
      </c>
      <c r="EL17" s="109">
        <f t="shared" si="43"/>
        <v>0</v>
      </c>
      <c r="EM17" s="109">
        <f t="shared" si="44"/>
        <v>0</v>
      </c>
      <c r="EN17" s="109"/>
      <c r="EO17" s="109">
        <f t="shared" si="45"/>
        <v>0</v>
      </c>
      <c r="EP17" s="166">
        <f t="shared" ca="1" si="91"/>
        <v>46054</v>
      </c>
      <c r="EQ17" s="167">
        <f t="shared" ca="1" si="46"/>
        <v>0</v>
      </c>
      <c r="ER17" s="165">
        <f t="shared" si="47"/>
        <v>46194</v>
      </c>
      <c r="ES17" s="109">
        <f t="shared" si="48"/>
        <v>0</v>
      </c>
      <c r="ET17" s="109">
        <f t="shared" si="49"/>
        <v>0</v>
      </c>
      <c r="EU17" s="109"/>
      <c r="EV17" s="109"/>
      <c r="EW17" s="166"/>
      <c r="EX17" s="166"/>
      <c r="EY17" s="165">
        <f t="shared" si="50"/>
        <v>46224</v>
      </c>
      <c r="EZ17" s="109">
        <f t="shared" si="51"/>
        <v>0</v>
      </c>
      <c r="FA17" s="109">
        <f t="shared" si="52"/>
        <v>0</v>
      </c>
      <c r="FB17" s="109"/>
      <c r="FC17" s="109"/>
      <c r="FD17" s="166"/>
      <c r="FE17" s="166"/>
      <c r="FF17" s="165">
        <f t="shared" si="53"/>
        <v>46255</v>
      </c>
      <c r="FG17" s="109">
        <f t="shared" si="54"/>
        <v>0</v>
      </c>
      <c r="FH17" s="109">
        <f t="shared" si="55"/>
        <v>0</v>
      </c>
      <c r="FI17" s="109"/>
      <c r="FJ17" s="109"/>
      <c r="FK17" s="166"/>
      <c r="FL17" s="166"/>
      <c r="FM17" s="165">
        <f t="shared" si="56"/>
        <v>46286</v>
      </c>
      <c r="FN17" s="109">
        <f t="shared" si="57"/>
        <v>0</v>
      </c>
      <c r="FO17" s="109">
        <f t="shared" si="58"/>
        <v>0</v>
      </c>
      <c r="FP17" s="109"/>
      <c r="FQ17" s="109"/>
      <c r="FR17" s="166"/>
      <c r="FS17" s="166"/>
      <c r="FT17" s="165"/>
      <c r="FU17" s="109"/>
      <c r="FV17" s="109"/>
      <c r="FW17" s="109"/>
      <c r="FX17" s="109"/>
      <c r="FY17" s="166"/>
      <c r="FZ17" s="166"/>
      <c r="GA17" s="165"/>
      <c r="GB17" s="109"/>
      <c r="GC17" s="109"/>
      <c r="GD17" s="109"/>
      <c r="GE17" s="109"/>
      <c r="GF17" s="166"/>
      <c r="GG17" s="166"/>
      <c r="GH17" s="165"/>
      <c r="GI17" s="109"/>
      <c r="GJ17" s="109"/>
      <c r="GK17" s="109"/>
      <c r="GL17" s="109"/>
      <c r="GM17" s="166"/>
      <c r="GN17" s="166"/>
      <c r="GO17" s="165"/>
      <c r="GP17" s="109"/>
      <c r="GQ17" s="109"/>
      <c r="GR17" s="109"/>
      <c r="GS17" s="109"/>
      <c r="GT17" s="166"/>
      <c r="GU17" s="166"/>
      <c r="GV17" s="165"/>
      <c r="GW17" s="168"/>
      <c r="GX17" s="168"/>
      <c r="GY17" s="168"/>
      <c r="GZ17" s="168"/>
      <c r="HA17" s="166"/>
      <c r="HB17" s="166"/>
      <c r="HC17" s="165"/>
      <c r="HD17" s="109"/>
      <c r="HE17" s="109"/>
      <c r="HF17" s="109"/>
      <c r="HG17" s="109"/>
      <c r="HH17" s="166"/>
      <c r="HI17" s="166"/>
      <c r="HJ17" s="165"/>
      <c r="HK17" s="109"/>
      <c r="HL17" s="109"/>
      <c r="HM17" s="109"/>
      <c r="HN17" s="109"/>
      <c r="HO17" s="166"/>
      <c r="HP17" s="166"/>
      <c r="HQ17" s="165"/>
      <c r="HR17" s="109"/>
      <c r="HS17" s="109"/>
      <c r="HT17" s="109"/>
      <c r="HU17" s="109"/>
      <c r="HV17" s="166"/>
      <c r="HW17" s="166"/>
      <c r="HX17" s="105">
        <f t="shared" si="86"/>
        <v>5033.8983050847455</v>
      </c>
      <c r="HY17" s="105">
        <f t="shared" si="83"/>
        <v>906.10169491525426</v>
      </c>
      <c r="HZ17" s="105">
        <f t="shared" si="83"/>
        <v>5940</v>
      </c>
      <c r="IA17" s="105">
        <f t="shared" si="68"/>
        <v>0</v>
      </c>
      <c r="IB17" s="109">
        <f t="shared" si="69"/>
        <v>18206.34</v>
      </c>
      <c r="IC17" s="109">
        <f t="shared" si="70"/>
        <v>15429.101694915254</v>
      </c>
      <c r="ID17" s="109">
        <f t="shared" si="71"/>
        <v>0</v>
      </c>
      <c r="IE17" s="109">
        <f t="shared" ca="1" si="72"/>
        <v>15</v>
      </c>
      <c r="IF17" s="139">
        <f t="shared" si="73"/>
        <v>2.9520001789091017</v>
      </c>
      <c r="IG17" s="139">
        <f t="shared" ca="1" si="74"/>
        <v>103</v>
      </c>
      <c r="IH17" s="169">
        <f t="shared" ca="1" si="75"/>
        <v>3.4333333333333331</v>
      </c>
      <c r="II17" s="139">
        <f t="shared" ca="1" si="76"/>
        <v>0.48133315442423141</v>
      </c>
      <c r="IJ17" s="169">
        <f t="shared" ca="1" si="77"/>
        <v>14.439994632726943</v>
      </c>
      <c r="IK17" s="169">
        <f t="shared" ca="1" si="84"/>
        <v>0.48133315442423141</v>
      </c>
      <c r="IL17" s="170">
        <f t="shared" ca="1" si="78"/>
        <v>968.5361666666663</v>
      </c>
      <c r="IM17" s="171"/>
      <c r="IN17" s="171"/>
      <c r="IO17" s="171"/>
      <c r="IP17" s="171"/>
    </row>
    <row r="18" spans="1:250" ht="15" customHeight="1" thickBot="1" x14ac:dyDescent="0.35">
      <c r="A18" s="110">
        <f t="shared" si="79"/>
        <v>14</v>
      </c>
      <c r="B18" s="111" t="s">
        <v>170</v>
      </c>
      <c r="C18" s="111" t="s">
        <v>171</v>
      </c>
      <c r="D18" s="111">
        <v>102</v>
      </c>
      <c r="E18" s="111" t="s">
        <v>253</v>
      </c>
      <c r="F18" s="111"/>
      <c r="G18" s="111" t="s">
        <v>307</v>
      </c>
      <c r="H18" s="111">
        <v>1021100130</v>
      </c>
      <c r="I18" s="146" t="str">
        <f t="shared" si="0"/>
        <v>1100130</v>
      </c>
      <c r="J18" s="145" t="str">
        <f t="shared" si="1"/>
        <v>KN1100130</v>
      </c>
      <c r="K18" s="111" t="s">
        <v>308</v>
      </c>
      <c r="L18" s="111" t="s">
        <v>287</v>
      </c>
      <c r="M18" s="111" t="s">
        <v>309</v>
      </c>
      <c r="N18" s="111" t="s">
        <v>138</v>
      </c>
      <c r="O18" s="111"/>
      <c r="P18" s="111" t="s">
        <v>310</v>
      </c>
      <c r="Q18" s="148">
        <v>32601</v>
      </c>
      <c r="R18" s="111" t="s">
        <v>170</v>
      </c>
      <c r="S18" s="111">
        <f t="shared" ca="1" si="85"/>
        <v>36</v>
      </c>
      <c r="T18" s="111" t="s">
        <v>259</v>
      </c>
      <c r="U18" s="111" t="s">
        <v>217</v>
      </c>
      <c r="V18" s="181">
        <v>777700905</v>
      </c>
      <c r="W18" s="111"/>
      <c r="X18" s="111" t="s">
        <v>181</v>
      </c>
      <c r="Y18" s="111">
        <v>11</v>
      </c>
      <c r="Z18" s="111" t="s">
        <v>235</v>
      </c>
      <c r="AA18" s="111" t="s">
        <v>261</v>
      </c>
      <c r="AB18" s="111" t="s">
        <v>236</v>
      </c>
      <c r="AC18" s="111" t="s">
        <v>146</v>
      </c>
      <c r="AD18" s="111" t="s">
        <v>147</v>
      </c>
      <c r="AE18" s="173" t="s">
        <v>136</v>
      </c>
      <c r="AF18" s="173" t="s">
        <v>136</v>
      </c>
      <c r="AG18" s="174">
        <v>45876</v>
      </c>
      <c r="AH18" s="175">
        <v>40000</v>
      </c>
      <c r="AI18" s="111">
        <v>12</v>
      </c>
      <c r="AJ18" s="111">
        <v>0</v>
      </c>
      <c r="AK18" s="150">
        <f t="shared" si="80"/>
        <v>12</v>
      </c>
      <c r="AL18" s="177">
        <v>16000</v>
      </c>
      <c r="AM18" s="176">
        <v>0.18</v>
      </c>
      <c r="AN18" s="177">
        <f t="shared" si="92"/>
        <v>2880</v>
      </c>
      <c r="AO18" s="157">
        <f t="shared" si="96"/>
        <v>18880</v>
      </c>
      <c r="AP18" s="158">
        <f t="shared" si="3"/>
        <v>1573.3333333333333</v>
      </c>
      <c r="AQ18" s="111" t="s">
        <v>136</v>
      </c>
      <c r="AR18" s="111" t="s">
        <v>170</v>
      </c>
      <c r="AS18" s="111" t="s">
        <v>217</v>
      </c>
      <c r="AT18" s="111" t="s">
        <v>264</v>
      </c>
      <c r="AU18" s="111" t="s">
        <v>259</v>
      </c>
      <c r="AV18" s="111">
        <v>6</v>
      </c>
      <c r="AW18" s="111" t="s">
        <v>136</v>
      </c>
      <c r="AX18" s="111" t="s">
        <v>136</v>
      </c>
      <c r="AY18" s="111" t="s">
        <v>136</v>
      </c>
      <c r="AZ18" s="111" t="s">
        <v>136</v>
      </c>
      <c r="BA18" s="111" t="s">
        <v>136</v>
      </c>
      <c r="BB18" s="111" t="s">
        <v>136</v>
      </c>
      <c r="BC18" s="111" t="s">
        <v>136</v>
      </c>
      <c r="BD18" s="111" t="s">
        <v>136</v>
      </c>
      <c r="BE18" s="111" t="s">
        <v>136</v>
      </c>
      <c r="BF18" s="111" t="s">
        <v>136</v>
      </c>
      <c r="BG18" s="111" t="s">
        <v>136</v>
      </c>
      <c r="BH18" s="111" t="s">
        <v>136</v>
      </c>
      <c r="BI18" s="111" t="s">
        <v>136</v>
      </c>
      <c r="BJ18" s="111" t="s">
        <v>136</v>
      </c>
      <c r="BK18" s="111" t="s">
        <v>136</v>
      </c>
      <c r="BL18" s="111" t="s">
        <v>136</v>
      </c>
      <c r="BM18" s="111" t="s">
        <v>136</v>
      </c>
      <c r="BN18" s="111" t="s">
        <v>136</v>
      </c>
      <c r="BO18" s="111" t="s">
        <v>136</v>
      </c>
      <c r="BP18" s="111" t="s">
        <v>250</v>
      </c>
      <c r="BQ18" s="111" t="s">
        <v>164</v>
      </c>
      <c r="BR18" s="111" t="s">
        <v>311</v>
      </c>
      <c r="BS18" s="111" t="s">
        <v>312</v>
      </c>
      <c r="BT18" s="182" t="s">
        <v>313</v>
      </c>
      <c r="BU18" s="111" t="s">
        <v>259</v>
      </c>
      <c r="BV18" s="111" t="s">
        <v>217</v>
      </c>
      <c r="BW18" s="111"/>
      <c r="BX18" s="111"/>
      <c r="BY18" s="111"/>
      <c r="BZ18" s="111"/>
      <c r="CA18" s="111"/>
      <c r="CB18" s="111"/>
      <c r="CC18" s="178"/>
      <c r="CD18" s="177">
        <f t="shared" si="4"/>
        <v>16000</v>
      </c>
      <c r="CE18" s="148">
        <v>45922</v>
      </c>
      <c r="CF18" s="111">
        <f t="shared" si="5"/>
        <v>12</v>
      </c>
      <c r="CG18" s="177">
        <f t="shared" si="6"/>
        <v>18880</v>
      </c>
      <c r="CH18" s="203">
        <f t="shared" si="95"/>
        <v>0</v>
      </c>
      <c r="CI18" s="148">
        <v>45922</v>
      </c>
      <c r="CJ18" s="161">
        <f t="shared" si="81"/>
        <v>45952</v>
      </c>
      <c r="CK18" s="162">
        <f t="shared" si="82"/>
        <v>46287</v>
      </c>
      <c r="CL18" s="180"/>
      <c r="CM18" s="164">
        <f t="shared" ca="1" si="8"/>
        <v>46054</v>
      </c>
      <c r="CN18" s="165">
        <f t="shared" si="9"/>
        <v>45952</v>
      </c>
      <c r="CO18" s="109">
        <f t="shared" si="10"/>
        <v>1338.9830508474577</v>
      </c>
      <c r="CP18" s="109">
        <f t="shared" si="11"/>
        <v>241.01694915254237</v>
      </c>
      <c r="CQ18" s="109">
        <v>1580</v>
      </c>
      <c r="CR18" s="109">
        <f t="shared" si="12"/>
        <v>6.6666666666667425</v>
      </c>
      <c r="CS18" s="166">
        <v>45955</v>
      </c>
      <c r="CT18" s="167">
        <f t="shared" si="13"/>
        <v>3</v>
      </c>
      <c r="CU18" s="165">
        <f t="shared" si="14"/>
        <v>45983</v>
      </c>
      <c r="CV18" s="109">
        <f t="shared" si="15"/>
        <v>1338.9830508474577</v>
      </c>
      <c r="CW18" s="109">
        <f t="shared" si="16"/>
        <v>241.01694915254237</v>
      </c>
      <c r="CX18" s="109">
        <v>1580</v>
      </c>
      <c r="CY18" s="109">
        <f t="shared" si="17"/>
        <v>6.6666666666667425</v>
      </c>
      <c r="CZ18" s="166">
        <v>45984</v>
      </c>
      <c r="DA18" s="167">
        <f t="shared" si="18"/>
        <v>1</v>
      </c>
      <c r="DB18" s="165">
        <f t="shared" si="19"/>
        <v>46013</v>
      </c>
      <c r="DC18" s="109">
        <f t="shared" si="20"/>
        <v>1338.9830508474577</v>
      </c>
      <c r="DD18" s="109">
        <f t="shared" si="21"/>
        <v>241.01694915254237</v>
      </c>
      <c r="DE18" s="109">
        <v>1580</v>
      </c>
      <c r="DF18" s="109">
        <f t="shared" si="22"/>
        <v>6.6666666666667425</v>
      </c>
      <c r="DG18" s="166">
        <v>46000</v>
      </c>
      <c r="DH18" s="167">
        <f t="shared" si="23"/>
        <v>0</v>
      </c>
      <c r="DI18" s="165">
        <f t="shared" si="24"/>
        <v>46044</v>
      </c>
      <c r="DJ18" s="109">
        <f t="shared" si="25"/>
        <v>0</v>
      </c>
      <c r="DK18" s="109">
        <f t="shared" si="26"/>
        <v>0</v>
      </c>
      <c r="DL18" s="109">
        <v>0</v>
      </c>
      <c r="DM18" s="109">
        <f t="shared" si="27"/>
        <v>0</v>
      </c>
      <c r="DN18" s="166">
        <f t="shared" ca="1" si="87"/>
        <v>46054</v>
      </c>
      <c r="DO18" s="167">
        <f t="shared" ca="1" si="28"/>
        <v>10</v>
      </c>
      <c r="DP18" s="165">
        <f t="shared" si="93"/>
        <v>46075</v>
      </c>
      <c r="DQ18" s="109">
        <f t="shared" si="29"/>
        <v>0</v>
      </c>
      <c r="DR18" s="109">
        <f t="shared" si="94"/>
        <v>0</v>
      </c>
      <c r="DS18" s="109"/>
      <c r="DT18" s="109">
        <f t="shared" si="30"/>
        <v>0</v>
      </c>
      <c r="DU18" s="166">
        <f t="shared" ca="1" si="88"/>
        <v>46054</v>
      </c>
      <c r="DV18" s="167">
        <f t="shared" ca="1" si="31"/>
        <v>0</v>
      </c>
      <c r="DW18" s="165">
        <f t="shared" si="32"/>
        <v>46103</v>
      </c>
      <c r="DX18" s="109">
        <f t="shared" si="33"/>
        <v>0</v>
      </c>
      <c r="DY18" s="109">
        <f t="shared" si="34"/>
        <v>0</v>
      </c>
      <c r="DZ18" s="109"/>
      <c r="EA18" s="109">
        <f t="shared" si="35"/>
        <v>0</v>
      </c>
      <c r="EB18" s="166">
        <f t="shared" ca="1" si="89"/>
        <v>46054</v>
      </c>
      <c r="EC18" s="167">
        <f t="shared" ca="1" si="36"/>
        <v>0</v>
      </c>
      <c r="ED18" s="165">
        <f t="shared" si="37"/>
        <v>46134</v>
      </c>
      <c r="EE18" s="109">
        <f t="shared" si="38"/>
        <v>0</v>
      </c>
      <c r="EF18" s="109">
        <f t="shared" si="39"/>
        <v>0</v>
      </c>
      <c r="EG18" s="109"/>
      <c r="EH18" s="109">
        <f t="shared" si="40"/>
        <v>0</v>
      </c>
      <c r="EI18" s="166">
        <f t="shared" ca="1" si="90"/>
        <v>46054</v>
      </c>
      <c r="EJ18" s="167">
        <f t="shared" ca="1" si="41"/>
        <v>0</v>
      </c>
      <c r="EK18" s="165">
        <f t="shared" si="42"/>
        <v>46164</v>
      </c>
      <c r="EL18" s="109">
        <f t="shared" si="43"/>
        <v>0</v>
      </c>
      <c r="EM18" s="109">
        <f t="shared" si="44"/>
        <v>0</v>
      </c>
      <c r="EN18" s="109"/>
      <c r="EO18" s="109">
        <f t="shared" si="45"/>
        <v>0</v>
      </c>
      <c r="EP18" s="166">
        <f t="shared" ca="1" si="91"/>
        <v>46054</v>
      </c>
      <c r="EQ18" s="167">
        <f t="shared" ca="1" si="46"/>
        <v>0</v>
      </c>
      <c r="ER18" s="165">
        <f t="shared" si="47"/>
        <v>46195</v>
      </c>
      <c r="ES18" s="109">
        <f t="shared" si="48"/>
        <v>0</v>
      </c>
      <c r="ET18" s="109">
        <f t="shared" si="49"/>
        <v>0</v>
      </c>
      <c r="EU18" s="109"/>
      <c r="EV18" s="109"/>
      <c r="EW18" s="166"/>
      <c r="EX18" s="166"/>
      <c r="EY18" s="165">
        <f t="shared" si="50"/>
        <v>46225</v>
      </c>
      <c r="EZ18" s="109">
        <f t="shared" si="51"/>
        <v>0</v>
      </c>
      <c r="FA18" s="109">
        <f t="shared" si="52"/>
        <v>0</v>
      </c>
      <c r="FB18" s="109"/>
      <c r="FC18" s="109"/>
      <c r="FD18" s="166"/>
      <c r="FE18" s="166"/>
      <c r="FF18" s="165">
        <f t="shared" si="53"/>
        <v>46256</v>
      </c>
      <c r="FG18" s="109">
        <f t="shared" si="54"/>
        <v>0</v>
      </c>
      <c r="FH18" s="109">
        <f t="shared" si="55"/>
        <v>0</v>
      </c>
      <c r="FI18" s="109"/>
      <c r="FJ18" s="109"/>
      <c r="FK18" s="166"/>
      <c r="FL18" s="166"/>
      <c r="FM18" s="165">
        <f t="shared" si="56"/>
        <v>46287</v>
      </c>
      <c r="FN18" s="109">
        <f t="shared" si="57"/>
        <v>0</v>
      </c>
      <c r="FO18" s="109">
        <f t="shared" si="58"/>
        <v>0</v>
      </c>
      <c r="FP18" s="109"/>
      <c r="FQ18" s="109"/>
      <c r="FR18" s="166"/>
      <c r="FS18" s="166"/>
      <c r="FT18" s="165"/>
      <c r="FU18" s="109"/>
      <c r="FV18" s="109"/>
      <c r="FW18" s="109"/>
      <c r="FX18" s="109"/>
      <c r="FY18" s="166"/>
      <c r="FZ18" s="166"/>
      <c r="GA18" s="165"/>
      <c r="GB18" s="109"/>
      <c r="GC18" s="109"/>
      <c r="GD18" s="109"/>
      <c r="GE18" s="109"/>
      <c r="GF18" s="166"/>
      <c r="GG18" s="166"/>
      <c r="GH18" s="165"/>
      <c r="GI18" s="109"/>
      <c r="GJ18" s="109"/>
      <c r="GK18" s="109"/>
      <c r="GL18" s="109"/>
      <c r="GM18" s="166"/>
      <c r="GN18" s="166"/>
      <c r="GO18" s="165"/>
      <c r="GP18" s="109"/>
      <c r="GQ18" s="109"/>
      <c r="GR18" s="109"/>
      <c r="GS18" s="109"/>
      <c r="GT18" s="166"/>
      <c r="GU18" s="166"/>
      <c r="GV18" s="165"/>
      <c r="GW18" s="168"/>
      <c r="GX18" s="168"/>
      <c r="GY18" s="168"/>
      <c r="GZ18" s="168"/>
      <c r="HA18" s="166"/>
      <c r="HB18" s="166"/>
      <c r="HC18" s="165"/>
      <c r="HD18" s="109"/>
      <c r="HE18" s="109"/>
      <c r="HF18" s="109"/>
      <c r="HG18" s="109"/>
      <c r="HH18" s="166"/>
      <c r="HI18" s="166"/>
      <c r="HJ18" s="165"/>
      <c r="HK18" s="109"/>
      <c r="HL18" s="109"/>
      <c r="HM18" s="109"/>
      <c r="HN18" s="109"/>
      <c r="HO18" s="166"/>
      <c r="HP18" s="166"/>
      <c r="HQ18" s="165"/>
      <c r="HR18" s="109"/>
      <c r="HS18" s="109"/>
      <c r="HT18" s="109"/>
      <c r="HU18" s="109"/>
      <c r="HV18" s="166"/>
      <c r="HW18" s="166"/>
      <c r="HX18" s="105">
        <f t="shared" si="86"/>
        <v>4016.9491525423728</v>
      </c>
      <c r="HY18" s="105">
        <f t="shared" si="83"/>
        <v>723.05084745762713</v>
      </c>
      <c r="HZ18" s="105">
        <f t="shared" si="83"/>
        <v>4740</v>
      </c>
      <c r="IA18" s="105">
        <f t="shared" si="68"/>
        <v>0</v>
      </c>
      <c r="IB18" s="109">
        <f t="shared" si="69"/>
        <v>14140</v>
      </c>
      <c r="IC18" s="109">
        <f t="shared" si="70"/>
        <v>11983.050847457627</v>
      </c>
      <c r="ID18" s="109">
        <f t="shared" si="71"/>
        <v>0</v>
      </c>
      <c r="IE18" s="109">
        <f t="shared" ca="1" si="72"/>
        <v>14</v>
      </c>
      <c r="IF18" s="139">
        <f t="shared" si="73"/>
        <v>3.0127118644067798</v>
      </c>
      <c r="IG18" s="139">
        <f t="shared" ca="1" si="74"/>
        <v>102</v>
      </c>
      <c r="IH18" s="169">
        <f t="shared" ca="1" si="75"/>
        <v>3.4</v>
      </c>
      <c r="II18" s="139">
        <f t="shared" ca="1" si="76"/>
        <v>0.38728813559322006</v>
      </c>
      <c r="IJ18" s="169">
        <f t="shared" ca="1" si="77"/>
        <v>11.618644067796602</v>
      </c>
      <c r="IK18" s="169">
        <f t="shared" ca="1" si="84"/>
        <v>0.38728813559322006</v>
      </c>
      <c r="IL18" s="170">
        <f t="shared" ca="1" si="78"/>
        <v>609.33333333333292</v>
      </c>
      <c r="IM18" s="171"/>
      <c r="IN18" s="171"/>
      <c r="IO18" s="171"/>
      <c r="IP18" s="171"/>
    </row>
    <row r="19" spans="1:250" ht="15" customHeight="1" thickBot="1" x14ac:dyDescent="0.35">
      <c r="A19" s="110">
        <f t="shared" si="79"/>
        <v>15</v>
      </c>
      <c r="B19" s="111" t="s">
        <v>170</v>
      </c>
      <c r="C19" s="111" t="s">
        <v>171</v>
      </c>
      <c r="D19" s="111">
        <v>102</v>
      </c>
      <c r="E19" s="111" t="s">
        <v>253</v>
      </c>
      <c r="F19" s="111"/>
      <c r="G19" s="111" t="s">
        <v>314</v>
      </c>
      <c r="H19" s="111">
        <v>1021100131</v>
      </c>
      <c r="I19" s="146" t="str">
        <f t="shared" si="0"/>
        <v>1100131</v>
      </c>
      <c r="J19" s="145" t="str">
        <f t="shared" si="1"/>
        <v>KN1100131</v>
      </c>
      <c r="K19" s="111" t="s">
        <v>315</v>
      </c>
      <c r="L19" s="111" t="s">
        <v>316</v>
      </c>
      <c r="M19" s="111" t="s">
        <v>317</v>
      </c>
      <c r="N19" s="111" t="s">
        <v>138</v>
      </c>
      <c r="O19" s="111"/>
      <c r="P19" s="111" t="s">
        <v>318</v>
      </c>
      <c r="Q19" s="148">
        <v>31095</v>
      </c>
      <c r="R19" s="148" t="s">
        <v>170</v>
      </c>
      <c r="S19" s="111">
        <f t="shared" ca="1" si="85"/>
        <v>40</v>
      </c>
      <c r="T19" s="111" t="s">
        <v>229</v>
      </c>
      <c r="U19" s="111" t="s">
        <v>217</v>
      </c>
      <c r="V19" s="172">
        <v>773699954</v>
      </c>
      <c r="W19" s="111"/>
      <c r="X19" s="111" t="s">
        <v>181</v>
      </c>
      <c r="Y19" s="111">
        <v>11</v>
      </c>
      <c r="Z19" s="111" t="s">
        <v>235</v>
      </c>
      <c r="AA19" s="111" t="s">
        <v>261</v>
      </c>
      <c r="AB19" s="111" t="s">
        <v>236</v>
      </c>
      <c r="AC19" s="111" t="s">
        <v>146</v>
      </c>
      <c r="AD19" s="111" t="s">
        <v>147</v>
      </c>
      <c r="AE19" s="173" t="s">
        <v>136</v>
      </c>
      <c r="AF19" s="173" t="s">
        <v>136</v>
      </c>
      <c r="AG19" s="174">
        <v>45881</v>
      </c>
      <c r="AH19" s="175">
        <v>12000</v>
      </c>
      <c r="AI19" s="111">
        <v>12</v>
      </c>
      <c r="AJ19" s="111">
        <v>0</v>
      </c>
      <c r="AK19" s="150">
        <f t="shared" si="80"/>
        <v>12</v>
      </c>
      <c r="AL19" s="177">
        <v>12000</v>
      </c>
      <c r="AM19" s="176">
        <v>0.18</v>
      </c>
      <c r="AN19" s="177">
        <f t="shared" si="92"/>
        <v>2160</v>
      </c>
      <c r="AO19" s="157">
        <f t="shared" si="96"/>
        <v>14160</v>
      </c>
      <c r="AP19" s="158">
        <f t="shared" si="3"/>
        <v>1180</v>
      </c>
      <c r="AQ19" s="111" t="s">
        <v>136</v>
      </c>
      <c r="AR19" s="111" t="s">
        <v>170</v>
      </c>
      <c r="AS19" s="111" t="s">
        <v>217</v>
      </c>
      <c r="AT19" s="111" t="s">
        <v>289</v>
      </c>
      <c r="AU19" s="111" t="s">
        <v>229</v>
      </c>
      <c r="AV19" s="111">
        <v>4</v>
      </c>
      <c r="AW19" s="111" t="s">
        <v>136</v>
      </c>
      <c r="AX19" s="111" t="s">
        <v>136</v>
      </c>
      <c r="AY19" s="111" t="s">
        <v>136</v>
      </c>
      <c r="AZ19" s="111" t="s">
        <v>136</v>
      </c>
      <c r="BA19" s="111" t="s">
        <v>136</v>
      </c>
      <c r="BB19" s="111" t="s">
        <v>136</v>
      </c>
      <c r="BC19" s="111" t="s">
        <v>136</v>
      </c>
      <c r="BD19" s="111" t="s">
        <v>136</v>
      </c>
      <c r="BE19" s="111" t="s">
        <v>136</v>
      </c>
      <c r="BF19" s="111" t="s">
        <v>136</v>
      </c>
      <c r="BG19" s="111" t="s">
        <v>136</v>
      </c>
      <c r="BH19" s="111" t="s">
        <v>136</v>
      </c>
      <c r="BI19" s="111" t="s">
        <v>136</v>
      </c>
      <c r="BJ19" s="111" t="s">
        <v>136</v>
      </c>
      <c r="BK19" s="111" t="s">
        <v>136</v>
      </c>
      <c r="BL19" s="111" t="s">
        <v>136</v>
      </c>
      <c r="BM19" s="111" t="s">
        <v>136</v>
      </c>
      <c r="BN19" s="111" t="s">
        <v>136</v>
      </c>
      <c r="BO19" s="111" t="s">
        <v>136</v>
      </c>
      <c r="BP19" s="111" t="s">
        <v>319</v>
      </c>
      <c r="BQ19" s="111" t="s">
        <v>320</v>
      </c>
      <c r="BR19" s="111" t="s">
        <v>321</v>
      </c>
      <c r="BS19" s="111" t="s">
        <v>322</v>
      </c>
      <c r="BT19" s="182" t="s">
        <v>136</v>
      </c>
      <c r="BU19" s="111" t="s">
        <v>229</v>
      </c>
      <c r="BV19" s="111" t="s">
        <v>217</v>
      </c>
      <c r="BW19" s="111"/>
      <c r="BX19" s="111"/>
      <c r="BY19" s="111"/>
      <c r="BZ19" s="111"/>
      <c r="CA19" s="111"/>
      <c r="CB19" s="111"/>
      <c r="CC19" s="178"/>
      <c r="CD19" s="177">
        <f t="shared" si="4"/>
        <v>12000</v>
      </c>
      <c r="CE19" s="148">
        <v>45921</v>
      </c>
      <c r="CF19" s="111">
        <f t="shared" si="5"/>
        <v>12</v>
      </c>
      <c r="CG19" s="177">
        <f t="shared" si="6"/>
        <v>14160</v>
      </c>
      <c r="CH19" s="203">
        <f t="shared" si="95"/>
        <v>0</v>
      </c>
      <c r="CI19" s="148">
        <v>45921</v>
      </c>
      <c r="CJ19" s="161">
        <f t="shared" si="81"/>
        <v>45951</v>
      </c>
      <c r="CK19" s="162">
        <f t="shared" si="82"/>
        <v>46286</v>
      </c>
      <c r="CL19" s="180"/>
      <c r="CM19" s="164">
        <f t="shared" ca="1" si="8"/>
        <v>46054</v>
      </c>
      <c r="CN19" s="165">
        <f t="shared" si="9"/>
        <v>45951</v>
      </c>
      <c r="CO19" s="109">
        <f t="shared" si="10"/>
        <v>1000</v>
      </c>
      <c r="CP19" s="109">
        <f t="shared" si="11"/>
        <v>180</v>
      </c>
      <c r="CQ19" s="109">
        <v>1180</v>
      </c>
      <c r="CR19" s="109">
        <f t="shared" si="12"/>
        <v>0</v>
      </c>
      <c r="CS19" s="166">
        <v>45951</v>
      </c>
      <c r="CT19" s="167">
        <f t="shared" si="13"/>
        <v>0</v>
      </c>
      <c r="CU19" s="165">
        <f t="shared" si="14"/>
        <v>45982</v>
      </c>
      <c r="CV19" s="109">
        <f t="shared" si="15"/>
        <v>1000</v>
      </c>
      <c r="CW19" s="109">
        <f t="shared" si="16"/>
        <v>180</v>
      </c>
      <c r="CX19" s="109">
        <v>1180</v>
      </c>
      <c r="CY19" s="109">
        <f t="shared" si="17"/>
        <v>0</v>
      </c>
      <c r="CZ19" s="166">
        <v>45984</v>
      </c>
      <c r="DA19" s="167">
        <f t="shared" si="18"/>
        <v>2</v>
      </c>
      <c r="DB19" s="165">
        <f t="shared" si="19"/>
        <v>46012</v>
      </c>
      <c r="DC19" s="109">
        <f t="shared" si="20"/>
        <v>1000</v>
      </c>
      <c r="DD19" s="109">
        <f t="shared" si="21"/>
        <v>180</v>
      </c>
      <c r="DE19" s="109">
        <v>1180</v>
      </c>
      <c r="DF19" s="109">
        <f t="shared" si="22"/>
        <v>0</v>
      </c>
      <c r="DG19" s="166">
        <v>46012</v>
      </c>
      <c r="DH19" s="167">
        <f t="shared" si="23"/>
        <v>0</v>
      </c>
      <c r="DI19" s="165">
        <f t="shared" si="24"/>
        <v>46043</v>
      </c>
      <c r="DJ19" s="109">
        <f t="shared" si="25"/>
        <v>0</v>
      </c>
      <c r="DK19" s="109">
        <f t="shared" si="26"/>
        <v>0</v>
      </c>
      <c r="DL19" s="109">
        <v>0</v>
      </c>
      <c r="DM19" s="109">
        <f t="shared" si="27"/>
        <v>0</v>
      </c>
      <c r="DN19" s="166">
        <f t="shared" ca="1" si="87"/>
        <v>46054</v>
      </c>
      <c r="DO19" s="167">
        <f t="shared" ca="1" si="28"/>
        <v>11</v>
      </c>
      <c r="DP19" s="165">
        <f t="shared" si="93"/>
        <v>46074</v>
      </c>
      <c r="DQ19" s="109">
        <f t="shared" si="29"/>
        <v>0</v>
      </c>
      <c r="DR19" s="109">
        <f t="shared" si="94"/>
        <v>0</v>
      </c>
      <c r="DS19" s="109"/>
      <c r="DT19" s="109">
        <f t="shared" si="30"/>
        <v>0</v>
      </c>
      <c r="DU19" s="166">
        <f t="shared" ca="1" si="88"/>
        <v>46054</v>
      </c>
      <c r="DV19" s="167">
        <f t="shared" ca="1" si="31"/>
        <v>0</v>
      </c>
      <c r="DW19" s="165">
        <f t="shared" si="32"/>
        <v>46102</v>
      </c>
      <c r="DX19" s="109">
        <f t="shared" si="33"/>
        <v>0</v>
      </c>
      <c r="DY19" s="109">
        <f t="shared" si="34"/>
        <v>0</v>
      </c>
      <c r="DZ19" s="109"/>
      <c r="EA19" s="109">
        <f t="shared" si="35"/>
        <v>0</v>
      </c>
      <c r="EB19" s="166">
        <f t="shared" ca="1" si="89"/>
        <v>46054</v>
      </c>
      <c r="EC19" s="167">
        <f t="shared" ca="1" si="36"/>
        <v>0</v>
      </c>
      <c r="ED19" s="165">
        <f t="shared" si="37"/>
        <v>46133</v>
      </c>
      <c r="EE19" s="109">
        <f t="shared" si="38"/>
        <v>0</v>
      </c>
      <c r="EF19" s="109">
        <f t="shared" si="39"/>
        <v>0</v>
      </c>
      <c r="EG19" s="109"/>
      <c r="EH19" s="109">
        <f t="shared" si="40"/>
        <v>0</v>
      </c>
      <c r="EI19" s="166">
        <f t="shared" ca="1" si="90"/>
        <v>46054</v>
      </c>
      <c r="EJ19" s="167">
        <f t="shared" ca="1" si="41"/>
        <v>0</v>
      </c>
      <c r="EK19" s="165">
        <f t="shared" si="42"/>
        <v>46163</v>
      </c>
      <c r="EL19" s="109">
        <f t="shared" si="43"/>
        <v>0</v>
      </c>
      <c r="EM19" s="109">
        <f t="shared" si="44"/>
        <v>0</v>
      </c>
      <c r="EN19" s="109"/>
      <c r="EO19" s="109">
        <f t="shared" si="45"/>
        <v>0</v>
      </c>
      <c r="EP19" s="166">
        <f t="shared" ca="1" si="91"/>
        <v>46054</v>
      </c>
      <c r="EQ19" s="167">
        <f t="shared" ca="1" si="46"/>
        <v>0</v>
      </c>
      <c r="ER19" s="165">
        <f t="shared" si="47"/>
        <v>46194</v>
      </c>
      <c r="ES19" s="109">
        <f t="shared" si="48"/>
        <v>0</v>
      </c>
      <c r="ET19" s="109">
        <f t="shared" si="49"/>
        <v>0</v>
      </c>
      <c r="EU19" s="109"/>
      <c r="EV19" s="109"/>
      <c r="EW19" s="166"/>
      <c r="EX19" s="166"/>
      <c r="EY19" s="165">
        <f t="shared" si="50"/>
        <v>46224</v>
      </c>
      <c r="EZ19" s="109">
        <f t="shared" si="51"/>
        <v>0</v>
      </c>
      <c r="FA19" s="109">
        <f t="shared" si="52"/>
        <v>0</v>
      </c>
      <c r="FB19" s="109"/>
      <c r="FC19" s="109"/>
      <c r="FD19" s="166"/>
      <c r="FE19" s="166"/>
      <c r="FF19" s="165">
        <f t="shared" si="53"/>
        <v>46255</v>
      </c>
      <c r="FG19" s="109">
        <f t="shared" si="54"/>
        <v>0</v>
      </c>
      <c r="FH19" s="109">
        <f t="shared" si="55"/>
        <v>0</v>
      </c>
      <c r="FI19" s="109"/>
      <c r="FJ19" s="109"/>
      <c r="FK19" s="166"/>
      <c r="FL19" s="166"/>
      <c r="FM19" s="165">
        <f t="shared" si="56"/>
        <v>46286</v>
      </c>
      <c r="FN19" s="109">
        <f t="shared" si="57"/>
        <v>0</v>
      </c>
      <c r="FO19" s="109">
        <f t="shared" si="58"/>
        <v>0</v>
      </c>
      <c r="FP19" s="109"/>
      <c r="FQ19" s="109"/>
      <c r="FR19" s="166"/>
      <c r="FS19" s="166"/>
      <c r="FT19" s="165"/>
      <c r="FU19" s="109"/>
      <c r="FV19" s="109"/>
      <c r="FW19" s="109"/>
      <c r="FX19" s="109"/>
      <c r="FY19" s="166"/>
      <c r="FZ19" s="166"/>
      <c r="GA19" s="165"/>
      <c r="GB19" s="109"/>
      <c r="GC19" s="109"/>
      <c r="GD19" s="109"/>
      <c r="GE19" s="109"/>
      <c r="GF19" s="166"/>
      <c r="GG19" s="166"/>
      <c r="GH19" s="165"/>
      <c r="GI19" s="109"/>
      <c r="GJ19" s="109"/>
      <c r="GK19" s="109"/>
      <c r="GL19" s="109"/>
      <c r="GM19" s="166"/>
      <c r="GN19" s="166"/>
      <c r="GO19" s="165"/>
      <c r="GP19" s="109"/>
      <c r="GQ19" s="109"/>
      <c r="GR19" s="109"/>
      <c r="GS19" s="109"/>
      <c r="GT19" s="166"/>
      <c r="GU19" s="166"/>
      <c r="GV19" s="165"/>
      <c r="GW19" s="168"/>
      <c r="GX19" s="168"/>
      <c r="GY19" s="168"/>
      <c r="GZ19" s="168"/>
      <c r="HA19" s="166"/>
      <c r="HB19" s="166"/>
      <c r="HC19" s="165"/>
      <c r="HD19" s="109"/>
      <c r="HE19" s="109"/>
      <c r="HF19" s="109"/>
      <c r="HG19" s="109"/>
      <c r="HH19" s="166"/>
      <c r="HI19" s="166"/>
      <c r="HJ19" s="165"/>
      <c r="HK19" s="109"/>
      <c r="HL19" s="109"/>
      <c r="HM19" s="109"/>
      <c r="HN19" s="109"/>
      <c r="HO19" s="166"/>
      <c r="HP19" s="166"/>
      <c r="HQ19" s="165"/>
      <c r="HR19" s="109"/>
      <c r="HS19" s="109"/>
      <c r="HT19" s="109"/>
      <c r="HU19" s="109"/>
      <c r="HV19" s="166"/>
      <c r="HW19" s="166"/>
      <c r="HX19" s="105">
        <f t="shared" si="86"/>
        <v>3000</v>
      </c>
      <c r="HY19" s="105">
        <f t="shared" si="83"/>
        <v>540</v>
      </c>
      <c r="HZ19" s="105">
        <f t="shared" si="83"/>
        <v>3540</v>
      </c>
      <c r="IA19" s="105">
        <f t="shared" si="68"/>
        <v>0</v>
      </c>
      <c r="IB19" s="109">
        <f t="shared" si="69"/>
        <v>10620</v>
      </c>
      <c r="IC19" s="109">
        <f t="shared" si="70"/>
        <v>9000</v>
      </c>
      <c r="ID19" s="109">
        <f t="shared" si="71"/>
        <v>0</v>
      </c>
      <c r="IE19" s="109">
        <f t="shared" ca="1" si="72"/>
        <v>13</v>
      </c>
      <c r="IF19" s="139">
        <f t="shared" si="73"/>
        <v>3</v>
      </c>
      <c r="IG19" s="139">
        <f t="shared" ca="1" si="74"/>
        <v>103</v>
      </c>
      <c r="IH19" s="169">
        <f t="shared" ca="1" si="75"/>
        <v>3.4333333333333331</v>
      </c>
      <c r="II19" s="139">
        <f t="shared" ca="1" si="76"/>
        <v>0.43333333333333313</v>
      </c>
      <c r="IJ19" s="169">
        <f t="shared" ca="1" si="77"/>
        <v>12.999999999999993</v>
      </c>
      <c r="IK19" s="169">
        <f t="shared" ca="1" si="84"/>
        <v>0.43333333333333313</v>
      </c>
      <c r="IL19" s="170">
        <f t="shared" ca="1" si="78"/>
        <v>511.33333333333309</v>
      </c>
      <c r="IM19" s="171"/>
      <c r="IN19" s="171"/>
      <c r="IO19" s="171"/>
      <c r="IP19" s="171"/>
    </row>
    <row r="20" spans="1:250" ht="15" customHeight="1" thickBot="1" x14ac:dyDescent="0.35">
      <c r="A20" s="110">
        <f t="shared" si="79"/>
        <v>16</v>
      </c>
      <c r="B20" s="111" t="s">
        <v>170</v>
      </c>
      <c r="C20" s="111" t="s">
        <v>171</v>
      </c>
      <c r="D20" s="111">
        <v>102</v>
      </c>
      <c r="E20" s="111" t="s">
        <v>253</v>
      </c>
      <c r="F20" s="111"/>
      <c r="G20" s="111" t="s">
        <v>323</v>
      </c>
      <c r="H20" s="111">
        <v>1021100132</v>
      </c>
      <c r="I20" s="146" t="str">
        <f t="shared" si="0"/>
        <v>1100132</v>
      </c>
      <c r="J20" s="145" t="str">
        <f t="shared" si="1"/>
        <v>KN1100132</v>
      </c>
      <c r="K20" s="111" t="s">
        <v>324</v>
      </c>
      <c r="L20" s="111" t="s">
        <v>325</v>
      </c>
      <c r="M20" s="111" t="s">
        <v>326</v>
      </c>
      <c r="N20" s="111" t="s">
        <v>138</v>
      </c>
      <c r="O20" s="111"/>
      <c r="P20" s="111" t="s">
        <v>327</v>
      </c>
      <c r="Q20" s="148">
        <v>32500</v>
      </c>
      <c r="R20" s="111" t="s">
        <v>170</v>
      </c>
      <c r="S20" s="111">
        <f t="shared" ca="1" si="85"/>
        <v>37</v>
      </c>
      <c r="T20" s="111" t="s">
        <v>299</v>
      </c>
      <c r="U20" s="111" t="s">
        <v>217</v>
      </c>
      <c r="V20" s="172">
        <v>771560490</v>
      </c>
      <c r="W20" s="111"/>
      <c r="X20" s="111" t="s">
        <v>181</v>
      </c>
      <c r="Y20" s="111">
        <v>11</v>
      </c>
      <c r="Z20" s="111" t="s">
        <v>235</v>
      </c>
      <c r="AA20" s="111" t="s">
        <v>235</v>
      </c>
      <c r="AB20" s="111" t="s">
        <v>236</v>
      </c>
      <c r="AC20" s="111" t="s">
        <v>146</v>
      </c>
      <c r="AD20" s="111" t="s">
        <v>147</v>
      </c>
      <c r="AE20" s="173" t="s">
        <v>136</v>
      </c>
      <c r="AF20" s="173" t="s">
        <v>136</v>
      </c>
      <c r="AG20" s="174">
        <v>45886</v>
      </c>
      <c r="AH20" s="175">
        <v>40000</v>
      </c>
      <c r="AI20" s="111">
        <v>12</v>
      </c>
      <c r="AJ20" s="111">
        <v>0</v>
      </c>
      <c r="AK20" s="150">
        <f t="shared" si="80"/>
        <v>12</v>
      </c>
      <c r="AL20" s="177">
        <v>15000</v>
      </c>
      <c r="AM20" s="176">
        <v>0.18</v>
      </c>
      <c r="AN20" s="177">
        <f t="shared" si="92"/>
        <v>2700</v>
      </c>
      <c r="AO20" s="157">
        <f t="shared" si="96"/>
        <v>17700</v>
      </c>
      <c r="AP20" s="158">
        <f t="shared" si="3"/>
        <v>1475</v>
      </c>
      <c r="AQ20" s="111" t="s">
        <v>136</v>
      </c>
      <c r="AR20" s="111" t="s">
        <v>170</v>
      </c>
      <c r="AS20" s="111" t="s">
        <v>217</v>
      </c>
      <c r="AT20" s="111" t="s">
        <v>300</v>
      </c>
      <c r="AU20" s="111" t="s">
        <v>301</v>
      </c>
      <c r="AV20" s="111">
        <v>3</v>
      </c>
      <c r="AW20" s="111" t="s">
        <v>136</v>
      </c>
      <c r="AX20" s="111" t="s">
        <v>136</v>
      </c>
      <c r="AY20" s="111" t="s">
        <v>136</v>
      </c>
      <c r="AZ20" s="111" t="s">
        <v>136</v>
      </c>
      <c r="BA20" s="111" t="s">
        <v>136</v>
      </c>
      <c r="BB20" s="111" t="s">
        <v>136</v>
      </c>
      <c r="BC20" s="111" t="s">
        <v>136</v>
      </c>
      <c r="BD20" s="111" t="s">
        <v>136</v>
      </c>
      <c r="BE20" s="111" t="s">
        <v>136</v>
      </c>
      <c r="BF20" s="111" t="s">
        <v>136</v>
      </c>
      <c r="BG20" s="111" t="s">
        <v>136</v>
      </c>
      <c r="BH20" s="111" t="s">
        <v>136</v>
      </c>
      <c r="BI20" s="111" t="s">
        <v>136</v>
      </c>
      <c r="BJ20" s="111" t="s">
        <v>136</v>
      </c>
      <c r="BK20" s="111" t="s">
        <v>136</v>
      </c>
      <c r="BL20" s="111" t="s">
        <v>136</v>
      </c>
      <c r="BM20" s="111" t="s">
        <v>136</v>
      </c>
      <c r="BN20" s="111" t="s">
        <v>136</v>
      </c>
      <c r="BO20" s="111" t="s">
        <v>136</v>
      </c>
      <c r="BP20" s="111" t="s">
        <v>295</v>
      </c>
      <c r="BQ20" s="111" t="s">
        <v>296</v>
      </c>
      <c r="BR20" s="111" t="s">
        <v>297</v>
      </c>
      <c r="BS20" s="111" t="s">
        <v>298</v>
      </c>
      <c r="BT20" s="182" t="s">
        <v>328</v>
      </c>
      <c r="BU20" s="111" t="s">
        <v>301</v>
      </c>
      <c r="BV20" s="111" t="s">
        <v>217</v>
      </c>
      <c r="BW20" s="111"/>
      <c r="BX20" s="111"/>
      <c r="BY20" s="111"/>
      <c r="BZ20" s="111"/>
      <c r="CA20" s="111"/>
      <c r="CB20" s="111"/>
      <c r="CC20" s="178"/>
      <c r="CD20" s="177">
        <f t="shared" si="4"/>
        <v>15000</v>
      </c>
      <c r="CE20" s="148">
        <v>45921</v>
      </c>
      <c r="CF20" s="111">
        <f t="shared" si="5"/>
        <v>12</v>
      </c>
      <c r="CG20" s="177">
        <f t="shared" si="6"/>
        <v>17700</v>
      </c>
      <c r="CH20" s="203">
        <f t="shared" si="95"/>
        <v>0</v>
      </c>
      <c r="CI20" s="148">
        <v>45921</v>
      </c>
      <c r="CJ20" s="161">
        <f t="shared" si="81"/>
        <v>45951</v>
      </c>
      <c r="CK20" s="162">
        <f t="shared" si="82"/>
        <v>46286</v>
      </c>
      <c r="CL20" s="180"/>
      <c r="CM20" s="164">
        <f t="shared" ca="1" si="8"/>
        <v>46054</v>
      </c>
      <c r="CN20" s="165">
        <f t="shared" si="9"/>
        <v>45951</v>
      </c>
      <c r="CO20" s="109">
        <f t="shared" si="10"/>
        <v>1254.2372881355932</v>
      </c>
      <c r="CP20" s="109">
        <f t="shared" si="11"/>
        <v>225.76271186440675</v>
      </c>
      <c r="CQ20" s="109">
        <v>1480</v>
      </c>
      <c r="CR20" s="109">
        <f t="shared" si="12"/>
        <v>5</v>
      </c>
      <c r="CS20" s="166">
        <v>45950</v>
      </c>
      <c r="CT20" s="167">
        <f t="shared" si="13"/>
        <v>0</v>
      </c>
      <c r="CU20" s="165">
        <f t="shared" si="14"/>
        <v>45982</v>
      </c>
      <c r="CV20" s="109">
        <f t="shared" si="15"/>
        <v>1254.2372881355932</v>
      </c>
      <c r="CW20" s="109">
        <f t="shared" si="16"/>
        <v>225.76271186440675</v>
      </c>
      <c r="CX20" s="109">
        <v>1480</v>
      </c>
      <c r="CY20" s="109">
        <f t="shared" si="17"/>
        <v>5</v>
      </c>
      <c r="CZ20" s="166">
        <v>45981</v>
      </c>
      <c r="DA20" s="167">
        <f t="shared" si="18"/>
        <v>0</v>
      </c>
      <c r="DB20" s="165">
        <f t="shared" si="19"/>
        <v>46012</v>
      </c>
      <c r="DC20" s="109">
        <f t="shared" si="20"/>
        <v>1254.2372881355932</v>
      </c>
      <c r="DD20" s="109">
        <f t="shared" si="21"/>
        <v>225.76271186440675</v>
      </c>
      <c r="DE20" s="109">
        <v>1480</v>
      </c>
      <c r="DF20" s="109">
        <f t="shared" si="22"/>
        <v>5</v>
      </c>
      <c r="DG20" s="166">
        <v>46007</v>
      </c>
      <c r="DH20" s="167">
        <f t="shared" si="23"/>
        <v>0</v>
      </c>
      <c r="DI20" s="165">
        <f t="shared" si="24"/>
        <v>46043</v>
      </c>
      <c r="DJ20" s="109">
        <f t="shared" si="25"/>
        <v>0</v>
      </c>
      <c r="DK20" s="109">
        <f t="shared" si="26"/>
        <v>0</v>
      </c>
      <c r="DL20" s="109">
        <v>0</v>
      </c>
      <c r="DM20" s="109">
        <f t="shared" si="27"/>
        <v>0</v>
      </c>
      <c r="DN20" s="166">
        <f t="shared" ca="1" si="87"/>
        <v>46054</v>
      </c>
      <c r="DO20" s="167">
        <f t="shared" ca="1" si="28"/>
        <v>11</v>
      </c>
      <c r="DP20" s="165">
        <f t="shared" si="93"/>
        <v>46074</v>
      </c>
      <c r="DQ20" s="109">
        <f t="shared" si="29"/>
        <v>0</v>
      </c>
      <c r="DR20" s="109">
        <f t="shared" si="94"/>
        <v>0</v>
      </c>
      <c r="DS20" s="109"/>
      <c r="DT20" s="109">
        <f t="shared" si="30"/>
        <v>0</v>
      </c>
      <c r="DU20" s="166">
        <f t="shared" ca="1" si="88"/>
        <v>46054</v>
      </c>
      <c r="DV20" s="167">
        <f t="shared" ca="1" si="31"/>
        <v>0</v>
      </c>
      <c r="DW20" s="165">
        <f t="shared" si="32"/>
        <v>46102</v>
      </c>
      <c r="DX20" s="109">
        <f t="shared" si="33"/>
        <v>0</v>
      </c>
      <c r="DY20" s="109">
        <f t="shared" si="34"/>
        <v>0</v>
      </c>
      <c r="DZ20" s="109"/>
      <c r="EA20" s="109">
        <f t="shared" si="35"/>
        <v>0</v>
      </c>
      <c r="EB20" s="166">
        <f t="shared" ca="1" si="89"/>
        <v>46054</v>
      </c>
      <c r="EC20" s="167">
        <f t="shared" ca="1" si="36"/>
        <v>0</v>
      </c>
      <c r="ED20" s="165">
        <f t="shared" si="37"/>
        <v>46133</v>
      </c>
      <c r="EE20" s="109">
        <f t="shared" si="38"/>
        <v>0</v>
      </c>
      <c r="EF20" s="109">
        <f t="shared" si="39"/>
        <v>0</v>
      </c>
      <c r="EG20" s="109"/>
      <c r="EH20" s="109">
        <f t="shared" si="40"/>
        <v>0</v>
      </c>
      <c r="EI20" s="166">
        <f t="shared" ca="1" si="90"/>
        <v>46054</v>
      </c>
      <c r="EJ20" s="167">
        <f t="shared" ca="1" si="41"/>
        <v>0</v>
      </c>
      <c r="EK20" s="165">
        <f t="shared" si="42"/>
        <v>46163</v>
      </c>
      <c r="EL20" s="109">
        <f t="shared" si="43"/>
        <v>0</v>
      </c>
      <c r="EM20" s="109">
        <f t="shared" si="44"/>
        <v>0</v>
      </c>
      <c r="EN20" s="109"/>
      <c r="EO20" s="109">
        <f t="shared" si="45"/>
        <v>0</v>
      </c>
      <c r="EP20" s="166">
        <f t="shared" ca="1" si="91"/>
        <v>46054</v>
      </c>
      <c r="EQ20" s="167">
        <f t="shared" ca="1" si="46"/>
        <v>0</v>
      </c>
      <c r="ER20" s="165">
        <f t="shared" si="47"/>
        <v>46194</v>
      </c>
      <c r="ES20" s="109">
        <f t="shared" si="48"/>
        <v>0</v>
      </c>
      <c r="ET20" s="109">
        <f t="shared" si="49"/>
        <v>0</v>
      </c>
      <c r="EU20" s="109"/>
      <c r="EV20" s="109"/>
      <c r="EW20" s="166"/>
      <c r="EX20" s="166"/>
      <c r="EY20" s="165">
        <f t="shared" si="50"/>
        <v>46224</v>
      </c>
      <c r="EZ20" s="109">
        <f t="shared" si="51"/>
        <v>0</v>
      </c>
      <c r="FA20" s="109">
        <f t="shared" si="52"/>
        <v>0</v>
      </c>
      <c r="FB20" s="109"/>
      <c r="FC20" s="109"/>
      <c r="FD20" s="166"/>
      <c r="FE20" s="166"/>
      <c r="FF20" s="165">
        <f t="shared" si="53"/>
        <v>46255</v>
      </c>
      <c r="FG20" s="109">
        <f t="shared" si="54"/>
        <v>0</v>
      </c>
      <c r="FH20" s="109">
        <f t="shared" si="55"/>
        <v>0</v>
      </c>
      <c r="FI20" s="109"/>
      <c r="FJ20" s="109"/>
      <c r="FK20" s="166"/>
      <c r="FL20" s="166"/>
      <c r="FM20" s="165">
        <f t="shared" si="56"/>
        <v>46286</v>
      </c>
      <c r="FN20" s="109">
        <f t="shared" si="57"/>
        <v>0</v>
      </c>
      <c r="FO20" s="109">
        <f t="shared" si="58"/>
        <v>0</v>
      </c>
      <c r="FP20" s="109"/>
      <c r="FQ20" s="109"/>
      <c r="FR20" s="166"/>
      <c r="FS20" s="166"/>
      <c r="FT20" s="165"/>
      <c r="FU20" s="109"/>
      <c r="FV20" s="109"/>
      <c r="FW20" s="109"/>
      <c r="FX20" s="109"/>
      <c r="FY20" s="166"/>
      <c r="FZ20" s="166"/>
      <c r="GA20" s="165"/>
      <c r="GB20" s="109"/>
      <c r="GC20" s="109"/>
      <c r="GD20" s="109"/>
      <c r="GE20" s="109"/>
      <c r="GF20" s="166"/>
      <c r="GG20" s="166"/>
      <c r="GH20" s="165"/>
      <c r="GI20" s="109"/>
      <c r="GJ20" s="109"/>
      <c r="GK20" s="109"/>
      <c r="GL20" s="109"/>
      <c r="GM20" s="166"/>
      <c r="GN20" s="166"/>
      <c r="GO20" s="165"/>
      <c r="GP20" s="109"/>
      <c r="GQ20" s="109"/>
      <c r="GR20" s="109"/>
      <c r="GS20" s="109"/>
      <c r="GT20" s="166"/>
      <c r="GU20" s="166"/>
      <c r="GV20" s="165"/>
      <c r="GW20" s="168"/>
      <c r="GX20" s="168"/>
      <c r="GY20" s="168"/>
      <c r="GZ20" s="168"/>
      <c r="HA20" s="166"/>
      <c r="HB20" s="166"/>
      <c r="HC20" s="165"/>
      <c r="HD20" s="109"/>
      <c r="HE20" s="109"/>
      <c r="HF20" s="109"/>
      <c r="HG20" s="109"/>
      <c r="HH20" s="166"/>
      <c r="HI20" s="166"/>
      <c r="HJ20" s="165"/>
      <c r="HK20" s="109"/>
      <c r="HL20" s="109"/>
      <c r="HM20" s="109"/>
      <c r="HN20" s="109"/>
      <c r="HO20" s="166"/>
      <c r="HP20" s="166"/>
      <c r="HQ20" s="165"/>
      <c r="HR20" s="109"/>
      <c r="HS20" s="109"/>
      <c r="HT20" s="109"/>
      <c r="HU20" s="109"/>
      <c r="HV20" s="166"/>
      <c r="HW20" s="166"/>
      <c r="HX20" s="105">
        <f t="shared" si="86"/>
        <v>3762.7118644067796</v>
      </c>
      <c r="HY20" s="105">
        <f t="shared" si="83"/>
        <v>677.2881355932202</v>
      </c>
      <c r="HZ20" s="105">
        <f t="shared" si="83"/>
        <v>4440</v>
      </c>
      <c r="IA20" s="105">
        <f t="shared" si="68"/>
        <v>0</v>
      </c>
      <c r="IB20" s="109">
        <f t="shared" si="69"/>
        <v>13260</v>
      </c>
      <c r="IC20" s="109">
        <f t="shared" si="70"/>
        <v>11237.28813559322</v>
      </c>
      <c r="ID20" s="109">
        <f t="shared" si="71"/>
        <v>0</v>
      </c>
      <c r="IE20" s="109">
        <f t="shared" ca="1" si="72"/>
        <v>11</v>
      </c>
      <c r="IF20" s="139">
        <f t="shared" si="73"/>
        <v>3.0101694915254238</v>
      </c>
      <c r="IG20" s="139">
        <f t="shared" ca="1" si="74"/>
        <v>103</v>
      </c>
      <c r="IH20" s="169">
        <f t="shared" ca="1" si="75"/>
        <v>3.4333333333333331</v>
      </c>
      <c r="II20" s="139">
        <f t="shared" ca="1" si="76"/>
        <v>0.42316384180790934</v>
      </c>
      <c r="IJ20" s="169">
        <f t="shared" ca="1" si="77"/>
        <v>12.69491525423728</v>
      </c>
      <c r="IK20" s="169">
        <f t="shared" ca="1" si="84"/>
        <v>0.42316384180790934</v>
      </c>
      <c r="IL20" s="170">
        <f t="shared" ca="1" si="78"/>
        <v>624.16666666666629</v>
      </c>
      <c r="IM20" s="171"/>
      <c r="IN20" s="171"/>
      <c r="IO20" s="171"/>
      <c r="IP20" s="171"/>
    </row>
    <row r="21" spans="1:250" ht="15" customHeight="1" thickBot="1" x14ac:dyDescent="0.35">
      <c r="A21" s="110">
        <f t="shared" si="79"/>
        <v>17</v>
      </c>
      <c r="B21" s="111" t="s">
        <v>170</v>
      </c>
      <c r="C21" s="111" t="s">
        <v>171</v>
      </c>
      <c r="D21" s="111">
        <v>102</v>
      </c>
      <c r="E21" s="111" t="s">
        <v>253</v>
      </c>
      <c r="F21" s="111"/>
      <c r="G21" s="111" t="s">
        <v>329</v>
      </c>
      <c r="H21" s="111">
        <v>1021100133</v>
      </c>
      <c r="I21" s="146" t="str">
        <f t="shared" si="0"/>
        <v>1100133</v>
      </c>
      <c r="J21" s="145" t="str">
        <f t="shared" si="1"/>
        <v>KN1100133</v>
      </c>
      <c r="K21" s="111" t="s">
        <v>330</v>
      </c>
      <c r="L21" s="111" t="s">
        <v>331</v>
      </c>
      <c r="M21" s="111" t="s">
        <v>332</v>
      </c>
      <c r="N21" s="111" t="s">
        <v>138</v>
      </c>
      <c r="O21" s="111"/>
      <c r="P21" s="111" t="s">
        <v>333</v>
      </c>
      <c r="Q21" s="148">
        <v>35372</v>
      </c>
      <c r="R21" s="111" t="s">
        <v>170</v>
      </c>
      <c r="S21" s="111">
        <f t="shared" ca="1" si="85"/>
        <v>29</v>
      </c>
      <c r="T21" s="111" t="s">
        <v>334</v>
      </c>
      <c r="U21" s="111" t="s">
        <v>335</v>
      </c>
      <c r="V21" s="182">
        <v>776100641</v>
      </c>
      <c r="W21" s="111"/>
      <c r="X21" s="111" t="s">
        <v>181</v>
      </c>
      <c r="Y21" s="111">
        <v>11</v>
      </c>
      <c r="Z21" s="111" t="s">
        <v>336</v>
      </c>
      <c r="AA21" s="111" t="s">
        <v>337</v>
      </c>
      <c r="AB21" s="111" t="s">
        <v>338</v>
      </c>
      <c r="AC21" s="111" t="s">
        <v>146</v>
      </c>
      <c r="AD21" s="111" t="s">
        <v>147</v>
      </c>
      <c r="AE21" s="173" t="s">
        <v>136</v>
      </c>
      <c r="AF21" s="173" t="s">
        <v>136</v>
      </c>
      <c r="AG21" s="174">
        <v>45918</v>
      </c>
      <c r="AH21" s="175">
        <v>650000</v>
      </c>
      <c r="AI21" s="111">
        <v>24</v>
      </c>
      <c r="AJ21" s="111">
        <v>0</v>
      </c>
      <c r="AK21" s="150">
        <f t="shared" si="80"/>
        <v>24</v>
      </c>
      <c r="AL21" s="177">
        <v>649000</v>
      </c>
      <c r="AM21" s="176">
        <v>0.18</v>
      </c>
      <c r="AN21" s="177">
        <f t="shared" si="92"/>
        <v>116820</v>
      </c>
      <c r="AO21" s="157">
        <f t="shared" si="96"/>
        <v>765820</v>
      </c>
      <c r="AP21" s="158">
        <f t="shared" si="3"/>
        <v>31909.166666666668</v>
      </c>
      <c r="AQ21" s="111" t="s">
        <v>136</v>
      </c>
      <c r="AR21" s="111" t="s">
        <v>170</v>
      </c>
      <c r="AS21" s="111" t="s">
        <v>335</v>
      </c>
      <c r="AT21" s="111" t="s">
        <v>339</v>
      </c>
      <c r="AU21" s="111" t="s">
        <v>334</v>
      </c>
      <c r="AV21" s="111">
        <v>8</v>
      </c>
      <c r="AW21" s="111" t="s">
        <v>136</v>
      </c>
      <c r="AX21" s="111" t="s">
        <v>136</v>
      </c>
      <c r="AY21" s="111" t="s">
        <v>136</v>
      </c>
      <c r="AZ21" s="111" t="s">
        <v>136</v>
      </c>
      <c r="BA21" s="111" t="s">
        <v>136</v>
      </c>
      <c r="BB21" s="111" t="s">
        <v>136</v>
      </c>
      <c r="BC21" s="111" t="s">
        <v>136</v>
      </c>
      <c r="BD21" s="111" t="s">
        <v>136</v>
      </c>
      <c r="BE21" s="111" t="s">
        <v>136</v>
      </c>
      <c r="BF21" s="111" t="s">
        <v>136</v>
      </c>
      <c r="BG21" s="111" t="s">
        <v>136</v>
      </c>
      <c r="BH21" s="111" t="s">
        <v>136</v>
      </c>
      <c r="BI21" s="111" t="s">
        <v>136</v>
      </c>
      <c r="BJ21" s="111" t="s">
        <v>136</v>
      </c>
      <c r="BK21" s="111" t="s">
        <v>136</v>
      </c>
      <c r="BL21" s="111" t="s">
        <v>136</v>
      </c>
      <c r="BM21" s="111" t="s">
        <v>136</v>
      </c>
      <c r="BN21" s="111" t="s">
        <v>136</v>
      </c>
      <c r="BO21" s="111" t="s">
        <v>136</v>
      </c>
      <c r="BP21" s="111" t="s">
        <v>340</v>
      </c>
      <c r="BQ21" s="111" t="s">
        <v>341</v>
      </c>
      <c r="BR21" s="111" t="s">
        <v>342</v>
      </c>
      <c r="BS21" s="111" t="s">
        <v>343</v>
      </c>
      <c r="BT21" s="111" t="s">
        <v>136</v>
      </c>
      <c r="BU21" s="111" t="s">
        <v>334</v>
      </c>
      <c r="BV21" s="111" t="s">
        <v>335</v>
      </c>
      <c r="BW21" s="111"/>
      <c r="BX21" s="111"/>
      <c r="BY21" s="111"/>
      <c r="BZ21" s="111"/>
      <c r="CA21" s="111"/>
      <c r="CB21" s="111"/>
      <c r="CC21" s="178"/>
      <c r="CD21" s="177">
        <f t="shared" si="4"/>
        <v>649000</v>
      </c>
      <c r="CE21" s="148">
        <v>45923</v>
      </c>
      <c r="CF21" s="111">
        <f t="shared" si="5"/>
        <v>24</v>
      </c>
      <c r="CG21" s="177">
        <f t="shared" si="6"/>
        <v>765820</v>
      </c>
      <c r="CH21" s="203">
        <f t="shared" si="95"/>
        <v>0</v>
      </c>
      <c r="CI21" s="148">
        <v>45923</v>
      </c>
      <c r="CJ21" s="161">
        <f t="shared" si="81"/>
        <v>45953</v>
      </c>
      <c r="CK21" s="162">
        <f t="shared" si="82"/>
        <v>46653</v>
      </c>
      <c r="CL21" s="180"/>
      <c r="CM21" s="164">
        <f t="shared" ca="1" si="8"/>
        <v>46054</v>
      </c>
      <c r="CN21" s="165">
        <f t="shared" si="9"/>
        <v>45953</v>
      </c>
      <c r="CO21" s="109">
        <f t="shared" si="10"/>
        <v>27041.525423728814</v>
      </c>
      <c r="CP21" s="109">
        <f t="shared" si="11"/>
        <v>4867.4745762711864</v>
      </c>
      <c r="CQ21" s="109">
        <v>31909</v>
      </c>
      <c r="CR21" s="109">
        <f t="shared" si="12"/>
        <v>-0.16666666666787933</v>
      </c>
      <c r="CS21" s="166">
        <v>45956</v>
      </c>
      <c r="CT21" s="167">
        <f t="shared" si="13"/>
        <v>3</v>
      </c>
      <c r="CU21" s="165">
        <f t="shared" si="14"/>
        <v>45984</v>
      </c>
      <c r="CV21" s="109">
        <f t="shared" si="15"/>
        <v>27042.372881355932</v>
      </c>
      <c r="CW21" s="109">
        <f t="shared" si="16"/>
        <v>4867.6271186440672</v>
      </c>
      <c r="CX21" s="109">
        <v>31910</v>
      </c>
      <c r="CY21" s="109">
        <f t="shared" si="17"/>
        <v>0.83333333333212067</v>
      </c>
      <c r="CZ21" s="166">
        <v>46028</v>
      </c>
      <c r="DA21" s="167">
        <f t="shared" si="18"/>
        <v>44</v>
      </c>
      <c r="DB21" s="165">
        <f t="shared" si="19"/>
        <v>46014</v>
      </c>
      <c r="DC21" s="109">
        <f t="shared" si="20"/>
        <v>27042.372881355932</v>
      </c>
      <c r="DD21" s="109">
        <f t="shared" si="21"/>
        <v>4867.6271186440672</v>
      </c>
      <c r="DE21" s="109">
        <v>31910</v>
      </c>
      <c r="DF21" s="109">
        <f t="shared" si="22"/>
        <v>0.83333333333212067</v>
      </c>
      <c r="DG21" s="166">
        <v>46028</v>
      </c>
      <c r="DH21" s="167">
        <f t="shared" si="23"/>
        <v>14</v>
      </c>
      <c r="DI21" s="165">
        <f t="shared" si="24"/>
        <v>46045</v>
      </c>
      <c r="DJ21" s="109">
        <f t="shared" si="25"/>
        <v>0</v>
      </c>
      <c r="DK21" s="109">
        <f t="shared" si="26"/>
        <v>0</v>
      </c>
      <c r="DL21" s="109">
        <v>0</v>
      </c>
      <c r="DM21" s="109">
        <f t="shared" si="27"/>
        <v>0</v>
      </c>
      <c r="DN21" s="166">
        <f t="shared" ca="1" si="87"/>
        <v>46054</v>
      </c>
      <c r="DO21" s="167">
        <f t="shared" ca="1" si="28"/>
        <v>9</v>
      </c>
      <c r="DP21" s="165">
        <f t="shared" si="93"/>
        <v>46076</v>
      </c>
      <c r="DQ21" s="109">
        <f t="shared" si="29"/>
        <v>0</v>
      </c>
      <c r="DR21" s="109">
        <f t="shared" si="94"/>
        <v>0</v>
      </c>
      <c r="DS21" s="109"/>
      <c r="DT21" s="109">
        <f t="shared" si="30"/>
        <v>0</v>
      </c>
      <c r="DU21" s="166">
        <f t="shared" ca="1" si="88"/>
        <v>46054</v>
      </c>
      <c r="DV21" s="167">
        <f t="shared" ca="1" si="31"/>
        <v>0</v>
      </c>
      <c r="DW21" s="165">
        <f t="shared" si="32"/>
        <v>46104</v>
      </c>
      <c r="DX21" s="109">
        <f t="shared" si="33"/>
        <v>0</v>
      </c>
      <c r="DY21" s="109">
        <f t="shared" si="34"/>
        <v>0</v>
      </c>
      <c r="DZ21" s="109"/>
      <c r="EA21" s="109">
        <f t="shared" si="35"/>
        <v>0</v>
      </c>
      <c r="EB21" s="166">
        <f t="shared" ca="1" si="89"/>
        <v>46054</v>
      </c>
      <c r="EC21" s="167">
        <f t="shared" ca="1" si="36"/>
        <v>0</v>
      </c>
      <c r="ED21" s="165">
        <f t="shared" si="37"/>
        <v>46135</v>
      </c>
      <c r="EE21" s="109">
        <f t="shared" si="38"/>
        <v>0</v>
      </c>
      <c r="EF21" s="109">
        <f t="shared" si="39"/>
        <v>0</v>
      </c>
      <c r="EG21" s="109"/>
      <c r="EH21" s="109">
        <f t="shared" si="40"/>
        <v>0</v>
      </c>
      <c r="EI21" s="166">
        <f t="shared" ca="1" si="90"/>
        <v>46054</v>
      </c>
      <c r="EJ21" s="167">
        <f t="shared" ca="1" si="41"/>
        <v>0</v>
      </c>
      <c r="EK21" s="165">
        <f t="shared" si="42"/>
        <v>46165</v>
      </c>
      <c r="EL21" s="109">
        <f t="shared" si="43"/>
        <v>0</v>
      </c>
      <c r="EM21" s="109">
        <f t="shared" si="44"/>
        <v>0</v>
      </c>
      <c r="EN21" s="109"/>
      <c r="EO21" s="109">
        <f t="shared" si="45"/>
        <v>0</v>
      </c>
      <c r="EP21" s="166">
        <f t="shared" ca="1" si="91"/>
        <v>46054</v>
      </c>
      <c r="EQ21" s="167">
        <f t="shared" ca="1" si="46"/>
        <v>0</v>
      </c>
      <c r="ER21" s="165">
        <f t="shared" si="47"/>
        <v>46196</v>
      </c>
      <c r="ES21" s="109">
        <f t="shared" si="48"/>
        <v>0</v>
      </c>
      <c r="ET21" s="109">
        <f t="shared" si="49"/>
        <v>0</v>
      </c>
      <c r="EU21" s="109"/>
      <c r="EV21" s="109"/>
      <c r="EW21" s="166"/>
      <c r="EX21" s="166"/>
      <c r="EY21" s="165">
        <f t="shared" si="50"/>
        <v>46226</v>
      </c>
      <c r="EZ21" s="109">
        <f t="shared" si="51"/>
        <v>0</v>
      </c>
      <c r="FA21" s="109">
        <f t="shared" si="52"/>
        <v>0</v>
      </c>
      <c r="FB21" s="109"/>
      <c r="FC21" s="109"/>
      <c r="FD21" s="166"/>
      <c r="FE21" s="166"/>
      <c r="FF21" s="165">
        <f t="shared" si="53"/>
        <v>46257</v>
      </c>
      <c r="FG21" s="109">
        <f t="shared" si="54"/>
        <v>0</v>
      </c>
      <c r="FH21" s="109">
        <f t="shared" si="55"/>
        <v>0</v>
      </c>
      <c r="FI21" s="109"/>
      <c r="FJ21" s="109"/>
      <c r="FK21" s="166"/>
      <c r="FL21" s="166"/>
      <c r="FM21" s="165">
        <f t="shared" si="56"/>
        <v>46288</v>
      </c>
      <c r="FN21" s="109">
        <f t="shared" si="57"/>
        <v>0</v>
      </c>
      <c r="FO21" s="109">
        <f t="shared" si="58"/>
        <v>0</v>
      </c>
      <c r="FP21" s="109"/>
      <c r="FQ21" s="109"/>
      <c r="FR21" s="166"/>
      <c r="FS21" s="166"/>
      <c r="FT21" s="165">
        <f t="shared" ref="FT21:FT30" si="97">EDATE(FM21,1)</f>
        <v>46318</v>
      </c>
      <c r="FU21" s="109">
        <f t="shared" ref="FU21:FU30" si="98">FW21-FV21</f>
        <v>0</v>
      </c>
      <c r="FV21" s="109">
        <f t="shared" ref="FV21:FV30" si="99">FW21/(1+AM21)*AM21</f>
        <v>0</v>
      </c>
      <c r="FW21" s="109"/>
      <c r="FX21" s="109"/>
      <c r="FY21" s="166"/>
      <c r="FZ21" s="166"/>
      <c r="GA21" s="165">
        <f t="shared" ref="GA21:GA30" si="100">EDATE(FT21,1)</f>
        <v>46349</v>
      </c>
      <c r="GB21" s="109">
        <f t="shared" ref="GB21:GB30" si="101">GD21-GC21</f>
        <v>0</v>
      </c>
      <c r="GC21" s="109">
        <f t="shared" ref="GC21:GC30" si="102">GD21/(1+AM21)*AM21</f>
        <v>0</v>
      </c>
      <c r="GD21" s="109"/>
      <c r="GE21" s="109"/>
      <c r="GF21" s="166"/>
      <c r="GG21" s="166"/>
      <c r="GH21" s="165">
        <f t="shared" ref="GH21:GH30" si="103">EDATE(GA21,1)</f>
        <v>46379</v>
      </c>
      <c r="GI21" s="109">
        <f t="shared" ref="GI21:GI30" si="104">GK21-GJ21</f>
        <v>0</v>
      </c>
      <c r="GJ21" s="109">
        <f t="shared" ref="GJ21:GJ30" si="105">GK21/(1+AM21)*AM21</f>
        <v>0</v>
      </c>
      <c r="GK21" s="109"/>
      <c r="GL21" s="109"/>
      <c r="GM21" s="166"/>
      <c r="GN21" s="166"/>
      <c r="GO21" s="165">
        <f>EDATE(GH21,1)</f>
        <v>46410</v>
      </c>
      <c r="GP21" s="109">
        <f>GR21-GQ21</f>
        <v>0</v>
      </c>
      <c r="GQ21" s="109">
        <f>GR21/(1+AM21)*AM21</f>
        <v>0</v>
      </c>
      <c r="GR21" s="109"/>
      <c r="GS21" s="109"/>
      <c r="GT21" s="166"/>
      <c r="GU21" s="166"/>
      <c r="GV21" s="165">
        <f>EDATE(GO21,1)</f>
        <v>46441</v>
      </c>
      <c r="GW21" s="168">
        <f>GY21-GX21</f>
        <v>0</v>
      </c>
      <c r="GX21" s="168">
        <f>GY21/(1+AM21)*AM21</f>
        <v>0</v>
      </c>
      <c r="GY21" s="168"/>
      <c r="GZ21" s="168"/>
      <c r="HA21" s="166"/>
      <c r="HB21" s="166"/>
      <c r="HC21" s="165">
        <f>EDATE(GV21,1)</f>
        <v>46469</v>
      </c>
      <c r="HD21" s="109">
        <f>HF21-HE21</f>
        <v>0</v>
      </c>
      <c r="HE21" s="109">
        <f>HF21/(1+AM21)*AM21</f>
        <v>0</v>
      </c>
      <c r="HF21" s="109"/>
      <c r="HG21" s="109"/>
      <c r="HH21" s="166"/>
      <c r="HI21" s="166"/>
      <c r="HJ21" s="165">
        <f>EDATE(HC21,1)</f>
        <v>46500</v>
      </c>
      <c r="HK21" s="109">
        <f>HM21-HL21</f>
        <v>0</v>
      </c>
      <c r="HL21" s="109">
        <f>HM21/(1+AM21)*AM21</f>
        <v>0</v>
      </c>
      <c r="HM21" s="109"/>
      <c r="HN21" s="109"/>
      <c r="HO21" s="166"/>
      <c r="HP21" s="166"/>
      <c r="HQ21" s="165">
        <f>EDATE(HJ21,1)</f>
        <v>46530</v>
      </c>
      <c r="HR21" s="109">
        <f>HT21-HS21</f>
        <v>0</v>
      </c>
      <c r="HS21" s="109">
        <f>HT21/(1+AM21)*AM21</f>
        <v>0</v>
      </c>
      <c r="HT21" s="109"/>
      <c r="HU21" s="109"/>
      <c r="HV21" s="166"/>
      <c r="HW21" s="166"/>
      <c r="HX21" s="105">
        <f t="shared" si="86"/>
        <v>81126.271186440674</v>
      </c>
      <c r="HY21" s="105">
        <f t="shared" si="83"/>
        <v>14602.728813559323</v>
      </c>
      <c r="HZ21" s="105">
        <f t="shared" si="83"/>
        <v>95729</v>
      </c>
      <c r="IA21" s="105">
        <f t="shared" si="68"/>
        <v>0</v>
      </c>
      <c r="IB21" s="109">
        <f t="shared" si="69"/>
        <v>670091</v>
      </c>
      <c r="IC21" s="109">
        <f t="shared" si="70"/>
        <v>567873.72881355928</v>
      </c>
      <c r="ID21" s="109">
        <f t="shared" si="71"/>
        <v>0</v>
      </c>
      <c r="IE21" s="109">
        <f t="shared" ca="1" si="72"/>
        <v>70</v>
      </c>
      <c r="IF21" s="139">
        <f t="shared" si="73"/>
        <v>3.0000470084354025</v>
      </c>
      <c r="IG21" s="139">
        <f t="shared" ca="1" si="74"/>
        <v>101</v>
      </c>
      <c r="IH21" s="169">
        <f t="shared" ca="1" si="75"/>
        <v>3.3666666666666667</v>
      </c>
      <c r="II21" s="139">
        <f t="shared" ca="1" si="76"/>
        <v>0.36661965823126419</v>
      </c>
      <c r="IJ21" s="169">
        <f t="shared" ca="1" si="77"/>
        <v>10.998589746937926</v>
      </c>
      <c r="IK21" s="169">
        <f t="shared" ca="1" si="84"/>
        <v>0.36661965823126419</v>
      </c>
      <c r="IL21" s="170">
        <f t="shared" ca="1" si="78"/>
        <v>11698.527777777781</v>
      </c>
      <c r="IM21" s="171"/>
      <c r="IN21" s="171"/>
      <c r="IO21" s="171"/>
      <c r="IP21" s="171"/>
    </row>
    <row r="22" spans="1:250" ht="15" customHeight="1" thickBot="1" x14ac:dyDescent="0.35">
      <c r="A22" s="110">
        <f t="shared" si="79"/>
        <v>18</v>
      </c>
      <c r="B22" s="111" t="s">
        <v>170</v>
      </c>
      <c r="C22" s="111" t="s">
        <v>171</v>
      </c>
      <c r="D22" s="111">
        <v>102</v>
      </c>
      <c r="E22" s="111" t="s">
        <v>253</v>
      </c>
      <c r="F22" s="111"/>
      <c r="G22" s="111" t="s">
        <v>344</v>
      </c>
      <c r="H22" s="111">
        <v>1021100134</v>
      </c>
      <c r="I22" s="146" t="str">
        <f t="shared" si="0"/>
        <v>1100134</v>
      </c>
      <c r="J22" s="145" t="str">
        <f t="shared" si="1"/>
        <v>KN1100134</v>
      </c>
      <c r="K22" s="111" t="s">
        <v>345</v>
      </c>
      <c r="L22" s="111" t="s">
        <v>346</v>
      </c>
      <c r="M22" s="111" t="s">
        <v>347</v>
      </c>
      <c r="N22" s="111" t="s">
        <v>138</v>
      </c>
      <c r="O22" s="111"/>
      <c r="P22" s="111" t="s">
        <v>348</v>
      </c>
      <c r="Q22" s="148">
        <v>37765</v>
      </c>
      <c r="R22" s="111" t="s">
        <v>170</v>
      </c>
      <c r="S22" s="111">
        <f t="shared" ca="1" si="85"/>
        <v>22</v>
      </c>
      <c r="T22" s="111" t="s">
        <v>349</v>
      </c>
      <c r="U22" s="111" t="s">
        <v>350</v>
      </c>
      <c r="V22" s="181">
        <v>766298707</v>
      </c>
      <c r="W22" s="111"/>
      <c r="X22" s="111" t="s">
        <v>181</v>
      </c>
      <c r="Y22" s="111">
        <v>11</v>
      </c>
      <c r="Z22" s="111" t="s">
        <v>351</v>
      </c>
      <c r="AA22" s="111" t="s">
        <v>352</v>
      </c>
      <c r="AB22" s="111" t="s">
        <v>353</v>
      </c>
      <c r="AC22" s="111" t="s">
        <v>146</v>
      </c>
      <c r="AD22" s="111" t="s">
        <v>147</v>
      </c>
      <c r="AE22" s="173" t="s">
        <v>136</v>
      </c>
      <c r="AF22" s="173" t="s">
        <v>136</v>
      </c>
      <c r="AG22" s="174">
        <v>45915</v>
      </c>
      <c r="AH22" s="175">
        <v>350000</v>
      </c>
      <c r="AI22" s="111">
        <v>21</v>
      </c>
      <c r="AJ22" s="111">
        <v>0</v>
      </c>
      <c r="AK22" s="150">
        <f t="shared" si="80"/>
        <v>21</v>
      </c>
      <c r="AL22" s="177">
        <v>350000</v>
      </c>
      <c r="AM22" s="176">
        <v>0.18</v>
      </c>
      <c r="AN22" s="177">
        <f t="shared" si="92"/>
        <v>63000</v>
      </c>
      <c r="AO22" s="157">
        <f t="shared" si="96"/>
        <v>413000</v>
      </c>
      <c r="AP22" s="158">
        <f t="shared" si="3"/>
        <v>19666.666666666668</v>
      </c>
      <c r="AQ22" s="111" t="s">
        <v>136</v>
      </c>
      <c r="AR22" s="111" t="s">
        <v>170</v>
      </c>
      <c r="AS22" s="111" t="s">
        <v>350</v>
      </c>
      <c r="AT22" s="111" t="s">
        <v>354</v>
      </c>
      <c r="AU22" s="111" t="s">
        <v>349</v>
      </c>
      <c r="AV22" s="111">
        <v>5</v>
      </c>
      <c r="AW22" s="111" t="s">
        <v>136</v>
      </c>
      <c r="AX22" s="111" t="s">
        <v>136</v>
      </c>
      <c r="AY22" s="111" t="s">
        <v>136</v>
      </c>
      <c r="AZ22" s="111" t="s">
        <v>136</v>
      </c>
      <c r="BA22" s="111" t="s">
        <v>136</v>
      </c>
      <c r="BB22" s="111" t="s">
        <v>136</v>
      </c>
      <c r="BC22" s="111" t="s">
        <v>136</v>
      </c>
      <c r="BD22" s="111" t="s">
        <v>136</v>
      </c>
      <c r="BE22" s="111" t="s">
        <v>136</v>
      </c>
      <c r="BF22" s="111" t="s">
        <v>136</v>
      </c>
      <c r="BG22" s="111" t="s">
        <v>136</v>
      </c>
      <c r="BH22" s="111" t="s">
        <v>136</v>
      </c>
      <c r="BI22" s="111" t="s">
        <v>136</v>
      </c>
      <c r="BJ22" s="111" t="s">
        <v>136</v>
      </c>
      <c r="BK22" s="111" t="s">
        <v>136</v>
      </c>
      <c r="BL22" s="111" t="s">
        <v>136</v>
      </c>
      <c r="BM22" s="111" t="s">
        <v>136</v>
      </c>
      <c r="BN22" s="111" t="s">
        <v>136</v>
      </c>
      <c r="BO22" s="111" t="s">
        <v>136</v>
      </c>
      <c r="BP22" s="111" t="s">
        <v>355</v>
      </c>
      <c r="BQ22" s="111" t="s">
        <v>164</v>
      </c>
      <c r="BR22" s="111" t="s">
        <v>356</v>
      </c>
      <c r="BS22" s="111" t="s">
        <v>357</v>
      </c>
      <c r="BT22" s="182" t="s">
        <v>358</v>
      </c>
      <c r="BU22" s="111" t="s">
        <v>349</v>
      </c>
      <c r="BV22" s="111" t="s">
        <v>350</v>
      </c>
      <c r="BW22" s="111"/>
      <c r="BX22" s="111"/>
      <c r="BY22" s="111"/>
      <c r="BZ22" s="111"/>
      <c r="CA22" s="111"/>
      <c r="CB22" s="111"/>
      <c r="CC22" s="178"/>
      <c r="CD22" s="177">
        <f t="shared" si="4"/>
        <v>350000</v>
      </c>
      <c r="CE22" s="148">
        <v>45922</v>
      </c>
      <c r="CF22" s="111">
        <f t="shared" si="5"/>
        <v>21</v>
      </c>
      <c r="CG22" s="177">
        <f t="shared" si="6"/>
        <v>413000</v>
      </c>
      <c r="CH22" s="203">
        <f t="shared" si="95"/>
        <v>0</v>
      </c>
      <c r="CI22" s="148">
        <v>45922</v>
      </c>
      <c r="CJ22" s="161">
        <f t="shared" si="81"/>
        <v>45952</v>
      </c>
      <c r="CK22" s="162">
        <f t="shared" si="82"/>
        <v>46560</v>
      </c>
      <c r="CL22" s="183"/>
      <c r="CM22" s="164">
        <f t="shared" ca="1" si="8"/>
        <v>46054</v>
      </c>
      <c r="CN22" s="165">
        <f t="shared" si="9"/>
        <v>45952</v>
      </c>
      <c r="CO22" s="109">
        <f t="shared" si="10"/>
        <v>16666.949152542373</v>
      </c>
      <c r="CP22" s="109">
        <f t="shared" si="11"/>
        <v>3000.0508474576268</v>
      </c>
      <c r="CQ22" s="109">
        <v>19667</v>
      </c>
      <c r="CR22" s="109">
        <f t="shared" si="12"/>
        <v>0.33333333333212067</v>
      </c>
      <c r="CS22" s="166">
        <v>45956</v>
      </c>
      <c r="CT22" s="167">
        <f t="shared" si="13"/>
        <v>4</v>
      </c>
      <c r="CU22" s="165">
        <f t="shared" si="14"/>
        <v>45983</v>
      </c>
      <c r="CV22" s="109">
        <f t="shared" si="15"/>
        <v>16669.491525423728</v>
      </c>
      <c r="CW22" s="109">
        <f t="shared" si="16"/>
        <v>3000.5084745762715</v>
      </c>
      <c r="CX22" s="109">
        <v>19670</v>
      </c>
      <c r="CY22" s="109">
        <f t="shared" si="17"/>
        <v>3.3333333333321207</v>
      </c>
      <c r="CZ22" s="166">
        <v>46028</v>
      </c>
      <c r="DA22" s="167">
        <f t="shared" si="18"/>
        <v>45</v>
      </c>
      <c r="DB22" s="165">
        <f t="shared" si="19"/>
        <v>46013</v>
      </c>
      <c r="DC22" s="109">
        <f t="shared" si="20"/>
        <v>16669.491525423728</v>
      </c>
      <c r="DD22" s="109">
        <f t="shared" si="21"/>
        <v>3000.5084745762715</v>
      </c>
      <c r="DE22" s="109">
        <v>19670</v>
      </c>
      <c r="DF22" s="109">
        <f t="shared" si="22"/>
        <v>3.3333333333321207</v>
      </c>
      <c r="DG22" s="166">
        <v>46028</v>
      </c>
      <c r="DH22" s="167">
        <f t="shared" si="23"/>
        <v>15</v>
      </c>
      <c r="DI22" s="165">
        <f t="shared" si="24"/>
        <v>46044</v>
      </c>
      <c r="DJ22" s="109">
        <f t="shared" si="25"/>
        <v>0</v>
      </c>
      <c r="DK22" s="109">
        <f t="shared" si="26"/>
        <v>0</v>
      </c>
      <c r="DL22" s="109">
        <v>0</v>
      </c>
      <c r="DM22" s="109">
        <f t="shared" si="27"/>
        <v>0</v>
      </c>
      <c r="DN22" s="166">
        <f t="shared" ca="1" si="87"/>
        <v>46054</v>
      </c>
      <c r="DO22" s="167">
        <f t="shared" ca="1" si="28"/>
        <v>10</v>
      </c>
      <c r="DP22" s="165">
        <f t="shared" si="93"/>
        <v>46075</v>
      </c>
      <c r="DQ22" s="109">
        <f t="shared" si="29"/>
        <v>0</v>
      </c>
      <c r="DR22" s="109">
        <f t="shared" si="94"/>
        <v>0</v>
      </c>
      <c r="DS22" s="109"/>
      <c r="DT22" s="109">
        <f t="shared" si="30"/>
        <v>0</v>
      </c>
      <c r="DU22" s="166">
        <f t="shared" ca="1" si="88"/>
        <v>46054</v>
      </c>
      <c r="DV22" s="167">
        <f t="shared" ca="1" si="31"/>
        <v>0</v>
      </c>
      <c r="DW22" s="165">
        <f t="shared" si="32"/>
        <v>46103</v>
      </c>
      <c r="DX22" s="109">
        <f t="shared" si="33"/>
        <v>0</v>
      </c>
      <c r="DY22" s="109">
        <f t="shared" si="34"/>
        <v>0</v>
      </c>
      <c r="DZ22" s="109"/>
      <c r="EA22" s="109">
        <f t="shared" si="35"/>
        <v>0</v>
      </c>
      <c r="EB22" s="166">
        <f t="shared" ca="1" si="89"/>
        <v>46054</v>
      </c>
      <c r="EC22" s="167">
        <f t="shared" ca="1" si="36"/>
        <v>0</v>
      </c>
      <c r="ED22" s="165">
        <f t="shared" si="37"/>
        <v>46134</v>
      </c>
      <c r="EE22" s="109">
        <f t="shared" si="38"/>
        <v>0</v>
      </c>
      <c r="EF22" s="109">
        <f t="shared" si="39"/>
        <v>0</v>
      </c>
      <c r="EG22" s="109"/>
      <c r="EH22" s="109">
        <f t="shared" si="40"/>
        <v>0</v>
      </c>
      <c r="EI22" s="166">
        <f t="shared" ca="1" si="90"/>
        <v>46054</v>
      </c>
      <c r="EJ22" s="167">
        <f t="shared" ca="1" si="41"/>
        <v>0</v>
      </c>
      <c r="EK22" s="165">
        <f t="shared" si="42"/>
        <v>46164</v>
      </c>
      <c r="EL22" s="109">
        <f t="shared" si="43"/>
        <v>0</v>
      </c>
      <c r="EM22" s="109">
        <f t="shared" si="44"/>
        <v>0</v>
      </c>
      <c r="EN22" s="109"/>
      <c r="EO22" s="109">
        <f t="shared" si="45"/>
        <v>0</v>
      </c>
      <c r="EP22" s="166">
        <f t="shared" ca="1" si="91"/>
        <v>46054</v>
      </c>
      <c r="EQ22" s="167">
        <f t="shared" ca="1" si="46"/>
        <v>0</v>
      </c>
      <c r="ER22" s="165">
        <f t="shared" si="47"/>
        <v>46195</v>
      </c>
      <c r="ES22" s="109">
        <f t="shared" si="48"/>
        <v>0</v>
      </c>
      <c r="ET22" s="109">
        <f t="shared" si="49"/>
        <v>0</v>
      </c>
      <c r="EU22" s="109"/>
      <c r="EV22" s="109"/>
      <c r="EW22" s="166"/>
      <c r="EX22" s="166"/>
      <c r="EY22" s="165">
        <f t="shared" si="50"/>
        <v>46225</v>
      </c>
      <c r="EZ22" s="109">
        <f t="shared" si="51"/>
        <v>0</v>
      </c>
      <c r="FA22" s="109">
        <f t="shared" si="52"/>
        <v>0</v>
      </c>
      <c r="FB22" s="109"/>
      <c r="FC22" s="109"/>
      <c r="FD22" s="166"/>
      <c r="FE22" s="166"/>
      <c r="FF22" s="165">
        <f t="shared" si="53"/>
        <v>46256</v>
      </c>
      <c r="FG22" s="109">
        <f t="shared" si="54"/>
        <v>0</v>
      </c>
      <c r="FH22" s="109">
        <f t="shared" si="55"/>
        <v>0</v>
      </c>
      <c r="FI22" s="109"/>
      <c r="FJ22" s="109"/>
      <c r="FK22" s="166"/>
      <c r="FL22" s="166"/>
      <c r="FM22" s="165">
        <f t="shared" si="56"/>
        <v>46287</v>
      </c>
      <c r="FN22" s="109">
        <f t="shared" si="57"/>
        <v>0</v>
      </c>
      <c r="FO22" s="109">
        <f t="shared" si="58"/>
        <v>0</v>
      </c>
      <c r="FP22" s="109"/>
      <c r="FQ22" s="109"/>
      <c r="FR22" s="166"/>
      <c r="FS22" s="166"/>
      <c r="FT22" s="165">
        <f t="shared" si="97"/>
        <v>46317</v>
      </c>
      <c r="FU22" s="109">
        <f t="shared" si="98"/>
        <v>0</v>
      </c>
      <c r="FV22" s="109">
        <f t="shared" si="99"/>
        <v>0</v>
      </c>
      <c r="FW22" s="109"/>
      <c r="FX22" s="109"/>
      <c r="FY22" s="166"/>
      <c r="FZ22" s="166"/>
      <c r="GA22" s="165">
        <f t="shared" si="100"/>
        <v>46348</v>
      </c>
      <c r="GB22" s="109">
        <f t="shared" si="101"/>
        <v>0</v>
      </c>
      <c r="GC22" s="109">
        <f t="shared" si="102"/>
        <v>0</v>
      </c>
      <c r="GD22" s="109"/>
      <c r="GE22" s="109"/>
      <c r="GF22" s="166"/>
      <c r="GG22" s="166"/>
      <c r="GH22" s="165">
        <f t="shared" si="103"/>
        <v>46378</v>
      </c>
      <c r="GI22" s="109">
        <f t="shared" si="104"/>
        <v>0</v>
      </c>
      <c r="GJ22" s="109">
        <f t="shared" si="105"/>
        <v>0</v>
      </c>
      <c r="GK22" s="109"/>
      <c r="GL22" s="109"/>
      <c r="GM22" s="166"/>
      <c r="GN22" s="166"/>
      <c r="GO22" s="165">
        <f>EDATE(GH22,1)</f>
        <v>46409</v>
      </c>
      <c r="GP22" s="109">
        <f>GR22-GQ22</f>
        <v>0</v>
      </c>
      <c r="GQ22" s="109">
        <f>GR22/(1+AM22)*AM22</f>
        <v>0</v>
      </c>
      <c r="GR22" s="109"/>
      <c r="GS22" s="109"/>
      <c r="GT22" s="166"/>
      <c r="GU22" s="166"/>
      <c r="GV22" s="165">
        <f>EDATE(GO22,1)</f>
        <v>46440</v>
      </c>
      <c r="GW22" s="168">
        <f>GY22-GX22</f>
        <v>0</v>
      </c>
      <c r="GX22" s="168">
        <f>GY22/(1+AM22)*AM22</f>
        <v>0</v>
      </c>
      <c r="GY22" s="168"/>
      <c r="GZ22" s="168"/>
      <c r="HA22" s="166"/>
      <c r="HB22" s="166"/>
      <c r="HC22" s="165">
        <f>EDATE(GV22,1)</f>
        <v>46468</v>
      </c>
      <c r="HD22" s="109">
        <f>HF22-HE22</f>
        <v>0</v>
      </c>
      <c r="HE22" s="109">
        <f>HF22/(1+AM22)*AM22</f>
        <v>0</v>
      </c>
      <c r="HF22" s="109"/>
      <c r="HG22" s="109"/>
      <c r="HH22" s="166"/>
      <c r="HI22" s="166"/>
      <c r="HJ22" s="165">
        <f>EDATE(HC22,1)</f>
        <v>46499</v>
      </c>
      <c r="HK22" s="109">
        <f>HM22-HL22</f>
        <v>0</v>
      </c>
      <c r="HL22" s="109">
        <f>HM22/(1+AM22)*AM22</f>
        <v>0</v>
      </c>
      <c r="HM22" s="109"/>
      <c r="HN22" s="109"/>
      <c r="HO22" s="166"/>
      <c r="HP22" s="166"/>
      <c r="HQ22" s="165">
        <f>EDATE(HJ22,1)</f>
        <v>46529</v>
      </c>
      <c r="HR22" s="109">
        <f>HT22-HS22</f>
        <v>0</v>
      </c>
      <c r="HS22" s="109">
        <f>HT22/(1+AM22)*AM22</f>
        <v>0</v>
      </c>
      <c r="HT22" s="109"/>
      <c r="HU22" s="109"/>
      <c r="HV22" s="166"/>
      <c r="HW22" s="166"/>
      <c r="HX22" s="105">
        <f t="shared" si="86"/>
        <v>50005.932203389828</v>
      </c>
      <c r="HY22" s="105">
        <f t="shared" si="83"/>
        <v>9001.0677966101684</v>
      </c>
      <c r="HZ22" s="105">
        <f t="shared" si="83"/>
        <v>59007</v>
      </c>
      <c r="IA22" s="105">
        <f t="shared" si="68"/>
        <v>0</v>
      </c>
      <c r="IB22" s="109">
        <f t="shared" si="69"/>
        <v>353993</v>
      </c>
      <c r="IC22" s="109">
        <f t="shared" si="70"/>
        <v>299994.06779661018</v>
      </c>
      <c r="ID22" s="109">
        <f t="shared" si="71"/>
        <v>0</v>
      </c>
      <c r="IE22" s="109">
        <f t="shared" ca="1" si="72"/>
        <v>74</v>
      </c>
      <c r="IF22" s="139">
        <f t="shared" si="73"/>
        <v>3.0003559322033895</v>
      </c>
      <c r="IG22" s="139">
        <f t="shared" ca="1" si="74"/>
        <v>102</v>
      </c>
      <c r="IH22" s="169">
        <f t="shared" ca="1" si="75"/>
        <v>3.4</v>
      </c>
      <c r="II22" s="139">
        <f t="shared" ca="1" si="76"/>
        <v>0.39964406779661044</v>
      </c>
      <c r="IJ22" s="169">
        <f t="shared" ca="1" si="77"/>
        <v>11.989322033898313</v>
      </c>
      <c r="IK22" s="169">
        <f t="shared" ca="1" si="84"/>
        <v>0.39964406779661044</v>
      </c>
      <c r="IL22" s="170">
        <f t="shared" ca="1" si="78"/>
        <v>7859.6666666666724</v>
      </c>
      <c r="IM22" s="171"/>
      <c r="IN22" s="171"/>
      <c r="IO22" s="171"/>
      <c r="IP22" s="171"/>
    </row>
    <row r="23" spans="1:250" ht="15" customHeight="1" thickBot="1" x14ac:dyDescent="0.35">
      <c r="A23" s="110">
        <f t="shared" si="79"/>
        <v>19</v>
      </c>
      <c r="B23" s="111" t="s">
        <v>170</v>
      </c>
      <c r="C23" s="111" t="s">
        <v>171</v>
      </c>
      <c r="D23" s="111">
        <v>102</v>
      </c>
      <c r="E23" s="111" t="s">
        <v>253</v>
      </c>
      <c r="F23" s="111"/>
      <c r="G23" s="111" t="s">
        <v>359</v>
      </c>
      <c r="H23" s="111">
        <v>1021100135</v>
      </c>
      <c r="I23" s="146" t="str">
        <f t="shared" si="0"/>
        <v>1100135</v>
      </c>
      <c r="J23" s="145" t="str">
        <f t="shared" si="1"/>
        <v>KN1100135</v>
      </c>
      <c r="K23" s="111" t="s">
        <v>360</v>
      </c>
      <c r="L23" s="111" t="s">
        <v>361</v>
      </c>
      <c r="M23" s="111" t="s">
        <v>362</v>
      </c>
      <c r="N23" s="111" t="s">
        <v>138</v>
      </c>
      <c r="O23" s="111"/>
      <c r="P23" s="111" t="s">
        <v>363</v>
      </c>
      <c r="Q23" s="148">
        <v>32111</v>
      </c>
      <c r="R23" s="111" t="s">
        <v>170</v>
      </c>
      <c r="S23" s="111">
        <f t="shared" ca="1" si="85"/>
        <v>38</v>
      </c>
      <c r="T23" s="111" t="s">
        <v>364</v>
      </c>
      <c r="U23" s="111" t="s">
        <v>365</v>
      </c>
      <c r="V23" s="181">
        <v>700654190</v>
      </c>
      <c r="W23" s="111"/>
      <c r="X23" s="111" t="s">
        <v>181</v>
      </c>
      <c r="Y23" s="111">
        <v>11</v>
      </c>
      <c r="Z23" s="111" t="s">
        <v>235</v>
      </c>
      <c r="AA23" s="111" t="s">
        <v>261</v>
      </c>
      <c r="AB23" s="111" t="s">
        <v>236</v>
      </c>
      <c r="AC23" s="111" t="s">
        <v>146</v>
      </c>
      <c r="AD23" s="111" t="s">
        <v>147</v>
      </c>
      <c r="AE23" s="173" t="s">
        <v>136</v>
      </c>
      <c r="AF23" s="173" t="s">
        <v>136</v>
      </c>
      <c r="AG23" s="174">
        <v>45871</v>
      </c>
      <c r="AH23" s="175">
        <v>50000</v>
      </c>
      <c r="AI23" s="111">
        <v>16</v>
      </c>
      <c r="AJ23" s="111">
        <v>0</v>
      </c>
      <c r="AK23" s="150">
        <f t="shared" si="80"/>
        <v>16</v>
      </c>
      <c r="AL23" s="177">
        <v>59980</v>
      </c>
      <c r="AM23" s="176">
        <v>0.18</v>
      </c>
      <c r="AN23" s="177">
        <f t="shared" si="92"/>
        <v>10796.4</v>
      </c>
      <c r="AO23" s="157">
        <f t="shared" si="96"/>
        <v>70776.399999999994</v>
      </c>
      <c r="AP23" s="158">
        <f t="shared" si="3"/>
        <v>4423.5249999999996</v>
      </c>
      <c r="AQ23" s="111" t="s">
        <v>136</v>
      </c>
      <c r="AR23" s="111" t="s">
        <v>170</v>
      </c>
      <c r="AS23" s="111" t="s">
        <v>365</v>
      </c>
      <c r="AT23" s="111" t="s">
        <v>366</v>
      </c>
      <c r="AU23" s="111" t="s">
        <v>364</v>
      </c>
      <c r="AV23" s="111">
        <v>4</v>
      </c>
      <c r="AW23" s="111" t="s">
        <v>136</v>
      </c>
      <c r="AX23" s="111" t="s">
        <v>136</v>
      </c>
      <c r="AY23" s="111" t="s">
        <v>136</v>
      </c>
      <c r="AZ23" s="111" t="s">
        <v>136</v>
      </c>
      <c r="BA23" s="111" t="s">
        <v>136</v>
      </c>
      <c r="BB23" s="111" t="s">
        <v>136</v>
      </c>
      <c r="BC23" s="111" t="s">
        <v>136</v>
      </c>
      <c r="BD23" s="111" t="s">
        <v>136</v>
      </c>
      <c r="BE23" s="111" t="s">
        <v>136</v>
      </c>
      <c r="BF23" s="111" t="s">
        <v>136</v>
      </c>
      <c r="BG23" s="111" t="s">
        <v>136</v>
      </c>
      <c r="BH23" s="111" t="s">
        <v>136</v>
      </c>
      <c r="BI23" s="111" t="s">
        <v>136</v>
      </c>
      <c r="BJ23" s="111" t="s">
        <v>136</v>
      </c>
      <c r="BK23" s="111" t="s">
        <v>136</v>
      </c>
      <c r="BL23" s="111" t="s">
        <v>136</v>
      </c>
      <c r="BM23" s="111" t="s">
        <v>136</v>
      </c>
      <c r="BN23" s="111" t="s">
        <v>136</v>
      </c>
      <c r="BO23" s="111" t="s">
        <v>136</v>
      </c>
      <c r="BP23" s="111" t="s">
        <v>367</v>
      </c>
      <c r="BQ23" s="111" t="s">
        <v>368</v>
      </c>
      <c r="BR23" s="111" t="s">
        <v>369</v>
      </c>
      <c r="BS23" s="111" t="s">
        <v>370</v>
      </c>
      <c r="BT23" s="182" t="s">
        <v>371</v>
      </c>
      <c r="BU23" s="111" t="s">
        <v>364</v>
      </c>
      <c r="BV23" s="111" t="s">
        <v>365</v>
      </c>
      <c r="BW23" s="111"/>
      <c r="BX23" s="111"/>
      <c r="BY23" s="111"/>
      <c r="BZ23" s="111"/>
      <c r="CA23" s="111"/>
      <c r="CB23" s="111"/>
      <c r="CC23" s="178"/>
      <c r="CD23" s="177">
        <f t="shared" si="4"/>
        <v>59980</v>
      </c>
      <c r="CE23" s="148">
        <v>45922</v>
      </c>
      <c r="CF23" s="111">
        <f t="shared" si="5"/>
        <v>16</v>
      </c>
      <c r="CG23" s="177">
        <f t="shared" si="6"/>
        <v>70776.399999999994</v>
      </c>
      <c r="CH23" s="203">
        <f t="shared" si="95"/>
        <v>0</v>
      </c>
      <c r="CI23" s="148">
        <v>45922</v>
      </c>
      <c r="CJ23" s="161">
        <f t="shared" si="81"/>
        <v>45952</v>
      </c>
      <c r="CK23" s="162">
        <f t="shared" si="82"/>
        <v>46409</v>
      </c>
      <c r="CL23" s="183"/>
      <c r="CM23" s="164">
        <f t="shared" ca="1" si="8"/>
        <v>46054</v>
      </c>
      <c r="CN23" s="165">
        <f t="shared" si="9"/>
        <v>45952</v>
      </c>
      <c r="CO23" s="109">
        <f t="shared" si="10"/>
        <v>3750</v>
      </c>
      <c r="CP23" s="109">
        <f t="shared" si="11"/>
        <v>675</v>
      </c>
      <c r="CQ23" s="109">
        <v>4425</v>
      </c>
      <c r="CR23" s="109">
        <f t="shared" si="12"/>
        <v>1.4750000000003638</v>
      </c>
      <c r="CS23" s="166">
        <v>45983</v>
      </c>
      <c r="CT23" s="167">
        <f t="shared" si="13"/>
        <v>31</v>
      </c>
      <c r="CU23" s="165">
        <f t="shared" si="14"/>
        <v>45983</v>
      </c>
      <c r="CV23" s="109">
        <f t="shared" si="15"/>
        <v>3754.2372881355932</v>
      </c>
      <c r="CW23" s="109">
        <f t="shared" si="16"/>
        <v>675.76271186440681</v>
      </c>
      <c r="CX23" s="109">
        <v>4430</v>
      </c>
      <c r="CY23" s="109">
        <f t="shared" si="17"/>
        <v>6.4750000000003638</v>
      </c>
      <c r="CZ23" s="166">
        <v>46013</v>
      </c>
      <c r="DA23" s="167">
        <f t="shared" si="18"/>
        <v>30</v>
      </c>
      <c r="DB23" s="165">
        <f t="shared" si="19"/>
        <v>46013</v>
      </c>
      <c r="DC23" s="109">
        <f t="shared" si="20"/>
        <v>0</v>
      </c>
      <c r="DD23" s="109">
        <f t="shared" si="21"/>
        <v>0</v>
      </c>
      <c r="DE23" s="109"/>
      <c r="DF23" s="109">
        <f t="shared" si="22"/>
        <v>0</v>
      </c>
      <c r="DG23" s="166">
        <f ca="1">TODAY()</f>
        <v>46054</v>
      </c>
      <c r="DH23" s="167">
        <f t="shared" ca="1" si="23"/>
        <v>41</v>
      </c>
      <c r="DI23" s="165">
        <f t="shared" si="24"/>
        <v>46044</v>
      </c>
      <c r="DJ23" s="109">
        <f t="shared" si="25"/>
        <v>0</v>
      </c>
      <c r="DK23" s="109">
        <f t="shared" si="26"/>
        <v>0</v>
      </c>
      <c r="DL23" s="109">
        <v>0</v>
      </c>
      <c r="DM23" s="109">
        <f t="shared" si="27"/>
        <v>0</v>
      </c>
      <c r="DN23" s="166">
        <f t="shared" ca="1" si="87"/>
        <v>46054</v>
      </c>
      <c r="DO23" s="167">
        <f t="shared" ca="1" si="28"/>
        <v>10</v>
      </c>
      <c r="DP23" s="165">
        <f t="shared" si="93"/>
        <v>46075</v>
      </c>
      <c r="DQ23" s="109">
        <f t="shared" si="29"/>
        <v>0</v>
      </c>
      <c r="DR23" s="109">
        <f t="shared" si="94"/>
        <v>0</v>
      </c>
      <c r="DS23" s="109"/>
      <c r="DT23" s="109">
        <f t="shared" si="30"/>
        <v>0</v>
      </c>
      <c r="DU23" s="166">
        <f t="shared" ca="1" si="88"/>
        <v>46054</v>
      </c>
      <c r="DV23" s="167">
        <f t="shared" ca="1" si="31"/>
        <v>0</v>
      </c>
      <c r="DW23" s="165">
        <f t="shared" si="32"/>
        <v>46103</v>
      </c>
      <c r="DX23" s="109">
        <f t="shared" si="33"/>
        <v>0</v>
      </c>
      <c r="DY23" s="109">
        <f t="shared" si="34"/>
        <v>0</v>
      </c>
      <c r="DZ23" s="109"/>
      <c r="EA23" s="109">
        <f t="shared" si="35"/>
        <v>0</v>
      </c>
      <c r="EB23" s="166">
        <f t="shared" ca="1" si="89"/>
        <v>46054</v>
      </c>
      <c r="EC23" s="167">
        <f t="shared" ca="1" si="36"/>
        <v>0</v>
      </c>
      <c r="ED23" s="165">
        <f t="shared" si="37"/>
        <v>46134</v>
      </c>
      <c r="EE23" s="109">
        <f t="shared" si="38"/>
        <v>0</v>
      </c>
      <c r="EF23" s="109">
        <f t="shared" si="39"/>
        <v>0</v>
      </c>
      <c r="EG23" s="109"/>
      <c r="EH23" s="109">
        <f t="shared" si="40"/>
        <v>0</v>
      </c>
      <c r="EI23" s="166">
        <f t="shared" ca="1" si="90"/>
        <v>46054</v>
      </c>
      <c r="EJ23" s="167">
        <f t="shared" ca="1" si="41"/>
        <v>0</v>
      </c>
      <c r="EK23" s="165">
        <f t="shared" si="42"/>
        <v>46164</v>
      </c>
      <c r="EL23" s="109">
        <f t="shared" si="43"/>
        <v>0</v>
      </c>
      <c r="EM23" s="109">
        <f t="shared" si="44"/>
        <v>0</v>
      </c>
      <c r="EN23" s="109"/>
      <c r="EO23" s="109">
        <f t="shared" si="45"/>
        <v>0</v>
      </c>
      <c r="EP23" s="166">
        <f t="shared" ca="1" si="91"/>
        <v>46054</v>
      </c>
      <c r="EQ23" s="167">
        <f t="shared" ca="1" si="46"/>
        <v>0</v>
      </c>
      <c r="ER23" s="165">
        <f t="shared" si="47"/>
        <v>46195</v>
      </c>
      <c r="ES23" s="109">
        <f t="shared" si="48"/>
        <v>0</v>
      </c>
      <c r="ET23" s="109">
        <f t="shared" si="49"/>
        <v>0</v>
      </c>
      <c r="EU23" s="109"/>
      <c r="EV23" s="109"/>
      <c r="EW23" s="166"/>
      <c r="EX23" s="166"/>
      <c r="EY23" s="165">
        <f t="shared" si="50"/>
        <v>46225</v>
      </c>
      <c r="EZ23" s="109">
        <f t="shared" si="51"/>
        <v>0</v>
      </c>
      <c r="FA23" s="109">
        <f t="shared" si="52"/>
        <v>0</v>
      </c>
      <c r="FB23" s="109"/>
      <c r="FC23" s="109"/>
      <c r="FD23" s="166"/>
      <c r="FE23" s="166"/>
      <c r="FF23" s="165">
        <f t="shared" si="53"/>
        <v>46256</v>
      </c>
      <c r="FG23" s="109">
        <f t="shared" si="54"/>
        <v>0</v>
      </c>
      <c r="FH23" s="109">
        <f t="shared" si="55"/>
        <v>0</v>
      </c>
      <c r="FI23" s="109"/>
      <c r="FJ23" s="109"/>
      <c r="FK23" s="166"/>
      <c r="FL23" s="166"/>
      <c r="FM23" s="165">
        <f t="shared" si="56"/>
        <v>46287</v>
      </c>
      <c r="FN23" s="109">
        <f t="shared" si="57"/>
        <v>0</v>
      </c>
      <c r="FO23" s="109">
        <f t="shared" si="58"/>
        <v>0</v>
      </c>
      <c r="FP23" s="109"/>
      <c r="FQ23" s="109"/>
      <c r="FR23" s="166"/>
      <c r="FS23" s="166"/>
      <c r="FT23" s="165">
        <f t="shared" si="97"/>
        <v>46317</v>
      </c>
      <c r="FU23" s="109">
        <f t="shared" si="98"/>
        <v>0</v>
      </c>
      <c r="FV23" s="109">
        <f t="shared" si="99"/>
        <v>0</v>
      </c>
      <c r="FW23" s="109"/>
      <c r="FX23" s="109"/>
      <c r="FY23" s="166"/>
      <c r="FZ23" s="166"/>
      <c r="GA23" s="165">
        <f t="shared" si="100"/>
        <v>46348</v>
      </c>
      <c r="GB23" s="109">
        <f t="shared" si="101"/>
        <v>0</v>
      </c>
      <c r="GC23" s="109">
        <f t="shared" si="102"/>
        <v>0</v>
      </c>
      <c r="GD23" s="109"/>
      <c r="GE23" s="109"/>
      <c r="GF23" s="166"/>
      <c r="GG23" s="166"/>
      <c r="GH23" s="165">
        <f t="shared" si="103"/>
        <v>46378</v>
      </c>
      <c r="GI23" s="109">
        <f t="shared" si="104"/>
        <v>0</v>
      </c>
      <c r="GJ23" s="109">
        <f t="shared" si="105"/>
        <v>0</v>
      </c>
      <c r="GK23" s="109"/>
      <c r="GL23" s="109"/>
      <c r="GM23" s="166"/>
      <c r="GN23" s="166"/>
      <c r="GO23" s="165">
        <f>EDATE(GH23,1)</f>
        <v>46409</v>
      </c>
      <c r="GP23" s="109">
        <f>GR23-GQ23</f>
        <v>0</v>
      </c>
      <c r="GQ23" s="109">
        <f>GR23/(1+AM23)*AM23</f>
        <v>0</v>
      </c>
      <c r="GR23" s="109"/>
      <c r="GS23" s="109"/>
      <c r="GT23" s="166"/>
      <c r="GU23" s="166"/>
      <c r="GV23" s="165"/>
      <c r="GW23" s="168">
        <f>GY23-GX23</f>
        <v>0</v>
      </c>
      <c r="GX23" s="168">
        <f>GY23/(1+AM23)*AM23</f>
        <v>0</v>
      </c>
      <c r="GY23" s="168"/>
      <c r="GZ23" s="168"/>
      <c r="HA23" s="166"/>
      <c r="HB23" s="166"/>
      <c r="HC23" s="165"/>
      <c r="HD23" s="109">
        <f>HF23-HE23</f>
        <v>0</v>
      </c>
      <c r="HE23" s="109">
        <f>HF23/(1+AM23)*AM23</f>
        <v>0</v>
      </c>
      <c r="HF23" s="109"/>
      <c r="HG23" s="109"/>
      <c r="HH23" s="166"/>
      <c r="HI23" s="166"/>
      <c r="HJ23" s="165"/>
      <c r="HK23" s="109">
        <f>HM23-HL23</f>
        <v>0</v>
      </c>
      <c r="HL23" s="109">
        <f>HM23/(1+AM23)*AM23</f>
        <v>0</v>
      </c>
      <c r="HM23" s="109"/>
      <c r="HN23" s="109"/>
      <c r="HO23" s="166"/>
      <c r="HP23" s="166"/>
      <c r="HQ23" s="165"/>
      <c r="HR23" s="109">
        <f>HT23-HS23</f>
        <v>0</v>
      </c>
      <c r="HS23" s="109">
        <f>HT23/(1+AM23)*AM23</f>
        <v>0</v>
      </c>
      <c r="HT23" s="109"/>
      <c r="HU23" s="109"/>
      <c r="HV23" s="166"/>
      <c r="HW23" s="166"/>
      <c r="HX23" s="105">
        <f t="shared" si="86"/>
        <v>7504.2372881355932</v>
      </c>
      <c r="HY23" s="105">
        <f t="shared" si="83"/>
        <v>1350.7627118644068</v>
      </c>
      <c r="HZ23" s="105">
        <f t="shared" si="83"/>
        <v>8855</v>
      </c>
      <c r="IA23" s="105">
        <f t="shared" si="68"/>
        <v>0</v>
      </c>
      <c r="IB23" s="109">
        <f t="shared" si="69"/>
        <v>61921.399999999994</v>
      </c>
      <c r="IC23" s="109">
        <f t="shared" si="70"/>
        <v>52475.762711864409</v>
      </c>
      <c r="ID23" s="109">
        <f t="shared" si="71"/>
        <v>0</v>
      </c>
      <c r="IE23" s="109">
        <f t="shared" ca="1" si="72"/>
        <v>112</v>
      </c>
      <c r="IF23" s="139">
        <f t="shared" si="73"/>
        <v>2.0017972092392382</v>
      </c>
      <c r="IG23" s="139">
        <f t="shared" ca="1" si="74"/>
        <v>102</v>
      </c>
      <c r="IH23" s="169">
        <f t="shared" ca="1" si="75"/>
        <v>3.4</v>
      </c>
      <c r="II23" s="139">
        <f t="shared" ca="1" si="76"/>
        <v>1.3982027907607617</v>
      </c>
      <c r="IJ23" s="169">
        <f t="shared" ca="1" si="77"/>
        <v>41.946083722822848</v>
      </c>
      <c r="IK23" s="169">
        <f t="shared" ca="1" si="84"/>
        <v>1.3982027907607617</v>
      </c>
      <c r="IL23" s="170">
        <f t="shared" ca="1" si="78"/>
        <v>6184.9849999999979</v>
      </c>
      <c r="IM23" s="171"/>
      <c r="IN23" s="171"/>
      <c r="IO23" s="171"/>
      <c r="IP23" s="171"/>
    </row>
    <row r="24" spans="1:250" ht="15" customHeight="1" thickBot="1" x14ac:dyDescent="0.35">
      <c r="A24" s="110">
        <f t="shared" si="79"/>
        <v>20</v>
      </c>
      <c r="B24" s="111" t="s">
        <v>170</v>
      </c>
      <c r="C24" s="111" t="s">
        <v>171</v>
      </c>
      <c r="D24" s="111">
        <v>102</v>
      </c>
      <c r="E24" s="111" t="s">
        <v>253</v>
      </c>
      <c r="F24" s="111"/>
      <c r="G24" s="111" t="s">
        <v>372</v>
      </c>
      <c r="H24" s="111">
        <v>1021100136</v>
      </c>
      <c r="I24" s="146" t="str">
        <f t="shared" si="0"/>
        <v>1100136</v>
      </c>
      <c r="J24" s="145" t="str">
        <f t="shared" si="1"/>
        <v>KN1100136</v>
      </c>
      <c r="K24" s="111" t="s">
        <v>373</v>
      </c>
      <c r="L24" s="111" t="s">
        <v>374</v>
      </c>
      <c r="M24" s="111" t="s">
        <v>375</v>
      </c>
      <c r="N24" s="111" t="s">
        <v>138</v>
      </c>
      <c r="O24" s="111"/>
      <c r="P24" s="111" t="s">
        <v>376</v>
      </c>
      <c r="Q24" s="148">
        <v>34227</v>
      </c>
      <c r="R24" s="111" t="s">
        <v>170</v>
      </c>
      <c r="S24" s="111">
        <f t="shared" ca="1" si="85"/>
        <v>32</v>
      </c>
      <c r="T24" s="111" t="s">
        <v>299</v>
      </c>
      <c r="U24" s="111" t="s">
        <v>217</v>
      </c>
      <c r="V24" s="181">
        <v>777411226</v>
      </c>
      <c r="W24" s="111"/>
      <c r="X24" s="111" t="s">
        <v>181</v>
      </c>
      <c r="Y24" s="111">
        <v>11</v>
      </c>
      <c r="Z24" s="111" t="s">
        <v>377</v>
      </c>
      <c r="AA24" s="111" t="s">
        <v>378</v>
      </c>
      <c r="AB24" s="111" t="s">
        <v>379</v>
      </c>
      <c r="AC24" s="111" t="s">
        <v>146</v>
      </c>
      <c r="AD24" s="111" t="s">
        <v>147</v>
      </c>
      <c r="AE24" s="173" t="s">
        <v>136</v>
      </c>
      <c r="AF24" s="173" t="s">
        <v>136</v>
      </c>
      <c r="AG24" s="174">
        <v>45870</v>
      </c>
      <c r="AH24" s="175">
        <v>100000</v>
      </c>
      <c r="AI24" s="111">
        <v>15</v>
      </c>
      <c r="AJ24" s="111">
        <v>0</v>
      </c>
      <c r="AK24" s="150">
        <f t="shared" si="80"/>
        <v>15</v>
      </c>
      <c r="AL24" s="177">
        <v>103005</v>
      </c>
      <c r="AM24" s="176">
        <v>0.18</v>
      </c>
      <c r="AN24" s="177">
        <f t="shared" si="92"/>
        <v>18540.899999999998</v>
      </c>
      <c r="AO24" s="157">
        <f t="shared" si="96"/>
        <v>121545.9</v>
      </c>
      <c r="AP24" s="158">
        <f t="shared" si="3"/>
        <v>8103.0599999999995</v>
      </c>
      <c r="AQ24" s="111" t="s">
        <v>377</v>
      </c>
      <c r="AR24" s="111" t="s">
        <v>170</v>
      </c>
      <c r="AS24" s="111" t="s">
        <v>217</v>
      </c>
      <c r="AT24" s="111" t="s">
        <v>300</v>
      </c>
      <c r="AU24" s="111" t="s">
        <v>301</v>
      </c>
      <c r="AV24" s="111">
        <v>4</v>
      </c>
      <c r="AW24" s="111" t="s">
        <v>136</v>
      </c>
      <c r="AX24" s="111" t="s">
        <v>136</v>
      </c>
      <c r="AY24" s="111" t="s">
        <v>203</v>
      </c>
      <c r="AZ24" s="111" t="s">
        <v>373</v>
      </c>
      <c r="BA24" s="111" t="s">
        <v>380</v>
      </c>
      <c r="BB24" s="174">
        <v>45737</v>
      </c>
      <c r="BC24" s="174">
        <v>46101</v>
      </c>
      <c r="BD24" s="111" t="s">
        <v>136</v>
      </c>
      <c r="BE24" s="111" t="s">
        <v>136</v>
      </c>
      <c r="BF24" s="111" t="s">
        <v>136</v>
      </c>
      <c r="BG24" s="111" t="s">
        <v>136</v>
      </c>
      <c r="BH24" s="111" t="s">
        <v>136</v>
      </c>
      <c r="BI24" s="111" t="s">
        <v>136</v>
      </c>
      <c r="BJ24" s="111" t="s">
        <v>136</v>
      </c>
      <c r="BK24" s="111" t="s">
        <v>136</v>
      </c>
      <c r="BL24" s="111" t="s">
        <v>136</v>
      </c>
      <c r="BM24" s="111" t="s">
        <v>136</v>
      </c>
      <c r="BN24" s="111" t="s">
        <v>136</v>
      </c>
      <c r="BO24" s="111" t="s">
        <v>136</v>
      </c>
      <c r="BP24" s="111" t="s">
        <v>249</v>
      </c>
      <c r="BQ24" s="111" t="s">
        <v>381</v>
      </c>
      <c r="BR24" s="111" t="s">
        <v>382</v>
      </c>
      <c r="BS24" s="111" t="s">
        <v>383</v>
      </c>
      <c r="BT24" s="182" t="s">
        <v>384</v>
      </c>
      <c r="BU24" s="111" t="s">
        <v>301</v>
      </c>
      <c r="BV24" s="111" t="s">
        <v>217</v>
      </c>
      <c r="BW24" s="111"/>
      <c r="BX24" s="111"/>
      <c r="BY24" s="111"/>
      <c r="BZ24" s="111"/>
      <c r="CA24" s="111"/>
      <c r="CB24" s="111"/>
      <c r="CC24" s="178"/>
      <c r="CD24" s="177">
        <f t="shared" si="4"/>
        <v>103005</v>
      </c>
      <c r="CE24" s="148">
        <v>45923</v>
      </c>
      <c r="CF24" s="111">
        <f t="shared" si="5"/>
        <v>15</v>
      </c>
      <c r="CG24" s="177">
        <f t="shared" si="6"/>
        <v>121545.9</v>
      </c>
      <c r="CH24" s="203">
        <f t="shared" si="95"/>
        <v>0</v>
      </c>
      <c r="CI24" s="148">
        <v>45923</v>
      </c>
      <c r="CJ24" s="161">
        <f t="shared" si="81"/>
        <v>45953</v>
      </c>
      <c r="CK24" s="162">
        <f t="shared" si="82"/>
        <v>46379</v>
      </c>
      <c r="CL24" s="183"/>
      <c r="CM24" s="164">
        <f t="shared" ca="1" si="8"/>
        <v>46054</v>
      </c>
      <c r="CN24" s="165">
        <f t="shared" si="9"/>
        <v>45953</v>
      </c>
      <c r="CO24" s="109">
        <f t="shared" si="10"/>
        <v>6866.9491525423728</v>
      </c>
      <c r="CP24" s="109">
        <f t="shared" si="11"/>
        <v>1236.0508474576272</v>
      </c>
      <c r="CQ24" s="109">
        <v>8103</v>
      </c>
      <c r="CR24" s="109">
        <f t="shared" si="12"/>
        <v>-5.9999999999490683E-2</v>
      </c>
      <c r="CS24" s="166">
        <v>45956</v>
      </c>
      <c r="CT24" s="167">
        <f t="shared" si="13"/>
        <v>3</v>
      </c>
      <c r="CU24" s="165">
        <f t="shared" si="14"/>
        <v>45984</v>
      </c>
      <c r="CV24" s="109">
        <f t="shared" si="15"/>
        <v>6872.8813559322034</v>
      </c>
      <c r="CW24" s="109">
        <f t="shared" si="16"/>
        <v>1237.1186440677966</v>
      </c>
      <c r="CX24" s="109">
        <v>8110</v>
      </c>
      <c r="CY24" s="109">
        <f t="shared" si="17"/>
        <v>6.9400000000005093</v>
      </c>
      <c r="CZ24" s="166">
        <v>45987</v>
      </c>
      <c r="DA24" s="167">
        <f t="shared" si="18"/>
        <v>3</v>
      </c>
      <c r="DB24" s="165">
        <f t="shared" si="19"/>
        <v>46014</v>
      </c>
      <c r="DC24" s="109">
        <f t="shared" si="20"/>
        <v>6872.8813559322034</v>
      </c>
      <c r="DD24" s="109">
        <f t="shared" si="21"/>
        <v>1237.1186440677966</v>
      </c>
      <c r="DE24" s="109">
        <v>8110</v>
      </c>
      <c r="DF24" s="109">
        <f t="shared" si="22"/>
        <v>6.9400000000005093</v>
      </c>
      <c r="DG24" s="166">
        <v>46034</v>
      </c>
      <c r="DH24" s="167">
        <f t="shared" si="23"/>
        <v>20</v>
      </c>
      <c r="DI24" s="165">
        <f t="shared" si="24"/>
        <v>46045</v>
      </c>
      <c r="DJ24" s="109">
        <f t="shared" si="25"/>
        <v>0</v>
      </c>
      <c r="DK24" s="109">
        <f t="shared" si="26"/>
        <v>0</v>
      </c>
      <c r="DL24" s="109">
        <v>0</v>
      </c>
      <c r="DM24" s="109">
        <f t="shared" si="27"/>
        <v>0</v>
      </c>
      <c r="DN24" s="166">
        <f t="shared" ca="1" si="87"/>
        <v>46054</v>
      </c>
      <c r="DO24" s="167">
        <f t="shared" ca="1" si="28"/>
        <v>9</v>
      </c>
      <c r="DP24" s="165">
        <f t="shared" si="93"/>
        <v>46076</v>
      </c>
      <c r="DQ24" s="109">
        <f t="shared" si="29"/>
        <v>0</v>
      </c>
      <c r="DR24" s="109">
        <f t="shared" si="94"/>
        <v>0</v>
      </c>
      <c r="DS24" s="109"/>
      <c r="DT24" s="109">
        <f t="shared" si="30"/>
        <v>0</v>
      </c>
      <c r="DU24" s="166">
        <f t="shared" ca="1" si="88"/>
        <v>46054</v>
      </c>
      <c r="DV24" s="167">
        <f t="shared" ca="1" si="31"/>
        <v>0</v>
      </c>
      <c r="DW24" s="165">
        <f t="shared" si="32"/>
        <v>46104</v>
      </c>
      <c r="DX24" s="109">
        <f t="shared" si="33"/>
        <v>0</v>
      </c>
      <c r="DY24" s="109">
        <f t="shared" si="34"/>
        <v>0</v>
      </c>
      <c r="DZ24" s="109"/>
      <c r="EA24" s="109">
        <f t="shared" si="35"/>
        <v>0</v>
      </c>
      <c r="EB24" s="166">
        <f t="shared" ca="1" si="89"/>
        <v>46054</v>
      </c>
      <c r="EC24" s="167">
        <f t="shared" ca="1" si="36"/>
        <v>0</v>
      </c>
      <c r="ED24" s="165">
        <f t="shared" si="37"/>
        <v>46135</v>
      </c>
      <c r="EE24" s="109">
        <f t="shared" si="38"/>
        <v>0</v>
      </c>
      <c r="EF24" s="109">
        <f t="shared" si="39"/>
        <v>0</v>
      </c>
      <c r="EG24" s="109"/>
      <c r="EH24" s="109">
        <f t="shared" si="40"/>
        <v>0</v>
      </c>
      <c r="EI24" s="166">
        <f t="shared" ca="1" si="90"/>
        <v>46054</v>
      </c>
      <c r="EJ24" s="167">
        <f t="shared" ca="1" si="41"/>
        <v>0</v>
      </c>
      <c r="EK24" s="165">
        <f t="shared" si="42"/>
        <v>46165</v>
      </c>
      <c r="EL24" s="109">
        <f t="shared" si="43"/>
        <v>0</v>
      </c>
      <c r="EM24" s="109">
        <f t="shared" si="44"/>
        <v>0</v>
      </c>
      <c r="EN24" s="109"/>
      <c r="EO24" s="109">
        <f t="shared" si="45"/>
        <v>0</v>
      </c>
      <c r="EP24" s="166">
        <f t="shared" ca="1" si="91"/>
        <v>46054</v>
      </c>
      <c r="EQ24" s="167">
        <f t="shared" ca="1" si="46"/>
        <v>0</v>
      </c>
      <c r="ER24" s="165">
        <f t="shared" si="47"/>
        <v>46196</v>
      </c>
      <c r="ES24" s="109">
        <f t="shared" si="48"/>
        <v>0</v>
      </c>
      <c r="ET24" s="109">
        <f t="shared" si="49"/>
        <v>0</v>
      </c>
      <c r="EU24" s="109"/>
      <c r="EV24" s="109"/>
      <c r="EW24" s="166"/>
      <c r="EX24" s="166"/>
      <c r="EY24" s="165">
        <f t="shared" si="50"/>
        <v>46226</v>
      </c>
      <c r="EZ24" s="109">
        <f t="shared" si="51"/>
        <v>0</v>
      </c>
      <c r="FA24" s="109">
        <f t="shared" si="52"/>
        <v>0</v>
      </c>
      <c r="FB24" s="109"/>
      <c r="FC24" s="109"/>
      <c r="FD24" s="166"/>
      <c r="FE24" s="166"/>
      <c r="FF24" s="165">
        <f t="shared" si="53"/>
        <v>46257</v>
      </c>
      <c r="FG24" s="109">
        <f t="shared" si="54"/>
        <v>0</v>
      </c>
      <c r="FH24" s="109">
        <f t="shared" si="55"/>
        <v>0</v>
      </c>
      <c r="FI24" s="109"/>
      <c r="FJ24" s="109"/>
      <c r="FK24" s="166"/>
      <c r="FL24" s="166"/>
      <c r="FM24" s="165">
        <f t="shared" si="56"/>
        <v>46288</v>
      </c>
      <c r="FN24" s="109">
        <f t="shared" si="57"/>
        <v>0</v>
      </c>
      <c r="FO24" s="109">
        <f t="shared" si="58"/>
        <v>0</v>
      </c>
      <c r="FP24" s="109"/>
      <c r="FQ24" s="109"/>
      <c r="FR24" s="166"/>
      <c r="FS24" s="166"/>
      <c r="FT24" s="165">
        <f t="shared" si="97"/>
        <v>46318</v>
      </c>
      <c r="FU24" s="109">
        <f t="shared" si="98"/>
        <v>0</v>
      </c>
      <c r="FV24" s="109">
        <f t="shared" si="99"/>
        <v>0</v>
      </c>
      <c r="FW24" s="109"/>
      <c r="FX24" s="109"/>
      <c r="FY24" s="166"/>
      <c r="FZ24" s="166"/>
      <c r="GA24" s="165">
        <f t="shared" si="100"/>
        <v>46349</v>
      </c>
      <c r="GB24" s="109">
        <f t="shared" si="101"/>
        <v>0</v>
      </c>
      <c r="GC24" s="109">
        <f t="shared" si="102"/>
        <v>0</v>
      </c>
      <c r="GD24" s="109"/>
      <c r="GE24" s="109"/>
      <c r="GF24" s="166"/>
      <c r="GG24" s="166"/>
      <c r="GH24" s="165">
        <f t="shared" si="103"/>
        <v>46379</v>
      </c>
      <c r="GI24" s="109">
        <f t="shared" si="104"/>
        <v>0</v>
      </c>
      <c r="GJ24" s="109">
        <f t="shared" si="105"/>
        <v>0</v>
      </c>
      <c r="GK24" s="109"/>
      <c r="GL24" s="109"/>
      <c r="GM24" s="166"/>
      <c r="GN24" s="166"/>
      <c r="GO24" s="165"/>
      <c r="GP24" s="109"/>
      <c r="GQ24" s="109"/>
      <c r="GR24" s="109"/>
      <c r="GS24" s="109"/>
      <c r="GT24" s="166"/>
      <c r="GU24" s="166"/>
      <c r="GV24" s="165"/>
      <c r="GW24" s="168"/>
      <c r="GX24" s="168"/>
      <c r="GY24" s="168"/>
      <c r="GZ24" s="168"/>
      <c r="HA24" s="166"/>
      <c r="HB24" s="166"/>
      <c r="HC24" s="165"/>
      <c r="HD24" s="109"/>
      <c r="HE24" s="109"/>
      <c r="HF24" s="109"/>
      <c r="HG24" s="109"/>
      <c r="HH24" s="166"/>
      <c r="HI24" s="166"/>
      <c r="HJ24" s="165"/>
      <c r="HK24" s="109"/>
      <c r="HL24" s="109"/>
      <c r="HM24" s="109"/>
      <c r="HN24" s="109"/>
      <c r="HO24" s="166"/>
      <c r="HP24" s="166"/>
      <c r="HQ24" s="165"/>
      <c r="HR24" s="109"/>
      <c r="HS24" s="109"/>
      <c r="HT24" s="109"/>
      <c r="HU24" s="109"/>
      <c r="HV24" s="166"/>
      <c r="HW24" s="166"/>
      <c r="HX24" s="105">
        <f t="shared" si="86"/>
        <v>20612.711864406781</v>
      </c>
      <c r="HY24" s="105">
        <f t="shared" si="83"/>
        <v>3710.2881355932204</v>
      </c>
      <c r="HZ24" s="105">
        <f t="shared" si="83"/>
        <v>24323</v>
      </c>
      <c r="IA24" s="105">
        <f t="shared" si="68"/>
        <v>0</v>
      </c>
      <c r="IB24" s="109">
        <f t="shared" si="69"/>
        <v>97222.9</v>
      </c>
      <c r="IC24" s="109">
        <f t="shared" si="70"/>
        <v>82392.288135593219</v>
      </c>
      <c r="ID24" s="109">
        <f t="shared" si="71"/>
        <v>0</v>
      </c>
      <c r="IE24" s="109">
        <f t="shared" ca="1" si="72"/>
        <v>35</v>
      </c>
      <c r="IF24" s="139">
        <f t="shared" si="73"/>
        <v>3.0017055285287286</v>
      </c>
      <c r="IG24" s="139">
        <f t="shared" ca="1" si="74"/>
        <v>101</v>
      </c>
      <c r="IH24" s="169">
        <f t="shared" ca="1" si="75"/>
        <v>3.3666666666666667</v>
      </c>
      <c r="II24" s="139">
        <f t="shared" ca="1" si="76"/>
        <v>0.36496113813793807</v>
      </c>
      <c r="IJ24" s="169">
        <f t="shared" ca="1" si="77"/>
        <v>10.948834144138143</v>
      </c>
      <c r="IK24" s="169">
        <f t="shared" ca="1" si="84"/>
        <v>0.36496113813793807</v>
      </c>
      <c r="IL24" s="170">
        <f t="shared" ca="1" si="78"/>
        <v>2957.3020000000001</v>
      </c>
      <c r="IM24" s="171"/>
      <c r="IN24" s="171"/>
      <c r="IO24" s="171"/>
      <c r="IP24" s="171"/>
    </row>
    <row r="25" spans="1:250" ht="15" customHeight="1" thickBot="1" x14ac:dyDescent="0.35">
      <c r="A25" s="110">
        <f t="shared" si="79"/>
        <v>21</v>
      </c>
      <c r="B25" s="111" t="s">
        <v>385</v>
      </c>
      <c r="C25" s="111" t="s">
        <v>386</v>
      </c>
      <c r="D25" s="111">
        <v>103</v>
      </c>
      <c r="E25" s="111" t="s">
        <v>387</v>
      </c>
      <c r="F25" s="111"/>
      <c r="G25" s="111" t="s">
        <v>388</v>
      </c>
      <c r="H25" s="111">
        <v>1031100088</v>
      </c>
      <c r="I25" s="146" t="str">
        <f t="shared" si="0"/>
        <v>1100088</v>
      </c>
      <c r="J25" s="145" t="str">
        <f t="shared" si="1"/>
        <v>NG1100088</v>
      </c>
      <c r="K25" s="111" t="s">
        <v>389</v>
      </c>
      <c r="L25" s="111" t="s">
        <v>158</v>
      </c>
      <c r="M25" s="111" t="s">
        <v>390</v>
      </c>
      <c r="N25" s="111" t="s">
        <v>138</v>
      </c>
      <c r="O25" s="111"/>
      <c r="P25" s="111" t="s">
        <v>391</v>
      </c>
      <c r="Q25" s="148">
        <v>28236</v>
      </c>
      <c r="R25" s="111" t="s">
        <v>385</v>
      </c>
      <c r="S25" s="111">
        <f t="shared" ca="1" si="85"/>
        <v>48</v>
      </c>
      <c r="T25" s="111" t="s">
        <v>392</v>
      </c>
      <c r="U25" s="111" t="s">
        <v>217</v>
      </c>
      <c r="V25" s="181">
        <v>787087657</v>
      </c>
      <c r="W25" s="111"/>
      <c r="X25" s="111" t="s">
        <v>181</v>
      </c>
      <c r="Y25" s="111">
        <v>11</v>
      </c>
      <c r="Z25" s="111" t="s">
        <v>393</v>
      </c>
      <c r="AA25" s="111" t="s">
        <v>394</v>
      </c>
      <c r="AB25" s="111" t="s">
        <v>395</v>
      </c>
      <c r="AC25" s="111" t="s">
        <v>146</v>
      </c>
      <c r="AD25" s="111" t="s">
        <v>147</v>
      </c>
      <c r="AE25" s="173" t="s">
        <v>136</v>
      </c>
      <c r="AF25" s="173" t="s">
        <v>136</v>
      </c>
      <c r="AG25" s="174">
        <v>45887</v>
      </c>
      <c r="AH25" s="175">
        <v>1000000</v>
      </c>
      <c r="AI25" s="111">
        <v>21</v>
      </c>
      <c r="AJ25" s="111">
        <v>3</v>
      </c>
      <c r="AK25" s="150">
        <f t="shared" si="80"/>
        <v>18</v>
      </c>
      <c r="AL25" s="177">
        <v>692650</v>
      </c>
      <c r="AM25" s="176">
        <v>0.18</v>
      </c>
      <c r="AN25" s="177">
        <f t="shared" si="92"/>
        <v>124677</v>
      </c>
      <c r="AO25" s="157">
        <f t="shared" si="96"/>
        <v>817327</v>
      </c>
      <c r="AP25" s="158">
        <f t="shared" si="3"/>
        <v>45407.055555555555</v>
      </c>
      <c r="AQ25" s="111" t="s">
        <v>136</v>
      </c>
      <c r="AR25" s="111" t="s">
        <v>385</v>
      </c>
      <c r="AS25" s="111" t="s">
        <v>217</v>
      </c>
      <c r="AT25" s="111" t="s">
        <v>396</v>
      </c>
      <c r="AU25" s="111" t="s">
        <v>392</v>
      </c>
      <c r="AV25" s="111">
        <v>6</v>
      </c>
      <c r="AW25" s="111" t="s">
        <v>136</v>
      </c>
      <c r="AX25" s="111" t="s">
        <v>136</v>
      </c>
      <c r="AY25" s="111" t="s">
        <v>136</v>
      </c>
      <c r="AZ25" s="111" t="s">
        <v>136</v>
      </c>
      <c r="BA25" s="111" t="s">
        <v>136</v>
      </c>
      <c r="BB25" s="111" t="s">
        <v>136</v>
      </c>
      <c r="BC25" s="111" t="s">
        <v>136</v>
      </c>
      <c r="BD25" s="111"/>
      <c r="BE25" s="111"/>
      <c r="BF25" s="111"/>
      <c r="BG25" s="111"/>
      <c r="BH25" s="111"/>
      <c r="BI25" s="111"/>
      <c r="BJ25" s="111"/>
      <c r="BK25" s="111"/>
      <c r="BL25" s="175"/>
      <c r="BM25" s="111"/>
      <c r="BN25" s="111"/>
      <c r="BO25" s="111"/>
      <c r="BP25" s="111" t="s">
        <v>397</v>
      </c>
      <c r="BQ25" s="111" t="s">
        <v>398</v>
      </c>
      <c r="BR25" s="111" t="s">
        <v>399</v>
      </c>
      <c r="BS25" s="111" t="s">
        <v>400</v>
      </c>
      <c r="BT25" s="182" t="s">
        <v>136</v>
      </c>
      <c r="BU25" s="111" t="s">
        <v>392</v>
      </c>
      <c r="BV25" s="111" t="s">
        <v>217</v>
      </c>
      <c r="BW25" s="111"/>
      <c r="BX25" s="111"/>
      <c r="BY25" s="111"/>
      <c r="BZ25" s="111"/>
      <c r="CA25" s="111"/>
      <c r="CB25" s="111"/>
      <c r="CC25" s="178"/>
      <c r="CD25" s="177">
        <f t="shared" si="4"/>
        <v>692650</v>
      </c>
      <c r="CE25" s="148">
        <v>45921</v>
      </c>
      <c r="CF25" s="111">
        <f t="shared" si="5"/>
        <v>21</v>
      </c>
      <c r="CG25" s="177">
        <f t="shared" si="6"/>
        <v>817327</v>
      </c>
      <c r="CH25" s="203">
        <f t="shared" si="95"/>
        <v>3</v>
      </c>
      <c r="CI25" s="148">
        <v>45921</v>
      </c>
      <c r="CJ25" s="161">
        <f t="shared" si="81"/>
        <v>46012</v>
      </c>
      <c r="CK25" s="162">
        <f t="shared" si="82"/>
        <v>46559</v>
      </c>
      <c r="CL25" s="179"/>
      <c r="CM25" s="164">
        <f t="shared" ca="1" si="8"/>
        <v>46054</v>
      </c>
      <c r="CN25" s="165">
        <f t="shared" si="9"/>
        <v>46012</v>
      </c>
      <c r="CO25" s="109">
        <f t="shared" si="10"/>
        <v>0</v>
      </c>
      <c r="CP25" s="109">
        <f t="shared" si="11"/>
        <v>0</v>
      </c>
      <c r="CQ25" s="109"/>
      <c r="CR25" s="109">
        <f t="shared" si="12"/>
        <v>0</v>
      </c>
      <c r="CS25" s="166">
        <f ca="1">TODAY()</f>
        <v>46054</v>
      </c>
      <c r="CT25" s="167">
        <f t="shared" ca="1" si="13"/>
        <v>42</v>
      </c>
      <c r="CU25" s="165">
        <f t="shared" si="14"/>
        <v>46043</v>
      </c>
      <c r="CV25" s="109">
        <f t="shared" si="15"/>
        <v>0</v>
      </c>
      <c r="CW25" s="109">
        <f t="shared" si="16"/>
        <v>0</v>
      </c>
      <c r="CX25" s="109"/>
      <c r="CY25" s="109">
        <f t="shared" si="17"/>
        <v>0</v>
      </c>
      <c r="CZ25" s="166">
        <f ca="1">TODAY()</f>
        <v>46054</v>
      </c>
      <c r="DA25" s="167">
        <f t="shared" ca="1" si="18"/>
        <v>11</v>
      </c>
      <c r="DB25" s="165">
        <f t="shared" si="19"/>
        <v>46074</v>
      </c>
      <c r="DC25" s="109">
        <f t="shared" si="20"/>
        <v>0</v>
      </c>
      <c r="DD25" s="109">
        <f t="shared" si="21"/>
        <v>0</v>
      </c>
      <c r="DE25" s="109"/>
      <c r="DF25" s="109">
        <f t="shared" si="22"/>
        <v>0</v>
      </c>
      <c r="DG25" s="166">
        <f ca="1">TODAY()</f>
        <v>46054</v>
      </c>
      <c r="DH25" s="167">
        <f t="shared" ca="1" si="23"/>
        <v>0</v>
      </c>
      <c r="DI25" s="165">
        <f t="shared" si="24"/>
        <v>46102</v>
      </c>
      <c r="DJ25" s="109">
        <f t="shared" si="25"/>
        <v>0</v>
      </c>
      <c r="DK25" s="109">
        <f t="shared" si="26"/>
        <v>0</v>
      </c>
      <c r="DL25" s="109">
        <v>0</v>
      </c>
      <c r="DM25" s="109">
        <f t="shared" si="27"/>
        <v>0</v>
      </c>
      <c r="DN25" s="166">
        <f t="shared" ca="1" si="87"/>
        <v>46054</v>
      </c>
      <c r="DO25" s="167">
        <f t="shared" ca="1" si="28"/>
        <v>0</v>
      </c>
      <c r="DP25" s="165">
        <f t="shared" si="93"/>
        <v>46133</v>
      </c>
      <c r="DQ25" s="109">
        <f t="shared" si="29"/>
        <v>0</v>
      </c>
      <c r="DR25" s="109">
        <f t="shared" si="94"/>
        <v>0</v>
      </c>
      <c r="DS25" s="109"/>
      <c r="DT25" s="109">
        <f t="shared" si="30"/>
        <v>0</v>
      </c>
      <c r="DU25" s="166">
        <f t="shared" ca="1" si="88"/>
        <v>46054</v>
      </c>
      <c r="DV25" s="167">
        <f t="shared" ca="1" si="31"/>
        <v>0</v>
      </c>
      <c r="DW25" s="165">
        <f t="shared" si="32"/>
        <v>46163</v>
      </c>
      <c r="DX25" s="109">
        <f t="shared" si="33"/>
        <v>0</v>
      </c>
      <c r="DY25" s="109">
        <f t="shared" si="34"/>
        <v>0</v>
      </c>
      <c r="DZ25" s="109"/>
      <c r="EA25" s="109">
        <f t="shared" si="35"/>
        <v>0</v>
      </c>
      <c r="EB25" s="166">
        <f t="shared" ca="1" si="89"/>
        <v>46054</v>
      </c>
      <c r="EC25" s="167">
        <f t="shared" ca="1" si="36"/>
        <v>0</v>
      </c>
      <c r="ED25" s="165">
        <f t="shared" si="37"/>
        <v>46194</v>
      </c>
      <c r="EE25" s="109">
        <f t="shared" si="38"/>
        <v>0</v>
      </c>
      <c r="EF25" s="109">
        <f t="shared" si="39"/>
        <v>0</v>
      </c>
      <c r="EG25" s="109"/>
      <c r="EH25" s="109">
        <f t="shared" si="40"/>
        <v>0</v>
      </c>
      <c r="EI25" s="166">
        <f t="shared" ca="1" si="90"/>
        <v>46054</v>
      </c>
      <c r="EJ25" s="167">
        <f t="shared" ca="1" si="41"/>
        <v>0</v>
      </c>
      <c r="EK25" s="165">
        <f t="shared" si="42"/>
        <v>46224</v>
      </c>
      <c r="EL25" s="109">
        <f t="shared" si="43"/>
        <v>0</v>
      </c>
      <c r="EM25" s="109">
        <f t="shared" si="44"/>
        <v>0</v>
      </c>
      <c r="EN25" s="109"/>
      <c r="EO25" s="109">
        <f t="shared" si="45"/>
        <v>0</v>
      </c>
      <c r="EP25" s="166">
        <f t="shared" ca="1" si="91"/>
        <v>46054</v>
      </c>
      <c r="EQ25" s="167">
        <f t="shared" ca="1" si="46"/>
        <v>0</v>
      </c>
      <c r="ER25" s="165">
        <f t="shared" si="47"/>
        <v>46255</v>
      </c>
      <c r="ES25" s="109">
        <f t="shared" si="48"/>
        <v>0</v>
      </c>
      <c r="ET25" s="109">
        <f t="shared" si="49"/>
        <v>0</v>
      </c>
      <c r="EU25" s="109"/>
      <c r="EV25" s="109"/>
      <c r="EW25" s="166"/>
      <c r="EX25" s="166"/>
      <c r="EY25" s="165">
        <f t="shared" si="50"/>
        <v>46286</v>
      </c>
      <c r="EZ25" s="109">
        <f t="shared" si="51"/>
        <v>0</v>
      </c>
      <c r="FA25" s="109">
        <f t="shared" si="52"/>
        <v>0</v>
      </c>
      <c r="FB25" s="109"/>
      <c r="FC25" s="109"/>
      <c r="FD25" s="166"/>
      <c r="FE25" s="166"/>
      <c r="FF25" s="165">
        <f t="shared" si="53"/>
        <v>46316</v>
      </c>
      <c r="FG25" s="109">
        <f t="shared" si="54"/>
        <v>0</v>
      </c>
      <c r="FH25" s="109">
        <f t="shared" si="55"/>
        <v>0</v>
      </c>
      <c r="FI25" s="109"/>
      <c r="FJ25" s="109"/>
      <c r="FK25" s="166"/>
      <c r="FL25" s="166"/>
      <c r="FM25" s="165">
        <f t="shared" si="56"/>
        <v>46347</v>
      </c>
      <c r="FN25" s="109">
        <f t="shared" si="57"/>
        <v>0</v>
      </c>
      <c r="FO25" s="109">
        <f t="shared" si="58"/>
        <v>0</v>
      </c>
      <c r="FP25" s="109"/>
      <c r="FQ25" s="109"/>
      <c r="FR25" s="166"/>
      <c r="FS25" s="166"/>
      <c r="FT25" s="165">
        <f t="shared" si="97"/>
        <v>46377</v>
      </c>
      <c r="FU25" s="109">
        <f t="shared" si="98"/>
        <v>0</v>
      </c>
      <c r="FV25" s="109">
        <f t="shared" si="99"/>
        <v>0</v>
      </c>
      <c r="FW25" s="109"/>
      <c r="FX25" s="109"/>
      <c r="FY25" s="166"/>
      <c r="FZ25" s="166"/>
      <c r="GA25" s="165">
        <f t="shared" si="100"/>
        <v>46408</v>
      </c>
      <c r="GB25" s="109">
        <f t="shared" si="101"/>
        <v>0</v>
      </c>
      <c r="GC25" s="109">
        <f t="shared" si="102"/>
        <v>0</v>
      </c>
      <c r="GD25" s="109"/>
      <c r="GE25" s="109"/>
      <c r="GF25" s="166"/>
      <c r="GG25" s="166"/>
      <c r="GH25" s="165">
        <f t="shared" si="103"/>
        <v>46439</v>
      </c>
      <c r="GI25" s="109">
        <f t="shared" si="104"/>
        <v>0</v>
      </c>
      <c r="GJ25" s="109">
        <f t="shared" si="105"/>
        <v>0</v>
      </c>
      <c r="GK25" s="109"/>
      <c r="GL25" s="109"/>
      <c r="GM25" s="166"/>
      <c r="GN25" s="166"/>
      <c r="GO25" s="165">
        <f>EDATE(GH25,1)</f>
        <v>46467</v>
      </c>
      <c r="GP25" s="109">
        <f>GR25-GQ25</f>
        <v>0</v>
      </c>
      <c r="GQ25" s="109">
        <f>GR25/(1+AM25)*AM25</f>
        <v>0</v>
      </c>
      <c r="GR25" s="109"/>
      <c r="GS25" s="109"/>
      <c r="GT25" s="166"/>
      <c r="GU25" s="166"/>
      <c r="GV25" s="165">
        <f>EDATE(GO25,1)</f>
        <v>46498</v>
      </c>
      <c r="GW25" s="168">
        <f>GY25-GX25</f>
        <v>0</v>
      </c>
      <c r="GX25" s="168">
        <f>GY25/(1+AM25)*AM25</f>
        <v>0</v>
      </c>
      <c r="GY25" s="168"/>
      <c r="GZ25" s="168"/>
      <c r="HA25" s="166"/>
      <c r="HB25" s="166"/>
      <c r="HC25" s="165">
        <f>EDATE(GV25,1)</f>
        <v>46528</v>
      </c>
      <c r="HD25" s="109">
        <f>HF25-HE25</f>
        <v>0</v>
      </c>
      <c r="HE25" s="109">
        <f>HF25/(1+AM25)*AM25</f>
        <v>0</v>
      </c>
      <c r="HF25" s="109"/>
      <c r="HG25" s="109"/>
      <c r="HH25" s="166"/>
      <c r="HI25" s="166"/>
      <c r="HJ25" s="165"/>
      <c r="HK25" s="109">
        <f>HM25-HL25</f>
        <v>0</v>
      </c>
      <c r="HL25" s="109">
        <f>HM25/(1+AM25)*AM25</f>
        <v>0</v>
      </c>
      <c r="HM25" s="109"/>
      <c r="HN25" s="109"/>
      <c r="HO25" s="166"/>
      <c r="HP25" s="166"/>
      <c r="HQ25" s="165"/>
      <c r="HR25" s="109">
        <f>HT25-HS25</f>
        <v>0</v>
      </c>
      <c r="HS25" s="109">
        <f>HT25/(1+AM25)*AM25</f>
        <v>0</v>
      </c>
      <c r="HT25" s="109"/>
      <c r="HU25" s="109"/>
      <c r="HV25" s="166"/>
      <c r="HW25" s="166"/>
      <c r="HX25" s="105">
        <f t="shared" si="86"/>
        <v>0</v>
      </c>
      <c r="HY25" s="105">
        <f t="shared" si="83"/>
        <v>0</v>
      </c>
      <c r="HZ25" s="105">
        <f t="shared" si="83"/>
        <v>0</v>
      </c>
      <c r="IA25" s="105">
        <f t="shared" si="68"/>
        <v>0</v>
      </c>
      <c r="IB25" s="109">
        <f t="shared" si="69"/>
        <v>817327</v>
      </c>
      <c r="IC25" s="109">
        <f t="shared" si="70"/>
        <v>692650</v>
      </c>
      <c r="ID25" s="109">
        <f t="shared" si="71"/>
        <v>0</v>
      </c>
      <c r="IE25" s="109">
        <f t="shared" ca="1" si="72"/>
        <v>53</v>
      </c>
      <c r="IF25" s="139">
        <f t="shared" si="73"/>
        <v>0</v>
      </c>
      <c r="IG25" s="139">
        <f t="shared" ca="1" si="74"/>
        <v>42</v>
      </c>
      <c r="IH25" s="169">
        <f t="shared" ca="1" si="75"/>
        <v>1.4</v>
      </c>
      <c r="II25" s="139">
        <f t="shared" ca="1" si="76"/>
        <v>1.4</v>
      </c>
      <c r="IJ25" s="169">
        <f t="shared" ca="1" si="77"/>
        <v>42</v>
      </c>
      <c r="IK25" s="169">
        <f t="shared" ca="1" si="84"/>
        <v>1.4</v>
      </c>
      <c r="IL25" s="170">
        <f t="shared" ca="1" si="78"/>
        <v>63569.877777777772</v>
      </c>
      <c r="IM25" s="171"/>
      <c r="IN25" s="171"/>
      <c r="IO25" s="171"/>
      <c r="IP25" s="171"/>
    </row>
    <row r="26" spans="1:250" ht="15" customHeight="1" thickBot="1" x14ac:dyDescent="0.35">
      <c r="A26" s="110">
        <f t="shared" si="79"/>
        <v>22</v>
      </c>
      <c r="B26" s="111" t="s">
        <v>385</v>
      </c>
      <c r="C26" s="111" t="s">
        <v>386</v>
      </c>
      <c r="D26" s="111">
        <v>103</v>
      </c>
      <c r="E26" s="111" t="s">
        <v>387</v>
      </c>
      <c r="F26" s="111"/>
      <c r="G26" s="111" t="s">
        <v>401</v>
      </c>
      <c r="H26" s="111">
        <v>1031100089</v>
      </c>
      <c r="I26" s="146" t="str">
        <f t="shared" si="0"/>
        <v>1100089</v>
      </c>
      <c r="J26" s="145" t="str">
        <f t="shared" si="1"/>
        <v>NG1100089</v>
      </c>
      <c r="K26" s="111" t="s">
        <v>402</v>
      </c>
      <c r="L26" s="111" t="s">
        <v>158</v>
      </c>
      <c r="M26" s="111" t="s">
        <v>403</v>
      </c>
      <c r="N26" s="111" t="s">
        <v>138</v>
      </c>
      <c r="O26" s="111"/>
      <c r="P26" s="111" t="s">
        <v>404</v>
      </c>
      <c r="Q26" s="148">
        <v>30337</v>
      </c>
      <c r="R26" s="111" t="s">
        <v>385</v>
      </c>
      <c r="S26" s="111">
        <f t="shared" ca="1" si="85"/>
        <v>43</v>
      </c>
      <c r="T26" s="111" t="s">
        <v>392</v>
      </c>
      <c r="U26" s="111" t="s">
        <v>217</v>
      </c>
      <c r="V26" s="181">
        <v>788578635</v>
      </c>
      <c r="W26" s="111"/>
      <c r="X26" s="111" t="s">
        <v>181</v>
      </c>
      <c r="Y26" s="111">
        <v>11</v>
      </c>
      <c r="Z26" s="111" t="s">
        <v>405</v>
      </c>
      <c r="AA26" s="111" t="s">
        <v>148</v>
      </c>
      <c r="AB26" s="111" t="s">
        <v>145</v>
      </c>
      <c r="AC26" s="111" t="s">
        <v>146</v>
      </c>
      <c r="AD26" s="111" t="s">
        <v>147</v>
      </c>
      <c r="AE26" s="173" t="s">
        <v>136</v>
      </c>
      <c r="AF26" s="173" t="s">
        <v>136</v>
      </c>
      <c r="AG26" s="174">
        <v>45881</v>
      </c>
      <c r="AH26" s="175">
        <v>350000</v>
      </c>
      <c r="AI26" s="111">
        <v>21</v>
      </c>
      <c r="AJ26" s="111">
        <v>3</v>
      </c>
      <c r="AK26" s="150">
        <f t="shared" si="80"/>
        <v>18</v>
      </c>
      <c r="AL26" s="177">
        <v>310000</v>
      </c>
      <c r="AM26" s="176">
        <v>0.18</v>
      </c>
      <c r="AN26" s="177">
        <f t="shared" si="92"/>
        <v>55800</v>
      </c>
      <c r="AO26" s="157">
        <f t="shared" si="96"/>
        <v>365800</v>
      </c>
      <c r="AP26" s="158">
        <f t="shared" si="3"/>
        <v>20322.222222222223</v>
      </c>
      <c r="AQ26" s="111" t="s">
        <v>136</v>
      </c>
      <c r="AR26" s="111" t="s">
        <v>385</v>
      </c>
      <c r="AS26" s="111" t="s">
        <v>217</v>
      </c>
      <c r="AT26" s="111" t="s">
        <v>396</v>
      </c>
      <c r="AU26" s="111" t="s">
        <v>392</v>
      </c>
      <c r="AV26" s="111">
        <v>10</v>
      </c>
      <c r="AW26" s="111" t="s">
        <v>136</v>
      </c>
      <c r="AX26" s="111" t="s">
        <v>136</v>
      </c>
      <c r="AY26" s="111" t="s">
        <v>136</v>
      </c>
      <c r="AZ26" s="111" t="s">
        <v>136</v>
      </c>
      <c r="BA26" s="111" t="s">
        <v>136</v>
      </c>
      <c r="BB26" s="111" t="s">
        <v>136</v>
      </c>
      <c r="BC26" s="111" t="s">
        <v>136</v>
      </c>
      <c r="BD26" s="111" t="s">
        <v>136</v>
      </c>
      <c r="BE26" s="111" t="s">
        <v>136</v>
      </c>
      <c r="BF26" s="111" t="s">
        <v>136</v>
      </c>
      <c r="BG26" s="111" t="s">
        <v>136</v>
      </c>
      <c r="BH26" s="111" t="s">
        <v>136</v>
      </c>
      <c r="BI26" s="111" t="s">
        <v>136</v>
      </c>
      <c r="BJ26" s="111" t="s">
        <v>136</v>
      </c>
      <c r="BK26" s="111" t="s">
        <v>136</v>
      </c>
      <c r="BL26" s="111" t="s">
        <v>136</v>
      </c>
      <c r="BM26" s="111" t="s">
        <v>136</v>
      </c>
      <c r="BN26" s="111" t="s">
        <v>136</v>
      </c>
      <c r="BO26" s="111" t="s">
        <v>136</v>
      </c>
      <c r="BP26" s="111" t="s">
        <v>406</v>
      </c>
      <c r="BQ26" s="111" t="s">
        <v>407</v>
      </c>
      <c r="BR26" s="111" t="s">
        <v>408</v>
      </c>
      <c r="BS26" s="111" t="s">
        <v>409</v>
      </c>
      <c r="BT26" s="182" t="s">
        <v>136</v>
      </c>
      <c r="BU26" s="111" t="s">
        <v>392</v>
      </c>
      <c r="BV26" s="111" t="s">
        <v>217</v>
      </c>
      <c r="BW26" s="111"/>
      <c r="BX26" s="111"/>
      <c r="BY26" s="111"/>
      <c r="BZ26" s="111"/>
      <c r="CA26" s="111"/>
      <c r="CB26" s="111"/>
      <c r="CC26" s="178"/>
      <c r="CD26" s="177">
        <f t="shared" si="4"/>
        <v>310000</v>
      </c>
      <c r="CE26" s="148">
        <v>45921</v>
      </c>
      <c r="CF26" s="111">
        <f t="shared" si="5"/>
        <v>21</v>
      </c>
      <c r="CG26" s="177">
        <f t="shared" si="6"/>
        <v>365800</v>
      </c>
      <c r="CH26" s="203">
        <f t="shared" si="95"/>
        <v>3</v>
      </c>
      <c r="CI26" s="148">
        <v>45921</v>
      </c>
      <c r="CJ26" s="161">
        <f t="shared" si="81"/>
        <v>46012</v>
      </c>
      <c r="CK26" s="162">
        <f t="shared" si="82"/>
        <v>46559</v>
      </c>
      <c r="CL26" s="179"/>
      <c r="CM26" s="164">
        <f t="shared" ca="1" si="8"/>
        <v>46054</v>
      </c>
      <c r="CN26" s="165">
        <f t="shared" si="9"/>
        <v>46012</v>
      </c>
      <c r="CO26" s="109">
        <f t="shared" si="10"/>
        <v>0</v>
      </c>
      <c r="CP26" s="109">
        <f t="shared" si="11"/>
        <v>0</v>
      </c>
      <c r="CQ26" s="109"/>
      <c r="CR26" s="109">
        <f t="shared" si="12"/>
        <v>0</v>
      </c>
      <c r="CS26" s="166">
        <f ca="1">TODAY()</f>
        <v>46054</v>
      </c>
      <c r="CT26" s="167">
        <f t="shared" ca="1" si="13"/>
        <v>42</v>
      </c>
      <c r="CU26" s="165">
        <f t="shared" si="14"/>
        <v>46043</v>
      </c>
      <c r="CV26" s="109">
        <f t="shared" si="15"/>
        <v>0</v>
      </c>
      <c r="CW26" s="109">
        <f t="shared" si="16"/>
        <v>0</v>
      </c>
      <c r="CX26" s="109"/>
      <c r="CY26" s="109">
        <f t="shared" si="17"/>
        <v>0</v>
      </c>
      <c r="CZ26" s="166">
        <f ca="1">TODAY()</f>
        <v>46054</v>
      </c>
      <c r="DA26" s="167">
        <f t="shared" ca="1" si="18"/>
        <v>11</v>
      </c>
      <c r="DB26" s="165">
        <f t="shared" si="19"/>
        <v>46074</v>
      </c>
      <c r="DC26" s="109">
        <f t="shared" si="20"/>
        <v>0</v>
      </c>
      <c r="DD26" s="109">
        <f t="shared" si="21"/>
        <v>0</v>
      </c>
      <c r="DE26" s="109"/>
      <c r="DF26" s="109">
        <f t="shared" si="22"/>
        <v>0</v>
      </c>
      <c r="DG26" s="166">
        <f ca="1">TODAY()</f>
        <v>46054</v>
      </c>
      <c r="DH26" s="167">
        <f t="shared" ca="1" si="23"/>
        <v>0</v>
      </c>
      <c r="DI26" s="165">
        <f t="shared" si="24"/>
        <v>46102</v>
      </c>
      <c r="DJ26" s="109">
        <f t="shared" si="25"/>
        <v>0</v>
      </c>
      <c r="DK26" s="109">
        <f t="shared" si="26"/>
        <v>0</v>
      </c>
      <c r="DL26" s="109">
        <v>0</v>
      </c>
      <c r="DM26" s="109">
        <f t="shared" si="27"/>
        <v>0</v>
      </c>
      <c r="DN26" s="166">
        <f t="shared" ca="1" si="87"/>
        <v>46054</v>
      </c>
      <c r="DO26" s="167">
        <f t="shared" ca="1" si="28"/>
        <v>0</v>
      </c>
      <c r="DP26" s="165">
        <f t="shared" si="93"/>
        <v>46133</v>
      </c>
      <c r="DQ26" s="109">
        <f t="shared" si="29"/>
        <v>0</v>
      </c>
      <c r="DR26" s="109">
        <f t="shared" si="94"/>
        <v>0</v>
      </c>
      <c r="DS26" s="109"/>
      <c r="DT26" s="109">
        <f t="shared" si="30"/>
        <v>0</v>
      </c>
      <c r="DU26" s="166">
        <f t="shared" ca="1" si="88"/>
        <v>46054</v>
      </c>
      <c r="DV26" s="167">
        <f t="shared" ca="1" si="31"/>
        <v>0</v>
      </c>
      <c r="DW26" s="165">
        <f t="shared" si="32"/>
        <v>46163</v>
      </c>
      <c r="DX26" s="109">
        <f t="shared" si="33"/>
        <v>0</v>
      </c>
      <c r="DY26" s="109">
        <f t="shared" si="34"/>
        <v>0</v>
      </c>
      <c r="DZ26" s="109"/>
      <c r="EA26" s="109">
        <f t="shared" si="35"/>
        <v>0</v>
      </c>
      <c r="EB26" s="166">
        <f t="shared" ca="1" si="89"/>
        <v>46054</v>
      </c>
      <c r="EC26" s="167">
        <f t="shared" ca="1" si="36"/>
        <v>0</v>
      </c>
      <c r="ED26" s="165">
        <f t="shared" si="37"/>
        <v>46194</v>
      </c>
      <c r="EE26" s="109">
        <f t="shared" si="38"/>
        <v>0</v>
      </c>
      <c r="EF26" s="109">
        <f t="shared" si="39"/>
        <v>0</v>
      </c>
      <c r="EG26" s="109"/>
      <c r="EH26" s="109">
        <f t="shared" si="40"/>
        <v>0</v>
      </c>
      <c r="EI26" s="166">
        <f t="shared" ca="1" si="90"/>
        <v>46054</v>
      </c>
      <c r="EJ26" s="167">
        <f t="shared" ca="1" si="41"/>
        <v>0</v>
      </c>
      <c r="EK26" s="165">
        <f t="shared" si="42"/>
        <v>46224</v>
      </c>
      <c r="EL26" s="109">
        <f t="shared" si="43"/>
        <v>0</v>
      </c>
      <c r="EM26" s="109">
        <f t="shared" si="44"/>
        <v>0</v>
      </c>
      <c r="EN26" s="109"/>
      <c r="EO26" s="109">
        <f t="shared" si="45"/>
        <v>0</v>
      </c>
      <c r="EP26" s="166">
        <f t="shared" ca="1" si="91"/>
        <v>46054</v>
      </c>
      <c r="EQ26" s="167">
        <f t="shared" ca="1" si="46"/>
        <v>0</v>
      </c>
      <c r="ER26" s="165">
        <f t="shared" si="47"/>
        <v>46255</v>
      </c>
      <c r="ES26" s="109">
        <f t="shared" si="48"/>
        <v>0</v>
      </c>
      <c r="ET26" s="109">
        <f t="shared" si="49"/>
        <v>0</v>
      </c>
      <c r="EU26" s="109"/>
      <c r="EV26" s="109"/>
      <c r="EW26" s="166"/>
      <c r="EX26" s="166"/>
      <c r="EY26" s="165">
        <f t="shared" si="50"/>
        <v>46286</v>
      </c>
      <c r="EZ26" s="109">
        <f t="shared" si="51"/>
        <v>0</v>
      </c>
      <c r="FA26" s="109">
        <f t="shared" si="52"/>
        <v>0</v>
      </c>
      <c r="FB26" s="109"/>
      <c r="FC26" s="109"/>
      <c r="FD26" s="166"/>
      <c r="FE26" s="166"/>
      <c r="FF26" s="165">
        <f t="shared" si="53"/>
        <v>46316</v>
      </c>
      <c r="FG26" s="109">
        <f t="shared" si="54"/>
        <v>0</v>
      </c>
      <c r="FH26" s="109">
        <f t="shared" si="55"/>
        <v>0</v>
      </c>
      <c r="FI26" s="109"/>
      <c r="FJ26" s="109"/>
      <c r="FK26" s="166"/>
      <c r="FL26" s="166"/>
      <c r="FM26" s="165">
        <f t="shared" si="56"/>
        <v>46347</v>
      </c>
      <c r="FN26" s="109">
        <f t="shared" si="57"/>
        <v>0</v>
      </c>
      <c r="FO26" s="109">
        <f t="shared" si="58"/>
        <v>0</v>
      </c>
      <c r="FP26" s="109"/>
      <c r="FQ26" s="109"/>
      <c r="FR26" s="166"/>
      <c r="FS26" s="166"/>
      <c r="FT26" s="165">
        <f t="shared" si="97"/>
        <v>46377</v>
      </c>
      <c r="FU26" s="109">
        <f t="shared" si="98"/>
        <v>0</v>
      </c>
      <c r="FV26" s="109">
        <f t="shared" si="99"/>
        <v>0</v>
      </c>
      <c r="FW26" s="109"/>
      <c r="FX26" s="109"/>
      <c r="FY26" s="166"/>
      <c r="FZ26" s="166"/>
      <c r="GA26" s="165">
        <f t="shared" si="100"/>
        <v>46408</v>
      </c>
      <c r="GB26" s="109">
        <f t="shared" si="101"/>
        <v>0</v>
      </c>
      <c r="GC26" s="109">
        <f t="shared" si="102"/>
        <v>0</v>
      </c>
      <c r="GD26" s="109"/>
      <c r="GE26" s="109"/>
      <c r="GF26" s="166"/>
      <c r="GG26" s="166"/>
      <c r="GH26" s="165">
        <f t="shared" si="103"/>
        <v>46439</v>
      </c>
      <c r="GI26" s="109">
        <f t="shared" si="104"/>
        <v>0</v>
      </c>
      <c r="GJ26" s="109">
        <f t="shared" si="105"/>
        <v>0</v>
      </c>
      <c r="GK26" s="109"/>
      <c r="GL26" s="109"/>
      <c r="GM26" s="166"/>
      <c r="GN26" s="166"/>
      <c r="GO26" s="165">
        <f>EDATE(GH26,1)</f>
        <v>46467</v>
      </c>
      <c r="GP26" s="109">
        <f>GR26-GQ26</f>
        <v>0</v>
      </c>
      <c r="GQ26" s="109">
        <f>GR26/(1+AM26)*AM26</f>
        <v>0</v>
      </c>
      <c r="GR26" s="109"/>
      <c r="GS26" s="109"/>
      <c r="GT26" s="166"/>
      <c r="GU26" s="166"/>
      <c r="GV26" s="165">
        <f>EDATE(GO26,1)</f>
        <v>46498</v>
      </c>
      <c r="GW26" s="168">
        <f>GY26-GX26</f>
        <v>0</v>
      </c>
      <c r="GX26" s="168">
        <f>GY26/(1+AM26)*AM26</f>
        <v>0</v>
      </c>
      <c r="GY26" s="168"/>
      <c r="GZ26" s="168"/>
      <c r="HA26" s="166"/>
      <c r="HB26" s="166"/>
      <c r="HC26" s="165">
        <f>EDATE(GV26,1)</f>
        <v>46528</v>
      </c>
      <c r="HD26" s="109">
        <f>HF26-HE26</f>
        <v>0</v>
      </c>
      <c r="HE26" s="109">
        <f>HF26/(1+AM26)*AM26</f>
        <v>0</v>
      </c>
      <c r="HF26" s="109"/>
      <c r="HG26" s="109"/>
      <c r="HH26" s="166"/>
      <c r="HI26" s="166"/>
      <c r="HJ26" s="165"/>
      <c r="HK26" s="109">
        <f>HM26-HL26</f>
        <v>0</v>
      </c>
      <c r="HL26" s="109">
        <f>HM26/(1+AM26)*AM26</f>
        <v>0</v>
      </c>
      <c r="HM26" s="109"/>
      <c r="HN26" s="109"/>
      <c r="HO26" s="166"/>
      <c r="HP26" s="166"/>
      <c r="HQ26" s="165"/>
      <c r="HR26" s="109">
        <f>HT26-HS26</f>
        <v>0</v>
      </c>
      <c r="HS26" s="109">
        <f>HT26/(1+AM26)*AM26</f>
        <v>0</v>
      </c>
      <c r="HT26" s="109"/>
      <c r="HU26" s="109"/>
      <c r="HV26" s="166"/>
      <c r="HW26" s="166"/>
      <c r="HX26" s="105">
        <f t="shared" si="86"/>
        <v>0</v>
      </c>
      <c r="HY26" s="105">
        <f t="shared" si="83"/>
        <v>0</v>
      </c>
      <c r="HZ26" s="105">
        <f t="shared" si="83"/>
        <v>0</v>
      </c>
      <c r="IA26" s="105">
        <f t="shared" si="68"/>
        <v>0</v>
      </c>
      <c r="IB26" s="109">
        <f t="shared" si="69"/>
        <v>365800</v>
      </c>
      <c r="IC26" s="109">
        <f t="shared" si="70"/>
        <v>310000</v>
      </c>
      <c r="ID26" s="109">
        <f t="shared" si="71"/>
        <v>0</v>
      </c>
      <c r="IE26" s="109">
        <f t="shared" ca="1" si="72"/>
        <v>53</v>
      </c>
      <c r="IF26" s="139">
        <f t="shared" si="73"/>
        <v>0</v>
      </c>
      <c r="IG26" s="139">
        <f t="shared" ca="1" si="74"/>
        <v>42</v>
      </c>
      <c r="IH26" s="169">
        <f t="shared" ca="1" si="75"/>
        <v>1.4</v>
      </c>
      <c r="II26" s="139">
        <f t="shared" ca="1" si="76"/>
        <v>1.4</v>
      </c>
      <c r="IJ26" s="169">
        <f t="shared" ca="1" si="77"/>
        <v>42</v>
      </c>
      <c r="IK26" s="169">
        <f t="shared" ca="1" si="84"/>
        <v>1.4</v>
      </c>
      <c r="IL26" s="170">
        <f t="shared" ca="1" si="78"/>
        <v>28451.111111111109</v>
      </c>
      <c r="IM26" s="171"/>
      <c r="IN26" s="171"/>
      <c r="IO26" s="171"/>
      <c r="IP26" s="171"/>
    </row>
    <row r="27" spans="1:250" ht="15" customHeight="1" thickBot="1" x14ac:dyDescent="0.35">
      <c r="A27" s="110">
        <f t="shared" si="79"/>
        <v>23</v>
      </c>
      <c r="B27" s="111" t="s">
        <v>170</v>
      </c>
      <c r="C27" s="111" t="s">
        <v>171</v>
      </c>
      <c r="D27" s="111">
        <v>102</v>
      </c>
      <c r="E27" s="111" t="s">
        <v>253</v>
      </c>
      <c r="F27" s="111"/>
      <c r="G27" s="111" t="s">
        <v>410</v>
      </c>
      <c r="H27" s="111">
        <v>1021100137</v>
      </c>
      <c r="I27" s="146" t="str">
        <f t="shared" si="0"/>
        <v>1100137</v>
      </c>
      <c r="J27" s="145" t="str">
        <f t="shared" si="1"/>
        <v>KN1100137</v>
      </c>
      <c r="K27" s="111" t="s">
        <v>411</v>
      </c>
      <c r="L27" s="111" t="s">
        <v>412</v>
      </c>
      <c r="M27" s="111" t="s">
        <v>413</v>
      </c>
      <c r="N27" s="111" t="s">
        <v>138</v>
      </c>
      <c r="O27" s="111"/>
      <c r="P27" s="111" t="s">
        <v>414</v>
      </c>
      <c r="Q27" s="148">
        <v>29704</v>
      </c>
      <c r="R27" s="111" t="s">
        <v>170</v>
      </c>
      <c r="S27" s="111">
        <f t="shared" ca="1" si="85"/>
        <v>44</v>
      </c>
      <c r="T27" s="111" t="s">
        <v>415</v>
      </c>
      <c r="U27" s="111" t="s">
        <v>416</v>
      </c>
      <c r="V27" s="181">
        <v>700258710</v>
      </c>
      <c r="W27" s="111"/>
      <c r="X27" s="111" t="s">
        <v>181</v>
      </c>
      <c r="Y27" s="111">
        <v>11</v>
      </c>
      <c r="Z27" s="111" t="s">
        <v>417</v>
      </c>
      <c r="AA27" s="111" t="s">
        <v>418</v>
      </c>
      <c r="AB27" s="111" t="s">
        <v>419</v>
      </c>
      <c r="AC27" s="111" t="s">
        <v>146</v>
      </c>
      <c r="AD27" s="111" t="s">
        <v>147</v>
      </c>
      <c r="AE27" s="173" t="s">
        <v>136</v>
      </c>
      <c r="AF27" s="173" t="s">
        <v>136</v>
      </c>
      <c r="AG27" s="174">
        <v>45870</v>
      </c>
      <c r="AH27" s="175">
        <v>100000</v>
      </c>
      <c r="AI27" s="111">
        <v>15</v>
      </c>
      <c r="AJ27" s="111">
        <v>0</v>
      </c>
      <c r="AK27" s="150">
        <f t="shared" si="80"/>
        <v>15</v>
      </c>
      <c r="AL27" s="177">
        <v>100000</v>
      </c>
      <c r="AM27" s="176">
        <v>0.18</v>
      </c>
      <c r="AN27" s="177">
        <f t="shared" si="92"/>
        <v>18000</v>
      </c>
      <c r="AO27" s="157">
        <f t="shared" si="96"/>
        <v>118000</v>
      </c>
      <c r="AP27" s="158">
        <f t="shared" si="3"/>
        <v>7866.666666666667</v>
      </c>
      <c r="AQ27" s="111" t="s">
        <v>136</v>
      </c>
      <c r="AR27" s="111" t="s">
        <v>170</v>
      </c>
      <c r="AS27" s="111" t="s">
        <v>416</v>
      </c>
      <c r="AT27" s="111" t="s">
        <v>420</v>
      </c>
      <c r="AU27" s="111" t="s">
        <v>415</v>
      </c>
      <c r="AV27" s="111">
        <v>5</v>
      </c>
      <c r="AW27" s="111" t="s">
        <v>136</v>
      </c>
      <c r="AX27" s="111" t="s">
        <v>136</v>
      </c>
      <c r="AY27" s="111" t="s">
        <v>136</v>
      </c>
      <c r="AZ27" s="111" t="s">
        <v>136</v>
      </c>
      <c r="BA27" s="111" t="s">
        <v>136</v>
      </c>
      <c r="BB27" s="111" t="s">
        <v>136</v>
      </c>
      <c r="BC27" s="111" t="s">
        <v>136</v>
      </c>
      <c r="BD27" s="111" t="s">
        <v>136</v>
      </c>
      <c r="BE27" s="111" t="s">
        <v>136</v>
      </c>
      <c r="BF27" s="111" t="s">
        <v>136</v>
      </c>
      <c r="BG27" s="111" t="s">
        <v>136</v>
      </c>
      <c r="BH27" s="111" t="s">
        <v>136</v>
      </c>
      <c r="BI27" s="111" t="s">
        <v>136</v>
      </c>
      <c r="BJ27" s="111" t="s">
        <v>136</v>
      </c>
      <c r="BK27" s="111" t="s">
        <v>136</v>
      </c>
      <c r="BL27" s="111" t="s">
        <v>136</v>
      </c>
      <c r="BM27" s="111" t="s">
        <v>136</v>
      </c>
      <c r="BN27" s="111" t="s">
        <v>136</v>
      </c>
      <c r="BO27" s="111" t="s">
        <v>136</v>
      </c>
      <c r="BP27" s="111" t="s">
        <v>421</v>
      </c>
      <c r="BQ27" s="111" t="s">
        <v>422</v>
      </c>
      <c r="BR27" s="111" t="s">
        <v>423</v>
      </c>
      <c r="BS27" s="111" t="s">
        <v>424</v>
      </c>
      <c r="BT27" s="182" t="s">
        <v>425</v>
      </c>
      <c r="BU27" s="111" t="s">
        <v>415</v>
      </c>
      <c r="BV27" s="111" t="s">
        <v>416</v>
      </c>
      <c r="BW27" s="111"/>
      <c r="BX27" s="111"/>
      <c r="BY27" s="111"/>
      <c r="BZ27" s="111"/>
      <c r="CA27" s="111"/>
      <c r="CB27" s="111"/>
      <c r="CC27" s="178"/>
      <c r="CD27" s="177">
        <f t="shared" si="4"/>
        <v>100000</v>
      </c>
      <c r="CE27" s="148">
        <v>45923</v>
      </c>
      <c r="CF27" s="111">
        <f t="shared" si="5"/>
        <v>15</v>
      </c>
      <c r="CG27" s="177">
        <f t="shared" si="6"/>
        <v>118000</v>
      </c>
      <c r="CH27" s="203">
        <f t="shared" si="95"/>
        <v>0</v>
      </c>
      <c r="CI27" s="148">
        <v>45923</v>
      </c>
      <c r="CJ27" s="161">
        <f t="shared" si="81"/>
        <v>45953</v>
      </c>
      <c r="CK27" s="162">
        <f t="shared" si="82"/>
        <v>46379</v>
      </c>
      <c r="CL27" s="183"/>
      <c r="CM27" s="164">
        <f t="shared" ca="1" si="8"/>
        <v>46054</v>
      </c>
      <c r="CN27" s="165">
        <f t="shared" si="9"/>
        <v>45953</v>
      </c>
      <c r="CO27" s="109">
        <f t="shared" si="10"/>
        <v>6669.4915254237285</v>
      </c>
      <c r="CP27" s="109">
        <f t="shared" si="11"/>
        <v>1200.5084745762713</v>
      </c>
      <c r="CQ27" s="109">
        <v>7870</v>
      </c>
      <c r="CR27" s="109">
        <f t="shared" si="12"/>
        <v>3.3333333333330302</v>
      </c>
      <c r="CS27" s="166">
        <v>45985</v>
      </c>
      <c r="CT27" s="167">
        <f t="shared" si="13"/>
        <v>32</v>
      </c>
      <c r="CU27" s="165">
        <f t="shared" si="14"/>
        <v>45984</v>
      </c>
      <c r="CV27" s="109">
        <f t="shared" si="15"/>
        <v>6669.4915254237285</v>
      </c>
      <c r="CW27" s="109">
        <f t="shared" si="16"/>
        <v>1200.5084745762713</v>
      </c>
      <c r="CX27" s="109">
        <v>7870</v>
      </c>
      <c r="CY27" s="109">
        <f t="shared" si="17"/>
        <v>3.3333333333330302</v>
      </c>
      <c r="CZ27" s="166">
        <v>46019</v>
      </c>
      <c r="DA27" s="167">
        <f t="shared" si="18"/>
        <v>35</v>
      </c>
      <c r="DB27" s="165">
        <f t="shared" si="19"/>
        <v>46014</v>
      </c>
      <c r="DC27" s="109">
        <f t="shared" si="20"/>
        <v>0</v>
      </c>
      <c r="DD27" s="109">
        <f t="shared" si="21"/>
        <v>0</v>
      </c>
      <c r="DE27" s="109"/>
      <c r="DF27" s="109">
        <f t="shared" si="22"/>
        <v>0</v>
      </c>
      <c r="DG27" s="166">
        <f ca="1">TODAY()</f>
        <v>46054</v>
      </c>
      <c r="DH27" s="167">
        <f t="shared" ca="1" si="23"/>
        <v>40</v>
      </c>
      <c r="DI27" s="165">
        <f t="shared" si="24"/>
        <v>46045</v>
      </c>
      <c r="DJ27" s="109">
        <f t="shared" si="25"/>
        <v>0</v>
      </c>
      <c r="DK27" s="109">
        <f t="shared" si="26"/>
        <v>0</v>
      </c>
      <c r="DL27" s="109">
        <v>0</v>
      </c>
      <c r="DM27" s="109">
        <f t="shared" si="27"/>
        <v>0</v>
      </c>
      <c r="DN27" s="166">
        <f t="shared" ca="1" si="87"/>
        <v>46054</v>
      </c>
      <c r="DO27" s="167">
        <f t="shared" ca="1" si="28"/>
        <v>9</v>
      </c>
      <c r="DP27" s="165">
        <f t="shared" si="93"/>
        <v>46076</v>
      </c>
      <c r="DQ27" s="109">
        <f t="shared" si="29"/>
        <v>0</v>
      </c>
      <c r="DR27" s="109">
        <f t="shared" si="94"/>
        <v>0</v>
      </c>
      <c r="DS27" s="109"/>
      <c r="DT27" s="109">
        <f t="shared" si="30"/>
        <v>0</v>
      </c>
      <c r="DU27" s="166">
        <f t="shared" ca="1" si="88"/>
        <v>46054</v>
      </c>
      <c r="DV27" s="167">
        <f t="shared" ca="1" si="31"/>
        <v>0</v>
      </c>
      <c r="DW27" s="165">
        <f t="shared" si="32"/>
        <v>46104</v>
      </c>
      <c r="DX27" s="109">
        <f t="shared" si="33"/>
        <v>0</v>
      </c>
      <c r="DY27" s="109">
        <f t="shared" si="34"/>
        <v>0</v>
      </c>
      <c r="DZ27" s="109"/>
      <c r="EA27" s="109">
        <f t="shared" si="35"/>
        <v>0</v>
      </c>
      <c r="EB27" s="166">
        <f t="shared" ca="1" si="89"/>
        <v>46054</v>
      </c>
      <c r="EC27" s="167">
        <f t="shared" ca="1" si="36"/>
        <v>0</v>
      </c>
      <c r="ED27" s="165">
        <f t="shared" si="37"/>
        <v>46135</v>
      </c>
      <c r="EE27" s="109">
        <f t="shared" si="38"/>
        <v>0</v>
      </c>
      <c r="EF27" s="109">
        <f t="shared" si="39"/>
        <v>0</v>
      </c>
      <c r="EG27" s="109"/>
      <c r="EH27" s="109">
        <f t="shared" si="40"/>
        <v>0</v>
      </c>
      <c r="EI27" s="166">
        <f t="shared" ca="1" si="90"/>
        <v>46054</v>
      </c>
      <c r="EJ27" s="167">
        <f t="shared" ca="1" si="41"/>
        <v>0</v>
      </c>
      <c r="EK27" s="165">
        <f t="shared" si="42"/>
        <v>46165</v>
      </c>
      <c r="EL27" s="109">
        <f t="shared" si="43"/>
        <v>0</v>
      </c>
      <c r="EM27" s="109">
        <f t="shared" si="44"/>
        <v>0</v>
      </c>
      <c r="EN27" s="109"/>
      <c r="EO27" s="109">
        <f t="shared" si="45"/>
        <v>0</v>
      </c>
      <c r="EP27" s="166">
        <f t="shared" ca="1" si="91"/>
        <v>46054</v>
      </c>
      <c r="EQ27" s="167">
        <f t="shared" ca="1" si="46"/>
        <v>0</v>
      </c>
      <c r="ER27" s="165">
        <f t="shared" si="47"/>
        <v>46196</v>
      </c>
      <c r="ES27" s="109">
        <f t="shared" si="48"/>
        <v>0</v>
      </c>
      <c r="ET27" s="109">
        <f t="shared" si="49"/>
        <v>0</v>
      </c>
      <c r="EU27" s="109"/>
      <c r="EV27" s="109"/>
      <c r="EW27" s="166"/>
      <c r="EX27" s="166"/>
      <c r="EY27" s="165">
        <f t="shared" si="50"/>
        <v>46226</v>
      </c>
      <c r="EZ27" s="109">
        <f t="shared" si="51"/>
        <v>0</v>
      </c>
      <c r="FA27" s="109">
        <f t="shared" si="52"/>
        <v>0</v>
      </c>
      <c r="FB27" s="109"/>
      <c r="FC27" s="109"/>
      <c r="FD27" s="166"/>
      <c r="FE27" s="166"/>
      <c r="FF27" s="165">
        <f t="shared" si="53"/>
        <v>46257</v>
      </c>
      <c r="FG27" s="109">
        <f t="shared" si="54"/>
        <v>0</v>
      </c>
      <c r="FH27" s="109">
        <f t="shared" si="55"/>
        <v>0</v>
      </c>
      <c r="FI27" s="109"/>
      <c r="FJ27" s="109"/>
      <c r="FK27" s="166"/>
      <c r="FL27" s="166"/>
      <c r="FM27" s="165">
        <f t="shared" si="56"/>
        <v>46288</v>
      </c>
      <c r="FN27" s="109">
        <f t="shared" si="57"/>
        <v>0</v>
      </c>
      <c r="FO27" s="109">
        <f t="shared" si="58"/>
        <v>0</v>
      </c>
      <c r="FP27" s="109"/>
      <c r="FQ27" s="109"/>
      <c r="FR27" s="166"/>
      <c r="FS27" s="166"/>
      <c r="FT27" s="165">
        <f t="shared" si="97"/>
        <v>46318</v>
      </c>
      <c r="FU27" s="109">
        <f t="shared" si="98"/>
        <v>0</v>
      </c>
      <c r="FV27" s="109">
        <f t="shared" si="99"/>
        <v>0</v>
      </c>
      <c r="FW27" s="109"/>
      <c r="FX27" s="109"/>
      <c r="FY27" s="166"/>
      <c r="FZ27" s="166"/>
      <c r="GA27" s="165">
        <f t="shared" si="100"/>
        <v>46349</v>
      </c>
      <c r="GB27" s="109">
        <f t="shared" si="101"/>
        <v>0</v>
      </c>
      <c r="GC27" s="109">
        <f t="shared" si="102"/>
        <v>0</v>
      </c>
      <c r="GD27" s="109"/>
      <c r="GE27" s="109"/>
      <c r="GF27" s="166"/>
      <c r="GG27" s="166"/>
      <c r="GH27" s="165">
        <f t="shared" si="103"/>
        <v>46379</v>
      </c>
      <c r="GI27" s="109">
        <f t="shared" si="104"/>
        <v>0</v>
      </c>
      <c r="GJ27" s="109">
        <f t="shared" si="105"/>
        <v>0</v>
      </c>
      <c r="GK27" s="109"/>
      <c r="GL27" s="109"/>
      <c r="GM27" s="166"/>
      <c r="GN27" s="166"/>
      <c r="GO27" s="165"/>
      <c r="GP27" s="109"/>
      <c r="GQ27" s="109"/>
      <c r="GR27" s="109"/>
      <c r="GS27" s="109"/>
      <c r="GT27" s="166"/>
      <c r="GU27" s="166"/>
      <c r="GV27" s="165"/>
      <c r="GW27" s="168"/>
      <c r="GX27" s="168"/>
      <c r="GY27" s="168"/>
      <c r="GZ27" s="168"/>
      <c r="HA27" s="166"/>
      <c r="HB27" s="166"/>
      <c r="HC27" s="165"/>
      <c r="HD27" s="109"/>
      <c r="HE27" s="109"/>
      <c r="HF27" s="109"/>
      <c r="HG27" s="109"/>
      <c r="HH27" s="166"/>
      <c r="HI27" s="166"/>
      <c r="HJ27" s="165"/>
      <c r="HK27" s="109"/>
      <c r="HL27" s="109"/>
      <c r="HM27" s="109"/>
      <c r="HN27" s="109"/>
      <c r="HO27" s="166"/>
      <c r="HP27" s="166"/>
      <c r="HQ27" s="165"/>
      <c r="HR27" s="109"/>
      <c r="HS27" s="109"/>
      <c r="HT27" s="109"/>
      <c r="HU27" s="109"/>
      <c r="HV27" s="166"/>
      <c r="HW27" s="166"/>
      <c r="HX27" s="105">
        <f t="shared" si="86"/>
        <v>13338.983050847457</v>
      </c>
      <c r="HY27" s="105">
        <f t="shared" si="83"/>
        <v>2401.0169491525426</v>
      </c>
      <c r="HZ27" s="105">
        <f t="shared" si="83"/>
        <v>15740</v>
      </c>
      <c r="IA27" s="105">
        <f t="shared" si="68"/>
        <v>0</v>
      </c>
      <c r="IB27" s="109">
        <f t="shared" si="69"/>
        <v>102260</v>
      </c>
      <c r="IC27" s="109">
        <f t="shared" si="70"/>
        <v>86661.016949152545</v>
      </c>
      <c r="ID27" s="109">
        <f t="shared" si="71"/>
        <v>0</v>
      </c>
      <c r="IE27" s="109">
        <f t="shared" ca="1" si="72"/>
        <v>116</v>
      </c>
      <c r="IF27" s="139">
        <f t="shared" si="73"/>
        <v>2.0008474576271187</v>
      </c>
      <c r="IG27" s="139">
        <f t="shared" ca="1" si="74"/>
        <v>101</v>
      </c>
      <c r="IH27" s="169">
        <f t="shared" ca="1" si="75"/>
        <v>3.3666666666666667</v>
      </c>
      <c r="II27" s="139">
        <f t="shared" ca="1" si="76"/>
        <v>1.365819209039548</v>
      </c>
      <c r="IJ27" s="169">
        <f t="shared" ca="1" si="77"/>
        <v>40.974576271186443</v>
      </c>
      <c r="IK27" s="169">
        <f t="shared" ca="1" si="84"/>
        <v>1.365819209039548</v>
      </c>
      <c r="IL27" s="170">
        <f t="shared" ca="1" si="78"/>
        <v>10744.444444444445</v>
      </c>
      <c r="IM27" s="171"/>
      <c r="IN27" s="171"/>
      <c r="IO27" s="171"/>
      <c r="IP27" s="171"/>
    </row>
    <row r="28" spans="1:250" ht="15" customHeight="1" thickBot="1" x14ac:dyDescent="0.35">
      <c r="A28" s="110">
        <f t="shared" si="79"/>
        <v>24</v>
      </c>
      <c r="B28" s="111" t="s">
        <v>170</v>
      </c>
      <c r="C28" s="111" t="s">
        <v>171</v>
      </c>
      <c r="D28" s="111">
        <v>102</v>
      </c>
      <c r="E28" s="111" t="s">
        <v>253</v>
      </c>
      <c r="F28" s="111"/>
      <c r="G28" s="111" t="s">
        <v>426</v>
      </c>
      <c r="H28" s="111">
        <v>1021100138</v>
      </c>
      <c r="I28" s="146" t="str">
        <f t="shared" si="0"/>
        <v>1100138</v>
      </c>
      <c r="J28" s="145" t="str">
        <f t="shared" si="1"/>
        <v>KN1100138</v>
      </c>
      <c r="K28" s="111" t="s">
        <v>427</v>
      </c>
      <c r="L28" s="111" t="s">
        <v>428</v>
      </c>
      <c r="M28" s="111" t="s">
        <v>429</v>
      </c>
      <c r="N28" s="111" t="s">
        <v>138</v>
      </c>
      <c r="O28" s="111"/>
      <c r="P28" s="111" t="s">
        <v>430</v>
      </c>
      <c r="Q28" s="148">
        <v>29653</v>
      </c>
      <c r="R28" s="111" t="s">
        <v>170</v>
      </c>
      <c r="S28" s="111">
        <f t="shared" ca="1" si="85"/>
        <v>44</v>
      </c>
      <c r="T28" s="111" t="s">
        <v>364</v>
      </c>
      <c r="U28" s="111" t="s">
        <v>365</v>
      </c>
      <c r="V28" s="181">
        <v>700630057</v>
      </c>
      <c r="W28" s="111"/>
      <c r="X28" s="111" t="s">
        <v>181</v>
      </c>
      <c r="Y28" s="111">
        <v>11</v>
      </c>
      <c r="Z28" s="111" t="s">
        <v>431</v>
      </c>
      <c r="AA28" s="111" t="s">
        <v>431</v>
      </c>
      <c r="AB28" s="111" t="s">
        <v>432</v>
      </c>
      <c r="AC28" s="111" t="s">
        <v>146</v>
      </c>
      <c r="AD28" s="111" t="s">
        <v>147</v>
      </c>
      <c r="AE28" s="173" t="s">
        <v>136</v>
      </c>
      <c r="AF28" s="173" t="s">
        <v>136</v>
      </c>
      <c r="AG28" s="174">
        <v>45885</v>
      </c>
      <c r="AH28" s="175">
        <v>50000</v>
      </c>
      <c r="AI28" s="111">
        <v>15</v>
      </c>
      <c r="AJ28" s="111">
        <v>0</v>
      </c>
      <c r="AK28" s="150">
        <f t="shared" si="80"/>
        <v>15</v>
      </c>
      <c r="AL28" s="177">
        <v>50000</v>
      </c>
      <c r="AM28" s="176">
        <v>0.18</v>
      </c>
      <c r="AN28" s="177">
        <f t="shared" si="92"/>
        <v>9000</v>
      </c>
      <c r="AO28" s="157">
        <f t="shared" si="96"/>
        <v>59000</v>
      </c>
      <c r="AP28" s="158">
        <f t="shared" si="3"/>
        <v>3933.3333333333335</v>
      </c>
      <c r="AQ28" s="111" t="s">
        <v>433</v>
      </c>
      <c r="AR28" s="184" t="s">
        <v>170</v>
      </c>
      <c r="AS28" s="111" t="s">
        <v>365</v>
      </c>
      <c r="AT28" s="111" t="s">
        <v>366</v>
      </c>
      <c r="AU28" s="111" t="s">
        <v>364</v>
      </c>
      <c r="AV28" s="111">
        <v>5</v>
      </c>
      <c r="AW28" s="111" t="s">
        <v>136</v>
      </c>
      <c r="AX28" s="111" t="s">
        <v>136</v>
      </c>
      <c r="AY28" s="111" t="s">
        <v>203</v>
      </c>
      <c r="AZ28" s="111" t="s">
        <v>434</v>
      </c>
      <c r="BA28" s="111" t="s">
        <v>435</v>
      </c>
      <c r="BB28" s="174">
        <v>45737</v>
      </c>
      <c r="BC28" s="174">
        <v>46101</v>
      </c>
      <c r="BD28" s="111" t="s">
        <v>136</v>
      </c>
      <c r="BE28" s="111" t="s">
        <v>136</v>
      </c>
      <c r="BF28" s="111" t="s">
        <v>136</v>
      </c>
      <c r="BG28" s="111" t="s">
        <v>136</v>
      </c>
      <c r="BH28" s="111" t="s">
        <v>136</v>
      </c>
      <c r="BI28" s="111" t="s">
        <v>136</v>
      </c>
      <c r="BJ28" s="111" t="s">
        <v>136</v>
      </c>
      <c r="BK28" s="111" t="s">
        <v>136</v>
      </c>
      <c r="BL28" s="111" t="s">
        <v>136</v>
      </c>
      <c r="BM28" s="111" t="s">
        <v>136</v>
      </c>
      <c r="BN28" s="111" t="s">
        <v>136</v>
      </c>
      <c r="BO28" s="111" t="s">
        <v>136</v>
      </c>
      <c r="BP28" s="111" t="s">
        <v>239</v>
      </c>
      <c r="BQ28" s="111" t="s">
        <v>436</v>
      </c>
      <c r="BR28" s="111" t="s">
        <v>437</v>
      </c>
      <c r="BS28" s="111" t="s">
        <v>438</v>
      </c>
      <c r="BT28" s="182" t="s">
        <v>439</v>
      </c>
      <c r="BU28" s="111" t="s">
        <v>364</v>
      </c>
      <c r="BV28" s="111" t="s">
        <v>440</v>
      </c>
      <c r="BW28" s="111"/>
      <c r="BX28" s="111"/>
      <c r="BY28" s="111"/>
      <c r="BZ28" s="111"/>
      <c r="CA28" s="111"/>
      <c r="CB28" s="111"/>
      <c r="CC28" s="178"/>
      <c r="CD28" s="177">
        <f t="shared" si="4"/>
        <v>50000</v>
      </c>
      <c r="CE28" s="148">
        <v>45923</v>
      </c>
      <c r="CF28" s="111">
        <f t="shared" si="5"/>
        <v>15</v>
      </c>
      <c r="CG28" s="177">
        <f t="shared" si="6"/>
        <v>59000</v>
      </c>
      <c r="CH28" s="203">
        <f t="shared" si="95"/>
        <v>0</v>
      </c>
      <c r="CI28" s="148">
        <v>45923</v>
      </c>
      <c r="CJ28" s="161">
        <f t="shared" si="81"/>
        <v>45953</v>
      </c>
      <c r="CK28" s="162">
        <f t="shared" si="82"/>
        <v>46379</v>
      </c>
      <c r="CL28" s="183"/>
      <c r="CM28" s="164">
        <f t="shared" ca="1" si="8"/>
        <v>46054</v>
      </c>
      <c r="CN28" s="165">
        <f t="shared" si="9"/>
        <v>45953</v>
      </c>
      <c r="CO28" s="109">
        <f t="shared" si="10"/>
        <v>3334.7457627118642</v>
      </c>
      <c r="CP28" s="109">
        <f t="shared" si="11"/>
        <v>600.25423728813564</v>
      </c>
      <c r="CQ28" s="109">
        <v>3935</v>
      </c>
      <c r="CR28" s="109">
        <f t="shared" si="12"/>
        <v>1.6666666666665151</v>
      </c>
      <c r="CS28" s="166">
        <v>45983</v>
      </c>
      <c r="CT28" s="167">
        <f t="shared" si="13"/>
        <v>30</v>
      </c>
      <c r="CU28" s="165">
        <f t="shared" si="14"/>
        <v>45984</v>
      </c>
      <c r="CV28" s="109">
        <f t="shared" si="15"/>
        <v>3338.9830508474574</v>
      </c>
      <c r="CW28" s="109">
        <f t="shared" si="16"/>
        <v>601.01694915254245</v>
      </c>
      <c r="CX28" s="109">
        <v>3940</v>
      </c>
      <c r="CY28" s="109">
        <f t="shared" si="17"/>
        <v>6.6666666666665151</v>
      </c>
      <c r="CZ28" s="166">
        <v>46015</v>
      </c>
      <c r="DA28" s="167">
        <f t="shared" si="18"/>
        <v>31</v>
      </c>
      <c r="DB28" s="165">
        <f t="shared" si="19"/>
        <v>46014</v>
      </c>
      <c r="DC28" s="109">
        <f t="shared" si="20"/>
        <v>0</v>
      </c>
      <c r="DD28" s="109">
        <f t="shared" si="21"/>
        <v>0</v>
      </c>
      <c r="DE28" s="109"/>
      <c r="DF28" s="109">
        <f t="shared" si="22"/>
        <v>0</v>
      </c>
      <c r="DG28" s="166">
        <f ca="1">TODAY()</f>
        <v>46054</v>
      </c>
      <c r="DH28" s="167">
        <f t="shared" ca="1" si="23"/>
        <v>40</v>
      </c>
      <c r="DI28" s="165">
        <f t="shared" si="24"/>
        <v>46045</v>
      </c>
      <c r="DJ28" s="109">
        <f t="shared" si="25"/>
        <v>0</v>
      </c>
      <c r="DK28" s="109">
        <f t="shared" si="26"/>
        <v>0</v>
      </c>
      <c r="DL28" s="109">
        <v>0</v>
      </c>
      <c r="DM28" s="109">
        <f t="shared" si="27"/>
        <v>0</v>
      </c>
      <c r="DN28" s="166">
        <f t="shared" ca="1" si="87"/>
        <v>46054</v>
      </c>
      <c r="DO28" s="167">
        <f t="shared" ca="1" si="28"/>
        <v>9</v>
      </c>
      <c r="DP28" s="165">
        <f t="shared" si="93"/>
        <v>46076</v>
      </c>
      <c r="DQ28" s="109">
        <f t="shared" si="29"/>
        <v>0</v>
      </c>
      <c r="DR28" s="109">
        <f t="shared" si="94"/>
        <v>0</v>
      </c>
      <c r="DS28" s="109"/>
      <c r="DT28" s="109">
        <f t="shared" si="30"/>
        <v>0</v>
      </c>
      <c r="DU28" s="166">
        <f t="shared" ca="1" si="88"/>
        <v>46054</v>
      </c>
      <c r="DV28" s="167">
        <f t="shared" ca="1" si="31"/>
        <v>0</v>
      </c>
      <c r="DW28" s="165">
        <f t="shared" si="32"/>
        <v>46104</v>
      </c>
      <c r="DX28" s="109">
        <f t="shared" si="33"/>
        <v>0</v>
      </c>
      <c r="DY28" s="109">
        <f t="shared" si="34"/>
        <v>0</v>
      </c>
      <c r="DZ28" s="109"/>
      <c r="EA28" s="109">
        <f t="shared" si="35"/>
        <v>0</v>
      </c>
      <c r="EB28" s="166">
        <f t="shared" ca="1" si="89"/>
        <v>46054</v>
      </c>
      <c r="EC28" s="167">
        <f t="shared" ca="1" si="36"/>
        <v>0</v>
      </c>
      <c r="ED28" s="165">
        <f t="shared" si="37"/>
        <v>46135</v>
      </c>
      <c r="EE28" s="109">
        <f t="shared" si="38"/>
        <v>0</v>
      </c>
      <c r="EF28" s="109">
        <f t="shared" si="39"/>
        <v>0</v>
      </c>
      <c r="EG28" s="109"/>
      <c r="EH28" s="109">
        <f t="shared" si="40"/>
        <v>0</v>
      </c>
      <c r="EI28" s="166">
        <f t="shared" ca="1" si="90"/>
        <v>46054</v>
      </c>
      <c r="EJ28" s="167">
        <f t="shared" ca="1" si="41"/>
        <v>0</v>
      </c>
      <c r="EK28" s="165">
        <f t="shared" si="42"/>
        <v>46165</v>
      </c>
      <c r="EL28" s="109">
        <f t="shared" si="43"/>
        <v>0</v>
      </c>
      <c r="EM28" s="109">
        <f t="shared" si="44"/>
        <v>0</v>
      </c>
      <c r="EN28" s="109"/>
      <c r="EO28" s="109">
        <f t="shared" si="45"/>
        <v>0</v>
      </c>
      <c r="EP28" s="166">
        <f t="shared" ca="1" si="91"/>
        <v>46054</v>
      </c>
      <c r="EQ28" s="167">
        <f t="shared" ca="1" si="46"/>
        <v>0</v>
      </c>
      <c r="ER28" s="165">
        <f t="shared" si="47"/>
        <v>46196</v>
      </c>
      <c r="ES28" s="109">
        <f t="shared" si="48"/>
        <v>0</v>
      </c>
      <c r="ET28" s="109">
        <f t="shared" si="49"/>
        <v>0</v>
      </c>
      <c r="EU28" s="109"/>
      <c r="EV28" s="109"/>
      <c r="EW28" s="166"/>
      <c r="EX28" s="166"/>
      <c r="EY28" s="165">
        <f t="shared" si="50"/>
        <v>46226</v>
      </c>
      <c r="EZ28" s="109">
        <f t="shared" si="51"/>
        <v>0</v>
      </c>
      <c r="FA28" s="109">
        <f t="shared" si="52"/>
        <v>0</v>
      </c>
      <c r="FB28" s="109"/>
      <c r="FC28" s="109"/>
      <c r="FD28" s="166"/>
      <c r="FE28" s="166"/>
      <c r="FF28" s="165">
        <f t="shared" si="53"/>
        <v>46257</v>
      </c>
      <c r="FG28" s="109">
        <f t="shared" si="54"/>
        <v>0</v>
      </c>
      <c r="FH28" s="109">
        <f t="shared" si="55"/>
        <v>0</v>
      </c>
      <c r="FI28" s="109"/>
      <c r="FJ28" s="109"/>
      <c r="FK28" s="166"/>
      <c r="FL28" s="166"/>
      <c r="FM28" s="165">
        <f t="shared" si="56"/>
        <v>46288</v>
      </c>
      <c r="FN28" s="109">
        <f t="shared" si="57"/>
        <v>0</v>
      </c>
      <c r="FO28" s="109">
        <f t="shared" si="58"/>
        <v>0</v>
      </c>
      <c r="FP28" s="109"/>
      <c r="FQ28" s="109"/>
      <c r="FR28" s="166"/>
      <c r="FS28" s="166"/>
      <c r="FT28" s="165">
        <f t="shared" si="97"/>
        <v>46318</v>
      </c>
      <c r="FU28" s="109">
        <f t="shared" si="98"/>
        <v>0</v>
      </c>
      <c r="FV28" s="109">
        <f t="shared" si="99"/>
        <v>0</v>
      </c>
      <c r="FW28" s="109"/>
      <c r="FX28" s="109"/>
      <c r="FY28" s="166"/>
      <c r="FZ28" s="166"/>
      <c r="GA28" s="165">
        <f t="shared" si="100"/>
        <v>46349</v>
      </c>
      <c r="GB28" s="109">
        <f t="shared" si="101"/>
        <v>0</v>
      </c>
      <c r="GC28" s="109">
        <f t="shared" si="102"/>
        <v>0</v>
      </c>
      <c r="GD28" s="109"/>
      <c r="GE28" s="109"/>
      <c r="GF28" s="166"/>
      <c r="GG28" s="166"/>
      <c r="GH28" s="165">
        <f t="shared" si="103"/>
        <v>46379</v>
      </c>
      <c r="GI28" s="109">
        <f t="shared" si="104"/>
        <v>0</v>
      </c>
      <c r="GJ28" s="109">
        <f t="shared" si="105"/>
        <v>0</v>
      </c>
      <c r="GK28" s="109"/>
      <c r="GL28" s="109"/>
      <c r="GM28" s="166"/>
      <c r="GN28" s="166"/>
      <c r="GO28" s="165"/>
      <c r="GP28" s="109"/>
      <c r="GQ28" s="109"/>
      <c r="GR28" s="109"/>
      <c r="GS28" s="109"/>
      <c r="GT28" s="166"/>
      <c r="GU28" s="166"/>
      <c r="GV28" s="165"/>
      <c r="GW28" s="168"/>
      <c r="GX28" s="168"/>
      <c r="GY28" s="168"/>
      <c r="GZ28" s="168"/>
      <c r="HA28" s="166"/>
      <c r="HB28" s="166"/>
      <c r="HC28" s="165"/>
      <c r="HD28" s="109"/>
      <c r="HE28" s="109"/>
      <c r="HF28" s="109"/>
      <c r="HG28" s="109"/>
      <c r="HH28" s="166"/>
      <c r="HI28" s="166"/>
      <c r="HJ28" s="165"/>
      <c r="HK28" s="109"/>
      <c r="HL28" s="109"/>
      <c r="HM28" s="109"/>
      <c r="HN28" s="109"/>
      <c r="HO28" s="166"/>
      <c r="HP28" s="166"/>
      <c r="HQ28" s="165"/>
      <c r="HR28" s="109"/>
      <c r="HS28" s="109"/>
      <c r="HT28" s="109"/>
      <c r="HU28" s="109"/>
      <c r="HV28" s="166"/>
      <c r="HW28" s="166"/>
      <c r="HX28" s="105">
        <f t="shared" si="86"/>
        <v>6673.7288135593217</v>
      </c>
      <c r="HY28" s="105">
        <f t="shared" si="83"/>
        <v>1201.2711864406781</v>
      </c>
      <c r="HZ28" s="105">
        <f t="shared" si="83"/>
        <v>7875</v>
      </c>
      <c r="IA28" s="105">
        <f t="shared" si="68"/>
        <v>0</v>
      </c>
      <c r="IB28" s="109">
        <f t="shared" si="69"/>
        <v>51125</v>
      </c>
      <c r="IC28" s="109">
        <f t="shared" si="70"/>
        <v>43326.271186440681</v>
      </c>
      <c r="ID28" s="109">
        <f t="shared" si="71"/>
        <v>0</v>
      </c>
      <c r="IE28" s="109">
        <f t="shared" ca="1" si="72"/>
        <v>110</v>
      </c>
      <c r="IF28" s="139">
        <f t="shared" si="73"/>
        <v>2.0021186440677967</v>
      </c>
      <c r="IG28" s="139">
        <f t="shared" ca="1" si="74"/>
        <v>101</v>
      </c>
      <c r="IH28" s="169">
        <f t="shared" ca="1" si="75"/>
        <v>3.3666666666666667</v>
      </c>
      <c r="II28" s="139">
        <f t="shared" ca="1" si="76"/>
        <v>1.36454802259887</v>
      </c>
      <c r="IJ28" s="169">
        <f t="shared" ca="1" si="77"/>
        <v>40.936440677966097</v>
      </c>
      <c r="IK28" s="169">
        <f t="shared" ca="1" si="84"/>
        <v>1.36454802259887</v>
      </c>
      <c r="IL28" s="170">
        <f t="shared" ca="1" si="78"/>
        <v>5367.2222222222217</v>
      </c>
      <c r="IM28" s="171"/>
      <c r="IN28" s="171"/>
      <c r="IO28" s="171"/>
      <c r="IP28" s="171"/>
    </row>
    <row r="29" spans="1:250" ht="15" customHeight="1" thickBot="1" x14ac:dyDescent="0.35">
      <c r="A29" s="110">
        <f t="shared" si="79"/>
        <v>25</v>
      </c>
      <c r="B29" s="111" t="s">
        <v>170</v>
      </c>
      <c r="C29" s="111" t="s">
        <v>171</v>
      </c>
      <c r="D29" s="111">
        <v>102</v>
      </c>
      <c r="E29" s="111" t="s">
        <v>253</v>
      </c>
      <c r="F29" s="111"/>
      <c r="G29" s="111" t="s">
        <v>441</v>
      </c>
      <c r="H29" s="111">
        <v>1021100139</v>
      </c>
      <c r="I29" s="146" t="str">
        <f t="shared" si="0"/>
        <v>1100139</v>
      </c>
      <c r="J29" s="145" t="str">
        <f t="shared" si="1"/>
        <v>KN1100139</v>
      </c>
      <c r="K29" s="111" t="s">
        <v>442</v>
      </c>
      <c r="L29" s="111" t="s">
        <v>361</v>
      </c>
      <c r="M29" s="111" t="s">
        <v>443</v>
      </c>
      <c r="N29" s="111" t="s">
        <v>138</v>
      </c>
      <c r="O29" s="111"/>
      <c r="P29" s="111" t="s">
        <v>444</v>
      </c>
      <c r="Q29" s="148">
        <v>38016</v>
      </c>
      <c r="R29" s="111" t="s">
        <v>170</v>
      </c>
      <c r="S29" s="111">
        <f t="shared" ca="1" si="85"/>
        <v>22</v>
      </c>
      <c r="T29" s="111" t="s">
        <v>445</v>
      </c>
      <c r="U29" s="111" t="s">
        <v>217</v>
      </c>
      <c r="V29" s="181">
        <v>767311101</v>
      </c>
      <c r="W29" s="111"/>
      <c r="X29" s="111" t="s">
        <v>181</v>
      </c>
      <c r="Y29" s="111">
        <v>11</v>
      </c>
      <c r="Z29" s="111" t="s">
        <v>235</v>
      </c>
      <c r="AA29" s="111" t="s">
        <v>235</v>
      </c>
      <c r="AB29" s="111" t="s">
        <v>236</v>
      </c>
      <c r="AC29" s="111" t="s">
        <v>146</v>
      </c>
      <c r="AD29" s="111" t="s">
        <v>147</v>
      </c>
      <c r="AE29" s="173" t="s">
        <v>136</v>
      </c>
      <c r="AF29" s="173" t="s">
        <v>136</v>
      </c>
      <c r="AG29" s="174">
        <v>45879</v>
      </c>
      <c r="AH29" s="175">
        <v>100000</v>
      </c>
      <c r="AI29" s="111">
        <v>15</v>
      </c>
      <c r="AJ29" s="111">
        <v>0</v>
      </c>
      <c r="AK29" s="150">
        <f t="shared" si="80"/>
        <v>15</v>
      </c>
      <c r="AL29" s="177">
        <v>100030</v>
      </c>
      <c r="AM29" s="176">
        <v>0.18</v>
      </c>
      <c r="AN29" s="177">
        <f t="shared" si="92"/>
        <v>18005.399999999998</v>
      </c>
      <c r="AO29" s="157">
        <f t="shared" si="96"/>
        <v>118035.4</v>
      </c>
      <c r="AP29" s="158">
        <f t="shared" si="3"/>
        <v>7869.0266666666666</v>
      </c>
      <c r="AQ29" s="111" t="s">
        <v>136</v>
      </c>
      <c r="AR29" s="111" t="s">
        <v>170</v>
      </c>
      <c r="AS29" s="111" t="s">
        <v>217</v>
      </c>
      <c r="AT29" s="111" t="s">
        <v>446</v>
      </c>
      <c r="AU29" s="111" t="s">
        <v>445</v>
      </c>
      <c r="AV29" s="111">
        <v>3</v>
      </c>
      <c r="AW29" s="111" t="s">
        <v>136</v>
      </c>
      <c r="AX29" s="111" t="s">
        <v>136</v>
      </c>
      <c r="AY29" s="111" t="s">
        <v>136</v>
      </c>
      <c r="AZ29" s="111" t="s">
        <v>136</v>
      </c>
      <c r="BA29" s="111" t="s">
        <v>136</v>
      </c>
      <c r="BB29" s="111" t="s">
        <v>136</v>
      </c>
      <c r="BC29" s="111" t="s">
        <v>136</v>
      </c>
      <c r="BD29" s="111" t="s">
        <v>136</v>
      </c>
      <c r="BE29" s="111" t="s">
        <v>136</v>
      </c>
      <c r="BF29" s="111" t="s">
        <v>136</v>
      </c>
      <c r="BG29" s="111" t="s">
        <v>136</v>
      </c>
      <c r="BH29" s="111" t="s">
        <v>136</v>
      </c>
      <c r="BI29" s="111" t="s">
        <v>136</v>
      </c>
      <c r="BJ29" s="111" t="s">
        <v>136</v>
      </c>
      <c r="BK29" s="111" t="s">
        <v>136</v>
      </c>
      <c r="BL29" s="111" t="s">
        <v>136</v>
      </c>
      <c r="BM29" s="111" t="s">
        <v>136</v>
      </c>
      <c r="BN29" s="111" t="s">
        <v>136</v>
      </c>
      <c r="BO29" s="111" t="s">
        <v>136</v>
      </c>
      <c r="BP29" s="111" t="s">
        <v>447</v>
      </c>
      <c r="BQ29" s="111" t="s">
        <v>361</v>
      </c>
      <c r="BR29" s="111" t="s">
        <v>448</v>
      </c>
      <c r="BS29" s="111" t="s">
        <v>449</v>
      </c>
      <c r="BT29" s="182" t="s">
        <v>450</v>
      </c>
      <c r="BU29" s="111" t="s">
        <v>445</v>
      </c>
      <c r="BV29" s="111" t="s">
        <v>217</v>
      </c>
      <c r="BW29" s="111"/>
      <c r="BX29" s="111"/>
      <c r="BY29" s="111"/>
      <c r="BZ29" s="111"/>
      <c r="CA29" s="111"/>
      <c r="CB29" s="111"/>
      <c r="CC29" s="178"/>
      <c r="CD29" s="177">
        <f t="shared" si="4"/>
        <v>100030</v>
      </c>
      <c r="CE29" s="148">
        <v>45923</v>
      </c>
      <c r="CF29" s="111">
        <f t="shared" si="5"/>
        <v>15</v>
      </c>
      <c r="CG29" s="177">
        <f t="shared" si="6"/>
        <v>118035.4</v>
      </c>
      <c r="CH29" s="203">
        <f t="shared" si="95"/>
        <v>0</v>
      </c>
      <c r="CI29" s="148">
        <v>45923</v>
      </c>
      <c r="CJ29" s="161">
        <f t="shared" si="81"/>
        <v>45953</v>
      </c>
      <c r="CK29" s="162">
        <f t="shared" si="82"/>
        <v>46379</v>
      </c>
      <c r="CL29" s="183"/>
      <c r="CM29" s="164">
        <f t="shared" ca="1" si="8"/>
        <v>46054</v>
      </c>
      <c r="CN29" s="165">
        <f t="shared" si="9"/>
        <v>45953</v>
      </c>
      <c r="CO29" s="109">
        <f t="shared" si="10"/>
        <v>6668.6440677966102</v>
      </c>
      <c r="CP29" s="109">
        <f t="shared" si="11"/>
        <v>1200.3559322033898</v>
      </c>
      <c r="CQ29" s="109">
        <v>7869</v>
      </c>
      <c r="CR29" s="109">
        <f t="shared" si="12"/>
        <v>-2.6666666666642413E-2</v>
      </c>
      <c r="CS29" s="166">
        <v>45958</v>
      </c>
      <c r="CT29" s="167">
        <f t="shared" si="13"/>
        <v>5</v>
      </c>
      <c r="CU29" s="165">
        <f t="shared" si="14"/>
        <v>45984</v>
      </c>
      <c r="CV29" s="109">
        <f t="shared" si="15"/>
        <v>6669.4915254237285</v>
      </c>
      <c r="CW29" s="109">
        <f t="shared" si="16"/>
        <v>1200.5084745762713</v>
      </c>
      <c r="CX29" s="109">
        <v>7870</v>
      </c>
      <c r="CY29" s="109">
        <f t="shared" si="17"/>
        <v>0.97333333333335759</v>
      </c>
      <c r="CZ29" s="166">
        <v>45984</v>
      </c>
      <c r="DA29" s="167">
        <f t="shared" si="18"/>
        <v>0</v>
      </c>
      <c r="DB29" s="165">
        <f t="shared" si="19"/>
        <v>46014</v>
      </c>
      <c r="DC29" s="109">
        <f t="shared" si="20"/>
        <v>6694.9152542372885</v>
      </c>
      <c r="DD29" s="109">
        <f t="shared" si="21"/>
        <v>1205.0847457627119</v>
      </c>
      <c r="DE29" s="109">
        <v>7900</v>
      </c>
      <c r="DF29" s="109">
        <f t="shared" si="22"/>
        <v>30.973333333333358</v>
      </c>
      <c r="DG29" s="166">
        <v>46014</v>
      </c>
      <c r="DH29" s="167">
        <f t="shared" si="23"/>
        <v>0</v>
      </c>
      <c r="DI29" s="165">
        <f t="shared" si="24"/>
        <v>46045</v>
      </c>
      <c r="DJ29" s="109">
        <f t="shared" si="25"/>
        <v>0</v>
      </c>
      <c r="DK29" s="109">
        <f t="shared" si="26"/>
        <v>0</v>
      </c>
      <c r="DL29" s="109">
        <v>0</v>
      </c>
      <c r="DM29" s="109">
        <f t="shared" si="27"/>
        <v>0</v>
      </c>
      <c r="DN29" s="166">
        <f t="shared" ca="1" si="87"/>
        <v>46054</v>
      </c>
      <c r="DO29" s="167">
        <f t="shared" ca="1" si="28"/>
        <v>9</v>
      </c>
      <c r="DP29" s="165">
        <f t="shared" si="93"/>
        <v>46076</v>
      </c>
      <c r="DQ29" s="109">
        <f t="shared" si="29"/>
        <v>0</v>
      </c>
      <c r="DR29" s="109">
        <f t="shared" si="94"/>
        <v>0</v>
      </c>
      <c r="DS29" s="109"/>
      <c r="DT29" s="109">
        <f t="shared" si="30"/>
        <v>0</v>
      </c>
      <c r="DU29" s="166">
        <f t="shared" ca="1" si="88"/>
        <v>46054</v>
      </c>
      <c r="DV29" s="167">
        <f t="shared" ca="1" si="31"/>
        <v>0</v>
      </c>
      <c r="DW29" s="165">
        <f t="shared" si="32"/>
        <v>46104</v>
      </c>
      <c r="DX29" s="109">
        <f t="shared" si="33"/>
        <v>0</v>
      </c>
      <c r="DY29" s="109">
        <f t="shared" si="34"/>
        <v>0</v>
      </c>
      <c r="DZ29" s="109"/>
      <c r="EA29" s="109">
        <f t="shared" si="35"/>
        <v>0</v>
      </c>
      <c r="EB29" s="166">
        <f t="shared" ca="1" si="89"/>
        <v>46054</v>
      </c>
      <c r="EC29" s="167">
        <f t="shared" ca="1" si="36"/>
        <v>0</v>
      </c>
      <c r="ED29" s="165">
        <f t="shared" si="37"/>
        <v>46135</v>
      </c>
      <c r="EE29" s="109">
        <f t="shared" si="38"/>
        <v>0</v>
      </c>
      <c r="EF29" s="109">
        <f t="shared" si="39"/>
        <v>0</v>
      </c>
      <c r="EG29" s="109"/>
      <c r="EH29" s="109">
        <f t="shared" si="40"/>
        <v>0</v>
      </c>
      <c r="EI29" s="166">
        <f t="shared" ca="1" si="90"/>
        <v>46054</v>
      </c>
      <c r="EJ29" s="167">
        <f t="shared" ca="1" si="41"/>
        <v>0</v>
      </c>
      <c r="EK29" s="165">
        <f t="shared" si="42"/>
        <v>46165</v>
      </c>
      <c r="EL29" s="109">
        <f t="shared" si="43"/>
        <v>0</v>
      </c>
      <c r="EM29" s="109">
        <f t="shared" si="44"/>
        <v>0</v>
      </c>
      <c r="EN29" s="109"/>
      <c r="EO29" s="109">
        <f t="shared" si="45"/>
        <v>0</v>
      </c>
      <c r="EP29" s="166">
        <f t="shared" ca="1" si="91"/>
        <v>46054</v>
      </c>
      <c r="EQ29" s="167">
        <f t="shared" ca="1" si="46"/>
        <v>0</v>
      </c>
      <c r="ER29" s="165">
        <f t="shared" si="47"/>
        <v>46196</v>
      </c>
      <c r="ES29" s="109">
        <f t="shared" si="48"/>
        <v>0</v>
      </c>
      <c r="ET29" s="109">
        <f t="shared" si="49"/>
        <v>0</v>
      </c>
      <c r="EU29" s="109"/>
      <c r="EV29" s="109"/>
      <c r="EW29" s="166"/>
      <c r="EX29" s="166"/>
      <c r="EY29" s="165">
        <f t="shared" si="50"/>
        <v>46226</v>
      </c>
      <c r="EZ29" s="109">
        <f t="shared" si="51"/>
        <v>0</v>
      </c>
      <c r="FA29" s="109">
        <f t="shared" si="52"/>
        <v>0</v>
      </c>
      <c r="FB29" s="109"/>
      <c r="FC29" s="109"/>
      <c r="FD29" s="166"/>
      <c r="FE29" s="166"/>
      <c r="FF29" s="165">
        <f t="shared" si="53"/>
        <v>46257</v>
      </c>
      <c r="FG29" s="109">
        <f t="shared" si="54"/>
        <v>0</v>
      </c>
      <c r="FH29" s="109">
        <f t="shared" si="55"/>
        <v>0</v>
      </c>
      <c r="FI29" s="109"/>
      <c r="FJ29" s="109"/>
      <c r="FK29" s="166"/>
      <c r="FL29" s="166"/>
      <c r="FM29" s="165">
        <f t="shared" si="56"/>
        <v>46288</v>
      </c>
      <c r="FN29" s="109">
        <f t="shared" si="57"/>
        <v>0</v>
      </c>
      <c r="FO29" s="109">
        <f t="shared" si="58"/>
        <v>0</v>
      </c>
      <c r="FP29" s="109"/>
      <c r="FQ29" s="109"/>
      <c r="FR29" s="166"/>
      <c r="FS29" s="166"/>
      <c r="FT29" s="165">
        <f t="shared" si="97"/>
        <v>46318</v>
      </c>
      <c r="FU29" s="109">
        <f t="shared" si="98"/>
        <v>0</v>
      </c>
      <c r="FV29" s="109">
        <f t="shared" si="99"/>
        <v>0</v>
      </c>
      <c r="FW29" s="109"/>
      <c r="FX29" s="109"/>
      <c r="FY29" s="166"/>
      <c r="FZ29" s="166"/>
      <c r="GA29" s="165">
        <f t="shared" si="100"/>
        <v>46349</v>
      </c>
      <c r="GB29" s="109">
        <f t="shared" si="101"/>
        <v>0</v>
      </c>
      <c r="GC29" s="109">
        <f t="shared" si="102"/>
        <v>0</v>
      </c>
      <c r="GD29" s="109"/>
      <c r="GE29" s="109"/>
      <c r="GF29" s="166"/>
      <c r="GG29" s="166"/>
      <c r="GH29" s="165">
        <f t="shared" si="103"/>
        <v>46379</v>
      </c>
      <c r="GI29" s="109">
        <f t="shared" si="104"/>
        <v>0</v>
      </c>
      <c r="GJ29" s="109">
        <f t="shared" si="105"/>
        <v>0</v>
      </c>
      <c r="GK29" s="109"/>
      <c r="GL29" s="109"/>
      <c r="GM29" s="166"/>
      <c r="GN29" s="166"/>
      <c r="GO29" s="165"/>
      <c r="GP29" s="109"/>
      <c r="GQ29" s="109"/>
      <c r="GR29" s="109"/>
      <c r="GS29" s="109"/>
      <c r="GT29" s="166"/>
      <c r="GU29" s="166"/>
      <c r="GV29" s="165"/>
      <c r="GW29" s="168"/>
      <c r="GX29" s="168"/>
      <c r="GY29" s="168"/>
      <c r="GZ29" s="168"/>
      <c r="HA29" s="166"/>
      <c r="HB29" s="166"/>
      <c r="HC29" s="165"/>
      <c r="HD29" s="109"/>
      <c r="HE29" s="109"/>
      <c r="HF29" s="109"/>
      <c r="HG29" s="109"/>
      <c r="HH29" s="166"/>
      <c r="HI29" s="166"/>
      <c r="HJ29" s="165"/>
      <c r="HK29" s="109"/>
      <c r="HL29" s="109"/>
      <c r="HM29" s="109"/>
      <c r="HN29" s="109"/>
      <c r="HO29" s="166"/>
      <c r="HP29" s="166"/>
      <c r="HQ29" s="165"/>
      <c r="HR29" s="109"/>
      <c r="HS29" s="109"/>
      <c r="HT29" s="109"/>
      <c r="HU29" s="109"/>
      <c r="HV29" s="166"/>
      <c r="HW29" s="166"/>
      <c r="HX29" s="105">
        <f t="shared" si="86"/>
        <v>20033.050847457627</v>
      </c>
      <c r="HY29" s="105">
        <f t="shared" si="83"/>
        <v>3605.9491525423732</v>
      </c>
      <c r="HZ29" s="105">
        <f t="shared" si="83"/>
        <v>23639</v>
      </c>
      <c r="IA29" s="105">
        <f t="shared" si="68"/>
        <v>0</v>
      </c>
      <c r="IB29" s="109">
        <f t="shared" si="69"/>
        <v>94396.4</v>
      </c>
      <c r="IC29" s="109">
        <f t="shared" si="70"/>
        <v>79996.949152542365</v>
      </c>
      <c r="ID29" s="109">
        <f t="shared" si="71"/>
        <v>0</v>
      </c>
      <c r="IE29" s="109">
        <f t="shared" ca="1" si="72"/>
        <v>14</v>
      </c>
      <c r="IF29" s="139">
        <f t="shared" si="73"/>
        <v>3.0040564101955853</v>
      </c>
      <c r="IG29" s="139">
        <f t="shared" ca="1" si="74"/>
        <v>101</v>
      </c>
      <c r="IH29" s="169">
        <f t="shared" ca="1" si="75"/>
        <v>3.3666666666666667</v>
      </c>
      <c r="II29" s="139">
        <f t="shared" ca="1" si="76"/>
        <v>0.36261025647108136</v>
      </c>
      <c r="IJ29" s="169">
        <f t="shared" ca="1" si="77"/>
        <v>10.878307694132442</v>
      </c>
      <c r="IK29" s="169">
        <f t="shared" ca="1" si="84"/>
        <v>0.36261025647108136</v>
      </c>
      <c r="IL29" s="170">
        <f t="shared" ca="1" si="78"/>
        <v>2853.3897777777784</v>
      </c>
      <c r="IM29" s="171"/>
      <c r="IN29" s="171"/>
      <c r="IO29" s="171"/>
      <c r="IP29" s="171"/>
    </row>
    <row r="30" spans="1:250" ht="15" customHeight="1" thickBot="1" x14ac:dyDescent="0.35">
      <c r="A30" s="110">
        <f t="shared" si="79"/>
        <v>26</v>
      </c>
      <c r="B30" s="111" t="s">
        <v>170</v>
      </c>
      <c r="C30" s="111" t="s">
        <v>171</v>
      </c>
      <c r="D30" s="111">
        <v>102</v>
      </c>
      <c r="E30" s="111" t="s">
        <v>253</v>
      </c>
      <c r="F30" s="111"/>
      <c r="G30" s="111" t="s">
        <v>451</v>
      </c>
      <c r="H30" s="111">
        <v>1021100140</v>
      </c>
      <c r="I30" s="146" t="str">
        <f t="shared" si="0"/>
        <v>1100140</v>
      </c>
      <c r="J30" s="145" t="str">
        <f t="shared" si="1"/>
        <v>KN1100140</v>
      </c>
      <c r="K30" s="111" t="s">
        <v>452</v>
      </c>
      <c r="L30" s="111" t="s">
        <v>287</v>
      </c>
      <c r="M30" s="111" t="s">
        <v>453</v>
      </c>
      <c r="N30" s="111" t="s">
        <v>138</v>
      </c>
      <c r="O30" s="111"/>
      <c r="P30" s="111" t="s">
        <v>454</v>
      </c>
      <c r="Q30" s="148">
        <v>27254</v>
      </c>
      <c r="R30" s="148" t="s">
        <v>170</v>
      </c>
      <c r="S30" s="111">
        <f t="shared" ca="1" si="85"/>
        <v>51</v>
      </c>
      <c r="T30" s="111" t="s">
        <v>455</v>
      </c>
      <c r="U30" s="111" t="s">
        <v>234</v>
      </c>
      <c r="V30" s="181">
        <v>765157587</v>
      </c>
      <c r="W30" s="111"/>
      <c r="X30" s="111" t="s">
        <v>181</v>
      </c>
      <c r="Y30" s="111">
        <v>11</v>
      </c>
      <c r="Z30" s="111" t="s">
        <v>456</v>
      </c>
      <c r="AA30" s="111" t="s">
        <v>457</v>
      </c>
      <c r="AB30" s="111" t="s">
        <v>458</v>
      </c>
      <c r="AC30" s="111" t="s">
        <v>146</v>
      </c>
      <c r="AD30" s="111" t="s">
        <v>147</v>
      </c>
      <c r="AE30" s="173" t="s">
        <v>136</v>
      </c>
      <c r="AF30" s="173" t="s">
        <v>136</v>
      </c>
      <c r="AG30" s="174">
        <v>45874</v>
      </c>
      <c r="AH30" s="175">
        <v>100000</v>
      </c>
      <c r="AI30" s="111">
        <v>15</v>
      </c>
      <c r="AJ30" s="111">
        <v>0</v>
      </c>
      <c r="AK30" s="150">
        <f t="shared" si="80"/>
        <v>15</v>
      </c>
      <c r="AL30" s="177">
        <v>99290</v>
      </c>
      <c r="AM30" s="176">
        <v>0.18</v>
      </c>
      <c r="AN30" s="177">
        <f t="shared" si="92"/>
        <v>17872.2</v>
      </c>
      <c r="AO30" s="157">
        <f t="shared" si="96"/>
        <v>117162.2</v>
      </c>
      <c r="AP30" s="158">
        <f t="shared" si="3"/>
        <v>7810.8133333333335</v>
      </c>
      <c r="AQ30" s="111" t="s">
        <v>136</v>
      </c>
      <c r="AR30" s="111" t="s">
        <v>170</v>
      </c>
      <c r="AS30" s="111" t="s">
        <v>234</v>
      </c>
      <c r="AT30" s="111" t="s">
        <v>459</v>
      </c>
      <c r="AU30" s="111" t="s">
        <v>455</v>
      </c>
      <c r="AV30" s="111">
        <v>5</v>
      </c>
      <c r="AW30" s="111" t="s">
        <v>136</v>
      </c>
      <c r="AX30" s="111" t="s">
        <v>136</v>
      </c>
      <c r="AY30" s="111" t="s">
        <v>136</v>
      </c>
      <c r="AZ30" s="111" t="s">
        <v>136</v>
      </c>
      <c r="BA30" s="111" t="s">
        <v>136</v>
      </c>
      <c r="BB30" s="111" t="s">
        <v>136</v>
      </c>
      <c r="BC30" s="111" t="s">
        <v>136</v>
      </c>
      <c r="BD30" s="111" t="s">
        <v>136</v>
      </c>
      <c r="BE30" s="111" t="s">
        <v>136</v>
      </c>
      <c r="BF30" s="111" t="s">
        <v>136</v>
      </c>
      <c r="BG30" s="111" t="s">
        <v>136</v>
      </c>
      <c r="BH30" s="111" t="s">
        <v>136</v>
      </c>
      <c r="BI30" s="111" t="s">
        <v>136</v>
      </c>
      <c r="BJ30" s="111" t="s">
        <v>136</v>
      </c>
      <c r="BK30" s="111" t="s">
        <v>136</v>
      </c>
      <c r="BL30" s="111" t="s">
        <v>136</v>
      </c>
      <c r="BM30" s="111" t="s">
        <v>136</v>
      </c>
      <c r="BN30" s="111" t="s">
        <v>136</v>
      </c>
      <c r="BO30" s="111" t="s">
        <v>136</v>
      </c>
      <c r="BP30" s="111" t="s">
        <v>460</v>
      </c>
      <c r="BQ30" s="111" t="s">
        <v>291</v>
      </c>
      <c r="BR30" s="111" t="s">
        <v>461</v>
      </c>
      <c r="BS30" s="111" t="s">
        <v>462</v>
      </c>
      <c r="BT30" s="182" t="s">
        <v>463</v>
      </c>
      <c r="BU30" s="111" t="s">
        <v>455</v>
      </c>
      <c r="BV30" s="111" t="s">
        <v>234</v>
      </c>
      <c r="BW30" s="111"/>
      <c r="BX30" s="111"/>
      <c r="BY30" s="111"/>
      <c r="BZ30" s="111"/>
      <c r="CA30" s="111"/>
      <c r="CB30" s="111"/>
      <c r="CC30" s="178"/>
      <c r="CD30" s="177">
        <f t="shared" si="4"/>
        <v>99290</v>
      </c>
      <c r="CE30" s="148">
        <v>45923</v>
      </c>
      <c r="CF30" s="111">
        <f t="shared" si="5"/>
        <v>15</v>
      </c>
      <c r="CG30" s="177">
        <f t="shared" si="6"/>
        <v>117162.2</v>
      </c>
      <c r="CH30" s="203">
        <f t="shared" si="95"/>
        <v>0</v>
      </c>
      <c r="CI30" s="148">
        <v>45923</v>
      </c>
      <c r="CJ30" s="161">
        <f t="shared" si="81"/>
        <v>45953</v>
      </c>
      <c r="CK30" s="162">
        <f t="shared" si="82"/>
        <v>46379</v>
      </c>
      <c r="CL30" s="183"/>
      <c r="CM30" s="164">
        <f t="shared" ca="1" si="8"/>
        <v>46054</v>
      </c>
      <c r="CN30" s="165">
        <f t="shared" si="9"/>
        <v>45953</v>
      </c>
      <c r="CO30" s="109">
        <f t="shared" si="10"/>
        <v>6619.4915254237285</v>
      </c>
      <c r="CP30" s="109">
        <f t="shared" si="11"/>
        <v>1191.5084745762713</v>
      </c>
      <c r="CQ30" s="109">
        <v>7811</v>
      </c>
      <c r="CR30" s="109">
        <f t="shared" si="12"/>
        <v>0.18666666666649689</v>
      </c>
      <c r="CS30" s="166">
        <v>45958</v>
      </c>
      <c r="CT30" s="167">
        <f t="shared" si="13"/>
        <v>5</v>
      </c>
      <c r="CU30" s="165">
        <f t="shared" si="14"/>
        <v>45984</v>
      </c>
      <c r="CV30" s="109">
        <f t="shared" si="15"/>
        <v>6627.1186440677966</v>
      </c>
      <c r="CW30" s="109">
        <f t="shared" si="16"/>
        <v>1192.8813559322034</v>
      </c>
      <c r="CX30" s="109">
        <v>7820</v>
      </c>
      <c r="CY30" s="109">
        <f t="shared" si="17"/>
        <v>9.1866666666664969</v>
      </c>
      <c r="CZ30" s="166">
        <v>45984</v>
      </c>
      <c r="DA30" s="167">
        <f t="shared" si="18"/>
        <v>0</v>
      </c>
      <c r="DB30" s="165">
        <f t="shared" si="19"/>
        <v>46014</v>
      </c>
      <c r="DC30" s="109">
        <f t="shared" si="20"/>
        <v>6618.6440677966102</v>
      </c>
      <c r="DD30" s="109">
        <f t="shared" si="21"/>
        <v>1191.3559322033898</v>
      </c>
      <c r="DE30" s="109">
        <v>7810</v>
      </c>
      <c r="DF30" s="109">
        <f t="shared" si="22"/>
        <v>-0.81333333333350311</v>
      </c>
      <c r="DG30" s="166">
        <v>46025</v>
      </c>
      <c r="DH30" s="167">
        <f t="shared" si="23"/>
        <v>11</v>
      </c>
      <c r="DI30" s="165">
        <f t="shared" si="24"/>
        <v>46045</v>
      </c>
      <c r="DJ30" s="109">
        <f t="shared" si="25"/>
        <v>0</v>
      </c>
      <c r="DK30" s="109">
        <f t="shared" si="26"/>
        <v>0</v>
      </c>
      <c r="DL30" s="109">
        <v>0</v>
      </c>
      <c r="DM30" s="109">
        <f t="shared" si="27"/>
        <v>0</v>
      </c>
      <c r="DN30" s="166">
        <f t="shared" ca="1" si="87"/>
        <v>46054</v>
      </c>
      <c r="DO30" s="167">
        <f t="shared" ca="1" si="28"/>
        <v>9</v>
      </c>
      <c r="DP30" s="165">
        <f t="shared" si="93"/>
        <v>46076</v>
      </c>
      <c r="DQ30" s="109">
        <f t="shared" si="29"/>
        <v>0</v>
      </c>
      <c r="DR30" s="109">
        <f t="shared" si="94"/>
        <v>0</v>
      </c>
      <c r="DS30" s="109"/>
      <c r="DT30" s="109">
        <f t="shared" si="30"/>
        <v>0</v>
      </c>
      <c r="DU30" s="166">
        <f t="shared" ca="1" si="88"/>
        <v>46054</v>
      </c>
      <c r="DV30" s="167">
        <f t="shared" ca="1" si="31"/>
        <v>0</v>
      </c>
      <c r="DW30" s="165">
        <f t="shared" si="32"/>
        <v>46104</v>
      </c>
      <c r="DX30" s="109">
        <f t="shared" si="33"/>
        <v>0</v>
      </c>
      <c r="DY30" s="109">
        <f t="shared" si="34"/>
        <v>0</v>
      </c>
      <c r="DZ30" s="109"/>
      <c r="EA30" s="109">
        <f t="shared" si="35"/>
        <v>0</v>
      </c>
      <c r="EB30" s="166">
        <f t="shared" ca="1" si="89"/>
        <v>46054</v>
      </c>
      <c r="EC30" s="167">
        <f t="shared" ca="1" si="36"/>
        <v>0</v>
      </c>
      <c r="ED30" s="165">
        <f t="shared" si="37"/>
        <v>46135</v>
      </c>
      <c r="EE30" s="109">
        <f t="shared" si="38"/>
        <v>0</v>
      </c>
      <c r="EF30" s="109">
        <f t="shared" si="39"/>
        <v>0</v>
      </c>
      <c r="EG30" s="109"/>
      <c r="EH30" s="109">
        <f t="shared" si="40"/>
        <v>0</v>
      </c>
      <c r="EI30" s="166">
        <f t="shared" ca="1" si="90"/>
        <v>46054</v>
      </c>
      <c r="EJ30" s="167">
        <f t="shared" ca="1" si="41"/>
        <v>0</v>
      </c>
      <c r="EK30" s="165">
        <f t="shared" si="42"/>
        <v>46165</v>
      </c>
      <c r="EL30" s="109">
        <f t="shared" si="43"/>
        <v>0</v>
      </c>
      <c r="EM30" s="109">
        <f t="shared" si="44"/>
        <v>0</v>
      </c>
      <c r="EN30" s="109"/>
      <c r="EO30" s="109">
        <f t="shared" si="45"/>
        <v>0</v>
      </c>
      <c r="EP30" s="166">
        <f t="shared" ca="1" si="91"/>
        <v>46054</v>
      </c>
      <c r="EQ30" s="167">
        <f t="shared" ca="1" si="46"/>
        <v>0</v>
      </c>
      <c r="ER30" s="165">
        <f t="shared" si="47"/>
        <v>46196</v>
      </c>
      <c r="ES30" s="109">
        <f t="shared" si="48"/>
        <v>0</v>
      </c>
      <c r="ET30" s="109">
        <f t="shared" si="49"/>
        <v>0</v>
      </c>
      <c r="EU30" s="109"/>
      <c r="EV30" s="109"/>
      <c r="EW30" s="166"/>
      <c r="EX30" s="166"/>
      <c r="EY30" s="165">
        <f t="shared" si="50"/>
        <v>46226</v>
      </c>
      <c r="EZ30" s="109">
        <f t="shared" si="51"/>
        <v>0</v>
      </c>
      <c r="FA30" s="109">
        <f t="shared" si="52"/>
        <v>0</v>
      </c>
      <c r="FB30" s="109"/>
      <c r="FC30" s="109"/>
      <c r="FD30" s="166"/>
      <c r="FE30" s="166"/>
      <c r="FF30" s="165">
        <f t="shared" si="53"/>
        <v>46257</v>
      </c>
      <c r="FG30" s="109">
        <f t="shared" si="54"/>
        <v>0</v>
      </c>
      <c r="FH30" s="109">
        <f t="shared" si="55"/>
        <v>0</v>
      </c>
      <c r="FI30" s="109"/>
      <c r="FJ30" s="109"/>
      <c r="FK30" s="166"/>
      <c r="FL30" s="166"/>
      <c r="FM30" s="165">
        <f t="shared" si="56"/>
        <v>46288</v>
      </c>
      <c r="FN30" s="109">
        <f t="shared" si="57"/>
        <v>0</v>
      </c>
      <c r="FO30" s="109">
        <f t="shared" si="58"/>
        <v>0</v>
      </c>
      <c r="FP30" s="109"/>
      <c r="FQ30" s="109"/>
      <c r="FR30" s="166"/>
      <c r="FS30" s="166"/>
      <c r="FT30" s="165">
        <f t="shared" si="97"/>
        <v>46318</v>
      </c>
      <c r="FU30" s="109">
        <f t="shared" si="98"/>
        <v>0</v>
      </c>
      <c r="FV30" s="109">
        <f t="shared" si="99"/>
        <v>0</v>
      </c>
      <c r="FW30" s="109"/>
      <c r="FX30" s="109"/>
      <c r="FY30" s="166"/>
      <c r="FZ30" s="166"/>
      <c r="GA30" s="165">
        <f t="shared" si="100"/>
        <v>46349</v>
      </c>
      <c r="GB30" s="109">
        <f t="shared" si="101"/>
        <v>0</v>
      </c>
      <c r="GC30" s="109">
        <f t="shared" si="102"/>
        <v>0</v>
      </c>
      <c r="GD30" s="109"/>
      <c r="GE30" s="109"/>
      <c r="GF30" s="166"/>
      <c r="GG30" s="166"/>
      <c r="GH30" s="165">
        <f t="shared" si="103"/>
        <v>46379</v>
      </c>
      <c r="GI30" s="109">
        <f t="shared" si="104"/>
        <v>0</v>
      </c>
      <c r="GJ30" s="109">
        <f t="shared" si="105"/>
        <v>0</v>
      </c>
      <c r="GK30" s="109"/>
      <c r="GL30" s="109"/>
      <c r="GM30" s="166"/>
      <c r="GN30" s="166"/>
      <c r="GO30" s="165"/>
      <c r="GP30" s="109"/>
      <c r="GQ30" s="109"/>
      <c r="GR30" s="109"/>
      <c r="GS30" s="109"/>
      <c r="GT30" s="166"/>
      <c r="GU30" s="166"/>
      <c r="GV30" s="165"/>
      <c r="GW30" s="168"/>
      <c r="GX30" s="168"/>
      <c r="GY30" s="168"/>
      <c r="GZ30" s="168"/>
      <c r="HA30" s="166"/>
      <c r="HB30" s="166"/>
      <c r="HC30" s="165"/>
      <c r="HD30" s="109"/>
      <c r="HE30" s="109"/>
      <c r="HF30" s="109"/>
      <c r="HG30" s="109"/>
      <c r="HH30" s="166"/>
      <c r="HI30" s="166"/>
      <c r="HJ30" s="165"/>
      <c r="HK30" s="109"/>
      <c r="HL30" s="109"/>
      <c r="HM30" s="109"/>
      <c r="HN30" s="109"/>
      <c r="HO30" s="166"/>
      <c r="HP30" s="166"/>
      <c r="HQ30" s="165"/>
      <c r="HR30" s="109"/>
      <c r="HS30" s="109"/>
      <c r="HT30" s="109"/>
      <c r="HU30" s="109"/>
      <c r="HV30" s="166"/>
      <c r="HW30" s="166"/>
      <c r="HX30" s="105">
        <f t="shared" si="86"/>
        <v>19865.254237288136</v>
      </c>
      <c r="HY30" s="105">
        <f t="shared" si="83"/>
        <v>3575.7457627118647</v>
      </c>
      <c r="HZ30" s="105">
        <f t="shared" si="83"/>
        <v>23441</v>
      </c>
      <c r="IA30" s="105">
        <f t="shared" si="68"/>
        <v>0</v>
      </c>
      <c r="IB30" s="109">
        <f t="shared" si="69"/>
        <v>93721.2</v>
      </c>
      <c r="IC30" s="109">
        <f t="shared" si="70"/>
        <v>79424.745762711857</v>
      </c>
      <c r="ID30" s="109">
        <f t="shared" si="71"/>
        <v>0</v>
      </c>
      <c r="IE30" s="109">
        <f t="shared" ca="1" si="72"/>
        <v>25</v>
      </c>
      <c r="IF30" s="139">
        <f t="shared" si="73"/>
        <v>3.0010959166010882</v>
      </c>
      <c r="IG30" s="139">
        <f t="shared" ca="1" si="74"/>
        <v>101</v>
      </c>
      <c r="IH30" s="169">
        <f t="shared" ca="1" si="75"/>
        <v>3.3666666666666667</v>
      </c>
      <c r="II30" s="139">
        <f t="shared" ca="1" si="76"/>
        <v>0.36557075006557849</v>
      </c>
      <c r="IJ30" s="169">
        <f t="shared" ca="1" si="77"/>
        <v>10.967122501967355</v>
      </c>
      <c r="IK30" s="169">
        <f t="shared" ca="1" si="84"/>
        <v>0.36557075006557849</v>
      </c>
      <c r="IL30" s="170">
        <f t="shared" ca="1" si="78"/>
        <v>2855.4048888888879</v>
      </c>
      <c r="IM30" s="171"/>
      <c r="IN30" s="171"/>
      <c r="IO30" s="171"/>
      <c r="IP30" s="171"/>
    </row>
    <row r="31" spans="1:250" ht="15" thickBot="1" x14ac:dyDescent="0.35">
      <c r="A31" s="110">
        <f t="shared" si="79"/>
        <v>27</v>
      </c>
      <c r="B31" s="111" t="s">
        <v>170</v>
      </c>
      <c r="C31" s="111" t="s">
        <v>171</v>
      </c>
      <c r="D31" s="111">
        <v>102</v>
      </c>
      <c r="E31" s="111" t="s">
        <v>253</v>
      </c>
      <c r="F31" s="111"/>
      <c r="G31" s="111" t="s">
        <v>464</v>
      </c>
      <c r="H31" s="111">
        <v>1021100141</v>
      </c>
      <c r="I31" s="146" t="str">
        <f t="shared" si="0"/>
        <v>1100141</v>
      </c>
      <c r="J31" s="145" t="str">
        <f t="shared" si="1"/>
        <v>KN1100141</v>
      </c>
      <c r="K31" s="111" t="s">
        <v>465</v>
      </c>
      <c r="L31" s="111" t="s">
        <v>466</v>
      </c>
      <c r="M31" s="111" t="s">
        <v>467</v>
      </c>
      <c r="N31" s="111" t="s">
        <v>138</v>
      </c>
      <c r="O31" s="111"/>
      <c r="P31" s="111" t="s">
        <v>468</v>
      </c>
      <c r="Q31" s="148">
        <v>37421</v>
      </c>
      <c r="R31" s="111" t="s">
        <v>170</v>
      </c>
      <c r="S31" s="111">
        <f t="shared" ca="1" si="85"/>
        <v>23</v>
      </c>
      <c r="T31" s="111" t="s">
        <v>469</v>
      </c>
      <c r="U31" s="111" t="s">
        <v>470</v>
      </c>
      <c r="V31" s="172">
        <v>770128751</v>
      </c>
      <c r="W31" s="111"/>
      <c r="X31" s="111" t="s">
        <v>181</v>
      </c>
      <c r="Y31" s="111">
        <v>11</v>
      </c>
      <c r="Z31" s="111" t="s">
        <v>471</v>
      </c>
      <c r="AA31" s="111" t="s">
        <v>472</v>
      </c>
      <c r="AB31" s="111" t="s">
        <v>473</v>
      </c>
      <c r="AC31" s="111" t="s">
        <v>146</v>
      </c>
      <c r="AD31" s="111" t="s">
        <v>147</v>
      </c>
      <c r="AE31" s="173" t="s">
        <v>136</v>
      </c>
      <c r="AF31" s="173" t="s">
        <v>136</v>
      </c>
      <c r="AG31" s="174">
        <v>45874</v>
      </c>
      <c r="AH31" s="175">
        <v>70000</v>
      </c>
      <c r="AI31" s="111">
        <v>12</v>
      </c>
      <c r="AJ31" s="111">
        <v>0</v>
      </c>
      <c r="AK31" s="150">
        <f t="shared" si="80"/>
        <v>12</v>
      </c>
      <c r="AL31" s="177">
        <v>35000</v>
      </c>
      <c r="AM31" s="176">
        <v>0.18</v>
      </c>
      <c r="AN31" s="177">
        <f t="shared" si="92"/>
        <v>6300</v>
      </c>
      <c r="AO31" s="157">
        <f t="shared" si="96"/>
        <v>41300</v>
      </c>
      <c r="AP31" s="158">
        <f t="shared" si="3"/>
        <v>3441.6666666666665</v>
      </c>
      <c r="AQ31" s="111" t="s">
        <v>136</v>
      </c>
      <c r="AR31" s="111" t="s">
        <v>170</v>
      </c>
      <c r="AS31" s="111" t="s">
        <v>470</v>
      </c>
      <c r="AT31" s="111" t="s">
        <v>474</v>
      </c>
      <c r="AU31" s="111" t="s">
        <v>469</v>
      </c>
      <c r="AV31" s="111">
        <v>8</v>
      </c>
      <c r="AW31" s="111" t="s">
        <v>136</v>
      </c>
      <c r="AX31" s="111" t="s">
        <v>136</v>
      </c>
      <c r="AY31" s="111" t="s">
        <v>136</v>
      </c>
      <c r="AZ31" s="111" t="s">
        <v>136</v>
      </c>
      <c r="BA31" s="111" t="s">
        <v>136</v>
      </c>
      <c r="BB31" s="111" t="s">
        <v>136</v>
      </c>
      <c r="BC31" s="111" t="s">
        <v>136</v>
      </c>
      <c r="BD31" s="111" t="s">
        <v>136</v>
      </c>
      <c r="BE31" s="111" t="s">
        <v>136</v>
      </c>
      <c r="BF31" s="111" t="s">
        <v>136</v>
      </c>
      <c r="BG31" s="111" t="s">
        <v>136</v>
      </c>
      <c r="BH31" s="111" t="s">
        <v>136</v>
      </c>
      <c r="BI31" s="111" t="s">
        <v>136</v>
      </c>
      <c r="BJ31" s="111" t="s">
        <v>136</v>
      </c>
      <c r="BK31" s="111" t="s">
        <v>136</v>
      </c>
      <c r="BL31" s="111" t="s">
        <v>136</v>
      </c>
      <c r="BM31" s="111" t="s">
        <v>136</v>
      </c>
      <c r="BN31" s="111" t="s">
        <v>136</v>
      </c>
      <c r="BO31" s="111" t="s">
        <v>136</v>
      </c>
      <c r="BP31" s="111" t="s">
        <v>475</v>
      </c>
      <c r="BQ31" s="111" t="s">
        <v>476</v>
      </c>
      <c r="BR31" s="111" t="s">
        <v>477</v>
      </c>
      <c r="BS31" s="111" t="s">
        <v>478</v>
      </c>
      <c r="BT31" s="182" t="s">
        <v>479</v>
      </c>
      <c r="BU31" s="111" t="s">
        <v>469</v>
      </c>
      <c r="BV31" s="111" t="s">
        <v>470</v>
      </c>
      <c r="BW31" s="111"/>
      <c r="BX31" s="111"/>
      <c r="BY31" s="111"/>
      <c r="BZ31" s="111"/>
      <c r="CA31" s="111"/>
      <c r="CB31" s="111"/>
      <c r="CC31" s="178"/>
      <c r="CD31" s="177">
        <f t="shared" si="4"/>
        <v>35000</v>
      </c>
      <c r="CE31" s="148">
        <v>45951</v>
      </c>
      <c r="CF31" s="111">
        <f t="shared" si="5"/>
        <v>12</v>
      </c>
      <c r="CG31" s="177">
        <f t="shared" si="6"/>
        <v>41300</v>
      </c>
      <c r="CH31" s="203">
        <f t="shared" si="95"/>
        <v>0</v>
      </c>
      <c r="CI31" s="148">
        <v>45951</v>
      </c>
      <c r="CJ31" s="161">
        <f t="shared" si="81"/>
        <v>45982</v>
      </c>
      <c r="CK31" s="162">
        <f t="shared" si="82"/>
        <v>46316</v>
      </c>
      <c r="CL31" s="183"/>
      <c r="CM31" s="164">
        <f t="shared" ca="1" si="8"/>
        <v>46054</v>
      </c>
      <c r="CN31" s="165">
        <f t="shared" si="9"/>
        <v>45982</v>
      </c>
      <c r="CO31" s="109">
        <f t="shared" si="10"/>
        <v>2923.7288135593221</v>
      </c>
      <c r="CP31" s="109">
        <f t="shared" si="11"/>
        <v>526.27118644067798</v>
      </c>
      <c r="CQ31" s="109">
        <v>3450</v>
      </c>
      <c r="CR31" s="109">
        <f t="shared" si="12"/>
        <v>8.3333333333334849</v>
      </c>
      <c r="CS31" s="166">
        <v>45987</v>
      </c>
      <c r="CT31" s="167">
        <f t="shared" si="13"/>
        <v>5</v>
      </c>
      <c r="CU31" s="165">
        <f t="shared" si="14"/>
        <v>46012</v>
      </c>
      <c r="CV31" s="109">
        <f t="shared" si="15"/>
        <v>2966.1016949152545</v>
      </c>
      <c r="CW31" s="109">
        <f t="shared" si="16"/>
        <v>533.89830508474574</v>
      </c>
      <c r="CX31" s="109">
        <v>3500</v>
      </c>
      <c r="CY31" s="109">
        <f t="shared" si="17"/>
        <v>58.333333333333485</v>
      </c>
      <c r="CZ31" s="166">
        <v>46014</v>
      </c>
      <c r="DA31" s="167">
        <f t="shared" si="18"/>
        <v>2</v>
      </c>
      <c r="DB31" s="165">
        <f t="shared" si="19"/>
        <v>46043</v>
      </c>
      <c r="DC31" s="109">
        <f t="shared" si="20"/>
        <v>0</v>
      </c>
      <c r="DD31" s="109">
        <f t="shared" si="21"/>
        <v>0</v>
      </c>
      <c r="DE31" s="109"/>
      <c r="DF31" s="109">
        <f t="shared" si="22"/>
        <v>0</v>
      </c>
      <c r="DG31" s="166">
        <f ca="1">TODAY()</f>
        <v>46054</v>
      </c>
      <c r="DH31" s="167">
        <f t="shared" ca="1" si="23"/>
        <v>11</v>
      </c>
      <c r="DI31" s="165">
        <f t="shared" si="24"/>
        <v>46074</v>
      </c>
      <c r="DJ31" s="109">
        <f t="shared" si="25"/>
        <v>0</v>
      </c>
      <c r="DK31" s="109">
        <f t="shared" si="26"/>
        <v>0</v>
      </c>
      <c r="DL31" s="109">
        <v>0</v>
      </c>
      <c r="DM31" s="109">
        <f t="shared" si="27"/>
        <v>0</v>
      </c>
      <c r="DN31" s="166">
        <f t="shared" ca="1" si="87"/>
        <v>46054</v>
      </c>
      <c r="DO31" s="167">
        <f t="shared" ca="1" si="28"/>
        <v>0</v>
      </c>
      <c r="DP31" s="165">
        <f t="shared" si="93"/>
        <v>46105</v>
      </c>
      <c r="DQ31" s="109">
        <f t="shared" si="29"/>
        <v>0</v>
      </c>
      <c r="DR31" s="109">
        <f t="shared" si="94"/>
        <v>0</v>
      </c>
      <c r="DS31" s="109"/>
      <c r="DT31" s="109">
        <f t="shared" si="30"/>
        <v>0</v>
      </c>
      <c r="DU31" s="166">
        <f t="shared" ca="1" si="88"/>
        <v>46054</v>
      </c>
      <c r="DV31" s="167">
        <f t="shared" ca="1" si="31"/>
        <v>0</v>
      </c>
      <c r="DW31" s="165">
        <f t="shared" si="32"/>
        <v>46136</v>
      </c>
      <c r="DX31" s="109">
        <f t="shared" si="33"/>
        <v>0</v>
      </c>
      <c r="DY31" s="109">
        <f t="shared" si="34"/>
        <v>0</v>
      </c>
      <c r="DZ31" s="109"/>
      <c r="EA31" s="109">
        <f t="shared" si="35"/>
        <v>0</v>
      </c>
      <c r="EB31" s="166">
        <f t="shared" ca="1" si="89"/>
        <v>46054</v>
      </c>
      <c r="EC31" s="167">
        <f t="shared" ca="1" si="36"/>
        <v>0</v>
      </c>
      <c r="ED31" s="165">
        <f t="shared" si="37"/>
        <v>46166</v>
      </c>
      <c r="EE31" s="109">
        <f t="shared" si="38"/>
        <v>0</v>
      </c>
      <c r="EF31" s="109">
        <f t="shared" si="39"/>
        <v>0</v>
      </c>
      <c r="EG31" s="109"/>
      <c r="EH31" s="109">
        <f t="shared" si="40"/>
        <v>0</v>
      </c>
      <c r="EI31" s="166">
        <f t="shared" ca="1" si="90"/>
        <v>46054</v>
      </c>
      <c r="EJ31" s="167">
        <f t="shared" ca="1" si="41"/>
        <v>0</v>
      </c>
      <c r="EK31" s="165">
        <f t="shared" si="42"/>
        <v>46197</v>
      </c>
      <c r="EL31" s="109">
        <f t="shared" si="43"/>
        <v>0</v>
      </c>
      <c r="EM31" s="109">
        <f t="shared" si="44"/>
        <v>0</v>
      </c>
      <c r="EN31" s="109"/>
      <c r="EO31" s="109">
        <f t="shared" si="45"/>
        <v>0</v>
      </c>
      <c r="EP31" s="166">
        <f t="shared" ca="1" si="91"/>
        <v>46054</v>
      </c>
      <c r="EQ31" s="167">
        <f t="shared" ca="1" si="46"/>
        <v>0</v>
      </c>
      <c r="ER31" s="165">
        <f t="shared" si="47"/>
        <v>46227</v>
      </c>
      <c r="ES31" s="109">
        <f t="shared" si="48"/>
        <v>0</v>
      </c>
      <c r="ET31" s="109">
        <f t="shared" si="49"/>
        <v>0</v>
      </c>
      <c r="EU31" s="109"/>
      <c r="EV31" s="109"/>
      <c r="EW31" s="166"/>
      <c r="EX31" s="166"/>
      <c r="EY31" s="165">
        <f t="shared" si="50"/>
        <v>46258</v>
      </c>
      <c r="EZ31" s="109">
        <f t="shared" si="51"/>
        <v>0</v>
      </c>
      <c r="FA31" s="109">
        <f t="shared" si="52"/>
        <v>0</v>
      </c>
      <c r="FB31" s="109"/>
      <c r="FC31" s="109"/>
      <c r="FD31" s="166"/>
      <c r="FE31" s="166"/>
      <c r="FF31" s="165">
        <f t="shared" si="53"/>
        <v>46289</v>
      </c>
      <c r="FG31" s="109">
        <f t="shared" si="54"/>
        <v>0</v>
      </c>
      <c r="FH31" s="109">
        <f t="shared" si="55"/>
        <v>0</v>
      </c>
      <c r="FI31" s="109"/>
      <c r="FJ31" s="109"/>
      <c r="FK31" s="166"/>
      <c r="FL31" s="166"/>
      <c r="FM31" s="165">
        <f t="shared" si="56"/>
        <v>46319</v>
      </c>
      <c r="FN31" s="109">
        <f t="shared" si="57"/>
        <v>0</v>
      </c>
      <c r="FO31" s="109">
        <f t="shared" si="58"/>
        <v>0</v>
      </c>
      <c r="FP31" s="109"/>
      <c r="FQ31" s="109"/>
      <c r="FR31" s="166"/>
      <c r="FS31" s="166"/>
      <c r="FT31" s="165"/>
      <c r="FU31" s="109"/>
      <c r="FV31" s="109"/>
      <c r="FW31" s="109"/>
      <c r="FX31" s="109"/>
      <c r="FY31" s="166"/>
      <c r="FZ31" s="166"/>
      <c r="GA31" s="165"/>
      <c r="GB31" s="109"/>
      <c r="GC31" s="109"/>
      <c r="GD31" s="109"/>
      <c r="GE31" s="109"/>
      <c r="GF31" s="166"/>
      <c r="GG31" s="166"/>
      <c r="GH31" s="165"/>
      <c r="GI31" s="109"/>
      <c r="GJ31" s="109"/>
      <c r="GK31" s="109"/>
      <c r="GL31" s="109"/>
      <c r="GM31" s="166"/>
      <c r="GN31" s="166"/>
      <c r="GO31" s="165"/>
      <c r="GP31" s="109"/>
      <c r="GQ31" s="109"/>
      <c r="GR31" s="109"/>
      <c r="GS31" s="109"/>
      <c r="GT31" s="166"/>
      <c r="GU31" s="166"/>
      <c r="GV31" s="165"/>
      <c r="GW31" s="168"/>
      <c r="GX31" s="168"/>
      <c r="GY31" s="168"/>
      <c r="GZ31" s="168"/>
      <c r="HA31" s="166"/>
      <c r="HB31" s="166"/>
      <c r="HC31" s="165"/>
      <c r="HD31" s="109"/>
      <c r="HE31" s="109"/>
      <c r="HF31" s="109"/>
      <c r="HG31" s="109"/>
      <c r="HH31" s="166"/>
      <c r="HI31" s="166"/>
      <c r="HJ31" s="165"/>
      <c r="HK31" s="109"/>
      <c r="HL31" s="109"/>
      <c r="HM31" s="109"/>
      <c r="HN31" s="109"/>
      <c r="HO31" s="166"/>
      <c r="HP31" s="166"/>
      <c r="HQ31" s="165"/>
      <c r="HR31" s="109"/>
      <c r="HS31" s="109"/>
      <c r="HT31" s="109"/>
      <c r="HU31" s="109"/>
      <c r="HV31" s="166"/>
      <c r="HW31" s="166"/>
      <c r="HX31" s="105">
        <f t="shared" si="86"/>
        <v>5889.8305084745771</v>
      </c>
      <c r="HY31" s="105">
        <f t="shared" si="83"/>
        <v>1060.1694915254238</v>
      </c>
      <c r="HZ31" s="105">
        <f t="shared" si="83"/>
        <v>6950</v>
      </c>
      <c r="IA31" s="105">
        <f t="shared" si="68"/>
        <v>0</v>
      </c>
      <c r="IB31" s="109">
        <f t="shared" si="69"/>
        <v>34350</v>
      </c>
      <c r="IC31" s="109">
        <f t="shared" si="70"/>
        <v>29110.169491525423</v>
      </c>
      <c r="ID31" s="109">
        <f t="shared" si="71"/>
        <v>0</v>
      </c>
      <c r="IE31" s="109">
        <f t="shared" ca="1" si="72"/>
        <v>18</v>
      </c>
      <c r="IF31" s="139">
        <f t="shared" si="73"/>
        <v>2.0193704600484264</v>
      </c>
      <c r="IG31" s="139">
        <f t="shared" ca="1" si="74"/>
        <v>72</v>
      </c>
      <c r="IH31" s="169">
        <f t="shared" ca="1" si="75"/>
        <v>2.4</v>
      </c>
      <c r="II31" s="139">
        <f t="shared" ca="1" si="76"/>
        <v>0.38062953995157356</v>
      </c>
      <c r="IJ31" s="169">
        <f t="shared" ca="1" si="77"/>
        <v>11.418886198547206</v>
      </c>
      <c r="IK31" s="169">
        <f t="shared" ca="1" si="84"/>
        <v>0.38062953995157356</v>
      </c>
      <c r="IL31" s="170">
        <f t="shared" ca="1" si="78"/>
        <v>1309.9999999999989</v>
      </c>
      <c r="IM31" s="171"/>
      <c r="IN31" s="171"/>
      <c r="IO31" s="171"/>
      <c r="IP31" s="171"/>
    </row>
    <row r="32" spans="1:250" ht="15" thickBot="1" x14ac:dyDescent="0.35">
      <c r="A32" s="110">
        <f t="shared" si="79"/>
        <v>28</v>
      </c>
      <c r="B32" s="111" t="s">
        <v>170</v>
      </c>
      <c r="C32" s="111" t="s">
        <v>171</v>
      </c>
      <c r="D32" s="111">
        <v>102</v>
      </c>
      <c r="E32" s="111" t="s">
        <v>253</v>
      </c>
      <c r="F32" s="111"/>
      <c r="G32" s="111" t="s">
        <v>480</v>
      </c>
      <c r="H32" s="111">
        <v>1021100142</v>
      </c>
      <c r="I32" s="146" t="str">
        <f t="shared" si="0"/>
        <v>1100142</v>
      </c>
      <c r="J32" s="145" t="str">
        <f t="shared" si="1"/>
        <v>KN1100142</v>
      </c>
      <c r="K32" s="111" t="s">
        <v>481</v>
      </c>
      <c r="L32" s="111" t="s">
        <v>482</v>
      </c>
      <c r="M32" s="111" t="s">
        <v>483</v>
      </c>
      <c r="N32" s="111" t="s">
        <v>138</v>
      </c>
      <c r="O32" s="111"/>
      <c r="P32" s="111" t="s">
        <v>484</v>
      </c>
      <c r="Q32" s="148">
        <v>31981</v>
      </c>
      <c r="R32" s="111" t="s">
        <v>170</v>
      </c>
      <c r="S32" s="111">
        <f t="shared" ca="1" si="85"/>
        <v>38</v>
      </c>
      <c r="T32" s="111" t="s">
        <v>485</v>
      </c>
      <c r="U32" s="111" t="s">
        <v>486</v>
      </c>
      <c r="V32" s="172">
        <v>778071710</v>
      </c>
      <c r="W32" s="111"/>
      <c r="X32" s="111" t="s">
        <v>181</v>
      </c>
      <c r="Y32" s="111">
        <v>11</v>
      </c>
      <c r="Z32" s="111" t="s">
        <v>456</v>
      </c>
      <c r="AA32" s="111" t="s">
        <v>457</v>
      </c>
      <c r="AB32" s="111" t="s">
        <v>458</v>
      </c>
      <c r="AC32" s="111" t="s">
        <v>146</v>
      </c>
      <c r="AD32" s="111" t="s">
        <v>147</v>
      </c>
      <c r="AE32" s="173" t="s">
        <v>136</v>
      </c>
      <c r="AF32" s="173" t="s">
        <v>136</v>
      </c>
      <c r="AG32" s="174">
        <v>45911</v>
      </c>
      <c r="AH32" s="175">
        <v>50000</v>
      </c>
      <c r="AI32" s="111">
        <v>12</v>
      </c>
      <c r="AJ32" s="111">
        <v>0</v>
      </c>
      <c r="AK32" s="150">
        <f t="shared" si="80"/>
        <v>12</v>
      </c>
      <c r="AL32" s="177">
        <v>25000</v>
      </c>
      <c r="AM32" s="176">
        <v>0.18</v>
      </c>
      <c r="AN32" s="177">
        <f t="shared" si="92"/>
        <v>4500</v>
      </c>
      <c r="AO32" s="157">
        <f t="shared" si="96"/>
        <v>29500</v>
      </c>
      <c r="AP32" s="158">
        <f t="shared" si="3"/>
        <v>2458.3333333333335</v>
      </c>
      <c r="AQ32" s="111" t="s">
        <v>136</v>
      </c>
      <c r="AR32" s="111" t="s">
        <v>170</v>
      </c>
      <c r="AS32" s="111" t="s">
        <v>486</v>
      </c>
      <c r="AT32" s="111" t="s">
        <v>487</v>
      </c>
      <c r="AU32" s="111" t="s">
        <v>485</v>
      </c>
      <c r="AV32" s="111">
        <v>7</v>
      </c>
      <c r="AW32" s="111" t="s">
        <v>136</v>
      </c>
      <c r="AX32" s="111" t="s">
        <v>136</v>
      </c>
      <c r="AY32" s="111" t="s">
        <v>136</v>
      </c>
      <c r="AZ32" s="111" t="s">
        <v>136</v>
      </c>
      <c r="BA32" s="111" t="s">
        <v>136</v>
      </c>
      <c r="BB32" s="111" t="s">
        <v>136</v>
      </c>
      <c r="BC32" s="111" t="s">
        <v>136</v>
      </c>
      <c r="BD32" s="111" t="s">
        <v>136</v>
      </c>
      <c r="BE32" s="111" t="s">
        <v>136</v>
      </c>
      <c r="BF32" s="111" t="s">
        <v>136</v>
      </c>
      <c r="BG32" s="111" t="s">
        <v>136</v>
      </c>
      <c r="BH32" s="111" t="s">
        <v>136</v>
      </c>
      <c r="BI32" s="111" t="s">
        <v>136</v>
      </c>
      <c r="BJ32" s="111" t="s">
        <v>136</v>
      </c>
      <c r="BK32" s="111" t="s">
        <v>136</v>
      </c>
      <c r="BL32" s="111" t="s">
        <v>136</v>
      </c>
      <c r="BM32" s="111" t="s">
        <v>136</v>
      </c>
      <c r="BN32" s="111" t="s">
        <v>136</v>
      </c>
      <c r="BO32" s="111" t="s">
        <v>136</v>
      </c>
      <c r="BP32" s="111" t="s">
        <v>421</v>
      </c>
      <c r="BQ32" s="111" t="s">
        <v>488</v>
      </c>
      <c r="BR32" s="111" t="s">
        <v>489</v>
      </c>
      <c r="BS32" s="111" t="s">
        <v>490</v>
      </c>
      <c r="BT32" s="182" t="s">
        <v>425</v>
      </c>
      <c r="BU32" s="111" t="s">
        <v>485</v>
      </c>
      <c r="BV32" s="111" t="s">
        <v>486</v>
      </c>
      <c r="BW32" s="111"/>
      <c r="BX32" s="111"/>
      <c r="BY32" s="111"/>
      <c r="BZ32" s="111"/>
      <c r="CA32" s="111"/>
      <c r="CB32" s="111"/>
      <c r="CC32" s="178"/>
      <c r="CD32" s="177">
        <f t="shared" si="4"/>
        <v>25000</v>
      </c>
      <c r="CE32" s="148">
        <v>45951</v>
      </c>
      <c r="CF32" s="111">
        <f t="shared" si="5"/>
        <v>12</v>
      </c>
      <c r="CG32" s="177">
        <f t="shared" si="6"/>
        <v>29500</v>
      </c>
      <c r="CH32" s="203">
        <f t="shared" si="95"/>
        <v>0</v>
      </c>
      <c r="CI32" s="148">
        <v>45951</v>
      </c>
      <c r="CJ32" s="161">
        <f t="shared" si="81"/>
        <v>45982</v>
      </c>
      <c r="CK32" s="162">
        <f t="shared" si="82"/>
        <v>46316</v>
      </c>
      <c r="CL32" s="183"/>
      <c r="CM32" s="164">
        <f t="shared" ca="1" si="8"/>
        <v>46054</v>
      </c>
      <c r="CN32" s="165">
        <f t="shared" si="9"/>
        <v>45982</v>
      </c>
      <c r="CO32" s="109">
        <f t="shared" si="10"/>
        <v>2084.7457627118642</v>
      </c>
      <c r="CP32" s="109">
        <f t="shared" si="11"/>
        <v>375.25423728813564</v>
      </c>
      <c r="CQ32" s="109">
        <v>2460</v>
      </c>
      <c r="CR32" s="109">
        <f t="shared" si="12"/>
        <v>1.6666666666665151</v>
      </c>
      <c r="CS32" s="166">
        <v>45981</v>
      </c>
      <c r="CT32" s="167">
        <f t="shared" si="13"/>
        <v>0</v>
      </c>
      <c r="CU32" s="165">
        <f t="shared" si="14"/>
        <v>46012</v>
      </c>
      <c r="CV32" s="109">
        <f t="shared" si="15"/>
        <v>2084.7457627118642</v>
      </c>
      <c r="CW32" s="109">
        <f t="shared" si="16"/>
        <v>375.25423728813564</v>
      </c>
      <c r="CX32" s="109">
        <v>2460</v>
      </c>
      <c r="CY32" s="109">
        <f t="shared" si="17"/>
        <v>1.6666666666665151</v>
      </c>
      <c r="CZ32" s="166">
        <v>46028</v>
      </c>
      <c r="DA32" s="167">
        <f t="shared" si="18"/>
        <v>16</v>
      </c>
      <c r="DB32" s="165">
        <f t="shared" si="19"/>
        <v>46043</v>
      </c>
      <c r="DC32" s="109">
        <f t="shared" si="20"/>
        <v>2084.7457627118642</v>
      </c>
      <c r="DD32" s="109">
        <f t="shared" si="21"/>
        <v>375.25423728813564</v>
      </c>
      <c r="DE32" s="109">
        <v>2460</v>
      </c>
      <c r="DF32" s="109">
        <f t="shared" si="22"/>
        <v>1.6666666666665151</v>
      </c>
      <c r="DG32" s="166">
        <v>46028</v>
      </c>
      <c r="DH32" s="167">
        <f t="shared" si="23"/>
        <v>0</v>
      </c>
      <c r="DI32" s="165">
        <f t="shared" si="24"/>
        <v>46074</v>
      </c>
      <c r="DJ32" s="109">
        <f t="shared" si="25"/>
        <v>0</v>
      </c>
      <c r="DK32" s="109">
        <f t="shared" si="26"/>
        <v>0</v>
      </c>
      <c r="DL32" s="109">
        <v>0</v>
      </c>
      <c r="DM32" s="109">
        <f t="shared" si="27"/>
        <v>0</v>
      </c>
      <c r="DN32" s="166">
        <f t="shared" ca="1" si="87"/>
        <v>46054</v>
      </c>
      <c r="DO32" s="167">
        <f t="shared" ca="1" si="28"/>
        <v>0</v>
      </c>
      <c r="DP32" s="165">
        <f t="shared" si="93"/>
        <v>46105</v>
      </c>
      <c r="DQ32" s="109">
        <f t="shared" si="29"/>
        <v>0</v>
      </c>
      <c r="DR32" s="109">
        <f t="shared" si="94"/>
        <v>0</v>
      </c>
      <c r="DS32" s="109"/>
      <c r="DT32" s="109">
        <f t="shared" si="30"/>
        <v>0</v>
      </c>
      <c r="DU32" s="166">
        <f t="shared" ca="1" si="88"/>
        <v>46054</v>
      </c>
      <c r="DV32" s="167">
        <f t="shared" ca="1" si="31"/>
        <v>0</v>
      </c>
      <c r="DW32" s="165">
        <f t="shared" si="32"/>
        <v>46136</v>
      </c>
      <c r="DX32" s="109">
        <f t="shared" si="33"/>
        <v>0</v>
      </c>
      <c r="DY32" s="109">
        <f t="shared" si="34"/>
        <v>0</v>
      </c>
      <c r="DZ32" s="109"/>
      <c r="EA32" s="109">
        <f t="shared" si="35"/>
        <v>0</v>
      </c>
      <c r="EB32" s="166">
        <f t="shared" ca="1" si="89"/>
        <v>46054</v>
      </c>
      <c r="EC32" s="167">
        <f t="shared" ca="1" si="36"/>
        <v>0</v>
      </c>
      <c r="ED32" s="165">
        <f t="shared" si="37"/>
        <v>46166</v>
      </c>
      <c r="EE32" s="109">
        <f t="shared" si="38"/>
        <v>0</v>
      </c>
      <c r="EF32" s="109">
        <f t="shared" si="39"/>
        <v>0</v>
      </c>
      <c r="EG32" s="109"/>
      <c r="EH32" s="109">
        <f t="shared" si="40"/>
        <v>0</v>
      </c>
      <c r="EI32" s="166">
        <f t="shared" ca="1" si="90"/>
        <v>46054</v>
      </c>
      <c r="EJ32" s="167">
        <f t="shared" ca="1" si="41"/>
        <v>0</v>
      </c>
      <c r="EK32" s="165">
        <f t="shared" si="42"/>
        <v>46197</v>
      </c>
      <c r="EL32" s="109">
        <f t="shared" si="43"/>
        <v>0</v>
      </c>
      <c r="EM32" s="109">
        <f t="shared" si="44"/>
        <v>0</v>
      </c>
      <c r="EN32" s="109"/>
      <c r="EO32" s="109">
        <f t="shared" si="45"/>
        <v>0</v>
      </c>
      <c r="EP32" s="166">
        <f t="shared" ca="1" si="91"/>
        <v>46054</v>
      </c>
      <c r="EQ32" s="167">
        <f t="shared" ca="1" si="46"/>
        <v>0</v>
      </c>
      <c r="ER32" s="165">
        <f t="shared" si="47"/>
        <v>46227</v>
      </c>
      <c r="ES32" s="109">
        <f t="shared" si="48"/>
        <v>0</v>
      </c>
      <c r="ET32" s="109">
        <f t="shared" si="49"/>
        <v>0</v>
      </c>
      <c r="EU32" s="109"/>
      <c r="EV32" s="109"/>
      <c r="EW32" s="166"/>
      <c r="EX32" s="166"/>
      <c r="EY32" s="165">
        <f t="shared" si="50"/>
        <v>46258</v>
      </c>
      <c r="EZ32" s="109">
        <f t="shared" si="51"/>
        <v>0</v>
      </c>
      <c r="FA32" s="109">
        <f t="shared" si="52"/>
        <v>0</v>
      </c>
      <c r="FB32" s="109"/>
      <c r="FC32" s="109"/>
      <c r="FD32" s="166"/>
      <c r="FE32" s="166"/>
      <c r="FF32" s="165">
        <f t="shared" si="53"/>
        <v>46289</v>
      </c>
      <c r="FG32" s="109">
        <f t="shared" si="54"/>
        <v>0</v>
      </c>
      <c r="FH32" s="109">
        <f t="shared" si="55"/>
        <v>0</v>
      </c>
      <c r="FI32" s="109"/>
      <c r="FJ32" s="109"/>
      <c r="FK32" s="166"/>
      <c r="FL32" s="166"/>
      <c r="FM32" s="165">
        <f t="shared" si="56"/>
        <v>46319</v>
      </c>
      <c r="FN32" s="109">
        <f t="shared" si="57"/>
        <v>0</v>
      </c>
      <c r="FO32" s="109">
        <f t="shared" si="58"/>
        <v>0</v>
      </c>
      <c r="FP32" s="109"/>
      <c r="FQ32" s="109"/>
      <c r="FR32" s="166"/>
      <c r="FS32" s="166"/>
      <c r="FT32" s="165"/>
      <c r="FU32" s="109"/>
      <c r="FV32" s="109"/>
      <c r="FW32" s="109"/>
      <c r="FX32" s="109"/>
      <c r="FY32" s="166"/>
      <c r="FZ32" s="166"/>
      <c r="GA32" s="165"/>
      <c r="GB32" s="109"/>
      <c r="GC32" s="109"/>
      <c r="GD32" s="109"/>
      <c r="GE32" s="109"/>
      <c r="GF32" s="166"/>
      <c r="GG32" s="166"/>
      <c r="GH32" s="165"/>
      <c r="GI32" s="109"/>
      <c r="GJ32" s="109"/>
      <c r="GK32" s="109"/>
      <c r="GL32" s="109"/>
      <c r="GM32" s="166"/>
      <c r="GN32" s="166"/>
      <c r="GO32" s="165"/>
      <c r="GP32" s="109"/>
      <c r="GQ32" s="109"/>
      <c r="GR32" s="109"/>
      <c r="GS32" s="109"/>
      <c r="GT32" s="166"/>
      <c r="GU32" s="166"/>
      <c r="GV32" s="165"/>
      <c r="GW32" s="168"/>
      <c r="GX32" s="168"/>
      <c r="GY32" s="168"/>
      <c r="GZ32" s="168"/>
      <c r="HA32" s="166"/>
      <c r="HB32" s="166"/>
      <c r="HC32" s="165"/>
      <c r="HD32" s="109"/>
      <c r="HE32" s="109"/>
      <c r="HF32" s="109"/>
      <c r="HG32" s="109"/>
      <c r="HH32" s="166"/>
      <c r="HI32" s="166"/>
      <c r="HJ32" s="165"/>
      <c r="HK32" s="109"/>
      <c r="HL32" s="109"/>
      <c r="HM32" s="109"/>
      <c r="HN32" s="109"/>
      <c r="HO32" s="166"/>
      <c r="HP32" s="166"/>
      <c r="HQ32" s="165"/>
      <c r="HR32" s="109"/>
      <c r="HS32" s="109"/>
      <c r="HT32" s="109"/>
      <c r="HU32" s="109"/>
      <c r="HV32" s="166"/>
      <c r="HW32" s="166"/>
      <c r="HX32" s="105">
        <f t="shared" si="86"/>
        <v>6254.2372881355932</v>
      </c>
      <c r="HY32" s="105">
        <f t="shared" si="83"/>
        <v>1125.7627118644068</v>
      </c>
      <c r="HZ32" s="105">
        <f t="shared" si="83"/>
        <v>7380</v>
      </c>
      <c r="IA32" s="105">
        <f t="shared" si="68"/>
        <v>0</v>
      </c>
      <c r="IB32" s="109">
        <f t="shared" si="69"/>
        <v>22120</v>
      </c>
      <c r="IC32" s="109">
        <f t="shared" si="70"/>
        <v>18745.762711864409</v>
      </c>
      <c r="ID32" s="109">
        <f t="shared" si="71"/>
        <v>0</v>
      </c>
      <c r="IE32" s="109">
        <f t="shared" ca="1" si="72"/>
        <v>16</v>
      </c>
      <c r="IF32" s="139">
        <f t="shared" si="73"/>
        <v>3.0020338983050845</v>
      </c>
      <c r="IG32" s="139">
        <f t="shared" ca="1" si="74"/>
        <v>72</v>
      </c>
      <c r="IH32" s="169">
        <f t="shared" ca="1" si="75"/>
        <v>2.4</v>
      </c>
      <c r="II32" s="139">
        <f t="shared" ca="1" si="76"/>
        <v>-0.60203389830508458</v>
      </c>
      <c r="IJ32" s="169">
        <f t="shared" ca="1" si="77"/>
        <v>0</v>
      </c>
      <c r="IK32" s="169">
        <f t="shared" ca="1" si="84"/>
        <v>-0.60203389830508458</v>
      </c>
      <c r="IL32" s="170">
        <f t="shared" ca="1" si="78"/>
        <v>-1479.9999999999998</v>
      </c>
      <c r="IM32" s="171"/>
      <c r="IN32" s="171"/>
      <c r="IO32" s="171"/>
      <c r="IP32" s="171"/>
    </row>
    <row r="33" spans="1:259" ht="15" thickBot="1" x14ac:dyDescent="0.35">
      <c r="A33" s="110">
        <f t="shared" si="79"/>
        <v>29</v>
      </c>
      <c r="B33" s="111" t="s">
        <v>170</v>
      </c>
      <c r="C33" s="111" t="s">
        <v>171</v>
      </c>
      <c r="D33" s="111">
        <v>102</v>
      </c>
      <c r="E33" s="111" t="s">
        <v>253</v>
      </c>
      <c r="F33" s="111"/>
      <c r="G33" s="111" t="s">
        <v>491</v>
      </c>
      <c r="H33" s="111">
        <v>1021100143</v>
      </c>
      <c r="I33" s="146" t="str">
        <f t="shared" si="0"/>
        <v>1100143</v>
      </c>
      <c r="J33" s="145" t="str">
        <f t="shared" si="1"/>
        <v>KN1100143</v>
      </c>
      <c r="K33" s="111" t="s">
        <v>492</v>
      </c>
      <c r="L33" s="111" t="s">
        <v>275</v>
      </c>
      <c r="M33" s="111" t="s">
        <v>165</v>
      </c>
      <c r="N33" s="111" t="s">
        <v>138</v>
      </c>
      <c r="O33" s="111"/>
      <c r="P33" s="111" t="s">
        <v>493</v>
      </c>
      <c r="Q33" s="148">
        <v>37020</v>
      </c>
      <c r="R33" s="111" t="s">
        <v>170</v>
      </c>
      <c r="S33" s="111">
        <f t="shared" ca="1" si="85"/>
        <v>24</v>
      </c>
      <c r="T33" s="111" t="s">
        <v>229</v>
      </c>
      <c r="U33" s="111" t="s">
        <v>217</v>
      </c>
      <c r="V33" s="172">
        <v>774671891</v>
      </c>
      <c r="W33" s="111"/>
      <c r="X33" s="111" t="s">
        <v>181</v>
      </c>
      <c r="Y33" s="111">
        <v>11</v>
      </c>
      <c r="Z33" s="111" t="s">
        <v>235</v>
      </c>
      <c r="AA33" s="111" t="s">
        <v>261</v>
      </c>
      <c r="AB33" s="111" t="s">
        <v>236</v>
      </c>
      <c r="AC33" s="111" t="s">
        <v>146</v>
      </c>
      <c r="AD33" s="111" t="s">
        <v>147</v>
      </c>
      <c r="AE33" s="173" t="s">
        <v>136</v>
      </c>
      <c r="AF33" s="173" t="s">
        <v>136</v>
      </c>
      <c r="AG33" s="174">
        <v>45943</v>
      </c>
      <c r="AH33" s="175">
        <v>50000</v>
      </c>
      <c r="AI33" s="111">
        <v>12</v>
      </c>
      <c r="AJ33" s="111">
        <v>0</v>
      </c>
      <c r="AK33" s="150">
        <f t="shared" si="80"/>
        <v>12</v>
      </c>
      <c r="AL33" s="177">
        <v>50000</v>
      </c>
      <c r="AM33" s="176">
        <v>0.16</v>
      </c>
      <c r="AN33" s="177">
        <f t="shared" si="92"/>
        <v>8000</v>
      </c>
      <c r="AO33" s="157">
        <f t="shared" si="96"/>
        <v>58000</v>
      </c>
      <c r="AP33" s="158">
        <f t="shared" si="3"/>
        <v>4833.333333333333</v>
      </c>
      <c r="AQ33" s="111" t="s">
        <v>136</v>
      </c>
      <c r="AR33" s="111" t="s">
        <v>170</v>
      </c>
      <c r="AS33" s="111" t="s">
        <v>217</v>
      </c>
      <c r="AT33" s="111" t="s">
        <v>289</v>
      </c>
      <c r="AU33" s="111" t="s">
        <v>229</v>
      </c>
      <c r="AV33" s="111">
        <v>4</v>
      </c>
      <c r="AW33" s="111" t="s">
        <v>136</v>
      </c>
      <c r="AX33" s="111" t="s">
        <v>136</v>
      </c>
      <c r="AY33" s="111" t="s">
        <v>136</v>
      </c>
      <c r="AZ33" s="111" t="s">
        <v>136</v>
      </c>
      <c r="BA33" s="111" t="s">
        <v>136</v>
      </c>
      <c r="BB33" s="111" t="s">
        <v>136</v>
      </c>
      <c r="BC33" s="111" t="s">
        <v>136</v>
      </c>
      <c r="BD33" s="111" t="s">
        <v>136</v>
      </c>
      <c r="BE33" s="111" t="s">
        <v>136</v>
      </c>
      <c r="BF33" s="111" t="s">
        <v>136</v>
      </c>
      <c r="BG33" s="111" t="s">
        <v>136</v>
      </c>
      <c r="BH33" s="111" t="s">
        <v>136</v>
      </c>
      <c r="BI33" s="111" t="s">
        <v>136</v>
      </c>
      <c r="BJ33" s="111" t="s">
        <v>136</v>
      </c>
      <c r="BK33" s="111" t="s">
        <v>136</v>
      </c>
      <c r="BL33" s="111" t="s">
        <v>136</v>
      </c>
      <c r="BM33" s="111" t="s">
        <v>136</v>
      </c>
      <c r="BN33" s="111" t="s">
        <v>136</v>
      </c>
      <c r="BO33" s="111" t="s">
        <v>136</v>
      </c>
      <c r="BP33" s="111" t="s">
        <v>494</v>
      </c>
      <c r="BQ33" s="111" t="s">
        <v>495</v>
      </c>
      <c r="BR33" s="111" t="s">
        <v>496</v>
      </c>
      <c r="BS33" s="111" t="s">
        <v>497</v>
      </c>
      <c r="BT33" s="182" t="s">
        <v>498</v>
      </c>
      <c r="BU33" s="111" t="s">
        <v>229</v>
      </c>
      <c r="BV33" s="111" t="s">
        <v>217</v>
      </c>
      <c r="BW33" s="111"/>
      <c r="BX33" s="111"/>
      <c r="BY33" s="111"/>
      <c r="BZ33" s="111"/>
      <c r="CA33" s="111"/>
      <c r="CB33" s="111"/>
      <c r="CC33" s="178"/>
      <c r="CD33" s="177">
        <f t="shared" si="4"/>
        <v>50000</v>
      </c>
      <c r="CE33" s="148">
        <v>45977</v>
      </c>
      <c r="CF33" s="111">
        <f t="shared" si="5"/>
        <v>12</v>
      </c>
      <c r="CG33" s="177">
        <f t="shared" si="6"/>
        <v>58000</v>
      </c>
      <c r="CH33" s="203">
        <f t="shared" si="95"/>
        <v>0</v>
      </c>
      <c r="CI33" s="148">
        <v>45977</v>
      </c>
      <c r="CJ33" s="161">
        <f t="shared" si="81"/>
        <v>46007</v>
      </c>
      <c r="CK33" s="162">
        <f t="shared" si="82"/>
        <v>46342</v>
      </c>
      <c r="CL33" s="183"/>
      <c r="CM33" s="164">
        <f t="shared" ca="1" si="8"/>
        <v>46054</v>
      </c>
      <c r="CN33" s="165">
        <f t="shared" si="9"/>
        <v>46007</v>
      </c>
      <c r="CO33" s="109">
        <f t="shared" si="10"/>
        <v>4172.4137931034484</v>
      </c>
      <c r="CP33" s="109">
        <f t="shared" si="11"/>
        <v>667.58620689655174</v>
      </c>
      <c r="CQ33" s="109">
        <v>4840</v>
      </c>
      <c r="CR33" s="109">
        <f t="shared" si="12"/>
        <v>6.6666666666669698</v>
      </c>
      <c r="CS33" s="166">
        <v>46008</v>
      </c>
      <c r="CT33" s="167">
        <f t="shared" si="13"/>
        <v>1</v>
      </c>
      <c r="CU33" s="165">
        <f t="shared" si="14"/>
        <v>46038</v>
      </c>
      <c r="CV33" s="109">
        <f t="shared" si="15"/>
        <v>0</v>
      </c>
      <c r="CW33" s="109">
        <f t="shared" si="16"/>
        <v>0</v>
      </c>
      <c r="CX33" s="109"/>
      <c r="CY33" s="109">
        <f t="shared" si="17"/>
        <v>0</v>
      </c>
      <c r="CZ33" s="166">
        <f ca="1">TODAY()</f>
        <v>46054</v>
      </c>
      <c r="DA33" s="167">
        <f t="shared" ca="1" si="18"/>
        <v>16</v>
      </c>
      <c r="DB33" s="165">
        <f t="shared" si="19"/>
        <v>46069</v>
      </c>
      <c r="DC33" s="109">
        <f t="shared" si="20"/>
        <v>0</v>
      </c>
      <c r="DD33" s="109">
        <f t="shared" si="21"/>
        <v>0</v>
      </c>
      <c r="DE33" s="109"/>
      <c r="DF33" s="109">
        <f t="shared" si="22"/>
        <v>0</v>
      </c>
      <c r="DG33" s="166">
        <f t="shared" ref="DG33:DG70" ca="1" si="106">TODAY()</f>
        <v>46054</v>
      </c>
      <c r="DH33" s="167">
        <f t="shared" ca="1" si="23"/>
        <v>0</v>
      </c>
      <c r="DI33" s="165">
        <f t="shared" si="24"/>
        <v>46097</v>
      </c>
      <c r="DJ33" s="109">
        <f t="shared" si="25"/>
        <v>0</v>
      </c>
      <c r="DK33" s="109">
        <f t="shared" si="26"/>
        <v>0</v>
      </c>
      <c r="DL33" s="109">
        <v>0</v>
      </c>
      <c r="DM33" s="109">
        <f t="shared" si="27"/>
        <v>0</v>
      </c>
      <c r="DN33" s="166">
        <f t="shared" ca="1" si="87"/>
        <v>46054</v>
      </c>
      <c r="DO33" s="167">
        <f t="shared" ca="1" si="28"/>
        <v>0</v>
      </c>
      <c r="DP33" s="165">
        <f t="shared" si="93"/>
        <v>46128</v>
      </c>
      <c r="DQ33" s="109">
        <f t="shared" si="29"/>
        <v>0</v>
      </c>
      <c r="DR33" s="109">
        <f t="shared" si="94"/>
        <v>0</v>
      </c>
      <c r="DS33" s="109"/>
      <c r="DT33" s="109">
        <f t="shared" si="30"/>
        <v>0</v>
      </c>
      <c r="DU33" s="166">
        <f t="shared" ca="1" si="88"/>
        <v>46054</v>
      </c>
      <c r="DV33" s="167">
        <f t="shared" ca="1" si="31"/>
        <v>0</v>
      </c>
      <c r="DW33" s="165">
        <f t="shared" si="32"/>
        <v>46158</v>
      </c>
      <c r="DX33" s="109">
        <f t="shared" si="33"/>
        <v>0</v>
      </c>
      <c r="DY33" s="109">
        <f t="shared" si="34"/>
        <v>0</v>
      </c>
      <c r="DZ33" s="109"/>
      <c r="EA33" s="109">
        <f t="shared" si="35"/>
        <v>0</v>
      </c>
      <c r="EB33" s="166">
        <f t="shared" ca="1" si="89"/>
        <v>46054</v>
      </c>
      <c r="EC33" s="167">
        <f t="shared" ca="1" si="36"/>
        <v>0</v>
      </c>
      <c r="ED33" s="165">
        <f t="shared" si="37"/>
        <v>46189</v>
      </c>
      <c r="EE33" s="109">
        <f t="shared" si="38"/>
        <v>0</v>
      </c>
      <c r="EF33" s="109">
        <f t="shared" si="39"/>
        <v>0</v>
      </c>
      <c r="EG33" s="109"/>
      <c r="EH33" s="109">
        <f t="shared" si="40"/>
        <v>0</v>
      </c>
      <c r="EI33" s="166">
        <f t="shared" ca="1" si="90"/>
        <v>46054</v>
      </c>
      <c r="EJ33" s="167">
        <f t="shared" ca="1" si="41"/>
        <v>0</v>
      </c>
      <c r="EK33" s="165">
        <f t="shared" si="42"/>
        <v>46219</v>
      </c>
      <c r="EL33" s="109">
        <f t="shared" si="43"/>
        <v>0</v>
      </c>
      <c r="EM33" s="109">
        <f t="shared" si="44"/>
        <v>0</v>
      </c>
      <c r="EN33" s="109"/>
      <c r="EO33" s="109">
        <f t="shared" si="45"/>
        <v>0</v>
      </c>
      <c r="EP33" s="166">
        <f t="shared" ca="1" si="91"/>
        <v>46054</v>
      </c>
      <c r="EQ33" s="167">
        <f t="shared" ca="1" si="46"/>
        <v>0</v>
      </c>
      <c r="ER33" s="165">
        <f t="shared" si="47"/>
        <v>46250</v>
      </c>
      <c r="ES33" s="109">
        <f t="shared" si="48"/>
        <v>0</v>
      </c>
      <c r="ET33" s="109">
        <f t="shared" si="49"/>
        <v>0</v>
      </c>
      <c r="EU33" s="109"/>
      <c r="EV33" s="109"/>
      <c r="EW33" s="166"/>
      <c r="EX33" s="166"/>
      <c r="EY33" s="165">
        <f t="shared" si="50"/>
        <v>46281</v>
      </c>
      <c r="EZ33" s="109">
        <f t="shared" si="51"/>
        <v>0</v>
      </c>
      <c r="FA33" s="109">
        <f t="shared" si="52"/>
        <v>0</v>
      </c>
      <c r="FB33" s="109"/>
      <c r="FC33" s="109"/>
      <c r="FD33" s="166"/>
      <c r="FE33" s="166"/>
      <c r="FF33" s="165">
        <f t="shared" si="53"/>
        <v>46311</v>
      </c>
      <c r="FG33" s="109">
        <f t="shared" si="54"/>
        <v>0</v>
      </c>
      <c r="FH33" s="109">
        <f t="shared" si="55"/>
        <v>0</v>
      </c>
      <c r="FI33" s="109"/>
      <c r="FJ33" s="109"/>
      <c r="FK33" s="166"/>
      <c r="FL33" s="166"/>
      <c r="FM33" s="165">
        <f t="shared" si="56"/>
        <v>46342</v>
      </c>
      <c r="FN33" s="109">
        <f t="shared" si="57"/>
        <v>0</v>
      </c>
      <c r="FO33" s="109">
        <f t="shared" si="58"/>
        <v>0</v>
      </c>
      <c r="FP33" s="109"/>
      <c r="FQ33" s="109"/>
      <c r="FR33" s="166"/>
      <c r="FS33" s="166"/>
      <c r="FT33" s="165"/>
      <c r="FU33" s="109"/>
      <c r="FV33" s="109"/>
      <c r="FW33" s="109"/>
      <c r="FX33" s="109"/>
      <c r="FY33" s="166"/>
      <c r="FZ33" s="166"/>
      <c r="GA33" s="165"/>
      <c r="GB33" s="109"/>
      <c r="GC33" s="109"/>
      <c r="GD33" s="109"/>
      <c r="GE33" s="109"/>
      <c r="GF33" s="166"/>
      <c r="GG33" s="166"/>
      <c r="GH33" s="165"/>
      <c r="GI33" s="109"/>
      <c r="GJ33" s="109"/>
      <c r="GK33" s="109"/>
      <c r="GL33" s="109"/>
      <c r="GM33" s="166"/>
      <c r="GN33" s="166"/>
      <c r="GO33" s="165"/>
      <c r="GP33" s="109"/>
      <c r="GQ33" s="109"/>
      <c r="GR33" s="109"/>
      <c r="GS33" s="109"/>
      <c r="GT33" s="166"/>
      <c r="GU33" s="166"/>
      <c r="GV33" s="165"/>
      <c r="GW33" s="168"/>
      <c r="GX33" s="168"/>
      <c r="GY33" s="168"/>
      <c r="GZ33" s="168"/>
      <c r="HA33" s="166"/>
      <c r="HB33" s="166"/>
      <c r="HC33" s="165"/>
      <c r="HD33" s="109"/>
      <c r="HE33" s="109"/>
      <c r="HF33" s="109"/>
      <c r="HG33" s="109"/>
      <c r="HH33" s="166"/>
      <c r="HI33" s="166"/>
      <c r="HJ33" s="165"/>
      <c r="HK33" s="109"/>
      <c r="HL33" s="109"/>
      <c r="HM33" s="109"/>
      <c r="HN33" s="109"/>
      <c r="HO33" s="166"/>
      <c r="HP33" s="166"/>
      <c r="HQ33" s="165"/>
      <c r="HR33" s="109"/>
      <c r="HS33" s="109"/>
      <c r="HT33" s="109"/>
      <c r="HU33" s="109"/>
      <c r="HV33" s="166"/>
      <c r="HW33" s="166"/>
      <c r="HX33" s="105">
        <f t="shared" si="86"/>
        <v>4172.4137931034484</v>
      </c>
      <c r="HY33" s="105">
        <f t="shared" si="83"/>
        <v>667.58620689655174</v>
      </c>
      <c r="HZ33" s="105">
        <f t="shared" si="83"/>
        <v>4840</v>
      </c>
      <c r="IA33" s="105">
        <f t="shared" si="68"/>
        <v>0</v>
      </c>
      <c r="IB33" s="109">
        <f t="shared" si="69"/>
        <v>53160</v>
      </c>
      <c r="IC33" s="109">
        <f t="shared" si="70"/>
        <v>45827.586206896551</v>
      </c>
      <c r="ID33" s="109">
        <f t="shared" si="71"/>
        <v>0</v>
      </c>
      <c r="IE33" s="109">
        <f t="shared" ca="1" si="72"/>
        <v>17</v>
      </c>
      <c r="IF33" s="139">
        <f t="shared" si="73"/>
        <v>1.0013793103448276</v>
      </c>
      <c r="IG33" s="139">
        <f t="shared" ca="1" si="74"/>
        <v>47</v>
      </c>
      <c r="IH33" s="169">
        <f t="shared" ca="1" si="75"/>
        <v>1.5666666666666667</v>
      </c>
      <c r="II33" s="139">
        <f t="shared" ca="1" si="76"/>
        <v>0.56528735632183902</v>
      </c>
      <c r="IJ33" s="169">
        <f t="shared" ca="1" si="77"/>
        <v>16.95862068965517</v>
      </c>
      <c r="IK33" s="169">
        <f t="shared" ca="1" si="84"/>
        <v>0.56528735632183902</v>
      </c>
      <c r="IL33" s="170">
        <f t="shared" ca="1" si="78"/>
        <v>2732.2222222222217</v>
      </c>
      <c r="IM33" s="171"/>
      <c r="IN33" s="171"/>
      <c r="IO33" s="171"/>
      <c r="IP33" s="171"/>
    </row>
    <row r="34" spans="1:259" ht="15" thickBot="1" x14ac:dyDescent="0.35">
      <c r="A34" s="110">
        <f t="shared" si="79"/>
        <v>30</v>
      </c>
      <c r="B34" s="111" t="s">
        <v>170</v>
      </c>
      <c r="C34" s="111" t="s">
        <v>171</v>
      </c>
      <c r="D34" s="111">
        <v>102</v>
      </c>
      <c r="E34" s="111" t="s">
        <v>253</v>
      </c>
      <c r="F34" s="111"/>
      <c r="G34" s="111" t="s">
        <v>499</v>
      </c>
      <c r="H34" s="111">
        <v>1021100144</v>
      </c>
      <c r="I34" s="146" t="str">
        <f t="shared" si="0"/>
        <v>1100144</v>
      </c>
      <c r="J34" s="145" t="str">
        <f t="shared" si="1"/>
        <v>KN1100144</v>
      </c>
      <c r="K34" s="111" t="s">
        <v>500</v>
      </c>
      <c r="L34" s="111" t="s">
        <v>287</v>
      </c>
      <c r="M34" s="111" t="s">
        <v>501</v>
      </c>
      <c r="N34" s="111" t="s">
        <v>138</v>
      </c>
      <c r="O34" s="111"/>
      <c r="P34" s="111" t="s">
        <v>502</v>
      </c>
      <c r="Q34" s="148">
        <v>38892</v>
      </c>
      <c r="R34" s="111" t="s">
        <v>170</v>
      </c>
      <c r="S34" s="111">
        <f t="shared" ca="1" si="85"/>
        <v>19</v>
      </c>
      <c r="T34" s="111" t="s">
        <v>503</v>
      </c>
      <c r="U34" s="111" t="s">
        <v>504</v>
      </c>
      <c r="V34" s="172">
        <v>777252826</v>
      </c>
      <c r="W34" s="111"/>
      <c r="X34" s="111" t="s">
        <v>181</v>
      </c>
      <c r="Y34" s="111">
        <v>11</v>
      </c>
      <c r="Z34" s="111" t="s">
        <v>235</v>
      </c>
      <c r="AA34" s="111" t="s">
        <v>261</v>
      </c>
      <c r="AB34" s="111" t="s">
        <v>236</v>
      </c>
      <c r="AC34" s="111" t="s">
        <v>146</v>
      </c>
      <c r="AD34" s="111" t="s">
        <v>147</v>
      </c>
      <c r="AE34" s="173" t="s">
        <v>136</v>
      </c>
      <c r="AF34" s="173" t="s">
        <v>136</v>
      </c>
      <c r="AG34" s="174">
        <v>45923</v>
      </c>
      <c r="AH34" s="175">
        <v>300000</v>
      </c>
      <c r="AI34" s="111">
        <v>12</v>
      </c>
      <c r="AJ34" s="111">
        <v>0</v>
      </c>
      <c r="AK34" s="150">
        <f t="shared" si="80"/>
        <v>12</v>
      </c>
      <c r="AL34" s="177">
        <v>30000</v>
      </c>
      <c r="AM34" s="176">
        <v>0.18</v>
      </c>
      <c r="AN34" s="177">
        <f t="shared" si="92"/>
        <v>5400</v>
      </c>
      <c r="AO34" s="157">
        <f t="shared" si="96"/>
        <v>35400</v>
      </c>
      <c r="AP34" s="158">
        <f t="shared" si="3"/>
        <v>2950</v>
      </c>
      <c r="AQ34" s="111" t="s">
        <v>136</v>
      </c>
      <c r="AR34" s="111" t="s">
        <v>170</v>
      </c>
      <c r="AS34" s="111" t="s">
        <v>234</v>
      </c>
      <c r="AT34" s="111" t="s">
        <v>289</v>
      </c>
      <c r="AU34" s="111" t="s">
        <v>229</v>
      </c>
      <c r="AV34" s="111"/>
      <c r="AW34" s="111" t="s">
        <v>136</v>
      </c>
      <c r="AX34" s="111" t="s">
        <v>136</v>
      </c>
      <c r="AY34" s="111" t="s">
        <v>136</v>
      </c>
      <c r="AZ34" s="111" t="s">
        <v>136</v>
      </c>
      <c r="BA34" s="111" t="s">
        <v>136</v>
      </c>
      <c r="BB34" s="111" t="s">
        <v>136</v>
      </c>
      <c r="BC34" s="111" t="s">
        <v>136</v>
      </c>
      <c r="BD34" s="111" t="s">
        <v>136</v>
      </c>
      <c r="BE34" s="111" t="s">
        <v>136</v>
      </c>
      <c r="BF34" s="111" t="s">
        <v>136</v>
      </c>
      <c r="BG34" s="111" t="s">
        <v>136</v>
      </c>
      <c r="BH34" s="111" t="s">
        <v>136</v>
      </c>
      <c r="BI34" s="111" t="s">
        <v>136</v>
      </c>
      <c r="BJ34" s="111" t="s">
        <v>136</v>
      </c>
      <c r="BK34" s="111" t="s">
        <v>136</v>
      </c>
      <c r="BL34" s="111" t="s">
        <v>136</v>
      </c>
      <c r="BM34" s="111" t="s">
        <v>136</v>
      </c>
      <c r="BN34" s="111" t="s">
        <v>136</v>
      </c>
      <c r="BO34" s="111" t="s">
        <v>136</v>
      </c>
      <c r="BP34" s="111" t="s">
        <v>505</v>
      </c>
      <c r="BQ34" s="111" t="s">
        <v>506</v>
      </c>
      <c r="BR34" s="111" t="s">
        <v>507</v>
      </c>
      <c r="BS34" s="111" t="s">
        <v>508</v>
      </c>
      <c r="BT34" s="182" t="s">
        <v>509</v>
      </c>
      <c r="BU34" s="111" t="s">
        <v>229</v>
      </c>
      <c r="BV34" s="111" t="s">
        <v>217</v>
      </c>
      <c r="BW34" s="111"/>
      <c r="BX34" s="111"/>
      <c r="BY34" s="111"/>
      <c r="BZ34" s="111"/>
      <c r="CA34" s="111"/>
      <c r="CB34" s="111"/>
      <c r="CC34" s="178"/>
      <c r="CD34" s="177">
        <f t="shared" si="4"/>
        <v>30000</v>
      </c>
      <c r="CE34" s="148">
        <v>45951</v>
      </c>
      <c r="CF34" s="111">
        <f t="shared" si="5"/>
        <v>12</v>
      </c>
      <c r="CG34" s="177">
        <f t="shared" si="6"/>
        <v>35400</v>
      </c>
      <c r="CH34" s="203">
        <f t="shared" si="95"/>
        <v>0</v>
      </c>
      <c r="CI34" s="148">
        <v>45951</v>
      </c>
      <c r="CJ34" s="161">
        <f t="shared" si="81"/>
        <v>45982</v>
      </c>
      <c r="CK34" s="162">
        <f t="shared" si="82"/>
        <v>46316</v>
      </c>
      <c r="CL34" s="183"/>
      <c r="CM34" s="164">
        <f t="shared" ca="1" si="8"/>
        <v>46054</v>
      </c>
      <c r="CN34" s="165">
        <f t="shared" si="9"/>
        <v>45982</v>
      </c>
      <c r="CO34" s="109">
        <f t="shared" si="10"/>
        <v>2500</v>
      </c>
      <c r="CP34" s="109">
        <f t="shared" si="11"/>
        <v>450</v>
      </c>
      <c r="CQ34" s="109">
        <v>2950</v>
      </c>
      <c r="CR34" s="109">
        <f t="shared" si="12"/>
        <v>0</v>
      </c>
      <c r="CS34" s="166">
        <v>45983</v>
      </c>
      <c r="CT34" s="167">
        <f t="shared" si="13"/>
        <v>1</v>
      </c>
      <c r="CU34" s="165">
        <f t="shared" si="14"/>
        <v>46012</v>
      </c>
      <c r="CV34" s="109">
        <f t="shared" si="15"/>
        <v>2500</v>
      </c>
      <c r="CW34" s="109">
        <f t="shared" si="16"/>
        <v>450</v>
      </c>
      <c r="CX34" s="109">
        <v>2950</v>
      </c>
      <c r="CY34" s="109">
        <f t="shared" si="17"/>
        <v>0</v>
      </c>
      <c r="CZ34" s="166">
        <v>46012</v>
      </c>
      <c r="DA34" s="167">
        <f t="shared" si="18"/>
        <v>0</v>
      </c>
      <c r="DB34" s="165">
        <f t="shared" si="19"/>
        <v>46043</v>
      </c>
      <c r="DC34" s="109">
        <f t="shared" si="20"/>
        <v>0</v>
      </c>
      <c r="DD34" s="109">
        <f t="shared" si="21"/>
        <v>0</v>
      </c>
      <c r="DE34" s="109"/>
      <c r="DF34" s="109">
        <f t="shared" si="22"/>
        <v>0</v>
      </c>
      <c r="DG34" s="166">
        <f t="shared" ca="1" si="106"/>
        <v>46054</v>
      </c>
      <c r="DH34" s="167">
        <f t="shared" ca="1" si="23"/>
        <v>11</v>
      </c>
      <c r="DI34" s="165">
        <f t="shared" si="24"/>
        <v>46074</v>
      </c>
      <c r="DJ34" s="109">
        <f t="shared" si="25"/>
        <v>0</v>
      </c>
      <c r="DK34" s="109">
        <f t="shared" si="26"/>
        <v>0</v>
      </c>
      <c r="DL34" s="109">
        <v>0</v>
      </c>
      <c r="DM34" s="109">
        <f t="shared" si="27"/>
        <v>0</v>
      </c>
      <c r="DN34" s="166">
        <f t="shared" ca="1" si="87"/>
        <v>46054</v>
      </c>
      <c r="DO34" s="167">
        <f t="shared" ca="1" si="28"/>
        <v>0</v>
      </c>
      <c r="DP34" s="165">
        <f t="shared" si="93"/>
        <v>46105</v>
      </c>
      <c r="DQ34" s="109">
        <f t="shared" si="29"/>
        <v>0</v>
      </c>
      <c r="DR34" s="109">
        <f t="shared" si="94"/>
        <v>0</v>
      </c>
      <c r="DS34" s="109"/>
      <c r="DT34" s="109">
        <f t="shared" si="30"/>
        <v>0</v>
      </c>
      <c r="DU34" s="166">
        <f t="shared" ca="1" si="88"/>
        <v>46054</v>
      </c>
      <c r="DV34" s="167">
        <f t="shared" ca="1" si="31"/>
        <v>0</v>
      </c>
      <c r="DW34" s="165">
        <f t="shared" si="32"/>
        <v>46136</v>
      </c>
      <c r="DX34" s="109">
        <f t="shared" si="33"/>
        <v>0</v>
      </c>
      <c r="DY34" s="109">
        <f t="shared" si="34"/>
        <v>0</v>
      </c>
      <c r="DZ34" s="109"/>
      <c r="EA34" s="109">
        <f t="shared" si="35"/>
        <v>0</v>
      </c>
      <c r="EB34" s="166">
        <f t="shared" ca="1" si="89"/>
        <v>46054</v>
      </c>
      <c r="EC34" s="167">
        <f t="shared" ca="1" si="36"/>
        <v>0</v>
      </c>
      <c r="ED34" s="165">
        <f t="shared" si="37"/>
        <v>46166</v>
      </c>
      <c r="EE34" s="109">
        <f t="shared" si="38"/>
        <v>0</v>
      </c>
      <c r="EF34" s="109">
        <f t="shared" si="39"/>
        <v>0</v>
      </c>
      <c r="EG34" s="109"/>
      <c r="EH34" s="109">
        <f t="shared" si="40"/>
        <v>0</v>
      </c>
      <c r="EI34" s="166">
        <f t="shared" ca="1" si="90"/>
        <v>46054</v>
      </c>
      <c r="EJ34" s="167">
        <f t="shared" ca="1" si="41"/>
        <v>0</v>
      </c>
      <c r="EK34" s="165">
        <f t="shared" si="42"/>
        <v>46197</v>
      </c>
      <c r="EL34" s="109">
        <f t="shared" si="43"/>
        <v>0</v>
      </c>
      <c r="EM34" s="109">
        <f t="shared" si="44"/>
        <v>0</v>
      </c>
      <c r="EN34" s="109"/>
      <c r="EO34" s="109">
        <f t="shared" si="45"/>
        <v>0</v>
      </c>
      <c r="EP34" s="166">
        <f t="shared" ca="1" si="91"/>
        <v>46054</v>
      </c>
      <c r="EQ34" s="167">
        <f t="shared" ca="1" si="46"/>
        <v>0</v>
      </c>
      <c r="ER34" s="165">
        <f t="shared" si="47"/>
        <v>46227</v>
      </c>
      <c r="ES34" s="109">
        <f t="shared" si="48"/>
        <v>0</v>
      </c>
      <c r="ET34" s="109">
        <f t="shared" si="49"/>
        <v>0</v>
      </c>
      <c r="EU34" s="109"/>
      <c r="EV34" s="109"/>
      <c r="EW34" s="166"/>
      <c r="EX34" s="166"/>
      <c r="EY34" s="165">
        <f t="shared" si="50"/>
        <v>46258</v>
      </c>
      <c r="EZ34" s="109">
        <f t="shared" si="51"/>
        <v>0</v>
      </c>
      <c r="FA34" s="109">
        <f t="shared" si="52"/>
        <v>0</v>
      </c>
      <c r="FB34" s="109"/>
      <c r="FC34" s="109"/>
      <c r="FD34" s="166"/>
      <c r="FE34" s="166"/>
      <c r="FF34" s="165">
        <f t="shared" si="53"/>
        <v>46289</v>
      </c>
      <c r="FG34" s="109">
        <f t="shared" si="54"/>
        <v>0</v>
      </c>
      <c r="FH34" s="109">
        <f t="shared" si="55"/>
        <v>0</v>
      </c>
      <c r="FI34" s="109"/>
      <c r="FJ34" s="109"/>
      <c r="FK34" s="166"/>
      <c r="FL34" s="166"/>
      <c r="FM34" s="165">
        <f t="shared" si="56"/>
        <v>46319</v>
      </c>
      <c r="FN34" s="109">
        <f t="shared" si="57"/>
        <v>0</v>
      </c>
      <c r="FO34" s="109">
        <f t="shared" si="58"/>
        <v>0</v>
      </c>
      <c r="FP34" s="109"/>
      <c r="FQ34" s="109"/>
      <c r="FR34" s="166"/>
      <c r="FS34" s="166"/>
      <c r="FT34" s="165"/>
      <c r="FU34" s="109"/>
      <c r="FV34" s="109"/>
      <c r="FW34" s="109"/>
      <c r="FX34" s="109"/>
      <c r="FY34" s="166"/>
      <c r="FZ34" s="166"/>
      <c r="GA34" s="165"/>
      <c r="GB34" s="109"/>
      <c r="GC34" s="109"/>
      <c r="GD34" s="109"/>
      <c r="GE34" s="109"/>
      <c r="GF34" s="166"/>
      <c r="GG34" s="166"/>
      <c r="GH34" s="165"/>
      <c r="GI34" s="109"/>
      <c r="GJ34" s="109"/>
      <c r="GK34" s="109"/>
      <c r="GL34" s="109"/>
      <c r="GM34" s="166"/>
      <c r="GN34" s="166"/>
      <c r="GO34" s="165"/>
      <c r="GP34" s="109"/>
      <c r="GQ34" s="109"/>
      <c r="GR34" s="109"/>
      <c r="GS34" s="109"/>
      <c r="GT34" s="166"/>
      <c r="GU34" s="166"/>
      <c r="GV34" s="165"/>
      <c r="GW34" s="168"/>
      <c r="GX34" s="168"/>
      <c r="GY34" s="168"/>
      <c r="GZ34" s="168"/>
      <c r="HA34" s="166"/>
      <c r="HB34" s="166"/>
      <c r="HC34" s="165"/>
      <c r="HD34" s="109"/>
      <c r="HE34" s="109"/>
      <c r="HF34" s="109"/>
      <c r="HG34" s="109"/>
      <c r="HH34" s="166"/>
      <c r="HI34" s="166"/>
      <c r="HJ34" s="165"/>
      <c r="HK34" s="109"/>
      <c r="HL34" s="109"/>
      <c r="HM34" s="109"/>
      <c r="HN34" s="109"/>
      <c r="HO34" s="166"/>
      <c r="HP34" s="166"/>
      <c r="HQ34" s="165"/>
      <c r="HR34" s="109"/>
      <c r="HS34" s="109"/>
      <c r="HT34" s="109"/>
      <c r="HU34" s="109"/>
      <c r="HV34" s="166"/>
      <c r="HW34" s="166"/>
      <c r="HX34" s="105">
        <f t="shared" si="86"/>
        <v>5000</v>
      </c>
      <c r="HY34" s="105">
        <f t="shared" si="83"/>
        <v>900</v>
      </c>
      <c r="HZ34" s="105">
        <f t="shared" si="83"/>
        <v>5900</v>
      </c>
      <c r="IA34" s="105">
        <f t="shared" si="68"/>
        <v>0</v>
      </c>
      <c r="IB34" s="109">
        <f t="shared" si="69"/>
        <v>29500</v>
      </c>
      <c r="IC34" s="109">
        <f t="shared" si="70"/>
        <v>25000</v>
      </c>
      <c r="ID34" s="109">
        <f t="shared" si="71"/>
        <v>0</v>
      </c>
      <c r="IE34" s="109">
        <f t="shared" ca="1" si="72"/>
        <v>12</v>
      </c>
      <c r="IF34" s="139">
        <f t="shared" si="73"/>
        <v>2</v>
      </c>
      <c r="IG34" s="139">
        <f t="shared" ca="1" si="74"/>
        <v>72</v>
      </c>
      <c r="IH34" s="169">
        <f t="shared" ca="1" si="75"/>
        <v>2.4</v>
      </c>
      <c r="II34" s="139">
        <f t="shared" ca="1" si="76"/>
        <v>0.39999999999999991</v>
      </c>
      <c r="IJ34" s="169">
        <f t="shared" ca="1" si="77"/>
        <v>11.999999999999996</v>
      </c>
      <c r="IK34" s="169">
        <f t="shared" ca="1" si="84"/>
        <v>0.39999999999999991</v>
      </c>
      <c r="IL34" s="170">
        <f t="shared" ca="1" si="78"/>
        <v>1179.9999999999998</v>
      </c>
      <c r="IM34" s="171"/>
      <c r="IN34" s="171"/>
      <c r="IO34" s="171"/>
      <c r="IP34" s="171"/>
      <c r="IR34" s="3"/>
    </row>
    <row r="35" spans="1:259" ht="15" thickBot="1" x14ac:dyDescent="0.35">
      <c r="A35" s="110">
        <f t="shared" si="79"/>
        <v>31</v>
      </c>
      <c r="B35" s="111" t="s">
        <v>170</v>
      </c>
      <c r="C35" s="111" t="s">
        <v>171</v>
      </c>
      <c r="D35" s="111">
        <v>102</v>
      </c>
      <c r="E35" s="111" t="s">
        <v>253</v>
      </c>
      <c r="F35" s="111"/>
      <c r="G35" s="111" t="s">
        <v>510</v>
      </c>
      <c r="H35" s="111">
        <v>1021100145</v>
      </c>
      <c r="I35" s="146" t="str">
        <f t="shared" si="0"/>
        <v>1100145</v>
      </c>
      <c r="J35" s="145" t="str">
        <f t="shared" si="1"/>
        <v>KN1100145</v>
      </c>
      <c r="K35" s="111" t="s">
        <v>511</v>
      </c>
      <c r="L35" s="111" t="s">
        <v>316</v>
      </c>
      <c r="M35" s="111" t="s">
        <v>512</v>
      </c>
      <c r="N35" s="111" t="s">
        <v>138</v>
      </c>
      <c r="O35" s="111"/>
      <c r="P35" s="111" t="s">
        <v>513</v>
      </c>
      <c r="Q35" s="148">
        <v>33656</v>
      </c>
      <c r="R35" s="111" t="s">
        <v>170</v>
      </c>
      <c r="S35" s="111">
        <f t="shared" ca="1" si="85"/>
        <v>33</v>
      </c>
      <c r="T35" s="111" t="s">
        <v>229</v>
      </c>
      <c r="U35" s="111" t="s">
        <v>217</v>
      </c>
      <c r="V35" s="172">
        <v>789785867</v>
      </c>
      <c r="W35" s="111"/>
      <c r="X35" s="111" t="s">
        <v>181</v>
      </c>
      <c r="Y35" s="111">
        <v>11</v>
      </c>
      <c r="Z35" s="111" t="s">
        <v>235</v>
      </c>
      <c r="AA35" s="111" t="s">
        <v>261</v>
      </c>
      <c r="AB35" s="111" t="s">
        <v>236</v>
      </c>
      <c r="AC35" s="111" t="s">
        <v>146</v>
      </c>
      <c r="AD35" s="111" t="s">
        <v>147</v>
      </c>
      <c r="AE35" s="173" t="s">
        <v>136</v>
      </c>
      <c r="AF35" s="173" t="s">
        <v>136</v>
      </c>
      <c r="AG35" s="174">
        <v>45923</v>
      </c>
      <c r="AH35" s="175">
        <v>30000</v>
      </c>
      <c r="AI35" s="111">
        <v>12</v>
      </c>
      <c r="AJ35" s="111">
        <v>0</v>
      </c>
      <c r="AK35" s="150">
        <f t="shared" si="80"/>
        <v>12</v>
      </c>
      <c r="AL35" s="177">
        <v>18500</v>
      </c>
      <c r="AM35" s="176">
        <v>0.16</v>
      </c>
      <c r="AN35" s="177">
        <f t="shared" si="92"/>
        <v>2960</v>
      </c>
      <c r="AO35" s="157">
        <f t="shared" si="96"/>
        <v>21460</v>
      </c>
      <c r="AP35" s="158">
        <f t="shared" si="3"/>
        <v>1788.3333333333333</v>
      </c>
      <c r="AQ35" s="111" t="s">
        <v>136</v>
      </c>
      <c r="AR35" s="111" t="s">
        <v>170</v>
      </c>
      <c r="AS35" s="111" t="s">
        <v>217</v>
      </c>
      <c r="AT35" s="111" t="s">
        <v>289</v>
      </c>
      <c r="AU35" s="111" t="s">
        <v>229</v>
      </c>
      <c r="AV35" s="111">
        <v>6</v>
      </c>
      <c r="AW35" s="111" t="s">
        <v>136</v>
      </c>
      <c r="AX35" s="111" t="s">
        <v>136</v>
      </c>
      <c r="AY35" s="111" t="s">
        <v>136</v>
      </c>
      <c r="AZ35" s="111" t="s">
        <v>136</v>
      </c>
      <c r="BA35" s="111" t="s">
        <v>136</v>
      </c>
      <c r="BB35" s="111" t="s">
        <v>136</v>
      </c>
      <c r="BC35" s="111" t="s">
        <v>136</v>
      </c>
      <c r="BD35" s="111" t="s">
        <v>136</v>
      </c>
      <c r="BE35" s="111" t="s">
        <v>136</v>
      </c>
      <c r="BF35" s="111" t="s">
        <v>136</v>
      </c>
      <c r="BG35" s="111" t="s">
        <v>136</v>
      </c>
      <c r="BH35" s="111" t="s">
        <v>136</v>
      </c>
      <c r="BI35" s="111" t="s">
        <v>136</v>
      </c>
      <c r="BJ35" s="111" t="s">
        <v>136</v>
      </c>
      <c r="BK35" s="111" t="s">
        <v>136</v>
      </c>
      <c r="BL35" s="111" t="s">
        <v>136</v>
      </c>
      <c r="BM35" s="111" t="s">
        <v>136</v>
      </c>
      <c r="BN35" s="111" t="s">
        <v>136</v>
      </c>
      <c r="BO35" s="111" t="s">
        <v>136</v>
      </c>
      <c r="BP35" s="111" t="s">
        <v>505</v>
      </c>
      <c r="BQ35" s="111" t="s">
        <v>506</v>
      </c>
      <c r="BR35" s="111" t="s">
        <v>507</v>
      </c>
      <c r="BS35" s="111" t="s">
        <v>508</v>
      </c>
      <c r="BT35" s="182" t="s">
        <v>509</v>
      </c>
      <c r="BU35" s="111" t="s">
        <v>229</v>
      </c>
      <c r="BV35" s="111" t="s">
        <v>217</v>
      </c>
      <c r="BW35" s="111"/>
      <c r="BX35" s="111"/>
      <c r="BY35" s="111"/>
      <c r="BZ35" s="111"/>
      <c r="CA35" s="111"/>
      <c r="CB35" s="111"/>
      <c r="CC35" s="178"/>
      <c r="CD35" s="177">
        <f t="shared" si="4"/>
        <v>18500</v>
      </c>
      <c r="CE35" s="148">
        <v>45976</v>
      </c>
      <c r="CF35" s="111">
        <f t="shared" si="5"/>
        <v>12</v>
      </c>
      <c r="CG35" s="177">
        <f t="shared" si="6"/>
        <v>21460</v>
      </c>
      <c r="CH35" s="203">
        <f t="shared" si="95"/>
        <v>0</v>
      </c>
      <c r="CI35" s="148">
        <v>45976</v>
      </c>
      <c r="CJ35" s="161">
        <f t="shared" si="81"/>
        <v>46006</v>
      </c>
      <c r="CK35" s="162">
        <f t="shared" si="82"/>
        <v>46341</v>
      </c>
      <c r="CL35" s="183"/>
      <c r="CM35" s="164">
        <f t="shared" ca="1" si="8"/>
        <v>46054</v>
      </c>
      <c r="CN35" s="165">
        <f t="shared" si="9"/>
        <v>46006</v>
      </c>
      <c r="CO35" s="109">
        <f t="shared" si="10"/>
        <v>1543.1034482758621</v>
      </c>
      <c r="CP35" s="109">
        <f t="shared" si="11"/>
        <v>246.89655172413794</v>
      </c>
      <c r="CQ35" s="109">
        <v>1790</v>
      </c>
      <c r="CR35" s="109">
        <f t="shared" si="12"/>
        <v>1.6666666666667425</v>
      </c>
      <c r="CS35" s="166">
        <v>46008</v>
      </c>
      <c r="CT35" s="167">
        <f t="shared" si="13"/>
        <v>2</v>
      </c>
      <c r="CU35" s="165">
        <f t="shared" si="14"/>
        <v>46037</v>
      </c>
      <c r="CV35" s="109">
        <f t="shared" si="15"/>
        <v>0</v>
      </c>
      <c r="CW35" s="109">
        <f t="shared" si="16"/>
        <v>0</v>
      </c>
      <c r="CX35" s="109"/>
      <c r="CY35" s="109">
        <f t="shared" si="17"/>
        <v>0</v>
      </c>
      <c r="CZ35" s="166">
        <f ca="1">TODAY()</f>
        <v>46054</v>
      </c>
      <c r="DA35" s="167">
        <f t="shared" ca="1" si="18"/>
        <v>17</v>
      </c>
      <c r="DB35" s="165">
        <f t="shared" si="19"/>
        <v>46068</v>
      </c>
      <c r="DC35" s="109">
        <f t="shared" si="20"/>
        <v>0</v>
      </c>
      <c r="DD35" s="109">
        <f t="shared" si="21"/>
        <v>0</v>
      </c>
      <c r="DE35" s="109"/>
      <c r="DF35" s="109">
        <f t="shared" si="22"/>
        <v>0</v>
      </c>
      <c r="DG35" s="166">
        <f t="shared" ca="1" si="106"/>
        <v>46054</v>
      </c>
      <c r="DH35" s="167">
        <f t="shared" ca="1" si="23"/>
        <v>0</v>
      </c>
      <c r="DI35" s="165">
        <f t="shared" si="24"/>
        <v>46096</v>
      </c>
      <c r="DJ35" s="109">
        <f t="shared" si="25"/>
        <v>0</v>
      </c>
      <c r="DK35" s="109">
        <f t="shared" si="26"/>
        <v>0</v>
      </c>
      <c r="DL35" s="109">
        <v>0</v>
      </c>
      <c r="DM35" s="109">
        <f t="shared" si="27"/>
        <v>0</v>
      </c>
      <c r="DN35" s="166">
        <f t="shared" ca="1" si="87"/>
        <v>46054</v>
      </c>
      <c r="DO35" s="167">
        <f t="shared" ca="1" si="28"/>
        <v>0</v>
      </c>
      <c r="DP35" s="165">
        <f t="shared" si="93"/>
        <v>46127</v>
      </c>
      <c r="DQ35" s="109">
        <f t="shared" si="29"/>
        <v>0</v>
      </c>
      <c r="DR35" s="109">
        <f t="shared" si="94"/>
        <v>0</v>
      </c>
      <c r="DS35" s="109"/>
      <c r="DT35" s="109">
        <f t="shared" si="30"/>
        <v>0</v>
      </c>
      <c r="DU35" s="166">
        <f t="shared" ca="1" si="88"/>
        <v>46054</v>
      </c>
      <c r="DV35" s="167">
        <f t="shared" ca="1" si="31"/>
        <v>0</v>
      </c>
      <c r="DW35" s="165">
        <f t="shared" si="32"/>
        <v>46157</v>
      </c>
      <c r="DX35" s="109">
        <f t="shared" si="33"/>
        <v>0</v>
      </c>
      <c r="DY35" s="109">
        <f t="shared" si="34"/>
        <v>0</v>
      </c>
      <c r="DZ35" s="109"/>
      <c r="EA35" s="109">
        <f t="shared" si="35"/>
        <v>0</v>
      </c>
      <c r="EB35" s="166">
        <f t="shared" ca="1" si="89"/>
        <v>46054</v>
      </c>
      <c r="EC35" s="167">
        <f t="shared" ca="1" si="36"/>
        <v>0</v>
      </c>
      <c r="ED35" s="165">
        <f t="shared" si="37"/>
        <v>46188</v>
      </c>
      <c r="EE35" s="109">
        <f t="shared" si="38"/>
        <v>0</v>
      </c>
      <c r="EF35" s="109">
        <f t="shared" si="39"/>
        <v>0</v>
      </c>
      <c r="EG35" s="109"/>
      <c r="EH35" s="109">
        <f t="shared" si="40"/>
        <v>0</v>
      </c>
      <c r="EI35" s="166">
        <f t="shared" ca="1" si="90"/>
        <v>46054</v>
      </c>
      <c r="EJ35" s="167">
        <f t="shared" ca="1" si="41"/>
        <v>0</v>
      </c>
      <c r="EK35" s="165">
        <f t="shared" si="42"/>
        <v>46218</v>
      </c>
      <c r="EL35" s="109">
        <f t="shared" si="43"/>
        <v>0</v>
      </c>
      <c r="EM35" s="109">
        <f t="shared" si="44"/>
        <v>0</v>
      </c>
      <c r="EN35" s="109"/>
      <c r="EO35" s="109">
        <f t="shared" si="45"/>
        <v>0</v>
      </c>
      <c r="EP35" s="166">
        <f t="shared" ca="1" si="91"/>
        <v>46054</v>
      </c>
      <c r="EQ35" s="167">
        <f t="shared" ca="1" si="46"/>
        <v>0</v>
      </c>
      <c r="ER35" s="165">
        <f t="shared" si="47"/>
        <v>46249</v>
      </c>
      <c r="ES35" s="109">
        <f t="shared" si="48"/>
        <v>0</v>
      </c>
      <c r="ET35" s="109">
        <f t="shared" si="49"/>
        <v>0</v>
      </c>
      <c r="EU35" s="109"/>
      <c r="EV35" s="109"/>
      <c r="EW35" s="166"/>
      <c r="EX35" s="166"/>
      <c r="EY35" s="165">
        <f t="shared" si="50"/>
        <v>46280</v>
      </c>
      <c r="EZ35" s="109">
        <f t="shared" si="51"/>
        <v>0</v>
      </c>
      <c r="FA35" s="109">
        <f t="shared" si="52"/>
        <v>0</v>
      </c>
      <c r="FB35" s="109"/>
      <c r="FC35" s="109"/>
      <c r="FD35" s="166"/>
      <c r="FE35" s="166"/>
      <c r="FF35" s="165">
        <f t="shared" si="53"/>
        <v>46310</v>
      </c>
      <c r="FG35" s="109">
        <f t="shared" si="54"/>
        <v>0</v>
      </c>
      <c r="FH35" s="109">
        <f t="shared" si="55"/>
        <v>0</v>
      </c>
      <c r="FI35" s="109"/>
      <c r="FJ35" s="109"/>
      <c r="FK35" s="166"/>
      <c r="FL35" s="166"/>
      <c r="FM35" s="165">
        <f t="shared" si="56"/>
        <v>46341</v>
      </c>
      <c r="FN35" s="109">
        <f t="shared" si="57"/>
        <v>0</v>
      </c>
      <c r="FO35" s="109">
        <f t="shared" si="58"/>
        <v>0</v>
      </c>
      <c r="FP35" s="109"/>
      <c r="FQ35" s="109"/>
      <c r="FR35" s="166"/>
      <c r="FS35" s="166"/>
      <c r="FT35" s="165"/>
      <c r="FU35" s="109"/>
      <c r="FV35" s="109"/>
      <c r="FW35" s="109"/>
      <c r="FX35" s="109"/>
      <c r="FY35" s="166"/>
      <c r="FZ35" s="166"/>
      <c r="GA35" s="165"/>
      <c r="GB35" s="109"/>
      <c r="GC35" s="109"/>
      <c r="GD35" s="109"/>
      <c r="GE35" s="109"/>
      <c r="GF35" s="166"/>
      <c r="GG35" s="166"/>
      <c r="GH35" s="165"/>
      <c r="GI35" s="109"/>
      <c r="GJ35" s="109"/>
      <c r="GK35" s="109"/>
      <c r="GL35" s="109"/>
      <c r="GM35" s="166"/>
      <c r="GN35" s="166"/>
      <c r="GO35" s="165"/>
      <c r="GP35" s="109"/>
      <c r="GQ35" s="109"/>
      <c r="GR35" s="109"/>
      <c r="GS35" s="109"/>
      <c r="GT35" s="166"/>
      <c r="GU35" s="166"/>
      <c r="GV35" s="165"/>
      <c r="GW35" s="168"/>
      <c r="GX35" s="168"/>
      <c r="GY35" s="168"/>
      <c r="GZ35" s="168"/>
      <c r="HA35" s="166"/>
      <c r="HB35" s="166"/>
      <c r="HC35" s="165"/>
      <c r="HD35" s="109"/>
      <c r="HE35" s="109"/>
      <c r="HF35" s="109"/>
      <c r="HG35" s="109"/>
      <c r="HH35" s="166"/>
      <c r="HI35" s="166"/>
      <c r="HJ35" s="165"/>
      <c r="HK35" s="109"/>
      <c r="HL35" s="109"/>
      <c r="HM35" s="109"/>
      <c r="HN35" s="109"/>
      <c r="HO35" s="166"/>
      <c r="HP35" s="166"/>
      <c r="HQ35" s="165"/>
      <c r="HR35" s="109"/>
      <c r="HS35" s="109"/>
      <c r="HT35" s="109"/>
      <c r="HU35" s="109"/>
      <c r="HV35" s="166"/>
      <c r="HW35" s="166"/>
      <c r="HX35" s="105">
        <f t="shared" si="86"/>
        <v>1543.1034482758621</v>
      </c>
      <c r="HY35" s="105">
        <f t="shared" si="83"/>
        <v>246.89655172413794</v>
      </c>
      <c r="HZ35" s="105">
        <f t="shared" si="83"/>
        <v>1790</v>
      </c>
      <c r="IA35" s="105">
        <f t="shared" si="68"/>
        <v>0</v>
      </c>
      <c r="IB35" s="109">
        <f t="shared" si="69"/>
        <v>19670</v>
      </c>
      <c r="IC35" s="109">
        <f t="shared" si="70"/>
        <v>16956.896551724138</v>
      </c>
      <c r="ID35" s="109">
        <f t="shared" si="71"/>
        <v>0</v>
      </c>
      <c r="IE35" s="109">
        <f t="shared" ca="1" si="72"/>
        <v>19</v>
      </c>
      <c r="IF35" s="139">
        <f t="shared" si="73"/>
        <v>1.0009319664492078</v>
      </c>
      <c r="IG35" s="139">
        <f t="shared" ca="1" si="74"/>
        <v>48</v>
      </c>
      <c r="IH35" s="169">
        <f t="shared" ca="1" si="75"/>
        <v>1.6</v>
      </c>
      <c r="II35" s="139">
        <f t="shared" ca="1" si="76"/>
        <v>0.5990680335507923</v>
      </c>
      <c r="IJ35" s="169">
        <f t="shared" ca="1" si="77"/>
        <v>17.972041006523767</v>
      </c>
      <c r="IK35" s="169">
        <f t="shared" ca="1" si="84"/>
        <v>0.5990680335507923</v>
      </c>
      <c r="IL35" s="170">
        <f t="shared" ca="1" si="78"/>
        <v>1071.3333333333335</v>
      </c>
      <c r="IM35" s="171"/>
      <c r="IN35" s="171"/>
      <c r="IO35" s="171"/>
      <c r="IP35" s="171"/>
      <c r="IR35" s="107"/>
      <c r="IS35" s="107"/>
    </row>
    <row r="36" spans="1:259" ht="15" customHeight="1" thickBot="1" x14ac:dyDescent="0.35">
      <c r="A36" s="110">
        <f t="shared" si="79"/>
        <v>32</v>
      </c>
      <c r="B36" s="111" t="s">
        <v>170</v>
      </c>
      <c r="C36" s="145" t="s">
        <v>171</v>
      </c>
      <c r="D36" s="145">
        <v>102</v>
      </c>
      <c r="E36" s="111" t="s">
        <v>253</v>
      </c>
      <c r="F36" s="111"/>
      <c r="G36" s="111" t="s">
        <v>514</v>
      </c>
      <c r="H36" s="111">
        <v>1021100146</v>
      </c>
      <c r="I36" s="146" t="str">
        <f t="shared" si="0"/>
        <v>1100146</v>
      </c>
      <c r="J36" s="145" t="str">
        <f t="shared" si="1"/>
        <v>KN1100146</v>
      </c>
      <c r="K36" s="111" t="s">
        <v>515</v>
      </c>
      <c r="L36" s="111" t="s">
        <v>516</v>
      </c>
      <c r="M36" s="111" t="s">
        <v>517</v>
      </c>
      <c r="N36" s="111" t="s">
        <v>138</v>
      </c>
      <c r="O36" s="111"/>
      <c r="P36" s="111" t="s">
        <v>518</v>
      </c>
      <c r="Q36" s="148">
        <v>29540</v>
      </c>
      <c r="R36" s="111" t="s">
        <v>170</v>
      </c>
      <c r="S36" s="111">
        <f t="shared" ca="1" si="85"/>
        <v>45</v>
      </c>
      <c r="T36" s="111" t="s">
        <v>299</v>
      </c>
      <c r="U36" s="111" t="s">
        <v>217</v>
      </c>
      <c r="V36" s="172">
        <v>767021500</v>
      </c>
      <c r="W36" s="111"/>
      <c r="X36" s="111" t="s">
        <v>181</v>
      </c>
      <c r="Y36" s="111">
        <v>11</v>
      </c>
      <c r="Z36" s="111" t="s">
        <v>456</v>
      </c>
      <c r="AA36" s="111" t="s">
        <v>457</v>
      </c>
      <c r="AB36" s="111" t="s">
        <v>458</v>
      </c>
      <c r="AC36" s="111" t="s">
        <v>146</v>
      </c>
      <c r="AD36" s="111" t="s">
        <v>147</v>
      </c>
      <c r="AE36" s="173" t="s">
        <v>136</v>
      </c>
      <c r="AF36" s="173" t="s">
        <v>136</v>
      </c>
      <c r="AG36" s="174">
        <v>45913</v>
      </c>
      <c r="AH36" s="175">
        <v>50000</v>
      </c>
      <c r="AI36" s="111">
        <v>12</v>
      </c>
      <c r="AJ36" s="111">
        <v>0</v>
      </c>
      <c r="AK36" s="150">
        <f t="shared" si="80"/>
        <v>12</v>
      </c>
      <c r="AL36" s="177">
        <v>19000</v>
      </c>
      <c r="AM36" s="176">
        <v>0.16</v>
      </c>
      <c r="AN36" s="177">
        <f t="shared" si="92"/>
        <v>3040</v>
      </c>
      <c r="AO36" s="157">
        <f t="shared" si="96"/>
        <v>22040</v>
      </c>
      <c r="AP36" s="158">
        <f t="shared" si="3"/>
        <v>1836.6666666666667</v>
      </c>
      <c r="AQ36" s="111" t="s">
        <v>136</v>
      </c>
      <c r="AR36" s="111" t="s">
        <v>170</v>
      </c>
      <c r="AS36" s="111" t="s">
        <v>217</v>
      </c>
      <c r="AT36" s="111" t="s">
        <v>300</v>
      </c>
      <c r="AU36" s="111" t="s">
        <v>301</v>
      </c>
      <c r="AV36" s="111">
        <v>6</v>
      </c>
      <c r="AW36" s="111" t="s">
        <v>136</v>
      </c>
      <c r="AX36" s="111" t="s">
        <v>136</v>
      </c>
      <c r="AY36" s="111" t="s">
        <v>136</v>
      </c>
      <c r="AZ36" s="111" t="s">
        <v>136</v>
      </c>
      <c r="BA36" s="111" t="s">
        <v>136</v>
      </c>
      <c r="BB36" s="111" t="s">
        <v>136</v>
      </c>
      <c r="BC36" s="111" t="s">
        <v>136</v>
      </c>
      <c r="BD36" s="111" t="s">
        <v>136</v>
      </c>
      <c r="BE36" s="111" t="s">
        <v>136</v>
      </c>
      <c r="BF36" s="111" t="s">
        <v>136</v>
      </c>
      <c r="BG36" s="111" t="s">
        <v>136</v>
      </c>
      <c r="BH36" s="111" t="s">
        <v>136</v>
      </c>
      <c r="BI36" s="111" t="s">
        <v>136</v>
      </c>
      <c r="BJ36" s="111" t="s">
        <v>136</v>
      </c>
      <c r="BK36" s="111" t="s">
        <v>136</v>
      </c>
      <c r="BL36" s="111" t="s">
        <v>136</v>
      </c>
      <c r="BM36" s="111" t="s">
        <v>136</v>
      </c>
      <c r="BN36" s="111" t="s">
        <v>136</v>
      </c>
      <c r="BO36" s="111" t="s">
        <v>136</v>
      </c>
      <c r="BP36" s="111" t="s">
        <v>519</v>
      </c>
      <c r="BQ36" s="111" t="s">
        <v>516</v>
      </c>
      <c r="BR36" s="111" t="s">
        <v>517</v>
      </c>
      <c r="BS36" s="111" t="s">
        <v>520</v>
      </c>
      <c r="BT36" s="182" t="s">
        <v>521</v>
      </c>
      <c r="BU36" s="111" t="s">
        <v>299</v>
      </c>
      <c r="BV36" s="111" t="s">
        <v>217</v>
      </c>
      <c r="BW36" s="111"/>
      <c r="BX36" s="111"/>
      <c r="BY36" s="111"/>
      <c r="BZ36" s="111"/>
      <c r="CA36" s="111"/>
      <c r="CB36" s="111"/>
      <c r="CC36" s="178"/>
      <c r="CD36" s="177">
        <f t="shared" si="4"/>
        <v>19000</v>
      </c>
      <c r="CE36" s="148">
        <v>45976</v>
      </c>
      <c r="CF36" s="111">
        <f t="shared" si="5"/>
        <v>12</v>
      </c>
      <c r="CG36" s="177">
        <f t="shared" si="6"/>
        <v>22040</v>
      </c>
      <c r="CH36" s="203">
        <f t="shared" si="95"/>
        <v>0</v>
      </c>
      <c r="CI36" s="148">
        <v>45976</v>
      </c>
      <c r="CJ36" s="161">
        <f t="shared" si="81"/>
        <v>46006</v>
      </c>
      <c r="CK36" s="162">
        <f t="shared" si="82"/>
        <v>46341</v>
      </c>
      <c r="CL36" s="183"/>
      <c r="CM36" s="164">
        <f t="shared" ca="1" si="8"/>
        <v>46054</v>
      </c>
      <c r="CN36" s="165">
        <f t="shared" si="9"/>
        <v>46006</v>
      </c>
      <c r="CO36" s="109">
        <f t="shared" si="10"/>
        <v>1586.2068965517242</v>
      </c>
      <c r="CP36" s="109">
        <f t="shared" si="11"/>
        <v>253.79310344827587</v>
      </c>
      <c r="CQ36" s="109">
        <v>1840</v>
      </c>
      <c r="CR36" s="109">
        <f t="shared" si="12"/>
        <v>3.3333333333332575</v>
      </c>
      <c r="CS36" s="166">
        <v>46007</v>
      </c>
      <c r="CT36" s="167">
        <f t="shared" si="13"/>
        <v>1</v>
      </c>
      <c r="CU36" s="165">
        <f t="shared" si="14"/>
        <v>46037</v>
      </c>
      <c r="CV36" s="109">
        <f t="shared" si="15"/>
        <v>0</v>
      </c>
      <c r="CW36" s="109">
        <f t="shared" si="16"/>
        <v>0</v>
      </c>
      <c r="CX36" s="109"/>
      <c r="CY36" s="109">
        <f t="shared" si="17"/>
        <v>0</v>
      </c>
      <c r="CZ36" s="166">
        <f ca="1">TODAY()</f>
        <v>46054</v>
      </c>
      <c r="DA36" s="167">
        <f t="shared" ca="1" si="18"/>
        <v>17</v>
      </c>
      <c r="DB36" s="165">
        <f t="shared" si="19"/>
        <v>46068</v>
      </c>
      <c r="DC36" s="109">
        <f t="shared" si="20"/>
        <v>0</v>
      </c>
      <c r="DD36" s="109">
        <f t="shared" si="21"/>
        <v>0</v>
      </c>
      <c r="DE36" s="109"/>
      <c r="DF36" s="109">
        <f t="shared" si="22"/>
        <v>0</v>
      </c>
      <c r="DG36" s="166">
        <f t="shared" ca="1" si="106"/>
        <v>46054</v>
      </c>
      <c r="DH36" s="167">
        <f t="shared" ca="1" si="23"/>
        <v>0</v>
      </c>
      <c r="DI36" s="165">
        <f t="shared" si="24"/>
        <v>46096</v>
      </c>
      <c r="DJ36" s="109">
        <f t="shared" si="25"/>
        <v>0</v>
      </c>
      <c r="DK36" s="109">
        <f t="shared" si="26"/>
        <v>0</v>
      </c>
      <c r="DL36" s="109">
        <v>0</v>
      </c>
      <c r="DM36" s="109">
        <f t="shared" si="27"/>
        <v>0</v>
      </c>
      <c r="DN36" s="166">
        <f t="shared" ca="1" si="87"/>
        <v>46054</v>
      </c>
      <c r="DO36" s="167">
        <f t="shared" ca="1" si="28"/>
        <v>0</v>
      </c>
      <c r="DP36" s="165">
        <f t="shared" si="93"/>
        <v>46127</v>
      </c>
      <c r="DQ36" s="109">
        <f t="shared" si="29"/>
        <v>0</v>
      </c>
      <c r="DR36" s="109">
        <f t="shared" si="94"/>
        <v>0</v>
      </c>
      <c r="DS36" s="109"/>
      <c r="DT36" s="109">
        <f t="shared" si="30"/>
        <v>0</v>
      </c>
      <c r="DU36" s="166">
        <f t="shared" ca="1" si="88"/>
        <v>46054</v>
      </c>
      <c r="DV36" s="167">
        <f t="shared" ca="1" si="31"/>
        <v>0</v>
      </c>
      <c r="DW36" s="165">
        <f t="shared" si="32"/>
        <v>46157</v>
      </c>
      <c r="DX36" s="109">
        <f t="shared" si="33"/>
        <v>0</v>
      </c>
      <c r="DY36" s="109">
        <f t="shared" si="34"/>
        <v>0</v>
      </c>
      <c r="DZ36" s="109"/>
      <c r="EA36" s="109">
        <f t="shared" si="35"/>
        <v>0</v>
      </c>
      <c r="EB36" s="166">
        <f t="shared" ca="1" si="89"/>
        <v>46054</v>
      </c>
      <c r="EC36" s="167">
        <f t="shared" ca="1" si="36"/>
        <v>0</v>
      </c>
      <c r="ED36" s="165">
        <f t="shared" si="37"/>
        <v>46188</v>
      </c>
      <c r="EE36" s="109">
        <f t="shared" si="38"/>
        <v>0</v>
      </c>
      <c r="EF36" s="109">
        <f t="shared" si="39"/>
        <v>0</v>
      </c>
      <c r="EG36" s="109"/>
      <c r="EH36" s="109">
        <f t="shared" si="40"/>
        <v>0</v>
      </c>
      <c r="EI36" s="166">
        <f t="shared" ca="1" si="90"/>
        <v>46054</v>
      </c>
      <c r="EJ36" s="167">
        <f t="shared" ca="1" si="41"/>
        <v>0</v>
      </c>
      <c r="EK36" s="165">
        <f t="shared" si="42"/>
        <v>46218</v>
      </c>
      <c r="EL36" s="109">
        <f t="shared" si="43"/>
        <v>0</v>
      </c>
      <c r="EM36" s="109">
        <f t="shared" si="44"/>
        <v>0</v>
      </c>
      <c r="EN36" s="109"/>
      <c r="EO36" s="109">
        <f t="shared" si="45"/>
        <v>0</v>
      </c>
      <c r="EP36" s="166">
        <f t="shared" ca="1" si="91"/>
        <v>46054</v>
      </c>
      <c r="EQ36" s="167">
        <f t="shared" ca="1" si="46"/>
        <v>0</v>
      </c>
      <c r="ER36" s="165">
        <f t="shared" si="47"/>
        <v>46249</v>
      </c>
      <c r="ES36" s="109">
        <f t="shared" si="48"/>
        <v>0</v>
      </c>
      <c r="ET36" s="109">
        <f t="shared" si="49"/>
        <v>0</v>
      </c>
      <c r="EU36" s="109"/>
      <c r="EV36" s="109"/>
      <c r="EW36" s="166"/>
      <c r="EX36" s="166"/>
      <c r="EY36" s="165">
        <f t="shared" si="50"/>
        <v>46280</v>
      </c>
      <c r="EZ36" s="109">
        <f t="shared" si="51"/>
        <v>0</v>
      </c>
      <c r="FA36" s="109">
        <f t="shared" si="52"/>
        <v>0</v>
      </c>
      <c r="FB36" s="109"/>
      <c r="FC36" s="109"/>
      <c r="FD36" s="166"/>
      <c r="FE36" s="166"/>
      <c r="FF36" s="165">
        <f t="shared" si="53"/>
        <v>46310</v>
      </c>
      <c r="FG36" s="109">
        <f t="shared" si="54"/>
        <v>0</v>
      </c>
      <c r="FH36" s="109">
        <f t="shared" si="55"/>
        <v>0</v>
      </c>
      <c r="FI36" s="109"/>
      <c r="FJ36" s="109"/>
      <c r="FK36" s="166"/>
      <c r="FL36" s="166"/>
      <c r="FM36" s="165">
        <f t="shared" si="56"/>
        <v>46341</v>
      </c>
      <c r="FN36" s="109">
        <f t="shared" si="57"/>
        <v>0</v>
      </c>
      <c r="FO36" s="109">
        <f t="shared" si="58"/>
        <v>0</v>
      </c>
      <c r="FP36" s="109"/>
      <c r="FQ36" s="109"/>
      <c r="FR36" s="166"/>
      <c r="FS36" s="166"/>
      <c r="FT36" s="165"/>
      <c r="FU36" s="109"/>
      <c r="FV36" s="109"/>
      <c r="FW36" s="109"/>
      <c r="FX36" s="109"/>
      <c r="FY36" s="166"/>
      <c r="FZ36" s="166"/>
      <c r="GA36" s="165"/>
      <c r="GB36" s="109"/>
      <c r="GC36" s="109"/>
      <c r="GD36" s="109"/>
      <c r="GE36" s="109"/>
      <c r="GF36" s="166"/>
      <c r="GG36" s="166"/>
      <c r="GH36" s="165"/>
      <c r="GI36" s="109"/>
      <c r="GJ36" s="109"/>
      <c r="GK36" s="109"/>
      <c r="GL36" s="109"/>
      <c r="GM36" s="166"/>
      <c r="GN36" s="166"/>
      <c r="GO36" s="165"/>
      <c r="GP36" s="109"/>
      <c r="GQ36" s="109"/>
      <c r="GR36" s="109"/>
      <c r="GS36" s="109"/>
      <c r="GT36" s="166"/>
      <c r="GU36" s="166"/>
      <c r="GV36" s="165"/>
      <c r="GW36" s="168"/>
      <c r="GX36" s="168"/>
      <c r="GY36" s="168"/>
      <c r="GZ36" s="168"/>
      <c r="HA36" s="166"/>
      <c r="HB36" s="166"/>
      <c r="HC36" s="165"/>
      <c r="HD36" s="109"/>
      <c r="HE36" s="109"/>
      <c r="HF36" s="109"/>
      <c r="HG36" s="109"/>
      <c r="HH36" s="166"/>
      <c r="HI36" s="166"/>
      <c r="HJ36" s="165"/>
      <c r="HK36" s="109"/>
      <c r="HL36" s="109"/>
      <c r="HM36" s="109"/>
      <c r="HN36" s="109"/>
      <c r="HO36" s="166"/>
      <c r="HP36" s="166"/>
      <c r="HQ36" s="165"/>
      <c r="HR36" s="109"/>
      <c r="HS36" s="109"/>
      <c r="HT36" s="109"/>
      <c r="HU36" s="109"/>
      <c r="HV36" s="166"/>
      <c r="HW36" s="166"/>
      <c r="HX36" s="105">
        <f t="shared" si="86"/>
        <v>1586.2068965517242</v>
      </c>
      <c r="HY36" s="105">
        <f t="shared" si="83"/>
        <v>253.79310344827587</v>
      </c>
      <c r="HZ36" s="105">
        <f t="shared" si="83"/>
        <v>1840</v>
      </c>
      <c r="IA36" s="105">
        <f t="shared" si="68"/>
        <v>0</v>
      </c>
      <c r="IB36" s="109">
        <f t="shared" si="69"/>
        <v>20200</v>
      </c>
      <c r="IC36" s="109">
        <f t="shared" si="70"/>
        <v>17413.793103448275</v>
      </c>
      <c r="ID36" s="109">
        <f t="shared" si="71"/>
        <v>0</v>
      </c>
      <c r="IE36" s="109">
        <f t="shared" ca="1" si="72"/>
        <v>18</v>
      </c>
      <c r="IF36" s="139">
        <f t="shared" si="73"/>
        <v>1.0018148820326678</v>
      </c>
      <c r="IG36" s="139">
        <f t="shared" ca="1" si="74"/>
        <v>48</v>
      </c>
      <c r="IH36" s="169">
        <f t="shared" ca="1" si="75"/>
        <v>1.6</v>
      </c>
      <c r="II36" s="139">
        <f t="shared" ca="1" si="76"/>
        <v>0.59818511796733231</v>
      </c>
      <c r="IJ36" s="169">
        <f t="shared" ca="1" si="77"/>
        <v>17.945553539019969</v>
      </c>
      <c r="IK36" s="169">
        <f t="shared" ca="1" si="84"/>
        <v>0.59818511796733231</v>
      </c>
      <c r="IL36" s="170">
        <f t="shared" ca="1" si="78"/>
        <v>1098.666666666667</v>
      </c>
      <c r="IM36" s="171"/>
      <c r="IN36" s="171"/>
      <c r="IO36" s="171"/>
      <c r="IP36" s="171"/>
    </row>
    <row r="37" spans="1:259" ht="15" thickBot="1" x14ac:dyDescent="0.35">
      <c r="A37" s="110">
        <f t="shared" si="79"/>
        <v>33</v>
      </c>
      <c r="B37" s="111" t="s">
        <v>131</v>
      </c>
      <c r="C37" s="145" t="s">
        <v>132</v>
      </c>
      <c r="D37" s="145">
        <v>101</v>
      </c>
      <c r="E37" s="111" t="s">
        <v>522</v>
      </c>
      <c r="F37" s="111"/>
      <c r="G37" s="111" t="s">
        <v>523</v>
      </c>
      <c r="H37" s="111">
        <v>1011100007</v>
      </c>
      <c r="I37" s="146" t="str">
        <f t="shared" si="0"/>
        <v>1100007</v>
      </c>
      <c r="J37" s="145" t="str">
        <f t="shared" si="1"/>
        <v>KB1100007</v>
      </c>
      <c r="K37" s="111" t="s">
        <v>524</v>
      </c>
      <c r="L37" s="111" t="s">
        <v>525</v>
      </c>
      <c r="M37" s="111" t="s">
        <v>526</v>
      </c>
      <c r="N37" s="111" t="s">
        <v>138</v>
      </c>
      <c r="O37" s="111"/>
      <c r="P37" s="111" t="s">
        <v>527</v>
      </c>
      <c r="Q37" s="148">
        <v>29118</v>
      </c>
      <c r="R37" s="111" t="s">
        <v>170</v>
      </c>
      <c r="S37" s="111">
        <f t="shared" ca="1" si="85"/>
        <v>46</v>
      </c>
      <c r="T37" s="111" t="s">
        <v>528</v>
      </c>
      <c r="U37" s="111" t="s">
        <v>529</v>
      </c>
      <c r="V37" s="181">
        <v>700868048</v>
      </c>
      <c r="W37" s="111"/>
      <c r="X37" s="111" t="s">
        <v>181</v>
      </c>
      <c r="Y37" s="111">
        <v>11</v>
      </c>
      <c r="Z37" s="111" t="s">
        <v>530</v>
      </c>
      <c r="AA37" s="111" t="s">
        <v>530</v>
      </c>
      <c r="AB37" s="111" t="s">
        <v>531</v>
      </c>
      <c r="AC37" s="111" t="s">
        <v>146</v>
      </c>
      <c r="AD37" s="111" t="s">
        <v>147</v>
      </c>
      <c r="AE37" s="173" t="s">
        <v>136</v>
      </c>
      <c r="AF37" s="173" t="s">
        <v>136</v>
      </c>
      <c r="AG37" s="174">
        <v>45894</v>
      </c>
      <c r="AH37" s="175">
        <v>150000</v>
      </c>
      <c r="AI37" s="111">
        <v>18</v>
      </c>
      <c r="AJ37" s="111">
        <v>3</v>
      </c>
      <c r="AK37" s="150">
        <f t="shared" si="80"/>
        <v>15</v>
      </c>
      <c r="AL37" s="177">
        <v>72200</v>
      </c>
      <c r="AM37" s="176">
        <v>0.18</v>
      </c>
      <c r="AN37" s="177">
        <f t="shared" si="92"/>
        <v>12996</v>
      </c>
      <c r="AO37" s="157">
        <f t="shared" si="96"/>
        <v>85196</v>
      </c>
      <c r="AP37" s="158">
        <f t="shared" si="3"/>
        <v>5679.7333333333336</v>
      </c>
      <c r="AQ37" s="111" t="s">
        <v>136</v>
      </c>
      <c r="AR37" s="111" t="s">
        <v>149</v>
      </c>
      <c r="AS37" s="111" t="s">
        <v>529</v>
      </c>
      <c r="AT37" s="111" t="s">
        <v>532</v>
      </c>
      <c r="AU37" s="111" t="s">
        <v>528</v>
      </c>
      <c r="AV37" s="111">
        <v>10</v>
      </c>
      <c r="AW37" s="111" t="s">
        <v>136</v>
      </c>
      <c r="AX37" s="111" t="s">
        <v>136</v>
      </c>
      <c r="AY37" s="111" t="s">
        <v>136</v>
      </c>
      <c r="AZ37" s="111" t="s">
        <v>136</v>
      </c>
      <c r="BA37" s="111" t="s">
        <v>136</v>
      </c>
      <c r="BB37" s="111" t="s">
        <v>136</v>
      </c>
      <c r="BC37" s="111" t="s">
        <v>136</v>
      </c>
      <c r="BD37" s="111" t="s">
        <v>136</v>
      </c>
      <c r="BE37" s="111" t="s">
        <v>136</v>
      </c>
      <c r="BF37" s="111" t="s">
        <v>136</v>
      </c>
      <c r="BG37" s="111" t="s">
        <v>136</v>
      </c>
      <c r="BH37" s="111" t="s">
        <v>136</v>
      </c>
      <c r="BI37" s="111" t="s">
        <v>136</v>
      </c>
      <c r="BJ37" s="111" t="s">
        <v>136</v>
      </c>
      <c r="BK37" s="111" t="s">
        <v>136</v>
      </c>
      <c r="BL37" s="111" t="s">
        <v>136</v>
      </c>
      <c r="BM37" s="111" t="s">
        <v>136</v>
      </c>
      <c r="BN37" s="111" t="s">
        <v>136</v>
      </c>
      <c r="BO37" s="111" t="s">
        <v>136</v>
      </c>
      <c r="BP37" s="111" t="s">
        <v>533</v>
      </c>
      <c r="BQ37" s="111" t="s">
        <v>267</v>
      </c>
      <c r="BR37" s="111" t="s">
        <v>332</v>
      </c>
      <c r="BS37" s="111" t="s">
        <v>534</v>
      </c>
      <c r="BT37" s="182" t="s">
        <v>535</v>
      </c>
      <c r="BU37" s="111" t="s">
        <v>536</v>
      </c>
      <c r="BV37" s="111" t="s">
        <v>529</v>
      </c>
      <c r="BW37" s="111"/>
      <c r="BX37" s="111"/>
      <c r="BY37" s="111"/>
      <c r="BZ37" s="111"/>
      <c r="CA37" s="111"/>
      <c r="CB37" s="111"/>
      <c r="CC37" s="178"/>
      <c r="CD37" s="177">
        <f t="shared" si="4"/>
        <v>72200</v>
      </c>
      <c r="CE37" s="148">
        <v>45927</v>
      </c>
      <c r="CF37" s="111">
        <f t="shared" si="5"/>
        <v>18</v>
      </c>
      <c r="CG37" s="177">
        <f t="shared" si="6"/>
        <v>85196</v>
      </c>
      <c r="CH37" s="203">
        <f t="shared" si="95"/>
        <v>3</v>
      </c>
      <c r="CI37" s="148">
        <v>45927</v>
      </c>
      <c r="CJ37" s="161">
        <f t="shared" si="81"/>
        <v>46018</v>
      </c>
      <c r="CK37" s="162">
        <f t="shared" si="82"/>
        <v>46473</v>
      </c>
      <c r="CL37" s="179"/>
      <c r="CM37" s="164">
        <f t="shared" ca="1" si="8"/>
        <v>46054</v>
      </c>
      <c r="CN37" s="165">
        <f t="shared" si="9"/>
        <v>46018</v>
      </c>
      <c r="CO37" s="109">
        <f t="shared" si="10"/>
        <v>0</v>
      </c>
      <c r="CP37" s="109">
        <f t="shared" si="11"/>
        <v>0</v>
      </c>
      <c r="CQ37" s="109"/>
      <c r="CR37" s="109">
        <f t="shared" si="12"/>
        <v>0</v>
      </c>
      <c r="CS37" s="166">
        <f ca="1">TODAY()</f>
        <v>46054</v>
      </c>
      <c r="CT37" s="167">
        <f t="shared" ca="1" si="13"/>
        <v>36</v>
      </c>
      <c r="CU37" s="165">
        <f t="shared" si="14"/>
        <v>46049</v>
      </c>
      <c r="CV37" s="109">
        <f t="shared" si="15"/>
        <v>0</v>
      </c>
      <c r="CW37" s="109">
        <f t="shared" si="16"/>
        <v>0</v>
      </c>
      <c r="CX37" s="109"/>
      <c r="CY37" s="109">
        <f t="shared" si="17"/>
        <v>0</v>
      </c>
      <c r="CZ37" s="166">
        <f ca="1">TODAY()</f>
        <v>46054</v>
      </c>
      <c r="DA37" s="167">
        <f t="shared" ca="1" si="18"/>
        <v>5</v>
      </c>
      <c r="DB37" s="165">
        <f t="shared" si="19"/>
        <v>46080</v>
      </c>
      <c r="DC37" s="109">
        <f t="shared" si="20"/>
        <v>0</v>
      </c>
      <c r="DD37" s="109">
        <f t="shared" si="21"/>
        <v>0</v>
      </c>
      <c r="DE37" s="109"/>
      <c r="DF37" s="109">
        <f t="shared" si="22"/>
        <v>0</v>
      </c>
      <c r="DG37" s="166">
        <f t="shared" ca="1" si="106"/>
        <v>46054</v>
      </c>
      <c r="DH37" s="167">
        <f t="shared" ca="1" si="23"/>
        <v>0</v>
      </c>
      <c r="DI37" s="165">
        <f t="shared" si="24"/>
        <v>46108</v>
      </c>
      <c r="DJ37" s="109">
        <f t="shared" si="25"/>
        <v>0</v>
      </c>
      <c r="DK37" s="109">
        <f t="shared" si="26"/>
        <v>0</v>
      </c>
      <c r="DL37" s="109">
        <v>0</v>
      </c>
      <c r="DM37" s="109">
        <f t="shared" si="27"/>
        <v>0</v>
      </c>
      <c r="DN37" s="166">
        <f t="shared" ca="1" si="87"/>
        <v>46054</v>
      </c>
      <c r="DO37" s="167">
        <f t="shared" ca="1" si="28"/>
        <v>0</v>
      </c>
      <c r="DP37" s="165">
        <f t="shared" si="93"/>
        <v>46139</v>
      </c>
      <c r="DQ37" s="109">
        <f t="shared" si="29"/>
        <v>0</v>
      </c>
      <c r="DR37" s="109">
        <f t="shared" si="94"/>
        <v>0</v>
      </c>
      <c r="DS37" s="109"/>
      <c r="DT37" s="109">
        <f t="shared" si="30"/>
        <v>0</v>
      </c>
      <c r="DU37" s="166">
        <f t="shared" ca="1" si="88"/>
        <v>46054</v>
      </c>
      <c r="DV37" s="167">
        <f t="shared" ca="1" si="31"/>
        <v>0</v>
      </c>
      <c r="DW37" s="165">
        <f t="shared" si="32"/>
        <v>46169</v>
      </c>
      <c r="DX37" s="109">
        <f t="shared" si="33"/>
        <v>0</v>
      </c>
      <c r="DY37" s="109">
        <f t="shared" si="34"/>
        <v>0</v>
      </c>
      <c r="DZ37" s="109"/>
      <c r="EA37" s="109">
        <f t="shared" si="35"/>
        <v>0</v>
      </c>
      <c r="EB37" s="166">
        <f t="shared" ca="1" si="89"/>
        <v>46054</v>
      </c>
      <c r="EC37" s="167">
        <f t="shared" ca="1" si="36"/>
        <v>0</v>
      </c>
      <c r="ED37" s="165">
        <f t="shared" si="37"/>
        <v>46200</v>
      </c>
      <c r="EE37" s="109">
        <f t="shared" si="38"/>
        <v>0</v>
      </c>
      <c r="EF37" s="109">
        <f t="shared" si="39"/>
        <v>0</v>
      </c>
      <c r="EG37" s="109"/>
      <c r="EH37" s="109">
        <f t="shared" si="40"/>
        <v>0</v>
      </c>
      <c r="EI37" s="166">
        <f t="shared" ca="1" si="90"/>
        <v>46054</v>
      </c>
      <c r="EJ37" s="167">
        <f t="shared" ca="1" si="41"/>
        <v>0</v>
      </c>
      <c r="EK37" s="165">
        <f t="shared" si="42"/>
        <v>46230</v>
      </c>
      <c r="EL37" s="109">
        <f t="shared" si="43"/>
        <v>0</v>
      </c>
      <c r="EM37" s="109">
        <f t="shared" si="44"/>
        <v>0</v>
      </c>
      <c r="EN37" s="109"/>
      <c r="EO37" s="109">
        <f t="shared" si="45"/>
        <v>0</v>
      </c>
      <c r="EP37" s="166">
        <f t="shared" ca="1" si="91"/>
        <v>46054</v>
      </c>
      <c r="EQ37" s="167">
        <f t="shared" ca="1" si="46"/>
        <v>0</v>
      </c>
      <c r="ER37" s="165">
        <f t="shared" si="47"/>
        <v>46261</v>
      </c>
      <c r="ES37" s="109">
        <f t="shared" si="48"/>
        <v>0</v>
      </c>
      <c r="ET37" s="109">
        <f t="shared" si="49"/>
        <v>0</v>
      </c>
      <c r="EU37" s="109"/>
      <c r="EV37" s="109"/>
      <c r="EW37" s="166"/>
      <c r="EX37" s="166"/>
      <c r="EY37" s="165">
        <f t="shared" si="50"/>
        <v>46292</v>
      </c>
      <c r="EZ37" s="109">
        <f t="shared" si="51"/>
        <v>0</v>
      </c>
      <c r="FA37" s="109">
        <f t="shared" si="52"/>
        <v>0</v>
      </c>
      <c r="FB37" s="109"/>
      <c r="FC37" s="109"/>
      <c r="FD37" s="166"/>
      <c r="FE37" s="166"/>
      <c r="FF37" s="165">
        <f t="shared" si="53"/>
        <v>46322</v>
      </c>
      <c r="FG37" s="109">
        <f t="shared" si="54"/>
        <v>0</v>
      </c>
      <c r="FH37" s="109">
        <f t="shared" si="55"/>
        <v>0</v>
      </c>
      <c r="FI37" s="109"/>
      <c r="FJ37" s="109"/>
      <c r="FK37" s="166"/>
      <c r="FL37" s="166"/>
      <c r="FM37" s="165">
        <f t="shared" si="56"/>
        <v>46353</v>
      </c>
      <c r="FN37" s="109">
        <f t="shared" si="57"/>
        <v>0</v>
      </c>
      <c r="FO37" s="109">
        <f t="shared" si="58"/>
        <v>0</v>
      </c>
      <c r="FP37" s="109"/>
      <c r="FQ37" s="109"/>
      <c r="FR37" s="166"/>
      <c r="FS37" s="166"/>
      <c r="FT37" s="165">
        <f>EDATE(FM37,1)</f>
        <v>46383</v>
      </c>
      <c r="FU37" s="109">
        <f>FW37-FV37</f>
        <v>0</v>
      </c>
      <c r="FV37" s="109">
        <f>FW37/(1+AM37)*AM37</f>
        <v>0</v>
      </c>
      <c r="FW37" s="109"/>
      <c r="FX37" s="109"/>
      <c r="FY37" s="166"/>
      <c r="FZ37" s="166"/>
      <c r="GA37" s="165">
        <f>EDATE(FT37,1)</f>
        <v>46414</v>
      </c>
      <c r="GB37" s="109">
        <f>GD37-GC37</f>
        <v>0</v>
      </c>
      <c r="GC37" s="109">
        <f>GD37/(1+AM37)*AM37</f>
        <v>0</v>
      </c>
      <c r="GD37" s="109"/>
      <c r="GE37" s="109"/>
      <c r="GF37" s="166"/>
      <c r="GG37" s="166"/>
      <c r="GH37" s="165">
        <f>EDATE(GA37,1)</f>
        <v>46445</v>
      </c>
      <c r="GI37" s="109">
        <f>GK37-GJ37</f>
        <v>0</v>
      </c>
      <c r="GJ37" s="109">
        <f>GK37/(1+AM37)*AM37</f>
        <v>0</v>
      </c>
      <c r="GK37" s="109"/>
      <c r="GL37" s="109"/>
      <c r="GM37" s="166"/>
      <c r="GN37" s="166"/>
      <c r="GO37" s="165"/>
      <c r="GP37" s="109"/>
      <c r="GQ37" s="109"/>
      <c r="GR37" s="109"/>
      <c r="GS37" s="109"/>
      <c r="GT37" s="166"/>
      <c r="GU37" s="166"/>
      <c r="GV37" s="165"/>
      <c r="GW37" s="168"/>
      <c r="GX37" s="168"/>
      <c r="GY37" s="168"/>
      <c r="GZ37" s="168"/>
      <c r="HA37" s="166"/>
      <c r="HB37" s="166"/>
      <c r="HC37" s="165"/>
      <c r="HD37" s="109"/>
      <c r="HE37" s="109"/>
      <c r="HF37" s="109"/>
      <c r="HG37" s="109"/>
      <c r="HH37" s="166"/>
      <c r="HI37" s="166"/>
      <c r="HJ37" s="165"/>
      <c r="HK37" s="109"/>
      <c r="HL37" s="109"/>
      <c r="HM37" s="109"/>
      <c r="HN37" s="109"/>
      <c r="HO37" s="166"/>
      <c r="HP37" s="166"/>
      <c r="HQ37" s="165"/>
      <c r="HR37" s="109"/>
      <c r="HS37" s="109"/>
      <c r="HT37" s="109"/>
      <c r="HU37" s="109"/>
      <c r="HV37" s="166"/>
      <c r="HW37" s="166"/>
      <c r="HX37" s="105">
        <f t="shared" si="86"/>
        <v>0</v>
      </c>
      <c r="HY37" s="105">
        <f t="shared" si="83"/>
        <v>0</v>
      </c>
      <c r="HZ37" s="105">
        <f t="shared" si="83"/>
        <v>0</v>
      </c>
      <c r="IA37" s="105">
        <f t="shared" si="68"/>
        <v>0</v>
      </c>
      <c r="IB37" s="109">
        <f t="shared" si="69"/>
        <v>85196</v>
      </c>
      <c r="IC37" s="109">
        <f t="shared" si="70"/>
        <v>72200</v>
      </c>
      <c r="ID37" s="109">
        <f t="shared" si="71"/>
        <v>0</v>
      </c>
      <c r="IE37" s="109">
        <f t="shared" ca="1" si="72"/>
        <v>41</v>
      </c>
      <c r="IF37" s="139">
        <f t="shared" si="73"/>
        <v>0</v>
      </c>
      <c r="IG37" s="139">
        <f t="shared" ca="1" si="74"/>
        <v>36</v>
      </c>
      <c r="IH37" s="169">
        <f t="shared" ca="1" si="75"/>
        <v>1.2</v>
      </c>
      <c r="II37" s="139">
        <f t="shared" ca="1" si="76"/>
        <v>1.2</v>
      </c>
      <c r="IJ37" s="169">
        <f t="shared" ca="1" si="77"/>
        <v>36</v>
      </c>
      <c r="IK37" s="169">
        <f t="shared" ca="1" si="84"/>
        <v>1.2</v>
      </c>
      <c r="IL37" s="170">
        <f t="shared" ca="1" si="78"/>
        <v>6815.68</v>
      </c>
      <c r="IM37" s="171"/>
      <c r="IN37" s="171"/>
      <c r="IO37" s="171"/>
      <c r="IP37" s="171"/>
    </row>
    <row r="38" spans="1:259" ht="15" customHeight="1" thickBot="1" x14ac:dyDescent="0.35">
      <c r="A38" s="110">
        <f t="shared" si="79"/>
        <v>34</v>
      </c>
      <c r="B38" s="111" t="s">
        <v>170</v>
      </c>
      <c r="C38" s="111" t="s">
        <v>171</v>
      </c>
      <c r="D38" s="111">
        <v>102</v>
      </c>
      <c r="E38" s="111" t="s">
        <v>253</v>
      </c>
      <c r="F38" s="111"/>
      <c r="G38" s="111" t="s">
        <v>537</v>
      </c>
      <c r="H38" s="111">
        <v>1021100147</v>
      </c>
      <c r="I38" s="146" t="str">
        <f t="shared" si="0"/>
        <v>1100147</v>
      </c>
      <c r="J38" s="145" t="str">
        <f t="shared" si="1"/>
        <v>KN1100147</v>
      </c>
      <c r="K38" s="111" t="s">
        <v>538</v>
      </c>
      <c r="L38" s="111" t="s">
        <v>412</v>
      </c>
      <c r="M38" s="111" t="s">
        <v>539</v>
      </c>
      <c r="N38" s="111" t="s">
        <v>138</v>
      </c>
      <c r="O38" s="111"/>
      <c r="P38" s="111" t="s">
        <v>540</v>
      </c>
      <c r="Q38" s="148">
        <v>34061</v>
      </c>
      <c r="R38" s="111" t="s">
        <v>170</v>
      </c>
      <c r="S38" s="111">
        <f t="shared" ca="1" si="85"/>
        <v>32</v>
      </c>
      <c r="T38" s="111" t="s">
        <v>541</v>
      </c>
      <c r="U38" s="111" t="s">
        <v>217</v>
      </c>
      <c r="V38" s="172">
        <v>774735136</v>
      </c>
      <c r="W38" s="111"/>
      <c r="X38" s="111" t="s">
        <v>181</v>
      </c>
      <c r="Y38" s="111">
        <v>11</v>
      </c>
      <c r="Z38" s="111" t="s">
        <v>235</v>
      </c>
      <c r="AA38" s="111" t="s">
        <v>261</v>
      </c>
      <c r="AB38" s="111" t="s">
        <v>236</v>
      </c>
      <c r="AC38" s="111" t="s">
        <v>146</v>
      </c>
      <c r="AD38" s="111" t="s">
        <v>147</v>
      </c>
      <c r="AE38" s="173" t="s">
        <v>136</v>
      </c>
      <c r="AF38" s="173" t="s">
        <v>136</v>
      </c>
      <c r="AG38" s="174">
        <v>45886</v>
      </c>
      <c r="AH38" s="175">
        <v>50000</v>
      </c>
      <c r="AI38" s="111">
        <v>12</v>
      </c>
      <c r="AJ38" s="111">
        <v>0</v>
      </c>
      <c r="AK38" s="150">
        <f t="shared" si="80"/>
        <v>12</v>
      </c>
      <c r="AL38" s="177">
        <v>19500</v>
      </c>
      <c r="AM38" s="176">
        <v>0.16</v>
      </c>
      <c r="AN38" s="177">
        <f t="shared" si="92"/>
        <v>3120</v>
      </c>
      <c r="AO38" s="157">
        <f t="shared" si="96"/>
        <v>22620</v>
      </c>
      <c r="AP38" s="158">
        <f t="shared" si="3"/>
        <v>1885</v>
      </c>
      <c r="AQ38" s="111" t="s">
        <v>136</v>
      </c>
      <c r="AR38" s="111" t="s">
        <v>170</v>
      </c>
      <c r="AS38" s="111" t="s">
        <v>217</v>
      </c>
      <c r="AT38" s="111" t="s">
        <v>542</v>
      </c>
      <c r="AU38" s="111" t="s">
        <v>541</v>
      </c>
      <c r="AV38" s="111">
        <v>4</v>
      </c>
      <c r="AW38" s="111" t="s">
        <v>136</v>
      </c>
      <c r="AX38" s="111" t="s">
        <v>136</v>
      </c>
      <c r="AY38" s="111" t="s">
        <v>136</v>
      </c>
      <c r="AZ38" s="111" t="s">
        <v>136</v>
      </c>
      <c r="BA38" s="111" t="s">
        <v>136</v>
      </c>
      <c r="BB38" s="111" t="s">
        <v>136</v>
      </c>
      <c r="BC38" s="111" t="s">
        <v>136</v>
      </c>
      <c r="BD38" s="111" t="s">
        <v>136</v>
      </c>
      <c r="BE38" s="111" t="s">
        <v>136</v>
      </c>
      <c r="BF38" s="111" t="s">
        <v>136</v>
      </c>
      <c r="BG38" s="111" t="s">
        <v>136</v>
      </c>
      <c r="BH38" s="111" t="s">
        <v>136</v>
      </c>
      <c r="BI38" s="111" t="s">
        <v>136</v>
      </c>
      <c r="BJ38" s="111" t="s">
        <v>136</v>
      </c>
      <c r="BK38" s="111" t="s">
        <v>136</v>
      </c>
      <c r="BL38" s="111" t="s">
        <v>136</v>
      </c>
      <c r="BM38" s="111" t="s">
        <v>136</v>
      </c>
      <c r="BN38" s="111" t="s">
        <v>136</v>
      </c>
      <c r="BO38" s="111" t="s">
        <v>136</v>
      </c>
      <c r="BP38" s="111" t="s">
        <v>543</v>
      </c>
      <c r="BQ38" s="111" t="s">
        <v>164</v>
      </c>
      <c r="BR38" s="111" t="s">
        <v>283</v>
      </c>
      <c r="BS38" s="111" t="s">
        <v>544</v>
      </c>
      <c r="BT38" s="182" t="s">
        <v>545</v>
      </c>
      <c r="BU38" s="111" t="s">
        <v>541</v>
      </c>
      <c r="BV38" s="111" t="s">
        <v>217</v>
      </c>
      <c r="BW38" s="111"/>
      <c r="BX38" s="111"/>
      <c r="BY38" s="111"/>
      <c r="BZ38" s="111"/>
      <c r="CA38" s="111"/>
      <c r="CB38" s="111"/>
      <c r="CC38" s="178"/>
      <c r="CD38" s="177">
        <f t="shared" si="4"/>
        <v>19500</v>
      </c>
      <c r="CE38" s="148">
        <v>45976</v>
      </c>
      <c r="CF38" s="111">
        <f t="shared" si="5"/>
        <v>12</v>
      </c>
      <c r="CG38" s="177">
        <f t="shared" si="6"/>
        <v>22620</v>
      </c>
      <c r="CH38" s="203">
        <f t="shared" si="95"/>
        <v>0</v>
      </c>
      <c r="CI38" s="148">
        <v>45976</v>
      </c>
      <c r="CJ38" s="161">
        <f t="shared" si="81"/>
        <v>46006</v>
      </c>
      <c r="CK38" s="162">
        <f t="shared" si="82"/>
        <v>46341</v>
      </c>
      <c r="CL38" s="183"/>
      <c r="CM38" s="164">
        <f t="shared" ca="1" si="8"/>
        <v>46054</v>
      </c>
      <c r="CN38" s="165">
        <f t="shared" si="9"/>
        <v>46006</v>
      </c>
      <c r="CO38" s="109">
        <f t="shared" si="10"/>
        <v>1629.3103448275861</v>
      </c>
      <c r="CP38" s="109">
        <f t="shared" si="11"/>
        <v>260.68965517241384</v>
      </c>
      <c r="CQ38" s="109">
        <v>1890</v>
      </c>
      <c r="CR38" s="109">
        <f t="shared" si="12"/>
        <v>5</v>
      </c>
      <c r="CS38" s="166">
        <v>46007</v>
      </c>
      <c r="CT38" s="167">
        <f t="shared" si="13"/>
        <v>1</v>
      </c>
      <c r="CU38" s="165">
        <f t="shared" si="14"/>
        <v>46037</v>
      </c>
      <c r="CV38" s="109">
        <f t="shared" si="15"/>
        <v>0</v>
      </c>
      <c r="CW38" s="109">
        <f t="shared" si="16"/>
        <v>0</v>
      </c>
      <c r="CX38" s="109"/>
      <c r="CY38" s="109">
        <f t="shared" si="17"/>
        <v>0</v>
      </c>
      <c r="CZ38" s="166">
        <f ca="1">TODAY()</f>
        <v>46054</v>
      </c>
      <c r="DA38" s="167">
        <f t="shared" ca="1" si="18"/>
        <v>17</v>
      </c>
      <c r="DB38" s="165">
        <f t="shared" si="19"/>
        <v>46068</v>
      </c>
      <c r="DC38" s="109">
        <f t="shared" si="20"/>
        <v>0</v>
      </c>
      <c r="DD38" s="109">
        <f t="shared" si="21"/>
        <v>0</v>
      </c>
      <c r="DE38" s="109"/>
      <c r="DF38" s="109">
        <f t="shared" si="22"/>
        <v>0</v>
      </c>
      <c r="DG38" s="166">
        <f t="shared" ca="1" si="106"/>
        <v>46054</v>
      </c>
      <c r="DH38" s="167">
        <f t="shared" ca="1" si="23"/>
        <v>0</v>
      </c>
      <c r="DI38" s="165">
        <f t="shared" si="24"/>
        <v>46096</v>
      </c>
      <c r="DJ38" s="109">
        <f t="shared" si="25"/>
        <v>0</v>
      </c>
      <c r="DK38" s="109">
        <f t="shared" si="26"/>
        <v>0</v>
      </c>
      <c r="DL38" s="109">
        <v>0</v>
      </c>
      <c r="DM38" s="109">
        <f t="shared" si="27"/>
        <v>0</v>
      </c>
      <c r="DN38" s="166">
        <f t="shared" ca="1" si="87"/>
        <v>46054</v>
      </c>
      <c r="DO38" s="167">
        <f t="shared" ca="1" si="28"/>
        <v>0</v>
      </c>
      <c r="DP38" s="165">
        <f t="shared" si="93"/>
        <v>46127</v>
      </c>
      <c r="DQ38" s="109">
        <f t="shared" si="29"/>
        <v>0</v>
      </c>
      <c r="DR38" s="109">
        <f t="shared" si="94"/>
        <v>0</v>
      </c>
      <c r="DS38" s="109"/>
      <c r="DT38" s="109">
        <f t="shared" si="30"/>
        <v>0</v>
      </c>
      <c r="DU38" s="166">
        <f t="shared" ca="1" si="88"/>
        <v>46054</v>
      </c>
      <c r="DV38" s="167">
        <f t="shared" ca="1" si="31"/>
        <v>0</v>
      </c>
      <c r="DW38" s="165">
        <f t="shared" si="32"/>
        <v>46157</v>
      </c>
      <c r="DX38" s="109">
        <f t="shared" si="33"/>
        <v>0</v>
      </c>
      <c r="DY38" s="109">
        <f t="shared" si="34"/>
        <v>0</v>
      </c>
      <c r="DZ38" s="109"/>
      <c r="EA38" s="109">
        <f t="shared" si="35"/>
        <v>0</v>
      </c>
      <c r="EB38" s="166">
        <f t="shared" ca="1" si="89"/>
        <v>46054</v>
      </c>
      <c r="EC38" s="167">
        <f t="shared" ca="1" si="36"/>
        <v>0</v>
      </c>
      <c r="ED38" s="165">
        <f t="shared" si="37"/>
        <v>46188</v>
      </c>
      <c r="EE38" s="109">
        <f t="shared" si="38"/>
        <v>0</v>
      </c>
      <c r="EF38" s="109">
        <f t="shared" si="39"/>
        <v>0</v>
      </c>
      <c r="EG38" s="109"/>
      <c r="EH38" s="109">
        <f t="shared" si="40"/>
        <v>0</v>
      </c>
      <c r="EI38" s="166">
        <f t="shared" ca="1" si="90"/>
        <v>46054</v>
      </c>
      <c r="EJ38" s="167">
        <f t="shared" ca="1" si="41"/>
        <v>0</v>
      </c>
      <c r="EK38" s="165">
        <f t="shared" si="42"/>
        <v>46218</v>
      </c>
      <c r="EL38" s="109">
        <f t="shared" si="43"/>
        <v>0</v>
      </c>
      <c r="EM38" s="109">
        <f t="shared" si="44"/>
        <v>0</v>
      </c>
      <c r="EN38" s="109"/>
      <c r="EO38" s="109">
        <f t="shared" si="45"/>
        <v>0</v>
      </c>
      <c r="EP38" s="166">
        <f t="shared" ca="1" si="91"/>
        <v>46054</v>
      </c>
      <c r="EQ38" s="167">
        <f t="shared" ca="1" si="46"/>
        <v>0</v>
      </c>
      <c r="ER38" s="165">
        <f t="shared" si="47"/>
        <v>46249</v>
      </c>
      <c r="ES38" s="109">
        <f t="shared" si="48"/>
        <v>0</v>
      </c>
      <c r="ET38" s="109">
        <f t="shared" si="49"/>
        <v>0</v>
      </c>
      <c r="EU38" s="109"/>
      <c r="EV38" s="109"/>
      <c r="EW38" s="166"/>
      <c r="EX38" s="166"/>
      <c r="EY38" s="165">
        <f t="shared" si="50"/>
        <v>46280</v>
      </c>
      <c r="EZ38" s="109">
        <f t="shared" si="51"/>
        <v>0</v>
      </c>
      <c r="FA38" s="109">
        <f t="shared" si="52"/>
        <v>0</v>
      </c>
      <c r="FB38" s="109"/>
      <c r="FC38" s="109"/>
      <c r="FD38" s="166"/>
      <c r="FE38" s="166"/>
      <c r="FF38" s="165">
        <f t="shared" si="53"/>
        <v>46310</v>
      </c>
      <c r="FG38" s="109">
        <f t="shared" si="54"/>
        <v>0</v>
      </c>
      <c r="FH38" s="109">
        <f t="shared" si="55"/>
        <v>0</v>
      </c>
      <c r="FI38" s="109"/>
      <c r="FJ38" s="109"/>
      <c r="FK38" s="166"/>
      <c r="FL38" s="166"/>
      <c r="FM38" s="165">
        <f t="shared" si="56"/>
        <v>46341</v>
      </c>
      <c r="FN38" s="109">
        <f t="shared" si="57"/>
        <v>0</v>
      </c>
      <c r="FO38" s="109">
        <f t="shared" si="58"/>
        <v>0</v>
      </c>
      <c r="FP38" s="109"/>
      <c r="FQ38" s="109"/>
      <c r="FR38" s="166"/>
      <c r="FS38" s="166"/>
      <c r="FT38" s="165"/>
      <c r="FU38" s="109"/>
      <c r="FV38" s="109"/>
      <c r="FW38" s="109"/>
      <c r="FX38" s="109"/>
      <c r="FY38" s="166"/>
      <c r="FZ38" s="166"/>
      <c r="GA38" s="165"/>
      <c r="GB38" s="109"/>
      <c r="GC38" s="109"/>
      <c r="GD38" s="109"/>
      <c r="GE38" s="109"/>
      <c r="GF38" s="166"/>
      <c r="GG38" s="166"/>
      <c r="GH38" s="165"/>
      <c r="GI38" s="109"/>
      <c r="GJ38" s="109"/>
      <c r="GK38" s="109"/>
      <c r="GL38" s="109"/>
      <c r="GM38" s="166"/>
      <c r="GN38" s="166"/>
      <c r="GO38" s="165"/>
      <c r="GP38" s="109"/>
      <c r="GQ38" s="109"/>
      <c r="GR38" s="109"/>
      <c r="GS38" s="109"/>
      <c r="GT38" s="166"/>
      <c r="GU38" s="166"/>
      <c r="GV38" s="165"/>
      <c r="GW38" s="168"/>
      <c r="GX38" s="168"/>
      <c r="GY38" s="168"/>
      <c r="GZ38" s="168"/>
      <c r="HA38" s="166"/>
      <c r="HB38" s="166"/>
      <c r="HC38" s="165"/>
      <c r="HD38" s="109"/>
      <c r="HE38" s="109"/>
      <c r="HF38" s="109"/>
      <c r="HG38" s="109"/>
      <c r="HH38" s="166"/>
      <c r="HI38" s="166"/>
      <c r="HJ38" s="165"/>
      <c r="HK38" s="109"/>
      <c r="HL38" s="109"/>
      <c r="HM38" s="109"/>
      <c r="HN38" s="109"/>
      <c r="HO38" s="166"/>
      <c r="HP38" s="166"/>
      <c r="HQ38" s="165"/>
      <c r="HR38" s="109"/>
      <c r="HS38" s="109"/>
      <c r="HT38" s="109"/>
      <c r="HU38" s="109"/>
      <c r="HV38" s="166"/>
      <c r="HW38" s="166"/>
      <c r="HX38" s="105">
        <f t="shared" si="86"/>
        <v>1629.3103448275861</v>
      </c>
      <c r="HY38" s="105">
        <f t="shared" si="83"/>
        <v>260.68965517241384</v>
      </c>
      <c r="HZ38" s="105">
        <f t="shared" si="83"/>
        <v>1890</v>
      </c>
      <c r="IA38" s="105">
        <f t="shared" si="68"/>
        <v>0</v>
      </c>
      <c r="IB38" s="109">
        <f t="shared" si="69"/>
        <v>20730</v>
      </c>
      <c r="IC38" s="109">
        <f t="shared" si="70"/>
        <v>17870.689655172413</v>
      </c>
      <c r="ID38" s="109">
        <f t="shared" si="71"/>
        <v>0</v>
      </c>
      <c r="IE38" s="109">
        <f t="shared" ca="1" si="72"/>
        <v>18</v>
      </c>
      <c r="IF38" s="139">
        <f t="shared" si="73"/>
        <v>1.0026525198938991</v>
      </c>
      <c r="IG38" s="139">
        <f t="shared" ca="1" si="74"/>
        <v>48</v>
      </c>
      <c r="IH38" s="169">
        <f t="shared" ca="1" si="75"/>
        <v>1.6</v>
      </c>
      <c r="II38" s="139">
        <f t="shared" ca="1" si="76"/>
        <v>0.59734748010610095</v>
      </c>
      <c r="IJ38" s="169">
        <f t="shared" ca="1" si="77"/>
        <v>17.920424403183027</v>
      </c>
      <c r="IK38" s="169">
        <f t="shared" ca="1" si="84"/>
        <v>0.59734748010610095</v>
      </c>
      <c r="IL38" s="170">
        <f t="shared" ca="1" si="78"/>
        <v>1126.0000000000002</v>
      </c>
      <c r="IM38" s="171"/>
      <c r="IN38" s="171"/>
      <c r="IO38" s="171"/>
      <c r="IP38" s="171"/>
      <c r="IY38" s="108"/>
    </row>
    <row r="39" spans="1:259" ht="15" customHeight="1" thickBot="1" x14ac:dyDescent="0.35">
      <c r="A39" s="110">
        <f t="shared" si="79"/>
        <v>35</v>
      </c>
      <c r="B39" s="111" t="s">
        <v>170</v>
      </c>
      <c r="C39" s="111" t="s">
        <v>171</v>
      </c>
      <c r="D39" s="111">
        <v>102</v>
      </c>
      <c r="E39" s="111" t="s">
        <v>253</v>
      </c>
      <c r="F39" s="111"/>
      <c r="G39" s="111" t="s">
        <v>546</v>
      </c>
      <c r="H39" s="111">
        <v>1021100148</v>
      </c>
      <c r="I39" s="146" t="str">
        <f t="shared" si="0"/>
        <v>1100148</v>
      </c>
      <c r="J39" s="145" t="str">
        <f t="shared" si="1"/>
        <v>KN1100148</v>
      </c>
      <c r="K39" s="111" t="s">
        <v>547</v>
      </c>
      <c r="L39" s="111" t="s">
        <v>287</v>
      </c>
      <c r="M39" s="111" t="s">
        <v>548</v>
      </c>
      <c r="N39" s="111" t="s">
        <v>138</v>
      </c>
      <c r="O39" s="111"/>
      <c r="P39" s="111" t="s">
        <v>549</v>
      </c>
      <c r="Q39" s="148">
        <v>34174</v>
      </c>
      <c r="R39" s="111" t="s">
        <v>170</v>
      </c>
      <c r="S39" s="111">
        <f t="shared" ca="1" si="85"/>
        <v>32</v>
      </c>
      <c r="T39" s="111" t="s">
        <v>229</v>
      </c>
      <c r="U39" s="111" t="s">
        <v>217</v>
      </c>
      <c r="V39" s="172">
        <v>770984856</v>
      </c>
      <c r="W39" s="111"/>
      <c r="X39" s="111" t="s">
        <v>181</v>
      </c>
      <c r="Y39" s="111">
        <v>11</v>
      </c>
      <c r="Z39" s="111" t="s">
        <v>235</v>
      </c>
      <c r="AA39" s="111" t="s">
        <v>261</v>
      </c>
      <c r="AB39" s="111" t="s">
        <v>236</v>
      </c>
      <c r="AC39" s="111" t="s">
        <v>146</v>
      </c>
      <c r="AD39" s="111" t="s">
        <v>147</v>
      </c>
      <c r="AE39" s="173" t="s">
        <v>136</v>
      </c>
      <c r="AF39" s="173" t="s">
        <v>136</v>
      </c>
      <c r="AG39" s="174">
        <v>45934</v>
      </c>
      <c r="AH39" s="175">
        <v>40000</v>
      </c>
      <c r="AI39" s="111">
        <v>12</v>
      </c>
      <c r="AJ39" s="111">
        <v>0</v>
      </c>
      <c r="AK39" s="150">
        <f t="shared" si="80"/>
        <v>12</v>
      </c>
      <c r="AL39" s="177">
        <v>18500</v>
      </c>
      <c r="AM39" s="176">
        <v>0.16</v>
      </c>
      <c r="AN39" s="177">
        <f t="shared" si="92"/>
        <v>2960</v>
      </c>
      <c r="AO39" s="157">
        <f t="shared" si="96"/>
        <v>21460</v>
      </c>
      <c r="AP39" s="158">
        <f t="shared" si="3"/>
        <v>1788.3333333333333</v>
      </c>
      <c r="AQ39" s="111" t="s">
        <v>136</v>
      </c>
      <c r="AR39" s="111" t="s">
        <v>170</v>
      </c>
      <c r="AS39" s="111" t="s">
        <v>217</v>
      </c>
      <c r="AT39" s="111" t="s">
        <v>289</v>
      </c>
      <c r="AU39" s="111" t="s">
        <v>229</v>
      </c>
      <c r="AV39" s="111">
        <v>4</v>
      </c>
      <c r="AW39" s="111" t="s">
        <v>136</v>
      </c>
      <c r="AX39" s="111" t="s">
        <v>136</v>
      </c>
      <c r="AY39" s="111" t="s">
        <v>136</v>
      </c>
      <c r="AZ39" s="111" t="s">
        <v>136</v>
      </c>
      <c r="BA39" s="111" t="s">
        <v>136</v>
      </c>
      <c r="BB39" s="111" t="s">
        <v>136</v>
      </c>
      <c r="BC39" s="111" t="s">
        <v>136</v>
      </c>
      <c r="BD39" s="111" t="s">
        <v>136</v>
      </c>
      <c r="BE39" s="111" t="s">
        <v>136</v>
      </c>
      <c r="BF39" s="111" t="s">
        <v>136</v>
      </c>
      <c r="BG39" s="111" t="s">
        <v>136</v>
      </c>
      <c r="BH39" s="111" t="s">
        <v>136</v>
      </c>
      <c r="BI39" s="111" t="s">
        <v>136</v>
      </c>
      <c r="BJ39" s="111" t="s">
        <v>136</v>
      </c>
      <c r="BK39" s="111" t="s">
        <v>136</v>
      </c>
      <c r="BL39" s="111" t="s">
        <v>136</v>
      </c>
      <c r="BM39" s="111" t="s">
        <v>136</v>
      </c>
      <c r="BN39" s="111" t="s">
        <v>136</v>
      </c>
      <c r="BO39" s="111" t="s">
        <v>136</v>
      </c>
      <c r="BP39" s="111" t="s">
        <v>550</v>
      </c>
      <c r="BQ39" s="111" t="s">
        <v>551</v>
      </c>
      <c r="BR39" s="111" t="s">
        <v>552</v>
      </c>
      <c r="BS39" s="111" t="s">
        <v>553</v>
      </c>
      <c r="BT39" s="182" t="s">
        <v>554</v>
      </c>
      <c r="BU39" s="111" t="s">
        <v>229</v>
      </c>
      <c r="BV39" s="111" t="s">
        <v>217</v>
      </c>
      <c r="BW39" s="111"/>
      <c r="BX39" s="111"/>
      <c r="BY39" s="111"/>
      <c r="BZ39" s="111"/>
      <c r="CA39" s="111"/>
      <c r="CB39" s="111"/>
      <c r="CC39" s="178"/>
      <c r="CD39" s="177">
        <f t="shared" si="4"/>
        <v>18500</v>
      </c>
      <c r="CE39" s="148">
        <v>45976</v>
      </c>
      <c r="CF39" s="111">
        <f t="shared" si="5"/>
        <v>12</v>
      </c>
      <c r="CG39" s="177">
        <f t="shared" si="6"/>
        <v>21460</v>
      </c>
      <c r="CH39" s="203">
        <f t="shared" si="95"/>
        <v>0</v>
      </c>
      <c r="CI39" s="148">
        <v>45976</v>
      </c>
      <c r="CJ39" s="161">
        <f t="shared" si="81"/>
        <v>46006</v>
      </c>
      <c r="CK39" s="162">
        <f t="shared" si="82"/>
        <v>46341</v>
      </c>
      <c r="CL39" s="183"/>
      <c r="CM39" s="164">
        <f t="shared" ca="1" si="8"/>
        <v>46054</v>
      </c>
      <c r="CN39" s="165">
        <f t="shared" si="9"/>
        <v>46006</v>
      </c>
      <c r="CO39" s="109">
        <f t="shared" si="10"/>
        <v>1543.1034482758621</v>
      </c>
      <c r="CP39" s="109">
        <f t="shared" si="11"/>
        <v>246.89655172413794</v>
      </c>
      <c r="CQ39" s="109">
        <v>1790</v>
      </c>
      <c r="CR39" s="109">
        <f t="shared" si="12"/>
        <v>1.6666666666667425</v>
      </c>
      <c r="CS39" s="166">
        <v>46006</v>
      </c>
      <c r="CT39" s="167">
        <f t="shared" si="13"/>
        <v>0</v>
      </c>
      <c r="CU39" s="165">
        <f t="shared" si="14"/>
        <v>46037</v>
      </c>
      <c r="CV39" s="109">
        <f t="shared" si="15"/>
        <v>0</v>
      </c>
      <c r="CW39" s="109">
        <f t="shared" si="16"/>
        <v>0</v>
      </c>
      <c r="CX39" s="109"/>
      <c r="CY39" s="109">
        <f t="shared" si="17"/>
        <v>0</v>
      </c>
      <c r="CZ39" s="166">
        <f ca="1">TODAY()</f>
        <v>46054</v>
      </c>
      <c r="DA39" s="167">
        <f t="shared" ca="1" si="18"/>
        <v>17</v>
      </c>
      <c r="DB39" s="165">
        <f t="shared" si="19"/>
        <v>46068</v>
      </c>
      <c r="DC39" s="109">
        <f t="shared" si="20"/>
        <v>0</v>
      </c>
      <c r="DD39" s="109">
        <f t="shared" si="21"/>
        <v>0</v>
      </c>
      <c r="DE39" s="109"/>
      <c r="DF39" s="109">
        <f t="shared" si="22"/>
        <v>0</v>
      </c>
      <c r="DG39" s="166">
        <f t="shared" ca="1" si="106"/>
        <v>46054</v>
      </c>
      <c r="DH39" s="167">
        <f t="shared" ca="1" si="23"/>
        <v>0</v>
      </c>
      <c r="DI39" s="165">
        <f t="shared" si="24"/>
        <v>46096</v>
      </c>
      <c r="DJ39" s="109">
        <f t="shared" si="25"/>
        <v>0</v>
      </c>
      <c r="DK39" s="109">
        <f t="shared" si="26"/>
        <v>0</v>
      </c>
      <c r="DL39" s="109">
        <v>0</v>
      </c>
      <c r="DM39" s="109">
        <f t="shared" si="27"/>
        <v>0</v>
      </c>
      <c r="DN39" s="166">
        <f t="shared" ca="1" si="87"/>
        <v>46054</v>
      </c>
      <c r="DO39" s="167">
        <f t="shared" ca="1" si="28"/>
        <v>0</v>
      </c>
      <c r="DP39" s="165">
        <f t="shared" si="93"/>
        <v>46127</v>
      </c>
      <c r="DQ39" s="109">
        <f t="shared" si="29"/>
        <v>0</v>
      </c>
      <c r="DR39" s="109">
        <f t="shared" si="94"/>
        <v>0</v>
      </c>
      <c r="DS39" s="109"/>
      <c r="DT39" s="109">
        <f t="shared" si="30"/>
        <v>0</v>
      </c>
      <c r="DU39" s="166">
        <f t="shared" ca="1" si="88"/>
        <v>46054</v>
      </c>
      <c r="DV39" s="167">
        <f t="shared" ca="1" si="31"/>
        <v>0</v>
      </c>
      <c r="DW39" s="165">
        <f t="shared" si="32"/>
        <v>46157</v>
      </c>
      <c r="DX39" s="109">
        <f t="shared" si="33"/>
        <v>0</v>
      </c>
      <c r="DY39" s="109">
        <f t="shared" si="34"/>
        <v>0</v>
      </c>
      <c r="DZ39" s="109"/>
      <c r="EA39" s="109">
        <f t="shared" si="35"/>
        <v>0</v>
      </c>
      <c r="EB39" s="166">
        <f t="shared" ca="1" si="89"/>
        <v>46054</v>
      </c>
      <c r="EC39" s="167">
        <f t="shared" ca="1" si="36"/>
        <v>0</v>
      </c>
      <c r="ED39" s="165">
        <f t="shared" si="37"/>
        <v>46188</v>
      </c>
      <c r="EE39" s="109">
        <f t="shared" si="38"/>
        <v>0</v>
      </c>
      <c r="EF39" s="109">
        <f t="shared" si="39"/>
        <v>0</v>
      </c>
      <c r="EG39" s="109"/>
      <c r="EH39" s="109">
        <f t="shared" si="40"/>
        <v>0</v>
      </c>
      <c r="EI39" s="166">
        <f t="shared" ca="1" si="90"/>
        <v>46054</v>
      </c>
      <c r="EJ39" s="167">
        <f t="shared" ca="1" si="41"/>
        <v>0</v>
      </c>
      <c r="EK39" s="165">
        <f t="shared" si="42"/>
        <v>46218</v>
      </c>
      <c r="EL39" s="109">
        <f t="shared" si="43"/>
        <v>0</v>
      </c>
      <c r="EM39" s="109">
        <f t="shared" si="44"/>
        <v>0</v>
      </c>
      <c r="EN39" s="109"/>
      <c r="EO39" s="109">
        <f t="shared" si="45"/>
        <v>0</v>
      </c>
      <c r="EP39" s="166">
        <f t="shared" ca="1" si="91"/>
        <v>46054</v>
      </c>
      <c r="EQ39" s="167">
        <f t="shared" ca="1" si="46"/>
        <v>0</v>
      </c>
      <c r="ER39" s="165">
        <f t="shared" si="47"/>
        <v>46249</v>
      </c>
      <c r="ES39" s="109">
        <f t="shared" si="48"/>
        <v>0</v>
      </c>
      <c r="ET39" s="109">
        <f t="shared" si="49"/>
        <v>0</v>
      </c>
      <c r="EU39" s="109"/>
      <c r="EV39" s="109"/>
      <c r="EW39" s="166"/>
      <c r="EX39" s="166"/>
      <c r="EY39" s="165">
        <f t="shared" si="50"/>
        <v>46280</v>
      </c>
      <c r="EZ39" s="109">
        <f t="shared" si="51"/>
        <v>0</v>
      </c>
      <c r="FA39" s="109">
        <f t="shared" si="52"/>
        <v>0</v>
      </c>
      <c r="FB39" s="109"/>
      <c r="FC39" s="109"/>
      <c r="FD39" s="166"/>
      <c r="FE39" s="166"/>
      <c r="FF39" s="165">
        <f t="shared" si="53"/>
        <v>46310</v>
      </c>
      <c r="FG39" s="109">
        <f t="shared" si="54"/>
        <v>0</v>
      </c>
      <c r="FH39" s="109">
        <f t="shared" si="55"/>
        <v>0</v>
      </c>
      <c r="FI39" s="109"/>
      <c r="FJ39" s="109"/>
      <c r="FK39" s="166"/>
      <c r="FL39" s="166"/>
      <c r="FM39" s="165">
        <f t="shared" si="56"/>
        <v>46341</v>
      </c>
      <c r="FN39" s="109">
        <f t="shared" si="57"/>
        <v>0</v>
      </c>
      <c r="FO39" s="109">
        <f t="shared" si="58"/>
        <v>0</v>
      </c>
      <c r="FP39" s="109"/>
      <c r="FQ39" s="109"/>
      <c r="FR39" s="166"/>
      <c r="FS39" s="166"/>
      <c r="FT39" s="165"/>
      <c r="FU39" s="109"/>
      <c r="FV39" s="109"/>
      <c r="FW39" s="109"/>
      <c r="FX39" s="109"/>
      <c r="FY39" s="166"/>
      <c r="FZ39" s="166"/>
      <c r="GA39" s="165"/>
      <c r="GB39" s="109"/>
      <c r="GC39" s="109"/>
      <c r="GD39" s="109"/>
      <c r="GE39" s="109"/>
      <c r="GF39" s="166"/>
      <c r="GG39" s="166"/>
      <c r="GH39" s="165"/>
      <c r="GI39" s="109"/>
      <c r="GJ39" s="109"/>
      <c r="GK39" s="109"/>
      <c r="GL39" s="109"/>
      <c r="GM39" s="166"/>
      <c r="GN39" s="166"/>
      <c r="GO39" s="165"/>
      <c r="GP39" s="109"/>
      <c r="GQ39" s="109"/>
      <c r="GR39" s="109"/>
      <c r="GS39" s="109"/>
      <c r="GT39" s="166"/>
      <c r="GU39" s="166"/>
      <c r="GV39" s="165"/>
      <c r="GW39" s="168"/>
      <c r="GX39" s="168"/>
      <c r="GY39" s="168"/>
      <c r="GZ39" s="168"/>
      <c r="HA39" s="166"/>
      <c r="HB39" s="166"/>
      <c r="HC39" s="165"/>
      <c r="HD39" s="109"/>
      <c r="HE39" s="109"/>
      <c r="HF39" s="109"/>
      <c r="HG39" s="109"/>
      <c r="HH39" s="166"/>
      <c r="HI39" s="166"/>
      <c r="HJ39" s="165"/>
      <c r="HK39" s="109"/>
      <c r="HL39" s="109"/>
      <c r="HM39" s="109"/>
      <c r="HN39" s="109"/>
      <c r="HO39" s="166"/>
      <c r="HP39" s="166"/>
      <c r="HQ39" s="165"/>
      <c r="HR39" s="109"/>
      <c r="HS39" s="109"/>
      <c r="HT39" s="109"/>
      <c r="HU39" s="109"/>
      <c r="HV39" s="166"/>
      <c r="HW39" s="166"/>
      <c r="HX39" s="105">
        <f t="shared" si="86"/>
        <v>1543.1034482758621</v>
      </c>
      <c r="HY39" s="105">
        <f t="shared" si="83"/>
        <v>246.89655172413794</v>
      </c>
      <c r="HZ39" s="105">
        <f t="shared" si="83"/>
        <v>1790</v>
      </c>
      <c r="IA39" s="105">
        <f t="shared" si="68"/>
        <v>0</v>
      </c>
      <c r="IB39" s="109">
        <f t="shared" si="69"/>
        <v>19670</v>
      </c>
      <c r="IC39" s="109">
        <f t="shared" si="70"/>
        <v>16956.896551724138</v>
      </c>
      <c r="ID39" s="109">
        <f t="shared" si="71"/>
        <v>0</v>
      </c>
      <c r="IE39" s="109">
        <f t="shared" ca="1" si="72"/>
        <v>17</v>
      </c>
      <c r="IF39" s="139">
        <f t="shared" si="73"/>
        <v>1.0009319664492078</v>
      </c>
      <c r="IG39" s="139">
        <f t="shared" ca="1" si="74"/>
        <v>48</v>
      </c>
      <c r="IH39" s="169">
        <f t="shared" ca="1" si="75"/>
        <v>1.6</v>
      </c>
      <c r="II39" s="139">
        <f t="shared" ca="1" si="76"/>
        <v>0.5990680335507923</v>
      </c>
      <c r="IJ39" s="169">
        <f t="shared" ca="1" si="77"/>
        <v>17.972041006523767</v>
      </c>
      <c r="IK39" s="169">
        <f t="shared" ca="1" si="84"/>
        <v>0.5990680335507923</v>
      </c>
      <c r="IL39" s="170">
        <f t="shared" ca="1" si="78"/>
        <v>1071.3333333333335</v>
      </c>
      <c r="IM39" s="171"/>
      <c r="IN39" s="171"/>
      <c r="IO39" s="171"/>
      <c r="IP39" s="171"/>
      <c r="IY39" s="108"/>
    </row>
    <row r="40" spans="1:259" ht="15" customHeight="1" thickBot="1" x14ac:dyDescent="0.35">
      <c r="A40" s="110">
        <f t="shared" si="79"/>
        <v>36</v>
      </c>
      <c r="B40" s="111" t="s">
        <v>170</v>
      </c>
      <c r="C40" s="111" t="s">
        <v>171</v>
      </c>
      <c r="D40" s="111">
        <v>102</v>
      </c>
      <c r="E40" s="111" t="s">
        <v>253</v>
      </c>
      <c r="F40" s="111"/>
      <c r="G40" s="111" t="s">
        <v>555</v>
      </c>
      <c r="H40" s="111">
        <v>1021100149</v>
      </c>
      <c r="I40" s="146" t="str">
        <f t="shared" si="0"/>
        <v>1100149</v>
      </c>
      <c r="J40" s="145" t="str">
        <f t="shared" si="1"/>
        <v>KN1100149</v>
      </c>
      <c r="K40" s="111" t="s">
        <v>556</v>
      </c>
      <c r="L40" s="111" t="s">
        <v>412</v>
      </c>
      <c r="M40" s="111" t="s">
        <v>250</v>
      </c>
      <c r="N40" s="111" t="s">
        <v>138</v>
      </c>
      <c r="O40" s="111"/>
      <c r="P40" s="111" t="s">
        <v>557</v>
      </c>
      <c r="Q40" s="148">
        <v>32528</v>
      </c>
      <c r="R40" s="111" t="s">
        <v>170</v>
      </c>
      <c r="S40" s="111">
        <f t="shared" ca="1" si="85"/>
        <v>37</v>
      </c>
      <c r="T40" s="111" t="s">
        <v>558</v>
      </c>
      <c r="U40" s="111" t="s">
        <v>559</v>
      </c>
      <c r="V40" s="172">
        <v>778864699</v>
      </c>
      <c r="W40" s="111"/>
      <c r="X40" s="111" t="s">
        <v>181</v>
      </c>
      <c r="Y40" s="111">
        <v>11</v>
      </c>
      <c r="Z40" s="111" t="s">
        <v>235</v>
      </c>
      <c r="AA40" s="111" t="s">
        <v>261</v>
      </c>
      <c r="AB40" s="111" t="s">
        <v>236</v>
      </c>
      <c r="AC40" s="111" t="s">
        <v>146</v>
      </c>
      <c r="AD40" s="111" t="s">
        <v>147</v>
      </c>
      <c r="AE40" s="173" t="s">
        <v>136</v>
      </c>
      <c r="AF40" s="173" t="s">
        <v>136</v>
      </c>
      <c r="AG40" s="174">
        <v>45887</v>
      </c>
      <c r="AH40" s="175">
        <v>16000</v>
      </c>
      <c r="AI40" s="111">
        <v>12</v>
      </c>
      <c r="AJ40" s="111">
        <v>0</v>
      </c>
      <c r="AK40" s="150">
        <f t="shared" si="80"/>
        <v>12</v>
      </c>
      <c r="AL40" s="177">
        <v>16000</v>
      </c>
      <c r="AM40" s="176">
        <v>0.16</v>
      </c>
      <c r="AN40" s="177">
        <f t="shared" si="92"/>
        <v>2560</v>
      </c>
      <c r="AO40" s="157">
        <f t="shared" si="96"/>
        <v>18560</v>
      </c>
      <c r="AP40" s="158">
        <f t="shared" si="3"/>
        <v>1546.6666666666667</v>
      </c>
      <c r="AQ40" s="111" t="s">
        <v>136</v>
      </c>
      <c r="AR40" s="111" t="s">
        <v>170</v>
      </c>
      <c r="AS40" s="111" t="s">
        <v>559</v>
      </c>
      <c r="AT40" s="111" t="s">
        <v>560</v>
      </c>
      <c r="AU40" s="111" t="s">
        <v>558</v>
      </c>
      <c r="AV40" s="111">
        <v>5</v>
      </c>
      <c r="AW40" s="111" t="s">
        <v>136</v>
      </c>
      <c r="AX40" s="111" t="s">
        <v>136</v>
      </c>
      <c r="AY40" s="111" t="s">
        <v>136</v>
      </c>
      <c r="AZ40" s="111" t="s">
        <v>136</v>
      </c>
      <c r="BA40" s="111" t="s">
        <v>136</v>
      </c>
      <c r="BB40" s="111" t="s">
        <v>136</v>
      </c>
      <c r="BC40" s="111" t="s">
        <v>136</v>
      </c>
      <c r="BD40" s="111" t="s">
        <v>136</v>
      </c>
      <c r="BE40" s="111" t="s">
        <v>136</v>
      </c>
      <c r="BF40" s="111" t="s">
        <v>136</v>
      </c>
      <c r="BG40" s="111" t="s">
        <v>136</v>
      </c>
      <c r="BH40" s="111" t="s">
        <v>136</v>
      </c>
      <c r="BI40" s="111" t="s">
        <v>136</v>
      </c>
      <c r="BJ40" s="111" t="s">
        <v>136</v>
      </c>
      <c r="BK40" s="111" t="s">
        <v>136</v>
      </c>
      <c r="BL40" s="111" t="s">
        <v>136</v>
      </c>
      <c r="BM40" s="111" t="s">
        <v>136</v>
      </c>
      <c r="BN40" s="111" t="s">
        <v>136</v>
      </c>
      <c r="BO40" s="111" t="s">
        <v>136</v>
      </c>
      <c r="BP40" s="111" t="s">
        <v>561</v>
      </c>
      <c r="BQ40" s="111" t="s">
        <v>164</v>
      </c>
      <c r="BR40" s="111" t="s">
        <v>562</v>
      </c>
      <c r="BS40" s="111" t="s">
        <v>563</v>
      </c>
      <c r="BT40" s="182" t="s">
        <v>564</v>
      </c>
      <c r="BU40" s="111" t="s">
        <v>558</v>
      </c>
      <c r="BV40" s="111" t="s">
        <v>559</v>
      </c>
      <c r="BW40" s="111"/>
      <c r="BX40" s="111"/>
      <c r="BY40" s="111"/>
      <c r="BZ40" s="111"/>
      <c r="CA40" s="111"/>
      <c r="CB40" s="111"/>
      <c r="CC40" s="178"/>
      <c r="CD40" s="177">
        <f t="shared" si="4"/>
        <v>16000</v>
      </c>
      <c r="CE40" s="148">
        <v>45976</v>
      </c>
      <c r="CF40" s="111">
        <f t="shared" si="5"/>
        <v>12</v>
      </c>
      <c r="CG40" s="177">
        <f t="shared" si="6"/>
        <v>18560</v>
      </c>
      <c r="CH40" s="203">
        <f t="shared" si="95"/>
        <v>0</v>
      </c>
      <c r="CI40" s="148">
        <v>45976</v>
      </c>
      <c r="CJ40" s="161">
        <f t="shared" si="81"/>
        <v>46006</v>
      </c>
      <c r="CK40" s="162">
        <f t="shared" si="82"/>
        <v>46341</v>
      </c>
      <c r="CL40" s="183"/>
      <c r="CM40" s="164">
        <f t="shared" ca="1" si="8"/>
        <v>46054</v>
      </c>
      <c r="CN40" s="165">
        <f t="shared" si="9"/>
        <v>46006</v>
      </c>
      <c r="CO40" s="109">
        <f t="shared" si="10"/>
        <v>1336.2068965517242</v>
      </c>
      <c r="CP40" s="109">
        <f t="shared" si="11"/>
        <v>213.79310344827587</v>
      </c>
      <c r="CQ40" s="109">
        <v>1550</v>
      </c>
      <c r="CR40" s="109">
        <f t="shared" si="12"/>
        <v>3.3333333333332575</v>
      </c>
      <c r="CS40" s="166">
        <v>46006</v>
      </c>
      <c r="CT40" s="167">
        <f t="shared" si="13"/>
        <v>0</v>
      </c>
      <c r="CU40" s="165">
        <f t="shared" si="14"/>
        <v>46037</v>
      </c>
      <c r="CV40" s="109">
        <f t="shared" si="15"/>
        <v>1422.4137931034484</v>
      </c>
      <c r="CW40" s="109">
        <f t="shared" si="16"/>
        <v>227.58620689655174</v>
      </c>
      <c r="CX40" s="109">
        <v>1650</v>
      </c>
      <c r="CY40" s="109">
        <f t="shared" si="17"/>
        <v>103.33333333333326</v>
      </c>
      <c r="CZ40" s="166">
        <v>46033</v>
      </c>
      <c r="DA40" s="167">
        <f t="shared" si="18"/>
        <v>0</v>
      </c>
      <c r="DB40" s="165">
        <f t="shared" si="19"/>
        <v>46068</v>
      </c>
      <c r="DC40" s="109">
        <f t="shared" si="20"/>
        <v>0</v>
      </c>
      <c r="DD40" s="109">
        <f t="shared" si="21"/>
        <v>0</v>
      </c>
      <c r="DE40" s="109"/>
      <c r="DF40" s="109">
        <f t="shared" si="22"/>
        <v>0</v>
      </c>
      <c r="DG40" s="166">
        <f t="shared" ca="1" si="106"/>
        <v>46054</v>
      </c>
      <c r="DH40" s="167">
        <f t="shared" ca="1" si="23"/>
        <v>0</v>
      </c>
      <c r="DI40" s="165">
        <f t="shared" si="24"/>
        <v>46096</v>
      </c>
      <c r="DJ40" s="109">
        <f t="shared" si="25"/>
        <v>0</v>
      </c>
      <c r="DK40" s="109">
        <f t="shared" si="26"/>
        <v>0</v>
      </c>
      <c r="DL40" s="109">
        <v>0</v>
      </c>
      <c r="DM40" s="109">
        <f t="shared" si="27"/>
        <v>0</v>
      </c>
      <c r="DN40" s="166">
        <f t="shared" ca="1" si="87"/>
        <v>46054</v>
      </c>
      <c r="DO40" s="167">
        <f t="shared" ca="1" si="28"/>
        <v>0</v>
      </c>
      <c r="DP40" s="165">
        <f t="shared" si="93"/>
        <v>46127</v>
      </c>
      <c r="DQ40" s="109">
        <f t="shared" si="29"/>
        <v>0</v>
      </c>
      <c r="DR40" s="109">
        <f t="shared" si="94"/>
        <v>0</v>
      </c>
      <c r="DS40" s="109"/>
      <c r="DT40" s="109">
        <f t="shared" si="30"/>
        <v>0</v>
      </c>
      <c r="DU40" s="166">
        <f t="shared" ca="1" si="88"/>
        <v>46054</v>
      </c>
      <c r="DV40" s="167">
        <f t="shared" ca="1" si="31"/>
        <v>0</v>
      </c>
      <c r="DW40" s="165">
        <f t="shared" si="32"/>
        <v>46157</v>
      </c>
      <c r="DX40" s="109">
        <f t="shared" si="33"/>
        <v>0</v>
      </c>
      <c r="DY40" s="109">
        <f t="shared" si="34"/>
        <v>0</v>
      </c>
      <c r="DZ40" s="109"/>
      <c r="EA40" s="109">
        <f t="shared" si="35"/>
        <v>0</v>
      </c>
      <c r="EB40" s="166">
        <f t="shared" ca="1" si="89"/>
        <v>46054</v>
      </c>
      <c r="EC40" s="167">
        <f t="shared" ca="1" si="36"/>
        <v>0</v>
      </c>
      <c r="ED40" s="165">
        <f t="shared" si="37"/>
        <v>46188</v>
      </c>
      <c r="EE40" s="109">
        <f t="shared" si="38"/>
        <v>0</v>
      </c>
      <c r="EF40" s="109">
        <f t="shared" si="39"/>
        <v>0</v>
      </c>
      <c r="EG40" s="109"/>
      <c r="EH40" s="109">
        <f t="shared" si="40"/>
        <v>0</v>
      </c>
      <c r="EI40" s="166">
        <f t="shared" ca="1" si="90"/>
        <v>46054</v>
      </c>
      <c r="EJ40" s="167">
        <f t="shared" ca="1" si="41"/>
        <v>0</v>
      </c>
      <c r="EK40" s="165">
        <f t="shared" si="42"/>
        <v>46218</v>
      </c>
      <c r="EL40" s="109">
        <f t="shared" si="43"/>
        <v>0</v>
      </c>
      <c r="EM40" s="109">
        <f t="shared" si="44"/>
        <v>0</v>
      </c>
      <c r="EN40" s="109"/>
      <c r="EO40" s="109">
        <f t="shared" si="45"/>
        <v>0</v>
      </c>
      <c r="EP40" s="166">
        <f t="shared" ca="1" si="91"/>
        <v>46054</v>
      </c>
      <c r="EQ40" s="167">
        <f t="shared" ca="1" si="46"/>
        <v>0</v>
      </c>
      <c r="ER40" s="165">
        <f t="shared" si="47"/>
        <v>46249</v>
      </c>
      <c r="ES40" s="109">
        <f t="shared" si="48"/>
        <v>0</v>
      </c>
      <c r="ET40" s="109">
        <f t="shared" si="49"/>
        <v>0</v>
      </c>
      <c r="EU40" s="109"/>
      <c r="EV40" s="109"/>
      <c r="EW40" s="166"/>
      <c r="EX40" s="166"/>
      <c r="EY40" s="165">
        <f t="shared" si="50"/>
        <v>46280</v>
      </c>
      <c r="EZ40" s="109">
        <f t="shared" si="51"/>
        <v>0</v>
      </c>
      <c r="FA40" s="109">
        <f t="shared" si="52"/>
        <v>0</v>
      </c>
      <c r="FB40" s="109"/>
      <c r="FC40" s="109"/>
      <c r="FD40" s="166"/>
      <c r="FE40" s="166"/>
      <c r="FF40" s="165">
        <f t="shared" si="53"/>
        <v>46310</v>
      </c>
      <c r="FG40" s="109">
        <f t="shared" si="54"/>
        <v>0</v>
      </c>
      <c r="FH40" s="109">
        <f t="shared" si="55"/>
        <v>0</v>
      </c>
      <c r="FI40" s="109"/>
      <c r="FJ40" s="109"/>
      <c r="FK40" s="166"/>
      <c r="FL40" s="166"/>
      <c r="FM40" s="165">
        <f t="shared" si="56"/>
        <v>46341</v>
      </c>
      <c r="FN40" s="109">
        <f t="shared" si="57"/>
        <v>0</v>
      </c>
      <c r="FO40" s="109">
        <f t="shared" si="58"/>
        <v>0</v>
      </c>
      <c r="FP40" s="109"/>
      <c r="FQ40" s="109"/>
      <c r="FR40" s="166"/>
      <c r="FS40" s="166"/>
      <c r="FT40" s="165"/>
      <c r="FU40" s="109"/>
      <c r="FV40" s="109"/>
      <c r="FW40" s="109"/>
      <c r="FX40" s="109"/>
      <c r="FY40" s="166"/>
      <c r="FZ40" s="166"/>
      <c r="GA40" s="165"/>
      <c r="GB40" s="109"/>
      <c r="GC40" s="109"/>
      <c r="GD40" s="109"/>
      <c r="GE40" s="109"/>
      <c r="GF40" s="166"/>
      <c r="GG40" s="166"/>
      <c r="GH40" s="165"/>
      <c r="GI40" s="109"/>
      <c r="GJ40" s="109"/>
      <c r="GK40" s="109"/>
      <c r="GL40" s="109"/>
      <c r="GM40" s="166"/>
      <c r="GN40" s="166"/>
      <c r="GO40" s="165"/>
      <c r="GP40" s="109"/>
      <c r="GQ40" s="109"/>
      <c r="GR40" s="109"/>
      <c r="GS40" s="109"/>
      <c r="GT40" s="166"/>
      <c r="GU40" s="166"/>
      <c r="GV40" s="165"/>
      <c r="GW40" s="168"/>
      <c r="GX40" s="168"/>
      <c r="GY40" s="168"/>
      <c r="GZ40" s="168"/>
      <c r="HA40" s="166"/>
      <c r="HB40" s="166"/>
      <c r="HC40" s="165"/>
      <c r="HD40" s="109"/>
      <c r="HE40" s="109"/>
      <c r="HF40" s="109"/>
      <c r="HG40" s="109"/>
      <c r="HH40" s="166"/>
      <c r="HI40" s="166"/>
      <c r="HJ40" s="165"/>
      <c r="HK40" s="109"/>
      <c r="HL40" s="109"/>
      <c r="HM40" s="109"/>
      <c r="HN40" s="109"/>
      <c r="HO40" s="166"/>
      <c r="HP40" s="166"/>
      <c r="HQ40" s="165"/>
      <c r="HR40" s="109"/>
      <c r="HS40" s="109"/>
      <c r="HT40" s="109"/>
      <c r="HU40" s="109"/>
      <c r="HV40" s="166"/>
      <c r="HW40" s="166"/>
      <c r="HX40" s="105">
        <f t="shared" si="86"/>
        <v>2758.6206896551726</v>
      </c>
      <c r="HY40" s="105">
        <f t="shared" si="83"/>
        <v>441.37931034482762</v>
      </c>
      <c r="HZ40" s="105">
        <f t="shared" si="83"/>
        <v>3200</v>
      </c>
      <c r="IA40" s="105">
        <f t="shared" si="68"/>
        <v>0</v>
      </c>
      <c r="IB40" s="109">
        <f t="shared" si="69"/>
        <v>15360</v>
      </c>
      <c r="IC40" s="109">
        <f t="shared" si="70"/>
        <v>13241.379310344828</v>
      </c>
      <c r="ID40" s="109">
        <f t="shared" si="71"/>
        <v>0</v>
      </c>
      <c r="IE40" s="109">
        <f t="shared" ca="1" si="72"/>
        <v>0</v>
      </c>
      <c r="IF40" s="139">
        <f t="shared" si="73"/>
        <v>2.068965517241379</v>
      </c>
      <c r="IG40" s="139">
        <f t="shared" ca="1" si="74"/>
        <v>48</v>
      </c>
      <c r="IH40" s="169">
        <f t="shared" ca="1" si="75"/>
        <v>1.6</v>
      </c>
      <c r="II40" s="139">
        <f t="shared" ca="1" si="76"/>
        <v>-0.46896551724137892</v>
      </c>
      <c r="IJ40" s="169">
        <f t="shared" ca="1" si="77"/>
        <v>0</v>
      </c>
      <c r="IK40" s="169">
        <f t="shared" ca="1" si="84"/>
        <v>-0.46896551724137892</v>
      </c>
      <c r="IL40" s="170">
        <f t="shared" ca="1" si="78"/>
        <v>-725.3333333333328</v>
      </c>
      <c r="IM40" s="171"/>
      <c r="IN40" s="171"/>
      <c r="IO40" s="171"/>
      <c r="IP40" s="171"/>
    </row>
    <row r="41" spans="1:259" ht="15" thickBot="1" x14ac:dyDescent="0.35">
      <c r="A41" s="110">
        <f t="shared" si="79"/>
        <v>37</v>
      </c>
      <c r="B41" s="111" t="s">
        <v>170</v>
      </c>
      <c r="C41" s="145" t="s">
        <v>171</v>
      </c>
      <c r="D41" s="145">
        <v>102</v>
      </c>
      <c r="E41" s="111" t="s">
        <v>253</v>
      </c>
      <c r="F41" s="111"/>
      <c r="G41" s="111" t="s">
        <v>565</v>
      </c>
      <c r="H41" s="111">
        <v>1021100150</v>
      </c>
      <c r="I41" s="146" t="str">
        <f t="shared" si="0"/>
        <v>1100150</v>
      </c>
      <c r="J41" s="145" t="str">
        <f t="shared" si="1"/>
        <v>KN1100150</v>
      </c>
      <c r="K41" s="111" t="s">
        <v>566</v>
      </c>
      <c r="L41" s="111" t="s">
        <v>412</v>
      </c>
      <c r="M41" s="111" t="s">
        <v>567</v>
      </c>
      <c r="N41" s="111" t="s">
        <v>138</v>
      </c>
      <c r="O41" s="111"/>
      <c r="P41" s="111" t="s">
        <v>568</v>
      </c>
      <c r="Q41" s="148">
        <v>31628</v>
      </c>
      <c r="R41" s="111" t="s">
        <v>170</v>
      </c>
      <c r="S41" s="111">
        <f t="shared" ca="1" si="85"/>
        <v>39</v>
      </c>
      <c r="T41" s="111" t="s">
        <v>569</v>
      </c>
      <c r="U41" s="111" t="s">
        <v>470</v>
      </c>
      <c r="V41" s="172">
        <v>767703836</v>
      </c>
      <c r="W41" s="111"/>
      <c r="X41" s="111" t="s">
        <v>181</v>
      </c>
      <c r="Y41" s="111">
        <v>11</v>
      </c>
      <c r="Z41" s="111" t="s">
        <v>235</v>
      </c>
      <c r="AA41" s="111" t="s">
        <v>261</v>
      </c>
      <c r="AB41" s="111" t="s">
        <v>236</v>
      </c>
      <c r="AC41" s="111" t="s">
        <v>146</v>
      </c>
      <c r="AD41" s="111" t="s">
        <v>147</v>
      </c>
      <c r="AE41" s="173" t="s">
        <v>136</v>
      </c>
      <c r="AF41" s="173" t="s">
        <v>136</v>
      </c>
      <c r="AG41" s="174">
        <v>45886</v>
      </c>
      <c r="AH41" s="175">
        <v>100000</v>
      </c>
      <c r="AI41" s="111">
        <v>15</v>
      </c>
      <c r="AJ41" s="111">
        <v>0</v>
      </c>
      <c r="AK41" s="150">
        <f t="shared" si="80"/>
        <v>15</v>
      </c>
      <c r="AL41" s="177">
        <v>100000</v>
      </c>
      <c r="AM41" s="176">
        <v>0.16</v>
      </c>
      <c r="AN41" s="177">
        <f t="shared" si="92"/>
        <v>16000</v>
      </c>
      <c r="AO41" s="157">
        <f t="shared" si="96"/>
        <v>116000</v>
      </c>
      <c r="AP41" s="158">
        <f t="shared" si="3"/>
        <v>7733.333333333333</v>
      </c>
      <c r="AQ41" s="111" t="s">
        <v>136</v>
      </c>
      <c r="AR41" s="111" t="s">
        <v>170</v>
      </c>
      <c r="AS41" s="111" t="s">
        <v>570</v>
      </c>
      <c r="AT41" s="111" t="s">
        <v>571</v>
      </c>
      <c r="AU41" s="111" t="s">
        <v>569</v>
      </c>
      <c r="AV41" s="111">
        <v>3</v>
      </c>
      <c r="AW41" s="111" t="s">
        <v>136</v>
      </c>
      <c r="AX41" s="111" t="s">
        <v>136</v>
      </c>
      <c r="AY41" s="111" t="s">
        <v>136</v>
      </c>
      <c r="AZ41" s="111" t="s">
        <v>136</v>
      </c>
      <c r="BA41" s="111" t="s">
        <v>136</v>
      </c>
      <c r="BB41" s="111" t="s">
        <v>136</v>
      </c>
      <c r="BC41" s="111" t="s">
        <v>136</v>
      </c>
      <c r="BD41" s="111" t="s">
        <v>136</v>
      </c>
      <c r="BE41" s="111" t="s">
        <v>136</v>
      </c>
      <c r="BF41" s="111" t="s">
        <v>136</v>
      </c>
      <c r="BG41" s="111" t="s">
        <v>136</v>
      </c>
      <c r="BH41" s="111" t="s">
        <v>136</v>
      </c>
      <c r="BI41" s="111" t="s">
        <v>136</v>
      </c>
      <c r="BJ41" s="111" t="s">
        <v>136</v>
      </c>
      <c r="BK41" s="111" t="s">
        <v>136</v>
      </c>
      <c r="BL41" s="111" t="s">
        <v>136</v>
      </c>
      <c r="BM41" s="111" t="s">
        <v>136</v>
      </c>
      <c r="BN41" s="111" t="s">
        <v>136</v>
      </c>
      <c r="BO41" s="111" t="s">
        <v>136</v>
      </c>
      <c r="BP41" s="111" t="s">
        <v>572</v>
      </c>
      <c r="BQ41" s="111" t="s">
        <v>164</v>
      </c>
      <c r="BR41" s="111" t="s">
        <v>467</v>
      </c>
      <c r="BS41" s="111" t="s">
        <v>573</v>
      </c>
      <c r="BT41" s="182" t="s">
        <v>574</v>
      </c>
      <c r="BU41" s="111" t="s">
        <v>569</v>
      </c>
      <c r="BV41" s="111" t="s">
        <v>470</v>
      </c>
      <c r="BW41" s="111"/>
      <c r="BX41" s="111"/>
      <c r="BY41" s="111"/>
      <c r="BZ41" s="111"/>
      <c r="CA41" s="111"/>
      <c r="CB41" s="111"/>
      <c r="CC41" s="178"/>
      <c r="CD41" s="177">
        <f t="shared" si="4"/>
        <v>100000</v>
      </c>
      <c r="CE41" s="148">
        <v>45977</v>
      </c>
      <c r="CF41" s="111">
        <f t="shared" si="5"/>
        <v>15</v>
      </c>
      <c r="CG41" s="177">
        <f t="shared" si="6"/>
        <v>116000</v>
      </c>
      <c r="CH41" s="203">
        <f t="shared" si="95"/>
        <v>0</v>
      </c>
      <c r="CI41" s="148">
        <v>45977</v>
      </c>
      <c r="CJ41" s="161">
        <f t="shared" si="81"/>
        <v>46007</v>
      </c>
      <c r="CK41" s="162">
        <f t="shared" si="82"/>
        <v>46434</v>
      </c>
      <c r="CL41" s="183"/>
      <c r="CM41" s="164">
        <f t="shared" ca="1" si="8"/>
        <v>46054</v>
      </c>
      <c r="CN41" s="165">
        <f t="shared" si="9"/>
        <v>46007</v>
      </c>
      <c r="CO41" s="109">
        <f t="shared" si="10"/>
        <v>6672.4137931034484</v>
      </c>
      <c r="CP41" s="109">
        <f t="shared" si="11"/>
        <v>1067.5862068965519</v>
      </c>
      <c r="CQ41" s="109">
        <v>7740</v>
      </c>
      <c r="CR41" s="109">
        <f t="shared" si="12"/>
        <v>6.6666666666669698</v>
      </c>
      <c r="CS41" s="166">
        <v>46008</v>
      </c>
      <c r="CT41" s="167">
        <f t="shared" si="13"/>
        <v>1</v>
      </c>
      <c r="CU41" s="165">
        <f t="shared" si="14"/>
        <v>46038</v>
      </c>
      <c r="CV41" s="109">
        <f t="shared" si="15"/>
        <v>0</v>
      </c>
      <c r="CW41" s="109">
        <f t="shared" si="16"/>
        <v>0</v>
      </c>
      <c r="CX41" s="109"/>
      <c r="CY41" s="109">
        <f t="shared" si="17"/>
        <v>0</v>
      </c>
      <c r="CZ41" s="166">
        <f t="shared" ref="CZ41:CZ55" ca="1" si="107">TODAY()</f>
        <v>46054</v>
      </c>
      <c r="DA41" s="167">
        <f t="shared" ca="1" si="18"/>
        <v>16</v>
      </c>
      <c r="DB41" s="165">
        <f t="shared" si="19"/>
        <v>46069</v>
      </c>
      <c r="DC41" s="109">
        <f t="shared" si="20"/>
        <v>0</v>
      </c>
      <c r="DD41" s="109">
        <f t="shared" si="21"/>
        <v>0</v>
      </c>
      <c r="DE41" s="109"/>
      <c r="DF41" s="109">
        <f t="shared" si="22"/>
        <v>0</v>
      </c>
      <c r="DG41" s="166">
        <f t="shared" ca="1" si="106"/>
        <v>46054</v>
      </c>
      <c r="DH41" s="167">
        <f t="shared" ca="1" si="23"/>
        <v>0</v>
      </c>
      <c r="DI41" s="165">
        <f t="shared" si="24"/>
        <v>46097</v>
      </c>
      <c r="DJ41" s="109">
        <f t="shared" si="25"/>
        <v>0</v>
      </c>
      <c r="DK41" s="109">
        <f t="shared" si="26"/>
        <v>0</v>
      </c>
      <c r="DL41" s="109">
        <v>0</v>
      </c>
      <c r="DM41" s="109">
        <f t="shared" si="27"/>
        <v>0</v>
      </c>
      <c r="DN41" s="166">
        <f t="shared" ca="1" si="87"/>
        <v>46054</v>
      </c>
      <c r="DO41" s="167">
        <f t="shared" ca="1" si="28"/>
        <v>0</v>
      </c>
      <c r="DP41" s="165">
        <f t="shared" si="93"/>
        <v>46128</v>
      </c>
      <c r="DQ41" s="109">
        <f t="shared" si="29"/>
        <v>0</v>
      </c>
      <c r="DR41" s="109">
        <f t="shared" si="94"/>
        <v>0</v>
      </c>
      <c r="DS41" s="109"/>
      <c r="DT41" s="109">
        <f t="shared" si="30"/>
        <v>0</v>
      </c>
      <c r="DU41" s="166">
        <f t="shared" ca="1" si="88"/>
        <v>46054</v>
      </c>
      <c r="DV41" s="167">
        <f t="shared" ca="1" si="31"/>
        <v>0</v>
      </c>
      <c r="DW41" s="165">
        <f t="shared" si="32"/>
        <v>46158</v>
      </c>
      <c r="DX41" s="109">
        <f t="shared" si="33"/>
        <v>0</v>
      </c>
      <c r="DY41" s="109">
        <f t="shared" si="34"/>
        <v>0</v>
      </c>
      <c r="DZ41" s="109"/>
      <c r="EA41" s="109">
        <f t="shared" si="35"/>
        <v>0</v>
      </c>
      <c r="EB41" s="166">
        <f t="shared" ca="1" si="89"/>
        <v>46054</v>
      </c>
      <c r="EC41" s="167">
        <f t="shared" ca="1" si="36"/>
        <v>0</v>
      </c>
      <c r="ED41" s="165">
        <f t="shared" si="37"/>
        <v>46189</v>
      </c>
      <c r="EE41" s="109">
        <f t="shared" si="38"/>
        <v>0</v>
      </c>
      <c r="EF41" s="109">
        <f t="shared" si="39"/>
        <v>0</v>
      </c>
      <c r="EG41" s="109"/>
      <c r="EH41" s="109">
        <f t="shared" si="40"/>
        <v>0</v>
      </c>
      <c r="EI41" s="166">
        <f t="shared" ca="1" si="90"/>
        <v>46054</v>
      </c>
      <c r="EJ41" s="167">
        <f t="shared" ca="1" si="41"/>
        <v>0</v>
      </c>
      <c r="EK41" s="165">
        <f t="shared" si="42"/>
        <v>46219</v>
      </c>
      <c r="EL41" s="109">
        <f t="shared" si="43"/>
        <v>0</v>
      </c>
      <c r="EM41" s="109">
        <f t="shared" si="44"/>
        <v>0</v>
      </c>
      <c r="EN41" s="109"/>
      <c r="EO41" s="109">
        <f t="shared" si="45"/>
        <v>0</v>
      </c>
      <c r="EP41" s="166">
        <f t="shared" ca="1" si="91"/>
        <v>46054</v>
      </c>
      <c r="EQ41" s="167">
        <f t="shared" ca="1" si="46"/>
        <v>0</v>
      </c>
      <c r="ER41" s="165">
        <f t="shared" si="47"/>
        <v>46250</v>
      </c>
      <c r="ES41" s="109">
        <f t="shared" si="48"/>
        <v>0</v>
      </c>
      <c r="ET41" s="109">
        <f t="shared" si="49"/>
        <v>0</v>
      </c>
      <c r="EU41" s="109"/>
      <c r="EV41" s="109"/>
      <c r="EW41" s="166"/>
      <c r="EX41" s="166"/>
      <c r="EY41" s="165">
        <f t="shared" si="50"/>
        <v>46281</v>
      </c>
      <c r="EZ41" s="109">
        <f t="shared" si="51"/>
        <v>0</v>
      </c>
      <c r="FA41" s="109">
        <f t="shared" si="52"/>
        <v>0</v>
      </c>
      <c r="FB41" s="109"/>
      <c r="FC41" s="109"/>
      <c r="FD41" s="166"/>
      <c r="FE41" s="166"/>
      <c r="FF41" s="165">
        <f t="shared" si="53"/>
        <v>46311</v>
      </c>
      <c r="FG41" s="109">
        <f t="shared" si="54"/>
        <v>0</v>
      </c>
      <c r="FH41" s="109">
        <f t="shared" si="55"/>
        <v>0</v>
      </c>
      <c r="FI41" s="109"/>
      <c r="FJ41" s="109"/>
      <c r="FK41" s="166"/>
      <c r="FL41" s="166"/>
      <c r="FM41" s="165">
        <f t="shared" si="56"/>
        <v>46342</v>
      </c>
      <c r="FN41" s="109">
        <f t="shared" si="57"/>
        <v>0</v>
      </c>
      <c r="FO41" s="109">
        <f t="shared" si="58"/>
        <v>0</v>
      </c>
      <c r="FP41" s="109"/>
      <c r="FQ41" s="109"/>
      <c r="FR41" s="166"/>
      <c r="FS41" s="166"/>
      <c r="FT41" s="165"/>
      <c r="FU41" s="109">
        <f>FW41-FV41</f>
        <v>0</v>
      </c>
      <c r="FV41" s="109">
        <f>FW41/(1+AM41)*AM41</f>
        <v>0</v>
      </c>
      <c r="FW41" s="109"/>
      <c r="FX41" s="109"/>
      <c r="FY41" s="166"/>
      <c r="FZ41" s="166"/>
      <c r="GA41" s="165"/>
      <c r="GB41" s="109">
        <f>GD41-GC41</f>
        <v>0</v>
      </c>
      <c r="GC41" s="109">
        <f>GD41/(1+AM41)*AM41</f>
        <v>0</v>
      </c>
      <c r="GD41" s="109"/>
      <c r="GE41" s="109"/>
      <c r="GF41" s="166"/>
      <c r="GG41" s="166"/>
      <c r="GH41" s="165"/>
      <c r="GI41" s="109">
        <f>GK41-GJ41</f>
        <v>0</v>
      </c>
      <c r="GJ41" s="109">
        <f>GK41/(1+AM41)*AM41</f>
        <v>0</v>
      </c>
      <c r="GK41" s="109"/>
      <c r="GL41" s="109"/>
      <c r="GM41" s="166"/>
      <c r="GN41" s="166"/>
      <c r="GO41" s="165"/>
      <c r="GP41" s="109">
        <f>GR41-GQ41</f>
        <v>0</v>
      </c>
      <c r="GQ41" s="109">
        <f>GR41/(1+AM41)*AM41</f>
        <v>0</v>
      </c>
      <c r="GR41" s="109"/>
      <c r="GS41" s="109"/>
      <c r="GT41" s="166"/>
      <c r="GU41" s="166"/>
      <c r="GV41" s="165"/>
      <c r="GW41" s="168">
        <f>GY41-GX41</f>
        <v>0</v>
      </c>
      <c r="GX41" s="168">
        <f>GY41/(1+AM41)*AM41</f>
        <v>0</v>
      </c>
      <c r="GY41" s="168"/>
      <c r="GZ41" s="168"/>
      <c r="HA41" s="166"/>
      <c r="HB41" s="166"/>
      <c r="HC41" s="165"/>
      <c r="HD41" s="109">
        <f>HF41-HE41</f>
        <v>0</v>
      </c>
      <c r="HE41" s="109">
        <f>HF41/(1+AM41)*AM41</f>
        <v>0</v>
      </c>
      <c r="HF41" s="109"/>
      <c r="HG41" s="109"/>
      <c r="HH41" s="166"/>
      <c r="HI41" s="166"/>
      <c r="HJ41" s="165"/>
      <c r="HK41" s="109">
        <f>HM41-HL41</f>
        <v>0</v>
      </c>
      <c r="HL41" s="109">
        <f>HM41/(1+AM41)*AM41</f>
        <v>0</v>
      </c>
      <c r="HM41" s="109"/>
      <c r="HN41" s="109"/>
      <c r="HO41" s="166"/>
      <c r="HP41" s="166"/>
      <c r="HQ41" s="165"/>
      <c r="HR41" s="109">
        <f>HT41-HS41</f>
        <v>0</v>
      </c>
      <c r="HS41" s="109">
        <f>HT41/(1+AM41)*AM41</f>
        <v>0</v>
      </c>
      <c r="HT41" s="109"/>
      <c r="HU41" s="109"/>
      <c r="HV41" s="166"/>
      <c r="HW41" s="166"/>
      <c r="HX41" s="105">
        <f t="shared" si="86"/>
        <v>6672.4137931034484</v>
      </c>
      <c r="HY41" s="105">
        <f t="shared" si="83"/>
        <v>1067.5862068965519</v>
      </c>
      <c r="HZ41" s="105">
        <f t="shared" si="83"/>
        <v>7740</v>
      </c>
      <c r="IA41" s="105">
        <f t="shared" si="68"/>
        <v>0</v>
      </c>
      <c r="IB41" s="109">
        <f t="shared" si="69"/>
        <v>108260</v>
      </c>
      <c r="IC41" s="109">
        <f t="shared" si="70"/>
        <v>93327.586206896551</v>
      </c>
      <c r="ID41" s="109">
        <f t="shared" si="71"/>
        <v>0</v>
      </c>
      <c r="IE41" s="109">
        <f t="shared" ca="1" si="72"/>
        <v>17</v>
      </c>
      <c r="IF41" s="139">
        <f t="shared" si="73"/>
        <v>1.0008620689655172</v>
      </c>
      <c r="IG41" s="139">
        <f t="shared" ca="1" si="74"/>
        <v>47</v>
      </c>
      <c r="IH41" s="169">
        <f t="shared" ca="1" si="75"/>
        <v>1.5666666666666667</v>
      </c>
      <c r="II41" s="139">
        <f t="shared" ca="1" si="76"/>
        <v>0.56580459770114944</v>
      </c>
      <c r="IJ41" s="169">
        <f t="shared" ca="1" si="77"/>
        <v>16.974137931034484</v>
      </c>
      <c r="IK41" s="169">
        <f t="shared" ca="1" si="84"/>
        <v>0.56580459770114944</v>
      </c>
      <c r="IL41" s="170">
        <f t="shared" ca="1" si="78"/>
        <v>4375.5555555555557</v>
      </c>
      <c r="IM41" s="171"/>
      <c r="IN41" s="171"/>
      <c r="IO41" s="171"/>
      <c r="IP41" s="171"/>
    </row>
    <row r="42" spans="1:259" ht="15" customHeight="1" thickBot="1" x14ac:dyDescent="0.35">
      <c r="A42" s="110">
        <f t="shared" si="79"/>
        <v>38</v>
      </c>
      <c r="B42" s="111" t="s">
        <v>131</v>
      </c>
      <c r="C42" s="145" t="s">
        <v>132</v>
      </c>
      <c r="D42" s="145">
        <v>101</v>
      </c>
      <c r="E42" s="111" t="s">
        <v>522</v>
      </c>
      <c r="F42" s="111"/>
      <c r="G42" s="111" t="s">
        <v>575</v>
      </c>
      <c r="H42" s="111">
        <v>1011100012</v>
      </c>
      <c r="I42" s="146" t="str">
        <f t="shared" si="0"/>
        <v>1100012</v>
      </c>
      <c r="J42" s="145" t="str">
        <f t="shared" si="1"/>
        <v>KB1100012</v>
      </c>
      <c r="K42" s="111" t="s">
        <v>576</v>
      </c>
      <c r="L42" s="111" t="s">
        <v>577</v>
      </c>
      <c r="M42" s="111" t="s">
        <v>578</v>
      </c>
      <c r="N42" s="111" t="s">
        <v>138</v>
      </c>
      <c r="O42" s="111"/>
      <c r="P42" s="111" t="s">
        <v>579</v>
      </c>
      <c r="Q42" s="148">
        <v>38577</v>
      </c>
      <c r="R42" s="111" t="s">
        <v>131</v>
      </c>
      <c r="S42" s="111">
        <f t="shared" ca="1" si="85"/>
        <v>20</v>
      </c>
      <c r="T42" s="111" t="s">
        <v>580</v>
      </c>
      <c r="U42" s="111" t="s">
        <v>581</v>
      </c>
      <c r="V42" s="172">
        <v>788643274</v>
      </c>
      <c r="W42" s="111"/>
      <c r="X42" s="111" t="s">
        <v>181</v>
      </c>
      <c r="Y42" s="111">
        <v>11</v>
      </c>
      <c r="Z42" s="111" t="s">
        <v>235</v>
      </c>
      <c r="AA42" s="111" t="s">
        <v>235</v>
      </c>
      <c r="AB42" s="111" t="s">
        <v>582</v>
      </c>
      <c r="AC42" s="111" t="s">
        <v>146</v>
      </c>
      <c r="AD42" s="111" t="s">
        <v>147</v>
      </c>
      <c r="AE42" s="173" t="s">
        <v>136</v>
      </c>
      <c r="AF42" s="173" t="s">
        <v>136</v>
      </c>
      <c r="AG42" s="174">
        <v>45952</v>
      </c>
      <c r="AH42" s="175">
        <v>30000</v>
      </c>
      <c r="AI42" s="111">
        <v>12</v>
      </c>
      <c r="AJ42" s="111">
        <v>0</v>
      </c>
      <c r="AK42" s="150">
        <f t="shared" si="80"/>
        <v>12</v>
      </c>
      <c r="AL42" s="177">
        <v>20000</v>
      </c>
      <c r="AM42" s="176">
        <v>0.18</v>
      </c>
      <c r="AN42" s="177">
        <f t="shared" si="92"/>
        <v>3600</v>
      </c>
      <c r="AO42" s="157">
        <f t="shared" si="96"/>
        <v>23600</v>
      </c>
      <c r="AP42" s="158">
        <f t="shared" si="3"/>
        <v>1966.6666666666667</v>
      </c>
      <c r="AQ42" s="111" t="s">
        <v>136</v>
      </c>
      <c r="AR42" s="111" t="s">
        <v>149</v>
      </c>
      <c r="AS42" s="111" t="s">
        <v>581</v>
      </c>
      <c r="AT42" s="111" t="s">
        <v>583</v>
      </c>
      <c r="AU42" s="111" t="s">
        <v>580</v>
      </c>
      <c r="AV42" s="111">
        <v>1</v>
      </c>
      <c r="AW42" s="111" t="s">
        <v>136</v>
      </c>
      <c r="AX42" s="111" t="s">
        <v>136</v>
      </c>
      <c r="AY42" s="111" t="s">
        <v>136</v>
      </c>
      <c r="AZ42" s="111" t="s">
        <v>136</v>
      </c>
      <c r="BA42" s="111" t="s">
        <v>136</v>
      </c>
      <c r="BB42" s="111" t="s">
        <v>136</v>
      </c>
      <c r="BC42" s="111" t="s">
        <v>136</v>
      </c>
      <c r="BD42" s="111" t="s">
        <v>136</v>
      </c>
      <c r="BE42" s="111" t="s">
        <v>136</v>
      </c>
      <c r="BF42" s="111" t="s">
        <v>136</v>
      </c>
      <c r="BG42" s="111" t="s">
        <v>136</v>
      </c>
      <c r="BH42" s="111" t="s">
        <v>136</v>
      </c>
      <c r="BI42" s="111" t="s">
        <v>136</v>
      </c>
      <c r="BJ42" s="111" t="s">
        <v>136</v>
      </c>
      <c r="BK42" s="111" t="s">
        <v>136</v>
      </c>
      <c r="BL42" s="111" t="s">
        <v>136</v>
      </c>
      <c r="BM42" s="111" t="s">
        <v>136</v>
      </c>
      <c r="BN42" s="111" t="s">
        <v>136</v>
      </c>
      <c r="BO42" s="111" t="s">
        <v>136</v>
      </c>
      <c r="BP42" s="111" t="s">
        <v>584</v>
      </c>
      <c r="BQ42" s="111" t="s">
        <v>577</v>
      </c>
      <c r="BR42" s="111" t="s">
        <v>585</v>
      </c>
      <c r="BS42" s="111" t="s">
        <v>586</v>
      </c>
      <c r="BT42" s="182" t="s">
        <v>587</v>
      </c>
      <c r="BU42" s="111" t="s">
        <v>580</v>
      </c>
      <c r="BV42" s="111" t="s">
        <v>581</v>
      </c>
      <c r="BW42" s="111"/>
      <c r="BX42" s="111"/>
      <c r="BY42" s="111"/>
      <c r="BZ42" s="111"/>
      <c r="CA42" s="111"/>
      <c r="CB42" s="111"/>
      <c r="CC42" s="178"/>
      <c r="CD42" s="177">
        <f t="shared" si="4"/>
        <v>20000</v>
      </c>
      <c r="CE42" s="148">
        <v>45956</v>
      </c>
      <c r="CF42" s="111">
        <f t="shared" si="5"/>
        <v>12</v>
      </c>
      <c r="CG42" s="177">
        <f t="shared" si="6"/>
        <v>23600</v>
      </c>
      <c r="CH42" s="203">
        <f t="shared" si="95"/>
        <v>0</v>
      </c>
      <c r="CI42" s="148">
        <v>45956</v>
      </c>
      <c r="CJ42" s="161">
        <f t="shared" si="81"/>
        <v>45987</v>
      </c>
      <c r="CK42" s="162">
        <f t="shared" si="82"/>
        <v>46321</v>
      </c>
      <c r="CL42" s="183"/>
      <c r="CM42" s="164">
        <f t="shared" ca="1" si="8"/>
        <v>46054</v>
      </c>
      <c r="CN42" s="165">
        <f t="shared" si="9"/>
        <v>45987</v>
      </c>
      <c r="CO42" s="109">
        <f t="shared" si="10"/>
        <v>0</v>
      </c>
      <c r="CP42" s="109">
        <f t="shared" si="11"/>
        <v>0</v>
      </c>
      <c r="CQ42" s="109"/>
      <c r="CR42" s="109">
        <f t="shared" si="12"/>
        <v>0</v>
      </c>
      <c r="CS42" s="166">
        <f ca="1">TODAY()</f>
        <v>46054</v>
      </c>
      <c r="CT42" s="167">
        <f t="shared" ca="1" si="13"/>
        <v>67</v>
      </c>
      <c r="CU42" s="165">
        <f t="shared" si="14"/>
        <v>46017</v>
      </c>
      <c r="CV42" s="109">
        <f t="shared" si="15"/>
        <v>0</v>
      </c>
      <c r="CW42" s="109">
        <f t="shared" si="16"/>
        <v>0</v>
      </c>
      <c r="CX42" s="109"/>
      <c r="CY42" s="109">
        <f t="shared" si="17"/>
        <v>0</v>
      </c>
      <c r="CZ42" s="166">
        <f t="shared" ca="1" si="107"/>
        <v>46054</v>
      </c>
      <c r="DA42" s="167">
        <f t="shared" ca="1" si="18"/>
        <v>37</v>
      </c>
      <c r="DB42" s="165">
        <f t="shared" si="19"/>
        <v>46048</v>
      </c>
      <c r="DC42" s="109">
        <f t="shared" si="20"/>
        <v>0</v>
      </c>
      <c r="DD42" s="109">
        <f t="shared" si="21"/>
        <v>0</v>
      </c>
      <c r="DE42" s="109"/>
      <c r="DF42" s="109">
        <f t="shared" si="22"/>
        <v>0</v>
      </c>
      <c r="DG42" s="166">
        <f t="shared" ca="1" si="106"/>
        <v>46054</v>
      </c>
      <c r="DH42" s="167">
        <f t="shared" ca="1" si="23"/>
        <v>6</v>
      </c>
      <c r="DI42" s="165">
        <f t="shared" si="24"/>
        <v>46079</v>
      </c>
      <c r="DJ42" s="109">
        <f t="shared" si="25"/>
        <v>0</v>
      </c>
      <c r="DK42" s="109">
        <f t="shared" si="26"/>
        <v>0</v>
      </c>
      <c r="DL42" s="109">
        <v>0</v>
      </c>
      <c r="DM42" s="109">
        <f t="shared" si="27"/>
        <v>0</v>
      </c>
      <c r="DN42" s="166">
        <f t="shared" ca="1" si="87"/>
        <v>46054</v>
      </c>
      <c r="DO42" s="167">
        <f t="shared" ca="1" si="28"/>
        <v>0</v>
      </c>
      <c r="DP42" s="165">
        <f t="shared" si="93"/>
        <v>46110</v>
      </c>
      <c r="DQ42" s="109">
        <f t="shared" si="29"/>
        <v>0</v>
      </c>
      <c r="DR42" s="109">
        <f t="shared" si="94"/>
        <v>0</v>
      </c>
      <c r="DS42" s="109"/>
      <c r="DT42" s="109">
        <f t="shared" si="30"/>
        <v>0</v>
      </c>
      <c r="DU42" s="166">
        <f t="shared" ca="1" si="88"/>
        <v>46054</v>
      </c>
      <c r="DV42" s="167">
        <f t="shared" ca="1" si="31"/>
        <v>0</v>
      </c>
      <c r="DW42" s="165">
        <f t="shared" si="32"/>
        <v>46141</v>
      </c>
      <c r="DX42" s="109">
        <f t="shared" si="33"/>
        <v>0</v>
      </c>
      <c r="DY42" s="109">
        <f t="shared" si="34"/>
        <v>0</v>
      </c>
      <c r="DZ42" s="109"/>
      <c r="EA42" s="109">
        <f t="shared" si="35"/>
        <v>0</v>
      </c>
      <c r="EB42" s="166">
        <f t="shared" ca="1" si="89"/>
        <v>46054</v>
      </c>
      <c r="EC42" s="167">
        <f t="shared" ca="1" si="36"/>
        <v>0</v>
      </c>
      <c r="ED42" s="165">
        <f t="shared" si="37"/>
        <v>46171</v>
      </c>
      <c r="EE42" s="109">
        <f t="shared" si="38"/>
        <v>0</v>
      </c>
      <c r="EF42" s="109">
        <f t="shared" si="39"/>
        <v>0</v>
      </c>
      <c r="EG42" s="109"/>
      <c r="EH42" s="109">
        <f t="shared" si="40"/>
        <v>0</v>
      </c>
      <c r="EI42" s="166">
        <f t="shared" ca="1" si="90"/>
        <v>46054</v>
      </c>
      <c r="EJ42" s="167">
        <f t="shared" ca="1" si="41"/>
        <v>0</v>
      </c>
      <c r="EK42" s="165">
        <f t="shared" si="42"/>
        <v>46202</v>
      </c>
      <c r="EL42" s="109">
        <f t="shared" si="43"/>
        <v>0</v>
      </c>
      <c r="EM42" s="109">
        <f t="shared" si="44"/>
        <v>0</v>
      </c>
      <c r="EN42" s="109"/>
      <c r="EO42" s="109">
        <f t="shared" si="45"/>
        <v>0</v>
      </c>
      <c r="EP42" s="166">
        <f t="shared" ca="1" si="91"/>
        <v>46054</v>
      </c>
      <c r="EQ42" s="167">
        <f t="shared" ca="1" si="46"/>
        <v>0</v>
      </c>
      <c r="ER42" s="165">
        <f t="shared" si="47"/>
        <v>46232</v>
      </c>
      <c r="ES42" s="109">
        <f t="shared" si="48"/>
        <v>0</v>
      </c>
      <c r="ET42" s="109">
        <f t="shared" si="49"/>
        <v>0</v>
      </c>
      <c r="EU42" s="109"/>
      <c r="EV42" s="109"/>
      <c r="EW42" s="166"/>
      <c r="EX42" s="166"/>
      <c r="EY42" s="165">
        <f t="shared" si="50"/>
        <v>46263</v>
      </c>
      <c r="EZ42" s="109">
        <f t="shared" si="51"/>
        <v>0</v>
      </c>
      <c r="FA42" s="109">
        <f t="shared" si="52"/>
        <v>0</v>
      </c>
      <c r="FB42" s="109"/>
      <c r="FC42" s="109"/>
      <c r="FD42" s="166"/>
      <c r="FE42" s="166"/>
      <c r="FF42" s="165">
        <f t="shared" si="53"/>
        <v>46294</v>
      </c>
      <c r="FG42" s="109">
        <f t="shared" si="54"/>
        <v>0</v>
      </c>
      <c r="FH42" s="109">
        <f t="shared" si="55"/>
        <v>0</v>
      </c>
      <c r="FI42" s="109"/>
      <c r="FJ42" s="109"/>
      <c r="FK42" s="166"/>
      <c r="FL42" s="166"/>
      <c r="FM42" s="165">
        <f t="shared" si="56"/>
        <v>46324</v>
      </c>
      <c r="FN42" s="109">
        <f t="shared" si="57"/>
        <v>0</v>
      </c>
      <c r="FO42" s="109">
        <f t="shared" si="58"/>
        <v>0</v>
      </c>
      <c r="FP42" s="109"/>
      <c r="FQ42" s="109"/>
      <c r="FR42" s="166"/>
      <c r="FS42" s="166"/>
      <c r="FT42" s="165"/>
      <c r="FU42" s="109"/>
      <c r="FV42" s="109"/>
      <c r="FW42" s="109"/>
      <c r="FX42" s="109"/>
      <c r="FY42" s="166"/>
      <c r="FZ42" s="166"/>
      <c r="GA42" s="165"/>
      <c r="GB42" s="109"/>
      <c r="GC42" s="109"/>
      <c r="GD42" s="109"/>
      <c r="GE42" s="109"/>
      <c r="GF42" s="166"/>
      <c r="GG42" s="166"/>
      <c r="GH42" s="165"/>
      <c r="GI42" s="109"/>
      <c r="GJ42" s="109"/>
      <c r="GK42" s="109"/>
      <c r="GL42" s="109"/>
      <c r="GM42" s="166"/>
      <c r="GN42" s="166"/>
      <c r="GO42" s="165"/>
      <c r="GP42" s="109"/>
      <c r="GQ42" s="109"/>
      <c r="GR42" s="109"/>
      <c r="GS42" s="109"/>
      <c r="GT42" s="166"/>
      <c r="GU42" s="166"/>
      <c r="GV42" s="165"/>
      <c r="GW42" s="168"/>
      <c r="GX42" s="168"/>
      <c r="GY42" s="168"/>
      <c r="GZ42" s="168"/>
      <c r="HA42" s="166"/>
      <c r="HB42" s="166"/>
      <c r="HC42" s="165"/>
      <c r="HD42" s="109"/>
      <c r="HE42" s="109"/>
      <c r="HF42" s="109"/>
      <c r="HG42" s="109"/>
      <c r="HH42" s="166"/>
      <c r="HI42" s="166"/>
      <c r="HJ42" s="165"/>
      <c r="HK42" s="109"/>
      <c r="HL42" s="109"/>
      <c r="HM42" s="109"/>
      <c r="HN42" s="109"/>
      <c r="HO42" s="166"/>
      <c r="HP42" s="166"/>
      <c r="HQ42" s="165"/>
      <c r="HR42" s="109"/>
      <c r="HS42" s="109"/>
      <c r="HT42" s="109"/>
      <c r="HU42" s="109"/>
      <c r="HV42" s="166"/>
      <c r="HW42" s="166"/>
      <c r="HX42" s="105">
        <f t="shared" si="86"/>
        <v>0</v>
      </c>
      <c r="HY42" s="105">
        <f t="shared" si="83"/>
        <v>0</v>
      </c>
      <c r="HZ42" s="105">
        <f t="shared" si="83"/>
        <v>0</v>
      </c>
      <c r="IA42" s="105">
        <f t="shared" si="68"/>
        <v>0</v>
      </c>
      <c r="IB42" s="109">
        <f t="shared" si="69"/>
        <v>23600</v>
      </c>
      <c r="IC42" s="109">
        <f t="shared" si="70"/>
        <v>20000</v>
      </c>
      <c r="ID42" s="109">
        <f t="shared" si="71"/>
        <v>0</v>
      </c>
      <c r="IE42" s="109">
        <f t="shared" ca="1" si="72"/>
        <v>110</v>
      </c>
      <c r="IF42" s="139">
        <f t="shared" si="73"/>
        <v>0</v>
      </c>
      <c r="IG42" s="139">
        <f t="shared" ca="1" si="74"/>
        <v>67</v>
      </c>
      <c r="IH42" s="169">
        <f t="shared" ca="1" si="75"/>
        <v>2.2333333333333334</v>
      </c>
      <c r="II42" s="139">
        <f t="shared" ca="1" si="76"/>
        <v>2.2333333333333334</v>
      </c>
      <c r="IJ42" s="169">
        <f t="shared" ca="1" si="77"/>
        <v>67</v>
      </c>
      <c r="IK42" s="169">
        <f t="shared" ca="1" si="84"/>
        <v>2.2333333333333334</v>
      </c>
      <c r="IL42" s="170">
        <f t="shared" ca="1" si="78"/>
        <v>4392.2222222222226</v>
      </c>
      <c r="IM42" s="171"/>
      <c r="IN42" s="171"/>
      <c r="IO42" s="171"/>
      <c r="IP42" s="171"/>
    </row>
    <row r="43" spans="1:259" ht="15" customHeight="1" thickBot="1" x14ac:dyDescent="0.35">
      <c r="A43" s="110">
        <f t="shared" si="79"/>
        <v>39</v>
      </c>
      <c r="B43" s="111" t="s">
        <v>170</v>
      </c>
      <c r="C43" s="111" t="s">
        <v>171</v>
      </c>
      <c r="D43" s="111">
        <v>102</v>
      </c>
      <c r="E43" s="111" t="s">
        <v>253</v>
      </c>
      <c r="F43" s="111"/>
      <c r="G43" s="111" t="s">
        <v>588</v>
      </c>
      <c r="H43" s="111">
        <v>1021100151</v>
      </c>
      <c r="I43" s="146" t="str">
        <f t="shared" si="0"/>
        <v>1100151</v>
      </c>
      <c r="J43" s="145" t="str">
        <f t="shared" si="1"/>
        <v>KN1100151</v>
      </c>
      <c r="K43" s="111" t="s">
        <v>589</v>
      </c>
      <c r="L43" s="111" t="s">
        <v>136</v>
      </c>
      <c r="M43" s="111" t="s">
        <v>590</v>
      </c>
      <c r="N43" s="111" t="s">
        <v>138</v>
      </c>
      <c r="O43" s="111"/>
      <c r="P43" s="111" t="s">
        <v>591</v>
      </c>
      <c r="Q43" s="148">
        <v>28930</v>
      </c>
      <c r="R43" s="111" t="s">
        <v>170</v>
      </c>
      <c r="S43" s="111">
        <f t="shared" ca="1" si="85"/>
        <v>46</v>
      </c>
      <c r="T43" s="111" t="s">
        <v>592</v>
      </c>
      <c r="U43" s="111" t="s">
        <v>234</v>
      </c>
      <c r="V43" s="172">
        <v>767703836</v>
      </c>
      <c r="W43" s="111"/>
      <c r="X43" s="111" t="s">
        <v>181</v>
      </c>
      <c r="Y43" s="111">
        <v>11</v>
      </c>
      <c r="Z43" s="111" t="s">
        <v>235</v>
      </c>
      <c r="AA43" s="111" t="s">
        <v>261</v>
      </c>
      <c r="AB43" s="111" t="s">
        <v>236</v>
      </c>
      <c r="AC43" s="111" t="s">
        <v>146</v>
      </c>
      <c r="AD43" s="111" t="s">
        <v>147</v>
      </c>
      <c r="AE43" s="173" t="s">
        <v>136</v>
      </c>
      <c r="AF43" s="173" t="s">
        <v>136</v>
      </c>
      <c r="AG43" s="174">
        <v>45924</v>
      </c>
      <c r="AH43" s="175">
        <v>50000</v>
      </c>
      <c r="AI43" s="111">
        <v>12</v>
      </c>
      <c r="AJ43" s="111">
        <v>0</v>
      </c>
      <c r="AK43" s="150">
        <f t="shared" si="80"/>
        <v>12</v>
      </c>
      <c r="AL43" s="177">
        <v>50000</v>
      </c>
      <c r="AM43" s="176">
        <v>0.16</v>
      </c>
      <c r="AN43" s="177">
        <f t="shared" si="92"/>
        <v>8000</v>
      </c>
      <c r="AO43" s="157">
        <f t="shared" si="96"/>
        <v>58000</v>
      </c>
      <c r="AP43" s="158">
        <f t="shared" si="3"/>
        <v>4833.333333333333</v>
      </c>
      <c r="AQ43" s="111" t="s">
        <v>136</v>
      </c>
      <c r="AR43" s="111" t="s">
        <v>170</v>
      </c>
      <c r="AS43" s="111" t="s">
        <v>234</v>
      </c>
      <c r="AT43" s="111" t="s">
        <v>593</v>
      </c>
      <c r="AU43" s="111" t="s">
        <v>592</v>
      </c>
      <c r="AV43" s="111">
        <v>4</v>
      </c>
      <c r="AW43" s="111" t="s">
        <v>136</v>
      </c>
      <c r="AX43" s="111" t="s">
        <v>136</v>
      </c>
      <c r="AY43" s="111" t="s">
        <v>136</v>
      </c>
      <c r="AZ43" s="111" t="s">
        <v>136</v>
      </c>
      <c r="BA43" s="111" t="s">
        <v>136</v>
      </c>
      <c r="BB43" s="111" t="s">
        <v>136</v>
      </c>
      <c r="BC43" s="111" t="s">
        <v>136</v>
      </c>
      <c r="BD43" s="111" t="s">
        <v>136</v>
      </c>
      <c r="BE43" s="111" t="s">
        <v>136</v>
      </c>
      <c r="BF43" s="111" t="s">
        <v>136</v>
      </c>
      <c r="BG43" s="111" t="s">
        <v>136</v>
      </c>
      <c r="BH43" s="111" t="s">
        <v>136</v>
      </c>
      <c r="BI43" s="111" t="s">
        <v>136</v>
      </c>
      <c r="BJ43" s="111" t="s">
        <v>136</v>
      </c>
      <c r="BK43" s="111" t="s">
        <v>136</v>
      </c>
      <c r="BL43" s="111" t="s">
        <v>136</v>
      </c>
      <c r="BM43" s="111" t="s">
        <v>136</v>
      </c>
      <c r="BN43" s="111" t="s">
        <v>136</v>
      </c>
      <c r="BO43" s="111" t="s">
        <v>136</v>
      </c>
      <c r="BP43" s="111" t="s">
        <v>594</v>
      </c>
      <c r="BQ43" s="111" t="s">
        <v>296</v>
      </c>
      <c r="BR43" s="111" t="s">
        <v>595</v>
      </c>
      <c r="BS43" s="111" t="s">
        <v>596</v>
      </c>
      <c r="BT43" s="182" t="s">
        <v>597</v>
      </c>
      <c r="BU43" s="111" t="s">
        <v>592</v>
      </c>
      <c r="BV43" s="111" t="s">
        <v>234</v>
      </c>
      <c r="BW43" s="111"/>
      <c r="BX43" s="111"/>
      <c r="BY43" s="111"/>
      <c r="BZ43" s="111"/>
      <c r="CA43" s="111"/>
      <c r="CB43" s="111"/>
      <c r="CC43" s="178"/>
      <c r="CD43" s="177">
        <f t="shared" si="4"/>
        <v>50000</v>
      </c>
      <c r="CE43" s="148">
        <v>45977</v>
      </c>
      <c r="CF43" s="111">
        <f t="shared" si="5"/>
        <v>12</v>
      </c>
      <c r="CG43" s="177">
        <f t="shared" si="6"/>
        <v>58000</v>
      </c>
      <c r="CH43" s="203">
        <f t="shared" si="95"/>
        <v>0</v>
      </c>
      <c r="CI43" s="148">
        <v>45977</v>
      </c>
      <c r="CJ43" s="161">
        <f t="shared" si="81"/>
        <v>46007</v>
      </c>
      <c r="CK43" s="162">
        <f t="shared" si="82"/>
        <v>46342</v>
      </c>
      <c r="CL43" s="183"/>
      <c r="CM43" s="164">
        <f t="shared" ca="1" si="8"/>
        <v>46054</v>
      </c>
      <c r="CN43" s="165">
        <f t="shared" si="9"/>
        <v>46007</v>
      </c>
      <c r="CO43" s="109">
        <f t="shared" si="10"/>
        <v>4172.4137931034484</v>
      </c>
      <c r="CP43" s="109">
        <f t="shared" si="11"/>
        <v>667.58620689655174</v>
      </c>
      <c r="CQ43" s="109">
        <v>4840</v>
      </c>
      <c r="CR43" s="109">
        <f t="shared" si="12"/>
        <v>6.6666666666669698</v>
      </c>
      <c r="CS43" s="166">
        <v>46009</v>
      </c>
      <c r="CT43" s="167">
        <f t="shared" si="13"/>
        <v>2</v>
      </c>
      <c r="CU43" s="165">
        <f t="shared" si="14"/>
        <v>46038</v>
      </c>
      <c r="CV43" s="109">
        <f t="shared" si="15"/>
        <v>0</v>
      </c>
      <c r="CW43" s="109">
        <f t="shared" si="16"/>
        <v>0</v>
      </c>
      <c r="CX43" s="109"/>
      <c r="CY43" s="109">
        <f t="shared" si="17"/>
        <v>0</v>
      </c>
      <c r="CZ43" s="166">
        <f t="shared" ca="1" si="107"/>
        <v>46054</v>
      </c>
      <c r="DA43" s="167">
        <f t="shared" ca="1" si="18"/>
        <v>16</v>
      </c>
      <c r="DB43" s="165">
        <f t="shared" si="19"/>
        <v>46069</v>
      </c>
      <c r="DC43" s="109">
        <f t="shared" si="20"/>
        <v>0</v>
      </c>
      <c r="DD43" s="109">
        <f t="shared" si="21"/>
        <v>0</v>
      </c>
      <c r="DE43" s="109"/>
      <c r="DF43" s="109">
        <f t="shared" si="22"/>
        <v>0</v>
      </c>
      <c r="DG43" s="166">
        <f t="shared" ca="1" si="106"/>
        <v>46054</v>
      </c>
      <c r="DH43" s="167">
        <f t="shared" ca="1" si="23"/>
        <v>0</v>
      </c>
      <c r="DI43" s="165">
        <f t="shared" si="24"/>
        <v>46097</v>
      </c>
      <c r="DJ43" s="109">
        <f t="shared" si="25"/>
        <v>0</v>
      </c>
      <c r="DK43" s="109">
        <f t="shared" si="26"/>
        <v>0</v>
      </c>
      <c r="DL43" s="109">
        <v>0</v>
      </c>
      <c r="DM43" s="109">
        <f t="shared" si="27"/>
        <v>0</v>
      </c>
      <c r="DN43" s="166">
        <f t="shared" ca="1" si="87"/>
        <v>46054</v>
      </c>
      <c r="DO43" s="167">
        <f t="shared" ca="1" si="28"/>
        <v>0</v>
      </c>
      <c r="DP43" s="165">
        <f t="shared" si="93"/>
        <v>46128</v>
      </c>
      <c r="DQ43" s="109">
        <f t="shared" si="29"/>
        <v>0</v>
      </c>
      <c r="DR43" s="109">
        <f t="shared" si="94"/>
        <v>0</v>
      </c>
      <c r="DS43" s="109"/>
      <c r="DT43" s="109">
        <f t="shared" si="30"/>
        <v>0</v>
      </c>
      <c r="DU43" s="166">
        <f t="shared" ca="1" si="88"/>
        <v>46054</v>
      </c>
      <c r="DV43" s="167">
        <f t="shared" ca="1" si="31"/>
        <v>0</v>
      </c>
      <c r="DW43" s="165">
        <f t="shared" si="32"/>
        <v>46158</v>
      </c>
      <c r="DX43" s="109">
        <f t="shared" si="33"/>
        <v>0</v>
      </c>
      <c r="DY43" s="109">
        <f t="shared" si="34"/>
        <v>0</v>
      </c>
      <c r="DZ43" s="109"/>
      <c r="EA43" s="109">
        <f t="shared" si="35"/>
        <v>0</v>
      </c>
      <c r="EB43" s="166">
        <f t="shared" ca="1" si="89"/>
        <v>46054</v>
      </c>
      <c r="EC43" s="167">
        <f t="shared" ca="1" si="36"/>
        <v>0</v>
      </c>
      <c r="ED43" s="165">
        <f t="shared" si="37"/>
        <v>46189</v>
      </c>
      <c r="EE43" s="109">
        <f t="shared" si="38"/>
        <v>0</v>
      </c>
      <c r="EF43" s="109">
        <f t="shared" si="39"/>
        <v>0</v>
      </c>
      <c r="EG43" s="109"/>
      <c r="EH43" s="109">
        <f t="shared" si="40"/>
        <v>0</v>
      </c>
      <c r="EI43" s="166">
        <f t="shared" ca="1" si="90"/>
        <v>46054</v>
      </c>
      <c r="EJ43" s="167">
        <f t="shared" ca="1" si="41"/>
        <v>0</v>
      </c>
      <c r="EK43" s="165">
        <f t="shared" si="42"/>
        <v>46219</v>
      </c>
      <c r="EL43" s="109">
        <f t="shared" si="43"/>
        <v>0</v>
      </c>
      <c r="EM43" s="109">
        <f t="shared" si="44"/>
        <v>0</v>
      </c>
      <c r="EN43" s="109"/>
      <c r="EO43" s="109">
        <f t="shared" si="45"/>
        <v>0</v>
      </c>
      <c r="EP43" s="166">
        <f t="shared" ca="1" si="91"/>
        <v>46054</v>
      </c>
      <c r="EQ43" s="167">
        <f t="shared" ca="1" si="46"/>
        <v>0</v>
      </c>
      <c r="ER43" s="165">
        <f t="shared" si="47"/>
        <v>46250</v>
      </c>
      <c r="ES43" s="109">
        <f t="shared" si="48"/>
        <v>0</v>
      </c>
      <c r="ET43" s="109">
        <f t="shared" si="49"/>
        <v>0</v>
      </c>
      <c r="EU43" s="109"/>
      <c r="EV43" s="109"/>
      <c r="EW43" s="166"/>
      <c r="EX43" s="166"/>
      <c r="EY43" s="165">
        <f t="shared" si="50"/>
        <v>46281</v>
      </c>
      <c r="EZ43" s="109">
        <f t="shared" si="51"/>
        <v>0</v>
      </c>
      <c r="FA43" s="109">
        <f t="shared" si="52"/>
        <v>0</v>
      </c>
      <c r="FB43" s="109"/>
      <c r="FC43" s="109"/>
      <c r="FD43" s="166"/>
      <c r="FE43" s="166"/>
      <c r="FF43" s="165">
        <f t="shared" si="53"/>
        <v>46311</v>
      </c>
      <c r="FG43" s="109">
        <f t="shared" si="54"/>
        <v>0</v>
      </c>
      <c r="FH43" s="109">
        <f t="shared" si="55"/>
        <v>0</v>
      </c>
      <c r="FI43" s="109"/>
      <c r="FJ43" s="109"/>
      <c r="FK43" s="166"/>
      <c r="FL43" s="166"/>
      <c r="FM43" s="165">
        <f t="shared" si="56"/>
        <v>46342</v>
      </c>
      <c r="FN43" s="109">
        <f t="shared" si="57"/>
        <v>0</v>
      </c>
      <c r="FO43" s="109">
        <f t="shared" si="58"/>
        <v>0</v>
      </c>
      <c r="FP43" s="109"/>
      <c r="FQ43" s="109"/>
      <c r="FR43" s="166"/>
      <c r="FS43" s="166"/>
      <c r="FT43" s="165"/>
      <c r="FU43" s="109"/>
      <c r="FV43" s="109"/>
      <c r="FW43" s="109"/>
      <c r="FX43" s="109"/>
      <c r="FY43" s="166"/>
      <c r="FZ43" s="166"/>
      <c r="GA43" s="165"/>
      <c r="GB43" s="109"/>
      <c r="GC43" s="109"/>
      <c r="GD43" s="109"/>
      <c r="GE43" s="109"/>
      <c r="GF43" s="166"/>
      <c r="GG43" s="166"/>
      <c r="GH43" s="165"/>
      <c r="GI43" s="109"/>
      <c r="GJ43" s="109"/>
      <c r="GK43" s="109"/>
      <c r="GL43" s="109"/>
      <c r="GM43" s="166"/>
      <c r="GN43" s="166"/>
      <c r="GO43" s="165"/>
      <c r="GP43" s="109"/>
      <c r="GQ43" s="109"/>
      <c r="GR43" s="109"/>
      <c r="GS43" s="109"/>
      <c r="GT43" s="166"/>
      <c r="GU43" s="166"/>
      <c r="GV43" s="165"/>
      <c r="GW43" s="168"/>
      <c r="GX43" s="168"/>
      <c r="GY43" s="168"/>
      <c r="GZ43" s="168"/>
      <c r="HA43" s="166"/>
      <c r="HB43" s="166"/>
      <c r="HC43" s="165"/>
      <c r="HD43" s="109"/>
      <c r="HE43" s="109"/>
      <c r="HF43" s="109"/>
      <c r="HG43" s="109"/>
      <c r="HH43" s="166"/>
      <c r="HI43" s="166"/>
      <c r="HJ43" s="165"/>
      <c r="HK43" s="109"/>
      <c r="HL43" s="109"/>
      <c r="HM43" s="109"/>
      <c r="HN43" s="109"/>
      <c r="HO43" s="166"/>
      <c r="HP43" s="166"/>
      <c r="HQ43" s="165"/>
      <c r="HR43" s="109"/>
      <c r="HS43" s="109"/>
      <c r="HT43" s="109"/>
      <c r="HU43" s="109"/>
      <c r="HV43" s="166"/>
      <c r="HW43" s="166"/>
      <c r="HX43" s="105">
        <f t="shared" si="86"/>
        <v>4172.4137931034484</v>
      </c>
      <c r="HY43" s="105">
        <f t="shared" si="83"/>
        <v>667.58620689655174</v>
      </c>
      <c r="HZ43" s="105">
        <f t="shared" si="83"/>
        <v>4840</v>
      </c>
      <c r="IA43" s="105">
        <f t="shared" si="68"/>
        <v>0</v>
      </c>
      <c r="IB43" s="109">
        <f t="shared" si="69"/>
        <v>53160</v>
      </c>
      <c r="IC43" s="109">
        <f t="shared" si="70"/>
        <v>45827.586206896551</v>
      </c>
      <c r="ID43" s="109">
        <f t="shared" si="71"/>
        <v>0</v>
      </c>
      <c r="IE43" s="109">
        <f t="shared" ca="1" si="72"/>
        <v>18</v>
      </c>
      <c r="IF43" s="139">
        <f t="shared" si="73"/>
        <v>1.0013793103448276</v>
      </c>
      <c r="IG43" s="139">
        <f t="shared" ca="1" si="74"/>
        <v>47</v>
      </c>
      <c r="IH43" s="169">
        <f t="shared" ca="1" si="75"/>
        <v>1.5666666666666667</v>
      </c>
      <c r="II43" s="139">
        <f t="shared" ca="1" si="76"/>
        <v>0.56528735632183902</v>
      </c>
      <c r="IJ43" s="169">
        <f t="shared" ca="1" si="77"/>
        <v>16.95862068965517</v>
      </c>
      <c r="IK43" s="169">
        <f t="shared" ca="1" si="84"/>
        <v>0.56528735632183902</v>
      </c>
      <c r="IL43" s="170">
        <f t="shared" ca="1" si="78"/>
        <v>2732.2222222222217</v>
      </c>
      <c r="IM43" s="171"/>
      <c r="IN43" s="171"/>
      <c r="IO43" s="171"/>
      <c r="IP43" s="171"/>
    </row>
    <row r="44" spans="1:259" ht="15" customHeight="1" thickBot="1" x14ac:dyDescent="0.35">
      <c r="A44" s="110">
        <f t="shared" si="79"/>
        <v>40</v>
      </c>
      <c r="B44" s="111" t="s">
        <v>170</v>
      </c>
      <c r="C44" s="111" t="s">
        <v>171</v>
      </c>
      <c r="D44" s="111">
        <v>102</v>
      </c>
      <c r="E44" s="111" t="s">
        <v>253</v>
      </c>
      <c r="F44" s="111"/>
      <c r="G44" s="111" t="s">
        <v>598</v>
      </c>
      <c r="H44" s="111">
        <v>1021100152</v>
      </c>
      <c r="I44" s="146" t="str">
        <f t="shared" si="0"/>
        <v>1100152</v>
      </c>
      <c r="J44" s="145" t="str">
        <f t="shared" si="1"/>
        <v>KN1100152</v>
      </c>
      <c r="K44" s="111" t="s">
        <v>599</v>
      </c>
      <c r="L44" s="111" t="s">
        <v>600</v>
      </c>
      <c r="M44" s="111" t="s">
        <v>601</v>
      </c>
      <c r="N44" s="111" t="s">
        <v>138</v>
      </c>
      <c r="O44" s="111"/>
      <c r="P44" s="111" t="s">
        <v>602</v>
      </c>
      <c r="Q44" s="148">
        <v>30557</v>
      </c>
      <c r="R44" s="111" t="s">
        <v>170</v>
      </c>
      <c r="S44" s="111">
        <f t="shared" ca="1" si="85"/>
        <v>42</v>
      </c>
      <c r="T44" s="111" t="s">
        <v>603</v>
      </c>
      <c r="U44" s="111" t="s">
        <v>350</v>
      </c>
      <c r="V44" s="172">
        <v>774697640</v>
      </c>
      <c r="W44" s="111"/>
      <c r="X44" s="111" t="s">
        <v>181</v>
      </c>
      <c r="Y44" s="111">
        <v>11</v>
      </c>
      <c r="Z44" s="111" t="s">
        <v>604</v>
      </c>
      <c r="AA44" s="111" t="s">
        <v>605</v>
      </c>
      <c r="AB44" s="111" t="s">
        <v>606</v>
      </c>
      <c r="AC44" s="111" t="s">
        <v>146</v>
      </c>
      <c r="AD44" s="111" t="s">
        <v>147</v>
      </c>
      <c r="AE44" s="173" t="s">
        <v>136</v>
      </c>
      <c r="AF44" s="173" t="s">
        <v>136</v>
      </c>
      <c r="AG44" s="174">
        <v>45893</v>
      </c>
      <c r="AH44" s="175">
        <v>50000</v>
      </c>
      <c r="AI44" s="111">
        <v>12</v>
      </c>
      <c r="AJ44" s="111">
        <v>0</v>
      </c>
      <c r="AK44" s="150">
        <f t="shared" si="80"/>
        <v>12</v>
      </c>
      <c r="AL44" s="177">
        <v>50000</v>
      </c>
      <c r="AM44" s="176">
        <v>0.16</v>
      </c>
      <c r="AN44" s="177">
        <f t="shared" si="92"/>
        <v>8000</v>
      </c>
      <c r="AO44" s="157">
        <f t="shared" si="96"/>
        <v>58000</v>
      </c>
      <c r="AP44" s="158">
        <f t="shared" si="3"/>
        <v>4833.333333333333</v>
      </c>
      <c r="AQ44" s="111" t="s">
        <v>136</v>
      </c>
      <c r="AR44" s="111" t="s">
        <v>170</v>
      </c>
      <c r="AS44" s="111" t="s">
        <v>350</v>
      </c>
      <c r="AT44" s="111" t="s">
        <v>607</v>
      </c>
      <c r="AU44" s="111" t="s">
        <v>603</v>
      </c>
      <c r="AV44" s="111">
        <v>7</v>
      </c>
      <c r="AW44" s="111" t="s">
        <v>136</v>
      </c>
      <c r="AX44" s="111" t="s">
        <v>136</v>
      </c>
      <c r="AY44" s="111" t="s">
        <v>136</v>
      </c>
      <c r="AZ44" s="111" t="s">
        <v>136</v>
      </c>
      <c r="BA44" s="111" t="s">
        <v>136</v>
      </c>
      <c r="BB44" s="111" t="s">
        <v>136</v>
      </c>
      <c r="BC44" s="111" t="s">
        <v>136</v>
      </c>
      <c r="BD44" s="111" t="s">
        <v>136</v>
      </c>
      <c r="BE44" s="111" t="s">
        <v>136</v>
      </c>
      <c r="BF44" s="111" t="s">
        <v>136</v>
      </c>
      <c r="BG44" s="111" t="s">
        <v>136</v>
      </c>
      <c r="BH44" s="111" t="s">
        <v>136</v>
      </c>
      <c r="BI44" s="111" t="s">
        <v>136</v>
      </c>
      <c r="BJ44" s="111" t="s">
        <v>136</v>
      </c>
      <c r="BK44" s="111" t="s">
        <v>136</v>
      </c>
      <c r="BL44" s="111" t="s">
        <v>136</v>
      </c>
      <c r="BM44" s="111" t="s">
        <v>136</v>
      </c>
      <c r="BN44" s="111" t="s">
        <v>136</v>
      </c>
      <c r="BO44" s="111" t="s">
        <v>136</v>
      </c>
      <c r="BP44" s="111" t="s">
        <v>249</v>
      </c>
      <c r="BQ44" s="111" t="s">
        <v>476</v>
      </c>
      <c r="BR44" s="111" t="s">
        <v>608</v>
      </c>
      <c r="BS44" s="111" t="s">
        <v>609</v>
      </c>
      <c r="BT44" s="182" t="s">
        <v>610</v>
      </c>
      <c r="BU44" s="111" t="s">
        <v>603</v>
      </c>
      <c r="BV44" s="111" t="s">
        <v>350</v>
      </c>
      <c r="BW44" s="111"/>
      <c r="BX44" s="111"/>
      <c r="BY44" s="111"/>
      <c r="BZ44" s="111"/>
      <c r="CA44" s="111"/>
      <c r="CB44" s="111"/>
      <c r="CC44" s="178"/>
      <c r="CD44" s="177">
        <f t="shared" si="4"/>
        <v>50000</v>
      </c>
      <c r="CE44" s="148">
        <v>45977</v>
      </c>
      <c r="CF44" s="111">
        <f t="shared" si="5"/>
        <v>12</v>
      </c>
      <c r="CG44" s="177">
        <f t="shared" si="6"/>
        <v>58000</v>
      </c>
      <c r="CH44" s="203">
        <f t="shared" si="95"/>
        <v>0</v>
      </c>
      <c r="CI44" s="148">
        <v>45977</v>
      </c>
      <c r="CJ44" s="161">
        <f t="shared" si="81"/>
        <v>46007</v>
      </c>
      <c r="CK44" s="162">
        <f t="shared" si="82"/>
        <v>46342</v>
      </c>
      <c r="CL44" s="183"/>
      <c r="CM44" s="164">
        <f t="shared" ca="1" si="8"/>
        <v>46054</v>
      </c>
      <c r="CN44" s="165">
        <f t="shared" si="9"/>
        <v>46007</v>
      </c>
      <c r="CO44" s="109">
        <f t="shared" si="10"/>
        <v>4172.4137931034484</v>
      </c>
      <c r="CP44" s="109">
        <f t="shared" si="11"/>
        <v>667.58620689655174</v>
      </c>
      <c r="CQ44" s="109">
        <v>4840</v>
      </c>
      <c r="CR44" s="109">
        <f t="shared" si="12"/>
        <v>6.6666666666669698</v>
      </c>
      <c r="CS44" s="166">
        <v>46008</v>
      </c>
      <c r="CT44" s="167">
        <f t="shared" si="13"/>
        <v>1</v>
      </c>
      <c r="CU44" s="165">
        <f t="shared" si="14"/>
        <v>46038</v>
      </c>
      <c r="CV44" s="109">
        <f t="shared" si="15"/>
        <v>0</v>
      </c>
      <c r="CW44" s="109">
        <f t="shared" si="16"/>
        <v>0</v>
      </c>
      <c r="CX44" s="109"/>
      <c r="CY44" s="109">
        <f t="shared" si="17"/>
        <v>0</v>
      </c>
      <c r="CZ44" s="166">
        <f t="shared" ca="1" si="107"/>
        <v>46054</v>
      </c>
      <c r="DA44" s="167">
        <f t="shared" ca="1" si="18"/>
        <v>16</v>
      </c>
      <c r="DB44" s="165">
        <f t="shared" si="19"/>
        <v>46069</v>
      </c>
      <c r="DC44" s="109">
        <f t="shared" si="20"/>
        <v>0</v>
      </c>
      <c r="DD44" s="109">
        <f t="shared" si="21"/>
        <v>0</v>
      </c>
      <c r="DE44" s="109"/>
      <c r="DF44" s="109">
        <f t="shared" si="22"/>
        <v>0</v>
      </c>
      <c r="DG44" s="166">
        <f t="shared" ca="1" si="106"/>
        <v>46054</v>
      </c>
      <c r="DH44" s="167">
        <f t="shared" ca="1" si="23"/>
        <v>0</v>
      </c>
      <c r="DI44" s="165">
        <f t="shared" si="24"/>
        <v>46097</v>
      </c>
      <c r="DJ44" s="109">
        <f t="shared" si="25"/>
        <v>0</v>
      </c>
      <c r="DK44" s="109">
        <f t="shared" si="26"/>
        <v>0</v>
      </c>
      <c r="DL44" s="109">
        <v>0</v>
      </c>
      <c r="DM44" s="109">
        <f t="shared" si="27"/>
        <v>0</v>
      </c>
      <c r="DN44" s="166">
        <f t="shared" ca="1" si="87"/>
        <v>46054</v>
      </c>
      <c r="DO44" s="167">
        <f t="shared" ca="1" si="28"/>
        <v>0</v>
      </c>
      <c r="DP44" s="165">
        <f t="shared" si="93"/>
        <v>46128</v>
      </c>
      <c r="DQ44" s="109">
        <f t="shared" si="29"/>
        <v>0</v>
      </c>
      <c r="DR44" s="109">
        <f t="shared" si="94"/>
        <v>0</v>
      </c>
      <c r="DS44" s="109"/>
      <c r="DT44" s="109">
        <f t="shared" si="30"/>
        <v>0</v>
      </c>
      <c r="DU44" s="166">
        <f t="shared" ca="1" si="88"/>
        <v>46054</v>
      </c>
      <c r="DV44" s="167">
        <f t="shared" ca="1" si="31"/>
        <v>0</v>
      </c>
      <c r="DW44" s="165">
        <f t="shared" si="32"/>
        <v>46158</v>
      </c>
      <c r="DX44" s="109">
        <f t="shared" si="33"/>
        <v>0</v>
      </c>
      <c r="DY44" s="109">
        <f t="shared" si="34"/>
        <v>0</v>
      </c>
      <c r="DZ44" s="109"/>
      <c r="EA44" s="109">
        <f t="shared" si="35"/>
        <v>0</v>
      </c>
      <c r="EB44" s="166">
        <f t="shared" ca="1" si="89"/>
        <v>46054</v>
      </c>
      <c r="EC44" s="167">
        <f t="shared" ca="1" si="36"/>
        <v>0</v>
      </c>
      <c r="ED44" s="165">
        <f t="shared" si="37"/>
        <v>46189</v>
      </c>
      <c r="EE44" s="109">
        <f t="shared" si="38"/>
        <v>0</v>
      </c>
      <c r="EF44" s="109">
        <f t="shared" si="39"/>
        <v>0</v>
      </c>
      <c r="EG44" s="109"/>
      <c r="EH44" s="109">
        <f t="shared" si="40"/>
        <v>0</v>
      </c>
      <c r="EI44" s="166">
        <f t="shared" ca="1" si="90"/>
        <v>46054</v>
      </c>
      <c r="EJ44" s="167">
        <f t="shared" ca="1" si="41"/>
        <v>0</v>
      </c>
      <c r="EK44" s="165">
        <f t="shared" si="42"/>
        <v>46219</v>
      </c>
      <c r="EL44" s="109">
        <f t="shared" si="43"/>
        <v>0</v>
      </c>
      <c r="EM44" s="109">
        <f t="shared" si="44"/>
        <v>0</v>
      </c>
      <c r="EN44" s="109"/>
      <c r="EO44" s="109">
        <f t="shared" si="45"/>
        <v>0</v>
      </c>
      <c r="EP44" s="166">
        <f t="shared" ca="1" si="91"/>
        <v>46054</v>
      </c>
      <c r="EQ44" s="167">
        <f t="shared" ca="1" si="46"/>
        <v>0</v>
      </c>
      <c r="ER44" s="165">
        <f t="shared" si="47"/>
        <v>46250</v>
      </c>
      <c r="ES44" s="109">
        <f t="shared" si="48"/>
        <v>0</v>
      </c>
      <c r="ET44" s="109">
        <f t="shared" si="49"/>
        <v>0</v>
      </c>
      <c r="EU44" s="109"/>
      <c r="EV44" s="109"/>
      <c r="EW44" s="166"/>
      <c r="EX44" s="166"/>
      <c r="EY44" s="165">
        <f t="shared" si="50"/>
        <v>46281</v>
      </c>
      <c r="EZ44" s="109">
        <f t="shared" si="51"/>
        <v>0</v>
      </c>
      <c r="FA44" s="109">
        <f t="shared" si="52"/>
        <v>0</v>
      </c>
      <c r="FB44" s="109"/>
      <c r="FC44" s="109"/>
      <c r="FD44" s="166"/>
      <c r="FE44" s="166"/>
      <c r="FF44" s="165">
        <f t="shared" si="53"/>
        <v>46311</v>
      </c>
      <c r="FG44" s="109">
        <f t="shared" si="54"/>
        <v>0</v>
      </c>
      <c r="FH44" s="109">
        <f t="shared" si="55"/>
        <v>0</v>
      </c>
      <c r="FI44" s="109"/>
      <c r="FJ44" s="109"/>
      <c r="FK44" s="166"/>
      <c r="FL44" s="166"/>
      <c r="FM44" s="165">
        <f t="shared" si="56"/>
        <v>46342</v>
      </c>
      <c r="FN44" s="109">
        <f t="shared" si="57"/>
        <v>0</v>
      </c>
      <c r="FO44" s="109">
        <f t="shared" si="58"/>
        <v>0</v>
      </c>
      <c r="FP44" s="109"/>
      <c r="FQ44" s="109"/>
      <c r="FR44" s="166"/>
      <c r="FS44" s="166"/>
      <c r="FT44" s="165"/>
      <c r="FU44" s="109"/>
      <c r="FV44" s="109"/>
      <c r="FW44" s="109"/>
      <c r="FX44" s="109"/>
      <c r="FY44" s="166"/>
      <c r="FZ44" s="166"/>
      <c r="GA44" s="165"/>
      <c r="GB44" s="109"/>
      <c r="GC44" s="109"/>
      <c r="GD44" s="109"/>
      <c r="GE44" s="109"/>
      <c r="GF44" s="166"/>
      <c r="GG44" s="166"/>
      <c r="GH44" s="165"/>
      <c r="GI44" s="109"/>
      <c r="GJ44" s="109"/>
      <c r="GK44" s="109"/>
      <c r="GL44" s="109"/>
      <c r="GM44" s="166"/>
      <c r="GN44" s="166"/>
      <c r="GO44" s="165"/>
      <c r="GP44" s="109"/>
      <c r="GQ44" s="109"/>
      <c r="GR44" s="109"/>
      <c r="GS44" s="109"/>
      <c r="GT44" s="166"/>
      <c r="GU44" s="166"/>
      <c r="GV44" s="165"/>
      <c r="GW44" s="168"/>
      <c r="GX44" s="168"/>
      <c r="GY44" s="168"/>
      <c r="GZ44" s="168"/>
      <c r="HA44" s="166"/>
      <c r="HB44" s="166"/>
      <c r="HC44" s="165"/>
      <c r="HD44" s="109"/>
      <c r="HE44" s="109"/>
      <c r="HF44" s="109"/>
      <c r="HG44" s="109"/>
      <c r="HH44" s="166"/>
      <c r="HI44" s="166"/>
      <c r="HJ44" s="165"/>
      <c r="HK44" s="109"/>
      <c r="HL44" s="109"/>
      <c r="HM44" s="109"/>
      <c r="HN44" s="109"/>
      <c r="HO44" s="166"/>
      <c r="HP44" s="166"/>
      <c r="HQ44" s="165"/>
      <c r="HR44" s="109"/>
      <c r="HS44" s="109"/>
      <c r="HT44" s="109"/>
      <c r="HU44" s="109"/>
      <c r="HV44" s="166"/>
      <c r="HW44" s="166"/>
      <c r="HX44" s="105">
        <f t="shared" si="86"/>
        <v>4172.4137931034484</v>
      </c>
      <c r="HY44" s="105">
        <f t="shared" si="83"/>
        <v>667.58620689655174</v>
      </c>
      <c r="HZ44" s="105">
        <f t="shared" si="83"/>
        <v>4840</v>
      </c>
      <c r="IA44" s="105">
        <f t="shared" si="68"/>
        <v>0</v>
      </c>
      <c r="IB44" s="109">
        <f t="shared" si="69"/>
        <v>53160</v>
      </c>
      <c r="IC44" s="109">
        <f t="shared" si="70"/>
        <v>45827.586206896551</v>
      </c>
      <c r="ID44" s="109">
        <f t="shared" si="71"/>
        <v>0</v>
      </c>
      <c r="IE44" s="109">
        <f t="shared" ca="1" si="72"/>
        <v>17</v>
      </c>
      <c r="IF44" s="139">
        <f t="shared" si="73"/>
        <v>1.0013793103448276</v>
      </c>
      <c r="IG44" s="139">
        <f t="shared" ca="1" si="74"/>
        <v>47</v>
      </c>
      <c r="IH44" s="169">
        <f t="shared" ca="1" si="75"/>
        <v>1.5666666666666667</v>
      </c>
      <c r="II44" s="139">
        <f t="shared" ca="1" si="76"/>
        <v>0.56528735632183902</v>
      </c>
      <c r="IJ44" s="169">
        <f t="shared" ca="1" si="77"/>
        <v>16.95862068965517</v>
      </c>
      <c r="IK44" s="169">
        <f t="shared" ca="1" si="84"/>
        <v>0.56528735632183902</v>
      </c>
      <c r="IL44" s="170">
        <f t="shared" ca="1" si="78"/>
        <v>2732.2222222222217</v>
      </c>
      <c r="IM44" s="171"/>
      <c r="IN44" s="171"/>
      <c r="IO44" s="171"/>
      <c r="IP44" s="171"/>
    </row>
    <row r="45" spans="1:259" ht="15" customHeight="1" thickBot="1" x14ac:dyDescent="0.35">
      <c r="A45" s="110">
        <f t="shared" si="79"/>
        <v>41</v>
      </c>
      <c r="B45" s="111" t="s">
        <v>170</v>
      </c>
      <c r="C45" s="111" t="s">
        <v>171</v>
      </c>
      <c r="D45" s="111">
        <v>102</v>
      </c>
      <c r="E45" s="111" t="s">
        <v>253</v>
      </c>
      <c r="F45" s="111"/>
      <c r="G45" s="111" t="s">
        <v>611</v>
      </c>
      <c r="H45" s="111">
        <v>1021100153</v>
      </c>
      <c r="I45" s="146" t="str">
        <f t="shared" si="0"/>
        <v>1100153</v>
      </c>
      <c r="J45" s="145" t="str">
        <f t="shared" si="1"/>
        <v>KN1100153</v>
      </c>
      <c r="K45" s="111" t="s">
        <v>612</v>
      </c>
      <c r="L45" s="111" t="s">
        <v>136</v>
      </c>
      <c r="M45" s="111" t="s">
        <v>613</v>
      </c>
      <c r="N45" s="111" t="s">
        <v>138</v>
      </c>
      <c r="O45" s="111"/>
      <c r="P45" s="111" t="s">
        <v>614</v>
      </c>
      <c r="Q45" s="148">
        <v>28078</v>
      </c>
      <c r="R45" s="111" t="s">
        <v>170</v>
      </c>
      <c r="S45" s="111">
        <f t="shared" ca="1" si="85"/>
        <v>49</v>
      </c>
      <c r="T45" s="111" t="s">
        <v>299</v>
      </c>
      <c r="U45" s="111" t="s">
        <v>217</v>
      </c>
      <c r="V45" s="172">
        <v>774325469</v>
      </c>
      <c r="W45" s="111"/>
      <c r="X45" s="111" t="s">
        <v>181</v>
      </c>
      <c r="Y45" s="111">
        <v>11</v>
      </c>
      <c r="Z45" s="111" t="s">
        <v>615</v>
      </c>
      <c r="AA45" s="111" t="s">
        <v>616</v>
      </c>
      <c r="AB45" s="111" t="s">
        <v>184</v>
      </c>
      <c r="AC45" s="111" t="s">
        <v>146</v>
      </c>
      <c r="AD45" s="111" t="s">
        <v>147</v>
      </c>
      <c r="AE45" s="173" t="s">
        <v>136</v>
      </c>
      <c r="AF45" s="173" t="s">
        <v>136</v>
      </c>
      <c r="AG45" s="174">
        <v>45917</v>
      </c>
      <c r="AH45" s="175">
        <v>50000</v>
      </c>
      <c r="AI45" s="111">
        <v>12</v>
      </c>
      <c r="AJ45" s="111">
        <v>0</v>
      </c>
      <c r="AK45" s="150">
        <f t="shared" si="80"/>
        <v>12</v>
      </c>
      <c r="AL45" s="177">
        <v>50000</v>
      </c>
      <c r="AM45" s="176">
        <v>0.16</v>
      </c>
      <c r="AN45" s="177">
        <f t="shared" si="92"/>
        <v>8000</v>
      </c>
      <c r="AO45" s="157">
        <f t="shared" si="96"/>
        <v>58000</v>
      </c>
      <c r="AP45" s="158">
        <f t="shared" si="3"/>
        <v>4833.333333333333</v>
      </c>
      <c r="AQ45" s="111" t="s">
        <v>136</v>
      </c>
      <c r="AR45" s="111" t="s">
        <v>170</v>
      </c>
      <c r="AS45" s="111" t="s">
        <v>217</v>
      </c>
      <c r="AT45" s="111" t="s">
        <v>617</v>
      </c>
      <c r="AU45" s="111" t="s">
        <v>299</v>
      </c>
      <c r="AV45" s="111">
        <v>6</v>
      </c>
      <c r="AW45" s="111" t="s">
        <v>136</v>
      </c>
      <c r="AX45" s="111" t="s">
        <v>136</v>
      </c>
      <c r="AY45" s="111" t="s">
        <v>136</v>
      </c>
      <c r="AZ45" s="111" t="s">
        <v>136</v>
      </c>
      <c r="BA45" s="111" t="s">
        <v>136</v>
      </c>
      <c r="BB45" s="111" t="s">
        <v>136</v>
      </c>
      <c r="BC45" s="111" t="s">
        <v>136</v>
      </c>
      <c r="BD45" s="111" t="s">
        <v>136</v>
      </c>
      <c r="BE45" s="111" t="s">
        <v>136</v>
      </c>
      <c r="BF45" s="111" t="s">
        <v>136</v>
      </c>
      <c r="BG45" s="111" t="s">
        <v>136</v>
      </c>
      <c r="BH45" s="111" t="s">
        <v>136</v>
      </c>
      <c r="BI45" s="111" t="s">
        <v>136</v>
      </c>
      <c r="BJ45" s="111" t="s">
        <v>136</v>
      </c>
      <c r="BK45" s="111" t="s">
        <v>136</v>
      </c>
      <c r="BL45" s="111" t="s">
        <v>136</v>
      </c>
      <c r="BM45" s="111" t="s">
        <v>136</v>
      </c>
      <c r="BN45" s="111" t="s">
        <v>136</v>
      </c>
      <c r="BO45" s="111" t="s">
        <v>136</v>
      </c>
      <c r="BP45" s="111" t="s">
        <v>618</v>
      </c>
      <c r="BQ45" s="111" t="s">
        <v>619</v>
      </c>
      <c r="BR45" s="111" t="s">
        <v>613</v>
      </c>
      <c r="BS45" s="111" t="s">
        <v>620</v>
      </c>
      <c r="BT45" s="182" t="s">
        <v>621</v>
      </c>
      <c r="BU45" s="111" t="s">
        <v>299</v>
      </c>
      <c r="BV45" s="111" t="s">
        <v>217</v>
      </c>
      <c r="BW45" s="111"/>
      <c r="BX45" s="111"/>
      <c r="BY45" s="111"/>
      <c r="BZ45" s="111"/>
      <c r="CA45" s="111"/>
      <c r="CB45" s="111"/>
      <c r="CC45" s="178"/>
      <c r="CD45" s="177">
        <f t="shared" si="4"/>
        <v>50000</v>
      </c>
      <c r="CE45" s="148">
        <v>45977</v>
      </c>
      <c r="CF45" s="111">
        <f t="shared" si="5"/>
        <v>12</v>
      </c>
      <c r="CG45" s="177">
        <f t="shared" si="6"/>
        <v>58000</v>
      </c>
      <c r="CH45" s="203">
        <f t="shared" si="95"/>
        <v>0</v>
      </c>
      <c r="CI45" s="148">
        <v>45977</v>
      </c>
      <c r="CJ45" s="161">
        <f t="shared" si="81"/>
        <v>46007</v>
      </c>
      <c r="CK45" s="162">
        <f t="shared" si="82"/>
        <v>46342</v>
      </c>
      <c r="CL45" s="183"/>
      <c r="CM45" s="164">
        <f t="shared" ca="1" si="8"/>
        <v>46054</v>
      </c>
      <c r="CN45" s="165">
        <f t="shared" si="9"/>
        <v>46007</v>
      </c>
      <c r="CO45" s="109">
        <f t="shared" si="10"/>
        <v>4172.4137931034484</v>
      </c>
      <c r="CP45" s="109">
        <f t="shared" si="11"/>
        <v>667.58620689655174</v>
      </c>
      <c r="CQ45" s="109">
        <v>4840</v>
      </c>
      <c r="CR45" s="109">
        <f t="shared" si="12"/>
        <v>6.6666666666669698</v>
      </c>
      <c r="CS45" s="166">
        <v>46012</v>
      </c>
      <c r="CT45" s="167">
        <f t="shared" si="13"/>
        <v>5</v>
      </c>
      <c r="CU45" s="165">
        <f t="shared" si="14"/>
        <v>46038</v>
      </c>
      <c r="CV45" s="109">
        <f t="shared" si="15"/>
        <v>0</v>
      </c>
      <c r="CW45" s="109">
        <f t="shared" si="16"/>
        <v>0</v>
      </c>
      <c r="CX45" s="109"/>
      <c r="CY45" s="109">
        <f t="shared" si="17"/>
        <v>0</v>
      </c>
      <c r="CZ45" s="166">
        <f t="shared" ca="1" si="107"/>
        <v>46054</v>
      </c>
      <c r="DA45" s="167">
        <f t="shared" ca="1" si="18"/>
        <v>16</v>
      </c>
      <c r="DB45" s="165">
        <f t="shared" si="19"/>
        <v>46069</v>
      </c>
      <c r="DC45" s="109">
        <f t="shared" si="20"/>
        <v>0</v>
      </c>
      <c r="DD45" s="109">
        <f t="shared" si="21"/>
        <v>0</v>
      </c>
      <c r="DE45" s="109"/>
      <c r="DF45" s="109">
        <f t="shared" si="22"/>
        <v>0</v>
      </c>
      <c r="DG45" s="166">
        <f t="shared" ca="1" si="106"/>
        <v>46054</v>
      </c>
      <c r="DH45" s="167">
        <f t="shared" ca="1" si="23"/>
        <v>0</v>
      </c>
      <c r="DI45" s="165">
        <f t="shared" si="24"/>
        <v>46097</v>
      </c>
      <c r="DJ45" s="109">
        <f t="shared" si="25"/>
        <v>0</v>
      </c>
      <c r="DK45" s="109">
        <f t="shared" si="26"/>
        <v>0</v>
      </c>
      <c r="DL45" s="109">
        <v>0</v>
      </c>
      <c r="DM45" s="109">
        <f t="shared" si="27"/>
        <v>0</v>
      </c>
      <c r="DN45" s="166">
        <f t="shared" ca="1" si="87"/>
        <v>46054</v>
      </c>
      <c r="DO45" s="167">
        <f t="shared" ca="1" si="28"/>
        <v>0</v>
      </c>
      <c r="DP45" s="165">
        <f t="shared" si="93"/>
        <v>46128</v>
      </c>
      <c r="DQ45" s="109">
        <f t="shared" si="29"/>
        <v>0</v>
      </c>
      <c r="DR45" s="109">
        <f t="shared" si="94"/>
        <v>0</v>
      </c>
      <c r="DS45" s="109"/>
      <c r="DT45" s="109">
        <f t="shared" si="30"/>
        <v>0</v>
      </c>
      <c r="DU45" s="166">
        <f t="shared" ca="1" si="88"/>
        <v>46054</v>
      </c>
      <c r="DV45" s="167">
        <f t="shared" ca="1" si="31"/>
        <v>0</v>
      </c>
      <c r="DW45" s="165">
        <f t="shared" si="32"/>
        <v>46158</v>
      </c>
      <c r="DX45" s="109">
        <f t="shared" si="33"/>
        <v>0</v>
      </c>
      <c r="DY45" s="109">
        <f t="shared" si="34"/>
        <v>0</v>
      </c>
      <c r="DZ45" s="109"/>
      <c r="EA45" s="109">
        <f t="shared" si="35"/>
        <v>0</v>
      </c>
      <c r="EB45" s="166">
        <f t="shared" ca="1" si="89"/>
        <v>46054</v>
      </c>
      <c r="EC45" s="167">
        <f t="shared" ca="1" si="36"/>
        <v>0</v>
      </c>
      <c r="ED45" s="165">
        <f t="shared" si="37"/>
        <v>46189</v>
      </c>
      <c r="EE45" s="109">
        <f t="shared" si="38"/>
        <v>0</v>
      </c>
      <c r="EF45" s="109">
        <f t="shared" si="39"/>
        <v>0</v>
      </c>
      <c r="EG45" s="109"/>
      <c r="EH45" s="109">
        <f t="shared" si="40"/>
        <v>0</v>
      </c>
      <c r="EI45" s="166">
        <f t="shared" ca="1" si="90"/>
        <v>46054</v>
      </c>
      <c r="EJ45" s="167">
        <f t="shared" ca="1" si="41"/>
        <v>0</v>
      </c>
      <c r="EK45" s="165">
        <f t="shared" si="42"/>
        <v>46219</v>
      </c>
      <c r="EL45" s="109">
        <f t="shared" si="43"/>
        <v>0</v>
      </c>
      <c r="EM45" s="109">
        <f t="shared" si="44"/>
        <v>0</v>
      </c>
      <c r="EN45" s="109"/>
      <c r="EO45" s="109">
        <f t="shared" si="45"/>
        <v>0</v>
      </c>
      <c r="EP45" s="166">
        <f t="shared" ca="1" si="91"/>
        <v>46054</v>
      </c>
      <c r="EQ45" s="167">
        <f t="shared" ca="1" si="46"/>
        <v>0</v>
      </c>
      <c r="ER45" s="165">
        <f t="shared" si="47"/>
        <v>46250</v>
      </c>
      <c r="ES45" s="109">
        <f t="shared" si="48"/>
        <v>0</v>
      </c>
      <c r="ET45" s="109">
        <f t="shared" si="49"/>
        <v>0</v>
      </c>
      <c r="EU45" s="109"/>
      <c r="EV45" s="109"/>
      <c r="EW45" s="166"/>
      <c r="EX45" s="166"/>
      <c r="EY45" s="165">
        <f t="shared" si="50"/>
        <v>46281</v>
      </c>
      <c r="EZ45" s="109">
        <f t="shared" si="51"/>
        <v>0</v>
      </c>
      <c r="FA45" s="109">
        <f t="shared" si="52"/>
        <v>0</v>
      </c>
      <c r="FB45" s="109"/>
      <c r="FC45" s="109"/>
      <c r="FD45" s="166"/>
      <c r="FE45" s="166"/>
      <c r="FF45" s="165">
        <f t="shared" si="53"/>
        <v>46311</v>
      </c>
      <c r="FG45" s="109">
        <f t="shared" si="54"/>
        <v>0</v>
      </c>
      <c r="FH45" s="109">
        <f t="shared" si="55"/>
        <v>0</v>
      </c>
      <c r="FI45" s="109"/>
      <c r="FJ45" s="109"/>
      <c r="FK45" s="166"/>
      <c r="FL45" s="166"/>
      <c r="FM45" s="165">
        <f t="shared" si="56"/>
        <v>46342</v>
      </c>
      <c r="FN45" s="109">
        <f t="shared" si="57"/>
        <v>0</v>
      </c>
      <c r="FO45" s="109">
        <f t="shared" si="58"/>
        <v>0</v>
      </c>
      <c r="FP45" s="109"/>
      <c r="FQ45" s="109"/>
      <c r="FR45" s="166"/>
      <c r="FS45" s="166"/>
      <c r="FT45" s="165"/>
      <c r="FU45" s="109"/>
      <c r="FV45" s="109"/>
      <c r="FW45" s="109"/>
      <c r="FX45" s="109"/>
      <c r="FY45" s="166"/>
      <c r="FZ45" s="166"/>
      <c r="GA45" s="165"/>
      <c r="GB45" s="109"/>
      <c r="GC45" s="109"/>
      <c r="GD45" s="109"/>
      <c r="GE45" s="109"/>
      <c r="GF45" s="166"/>
      <c r="GG45" s="166"/>
      <c r="GH45" s="165"/>
      <c r="GI45" s="109"/>
      <c r="GJ45" s="109"/>
      <c r="GK45" s="109"/>
      <c r="GL45" s="109"/>
      <c r="GM45" s="166"/>
      <c r="GN45" s="166"/>
      <c r="GO45" s="165"/>
      <c r="GP45" s="109"/>
      <c r="GQ45" s="109"/>
      <c r="GR45" s="109"/>
      <c r="GS45" s="109"/>
      <c r="GT45" s="166"/>
      <c r="GU45" s="166"/>
      <c r="GV45" s="165"/>
      <c r="GW45" s="168"/>
      <c r="GX45" s="168"/>
      <c r="GY45" s="168"/>
      <c r="GZ45" s="168"/>
      <c r="HA45" s="166"/>
      <c r="HB45" s="166"/>
      <c r="HC45" s="165"/>
      <c r="HD45" s="109"/>
      <c r="HE45" s="109"/>
      <c r="HF45" s="109"/>
      <c r="HG45" s="109"/>
      <c r="HH45" s="166"/>
      <c r="HI45" s="166"/>
      <c r="HJ45" s="165"/>
      <c r="HK45" s="109"/>
      <c r="HL45" s="109"/>
      <c r="HM45" s="109"/>
      <c r="HN45" s="109"/>
      <c r="HO45" s="166"/>
      <c r="HP45" s="166"/>
      <c r="HQ45" s="165"/>
      <c r="HR45" s="109"/>
      <c r="HS45" s="109"/>
      <c r="HT45" s="109"/>
      <c r="HU45" s="109"/>
      <c r="HV45" s="166"/>
      <c r="HW45" s="166"/>
      <c r="HX45" s="105">
        <f t="shared" si="86"/>
        <v>4172.4137931034484</v>
      </c>
      <c r="HY45" s="105">
        <f t="shared" si="83"/>
        <v>667.58620689655174</v>
      </c>
      <c r="HZ45" s="105">
        <f t="shared" si="83"/>
        <v>4840</v>
      </c>
      <c r="IA45" s="105">
        <f t="shared" si="68"/>
        <v>0</v>
      </c>
      <c r="IB45" s="109">
        <f t="shared" si="69"/>
        <v>53160</v>
      </c>
      <c r="IC45" s="109">
        <f t="shared" si="70"/>
        <v>45827.586206896551</v>
      </c>
      <c r="ID45" s="109">
        <f t="shared" si="71"/>
        <v>0</v>
      </c>
      <c r="IE45" s="109">
        <f t="shared" ca="1" si="72"/>
        <v>21</v>
      </c>
      <c r="IF45" s="139">
        <f t="shared" si="73"/>
        <v>1.0013793103448276</v>
      </c>
      <c r="IG45" s="139">
        <f t="shared" ca="1" si="74"/>
        <v>47</v>
      </c>
      <c r="IH45" s="169">
        <f t="shared" ca="1" si="75"/>
        <v>1.5666666666666667</v>
      </c>
      <c r="II45" s="139">
        <f t="shared" ca="1" si="76"/>
        <v>0.56528735632183902</v>
      </c>
      <c r="IJ45" s="169">
        <f t="shared" ca="1" si="77"/>
        <v>16.95862068965517</v>
      </c>
      <c r="IK45" s="169">
        <f t="shared" ca="1" si="84"/>
        <v>0.56528735632183902</v>
      </c>
      <c r="IL45" s="170">
        <f t="shared" ca="1" si="78"/>
        <v>2732.2222222222217</v>
      </c>
      <c r="IM45" s="171"/>
      <c r="IN45" s="171"/>
      <c r="IO45" s="171"/>
      <c r="IP45" s="171"/>
    </row>
    <row r="46" spans="1:259" ht="15" customHeight="1" thickBot="1" x14ac:dyDescent="0.35">
      <c r="A46" s="110">
        <f t="shared" si="79"/>
        <v>42</v>
      </c>
      <c r="B46" s="111" t="s">
        <v>170</v>
      </c>
      <c r="C46" s="111" t="s">
        <v>171</v>
      </c>
      <c r="D46" s="111">
        <v>102</v>
      </c>
      <c r="E46" s="111" t="s">
        <v>253</v>
      </c>
      <c r="F46" s="111"/>
      <c r="G46" s="111" t="s">
        <v>491</v>
      </c>
      <c r="H46" s="111">
        <v>1021100154</v>
      </c>
      <c r="I46" s="146" t="str">
        <f t="shared" si="0"/>
        <v>1100154</v>
      </c>
      <c r="J46" s="145" t="str">
        <f t="shared" si="1"/>
        <v>KN1100154</v>
      </c>
      <c r="K46" s="111" t="s">
        <v>622</v>
      </c>
      <c r="L46" s="111" t="s">
        <v>136</v>
      </c>
      <c r="M46" s="111" t="s">
        <v>623</v>
      </c>
      <c r="N46" s="111" t="s">
        <v>138</v>
      </c>
      <c r="O46" s="111"/>
      <c r="P46" s="111" t="s">
        <v>624</v>
      </c>
      <c r="Q46" s="148">
        <v>27426</v>
      </c>
      <c r="R46" s="111" t="s">
        <v>170</v>
      </c>
      <c r="S46" s="111">
        <f t="shared" ca="1" si="85"/>
        <v>51</v>
      </c>
      <c r="T46" s="111" t="s">
        <v>625</v>
      </c>
      <c r="U46" s="111" t="s">
        <v>217</v>
      </c>
      <c r="V46" s="172">
        <v>777249478</v>
      </c>
      <c r="W46" s="111"/>
      <c r="X46" s="111" t="s">
        <v>181</v>
      </c>
      <c r="Y46" s="111">
        <v>11</v>
      </c>
      <c r="Z46" s="111" t="s">
        <v>626</v>
      </c>
      <c r="AA46" s="111" t="s">
        <v>627</v>
      </c>
      <c r="AB46" s="111" t="s">
        <v>628</v>
      </c>
      <c r="AC46" s="111" t="s">
        <v>146</v>
      </c>
      <c r="AD46" s="111" t="s">
        <v>147</v>
      </c>
      <c r="AE46" s="173" t="s">
        <v>136</v>
      </c>
      <c r="AF46" s="173" t="s">
        <v>136</v>
      </c>
      <c r="AG46" s="174">
        <v>45870</v>
      </c>
      <c r="AH46" s="175">
        <v>60000</v>
      </c>
      <c r="AI46" s="111">
        <v>12</v>
      </c>
      <c r="AJ46" s="111">
        <v>0</v>
      </c>
      <c r="AK46" s="150">
        <f t="shared" si="80"/>
        <v>12</v>
      </c>
      <c r="AL46" s="177">
        <v>50000</v>
      </c>
      <c r="AM46" s="176">
        <v>0.16</v>
      </c>
      <c r="AN46" s="177">
        <f t="shared" si="92"/>
        <v>8000</v>
      </c>
      <c r="AO46" s="157">
        <f t="shared" si="96"/>
        <v>58000</v>
      </c>
      <c r="AP46" s="158">
        <f t="shared" si="3"/>
        <v>4833.333333333333</v>
      </c>
      <c r="AQ46" s="111" t="s">
        <v>629</v>
      </c>
      <c r="AR46" s="111" t="s">
        <v>170</v>
      </c>
      <c r="AS46" s="111" t="s">
        <v>217</v>
      </c>
      <c r="AT46" s="111" t="s">
        <v>289</v>
      </c>
      <c r="AU46" s="111" t="s">
        <v>625</v>
      </c>
      <c r="AV46" s="111">
        <v>8</v>
      </c>
      <c r="AW46" s="111" t="s">
        <v>136</v>
      </c>
      <c r="AX46" s="111" t="s">
        <v>136</v>
      </c>
      <c r="AY46" s="111" t="s">
        <v>203</v>
      </c>
      <c r="AZ46" s="111" t="s">
        <v>622</v>
      </c>
      <c r="BA46" s="111" t="s">
        <v>630</v>
      </c>
      <c r="BB46" s="174">
        <v>45737</v>
      </c>
      <c r="BC46" s="174">
        <v>46101</v>
      </c>
      <c r="BD46" s="111" t="s">
        <v>136</v>
      </c>
      <c r="BE46" s="111" t="s">
        <v>136</v>
      </c>
      <c r="BF46" s="111" t="s">
        <v>136</v>
      </c>
      <c r="BG46" s="111" t="s">
        <v>136</v>
      </c>
      <c r="BH46" s="111" t="s">
        <v>136</v>
      </c>
      <c r="BI46" s="111" t="s">
        <v>136</v>
      </c>
      <c r="BJ46" s="111" t="s">
        <v>136</v>
      </c>
      <c r="BK46" s="111" t="s">
        <v>136</v>
      </c>
      <c r="BL46" s="111" t="s">
        <v>136</v>
      </c>
      <c r="BM46" s="111" t="s">
        <v>136</v>
      </c>
      <c r="BN46" s="111" t="s">
        <v>136</v>
      </c>
      <c r="BO46" s="111" t="s">
        <v>136</v>
      </c>
      <c r="BP46" s="111" t="s">
        <v>631</v>
      </c>
      <c r="BQ46" s="111" t="s">
        <v>632</v>
      </c>
      <c r="BR46" s="111" t="s">
        <v>633</v>
      </c>
      <c r="BS46" s="111" t="s">
        <v>634</v>
      </c>
      <c r="BT46" s="182" t="s">
        <v>635</v>
      </c>
      <c r="BU46" s="111" t="s">
        <v>625</v>
      </c>
      <c r="BV46" s="111" t="s">
        <v>217</v>
      </c>
      <c r="BW46" s="111"/>
      <c r="BX46" s="111"/>
      <c r="BY46" s="111"/>
      <c r="BZ46" s="111"/>
      <c r="CA46" s="111"/>
      <c r="CB46" s="111"/>
      <c r="CC46" s="178"/>
      <c r="CD46" s="177">
        <f t="shared" si="4"/>
        <v>50000</v>
      </c>
      <c r="CE46" s="148">
        <v>45978</v>
      </c>
      <c r="CF46" s="111">
        <f t="shared" si="5"/>
        <v>12</v>
      </c>
      <c r="CG46" s="177">
        <f t="shared" si="6"/>
        <v>58000</v>
      </c>
      <c r="CH46" s="203">
        <f t="shared" si="95"/>
        <v>0</v>
      </c>
      <c r="CI46" s="148">
        <v>45978</v>
      </c>
      <c r="CJ46" s="161">
        <f t="shared" si="81"/>
        <v>46008</v>
      </c>
      <c r="CK46" s="162">
        <f t="shared" si="82"/>
        <v>46343</v>
      </c>
      <c r="CL46" s="183"/>
      <c r="CM46" s="164">
        <f t="shared" ca="1" si="8"/>
        <v>46054</v>
      </c>
      <c r="CN46" s="165">
        <f t="shared" si="9"/>
        <v>46008</v>
      </c>
      <c r="CO46" s="109">
        <f t="shared" si="10"/>
        <v>3879.3103448275861</v>
      </c>
      <c r="CP46" s="109">
        <f t="shared" si="11"/>
        <v>620.68965517241384</v>
      </c>
      <c r="CQ46" s="109">
        <v>4500</v>
      </c>
      <c r="CR46" s="109">
        <f t="shared" si="12"/>
        <v>-333.33333333333303</v>
      </c>
      <c r="CS46" s="166">
        <v>46006</v>
      </c>
      <c r="CT46" s="167">
        <f t="shared" si="13"/>
        <v>0</v>
      </c>
      <c r="CU46" s="165">
        <f t="shared" si="14"/>
        <v>46039</v>
      </c>
      <c r="CV46" s="109">
        <f t="shared" si="15"/>
        <v>0</v>
      </c>
      <c r="CW46" s="109">
        <f t="shared" si="16"/>
        <v>0</v>
      </c>
      <c r="CX46" s="109"/>
      <c r="CY46" s="109">
        <f t="shared" si="17"/>
        <v>0</v>
      </c>
      <c r="CZ46" s="166">
        <f t="shared" ca="1" si="107"/>
        <v>46054</v>
      </c>
      <c r="DA46" s="167">
        <f t="shared" ca="1" si="18"/>
        <v>15</v>
      </c>
      <c r="DB46" s="165">
        <f t="shared" si="19"/>
        <v>46070</v>
      </c>
      <c r="DC46" s="109">
        <f t="shared" si="20"/>
        <v>0</v>
      </c>
      <c r="DD46" s="109">
        <f t="shared" si="21"/>
        <v>0</v>
      </c>
      <c r="DE46" s="109"/>
      <c r="DF46" s="109">
        <f t="shared" si="22"/>
        <v>0</v>
      </c>
      <c r="DG46" s="166">
        <f t="shared" ca="1" si="106"/>
        <v>46054</v>
      </c>
      <c r="DH46" s="167">
        <f t="shared" ca="1" si="23"/>
        <v>0</v>
      </c>
      <c r="DI46" s="165">
        <f t="shared" si="24"/>
        <v>46098</v>
      </c>
      <c r="DJ46" s="109">
        <f t="shared" si="25"/>
        <v>0</v>
      </c>
      <c r="DK46" s="109">
        <f t="shared" si="26"/>
        <v>0</v>
      </c>
      <c r="DL46" s="109">
        <v>0</v>
      </c>
      <c r="DM46" s="109">
        <f t="shared" si="27"/>
        <v>0</v>
      </c>
      <c r="DN46" s="166">
        <f t="shared" ca="1" si="87"/>
        <v>46054</v>
      </c>
      <c r="DO46" s="167">
        <f t="shared" ca="1" si="28"/>
        <v>0</v>
      </c>
      <c r="DP46" s="165">
        <f t="shared" si="93"/>
        <v>46129</v>
      </c>
      <c r="DQ46" s="109">
        <f t="shared" si="29"/>
        <v>0</v>
      </c>
      <c r="DR46" s="109">
        <f t="shared" si="94"/>
        <v>0</v>
      </c>
      <c r="DS46" s="109"/>
      <c r="DT46" s="109">
        <f t="shared" si="30"/>
        <v>0</v>
      </c>
      <c r="DU46" s="166">
        <f t="shared" ca="1" si="88"/>
        <v>46054</v>
      </c>
      <c r="DV46" s="167">
        <f t="shared" ca="1" si="31"/>
        <v>0</v>
      </c>
      <c r="DW46" s="165">
        <f t="shared" si="32"/>
        <v>46159</v>
      </c>
      <c r="DX46" s="109">
        <f t="shared" si="33"/>
        <v>0</v>
      </c>
      <c r="DY46" s="109">
        <f t="shared" si="34"/>
        <v>0</v>
      </c>
      <c r="DZ46" s="109"/>
      <c r="EA46" s="109">
        <f t="shared" si="35"/>
        <v>0</v>
      </c>
      <c r="EB46" s="166">
        <f t="shared" ca="1" si="89"/>
        <v>46054</v>
      </c>
      <c r="EC46" s="167">
        <f t="shared" ca="1" si="36"/>
        <v>0</v>
      </c>
      <c r="ED46" s="165">
        <f t="shared" si="37"/>
        <v>46190</v>
      </c>
      <c r="EE46" s="109">
        <f t="shared" si="38"/>
        <v>0</v>
      </c>
      <c r="EF46" s="109">
        <f t="shared" si="39"/>
        <v>0</v>
      </c>
      <c r="EG46" s="109"/>
      <c r="EH46" s="109">
        <f t="shared" si="40"/>
        <v>0</v>
      </c>
      <c r="EI46" s="166">
        <f t="shared" ca="1" si="90"/>
        <v>46054</v>
      </c>
      <c r="EJ46" s="167">
        <f t="shared" ca="1" si="41"/>
        <v>0</v>
      </c>
      <c r="EK46" s="165">
        <f t="shared" si="42"/>
        <v>46220</v>
      </c>
      <c r="EL46" s="109">
        <f t="shared" si="43"/>
        <v>0</v>
      </c>
      <c r="EM46" s="109">
        <f t="shared" si="44"/>
        <v>0</v>
      </c>
      <c r="EN46" s="109"/>
      <c r="EO46" s="109">
        <f t="shared" si="45"/>
        <v>0</v>
      </c>
      <c r="EP46" s="166">
        <f t="shared" ca="1" si="91"/>
        <v>46054</v>
      </c>
      <c r="EQ46" s="167">
        <f t="shared" ca="1" si="46"/>
        <v>0</v>
      </c>
      <c r="ER46" s="165">
        <f t="shared" si="47"/>
        <v>46251</v>
      </c>
      <c r="ES46" s="109">
        <f t="shared" si="48"/>
        <v>0</v>
      </c>
      <c r="ET46" s="109">
        <f t="shared" si="49"/>
        <v>0</v>
      </c>
      <c r="EU46" s="109"/>
      <c r="EV46" s="109"/>
      <c r="EW46" s="166"/>
      <c r="EX46" s="166"/>
      <c r="EY46" s="165">
        <f t="shared" si="50"/>
        <v>46282</v>
      </c>
      <c r="EZ46" s="109">
        <f t="shared" si="51"/>
        <v>0</v>
      </c>
      <c r="FA46" s="109">
        <f t="shared" si="52"/>
        <v>0</v>
      </c>
      <c r="FB46" s="109"/>
      <c r="FC46" s="109"/>
      <c r="FD46" s="166"/>
      <c r="FE46" s="166"/>
      <c r="FF46" s="165">
        <f t="shared" si="53"/>
        <v>46312</v>
      </c>
      <c r="FG46" s="109">
        <f t="shared" si="54"/>
        <v>0</v>
      </c>
      <c r="FH46" s="109">
        <f t="shared" si="55"/>
        <v>0</v>
      </c>
      <c r="FI46" s="109"/>
      <c r="FJ46" s="109"/>
      <c r="FK46" s="166"/>
      <c r="FL46" s="166"/>
      <c r="FM46" s="165">
        <f t="shared" si="56"/>
        <v>46343</v>
      </c>
      <c r="FN46" s="109">
        <f t="shared" si="57"/>
        <v>0</v>
      </c>
      <c r="FO46" s="109">
        <f t="shared" si="58"/>
        <v>0</v>
      </c>
      <c r="FP46" s="109"/>
      <c r="FQ46" s="109"/>
      <c r="FR46" s="166"/>
      <c r="FS46" s="166"/>
      <c r="FT46" s="165"/>
      <c r="FU46" s="109"/>
      <c r="FV46" s="109"/>
      <c r="FW46" s="109"/>
      <c r="FX46" s="109"/>
      <c r="FY46" s="166"/>
      <c r="FZ46" s="166"/>
      <c r="GA46" s="165"/>
      <c r="GB46" s="109"/>
      <c r="GC46" s="109"/>
      <c r="GD46" s="109"/>
      <c r="GE46" s="109"/>
      <c r="GF46" s="166"/>
      <c r="GG46" s="166"/>
      <c r="GH46" s="165"/>
      <c r="GI46" s="109"/>
      <c r="GJ46" s="109"/>
      <c r="GK46" s="109"/>
      <c r="GL46" s="109"/>
      <c r="GM46" s="166"/>
      <c r="GN46" s="166"/>
      <c r="GO46" s="165"/>
      <c r="GP46" s="109"/>
      <c r="GQ46" s="109"/>
      <c r="GR46" s="109"/>
      <c r="GS46" s="109"/>
      <c r="GT46" s="166"/>
      <c r="GU46" s="166"/>
      <c r="GV46" s="165"/>
      <c r="GW46" s="168"/>
      <c r="GX46" s="168"/>
      <c r="GY46" s="168"/>
      <c r="GZ46" s="168"/>
      <c r="HA46" s="166"/>
      <c r="HB46" s="166"/>
      <c r="HC46" s="165"/>
      <c r="HD46" s="109"/>
      <c r="HE46" s="109"/>
      <c r="HF46" s="109"/>
      <c r="HG46" s="109"/>
      <c r="HH46" s="166"/>
      <c r="HI46" s="166"/>
      <c r="HJ46" s="165"/>
      <c r="HK46" s="109"/>
      <c r="HL46" s="109"/>
      <c r="HM46" s="109"/>
      <c r="HN46" s="109"/>
      <c r="HO46" s="166"/>
      <c r="HP46" s="166"/>
      <c r="HQ46" s="165"/>
      <c r="HR46" s="109"/>
      <c r="HS46" s="109"/>
      <c r="HT46" s="109"/>
      <c r="HU46" s="109"/>
      <c r="HV46" s="166"/>
      <c r="HW46" s="166"/>
      <c r="HX46" s="105">
        <f t="shared" si="86"/>
        <v>3879.3103448275861</v>
      </c>
      <c r="HY46" s="105">
        <f t="shared" si="83"/>
        <v>620.68965517241384</v>
      </c>
      <c r="HZ46" s="105">
        <f t="shared" si="83"/>
        <v>4500</v>
      </c>
      <c r="IA46" s="105">
        <f t="shared" si="68"/>
        <v>0</v>
      </c>
      <c r="IB46" s="109">
        <f t="shared" si="69"/>
        <v>53500</v>
      </c>
      <c r="IC46" s="109">
        <f t="shared" si="70"/>
        <v>46120.689655172413</v>
      </c>
      <c r="ID46" s="109">
        <f t="shared" si="71"/>
        <v>0</v>
      </c>
      <c r="IE46" s="109">
        <f t="shared" ca="1" si="72"/>
        <v>15</v>
      </c>
      <c r="IF46" s="139">
        <f t="shared" si="73"/>
        <v>0.93103448275862077</v>
      </c>
      <c r="IG46" s="139">
        <f t="shared" ca="1" si="74"/>
        <v>46</v>
      </c>
      <c r="IH46" s="169">
        <f t="shared" ca="1" si="75"/>
        <v>1.5333333333333334</v>
      </c>
      <c r="II46" s="139">
        <f t="shared" ca="1" si="76"/>
        <v>0.60229885057471266</v>
      </c>
      <c r="IJ46" s="169">
        <f t="shared" ca="1" si="77"/>
        <v>18.068965517241381</v>
      </c>
      <c r="IK46" s="169">
        <f t="shared" ca="1" si="84"/>
        <v>0.60229885057471266</v>
      </c>
      <c r="IL46" s="170">
        <f t="shared" ca="1" si="78"/>
        <v>2911.1111111111109</v>
      </c>
      <c r="IM46" s="171"/>
      <c r="IN46" s="171"/>
      <c r="IO46" s="171"/>
      <c r="IP46" s="171"/>
    </row>
    <row r="47" spans="1:259" ht="15" customHeight="1" thickBot="1" x14ac:dyDescent="0.35">
      <c r="A47" s="110">
        <f t="shared" si="79"/>
        <v>43</v>
      </c>
      <c r="B47" s="111" t="s">
        <v>170</v>
      </c>
      <c r="C47" s="111" t="s">
        <v>171</v>
      </c>
      <c r="D47" s="111">
        <v>102</v>
      </c>
      <c r="E47" s="111" t="s">
        <v>253</v>
      </c>
      <c r="F47" s="111"/>
      <c r="G47" s="111" t="s">
        <v>636</v>
      </c>
      <c r="H47" s="111">
        <v>1021100155</v>
      </c>
      <c r="I47" s="146" t="str">
        <f t="shared" si="0"/>
        <v>1100155</v>
      </c>
      <c r="J47" s="145" t="str">
        <f t="shared" si="1"/>
        <v>KN1100155</v>
      </c>
      <c r="K47" s="111" t="s">
        <v>637</v>
      </c>
      <c r="L47" s="111" t="s">
        <v>638</v>
      </c>
      <c r="M47" s="111" t="s">
        <v>639</v>
      </c>
      <c r="N47" s="111" t="s">
        <v>138</v>
      </c>
      <c r="O47" s="111"/>
      <c r="P47" s="111" t="s">
        <v>640</v>
      </c>
      <c r="Q47" s="148">
        <v>32228</v>
      </c>
      <c r="R47" s="111" t="s">
        <v>170</v>
      </c>
      <c r="S47" s="111">
        <f t="shared" ca="1" si="85"/>
        <v>37</v>
      </c>
      <c r="T47" s="111" t="s">
        <v>469</v>
      </c>
      <c r="U47" s="111" t="s">
        <v>470</v>
      </c>
      <c r="V47" s="172">
        <v>767687599</v>
      </c>
      <c r="W47" s="111"/>
      <c r="X47" s="111" t="s">
        <v>181</v>
      </c>
      <c r="Y47" s="111">
        <v>11</v>
      </c>
      <c r="Z47" s="111" t="s">
        <v>182</v>
      </c>
      <c r="AA47" s="111" t="s">
        <v>641</v>
      </c>
      <c r="AB47" s="111" t="s">
        <v>184</v>
      </c>
      <c r="AC47" s="111" t="s">
        <v>146</v>
      </c>
      <c r="AD47" s="111" t="s">
        <v>147</v>
      </c>
      <c r="AE47" s="173" t="s">
        <v>136</v>
      </c>
      <c r="AF47" s="173" t="s">
        <v>136</v>
      </c>
      <c r="AG47" s="174">
        <v>45879</v>
      </c>
      <c r="AH47" s="175">
        <v>90000</v>
      </c>
      <c r="AI47" s="111">
        <v>12</v>
      </c>
      <c r="AJ47" s="111">
        <v>0</v>
      </c>
      <c r="AK47" s="150">
        <f t="shared" si="80"/>
        <v>12</v>
      </c>
      <c r="AL47" s="177">
        <v>90000</v>
      </c>
      <c r="AM47" s="176">
        <v>0.16</v>
      </c>
      <c r="AN47" s="177">
        <f t="shared" si="92"/>
        <v>14400</v>
      </c>
      <c r="AO47" s="157">
        <f t="shared" si="96"/>
        <v>104400</v>
      </c>
      <c r="AP47" s="158">
        <f t="shared" si="3"/>
        <v>8700</v>
      </c>
      <c r="AQ47" s="111" t="s">
        <v>136</v>
      </c>
      <c r="AR47" s="111" t="s">
        <v>170</v>
      </c>
      <c r="AS47" s="111" t="s">
        <v>470</v>
      </c>
      <c r="AT47" s="111" t="s">
        <v>474</v>
      </c>
      <c r="AU47" s="111" t="s">
        <v>469</v>
      </c>
      <c r="AV47" s="111">
        <v>5</v>
      </c>
      <c r="AW47" s="111" t="s">
        <v>136</v>
      </c>
      <c r="AX47" s="111" t="s">
        <v>136</v>
      </c>
      <c r="AY47" s="111" t="s">
        <v>136</v>
      </c>
      <c r="AZ47" s="111" t="s">
        <v>136</v>
      </c>
      <c r="BA47" s="111" t="s">
        <v>136</v>
      </c>
      <c r="BB47" s="111" t="s">
        <v>136</v>
      </c>
      <c r="BC47" s="111" t="s">
        <v>136</v>
      </c>
      <c r="BD47" s="111" t="s">
        <v>136</v>
      </c>
      <c r="BE47" s="111" t="s">
        <v>136</v>
      </c>
      <c r="BF47" s="111" t="s">
        <v>136</v>
      </c>
      <c r="BG47" s="111" t="s">
        <v>136</v>
      </c>
      <c r="BH47" s="111" t="s">
        <v>136</v>
      </c>
      <c r="BI47" s="111" t="s">
        <v>136</v>
      </c>
      <c r="BJ47" s="111" t="s">
        <v>136</v>
      </c>
      <c r="BK47" s="111" t="s">
        <v>136</v>
      </c>
      <c r="BL47" s="111" t="s">
        <v>136</v>
      </c>
      <c r="BM47" s="111" t="s">
        <v>136</v>
      </c>
      <c r="BN47" s="111" t="s">
        <v>136</v>
      </c>
      <c r="BO47" s="111" t="s">
        <v>136</v>
      </c>
      <c r="BP47" s="111" t="s">
        <v>642</v>
      </c>
      <c r="BQ47" s="111" t="s">
        <v>643</v>
      </c>
      <c r="BR47" s="111" t="s">
        <v>644</v>
      </c>
      <c r="BS47" s="111" t="s">
        <v>645</v>
      </c>
      <c r="BT47" s="111" t="s">
        <v>136</v>
      </c>
      <c r="BU47" s="111" t="s">
        <v>469</v>
      </c>
      <c r="BV47" s="111" t="s">
        <v>470</v>
      </c>
      <c r="BW47" s="111"/>
      <c r="BX47" s="111"/>
      <c r="BY47" s="111"/>
      <c r="BZ47" s="111"/>
      <c r="CA47" s="111"/>
      <c r="CB47" s="111"/>
      <c r="CC47" s="178"/>
      <c r="CD47" s="177">
        <f t="shared" si="4"/>
        <v>90000</v>
      </c>
      <c r="CE47" s="148">
        <v>45977</v>
      </c>
      <c r="CF47" s="111">
        <f t="shared" si="5"/>
        <v>12</v>
      </c>
      <c r="CG47" s="177">
        <f t="shared" si="6"/>
        <v>104400</v>
      </c>
      <c r="CH47" s="203">
        <f t="shared" si="95"/>
        <v>0</v>
      </c>
      <c r="CI47" s="148">
        <v>45977</v>
      </c>
      <c r="CJ47" s="161">
        <f t="shared" si="81"/>
        <v>46007</v>
      </c>
      <c r="CK47" s="162">
        <f t="shared" si="82"/>
        <v>46342</v>
      </c>
      <c r="CL47" s="183"/>
      <c r="CM47" s="164">
        <f t="shared" ca="1" si="8"/>
        <v>46054</v>
      </c>
      <c r="CN47" s="165">
        <f t="shared" si="9"/>
        <v>46007</v>
      </c>
      <c r="CO47" s="109">
        <f t="shared" si="10"/>
        <v>6000</v>
      </c>
      <c r="CP47" s="109">
        <f t="shared" si="11"/>
        <v>960</v>
      </c>
      <c r="CQ47" s="109">
        <v>6960</v>
      </c>
      <c r="CR47" s="109">
        <f t="shared" si="12"/>
        <v>-1740</v>
      </c>
      <c r="CS47" s="166">
        <v>46006</v>
      </c>
      <c r="CT47" s="167">
        <f t="shared" si="13"/>
        <v>0</v>
      </c>
      <c r="CU47" s="165">
        <f t="shared" si="14"/>
        <v>46038</v>
      </c>
      <c r="CV47" s="109">
        <f t="shared" si="15"/>
        <v>0</v>
      </c>
      <c r="CW47" s="109">
        <f t="shared" si="16"/>
        <v>0</v>
      </c>
      <c r="CX47" s="109"/>
      <c r="CY47" s="109">
        <f t="shared" si="17"/>
        <v>0</v>
      </c>
      <c r="CZ47" s="166">
        <f t="shared" ca="1" si="107"/>
        <v>46054</v>
      </c>
      <c r="DA47" s="167">
        <f t="shared" ca="1" si="18"/>
        <v>16</v>
      </c>
      <c r="DB47" s="165">
        <f t="shared" si="19"/>
        <v>46069</v>
      </c>
      <c r="DC47" s="109">
        <f t="shared" si="20"/>
        <v>0</v>
      </c>
      <c r="DD47" s="109">
        <f t="shared" si="21"/>
        <v>0</v>
      </c>
      <c r="DE47" s="109"/>
      <c r="DF47" s="109">
        <f t="shared" si="22"/>
        <v>0</v>
      </c>
      <c r="DG47" s="166">
        <f t="shared" ca="1" si="106"/>
        <v>46054</v>
      </c>
      <c r="DH47" s="167">
        <f t="shared" ca="1" si="23"/>
        <v>0</v>
      </c>
      <c r="DI47" s="165">
        <f t="shared" si="24"/>
        <v>46097</v>
      </c>
      <c r="DJ47" s="109">
        <f t="shared" si="25"/>
        <v>0</v>
      </c>
      <c r="DK47" s="109">
        <f t="shared" si="26"/>
        <v>0</v>
      </c>
      <c r="DL47" s="109">
        <v>0</v>
      </c>
      <c r="DM47" s="109">
        <f t="shared" si="27"/>
        <v>0</v>
      </c>
      <c r="DN47" s="166">
        <f t="shared" ca="1" si="87"/>
        <v>46054</v>
      </c>
      <c r="DO47" s="167">
        <f t="shared" ca="1" si="28"/>
        <v>0</v>
      </c>
      <c r="DP47" s="165">
        <f t="shared" si="93"/>
        <v>46128</v>
      </c>
      <c r="DQ47" s="109">
        <f t="shared" si="29"/>
        <v>0</v>
      </c>
      <c r="DR47" s="109">
        <f t="shared" si="94"/>
        <v>0</v>
      </c>
      <c r="DS47" s="109"/>
      <c r="DT47" s="109">
        <f t="shared" si="30"/>
        <v>0</v>
      </c>
      <c r="DU47" s="166">
        <f t="shared" ca="1" si="88"/>
        <v>46054</v>
      </c>
      <c r="DV47" s="167">
        <f t="shared" ca="1" si="31"/>
        <v>0</v>
      </c>
      <c r="DW47" s="165">
        <f t="shared" si="32"/>
        <v>46158</v>
      </c>
      <c r="DX47" s="109">
        <f t="shared" si="33"/>
        <v>0</v>
      </c>
      <c r="DY47" s="109">
        <f t="shared" si="34"/>
        <v>0</v>
      </c>
      <c r="DZ47" s="109"/>
      <c r="EA47" s="109">
        <f t="shared" si="35"/>
        <v>0</v>
      </c>
      <c r="EB47" s="166">
        <f t="shared" ca="1" si="89"/>
        <v>46054</v>
      </c>
      <c r="EC47" s="167">
        <f t="shared" ca="1" si="36"/>
        <v>0</v>
      </c>
      <c r="ED47" s="165">
        <f t="shared" si="37"/>
        <v>46189</v>
      </c>
      <c r="EE47" s="109">
        <f t="shared" si="38"/>
        <v>0</v>
      </c>
      <c r="EF47" s="109">
        <f t="shared" si="39"/>
        <v>0</v>
      </c>
      <c r="EG47" s="109"/>
      <c r="EH47" s="109">
        <f t="shared" si="40"/>
        <v>0</v>
      </c>
      <c r="EI47" s="166">
        <f t="shared" ca="1" si="90"/>
        <v>46054</v>
      </c>
      <c r="EJ47" s="167">
        <f t="shared" ca="1" si="41"/>
        <v>0</v>
      </c>
      <c r="EK47" s="165">
        <f t="shared" si="42"/>
        <v>46219</v>
      </c>
      <c r="EL47" s="109">
        <f t="shared" si="43"/>
        <v>0</v>
      </c>
      <c r="EM47" s="109">
        <f t="shared" si="44"/>
        <v>0</v>
      </c>
      <c r="EN47" s="109"/>
      <c r="EO47" s="109">
        <f t="shared" si="45"/>
        <v>0</v>
      </c>
      <c r="EP47" s="166">
        <f t="shared" ca="1" si="91"/>
        <v>46054</v>
      </c>
      <c r="EQ47" s="167">
        <f t="shared" ca="1" si="46"/>
        <v>0</v>
      </c>
      <c r="ER47" s="165">
        <f t="shared" si="47"/>
        <v>46250</v>
      </c>
      <c r="ES47" s="109">
        <f t="shared" si="48"/>
        <v>0</v>
      </c>
      <c r="ET47" s="109">
        <f t="shared" si="49"/>
        <v>0</v>
      </c>
      <c r="EU47" s="109"/>
      <c r="EV47" s="109"/>
      <c r="EW47" s="166"/>
      <c r="EX47" s="166"/>
      <c r="EY47" s="165">
        <f t="shared" si="50"/>
        <v>46281</v>
      </c>
      <c r="EZ47" s="109">
        <f t="shared" si="51"/>
        <v>0</v>
      </c>
      <c r="FA47" s="109">
        <f t="shared" si="52"/>
        <v>0</v>
      </c>
      <c r="FB47" s="109"/>
      <c r="FC47" s="109"/>
      <c r="FD47" s="166"/>
      <c r="FE47" s="166"/>
      <c r="FF47" s="165">
        <f t="shared" si="53"/>
        <v>46311</v>
      </c>
      <c r="FG47" s="109">
        <f t="shared" si="54"/>
        <v>0</v>
      </c>
      <c r="FH47" s="109">
        <f t="shared" si="55"/>
        <v>0</v>
      </c>
      <c r="FI47" s="109"/>
      <c r="FJ47" s="109"/>
      <c r="FK47" s="166"/>
      <c r="FL47" s="166"/>
      <c r="FM47" s="165">
        <f t="shared" si="56"/>
        <v>46342</v>
      </c>
      <c r="FN47" s="109">
        <f t="shared" si="57"/>
        <v>0</v>
      </c>
      <c r="FO47" s="109">
        <f t="shared" si="58"/>
        <v>0</v>
      </c>
      <c r="FP47" s="109"/>
      <c r="FQ47" s="109"/>
      <c r="FR47" s="166"/>
      <c r="FS47" s="166"/>
      <c r="FT47" s="165"/>
      <c r="FU47" s="109"/>
      <c r="FV47" s="109"/>
      <c r="FW47" s="109"/>
      <c r="FX47" s="109"/>
      <c r="FY47" s="166"/>
      <c r="FZ47" s="166"/>
      <c r="GA47" s="165"/>
      <c r="GB47" s="109"/>
      <c r="GC47" s="109"/>
      <c r="GD47" s="109"/>
      <c r="GE47" s="109"/>
      <c r="GF47" s="166"/>
      <c r="GG47" s="166"/>
      <c r="GH47" s="165"/>
      <c r="GI47" s="109"/>
      <c r="GJ47" s="109"/>
      <c r="GK47" s="109"/>
      <c r="GL47" s="109"/>
      <c r="GM47" s="166"/>
      <c r="GN47" s="166"/>
      <c r="GO47" s="165"/>
      <c r="GP47" s="109"/>
      <c r="GQ47" s="109"/>
      <c r="GR47" s="109"/>
      <c r="GS47" s="109"/>
      <c r="GT47" s="166"/>
      <c r="GU47" s="166"/>
      <c r="GV47" s="165"/>
      <c r="GW47" s="168"/>
      <c r="GX47" s="168"/>
      <c r="GY47" s="168"/>
      <c r="GZ47" s="168"/>
      <c r="HA47" s="166"/>
      <c r="HB47" s="166"/>
      <c r="HC47" s="165"/>
      <c r="HD47" s="109"/>
      <c r="HE47" s="109"/>
      <c r="HF47" s="109"/>
      <c r="HG47" s="109"/>
      <c r="HH47" s="166"/>
      <c r="HI47" s="166"/>
      <c r="HJ47" s="165"/>
      <c r="HK47" s="109"/>
      <c r="HL47" s="109"/>
      <c r="HM47" s="109"/>
      <c r="HN47" s="109"/>
      <c r="HO47" s="166"/>
      <c r="HP47" s="166"/>
      <c r="HQ47" s="165"/>
      <c r="HR47" s="109"/>
      <c r="HS47" s="109"/>
      <c r="HT47" s="109"/>
      <c r="HU47" s="109"/>
      <c r="HV47" s="166"/>
      <c r="HW47" s="166"/>
      <c r="HX47" s="105">
        <f t="shared" si="86"/>
        <v>6000</v>
      </c>
      <c r="HY47" s="105">
        <f t="shared" si="83"/>
        <v>960</v>
      </c>
      <c r="HZ47" s="105">
        <f t="shared" si="83"/>
        <v>6960</v>
      </c>
      <c r="IA47" s="105">
        <f t="shared" si="68"/>
        <v>0</v>
      </c>
      <c r="IB47" s="109">
        <f t="shared" si="69"/>
        <v>97440</v>
      </c>
      <c r="IC47" s="109">
        <f t="shared" si="70"/>
        <v>84000</v>
      </c>
      <c r="ID47" s="109">
        <f t="shared" si="71"/>
        <v>0</v>
      </c>
      <c r="IE47" s="109">
        <f t="shared" ca="1" si="72"/>
        <v>16</v>
      </c>
      <c r="IF47" s="139">
        <f t="shared" si="73"/>
        <v>0.8</v>
      </c>
      <c r="IG47" s="139">
        <f t="shared" ca="1" si="74"/>
        <v>47</v>
      </c>
      <c r="IH47" s="169">
        <f t="shared" ca="1" si="75"/>
        <v>1.5666666666666667</v>
      </c>
      <c r="II47" s="139">
        <f t="shared" ca="1" si="76"/>
        <v>0.76666666666666661</v>
      </c>
      <c r="IJ47" s="169">
        <f t="shared" ca="1" si="77"/>
        <v>23</v>
      </c>
      <c r="IK47" s="169">
        <f t="shared" ca="1" si="84"/>
        <v>0.76666666666666661</v>
      </c>
      <c r="IL47" s="170">
        <f t="shared" ca="1" si="78"/>
        <v>6669.9999999999991</v>
      </c>
      <c r="IM47" s="171"/>
      <c r="IN47" s="171"/>
      <c r="IO47" s="171"/>
      <c r="IP47" s="171"/>
    </row>
    <row r="48" spans="1:259" ht="15" customHeight="1" thickBot="1" x14ac:dyDescent="0.35">
      <c r="A48" s="110">
        <f t="shared" si="79"/>
        <v>44</v>
      </c>
      <c r="B48" s="111" t="s">
        <v>170</v>
      </c>
      <c r="C48" s="111" t="s">
        <v>171</v>
      </c>
      <c r="D48" s="111">
        <v>102</v>
      </c>
      <c r="E48" s="111" t="s">
        <v>253</v>
      </c>
      <c r="F48" s="111"/>
      <c r="G48" s="111" t="s">
        <v>646</v>
      </c>
      <c r="H48" s="111">
        <v>1021100156</v>
      </c>
      <c r="I48" s="146" t="str">
        <f t="shared" si="0"/>
        <v>1100156</v>
      </c>
      <c r="J48" s="145" t="str">
        <f t="shared" si="1"/>
        <v>KN1100156</v>
      </c>
      <c r="K48" s="111" t="s">
        <v>647</v>
      </c>
      <c r="L48" s="111" t="s">
        <v>648</v>
      </c>
      <c r="M48" s="111" t="s">
        <v>649</v>
      </c>
      <c r="N48" s="111" t="s">
        <v>138</v>
      </c>
      <c r="O48" s="111"/>
      <c r="P48" s="111" t="s">
        <v>650</v>
      </c>
      <c r="Q48" s="148">
        <v>37003</v>
      </c>
      <c r="R48" s="111" t="s">
        <v>170</v>
      </c>
      <c r="S48" s="111">
        <f t="shared" ca="1" si="85"/>
        <v>24</v>
      </c>
      <c r="T48" s="111" t="s">
        <v>651</v>
      </c>
      <c r="U48" s="111" t="s">
        <v>652</v>
      </c>
      <c r="V48" s="172">
        <v>764641456</v>
      </c>
      <c r="W48" s="111"/>
      <c r="X48" s="111" t="s">
        <v>181</v>
      </c>
      <c r="Y48" s="111">
        <v>11</v>
      </c>
      <c r="Z48" s="111" t="s">
        <v>456</v>
      </c>
      <c r="AA48" s="111" t="s">
        <v>457</v>
      </c>
      <c r="AB48" s="111" t="s">
        <v>458</v>
      </c>
      <c r="AC48" s="111" t="s">
        <v>146</v>
      </c>
      <c r="AD48" s="111" t="s">
        <v>147</v>
      </c>
      <c r="AE48" s="173" t="s">
        <v>136</v>
      </c>
      <c r="AF48" s="173" t="s">
        <v>136</v>
      </c>
      <c r="AG48" s="174">
        <v>45886</v>
      </c>
      <c r="AH48" s="175">
        <v>50000</v>
      </c>
      <c r="AI48" s="111">
        <v>12</v>
      </c>
      <c r="AJ48" s="111">
        <v>0</v>
      </c>
      <c r="AK48" s="150">
        <f t="shared" si="80"/>
        <v>12</v>
      </c>
      <c r="AL48" s="177">
        <v>50000</v>
      </c>
      <c r="AM48" s="176">
        <v>0.16</v>
      </c>
      <c r="AN48" s="177">
        <f t="shared" si="92"/>
        <v>8000</v>
      </c>
      <c r="AO48" s="157">
        <f t="shared" si="96"/>
        <v>58000</v>
      </c>
      <c r="AP48" s="158">
        <f t="shared" si="3"/>
        <v>4833.333333333333</v>
      </c>
      <c r="AQ48" s="111" t="s">
        <v>653</v>
      </c>
      <c r="AR48" s="111" t="s">
        <v>170</v>
      </c>
      <c r="AS48" s="111" t="s">
        <v>260</v>
      </c>
      <c r="AT48" s="111" t="s">
        <v>654</v>
      </c>
      <c r="AU48" s="111" t="s">
        <v>651</v>
      </c>
      <c r="AV48" s="111">
        <v>4</v>
      </c>
      <c r="AW48" s="111" t="s">
        <v>136</v>
      </c>
      <c r="AX48" s="111" t="s">
        <v>136</v>
      </c>
      <c r="AY48" s="111" t="s">
        <v>203</v>
      </c>
      <c r="AZ48" s="111" t="s">
        <v>647</v>
      </c>
      <c r="BA48" s="111" t="s">
        <v>655</v>
      </c>
      <c r="BB48" s="174">
        <v>45737</v>
      </c>
      <c r="BC48" s="174">
        <v>46101</v>
      </c>
      <c r="BD48" s="111" t="s">
        <v>136</v>
      </c>
      <c r="BE48" s="111" t="s">
        <v>136</v>
      </c>
      <c r="BF48" s="111" t="s">
        <v>136</v>
      </c>
      <c r="BG48" s="111" t="s">
        <v>136</v>
      </c>
      <c r="BH48" s="111" t="s">
        <v>136</v>
      </c>
      <c r="BI48" s="111" t="s">
        <v>136</v>
      </c>
      <c r="BJ48" s="111" t="s">
        <v>136</v>
      </c>
      <c r="BK48" s="111" t="s">
        <v>136</v>
      </c>
      <c r="BL48" s="111" t="s">
        <v>136</v>
      </c>
      <c r="BM48" s="111" t="s">
        <v>136</v>
      </c>
      <c r="BN48" s="111" t="s">
        <v>136</v>
      </c>
      <c r="BO48" s="111" t="s">
        <v>136</v>
      </c>
      <c r="BP48" s="111" t="s">
        <v>656</v>
      </c>
      <c r="BQ48" s="111" t="s">
        <v>164</v>
      </c>
      <c r="BR48" s="111" t="s">
        <v>657</v>
      </c>
      <c r="BS48" s="111" t="s">
        <v>658</v>
      </c>
      <c r="BT48" s="182" t="s">
        <v>659</v>
      </c>
      <c r="BU48" s="111" t="s">
        <v>651</v>
      </c>
      <c r="BV48" s="111" t="s">
        <v>652</v>
      </c>
      <c r="BW48" s="111"/>
      <c r="BX48" s="111"/>
      <c r="BY48" s="111"/>
      <c r="BZ48" s="111"/>
      <c r="CA48" s="111"/>
      <c r="CB48" s="111"/>
      <c r="CC48" s="178"/>
      <c r="CD48" s="177">
        <f t="shared" si="4"/>
        <v>50000</v>
      </c>
      <c r="CE48" s="148">
        <v>45977</v>
      </c>
      <c r="CF48" s="111">
        <f t="shared" si="5"/>
        <v>12</v>
      </c>
      <c r="CG48" s="177">
        <f t="shared" si="6"/>
        <v>58000</v>
      </c>
      <c r="CH48" s="203">
        <f t="shared" si="95"/>
        <v>0</v>
      </c>
      <c r="CI48" s="148">
        <v>45977</v>
      </c>
      <c r="CJ48" s="161">
        <f t="shared" si="81"/>
        <v>46007</v>
      </c>
      <c r="CK48" s="162">
        <f t="shared" si="82"/>
        <v>46342</v>
      </c>
      <c r="CL48" s="183"/>
      <c r="CM48" s="164">
        <f t="shared" ca="1" si="8"/>
        <v>46054</v>
      </c>
      <c r="CN48" s="165">
        <f t="shared" si="9"/>
        <v>46007</v>
      </c>
      <c r="CO48" s="109">
        <f t="shared" si="10"/>
        <v>4310.3448275862065</v>
      </c>
      <c r="CP48" s="109">
        <f t="shared" si="11"/>
        <v>689.65517241379325</v>
      </c>
      <c r="CQ48" s="109">
        <v>5000</v>
      </c>
      <c r="CR48" s="109">
        <f t="shared" si="12"/>
        <v>166.66666666666697</v>
      </c>
      <c r="CS48" s="166">
        <v>46008</v>
      </c>
      <c r="CT48" s="167">
        <f t="shared" si="13"/>
        <v>1</v>
      </c>
      <c r="CU48" s="165">
        <f t="shared" si="14"/>
        <v>46038</v>
      </c>
      <c r="CV48" s="109">
        <f t="shared" si="15"/>
        <v>0</v>
      </c>
      <c r="CW48" s="109">
        <f t="shared" si="16"/>
        <v>0</v>
      </c>
      <c r="CX48" s="109"/>
      <c r="CY48" s="109">
        <f t="shared" si="17"/>
        <v>0</v>
      </c>
      <c r="CZ48" s="166">
        <f t="shared" ca="1" si="107"/>
        <v>46054</v>
      </c>
      <c r="DA48" s="167">
        <f t="shared" ca="1" si="18"/>
        <v>16</v>
      </c>
      <c r="DB48" s="165">
        <f t="shared" si="19"/>
        <v>46069</v>
      </c>
      <c r="DC48" s="109">
        <f t="shared" si="20"/>
        <v>0</v>
      </c>
      <c r="DD48" s="109">
        <f t="shared" si="21"/>
        <v>0</v>
      </c>
      <c r="DE48" s="109"/>
      <c r="DF48" s="109">
        <f t="shared" si="22"/>
        <v>0</v>
      </c>
      <c r="DG48" s="166">
        <f t="shared" ca="1" si="106"/>
        <v>46054</v>
      </c>
      <c r="DH48" s="167">
        <f t="shared" ca="1" si="23"/>
        <v>0</v>
      </c>
      <c r="DI48" s="165">
        <f t="shared" si="24"/>
        <v>46097</v>
      </c>
      <c r="DJ48" s="109">
        <f t="shared" si="25"/>
        <v>0</v>
      </c>
      <c r="DK48" s="109">
        <f t="shared" si="26"/>
        <v>0</v>
      </c>
      <c r="DL48" s="109">
        <v>0</v>
      </c>
      <c r="DM48" s="109">
        <f t="shared" si="27"/>
        <v>0</v>
      </c>
      <c r="DN48" s="166">
        <f t="shared" ca="1" si="87"/>
        <v>46054</v>
      </c>
      <c r="DO48" s="167">
        <f t="shared" ca="1" si="28"/>
        <v>0</v>
      </c>
      <c r="DP48" s="165">
        <f t="shared" si="93"/>
        <v>46128</v>
      </c>
      <c r="DQ48" s="109">
        <f t="shared" si="29"/>
        <v>0</v>
      </c>
      <c r="DR48" s="109">
        <f t="shared" si="94"/>
        <v>0</v>
      </c>
      <c r="DS48" s="109"/>
      <c r="DT48" s="109">
        <f t="shared" si="30"/>
        <v>0</v>
      </c>
      <c r="DU48" s="166">
        <f t="shared" ca="1" si="88"/>
        <v>46054</v>
      </c>
      <c r="DV48" s="167">
        <f t="shared" ca="1" si="31"/>
        <v>0</v>
      </c>
      <c r="DW48" s="165">
        <f t="shared" si="32"/>
        <v>46158</v>
      </c>
      <c r="DX48" s="109">
        <f t="shared" si="33"/>
        <v>0</v>
      </c>
      <c r="DY48" s="109">
        <f t="shared" si="34"/>
        <v>0</v>
      </c>
      <c r="DZ48" s="109"/>
      <c r="EA48" s="109">
        <f t="shared" si="35"/>
        <v>0</v>
      </c>
      <c r="EB48" s="166">
        <f t="shared" ca="1" si="89"/>
        <v>46054</v>
      </c>
      <c r="EC48" s="167">
        <f t="shared" ca="1" si="36"/>
        <v>0</v>
      </c>
      <c r="ED48" s="165">
        <f t="shared" si="37"/>
        <v>46189</v>
      </c>
      <c r="EE48" s="109">
        <f t="shared" si="38"/>
        <v>0</v>
      </c>
      <c r="EF48" s="109">
        <f t="shared" si="39"/>
        <v>0</v>
      </c>
      <c r="EG48" s="109"/>
      <c r="EH48" s="109">
        <f t="shared" si="40"/>
        <v>0</v>
      </c>
      <c r="EI48" s="166">
        <f t="shared" ca="1" si="90"/>
        <v>46054</v>
      </c>
      <c r="EJ48" s="167">
        <f t="shared" ca="1" si="41"/>
        <v>0</v>
      </c>
      <c r="EK48" s="165">
        <f t="shared" si="42"/>
        <v>46219</v>
      </c>
      <c r="EL48" s="109">
        <f t="shared" si="43"/>
        <v>0</v>
      </c>
      <c r="EM48" s="109">
        <f t="shared" si="44"/>
        <v>0</v>
      </c>
      <c r="EN48" s="109"/>
      <c r="EO48" s="109">
        <f t="shared" si="45"/>
        <v>0</v>
      </c>
      <c r="EP48" s="166">
        <f t="shared" ca="1" si="91"/>
        <v>46054</v>
      </c>
      <c r="EQ48" s="167">
        <f t="shared" ca="1" si="46"/>
        <v>0</v>
      </c>
      <c r="ER48" s="165">
        <f t="shared" si="47"/>
        <v>46250</v>
      </c>
      <c r="ES48" s="109">
        <f t="shared" si="48"/>
        <v>0</v>
      </c>
      <c r="ET48" s="109">
        <f t="shared" si="49"/>
        <v>0</v>
      </c>
      <c r="EU48" s="109"/>
      <c r="EV48" s="109"/>
      <c r="EW48" s="166"/>
      <c r="EX48" s="166"/>
      <c r="EY48" s="165">
        <f t="shared" si="50"/>
        <v>46281</v>
      </c>
      <c r="EZ48" s="109">
        <f t="shared" si="51"/>
        <v>0</v>
      </c>
      <c r="FA48" s="109">
        <f t="shared" si="52"/>
        <v>0</v>
      </c>
      <c r="FB48" s="109"/>
      <c r="FC48" s="109"/>
      <c r="FD48" s="166"/>
      <c r="FE48" s="166"/>
      <c r="FF48" s="165">
        <f t="shared" si="53"/>
        <v>46311</v>
      </c>
      <c r="FG48" s="109">
        <f t="shared" si="54"/>
        <v>0</v>
      </c>
      <c r="FH48" s="109">
        <f t="shared" si="55"/>
        <v>0</v>
      </c>
      <c r="FI48" s="109"/>
      <c r="FJ48" s="109"/>
      <c r="FK48" s="166"/>
      <c r="FL48" s="166"/>
      <c r="FM48" s="165">
        <f t="shared" si="56"/>
        <v>46342</v>
      </c>
      <c r="FN48" s="109">
        <f t="shared" si="57"/>
        <v>0</v>
      </c>
      <c r="FO48" s="109">
        <f t="shared" si="58"/>
        <v>0</v>
      </c>
      <c r="FP48" s="109"/>
      <c r="FQ48" s="109"/>
      <c r="FR48" s="166"/>
      <c r="FS48" s="166"/>
      <c r="FT48" s="165"/>
      <c r="FU48" s="109"/>
      <c r="FV48" s="109"/>
      <c r="FW48" s="109"/>
      <c r="FX48" s="109"/>
      <c r="FY48" s="166"/>
      <c r="FZ48" s="166"/>
      <c r="GA48" s="165"/>
      <c r="GB48" s="109"/>
      <c r="GC48" s="109"/>
      <c r="GD48" s="109"/>
      <c r="GE48" s="109"/>
      <c r="GF48" s="166"/>
      <c r="GG48" s="166"/>
      <c r="GH48" s="165"/>
      <c r="GI48" s="109"/>
      <c r="GJ48" s="109"/>
      <c r="GK48" s="109"/>
      <c r="GL48" s="109"/>
      <c r="GM48" s="166"/>
      <c r="GN48" s="166"/>
      <c r="GO48" s="165"/>
      <c r="GP48" s="109"/>
      <c r="GQ48" s="109"/>
      <c r="GR48" s="109"/>
      <c r="GS48" s="109"/>
      <c r="GT48" s="166"/>
      <c r="GU48" s="166"/>
      <c r="GV48" s="165"/>
      <c r="GW48" s="168"/>
      <c r="GX48" s="168"/>
      <c r="GY48" s="168"/>
      <c r="GZ48" s="168"/>
      <c r="HA48" s="166"/>
      <c r="HB48" s="166"/>
      <c r="HC48" s="165"/>
      <c r="HD48" s="109"/>
      <c r="HE48" s="109"/>
      <c r="HF48" s="109"/>
      <c r="HG48" s="109"/>
      <c r="HH48" s="166"/>
      <c r="HI48" s="166"/>
      <c r="HJ48" s="165"/>
      <c r="HK48" s="109"/>
      <c r="HL48" s="109"/>
      <c r="HM48" s="109"/>
      <c r="HN48" s="109"/>
      <c r="HO48" s="166"/>
      <c r="HP48" s="166"/>
      <c r="HQ48" s="165"/>
      <c r="HR48" s="109"/>
      <c r="HS48" s="109"/>
      <c r="HT48" s="109"/>
      <c r="HU48" s="109"/>
      <c r="HV48" s="166"/>
      <c r="HW48" s="166"/>
      <c r="HX48" s="105">
        <f t="shared" si="86"/>
        <v>4310.3448275862065</v>
      </c>
      <c r="HY48" s="105">
        <f t="shared" si="83"/>
        <v>689.65517241379325</v>
      </c>
      <c r="HZ48" s="105">
        <f t="shared" si="83"/>
        <v>5000</v>
      </c>
      <c r="IA48" s="105">
        <f t="shared" si="68"/>
        <v>0</v>
      </c>
      <c r="IB48" s="109">
        <f t="shared" si="69"/>
        <v>53000</v>
      </c>
      <c r="IC48" s="109">
        <f t="shared" si="70"/>
        <v>45689.655172413797</v>
      </c>
      <c r="ID48" s="109">
        <f t="shared" si="71"/>
        <v>0</v>
      </c>
      <c r="IE48" s="109">
        <f t="shared" ca="1" si="72"/>
        <v>17</v>
      </c>
      <c r="IF48" s="139">
        <f t="shared" si="73"/>
        <v>1.0344827586206897</v>
      </c>
      <c r="IG48" s="139">
        <f t="shared" ca="1" si="74"/>
        <v>47</v>
      </c>
      <c r="IH48" s="169">
        <f t="shared" ca="1" si="75"/>
        <v>1.5666666666666667</v>
      </c>
      <c r="II48" s="139">
        <f t="shared" ca="1" si="76"/>
        <v>0.53218390804597693</v>
      </c>
      <c r="IJ48" s="169">
        <f t="shared" ca="1" si="77"/>
        <v>15.965517241379308</v>
      </c>
      <c r="IK48" s="169">
        <f t="shared" ca="1" si="84"/>
        <v>0.53218390804597693</v>
      </c>
      <c r="IL48" s="170">
        <f t="shared" ca="1" si="78"/>
        <v>2572.2222222222217</v>
      </c>
      <c r="IM48" s="171"/>
      <c r="IN48" s="171"/>
      <c r="IO48" s="171"/>
      <c r="IP48" s="171"/>
    </row>
    <row r="49" spans="1:250" ht="15" customHeight="1" thickBot="1" x14ac:dyDescent="0.35">
      <c r="A49" s="110">
        <f t="shared" si="79"/>
        <v>45</v>
      </c>
      <c r="B49" s="111" t="s">
        <v>170</v>
      </c>
      <c r="C49" s="111" t="s">
        <v>171</v>
      </c>
      <c r="D49" s="111">
        <v>102</v>
      </c>
      <c r="E49" s="111" t="s">
        <v>210</v>
      </c>
      <c r="F49" s="111"/>
      <c r="G49" s="111" t="s">
        <v>660</v>
      </c>
      <c r="H49" s="111">
        <v>1021100157</v>
      </c>
      <c r="I49" s="146" t="str">
        <f t="shared" si="0"/>
        <v>1100157</v>
      </c>
      <c r="J49" s="145" t="str">
        <f t="shared" si="1"/>
        <v>KN1100157</v>
      </c>
      <c r="K49" s="111" t="s">
        <v>661</v>
      </c>
      <c r="L49" s="111" t="s">
        <v>136</v>
      </c>
      <c r="M49" s="111" t="s">
        <v>662</v>
      </c>
      <c r="N49" s="111" t="s">
        <v>138</v>
      </c>
      <c r="O49" s="111"/>
      <c r="P49" s="111" t="s">
        <v>663</v>
      </c>
      <c r="Q49" s="148">
        <v>28780</v>
      </c>
      <c r="R49" s="111" t="s">
        <v>170</v>
      </c>
      <c r="S49" s="111">
        <f t="shared" ca="1" si="85"/>
        <v>47</v>
      </c>
      <c r="T49" s="111" t="s">
        <v>229</v>
      </c>
      <c r="U49" s="111" t="s">
        <v>217</v>
      </c>
      <c r="V49" s="172">
        <v>772708835</v>
      </c>
      <c r="W49" s="111"/>
      <c r="X49" s="111" t="s">
        <v>181</v>
      </c>
      <c r="Y49" s="111">
        <v>11</v>
      </c>
      <c r="Z49" s="111" t="s">
        <v>235</v>
      </c>
      <c r="AA49" s="111" t="s">
        <v>261</v>
      </c>
      <c r="AB49" s="111" t="s">
        <v>236</v>
      </c>
      <c r="AC49" s="111" t="s">
        <v>146</v>
      </c>
      <c r="AD49" s="111" t="s">
        <v>147</v>
      </c>
      <c r="AE49" s="173" t="s">
        <v>136</v>
      </c>
      <c r="AF49" s="173" t="s">
        <v>136</v>
      </c>
      <c r="AG49" s="174">
        <v>45977</v>
      </c>
      <c r="AH49" s="175">
        <v>40000</v>
      </c>
      <c r="AI49" s="111">
        <v>12</v>
      </c>
      <c r="AJ49" s="111">
        <v>0</v>
      </c>
      <c r="AK49" s="150">
        <f t="shared" si="80"/>
        <v>12</v>
      </c>
      <c r="AL49" s="177">
        <v>40000</v>
      </c>
      <c r="AM49" s="176">
        <v>0.16</v>
      </c>
      <c r="AN49" s="177">
        <f t="shared" si="92"/>
        <v>6400</v>
      </c>
      <c r="AO49" s="157">
        <f t="shared" si="96"/>
        <v>46400</v>
      </c>
      <c r="AP49" s="158">
        <f t="shared" si="3"/>
        <v>3866.6666666666665</v>
      </c>
      <c r="AQ49" s="111" t="s">
        <v>136</v>
      </c>
      <c r="AR49" s="111" t="s">
        <v>170</v>
      </c>
      <c r="AS49" s="111" t="s">
        <v>217</v>
      </c>
      <c r="AT49" s="111" t="s">
        <v>289</v>
      </c>
      <c r="AU49" s="111" t="s">
        <v>229</v>
      </c>
      <c r="AV49" s="111">
        <v>4</v>
      </c>
      <c r="AW49" s="111" t="s">
        <v>136</v>
      </c>
      <c r="AX49" s="111" t="s">
        <v>136</v>
      </c>
      <c r="AY49" s="111" t="s">
        <v>136</v>
      </c>
      <c r="AZ49" s="111" t="s">
        <v>136</v>
      </c>
      <c r="BA49" s="111" t="s">
        <v>136</v>
      </c>
      <c r="BB49" s="111" t="s">
        <v>136</v>
      </c>
      <c r="BC49" s="111" t="s">
        <v>136</v>
      </c>
      <c r="BD49" s="111" t="s">
        <v>136</v>
      </c>
      <c r="BE49" s="111" t="s">
        <v>136</v>
      </c>
      <c r="BF49" s="111" t="s">
        <v>136</v>
      </c>
      <c r="BG49" s="111" t="s">
        <v>136</v>
      </c>
      <c r="BH49" s="111" t="s">
        <v>136</v>
      </c>
      <c r="BI49" s="111" t="s">
        <v>136</v>
      </c>
      <c r="BJ49" s="111" t="s">
        <v>136</v>
      </c>
      <c r="BK49" s="111" t="s">
        <v>136</v>
      </c>
      <c r="BL49" s="111" t="s">
        <v>136</v>
      </c>
      <c r="BM49" s="111" t="s">
        <v>136</v>
      </c>
      <c r="BN49" s="111" t="s">
        <v>136</v>
      </c>
      <c r="BO49" s="111" t="s">
        <v>136</v>
      </c>
      <c r="BP49" s="111" t="s">
        <v>664</v>
      </c>
      <c r="BQ49" s="111" t="s">
        <v>136</v>
      </c>
      <c r="BR49" s="111" t="s">
        <v>665</v>
      </c>
      <c r="BS49" s="111" t="s">
        <v>666</v>
      </c>
      <c r="BT49" s="182" t="s">
        <v>667</v>
      </c>
      <c r="BU49" s="111" t="s">
        <v>229</v>
      </c>
      <c r="BV49" s="111" t="s">
        <v>217</v>
      </c>
      <c r="BW49" s="111"/>
      <c r="BX49" s="111"/>
      <c r="BY49" s="111"/>
      <c r="BZ49" s="111"/>
      <c r="CA49" s="111"/>
      <c r="CB49" s="111"/>
      <c r="CC49" s="178"/>
      <c r="CD49" s="177">
        <f t="shared" si="4"/>
        <v>40000</v>
      </c>
      <c r="CE49" s="148">
        <v>45977</v>
      </c>
      <c r="CF49" s="111">
        <f t="shared" si="5"/>
        <v>12</v>
      </c>
      <c r="CG49" s="177">
        <f t="shared" si="6"/>
        <v>46400</v>
      </c>
      <c r="CH49" s="203">
        <f t="shared" si="95"/>
        <v>0</v>
      </c>
      <c r="CI49" s="148">
        <v>45977</v>
      </c>
      <c r="CJ49" s="161">
        <f t="shared" si="81"/>
        <v>46007</v>
      </c>
      <c r="CK49" s="162">
        <f t="shared" si="82"/>
        <v>46342</v>
      </c>
      <c r="CL49" s="183"/>
      <c r="CM49" s="164">
        <f t="shared" ca="1" si="8"/>
        <v>46054</v>
      </c>
      <c r="CN49" s="165">
        <f t="shared" si="9"/>
        <v>46007</v>
      </c>
      <c r="CO49" s="109">
        <f t="shared" si="10"/>
        <v>3336.2068965517242</v>
      </c>
      <c r="CP49" s="109">
        <f t="shared" si="11"/>
        <v>533.79310344827593</v>
      </c>
      <c r="CQ49" s="109">
        <v>3870</v>
      </c>
      <c r="CR49" s="109">
        <f t="shared" si="12"/>
        <v>3.3333333333334849</v>
      </c>
      <c r="CS49" s="166">
        <v>46009</v>
      </c>
      <c r="CT49" s="167">
        <f t="shared" si="13"/>
        <v>2</v>
      </c>
      <c r="CU49" s="165">
        <f t="shared" si="14"/>
        <v>46038</v>
      </c>
      <c r="CV49" s="109">
        <f t="shared" si="15"/>
        <v>0</v>
      </c>
      <c r="CW49" s="109">
        <f t="shared" si="16"/>
        <v>0</v>
      </c>
      <c r="CX49" s="109"/>
      <c r="CY49" s="109">
        <f t="shared" si="17"/>
        <v>0</v>
      </c>
      <c r="CZ49" s="166">
        <f t="shared" ca="1" si="107"/>
        <v>46054</v>
      </c>
      <c r="DA49" s="167">
        <f t="shared" ca="1" si="18"/>
        <v>16</v>
      </c>
      <c r="DB49" s="165">
        <f t="shared" si="19"/>
        <v>46069</v>
      </c>
      <c r="DC49" s="109">
        <f t="shared" si="20"/>
        <v>0</v>
      </c>
      <c r="DD49" s="109">
        <f t="shared" si="21"/>
        <v>0</v>
      </c>
      <c r="DE49" s="109"/>
      <c r="DF49" s="109">
        <f t="shared" si="22"/>
        <v>0</v>
      </c>
      <c r="DG49" s="166">
        <f t="shared" ca="1" si="106"/>
        <v>46054</v>
      </c>
      <c r="DH49" s="167">
        <f t="shared" ca="1" si="23"/>
        <v>0</v>
      </c>
      <c r="DI49" s="165">
        <f t="shared" si="24"/>
        <v>46097</v>
      </c>
      <c r="DJ49" s="109">
        <f t="shared" si="25"/>
        <v>0</v>
      </c>
      <c r="DK49" s="109">
        <f t="shared" si="26"/>
        <v>0</v>
      </c>
      <c r="DL49" s="109">
        <v>0</v>
      </c>
      <c r="DM49" s="109">
        <f t="shared" si="27"/>
        <v>0</v>
      </c>
      <c r="DN49" s="166">
        <f t="shared" ca="1" si="87"/>
        <v>46054</v>
      </c>
      <c r="DO49" s="167">
        <f t="shared" ca="1" si="28"/>
        <v>0</v>
      </c>
      <c r="DP49" s="165">
        <f t="shared" si="93"/>
        <v>46128</v>
      </c>
      <c r="DQ49" s="109">
        <f t="shared" si="29"/>
        <v>0</v>
      </c>
      <c r="DR49" s="109">
        <f t="shared" si="94"/>
        <v>0</v>
      </c>
      <c r="DS49" s="109"/>
      <c r="DT49" s="109">
        <f t="shared" si="30"/>
        <v>0</v>
      </c>
      <c r="DU49" s="166">
        <f t="shared" ca="1" si="88"/>
        <v>46054</v>
      </c>
      <c r="DV49" s="167">
        <f t="shared" ca="1" si="31"/>
        <v>0</v>
      </c>
      <c r="DW49" s="165">
        <f t="shared" si="32"/>
        <v>46158</v>
      </c>
      <c r="DX49" s="109">
        <f t="shared" si="33"/>
        <v>0</v>
      </c>
      <c r="DY49" s="109">
        <f t="shared" si="34"/>
        <v>0</v>
      </c>
      <c r="DZ49" s="109"/>
      <c r="EA49" s="109">
        <f t="shared" si="35"/>
        <v>0</v>
      </c>
      <c r="EB49" s="166">
        <f t="shared" ca="1" si="89"/>
        <v>46054</v>
      </c>
      <c r="EC49" s="167">
        <f t="shared" ca="1" si="36"/>
        <v>0</v>
      </c>
      <c r="ED49" s="165">
        <f t="shared" si="37"/>
        <v>46189</v>
      </c>
      <c r="EE49" s="109">
        <f t="shared" si="38"/>
        <v>0</v>
      </c>
      <c r="EF49" s="109">
        <f t="shared" si="39"/>
        <v>0</v>
      </c>
      <c r="EG49" s="109"/>
      <c r="EH49" s="109">
        <f t="shared" si="40"/>
        <v>0</v>
      </c>
      <c r="EI49" s="166">
        <f t="shared" ca="1" si="90"/>
        <v>46054</v>
      </c>
      <c r="EJ49" s="167">
        <f t="shared" ca="1" si="41"/>
        <v>0</v>
      </c>
      <c r="EK49" s="165">
        <f t="shared" si="42"/>
        <v>46219</v>
      </c>
      <c r="EL49" s="109">
        <f t="shared" si="43"/>
        <v>0</v>
      </c>
      <c r="EM49" s="109">
        <f t="shared" si="44"/>
        <v>0</v>
      </c>
      <c r="EN49" s="109"/>
      <c r="EO49" s="109">
        <f t="shared" si="45"/>
        <v>0</v>
      </c>
      <c r="EP49" s="166">
        <f t="shared" ca="1" si="91"/>
        <v>46054</v>
      </c>
      <c r="EQ49" s="167">
        <f t="shared" ca="1" si="46"/>
        <v>0</v>
      </c>
      <c r="ER49" s="165">
        <f t="shared" si="47"/>
        <v>46250</v>
      </c>
      <c r="ES49" s="109">
        <f t="shared" si="48"/>
        <v>0</v>
      </c>
      <c r="ET49" s="109">
        <f t="shared" si="49"/>
        <v>0</v>
      </c>
      <c r="EU49" s="109"/>
      <c r="EV49" s="109"/>
      <c r="EW49" s="166"/>
      <c r="EX49" s="166"/>
      <c r="EY49" s="165">
        <f t="shared" si="50"/>
        <v>46281</v>
      </c>
      <c r="EZ49" s="109">
        <f t="shared" si="51"/>
        <v>0</v>
      </c>
      <c r="FA49" s="109">
        <f t="shared" si="52"/>
        <v>0</v>
      </c>
      <c r="FB49" s="109"/>
      <c r="FC49" s="109"/>
      <c r="FD49" s="166"/>
      <c r="FE49" s="166"/>
      <c r="FF49" s="165">
        <f t="shared" si="53"/>
        <v>46311</v>
      </c>
      <c r="FG49" s="109">
        <f t="shared" si="54"/>
        <v>0</v>
      </c>
      <c r="FH49" s="109">
        <f t="shared" si="55"/>
        <v>0</v>
      </c>
      <c r="FI49" s="109"/>
      <c r="FJ49" s="109"/>
      <c r="FK49" s="166"/>
      <c r="FL49" s="166"/>
      <c r="FM49" s="165">
        <f t="shared" si="56"/>
        <v>46342</v>
      </c>
      <c r="FN49" s="109">
        <f t="shared" si="57"/>
        <v>0</v>
      </c>
      <c r="FO49" s="109">
        <f t="shared" si="58"/>
        <v>0</v>
      </c>
      <c r="FP49" s="109"/>
      <c r="FQ49" s="109"/>
      <c r="FR49" s="166"/>
      <c r="FS49" s="166"/>
      <c r="FT49" s="165"/>
      <c r="FU49" s="109"/>
      <c r="FV49" s="109"/>
      <c r="FW49" s="109"/>
      <c r="FX49" s="109"/>
      <c r="FY49" s="166"/>
      <c r="FZ49" s="166"/>
      <c r="GA49" s="165"/>
      <c r="GB49" s="109"/>
      <c r="GC49" s="109"/>
      <c r="GD49" s="109"/>
      <c r="GE49" s="109"/>
      <c r="GF49" s="166"/>
      <c r="GG49" s="166"/>
      <c r="GH49" s="165"/>
      <c r="GI49" s="109"/>
      <c r="GJ49" s="109"/>
      <c r="GK49" s="109"/>
      <c r="GL49" s="109"/>
      <c r="GM49" s="166"/>
      <c r="GN49" s="166"/>
      <c r="GO49" s="165"/>
      <c r="GP49" s="109"/>
      <c r="GQ49" s="109"/>
      <c r="GR49" s="109"/>
      <c r="GS49" s="109"/>
      <c r="GT49" s="166"/>
      <c r="GU49" s="166"/>
      <c r="GV49" s="165"/>
      <c r="GW49" s="168"/>
      <c r="GX49" s="168"/>
      <c r="GY49" s="168"/>
      <c r="GZ49" s="168"/>
      <c r="HA49" s="166"/>
      <c r="HB49" s="166"/>
      <c r="HC49" s="165"/>
      <c r="HD49" s="109"/>
      <c r="HE49" s="109"/>
      <c r="HF49" s="109"/>
      <c r="HG49" s="109"/>
      <c r="HH49" s="166"/>
      <c r="HI49" s="166"/>
      <c r="HJ49" s="165"/>
      <c r="HK49" s="109"/>
      <c r="HL49" s="109"/>
      <c r="HM49" s="109"/>
      <c r="HN49" s="109"/>
      <c r="HO49" s="166"/>
      <c r="HP49" s="166"/>
      <c r="HQ49" s="165"/>
      <c r="HR49" s="109"/>
      <c r="HS49" s="109"/>
      <c r="HT49" s="109"/>
      <c r="HU49" s="109"/>
      <c r="HV49" s="166"/>
      <c r="HW49" s="166"/>
      <c r="HX49" s="105">
        <f t="shared" si="86"/>
        <v>3336.2068965517242</v>
      </c>
      <c r="HY49" s="105">
        <f t="shared" si="83"/>
        <v>533.79310344827593</v>
      </c>
      <c r="HZ49" s="105">
        <f t="shared" si="83"/>
        <v>3870</v>
      </c>
      <c r="IA49" s="105">
        <f t="shared" si="68"/>
        <v>0</v>
      </c>
      <c r="IB49" s="109">
        <f t="shared" si="69"/>
        <v>42530</v>
      </c>
      <c r="IC49" s="109">
        <f t="shared" si="70"/>
        <v>36663.793103448275</v>
      </c>
      <c r="ID49" s="109">
        <f t="shared" si="71"/>
        <v>0</v>
      </c>
      <c r="IE49" s="109">
        <f t="shared" ca="1" si="72"/>
        <v>18</v>
      </c>
      <c r="IF49" s="139">
        <f t="shared" si="73"/>
        <v>1.0008620689655172</v>
      </c>
      <c r="IG49" s="139">
        <f t="shared" ca="1" si="74"/>
        <v>47</v>
      </c>
      <c r="IH49" s="169">
        <f t="shared" ca="1" si="75"/>
        <v>1.5666666666666667</v>
      </c>
      <c r="II49" s="139">
        <f t="shared" ca="1" si="76"/>
        <v>0.56580459770114944</v>
      </c>
      <c r="IJ49" s="169">
        <f t="shared" ca="1" si="77"/>
        <v>16.974137931034484</v>
      </c>
      <c r="IK49" s="169">
        <f t="shared" ca="1" si="84"/>
        <v>0.56580459770114944</v>
      </c>
      <c r="IL49" s="170">
        <f t="shared" ca="1" si="78"/>
        <v>2187.7777777777778</v>
      </c>
      <c r="IM49" s="171"/>
      <c r="IN49" s="171"/>
      <c r="IO49" s="171"/>
      <c r="IP49" s="171"/>
    </row>
    <row r="50" spans="1:250" ht="15" customHeight="1" thickBot="1" x14ac:dyDescent="0.35">
      <c r="A50" s="110">
        <f t="shared" si="79"/>
        <v>46</v>
      </c>
      <c r="B50" s="111" t="s">
        <v>170</v>
      </c>
      <c r="C50" s="111" t="s">
        <v>171</v>
      </c>
      <c r="D50" s="111">
        <v>102</v>
      </c>
      <c r="E50" s="111" t="s">
        <v>253</v>
      </c>
      <c r="F50" s="111"/>
      <c r="G50" s="111" t="s">
        <v>668</v>
      </c>
      <c r="H50" s="111">
        <v>1021100158</v>
      </c>
      <c r="I50" s="146" t="str">
        <f t="shared" si="0"/>
        <v>1100158</v>
      </c>
      <c r="J50" s="145" t="str">
        <f t="shared" si="1"/>
        <v>KN1100158</v>
      </c>
      <c r="K50" s="111" t="s">
        <v>669</v>
      </c>
      <c r="L50" s="111" t="s">
        <v>670</v>
      </c>
      <c r="M50" s="111" t="s">
        <v>671</v>
      </c>
      <c r="N50" s="111" t="s">
        <v>138</v>
      </c>
      <c r="O50" s="111"/>
      <c r="P50" s="111" t="s">
        <v>672</v>
      </c>
      <c r="Q50" s="148">
        <v>33609</v>
      </c>
      <c r="R50" s="111" t="s">
        <v>170</v>
      </c>
      <c r="S50" s="111">
        <f t="shared" ca="1" si="85"/>
        <v>34</v>
      </c>
      <c r="T50" s="111" t="s">
        <v>364</v>
      </c>
      <c r="U50" s="111" t="s">
        <v>365</v>
      </c>
      <c r="V50" s="172">
        <v>702922445</v>
      </c>
      <c r="W50" s="111"/>
      <c r="X50" s="111" t="s">
        <v>181</v>
      </c>
      <c r="Y50" s="111">
        <v>11</v>
      </c>
      <c r="Z50" s="111" t="s">
        <v>235</v>
      </c>
      <c r="AA50" s="111" t="s">
        <v>261</v>
      </c>
      <c r="AB50" s="111" t="s">
        <v>236</v>
      </c>
      <c r="AC50" s="111" t="s">
        <v>146</v>
      </c>
      <c r="AD50" s="111" t="s">
        <v>147</v>
      </c>
      <c r="AE50" s="173" t="s">
        <v>136</v>
      </c>
      <c r="AF50" s="173" t="s">
        <v>136</v>
      </c>
      <c r="AG50" s="174">
        <v>45869</v>
      </c>
      <c r="AH50" s="175">
        <v>70000</v>
      </c>
      <c r="AI50" s="111">
        <v>15</v>
      </c>
      <c r="AJ50" s="111">
        <v>0</v>
      </c>
      <c r="AK50" s="150">
        <f t="shared" si="80"/>
        <v>15</v>
      </c>
      <c r="AL50" s="177">
        <v>70000</v>
      </c>
      <c r="AM50" s="176">
        <v>0.16</v>
      </c>
      <c r="AN50" s="177">
        <f t="shared" si="92"/>
        <v>11200</v>
      </c>
      <c r="AO50" s="157">
        <f t="shared" si="96"/>
        <v>81200</v>
      </c>
      <c r="AP50" s="158">
        <f t="shared" si="3"/>
        <v>5413.333333333333</v>
      </c>
      <c r="AQ50" s="111" t="s">
        <v>136</v>
      </c>
      <c r="AR50" s="111" t="s">
        <v>170</v>
      </c>
      <c r="AS50" s="111" t="s">
        <v>365</v>
      </c>
      <c r="AT50" s="111" t="s">
        <v>366</v>
      </c>
      <c r="AU50" s="111" t="s">
        <v>364</v>
      </c>
      <c r="AV50" s="111">
        <v>5</v>
      </c>
      <c r="AW50" s="111" t="s">
        <v>136</v>
      </c>
      <c r="AX50" s="111" t="s">
        <v>136</v>
      </c>
      <c r="AY50" s="111" t="s">
        <v>136</v>
      </c>
      <c r="AZ50" s="111" t="s">
        <v>136</v>
      </c>
      <c r="BA50" s="111" t="s">
        <v>136</v>
      </c>
      <c r="BB50" s="111" t="s">
        <v>136</v>
      </c>
      <c r="BC50" s="111" t="s">
        <v>136</v>
      </c>
      <c r="BD50" s="111" t="s">
        <v>136</v>
      </c>
      <c r="BE50" s="111" t="s">
        <v>136</v>
      </c>
      <c r="BF50" s="111" t="s">
        <v>136</v>
      </c>
      <c r="BG50" s="111" t="s">
        <v>136</v>
      </c>
      <c r="BH50" s="111" t="s">
        <v>136</v>
      </c>
      <c r="BI50" s="111" t="s">
        <v>136</v>
      </c>
      <c r="BJ50" s="111" t="s">
        <v>136</v>
      </c>
      <c r="BK50" s="111" t="s">
        <v>136</v>
      </c>
      <c r="BL50" s="111" t="s">
        <v>136</v>
      </c>
      <c r="BM50" s="111" t="s">
        <v>136</v>
      </c>
      <c r="BN50" s="111" t="s">
        <v>136</v>
      </c>
      <c r="BO50" s="111" t="s">
        <v>136</v>
      </c>
      <c r="BP50" s="111" t="s">
        <v>673</v>
      </c>
      <c r="BQ50" s="111" t="s">
        <v>674</v>
      </c>
      <c r="BR50" s="111" t="s">
        <v>297</v>
      </c>
      <c r="BS50" s="111" t="s">
        <v>675</v>
      </c>
      <c r="BT50" s="182" t="s">
        <v>676</v>
      </c>
      <c r="BU50" s="111" t="s">
        <v>364</v>
      </c>
      <c r="BV50" s="111" t="s">
        <v>365</v>
      </c>
      <c r="BW50" s="111"/>
      <c r="BX50" s="111"/>
      <c r="BY50" s="111"/>
      <c r="BZ50" s="111"/>
      <c r="CA50" s="111"/>
      <c r="CB50" s="111"/>
      <c r="CC50" s="178"/>
      <c r="CD50" s="177">
        <f t="shared" si="4"/>
        <v>70000</v>
      </c>
      <c r="CE50" s="148">
        <v>45978</v>
      </c>
      <c r="CF50" s="111">
        <f t="shared" si="5"/>
        <v>15</v>
      </c>
      <c r="CG50" s="177">
        <f t="shared" si="6"/>
        <v>81200</v>
      </c>
      <c r="CH50" s="203">
        <f t="shared" si="95"/>
        <v>0</v>
      </c>
      <c r="CI50" s="148">
        <v>45978</v>
      </c>
      <c r="CJ50" s="161">
        <f t="shared" si="81"/>
        <v>46008</v>
      </c>
      <c r="CK50" s="162">
        <f t="shared" si="82"/>
        <v>46435</v>
      </c>
      <c r="CL50" s="183"/>
      <c r="CM50" s="164">
        <f t="shared" ca="1" si="8"/>
        <v>46054</v>
      </c>
      <c r="CN50" s="165">
        <f t="shared" si="9"/>
        <v>46008</v>
      </c>
      <c r="CO50" s="109">
        <f t="shared" si="10"/>
        <v>4663.7931034482754</v>
      </c>
      <c r="CP50" s="109">
        <f t="shared" si="11"/>
        <v>746.20689655172418</v>
      </c>
      <c r="CQ50" s="109">
        <v>5410</v>
      </c>
      <c r="CR50" s="109">
        <f t="shared" si="12"/>
        <v>-3.3333333333330302</v>
      </c>
      <c r="CS50" s="166">
        <v>46009</v>
      </c>
      <c r="CT50" s="167">
        <f t="shared" si="13"/>
        <v>1</v>
      </c>
      <c r="CU50" s="165">
        <f t="shared" si="14"/>
        <v>46039</v>
      </c>
      <c r="CV50" s="109">
        <f t="shared" si="15"/>
        <v>0</v>
      </c>
      <c r="CW50" s="109">
        <f t="shared" si="16"/>
        <v>0</v>
      </c>
      <c r="CX50" s="109"/>
      <c r="CY50" s="109">
        <f t="shared" si="17"/>
        <v>0</v>
      </c>
      <c r="CZ50" s="166">
        <f t="shared" ca="1" si="107"/>
        <v>46054</v>
      </c>
      <c r="DA50" s="167">
        <f t="shared" ca="1" si="18"/>
        <v>15</v>
      </c>
      <c r="DB50" s="165">
        <f t="shared" si="19"/>
        <v>46070</v>
      </c>
      <c r="DC50" s="109">
        <f t="shared" si="20"/>
        <v>0</v>
      </c>
      <c r="DD50" s="109">
        <f t="shared" si="21"/>
        <v>0</v>
      </c>
      <c r="DE50" s="109"/>
      <c r="DF50" s="109">
        <f t="shared" si="22"/>
        <v>0</v>
      </c>
      <c r="DG50" s="166">
        <f t="shared" ca="1" si="106"/>
        <v>46054</v>
      </c>
      <c r="DH50" s="167">
        <f t="shared" ca="1" si="23"/>
        <v>0</v>
      </c>
      <c r="DI50" s="165">
        <f t="shared" si="24"/>
        <v>46098</v>
      </c>
      <c r="DJ50" s="109">
        <f t="shared" si="25"/>
        <v>0</v>
      </c>
      <c r="DK50" s="109">
        <f t="shared" si="26"/>
        <v>0</v>
      </c>
      <c r="DL50" s="109">
        <v>0</v>
      </c>
      <c r="DM50" s="109">
        <f t="shared" si="27"/>
        <v>0</v>
      </c>
      <c r="DN50" s="166">
        <f t="shared" ca="1" si="87"/>
        <v>46054</v>
      </c>
      <c r="DO50" s="167">
        <f t="shared" ca="1" si="28"/>
        <v>0</v>
      </c>
      <c r="DP50" s="165">
        <f t="shared" si="93"/>
        <v>46129</v>
      </c>
      <c r="DQ50" s="109">
        <f t="shared" si="29"/>
        <v>0</v>
      </c>
      <c r="DR50" s="109">
        <f t="shared" si="94"/>
        <v>0</v>
      </c>
      <c r="DS50" s="109"/>
      <c r="DT50" s="109">
        <f t="shared" si="30"/>
        <v>0</v>
      </c>
      <c r="DU50" s="166">
        <f t="shared" ca="1" si="88"/>
        <v>46054</v>
      </c>
      <c r="DV50" s="167">
        <f t="shared" ca="1" si="31"/>
        <v>0</v>
      </c>
      <c r="DW50" s="165">
        <f t="shared" si="32"/>
        <v>46159</v>
      </c>
      <c r="DX50" s="109">
        <f t="shared" si="33"/>
        <v>0</v>
      </c>
      <c r="DY50" s="109">
        <f t="shared" si="34"/>
        <v>0</v>
      </c>
      <c r="DZ50" s="109"/>
      <c r="EA50" s="109">
        <f t="shared" si="35"/>
        <v>0</v>
      </c>
      <c r="EB50" s="166">
        <f t="shared" ca="1" si="89"/>
        <v>46054</v>
      </c>
      <c r="EC50" s="167">
        <f t="shared" ca="1" si="36"/>
        <v>0</v>
      </c>
      <c r="ED50" s="165">
        <f t="shared" si="37"/>
        <v>46190</v>
      </c>
      <c r="EE50" s="109">
        <f t="shared" si="38"/>
        <v>0</v>
      </c>
      <c r="EF50" s="109">
        <f t="shared" si="39"/>
        <v>0</v>
      </c>
      <c r="EG50" s="109"/>
      <c r="EH50" s="109">
        <f t="shared" si="40"/>
        <v>0</v>
      </c>
      <c r="EI50" s="166">
        <f t="shared" ca="1" si="90"/>
        <v>46054</v>
      </c>
      <c r="EJ50" s="167">
        <f t="shared" ca="1" si="41"/>
        <v>0</v>
      </c>
      <c r="EK50" s="165">
        <f t="shared" si="42"/>
        <v>46220</v>
      </c>
      <c r="EL50" s="109">
        <f t="shared" si="43"/>
        <v>0</v>
      </c>
      <c r="EM50" s="109">
        <f t="shared" si="44"/>
        <v>0</v>
      </c>
      <c r="EN50" s="109"/>
      <c r="EO50" s="109">
        <f t="shared" si="45"/>
        <v>0</v>
      </c>
      <c r="EP50" s="166">
        <f t="shared" ca="1" si="91"/>
        <v>46054</v>
      </c>
      <c r="EQ50" s="167">
        <f t="shared" ca="1" si="46"/>
        <v>0</v>
      </c>
      <c r="ER50" s="165">
        <f t="shared" si="47"/>
        <v>46251</v>
      </c>
      <c r="ES50" s="109">
        <f t="shared" si="48"/>
        <v>0</v>
      </c>
      <c r="ET50" s="109">
        <f t="shared" si="49"/>
        <v>0</v>
      </c>
      <c r="EU50" s="109"/>
      <c r="EV50" s="109"/>
      <c r="EW50" s="166"/>
      <c r="EX50" s="166"/>
      <c r="EY50" s="165">
        <f t="shared" si="50"/>
        <v>46282</v>
      </c>
      <c r="EZ50" s="109">
        <f t="shared" si="51"/>
        <v>0</v>
      </c>
      <c r="FA50" s="109">
        <f t="shared" si="52"/>
        <v>0</v>
      </c>
      <c r="FB50" s="109"/>
      <c r="FC50" s="109"/>
      <c r="FD50" s="166"/>
      <c r="FE50" s="166"/>
      <c r="FF50" s="165">
        <f t="shared" si="53"/>
        <v>46312</v>
      </c>
      <c r="FG50" s="109">
        <f t="shared" si="54"/>
        <v>0</v>
      </c>
      <c r="FH50" s="109">
        <f t="shared" si="55"/>
        <v>0</v>
      </c>
      <c r="FI50" s="109"/>
      <c r="FJ50" s="109"/>
      <c r="FK50" s="166"/>
      <c r="FL50" s="166"/>
      <c r="FM50" s="165">
        <f t="shared" si="56"/>
        <v>46343</v>
      </c>
      <c r="FN50" s="109">
        <f t="shared" si="57"/>
        <v>0</v>
      </c>
      <c r="FO50" s="109">
        <f t="shared" si="58"/>
        <v>0</v>
      </c>
      <c r="FP50" s="109"/>
      <c r="FQ50" s="109"/>
      <c r="FR50" s="166"/>
      <c r="FS50" s="166"/>
      <c r="FT50" s="165"/>
      <c r="FU50" s="109">
        <f>FW50-FV50</f>
        <v>0</v>
      </c>
      <c r="FV50" s="109">
        <f>FW50/(1+AM50)*AM50</f>
        <v>0</v>
      </c>
      <c r="FW50" s="109"/>
      <c r="FX50" s="109"/>
      <c r="FY50" s="166"/>
      <c r="FZ50" s="166"/>
      <c r="GA50" s="165"/>
      <c r="GB50" s="109">
        <f>GD50-GC50</f>
        <v>0</v>
      </c>
      <c r="GC50" s="109">
        <f>GD50/(1+AM50)*AM50</f>
        <v>0</v>
      </c>
      <c r="GD50" s="109"/>
      <c r="GE50" s="109"/>
      <c r="GF50" s="166"/>
      <c r="GG50" s="166"/>
      <c r="GH50" s="165"/>
      <c r="GI50" s="109">
        <f>GK50-GJ50</f>
        <v>0</v>
      </c>
      <c r="GJ50" s="109">
        <f>GK50/(1+AM50)*AM50</f>
        <v>0</v>
      </c>
      <c r="GK50" s="109"/>
      <c r="GL50" s="109"/>
      <c r="GM50" s="166"/>
      <c r="GN50" s="166"/>
      <c r="GO50" s="165"/>
      <c r="GP50" s="109">
        <f>GR50-GQ50</f>
        <v>0</v>
      </c>
      <c r="GQ50" s="109">
        <f>GR50/(1+AM50)*AM50</f>
        <v>0</v>
      </c>
      <c r="GR50" s="109"/>
      <c r="GS50" s="109"/>
      <c r="GT50" s="166"/>
      <c r="GU50" s="166"/>
      <c r="GV50" s="165"/>
      <c r="GW50" s="168">
        <f>GY50-GX50</f>
        <v>0</v>
      </c>
      <c r="GX50" s="168">
        <f>GY50/(1+AM50)*AM50</f>
        <v>0</v>
      </c>
      <c r="GY50" s="168"/>
      <c r="GZ50" s="168"/>
      <c r="HA50" s="166"/>
      <c r="HB50" s="166"/>
      <c r="HC50" s="165"/>
      <c r="HD50" s="109">
        <f>HF50-HE50</f>
        <v>0</v>
      </c>
      <c r="HE50" s="109">
        <f>HF50/(1+AM50)*AM50</f>
        <v>0</v>
      </c>
      <c r="HF50" s="109"/>
      <c r="HG50" s="109"/>
      <c r="HH50" s="166"/>
      <c r="HI50" s="166"/>
      <c r="HJ50" s="165"/>
      <c r="HK50" s="109">
        <f>HM50-HL50</f>
        <v>0</v>
      </c>
      <c r="HL50" s="109">
        <f>HM50/(1+AM50)*AM50</f>
        <v>0</v>
      </c>
      <c r="HM50" s="109"/>
      <c r="HN50" s="109"/>
      <c r="HO50" s="166"/>
      <c r="HP50" s="166"/>
      <c r="HQ50" s="165"/>
      <c r="HR50" s="109">
        <f>HT50-HS50</f>
        <v>0</v>
      </c>
      <c r="HS50" s="109">
        <f>HT50/(1+AM50)*AM50</f>
        <v>0</v>
      </c>
      <c r="HT50" s="109"/>
      <c r="HU50" s="109"/>
      <c r="HV50" s="166"/>
      <c r="HW50" s="166"/>
      <c r="HX50" s="105">
        <f t="shared" si="86"/>
        <v>4663.7931034482754</v>
      </c>
      <c r="HY50" s="105">
        <f t="shared" si="83"/>
        <v>746.20689655172418</v>
      </c>
      <c r="HZ50" s="105">
        <f t="shared" si="83"/>
        <v>5410</v>
      </c>
      <c r="IA50" s="105">
        <f t="shared" si="68"/>
        <v>0</v>
      </c>
      <c r="IB50" s="109">
        <f t="shared" si="69"/>
        <v>75790</v>
      </c>
      <c r="IC50" s="109">
        <f t="shared" si="70"/>
        <v>65336.206896551725</v>
      </c>
      <c r="ID50" s="109">
        <f t="shared" si="71"/>
        <v>0</v>
      </c>
      <c r="IE50" s="109">
        <f t="shared" ca="1" si="72"/>
        <v>16</v>
      </c>
      <c r="IF50" s="139">
        <f t="shared" si="73"/>
        <v>0.99938423645320207</v>
      </c>
      <c r="IG50" s="139">
        <f t="shared" ca="1" si="74"/>
        <v>46</v>
      </c>
      <c r="IH50" s="169">
        <f t="shared" ca="1" si="75"/>
        <v>1.5333333333333334</v>
      </c>
      <c r="II50" s="139">
        <f t="shared" ca="1" si="76"/>
        <v>0.53394909688013137</v>
      </c>
      <c r="IJ50" s="169">
        <f t="shared" ca="1" si="77"/>
        <v>16.01847290640394</v>
      </c>
      <c r="IK50" s="169">
        <f t="shared" ca="1" si="84"/>
        <v>0.53394909688013137</v>
      </c>
      <c r="IL50" s="170">
        <f t="shared" ca="1" si="78"/>
        <v>2890.4444444444443</v>
      </c>
      <c r="IM50" s="171"/>
      <c r="IN50" s="171"/>
      <c r="IO50" s="171"/>
      <c r="IP50" s="171"/>
    </row>
    <row r="51" spans="1:250" ht="15" customHeight="1" thickBot="1" x14ac:dyDescent="0.35">
      <c r="A51" s="110">
        <f t="shared" si="79"/>
        <v>47</v>
      </c>
      <c r="B51" s="111" t="s">
        <v>170</v>
      </c>
      <c r="C51" s="111" t="s">
        <v>171</v>
      </c>
      <c r="D51" s="111">
        <v>102</v>
      </c>
      <c r="E51" s="111" t="s">
        <v>253</v>
      </c>
      <c r="F51" s="111"/>
      <c r="G51" s="111" t="s">
        <v>677</v>
      </c>
      <c r="H51" s="111">
        <v>1021100159</v>
      </c>
      <c r="I51" s="146" t="str">
        <f t="shared" si="0"/>
        <v>1100159</v>
      </c>
      <c r="J51" s="145" t="str">
        <f t="shared" si="1"/>
        <v>KN1100159</v>
      </c>
      <c r="K51" s="111" t="s">
        <v>678</v>
      </c>
      <c r="L51" s="111" t="s">
        <v>136</v>
      </c>
      <c r="M51" s="111" t="s">
        <v>679</v>
      </c>
      <c r="N51" s="111" t="s">
        <v>138</v>
      </c>
      <c r="O51" s="111"/>
      <c r="P51" s="111" t="s">
        <v>680</v>
      </c>
      <c r="Q51" s="148">
        <v>38722</v>
      </c>
      <c r="R51" s="111" t="s">
        <v>170</v>
      </c>
      <c r="S51" s="111">
        <f t="shared" ca="1" si="85"/>
        <v>20</v>
      </c>
      <c r="T51" s="111" t="s">
        <v>681</v>
      </c>
      <c r="U51" s="111" t="s">
        <v>682</v>
      </c>
      <c r="V51" s="172">
        <v>765603891</v>
      </c>
      <c r="W51" s="111"/>
      <c r="X51" s="111" t="s">
        <v>181</v>
      </c>
      <c r="Y51" s="111">
        <v>11</v>
      </c>
      <c r="Z51" s="111" t="s">
        <v>377</v>
      </c>
      <c r="AA51" s="111" t="s">
        <v>378</v>
      </c>
      <c r="AB51" s="111" t="s">
        <v>379</v>
      </c>
      <c r="AC51" s="111" t="s">
        <v>146</v>
      </c>
      <c r="AD51" s="111" t="s">
        <v>147</v>
      </c>
      <c r="AE51" s="173" t="s">
        <v>136</v>
      </c>
      <c r="AF51" s="173" t="s">
        <v>136</v>
      </c>
      <c r="AG51" s="174">
        <v>45896</v>
      </c>
      <c r="AH51" s="175">
        <v>20000</v>
      </c>
      <c r="AI51" s="111">
        <v>12</v>
      </c>
      <c r="AJ51" s="111">
        <v>0</v>
      </c>
      <c r="AK51" s="150">
        <f t="shared" si="80"/>
        <v>12</v>
      </c>
      <c r="AL51" s="177">
        <v>20000</v>
      </c>
      <c r="AM51" s="176">
        <v>0.16</v>
      </c>
      <c r="AN51" s="177">
        <f t="shared" si="92"/>
        <v>3200</v>
      </c>
      <c r="AO51" s="157">
        <f t="shared" si="96"/>
        <v>23200</v>
      </c>
      <c r="AP51" s="158">
        <f t="shared" si="3"/>
        <v>1933.3333333333333</v>
      </c>
      <c r="AQ51" s="111" t="s">
        <v>136</v>
      </c>
      <c r="AR51" s="111" t="s">
        <v>170</v>
      </c>
      <c r="AS51" s="111" t="s">
        <v>682</v>
      </c>
      <c r="AT51" s="111" t="s">
        <v>683</v>
      </c>
      <c r="AU51" s="111" t="s">
        <v>681</v>
      </c>
      <c r="AV51" s="111">
        <v>6</v>
      </c>
      <c r="AW51" s="111" t="s">
        <v>136</v>
      </c>
      <c r="AX51" s="111" t="s">
        <v>136</v>
      </c>
      <c r="AY51" s="111" t="s">
        <v>136</v>
      </c>
      <c r="AZ51" s="111" t="s">
        <v>136</v>
      </c>
      <c r="BA51" s="111" t="s">
        <v>136</v>
      </c>
      <c r="BB51" s="111" t="s">
        <v>136</v>
      </c>
      <c r="BC51" s="111" t="s">
        <v>136</v>
      </c>
      <c r="BD51" s="111" t="s">
        <v>136</v>
      </c>
      <c r="BE51" s="111" t="s">
        <v>136</v>
      </c>
      <c r="BF51" s="111" t="s">
        <v>136</v>
      </c>
      <c r="BG51" s="111" t="s">
        <v>136</v>
      </c>
      <c r="BH51" s="111" t="s">
        <v>136</v>
      </c>
      <c r="BI51" s="111" t="s">
        <v>136</v>
      </c>
      <c r="BJ51" s="111" t="s">
        <v>136</v>
      </c>
      <c r="BK51" s="111" t="s">
        <v>136</v>
      </c>
      <c r="BL51" s="111" t="s">
        <v>136</v>
      </c>
      <c r="BM51" s="111" t="s">
        <v>136</v>
      </c>
      <c r="BN51" s="111" t="s">
        <v>136</v>
      </c>
      <c r="BO51" s="111" t="s">
        <v>136</v>
      </c>
      <c r="BP51" s="111" t="s">
        <v>684</v>
      </c>
      <c r="BQ51" s="111" t="s">
        <v>685</v>
      </c>
      <c r="BR51" s="111" t="s">
        <v>686</v>
      </c>
      <c r="BS51" s="111" t="s">
        <v>687</v>
      </c>
      <c r="BT51" s="182" t="s">
        <v>688</v>
      </c>
      <c r="BU51" s="111" t="s">
        <v>681</v>
      </c>
      <c r="BV51" s="111" t="s">
        <v>682</v>
      </c>
      <c r="BW51" s="111"/>
      <c r="BX51" s="111"/>
      <c r="BY51" s="111"/>
      <c r="BZ51" s="111"/>
      <c r="CA51" s="111"/>
      <c r="CB51" s="111"/>
      <c r="CC51" s="178"/>
      <c r="CD51" s="177">
        <f t="shared" si="4"/>
        <v>20000</v>
      </c>
      <c r="CE51" s="148">
        <v>45978</v>
      </c>
      <c r="CF51" s="111">
        <f t="shared" si="5"/>
        <v>12</v>
      </c>
      <c r="CG51" s="177">
        <f t="shared" si="6"/>
        <v>23200</v>
      </c>
      <c r="CH51" s="203">
        <f t="shared" si="95"/>
        <v>0</v>
      </c>
      <c r="CI51" s="148">
        <v>45978</v>
      </c>
      <c r="CJ51" s="161">
        <f t="shared" si="81"/>
        <v>46008</v>
      </c>
      <c r="CK51" s="162">
        <f t="shared" si="82"/>
        <v>46343</v>
      </c>
      <c r="CL51" s="183"/>
      <c r="CM51" s="164">
        <f t="shared" ca="1" si="8"/>
        <v>46054</v>
      </c>
      <c r="CN51" s="165">
        <f t="shared" si="9"/>
        <v>46008</v>
      </c>
      <c r="CO51" s="109">
        <f t="shared" si="10"/>
        <v>1672.4137931034484</v>
      </c>
      <c r="CP51" s="109">
        <f t="shared" si="11"/>
        <v>267.58620689655174</v>
      </c>
      <c r="CQ51" s="109">
        <v>1940</v>
      </c>
      <c r="CR51" s="109">
        <f t="shared" si="12"/>
        <v>6.6666666666667425</v>
      </c>
      <c r="CS51" s="166">
        <v>46015</v>
      </c>
      <c r="CT51" s="167">
        <f t="shared" si="13"/>
        <v>7</v>
      </c>
      <c r="CU51" s="165">
        <f t="shared" si="14"/>
        <v>46039</v>
      </c>
      <c r="CV51" s="109">
        <f t="shared" si="15"/>
        <v>0</v>
      </c>
      <c r="CW51" s="109">
        <f t="shared" si="16"/>
        <v>0</v>
      </c>
      <c r="CX51" s="109"/>
      <c r="CY51" s="109">
        <f t="shared" si="17"/>
        <v>0</v>
      </c>
      <c r="CZ51" s="166">
        <f t="shared" ca="1" si="107"/>
        <v>46054</v>
      </c>
      <c r="DA51" s="167">
        <f t="shared" ca="1" si="18"/>
        <v>15</v>
      </c>
      <c r="DB51" s="165">
        <f t="shared" si="19"/>
        <v>46070</v>
      </c>
      <c r="DC51" s="109">
        <f t="shared" si="20"/>
        <v>0</v>
      </c>
      <c r="DD51" s="109">
        <f t="shared" si="21"/>
        <v>0</v>
      </c>
      <c r="DE51" s="109"/>
      <c r="DF51" s="109">
        <f t="shared" si="22"/>
        <v>0</v>
      </c>
      <c r="DG51" s="166">
        <f t="shared" ca="1" si="106"/>
        <v>46054</v>
      </c>
      <c r="DH51" s="167">
        <f t="shared" ca="1" si="23"/>
        <v>0</v>
      </c>
      <c r="DI51" s="165">
        <f t="shared" si="24"/>
        <v>46098</v>
      </c>
      <c r="DJ51" s="109">
        <f t="shared" si="25"/>
        <v>0</v>
      </c>
      <c r="DK51" s="109">
        <f t="shared" si="26"/>
        <v>0</v>
      </c>
      <c r="DL51" s="109">
        <v>0</v>
      </c>
      <c r="DM51" s="109">
        <f t="shared" si="27"/>
        <v>0</v>
      </c>
      <c r="DN51" s="166">
        <f t="shared" ca="1" si="87"/>
        <v>46054</v>
      </c>
      <c r="DO51" s="167">
        <f t="shared" ca="1" si="28"/>
        <v>0</v>
      </c>
      <c r="DP51" s="165">
        <f t="shared" si="93"/>
        <v>46129</v>
      </c>
      <c r="DQ51" s="109">
        <f t="shared" si="29"/>
        <v>0</v>
      </c>
      <c r="DR51" s="109">
        <f t="shared" si="94"/>
        <v>0</v>
      </c>
      <c r="DS51" s="109"/>
      <c r="DT51" s="109">
        <f t="shared" si="30"/>
        <v>0</v>
      </c>
      <c r="DU51" s="166">
        <f t="shared" ca="1" si="88"/>
        <v>46054</v>
      </c>
      <c r="DV51" s="167">
        <f t="shared" ca="1" si="31"/>
        <v>0</v>
      </c>
      <c r="DW51" s="165">
        <f t="shared" si="32"/>
        <v>46159</v>
      </c>
      <c r="DX51" s="109">
        <f t="shared" si="33"/>
        <v>0</v>
      </c>
      <c r="DY51" s="109">
        <f t="shared" si="34"/>
        <v>0</v>
      </c>
      <c r="DZ51" s="109"/>
      <c r="EA51" s="109">
        <f t="shared" si="35"/>
        <v>0</v>
      </c>
      <c r="EB51" s="166">
        <f t="shared" ca="1" si="89"/>
        <v>46054</v>
      </c>
      <c r="EC51" s="167">
        <f t="shared" ca="1" si="36"/>
        <v>0</v>
      </c>
      <c r="ED51" s="165">
        <f t="shared" si="37"/>
        <v>46190</v>
      </c>
      <c r="EE51" s="109">
        <f t="shared" si="38"/>
        <v>0</v>
      </c>
      <c r="EF51" s="109">
        <f t="shared" si="39"/>
        <v>0</v>
      </c>
      <c r="EG51" s="109"/>
      <c r="EH51" s="109">
        <f t="shared" si="40"/>
        <v>0</v>
      </c>
      <c r="EI51" s="166">
        <f t="shared" ca="1" si="90"/>
        <v>46054</v>
      </c>
      <c r="EJ51" s="167">
        <f t="shared" ca="1" si="41"/>
        <v>0</v>
      </c>
      <c r="EK51" s="165">
        <f t="shared" si="42"/>
        <v>46220</v>
      </c>
      <c r="EL51" s="109">
        <f t="shared" si="43"/>
        <v>0</v>
      </c>
      <c r="EM51" s="109">
        <f t="shared" si="44"/>
        <v>0</v>
      </c>
      <c r="EN51" s="109"/>
      <c r="EO51" s="109">
        <f t="shared" si="45"/>
        <v>0</v>
      </c>
      <c r="EP51" s="166">
        <f t="shared" ca="1" si="91"/>
        <v>46054</v>
      </c>
      <c r="EQ51" s="167">
        <f t="shared" ca="1" si="46"/>
        <v>0</v>
      </c>
      <c r="ER51" s="165">
        <f t="shared" si="47"/>
        <v>46251</v>
      </c>
      <c r="ES51" s="109">
        <f t="shared" si="48"/>
        <v>0</v>
      </c>
      <c r="ET51" s="109">
        <f t="shared" si="49"/>
        <v>0</v>
      </c>
      <c r="EU51" s="109"/>
      <c r="EV51" s="109"/>
      <c r="EW51" s="166"/>
      <c r="EX51" s="166"/>
      <c r="EY51" s="165">
        <f t="shared" si="50"/>
        <v>46282</v>
      </c>
      <c r="EZ51" s="109">
        <f t="shared" si="51"/>
        <v>0</v>
      </c>
      <c r="FA51" s="109">
        <f t="shared" si="52"/>
        <v>0</v>
      </c>
      <c r="FB51" s="109"/>
      <c r="FC51" s="109"/>
      <c r="FD51" s="166"/>
      <c r="FE51" s="166"/>
      <c r="FF51" s="165">
        <f t="shared" si="53"/>
        <v>46312</v>
      </c>
      <c r="FG51" s="109">
        <f t="shared" si="54"/>
        <v>0</v>
      </c>
      <c r="FH51" s="109">
        <f t="shared" si="55"/>
        <v>0</v>
      </c>
      <c r="FI51" s="109"/>
      <c r="FJ51" s="109"/>
      <c r="FK51" s="166"/>
      <c r="FL51" s="166"/>
      <c r="FM51" s="165">
        <f t="shared" si="56"/>
        <v>46343</v>
      </c>
      <c r="FN51" s="109">
        <f t="shared" si="57"/>
        <v>0</v>
      </c>
      <c r="FO51" s="109">
        <f t="shared" si="58"/>
        <v>0</v>
      </c>
      <c r="FP51" s="109"/>
      <c r="FQ51" s="109"/>
      <c r="FR51" s="166"/>
      <c r="FS51" s="166"/>
      <c r="FT51" s="165"/>
      <c r="FU51" s="109"/>
      <c r="FV51" s="109"/>
      <c r="FW51" s="109"/>
      <c r="FX51" s="109"/>
      <c r="FY51" s="166"/>
      <c r="FZ51" s="166"/>
      <c r="GA51" s="165"/>
      <c r="GB51" s="109"/>
      <c r="GC51" s="109"/>
      <c r="GD51" s="109"/>
      <c r="GE51" s="109"/>
      <c r="GF51" s="166"/>
      <c r="GG51" s="166"/>
      <c r="GH51" s="165"/>
      <c r="GI51" s="109"/>
      <c r="GJ51" s="109"/>
      <c r="GK51" s="109"/>
      <c r="GL51" s="109"/>
      <c r="GM51" s="166"/>
      <c r="GN51" s="166"/>
      <c r="GO51" s="165"/>
      <c r="GP51" s="109"/>
      <c r="GQ51" s="109"/>
      <c r="GR51" s="109"/>
      <c r="GS51" s="109"/>
      <c r="GT51" s="166"/>
      <c r="GU51" s="166"/>
      <c r="GV51" s="165"/>
      <c r="GW51" s="168"/>
      <c r="GX51" s="168"/>
      <c r="GY51" s="168"/>
      <c r="GZ51" s="168"/>
      <c r="HA51" s="166"/>
      <c r="HB51" s="166"/>
      <c r="HC51" s="165"/>
      <c r="HD51" s="109"/>
      <c r="HE51" s="109"/>
      <c r="HF51" s="109"/>
      <c r="HG51" s="109"/>
      <c r="HH51" s="166"/>
      <c r="HI51" s="166"/>
      <c r="HJ51" s="165"/>
      <c r="HK51" s="109"/>
      <c r="HL51" s="109"/>
      <c r="HM51" s="109"/>
      <c r="HN51" s="109"/>
      <c r="HO51" s="166"/>
      <c r="HP51" s="166"/>
      <c r="HQ51" s="165"/>
      <c r="HR51" s="109"/>
      <c r="HS51" s="109"/>
      <c r="HT51" s="109"/>
      <c r="HU51" s="109"/>
      <c r="HV51" s="166"/>
      <c r="HW51" s="166"/>
      <c r="HX51" s="105">
        <f t="shared" si="86"/>
        <v>1672.4137931034484</v>
      </c>
      <c r="HY51" s="105">
        <f t="shared" si="83"/>
        <v>267.58620689655174</v>
      </c>
      <c r="HZ51" s="105">
        <f t="shared" si="83"/>
        <v>1940</v>
      </c>
      <c r="IA51" s="105">
        <f t="shared" si="68"/>
        <v>0</v>
      </c>
      <c r="IB51" s="109">
        <f t="shared" si="69"/>
        <v>21260</v>
      </c>
      <c r="IC51" s="109">
        <f t="shared" si="70"/>
        <v>18327.586206896551</v>
      </c>
      <c r="ID51" s="109">
        <f t="shared" si="71"/>
        <v>0</v>
      </c>
      <c r="IE51" s="109">
        <f t="shared" ca="1" si="72"/>
        <v>22</v>
      </c>
      <c r="IF51" s="139">
        <f t="shared" si="73"/>
        <v>1.0034482758620691</v>
      </c>
      <c r="IG51" s="139">
        <f t="shared" ca="1" si="74"/>
        <v>46</v>
      </c>
      <c r="IH51" s="169">
        <f t="shared" ca="1" si="75"/>
        <v>1.5333333333333334</v>
      </c>
      <c r="II51" s="139">
        <f t="shared" ca="1" si="76"/>
        <v>0.52988505747126435</v>
      </c>
      <c r="IJ51" s="169">
        <f t="shared" ca="1" si="77"/>
        <v>15.896551724137931</v>
      </c>
      <c r="IK51" s="169">
        <f t="shared" ca="1" si="84"/>
        <v>0.52988505747126435</v>
      </c>
      <c r="IL51" s="170">
        <f t="shared" ca="1" si="78"/>
        <v>1024.4444444444443</v>
      </c>
      <c r="IM51" s="171"/>
      <c r="IN51" s="171"/>
      <c r="IO51" s="171"/>
      <c r="IP51" s="171"/>
    </row>
    <row r="52" spans="1:250" ht="15" thickBot="1" x14ac:dyDescent="0.35">
      <c r="A52" s="110">
        <f t="shared" si="79"/>
        <v>48</v>
      </c>
      <c r="B52" s="185" t="s">
        <v>170</v>
      </c>
      <c r="C52" s="111" t="s">
        <v>171</v>
      </c>
      <c r="D52" s="111">
        <v>102</v>
      </c>
      <c r="E52" s="111" t="s">
        <v>253</v>
      </c>
      <c r="F52" s="185"/>
      <c r="G52" s="185" t="s">
        <v>689</v>
      </c>
      <c r="H52" s="111">
        <v>1021100160</v>
      </c>
      <c r="I52" s="146" t="str">
        <f t="shared" si="0"/>
        <v>1100160</v>
      </c>
      <c r="J52" s="145" t="str">
        <f t="shared" si="1"/>
        <v>KN1100160</v>
      </c>
      <c r="K52" s="185" t="s">
        <v>690</v>
      </c>
      <c r="L52" s="185" t="s">
        <v>691</v>
      </c>
      <c r="M52" s="185" t="s">
        <v>692</v>
      </c>
      <c r="N52" s="185" t="s">
        <v>138</v>
      </c>
      <c r="O52" s="185"/>
      <c r="P52" s="185" t="s">
        <v>693</v>
      </c>
      <c r="Q52" s="148">
        <v>36001</v>
      </c>
      <c r="R52" s="111" t="s">
        <v>170</v>
      </c>
      <c r="S52" s="111">
        <f t="shared" ca="1" si="85"/>
        <v>27</v>
      </c>
      <c r="T52" s="185" t="s">
        <v>694</v>
      </c>
      <c r="U52" s="185" t="s">
        <v>695</v>
      </c>
      <c r="V52" s="186">
        <v>772200510</v>
      </c>
      <c r="W52" s="185"/>
      <c r="X52" s="185" t="s">
        <v>181</v>
      </c>
      <c r="Y52" s="111">
        <v>11</v>
      </c>
      <c r="Z52" s="185" t="s">
        <v>456</v>
      </c>
      <c r="AA52" s="111" t="s">
        <v>457</v>
      </c>
      <c r="AB52" s="111" t="s">
        <v>458</v>
      </c>
      <c r="AC52" s="111" t="s">
        <v>146</v>
      </c>
      <c r="AD52" s="111" t="s">
        <v>147</v>
      </c>
      <c r="AE52" s="173" t="s">
        <v>136</v>
      </c>
      <c r="AF52" s="173" t="s">
        <v>136</v>
      </c>
      <c r="AG52" s="153">
        <v>45969</v>
      </c>
      <c r="AH52" s="187">
        <v>50000</v>
      </c>
      <c r="AI52" s="185">
        <v>12</v>
      </c>
      <c r="AJ52" s="111">
        <v>0</v>
      </c>
      <c r="AK52" s="150">
        <f t="shared" si="80"/>
        <v>12</v>
      </c>
      <c r="AL52" s="188">
        <v>50000</v>
      </c>
      <c r="AM52" s="189">
        <v>0.16</v>
      </c>
      <c r="AN52" s="177">
        <f t="shared" si="92"/>
        <v>8000</v>
      </c>
      <c r="AO52" s="157">
        <f t="shared" si="96"/>
        <v>58000</v>
      </c>
      <c r="AP52" s="158">
        <f t="shared" si="3"/>
        <v>4833.333333333333</v>
      </c>
      <c r="AQ52" s="185" t="s">
        <v>136</v>
      </c>
      <c r="AR52" s="185" t="s">
        <v>170</v>
      </c>
      <c r="AS52" s="185" t="s">
        <v>695</v>
      </c>
      <c r="AT52" s="185" t="s">
        <v>696</v>
      </c>
      <c r="AU52" s="185" t="s">
        <v>694</v>
      </c>
      <c r="AV52" s="185">
        <v>7</v>
      </c>
      <c r="AW52" s="111" t="s">
        <v>136</v>
      </c>
      <c r="AX52" s="111" t="s">
        <v>136</v>
      </c>
      <c r="AY52" s="111" t="s">
        <v>136</v>
      </c>
      <c r="AZ52" s="111" t="s">
        <v>136</v>
      </c>
      <c r="BA52" s="111" t="s">
        <v>136</v>
      </c>
      <c r="BB52" s="111" t="s">
        <v>136</v>
      </c>
      <c r="BC52" s="111" t="s">
        <v>136</v>
      </c>
      <c r="BD52" s="111" t="s">
        <v>136</v>
      </c>
      <c r="BE52" s="111" t="s">
        <v>136</v>
      </c>
      <c r="BF52" s="111" t="s">
        <v>136</v>
      </c>
      <c r="BG52" s="111" t="s">
        <v>136</v>
      </c>
      <c r="BH52" s="111" t="s">
        <v>136</v>
      </c>
      <c r="BI52" s="111" t="s">
        <v>136</v>
      </c>
      <c r="BJ52" s="111" t="s">
        <v>136</v>
      </c>
      <c r="BK52" s="111" t="s">
        <v>136</v>
      </c>
      <c r="BL52" s="111" t="s">
        <v>136</v>
      </c>
      <c r="BM52" s="111" t="s">
        <v>136</v>
      </c>
      <c r="BN52" s="111" t="s">
        <v>136</v>
      </c>
      <c r="BO52" s="111" t="s">
        <v>136</v>
      </c>
      <c r="BP52" s="185" t="s">
        <v>697</v>
      </c>
      <c r="BQ52" s="185" t="s">
        <v>287</v>
      </c>
      <c r="BR52" s="185" t="s">
        <v>698</v>
      </c>
      <c r="BS52" s="185" t="s">
        <v>699</v>
      </c>
      <c r="BT52" s="190" t="s">
        <v>700</v>
      </c>
      <c r="BU52" s="185" t="s">
        <v>694</v>
      </c>
      <c r="BV52" s="185" t="s">
        <v>695</v>
      </c>
      <c r="BW52" s="185"/>
      <c r="BX52" s="185"/>
      <c r="BY52" s="185"/>
      <c r="BZ52" s="185"/>
      <c r="CA52" s="185"/>
      <c r="CB52" s="185"/>
      <c r="CC52" s="191"/>
      <c r="CD52" s="177">
        <f t="shared" si="4"/>
        <v>50000</v>
      </c>
      <c r="CE52" s="148">
        <v>45977</v>
      </c>
      <c r="CF52" s="111">
        <f t="shared" si="5"/>
        <v>12</v>
      </c>
      <c r="CG52" s="177">
        <f t="shared" si="6"/>
        <v>58000</v>
      </c>
      <c r="CH52" s="203">
        <f t="shared" si="95"/>
        <v>0</v>
      </c>
      <c r="CI52" s="148">
        <v>45977</v>
      </c>
      <c r="CJ52" s="161">
        <f t="shared" si="81"/>
        <v>46007</v>
      </c>
      <c r="CK52" s="162">
        <f t="shared" si="82"/>
        <v>46342</v>
      </c>
      <c r="CL52" s="183"/>
      <c r="CM52" s="164">
        <f t="shared" ca="1" si="8"/>
        <v>46054</v>
      </c>
      <c r="CN52" s="165">
        <f t="shared" si="9"/>
        <v>46007</v>
      </c>
      <c r="CO52" s="109">
        <f t="shared" si="10"/>
        <v>4172.4137931034484</v>
      </c>
      <c r="CP52" s="109">
        <f t="shared" si="11"/>
        <v>667.58620689655174</v>
      </c>
      <c r="CQ52" s="109">
        <v>4840</v>
      </c>
      <c r="CR52" s="109">
        <f t="shared" si="12"/>
        <v>6.6666666666669698</v>
      </c>
      <c r="CS52" s="166">
        <v>46008</v>
      </c>
      <c r="CT52" s="167">
        <f t="shared" si="13"/>
        <v>1</v>
      </c>
      <c r="CU52" s="165">
        <f t="shared" si="14"/>
        <v>46038</v>
      </c>
      <c r="CV52" s="109">
        <f t="shared" si="15"/>
        <v>0</v>
      </c>
      <c r="CW52" s="109">
        <f t="shared" si="16"/>
        <v>0</v>
      </c>
      <c r="CX52" s="109"/>
      <c r="CY52" s="109">
        <f t="shared" si="17"/>
        <v>0</v>
      </c>
      <c r="CZ52" s="166">
        <f t="shared" ca="1" si="107"/>
        <v>46054</v>
      </c>
      <c r="DA52" s="167">
        <f t="shared" ca="1" si="18"/>
        <v>16</v>
      </c>
      <c r="DB52" s="165">
        <f t="shared" si="19"/>
        <v>46069</v>
      </c>
      <c r="DC52" s="109">
        <f t="shared" si="20"/>
        <v>0</v>
      </c>
      <c r="DD52" s="109">
        <f t="shared" si="21"/>
        <v>0</v>
      </c>
      <c r="DE52" s="109"/>
      <c r="DF52" s="109">
        <f t="shared" si="22"/>
        <v>0</v>
      </c>
      <c r="DG52" s="166">
        <f t="shared" ca="1" si="106"/>
        <v>46054</v>
      </c>
      <c r="DH52" s="167">
        <f t="shared" ca="1" si="23"/>
        <v>0</v>
      </c>
      <c r="DI52" s="165">
        <f t="shared" si="24"/>
        <v>46097</v>
      </c>
      <c r="DJ52" s="109">
        <f t="shared" si="25"/>
        <v>0</v>
      </c>
      <c r="DK52" s="109">
        <f t="shared" si="26"/>
        <v>0</v>
      </c>
      <c r="DL52" s="109">
        <v>0</v>
      </c>
      <c r="DM52" s="109">
        <f t="shared" si="27"/>
        <v>0</v>
      </c>
      <c r="DN52" s="166">
        <f t="shared" ca="1" si="87"/>
        <v>46054</v>
      </c>
      <c r="DO52" s="167">
        <f t="shared" ca="1" si="28"/>
        <v>0</v>
      </c>
      <c r="DP52" s="165">
        <f t="shared" si="93"/>
        <v>46128</v>
      </c>
      <c r="DQ52" s="109">
        <f t="shared" si="29"/>
        <v>0</v>
      </c>
      <c r="DR52" s="109">
        <f t="shared" si="94"/>
        <v>0</v>
      </c>
      <c r="DS52" s="109"/>
      <c r="DT52" s="109">
        <f t="shared" si="30"/>
        <v>0</v>
      </c>
      <c r="DU52" s="166">
        <f t="shared" ca="1" si="88"/>
        <v>46054</v>
      </c>
      <c r="DV52" s="167">
        <f t="shared" ca="1" si="31"/>
        <v>0</v>
      </c>
      <c r="DW52" s="165">
        <f t="shared" si="32"/>
        <v>46158</v>
      </c>
      <c r="DX52" s="109">
        <f t="shared" si="33"/>
        <v>0</v>
      </c>
      <c r="DY52" s="109">
        <f t="shared" si="34"/>
        <v>0</v>
      </c>
      <c r="DZ52" s="109"/>
      <c r="EA52" s="109">
        <f t="shared" si="35"/>
        <v>0</v>
      </c>
      <c r="EB52" s="166">
        <f t="shared" ca="1" si="89"/>
        <v>46054</v>
      </c>
      <c r="EC52" s="167">
        <f t="shared" ca="1" si="36"/>
        <v>0</v>
      </c>
      <c r="ED52" s="165">
        <f t="shared" si="37"/>
        <v>46189</v>
      </c>
      <c r="EE52" s="109">
        <f t="shared" si="38"/>
        <v>0</v>
      </c>
      <c r="EF52" s="109">
        <f t="shared" si="39"/>
        <v>0</v>
      </c>
      <c r="EG52" s="109"/>
      <c r="EH52" s="109">
        <f t="shared" si="40"/>
        <v>0</v>
      </c>
      <c r="EI52" s="166">
        <f t="shared" ca="1" si="90"/>
        <v>46054</v>
      </c>
      <c r="EJ52" s="167">
        <f t="shared" ca="1" si="41"/>
        <v>0</v>
      </c>
      <c r="EK52" s="165">
        <f t="shared" si="42"/>
        <v>46219</v>
      </c>
      <c r="EL52" s="109">
        <f t="shared" si="43"/>
        <v>0</v>
      </c>
      <c r="EM52" s="109">
        <f t="shared" si="44"/>
        <v>0</v>
      </c>
      <c r="EN52" s="109"/>
      <c r="EO52" s="109">
        <f t="shared" si="45"/>
        <v>0</v>
      </c>
      <c r="EP52" s="166">
        <f t="shared" ca="1" si="91"/>
        <v>46054</v>
      </c>
      <c r="EQ52" s="167">
        <f t="shared" ca="1" si="46"/>
        <v>0</v>
      </c>
      <c r="ER52" s="165">
        <f t="shared" si="47"/>
        <v>46250</v>
      </c>
      <c r="ES52" s="109">
        <f t="shared" si="48"/>
        <v>0</v>
      </c>
      <c r="ET52" s="109">
        <f t="shared" si="49"/>
        <v>0</v>
      </c>
      <c r="EU52" s="109"/>
      <c r="EV52" s="109"/>
      <c r="EW52" s="166"/>
      <c r="EX52" s="166"/>
      <c r="EY52" s="165">
        <f t="shared" si="50"/>
        <v>46281</v>
      </c>
      <c r="EZ52" s="109">
        <f t="shared" si="51"/>
        <v>0</v>
      </c>
      <c r="FA52" s="109">
        <f t="shared" si="52"/>
        <v>0</v>
      </c>
      <c r="FB52" s="109"/>
      <c r="FC52" s="109"/>
      <c r="FD52" s="166"/>
      <c r="FE52" s="166"/>
      <c r="FF52" s="165">
        <f t="shared" si="53"/>
        <v>46311</v>
      </c>
      <c r="FG52" s="109">
        <f t="shared" si="54"/>
        <v>0</v>
      </c>
      <c r="FH52" s="109">
        <f t="shared" si="55"/>
        <v>0</v>
      </c>
      <c r="FI52" s="109"/>
      <c r="FJ52" s="109"/>
      <c r="FK52" s="166"/>
      <c r="FL52" s="166"/>
      <c r="FM52" s="165">
        <f t="shared" si="56"/>
        <v>46342</v>
      </c>
      <c r="FN52" s="109">
        <f t="shared" si="57"/>
        <v>0</v>
      </c>
      <c r="FO52" s="109">
        <f t="shared" si="58"/>
        <v>0</v>
      </c>
      <c r="FP52" s="109"/>
      <c r="FQ52" s="109"/>
      <c r="FR52" s="166"/>
      <c r="FS52" s="166"/>
      <c r="FT52" s="165"/>
      <c r="FU52" s="109"/>
      <c r="FV52" s="109"/>
      <c r="FW52" s="109"/>
      <c r="FX52" s="109"/>
      <c r="FY52" s="166"/>
      <c r="FZ52" s="166"/>
      <c r="GA52" s="165"/>
      <c r="GB52" s="109"/>
      <c r="GC52" s="109"/>
      <c r="GD52" s="109"/>
      <c r="GE52" s="109"/>
      <c r="GF52" s="166"/>
      <c r="GG52" s="166"/>
      <c r="GH52" s="165"/>
      <c r="GI52" s="109"/>
      <c r="GJ52" s="109"/>
      <c r="GK52" s="109"/>
      <c r="GL52" s="109"/>
      <c r="GM52" s="166"/>
      <c r="GN52" s="166"/>
      <c r="GO52" s="165"/>
      <c r="GP52" s="109"/>
      <c r="GQ52" s="109"/>
      <c r="GR52" s="109"/>
      <c r="GS52" s="109"/>
      <c r="GT52" s="166"/>
      <c r="GU52" s="166"/>
      <c r="GV52" s="165"/>
      <c r="GW52" s="168"/>
      <c r="GX52" s="168"/>
      <c r="GY52" s="168"/>
      <c r="GZ52" s="168"/>
      <c r="HA52" s="166"/>
      <c r="HB52" s="166"/>
      <c r="HC52" s="165"/>
      <c r="HD52" s="109"/>
      <c r="HE52" s="109"/>
      <c r="HF52" s="109"/>
      <c r="HG52" s="109"/>
      <c r="HH52" s="166"/>
      <c r="HI52" s="166"/>
      <c r="HJ52" s="165"/>
      <c r="HK52" s="109"/>
      <c r="HL52" s="109"/>
      <c r="HM52" s="109"/>
      <c r="HN52" s="109"/>
      <c r="HO52" s="166"/>
      <c r="HP52" s="166"/>
      <c r="HQ52" s="165"/>
      <c r="HR52" s="109"/>
      <c r="HS52" s="109"/>
      <c r="HT52" s="109"/>
      <c r="HU52" s="109"/>
      <c r="HV52" s="166"/>
      <c r="HW52" s="166"/>
      <c r="HX52" s="105">
        <f t="shared" si="86"/>
        <v>4172.4137931034484</v>
      </c>
      <c r="HY52" s="105">
        <f t="shared" si="83"/>
        <v>667.58620689655174</v>
      </c>
      <c r="HZ52" s="105">
        <f t="shared" si="83"/>
        <v>4840</v>
      </c>
      <c r="IA52" s="105">
        <f t="shared" si="68"/>
        <v>0</v>
      </c>
      <c r="IB52" s="109">
        <f t="shared" si="69"/>
        <v>53160</v>
      </c>
      <c r="IC52" s="109">
        <f t="shared" si="70"/>
        <v>45827.586206896551</v>
      </c>
      <c r="ID52" s="109">
        <f t="shared" si="71"/>
        <v>0</v>
      </c>
      <c r="IE52" s="109">
        <f t="shared" ca="1" si="72"/>
        <v>17</v>
      </c>
      <c r="IF52" s="139">
        <f t="shared" si="73"/>
        <v>1.0013793103448276</v>
      </c>
      <c r="IG52" s="139">
        <f t="shared" ca="1" si="74"/>
        <v>47</v>
      </c>
      <c r="IH52" s="169">
        <f t="shared" ca="1" si="75"/>
        <v>1.5666666666666667</v>
      </c>
      <c r="II52" s="139">
        <f t="shared" ca="1" si="76"/>
        <v>0.56528735632183902</v>
      </c>
      <c r="IJ52" s="169">
        <f t="shared" ca="1" si="77"/>
        <v>16.95862068965517</v>
      </c>
      <c r="IK52" s="169">
        <f t="shared" ca="1" si="84"/>
        <v>0.56528735632183902</v>
      </c>
      <c r="IL52" s="170">
        <f t="shared" ca="1" si="78"/>
        <v>2732.2222222222217</v>
      </c>
      <c r="IM52" s="171"/>
      <c r="IN52" s="171"/>
      <c r="IO52" s="171"/>
      <c r="IP52" s="171"/>
    </row>
    <row r="53" spans="1:250" ht="15" customHeight="1" thickBot="1" x14ac:dyDescent="0.35">
      <c r="A53" s="110">
        <f t="shared" si="79"/>
        <v>49</v>
      </c>
      <c r="B53" s="111" t="s">
        <v>170</v>
      </c>
      <c r="C53" s="111" t="s">
        <v>171</v>
      </c>
      <c r="D53" s="111">
        <v>102</v>
      </c>
      <c r="E53" s="111" t="s">
        <v>253</v>
      </c>
      <c r="F53" s="111"/>
      <c r="G53" s="111" t="s">
        <v>701</v>
      </c>
      <c r="H53" s="111">
        <v>1021100161</v>
      </c>
      <c r="I53" s="146" t="str">
        <f t="shared" si="0"/>
        <v>1100161</v>
      </c>
      <c r="J53" s="145" t="str">
        <f t="shared" si="1"/>
        <v>KN1100161</v>
      </c>
      <c r="K53" s="111" t="s">
        <v>702</v>
      </c>
      <c r="L53" s="111" t="s">
        <v>287</v>
      </c>
      <c r="M53" s="111" t="s">
        <v>703</v>
      </c>
      <c r="N53" s="111" t="s">
        <v>176</v>
      </c>
      <c r="O53" s="111"/>
      <c r="P53" s="111" t="s">
        <v>704</v>
      </c>
      <c r="Q53" s="148">
        <v>34939</v>
      </c>
      <c r="R53" s="111" t="s">
        <v>170</v>
      </c>
      <c r="S53" s="111">
        <f t="shared" ca="1" si="85"/>
        <v>30</v>
      </c>
      <c r="T53" s="111" t="s">
        <v>705</v>
      </c>
      <c r="U53" s="111" t="s">
        <v>486</v>
      </c>
      <c r="V53" s="172">
        <v>765409681</v>
      </c>
      <c r="W53" s="111"/>
      <c r="X53" s="111" t="s">
        <v>181</v>
      </c>
      <c r="Y53" s="111">
        <v>11</v>
      </c>
      <c r="Z53" s="111" t="s">
        <v>235</v>
      </c>
      <c r="AA53" s="111" t="s">
        <v>261</v>
      </c>
      <c r="AB53" s="111" t="s">
        <v>236</v>
      </c>
      <c r="AC53" s="111" t="s">
        <v>146</v>
      </c>
      <c r="AD53" s="111" t="s">
        <v>147</v>
      </c>
      <c r="AE53" s="173" t="s">
        <v>136</v>
      </c>
      <c r="AF53" s="173" t="s">
        <v>136</v>
      </c>
      <c r="AG53" s="174">
        <v>45893</v>
      </c>
      <c r="AH53" s="175">
        <v>30000</v>
      </c>
      <c r="AI53" s="111">
        <v>16</v>
      </c>
      <c r="AJ53" s="111">
        <v>0</v>
      </c>
      <c r="AK53" s="150">
        <f t="shared" si="80"/>
        <v>16</v>
      </c>
      <c r="AL53" s="177">
        <v>30000</v>
      </c>
      <c r="AM53" s="176">
        <v>0.16</v>
      </c>
      <c r="AN53" s="177">
        <f t="shared" si="92"/>
        <v>4800</v>
      </c>
      <c r="AO53" s="157">
        <f t="shared" si="96"/>
        <v>34800</v>
      </c>
      <c r="AP53" s="158">
        <f t="shared" si="3"/>
        <v>2175</v>
      </c>
      <c r="AQ53" s="111" t="s">
        <v>136</v>
      </c>
      <c r="AR53" s="111" t="s">
        <v>170</v>
      </c>
      <c r="AS53" s="111" t="s">
        <v>486</v>
      </c>
      <c r="AT53" s="111" t="s">
        <v>706</v>
      </c>
      <c r="AU53" s="111" t="s">
        <v>705</v>
      </c>
      <c r="AV53" s="111">
        <v>1</v>
      </c>
      <c r="AW53" s="111" t="s">
        <v>136</v>
      </c>
      <c r="AX53" s="111" t="s">
        <v>136</v>
      </c>
      <c r="AY53" s="111" t="s">
        <v>136</v>
      </c>
      <c r="AZ53" s="111" t="s">
        <v>136</v>
      </c>
      <c r="BA53" s="111" t="s">
        <v>136</v>
      </c>
      <c r="BB53" s="111" t="s">
        <v>136</v>
      </c>
      <c r="BC53" s="111" t="s">
        <v>136</v>
      </c>
      <c r="BD53" s="111" t="s">
        <v>136</v>
      </c>
      <c r="BE53" s="111" t="s">
        <v>136</v>
      </c>
      <c r="BF53" s="111" t="s">
        <v>136</v>
      </c>
      <c r="BG53" s="111" t="s">
        <v>136</v>
      </c>
      <c r="BH53" s="111" t="s">
        <v>136</v>
      </c>
      <c r="BI53" s="111" t="s">
        <v>136</v>
      </c>
      <c r="BJ53" s="111" t="s">
        <v>136</v>
      </c>
      <c r="BK53" s="111" t="s">
        <v>136</v>
      </c>
      <c r="BL53" s="111" t="s">
        <v>136</v>
      </c>
      <c r="BM53" s="111" t="s">
        <v>136</v>
      </c>
      <c r="BN53" s="111" t="s">
        <v>136</v>
      </c>
      <c r="BO53" s="111" t="s">
        <v>136</v>
      </c>
      <c r="BP53" s="111" t="s">
        <v>707</v>
      </c>
      <c r="BQ53" s="111" t="s">
        <v>136</v>
      </c>
      <c r="BR53" s="111" t="s">
        <v>708</v>
      </c>
      <c r="BS53" s="111" t="s">
        <v>709</v>
      </c>
      <c r="BT53" s="182" t="s">
        <v>710</v>
      </c>
      <c r="BU53" s="111" t="s">
        <v>705</v>
      </c>
      <c r="BV53" s="111" t="s">
        <v>486</v>
      </c>
      <c r="BW53" s="111"/>
      <c r="BX53" s="111"/>
      <c r="BY53" s="111"/>
      <c r="BZ53" s="111"/>
      <c r="CA53" s="111"/>
      <c r="CB53" s="111"/>
      <c r="CC53" s="178"/>
      <c r="CD53" s="177">
        <f t="shared" si="4"/>
        <v>30000</v>
      </c>
      <c r="CE53" s="148">
        <v>45978</v>
      </c>
      <c r="CF53" s="111">
        <f t="shared" si="5"/>
        <v>16</v>
      </c>
      <c r="CG53" s="177">
        <f t="shared" si="6"/>
        <v>34800</v>
      </c>
      <c r="CH53" s="203">
        <f t="shared" si="95"/>
        <v>0</v>
      </c>
      <c r="CI53" s="148">
        <v>45978</v>
      </c>
      <c r="CJ53" s="161">
        <f t="shared" si="81"/>
        <v>46008</v>
      </c>
      <c r="CK53" s="162">
        <f t="shared" si="82"/>
        <v>46463</v>
      </c>
      <c r="CL53" s="183"/>
      <c r="CM53" s="164">
        <f t="shared" ca="1" si="8"/>
        <v>46054</v>
      </c>
      <c r="CN53" s="165">
        <f t="shared" si="9"/>
        <v>46008</v>
      </c>
      <c r="CO53" s="109">
        <f t="shared" si="10"/>
        <v>1879.3103448275861</v>
      </c>
      <c r="CP53" s="109">
        <f t="shared" si="11"/>
        <v>300.68965517241384</v>
      </c>
      <c r="CQ53" s="109">
        <v>2180</v>
      </c>
      <c r="CR53" s="109">
        <f t="shared" si="12"/>
        <v>5</v>
      </c>
      <c r="CS53" s="166">
        <v>46011</v>
      </c>
      <c r="CT53" s="167">
        <f t="shared" si="13"/>
        <v>3</v>
      </c>
      <c r="CU53" s="165">
        <f t="shared" si="14"/>
        <v>46039</v>
      </c>
      <c r="CV53" s="109">
        <f t="shared" si="15"/>
        <v>0</v>
      </c>
      <c r="CW53" s="109">
        <f t="shared" si="16"/>
        <v>0</v>
      </c>
      <c r="CX53" s="109"/>
      <c r="CY53" s="109">
        <f t="shared" si="17"/>
        <v>0</v>
      </c>
      <c r="CZ53" s="166">
        <f t="shared" ca="1" si="107"/>
        <v>46054</v>
      </c>
      <c r="DA53" s="167">
        <f t="shared" ca="1" si="18"/>
        <v>15</v>
      </c>
      <c r="DB53" s="165">
        <f t="shared" si="19"/>
        <v>46070</v>
      </c>
      <c r="DC53" s="109">
        <f t="shared" si="20"/>
        <v>0</v>
      </c>
      <c r="DD53" s="109">
        <f t="shared" si="21"/>
        <v>0</v>
      </c>
      <c r="DE53" s="109"/>
      <c r="DF53" s="109">
        <f t="shared" si="22"/>
        <v>0</v>
      </c>
      <c r="DG53" s="166">
        <f t="shared" ca="1" si="106"/>
        <v>46054</v>
      </c>
      <c r="DH53" s="167">
        <f t="shared" ca="1" si="23"/>
        <v>0</v>
      </c>
      <c r="DI53" s="165">
        <f t="shared" si="24"/>
        <v>46098</v>
      </c>
      <c r="DJ53" s="109">
        <f t="shared" si="25"/>
        <v>0</v>
      </c>
      <c r="DK53" s="109">
        <f t="shared" si="26"/>
        <v>0</v>
      </c>
      <c r="DL53" s="109">
        <v>0</v>
      </c>
      <c r="DM53" s="109">
        <f t="shared" si="27"/>
        <v>0</v>
      </c>
      <c r="DN53" s="166">
        <f t="shared" ca="1" si="87"/>
        <v>46054</v>
      </c>
      <c r="DO53" s="167">
        <f t="shared" ca="1" si="28"/>
        <v>0</v>
      </c>
      <c r="DP53" s="165">
        <f t="shared" si="93"/>
        <v>46129</v>
      </c>
      <c r="DQ53" s="109">
        <f t="shared" si="29"/>
        <v>0</v>
      </c>
      <c r="DR53" s="109">
        <f t="shared" si="94"/>
        <v>0</v>
      </c>
      <c r="DS53" s="109"/>
      <c r="DT53" s="109">
        <f t="shared" si="30"/>
        <v>0</v>
      </c>
      <c r="DU53" s="166">
        <f t="shared" ca="1" si="88"/>
        <v>46054</v>
      </c>
      <c r="DV53" s="167">
        <f t="shared" ca="1" si="31"/>
        <v>0</v>
      </c>
      <c r="DW53" s="165">
        <f t="shared" si="32"/>
        <v>46159</v>
      </c>
      <c r="DX53" s="109">
        <f t="shared" si="33"/>
        <v>0</v>
      </c>
      <c r="DY53" s="109">
        <f t="shared" si="34"/>
        <v>0</v>
      </c>
      <c r="DZ53" s="109"/>
      <c r="EA53" s="109">
        <f t="shared" si="35"/>
        <v>0</v>
      </c>
      <c r="EB53" s="166">
        <f t="shared" ca="1" si="89"/>
        <v>46054</v>
      </c>
      <c r="EC53" s="167">
        <f t="shared" ca="1" si="36"/>
        <v>0</v>
      </c>
      <c r="ED53" s="165">
        <f t="shared" si="37"/>
        <v>46190</v>
      </c>
      <c r="EE53" s="109">
        <f t="shared" si="38"/>
        <v>0</v>
      </c>
      <c r="EF53" s="109">
        <f t="shared" si="39"/>
        <v>0</v>
      </c>
      <c r="EG53" s="109"/>
      <c r="EH53" s="109">
        <f t="shared" si="40"/>
        <v>0</v>
      </c>
      <c r="EI53" s="166">
        <f t="shared" ca="1" si="90"/>
        <v>46054</v>
      </c>
      <c r="EJ53" s="167">
        <f t="shared" ca="1" si="41"/>
        <v>0</v>
      </c>
      <c r="EK53" s="165">
        <f t="shared" si="42"/>
        <v>46220</v>
      </c>
      <c r="EL53" s="109">
        <f t="shared" si="43"/>
        <v>0</v>
      </c>
      <c r="EM53" s="109">
        <f t="shared" si="44"/>
        <v>0</v>
      </c>
      <c r="EN53" s="109"/>
      <c r="EO53" s="109">
        <f t="shared" si="45"/>
        <v>0</v>
      </c>
      <c r="EP53" s="166">
        <f t="shared" ca="1" si="91"/>
        <v>46054</v>
      </c>
      <c r="EQ53" s="167">
        <f t="shared" ca="1" si="46"/>
        <v>0</v>
      </c>
      <c r="ER53" s="165">
        <f t="shared" si="47"/>
        <v>46251</v>
      </c>
      <c r="ES53" s="109">
        <f t="shared" si="48"/>
        <v>0</v>
      </c>
      <c r="ET53" s="109">
        <f t="shared" si="49"/>
        <v>0</v>
      </c>
      <c r="EU53" s="109"/>
      <c r="EV53" s="109"/>
      <c r="EW53" s="166"/>
      <c r="EX53" s="166"/>
      <c r="EY53" s="165">
        <f t="shared" si="50"/>
        <v>46282</v>
      </c>
      <c r="EZ53" s="109">
        <f t="shared" si="51"/>
        <v>0</v>
      </c>
      <c r="FA53" s="109">
        <f t="shared" si="52"/>
        <v>0</v>
      </c>
      <c r="FB53" s="109"/>
      <c r="FC53" s="109"/>
      <c r="FD53" s="166"/>
      <c r="FE53" s="166"/>
      <c r="FF53" s="165">
        <f t="shared" si="53"/>
        <v>46312</v>
      </c>
      <c r="FG53" s="109">
        <f t="shared" si="54"/>
        <v>0</v>
      </c>
      <c r="FH53" s="109">
        <f t="shared" si="55"/>
        <v>0</v>
      </c>
      <c r="FI53" s="109"/>
      <c r="FJ53" s="109"/>
      <c r="FK53" s="166"/>
      <c r="FL53" s="166"/>
      <c r="FM53" s="165">
        <f t="shared" si="56"/>
        <v>46343</v>
      </c>
      <c r="FN53" s="109">
        <f t="shared" si="57"/>
        <v>0</v>
      </c>
      <c r="FO53" s="109">
        <f t="shared" si="58"/>
        <v>0</v>
      </c>
      <c r="FP53" s="109"/>
      <c r="FQ53" s="109"/>
      <c r="FR53" s="166"/>
      <c r="FS53" s="166"/>
      <c r="FT53" s="165">
        <f>EDATE(FM53,1)</f>
        <v>46373</v>
      </c>
      <c r="FU53" s="109">
        <f>FW53-FV53</f>
        <v>0</v>
      </c>
      <c r="FV53" s="109">
        <f>FW53/(1+AM53)*AM53</f>
        <v>0</v>
      </c>
      <c r="FW53" s="109"/>
      <c r="FX53" s="109"/>
      <c r="FY53" s="166"/>
      <c r="FZ53" s="166"/>
      <c r="GA53" s="165">
        <f>EDATE(FT53,1)</f>
        <v>46404</v>
      </c>
      <c r="GB53" s="109">
        <f>GD53-GC53</f>
        <v>0</v>
      </c>
      <c r="GC53" s="109">
        <f>GD53/(1+AM53)*AM53</f>
        <v>0</v>
      </c>
      <c r="GD53" s="109"/>
      <c r="GE53" s="109"/>
      <c r="GF53" s="166"/>
      <c r="GG53" s="166"/>
      <c r="GH53" s="165">
        <f>EDATE(GA53,1)</f>
        <v>46435</v>
      </c>
      <c r="GI53" s="109">
        <f>GK53-GJ53</f>
        <v>0</v>
      </c>
      <c r="GJ53" s="109">
        <f>GK53/(1+AM53)*AM53</f>
        <v>0</v>
      </c>
      <c r="GK53" s="109"/>
      <c r="GL53" s="109"/>
      <c r="GM53" s="166"/>
      <c r="GN53" s="166"/>
      <c r="GO53" s="165">
        <f>EDATE(GH53,1)</f>
        <v>46463</v>
      </c>
      <c r="GP53" s="109">
        <f>GR53-GQ53</f>
        <v>0</v>
      </c>
      <c r="GQ53" s="109">
        <f>GR53/(1+AM53)*AM53</f>
        <v>0</v>
      </c>
      <c r="GR53" s="109"/>
      <c r="GS53" s="109"/>
      <c r="GT53" s="166"/>
      <c r="GU53" s="166"/>
      <c r="GV53" s="165"/>
      <c r="GW53" s="168">
        <f>GY53-GX53</f>
        <v>0</v>
      </c>
      <c r="GX53" s="168">
        <f>GY53/(1+AM53)*AM53</f>
        <v>0</v>
      </c>
      <c r="GY53" s="168"/>
      <c r="GZ53" s="168"/>
      <c r="HA53" s="166"/>
      <c r="HB53" s="166"/>
      <c r="HC53" s="165"/>
      <c r="HD53" s="109">
        <f>HF53-HE53</f>
        <v>0</v>
      </c>
      <c r="HE53" s="109">
        <f>HF53/(1+AM53)*AM53</f>
        <v>0</v>
      </c>
      <c r="HF53" s="109"/>
      <c r="HG53" s="109"/>
      <c r="HH53" s="166"/>
      <c r="HI53" s="166"/>
      <c r="HJ53" s="165"/>
      <c r="HK53" s="109">
        <f>HM53-HL53</f>
        <v>0</v>
      </c>
      <c r="HL53" s="109">
        <f>HM53/(1+AM53)*AM53</f>
        <v>0</v>
      </c>
      <c r="HM53" s="109"/>
      <c r="HN53" s="109"/>
      <c r="HO53" s="166"/>
      <c r="HP53" s="166"/>
      <c r="HQ53" s="165"/>
      <c r="HR53" s="109">
        <f>HT53-HS53</f>
        <v>0</v>
      </c>
      <c r="HS53" s="109">
        <f>HT53/(1+AM53)*AM53</f>
        <v>0</v>
      </c>
      <c r="HT53" s="109"/>
      <c r="HU53" s="109"/>
      <c r="HV53" s="166"/>
      <c r="HW53" s="166"/>
      <c r="HX53" s="105">
        <f t="shared" si="86"/>
        <v>1879.3103448275861</v>
      </c>
      <c r="HY53" s="105">
        <f t="shared" si="83"/>
        <v>300.68965517241384</v>
      </c>
      <c r="HZ53" s="105">
        <f t="shared" si="83"/>
        <v>2180</v>
      </c>
      <c r="IA53" s="105">
        <f t="shared" si="68"/>
        <v>0</v>
      </c>
      <c r="IB53" s="109">
        <f t="shared" si="69"/>
        <v>32620</v>
      </c>
      <c r="IC53" s="109">
        <f t="shared" si="70"/>
        <v>28120.689655172413</v>
      </c>
      <c r="ID53" s="109">
        <f t="shared" si="71"/>
        <v>0</v>
      </c>
      <c r="IE53" s="109">
        <f t="shared" ca="1" si="72"/>
        <v>18</v>
      </c>
      <c r="IF53" s="139">
        <f t="shared" si="73"/>
        <v>1.0022988505747126</v>
      </c>
      <c r="IG53" s="139">
        <f t="shared" ca="1" si="74"/>
        <v>46</v>
      </c>
      <c r="IH53" s="169">
        <f t="shared" ca="1" si="75"/>
        <v>1.5333333333333334</v>
      </c>
      <c r="II53" s="139">
        <f t="shared" ca="1" si="76"/>
        <v>0.53103448275862086</v>
      </c>
      <c r="IJ53" s="169">
        <f t="shared" ca="1" si="77"/>
        <v>15.931034482758626</v>
      </c>
      <c r="IK53" s="169">
        <f t="shared" ca="1" si="84"/>
        <v>0.53103448275862086</v>
      </c>
      <c r="IL53" s="170">
        <f t="shared" ca="1" si="78"/>
        <v>1155.0000000000005</v>
      </c>
      <c r="IM53" s="171"/>
      <c r="IN53" s="171"/>
      <c r="IO53" s="171"/>
      <c r="IP53" s="171"/>
    </row>
    <row r="54" spans="1:250" ht="15" customHeight="1" thickBot="1" x14ac:dyDescent="0.35">
      <c r="A54" s="110">
        <f t="shared" si="79"/>
        <v>50</v>
      </c>
      <c r="B54" s="111" t="s">
        <v>170</v>
      </c>
      <c r="C54" s="111" t="s">
        <v>171</v>
      </c>
      <c r="D54" s="111">
        <v>102</v>
      </c>
      <c r="E54" s="111" t="s">
        <v>253</v>
      </c>
      <c r="F54" s="111"/>
      <c r="G54" s="111" t="s">
        <v>711</v>
      </c>
      <c r="H54" s="111">
        <v>1021100162</v>
      </c>
      <c r="I54" s="146" t="str">
        <f t="shared" si="0"/>
        <v>1100162</v>
      </c>
      <c r="J54" s="145" t="str">
        <f t="shared" si="1"/>
        <v>KN1100162</v>
      </c>
      <c r="K54" s="111" t="s">
        <v>712</v>
      </c>
      <c r="L54" s="111" t="s">
        <v>713</v>
      </c>
      <c r="M54" s="111" t="s">
        <v>283</v>
      </c>
      <c r="N54" s="111" t="s">
        <v>138</v>
      </c>
      <c r="O54" s="111"/>
      <c r="P54" s="111" t="s">
        <v>714</v>
      </c>
      <c r="Q54" s="148">
        <v>28227</v>
      </c>
      <c r="R54" s="111" t="s">
        <v>170</v>
      </c>
      <c r="S54" s="111">
        <f t="shared" ca="1" si="85"/>
        <v>48</v>
      </c>
      <c r="T54" s="111" t="s">
        <v>229</v>
      </c>
      <c r="U54" s="111" t="s">
        <v>217</v>
      </c>
      <c r="V54" s="172">
        <v>774359672</v>
      </c>
      <c r="W54" s="111"/>
      <c r="X54" s="111" t="s">
        <v>181</v>
      </c>
      <c r="Y54" s="111">
        <v>11</v>
      </c>
      <c r="Z54" s="111" t="s">
        <v>182</v>
      </c>
      <c r="AA54" s="111" t="s">
        <v>641</v>
      </c>
      <c r="AB54" s="111" t="s">
        <v>184</v>
      </c>
      <c r="AC54" s="111" t="s">
        <v>146</v>
      </c>
      <c r="AD54" s="111" t="s">
        <v>147</v>
      </c>
      <c r="AE54" s="173" t="s">
        <v>136</v>
      </c>
      <c r="AF54" s="173" t="s">
        <v>136</v>
      </c>
      <c r="AG54" s="174">
        <v>45699</v>
      </c>
      <c r="AH54" s="175">
        <v>50000</v>
      </c>
      <c r="AI54" s="111">
        <v>12</v>
      </c>
      <c r="AJ54" s="111">
        <v>0</v>
      </c>
      <c r="AK54" s="150">
        <f t="shared" si="80"/>
        <v>12</v>
      </c>
      <c r="AL54" s="177">
        <v>50000</v>
      </c>
      <c r="AM54" s="176">
        <v>0.16</v>
      </c>
      <c r="AN54" s="177">
        <f t="shared" si="92"/>
        <v>8000</v>
      </c>
      <c r="AO54" s="157">
        <f t="shared" si="96"/>
        <v>58000</v>
      </c>
      <c r="AP54" s="158">
        <f t="shared" si="3"/>
        <v>4833.333333333333</v>
      </c>
      <c r="AQ54" s="111" t="s">
        <v>136</v>
      </c>
      <c r="AR54" s="111" t="s">
        <v>170</v>
      </c>
      <c r="AS54" s="111" t="s">
        <v>217</v>
      </c>
      <c r="AT54" s="111" t="s">
        <v>289</v>
      </c>
      <c r="AU54" s="111" t="s">
        <v>229</v>
      </c>
      <c r="AV54" s="111">
        <v>4</v>
      </c>
      <c r="AW54" s="111" t="s">
        <v>136</v>
      </c>
      <c r="AX54" s="111" t="s">
        <v>136</v>
      </c>
      <c r="AY54" s="111" t="s">
        <v>136</v>
      </c>
      <c r="AZ54" s="111" t="s">
        <v>136</v>
      </c>
      <c r="BA54" s="111" t="s">
        <v>136</v>
      </c>
      <c r="BB54" s="111" t="s">
        <v>136</v>
      </c>
      <c r="BC54" s="111" t="s">
        <v>136</v>
      </c>
      <c r="BD54" s="111" t="s">
        <v>136</v>
      </c>
      <c r="BE54" s="111" t="s">
        <v>136</v>
      </c>
      <c r="BF54" s="111" t="s">
        <v>136</v>
      </c>
      <c r="BG54" s="111" t="s">
        <v>136</v>
      </c>
      <c r="BH54" s="111" t="s">
        <v>136</v>
      </c>
      <c r="BI54" s="111" t="s">
        <v>136</v>
      </c>
      <c r="BJ54" s="111" t="s">
        <v>136</v>
      </c>
      <c r="BK54" s="111" t="s">
        <v>136</v>
      </c>
      <c r="BL54" s="111" t="s">
        <v>136</v>
      </c>
      <c r="BM54" s="111" t="s">
        <v>136</v>
      </c>
      <c r="BN54" s="111" t="s">
        <v>136</v>
      </c>
      <c r="BO54" s="111" t="s">
        <v>136</v>
      </c>
      <c r="BP54" s="111" t="s">
        <v>715</v>
      </c>
      <c r="BQ54" s="111" t="s">
        <v>638</v>
      </c>
      <c r="BR54" s="111" t="s">
        <v>283</v>
      </c>
      <c r="BS54" s="111" t="s">
        <v>716</v>
      </c>
      <c r="BT54" s="182" t="s">
        <v>717</v>
      </c>
      <c r="BU54" s="111" t="s">
        <v>229</v>
      </c>
      <c r="BV54" s="111" t="s">
        <v>217</v>
      </c>
      <c r="BW54" s="111"/>
      <c r="BX54" s="111"/>
      <c r="BY54" s="111"/>
      <c r="BZ54" s="111"/>
      <c r="CA54" s="111"/>
      <c r="CB54" s="111"/>
      <c r="CC54" s="178"/>
      <c r="CD54" s="177">
        <f t="shared" si="4"/>
        <v>50000</v>
      </c>
      <c r="CE54" s="148">
        <v>45978</v>
      </c>
      <c r="CF54" s="111">
        <f t="shared" si="5"/>
        <v>12</v>
      </c>
      <c r="CG54" s="177">
        <f t="shared" si="6"/>
        <v>58000</v>
      </c>
      <c r="CH54" s="203">
        <f t="shared" si="95"/>
        <v>0</v>
      </c>
      <c r="CI54" s="148">
        <v>45978</v>
      </c>
      <c r="CJ54" s="161">
        <f t="shared" si="81"/>
        <v>46008</v>
      </c>
      <c r="CK54" s="162">
        <f t="shared" si="82"/>
        <v>46343</v>
      </c>
      <c r="CL54" s="183"/>
      <c r="CM54" s="164">
        <f t="shared" ca="1" si="8"/>
        <v>46054</v>
      </c>
      <c r="CN54" s="165">
        <f t="shared" si="9"/>
        <v>46008</v>
      </c>
      <c r="CO54" s="109">
        <f t="shared" si="10"/>
        <v>4172.4137931034484</v>
      </c>
      <c r="CP54" s="109">
        <f t="shared" si="11"/>
        <v>667.58620689655174</v>
      </c>
      <c r="CQ54" s="109">
        <v>4840</v>
      </c>
      <c r="CR54" s="109">
        <f t="shared" si="12"/>
        <v>6.6666666666669698</v>
      </c>
      <c r="CS54" s="166">
        <v>46006</v>
      </c>
      <c r="CT54" s="167">
        <f t="shared" si="13"/>
        <v>0</v>
      </c>
      <c r="CU54" s="165">
        <f t="shared" si="14"/>
        <v>46039</v>
      </c>
      <c r="CV54" s="109">
        <f t="shared" si="15"/>
        <v>0</v>
      </c>
      <c r="CW54" s="109">
        <f t="shared" si="16"/>
        <v>0</v>
      </c>
      <c r="CX54" s="109"/>
      <c r="CY54" s="109">
        <f t="shared" si="17"/>
        <v>0</v>
      </c>
      <c r="CZ54" s="166">
        <f t="shared" ca="1" si="107"/>
        <v>46054</v>
      </c>
      <c r="DA54" s="167">
        <f t="shared" ca="1" si="18"/>
        <v>15</v>
      </c>
      <c r="DB54" s="165">
        <f t="shared" si="19"/>
        <v>46070</v>
      </c>
      <c r="DC54" s="109">
        <f t="shared" si="20"/>
        <v>0</v>
      </c>
      <c r="DD54" s="109">
        <f t="shared" si="21"/>
        <v>0</v>
      </c>
      <c r="DE54" s="109"/>
      <c r="DF54" s="109">
        <f t="shared" si="22"/>
        <v>0</v>
      </c>
      <c r="DG54" s="166">
        <f t="shared" ca="1" si="106"/>
        <v>46054</v>
      </c>
      <c r="DH54" s="167">
        <f t="shared" ca="1" si="23"/>
        <v>0</v>
      </c>
      <c r="DI54" s="165">
        <f t="shared" si="24"/>
        <v>46098</v>
      </c>
      <c r="DJ54" s="109">
        <f t="shared" si="25"/>
        <v>0</v>
      </c>
      <c r="DK54" s="109">
        <f t="shared" si="26"/>
        <v>0</v>
      </c>
      <c r="DL54" s="109">
        <v>0</v>
      </c>
      <c r="DM54" s="109">
        <f t="shared" si="27"/>
        <v>0</v>
      </c>
      <c r="DN54" s="166">
        <f t="shared" ca="1" si="87"/>
        <v>46054</v>
      </c>
      <c r="DO54" s="167">
        <f t="shared" ca="1" si="28"/>
        <v>0</v>
      </c>
      <c r="DP54" s="165">
        <f t="shared" si="93"/>
        <v>46129</v>
      </c>
      <c r="DQ54" s="109">
        <f t="shared" si="29"/>
        <v>0</v>
      </c>
      <c r="DR54" s="109">
        <f t="shared" si="94"/>
        <v>0</v>
      </c>
      <c r="DS54" s="109"/>
      <c r="DT54" s="109">
        <f t="shared" si="30"/>
        <v>0</v>
      </c>
      <c r="DU54" s="166">
        <f t="shared" ca="1" si="88"/>
        <v>46054</v>
      </c>
      <c r="DV54" s="167">
        <f t="shared" ca="1" si="31"/>
        <v>0</v>
      </c>
      <c r="DW54" s="165">
        <f t="shared" si="32"/>
        <v>46159</v>
      </c>
      <c r="DX54" s="109">
        <f t="shared" si="33"/>
        <v>0</v>
      </c>
      <c r="DY54" s="109">
        <f t="shared" si="34"/>
        <v>0</v>
      </c>
      <c r="DZ54" s="109"/>
      <c r="EA54" s="109">
        <f t="shared" si="35"/>
        <v>0</v>
      </c>
      <c r="EB54" s="166">
        <f t="shared" ca="1" si="89"/>
        <v>46054</v>
      </c>
      <c r="EC54" s="167">
        <f t="shared" ca="1" si="36"/>
        <v>0</v>
      </c>
      <c r="ED54" s="165">
        <f t="shared" si="37"/>
        <v>46190</v>
      </c>
      <c r="EE54" s="109">
        <f t="shared" si="38"/>
        <v>0</v>
      </c>
      <c r="EF54" s="109">
        <f t="shared" si="39"/>
        <v>0</v>
      </c>
      <c r="EG54" s="109"/>
      <c r="EH54" s="109">
        <f t="shared" si="40"/>
        <v>0</v>
      </c>
      <c r="EI54" s="166">
        <f t="shared" ca="1" si="90"/>
        <v>46054</v>
      </c>
      <c r="EJ54" s="167">
        <f t="shared" ca="1" si="41"/>
        <v>0</v>
      </c>
      <c r="EK54" s="165">
        <f t="shared" si="42"/>
        <v>46220</v>
      </c>
      <c r="EL54" s="109">
        <f t="shared" si="43"/>
        <v>0</v>
      </c>
      <c r="EM54" s="109">
        <f t="shared" si="44"/>
        <v>0</v>
      </c>
      <c r="EN54" s="109"/>
      <c r="EO54" s="109">
        <f t="shared" si="45"/>
        <v>0</v>
      </c>
      <c r="EP54" s="166">
        <f t="shared" ca="1" si="91"/>
        <v>46054</v>
      </c>
      <c r="EQ54" s="167">
        <f t="shared" ca="1" si="46"/>
        <v>0</v>
      </c>
      <c r="ER54" s="165">
        <f t="shared" si="47"/>
        <v>46251</v>
      </c>
      <c r="ES54" s="109">
        <f t="shared" si="48"/>
        <v>0</v>
      </c>
      <c r="ET54" s="109">
        <f t="shared" si="49"/>
        <v>0</v>
      </c>
      <c r="EU54" s="109"/>
      <c r="EV54" s="109"/>
      <c r="EW54" s="166"/>
      <c r="EX54" s="166"/>
      <c r="EY54" s="165">
        <f t="shared" si="50"/>
        <v>46282</v>
      </c>
      <c r="EZ54" s="109">
        <f t="shared" si="51"/>
        <v>0</v>
      </c>
      <c r="FA54" s="109">
        <f t="shared" si="52"/>
        <v>0</v>
      </c>
      <c r="FB54" s="109"/>
      <c r="FC54" s="109"/>
      <c r="FD54" s="166"/>
      <c r="FE54" s="166"/>
      <c r="FF54" s="165">
        <f t="shared" si="53"/>
        <v>46312</v>
      </c>
      <c r="FG54" s="109">
        <f t="shared" si="54"/>
        <v>0</v>
      </c>
      <c r="FH54" s="109">
        <f t="shared" si="55"/>
        <v>0</v>
      </c>
      <c r="FI54" s="109"/>
      <c r="FJ54" s="109"/>
      <c r="FK54" s="166"/>
      <c r="FL54" s="166"/>
      <c r="FM54" s="165">
        <f t="shared" si="56"/>
        <v>46343</v>
      </c>
      <c r="FN54" s="109">
        <f t="shared" si="57"/>
        <v>0</v>
      </c>
      <c r="FO54" s="109">
        <f t="shared" si="58"/>
        <v>0</v>
      </c>
      <c r="FP54" s="109"/>
      <c r="FQ54" s="109"/>
      <c r="FR54" s="166"/>
      <c r="FS54" s="166"/>
      <c r="FT54" s="165"/>
      <c r="FU54" s="109"/>
      <c r="FV54" s="109"/>
      <c r="FW54" s="109"/>
      <c r="FX54" s="109"/>
      <c r="FY54" s="166"/>
      <c r="FZ54" s="166"/>
      <c r="GA54" s="165"/>
      <c r="GB54" s="109"/>
      <c r="GC54" s="109"/>
      <c r="GD54" s="109"/>
      <c r="GE54" s="109"/>
      <c r="GF54" s="166"/>
      <c r="GG54" s="166"/>
      <c r="GH54" s="165"/>
      <c r="GI54" s="109"/>
      <c r="GJ54" s="109"/>
      <c r="GK54" s="109"/>
      <c r="GL54" s="109"/>
      <c r="GM54" s="166"/>
      <c r="GN54" s="166"/>
      <c r="GO54" s="165"/>
      <c r="GP54" s="109"/>
      <c r="GQ54" s="109"/>
      <c r="GR54" s="109"/>
      <c r="GS54" s="109"/>
      <c r="GT54" s="166"/>
      <c r="GU54" s="166"/>
      <c r="GV54" s="165"/>
      <c r="GW54" s="168"/>
      <c r="GX54" s="168"/>
      <c r="GY54" s="168"/>
      <c r="GZ54" s="168"/>
      <c r="HA54" s="166"/>
      <c r="HB54" s="166"/>
      <c r="HC54" s="165"/>
      <c r="HD54" s="109"/>
      <c r="HE54" s="109"/>
      <c r="HF54" s="109"/>
      <c r="HG54" s="109"/>
      <c r="HH54" s="166"/>
      <c r="HI54" s="166"/>
      <c r="HJ54" s="165"/>
      <c r="HK54" s="109"/>
      <c r="HL54" s="109"/>
      <c r="HM54" s="109"/>
      <c r="HN54" s="109"/>
      <c r="HO54" s="166"/>
      <c r="HP54" s="166"/>
      <c r="HQ54" s="165"/>
      <c r="HR54" s="109"/>
      <c r="HS54" s="109"/>
      <c r="HT54" s="109"/>
      <c r="HU54" s="109"/>
      <c r="HV54" s="166"/>
      <c r="HW54" s="166"/>
      <c r="HX54" s="105">
        <f t="shared" si="86"/>
        <v>4172.4137931034484</v>
      </c>
      <c r="HY54" s="105">
        <f t="shared" si="83"/>
        <v>667.58620689655174</v>
      </c>
      <c r="HZ54" s="105">
        <f t="shared" si="83"/>
        <v>4840</v>
      </c>
      <c r="IA54" s="105">
        <f t="shared" si="68"/>
        <v>0</v>
      </c>
      <c r="IB54" s="109">
        <f t="shared" si="69"/>
        <v>53160</v>
      </c>
      <c r="IC54" s="109">
        <f t="shared" si="70"/>
        <v>45827.586206896551</v>
      </c>
      <c r="ID54" s="109">
        <f t="shared" si="71"/>
        <v>0</v>
      </c>
      <c r="IE54" s="109">
        <f t="shared" ca="1" si="72"/>
        <v>15</v>
      </c>
      <c r="IF54" s="139">
        <f t="shared" si="73"/>
        <v>1.0013793103448276</v>
      </c>
      <c r="IG54" s="139">
        <f t="shared" ca="1" si="74"/>
        <v>46</v>
      </c>
      <c r="IH54" s="169">
        <f t="shared" ca="1" si="75"/>
        <v>1.5333333333333334</v>
      </c>
      <c r="II54" s="139">
        <f t="shared" ca="1" si="76"/>
        <v>0.5319540229885058</v>
      </c>
      <c r="IJ54" s="169">
        <f t="shared" ca="1" si="77"/>
        <v>15.958620689655174</v>
      </c>
      <c r="IK54" s="169">
        <f t="shared" ca="1" si="84"/>
        <v>0.5319540229885058</v>
      </c>
      <c r="IL54" s="170">
        <f t="shared" ca="1" si="78"/>
        <v>2571.1111111111113</v>
      </c>
      <c r="IM54" s="171"/>
      <c r="IN54" s="171"/>
      <c r="IO54" s="171"/>
      <c r="IP54" s="171"/>
    </row>
    <row r="55" spans="1:250" ht="15" thickBot="1" x14ac:dyDescent="0.35">
      <c r="A55" s="110">
        <f t="shared" si="79"/>
        <v>51</v>
      </c>
      <c r="B55" s="111" t="s">
        <v>170</v>
      </c>
      <c r="C55" s="111" t="s">
        <v>171</v>
      </c>
      <c r="D55" s="111">
        <v>102</v>
      </c>
      <c r="E55" s="111" t="s">
        <v>253</v>
      </c>
      <c r="F55" s="111"/>
      <c r="G55" s="111" t="s">
        <v>718</v>
      </c>
      <c r="H55" s="111">
        <v>1021100163</v>
      </c>
      <c r="I55" s="146" t="str">
        <f t="shared" si="0"/>
        <v>1100163</v>
      </c>
      <c r="J55" s="145" t="str">
        <f t="shared" si="1"/>
        <v>KN1100163</v>
      </c>
      <c r="K55" s="111" t="s">
        <v>719</v>
      </c>
      <c r="L55" s="111" t="s">
        <v>720</v>
      </c>
      <c r="M55" s="111" t="s">
        <v>721</v>
      </c>
      <c r="N55" s="111" t="s">
        <v>138</v>
      </c>
      <c r="O55" s="111"/>
      <c r="P55" s="111" t="s">
        <v>722</v>
      </c>
      <c r="Q55" s="148">
        <v>26744</v>
      </c>
      <c r="R55" s="111" t="s">
        <v>170</v>
      </c>
      <c r="S55" s="111">
        <f t="shared" ca="1" si="85"/>
        <v>52</v>
      </c>
      <c r="T55" s="111" t="s">
        <v>229</v>
      </c>
      <c r="U55" s="111" t="s">
        <v>217</v>
      </c>
      <c r="V55" s="172">
        <v>777360860</v>
      </c>
      <c r="W55" s="111"/>
      <c r="X55" s="111" t="s">
        <v>181</v>
      </c>
      <c r="Y55" s="111">
        <v>11</v>
      </c>
      <c r="Z55" s="111" t="s">
        <v>235</v>
      </c>
      <c r="AA55" s="111" t="s">
        <v>261</v>
      </c>
      <c r="AB55" s="111" t="s">
        <v>236</v>
      </c>
      <c r="AC55" s="111" t="s">
        <v>146</v>
      </c>
      <c r="AD55" s="111" t="s">
        <v>147</v>
      </c>
      <c r="AE55" s="173" t="s">
        <v>136</v>
      </c>
      <c r="AF55" s="173" t="s">
        <v>136</v>
      </c>
      <c r="AG55" s="174">
        <v>45882</v>
      </c>
      <c r="AH55" s="175">
        <v>80000</v>
      </c>
      <c r="AI55" s="111">
        <v>15</v>
      </c>
      <c r="AJ55" s="111">
        <v>0</v>
      </c>
      <c r="AK55" s="150">
        <f t="shared" si="80"/>
        <v>15</v>
      </c>
      <c r="AL55" s="177">
        <v>80000</v>
      </c>
      <c r="AM55" s="176">
        <v>0.16</v>
      </c>
      <c r="AN55" s="177">
        <f t="shared" si="92"/>
        <v>12800</v>
      </c>
      <c r="AO55" s="157">
        <f t="shared" si="96"/>
        <v>92800</v>
      </c>
      <c r="AP55" s="158">
        <f t="shared" si="3"/>
        <v>6186.666666666667</v>
      </c>
      <c r="AQ55" s="111" t="s">
        <v>136</v>
      </c>
      <c r="AR55" s="111" t="s">
        <v>170</v>
      </c>
      <c r="AS55" s="111" t="s">
        <v>217</v>
      </c>
      <c r="AT55" s="111" t="s">
        <v>289</v>
      </c>
      <c r="AU55" s="111" t="s">
        <v>229</v>
      </c>
      <c r="AV55" s="111">
        <v>5</v>
      </c>
      <c r="AW55" s="111" t="s">
        <v>136</v>
      </c>
      <c r="AX55" s="111" t="s">
        <v>136</v>
      </c>
      <c r="AY55" s="111" t="s">
        <v>136</v>
      </c>
      <c r="AZ55" s="111" t="s">
        <v>136</v>
      </c>
      <c r="BA55" s="111" t="s">
        <v>136</v>
      </c>
      <c r="BB55" s="111" t="s">
        <v>136</v>
      </c>
      <c r="BC55" s="111" t="s">
        <v>136</v>
      </c>
      <c r="BD55" s="111" t="s">
        <v>136</v>
      </c>
      <c r="BE55" s="111" t="s">
        <v>136</v>
      </c>
      <c r="BF55" s="111" t="s">
        <v>136</v>
      </c>
      <c r="BG55" s="111" t="s">
        <v>136</v>
      </c>
      <c r="BH55" s="111" t="s">
        <v>136</v>
      </c>
      <c r="BI55" s="111" t="s">
        <v>136</v>
      </c>
      <c r="BJ55" s="111" t="s">
        <v>136</v>
      </c>
      <c r="BK55" s="111" t="s">
        <v>136</v>
      </c>
      <c r="BL55" s="111" t="s">
        <v>136</v>
      </c>
      <c r="BM55" s="111" t="s">
        <v>136</v>
      </c>
      <c r="BN55" s="111" t="s">
        <v>136</v>
      </c>
      <c r="BO55" s="111" t="s">
        <v>136</v>
      </c>
      <c r="BP55" s="111" t="s">
        <v>723</v>
      </c>
      <c r="BQ55" s="111" t="s">
        <v>164</v>
      </c>
      <c r="BR55" s="111" t="s">
        <v>724</v>
      </c>
      <c r="BS55" s="111" t="s">
        <v>725</v>
      </c>
      <c r="BT55" s="182" t="s">
        <v>726</v>
      </c>
      <c r="BU55" s="111" t="s">
        <v>229</v>
      </c>
      <c r="BV55" s="111" t="s">
        <v>217</v>
      </c>
      <c r="BW55" s="111"/>
      <c r="BX55" s="111"/>
      <c r="BY55" s="111"/>
      <c r="BZ55" s="111"/>
      <c r="CA55" s="111"/>
      <c r="CB55" s="111"/>
      <c r="CC55" s="178"/>
      <c r="CD55" s="177">
        <f t="shared" si="4"/>
        <v>80000</v>
      </c>
      <c r="CE55" s="148">
        <v>45978</v>
      </c>
      <c r="CF55" s="111">
        <f t="shared" si="5"/>
        <v>15</v>
      </c>
      <c r="CG55" s="177">
        <f t="shared" si="6"/>
        <v>92800</v>
      </c>
      <c r="CH55" s="203">
        <f t="shared" si="95"/>
        <v>0</v>
      </c>
      <c r="CI55" s="148">
        <v>45978</v>
      </c>
      <c r="CJ55" s="161">
        <f t="shared" si="81"/>
        <v>46008</v>
      </c>
      <c r="CK55" s="162">
        <f t="shared" si="82"/>
        <v>46435</v>
      </c>
      <c r="CL55" s="183"/>
      <c r="CM55" s="164">
        <f t="shared" ca="1" si="8"/>
        <v>46054</v>
      </c>
      <c r="CN55" s="165">
        <f t="shared" si="9"/>
        <v>46008</v>
      </c>
      <c r="CO55" s="109">
        <f t="shared" si="10"/>
        <v>5336.2068965517237</v>
      </c>
      <c r="CP55" s="109">
        <f t="shared" si="11"/>
        <v>853.79310344827593</v>
      </c>
      <c r="CQ55" s="109">
        <v>6190</v>
      </c>
      <c r="CR55" s="109">
        <f t="shared" si="12"/>
        <v>3.3333333333330302</v>
      </c>
      <c r="CS55" s="166">
        <v>46008</v>
      </c>
      <c r="CT55" s="167">
        <f t="shared" si="13"/>
        <v>0</v>
      </c>
      <c r="CU55" s="165">
        <f t="shared" si="14"/>
        <v>46039</v>
      </c>
      <c r="CV55" s="109">
        <f t="shared" si="15"/>
        <v>0</v>
      </c>
      <c r="CW55" s="109">
        <f t="shared" si="16"/>
        <v>0</v>
      </c>
      <c r="CX55" s="109"/>
      <c r="CY55" s="109">
        <f t="shared" si="17"/>
        <v>0</v>
      </c>
      <c r="CZ55" s="166">
        <f t="shared" ca="1" si="107"/>
        <v>46054</v>
      </c>
      <c r="DA55" s="167">
        <f t="shared" ca="1" si="18"/>
        <v>15</v>
      </c>
      <c r="DB55" s="165">
        <f t="shared" si="19"/>
        <v>46070</v>
      </c>
      <c r="DC55" s="109">
        <f t="shared" si="20"/>
        <v>0</v>
      </c>
      <c r="DD55" s="109">
        <f t="shared" si="21"/>
        <v>0</v>
      </c>
      <c r="DE55" s="109"/>
      <c r="DF55" s="109">
        <f t="shared" si="22"/>
        <v>0</v>
      </c>
      <c r="DG55" s="166">
        <f t="shared" ca="1" si="106"/>
        <v>46054</v>
      </c>
      <c r="DH55" s="167">
        <f t="shared" ca="1" si="23"/>
        <v>0</v>
      </c>
      <c r="DI55" s="165">
        <f t="shared" si="24"/>
        <v>46098</v>
      </c>
      <c r="DJ55" s="109">
        <f t="shared" si="25"/>
        <v>0</v>
      </c>
      <c r="DK55" s="109">
        <f t="shared" si="26"/>
        <v>0</v>
      </c>
      <c r="DL55" s="109">
        <v>0</v>
      </c>
      <c r="DM55" s="109">
        <f t="shared" si="27"/>
        <v>0</v>
      </c>
      <c r="DN55" s="166">
        <f t="shared" ca="1" si="87"/>
        <v>46054</v>
      </c>
      <c r="DO55" s="167">
        <f t="shared" ca="1" si="28"/>
        <v>0</v>
      </c>
      <c r="DP55" s="165">
        <f t="shared" si="93"/>
        <v>46129</v>
      </c>
      <c r="DQ55" s="109">
        <f t="shared" si="29"/>
        <v>0</v>
      </c>
      <c r="DR55" s="109">
        <f t="shared" si="94"/>
        <v>0</v>
      </c>
      <c r="DS55" s="109"/>
      <c r="DT55" s="109">
        <f t="shared" si="30"/>
        <v>0</v>
      </c>
      <c r="DU55" s="166">
        <f t="shared" ca="1" si="88"/>
        <v>46054</v>
      </c>
      <c r="DV55" s="167">
        <f t="shared" ca="1" si="31"/>
        <v>0</v>
      </c>
      <c r="DW55" s="165">
        <f t="shared" si="32"/>
        <v>46159</v>
      </c>
      <c r="DX55" s="109">
        <f t="shared" si="33"/>
        <v>0</v>
      </c>
      <c r="DY55" s="109">
        <f t="shared" si="34"/>
        <v>0</v>
      </c>
      <c r="DZ55" s="109"/>
      <c r="EA55" s="109">
        <f t="shared" si="35"/>
        <v>0</v>
      </c>
      <c r="EB55" s="166">
        <f t="shared" ca="1" si="89"/>
        <v>46054</v>
      </c>
      <c r="EC55" s="167">
        <f t="shared" ca="1" si="36"/>
        <v>0</v>
      </c>
      <c r="ED55" s="165">
        <f t="shared" si="37"/>
        <v>46190</v>
      </c>
      <c r="EE55" s="109">
        <f t="shared" si="38"/>
        <v>0</v>
      </c>
      <c r="EF55" s="109">
        <f t="shared" si="39"/>
        <v>0</v>
      </c>
      <c r="EG55" s="109"/>
      <c r="EH55" s="109">
        <f t="shared" si="40"/>
        <v>0</v>
      </c>
      <c r="EI55" s="166">
        <f t="shared" ca="1" si="90"/>
        <v>46054</v>
      </c>
      <c r="EJ55" s="167">
        <f t="shared" ca="1" si="41"/>
        <v>0</v>
      </c>
      <c r="EK55" s="165">
        <f t="shared" si="42"/>
        <v>46220</v>
      </c>
      <c r="EL55" s="109">
        <f t="shared" si="43"/>
        <v>0</v>
      </c>
      <c r="EM55" s="109">
        <f t="shared" si="44"/>
        <v>0</v>
      </c>
      <c r="EN55" s="109"/>
      <c r="EO55" s="109">
        <f t="shared" si="45"/>
        <v>0</v>
      </c>
      <c r="EP55" s="166">
        <f t="shared" ca="1" si="91"/>
        <v>46054</v>
      </c>
      <c r="EQ55" s="167">
        <f t="shared" ca="1" si="46"/>
        <v>0</v>
      </c>
      <c r="ER55" s="165">
        <f t="shared" si="47"/>
        <v>46251</v>
      </c>
      <c r="ES55" s="109">
        <f t="shared" si="48"/>
        <v>0</v>
      </c>
      <c r="ET55" s="109">
        <f t="shared" si="49"/>
        <v>0</v>
      </c>
      <c r="EU55" s="109"/>
      <c r="EV55" s="109"/>
      <c r="EW55" s="166"/>
      <c r="EX55" s="166"/>
      <c r="EY55" s="165">
        <f t="shared" si="50"/>
        <v>46282</v>
      </c>
      <c r="EZ55" s="109">
        <f t="shared" si="51"/>
        <v>0</v>
      </c>
      <c r="FA55" s="109">
        <f t="shared" si="52"/>
        <v>0</v>
      </c>
      <c r="FB55" s="109"/>
      <c r="FC55" s="109"/>
      <c r="FD55" s="166"/>
      <c r="FE55" s="166"/>
      <c r="FF55" s="165">
        <f t="shared" si="53"/>
        <v>46312</v>
      </c>
      <c r="FG55" s="109">
        <f t="shared" si="54"/>
        <v>0</v>
      </c>
      <c r="FH55" s="109">
        <f t="shared" si="55"/>
        <v>0</v>
      </c>
      <c r="FI55" s="109"/>
      <c r="FJ55" s="109"/>
      <c r="FK55" s="166"/>
      <c r="FL55" s="166"/>
      <c r="FM55" s="165">
        <f t="shared" si="56"/>
        <v>46343</v>
      </c>
      <c r="FN55" s="109">
        <f t="shared" si="57"/>
        <v>0</v>
      </c>
      <c r="FO55" s="109">
        <f t="shared" si="58"/>
        <v>0</v>
      </c>
      <c r="FP55" s="109"/>
      <c r="FQ55" s="109"/>
      <c r="FR55" s="166"/>
      <c r="FS55" s="166"/>
      <c r="FT55" s="165"/>
      <c r="FU55" s="109">
        <f t="shared" ref="FU55:FU70" si="108">FW55-FV55</f>
        <v>0</v>
      </c>
      <c r="FV55" s="109">
        <f t="shared" ref="FV55:FV70" si="109">FW55/(1+AM55)*AM55</f>
        <v>0</v>
      </c>
      <c r="FW55" s="109"/>
      <c r="FX55" s="109"/>
      <c r="FY55" s="166"/>
      <c r="FZ55" s="166"/>
      <c r="GA55" s="165"/>
      <c r="GB55" s="109">
        <f>GD55-GC55</f>
        <v>0</v>
      </c>
      <c r="GC55" s="109">
        <f>GD55/(1+AM55)*AM55</f>
        <v>0</v>
      </c>
      <c r="GD55" s="109"/>
      <c r="GE55" s="109"/>
      <c r="GF55" s="166"/>
      <c r="GG55" s="166"/>
      <c r="GH55" s="165"/>
      <c r="GI55" s="109">
        <f>GK55-GJ55</f>
        <v>0</v>
      </c>
      <c r="GJ55" s="109">
        <f>GK55/(1+AM55)*AM55</f>
        <v>0</v>
      </c>
      <c r="GK55" s="109"/>
      <c r="GL55" s="109"/>
      <c r="GM55" s="166"/>
      <c r="GN55" s="166"/>
      <c r="GO55" s="165"/>
      <c r="GP55" s="109">
        <f>GR55-GQ55</f>
        <v>0</v>
      </c>
      <c r="GQ55" s="109">
        <f>GR55/(1+AM55)*AM55</f>
        <v>0</v>
      </c>
      <c r="GR55" s="109"/>
      <c r="GS55" s="109"/>
      <c r="GT55" s="166"/>
      <c r="GU55" s="166"/>
      <c r="GV55" s="165"/>
      <c r="GW55" s="168">
        <f>GY55-GX55</f>
        <v>0</v>
      </c>
      <c r="GX55" s="168">
        <f>GY55/(1+AM55)*AM55</f>
        <v>0</v>
      </c>
      <c r="GY55" s="168"/>
      <c r="GZ55" s="168"/>
      <c r="HA55" s="166"/>
      <c r="HB55" s="166"/>
      <c r="HC55" s="165"/>
      <c r="HD55" s="109">
        <f>HF55-HE55</f>
        <v>0</v>
      </c>
      <c r="HE55" s="109">
        <f>HF55/(1+AM55)*AM55</f>
        <v>0</v>
      </c>
      <c r="HF55" s="109"/>
      <c r="HG55" s="109"/>
      <c r="HH55" s="166"/>
      <c r="HI55" s="166"/>
      <c r="HJ55" s="165"/>
      <c r="HK55" s="109">
        <f>HM55-HL55</f>
        <v>0</v>
      </c>
      <c r="HL55" s="109">
        <f>HM55/(1+AM55)*AM55</f>
        <v>0</v>
      </c>
      <c r="HM55" s="109"/>
      <c r="HN55" s="109"/>
      <c r="HO55" s="166"/>
      <c r="HP55" s="166"/>
      <c r="HQ55" s="165"/>
      <c r="HR55" s="109">
        <f>HT55-HS55</f>
        <v>0</v>
      </c>
      <c r="HS55" s="109">
        <f>HT55/(1+AM55)*AM55</f>
        <v>0</v>
      </c>
      <c r="HT55" s="109"/>
      <c r="HU55" s="109"/>
      <c r="HV55" s="166"/>
      <c r="HW55" s="166"/>
      <c r="HX55" s="105">
        <f t="shared" si="86"/>
        <v>5336.2068965517237</v>
      </c>
      <c r="HY55" s="105">
        <f t="shared" si="83"/>
        <v>853.79310344827593</v>
      </c>
      <c r="HZ55" s="105">
        <f t="shared" si="83"/>
        <v>6190</v>
      </c>
      <c r="IA55" s="105">
        <f t="shared" si="68"/>
        <v>0</v>
      </c>
      <c r="IB55" s="109">
        <f t="shared" si="69"/>
        <v>86610</v>
      </c>
      <c r="IC55" s="109">
        <f t="shared" si="70"/>
        <v>74663.793103448275</v>
      </c>
      <c r="ID55" s="109">
        <f t="shared" si="71"/>
        <v>0</v>
      </c>
      <c r="IE55" s="109">
        <f t="shared" ca="1" si="72"/>
        <v>15</v>
      </c>
      <c r="IF55" s="139">
        <f t="shared" si="73"/>
        <v>1.0005387931034482</v>
      </c>
      <c r="IG55" s="139">
        <f t="shared" ca="1" si="74"/>
        <v>46</v>
      </c>
      <c r="IH55" s="169">
        <f t="shared" ca="1" si="75"/>
        <v>1.5333333333333334</v>
      </c>
      <c r="II55" s="139">
        <f t="shared" ca="1" si="76"/>
        <v>0.53279454022988526</v>
      </c>
      <c r="IJ55" s="169">
        <f t="shared" ca="1" si="77"/>
        <v>15.983836206896559</v>
      </c>
      <c r="IK55" s="169">
        <f t="shared" ca="1" si="84"/>
        <v>0.53279454022988526</v>
      </c>
      <c r="IL55" s="170">
        <f t="shared" ca="1" si="78"/>
        <v>3296.2222222222235</v>
      </c>
      <c r="IM55" s="171"/>
      <c r="IN55" s="171"/>
      <c r="IO55" s="171"/>
      <c r="IP55" s="171"/>
    </row>
    <row r="56" spans="1:250" ht="15" customHeight="1" thickBot="1" x14ac:dyDescent="0.35">
      <c r="A56" s="110">
        <f t="shared" si="79"/>
        <v>52</v>
      </c>
      <c r="B56" s="111" t="s">
        <v>170</v>
      </c>
      <c r="C56" s="111" t="s">
        <v>171</v>
      </c>
      <c r="D56" s="111">
        <v>102</v>
      </c>
      <c r="E56" s="111" t="s">
        <v>253</v>
      </c>
      <c r="F56" s="111"/>
      <c r="G56" s="111" t="s">
        <v>727</v>
      </c>
      <c r="H56" s="111">
        <v>1021100166</v>
      </c>
      <c r="I56" s="146" t="str">
        <f t="shared" si="0"/>
        <v>1100166</v>
      </c>
      <c r="J56" s="145" t="str">
        <f t="shared" si="1"/>
        <v>KN1100166</v>
      </c>
      <c r="K56" s="111" t="s">
        <v>728</v>
      </c>
      <c r="L56" s="111" t="s">
        <v>729</v>
      </c>
      <c r="M56" s="111" t="s">
        <v>730</v>
      </c>
      <c r="N56" s="111" t="s">
        <v>138</v>
      </c>
      <c r="O56" s="111"/>
      <c r="P56" s="111" t="s">
        <v>731</v>
      </c>
      <c r="Q56" s="148">
        <v>38100</v>
      </c>
      <c r="R56" s="111" t="s">
        <v>170</v>
      </c>
      <c r="S56" s="111">
        <f t="shared" ca="1" si="85"/>
        <v>21</v>
      </c>
      <c r="T56" s="111" t="s">
        <v>229</v>
      </c>
      <c r="U56" s="111" t="s">
        <v>217</v>
      </c>
      <c r="V56" s="181">
        <v>775246046</v>
      </c>
      <c r="W56" s="111"/>
      <c r="X56" s="111" t="s">
        <v>181</v>
      </c>
      <c r="Y56" s="111">
        <v>11</v>
      </c>
      <c r="Z56" s="111" t="s">
        <v>732</v>
      </c>
      <c r="AA56" s="111" t="s">
        <v>733</v>
      </c>
      <c r="AB56" s="111" t="s">
        <v>734</v>
      </c>
      <c r="AC56" s="111" t="s">
        <v>146</v>
      </c>
      <c r="AD56" s="111" t="s">
        <v>147</v>
      </c>
      <c r="AE56" s="173" t="s">
        <v>136</v>
      </c>
      <c r="AF56" s="173" t="s">
        <v>136</v>
      </c>
      <c r="AG56" s="174">
        <v>45956</v>
      </c>
      <c r="AH56" s="175">
        <v>300000</v>
      </c>
      <c r="AI56" s="111">
        <v>16</v>
      </c>
      <c r="AJ56" s="111">
        <v>0</v>
      </c>
      <c r="AK56" s="150">
        <f t="shared" si="80"/>
        <v>16</v>
      </c>
      <c r="AL56" s="177">
        <v>300000</v>
      </c>
      <c r="AM56" s="176">
        <v>0.16</v>
      </c>
      <c r="AN56" s="177">
        <f t="shared" si="92"/>
        <v>48000</v>
      </c>
      <c r="AO56" s="157">
        <f t="shared" si="96"/>
        <v>348000</v>
      </c>
      <c r="AP56" s="158">
        <f t="shared" si="3"/>
        <v>21750</v>
      </c>
      <c r="AQ56" s="111" t="s">
        <v>136</v>
      </c>
      <c r="AR56" s="111" t="s">
        <v>170</v>
      </c>
      <c r="AS56" s="111" t="s">
        <v>217</v>
      </c>
      <c r="AT56" s="111" t="s">
        <v>289</v>
      </c>
      <c r="AU56" s="111" t="s">
        <v>229</v>
      </c>
      <c r="AV56" s="111">
        <v>6</v>
      </c>
      <c r="AW56" s="111" t="s">
        <v>136</v>
      </c>
      <c r="AX56" s="111" t="s">
        <v>136</v>
      </c>
      <c r="AY56" s="111" t="s">
        <v>136</v>
      </c>
      <c r="AZ56" s="111" t="s">
        <v>136</v>
      </c>
      <c r="BA56" s="111" t="s">
        <v>136</v>
      </c>
      <c r="BB56" s="111" t="s">
        <v>136</v>
      </c>
      <c r="BC56" s="111" t="s">
        <v>136</v>
      </c>
      <c r="BD56" s="111" t="s">
        <v>136</v>
      </c>
      <c r="BE56" s="111" t="s">
        <v>136</v>
      </c>
      <c r="BF56" s="111" t="s">
        <v>136</v>
      </c>
      <c r="BG56" s="111" t="s">
        <v>136</v>
      </c>
      <c r="BH56" s="111" t="s">
        <v>136</v>
      </c>
      <c r="BI56" s="111" t="s">
        <v>136</v>
      </c>
      <c r="BJ56" s="111" t="s">
        <v>136</v>
      </c>
      <c r="BK56" s="111" t="s">
        <v>136</v>
      </c>
      <c r="BL56" s="111" t="s">
        <v>136</v>
      </c>
      <c r="BM56" s="111" t="s">
        <v>136</v>
      </c>
      <c r="BN56" s="111" t="s">
        <v>136</v>
      </c>
      <c r="BO56" s="111" t="s">
        <v>136</v>
      </c>
      <c r="BP56" s="111" t="s">
        <v>735</v>
      </c>
      <c r="BQ56" s="111" t="s">
        <v>736</v>
      </c>
      <c r="BR56" s="111" t="s">
        <v>737</v>
      </c>
      <c r="BS56" s="111" t="s">
        <v>738</v>
      </c>
      <c r="BT56" s="182" t="s">
        <v>739</v>
      </c>
      <c r="BU56" s="111" t="s">
        <v>229</v>
      </c>
      <c r="BV56" s="111" t="s">
        <v>217</v>
      </c>
      <c r="BW56" s="111"/>
      <c r="BX56" s="111"/>
      <c r="BY56" s="111"/>
      <c r="BZ56" s="111"/>
      <c r="CA56" s="111"/>
      <c r="CB56" s="111"/>
      <c r="CC56" s="178"/>
      <c r="CD56" s="177">
        <f t="shared" si="4"/>
        <v>300000</v>
      </c>
      <c r="CE56" s="148">
        <v>45988</v>
      </c>
      <c r="CF56" s="111">
        <f t="shared" si="5"/>
        <v>16</v>
      </c>
      <c r="CG56" s="177">
        <f t="shared" si="6"/>
        <v>348000</v>
      </c>
      <c r="CH56" s="203">
        <f t="shared" si="95"/>
        <v>0</v>
      </c>
      <c r="CI56" s="148">
        <v>45988</v>
      </c>
      <c r="CJ56" s="161">
        <f t="shared" si="81"/>
        <v>46018</v>
      </c>
      <c r="CK56" s="162">
        <f t="shared" si="82"/>
        <v>46473</v>
      </c>
      <c r="CL56" s="183"/>
      <c r="CM56" s="164">
        <f t="shared" ca="1" si="8"/>
        <v>46054</v>
      </c>
      <c r="CN56" s="165">
        <f t="shared" si="9"/>
        <v>46018</v>
      </c>
      <c r="CO56" s="109">
        <f t="shared" si="10"/>
        <v>18750</v>
      </c>
      <c r="CP56" s="109">
        <f t="shared" si="11"/>
        <v>3000</v>
      </c>
      <c r="CQ56" s="109">
        <v>21750</v>
      </c>
      <c r="CR56" s="109">
        <f t="shared" si="12"/>
        <v>0</v>
      </c>
      <c r="CS56" s="166">
        <v>46028</v>
      </c>
      <c r="CT56" s="167">
        <f t="shared" si="13"/>
        <v>10</v>
      </c>
      <c r="CU56" s="165">
        <f t="shared" si="14"/>
        <v>46049</v>
      </c>
      <c r="CV56" s="109">
        <f t="shared" si="15"/>
        <v>18750</v>
      </c>
      <c r="CW56" s="109">
        <f t="shared" si="16"/>
        <v>3000</v>
      </c>
      <c r="CX56" s="109">
        <v>21750</v>
      </c>
      <c r="CY56" s="109">
        <f t="shared" si="17"/>
        <v>0</v>
      </c>
      <c r="CZ56" s="166">
        <v>46028</v>
      </c>
      <c r="DA56" s="167">
        <f t="shared" si="18"/>
        <v>0</v>
      </c>
      <c r="DB56" s="165">
        <f t="shared" si="19"/>
        <v>46080</v>
      </c>
      <c r="DC56" s="109">
        <f t="shared" si="20"/>
        <v>0</v>
      </c>
      <c r="DD56" s="109">
        <f t="shared" si="21"/>
        <v>0</v>
      </c>
      <c r="DE56" s="109"/>
      <c r="DF56" s="109">
        <f t="shared" si="22"/>
        <v>0</v>
      </c>
      <c r="DG56" s="166">
        <f t="shared" ca="1" si="106"/>
        <v>46054</v>
      </c>
      <c r="DH56" s="167">
        <f t="shared" ca="1" si="23"/>
        <v>0</v>
      </c>
      <c r="DI56" s="165">
        <f t="shared" si="24"/>
        <v>46108</v>
      </c>
      <c r="DJ56" s="109">
        <f t="shared" si="25"/>
        <v>0</v>
      </c>
      <c r="DK56" s="109">
        <f t="shared" si="26"/>
        <v>0</v>
      </c>
      <c r="DL56" s="109">
        <v>0</v>
      </c>
      <c r="DM56" s="109">
        <f t="shared" si="27"/>
        <v>0</v>
      </c>
      <c r="DN56" s="166">
        <f t="shared" ca="1" si="87"/>
        <v>46054</v>
      </c>
      <c r="DO56" s="167">
        <f t="shared" ca="1" si="28"/>
        <v>0</v>
      </c>
      <c r="DP56" s="165">
        <f t="shared" si="93"/>
        <v>46139</v>
      </c>
      <c r="DQ56" s="109">
        <f t="shared" si="29"/>
        <v>0</v>
      </c>
      <c r="DR56" s="109">
        <f t="shared" si="94"/>
        <v>0</v>
      </c>
      <c r="DS56" s="109"/>
      <c r="DT56" s="109">
        <f t="shared" si="30"/>
        <v>0</v>
      </c>
      <c r="DU56" s="166">
        <f t="shared" ca="1" si="88"/>
        <v>46054</v>
      </c>
      <c r="DV56" s="167">
        <f t="shared" ca="1" si="31"/>
        <v>0</v>
      </c>
      <c r="DW56" s="165">
        <f t="shared" si="32"/>
        <v>46169</v>
      </c>
      <c r="DX56" s="109">
        <f t="shared" si="33"/>
        <v>0</v>
      </c>
      <c r="DY56" s="109">
        <f t="shared" si="34"/>
        <v>0</v>
      </c>
      <c r="DZ56" s="109"/>
      <c r="EA56" s="109">
        <f t="shared" si="35"/>
        <v>0</v>
      </c>
      <c r="EB56" s="166">
        <f t="shared" ca="1" si="89"/>
        <v>46054</v>
      </c>
      <c r="EC56" s="167">
        <f t="shared" ca="1" si="36"/>
        <v>0</v>
      </c>
      <c r="ED56" s="165">
        <f t="shared" si="37"/>
        <v>46200</v>
      </c>
      <c r="EE56" s="109">
        <f t="shared" si="38"/>
        <v>0</v>
      </c>
      <c r="EF56" s="109">
        <f t="shared" si="39"/>
        <v>0</v>
      </c>
      <c r="EG56" s="109"/>
      <c r="EH56" s="109">
        <f t="shared" si="40"/>
        <v>0</v>
      </c>
      <c r="EI56" s="166">
        <f t="shared" ca="1" si="90"/>
        <v>46054</v>
      </c>
      <c r="EJ56" s="167">
        <f t="shared" ca="1" si="41"/>
        <v>0</v>
      </c>
      <c r="EK56" s="165">
        <f t="shared" si="42"/>
        <v>46230</v>
      </c>
      <c r="EL56" s="109">
        <f t="shared" si="43"/>
        <v>0</v>
      </c>
      <c r="EM56" s="109">
        <f t="shared" si="44"/>
        <v>0</v>
      </c>
      <c r="EN56" s="109"/>
      <c r="EO56" s="109">
        <f t="shared" si="45"/>
        <v>0</v>
      </c>
      <c r="EP56" s="166">
        <f t="shared" ca="1" si="91"/>
        <v>46054</v>
      </c>
      <c r="EQ56" s="167">
        <f t="shared" ca="1" si="46"/>
        <v>0</v>
      </c>
      <c r="ER56" s="165">
        <f t="shared" si="47"/>
        <v>46261</v>
      </c>
      <c r="ES56" s="109">
        <f t="shared" si="48"/>
        <v>0</v>
      </c>
      <c r="ET56" s="109">
        <f t="shared" si="49"/>
        <v>0</v>
      </c>
      <c r="EU56" s="109"/>
      <c r="EV56" s="109"/>
      <c r="EW56" s="166"/>
      <c r="EX56" s="166"/>
      <c r="EY56" s="165">
        <f t="shared" si="50"/>
        <v>46292</v>
      </c>
      <c r="EZ56" s="109">
        <f t="shared" si="51"/>
        <v>0</v>
      </c>
      <c r="FA56" s="109">
        <f t="shared" si="52"/>
        <v>0</v>
      </c>
      <c r="FB56" s="109"/>
      <c r="FC56" s="109"/>
      <c r="FD56" s="166"/>
      <c r="FE56" s="166"/>
      <c r="FF56" s="165">
        <f t="shared" si="53"/>
        <v>46322</v>
      </c>
      <c r="FG56" s="109">
        <f t="shared" si="54"/>
        <v>0</v>
      </c>
      <c r="FH56" s="109">
        <f t="shared" si="55"/>
        <v>0</v>
      </c>
      <c r="FI56" s="109"/>
      <c r="FJ56" s="109"/>
      <c r="FK56" s="166"/>
      <c r="FL56" s="166"/>
      <c r="FM56" s="165">
        <f t="shared" si="56"/>
        <v>46353</v>
      </c>
      <c r="FN56" s="109">
        <f t="shared" si="57"/>
        <v>0</v>
      </c>
      <c r="FO56" s="109">
        <f t="shared" si="58"/>
        <v>0</v>
      </c>
      <c r="FP56" s="109"/>
      <c r="FQ56" s="109"/>
      <c r="FR56" s="166"/>
      <c r="FS56" s="166"/>
      <c r="FT56" s="165">
        <f>EDATE(FM56,1)</f>
        <v>46383</v>
      </c>
      <c r="FU56" s="109">
        <f t="shared" si="108"/>
        <v>0</v>
      </c>
      <c r="FV56" s="109">
        <f t="shared" si="109"/>
        <v>0</v>
      </c>
      <c r="FW56" s="109"/>
      <c r="FX56" s="109"/>
      <c r="FY56" s="166"/>
      <c r="FZ56" s="166"/>
      <c r="GA56" s="165">
        <f>EDATE(FT56,1)</f>
        <v>46414</v>
      </c>
      <c r="GB56" s="109">
        <f>GD56-GC56</f>
        <v>0</v>
      </c>
      <c r="GC56" s="109">
        <f>GD56/(1+AM56)*AM56</f>
        <v>0</v>
      </c>
      <c r="GD56" s="109"/>
      <c r="GE56" s="109"/>
      <c r="GF56" s="166"/>
      <c r="GG56" s="166"/>
      <c r="GH56" s="165">
        <f>EDATE(GA56,1)</f>
        <v>46445</v>
      </c>
      <c r="GI56" s="109">
        <f>GK56-GJ56</f>
        <v>0</v>
      </c>
      <c r="GJ56" s="109">
        <f>GK56/(1+AM56)*AM56</f>
        <v>0</v>
      </c>
      <c r="GK56" s="109"/>
      <c r="GL56" s="109"/>
      <c r="GM56" s="166"/>
      <c r="GN56" s="166"/>
      <c r="GO56" s="165">
        <f>EDATE(GH56,1)</f>
        <v>46473</v>
      </c>
      <c r="GP56" s="109">
        <f>GR56-GQ56</f>
        <v>0</v>
      </c>
      <c r="GQ56" s="109">
        <f>GR56/(1+AM56)*AM56</f>
        <v>0</v>
      </c>
      <c r="GR56" s="109"/>
      <c r="GS56" s="109"/>
      <c r="GT56" s="166"/>
      <c r="GU56" s="166"/>
      <c r="GV56" s="165"/>
      <c r="GW56" s="168">
        <f>GY56-GX56</f>
        <v>0</v>
      </c>
      <c r="GX56" s="168">
        <f>GY56/(1+AM56)*AM56</f>
        <v>0</v>
      </c>
      <c r="GY56" s="168"/>
      <c r="GZ56" s="168"/>
      <c r="HA56" s="166"/>
      <c r="HB56" s="166"/>
      <c r="HC56" s="165"/>
      <c r="HD56" s="109">
        <f>HF56-HE56</f>
        <v>0</v>
      </c>
      <c r="HE56" s="109">
        <f>HF56/(1+AM56)*AM56</f>
        <v>0</v>
      </c>
      <c r="HF56" s="109"/>
      <c r="HG56" s="109"/>
      <c r="HH56" s="166"/>
      <c r="HI56" s="166"/>
      <c r="HJ56" s="165"/>
      <c r="HK56" s="109">
        <f>HM56-HL56</f>
        <v>0</v>
      </c>
      <c r="HL56" s="109">
        <f>HM56/(1+AM56)*AM56</f>
        <v>0</v>
      </c>
      <c r="HM56" s="109"/>
      <c r="HN56" s="109"/>
      <c r="HO56" s="166"/>
      <c r="HP56" s="166"/>
      <c r="HQ56" s="165"/>
      <c r="HR56" s="109">
        <f>HT56-HS56</f>
        <v>0</v>
      </c>
      <c r="HS56" s="109">
        <f>HT56/(1+AM56)*AM56</f>
        <v>0</v>
      </c>
      <c r="HT56" s="109"/>
      <c r="HU56" s="109"/>
      <c r="HV56" s="166"/>
      <c r="HW56" s="166"/>
      <c r="HX56" s="105">
        <f t="shared" si="86"/>
        <v>37500</v>
      </c>
      <c r="HY56" s="105">
        <f t="shared" si="83"/>
        <v>6000</v>
      </c>
      <c r="HZ56" s="105">
        <f t="shared" si="83"/>
        <v>43500</v>
      </c>
      <c r="IA56" s="105">
        <f t="shared" si="68"/>
        <v>0</v>
      </c>
      <c r="IB56" s="109">
        <f t="shared" si="69"/>
        <v>304500</v>
      </c>
      <c r="IC56" s="109">
        <f t="shared" si="70"/>
        <v>262500</v>
      </c>
      <c r="ID56" s="109">
        <f t="shared" si="71"/>
        <v>0</v>
      </c>
      <c r="IE56" s="109">
        <f t="shared" ca="1" si="72"/>
        <v>10</v>
      </c>
      <c r="IF56" s="139">
        <f t="shared" si="73"/>
        <v>2</v>
      </c>
      <c r="IG56" s="139">
        <f t="shared" ca="1" si="74"/>
        <v>36</v>
      </c>
      <c r="IH56" s="169">
        <f t="shared" ca="1" si="75"/>
        <v>1.2</v>
      </c>
      <c r="II56" s="139">
        <f t="shared" ca="1" si="76"/>
        <v>-0.8</v>
      </c>
      <c r="IJ56" s="169">
        <f t="shared" ca="1" si="77"/>
        <v>0</v>
      </c>
      <c r="IK56" s="169">
        <f t="shared" ca="1" si="84"/>
        <v>-0.8</v>
      </c>
      <c r="IL56" s="170">
        <f t="shared" ca="1" si="78"/>
        <v>-17400</v>
      </c>
      <c r="IM56" s="171"/>
      <c r="IN56" s="171"/>
      <c r="IO56" s="171"/>
      <c r="IP56" s="171"/>
    </row>
    <row r="57" spans="1:250" ht="15" customHeight="1" thickBot="1" x14ac:dyDescent="0.35">
      <c r="A57" s="110">
        <f t="shared" si="79"/>
        <v>53</v>
      </c>
      <c r="B57" s="111" t="s">
        <v>170</v>
      </c>
      <c r="C57" s="111" t="s">
        <v>171</v>
      </c>
      <c r="D57" s="111">
        <v>102</v>
      </c>
      <c r="E57" s="111" t="s">
        <v>253</v>
      </c>
      <c r="F57" s="111"/>
      <c r="G57" s="111" t="s">
        <v>740</v>
      </c>
      <c r="H57" s="111">
        <v>1021100167</v>
      </c>
      <c r="I57" s="146" t="str">
        <f t="shared" si="0"/>
        <v>1100167</v>
      </c>
      <c r="J57" s="145" t="str">
        <f t="shared" si="1"/>
        <v>KN1100167</v>
      </c>
      <c r="K57" s="111" t="s">
        <v>741</v>
      </c>
      <c r="L57" s="111" t="s">
        <v>361</v>
      </c>
      <c r="M57" s="111" t="s">
        <v>742</v>
      </c>
      <c r="N57" s="111" t="s">
        <v>138</v>
      </c>
      <c r="O57" s="111"/>
      <c r="P57" s="111" t="s">
        <v>743</v>
      </c>
      <c r="Q57" s="148">
        <v>34116</v>
      </c>
      <c r="R57" s="111" t="s">
        <v>170</v>
      </c>
      <c r="S57" s="111">
        <f t="shared" ca="1" si="85"/>
        <v>32</v>
      </c>
      <c r="T57" s="111" t="s">
        <v>744</v>
      </c>
      <c r="U57" s="111" t="s">
        <v>745</v>
      </c>
      <c r="V57" s="181">
        <v>707190553</v>
      </c>
      <c r="W57" s="111"/>
      <c r="X57" s="111" t="s">
        <v>181</v>
      </c>
      <c r="Y57" s="111">
        <v>11</v>
      </c>
      <c r="Z57" s="111" t="s">
        <v>235</v>
      </c>
      <c r="AA57" s="111" t="s">
        <v>261</v>
      </c>
      <c r="AB57" s="111" t="s">
        <v>236</v>
      </c>
      <c r="AC57" s="111" t="s">
        <v>146</v>
      </c>
      <c r="AD57" s="111" t="s">
        <v>147</v>
      </c>
      <c r="AE57" s="173" t="s">
        <v>136</v>
      </c>
      <c r="AF57" s="173" t="s">
        <v>136</v>
      </c>
      <c r="AG57" s="174">
        <v>45890</v>
      </c>
      <c r="AH57" s="175">
        <v>120000</v>
      </c>
      <c r="AI57" s="111">
        <v>16</v>
      </c>
      <c r="AJ57" s="111">
        <v>0</v>
      </c>
      <c r="AK57" s="150">
        <f t="shared" si="80"/>
        <v>16</v>
      </c>
      <c r="AL57" s="177">
        <v>120000</v>
      </c>
      <c r="AM57" s="176">
        <v>0.16</v>
      </c>
      <c r="AN57" s="177">
        <f t="shared" si="92"/>
        <v>19200</v>
      </c>
      <c r="AO57" s="157">
        <f t="shared" si="96"/>
        <v>139200</v>
      </c>
      <c r="AP57" s="158">
        <f t="shared" si="3"/>
        <v>8700</v>
      </c>
      <c r="AQ57" s="111" t="s">
        <v>136</v>
      </c>
      <c r="AR57" s="111" t="s">
        <v>170</v>
      </c>
      <c r="AS57" s="111" t="s">
        <v>745</v>
      </c>
      <c r="AT57" s="111" t="s">
        <v>746</v>
      </c>
      <c r="AU57" s="111" t="s">
        <v>744</v>
      </c>
      <c r="AV57" s="111">
        <v>9</v>
      </c>
      <c r="AW57" s="111" t="s">
        <v>136</v>
      </c>
      <c r="AX57" s="111" t="s">
        <v>136</v>
      </c>
      <c r="AY57" s="111" t="s">
        <v>136</v>
      </c>
      <c r="AZ57" s="111" t="s">
        <v>136</v>
      </c>
      <c r="BA57" s="111" t="s">
        <v>136</v>
      </c>
      <c r="BB57" s="111" t="s">
        <v>136</v>
      </c>
      <c r="BC57" s="111" t="s">
        <v>136</v>
      </c>
      <c r="BD57" s="111" t="s">
        <v>136</v>
      </c>
      <c r="BE57" s="111" t="s">
        <v>136</v>
      </c>
      <c r="BF57" s="111" t="s">
        <v>136</v>
      </c>
      <c r="BG57" s="111" t="s">
        <v>136</v>
      </c>
      <c r="BH57" s="111" t="s">
        <v>136</v>
      </c>
      <c r="BI57" s="111" t="s">
        <v>136</v>
      </c>
      <c r="BJ57" s="111" t="s">
        <v>136</v>
      </c>
      <c r="BK57" s="111" t="s">
        <v>136</v>
      </c>
      <c r="BL57" s="111" t="s">
        <v>136</v>
      </c>
      <c r="BM57" s="111" t="s">
        <v>136</v>
      </c>
      <c r="BN57" s="111" t="s">
        <v>136</v>
      </c>
      <c r="BO57" s="111" t="s">
        <v>136</v>
      </c>
      <c r="BP57" s="111" t="s">
        <v>747</v>
      </c>
      <c r="BQ57" s="111" t="s">
        <v>748</v>
      </c>
      <c r="BR57" s="111" t="s">
        <v>749</v>
      </c>
      <c r="BS57" s="111" t="s">
        <v>750</v>
      </c>
      <c r="BT57" s="182" t="s">
        <v>751</v>
      </c>
      <c r="BU57" s="111" t="s">
        <v>469</v>
      </c>
      <c r="BV57" s="111" t="s">
        <v>470</v>
      </c>
      <c r="BW57" s="111"/>
      <c r="BX57" s="111"/>
      <c r="BY57" s="111"/>
      <c r="BZ57" s="111"/>
      <c r="CA57" s="111"/>
      <c r="CB57" s="111"/>
      <c r="CC57" s="178"/>
      <c r="CD57" s="177">
        <f t="shared" si="4"/>
        <v>120000</v>
      </c>
      <c r="CE57" s="148">
        <v>45988</v>
      </c>
      <c r="CF57" s="111">
        <f t="shared" si="5"/>
        <v>16</v>
      </c>
      <c r="CG57" s="177">
        <f t="shared" si="6"/>
        <v>139200</v>
      </c>
      <c r="CH57" s="203">
        <f t="shared" si="95"/>
        <v>0</v>
      </c>
      <c r="CI57" s="148">
        <v>45988</v>
      </c>
      <c r="CJ57" s="161">
        <f t="shared" si="81"/>
        <v>46018</v>
      </c>
      <c r="CK57" s="162">
        <f t="shared" si="82"/>
        <v>46473</v>
      </c>
      <c r="CL57" s="183"/>
      <c r="CM57" s="164">
        <f t="shared" ca="1" si="8"/>
        <v>46054</v>
      </c>
      <c r="CN57" s="165">
        <f t="shared" si="9"/>
        <v>46018</v>
      </c>
      <c r="CO57" s="109">
        <f t="shared" si="10"/>
        <v>7500</v>
      </c>
      <c r="CP57" s="109">
        <f t="shared" si="11"/>
        <v>1200.0000000000002</v>
      </c>
      <c r="CQ57" s="109">
        <v>8700</v>
      </c>
      <c r="CR57" s="109">
        <f t="shared" si="12"/>
        <v>0</v>
      </c>
      <c r="CS57" s="166">
        <v>46028</v>
      </c>
      <c r="CT57" s="167">
        <f t="shared" si="13"/>
        <v>10</v>
      </c>
      <c r="CU57" s="165">
        <f t="shared" si="14"/>
        <v>46049</v>
      </c>
      <c r="CV57" s="109">
        <f t="shared" si="15"/>
        <v>7500</v>
      </c>
      <c r="CW57" s="109">
        <f t="shared" si="16"/>
        <v>1200.0000000000002</v>
      </c>
      <c r="CX57" s="109">
        <v>8700</v>
      </c>
      <c r="CY57" s="109">
        <f t="shared" si="17"/>
        <v>0</v>
      </c>
      <c r="CZ57" s="166">
        <v>46028</v>
      </c>
      <c r="DA57" s="167">
        <f t="shared" si="18"/>
        <v>0</v>
      </c>
      <c r="DB57" s="165">
        <f t="shared" si="19"/>
        <v>46080</v>
      </c>
      <c r="DC57" s="109">
        <f t="shared" si="20"/>
        <v>0</v>
      </c>
      <c r="DD57" s="109">
        <f t="shared" si="21"/>
        <v>0</v>
      </c>
      <c r="DE57" s="109"/>
      <c r="DF57" s="109">
        <f t="shared" si="22"/>
        <v>0</v>
      </c>
      <c r="DG57" s="166">
        <f t="shared" ca="1" si="106"/>
        <v>46054</v>
      </c>
      <c r="DH57" s="167">
        <f t="shared" ca="1" si="23"/>
        <v>0</v>
      </c>
      <c r="DI57" s="165">
        <f t="shared" si="24"/>
        <v>46108</v>
      </c>
      <c r="DJ57" s="109">
        <f t="shared" si="25"/>
        <v>0</v>
      </c>
      <c r="DK57" s="109">
        <f t="shared" si="26"/>
        <v>0</v>
      </c>
      <c r="DL57" s="109">
        <v>0</v>
      </c>
      <c r="DM57" s="109">
        <f t="shared" si="27"/>
        <v>0</v>
      </c>
      <c r="DN57" s="166">
        <f t="shared" ca="1" si="87"/>
        <v>46054</v>
      </c>
      <c r="DO57" s="167">
        <f t="shared" ca="1" si="28"/>
        <v>0</v>
      </c>
      <c r="DP57" s="165">
        <f t="shared" si="93"/>
        <v>46139</v>
      </c>
      <c r="DQ57" s="109">
        <f t="shared" si="29"/>
        <v>0</v>
      </c>
      <c r="DR57" s="109">
        <f t="shared" si="94"/>
        <v>0</v>
      </c>
      <c r="DS57" s="109"/>
      <c r="DT57" s="109">
        <f t="shared" si="30"/>
        <v>0</v>
      </c>
      <c r="DU57" s="166">
        <f t="shared" ca="1" si="88"/>
        <v>46054</v>
      </c>
      <c r="DV57" s="167">
        <f t="shared" ca="1" si="31"/>
        <v>0</v>
      </c>
      <c r="DW57" s="165">
        <f t="shared" si="32"/>
        <v>46169</v>
      </c>
      <c r="DX57" s="109">
        <f t="shared" si="33"/>
        <v>0</v>
      </c>
      <c r="DY57" s="109">
        <f t="shared" si="34"/>
        <v>0</v>
      </c>
      <c r="DZ57" s="109"/>
      <c r="EA57" s="109">
        <f t="shared" si="35"/>
        <v>0</v>
      </c>
      <c r="EB57" s="166">
        <f t="shared" ca="1" si="89"/>
        <v>46054</v>
      </c>
      <c r="EC57" s="167">
        <f t="shared" ca="1" si="36"/>
        <v>0</v>
      </c>
      <c r="ED57" s="165">
        <f t="shared" si="37"/>
        <v>46200</v>
      </c>
      <c r="EE57" s="109">
        <f t="shared" si="38"/>
        <v>0</v>
      </c>
      <c r="EF57" s="109">
        <f t="shared" si="39"/>
        <v>0</v>
      </c>
      <c r="EG57" s="109"/>
      <c r="EH57" s="109">
        <f t="shared" si="40"/>
        <v>0</v>
      </c>
      <c r="EI57" s="166">
        <f t="shared" ca="1" si="90"/>
        <v>46054</v>
      </c>
      <c r="EJ57" s="167">
        <f t="shared" ca="1" si="41"/>
        <v>0</v>
      </c>
      <c r="EK57" s="165">
        <f t="shared" si="42"/>
        <v>46230</v>
      </c>
      <c r="EL57" s="109">
        <f t="shared" si="43"/>
        <v>0</v>
      </c>
      <c r="EM57" s="109">
        <f t="shared" si="44"/>
        <v>0</v>
      </c>
      <c r="EN57" s="109"/>
      <c r="EO57" s="109">
        <f t="shared" si="45"/>
        <v>0</v>
      </c>
      <c r="EP57" s="166">
        <f t="shared" ca="1" si="91"/>
        <v>46054</v>
      </c>
      <c r="EQ57" s="167">
        <f t="shared" ca="1" si="46"/>
        <v>0</v>
      </c>
      <c r="ER57" s="165">
        <f t="shared" si="47"/>
        <v>46261</v>
      </c>
      <c r="ES57" s="109">
        <f t="shared" si="48"/>
        <v>0</v>
      </c>
      <c r="ET57" s="109">
        <f t="shared" si="49"/>
        <v>0</v>
      </c>
      <c r="EU57" s="109"/>
      <c r="EV57" s="109"/>
      <c r="EW57" s="166"/>
      <c r="EX57" s="166"/>
      <c r="EY57" s="165">
        <f t="shared" si="50"/>
        <v>46292</v>
      </c>
      <c r="EZ57" s="109">
        <f t="shared" si="51"/>
        <v>0</v>
      </c>
      <c r="FA57" s="109">
        <f t="shared" si="52"/>
        <v>0</v>
      </c>
      <c r="FB57" s="109"/>
      <c r="FC57" s="109"/>
      <c r="FD57" s="166"/>
      <c r="FE57" s="166"/>
      <c r="FF57" s="165">
        <f t="shared" si="53"/>
        <v>46322</v>
      </c>
      <c r="FG57" s="109">
        <f t="shared" si="54"/>
        <v>0</v>
      </c>
      <c r="FH57" s="109">
        <f t="shared" si="55"/>
        <v>0</v>
      </c>
      <c r="FI57" s="109"/>
      <c r="FJ57" s="109"/>
      <c r="FK57" s="166"/>
      <c r="FL57" s="166"/>
      <c r="FM57" s="165">
        <f t="shared" si="56"/>
        <v>46353</v>
      </c>
      <c r="FN57" s="109">
        <f t="shared" si="57"/>
        <v>0</v>
      </c>
      <c r="FO57" s="109">
        <f t="shared" si="58"/>
        <v>0</v>
      </c>
      <c r="FP57" s="109"/>
      <c r="FQ57" s="109"/>
      <c r="FR57" s="166"/>
      <c r="FS57" s="166"/>
      <c r="FT57" s="165">
        <f>EDATE(FM57,1)</f>
        <v>46383</v>
      </c>
      <c r="FU57" s="109">
        <f t="shared" si="108"/>
        <v>0</v>
      </c>
      <c r="FV57" s="109">
        <f t="shared" si="109"/>
        <v>0</v>
      </c>
      <c r="FW57" s="109"/>
      <c r="FX57" s="109"/>
      <c r="FY57" s="166"/>
      <c r="FZ57" s="166"/>
      <c r="GA57" s="165">
        <f>EDATE(FT57,1)</f>
        <v>46414</v>
      </c>
      <c r="GB57" s="109">
        <f>GD57-GC57</f>
        <v>0</v>
      </c>
      <c r="GC57" s="109">
        <f>GD57/(1+AM57)*AM57</f>
        <v>0</v>
      </c>
      <c r="GD57" s="109"/>
      <c r="GE57" s="109"/>
      <c r="GF57" s="166"/>
      <c r="GG57" s="166"/>
      <c r="GH57" s="165">
        <f>EDATE(GA57,1)</f>
        <v>46445</v>
      </c>
      <c r="GI57" s="109">
        <f>GK57-GJ57</f>
        <v>0</v>
      </c>
      <c r="GJ57" s="109">
        <f>GK57/(1+AM57)*AM57</f>
        <v>0</v>
      </c>
      <c r="GK57" s="109"/>
      <c r="GL57" s="109"/>
      <c r="GM57" s="166"/>
      <c r="GN57" s="166"/>
      <c r="GO57" s="165">
        <f>EDATE(GH57,1)</f>
        <v>46473</v>
      </c>
      <c r="GP57" s="109">
        <f>GR57-GQ57</f>
        <v>0</v>
      </c>
      <c r="GQ57" s="109">
        <f>GR57/(1+AM57)*AM57</f>
        <v>0</v>
      </c>
      <c r="GR57" s="109"/>
      <c r="GS57" s="109"/>
      <c r="GT57" s="166"/>
      <c r="GU57" s="166"/>
      <c r="GV57" s="165"/>
      <c r="GW57" s="168">
        <f>GY57-GX57</f>
        <v>0</v>
      </c>
      <c r="GX57" s="168">
        <f>GY57/(1+AM57)*AM57</f>
        <v>0</v>
      </c>
      <c r="GY57" s="168"/>
      <c r="GZ57" s="168"/>
      <c r="HA57" s="166"/>
      <c r="HB57" s="166"/>
      <c r="HC57" s="165"/>
      <c r="HD57" s="109">
        <f>HF57-HE57</f>
        <v>0</v>
      </c>
      <c r="HE57" s="109">
        <f>HF57/(1+AM57)*AM57</f>
        <v>0</v>
      </c>
      <c r="HF57" s="109"/>
      <c r="HG57" s="109"/>
      <c r="HH57" s="166"/>
      <c r="HI57" s="166"/>
      <c r="HJ57" s="165"/>
      <c r="HK57" s="109">
        <f>HM57-HL57</f>
        <v>0</v>
      </c>
      <c r="HL57" s="109">
        <f>HM57/(1+AM57)*AM57</f>
        <v>0</v>
      </c>
      <c r="HM57" s="109"/>
      <c r="HN57" s="109"/>
      <c r="HO57" s="166"/>
      <c r="HP57" s="166"/>
      <c r="HQ57" s="165"/>
      <c r="HR57" s="109">
        <f>HT57-HS57</f>
        <v>0</v>
      </c>
      <c r="HS57" s="109">
        <f>HT57/(1+AM57)*AM57</f>
        <v>0</v>
      </c>
      <c r="HT57" s="109"/>
      <c r="HU57" s="109"/>
      <c r="HV57" s="166"/>
      <c r="HW57" s="166"/>
      <c r="HX57" s="105">
        <f t="shared" si="86"/>
        <v>15000</v>
      </c>
      <c r="HY57" s="105">
        <f t="shared" si="83"/>
        <v>2400.0000000000005</v>
      </c>
      <c r="HZ57" s="105">
        <f t="shared" si="83"/>
        <v>17400</v>
      </c>
      <c r="IA57" s="105">
        <f t="shared" si="68"/>
        <v>0</v>
      </c>
      <c r="IB57" s="109">
        <f t="shared" si="69"/>
        <v>121800</v>
      </c>
      <c r="IC57" s="109">
        <f t="shared" si="70"/>
        <v>105000</v>
      </c>
      <c r="ID57" s="109">
        <f t="shared" si="71"/>
        <v>0</v>
      </c>
      <c r="IE57" s="109">
        <f t="shared" ca="1" si="72"/>
        <v>10</v>
      </c>
      <c r="IF57" s="139">
        <f t="shared" si="73"/>
        <v>2</v>
      </c>
      <c r="IG57" s="139">
        <f t="shared" ca="1" si="74"/>
        <v>36</v>
      </c>
      <c r="IH57" s="169">
        <f t="shared" ca="1" si="75"/>
        <v>1.2</v>
      </c>
      <c r="II57" s="139">
        <f t="shared" ca="1" si="76"/>
        <v>-0.8</v>
      </c>
      <c r="IJ57" s="169">
        <f t="shared" ca="1" si="77"/>
        <v>0</v>
      </c>
      <c r="IK57" s="169">
        <f t="shared" ca="1" si="84"/>
        <v>-0.8</v>
      </c>
      <c r="IL57" s="170">
        <f t="shared" ca="1" si="78"/>
        <v>-6960</v>
      </c>
      <c r="IM57" s="171"/>
      <c r="IN57" s="171"/>
      <c r="IO57" s="171"/>
      <c r="IP57" s="171"/>
    </row>
    <row r="58" spans="1:250" ht="15" thickBot="1" x14ac:dyDescent="0.35">
      <c r="A58" s="110">
        <f t="shared" si="79"/>
        <v>54</v>
      </c>
      <c r="B58" s="111" t="s">
        <v>170</v>
      </c>
      <c r="C58" s="111" t="s">
        <v>171</v>
      </c>
      <c r="D58" s="111">
        <v>102</v>
      </c>
      <c r="E58" s="111" t="s">
        <v>253</v>
      </c>
      <c r="F58" s="111"/>
      <c r="G58" s="111" t="s">
        <v>752</v>
      </c>
      <c r="H58" s="111">
        <v>1021100168</v>
      </c>
      <c r="I58" s="146" t="str">
        <f t="shared" si="0"/>
        <v>1100168</v>
      </c>
      <c r="J58" s="145" t="str">
        <f t="shared" si="1"/>
        <v>KN1100168</v>
      </c>
      <c r="K58" s="111" t="s">
        <v>753</v>
      </c>
      <c r="L58" s="111" t="s">
        <v>754</v>
      </c>
      <c r="M58" s="111" t="s">
        <v>755</v>
      </c>
      <c r="N58" s="111" t="s">
        <v>138</v>
      </c>
      <c r="O58" s="111"/>
      <c r="P58" s="111" t="s">
        <v>756</v>
      </c>
      <c r="Q58" s="148">
        <v>37969</v>
      </c>
      <c r="R58" s="111" t="s">
        <v>170</v>
      </c>
      <c r="S58" s="111">
        <f t="shared" ca="1" si="85"/>
        <v>22</v>
      </c>
      <c r="T58" s="111" t="s">
        <v>229</v>
      </c>
      <c r="U58" s="111" t="s">
        <v>217</v>
      </c>
      <c r="V58" s="181">
        <v>775785850</v>
      </c>
      <c r="W58" s="111"/>
      <c r="X58" s="111" t="s">
        <v>181</v>
      </c>
      <c r="Y58" s="111">
        <v>11</v>
      </c>
      <c r="Z58" s="111" t="s">
        <v>235</v>
      </c>
      <c r="AA58" s="111" t="s">
        <v>261</v>
      </c>
      <c r="AB58" s="111" t="s">
        <v>236</v>
      </c>
      <c r="AC58" s="111" t="s">
        <v>146</v>
      </c>
      <c r="AD58" s="111" t="s">
        <v>147</v>
      </c>
      <c r="AE58" s="173" t="s">
        <v>136</v>
      </c>
      <c r="AF58" s="173" t="s">
        <v>136</v>
      </c>
      <c r="AG58" s="174">
        <v>45902</v>
      </c>
      <c r="AH58" s="175">
        <v>600000</v>
      </c>
      <c r="AI58" s="111">
        <v>20</v>
      </c>
      <c r="AJ58" s="111">
        <v>0</v>
      </c>
      <c r="AK58" s="150">
        <f t="shared" si="80"/>
        <v>20</v>
      </c>
      <c r="AL58" s="177">
        <v>600000</v>
      </c>
      <c r="AM58" s="176">
        <v>0.16</v>
      </c>
      <c r="AN58" s="177">
        <f t="shared" si="92"/>
        <v>96000</v>
      </c>
      <c r="AO58" s="157">
        <f t="shared" si="96"/>
        <v>696000</v>
      </c>
      <c r="AP58" s="158">
        <f t="shared" si="3"/>
        <v>34800</v>
      </c>
      <c r="AQ58" s="111" t="s">
        <v>136</v>
      </c>
      <c r="AR58" s="111" t="s">
        <v>170</v>
      </c>
      <c r="AS58" s="111" t="s">
        <v>217</v>
      </c>
      <c r="AT58" s="111" t="s">
        <v>289</v>
      </c>
      <c r="AU58" s="111" t="s">
        <v>229</v>
      </c>
      <c r="AV58" s="111">
        <v>9</v>
      </c>
      <c r="AW58" s="111" t="s">
        <v>136</v>
      </c>
      <c r="AX58" s="111" t="s">
        <v>136</v>
      </c>
      <c r="AY58" s="111" t="s">
        <v>136</v>
      </c>
      <c r="AZ58" s="111" t="s">
        <v>136</v>
      </c>
      <c r="BA58" s="111" t="s">
        <v>136</v>
      </c>
      <c r="BB58" s="111" t="s">
        <v>136</v>
      </c>
      <c r="BC58" s="111" t="s">
        <v>136</v>
      </c>
      <c r="BD58" s="111" t="s">
        <v>136</v>
      </c>
      <c r="BE58" s="111" t="s">
        <v>136</v>
      </c>
      <c r="BF58" s="111" t="s">
        <v>136</v>
      </c>
      <c r="BG58" s="111" t="s">
        <v>136</v>
      </c>
      <c r="BH58" s="111" t="s">
        <v>136</v>
      </c>
      <c r="BI58" s="111" t="s">
        <v>136</v>
      </c>
      <c r="BJ58" s="111" t="s">
        <v>136</v>
      </c>
      <c r="BK58" s="111" t="s">
        <v>136</v>
      </c>
      <c r="BL58" s="111" t="s">
        <v>136</v>
      </c>
      <c r="BM58" s="111" t="s">
        <v>136</v>
      </c>
      <c r="BN58" s="111" t="s">
        <v>136</v>
      </c>
      <c r="BO58" s="111" t="s">
        <v>136</v>
      </c>
      <c r="BP58" s="111" t="s">
        <v>757</v>
      </c>
      <c r="BQ58" s="111" t="s">
        <v>758</v>
      </c>
      <c r="BR58" s="111" t="s">
        <v>759</v>
      </c>
      <c r="BS58" s="111" t="s">
        <v>760</v>
      </c>
      <c r="BT58" s="182" t="s">
        <v>761</v>
      </c>
      <c r="BU58" s="111" t="s">
        <v>229</v>
      </c>
      <c r="BV58" s="111" t="s">
        <v>217</v>
      </c>
      <c r="BW58" s="111"/>
      <c r="BX58" s="111"/>
      <c r="BY58" s="111"/>
      <c r="BZ58" s="111"/>
      <c r="CA58" s="111"/>
      <c r="CB58" s="111"/>
      <c r="CC58" s="178"/>
      <c r="CD58" s="177">
        <f t="shared" si="4"/>
        <v>600000</v>
      </c>
      <c r="CE58" s="148">
        <v>45988</v>
      </c>
      <c r="CF58" s="111">
        <f t="shared" si="5"/>
        <v>20</v>
      </c>
      <c r="CG58" s="177">
        <f t="shared" si="6"/>
        <v>696000</v>
      </c>
      <c r="CH58" s="203">
        <f t="shared" si="95"/>
        <v>0</v>
      </c>
      <c r="CI58" s="148">
        <v>45988</v>
      </c>
      <c r="CJ58" s="161">
        <f t="shared" si="81"/>
        <v>46018</v>
      </c>
      <c r="CK58" s="162">
        <f t="shared" si="82"/>
        <v>46595</v>
      </c>
      <c r="CL58" s="183"/>
      <c r="CM58" s="164">
        <f t="shared" ca="1" si="8"/>
        <v>46054</v>
      </c>
      <c r="CN58" s="165">
        <f t="shared" si="9"/>
        <v>46018</v>
      </c>
      <c r="CO58" s="109">
        <f t="shared" si="10"/>
        <v>30000</v>
      </c>
      <c r="CP58" s="109">
        <f t="shared" si="11"/>
        <v>4800.0000000000009</v>
      </c>
      <c r="CQ58" s="109">
        <v>34800</v>
      </c>
      <c r="CR58" s="109">
        <f t="shared" si="12"/>
        <v>0</v>
      </c>
      <c r="CS58" s="166">
        <v>46028</v>
      </c>
      <c r="CT58" s="167">
        <f t="shared" si="13"/>
        <v>10</v>
      </c>
      <c r="CU58" s="165">
        <f t="shared" si="14"/>
        <v>46049</v>
      </c>
      <c r="CV58" s="109">
        <f t="shared" si="15"/>
        <v>30000</v>
      </c>
      <c r="CW58" s="109">
        <f t="shared" si="16"/>
        <v>4800.0000000000009</v>
      </c>
      <c r="CX58" s="109">
        <v>34800</v>
      </c>
      <c r="CY58" s="109">
        <f t="shared" si="17"/>
        <v>0</v>
      </c>
      <c r="CZ58" s="166">
        <v>46028</v>
      </c>
      <c r="DA58" s="167">
        <f t="shared" si="18"/>
        <v>0</v>
      </c>
      <c r="DB58" s="165">
        <f t="shared" si="19"/>
        <v>46080</v>
      </c>
      <c r="DC58" s="109">
        <f t="shared" si="20"/>
        <v>0</v>
      </c>
      <c r="DD58" s="109">
        <f t="shared" si="21"/>
        <v>0</v>
      </c>
      <c r="DE58" s="109"/>
      <c r="DF58" s="109">
        <f t="shared" si="22"/>
        <v>0</v>
      </c>
      <c r="DG58" s="166">
        <f t="shared" ca="1" si="106"/>
        <v>46054</v>
      </c>
      <c r="DH58" s="167">
        <f t="shared" ca="1" si="23"/>
        <v>0</v>
      </c>
      <c r="DI58" s="165">
        <f t="shared" si="24"/>
        <v>46108</v>
      </c>
      <c r="DJ58" s="109">
        <f t="shared" si="25"/>
        <v>0</v>
      </c>
      <c r="DK58" s="109">
        <f t="shared" si="26"/>
        <v>0</v>
      </c>
      <c r="DL58" s="109">
        <v>0</v>
      </c>
      <c r="DM58" s="109">
        <f t="shared" si="27"/>
        <v>0</v>
      </c>
      <c r="DN58" s="166">
        <f t="shared" ca="1" si="87"/>
        <v>46054</v>
      </c>
      <c r="DO58" s="167">
        <f t="shared" ca="1" si="28"/>
        <v>0</v>
      </c>
      <c r="DP58" s="165">
        <f t="shared" si="93"/>
        <v>46139</v>
      </c>
      <c r="DQ58" s="109">
        <f t="shared" si="29"/>
        <v>0</v>
      </c>
      <c r="DR58" s="109">
        <f t="shared" si="94"/>
        <v>0</v>
      </c>
      <c r="DS58" s="109"/>
      <c r="DT58" s="109">
        <f t="shared" si="30"/>
        <v>0</v>
      </c>
      <c r="DU58" s="166">
        <f t="shared" ca="1" si="88"/>
        <v>46054</v>
      </c>
      <c r="DV58" s="167">
        <f t="shared" ca="1" si="31"/>
        <v>0</v>
      </c>
      <c r="DW58" s="165">
        <f t="shared" si="32"/>
        <v>46169</v>
      </c>
      <c r="DX58" s="109">
        <f t="shared" si="33"/>
        <v>0</v>
      </c>
      <c r="DY58" s="109">
        <f t="shared" si="34"/>
        <v>0</v>
      </c>
      <c r="DZ58" s="109"/>
      <c r="EA58" s="109">
        <f t="shared" si="35"/>
        <v>0</v>
      </c>
      <c r="EB58" s="166">
        <f t="shared" ca="1" si="89"/>
        <v>46054</v>
      </c>
      <c r="EC58" s="167">
        <f t="shared" ca="1" si="36"/>
        <v>0</v>
      </c>
      <c r="ED58" s="165">
        <f t="shared" si="37"/>
        <v>46200</v>
      </c>
      <c r="EE58" s="109">
        <f t="shared" si="38"/>
        <v>0</v>
      </c>
      <c r="EF58" s="109">
        <f t="shared" si="39"/>
        <v>0</v>
      </c>
      <c r="EG58" s="109"/>
      <c r="EH58" s="109">
        <f t="shared" si="40"/>
        <v>0</v>
      </c>
      <c r="EI58" s="166">
        <f t="shared" ca="1" si="90"/>
        <v>46054</v>
      </c>
      <c r="EJ58" s="167">
        <f t="shared" ca="1" si="41"/>
        <v>0</v>
      </c>
      <c r="EK58" s="165">
        <f t="shared" si="42"/>
        <v>46230</v>
      </c>
      <c r="EL58" s="109">
        <f t="shared" si="43"/>
        <v>0</v>
      </c>
      <c r="EM58" s="109">
        <f t="shared" si="44"/>
        <v>0</v>
      </c>
      <c r="EN58" s="109"/>
      <c r="EO58" s="109">
        <f t="shared" si="45"/>
        <v>0</v>
      </c>
      <c r="EP58" s="166">
        <f t="shared" ca="1" si="91"/>
        <v>46054</v>
      </c>
      <c r="EQ58" s="167">
        <f t="shared" ca="1" si="46"/>
        <v>0</v>
      </c>
      <c r="ER58" s="165">
        <f t="shared" si="47"/>
        <v>46261</v>
      </c>
      <c r="ES58" s="109">
        <f t="shared" si="48"/>
        <v>0</v>
      </c>
      <c r="ET58" s="109">
        <f t="shared" si="49"/>
        <v>0</v>
      </c>
      <c r="EU58" s="109"/>
      <c r="EV58" s="109"/>
      <c r="EW58" s="166"/>
      <c r="EX58" s="166"/>
      <c r="EY58" s="165">
        <f t="shared" si="50"/>
        <v>46292</v>
      </c>
      <c r="EZ58" s="109">
        <f t="shared" si="51"/>
        <v>0</v>
      </c>
      <c r="FA58" s="109">
        <f t="shared" si="52"/>
        <v>0</v>
      </c>
      <c r="FB58" s="109"/>
      <c r="FC58" s="109"/>
      <c r="FD58" s="166"/>
      <c r="FE58" s="166"/>
      <c r="FF58" s="165">
        <f t="shared" si="53"/>
        <v>46322</v>
      </c>
      <c r="FG58" s="109">
        <f t="shared" si="54"/>
        <v>0</v>
      </c>
      <c r="FH58" s="109">
        <f t="shared" si="55"/>
        <v>0</v>
      </c>
      <c r="FI58" s="109"/>
      <c r="FJ58" s="109"/>
      <c r="FK58" s="166"/>
      <c r="FL58" s="166"/>
      <c r="FM58" s="165">
        <f t="shared" si="56"/>
        <v>46353</v>
      </c>
      <c r="FN58" s="109">
        <f t="shared" si="57"/>
        <v>0</v>
      </c>
      <c r="FO58" s="109">
        <f t="shared" si="58"/>
        <v>0</v>
      </c>
      <c r="FP58" s="109"/>
      <c r="FQ58" s="109"/>
      <c r="FR58" s="166"/>
      <c r="FS58" s="166"/>
      <c r="FT58" s="165">
        <f>EDATE(FM58,1)</f>
        <v>46383</v>
      </c>
      <c r="FU58" s="109">
        <f t="shared" si="108"/>
        <v>0</v>
      </c>
      <c r="FV58" s="109">
        <f t="shared" si="109"/>
        <v>0</v>
      </c>
      <c r="FW58" s="109"/>
      <c r="FX58" s="109"/>
      <c r="FY58" s="166"/>
      <c r="FZ58" s="166"/>
      <c r="GA58" s="165">
        <f>EDATE(FT58,1)</f>
        <v>46414</v>
      </c>
      <c r="GB58" s="109">
        <f>GD58-GC58</f>
        <v>0</v>
      </c>
      <c r="GC58" s="109">
        <f>GD58/(1+AM58)*AM58</f>
        <v>0</v>
      </c>
      <c r="GD58" s="109"/>
      <c r="GE58" s="109"/>
      <c r="GF58" s="166"/>
      <c r="GG58" s="166"/>
      <c r="GH58" s="165">
        <f>EDATE(GA58,1)</f>
        <v>46445</v>
      </c>
      <c r="GI58" s="109">
        <f>GK58-GJ58</f>
        <v>0</v>
      </c>
      <c r="GJ58" s="109">
        <f>GK58/(1+AM58)*AM58</f>
        <v>0</v>
      </c>
      <c r="GK58" s="109"/>
      <c r="GL58" s="109"/>
      <c r="GM58" s="166"/>
      <c r="GN58" s="166"/>
      <c r="GO58" s="165">
        <f>EDATE(GH58,1)</f>
        <v>46473</v>
      </c>
      <c r="GP58" s="109">
        <f>GR58-GQ58</f>
        <v>0</v>
      </c>
      <c r="GQ58" s="109">
        <f>GR58/(1+AM58)*AM58</f>
        <v>0</v>
      </c>
      <c r="GR58" s="109"/>
      <c r="GS58" s="109"/>
      <c r="GT58" s="166"/>
      <c r="GU58" s="166"/>
      <c r="GV58" s="165">
        <f>EDATE(GO58,1)</f>
        <v>46504</v>
      </c>
      <c r="GW58" s="168">
        <f>GY58-GX58</f>
        <v>0</v>
      </c>
      <c r="GX58" s="168">
        <f>GY58/(1+AM58)*AM58</f>
        <v>0</v>
      </c>
      <c r="GY58" s="168"/>
      <c r="GZ58" s="168"/>
      <c r="HA58" s="166"/>
      <c r="HB58" s="166"/>
      <c r="HC58" s="165">
        <f>EDATE(GV58,1)</f>
        <v>46534</v>
      </c>
      <c r="HD58" s="109">
        <f>HF58-HE58</f>
        <v>0</v>
      </c>
      <c r="HE58" s="109">
        <f>HF58/(1+AM58)*AM58</f>
        <v>0</v>
      </c>
      <c r="HF58" s="109"/>
      <c r="HG58" s="109"/>
      <c r="HH58" s="166"/>
      <c r="HI58" s="166"/>
      <c r="HJ58" s="165">
        <f>EDATE(HC58,1)</f>
        <v>46565</v>
      </c>
      <c r="HK58" s="109">
        <f>HM58-HL58</f>
        <v>0</v>
      </c>
      <c r="HL58" s="109">
        <f>HM58/(1+AM58)*AM58</f>
        <v>0</v>
      </c>
      <c r="HM58" s="109"/>
      <c r="HN58" s="109"/>
      <c r="HO58" s="166"/>
      <c r="HP58" s="166"/>
      <c r="HQ58" s="165">
        <f>EDATE(HJ58,1)</f>
        <v>46595</v>
      </c>
      <c r="HR58" s="109">
        <f>HT58-HS58</f>
        <v>0</v>
      </c>
      <c r="HS58" s="109">
        <f>HT58/(1+AM58)*AM58</f>
        <v>0</v>
      </c>
      <c r="HT58" s="109"/>
      <c r="HU58" s="109"/>
      <c r="HV58" s="166"/>
      <c r="HW58" s="166"/>
      <c r="HX58" s="105">
        <f t="shared" si="86"/>
        <v>60000</v>
      </c>
      <c r="HY58" s="105">
        <f t="shared" si="83"/>
        <v>9600.0000000000018</v>
      </c>
      <c r="HZ58" s="105">
        <f t="shared" si="83"/>
        <v>69600</v>
      </c>
      <c r="IA58" s="105">
        <f t="shared" si="68"/>
        <v>0</v>
      </c>
      <c r="IB58" s="109">
        <f t="shared" si="69"/>
        <v>626400</v>
      </c>
      <c r="IC58" s="109">
        <f t="shared" si="70"/>
        <v>540000</v>
      </c>
      <c r="ID58" s="109">
        <f t="shared" si="71"/>
        <v>0</v>
      </c>
      <c r="IE58" s="109">
        <f t="shared" ca="1" si="72"/>
        <v>10</v>
      </c>
      <c r="IF58" s="139">
        <f t="shared" si="73"/>
        <v>2</v>
      </c>
      <c r="IG58" s="139">
        <f t="shared" ca="1" si="74"/>
        <v>36</v>
      </c>
      <c r="IH58" s="169">
        <f t="shared" ca="1" si="75"/>
        <v>1.2</v>
      </c>
      <c r="II58" s="139">
        <f t="shared" ca="1" si="76"/>
        <v>-0.8</v>
      </c>
      <c r="IJ58" s="169">
        <f t="shared" ca="1" si="77"/>
        <v>0</v>
      </c>
      <c r="IK58" s="169">
        <f t="shared" ca="1" si="84"/>
        <v>-0.8</v>
      </c>
      <c r="IL58" s="170">
        <f t="shared" ca="1" si="78"/>
        <v>-27840</v>
      </c>
      <c r="IM58" s="171"/>
      <c r="IN58" s="171"/>
      <c r="IO58" s="171"/>
      <c r="IP58" s="171"/>
    </row>
    <row r="59" spans="1:250" ht="15" customHeight="1" thickBot="1" x14ac:dyDescent="0.35">
      <c r="A59" s="110">
        <f t="shared" si="79"/>
        <v>55</v>
      </c>
      <c r="B59" s="111" t="s">
        <v>170</v>
      </c>
      <c r="C59" s="111" t="s">
        <v>171</v>
      </c>
      <c r="D59" s="111">
        <v>102</v>
      </c>
      <c r="E59" s="111" t="s">
        <v>253</v>
      </c>
      <c r="F59" s="111"/>
      <c r="G59" s="111" t="s">
        <v>762</v>
      </c>
      <c r="H59" s="111">
        <v>1021100169</v>
      </c>
      <c r="I59" s="146" t="str">
        <f t="shared" si="0"/>
        <v>1100169</v>
      </c>
      <c r="J59" s="145" t="str">
        <f t="shared" si="1"/>
        <v>KN1100169</v>
      </c>
      <c r="K59" s="111" t="s">
        <v>763</v>
      </c>
      <c r="L59" s="111" t="s">
        <v>268</v>
      </c>
      <c r="M59" s="109" t="s">
        <v>764</v>
      </c>
      <c r="N59" s="111" t="s">
        <v>138</v>
      </c>
      <c r="O59" s="111"/>
      <c r="P59" s="111" t="s">
        <v>765</v>
      </c>
      <c r="Q59" s="148">
        <v>38955</v>
      </c>
      <c r="R59" s="111" t="s">
        <v>170</v>
      </c>
      <c r="S59" s="111">
        <f t="shared" ca="1" si="85"/>
        <v>19</v>
      </c>
      <c r="T59" s="111" t="s">
        <v>766</v>
      </c>
      <c r="U59" s="111" t="s">
        <v>260</v>
      </c>
      <c r="V59" s="181">
        <v>774480105</v>
      </c>
      <c r="W59" s="111"/>
      <c r="X59" s="111" t="s">
        <v>181</v>
      </c>
      <c r="Y59" s="111">
        <v>11</v>
      </c>
      <c r="Z59" s="184" t="s">
        <v>235</v>
      </c>
      <c r="AA59" s="111" t="s">
        <v>261</v>
      </c>
      <c r="AB59" s="111" t="s">
        <v>236</v>
      </c>
      <c r="AC59" s="111" t="s">
        <v>146</v>
      </c>
      <c r="AD59" s="111" t="s">
        <v>147</v>
      </c>
      <c r="AE59" s="173" t="s">
        <v>136</v>
      </c>
      <c r="AF59" s="173" t="s">
        <v>136</v>
      </c>
      <c r="AG59" s="174">
        <v>45971</v>
      </c>
      <c r="AH59" s="175">
        <v>90000</v>
      </c>
      <c r="AI59" s="111">
        <v>13</v>
      </c>
      <c r="AJ59" s="111">
        <v>0</v>
      </c>
      <c r="AK59" s="150">
        <f t="shared" si="80"/>
        <v>13</v>
      </c>
      <c r="AL59" s="177">
        <v>90000</v>
      </c>
      <c r="AM59" s="176">
        <v>0.16</v>
      </c>
      <c r="AN59" s="177">
        <f t="shared" si="92"/>
        <v>14400</v>
      </c>
      <c r="AO59" s="157">
        <f t="shared" si="96"/>
        <v>104400</v>
      </c>
      <c r="AP59" s="158">
        <f t="shared" si="3"/>
        <v>8030.7692307692305</v>
      </c>
      <c r="AQ59" s="111" t="s">
        <v>136</v>
      </c>
      <c r="AR59" s="111" t="s">
        <v>170</v>
      </c>
      <c r="AS59" s="111" t="s">
        <v>260</v>
      </c>
      <c r="AT59" s="111" t="s">
        <v>767</v>
      </c>
      <c r="AU59" s="111" t="s">
        <v>766</v>
      </c>
      <c r="AV59" s="111">
        <v>5</v>
      </c>
      <c r="AW59" s="111" t="s">
        <v>136</v>
      </c>
      <c r="AX59" s="111" t="s">
        <v>136</v>
      </c>
      <c r="AY59" s="111" t="s">
        <v>136</v>
      </c>
      <c r="AZ59" s="111" t="s">
        <v>136</v>
      </c>
      <c r="BA59" s="111" t="s">
        <v>136</v>
      </c>
      <c r="BB59" s="111" t="s">
        <v>136</v>
      </c>
      <c r="BC59" s="111" t="s">
        <v>136</v>
      </c>
      <c r="BD59" s="111" t="s">
        <v>136</v>
      </c>
      <c r="BE59" s="111" t="s">
        <v>136</v>
      </c>
      <c r="BF59" s="111" t="s">
        <v>136</v>
      </c>
      <c r="BG59" s="111" t="s">
        <v>136</v>
      </c>
      <c r="BH59" s="111" t="s">
        <v>136</v>
      </c>
      <c r="BI59" s="111" t="s">
        <v>136</v>
      </c>
      <c r="BJ59" s="111" t="s">
        <v>136</v>
      </c>
      <c r="BK59" s="111" t="s">
        <v>136</v>
      </c>
      <c r="BL59" s="111" t="s">
        <v>136</v>
      </c>
      <c r="BM59" s="111" t="s">
        <v>136</v>
      </c>
      <c r="BN59" s="111" t="s">
        <v>136</v>
      </c>
      <c r="BO59" s="111" t="s">
        <v>136</v>
      </c>
      <c r="BP59" s="111" t="s">
        <v>768</v>
      </c>
      <c r="BQ59" s="111" t="s">
        <v>769</v>
      </c>
      <c r="BR59" s="111" t="s">
        <v>257</v>
      </c>
      <c r="BS59" s="111" t="s">
        <v>258</v>
      </c>
      <c r="BT59" s="182" t="s">
        <v>770</v>
      </c>
      <c r="BU59" s="111" t="s">
        <v>766</v>
      </c>
      <c r="BV59" s="111" t="s">
        <v>260</v>
      </c>
      <c r="BW59" s="111"/>
      <c r="BX59" s="111"/>
      <c r="BY59" s="111"/>
      <c r="BZ59" s="111"/>
      <c r="CA59" s="111"/>
      <c r="CB59" s="111"/>
      <c r="CC59" s="178"/>
      <c r="CD59" s="177">
        <f t="shared" si="4"/>
        <v>90000</v>
      </c>
      <c r="CE59" s="148">
        <v>45988</v>
      </c>
      <c r="CF59" s="111">
        <f t="shared" si="5"/>
        <v>13</v>
      </c>
      <c r="CG59" s="177">
        <f t="shared" si="6"/>
        <v>104400</v>
      </c>
      <c r="CH59" s="203">
        <f t="shared" si="95"/>
        <v>0</v>
      </c>
      <c r="CI59" s="148">
        <v>45988</v>
      </c>
      <c r="CJ59" s="161">
        <f t="shared" si="81"/>
        <v>46018</v>
      </c>
      <c r="CK59" s="162">
        <f t="shared" si="82"/>
        <v>46383</v>
      </c>
      <c r="CL59" s="183"/>
      <c r="CM59" s="164">
        <f t="shared" ca="1" si="8"/>
        <v>46054</v>
      </c>
      <c r="CN59" s="165">
        <f t="shared" si="9"/>
        <v>46018</v>
      </c>
      <c r="CO59" s="109">
        <f t="shared" si="10"/>
        <v>6931.0344827586205</v>
      </c>
      <c r="CP59" s="109">
        <f t="shared" si="11"/>
        <v>1108.9655172413795</v>
      </c>
      <c r="CQ59" s="109">
        <v>8040</v>
      </c>
      <c r="CR59" s="109">
        <f t="shared" si="12"/>
        <v>9.2307692307695106</v>
      </c>
      <c r="CS59" s="166">
        <v>46028</v>
      </c>
      <c r="CT59" s="167">
        <f t="shared" si="13"/>
        <v>10</v>
      </c>
      <c r="CU59" s="165">
        <f t="shared" si="14"/>
        <v>46049</v>
      </c>
      <c r="CV59" s="109">
        <f t="shared" si="15"/>
        <v>6931.0344827586205</v>
      </c>
      <c r="CW59" s="109">
        <f t="shared" si="16"/>
        <v>1108.9655172413795</v>
      </c>
      <c r="CX59" s="109">
        <v>8040</v>
      </c>
      <c r="CY59" s="109">
        <f t="shared" si="17"/>
        <v>9.2307692307695106</v>
      </c>
      <c r="CZ59" s="166">
        <v>46028</v>
      </c>
      <c r="DA59" s="167">
        <f t="shared" si="18"/>
        <v>0</v>
      </c>
      <c r="DB59" s="165">
        <f t="shared" si="19"/>
        <v>46080</v>
      </c>
      <c r="DC59" s="109">
        <f t="shared" si="20"/>
        <v>0</v>
      </c>
      <c r="DD59" s="109">
        <f t="shared" si="21"/>
        <v>0</v>
      </c>
      <c r="DE59" s="109"/>
      <c r="DF59" s="109">
        <f t="shared" si="22"/>
        <v>0</v>
      </c>
      <c r="DG59" s="166">
        <f t="shared" ca="1" si="106"/>
        <v>46054</v>
      </c>
      <c r="DH59" s="167">
        <f t="shared" ca="1" si="23"/>
        <v>0</v>
      </c>
      <c r="DI59" s="165">
        <f t="shared" si="24"/>
        <v>46108</v>
      </c>
      <c r="DJ59" s="109">
        <f t="shared" si="25"/>
        <v>0</v>
      </c>
      <c r="DK59" s="109">
        <f t="shared" si="26"/>
        <v>0</v>
      </c>
      <c r="DL59" s="109">
        <v>0</v>
      </c>
      <c r="DM59" s="109">
        <f t="shared" si="27"/>
        <v>0</v>
      </c>
      <c r="DN59" s="166">
        <f t="shared" ca="1" si="87"/>
        <v>46054</v>
      </c>
      <c r="DO59" s="167">
        <f t="shared" ca="1" si="28"/>
        <v>0</v>
      </c>
      <c r="DP59" s="165">
        <f t="shared" si="93"/>
        <v>46139</v>
      </c>
      <c r="DQ59" s="109">
        <f t="shared" si="29"/>
        <v>0</v>
      </c>
      <c r="DR59" s="109">
        <f t="shared" si="94"/>
        <v>0</v>
      </c>
      <c r="DS59" s="109"/>
      <c r="DT59" s="109">
        <f t="shared" si="30"/>
        <v>0</v>
      </c>
      <c r="DU59" s="166">
        <f t="shared" ca="1" si="88"/>
        <v>46054</v>
      </c>
      <c r="DV59" s="167">
        <f t="shared" ca="1" si="31"/>
        <v>0</v>
      </c>
      <c r="DW59" s="165">
        <f t="shared" si="32"/>
        <v>46169</v>
      </c>
      <c r="DX59" s="109">
        <f t="shared" si="33"/>
        <v>0</v>
      </c>
      <c r="DY59" s="109">
        <f t="shared" si="34"/>
        <v>0</v>
      </c>
      <c r="DZ59" s="109"/>
      <c r="EA59" s="109">
        <f t="shared" si="35"/>
        <v>0</v>
      </c>
      <c r="EB59" s="166">
        <f t="shared" ca="1" si="89"/>
        <v>46054</v>
      </c>
      <c r="EC59" s="167">
        <f t="shared" ca="1" si="36"/>
        <v>0</v>
      </c>
      <c r="ED59" s="165">
        <f t="shared" si="37"/>
        <v>46200</v>
      </c>
      <c r="EE59" s="109">
        <f t="shared" si="38"/>
        <v>0</v>
      </c>
      <c r="EF59" s="109">
        <f t="shared" si="39"/>
        <v>0</v>
      </c>
      <c r="EG59" s="109"/>
      <c r="EH59" s="109">
        <f t="shared" si="40"/>
        <v>0</v>
      </c>
      <c r="EI59" s="166">
        <f t="shared" ca="1" si="90"/>
        <v>46054</v>
      </c>
      <c r="EJ59" s="167">
        <f t="shared" ca="1" si="41"/>
        <v>0</v>
      </c>
      <c r="EK59" s="165">
        <f t="shared" si="42"/>
        <v>46230</v>
      </c>
      <c r="EL59" s="109">
        <f t="shared" si="43"/>
        <v>0</v>
      </c>
      <c r="EM59" s="109">
        <f t="shared" si="44"/>
        <v>0</v>
      </c>
      <c r="EN59" s="109"/>
      <c r="EO59" s="109">
        <f t="shared" si="45"/>
        <v>0</v>
      </c>
      <c r="EP59" s="166">
        <f t="shared" ca="1" si="91"/>
        <v>46054</v>
      </c>
      <c r="EQ59" s="167">
        <f t="shared" ca="1" si="46"/>
        <v>0</v>
      </c>
      <c r="ER59" s="165">
        <f t="shared" si="47"/>
        <v>46261</v>
      </c>
      <c r="ES59" s="109">
        <f t="shared" si="48"/>
        <v>0</v>
      </c>
      <c r="ET59" s="109">
        <f t="shared" si="49"/>
        <v>0</v>
      </c>
      <c r="EU59" s="109"/>
      <c r="EV59" s="109"/>
      <c r="EW59" s="166"/>
      <c r="EX59" s="166"/>
      <c r="EY59" s="165">
        <f t="shared" si="50"/>
        <v>46292</v>
      </c>
      <c r="EZ59" s="109">
        <f t="shared" si="51"/>
        <v>0</v>
      </c>
      <c r="FA59" s="109">
        <f t="shared" si="52"/>
        <v>0</v>
      </c>
      <c r="FB59" s="109"/>
      <c r="FC59" s="109"/>
      <c r="FD59" s="166"/>
      <c r="FE59" s="166"/>
      <c r="FF59" s="165">
        <f t="shared" si="53"/>
        <v>46322</v>
      </c>
      <c r="FG59" s="109">
        <f t="shared" si="54"/>
        <v>0</v>
      </c>
      <c r="FH59" s="109">
        <f t="shared" si="55"/>
        <v>0</v>
      </c>
      <c r="FI59" s="109"/>
      <c r="FJ59" s="109"/>
      <c r="FK59" s="166"/>
      <c r="FL59" s="166"/>
      <c r="FM59" s="165">
        <f t="shared" si="56"/>
        <v>46353</v>
      </c>
      <c r="FN59" s="109">
        <f t="shared" si="57"/>
        <v>0</v>
      </c>
      <c r="FO59" s="109">
        <f t="shared" si="58"/>
        <v>0</v>
      </c>
      <c r="FP59" s="109"/>
      <c r="FQ59" s="109"/>
      <c r="FR59" s="166"/>
      <c r="FS59" s="166"/>
      <c r="FT59" s="165"/>
      <c r="FU59" s="109">
        <f t="shared" si="108"/>
        <v>0</v>
      </c>
      <c r="FV59" s="109">
        <f t="shared" si="109"/>
        <v>0</v>
      </c>
      <c r="FW59" s="109"/>
      <c r="FX59" s="109"/>
      <c r="FY59" s="166"/>
      <c r="FZ59" s="166"/>
      <c r="GA59" s="165"/>
      <c r="GB59" s="109"/>
      <c r="GC59" s="109"/>
      <c r="GD59" s="109"/>
      <c r="GE59" s="109"/>
      <c r="GF59" s="166"/>
      <c r="GG59" s="166"/>
      <c r="GH59" s="165"/>
      <c r="GI59" s="109"/>
      <c r="GJ59" s="109"/>
      <c r="GK59" s="109"/>
      <c r="GL59" s="109"/>
      <c r="GM59" s="166"/>
      <c r="GN59" s="166"/>
      <c r="GO59" s="165"/>
      <c r="GP59" s="109"/>
      <c r="GQ59" s="109"/>
      <c r="GR59" s="109"/>
      <c r="GS59" s="109"/>
      <c r="GT59" s="166"/>
      <c r="GU59" s="166"/>
      <c r="GV59" s="165"/>
      <c r="GW59" s="168"/>
      <c r="GX59" s="168"/>
      <c r="GY59" s="168"/>
      <c r="GZ59" s="168"/>
      <c r="HA59" s="166"/>
      <c r="HB59" s="166"/>
      <c r="HC59" s="165"/>
      <c r="HD59" s="109"/>
      <c r="HE59" s="109"/>
      <c r="HF59" s="109"/>
      <c r="HG59" s="109"/>
      <c r="HH59" s="166"/>
      <c r="HI59" s="166"/>
      <c r="HJ59" s="165"/>
      <c r="HK59" s="109"/>
      <c r="HL59" s="109"/>
      <c r="HM59" s="109"/>
      <c r="HN59" s="109"/>
      <c r="HO59" s="166"/>
      <c r="HP59" s="166"/>
      <c r="HQ59" s="165"/>
      <c r="HR59" s="109"/>
      <c r="HS59" s="109"/>
      <c r="HT59" s="109"/>
      <c r="HU59" s="109"/>
      <c r="HV59" s="166"/>
      <c r="HW59" s="166"/>
      <c r="HX59" s="105">
        <f t="shared" si="86"/>
        <v>13862.068965517241</v>
      </c>
      <c r="HY59" s="105">
        <f t="shared" si="83"/>
        <v>2217.9310344827591</v>
      </c>
      <c r="HZ59" s="105">
        <f t="shared" si="83"/>
        <v>16080</v>
      </c>
      <c r="IA59" s="105">
        <f t="shared" si="68"/>
        <v>0</v>
      </c>
      <c r="IB59" s="109">
        <f t="shared" si="69"/>
        <v>88320</v>
      </c>
      <c r="IC59" s="109">
        <f t="shared" si="70"/>
        <v>76137.931034482754</v>
      </c>
      <c r="ID59" s="109">
        <f t="shared" si="71"/>
        <v>0</v>
      </c>
      <c r="IE59" s="109">
        <f t="shared" ca="1" si="72"/>
        <v>10</v>
      </c>
      <c r="IF59" s="139">
        <f t="shared" si="73"/>
        <v>2.0022988505747126</v>
      </c>
      <c r="IG59" s="139">
        <f t="shared" ca="1" si="74"/>
        <v>36</v>
      </c>
      <c r="IH59" s="169">
        <f t="shared" ca="1" si="75"/>
        <v>1.2</v>
      </c>
      <c r="II59" s="139">
        <f t="shared" ca="1" si="76"/>
        <v>-0.80229885057471262</v>
      </c>
      <c r="IJ59" s="169">
        <f t="shared" ca="1" si="77"/>
        <v>0</v>
      </c>
      <c r="IK59" s="169">
        <f t="shared" ca="1" si="84"/>
        <v>-0.80229885057471262</v>
      </c>
      <c r="IL59" s="170">
        <f t="shared" ca="1" si="78"/>
        <v>-6443.0769230769229</v>
      </c>
      <c r="IM59" s="171"/>
      <c r="IN59" s="171"/>
      <c r="IO59" s="171"/>
      <c r="IP59" s="171"/>
    </row>
    <row r="60" spans="1:250" ht="15" customHeight="1" thickBot="1" x14ac:dyDescent="0.35">
      <c r="A60" s="110">
        <f t="shared" si="79"/>
        <v>56</v>
      </c>
      <c r="B60" s="111" t="s">
        <v>170</v>
      </c>
      <c r="C60" s="111" t="s">
        <v>171</v>
      </c>
      <c r="D60" s="111">
        <v>102</v>
      </c>
      <c r="E60" s="111" t="s">
        <v>253</v>
      </c>
      <c r="F60" s="111"/>
      <c r="G60" s="111" t="s">
        <v>771</v>
      </c>
      <c r="H60" s="111">
        <v>1021100170</v>
      </c>
      <c r="I60" s="146" t="str">
        <f t="shared" si="0"/>
        <v>1100170</v>
      </c>
      <c r="J60" s="145" t="str">
        <f t="shared" si="1"/>
        <v>KN1100170</v>
      </c>
      <c r="K60" s="111" t="s">
        <v>772</v>
      </c>
      <c r="L60" s="111" t="s">
        <v>773</v>
      </c>
      <c r="M60" s="111" t="s">
        <v>774</v>
      </c>
      <c r="N60" s="111" t="s">
        <v>138</v>
      </c>
      <c r="O60" s="111"/>
      <c r="P60" s="111" t="s">
        <v>775</v>
      </c>
      <c r="Q60" s="148">
        <v>29320</v>
      </c>
      <c r="R60" s="111" t="s">
        <v>170</v>
      </c>
      <c r="S60" s="111">
        <f t="shared" ca="1" si="85"/>
        <v>45</v>
      </c>
      <c r="T60" s="111" t="s">
        <v>625</v>
      </c>
      <c r="U60" s="111" t="s">
        <v>217</v>
      </c>
      <c r="V60" s="181">
        <v>773319214</v>
      </c>
      <c r="W60" s="111"/>
      <c r="X60" s="111" t="s">
        <v>181</v>
      </c>
      <c r="Y60" s="111">
        <v>11</v>
      </c>
      <c r="Z60" s="111" t="s">
        <v>235</v>
      </c>
      <c r="AA60" s="111" t="s">
        <v>261</v>
      </c>
      <c r="AB60" s="111" t="s">
        <v>236</v>
      </c>
      <c r="AC60" s="111" t="s">
        <v>146</v>
      </c>
      <c r="AD60" s="111" t="s">
        <v>147</v>
      </c>
      <c r="AE60" s="173" t="s">
        <v>136</v>
      </c>
      <c r="AF60" s="173" t="s">
        <v>136</v>
      </c>
      <c r="AG60" s="174">
        <v>45872</v>
      </c>
      <c r="AH60" s="175">
        <v>100000</v>
      </c>
      <c r="AI60" s="111">
        <v>13</v>
      </c>
      <c r="AJ60" s="111">
        <v>0</v>
      </c>
      <c r="AK60" s="150">
        <f t="shared" si="80"/>
        <v>13</v>
      </c>
      <c r="AL60" s="177">
        <v>50000</v>
      </c>
      <c r="AM60" s="176">
        <v>0.16</v>
      </c>
      <c r="AN60" s="177">
        <f t="shared" si="92"/>
        <v>8000</v>
      </c>
      <c r="AO60" s="157">
        <f t="shared" si="96"/>
        <v>58000</v>
      </c>
      <c r="AP60" s="158">
        <f t="shared" si="3"/>
        <v>4461.5384615384619</v>
      </c>
      <c r="AQ60" s="111" t="s">
        <v>136</v>
      </c>
      <c r="AR60" s="111" t="s">
        <v>170</v>
      </c>
      <c r="AS60" s="111" t="s">
        <v>217</v>
      </c>
      <c r="AT60" s="111" t="s">
        <v>289</v>
      </c>
      <c r="AU60" s="111" t="s">
        <v>625</v>
      </c>
      <c r="AV60" s="111">
        <v>4</v>
      </c>
      <c r="AW60" s="111" t="s">
        <v>136</v>
      </c>
      <c r="AX60" s="111" t="s">
        <v>136</v>
      </c>
      <c r="AY60" s="111" t="s">
        <v>136</v>
      </c>
      <c r="AZ60" s="111" t="s">
        <v>136</v>
      </c>
      <c r="BA60" s="111" t="s">
        <v>136</v>
      </c>
      <c r="BB60" s="111" t="s">
        <v>136</v>
      </c>
      <c r="BC60" s="111" t="s">
        <v>136</v>
      </c>
      <c r="BD60" s="111" t="s">
        <v>136</v>
      </c>
      <c r="BE60" s="111" t="s">
        <v>136</v>
      </c>
      <c r="BF60" s="111" t="s">
        <v>136</v>
      </c>
      <c r="BG60" s="111" t="s">
        <v>136</v>
      </c>
      <c r="BH60" s="111" t="s">
        <v>136</v>
      </c>
      <c r="BI60" s="111" t="s">
        <v>136</v>
      </c>
      <c r="BJ60" s="111" t="s">
        <v>136</v>
      </c>
      <c r="BK60" s="111" t="s">
        <v>136</v>
      </c>
      <c r="BL60" s="111" t="s">
        <v>136</v>
      </c>
      <c r="BM60" s="111" t="s">
        <v>136</v>
      </c>
      <c r="BN60" s="111" t="s">
        <v>136</v>
      </c>
      <c r="BO60" s="111" t="s">
        <v>136</v>
      </c>
      <c r="BP60" s="111" t="s">
        <v>776</v>
      </c>
      <c r="BQ60" s="111" t="s">
        <v>773</v>
      </c>
      <c r="BR60" s="111" t="s">
        <v>777</v>
      </c>
      <c r="BS60" s="111" t="s">
        <v>778</v>
      </c>
      <c r="BT60" s="182" t="s">
        <v>779</v>
      </c>
      <c r="BU60" s="111" t="s">
        <v>625</v>
      </c>
      <c r="BV60" s="111" t="s">
        <v>217</v>
      </c>
      <c r="BW60" s="111"/>
      <c r="BX60" s="111"/>
      <c r="BY60" s="111"/>
      <c r="BZ60" s="111"/>
      <c r="CA60" s="111"/>
      <c r="CB60" s="111"/>
      <c r="CC60" s="178"/>
      <c r="CD60" s="177">
        <f t="shared" si="4"/>
        <v>50000</v>
      </c>
      <c r="CE60" s="148">
        <v>45988</v>
      </c>
      <c r="CF60" s="111">
        <f t="shared" si="5"/>
        <v>13</v>
      </c>
      <c r="CG60" s="177">
        <f t="shared" si="6"/>
        <v>58000</v>
      </c>
      <c r="CH60" s="203">
        <f t="shared" si="95"/>
        <v>0</v>
      </c>
      <c r="CI60" s="148">
        <v>45988</v>
      </c>
      <c r="CJ60" s="161">
        <f t="shared" si="81"/>
        <v>46018</v>
      </c>
      <c r="CK60" s="162">
        <f t="shared" si="82"/>
        <v>46383</v>
      </c>
      <c r="CL60" s="183"/>
      <c r="CM60" s="164">
        <f t="shared" ca="1" si="8"/>
        <v>46054</v>
      </c>
      <c r="CN60" s="165">
        <f t="shared" si="9"/>
        <v>46018</v>
      </c>
      <c r="CO60" s="109">
        <f t="shared" si="10"/>
        <v>3853.4482758620688</v>
      </c>
      <c r="CP60" s="109">
        <f t="shared" si="11"/>
        <v>616.55172413793105</v>
      </c>
      <c r="CQ60" s="109">
        <v>4470</v>
      </c>
      <c r="CR60" s="109">
        <f t="shared" si="12"/>
        <v>8.4615384615381117</v>
      </c>
      <c r="CS60" s="166">
        <v>46028</v>
      </c>
      <c r="CT60" s="167">
        <f t="shared" si="13"/>
        <v>10</v>
      </c>
      <c r="CU60" s="165">
        <f t="shared" si="14"/>
        <v>46049</v>
      </c>
      <c r="CV60" s="109">
        <f t="shared" si="15"/>
        <v>3853.4482758620688</v>
      </c>
      <c r="CW60" s="109">
        <f t="shared" si="16"/>
        <v>616.55172413793105</v>
      </c>
      <c r="CX60" s="109">
        <v>4470</v>
      </c>
      <c r="CY60" s="109">
        <f t="shared" si="17"/>
        <v>8.4615384615381117</v>
      </c>
      <c r="CZ60" s="166">
        <v>46028</v>
      </c>
      <c r="DA60" s="167">
        <f t="shared" si="18"/>
        <v>0</v>
      </c>
      <c r="DB60" s="165">
        <f t="shared" si="19"/>
        <v>46080</v>
      </c>
      <c r="DC60" s="109">
        <f t="shared" si="20"/>
        <v>0</v>
      </c>
      <c r="DD60" s="109">
        <f t="shared" si="21"/>
        <v>0</v>
      </c>
      <c r="DE60" s="109"/>
      <c r="DF60" s="109">
        <f t="shared" si="22"/>
        <v>0</v>
      </c>
      <c r="DG60" s="166">
        <f t="shared" ca="1" si="106"/>
        <v>46054</v>
      </c>
      <c r="DH60" s="167">
        <f t="shared" ca="1" si="23"/>
        <v>0</v>
      </c>
      <c r="DI60" s="165">
        <f t="shared" si="24"/>
        <v>46108</v>
      </c>
      <c r="DJ60" s="109">
        <f t="shared" si="25"/>
        <v>0</v>
      </c>
      <c r="DK60" s="109">
        <f t="shared" si="26"/>
        <v>0</v>
      </c>
      <c r="DL60" s="109">
        <v>0</v>
      </c>
      <c r="DM60" s="109">
        <f t="shared" si="27"/>
        <v>0</v>
      </c>
      <c r="DN60" s="166">
        <f t="shared" ca="1" si="87"/>
        <v>46054</v>
      </c>
      <c r="DO60" s="167">
        <f t="shared" ca="1" si="28"/>
        <v>0</v>
      </c>
      <c r="DP60" s="165">
        <f t="shared" si="93"/>
        <v>46139</v>
      </c>
      <c r="DQ60" s="109">
        <f t="shared" si="29"/>
        <v>0</v>
      </c>
      <c r="DR60" s="109">
        <f t="shared" si="94"/>
        <v>0</v>
      </c>
      <c r="DS60" s="109"/>
      <c r="DT60" s="109">
        <f t="shared" si="30"/>
        <v>0</v>
      </c>
      <c r="DU60" s="166">
        <f t="shared" ca="1" si="88"/>
        <v>46054</v>
      </c>
      <c r="DV60" s="167">
        <f t="shared" ca="1" si="31"/>
        <v>0</v>
      </c>
      <c r="DW60" s="165">
        <f t="shared" si="32"/>
        <v>46169</v>
      </c>
      <c r="DX60" s="109">
        <f t="shared" si="33"/>
        <v>0</v>
      </c>
      <c r="DY60" s="109">
        <f t="shared" si="34"/>
        <v>0</v>
      </c>
      <c r="DZ60" s="109"/>
      <c r="EA60" s="109">
        <f t="shared" si="35"/>
        <v>0</v>
      </c>
      <c r="EB60" s="166">
        <f t="shared" ca="1" si="89"/>
        <v>46054</v>
      </c>
      <c r="EC60" s="167">
        <f t="shared" ca="1" si="36"/>
        <v>0</v>
      </c>
      <c r="ED60" s="165">
        <f t="shared" si="37"/>
        <v>46200</v>
      </c>
      <c r="EE60" s="109">
        <f t="shared" si="38"/>
        <v>0</v>
      </c>
      <c r="EF60" s="109">
        <f t="shared" si="39"/>
        <v>0</v>
      </c>
      <c r="EG60" s="109"/>
      <c r="EH60" s="109">
        <f t="shared" si="40"/>
        <v>0</v>
      </c>
      <c r="EI60" s="166">
        <f t="shared" ca="1" si="90"/>
        <v>46054</v>
      </c>
      <c r="EJ60" s="167">
        <f t="shared" ca="1" si="41"/>
        <v>0</v>
      </c>
      <c r="EK60" s="165">
        <f t="shared" si="42"/>
        <v>46230</v>
      </c>
      <c r="EL60" s="109">
        <f t="shared" si="43"/>
        <v>0</v>
      </c>
      <c r="EM60" s="109">
        <f t="shared" si="44"/>
        <v>0</v>
      </c>
      <c r="EN60" s="109"/>
      <c r="EO60" s="109">
        <f t="shared" si="45"/>
        <v>0</v>
      </c>
      <c r="EP60" s="166">
        <f t="shared" ca="1" si="91"/>
        <v>46054</v>
      </c>
      <c r="EQ60" s="167">
        <f t="shared" ca="1" si="46"/>
        <v>0</v>
      </c>
      <c r="ER60" s="165">
        <f t="shared" si="47"/>
        <v>46261</v>
      </c>
      <c r="ES60" s="109">
        <f t="shared" si="48"/>
        <v>0</v>
      </c>
      <c r="ET60" s="109">
        <f t="shared" si="49"/>
        <v>0</v>
      </c>
      <c r="EU60" s="109"/>
      <c r="EV60" s="109"/>
      <c r="EW60" s="166"/>
      <c r="EX60" s="166"/>
      <c r="EY60" s="165">
        <f t="shared" si="50"/>
        <v>46292</v>
      </c>
      <c r="EZ60" s="109">
        <f t="shared" si="51"/>
        <v>0</v>
      </c>
      <c r="FA60" s="109">
        <f t="shared" si="52"/>
        <v>0</v>
      </c>
      <c r="FB60" s="109"/>
      <c r="FC60" s="109"/>
      <c r="FD60" s="166"/>
      <c r="FE60" s="166"/>
      <c r="FF60" s="165">
        <f t="shared" si="53"/>
        <v>46322</v>
      </c>
      <c r="FG60" s="109">
        <f t="shared" si="54"/>
        <v>0</v>
      </c>
      <c r="FH60" s="109">
        <f t="shared" si="55"/>
        <v>0</v>
      </c>
      <c r="FI60" s="109"/>
      <c r="FJ60" s="109"/>
      <c r="FK60" s="166"/>
      <c r="FL60" s="166"/>
      <c r="FM60" s="165">
        <f t="shared" si="56"/>
        <v>46353</v>
      </c>
      <c r="FN60" s="109">
        <f t="shared" si="57"/>
        <v>0</v>
      </c>
      <c r="FO60" s="109">
        <f t="shared" si="58"/>
        <v>0</v>
      </c>
      <c r="FP60" s="109"/>
      <c r="FQ60" s="109"/>
      <c r="FR60" s="166"/>
      <c r="FS60" s="166"/>
      <c r="FT60" s="165"/>
      <c r="FU60" s="109">
        <f t="shared" si="108"/>
        <v>0</v>
      </c>
      <c r="FV60" s="109">
        <f t="shared" si="109"/>
        <v>0</v>
      </c>
      <c r="FW60" s="109"/>
      <c r="FX60" s="109"/>
      <c r="FY60" s="166"/>
      <c r="FZ60" s="166"/>
      <c r="GA60" s="165"/>
      <c r="GB60" s="109"/>
      <c r="GC60" s="109"/>
      <c r="GD60" s="109"/>
      <c r="GE60" s="109"/>
      <c r="GF60" s="166"/>
      <c r="GG60" s="166"/>
      <c r="GH60" s="165"/>
      <c r="GI60" s="109"/>
      <c r="GJ60" s="109"/>
      <c r="GK60" s="109"/>
      <c r="GL60" s="109"/>
      <c r="GM60" s="166"/>
      <c r="GN60" s="166"/>
      <c r="GO60" s="165"/>
      <c r="GP60" s="109"/>
      <c r="GQ60" s="109"/>
      <c r="GR60" s="109"/>
      <c r="GS60" s="109"/>
      <c r="GT60" s="166"/>
      <c r="GU60" s="166"/>
      <c r="GV60" s="165"/>
      <c r="GW60" s="168"/>
      <c r="GX60" s="168"/>
      <c r="GY60" s="168"/>
      <c r="GZ60" s="168"/>
      <c r="HA60" s="166"/>
      <c r="HB60" s="166"/>
      <c r="HC60" s="165"/>
      <c r="HD60" s="109"/>
      <c r="HE60" s="109"/>
      <c r="HF60" s="109"/>
      <c r="HG60" s="109"/>
      <c r="HH60" s="166"/>
      <c r="HI60" s="166"/>
      <c r="HJ60" s="165"/>
      <c r="HK60" s="109"/>
      <c r="HL60" s="109"/>
      <c r="HM60" s="109"/>
      <c r="HN60" s="109"/>
      <c r="HO60" s="166"/>
      <c r="HP60" s="166"/>
      <c r="HQ60" s="165"/>
      <c r="HR60" s="109"/>
      <c r="HS60" s="109"/>
      <c r="HT60" s="109"/>
      <c r="HU60" s="109"/>
      <c r="HV60" s="166"/>
      <c r="HW60" s="166"/>
      <c r="HX60" s="105">
        <f t="shared" si="86"/>
        <v>7706.8965517241377</v>
      </c>
      <c r="HY60" s="105">
        <f t="shared" si="83"/>
        <v>1233.1034482758621</v>
      </c>
      <c r="HZ60" s="105">
        <f t="shared" si="83"/>
        <v>8940</v>
      </c>
      <c r="IA60" s="105">
        <f t="shared" si="68"/>
        <v>0</v>
      </c>
      <c r="IB60" s="109">
        <f t="shared" si="69"/>
        <v>49060</v>
      </c>
      <c r="IC60" s="109">
        <f t="shared" si="70"/>
        <v>42293.103448275862</v>
      </c>
      <c r="ID60" s="109">
        <f t="shared" si="71"/>
        <v>0</v>
      </c>
      <c r="IE60" s="109">
        <f t="shared" ca="1" si="72"/>
        <v>10</v>
      </c>
      <c r="IF60" s="139">
        <f t="shared" si="73"/>
        <v>2.0037931034482757</v>
      </c>
      <c r="IG60" s="139">
        <f t="shared" ca="1" si="74"/>
        <v>36</v>
      </c>
      <c r="IH60" s="169">
        <f t="shared" ca="1" si="75"/>
        <v>1.2</v>
      </c>
      <c r="II60" s="139">
        <f t="shared" ca="1" si="76"/>
        <v>-0.8037931034482757</v>
      </c>
      <c r="IJ60" s="169">
        <f t="shared" ca="1" si="77"/>
        <v>0</v>
      </c>
      <c r="IK60" s="169">
        <f t="shared" ca="1" si="84"/>
        <v>-0.8037931034482757</v>
      </c>
      <c r="IL60" s="170">
        <f t="shared" ca="1" si="78"/>
        <v>-3586.1538461538457</v>
      </c>
      <c r="IM60" s="171"/>
      <c r="IN60" s="171"/>
      <c r="IO60" s="171"/>
      <c r="IP60" s="171"/>
    </row>
    <row r="61" spans="1:250" ht="15" customHeight="1" thickBot="1" x14ac:dyDescent="0.35">
      <c r="A61" s="110">
        <f t="shared" si="79"/>
        <v>57</v>
      </c>
      <c r="B61" s="111" t="s">
        <v>170</v>
      </c>
      <c r="C61" s="111" t="s">
        <v>171</v>
      </c>
      <c r="D61" s="111">
        <v>102</v>
      </c>
      <c r="E61" s="111" t="s">
        <v>253</v>
      </c>
      <c r="F61" s="111"/>
      <c r="G61" s="111" t="s">
        <v>780</v>
      </c>
      <c r="H61" s="111">
        <v>1021100171</v>
      </c>
      <c r="I61" s="146" t="str">
        <f t="shared" si="0"/>
        <v>1100171</v>
      </c>
      <c r="J61" s="145" t="str">
        <f t="shared" si="1"/>
        <v>KN1100171</v>
      </c>
      <c r="K61" s="111" t="s">
        <v>631</v>
      </c>
      <c r="L61" s="111" t="s">
        <v>781</v>
      </c>
      <c r="M61" s="111" t="s">
        <v>782</v>
      </c>
      <c r="N61" s="111" t="s">
        <v>138</v>
      </c>
      <c r="O61" s="111"/>
      <c r="P61" s="111" t="s">
        <v>783</v>
      </c>
      <c r="Q61" s="148">
        <v>31327</v>
      </c>
      <c r="R61" s="111" t="s">
        <v>170</v>
      </c>
      <c r="S61" s="111">
        <f t="shared" ca="1" si="85"/>
        <v>40</v>
      </c>
      <c r="T61" s="111" t="s">
        <v>625</v>
      </c>
      <c r="U61" s="111" t="s">
        <v>217</v>
      </c>
      <c r="V61" s="181">
        <v>785057288</v>
      </c>
      <c r="W61" s="111"/>
      <c r="X61" s="111" t="s">
        <v>181</v>
      </c>
      <c r="Y61" s="111">
        <v>11</v>
      </c>
      <c r="Z61" s="111" t="s">
        <v>405</v>
      </c>
      <c r="AA61" s="111" t="s">
        <v>148</v>
      </c>
      <c r="AB61" s="111" t="s">
        <v>145</v>
      </c>
      <c r="AC61" s="111" t="s">
        <v>146</v>
      </c>
      <c r="AD61" s="111" t="s">
        <v>147</v>
      </c>
      <c r="AE61" s="173" t="s">
        <v>136</v>
      </c>
      <c r="AF61" s="173" t="s">
        <v>136</v>
      </c>
      <c r="AG61" s="174">
        <v>45973</v>
      </c>
      <c r="AH61" s="175">
        <v>300000</v>
      </c>
      <c r="AI61" s="111">
        <v>18</v>
      </c>
      <c r="AJ61" s="111">
        <v>0</v>
      </c>
      <c r="AK61" s="150">
        <f t="shared" si="80"/>
        <v>18</v>
      </c>
      <c r="AL61" s="177">
        <v>300000</v>
      </c>
      <c r="AM61" s="176">
        <v>0.16</v>
      </c>
      <c r="AN61" s="177">
        <f t="shared" si="92"/>
        <v>48000</v>
      </c>
      <c r="AO61" s="157">
        <f t="shared" si="96"/>
        <v>348000</v>
      </c>
      <c r="AP61" s="158">
        <f t="shared" si="3"/>
        <v>19333.333333333332</v>
      </c>
      <c r="AQ61" s="111" t="s">
        <v>136</v>
      </c>
      <c r="AR61" s="111" t="s">
        <v>170</v>
      </c>
      <c r="AS61" s="111" t="s">
        <v>217</v>
      </c>
      <c r="AT61" s="111" t="s">
        <v>289</v>
      </c>
      <c r="AU61" s="111" t="s">
        <v>625</v>
      </c>
      <c r="AV61" s="111">
        <v>6</v>
      </c>
      <c r="AW61" s="111" t="s">
        <v>136</v>
      </c>
      <c r="AX61" s="111" t="s">
        <v>136</v>
      </c>
      <c r="AY61" s="111" t="s">
        <v>136</v>
      </c>
      <c r="AZ61" s="111" t="s">
        <v>136</v>
      </c>
      <c r="BA61" s="111" t="s">
        <v>136</v>
      </c>
      <c r="BB61" s="111" t="s">
        <v>136</v>
      </c>
      <c r="BC61" s="111" t="s">
        <v>136</v>
      </c>
      <c r="BD61" s="111" t="s">
        <v>136</v>
      </c>
      <c r="BE61" s="111" t="s">
        <v>136</v>
      </c>
      <c r="BF61" s="111" t="s">
        <v>136</v>
      </c>
      <c r="BG61" s="111" t="s">
        <v>136</v>
      </c>
      <c r="BH61" s="111" t="s">
        <v>136</v>
      </c>
      <c r="BI61" s="111" t="s">
        <v>136</v>
      </c>
      <c r="BJ61" s="111" t="s">
        <v>136</v>
      </c>
      <c r="BK61" s="111" t="s">
        <v>136</v>
      </c>
      <c r="BL61" s="111" t="s">
        <v>136</v>
      </c>
      <c r="BM61" s="111" t="s">
        <v>136</v>
      </c>
      <c r="BN61" s="111" t="s">
        <v>136</v>
      </c>
      <c r="BO61" s="111" t="s">
        <v>136</v>
      </c>
      <c r="BP61" s="111" t="s">
        <v>784</v>
      </c>
      <c r="BQ61" s="111" t="s">
        <v>287</v>
      </c>
      <c r="BR61" s="111" t="s">
        <v>785</v>
      </c>
      <c r="BS61" s="111" t="s">
        <v>786</v>
      </c>
      <c r="BT61" s="182" t="s">
        <v>787</v>
      </c>
      <c r="BU61" s="111" t="s">
        <v>625</v>
      </c>
      <c r="BV61" s="111" t="s">
        <v>217</v>
      </c>
      <c r="BW61" s="111"/>
      <c r="BX61" s="111"/>
      <c r="BY61" s="111"/>
      <c r="BZ61" s="111"/>
      <c r="CA61" s="111"/>
      <c r="CB61" s="111"/>
      <c r="CC61" s="178"/>
      <c r="CD61" s="177">
        <f t="shared" si="4"/>
        <v>300000</v>
      </c>
      <c r="CE61" s="148">
        <v>45988</v>
      </c>
      <c r="CF61" s="111">
        <f t="shared" si="5"/>
        <v>18</v>
      </c>
      <c r="CG61" s="177">
        <f t="shared" si="6"/>
        <v>348000</v>
      </c>
      <c r="CH61" s="203">
        <f t="shared" si="95"/>
        <v>0</v>
      </c>
      <c r="CI61" s="148">
        <v>45988</v>
      </c>
      <c r="CJ61" s="161">
        <f t="shared" si="81"/>
        <v>46018</v>
      </c>
      <c r="CK61" s="162">
        <f t="shared" si="82"/>
        <v>46534</v>
      </c>
      <c r="CL61" s="183"/>
      <c r="CM61" s="164">
        <f t="shared" ca="1" si="8"/>
        <v>46054</v>
      </c>
      <c r="CN61" s="165">
        <f t="shared" si="9"/>
        <v>46018</v>
      </c>
      <c r="CO61" s="109">
        <f t="shared" si="10"/>
        <v>16681.03448275862</v>
      </c>
      <c r="CP61" s="109">
        <f t="shared" si="11"/>
        <v>2668.96551724138</v>
      </c>
      <c r="CQ61" s="109">
        <v>19350</v>
      </c>
      <c r="CR61" s="109">
        <f t="shared" si="12"/>
        <v>16.666666666667879</v>
      </c>
      <c r="CS61" s="166">
        <v>46028</v>
      </c>
      <c r="CT61" s="167">
        <f t="shared" si="13"/>
        <v>10</v>
      </c>
      <c r="CU61" s="165">
        <f t="shared" si="14"/>
        <v>46049</v>
      </c>
      <c r="CV61" s="109">
        <f t="shared" si="15"/>
        <v>16681.03448275862</v>
      </c>
      <c r="CW61" s="109">
        <f t="shared" si="16"/>
        <v>2668.96551724138</v>
      </c>
      <c r="CX61" s="109">
        <v>19350</v>
      </c>
      <c r="CY61" s="109">
        <f t="shared" si="17"/>
        <v>16.666666666667879</v>
      </c>
      <c r="CZ61" s="166">
        <v>46028</v>
      </c>
      <c r="DA61" s="167">
        <f t="shared" si="18"/>
        <v>0</v>
      </c>
      <c r="DB61" s="165">
        <f t="shared" si="19"/>
        <v>46080</v>
      </c>
      <c r="DC61" s="109">
        <f t="shared" si="20"/>
        <v>0</v>
      </c>
      <c r="DD61" s="109">
        <f t="shared" si="21"/>
        <v>0</v>
      </c>
      <c r="DE61" s="109"/>
      <c r="DF61" s="109">
        <f t="shared" si="22"/>
        <v>0</v>
      </c>
      <c r="DG61" s="166">
        <f t="shared" ca="1" si="106"/>
        <v>46054</v>
      </c>
      <c r="DH61" s="167">
        <f t="shared" ca="1" si="23"/>
        <v>0</v>
      </c>
      <c r="DI61" s="165">
        <f t="shared" si="24"/>
        <v>46108</v>
      </c>
      <c r="DJ61" s="109">
        <f t="shared" si="25"/>
        <v>0</v>
      </c>
      <c r="DK61" s="109">
        <f t="shared" si="26"/>
        <v>0</v>
      </c>
      <c r="DL61" s="109">
        <v>0</v>
      </c>
      <c r="DM61" s="109">
        <f t="shared" si="27"/>
        <v>0</v>
      </c>
      <c r="DN61" s="166">
        <f t="shared" ca="1" si="87"/>
        <v>46054</v>
      </c>
      <c r="DO61" s="167">
        <f t="shared" ca="1" si="28"/>
        <v>0</v>
      </c>
      <c r="DP61" s="165">
        <f t="shared" si="93"/>
        <v>46139</v>
      </c>
      <c r="DQ61" s="109">
        <f t="shared" si="29"/>
        <v>0</v>
      </c>
      <c r="DR61" s="109">
        <f t="shared" si="94"/>
        <v>0</v>
      </c>
      <c r="DS61" s="109"/>
      <c r="DT61" s="109">
        <f t="shared" si="30"/>
        <v>0</v>
      </c>
      <c r="DU61" s="166">
        <f t="shared" ca="1" si="88"/>
        <v>46054</v>
      </c>
      <c r="DV61" s="167">
        <f t="shared" ca="1" si="31"/>
        <v>0</v>
      </c>
      <c r="DW61" s="165">
        <f t="shared" si="32"/>
        <v>46169</v>
      </c>
      <c r="DX61" s="109">
        <f t="shared" si="33"/>
        <v>0</v>
      </c>
      <c r="DY61" s="109">
        <f t="shared" si="34"/>
        <v>0</v>
      </c>
      <c r="DZ61" s="109"/>
      <c r="EA61" s="109">
        <f t="shared" si="35"/>
        <v>0</v>
      </c>
      <c r="EB61" s="166">
        <f t="shared" ca="1" si="89"/>
        <v>46054</v>
      </c>
      <c r="EC61" s="167">
        <f t="shared" ca="1" si="36"/>
        <v>0</v>
      </c>
      <c r="ED61" s="165">
        <f t="shared" si="37"/>
        <v>46200</v>
      </c>
      <c r="EE61" s="109">
        <f t="shared" si="38"/>
        <v>0</v>
      </c>
      <c r="EF61" s="109">
        <f t="shared" si="39"/>
        <v>0</v>
      </c>
      <c r="EG61" s="109"/>
      <c r="EH61" s="109">
        <f t="shared" si="40"/>
        <v>0</v>
      </c>
      <c r="EI61" s="166">
        <f t="shared" ca="1" si="90"/>
        <v>46054</v>
      </c>
      <c r="EJ61" s="167">
        <f t="shared" ca="1" si="41"/>
        <v>0</v>
      </c>
      <c r="EK61" s="165">
        <f t="shared" si="42"/>
        <v>46230</v>
      </c>
      <c r="EL61" s="109">
        <f t="shared" si="43"/>
        <v>0</v>
      </c>
      <c r="EM61" s="109">
        <f t="shared" si="44"/>
        <v>0</v>
      </c>
      <c r="EN61" s="109"/>
      <c r="EO61" s="109">
        <f t="shared" si="45"/>
        <v>0</v>
      </c>
      <c r="EP61" s="166">
        <f t="shared" ca="1" si="91"/>
        <v>46054</v>
      </c>
      <c r="EQ61" s="167">
        <f t="shared" ca="1" si="46"/>
        <v>0</v>
      </c>
      <c r="ER61" s="165">
        <f t="shared" si="47"/>
        <v>46261</v>
      </c>
      <c r="ES61" s="109">
        <f t="shared" si="48"/>
        <v>0</v>
      </c>
      <c r="ET61" s="109">
        <f t="shared" si="49"/>
        <v>0</v>
      </c>
      <c r="EU61" s="109"/>
      <c r="EV61" s="109"/>
      <c r="EW61" s="166"/>
      <c r="EX61" s="166"/>
      <c r="EY61" s="165">
        <f t="shared" si="50"/>
        <v>46292</v>
      </c>
      <c r="EZ61" s="109">
        <f t="shared" si="51"/>
        <v>0</v>
      </c>
      <c r="FA61" s="109">
        <f t="shared" si="52"/>
        <v>0</v>
      </c>
      <c r="FB61" s="109"/>
      <c r="FC61" s="109"/>
      <c r="FD61" s="166"/>
      <c r="FE61" s="166"/>
      <c r="FF61" s="165">
        <f t="shared" si="53"/>
        <v>46322</v>
      </c>
      <c r="FG61" s="109">
        <f t="shared" si="54"/>
        <v>0</v>
      </c>
      <c r="FH61" s="109">
        <f t="shared" si="55"/>
        <v>0</v>
      </c>
      <c r="FI61" s="109"/>
      <c r="FJ61" s="109"/>
      <c r="FK61" s="166"/>
      <c r="FL61" s="166"/>
      <c r="FM61" s="165">
        <f t="shared" si="56"/>
        <v>46353</v>
      </c>
      <c r="FN61" s="109">
        <f t="shared" si="57"/>
        <v>0</v>
      </c>
      <c r="FO61" s="109">
        <f t="shared" si="58"/>
        <v>0</v>
      </c>
      <c r="FP61" s="109"/>
      <c r="FQ61" s="109"/>
      <c r="FR61" s="166"/>
      <c r="FS61" s="166"/>
      <c r="FT61" s="165">
        <f>EDATE(FM61,1)</f>
        <v>46383</v>
      </c>
      <c r="FU61" s="109">
        <f t="shared" si="108"/>
        <v>0</v>
      </c>
      <c r="FV61" s="109">
        <f t="shared" si="109"/>
        <v>0</v>
      </c>
      <c r="FW61" s="109"/>
      <c r="FX61" s="109"/>
      <c r="FY61" s="166"/>
      <c r="FZ61" s="166"/>
      <c r="GA61" s="165">
        <f>EDATE(FT61,1)</f>
        <v>46414</v>
      </c>
      <c r="GB61" s="109">
        <f>GD61-GC61</f>
        <v>0</v>
      </c>
      <c r="GC61" s="109">
        <f>GD61/(1+AM61)*AM61</f>
        <v>0</v>
      </c>
      <c r="GD61" s="109"/>
      <c r="GE61" s="109"/>
      <c r="GF61" s="166"/>
      <c r="GG61" s="166"/>
      <c r="GH61" s="165">
        <f>EDATE(GA61,1)</f>
        <v>46445</v>
      </c>
      <c r="GI61" s="109">
        <f>GK61-GJ61</f>
        <v>0</v>
      </c>
      <c r="GJ61" s="109">
        <f>GK61/(1+AM61)*AM61</f>
        <v>0</v>
      </c>
      <c r="GK61" s="109"/>
      <c r="GL61" s="109"/>
      <c r="GM61" s="166"/>
      <c r="GN61" s="166"/>
      <c r="GO61" s="165">
        <f>EDATE(GH61,1)</f>
        <v>46473</v>
      </c>
      <c r="GP61" s="109">
        <f>GR61-GQ61</f>
        <v>0</v>
      </c>
      <c r="GQ61" s="109">
        <f>GR61/(1+AM61)*AM61</f>
        <v>0</v>
      </c>
      <c r="GR61" s="109"/>
      <c r="GS61" s="109"/>
      <c r="GT61" s="166"/>
      <c r="GU61" s="166"/>
      <c r="GV61" s="165">
        <f>EDATE(GO61,1)</f>
        <v>46504</v>
      </c>
      <c r="GW61" s="168">
        <f>GY61-GX61</f>
        <v>0</v>
      </c>
      <c r="GX61" s="168">
        <f>GY61/(1+AM61)*AM61</f>
        <v>0</v>
      </c>
      <c r="GY61" s="168"/>
      <c r="GZ61" s="168"/>
      <c r="HA61" s="166"/>
      <c r="HB61" s="166"/>
      <c r="HC61" s="165">
        <f>EDATE(GV61,1)</f>
        <v>46534</v>
      </c>
      <c r="HD61" s="109">
        <f>HF61-HE61</f>
        <v>0</v>
      </c>
      <c r="HE61" s="109">
        <f>HF61/(1+AM61)*AM61</f>
        <v>0</v>
      </c>
      <c r="HF61" s="109"/>
      <c r="HG61" s="109"/>
      <c r="HH61" s="166"/>
      <c r="HI61" s="166"/>
      <c r="HJ61" s="165"/>
      <c r="HK61" s="109">
        <f>HM61-HL61</f>
        <v>0</v>
      </c>
      <c r="HL61" s="109">
        <f>HM61/(1+AM61)*AM61</f>
        <v>0</v>
      </c>
      <c r="HM61" s="109"/>
      <c r="HN61" s="109"/>
      <c r="HO61" s="166"/>
      <c r="HP61" s="166"/>
      <c r="HQ61" s="165"/>
      <c r="HR61" s="109">
        <f>HT61-HS61</f>
        <v>0</v>
      </c>
      <c r="HS61" s="109">
        <f>HT61/(1+AM61)*AM61</f>
        <v>0</v>
      </c>
      <c r="HT61" s="109"/>
      <c r="HU61" s="109"/>
      <c r="HV61" s="166"/>
      <c r="HW61" s="166"/>
      <c r="HX61" s="105">
        <f t="shared" si="86"/>
        <v>33362.068965517239</v>
      </c>
      <c r="HY61" s="105">
        <f t="shared" si="83"/>
        <v>5337.93103448276</v>
      </c>
      <c r="HZ61" s="105">
        <f t="shared" si="83"/>
        <v>38700</v>
      </c>
      <c r="IA61" s="105">
        <f t="shared" si="68"/>
        <v>0</v>
      </c>
      <c r="IB61" s="109">
        <f t="shared" si="69"/>
        <v>309300</v>
      </c>
      <c r="IC61" s="109">
        <f t="shared" si="70"/>
        <v>266637.93103448278</v>
      </c>
      <c r="ID61" s="109">
        <f t="shared" si="71"/>
        <v>0</v>
      </c>
      <c r="IE61" s="109">
        <f t="shared" ca="1" si="72"/>
        <v>10</v>
      </c>
      <c r="IF61" s="139">
        <f t="shared" si="73"/>
        <v>2.0017241379310344</v>
      </c>
      <c r="IG61" s="139">
        <f t="shared" ca="1" si="74"/>
        <v>36</v>
      </c>
      <c r="IH61" s="169">
        <f t="shared" ca="1" si="75"/>
        <v>1.2</v>
      </c>
      <c r="II61" s="139">
        <f t="shared" ca="1" si="76"/>
        <v>-0.80172413793103448</v>
      </c>
      <c r="IJ61" s="169">
        <f t="shared" ca="1" si="77"/>
        <v>0</v>
      </c>
      <c r="IK61" s="169">
        <f t="shared" ca="1" si="84"/>
        <v>-0.80172413793103448</v>
      </c>
      <c r="IL61" s="170">
        <f t="shared" ca="1" si="78"/>
        <v>-15499.999999999998</v>
      </c>
      <c r="IM61" s="171"/>
      <c r="IN61" s="171"/>
      <c r="IO61" s="171"/>
      <c r="IP61" s="171"/>
    </row>
    <row r="62" spans="1:250" ht="15" customHeight="1" thickBot="1" x14ac:dyDescent="0.35">
      <c r="A62" s="110">
        <f t="shared" si="79"/>
        <v>58</v>
      </c>
      <c r="B62" s="111" t="s">
        <v>170</v>
      </c>
      <c r="C62" s="111" t="s">
        <v>171</v>
      </c>
      <c r="D62" s="111">
        <v>102</v>
      </c>
      <c r="E62" s="111" t="s">
        <v>253</v>
      </c>
      <c r="F62" s="111"/>
      <c r="G62" s="111" t="s">
        <v>788</v>
      </c>
      <c r="H62" s="111">
        <v>1021100172</v>
      </c>
      <c r="I62" s="146" t="str">
        <f t="shared" si="0"/>
        <v>1100172</v>
      </c>
      <c r="J62" s="145" t="str">
        <f t="shared" si="1"/>
        <v>KN1100172</v>
      </c>
      <c r="K62" s="111" t="s">
        <v>789</v>
      </c>
      <c r="L62" s="111" t="s">
        <v>790</v>
      </c>
      <c r="M62" s="109" t="s">
        <v>791</v>
      </c>
      <c r="N62" s="111" t="s">
        <v>138</v>
      </c>
      <c r="O62" s="111"/>
      <c r="P62" s="111" t="s">
        <v>792</v>
      </c>
      <c r="Q62" s="148">
        <v>31447</v>
      </c>
      <c r="R62" s="111" t="s">
        <v>170</v>
      </c>
      <c r="S62" s="111">
        <f t="shared" ca="1" si="85"/>
        <v>39</v>
      </c>
      <c r="T62" s="111" t="s">
        <v>793</v>
      </c>
      <c r="U62" s="111" t="s">
        <v>486</v>
      </c>
      <c r="V62" s="181">
        <v>777144725</v>
      </c>
      <c r="W62" s="111"/>
      <c r="X62" s="111" t="s">
        <v>181</v>
      </c>
      <c r="Y62" s="111">
        <v>11</v>
      </c>
      <c r="Z62" s="111" t="s">
        <v>456</v>
      </c>
      <c r="AA62" s="111" t="s">
        <v>457</v>
      </c>
      <c r="AB62" s="111" t="s">
        <v>458</v>
      </c>
      <c r="AC62" s="111" t="s">
        <v>146</v>
      </c>
      <c r="AD62" s="111" t="s">
        <v>147</v>
      </c>
      <c r="AE62" s="173" t="s">
        <v>136</v>
      </c>
      <c r="AF62" s="173" t="s">
        <v>136</v>
      </c>
      <c r="AG62" s="174">
        <v>45874</v>
      </c>
      <c r="AH62" s="175">
        <v>120000</v>
      </c>
      <c r="AI62" s="111">
        <v>13</v>
      </c>
      <c r="AJ62" s="111">
        <v>0</v>
      </c>
      <c r="AK62" s="150">
        <f t="shared" si="80"/>
        <v>13</v>
      </c>
      <c r="AL62" s="177">
        <v>120000</v>
      </c>
      <c r="AM62" s="176">
        <v>0.16</v>
      </c>
      <c r="AN62" s="177">
        <f t="shared" si="92"/>
        <v>19200</v>
      </c>
      <c r="AO62" s="157">
        <f t="shared" si="96"/>
        <v>139200</v>
      </c>
      <c r="AP62" s="158">
        <f t="shared" si="3"/>
        <v>10707.692307692309</v>
      </c>
      <c r="AQ62" s="111" t="s">
        <v>136</v>
      </c>
      <c r="AR62" s="111" t="s">
        <v>170</v>
      </c>
      <c r="AS62" s="111" t="s">
        <v>486</v>
      </c>
      <c r="AT62" s="111" t="s">
        <v>794</v>
      </c>
      <c r="AU62" s="111" t="s">
        <v>793</v>
      </c>
      <c r="AV62" s="111">
        <v>8</v>
      </c>
      <c r="AW62" s="111" t="s">
        <v>136</v>
      </c>
      <c r="AX62" s="111" t="s">
        <v>136</v>
      </c>
      <c r="AY62" s="111" t="s">
        <v>136</v>
      </c>
      <c r="AZ62" s="111" t="s">
        <v>136</v>
      </c>
      <c r="BA62" s="111" t="s">
        <v>136</v>
      </c>
      <c r="BB62" s="111" t="s">
        <v>136</v>
      </c>
      <c r="BC62" s="111" t="s">
        <v>136</v>
      </c>
      <c r="BD62" s="111" t="s">
        <v>136</v>
      </c>
      <c r="BE62" s="111" t="s">
        <v>136</v>
      </c>
      <c r="BF62" s="111" t="s">
        <v>136</v>
      </c>
      <c r="BG62" s="111" t="s">
        <v>136</v>
      </c>
      <c r="BH62" s="111" t="s">
        <v>136</v>
      </c>
      <c r="BI62" s="111" t="s">
        <v>136</v>
      </c>
      <c r="BJ62" s="111" t="s">
        <v>136</v>
      </c>
      <c r="BK62" s="111" t="s">
        <v>136</v>
      </c>
      <c r="BL62" s="111" t="s">
        <v>136</v>
      </c>
      <c r="BM62" s="111" t="s">
        <v>136</v>
      </c>
      <c r="BN62" s="111" t="s">
        <v>136</v>
      </c>
      <c r="BO62" s="111" t="s">
        <v>136</v>
      </c>
      <c r="BP62" s="111" t="s">
        <v>601</v>
      </c>
      <c r="BQ62" s="111" t="s">
        <v>748</v>
      </c>
      <c r="BR62" s="111" t="s">
        <v>795</v>
      </c>
      <c r="BS62" s="111" t="s">
        <v>796</v>
      </c>
      <c r="BT62" s="182" t="s">
        <v>797</v>
      </c>
      <c r="BU62" s="111" t="s">
        <v>793</v>
      </c>
      <c r="BV62" s="111" t="s">
        <v>486</v>
      </c>
      <c r="BW62" s="111"/>
      <c r="BX62" s="111"/>
      <c r="BY62" s="111"/>
      <c r="BZ62" s="111"/>
      <c r="CA62" s="111"/>
      <c r="CB62" s="111"/>
      <c r="CC62" s="178"/>
      <c r="CD62" s="177">
        <f t="shared" si="4"/>
        <v>120000</v>
      </c>
      <c r="CE62" s="148">
        <v>45991</v>
      </c>
      <c r="CF62" s="111">
        <f t="shared" si="5"/>
        <v>13</v>
      </c>
      <c r="CG62" s="177">
        <f t="shared" si="6"/>
        <v>139200</v>
      </c>
      <c r="CH62" s="203">
        <f t="shared" si="95"/>
        <v>0</v>
      </c>
      <c r="CI62" s="148">
        <v>45991</v>
      </c>
      <c r="CJ62" s="161">
        <f t="shared" si="81"/>
        <v>46021</v>
      </c>
      <c r="CK62" s="162">
        <f t="shared" si="82"/>
        <v>46386</v>
      </c>
      <c r="CL62" s="183"/>
      <c r="CM62" s="164">
        <f t="shared" ca="1" si="8"/>
        <v>46054</v>
      </c>
      <c r="CN62" s="165">
        <f t="shared" si="9"/>
        <v>46021</v>
      </c>
      <c r="CO62" s="109">
        <f t="shared" si="10"/>
        <v>9267.2413793103442</v>
      </c>
      <c r="CP62" s="109">
        <f t="shared" si="11"/>
        <v>1482.7586206896553</v>
      </c>
      <c r="CQ62" s="109">
        <v>10750</v>
      </c>
      <c r="CR62" s="109">
        <f t="shared" si="12"/>
        <v>42.307692307691468</v>
      </c>
      <c r="CS62" s="166">
        <v>46028</v>
      </c>
      <c r="CT62" s="167">
        <f t="shared" si="13"/>
        <v>7</v>
      </c>
      <c r="CU62" s="165">
        <f t="shared" si="14"/>
        <v>46052</v>
      </c>
      <c r="CV62" s="109">
        <f t="shared" si="15"/>
        <v>9267.2413793103442</v>
      </c>
      <c r="CW62" s="109">
        <f t="shared" si="16"/>
        <v>1482.7586206896553</v>
      </c>
      <c r="CX62" s="109">
        <v>10750</v>
      </c>
      <c r="CY62" s="109">
        <f t="shared" si="17"/>
        <v>42.307692307691468</v>
      </c>
      <c r="CZ62" s="166">
        <v>46028</v>
      </c>
      <c r="DA62" s="167">
        <f t="shared" si="18"/>
        <v>0</v>
      </c>
      <c r="DB62" s="165">
        <f t="shared" si="19"/>
        <v>46081</v>
      </c>
      <c r="DC62" s="109">
        <f t="shared" si="20"/>
        <v>0</v>
      </c>
      <c r="DD62" s="109">
        <f t="shared" si="21"/>
        <v>0</v>
      </c>
      <c r="DE62" s="109"/>
      <c r="DF62" s="109">
        <f t="shared" si="22"/>
        <v>0</v>
      </c>
      <c r="DG62" s="166">
        <f t="shared" ca="1" si="106"/>
        <v>46054</v>
      </c>
      <c r="DH62" s="167">
        <f t="shared" ca="1" si="23"/>
        <v>0</v>
      </c>
      <c r="DI62" s="165">
        <f t="shared" si="24"/>
        <v>46109</v>
      </c>
      <c r="DJ62" s="109">
        <f t="shared" si="25"/>
        <v>0</v>
      </c>
      <c r="DK62" s="109">
        <f t="shared" si="26"/>
        <v>0</v>
      </c>
      <c r="DL62" s="109">
        <v>0</v>
      </c>
      <c r="DM62" s="109">
        <f t="shared" si="27"/>
        <v>0</v>
      </c>
      <c r="DN62" s="166">
        <f t="shared" ca="1" si="87"/>
        <v>46054</v>
      </c>
      <c r="DO62" s="167">
        <f t="shared" ca="1" si="28"/>
        <v>0</v>
      </c>
      <c r="DP62" s="165">
        <f t="shared" si="93"/>
        <v>46140</v>
      </c>
      <c r="DQ62" s="109">
        <f t="shared" si="29"/>
        <v>0</v>
      </c>
      <c r="DR62" s="109">
        <f t="shared" si="94"/>
        <v>0</v>
      </c>
      <c r="DS62" s="109"/>
      <c r="DT62" s="109">
        <f t="shared" si="30"/>
        <v>0</v>
      </c>
      <c r="DU62" s="166">
        <f t="shared" ca="1" si="88"/>
        <v>46054</v>
      </c>
      <c r="DV62" s="167">
        <f t="shared" ca="1" si="31"/>
        <v>0</v>
      </c>
      <c r="DW62" s="165">
        <f t="shared" si="32"/>
        <v>46170</v>
      </c>
      <c r="DX62" s="109">
        <f t="shared" si="33"/>
        <v>0</v>
      </c>
      <c r="DY62" s="109">
        <f t="shared" si="34"/>
        <v>0</v>
      </c>
      <c r="DZ62" s="109"/>
      <c r="EA62" s="109">
        <f t="shared" si="35"/>
        <v>0</v>
      </c>
      <c r="EB62" s="166">
        <f t="shared" ca="1" si="89"/>
        <v>46054</v>
      </c>
      <c r="EC62" s="167">
        <f t="shared" ca="1" si="36"/>
        <v>0</v>
      </c>
      <c r="ED62" s="165">
        <f t="shared" si="37"/>
        <v>46201</v>
      </c>
      <c r="EE62" s="109">
        <f t="shared" si="38"/>
        <v>0</v>
      </c>
      <c r="EF62" s="109">
        <f t="shared" si="39"/>
        <v>0</v>
      </c>
      <c r="EG62" s="109"/>
      <c r="EH62" s="109">
        <f t="shared" si="40"/>
        <v>0</v>
      </c>
      <c r="EI62" s="166">
        <f t="shared" ca="1" si="90"/>
        <v>46054</v>
      </c>
      <c r="EJ62" s="167">
        <f t="shared" ca="1" si="41"/>
        <v>0</v>
      </c>
      <c r="EK62" s="165">
        <f t="shared" si="42"/>
        <v>46231</v>
      </c>
      <c r="EL62" s="109">
        <f t="shared" si="43"/>
        <v>0</v>
      </c>
      <c r="EM62" s="109">
        <f t="shared" si="44"/>
        <v>0</v>
      </c>
      <c r="EN62" s="109"/>
      <c r="EO62" s="109">
        <f t="shared" si="45"/>
        <v>0</v>
      </c>
      <c r="EP62" s="166">
        <f t="shared" ca="1" si="91"/>
        <v>46054</v>
      </c>
      <c r="EQ62" s="167">
        <f t="shared" ca="1" si="46"/>
        <v>0</v>
      </c>
      <c r="ER62" s="165">
        <f t="shared" si="47"/>
        <v>46262</v>
      </c>
      <c r="ES62" s="109">
        <f t="shared" si="48"/>
        <v>0</v>
      </c>
      <c r="ET62" s="109">
        <f t="shared" si="49"/>
        <v>0</v>
      </c>
      <c r="EU62" s="109"/>
      <c r="EV62" s="109"/>
      <c r="EW62" s="166"/>
      <c r="EX62" s="166"/>
      <c r="EY62" s="165">
        <f t="shared" si="50"/>
        <v>46293</v>
      </c>
      <c r="EZ62" s="109">
        <f t="shared" si="51"/>
        <v>0</v>
      </c>
      <c r="FA62" s="109">
        <f t="shared" si="52"/>
        <v>0</v>
      </c>
      <c r="FB62" s="109"/>
      <c r="FC62" s="109"/>
      <c r="FD62" s="166"/>
      <c r="FE62" s="166"/>
      <c r="FF62" s="165">
        <f t="shared" si="53"/>
        <v>46323</v>
      </c>
      <c r="FG62" s="109">
        <f t="shared" si="54"/>
        <v>0</v>
      </c>
      <c r="FH62" s="109">
        <f t="shared" si="55"/>
        <v>0</v>
      </c>
      <c r="FI62" s="109"/>
      <c r="FJ62" s="109"/>
      <c r="FK62" s="166"/>
      <c r="FL62" s="166"/>
      <c r="FM62" s="165">
        <f t="shared" si="56"/>
        <v>46354</v>
      </c>
      <c r="FN62" s="109">
        <f t="shared" si="57"/>
        <v>0</v>
      </c>
      <c r="FO62" s="109">
        <f t="shared" si="58"/>
        <v>0</v>
      </c>
      <c r="FP62" s="109"/>
      <c r="FQ62" s="109"/>
      <c r="FR62" s="166"/>
      <c r="FS62" s="166"/>
      <c r="FT62" s="165"/>
      <c r="FU62" s="109">
        <f t="shared" si="108"/>
        <v>0</v>
      </c>
      <c r="FV62" s="109">
        <f t="shared" si="109"/>
        <v>0</v>
      </c>
      <c r="FW62" s="109"/>
      <c r="FX62" s="109"/>
      <c r="FY62" s="166"/>
      <c r="FZ62" s="166"/>
      <c r="GA62" s="165"/>
      <c r="GB62" s="109"/>
      <c r="GC62" s="109"/>
      <c r="GD62" s="109"/>
      <c r="GE62" s="109"/>
      <c r="GF62" s="166"/>
      <c r="GG62" s="166"/>
      <c r="GH62" s="165"/>
      <c r="GI62" s="109"/>
      <c r="GJ62" s="109"/>
      <c r="GK62" s="109"/>
      <c r="GL62" s="109"/>
      <c r="GM62" s="166"/>
      <c r="GN62" s="166"/>
      <c r="GO62" s="165"/>
      <c r="GP62" s="109"/>
      <c r="GQ62" s="109"/>
      <c r="GR62" s="109"/>
      <c r="GS62" s="109"/>
      <c r="GT62" s="166"/>
      <c r="GU62" s="166"/>
      <c r="GV62" s="165"/>
      <c r="GW62" s="168"/>
      <c r="GX62" s="168"/>
      <c r="GY62" s="168"/>
      <c r="GZ62" s="168"/>
      <c r="HA62" s="166"/>
      <c r="HB62" s="166"/>
      <c r="HC62" s="165"/>
      <c r="HD62" s="109"/>
      <c r="HE62" s="109"/>
      <c r="HF62" s="109"/>
      <c r="HG62" s="109"/>
      <c r="HH62" s="166"/>
      <c r="HI62" s="166"/>
      <c r="HJ62" s="165"/>
      <c r="HK62" s="109"/>
      <c r="HL62" s="109"/>
      <c r="HM62" s="109"/>
      <c r="HN62" s="109"/>
      <c r="HO62" s="166"/>
      <c r="HP62" s="166"/>
      <c r="HQ62" s="165"/>
      <c r="HR62" s="109"/>
      <c r="HS62" s="109"/>
      <c r="HT62" s="109"/>
      <c r="HU62" s="109"/>
      <c r="HV62" s="166"/>
      <c r="HW62" s="166"/>
      <c r="HX62" s="105">
        <f t="shared" si="86"/>
        <v>18534.482758620688</v>
      </c>
      <c r="HY62" s="105">
        <f t="shared" si="83"/>
        <v>2965.5172413793107</v>
      </c>
      <c r="HZ62" s="105">
        <f t="shared" si="83"/>
        <v>21500</v>
      </c>
      <c r="IA62" s="105">
        <f t="shared" si="68"/>
        <v>0</v>
      </c>
      <c r="IB62" s="109">
        <f t="shared" si="69"/>
        <v>117700</v>
      </c>
      <c r="IC62" s="109">
        <f t="shared" si="70"/>
        <v>101465.5172413793</v>
      </c>
      <c r="ID62" s="109">
        <f t="shared" si="71"/>
        <v>0</v>
      </c>
      <c r="IE62" s="109">
        <f t="shared" ca="1" si="72"/>
        <v>7</v>
      </c>
      <c r="IF62" s="139">
        <f t="shared" si="73"/>
        <v>2.0079022988505746</v>
      </c>
      <c r="IG62" s="139">
        <f t="shared" ca="1" si="74"/>
        <v>33</v>
      </c>
      <c r="IH62" s="169">
        <f t="shared" ca="1" si="75"/>
        <v>1.1000000000000001</v>
      </c>
      <c r="II62" s="139">
        <f t="shared" ca="1" si="76"/>
        <v>-0.9079022988505745</v>
      </c>
      <c r="IJ62" s="169">
        <f t="shared" ca="1" si="77"/>
        <v>0</v>
      </c>
      <c r="IK62" s="169">
        <f t="shared" ca="1" si="84"/>
        <v>-0.9079022988505745</v>
      </c>
      <c r="IL62" s="170">
        <f t="shared" ca="1" si="78"/>
        <v>-9721.5384615384592</v>
      </c>
      <c r="IM62" s="171"/>
      <c r="IN62" s="171"/>
      <c r="IO62" s="171"/>
      <c r="IP62" s="171"/>
    </row>
    <row r="63" spans="1:250" ht="15" customHeight="1" thickBot="1" x14ac:dyDescent="0.35">
      <c r="A63" s="110">
        <f t="shared" si="79"/>
        <v>59</v>
      </c>
      <c r="B63" s="111" t="s">
        <v>170</v>
      </c>
      <c r="C63" s="145" t="s">
        <v>171</v>
      </c>
      <c r="D63" s="145">
        <v>102</v>
      </c>
      <c r="E63" s="111" t="s">
        <v>253</v>
      </c>
      <c r="F63" s="111"/>
      <c r="G63" s="111" t="s">
        <v>798</v>
      </c>
      <c r="H63" s="111">
        <v>1021100174</v>
      </c>
      <c r="I63" s="146" t="str">
        <f t="shared" si="0"/>
        <v>1100174</v>
      </c>
      <c r="J63" s="145" t="str">
        <f t="shared" si="1"/>
        <v>KN1100174</v>
      </c>
      <c r="K63" s="111" t="s">
        <v>799</v>
      </c>
      <c r="L63" s="111" t="s">
        <v>268</v>
      </c>
      <c r="M63" s="111" t="s">
        <v>800</v>
      </c>
      <c r="N63" s="111" t="s">
        <v>138</v>
      </c>
      <c r="O63" s="111"/>
      <c r="P63" s="111" t="s">
        <v>801</v>
      </c>
      <c r="Q63" s="148">
        <v>33326</v>
      </c>
      <c r="R63" s="111" t="s">
        <v>170</v>
      </c>
      <c r="S63" s="111">
        <f t="shared" ca="1" si="85"/>
        <v>34</v>
      </c>
      <c r="T63" s="111" t="s">
        <v>229</v>
      </c>
      <c r="U63" s="145" t="s">
        <v>217</v>
      </c>
      <c r="V63" s="181">
        <v>778173786</v>
      </c>
      <c r="W63" s="111"/>
      <c r="X63" s="111" t="s">
        <v>181</v>
      </c>
      <c r="Y63" s="111">
        <v>11</v>
      </c>
      <c r="Z63" s="111" t="s">
        <v>235</v>
      </c>
      <c r="AA63" s="111" t="s">
        <v>261</v>
      </c>
      <c r="AB63" s="111" t="s">
        <v>236</v>
      </c>
      <c r="AC63" s="111" t="s">
        <v>146</v>
      </c>
      <c r="AD63" s="111" t="s">
        <v>147</v>
      </c>
      <c r="AE63" s="173" t="s">
        <v>136</v>
      </c>
      <c r="AF63" s="173" t="s">
        <v>136</v>
      </c>
      <c r="AG63" s="174">
        <v>45871</v>
      </c>
      <c r="AH63" s="175">
        <v>100000</v>
      </c>
      <c r="AI63" s="111">
        <v>14</v>
      </c>
      <c r="AJ63" s="111">
        <v>0</v>
      </c>
      <c r="AK63" s="150">
        <f t="shared" si="80"/>
        <v>14</v>
      </c>
      <c r="AL63" s="177">
        <v>100000</v>
      </c>
      <c r="AM63" s="176">
        <v>0.16</v>
      </c>
      <c r="AN63" s="177">
        <f t="shared" si="92"/>
        <v>16000</v>
      </c>
      <c r="AO63" s="157">
        <f t="shared" si="96"/>
        <v>116000</v>
      </c>
      <c r="AP63" s="158">
        <f t="shared" si="3"/>
        <v>8285.7142857142862</v>
      </c>
      <c r="AQ63" s="111" t="s">
        <v>136</v>
      </c>
      <c r="AR63" s="111" t="s">
        <v>170</v>
      </c>
      <c r="AS63" s="111" t="s">
        <v>217</v>
      </c>
      <c r="AT63" s="111" t="s">
        <v>289</v>
      </c>
      <c r="AU63" s="111" t="s">
        <v>229</v>
      </c>
      <c r="AV63" s="111">
        <v>7</v>
      </c>
      <c r="AW63" s="111" t="s">
        <v>136</v>
      </c>
      <c r="AX63" s="111" t="s">
        <v>136</v>
      </c>
      <c r="AY63" s="111" t="s">
        <v>136</v>
      </c>
      <c r="AZ63" s="111" t="s">
        <v>136</v>
      </c>
      <c r="BA63" s="111" t="s">
        <v>136</v>
      </c>
      <c r="BB63" s="111" t="s">
        <v>136</v>
      </c>
      <c r="BC63" s="111" t="s">
        <v>136</v>
      </c>
      <c r="BD63" s="111" t="s">
        <v>136</v>
      </c>
      <c r="BE63" s="111" t="s">
        <v>136</v>
      </c>
      <c r="BF63" s="111" t="s">
        <v>136</v>
      </c>
      <c r="BG63" s="111" t="s">
        <v>136</v>
      </c>
      <c r="BH63" s="111" t="s">
        <v>136</v>
      </c>
      <c r="BI63" s="111" t="s">
        <v>136</v>
      </c>
      <c r="BJ63" s="111" t="s">
        <v>136</v>
      </c>
      <c r="BK63" s="111" t="s">
        <v>136</v>
      </c>
      <c r="BL63" s="111" t="s">
        <v>136</v>
      </c>
      <c r="BM63" s="111" t="s">
        <v>136</v>
      </c>
      <c r="BN63" s="111" t="s">
        <v>136</v>
      </c>
      <c r="BO63" s="111" t="s">
        <v>136</v>
      </c>
      <c r="BP63" s="111" t="s">
        <v>802</v>
      </c>
      <c r="BQ63" s="111" t="s">
        <v>268</v>
      </c>
      <c r="BR63" s="111" t="s">
        <v>803</v>
      </c>
      <c r="BS63" s="111" t="s">
        <v>804</v>
      </c>
      <c r="BT63" s="182" t="s">
        <v>805</v>
      </c>
      <c r="BU63" s="111" t="s">
        <v>229</v>
      </c>
      <c r="BV63" s="111" t="s">
        <v>217</v>
      </c>
      <c r="BW63" s="111"/>
      <c r="BX63" s="111"/>
      <c r="BY63" s="111"/>
      <c r="BZ63" s="111"/>
      <c r="CA63" s="111"/>
      <c r="CB63" s="111"/>
      <c r="CC63" s="178"/>
      <c r="CD63" s="177">
        <f t="shared" si="4"/>
        <v>100000</v>
      </c>
      <c r="CE63" s="148">
        <v>45988</v>
      </c>
      <c r="CF63" s="111">
        <f t="shared" si="5"/>
        <v>14</v>
      </c>
      <c r="CG63" s="177">
        <f t="shared" si="6"/>
        <v>116000</v>
      </c>
      <c r="CH63" s="203">
        <f t="shared" si="95"/>
        <v>0</v>
      </c>
      <c r="CI63" s="148">
        <v>45988</v>
      </c>
      <c r="CJ63" s="161">
        <f t="shared" si="81"/>
        <v>46018</v>
      </c>
      <c r="CK63" s="162">
        <f t="shared" si="82"/>
        <v>46414</v>
      </c>
      <c r="CL63" s="183"/>
      <c r="CM63" s="164">
        <f t="shared" ca="1" si="8"/>
        <v>46054</v>
      </c>
      <c r="CN63" s="165">
        <f t="shared" si="9"/>
        <v>46018</v>
      </c>
      <c r="CO63" s="109">
        <f t="shared" si="10"/>
        <v>7155.1724137931033</v>
      </c>
      <c r="CP63" s="109">
        <f t="shared" si="11"/>
        <v>1144.8275862068967</v>
      </c>
      <c r="CQ63" s="109">
        <v>8300</v>
      </c>
      <c r="CR63" s="109">
        <f t="shared" si="12"/>
        <v>14.285714285713766</v>
      </c>
      <c r="CS63" s="166">
        <v>46028</v>
      </c>
      <c r="CT63" s="167">
        <f t="shared" si="13"/>
        <v>10</v>
      </c>
      <c r="CU63" s="165">
        <f t="shared" si="14"/>
        <v>46049</v>
      </c>
      <c r="CV63" s="109">
        <f t="shared" si="15"/>
        <v>7155.1724137931033</v>
      </c>
      <c r="CW63" s="109">
        <f t="shared" si="16"/>
        <v>1144.8275862068967</v>
      </c>
      <c r="CX63" s="109">
        <v>8300</v>
      </c>
      <c r="CY63" s="109">
        <f t="shared" si="17"/>
        <v>14.285714285713766</v>
      </c>
      <c r="CZ63" s="166">
        <v>46028</v>
      </c>
      <c r="DA63" s="167">
        <f t="shared" si="18"/>
        <v>0</v>
      </c>
      <c r="DB63" s="165">
        <f t="shared" si="19"/>
        <v>46080</v>
      </c>
      <c r="DC63" s="109">
        <f t="shared" si="20"/>
        <v>0</v>
      </c>
      <c r="DD63" s="109">
        <f t="shared" si="21"/>
        <v>0</v>
      </c>
      <c r="DE63" s="109"/>
      <c r="DF63" s="109">
        <f t="shared" si="22"/>
        <v>0</v>
      </c>
      <c r="DG63" s="166">
        <f t="shared" ca="1" si="106"/>
        <v>46054</v>
      </c>
      <c r="DH63" s="167">
        <f t="shared" ca="1" si="23"/>
        <v>0</v>
      </c>
      <c r="DI63" s="165">
        <f t="shared" si="24"/>
        <v>46108</v>
      </c>
      <c r="DJ63" s="109">
        <f t="shared" si="25"/>
        <v>0</v>
      </c>
      <c r="DK63" s="109">
        <f t="shared" si="26"/>
        <v>0</v>
      </c>
      <c r="DL63" s="109">
        <v>0</v>
      </c>
      <c r="DM63" s="109">
        <f t="shared" si="27"/>
        <v>0</v>
      </c>
      <c r="DN63" s="166">
        <f t="shared" ca="1" si="87"/>
        <v>46054</v>
      </c>
      <c r="DO63" s="167">
        <f t="shared" ca="1" si="28"/>
        <v>0</v>
      </c>
      <c r="DP63" s="165">
        <f t="shared" si="93"/>
        <v>46139</v>
      </c>
      <c r="DQ63" s="109">
        <f t="shared" si="29"/>
        <v>0</v>
      </c>
      <c r="DR63" s="109">
        <f t="shared" si="94"/>
        <v>0</v>
      </c>
      <c r="DS63" s="109"/>
      <c r="DT63" s="109">
        <f t="shared" si="30"/>
        <v>0</v>
      </c>
      <c r="DU63" s="166">
        <f t="shared" ca="1" si="88"/>
        <v>46054</v>
      </c>
      <c r="DV63" s="167">
        <f t="shared" ca="1" si="31"/>
        <v>0</v>
      </c>
      <c r="DW63" s="165">
        <f t="shared" si="32"/>
        <v>46169</v>
      </c>
      <c r="DX63" s="109">
        <f t="shared" si="33"/>
        <v>0</v>
      </c>
      <c r="DY63" s="109">
        <f t="shared" si="34"/>
        <v>0</v>
      </c>
      <c r="DZ63" s="109"/>
      <c r="EA63" s="109">
        <f t="shared" si="35"/>
        <v>0</v>
      </c>
      <c r="EB63" s="166">
        <f t="shared" ca="1" si="89"/>
        <v>46054</v>
      </c>
      <c r="EC63" s="167">
        <f t="shared" ca="1" si="36"/>
        <v>0</v>
      </c>
      <c r="ED63" s="165">
        <f t="shared" si="37"/>
        <v>46200</v>
      </c>
      <c r="EE63" s="109">
        <f t="shared" si="38"/>
        <v>0</v>
      </c>
      <c r="EF63" s="109">
        <f t="shared" si="39"/>
        <v>0</v>
      </c>
      <c r="EG63" s="109"/>
      <c r="EH63" s="109">
        <f t="shared" si="40"/>
        <v>0</v>
      </c>
      <c r="EI63" s="166">
        <f t="shared" ca="1" si="90"/>
        <v>46054</v>
      </c>
      <c r="EJ63" s="167">
        <f t="shared" ca="1" si="41"/>
        <v>0</v>
      </c>
      <c r="EK63" s="165">
        <f t="shared" si="42"/>
        <v>46230</v>
      </c>
      <c r="EL63" s="109">
        <f t="shared" si="43"/>
        <v>0</v>
      </c>
      <c r="EM63" s="109">
        <f t="shared" si="44"/>
        <v>0</v>
      </c>
      <c r="EN63" s="109"/>
      <c r="EO63" s="109">
        <f t="shared" si="45"/>
        <v>0</v>
      </c>
      <c r="EP63" s="166">
        <f t="shared" ca="1" si="91"/>
        <v>46054</v>
      </c>
      <c r="EQ63" s="167">
        <f t="shared" ca="1" si="46"/>
        <v>0</v>
      </c>
      <c r="ER63" s="165">
        <f t="shared" si="47"/>
        <v>46261</v>
      </c>
      <c r="ES63" s="109">
        <f t="shared" si="48"/>
        <v>0</v>
      </c>
      <c r="ET63" s="109">
        <f t="shared" si="49"/>
        <v>0</v>
      </c>
      <c r="EU63" s="109"/>
      <c r="EV63" s="109"/>
      <c r="EW63" s="166"/>
      <c r="EX63" s="166"/>
      <c r="EY63" s="165">
        <f t="shared" si="50"/>
        <v>46292</v>
      </c>
      <c r="EZ63" s="109">
        <f t="shared" si="51"/>
        <v>0</v>
      </c>
      <c r="FA63" s="109">
        <f t="shared" si="52"/>
        <v>0</v>
      </c>
      <c r="FB63" s="109"/>
      <c r="FC63" s="109"/>
      <c r="FD63" s="166"/>
      <c r="FE63" s="166"/>
      <c r="FF63" s="165">
        <f t="shared" si="53"/>
        <v>46322</v>
      </c>
      <c r="FG63" s="109">
        <f t="shared" si="54"/>
        <v>0</v>
      </c>
      <c r="FH63" s="109">
        <f t="shared" si="55"/>
        <v>0</v>
      </c>
      <c r="FI63" s="109"/>
      <c r="FJ63" s="109"/>
      <c r="FK63" s="166"/>
      <c r="FL63" s="166"/>
      <c r="FM63" s="165">
        <f t="shared" si="56"/>
        <v>46353</v>
      </c>
      <c r="FN63" s="109">
        <f t="shared" si="57"/>
        <v>0</v>
      </c>
      <c r="FO63" s="109">
        <f t="shared" si="58"/>
        <v>0</v>
      </c>
      <c r="FP63" s="109"/>
      <c r="FQ63" s="109"/>
      <c r="FR63" s="166"/>
      <c r="FS63" s="166"/>
      <c r="FT63" s="165"/>
      <c r="FU63" s="109">
        <f t="shared" si="108"/>
        <v>0</v>
      </c>
      <c r="FV63" s="109">
        <f t="shared" si="109"/>
        <v>0</v>
      </c>
      <c r="FW63" s="109"/>
      <c r="FX63" s="109"/>
      <c r="FY63" s="166"/>
      <c r="FZ63" s="166"/>
      <c r="GA63" s="165"/>
      <c r="GB63" s="109">
        <f t="shared" ref="GB63:GB70" si="110">GD63-GC63</f>
        <v>0</v>
      </c>
      <c r="GC63" s="109">
        <f t="shared" ref="GC63:GC70" si="111">GD63/(1+AM63)*AM63</f>
        <v>0</v>
      </c>
      <c r="GD63" s="109"/>
      <c r="GE63" s="109"/>
      <c r="GF63" s="166"/>
      <c r="GG63" s="166"/>
      <c r="GH63" s="165"/>
      <c r="GI63" s="109">
        <f t="shared" ref="GI63:GI70" si="112">GK63-GJ63</f>
        <v>0</v>
      </c>
      <c r="GJ63" s="109">
        <f t="shared" ref="GJ63:GJ70" si="113">GK63/(1+AM63)*AM63</f>
        <v>0</v>
      </c>
      <c r="GK63" s="109"/>
      <c r="GL63" s="109"/>
      <c r="GM63" s="166"/>
      <c r="GN63" s="166"/>
      <c r="GO63" s="165"/>
      <c r="GP63" s="109">
        <f t="shared" ref="GP63:GP70" si="114">GR63-GQ63</f>
        <v>0</v>
      </c>
      <c r="GQ63" s="109">
        <f t="shared" ref="GQ63:GQ70" si="115">GR63/(1+AM63)*AM63</f>
        <v>0</v>
      </c>
      <c r="GR63" s="109"/>
      <c r="GS63" s="109"/>
      <c r="GT63" s="166"/>
      <c r="GU63" s="166"/>
      <c r="GV63" s="165"/>
      <c r="GW63" s="168">
        <f t="shared" ref="GW63:GW70" si="116">GY63-GX63</f>
        <v>0</v>
      </c>
      <c r="GX63" s="168">
        <f t="shared" ref="GX63:GX70" si="117">GY63/(1+AM63)*AM63</f>
        <v>0</v>
      </c>
      <c r="GY63" s="168"/>
      <c r="GZ63" s="168"/>
      <c r="HA63" s="166"/>
      <c r="HB63" s="166"/>
      <c r="HC63" s="165"/>
      <c r="HD63" s="109">
        <f t="shared" ref="HD63:HD70" si="118">HF63-HE63</f>
        <v>0</v>
      </c>
      <c r="HE63" s="109">
        <f t="shared" ref="HE63:HE70" si="119">HF63/(1+AM63)*AM63</f>
        <v>0</v>
      </c>
      <c r="HF63" s="109"/>
      <c r="HG63" s="109"/>
      <c r="HH63" s="166"/>
      <c r="HI63" s="166"/>
      <c r="HJ63" s="165"/>
      <c r="HK63" s="109">
        <f t="shared" ref="HK63:HK70" si="120">HM63-HL63</f>
        <v>0</v>
      </c>
      <c r="HL63" s="109">
        <f t="shared" ref="HL63:HL70" si="121">HM63/(1+AM63)*AM63</f>
        <v>0</v>
      </c>
      <c r="HM63" s="109"/>
      <c r="HN63" s="109"/>
      <c r="HO63" s="166"/>
      <c r="HP63" s="166"/>
      <c r="HQ63" s="165"/>
      <c r="HR63" s="109">
        <f t="shared" ref="HR63:HR70" si="122">HT63-HS63</f>
        <v>0</v>
      </c>
      <c r="HS63" s="109">
        <f t="shared" ref="HS63:HS70" si="123">HT63/(1+AM63)*AM63</f>
        <v>0</v>
      </c>
      <c r="HT63" s="109"/>
      <c r="HU63" s="109"/>
      <c r="HV63" s="166"/>
      <c r="HW63" s="166"/>
      <c r="HX63" s="105">
        <f t="shared" si="86"/>
        <v>14310.344827586207</v>
      </c>
      <c r="HY63" s="105">
        <f t="shared" si="83"/>
        <v>2289.6551724137935</v>
      </c>
      <c r="HZ63" s="105">
        <f t="shared" si="83"/>
        <v>16600</v>
      </c>
      <c r="IA63" s="105">
        <f t="shared" si="68"/>
        <v>0</v>
      </c>
      <c r="IB63" s="109">
        <f t="shared" si="69"/>
        <v>99400</v>
      </c>
      <c r="IC63" s="109">
        <f t="shared" si="70"/>
        <v>85689.655172413797</v>
      </c>
      <c r="ID63" s="109">
        <f t="shared" si="71"/>
        <v>0</v>
      </c>
      <c r="IE63" s="109">
        <f t="shared" ca="1" si="72"/>
        <v>10</v>
      </c>
      <c r="IF63" s="139">
        <f t="shared" si="73"/>
        <v>2.0034482758620689</v>
      </c>
      <c r="IG63" s="139">
        <f t="shared" ca="1" si="74"/>
        <v>36</v>
      </c>
      <c r="IH63" s="169">
        <f t="shared" ca="1" si="75"/>
        <v>1.2</v>
      </c>
      <c r="II63" s="139">
        <f t="shared" ca="1" si="76"/>
        <v>-0.80344827586206891</v>
      </c>
      <c r="IJ63" s="169">
        <f t="shared" ca="1" si="77"/>
        <v>0</v>
      </c>
      <c r="IK63" s="169">
        <f t="shared" ca="1" si="84"/>
        <v>-0.80344827586206891</v>
      </c>
      <c r="IL63" s="170">
        <f t="shared" ca="1" si="78"/>
        <v>-6657.1428571428569</v>
      </c>
      <c r="IM63" s="171"/>
      <c r="IN63" s="171"/>
      <c r="IO63" s="171"/>
      <c r="IP63" s="171"/>
    </row>
    <row r="64" spans="1:250" ht="15" thickBot="1" x14ac:dyDescent="0.35">
      <c r="A64" s="110">
        <f t="shared" si="79"/>
        <v>60</v>
      </c>
      <c r="B64" s="111" t="s">
        <v>170</v>
      </c>
      <c r="C64" s="111" t="s">
        <v>171</v>
      </c>
      <c r="D64" s="111">
        <v>102</v>
      </c>
      <c r="E64" s="111" t="s">
        <v>253</v>
      </c>
      <c r="F64" s="111"/>
      <c r="G64" s="111" t="s">
        <v>806</v>
      </c>
      <c r="H64" s="111">
        <v>1021100175</v>
      </c>
      <c r="I64" s="146" t="str">
        <f t="shared" si="0"/>
        <v>1100175</v>
      </c>
      <c r="J64" s="145" t="str">
        <f t="shared" si="1"/>
        <v>KN1100175</v>
      </c>
      <c r="K64" s="111" t="s">
        <v>807</v>
      </c>
      <c r="L64" s="111" t="s">
        <v>136</v>
      </c>
      <c r="M64" s="111" t="s">
        <v>326</v>
      </c>
      <c r="N64" s="111" t="s">
        <v>138</v>
      </c>
      <c r="O64" s="111"/>
      <c r="P64" s="111" t="s">
        <v>808</v>
      </c>
      <c r="Q64" s="148">
        <v>35545</v>
      </c>
      <c r="R64" s="111" t="s">
        <v>170</v>
      </c>
      <c r="S64" s="111">
        <f t="shared" ca="1" si="85"/>
        <v>28</v>
      </c>
      <c r="T64" s="111" t="s">
        <v>625</v>
      </c>
      <c r="U64" s="111" t="s">
        <v>217</v>
      </c>
      <c r="V64" s="181">
        <v>775551096</v>
      </c>
      <c r="W64" s="111"/>
      <c r="X64" s="111" t="s">
        <v>181</v>
      </c>
      <c r="Y64" s="111">
        <v>11</v>
      </c>
      <c r="Z64" s="111" t="s">
        <v>809</v>
      </c>
      <c r="AA64" s="111" t="s">
        <v>810</v>
      </c>
      <c r="AB64" s="111" t="s">
        <v>811</v>
      </c>
      <c r="AC64" s="111" t="s">
        <v>146</v>
      </c>
      <c r="AD64" s="111" t="s">
        <v>147</v>
      </c>
      <c r="AE64" s="173" t="s">
        <v>136</v>
      </c>
      <c r="AF64" s="173" t="s">
        <v>136</v>
      </c>
      <c r="AG64" s="174">
        <v>45963</v>
      </c>
      <c r="AH64" s="175">
        <v>300000</v>
      </c>
      <c r="AI64" s="111">
        <v>18</v>
      </c>
      <c r="AJ64" s="111">
        <v>0</v>
      </c>
      <c r="AK64" s="150">
        <f t="shared" si="80"/>
        <v>18</v>
      </c>
      <c r="AL64" s="177">
        <v>300000</v>
      </c>
      <c r="AM64" s="176">
        <v>0.16</v>
      </c>
      <c r="AN64" s="177">
        <f t="shared" si="92"/>
        <v>48000</v>
      </c>
      <c r="AO64" s="157">
        <f t="shared" si="96"/>
        <v>348000</v>
      </c>
      <c r="AP64" s="158">
        <f t="shared" si="3"/>
        <v>19333.333333333332</v>
      </c>
      <c r="AQ64" s="111" t="s">
        <v>812</v>
      </c>
      <c r="AR64" s="111" t="s">
        <v>170</v>
      </c>
      <c r="AS64" s="111" t="s">
        <v>217</v>
      </c>
      <c r="AT64" s="111" t="s">
        <v>289</v>
      </c>
      <c r="AU64" s="111" t="s">
        <v>625</v>
      </c>
      <c r="AV64" s="111">
        <v>5</v>
      </c>
      <c r="AW64" s="111" t="s">
        <v>136</v>
      </c>
      <c r="AX64" s="111" t="s">
        <v>136</v>
      </c>
      <c r="AY64" s="111" t="s">
        <v>203</v>
      </c>
      <c r="AZ64" s="111" t="s">
        <v>807</v>
      </c>
      <c r="BA64" s="111" t="s">
        <v>813</v>
      </c>
      <c r="BB64" s="174">
        <v>45737</v>
      </c>
      <c r="BC64" s="174">
        <v>46101</v>
      </c>
      <c r="BD64" s="111" t="s">
        <v>136</v>
      </c>
      <c r="BE64" s="111" t="s">
        <v>136</v>
      </c>
      <c r="BF64" s="111" t="s">
        <v>136</v>
      </c>
      <c r="BG64" s="111" t="s">
        <v>136</v>
      </c>
      <c r="BH64" s="111" t="s">
        <v>136</v>
      </c>
      <c r="BI64" s="111" t="s">
        <v>136</v>
      </c>
      <c r="BJ64" s="111" t="s">
        <v>136</v>
      </c>
      <c r="BK64" s="111" t="s">
        <v>136</v>
      </c>
      <c r="BL64" s="111" t="s">
        <v>136</v>
      </c>
      <c r="BM64" s="111" t="s">
        <v>136</v>
      </c>
      <c r="BN64" s="111" t="s">
        <v>136</v>
      </c>
      <c r="BO64" s="111" t="s">
        <v>136</v>
      </c>
      <c r="BP64" s="111" t="s">
        <v>814</v>
      </c>
      <c r="BQ64" s="111" t="s">
        <v>136</v>
      </c>
      <c r="BR64" s="111" t="s">
        <v>326</v>
      </c>
      <c r="BS64" s="111" t="s">
        <v>815</v>
      </c>
      <c r="BT64" s="182" t="s">
        <v>816</v>
      </c>
      <c r="BU64" s="111" t="s">
        <v>625</v>
      </c>
      <c r="BV64" s="111" t="s">
        <v>217</v>
      </c>
      <c r="BW64" s="111"/>
      <c r="BX64" s="111"/>
      <c r="BY64" s="111"/>
      <c r="BZ64" s="111"/>
      <c r="CA64" s="111"/>
      <c r="CB64" s="111"/>
      <c r="CC64" s="178"/>
      <c r="CD64" s="177">
        <f t="shared" si="4"/>
        <v>300000</v>
      </c>
      <c r="CE64" s="148">
        <v>45988</v>
      </c>
      <c r="CF64" s="111">
        <f t="shared" si="5"/>
        <v>18</v>
      </c>
      <c r="CG64" s="177">
        <f t="shared" si="6"/>
        <v>348000</v>
      </c>
      <c r="CH64" s="203">
        <f t="shared" si="95"/>
        <v>0</v>
      </c>
      <c r="CI64" s="148">
        <v>45988</v>
      </c>
      <c r="CJ64" s="161">
        <f t="shared" si="81"/>
        <v>46018</v>
      </c>
      <c r="CK64" s="162">
        <f t="shared" si="82"/>
        <v>46534</v>
      </c>
      <c r="CL64" s="183"/>
      <c r="CM64" s="164">
        <f t="shared" ca="1" si="8"/>
        <v>46054</v>
      </c>
      <c r="CN64" s="165">
        <f t="shared" si="9"/>
        <v>46018</v>
      </c>
      <c r="CO64" s="109">
        <f t="shared" si="10"/>
        <v>16681.03448275862</v>
      </c>
      <c r="CP64" s="109">
        <f t="shared" si="11"/>
        <v>2668.96551724138</v>
      </c>
      <c r="CQ64" s="109">
        <v>19350</v>
      </c>
      <c r="CR64" s="109">
        <f t="shared" si="12"/>
        <v>16.666666666667879</v>
      </c>
      <c r="CS64" s="166">
        <v>46028</v>
      </c>
      <c r="CT64" s="167">
        <f t="shared" si="13"/>
        <v>10</v>
      </c>
      <c r="CU64" s="165">
        <f t="shared" si="14"/>
        <v>46049</v>
      </c>
      <c r="CV64" s="109">
        <f t="shared" si="15"/>
        <v>16681.03448275862</v>
      </c>
      <c r="CW64" s="109">
        <f t="shared" si="16"/>
        <v>2668.96551724138</v>
      </c>
      <c r="CX64" s="109">
        <v>19350</v>
      </c>
      <c r="CY64" s="109">
        <f t="shared" si="17"/>
        <v>16.666666666667879</v>
      </c>
      <c r="CZ64" s="166">
        <v>46028</v>
      </c>
      <c r="DA64" s="167">
        <f t="shared" si="18"/>
        <v>0</v>
      </c>
      <c r="DB64" s="165">
        <f t="shared" si="19"/>
        <v>46080</v>
      </c>
      <c r="DC64" s="109">
        <f t="shared" si="20"/>
        <v>0</v>
      </c>
      <c r="DD64" s="109">
        <f t="shared" si="21"/>
        <v>0</v>
      </c>
      <c r="DE64" s="109"/>
      <c r="DF64" s="109">
        <f t="shared" si="22"/>
        <v>0</v>
      </c>
      <c r="DG64" s="166">
        <f t="shared" ca="1" si="106"/>
        <v>46054</v>
      </c>
      <c r="DH64" s="167">
        <f t="shared" ca="1" si="23"/>
        <v>0</v>
      </c>
      <c r="DI64" s="165">
        <f t="shared" si="24"/>
        <v>46108</v>
      </c>
      <c r="DJ64" s="109">
        <f t="shared" si="25"/>
        <v>0</v>
      </c>
      <c r="DK64" s="109">
        <f t="shared" si="26"/>
        <v>0</v>
      </c>
      <c r="DL64" s="109">
        <v>0</v>
      </c>
      <c r="DM64" s="109">
        <f t="shared" si="27"/>
        <v>0</v>
      </c>
      <c r="DN64" s="166">
        <f t="shared" ca="1" si="87"/>
        <v>46054</v>
      </c>
      <c r="DO64" s="167">
        <f t="shared" ca="1" si="28"/>
        <v>0</v>
      </c>
      <c r="DP64" s="165">
        <f t="shared" si="93"/>
        <v>46139</v>
      </c>
      <c r="DQ64" s="109">
        <f t="shared" si="29"/>
        <v>0</v>
      </c>
      <c r="DR64" s="109">
        <f t="shared" si="94"/>
        <v>0</v>
      </c>
      <c r="DS64" s="109"/>
      <c r="DT64" s="109">
        <f t="shared" si="30"/>
        <v>0</v>
      </c>
      <c r="DU64" s="166">
        <f t="shared" ca="1" si="88"/>
        <v>46054</v>
      </c>
      <c r="DV64" s="167">
        <f t="shared" ca="1" si="31"/>
        <v>0</v>
      </c>
      <c r="DW64" s="165">
        <f t="shared" si="32"/>
        <v>46169</v>
      </c>
      <c r="DX64" s="109">
        <f t="shared" si="33"/>
        <v>0</v>
      </c>
      <c r="DY64" s="109">
        <f t="shared" si="34"/>
        <v>0</v>
      </c>
      <c r="DZ64" s="109"/>
      <c r="EA64" s="109">
        <f t="shared" si="35"/>
        <v>0</v>
      </c>
      <c r="EB64" s="166">
        <f t="shared" ca="1" si="89"/>
        <v>46054</v>
      </c>
      <c r="EC64" s="167">
        <f t="shared" ca="1" si="36"/>
        <v>0</v>
      </c>
      <c r="ED64" s="165">
        <f t="shared" si="37"/>
        <v>46200</v>
      </c>
      <c r="EE64" s="109">
        <f t="shared" si="38"/>
        <v>0</v>
      </c>
      <c r="EF64" s="109">
        <f t="shared" si="39"/>
        <v>0</v>
      </c>
      <c r="EG64" s="109"/>
      <c r="EH64" s="109">
        <f t="shared" si="40"/>
        <v>0</v>
      </c>
      <c r="EI64" s="166">
        <f t="shared" ca="1" si="90"/>
        <v>46054</v>
      </c>
      <c r="EJ64" s="167">
        <f t="shared" ca="1" si="41"/>
        <v>0</v>
      </c>
      <c r="EK64" s="165">
        <f t="shared" si="42"/>
        <v>46230</v>
      </c>
      <c r="EL64" s="109">
        <f t="shared" si="43"/>
        <v>0</v>
      </c>
      <c r="EM64" s="109">
        <f t="shared" si="44"/>
        <v>0</v>
      </c>
      <c r="EN64" s="109"/>
      <c r="EO64" s="109">
        <f t="shared" si="45"/>
        <v>0</v>
      </c>
      <c r="EP64" s="166">
        <f t="shared" ca="1" si="91"/>
        <v>46054</v>
      </c>
      <c r="EQ64" s="167">
        <f t="shared" ca="1" si="46"/>
        <v>0</v>
      </c>
      <c r="ER64" s="165">
        <f t="shared" si="47"/>
        <v>46261</v>
      </c>
      <c r="ES64" s="109">
        <f t="shared" si="48"/>
        <v>0</v>
      </c>
      <c r="ET64" s="109">
        <f t="shared" si="49"/>
        <v>0</v>
      </c>
      <c r="EU64" s="109"/>
      <c r="EV64" s="109"/>
      <c r="EW64" s="166"/>
      <c r="EX64" s="166"/>
      <c r="EY64" s="165">
        <f t="shared" si="50"/>
        <v>46292</v>
      </c>
      <c r="EZ64" s="109">
        <f t="shared" si="51"/>
        <v>0</v>
      </c>
      <c r="FA64" s="109">
        <f t="shared" si="52"/>
        <v>0</v>
      </c>
      <c r="FB64" s="109"/>
      <c r="FC64" s="109"/>
      <c r="FD64" s="166"/>
      <c r="FE64" s="166"/>
      <c r="FF64" s="165">
        <f t="shared" si="53"/>
        <v>46322</v>
      </c>
      <c r="FG64" s="109">
        <f t="shared" si="54"/>
        <v>0</v>
      </c>
      <c r="FH64" s="109">
        <f t="shared" si="55"/>
        <v>0</v>
      </c>
      <c r="FI64" s="109"/>
      <c r="FJ64" s="109"/>
      <c r="FK64" s="166"/>
      <c r="FL64" s="166"/>
      <c r="FM64" s="165">
        <f t="shared" si="56"/>
        <v>46353</v>
      </c>
      <c r="FN64" s="109">
        <f t="shared" si="57"/>
        <v>0</v>
      </c>
      <c r="FO64" s="109">
        <f t="shared" si="58"/>
        <v>0</v>
      </c>
      <c r="FP64" s="109"/>
      <c r="FQ64" s="109"/>
      <c r="FR64" s="166"/>
      <c r="FS64" s="166"/>
      <c r="FT64" s="165">
        <f>EDATE(FM64,1)</f>
        <v>46383</v>
      </c>
      <c r="FU64" s="109">
        <f t="shared" si="108"/>
        <v>0</v>
      </c>
      <c r="FV64" s="109">
        <f t="shared" si="109"/>
        <v>0</v>
      </c>
      <c r="FW64" s="109"/>
      <c r="FX64" s="109"/>
      <c r="FY64" s="166"/>
      <c r="FZ64" s="166"/>
      <c r="GA64" s="165">
        <f>EDATE(FT64,1)</f>
        <v>46414</v>
      </c>
      <c r="GB64" s="109">
        <f t="shared" si="110"/>
        <v>0</v>
      </c>
      <c r="GC64" s="109">
        <f t="shared" si="111"/>
        <v>0</v>
      </c>
      <c r="GD64" s="109"/>
      <c r="GE64" s="109"/>
      <c r="GF64" s="166"/>
      <c r="GG64" s="166"/>
      <c r="GH64" s="165">
        <f>EDATE(GA64,1)</f>
        <v>46445</v>
      </c>
      <c r="GI64" s="109">
        <f t="shared" si="112"/>
        <v>0</v>
      </c>
      <c r="GJ64" s="109">
        <f t="shared" si="113"/>
        <v>0</v>
      </c>
      <c r="GK64" s="109"/>
      <c r="GL64" s="109"/>
      <c r="GM64" s="166"/>
      <c r="GN64" s="166"/>
      <c r="GO64" s="165">
        <f>EDATE(GH64,1)</f>
        <v>46473</v>
      </c>
      <c r="GP64" s="109">
        <f t="shared" si="114"/>
        <v>0</v>
      </c>
      <c r="GQ64" s="109">
        <f t="shared" si="115"/>
        <v>0</v>
      </c>
      <c r="GR64" s="109"/>
      <c r="GS64" s="109"/>
      <c r="GT64" s="166"/>
      <c r="GU64" s="166"/>
      <c r="GV64" s="165">
        <f>EDATE(GO64,1)</f>
        <v>46504</v>
      </c>
      <c r="GW64" s="168">
        <f t="shared" si="116"/>
        <v>0</v>
      </c>
      <c r="GX64" s="168">
        <f t="shared" si="117"/>
        <v>0</v>
      </c>
      <c r="GY64" s="168"/>
      <c r="GZ64" s="168"/>
      <c r="HA64" s="166"/>
      <c r="HB64" s="166"/>
      <c r="HC64" s="165">
        <f>EDATE(GV64,1)</f>
        <v>46534</v>
      </c>
      <c r="HD64" s="109">
        <f t="shared" si="118"/>
        <v>0</v>
      </c>
      <c r="HE64" s="109">
        <f t="shared" si="119"/>
        <v>0</v>
      </c>
      <c r="HF64" s="109"/>
      <c r="HG64" s="109"/>
      <c r="HH64" s="166"/>
      <c r="HI64" s="166"/>
      <c r="HJ64" s="165"/>
      <c r="HK64" s="109">
        <f t="shared" si="120"/>
        <v>0</v>
      </c>
      <c r="HL64" s="109">
        <f t="shared" si="121"/>
        <v>0</v>
      </c>
      <c r="HM64" s="109"/>
      <c r="HN64" s="109"/>
      <c r="HO64" s="166"/>
      <c r="HP64" s="166"/>
      <c r="HQ64" s="165"/>
      <c r="HR64" s="109">
        <f t="shared" si="122"/>
        <v>0</v>
      </c>
      <c r="HS64" s="109">
        <f t="shared" si="123"/>
        <v>0</v>
      </c>
      <c r="HT64" s="109"/>
      <c r="HU64" s="109"/>
      <c r="HV64" s="166"/>
      <c r="HW64" s="166"/>
      <c r="HX64" s="105">
        <f t="shared" si="86"/>
        <v>33362.068965517239</v>
      </c>
      <c r="HY64" s="105">
        <f t="shared" si="83"/>
        <v>5337.93103448276</v>
      </c>
      <c r="HZ64" s="105">
        <f t="shared" si="83"/>
        <v>38700</v>
      </c>
      <c r="IA64" s="105">
        <f t="shared" si="68"/>
        <v>0</v>
      </c>
      <c r="IB64" s="109">
        <f t="shared" si="69"/>
        <v>309300</v>
      </c>
      <c r="IC64" s="109">
        <f t="shared" si="70"/>
        <v>266637.93103448278</v>
      </c>
      <c r="ID64" s="109">
        <f t="shared" si="71"/>
        <v>0</v>
      </c>
      <c r="IE64" s="109">
        <f t="shared" ca="1" si="72"/>
        <v>10</v>
      </c>
      <c r="IF64" s="139">
        <f t="shared" si="73"/>
        <v>2.0017241379310344</v>
      </c>
      <c r="IG64" s="139">
        <f t="shared" ca="1" si="74"/>
        <v>36</v>
      </c>
      <c r="IH64" s="169">
        <f t="shared" ca="1" si="75"/>
        <v>1.2</v>
      </c>
      <c r="II64" s="139">
        <f t="shared" ca="1" si="76"/>
        <v>-0.80172413793103448</v>
      </c>
      <c r="IJ64" s="169">
        <f t="shared" ca="1" si="77"/>
        <v>0</v>
      </c>
      <c r="IK64" s="169">
        <f t="shared" ca="1" si="84"/>
        <v>-0.80172413793103448</v>
      </c>
      <c r="IL64" s="170">
        <f t="shared" ca="1" si="78"/>
        <v>-15499.999999999998</v>
      </c>
      <c r="IM64" s="171"/>
      <c r="IN64" s="171"/>
      <c r="IO64" s="171"/>
      <c r="IP64" s="171"/>
    </row>
    <row r="65" spans="1:250" ht="15" customHeight="1" thickBot="1" x14ac:dyDescent="0.35">
      <c r="A65" s="110">
        <f t="shared" si="79"/>
        <v>61</v>
      </c>
      <c r="B65" s="111" t="s">
        <v>170</v>
      </c>
      <c r="C65" s="111" t="s">
        <v>171</v>
      </c>
      <c r="D65" s="111">
        <v>102</v>
      </c>
      <c r="E65" s="111" t="s">
        <v>253</v>
      </c>
      <c r="F65" s="111"/>
      <c r="G65" s="111" t="s">
        <v>817</v>
      </c>
      <c r="H65" s="111">
        <v>1021100176</v>
      </c>
      <c r="I65" s="146" t="str">
        <f t="shared" si="0"/>
        <v>1100176</v>
      </c>
      <c r="J65" s="145" t="str">
        <f t="shared" si="1"/>
        <v>KN1100176</v>
      </c>
      <c r="K65" s="111" t="s">
        <v>481</v>
      </c>
      <c r="L65" s="111" t="s">
        <v>412</v>
      </c>
      <c r="M65" s="111" t="s">
        <v>818</v>
      </c>
      <c r="N65" s="111" t="s">
        <v>138</v>
      </c>
      <c r="O65" s="111"/>
      <c r="P65" s="111" t="s">
        <v>819</v>
      </c>
      <c r="Q65" s="148">
        <v>33296</v>
      </c>
      <c r="R65" s="111" t="s">
        <v>170</v>
      </c>
      <c r="S65" s="111">
        <f t="shared" ca="1" si="85"/>
        <v>34</v>
      </c>
      <c r="T65" s="111" t="s">
        <v>651</v>
      </c>
      <c r="U65" s="111" t="s">
        <v>652</v>
      </c>
      <c r="V65" s="181">
        <v>772085269</v>
      </c>
      <c r="W65" s="111"/>
      <c r="X65" s="111" t="s">
        <v>181</v>
      </c>
      <c r="Y65" s="111">
        <v>11</v>
      </c>
      <c r="Z65" s="111" t="s">
        <v>456</v>
      </c>
      <c r="AA65" s="111" t="s">
        <v>457</v>
      </c>
      <c r="AB65" s="111" t="s">
        <v>458</v>
      </c>
      <c r="AC65" s="111" t="s">
        <v>146</v>
      </c>
      <c r="AD65" s="111" t="s">
        <v>147</v>
      </c>
      <c r="AE65" s="173" t="s">
        <v>136</v>
      </c>
      <c r="AF65" s="173" t="s">
        <v>136</v>
      </c>
      <c r="AG65" s="174">
        <v>45922</v>
      </c>
      <c r="AH65" s="175">
        <v>100000</v>
      </c>
      <c r="AI65" s="111">
        <v>14</v>
      </c>
      <c r="AJ65" s="111">
        <v>0</v>
      </c>
      <c r="AK65" s="150">
        <f t="shared" si="80"/>
        <v>14</v>
      </c>
      <c r="AL65" s="177">
        <v>90000</v>
      </c>
      <c r="AM65" s="176">
        <v>0.16</v>
      </c>
      <c r="AN65" s="177">
        <f t="shared" si="92"/>
        <v>14400</v>
      </c>
      <c r="AO65" s="157">
        <f t="shared" si="96"/>
        <v>104400</v>
      </c>
      <c r="AP65" s="158">
        <f t="shared" si="3"/>
        <v>7457.1428571428569</v>
      </c>
      <c r="AQ65" s="111" t="s">
        <v>136</v>
      </c>
      <c r="AR65" s="111" t="s">
        <v>170</v>
      </c>
      <c r="AS65" s="111" t="s">
        <v>652</v>
      </c>
      <c r="AT65" s="111" t="s">
        <v>654</v>
      </c>
      <c r="AU65" s="111" t="s">
        <v>651</v>
      </c>
      <c r="AV65" s="111">
        <v>5</v>
      </c>
      <c r="AW65" s="111" t="s">
        <v>136</v>
      </c>
      <c r="AX65" s="111" t="s">
        <v>136</v>
      </c>
      <c r="AY65" s="111" t="s">
        <v>136</v>
      </c>
      <c r="AZ65" s="111" t="s">
        <v>136</v>
      </c>
      <c r="BA65" s="111" t="s">
        <v>136</v>
      </c>
      <c r="BB65" s="111" t="s">
        <v>136</v>
      </c>
      <c r="BC65" s="111" t="s">
        <v>136</v>
      </c>
      <c r="BD65" s="111" t="s">
        <v>136</v>
      </c>
      <c r="BE65" s="111" t="s">
        <v>136</v>
      </c>
      <c r="BF65" s="111" t="s">
        <v>136</v>
      </c>
      <c r="BG65" s="111" t="s">
        <v>136</v>
      </c>
      <c r="BH65" s="111" t="s">
        <v>136</v>
      </c>
      <c r="BI65" s="111" t="s">
        <v>136</v>
      </c>
      <c r="BJ65" s="111" t="s">
        <v>136</v>
      </c>
      <c r="BK65" s="111" t="s">
        <v>136</v>
      </c>
      <c r="BL65" s="111" t="s">
        <v>136</v>
      </c>
      <c r="BM65" s="111" t="s">
        <v>136</v>
      </c>
      <c r="BN65" s="111" t="s">
        <v>136</v>
      </c>
      <c r="BO65" s="111" t="s">
        <v>136</v>
      </c>
      <c r="BP65" s="111" t="s">
        <v>820</v>
      </c>
      <c r="BQ65" s="111" t="s">
        <v>821</v>
      </c>
      <c r="BR65" s="111" t="s">
        <v>822</v>
      </c>
      <c r="BS65" s="111" t="s">
        <v>823</v>
      </c>
      <c r="BT65" s="111" t="s">
        <v>136</v>
      </c>
      <c r="BU65" s="111" t="s">
        <v>651</v>
      </c>
      <c r="BV65" s="111" t="s">
        <v>652</v>
      </c>
      <c r="BW65" s="111"/>
      <c r="BX65" s="111"/>
      <c r="BY65" s="111"/>
      <c r="BZ65" s="111"/>
      <c r="CA65" s="111"/>
      <c r="CB65" s="111"/>
      <c r="CC65" s="178"/>
      <c r="CD65" s="177">
        <f t="shared" si="4"/>
        <v>90000</v>
      </c>
      <c r="CE65" s="148">
        <v>45988</v>
      </c>
      <c r="CF65" s="111">
        <f t="shared" si="5"/>
        <v>14</v>
      </c>
      <c r="CG65" s="177">
        <f t="shared" si="6"/>
        <v>104400</v>
      </c>
      <c r="CH65" s="203">
        <f t="shared" si="95"/>
        <v>0</v>
      </c>
      <c r="CI65" s="148">
        <v>45988</v>
      </c>
      <c r="CJ65" s="161">
        <f t="shared" si="81"/>
        <v>46018</v>
      </c>
      <c r="CK65" s="162">
        <f t="shared" si="82"/>
        <v>46414</v>
      </c>
      <c r="CL65" s="183"/>
      <c r="CM65" s="164">
        <f t="shared" ca="1" si="8"/>
        <v>46054</v>
      </c>
      <c r="CN65" s="165">
        <f t="shared" si="9"/>
        <v>46018</v>
      </c>
      <c r="CO65" s="109">
        <f t="shared" si="10"/>
        <v>2120.6896551724139</v>
      </c>
      <c r="CP65" s="109">
        <f t="shared" si="11"/>
        <v>339.31034482758622</v>
      </c>
      <c r="CQ65" s="109">
        <v>2460</v>
      </c>
      <c r="CR65" s="109">
        <f t="shared" si="12"/>
        <v>-4997.1428571428569</v>
      </c>
      <c r="CS65" s="166">
        <v>46012</v>
      </c>
      <c r="CT65" s="167">
        <f t="shared" si="13"/>
        <v>0</v>
      </c>
      <c r="CU65" s="165">
        <f t="shared" si="14"/>
        <v>46049</v>
      </c>
      <c r="CV65" s="109">
        <f t="shared" si="15"/>
        <v>0</v>
      </c>
      <c r="CW65" s="109">
        <f t="shared" si="16"/>
        <v>0</v>
      </c>
      <c r="CX65" s="109"/>
      <c r="CY65" s="109">
        <f t="shared" si="17"/>
        <v>0</v>
      </c>
      <c r="CZ65" s="166">
        <f ca="1">TODAY()</f>
        <v>46054</v>
      </c>
      <c r="DA65" s="167">
        <f t="shared" ca="1" si="18"/>
        <v>5</v>
      </c>
      <c r="DB65" s="165">
        <f t="shared" si="19"/>
        <v>46080</v>
      </c>
      <c r="DC65" s="109">
        <f t="shared" si="20"/>
        <v>0</v>
      </c>
      <c r="DD65" s="109">
        <f t="shared" si="21"/>
        <v>0</v>
      </c>
      <c r="DE65" s="109"/>
      <c r="DF65" s="109">
        <f t="shared" si="22"/>
        <v>0</v>
      </c>
      <c r="DG65" s="166">
        <f t="shared" ca="1" si="106"/>
        <v>46054</v>
      </c>
      <c r="DH65" s="167">
        <f t="shared" ca="1" si="23"/>
        <v>0</v>
      </c>
      <c r="DI65" s="165">
        <f t="shared" si="24"/>
        <v>46108</v>
      </c>
      <c r="DJ65" s="109">
        <f t="shared" si="25"/>
        <v>0</v>
      </c>
      <c r="DK65" s="109">
        <f t="shared" si="26"/>
        <v>0</v>
      </c>
      <c r="DL65" s="109">
        <v>0</v>
      </c>
      <c r="DM65" s="109">
        <f t="shared" si="27"/>
        <v>0</v>
      </c>
      <c r="DN65" s="166">
        <f t="shared" ca="1" si="87"/>
        <v>46054</v>
      </c>
      <c r="DO65" s="167">
        <f t="shared" ca="1" si="28"/>
        <v>0</v>
      </c>
      <c r="DP65" s="165">
        <f t="shared" si="93"/>
        <v>46139</v>
      </c>
      <c r="DQ65" s="109">
        <f t="shared" si="29"/>
        <v>0</v>
      </c>
      <c r="DR65" s="109">
        <f t="shared" si="94"/>
        <v>0</v>
      </c>
      <c r="DS65" s="109"/>
      <c r="DT65" s="109">
        <f t="shared" si="30"/>
        <v>0</v>
      </c>
      <c r="DU65" s="166">
        <f t="shared" ca="1" si="88"/>
        <v>46054</v>
      </c>
      <c r="DV65" s="167">
        <f t="shared" ca="1" si="31"/>
        <v>0</v>
      </c>
      <c r="DW65" s="165">
        <f t="shared" si="32"/>
        <v>46169</v>
      </c>
      <c r="DX65" s="109">
        <f t="shared" si="33"/>
        <v>0</v>
      </c>
      <c r="DY65" s="109">
        <f t="shared" si="34"/>
        <v>0</v>
      </c>
      <c r="DZ65" s="109"/>
      <c r="EA65" s="109">
        <f t="shared" si="35"/>
        <v>0</v>
      </c>
      <c r="EB65" s="166">
        <f t="shared" ca="1" si="89"/>
        <v>46054</v>
      </c>
      <c r="EC65" s="167">
        <f t="shared" ca="1" si="36"/>
        <v>0</v>
      </c>
      <c r="ED65" s="165">
        <f t="shared" si="37"/>
        <v>46200</v>
      </c>
      <c r="EE65" s="109">
        <f t="shared" si="38"/>
        <v>0</v>
      </c>
      <c r="EF65" s="109">
        <f t="shared" si="39"/>
        <v>0</v>
      </c>
      <c r="EG65" s="109"/>
      <c r="EH65" s="109">
        <f t="shared" si="40"/>
        <v>0</v>
      </c>
      <c r="EI65" s="166">
        <f t="shared" ca="1" si="90"/>
        <v>46054</v>
      </c>
      <c r="EJ65" s="167">
        <f t="shared" ca="1" si="41"/>
        <v>0</v>
      </c>
      <c r="EK65" s="165">
        <f t="shared" si="42"/>
        <v>46230</v>
      </c>
      <c r="EL65" s="109">
        <f t="shared" si="43"/>
        <v>0</v>
      </c>
      <c r="EM65" s="109">
        <f t="shared" si="44"/>
        <v>0</v>
      </c>
      <c r="EN65" s="109"/>
      <c r="EO65" s="109">
        <f t="shared" si="45"/>
        <v>0</v>
      </c>
      <c r="EP65" s="166">
        <f t="shared" ca="1" si="91"/>
        <v>46054</v>
      </c>
      <c r="EQ65" s="167">
        <f t="shared" ca="1" si="46"/>
        <v>0</v>
      </c>
      <c r="ER65" s="165">
        <f t="shared" si="47"/>
        <v>46261</v>
      </c>
      <c r="ES65" s="109">
        <f t="shared" si="48"/>
        <v>0</v>
      </c>
      <c r="ET65" s="109">
        <f t="shared" si="49"/>
        <v>0</v>
      </c>
      <c r="EU65" s="109"/>
      <c r="EV65" s="109"/>
      <c r="EW65" s="166"/>
      <c r="EX65" s="166"/>
      <c r="EY65" s="165">
        <f t="shared" si="50"/>
        <v>46292</v>
      </c>
      <c r="EZ65" s="109">
        <f t="shared" si="51"/>
        <v>0</v>
      </c>
      <c r="FA65" s="109">
        <f t="shared" si="52"/>
        <v>0</v>
      </c>
      <c r="FB65" s="109"/>
      <c r="FC65" s="109"/>
      <c r="FD65" s="166"/>
      <c r="FE65" s="166"/>
      <c r="FF65" s="165">
        <f t="shared" si="53"/>
        <v>46322</v>
      </c>
      <c r="FG65" s="109">
        <f t="shared" si="54"/>
        <v>0</v>
      </c>
      <c r="FH65" s="109">
        <f t="shared" si="55"/>
        <v>0</v>
      </c>
      <c r="FI65" s="109"/>
      <c r="FJ65" s="109"/>
      <c r="FK65" s="166"/>
      <c r="FL65" s="166"/>
      <c r="FM65" s="165">
        <f t="shared" si="56"/>
        <v>46353</v>
      </c>
      <c r="FN65" s="109">
        <f t="shared" si="57"/>
        <v>0</v>
      </c>
      <c r="FO65" s="109">
        <f t="shared" si="58"/>
        <v>0</v>
      </c>
      <c r="FP65" s="109"/>
      <c r="FQ65" s="109"/>
      <c r="FR65" s="166"/>
      <c r="FS65" s="166"/>
      <c r="FT65" s="165"/>
      <c r="FU65" s="109">
        <f t="shared" si="108"/>
        <v>0</v>
      </c>
      <c r="FV65" s="109">
        <f t="shared" si="109"/>
        <v>0</v>
      </c>
      <c r="FW65" s="109"/>
      <c r="FX65" s="109"/>
      <c r="FY65" s="166"/>
      <c r="FZ65" s="166"/>
      <c r="GA65" s="165"/>
      <c r="GB65" s="109">
        <f t="shared" si="110"/>
        <v>0</v>
      </c>
      <c r="GC65" s="109">
        <f t="shared" si="111"/>
        <v>0</v>
      </c>
      <c r="GD65" s="109"/>
      <c r="GE65" s="109"/>
      <c r="GF65" s="166"/>
      <c r="GG65" s="166"/>
      <c r="GH65" s="165"/>
      <c r="GI65" s="109">
        <f t="shared" si="112"/>
        <v>0</v>
      </c>
      <c r="GJ65" s="109">
        <f t="shared" si="113"/>
        <v>0</v>
      </c>
      <c r="GK65" s="109"/>
      <c r="GL65" s="109"/>
      <c r="GM65" s="166"/>
      <c r="GN65" s="166"/>
      <c r="GO65" s="165"/>
      <c r="GP65" s="109">
        <f t="shared" si="114"/>
        <v>0</v>
      </c>
      <c r="GQ65" s="109">
        <f t="shared" si="115"/>
        <v>0</v>
      </c>
      <c r="GR65" s="109"/>
      <c r="GS65" s="109"/>
      <c r="GT65" s="166"/>
      <c r="GU65" s="166"/>
      <c r="GV65" s="165"/>
      <c r="GW65" s="168">
        <f t="shared" si="116"/>
        <v>0</v>
      </c>
      <c r="GX65" s="168">
        <f t="shared" si="117"/>
        <v>0</v>
      </c>
      <c r="GY65" s="168"/>
      <c r="GZ65" s="168"/>
      <c r="HA65" s="166"/>
      <c r="HB65" s="166"/>
      <c r="HC65" s="165"/>
      <c r="HD65" s="109">
        <f t="shared" si="118"/>
        <v>0</v>
      </c>
      <c r="HE65" s="109">
        <f t="shared" si="119"/>
        <v>0</v>
      </c>
      <c r="HF65" s="109"/>
      <c r="HG65" s="109"/>
      <c r="HH65" s="166"/>
      <c r="HI65" s="166"/>
      <c r="HJ65" s="165"/>
      <c r="HK65" s="109">
        <f t="shared" si="120"/>
        <v>0</v>
      </c>
      <c r="HL65" s="109">
        <f t="shared" si="121"/>
        <v>0</v>
      </c>
      <c r="HM65" s="109"/>
      <c r="HN65" s="109"/>
      <c r="HO65" s="166"/>
      <c r="HP65" s="166"/>
      <c r="HQ65" s="165"/>
      <c r="HR65" s="109">
        <f t="shared" si="122"/>
        <v>0</v>
      </c>
      <c r="HS65" s="109">
        <f t="shared" si="123"/>
        <v>0</v>
      </c>
      <c r="HT65" s="109"/>
      <c r="HU65" s="109"/>
      <c r="HV65" s="166"/>
      <c r="HW65" s="166"/>
      <c r="HX65" s="105">
        <f t="shared" si="86"/>
        <v>2120.6896551724139</v>
      </c>
      <c r="HY65" s="105">
        <f t="shared" si="83"/>
        <v>339.31034482758622</v>
      </c>
      <c r="HZ65" s="105">
        <f t="shared" si="83"/>
        <v>2460</v>
      </c>
      <c r="IA65" s="105">
        <f t="shared" si="68"/>
        <v>0</v>
      </c>
      <c r="IB65" s="109">
        <f t="shared" si="69"/>
        <v>101940</v>
      </c>
      <c r="IC65" s="109">
        <f t="shared" si="70"/>
        <v>87879.31034482758</v>
      </c>
      <c r="ID65" s="109">
        <f t="shared" si="71"/>
        <v>0</v>
      </c>
      <c r="IE65" s="109">
        <f t="shared" ca="1" si="72"/>
        <v>5</v>
      </c>
      <c r="IF65" s="139">
        <f t="shared" si="73"/>
        <v>0.3298850574712644</v>
      </c>
      <c r="IG65" s="139">
        <f t="shared" ca="1" si="74"/>
        <v>36</v>
      </c>
      <c r="IH65" s="169">
        <f t="shared" ca="1" si="75"/>
        <v>1.2</v>
      </c>
      <c r="II65" s="139">
        <f t="shared" ca="1" si="76"/>
        <v>0.87011494252873556</v>
      </c>
      <c r="IJ65" s="169">
        <f t="shared" ca="1" si="77"/>
        <v>26.103448275862068</v>
      </c>
      <c r="IK65" s="169">
        <f t="shared" ca="1" si="84"/>
        <v>0.87011494252873556</v>
      </c>
      <c r="IL65" s="170">
        <f t="shared" ca="1" si="78"/>
        <v>6488.5714285714275</v>
      </c>
      <c r="IM65" s="171"/>
      <c r="IN65" s="171"/>
      <c r="IO65" s="171"/>
      <c r="IP65" s="171"/>
    </row>
    <row r="66" spans="1:250" ht="15" customHeight="1" thickBot="1" x14ac:dyDescent="0.35">
      <c r="A66" s="110">
        <f t="shared" si="79"/>
        <v>62</v>
      </c>
      <c r="B66" s="111" t="s">
        <v>170</v>
      </c>
      <c r="C66" s="111" t="s">
        <v>171</v>
      </c>
      <c r="D66" s="111">
        <v>102</v>
      </c>
      <c r="E66" s="111" t="s">
        <v>253</v>
      </c>
      <c r="F66" s="111"/>
      <c r="G66" s="111" t="s">
        <v>824</v>
      </c>
      <c r="H66" s="111">
        <v>1021100177</v>
      </c>
      <c r="I66" s="146" t="str">
        <f t="shared" si="0"/>
        <v>1100177</v>
      </c>
      <c r="J66" s="145" t="str">
        <f t="shared" si="1"/>
        <v>KN1100177</v>
      </c>
      <c r="K66" s="111" t="s">
        <v>825</v>
      </c>
      <c r="L66" s="111" t="s">
        <v>826</v>
      </c>
      <c r="M66" s="111" t="s">
        <v>443</v>
      </c>
      <c r="N66" s="111" t="s">
        <v>138</v>
      </c>
      <c r="O66" s="111"/>
      <c r="P66" s="111" t="s">
        <v>827</v>
      </c>
      <c r="Q66" s="148">
        <v>30564</v>
      </c>
      <c r="R66" s="111" t="s">
        <v>170</v>
      </c>
      <c r="S66" s="111">
        <f t="shared" ca="1" si="85"/>
        <v>42</v>
      </c>
      <c r="T66" s="111" t="s">
        <v>625</v>
      </c>
      <c r="U66" s="111" t="s">
        <v>217</v>
      </c>
      <c r="V66" s="181">
        <v>775551051</v>
      </c>
      <c r="W66" s="111"/>
      <c r="X66" s="111" t="s">
        <v>181</v>
      </c>
      <c r="Y66" s="111">
        <v>11</v>
      </c>
      <c r="Z66" s="111" t="s">
        <v>828</v>
      </c>
      <c r="AA66" s="111" t="s">
        <v>472</v>
      </c>
      <c r="AB66" s="111" t="s">
        <v>473</v>
      </c>
      <c r="AC66" s="111" t="s">
        <v>146</v>
      </c>
      <c r="AD66" s="111" t="s">
        <v>147</v>
      </c>
      <c r="AE66" s="173" t="s">
        <v>136</v>
      </c>
      <c r="AF66" s="173" t="s">
        <v>136</v>
      </c>
      <c r="AG66" s="174">
        <v>45871</v>
      </c>
      <c r="AH66" s="175">
        <v>175000</v>
      </c>
      <c r="AI66" s="111">
        <v>15</v>
      </c>
      <c r="AJ66" s="111">
        <v>0</v>
      </c>
      <c r="AK66" s="150">
        <f t="shared" si="80"/>
        <v>15</v>
      </c>
      <c r="AL66" s="177">
        <v>175000</v>
      </c>
      <c r="AM66" s="176">
        <v>0.16</v>
      </c>
      <c r="AN66" s="177">
        <f t="shared" si="92"/>
        <v>28000</v>
      </c>
      <c r="AO66" s="157">
        <f t="shared" si="96"/>
        <v>203000</v>
      </c>
      <c r="AP66" s="158">
        <f t="shared" si="3"/>
        <v>13533.333333333334</v>
      </c>
      <c r="AQ66" s="111" t="s">
        <v>136</v>
      </c>
      <c r="AR66" s="111" t="s">
        <v>170</v>
      </c>
      <c r="AS66" s="111" t="s">
        <v>217</v>
      </c>
      <c r="AT66" s="111" t="s">
        <v>289</v>
      </c>
      <c r="AU66" s="111" t="s">
        <v>625</v>
      </c>
      <c r="AV66" s="111">
        <v>9</v>
      </c>
      <c r="AW66" s="111" t="s">
        <v>136</v>
      </c>
      <c r="AX66" s="111" t="s">
        <v>136</v>
      </c>
      <c r="AY66" s="111" t="s">
        <v>136</v>
      </c>
      <c r="AZ66" s="111" t="s">
        <v>136</v>
      </c>
      <c r="BA66" s="111" t="s">
        <v>136</v>
      </c>
      <c r="BB66" s="111" t="s">
        <v>136</v>
      </c>
      <c r="BC66" s="111" t="s">
        <v>136</v>
      </c>
      <c r="BD66" s="111" t="s">
        <v>136</v>
      </c>
      <c r="BE66" s="111" t="s">
        <v>136</v>
      </c>
      <c r="BF66" s="111" t="s">
        <v>136</v>
      </c>
      <c r="BG66" s="111" t="s">
        <v>136</v>
      </c>
      <c r="BH66" s="111" t="s">
        <v>136</v>
      </c>
      <c r="BI66" s="111" t="s">
        <v>136</v>
      </c>
      <c r="BJ66" s="111" t="s">
        <v>136</v>
      </c>
      <c r="BK66" s="111" t="s">
        <v>136</v>
      </c>
      <c r="BL66" s="111" t="s">
        <v>136</v>
      </c>
      <c r="BM66" s="111" t="s">
        <v>136</v>
      </c>
      <c r="BN66" s="111" t="s">
        <v>136</v>
      </c>
      <c r="BO66" s="111" t="s">
        <v>136</v>
      </c>
      <c r="BP66" s="111" t="s">
        <v>538</v>
      </c>
      <c r="BQ66" s="111" t="s">
        <v>773</v>
      </c>
      <c r="BR66" s="111" t="s">
        <v>829</v>
      </c>
      <c r="BS66" s="111" t="s">
        <v>830</v>
      </c>
      <c r="BT66" s="182" t="s">
        <v>831</v>
      </c>
      <c r="BU66" s="111" t="s">
        <v>625</v>
      </c>
      <c r="BV66" s="111" t="s">
        <v>217</v>
      </c>
      <c r="BW66" s="111"/>
      <c r="BX66" s="111"/>
      <c r="BY66" s="111"/>
      <c r="BZ66" s="111"/>
      <c r="CA66" s="111"/>
      <c r="CB66" s="111"/>
      <c r="CC66" s="178"/>
      <c r="CD66" s="177">
        <f t="shared" si="4"/>
        <v>175000</v>
      </c>
      <c r="CE66" s="148">
        <v>45988</v>
      </c>
      <c r="CF66" s="111">
        <f t="shared" si="5"/>
        <v>15</v>
      </c>
      <c r="CG66" s="177">
        <f t="shared" si="6"/>
        <v>203000</v>
      </c>
      <c r="CH66" s="203">
        <f t="shared" si="95"/>
        <v>0</v>
      </c>
      <c r="CI66" s="148">
        <v>45988</v>
      </c>
      <c r="CJ66" s="161">
        <f t="shared" si="81"/>
        <v>46018</v>
      </c>
      <c r="CK66" s="162">
        <f t="shared" si="82"/>
        <v>46445</v>
      </c>
      <c r="CL66" s="183"/>
      <c r="CM66" s="164">
        <f t="shared" ca="1" si="8"/>
        <v>46054</v>
      </c>
      <c r="CN66" s="165">
        <f t="shared" si="9"/>
        <v>46018</v>
      </c>
      <c r="CO66" s="109">
        <f t="shared" si="10"/>
        <v>11672.413793103447</v>
      </c>
      <c r="CP66" s="109">
        <f t="shared" si="11"/>
        <v>1867.5862068965519</v>
      </c>
      <c r="CQ66" s="109">
        <v>13540</v>
      </c>
      <c r="CR66" s="109">
        <f t="shared" si="12"/>
        <v>6.6666666666660603</v>
      </c>
      <c r="CS66" s="166">
        <v>46028</v>
      </c>
      <c r="CT66" s="167">
        <f t="shared" si="13"/>
        <v>10</v>
      </c>
      <c r="CU66" s="165">
        <f t="shared" si="14"/>
        <v>46049</v>
      </c>
      <c r="CV66" s="109">
        <f t="shared" si="15"/>
        <v>11672.413793103447</v>
      </c>
      <c r="CW66" s="109">
        <f t="shared" si="16"/>
        <v>1867.5862068965519</v>
      </c>
      <c r="CX66" s="109">
        <v>13540</v>
      </c>
      <c r="CY66" s="109">
        <f t="shared" si="17"/>
        <v>6.6666666666660603</v>
      </c>
      <c r="CZ66" s="166">
        <v>46028</v>
      </c>
      <c r="DA66" s="167">
        <f t="shared" si="18"/>
        <v>0</v>
      </c>
      <c r="DB66" s="165">
        <f t="shared" si="19"/>
        <v>46080</v>
      </c>
      <c r="DC66" s="109">
        <f t="shared" si="20"/>
        <v>0</v>
      </c>
      <c r="DD66" s="109">
        <f t="shared" si="21"/>
        <v>0</v>
      </c>
      <c r="DE66" s="109"/>
      <c r="DF66" s="109">
        <f t="shared" si="22"/>
        <v>0</v>
      </c>
      <c r="DG66" s="166">
        <f t="shared" ca="1" si="106"/>
        <v>46054</v>
      </c>
      <c r="DH66" s="167">
        <f t="shared" ca="1" si="23"/>
        <v>0</v>
      </c>
      <c r="DI66" s="165">
        <f t="shared" si="24"/>
        <v>46108</v>
      </c>
      <c r="DJ66" s="109">
        <f t="shared" si="25"/>
        <v>0</v>
      </c>
      <c r="DK66" s="109">
        <f t="shared" si="26"/>
        <v>0</v>
      </c>
      <c r="DL66" s="109">
        <v>0</v>
      </c>
      <c r="DM66" s="109">
        <f t="shared" si="27"/>
        <v>0</v>
      </c>
      <c r="DN66" s="166">
        <f t="shared" ca="1" si="87"/>
        <v>46054</v>
      </c>
      <c r="DO66" s="167">
        <f t="shared" ca="1" si="28"/>
        <v>0</v>
      </c>
      <c r="DP66" s="165">
        <f t="shared" si="93"/>
        <v>46139</v>
      </c>
      <c r="DQ66" s="109">
        <f t="shared" si="29"/>
        <v>0</v>
      </c>
      <c r="DR66" s="109">
        <f t="shared" si="94"/>
        <v>0</v>
      </c>
      <c r="DS66" s="109"/>
      <c r="DT66" s="109">
        <f t="shared" si="30"/>
        <v>0</v>
      </c>
      <c r="DU66" s="166">
        <f t="shared" ca="1" si="88"/>
        <v>46054</v>
      </c>
      <c r="DV66" s="167">
        <f t="shared" ca="1" si="31"/>
        <v>0</v>
      </c>
      <c r="DW66" s="165">
        <f t="shared" si="32"/>
        <v>46169</v>
      </c>
      <c r="DX66" s="109">
        <f t="shared" si="33"/>
        <v>0</v>
      </c>
      <c r="DY66" s="109">
        <f t="shared" si="34"/>
        <v>0</v>
      </c>
      <c r="DZ66" s="109"/>
      <c r="EA66" s="109">
        <f t="shared" si="35"/>
        <v>0</v>
      </c>
      <c r="EB66" s="166">
        <f t="shared" ca="1" si="89"/>
        <v>46054</v>
      </c>
      <c r="EC66" s="167">
        <f t="shared" ca="1" si="36"/>
        <v>0</v>
      </c>
      <c r="ED66" s="165">
        <f t="shared" si="37"/>
        <v>46200</v>
      </c>
      <c r="EE66" s="109">
        <f t="shared" si="38"/>
        <v>0</v>
      </c>
      <c r="EF66" s="109">
        <f t="shared" si="39"/>
        <v>0</v>
      </c>
      <c r="EG66" s="109"/>
      <c r="EH66" s="109">
        <f t="shared" si="40"/>
        <v>0</v>
      </c>
      <c r="EI66" s="166">
        <f t="shared" ca="1" si="90"/>
        <v>46054</v>
      </c>
      <c r="EJ66" s="167">
        <f t="shared" ca="1" si="41"/>
        <v>0</v>
      </c>
      <c r="EK66" s="165">
        <f t="shared" si="42"/>
        <v>46230</v>
      </c>
      <c r="EL66" s="109">
        <f t="shared" si="43"/>
        <v>0</v>
      </c>
      <c r="EM66" s="109">
        <f t="shared" si="44"/>
        <v>0</v>
      </c>
      <c r="EN66" s="109"/>
      <c r="EO66" s="109">
        <f t="shared" si="45"/>
        <v>0</v>
      </c>
      <c r="EP66" s="166">
        <f t="shared" ca="1" si="91"/>
        <v>46054</v>
      </c>
      <c r="EQ66" s="167">
        <f t="shared" ca="1" si="46"/>
        <v>0</v>
      </c>
      <c r="ER66" s="165">
        <f t="shared" si="47"/>
        <v>46261</v>
      </c>
      <c r="ES66" s="109">
        <f t="shared" si="48"/>
        <v>0</v>
      </c>
      <c r="ET66" s="109">
        <f t="shared" si="49"/>
        <v>0</v>
      </c>
      <c r="EU66" s="109"/>
      <c r="EV66" s="109"/>
      <c r="EW66" s="166"/>
      <c r="EX66" s="166"/>
      <c r="EY66" s="165">
        <f t="shared" si="50"/>
        <v>46292</v>
      </c>
      <c r="EZ66" s="109">
        <f t="shared" si="51"/>
        <v>0</v>
      </c>
      <c r="FA66" s="109">
        <f t="shared" si="52"/>
        <v>0</v>
      </c>
      <c r="FB66" s="109"/>
      <c r="FC66" s="109"/>
      <c r="FD66" s="166"/>
      <c r="FE66" s="166"/>
      <c r="FF66" s="165">
        <f t="shared" si="53"/>
        <v>46322</v>
      </c>
      <c r="FG66" s="109">
        <f t="shared" si="54"/>
        <v>0</v>
      </c>
      <c r="FH66" s="109">
        <f t="shared" si="55"/>
        <v>0</v>
      </c>
      <c r="FI66" s="109"/>
      <c r="FJ66" s="109"/>
      <c r="FK66" s="166"/>
      <c r="FL66" s="166"/>
      <c r="FM66" s="165">
        <f t="shared" si="56"/>
        <v>46353</v>
      </c>
      <c r="FN66" s="109">
        <f t="shared" si="57"/>
        <v>0</v>
      </c>
      <c r="FO66" s="109">
        <f t="shared" si="58"/>
        <v>0</v>
      </c>
      <c r="FP66" s="109"/>
      <c r="FQ66" s="109"/>
      <c r="FR66" s="166"/>
      <c r="FS66" s="166"/>
      <c r="FT66" s="165"/>
      <c r="FU66" s="109">
        <f t="shared" si="108"/>
        <v>0</v>
      </c>
      <c r="FV66" s="109">
        <f t="shared" si="109"/>
        <v>0</v>
      </c>
      <c r="FW66" s="109"/>
      <c r="FX66" s="109"/>
      <c r="FY66" s="166"/>
      <c r="FZ66" s="166"/>
      <c r="GA66" s="165"/>
      <c r="GB66" s="109">
        <f t="shared" si="110"/>
        <v>0</v>
      </c>
      <c r="GC66" s="109">
        <f t="shared" si="111"/>
        <v>0</v>
      </c>
      <c r="GD66" s="109"/>
      <c r="GE66" s="109"/>
      <c r="GF66" s="166"/>
      <c r="GG66" s="166"/>
      <c r="GH66" s="165"/>
      <c r="GI66" s="109">
        <f t="shared" si="112"/>
        <v>0</v>
      </c>
      <c r="GJ66" s="109">
        <f t="shared" si="113"/>
        <v>0</v>
      </c>
      <c r="GK66" s="109"/>
      <c r="GL66" s="109"/>
      <c r="GM66" s="166"/>
      <c r="GN66" s="166"/>
      <c r="GO66" s="165"/>
      <c r="GP66" s="109">
        <f t="shared" si="114"/>
        <v>0</v>
      </c>
      <c r="GQ66" s="109">
        <f t="shared" si="115"/>
        <v>0</v>
      </c>
      <c r="GR66" s="109"/>
      <c r="GS66" s="109"/>
      <c r="GT66" s="166"/>
      <c r="GU66" s="166"/>
      <c r="GV66" s="165"/>
      <c r="GW66" s="168">
        <f t="shared" si="116"/>
        <v>0</v>
      </c>
      <c r="GX66" s="168">
        <f t="shared" si="117"/>
        <v>0</v>
      </c>
      <c r="GY66" s="168"/>
      <c r="GZ66" s="168"/>
      <c r="HA66" s="166"/>
      <c r="HB66" s="166"/>
      <c r="HC66" s="165"/>
      <c r="HD66" s="109">
        <f t="shared" si="118"/>
        <v>0</v>
      </c>
      <c r="HE66" s="109">
        <f t="shared" si="119"/>
        <v>0</v>
      </c>
      <c r="HF66" s="109"/>
      <c r="HG66" s="109"/>
      <c r="HH66" s="166"/>
      <c r="HI66" s="166"/>
      <c r="HJ66" s="165"/>
      <c r="HK66" s="109">
        <f t="shared" si="120"/>
        <v>0</v>
      </c>
      <c r="HL66" s="109">
        <f t="shared" si="121"/>
        <v>0</v>
      </c>
      <c r="HM66" s="109"/>
      <c r="HN66" s="109"/>
      <c r="HO66" s="166"/>
      <c r="HP66" s="166"/>
      <c r="HQ66" s="165"/>
      <c r="HR66" s="109">
        <f t="shared" si="122"/>
        <v>0</v>
      </c>
      <c r="HS66" s="109">
        <f t="shared" si="123"/>
        <v>0</v>
      </c>
      <c r="HT66" s="109"/>
      <c r="HU66" s="109"/>
      <c r="HV66" s="166"/>
      <c r="HW66" s="166"/>
      <c r="HX66" s="105">
        <f t="shared" si="86"/>
        <v>23344.827586206895</v>
      </c>
      <c r="HY66" s="105">
        <f t="shared" si="83"/>
        <v>3735.1724137931037</v>
      </c>
      <c r="HZ66" s="105">
        <f t="shared" si="83"/>
        <v>27080</v>
      </c>
      <c r="IA66" s="105">
        <f t="shared" si="68"/>
        <v>0</v>
      </c>
      <c r="IB66" s="109">
        <f t="shared" si="69"/>
        <v>175920</v>
      </c>
      <c r="IC66" s="109">
        <f t="shared" si="70"/>
        <v>151655.1724137931</v>
      </c>
      <c r="ID66" s="109">
        <f t="shared" si="71"/>
        <v>0</v>
      </c>
      <c r="IE66" s="109">
        <f t="shared" ca="1" si="72"/>
        <v>10</v>
      </c>
      <c r="IF66" s="139">
        <f t="shared" si="73"/>
        <v>2.0009852216748767</v>
      </c>
      <c r="IG66" s="139">
        <f t="shared" ca="1" si="74"/>
        <v>36</v>
      </c>
      <c r="IH66" s="169">
        <f t="shared" ca="1" si="75"/>
        <v>1.2</v>
      </c>
      <c r="II66" s="139">
        <f t="shared" ca="1" si="76"/>
        <v>-0.80098522167487674</v>
      </c>
      <c r="IJ66" s="169">
        <f t="shared" ca="1" si="77"/>
        <v>0</v>
      </c>
      <c r="IK66" s="169">
        <f t="shared" ca="1" si="84"/>
        <v>-0.80098522167487674</v>
      </c>
      <c r="IL66" s="170">
        <f t="shared" ca="1" si="78"/>
        <v>-10839.999999999998</v>
      </c>
      <c r="IM66" s="171"/>
      <c r="IN66" s="171"/>
      <c r="IO66" s="171"/>
      <c r="IP66" s="171"/>
    </row>
    <row r="67" spans="1:250" ht="15" customHeight="1" thickBot="1" x14ac:dyDescent="0.35">
      <c r="A67" s="110">
        <f t="shared" si="79"/>
        <v>63</v>
      </c>
      <c r="B67" s="111" t="s">
        <v>170</v>
      </c>
      <c r="C67" s="111" t="s">
        <v>171</v>
      </c>
      <c r="D67" s="111">
        <v>102</v>
      </c>
      <c r="E67" s="111" t="s">
        <v>253</v>
      </c>
      <c r="F67" s="111"/>
      <c r="G67" s="111" t="s">
        <v>824</v>
      </c>
      <c r="H67" s="111">
        <v>1021100178</v>
      </c>
      <c r="I67" s="146" t="str">
        <f t="shared" si="0"/>
        <v>1100178</v>
      </c>
      <c r="J67" s="145" t="str">
        <f t="shared" si="1"/>
        <v>KN1100178</v>
      </c>
      <c r="K67" s="111" t="s">
        <v>832</v>
      </c>
      <c r="L67" s="111" t="s">
        <v>287</v>
      </c>
      <c r="M67" s="111" t="s">
        <v>833</v>
      </c>
      <c r="N67" s="111" t="s">
        <v>138</v>
      </c>
      <c r="O67" s="111"/>
      <c r="P67" s="111" t="s">
        <v>834</v>
      </c>
      <c r="Q67" s="148">
        <v>28086</v>
      </c>
      <c r="R67" s="111" t="s">
        <v>170</v>
      </c>
      <c r="S67" s="111">
        <f t="shared" ca="1" si="85"/>
        <v>49</v>
      </c>
      <c r="T67" s="111" t="s">
        <v>835</v>
      </c>
      <c r="U67" s="111" t="s">
        <v>260</v>
      </c>
      <c r="V67" s="181">
        <v>766642321</v>
      </c>
      <c r="W67" s="111"/>
      <c r="X67" s="111" t="s">
        <v>181</v>
      </c>
      <c r="Y67" s="111">
        <v>11</v>
      </c>
      <c r="Z67" s="111" t="s">
        <v>456</v>
      </c>
      <c r="AA67" s="111" t="s">
        <v>457</v>
      </c>
      <c r="AB67" s="111" t="s">
        <v>458</v>
      </c>
      <c r="AC67" s="111" t="s">
        <v>146</v>
      </c>
      <c r="AD67" s="111" t="s">
        <v>147</v>
      </c>
      <c r="AE67" s="173" t="s">
        <v>136</v>
      </c>
      <c r="AF67" s="173" t="s">
        <v>136</v>
      </c>
      <c r="AG67" s="174">
        <v>45948</v>
      </c>
      <c r="AH67" s="175">
        <v>300000</v>
      </c>
      <c r="AI67" s="111">
        <v>16</v>
      </c>
      <c r="AJ67" s="111">
        <v>0</v>
      </c>
      <c r="AK67" s="150">
        <f t="shared" si="80"/>
        <v>16</v>
      </c>
      <c r="AL67" s="177">
        <v>250000</v>
      </c>
      <c r="AM67" s="176">
        <v>0.16</v>
      </c>
      <c r="AN67" s="177">
        <f t="shared" si="92"/>
        <v>40000</v>
      </c>
      <c r="AO67" s="157">
        <f t="shared" si="96"/>
        <v>290000</v>
      </c>
      <c r="AP67" s="158">
        <f t="shared" si="3"/>
        <v>18125</v>
      </c>
      <c r="AQ67" s="111" t="s">
        <v>653</v>
      </c>
      <c r="AR67" s="111" t="s">
        <v>170</v>
      </c>
      <c r="AS67" s="111" t="s">
        <v>260</v>
      </c>
      <c r="AT67" s="111" t="s">
        <v>836</v>
      </c>
      <c r="AU67" s="111" t="s">
        <v>835</v>
      </c>
      <c r="AV67" s="111">
        <v>10</v>
      </c>
      <c r="AW67" s="111" t="s">
        <v>136</v>
      </c>
      <c r="AX67" s="111" t="s">
        <v>136</v>
      </c>
      <c r="AY67" s="111" t="s">
        <v>203</v>
      </c>
      <c r="AZ67" s="111" t="s">
        <v>832</v>
      </c>
      <c r="BA67" s="111" t="s">
        <v>837</v>
      </c>
      <c r="BB67" s="174">
        <v>45737</v>
      </c>
      <c r="BC67" s="174">
        <v>46101</v>
      </c>
      <c r="BD67" s="111" t="s">
        <v>136</v>
      </c>
      <c r="BE67" s="111" t="s">
        <v>136</v>
      </c>
      <c r="BF67" s="111" t="s">
        <v>136</v>
      </c>
      <c r="BG67" s="111" t="s">
        <v>136</v>
      </c>
      <c r="BH67" s="111" t="s">
        <v>136</v>
      </c>
      <c r="BI67" s="111" t="s">
        <v>136</v>
      </c>
      <c r="BJ67" s="111" t="s">
        <v>136</v>
      </c>
      <c r="BK67" s="111" t="s">
        <v>136</v>
      </c>
      <c r="BL67" s="111" t="s">
        <v>136</v>
      </c>
      <c r="BM67" s="111" t="s">
        <v>136</v>
      </c>
      <c r="BN67" s="111" t="s">
        <v>136</v>
      </c>
      <c r="BO67" s="111" t="s">
        <v>136</v>
      </c>
      <c r="BP67" s="111" t="s">
        <v>244</v>
      </c>
      <c r="BQ67" s="111" t="s">
        <v>428</v>
      </c>
      <c r="BR67" s="111" t="s">
        <v>737</v>
      </c>
      <c r="BS67" s="111" t="s">
        <v>838</v>
      </c>
      <c r="BT67" s="111" t="s">
        <v>136</v>
      </c>
      <c r="BU67" s="111" t="s">
        <v>835</v>
      </c>
      <c r="BV67" s="111" t="s">
        <v>260</v>
      </c>
      <c r="BW67" s="111"/>
      <c r="BX67" s="111"/>
      <c r="BY67" s="111"/>
      <c r="BZ67" s="111"/>
      <c r="CA67" s="111"/>
      <c r="CB67" s="111"/>
      <c r="CC67" s="178"/>
      <c r="CD67" s="177">
        <f t="shared" si="4"/>
        <v>250000</v>
      </c>
      <c r="CE67" s="148">
        <v>45991</v>
      </c>
      <c r="CF67" s="111">
        <f t="shared" si="5"/>
        <v>16</v>
      </c>
      <c r="CG67" s="177">
        <f t="shared" si="6"/>
        <v>290000</v>
      </c>
      <c r="CH67" s="203">
        <f t="shared" si="95"/>
        <v>0</v>
      </c>
      <c r="CI67" s="148">
        <v>45991</v>
      </c>
      <c r="CJ67" s="161">
        <f t="shared" si="81"/>
        <v>46021</v>
      </c>
      <c r="CK67" s="162">
        <f t="shared" si="82"/>
        <v>46476</v>
      </c>
      <c r="CL67" s="183"/>
      <c r="CM67" s="164">
        <f t="shared" ca="1" si="8"/>
        <v>46054</v>
      </c>
      <c r="CN67" s="165">
        <f t="shared" si="9"/>
        <v>46021</v>
      </c>
      <c r="CO67" s="109">
        <f t="shared" si="10"/>
        <v>11672.413793103447</v>
      </c>
      <c r="CP67" s="109">
        <f t="shared" si="11"/>
        <v>1867.5862068965519</v>
      </c>
      <c r="CQ67" s="109">
        <v>13540</v>
      </c>
      <c r="CR67" s="109">
        <f t="shared" si="12"/>
        <v>-4585</v>
      </c>
      <c r="CS67" s="166">
        <v>46028</v>
      </c>
      <c r="CT67" s="167">
        <f t="shared" si="13"/>
        <v>7</v>
      </c>
      <c r="CU67" s="165">
        <f t="shared" si="14"/>
        <v>46052</v>
      </c>
      <c r="CV67" s="109">
        <f t="shared" si="15"/>
        <v>11672.413793103447</v>
      </c>
      <c r="CW67" s="109">
        <f t="shared" si="16"/>
        <v>1867.5862068965519</v>
      </c>
      <c r="CX67" s="109">
        <v>13540</v>
      </c>
      <c r="CY67" s="109">
        <f t="shared" si="17"/>
        <v>-4585</v>
      </c>
      <c r="CZ67" s="166">
        <v>46028</v>
      </c>
      <c r="DA67" s="167">
        <f t="shared" si="18"/>
        <v>0</v>
      </c>
      <c r="DB67" s="165">
        <f t="shared" si="19"/>
        <v>46081</v>
      </c>
      <c r="DC67" s="109">
        <f t="shared" si="20"/>
        <v>0</v>
      </c>
      <c r="DD67" s="109">
        <f t="shared" si="21"/>
        <v>0</v>
      </c>
      <c r="DE67" s="109"/>
      <c r="DF67" s="109">
        <f t="shared" si="22"/>
        <v>0</v>
      </c>
      <c r="DG67" s="166">
        <f t="shared" ca="1" si="106"/>
        <v>46054</v>
      </c>
      <c r="DH67" s="167">
        <f t="shared" ca="1" si="23"/>
        <v>0</v>
      </c>
      <c r="DI67" s="165">
        <f t="shared" si="24"/>
        <v>46109</v>
      </c>
      <c r="DJ67" s="109">
        <f t="shared" si="25"/>
        <v>0</v>
      </c>
      <c r="DK67" s="109">
        <f t="shared" si="26"/>
        <v>0</v>
      </c>
      <c r="DL67" s="109">
        <v>0</v>
      </c>
      <c r="DM67" s="109">
        <f t="shared" si="27"/>
        <v>0</v>
      </c>
      <c r="DN67" s="166">
        <f t="shared" ca="1" si="87"/>
        <v>46054</v>
      </c>
      <c r="DO67" s="167">
        <f t="shared" ca="1" si="28"/>
        <v>0</v>
      </c>
      <c r="DP67" s="165">
        <f t="shared" si="93"/>
        <v>46140</v>
      </c>
      <c r="DQ67" s="109">
        <f t="shared" si="29"/>
        <v>0</v>
      </c>
      <c r="DR67" s="109">
        <f t="shared" si="94"/>
        <v>0</v>
      </c>
      <c r="DS67" s="109"/>
      <c r="DT67" s="109">
        <f t="shared" si="30"/>
        <v>0</v>
      </c>
      <c r="DU67" s="166">
        <f t="shared" ca="1" si="88"/>
        <v>46054</v>
      </c>
      <c r="DV67" s="167">
        <f t="shared" ca="1" si="31"/>
        <v>0</v>
      </c>
      <c r="DW67" s="165">
        <f t="shared" si="32"/>
        <v>46170</v>
      </c>
      <c r="DX67" s="109">
        <f t="shared" si="33"/>
        <v>0</v>
      </c>
      <c r="DY67" s="109">
        <f t="shared" si="34"/>
        <v>0</v>
      </c>
      <c r="DZ67" s="109"/>
      <c r="EA67" s="109">
        <f t="shared" si="35"/>
        <v>0</v>
      </c>
      <c r="EB67" s="166">
        <f t="shared" ca="1" si="89"/>
        <v>46054</v>
      </c>
      <c r="EC67" s="167">
        <f t="shared" ca="1" si="36"/>
        <v>0</v>
      </c>
      <c r="ED67" s="165">
        <f t="shared" si="37"/>
        <v>46201</v>
      </c>
      <c r="EE67" s="109">
        <f t="shared" si="38"/>
        <v>0</v>
      </c>
      <c r="EF67" s="109">
        <f t="shared" si="39"/>
        <v>0</v>
      </c>
      <c r="EG67" s="109"/>
      <c r="EH67" s="109">
        <f t="shared" si="40"/>
        <v>0</v>
      </c>
      <c r="EI67" s="166">
        <f t="shared" ca="1" si="90"/>
        <v>46054</v>
      </c>
      <c r="EJ67" s="167">
        <f t="shared" ca="1" si="41"/>
        <v>0</v>
      </c>
      <c r="EK67" s="165">
        <f t="shared" si="42"/>
        <v>46231</v>
      </c>
      <c r="EL67" s="109">
        <f t="shared" si="43"/>
        <v>0</v>
      </c>
      <c r="EM67" s="109">
        <f t="shared" si="44"/>
        <v>0</v>
      </c>
      <c r="EN67" s="109"/>
      <c r="EO67" s="109">
        <f t="shared" si="45"/>
        <v>0</v>
      </c>
      <c r="EP67" s="166">
        <f t="shared" ca="1" si="91"/>
        <v>46054</v>
      </c>
      <c r="EQ67" s="167">
        <f t="shared" ca="1" si="46"/>
        <v>0</v>
      </c>
      <c r="ER67" s="165">
        <f t="shared" si="47"/>
        <v>46262</v>
      </c>
      <c r="ES67" s="109">
        <f t="shared" si="48"/>
        <v>0</v>
      </c>
      <c r="ET67" s="109">
        <f t="shared" si="49"/>
        <v>0</v>
      </c>
      <c r="EU67" s="109"/>
      <c r="EV67" s="109"/>
      <c r="EW67" s="166"/>
      <c r="EX67" s="166"/>
      <c r="EY67" s="165">
        <f t="shared" si="50"/>
        <v>46293</v>
      </c>
      <c r="EZ67" s="109">
        <f t="shared" si="51"/>
        <v>0</v>
      </c>
      <c r="FA67" s="109">
        <f t="shared" si="52"/>
        <v>0</v>
      </c>
      <c r="FB67" s="109"/>
      <c r="FC67" s="109"/>
      <c r="FD67" s="166"/>
      <c r="FE67" s="166"/>
      <c r="FF67" s="165">
        <f t="shared" si="53"/>
        <v>46323</v>
      </c>
      <c r="FG67" s="109">
        <f t="shared" si="54"/>
        <v>0</v>
      </c>
      <c r="FH67" s="109">
        <f t="shared" si="55"/>
        <v>0</v>
      </c>
      <c r="FI67" s="109"/>
      <c r="FJ67" s="109"/>
      <c r="FK67" s="166"/>
      <c r="FL67" s="166"/>
      <c r="FM67" s="165">
        <f t="shared" si="56"/>
        <v>46354</v>
      </c>
      <c r="FN67" s="109">
        <f t="shared" si="57"/>
        <v>0</v>
      </c>
      <c r="FO67" s="109">
        <f t="shared" si="58"/>
        <v>0</v>
      </c>
      <c r="FP67" s="109"/>
      <c r="FQ67" s="109"/>
      <c r="FR67" s="166"/>
      <c r="FS67" s="166"/>
      <c r="FT67" s="165">
        <f>EDATE(FM67,1)</f>
        <v>46384</v>
      </c>
      <c r="FU67" s="109">
        <f t="shared" si="108"/>
        <v>0</v>
      </c>
      <c r="FV67" s="109">
        <f t="shared" si="109"/>
        <v>0</v>
      </c>
      <c r="FW67" s="109"/>
      <c r="FX67" s="109"/>
      <c r="FY67" s="166"/>
      <c r="FZ67" s="166"/>
      <c r="GA67" s="165">
        <f>EDATE(FT67,1)</f>
        <v>46415</v>
      </c>
      <c r="GB67" s="109">
        <f t="shared" si="110"/>
        <v>0</v>
      </c>
      <c r="GC67" s="109">
        <f t="shared" si="111"/>
        <v>0</v>
      </c>
      <c r="GD67" s="109"/>
      <c r="GE67" s="109"/>
      <c r="GF67" s="166"/>
      <c r="GG67" s="166"/>
      <c r="GH67" s="165">
        <f>EDATE(GA67,1)</f>
        <v>46446</v>
      </c>
      <c r="GI67" s="109">
        <f t="shared" si="112"/>
        <v>0</v>
      </c>
      <c r="GJ67" s="109">
        <f t="shared" si="113"/>
        <v>0</v>
      </c>
      <c r="GK67" s="109"/>
      <c r="GL67" s="109"/>
      <c r="GM67" s="166"/>
      <c r="GN67" s="166"/>
      <c r="GO67" s="165">
        <f>EDATE(GH67,1)</f>
        <v>46474</v>
      </c>
      <c r="GP67" s="109">
        <f t="shared" si="114"/>
        <v>0</v>
      </c>
      <c r="GQ67" s="109">
        <f t="shared" si="115"/>
        <v>0</v>
      </c>
      <c r="GR67" s="109"/>
      <c r="GS67" s="109"/>
      <c r="GT67" s="166"/>
      <c r="GU67" s="166"/>
      <c r="GV67" s="165"/>
      <c r="GW67" s="168">
        <f t="shared" si="116"/>
        <v>0</v>
      </c>
      <c r="GX67" s="168">
        <f t="shared" si="117"/>
        <v>0</v>
      </c>
      <c r="GY67" s="168"/>
      <c r="GZ67" s="168"/>
      <c r="HA67" s="166"/>
      <c r="HB67" s="166"/>
      <c r="HC67" s="165"/>
      <c r="HD67" s="109">
        <f t="shared" si="118"/>
        <v>0</v>
      </c>
      <c r="HE67" s="109">
        <f t="shared" si="119"/>
        <v>0</v>
      </c>
      <c r="HF67" s="109"/>
      <c r="HG67" s="109"/>
      <c r="HH67" s="166"/>
      <c r="HI67" s="166"/>
      <c r="HJ67" s="165"/>
      <c r="HK67" s="109">
        <f t="shared" si="120"/>
        <v>0</v>
      </c>
      <c r="HL67" s="109">
        <f t="shared" si="121"/>
        <v>0</v>
      </c>
      <c r="HM67" s="109"/>
      <c r="HN67" s="109"/>
      <c r="HO67" s="166"/>
      <c r="HP67" s="166"/>
      <c r="HQ67" s="165"/>
      <c r="HR67" s="109">
        <f t="shared" si="122"/>
        <v>0</v>
      </c>
      <c r="HS67" s="109">
        <f t="shared" si="123"/>
        <v>0</v>
      </c>
      <c r="HT67" s="109"/>
      <c r="HU67" s="109"/>
      <c r="HV67" s="166"/>
      <c r="HW67" s="166"/>
      <c r="HX67" s="105">
        <f t="shared" si="86"/>
        <v>23344.827586206895</v>
      </c>
      <c r="HY67" s="105">
        <f t="shared" si="83"/>
        <v>3735.1724137931037</v>
      </c>
      <c r="HZ67" s="105">
        <f t="shared" si="83"/>
        <v>27080</v>
      </c>
      <c r="IA67" s="105">
        <f t="shared" si="68"/>
        <v>0</v>
      </c>
      <c r="IB67" s="109">
        <f t="shared" si="69"/>
        <v>262920</v>
      </c>
      <c r="IC67" s="109">
        <f t="shared" si="70"/>
        <v>226655.1724137931</v>
      </c>
      <c r="ID67" s="109">
        <f t="shared" si="71"/>
        <v>0</v>
      </c>
      <c r="IE67" s="109">
        <f t="shared" ca="1" si="72"/>
        <v>7</v>
      </c>
      <c r="IF67" s="139">
        <f t="shared" si="73"/>
        <v>1.4940689655172414</v>
      </c>
      <c r="IG67" s="139">
        <f t="shared" ca="1" si="74"/>
        <v>33</v>
      </c>
      <c r="IH67" s="169">
        <f t="shared" ca="1" si="75"/>
        <v>1.1000000000000001</v>
      </c>
      <c r="II67" s="139">
        <f t="shared" ca="1" si="76"/>
        <v>-0.39406896551724135</v>
      </c>
      <c r="IJ67" s="169">
        <f t="shared" ca="1" si="77"/>
        <v>0</v>
      </c>
      <c r="IK67" s="169">
        <f t="shared" ca="1" si="84"/>
        <v>-0.39406896551724135</v>
      </c>
      <c r="IL67" s="170">
        <f t="shared" ca="1" si="78"/>
        <v>-7142.4999999999991</v>
      </c>
      <c r="IM67" s="171"/>
      <c r="IN67" s="171"/>
      <c r="IO67" s="171"/>
      <c r="IP67" s="171"/>
    </row>
    <row r="68" spans="1:250" ht="15" customHeight="1" thickBot="1" x14ac:dyDescent="0.35">
      <c r="A68" s="110">
        <f t="shared" si="79"/>
        <v>64</v>
      </c>
      <c r="B68" s="111" t="s">
        <v>170</v>
      </c>
      <c r="C68" s="111" t="s">
        <v>171</v>
      </c>
      <c r="D68" s="111">
        <v>102</v>
      </c>
      <c r="E68" s="111" t="s">
        <v>253</v>
      </c>
      <c r="F68" s="111"/>
      <c r="G68" s="111" t="s">
        <v>839</v>
      </c>
      <c r="H68" s="111">
        <v>1021100179</v>
      </c>
      <c r="I68" s="146" t="str">
        <f t="shared" si="0"/>
        <v>1100179</v>
      </c>
      <c r="J68" s="145" t="str">
        <f t="shared" si="1"/>
        <v>KN1100179</v>
      </c>
      <c r="K68" s="111" t="s">
        <v>840</v>
      </c>
      <c r="L68" s="111" t="s">
        <v>136</v>
      </c>
      <c r="M68" s="111" t="s">
        <v>841</v>
      </c>
      <c r="N68" s="111" t="s">
        <v>138</v>
      </c>
      <c r="O68" s="111"/>
      <c r="P68" s="111" t="s">
        <v>842</v>
      </c>
      <c r="Q68" s="148">
        <v>36589</v>
      </c>
      <c r="R68" s="111" t="s">
        <v>170</v>
      </c>
      <c r="S68" s="111">
        <f t="shared" ca="1" si="85"/>
        <v>25</v>
      </c>
      <c r="T68" s="111" t="s">
        <v>843</v>
      </c>
      <c r="U68" s="111" t="s">
        <v>217</v>
      </c>
      <c r="V68" s="181">
        <v>778652682</v>
      </c>
      <c r="W68" s="111"/>
      <c r="X68" s="111" t="s">
        <v>181</v>
      </c>
      <c r="Y68" s="111">
        <v>11</v>
      </c>
      <c r="Z68" s="111" t="s">
        <v>235</v>
      </c>
      <c r="AA68" s="111" t="s">
        <v>261</v>
      </c>
      <c r="AB68" s="111" t="s">
        <v>236</v>
      </c>
      <c r="AC68" s="111" t="s">
        <v>146</v>
      </c>
      <c r="AD68" s="111" t="s">
        <v>147</v>
      </c>
      <c r="AE68" s="173" t="s">
        <v>136</v>
      </c>
      <c r="AF68" s="173" t="s">
        <v>136</v>
      </c>
      <c r="AG68" s="174">
        <v>45956</v>
      </c>
      <c r="AH68" s="175">
        <v>300000</v>
      </c>
      <c r="AI68" s="111">
        <v>15</v>
      </c>
      <c r="AJ68" s="111">
        <v>0</v>
      </c>
      <c r="AK68" s="150">
        <f t="shared" si="80"/>
        <v>15</v>
      </c>
      <c r="AL68" s="177">
        <v>250000</v>
      </c>
      <c r="AM68" s="176">
        <v>0.16</v>
      </c>
      <c r="AN68" s="177">
        <f t="shared" si="92"/>
        <v>40000</v>
      </c>
      <c r="AO68" s="157">
        <f t="shared" si="96"/>
        <v>290000</v>
      </c>
      <c r="AP68" s="158">
        <f t="shared" si="3"/>
        <v>19333.333333333332</v>
      </c>
      <c r="AQ68" s="111" t="s">
        <v>235</v>
      </c>
      <c r="AR68" s="111" t="s">
        <v>170</v>
      </c>
      <c r="AS68" s="111" t="s">
        <v>217</v>
      </c>
      <c r="AT68" s="111" t="s">
        <v>844</v>
      </c>
      <c r="AU68" s="111" t="s">
        <v>843</v>
      </c>
      <c r="AV68" s="111">
        <v>6</v>
      </c>
      <c r="AW68" s="111" t="s">
        <v>136</v>
      </c>
      <c r="AX68" s="111" t="s">
        <v>136</v>
      </c>
      <c r="AY68" s="111" t="s">
        <v>203</v>
      </c>
      <c r="AZ68" s="111" t="s">
        <v>845</v>
      </c>
      <c r="BA68" s="111" t="s">
        <v>846</v>
      </c>
      <c r="BB68" s="174">
        <v>45737</v>
      </c>
      <c r="BC68" s="174">
        <v>46101</v>
      </c>
      <c r="BD68" s="111" t="s">
        <v>136</v>
      </c>
      <c r="BE68" s="111" t="s">
        <v>136</v>
      </c>
      <c r="BF68" s="111" t="s">
        <v>136</v>
      </c>
      <c r="BG68" s="111" t="s">
        <v>136</v>
      </c>
      <c r="BH68" s="111" t="s">
        <v>136</v>
      </c>
      <c r="BI68" s="111" t="s">
        <v>136</v>
      </c>
      <c r="BJ68" s="111" t="s">
        <v>136</v>
      </c>
      <c r="BK68" s="111" t="s">
        <v>136</v>
      </c>
      <c r="BL68" s="111" t="s">
        <v>136</v>
      </c>
      <c r="BM68" s="111" t="s">
        <v>136</v>
      </c>
      <c r="BN68" s="111" t="s">
        <v>136</v>
      </c>
      <c r="BO68" s="111" t="s">
        <v>136</v>
      </c>
      <c r="BP68" s="111" t="s">
        <v>847</v>
      </c>
      <c r="BQ68" s="111" t="s">
        <v>136</v>
      </c>
      <c r="BR68" s="111" t="s">
        <v>848</v>
      </c>
      <c r="BS68" s="111" t="s">
        <v>849</v>
      </c>
      <c r="BT68" s="182" t="s">
        <v>850</v>
      </c>
      <c r="BU68" s="111" t="s">
        <v>843</v>
      </c>
      <c r="BV68" s="111" t="s">
        <v>217</v>
      </c>
      <c r="BW68" s="111"/>
      <c r="BX68" s="111"/>
      <c r="BY68" s="111"/>
      <c r="BZ68" s="111"/>
      <c r="CA68" s="111"/>
      <c r="CB68" s="111"/>
      <c r="CC68" s="178"/>
      <c r="CD68" s="177">
        <f t="shared" si="4"/>
        <v>250000</v>
      </c>
      <c r="CE68" s="148">
        <v>45991</v>
      </c>
      <c r="CF68" s="111">
        <f t="shared" si="5"/>
        <v>15</v>
      </c>
      <c r="CG68" s="177">
        <f t="shared" si="6"/>
        <v>290000</v>
      </c>
      <c r="CH68" s="203">
        <f t="shared" si="95"/>
        <v>0</v>
      </c>
      <c r="CI68" s="148">
        <v>45991</v>
      </c>
      <c r="CJ68" s="161">
        <f t="shared" si="81"/>
        <v>46021</v>
      </c>
      <c r="CK68" s="162">
        <f t="shared" si="82"/>
        <v>46446</v>
      </c>
      <c r="CL68" s="183"/>
      <c r="CM68" s="164">
        <f t="shared" ca="1" si="8"/>
        <v>46054</v>
      </c>
      <c r="CN68" s="165">
        <f t="shared" si="9"/>
        <v>46021</v>
      </c>
      <c r="CO68" s="109">
        <f t="shared" si="10"/>
        <v>16666.379310344826</v>
      </c>
      <c r="CP68" s="109">
        <f t="shared" si="11"/>
        <v>2666.620689655173</v>
      </c>
      <c r="CQ68" s="109">
        <v>19333</v>
      </c>
      <c r="CR68" s="109">
        <f t="shared" si="12"/>
        <v>-0.33333333333212067</v>
      </c>
      <c r="CS68" s="166">
        <v>46028</v>
      </c>
      <c r="CT68" s="167">
        <f t="shared" si="13"/>
        <v>7</v>
      </c>
      <c r="CU68" s="165">
        <f t="shared" si="14"/>
        <v>46052</v>
      </c>
      <c r="CV68" s="109">
        <f t="shared" si="15"/>
        <v>16666.379310344826</v>
      </c>
      <c r="CW68" s="109">
        <f t="shared" si="16"/>
        <v>2666.620689655173</v>
      </c>
      <c r="CX68" s="109">
        <v>19333</v>
      </c>
      <c r="CY68" s="109">
        <f t="shared" si="17"/>
        <v>-0.33333333333212067</v>
      </c>
      <c r="CZ68" s="166">
        <v>46028</v>
      </c>
      <c r="DA68" s="167">
        <f t="shared" si="18"/>
        <v>0</v>
      </c>
      <c r="DB68" s="165">
        <f t="shared" si="19"/>
        <v>46081</v>
      </c>
      <c r="DC68" s="109">
        <f t="shared" si="20"/>
        <v>0</v>
      </c>
      <c r="DD68" s="109">
        <f t="shared" si="21"/>
        <v>0</v>
      </c>
      <c r="DE68" s="109"/>
      <c r="DF68" s="109">
        <f t="shared" si="22"/>
        <v>0</v>
      </c>
      <c r="DG68" s="166">
        <f t="shared" ca="1" si="106"/>
        <v>46054</v>
      </c>
      <c r="DH68" s="167">
        <f t="shared" ca="1" si="23"/>
        <v>0</v>
      </c>
      <c r="DI68" s="165">
        <f t="shared" si="24"/>
        <v>46109</v>
      </c>
      <c r="DJ68" s="109">
        <f t="shared" si="25"/>
        <v>0</v>
      </c>
      <c r="DK68" s="109">
        <f t="shared" si="26"/>
        <v>0</v>
      </c>
      <c r="DL68" s="109">
        <v>0</v>
      </c>
      <c r="DM68" s="109">
        <f t="shared" si="27"/>
        <v>0</v>
      </c>
      <c r="DN68" s="166">
        <f t="shared" ca="1" si="87"/>
        <v>46054</v>
      </c>
      <c r="DO68" s="167">
        <f t="shared" ca="1" si="28"/>
        <v>0</v>
      </c>
      <c r="DP68" s="165">
        <f t="shared" si="93"/>
        <v>46140</v>
      </c>
      <c r="DQ68" s="109">
        <f t="shared" si="29"/>
        <v>0</v>
      </c>
      <c r="DR68" s="109">
        <f t="shared" si="94"/>
        <v>0</v>
      </c>
      <c r="DS68" s="109"/>
      <c r="DT68" s="109">
        <f t="shared" si="30"/>
        <v>0</v>
      </c>
      <c r="DU68" s="166">
        <f t="shared" ca="1" si="88"/>
        <v>46054</v>
      </c>
      <c r="DV68" s="167">
        <f t="shared" ca="1" si="31"/>
        <v>0</v>
      </c>
      <c r="DW68" s="165">
        <f t="shared" si="32"/>
        <v>46170</v>
      </c>
      <c r="DX68" s="109">
        <f t="shared" si="33"/>
        <v>0</v>
      </c>
      <c r="DY68" s="109">
        <f t="shared" si="34"/>
        <v>0</v>
      </c>
      <c r="DZ68" s="109"/>
      <c r="EA68" s="109">
        <f t="shared" si="35"/>
        <v>0</v>
      </c>
      <c r="EB68" s="166">
        <f t="shared" ca="1" si="89"/>
        <v>46054</v>
      </c>
      <c r="EC68" s="167">
        <f t="shared" ca="1" si="36"/>
        <v>0</v>
      </c>
      <c r="ED68" s="165">
        <f t="shared" si="37"/>
        <v>46201</v>
      </c>
      <c r="EE68" s="109">
        <f t="shared" si="38"/>
        <v>0</v>
      </c>
      <c r="EF68" s="109">
        <f t="shared" si="39"/>
        <v>0</v>
      </c>
      <c r="EG68" s="109"/>
      <c r="EH68" s="109">
        <f t="shared" si="40"/>
        <v>0</v>
      </c>
      <c r="EI68" s="166">
        <f t="shared" ca="1" si="90"/>
        <v>46054</v>
      </c>
      <c r="EJ68" s="167">
        <f t="shared" ca="1" si="41"/>
        <v>0</v>
      </c>
      <c r="EK68" s="165">
        <f t="shared" si="42"/>
        <v>46231</v>
      </c>
      <c r="EL68" s="109">
        <f t="shared" si="43"/>
        <v>0</v>
      </c>
      <c r="EM68" s="109">
        <f t="shared" si="44"/>
        <v>0</v>
      </c>
      <c r="EN68" s="109"/>
      <c r="EO68" s="109">
        <f t="shared" si="45"/>
        <v>0</v>
      </c>
      <c r="EP68" s="166">
        <f t="shared" ca="1" si="91"/>
        <v>46054</v>
      </c>
      <c r="EQ68" s="167">
        <f t="shared" ca="1" si="46"/>
        <v>0</v>
      </c>
      <c r="ER68" s="165">
        <f t="shared" si="47"/>
        <v>46262</v>
      </c>
      <c r="ES68" s="109">
        <f t="shared" si="48"/>
        <v>0</v>
      </c>
      <c r="ET68" s="109">
        <f t="shared" si="49"/>
        <v>0</v>
      </c>
      <c r="EU68" s="109"/>
      <c r="EV68" s="109"/>
      <c r="EW68" s="166"/>
      <c r="EX68" s="166"/>
      <c r="EY68" s="165">
        <f t="shared" si="50"/>
        <v>46293</v>
      </c>
      <c r="EZ68" s="109">
        <f t="shared" si="51"/>
        <v>0</v>
      </c>
      <c r="FA68" s="109">
        <f t="shared" si="52"/>
        <v>0</v>
      </c>
      <c r="FB68" s="109"/>
      <c r="FC68" s="109"/>
      <c r="FD68" s="166"/>
      <c r="FE68" s="166"/>
      <c r="FF68" s="165">
        <f t="shared" si="53"/>
        <v>46323</v>
      </c>
      <c r="FG68" s="109">
        <f t="shared" si="54"/>
        <v>0</v>
      </c>
      <c r="FH68" s="109">
        <f t="shared" si="55"/>
        <v>0</v>
      </c>
      <c r="FI68" s="109"/>
      <c r="FJ68" s="109"/>
      <c r="FK68" s="166"/>
      <c r="FL68" s="166"/>
      <c r="FM68" s="165">
        <f t="shared" si="56"/>
        <v>46354</v>
      </c>
      <c r="FN68" s="109">
        <f t="shared" si="57"/>
        <v>0</v>
      </c>
      <c r="FO68" s="109">
        <f t="shared" si="58"/>
        <v>0</v>
      </c>
      <c r="FP68" s="109"/>
      <c r="FQ68" s="109"/>
      <c r="FR68" s="166"/>
      <c r="FS68" s="166"/>
      <c r="FT68" s="165"/>
      <c r="FU68" s="109">
        <f t="shared" si="108"/>
        <v>0</v>
      </c>
      <c r="FV68" s="109">
        <f t="shared" si="109"/>
        <v>0</v>
      </c>
      <c r="FW68" s="109"/>
      <c r="FX68" s="109"/>
      <c r="FY68" s="166"/>
      <c r="FZ68" s="166"/>
      <c r="GA68" s="165"/>
      <c r="GB68" s="109">
        <f t="shared" si="110"/>
        <v>0</v>
      </c>
      <c r="GC68" s="109">
        <f t="shared" si="111"/>
        <v>0</v>
      </c>
      <c r="GD68" s="109"/>
      <c r="GE68" s="109"/>
      <c r="GF68" s="166"/>
      <c r="GG68" s="166"/>
      <c r="GH68" s="165"/>
      <c r="GI68" s="109">
        <f t="shared" si="112"/>
        <v>0</v>
      </c>
      <c r="GJ68" s="109">
        <f t="shared" si="113"/>
        <v>0</v>
      </c>
      <c r="GK68" s="109"/>
      <c r="GL68" s="109"/>
      <c r="GM68" s="166"/>
      <c r="GN68" s="166"/>
      <c r="GO68" s="165"/>
      <c r="GP68" s="109">
        <f t="shared" si="114"/>
        <v>0</v>
      </c>
      <c r="GQ68" s="109">
        <f t="shared" si="115"/>
        <v>0</v>
      </c>
      <c r="GR68" s="109"/>
      <c r="GS68" s="109"/>
      <c r="GT68" s="166"/>
      <c r="GU68" s="166"/>
      <c r="GV68" s="165"/>
      <c r="GW68" s="168">
        <f t="shared" si="116"/>
        <v>0</v>
      </c>
      <c r="GX68" s="168">
        <f t="shared" si="117"/>
        <v>0</v>
      </c>
      <c r="GY68" s="168"/>
      <c r="GZ68" s="168"/>
      <c r="HA68" s="166"/>
      <c r="HB68" s="166"/>
      <c r="HC68" s="165"/>
      <c r="HD68" s="109">
        <f t="shared" si="118"/>
        <v>0</v>
      </c>
      <c r="HE68" s="109">
        <f t="shared" si="119"/>
        <v>0</v>
      </c>
      <c r="HF68" s="109"/>
      <c r="HG68" s="109"/>
      <c r="HH68" s="166"/>
      <c r="HI68" s="166"/>
      <c r="HJ68" s="165"/>
      <c r="HK68" s="109">
        <f t="shared" si="120"/>
        <v>0</v>
      </c>
      <c r="HL68" s="109">
        <f t="shared" si="121"/>
        <v>0</v>
      </c>
      <c r="HM68" s="109"/>
      <c r="HN68" s="109"/>
      <c r="HO68" s="166"/>
      <c r="HP68" s="166"/>
      <c r="HQ68" s="165"/>
      <c r="HR68" s="109">
        <f t="shared" si="122"/>
        <v>0</v>
      </c>
      <c r="HS68" s="109">
        <f t="shared" si="123"/>
        <v>0</v>
      </c>
      <c r="HT68" s="109"/>
      <c r="HU68" s="109"/>
      <c r="HV68" s="166"/>
      <c r="HW68" s="166"/>
      <c r="HX68" s="105">
        <f t="shared" si="86"/>
        <v>33332.758620689652</v>
      </c>
      <c r="HY68" s="105">
        <f t="shared" si="83"/>
        <v>5333.241379310346</v>
      </c>
      <c r="HZ68" s="105">
        <f t="shared" si="83"/>
        <v>38666</v>
      </c>
      <c r="IA68" s="105">
        <f t="shared" si="68"/>
        <v>0</v>
      </c>
      <c r="IB68" s="109">
        <f t="shared" si="69"/>
        <v>251334</v>
      </c>
      <c r="IC68" s="109">
        <f t="shared" si="70"/>
        <v>216667.24137931035</v>
      </c>
      <c r="ID68" s="109">
        <f t="shared" si="71"/>
        <v>0</v>
      </c>
      <c r="IE68" s="109">
        <f t="shared" ca="1" si="72"/>
        <v>7</v>
      </c>
      <c r="IF68" s="139">
        <f t="shared" si="73"/>
        <v>1.9999655172413795</v>
      </c>
      <c r="IG68" s="139">
        <f t="shared" ca="1" si="74"/>
        <v>33</v>
      </c>
      <c r="IH68" s="169">
        <f t="shared" ca="1" si="75"/>
        <v>1.1000000000000001</v>
      </c>
      <c r="II68" s="139">
        <f t="shared" ca="1" si="76"/>
        <v>-0.89996551724137941</v>
      </c>
      <c r="IJ68" s="169">
        <f t="shared" ca="1" si="77"/>
        <v>0</v>
      </c>
      <c r="IK68" s="169">
        <f t="shared" ca="1" si="84"/>
        <v>-0.89996551724137941</v>
      </c>
      <c r="IL68" s="170">
        <f t="shared" ca="1" si="78"/>
        <v>-17399.333333333336</v>
      </c>
      <c r="IM68" s="171"/>
      <c r="IN68" s="171"/>
      <c r="IO68" s="171"/>
      <c r="IP68" s="171"/>
    </row>
    <row r="69" spans="1:250" ht="15" customHeight="1" thickBot="1" x14ac:dyDescent="0.35">
      <c r="A69" s="110">
        <f t="shared" si="79"/>
        <v>65</v>
      </c>
      <c r="B69" s="111" t="s">
        <v>170</v>
      </c>
      <c r="C69" s="111" t="s">
        <v>171</v>
      </c>
      <c r="D69" s="111">
        <v>102</v>
      </c>
      <c r="E69" s="111" t="s">
        <v>253</v>
      </c>
      <c r="F69" s="111"/>
      <c r="G69" s="111" t="s">
        <v>851</v>
      </c>
      <c r="H69" s="111">
        <v>1021100180</v>
      </c>
      <c r="I69" s="146" t="str">
        <f t="shared" ref="I69:I109" si="124">RIGHT(H69,7)</f>
        <v>1100180</v>
      </c>
      <c r="J69" s="145" t="str">
        <f t="shared" ref="J69:J109" si="125">CONCATENATE(C69,I69)</f>
        <v>KN1100180</v>
      </c>
      <c r="K69" s="111" t="s">
        <v>852</v>
      </c>
      <c r="L69" s="111" t="s">
        <v>853</v>
      </c>
      <c r="M69" s="111" t="s">
        <v>854</v>
      </c>
      <c r="N69" s="111" t="s">
        <v>138</v>
      </c>
      <c r="O69" s="111"/>
      <c r="P69" s="111" t="s">
        <v>855</v>
      </c>
      <c r="Q69" s="148">
        <v>31028</v>
      </c>
      <c r="R69" s="111" t="s">
        <v>385</v>
      </c>
      <c r="S69" s="111">
        <f t="shared" ca="1" si="85"/>
        <v>41</v>
      </c>
      <c r="T69" s="111" t="s">
        <v>216</v>
      </c>
      <c r="U69" s="111" t="s">
        <v>217</v>
      </c>
      <c r="V69" s="181">
        <v>771818116</v>
      </c>
      <c r="W69" s="111"/>
      <c r="X69" s="111" t="s">
        <v>181</v>
      </c>
      <c r="Y69" s="111">
        <v>11</v>
      </c>
      <c r="Z69" s="111" t="s">
        <v>856</v>
      </c>
      <c r="AA69" s="111" t="s">
        <v>857</v>
      </c>
      <c r="AB69" s="111" t="s">
        <v>858</v>
      </c>
      <c r="AC69" s="111" t="s">
        <v>146</v>
      </c>
      <c r="AD69" s="111" t="s">
        <v>147</v>
      </c>
      <c r="AE69" s="173" t="s">
        <v>136</v>
      </c>
      <c r="AF69" s="173" t="s">
        <v>136</v>
      </c>
      <c r="AG69" s="174">
        <v>45981</v>
      </c>
      <c r="AH69" s="175">
        <v>500000</v>
      </c>
      <c r="AI69" s="111">
        <v>15</v>
      </c>
      <c r="AJ69" s="111">
        <v>0</v>
      </c>
      <c r="AK69" s="150">
        <f t="shared" si="80"/>
        <v>15</v>
      </c>
      <c r="AL69" s="177">
        <v>350000</v>
      </c>
      <c r="AM69" s="176">
        <v>0.16</v>
      </c>
      <c r="AN69" s="177">
        <f t="shared" si="92"/>
        <v>56000</v>
      </c>
      <c r="AO69" s="157">
        <f t="shared" si="96"/>
        <v>406000</v>
      </c>
      <c r="AP69" s="158">
        <f t="shared" ref="AP69:AP109" si="126">AO69/AK69</f>
        <v>27066.666666666668</v>
      </c>
      <c r="AQ69" s="111" t="s">
        <v>859</v>
      </c>
      <c r="AR69" s="111" t="s">
        <v>170</v>
      </c>
      <c r="AS69" s="111" t="s">
        <v>217</v>
      </c>
      <c r="AT69" s="111" t="s">
        <v>289</v>
      </c>
      <c r="AU69" s="111" t="s">
        <v>229</v>
      </c>
      <c r="AV69" s="111">
        <v>9</v>
      </c>
      <c r="AW69" s="111" t="s">
        <v>136</v>
      </c>
      <c r="AX69" s="111" t="s">
        <v>136</v>
      </c>
      <c r="AY69" s="111" t="s">
        <v>203</v>
      </c>
      <c r="AZ69" s="111" t="s">
        <v>860</v>
      </c>
      <c r="BA69" s="111" t="s">
        <v>861</v>
      </c>
      <c r="BB69" s="174">
        <v>45737</v>
      </c>
      <c r="BC69" s="174">
        <v>46101</v>
      </c>
      <c r="BD69" s="111" t="s">
        <v>136</v>
      </c>
      <c r="BE69" s="111" t="s">
        <v>136</v>
      </c>
      <c r="BF69" s="111" t="s">
        <v>136</v>
      </c>
      <c r="BG69" s="111" t="s">
        <v>136</v>
      </c>
      <c r="BH69" s="111" t="s">
        <v>136</v>
      </c>
      <c r="BI69" s="111" t="s">
        <v>136</v>
      </c>
      <c r="BJ69" s="111" t="s">
        <v>136</v>
      </c>
      <c r="BK69" s="111" t="s">
        <v>136</v>
      </c>
      <c r="BL69" s="111" t="s">
        <v>136</v>
      </c>
      <c r="BM69" s="111" t="s">
        <v>136</v>
      </c>
      <c r="BN69" s="111" t="s">
        <v>136</v>
      </c>
      <c r="BO69" s="111" t="s">
        <v>136</v>
      </c>
      <c r="BP69" s="111" t="s">
        <v>257</v>
      </c>
      <c r="BQ69" s="111" t="s">
        <v>862</v>
      </c>
      <c r="BR69" s="111" t="s">
        <v>863</v>
      </c>
      <c r="BS69" s="111" t="s">
        <v>864</v>
      </c>
      <c r="BT69" s="182" t="s">
        <v>865</v>
      </c>
      <c r="BU69" s="111" t="s">
        <v>866</v>
      </c>
      <c r="BV69" s="111" t="s">
        <v>867</v>
      </c>
      <c r="BW69" s="111"/>
      <c r="BX69" s="111"/>
      <c r="BY69" s="111"/>
      <c r="BZ69" s="111"/>
      <c r="CA69" s="111"/>
      <c r="CB69" s="111"/>
      <c r="CC69" s="178"/>
      <c r="CD69" s="177">
        <f t="shared" ref="CD69:CD132" si="127">AL69</f>
        <v>350000</v>
      </c>
      <c r="CE69" s="148">
        <v>45991</v>
      </c>
      <c r="CF69" s="111">
        <f t="shared" ref="CF69:CF132" si="128">AI69</f>
        <v>15</v>
      </c>
      <c r="CG69" s="177">
        <f t="shared" ref="CG69:CG109" si="129">AO69</f>
        <v>406000</v>
      </c>
      <c r="CH69" s="203">
        <f t="shared" si="95"/>
        <v>0</v>
      </c>
      <c r="CI69" s="148">
        <v>45991</v>
      </c>
      <c r="CJ69" s="161">
        <f t="shared" si="81"/>
        <v>46021</v>
      </c>
      <c r="CK69" s="162">
        <f t="shared" si="82"/>
        <v>46446</v>
      </c>
      <c r="CL69" s="183"/>
      <c r="CM69" s="164">
        <f t="shared" ref="CM69:CM109" ca="1" si="130">TODAY()</f>
        <v>46054</v>
      </c>
      <c r="CN69" s="165">
        <f t="shared" ref="CN69:CN132" si="131">CJ69</f>
        <v>46021</v>
      </c>
      <c r="CO69" s="109">
        <f t="shared" ref="CO69:CO132" si="132">CQ69-CP69</f>
        <v>23336.206896551725</v>
      </c>
      <c r="CP69" s="109">
        <f t="shared" ref="CP69:CP132" si="133">CQ69/(1+AM69)*AM69</f>
        <v>3733.7931034482758</v>
      </c>
      <c r="CQ69" s="109">
        <v>27070</v>
      </c>
      <c r="CR69" s="109">
        <f t="shared" ref="CR69:CR109" si="134">IF(CQ69&lt;=0,0,CQ69-AP69)</f>
        <v>3.3333333333321207</v>
      </c>
      <c r="CS69" s="166">
        <v>46028</v>
      </c>
      <c r="CT69" s="167">
        <f t="shared" ref="CT69:CT109" si="135">IF(CS69&lt;CN69,0,CS69-CN69)</f>
        <v>7</v>
      </c>
      <c r="CU69" s="165">
        <f t="shared" ref="CU69:CU109" si="136">EDATE(CN69,1)</f>
        <v>46052</v>
      </c>
      <c r="CV69" s="109">
        <f t="shared" ref="CV69:CV132" si="137">CX69-CW69</f>
        <v>23336.206896551725</v>
      </c>
      <c r="CW69" s="109">
        <f t="shared" ref="CW69:CW132" si="138">CX69/(1+AM69)*AM69</f>
        <v>3733.7931034482758</v>
      </c>
      <c r="CX69" s="109">
        <v>27070</v>
      </c>
      <c r="CY69" s="109">
        <f t="shared" ref="CY69:CY109" si="139">IF(CX69&lt;=0,0,CX69-AP69)</f>
        <v>3.3333333333321207</v>
      </c>
      <c r="CZ69" s="166">
        <v>46028</v>
      </c>
      <c r="DA69" s="167">
        <f t="shared" ref="DA69:DA87" si="140">IF(CZ69&lt;CU69,0,CZ69-CU69)</f>
        <v>0</v>
      </c>
      <c r="DB69" s="165">
        <f t="shared" ref="DB69:DB109" si="141">EDATE(CU69,1)</f>
        <v>46081</v>
      </c>
      <c r="DC69" s="109">
        <f t="shared" ref="DC69:DC132" si="142">DE69-DD69</f>
        <v>0</v>
      </c>
      <c r="DD69" s="109">
        <f t="shared" ref="DD69:DD132" si="143">DE69/(1+AM69)*AM69</f>
        <v>0</v>
      </c>
      <c r="DE69" s="109"/>
      <c r="DF69" s="109">
        <f t="shared" ref="DF69:DF109" si="144">IF(DE69&lt;=0,0,DE69-AP69)</f>
        <v>0</v>
      </c>
      <c r="DG69" s="166">
        <f t="shared" ca="1" si="106"/>
        <v>46054</v>
      </c>
      <c r="DH69" s="167">
        <f t="shared" ref="DH69:DH109" ca="1" si="145">IF(DG69&lt;DB69,0,DG69-DB69)</f>
        <v>0</v>
      </c>
      <c r="DI69" s="165">
        <f t="shared" ref="DI69:DI109" si="146">EDATE(DB69,1)</f>
        <v>46109</v>
      </c>
      <c r="DJ69" s="109">
        <f t="shared" ref="DJ69:DJ132" si="147">DL69-DK69</f>
        <v>0</v>
      </c>
      <c r="DK69" s="109">
        <f t="shared" ref="DK69:DK132" si="148">DL69/(1+AM69)*AM69</f>
        <v>0</v>
      </c>
      <c r="DL69" s="109">
        <v>0</v>
      </c>
      <c r="DM69" s="109">
        <f t="shared" ref="DM69:DM109" si="149">IF(DL69&lt;=0,0,DL69-AP69)</f>
        <v>0</v>
      </c>
      <c r="DN69" s="166">
        <f t="shared" ca="1" si="87"/>
        <v>46054</v>
      </c>
      <c r="DO69" s="167">
        <f t="shared" ref="DO69:DO109" ca="1" si="150">IF(DN69&lt;DI69,0,DN69-DI69)</f>
        <v>0</v>
      </c>
      <c r="DP69" s="165">
        <f t="shared" si="93"/>
        <v>46140</v>
      </c>
      <c r="DQ69" s="109">
        <f t="shared" ref="DQ69:DQ86" si="151">DS69-DR69</f>
        <v>0</v>
      </c>
      <c r="DR69" s="109">
        <f t="shared" si="94"/>
        <v>0</v>
      </c>
      <c r="DS69" s="109"/>
      <c r="DT69" s="109">
        <f t="shared" ref="DT69:DT109" si="152">IF(DS69&lt;=0,0,DS69-AP69)</f>
        <v>0</v>
      </c>
      <c r="DU69" s="166">
        <f t="shared" ca="1" si="88"/>
        <v>46054</v>
      </c>
      <c r="DV69" s="167">
        <f t="shared" ref="DV69:DV86" ca="1" si="153">IF(DU69&lt;DP69,0,DU69-DP69)</f>
        <v>0</v>
      </c>
      <c r="DW69" s="165">
        <f t="shared" ref="DW69:DW86" si="154">EDATE(DP69,1)</f>
        <v>46170</v>
      </c>
      <c r="DX69" s="109">
        <f t="shared" ref="DX69:DX86" si="155">DZ69-DY69</f>
        <v>0</v>
      </c>
      <c r="DY69" s="109">
        <f t="shared" ref="DY69:DY86" si="156">DZ69/(1+AM69)*AM69</f>
        <v>0</v>
      </c>
      <c r="DZ69" s="109"/>
      <c r="EA69" s="109">
        <f t="shared" ref="EA69:EA86" si="157">IF(DZ69&lt;=0,0,DZ69-AP69)</f>
        <v>0</v>
      </c>
      <c r="EB69" s="166">
        <f t="shared" ca="1" si="89"/>
        <v>46054</v>
      </c>
      <c r="EC69" s="167">
        <f t="shared" ref="EC69:EC86" ca="1" si="158">IF(EB69&lt;DW69,0,EB69-DW69)</f>
        <v>0</v>
      </c>
      <c r="ED69" s="165">
        <f t="shared" ref="ED69:ED86" si="159">EDATE(DW69,1)</f>
        <v>46201</v>
      </c>
      <c r="EE69" s="109">
        <f t="shared" ref="EE69:EE86" si="160">EG69-EF69</f>
        <v>0</v>
      </c>
      <c r="EF69" s="109">
        <f t="shared" ref="EF69:EF86" si="161">EG69/(1+AM69)*AM69</f>
        <v>0</v>
      </c>
      <c r="EG69" s="109"/>
      <c r="EH69" s="109">
        <f t="shared" ref="EH69:EH86" si="162">IF(EG69&lt;=0,0,EG69-AP69)</f>
        <v>0</v>
      </c>
      <c r="EI69" s="166">
        <f t="shared" ca="1" si="90"/>
        <v>46054</v>
      </c>
      <c r="EJ69" s="167">
        <f t="shared" ref="EJ69:EJ86" ca="1" si="163">IF(EI69&lt;ED69,0,EI69-ED69)</f>
        <v>0</v>
      </c>
      <c r="EK69" s="165">
        <f t="shared" ref="EK69:EK86" si="164">EDATE(ED69,1)</f>
        <v>46231</v>
      </c>
      <c r="EL69" s="109">
        <f t="shared" ref="EL69:EL86" si="165">EN69-EM69</f>
        <v>0</v>
      </c>
      <c r="EM69" s="109">
        <f t="shared" ref="EM69:EM86" si="166">EN69/(1+AM69)*AM69</f>
        <v>0</v>
      </c>
      <c r="EN69" s="109"/>
      <c r="EO69" s="109">
        <f t="shared" ref="EO69:EO86" si="167">IF(EN69&lt;=0,0,EN69-AP69)</f>
        <v>0</v>
      </c>
      <c r="EP69" s="166">
        <f t="shared" ca="1" si="91"/>
        <v>46054</v>
      </c>
      <c r="EQ69" s="167">
        <f t="shared" ref="EQ69:EQ86" ca="1" si="168">IF(EP69&lt;EK69,0,EP69-EK69)</f>
        <v>0</v>
      </c>
      <c r="ER69" s="165">
        <f t="shared" ref="ER69:ER86" si="169">EDATE(EK69,1)</f>
        <v>46262</v>
      </c>
      <c r="ES69" s="109">
        <f t="shared" ref="ES69:ES86" si="170">EU69-ET69</f>
        <v>0</v>
      </c>
      <c r="ET69" s="109">
        <f t="shared" ref="ET69:ET86" si="171">EU69/(1+AM69)*AM69</f>
        <v>0</v>
      </c>
      <c r="EU69" s="109"/>
      <c r="EV69" s="109"/>
      <c r="EW69" s="166"/>
      <c r="EX69" s="166"/>
      <c r="EY69" s="165">
        <f t="shared" ref="EY69:EY86" si="172">EDATE(ER69,1)</f>
        <v>46293</v>
      </c>
      <c r="EZ69" s="109">
        <f t="shared" ref="EZ69:EZ86" si="173">FB69-FA69</f>
        <v>0</v>
      </c>
      <c r="FA69" s="109">
        <f t="shared" ref="FA69:FA86" si="174">FB69/(1+AM69)*AM69</f>
        <v>0</v>
      </c>
      <c r="FB69" s="109"/>
      <c r="FC69" s="109"/>
      <c r="FD69" s="166"/>
      <c r="FE69" s="166"/>
      <c r="FF69" s="165">
        <f t="shared" ref="FF69:FF86" si="175">EDATE(EY69,1)</f>
        <v>46323</v>
      </c>
      <c r="FG69" s="109">
        <f t="shared" ref="FG69:FG86" si="176">FI69-FH69</f>
        <v>0</v>
      </c>
      <c r="FH69" s="109">
        <f t="shared" ref="FH69:FH86" si="177">FI69/(1+AM69)*AM69</f>
        <v>0</v>
      </c>
      <c r="FI69" s="109"/>
      <c r="FJ69" s="109"/>
      <c r="FK69" s="166"/>
      <c r="FL69" s="166"/>
      <c r="FM69" s="165">
        <f t="shared" ref="FM69:FM86" si="178">EDATE(FF69,1)</f>
        <v>46354</v>
      </c>
      <c r="FN69" s="109">
        <f t="shared" ref="FN69:FN86" si="179">FP69-FO69</f>
        <v>0</v>
      </c>
      <c r="FO69" s="109">
        <f t="shared" ref="FO69:FO86" si="180">FP69/(1+AM69)*AM69</f>
        <v>0</v>
      </c>
      <c r="FP69" s="109"/>
      <c r="FQ69" s="109"/>
      <c r="FR69" s="166"/>
      <c r="FS69" s="166"/>
      <c r="FT69" s="165"/>
      <c r="FU69" s="109">
        <f t="shared" si="108"/>
        <v>0</v>
      </c>
      <c r="FV69" s="109">
        <f t="shared" si="109"/>
        <v>0</v>
      </c>
      <c r="FW69" s="109"/>
      <c r="FX69" s="109"/>
      <c r="FY69" s="166"/>
      <c r="FZ69" s="166"/>
      <c r="GA69" s="165"/>
      <c r="GB69" s="109">
        <f t="shared" si="110"/>
        <v>0</v>
      </c>
      <c r="GC69" s="109">
        <f t="shared" si="111"/>
        <v>0</v>
      </c>
      <c r="GD69" s="109"/>
      <c r="GE69" s="109"/>
      <c r="GF69" s="166"/>
      <c r="GG69" s="166"/>
      <c r="GH69" s="165"/>
      <c r="GI69" s="109">
        <f t="shared" si="112"/>
        <v>0</v>
      </c>
      <c r="GJ69" s="109">
        <f t="shared" si="113"/>
        <v>0</v>
      </c>
      <c r="GK69" s="109"/>
      <c r="GL69" s="109"/>
      <c r="GM69" s="166"/>
      <c r="GN69" s="166"/>
      <c r="GO69" s="165"/>
      <c r="GP69" s="109">
        <f t="shared" si="114"/>
        <v>0</v>
      </c>
      <c r="GQ69" s="109">
        <f t="shared" si="115"/>
        <v>0</v>
      </c>
      <c r="GR69" s="109"/>
      <c r="GS69" s="109"/>
      <c r="GT69" s="166"/>
      <c r="GU69" s="166"/>
      <c r="GV69" s="165"/>
      <c r="GW69" s="168">
        <f t="shared" si="116"/>
        <v>0</v>
      </c>
      <c r="GX69" s="168">
        <f t="shared" si="117"/>
        <v>0</v>
      </c>
      <c r="GY69" s="168"/>
      <c r="GZ69" s="168"/>
      <c r="HA69" s="166"/>
      <c r="HB69" s="166"/>
      <c r="HC69" s="165"/>
      <c r="HD69" s="109">
        <f t="shared" si="118"/>
        <v>0</v>
      </c>
      <c r="HE69" s="109">
        <f t="shared" si="119"/>
        <v>0</v>
      </c>
      <c r="HF69" s="109"/>
      <c r="HG69" s="109"/>
      <c r="HH69" s="166"/>
      <c r="HI69" s="166"/>
      <c r="HJ69" s="165"/>
      <c r="HK69" s="109">
        <f t="shared" si="120"/>
        <v>0</v>
      </c>
      <c r="HL69" s="109">
        <f t="shared" si="121"/>
        <v>0</v>
      </c>
      <c r="HM69" s="109"/>
      <c r="HN69" s="109"/>
      <c r="HO69" s="166"/>
      <c r="HP69" s="166"/>
      <c r="HQ69" s="165"/>
      <c r="HR69" s="109">
        <f t="shared" si="122"/>
        <v>0</v>
      </c>
      <c r="HS69" s="109">
        <f t="shared" si="123"/>
        <v>0</v>
      </c>
      <c r="HT69" s="109"/>
      <c r="HU69" s="109"/>
      <c r="HV69" s="166"/>
      <c r="HW69" s="166"/>
      <c r="HX69" s="105">
        <f t="shared" si="86"/>
        <v>46672.413793103449</v>
      </c>
      <c r="HY69" s="105">
        <f t="shared" si="83"/>
        <v>7467.5862068965516</v>
      </c>
      <c r="HZ69" s="105">
        <f t="shared" si="83"/>
        <v>54140</v>
      </c>
      <c r="IA69" s="105">
        <f t="shared" ref="IA69:IA132" si="181">HX69+HY69-HZ69</f>
        <v>0</v>
      </c>
      <c r="IB69" s="109">
        <f t="shared" ref="IB69:IB132" si="182">AO69-HZ69</f>
        <v>351860</v>
      </c>
      <c r="IC69" s="109">
        <f t="shared" ref="IC69:IC132" si="183">AL69-HX69</f>
        <v>303327.58620689658</v>
      </c>
      <c r="ID69" s="109">
        <f t="shared" ref="ID69:ID132" si="184">(HZ69+IB69)-AO69</f>
        <v>0</v>
      </c>
      <c r="IE69" s="109">
        <f t="shared" ref="IE69:IE132" ca="1" si="185">CT69+DA69+DH69+DO69+DV69+EC69+EJ69</f>
        <v>7</v>
      </c>
      <c r="IF69" s="139">
        <f t="shared" ref="IF69:IF109" si="186">HZ69/AP69</f>
        <v>2.000246305418719</v>
      </c>
      <c r="IG69" s="139">
        <f t="shared" ref="IG69:IG109" ca="1" si="187">CM69-CJ69</f>
        <v>33</v>
      </c>
      <c r="IH69" s="169">
        <f t="shared" ref="IH69:IH109" ca="1" si="188">IG69/30</f>
        <v>1.1000000000000001</v>
      </c>
      <c r="II69" s="139">
        <f t="shared" ref="II69:II109" ca="1" si="189">IF(IH69&lt;=0,0,IH69-IF69)</f>
        <v>-0.90024630541871886</v>
      </c>
      <c r="IJ69" s="169">
        <f t="shared" ref="IJ69:IJ109" ca="1" si="190">IF(II69&lt;=0,0,II69*30)</f>
        <v>0</v>
      </c>
      <c r="IK69" s="169">
        <f t="shared" ca="1" si="84"/>
        <v>-0.90024630541871886</v>
      </c>
      <c r="IL69" s="170">
        <f t="shared" ref="IL69:IL109" ca="1" si="191">IF(II69=0,0,II69*AP69)</f>
        <v>-24366.666666666657</v>
      </c>
      <c r="IM69" s="171"/>
      <c r="IN69" s="171"/>
      <c r="IO69" s="171"/>
      <c r="IP69" s="171"/>
    </row>
    <row r="70" spans="1:250" ht="15" thickBot="1" x14ac:dyDescent="0.35">
      <c r="A70" s="110">
        <f t="shared" ref="A70:A133" si="192">A69+1</f>
        <v>66</v>
      </c>
      <c r="B70" s="111" t="s">
        <v>170</v>
      </c>
      <c r="C70" s="111" t="s">
        <v>171</v>
      </c>
      <c r="D70" s="111">
        <v>102</v>
      </c>
      <c r="E70" s="111" t="s">
        <v>253</v>
      </c>
      <c r="F70" s="111"/>
      <c r="G70" s="111" t="s">
        <v>868</v>
      </c>
      <c r="H70" s="111">
        <v>1021100173</v>
      </c>
      <c r="I70" s="146" t="str">
        <f t="shared" si="124"/>
        <v>1100173</v>
      </c>
      <c r="J70" s="145" t="str">
        <f t="shared" si="125"/>
        <v>KN1100173</v>
      </c>
      <c r="K70" s="111" t="s">
        <v>869</v>
      </c>
      <c r="L70" s="111" t="s">
        <v>316</v>
      </c>
      <c r="M70" s="111" t="s">
        <v>870</v>
      </c>
      <c r="N70" s="111" t="s">
        <v>138</v>
      </c>
      <c r="O70" s="111"/>
      <c r="P70" s="111" t="s">
        <v>871</v>
      </c>
      <c r="Q70" s="148">
        <v>30528</v>
      </c>
      <c r="R70" s="111" t="s">
        <v>170</v>
      </c>
      <c r="S70" s="111">
        <f t="shared" ca="1" si="85"/>
        <v>42</v>
      </c>
      <c r="T70" s="111" t="s">
        <v>872</v>
      </c>
      <c r="U70" s="111" t="s">
        <v>234</v>
      </c>
      <c r="V70" s="181">
        <v>765588254</v>
      </c>
      <c r="W70" s="111"/>
      <c r="X70" s="111" t="s">
        <v>181</v>
      </c>
      <c r="Y70" s="111">
        <v>11</v>
      </c>
      <c r="Z70" s="111" t="s">
        <v>235</v>
      </c>
      <c r="AA70" s="111" t="s">
        <v>261</v>
      </c>
      <c r="AB70" s="111" t="s">
        <v>236</v>
      </c>
      <c r="AC70" s="111" t="s">
        <v>146</v>
      </c>
      <c r="AD70" s="111" t="s">
        <v>147</v>
      </c>
      <c r="AE70" s="173" t="s">
        <v>136</v>
      </c>
      <c r="AF70" s="173" t="s">
        <v>136</v>
      </c>
      <c r="AG70" s="174">
        <v>45667</v>
      </c>
      <c r="AH70" s="175">
        <v>70000</v>
      </c>
      <c r="AI70" s="111">
        <v>18</v>
      </c>
      <c r="AJ70" s="111">
        <v>3</v>
      </c>
      <c r="AK70" s="150">
        <f t="shared" ref="AK70:AK108" si="193">AI70-AJ70</f>
        <v>15</v>
      </c>
      <c r="AL70" s="177">
        <v>70000</v>
      </c>
      <c r="AM70" s="176">
        <v>0.16</v>
      </c>
      <c r="AN70" s="177">
        <f t="shared" si="92"/>
        <v>11200</v>
      </c>
      <c r="AO70" s="157">
        <f t="shared" si="96"/>
        <v>81200</v>
      </c>
      <c r="AP70" s="158">
        <f t="shared" si="126"/>
        <v>5413.333333333333</v>
      </c>
      <c r="AQ70" s="111" t="s">
        <v>235</v>
      </c>
      <c r="AR70" s="111" t="s">
        <v>170</v>
      </c>
      <c r="AS70" s="111" t="s">
        <v>234</v>
      </c>
      <c r="AT70" s="111" t="s">
        <v>289</v>
      </c>
      <c r="AU70" s="111" t="s">
        <v>873</v>
      </c>
      <c r="AV70" s="111">
        <v>8</v>
      </c>
      <c r="AW70" s="111" t="s">
        <v>136</v>
      </c>
      <c r="AX70" s="111" t="s">
        <v>136</v>
      </c>
      <c r="AY70" s="111" t="s">
        <v>203</v>
      </c>
      <c r="AZ70" s="111" t="s">
        <v>874</v>
      </c>
      <c r="BA70" s="111" t="s">
        <v>875</v>
      </c>
      <c r="BB70" s="174">
        <v>45737</v>
      </c>
      <c r="BC70" s="174">
        <v>46101</v>
      </c>
      <c r="BD70" s="111" t="s">
        <v>136</v>
      </c>
      <c r="BE70" s="111" t="s">
        <v>136</v>
      </c>
      <c r="BF70" s="111" t="s">
        <v>136</v>
      </c>
      <c r="BG70" s="111" t="s">
        <v>136</v>
      </c>
      <c r="BH70" s="111" t="s">
        <v>136</v>
      </c>
      <c r="BI70" s="111" t="s">
        <v>136</v>
      </c>
      <c r="BJ70" s="111" t="s">
        <v>136</v>
      </c>
      <c r="BK70" s="111" t="s">
        <v>136</v>
      </c>
      <c r="BL70" s="111" t="s">
        <v>136</v>
      </c>
      <c r="BM70" s="111" t="s">
        <v>136</v>
      </c>
      <c r="BN70" s="111" t="s">
        <v>136</v>
      </c>
      <c r="BO70" s="111" t="s">
        <v>136</v>
      </c>
      <c r="BP70" s="111" t="s">
        <v>876</v>
      </c>
      <c r="BQ70" s="111" t="s">
        <v>291</v>
      </c>
      <c r="BR70" s="111" t="s">
        <v>877</v>
      </c>
      <c r="BS70" s="111" t="s">
        <v>878</v>
      </c>
      <c r="BT70" s="182" t="s">
        <v>879</v>
      </c>
      <c r="BU70" s="111" t="s">
        <v>880</v>
      </c>
      <c r="BV70" s="111" t="s">
        <v>217</v>
      </c>
      <c r="BW70" s="111"/>
      <c r="BX70" s="111"/>
      <c r="BY70" s="111"/>
      <c r="BZ70" s="111"/>
      <c r="CA70" s="111"/>
      <c r="CB70" s="111"/>
      <c r="CC70" s="178"/>
      <c r="CD70" s="177">
        <f t="shared" si="127"/>
        <v>70000</v>
      </c>
      <c r="CE70" s="148">
        <v>45988</v>
      </c>
      <c r="CF70" s="111">
        <f t="shared" si="128"/>
        <v>18</v>
      </c>
      <c r="CG70" s="177">
        <f t="shared" si="129"/>
        <v>81200</v>
      </c>
      <c r="CH70" s="203">
        <f t="shared" si="95"/>
        <v>3</v>
      </c>
      <c r="CI70" s="148">
        <v>45988</v>
      </c>
      <c r="CJ70" s="161">
        <f t="shared" ref="CJ70:CJ109" si="194">EDATE(CI70,IF(OR(CH70="",CH70=0),1,CH70))</f>
        <v>46080</v>
      </c>
      <c r="CK70" s="162">
        <f t="shared" ref="CK70:CK109" si="195">EDATE(CI70,CF70)</f>
        <v>46534</v>
      </c>
      <c r="CL70" s="179"/>
      <c r="CM70" s="164">
        <f t="shared" ca="1" si="130"/>
        <v>46054</v>
      </c>
      <c r="CN70" s="165">
        <f t="shared" si="131"/>
        <v>46080</v>
      </c>
      <c r="CO70" s="109">
        <f t="shared" si="132"/>
        <v>0</v>
      </c>
      <c r="CP70" s="109">
        <f t="shared" si="133"/>
        <v>0</v>
      </c>
      <c r="CQ70" s="109"/>
      <c r="CR70" s="109">
        <f t="shared" si="134"/>
        <v>0</v>
      </c>
      <c r="CS70" s="166">
        <f ca="1">TODAY()</f>
        <v>46054</v>
      </c>
      <c r="CT70" s="167">
        <f t="shared" ca="1" si="135"/>
        <v>0</v>
      </c>
      <c r="CU70" s="165">
        <f t="shared" si="136"/>
        <v>46108</v>
      </c>
      <c r="CV70" s="109">
        <f t="shared" si="137"/>
        <v>0</v>
      </c>
      <c r="CW70" s="109">
        <f t="shared" si="138"/>
        <v>0</v>
      </c>
      <c r="CX70" s="109"/>
      <c r="CY70" s="109">
        <f t="shared" si="139"/>
        <v>0</v>
      </c>
      <c r="CZ70" s="166">
        <f ca="1">TODAY()</f>
        <v>46054</v>
      </c>
      <c r="DA70" s="167">
        <f t="shared" ca="1" si="140"/>
        <v>0</v>
      </c>
      <c r="DB70" s="165">
        <f t="shared" si="141"/>
        <v>46139</v>
      </c>
      <c r="DC70" s="109">
        <f t="shared" si="142"/>
        <v>0</v>
      </c>
      <c r="DD70" s="109">
        <f t="shared" si="143"/>
        <v>0</v>
      </c>
      <c r="DE70" s="109"/>
      <c r="DF70" s="109">
        <f t="shared" si="144"/>
        <v>0</v>
      </c>
      <c r="DG70" s="166">
        <f t="shared" ca="1" si="106"/>
        <v>46054</v>
      </c>
      <c r="DH70" s="167">
        <f t="shared" ca="1" si="145"/>
        <v>0</v>
      </c>
      <c r="DI70" s="165">
        <f t="shared" si="146"/>
        <v>46169</v>
      </c>
      <c r="DJ70" s="109">
        <f t="shared" si="147"/>
        <v>0</v>
      </c>
      <c r="DK70" s="109">
        <f t="shared" si="148"/>
        <v>0</v>
      </c>
      <c r="DL70" s="109">
        <v>0</v>
      </c>
      <c r="DM70" s="109">
        <f t="shared" si="149"/>
        <v>0</v>
      </c>
      <c r="DN70" s="166">
        <f t="shared" ca="1" si="87"/>
        <v>46054</v>
      </c>
      <c r="DO70" s="167">
        <f t="shared" ca="1" si="150"/>
        <v>0</v>
      </c>
      <c r="DP70" s="165">
        <f t="shared" si="93"/>
        <v>46200</v>
      </c>
      <c r="DQ70" s="109">
        <f t="shared" si="151"/>
        <v>0</v>
      </c>
      <c r="DR70" s="109">
        <f t="shared" si="94"/>
        <v>0</v>
      </c>
      <c r="DS70" s="109"/>
      <c r="DT70" s="109">
        <f t="shared" si="152"/>
        <v>0</v>
      </c>
      <c r="DU70" s="166">
        <f t="shared" ca="1" si="88"/>
        <v>46054</v>
      </c>
      <c r="DV70" s="167">
        <f t="shared" ca="1" si="153"/>
        <v>0</v>
      </c>
      <c r="DW70" s="165">
        <f t="shared" si="154"/>
        <v>46230</v>
      </c>
      <c r="DX70" s="109">
        <f t="shared" si="155"/>
        <v>0</v>
      </c>
      <c r="DY70" s="109">
        <f t="shared" si="156"/>
        <v>0</v>
      </c>
      <c r="DZ70" s="109"/>
      <c r="EA70" s="109">
        <f t="shared" si="157"/>
        <v>0</v>
      </c>
      <c r="EB70" s="166">
        <f t="shared" ca="1" si="89"/>
        <v>46054</v>
      </c>
      <c r="EC70" s="167">
        <f t="shared" ca="1" si="158"/>
        <v>0</v>
      </c>
      <c r="ED70" s="165">
        <f t="shared" si="159"/>
        <v>46261</v>
      </c>
      <c r="EE70" s="109">
        <f t="shared" si="160"/>
        <v>0</v>
      </c>
      <c r="EF70" s="109">
        <f t="shared" si="161"/>
        <v>0</v>
      </c>
      <c r="EG70" s="109"/>
      <c r="EH70" s="109">
        <f t="shared" si="162"/>
        <v>0</v>
      </c>
      <c r="EI70" s="166">
        <f t="shared" ca="1" si="90"/>
        <v>46054</v>
      </c>
      <c r="EJ70" s="167">
        <f t="shared" ca="1" si="163"/>
        <v>0</v>
      </c>
      <c r="EK70" s="165">
        <f t="shared" si="164"/>
        <v>46292</v>
      </c>
      <c r="EL70" s="109">
        <f t="shared" si="165"/>
        <v>0</v>
      </c>
      <c r="EM70" s="109">
        <f t="shared" si="166"/>
        <v>0</v>
      </c>
      <c r="EN70" s="109"/>
      <c r="EO70" s="109">
        <f t="shared" si="167"/>
        <v>0</v>
      </c>
      <c r="EP70" s="166">
        <f t="shared" ca="1" si="91"/>
        <v>46054</v>
      </c>
      <c r="EQ70" s="167">
        <f t="shared" ca="1" si="168"/>
        <v>0</v>
      </c>
      <c r="ER70" s="165">
        <f t="shared" si="169"/>
        <v>46322</v>
      </c>
      <c r="ES70" s="109">
        <f t="shared" si="170"/>
        <v>0</v>
      </c>
      <c r="ET70" s="109">
        <f t="shared" si="171"/>
        <v>0</v>
      </c>
      <c r="EU70" s="109"/>
      <c r="EV70" s="109"/>
      <c r="EW70" s="166"/>
      <c r="EX70" s="166"/>
      <c r="EY70" s="165">
        <f t="shared" si="172"/>
        <v>46353</v>
      </c>
      <c r="EZ70" s="109">
        <f t="shared" si="173"/>
        <v>0</v>
      </c>
      <c r="FA70" s="109">
        <f t="shared" si="174"/>
        <v>0</v>
      </c>
      <c r="FB70" s="109"/>
      <c r="FC70" s="109"/>
      <c r="FD70" s="166"/>
      <c r="FE70" s="166"/>
      <c r="FF70" s="165">
        <f t="shared" si="175"/>
        <v>46383</v>
      </c>
      <c r="FG70" s="109">
        <f t="shared" si="176"/>
        <v>0</v>
      </c>
      <c r="FH70" s="109">
        <f t="shared" si="177"/>
        <v>0</v>
      </c>
      <c r="FI70" s="109"/>
      <c r="FJ70" s="109"/>
      <c r="FK70" s="166"/>
      <c r="FL70" s="166"/>
      <c r="FM70" s="165">
        <f t="shared" si="178"/>
        <v>46414</v>
      </c>
      <c r="FN70" s="109">
        <f t="shared" si="179"/>
        <v>0</v>
      </c>
      <c r="FO70" s="109">
        <f t="shared" si="180"/>
        <v>0</v>
      </c>
      <c r="FP70" s="109"/>
      <c r="FQ70" s="109"/>
      <c r="FR70" s="166"/>
      <c r="FS70" s="166"/>
      <c r="FT70" s="165"/>
      <c r="FU70" s="109">
        <f t="shared" si="108"/>
        <v>0</v>
      </c>
      <c r="FV70" s="109">
        <f t="shared" si="109"/>
        <v>0</v>
      </c>
      <c r="FW70" s="109"/>
      <c r="FX70" s="109"/>
      <c r="FY70" s="166"/>
      <c r="FZ70" s="166"/>
      <c r="GA70" s="165"/>
      <c r="GB70" s="109">
        <f t="shared" si="110"/>
        <v>0</v>
      </c>
      <c r="GC70" s="109">
        <f t="shared" si="111"/>
        <v>0</v>
      </c>
      <c r="GD70" s="109"/>
      <c r="GE70" s="109"/>
      <c r="GF70" s="166"/>
      <c r="GG70" s="166"/>
      <c r="GH70" s="165"/>
      <c r="GI70" s="109">
        <f t="shared" si="112"/>
        <v>0</v>
      </c>
      <c r="GJ70" s="109">
        <f t="shared" si="113"/>
        <v>0</v>
      </c>
      <c r="GK70" s="109"/>
      <c r="GL70" s="109"/>
      <c r="GM70" s="166"/>
      <c r="GN70" s="166"/>
      <c r="GO70" s="165"/>
      <c r="GP70" s="109">
        <f t="shared" si="114"/>
        <v>0</v>
      </c>
      <c r="GQ70" s="109">
        <f t="shared" si="115"/>
        <v>0</v>
      </c>
      <c r="GR70" s="109"/>
      <c r="GS70" s="109"/>
      <c r="GT70" s="166"/>
      <c r="GU70" s="166"/>
      <c r="GV70" s="165"/>
      <c r="GW70" s="168">
        <f t="shared" si="116"/>
        <v>0</v>
      </c>
      <c r="GX70" s="168">
        <f t="shared" si="117"/>
        <v>0</v>
      </c>
      <c r="GY70" s="168"/>
      <c r="GZ70" s="168"/>
      <c r="HA70" s="166"/>
      <c r="HB70" s="166"/>
      <c r="HC70" s="165"/>
      <c r="HD70" s="109">
        <f t="shared" si="118"/>
        <v>0</v>
      </c>
      <c r="HE70" s="109">
        <f t="shared" si="119"/>
        <v>0</v>
      </c>
      <c r="HF70" s="109"/>
      <c r="HG70" s="109"/>
      <c r="HH70" s="166"/>
      <c r="HI70" s="166"/>
      <c r="HJ70" s="165"/>
      <c r="HK70" s="109">
        <f t="shared" si="120"/>
        <v>0</v>
      </c>
      <c r="HL70" s="109">
        <f t="shared" si="121"/>
        <v>0</v>
      </c>
      <c r="HM70" s="109"/>
      <c r="HN70" s="109"/>
      <c r="HO70" s="166"/>
      <c r="HP70" s="166"/>
      <c r="HQ70" s="165"/>
      <c r="HR70" s="109">
        <f t="shared" si="122"/>
        <v>0</v>
      </c>
      <c r="HS70" s="109">
        <f t="shared" si="123"/>
        <v>0</v>
      </c>
      <c r="HT70" s="109"/>
      <c r="HU70" s="109"/>
      <c r="HV70" s="166"/>
      <c r="HW70" s="166"/>
      <c r="HX70" s="105">
        <f t="shared" si="86"/>
        <v>0</v>
      </c>
      <c r="HY70" s="105">
        <f t="shared" si="86"/>
        <v>0</v>
      </c>
      <c r="HZ70" s="105">
        <f t="shared" si="86"/>
        <v>0</v>
      </c>
      <c r="IA70" s="105">
        <f t="shared" si="181"/>
        <v>0</v>
      </c>
      <c r="IB70" s="109">
        <f t="shared" si="182"/>
        <v>81200</v>
      </c>
      <c r="IC70" s="109">
        <f t="shared" si="183"/>
        <v>70000</v>
      </c>
      <c r="ID70" s="109">
        <f t="shared" si="184"/>
        <v>0</v>
      </c>
      <c r="IE70" s="109">
        <f t="shared" ca="1" si="185"/>
        <v>0</v>
      </c>
      <c r="IF70" s="139">
        <f t="shared" si="186"/>
        <v>0</v>
      </c>
      <c r="IG70" s="139">
        <f t="shared" ca="1" si="187"/>
        <v>-26</v>
      </c>
      <c r="IH70" s="169">
        <f t="shared" ca="1" si="188"/>
        <v>-0.8666666666666667</v>
      </c>
      <c r="II70" s="139">
        <f t="shared" ca="1" si="189"/>
        <v>0</v>
      </c>
      <c r="IJ70" s="169">
        <f t="shared" ca="1" si="190"/>
        <v>0</v>
      </c>
      <c r="IK70" s="169">
        <f t="shared" ref="IK70:IK109" ca="1" si="196">II70</f>
        <v>0</v>
      </c>
      <c r="IL70" s="170">
        <f t="shared" ca="1" si="191"/>
        <v>0</v>
      </c>
      <c r="IM70" s="171"/>
      <c r="IN70" s="171"/>
      <c r="IO70" s="171"/>
      <c r="IP70" s="171"/>
    </row>
    <row r="71" spans="1:250" ht="15" customHeight="1" thickBot="1" x14ac:dyDescent="0.35">
      <c r="A71" s="110">
        <f t="shared" si="192"/>
        <v>67</v>
      </c>
      <c r="B71" s="111" t="s">
        <v>385</v>
      </c>
      <c r="C71" s="111" t="s">
        <v>386</v>
      </c>
      <c r="D71" s="111">
        <v>103</v>
      </c>
      <c r="E71" s="111" t="s">
        <v>881</v>
      </c>
      <c r="F71" s="111"/>
      <c r="G71" s="111" t="s">
        <v>882</v>
      </c>
      <c r="H71" s="111">
        <v>1031100001</v>
      </c>
      <c r="I71" s="146" t="str">
        <f t="shared" si="124"/>
        <v>1100001</v>
      </c>
      <c r="J71" s="145" t="str">
        <f t="shared" si="125"/>
        <v>NG1100001</v>
      </c>
      <c r="K71" s="111" t="s">
        <v>883</v>
      </c>
      <c r="L71" s="111" t="s">
        <v>884</v>
      </c>
      <c r="M71" s="111" t="s">
        <v>522</v>
      </c>
      <c r="N71" s="111" t="s">
        <v>138</v>
      </c>
      <c r="O71" s="111"/>
      <c r="P71" s="111" t="s">
        <v>885</v>
      </c>
      <c r="Q71" s="148">
        <v>30794</v>
      </c>
      <c r="R71" s="111" t="s">
        <v>385</v>
      </c>
      <c r="S71" s="111">
        <f t="shared" ref="S71:S88" ca="1" si="197">DATEDIF(Q71,TODAY(),"Y")</f>
        <v>41</v>
      </c>
      <c r="T71" s="111" t="s">
        <v>886</v>
      </c>
      <c r="U71" s="111" t="s">
        <v>217</v>
      </c>
      <c r="V71" s="172">
        <v>787156012</v>
      </c>
      <c r="W71" s="111"/>
      <c r="X71" s="111" t="s">
        <v>181</v>
      </c>
      <c r="Y71" s="111">
        <v>11</v>
      </c>
      <c r="Z71" s="111" t="s">
        <v>235</v>
      </c>
      <c r="AA71" s="111" t="s">
        <v>261</v>
      </c>
      <c r="AB71" s="111" t="s">
        <v>236</v>
      </c>
      <c r="AC71" s="111" t="s">
        <v>146</v>
      </c>
      <c r="AD71" s="111" t="s">
        <v>147</v>
      </c>
      <c r="AE71" s="173" t="s">
        <v>136</v>
      </c>
      <c r="AF71" s="173" t="s">
        <v>136</v>
      </c>
      <c r="AG71" s="174">
        <v>45889</v>
      </c>
      <c r="AH71" s="175">
        <v>30000</v>
      </c>
      <c r="AI71" s="111">
        <v>12</v>
      </c>
      <c r="AJ71" s="111">
        <v>0</v>
      </c>
      <c r="AK71" s="150">
        <f t="shared" si="193"/>
        <v>12</v>
      </c>
      <c r="AL71" s="177">
        <v>12311.9</v>
      </c>
      <c r="AM71" s="176">
        <v>0.18</v>
      </c>
      <c r="AN71" s="177">
        <f t="shared" si="92"/>
        <v>2216.1419999999998</v>
      </c>
      <c r="AO71" s="157">
        <f t="shared" si="96"/>
        <v>14528.041999999999</v>
      </c>
      <c r="AP71" s="158">
        <f t="shared" si="126"/>
        <v>1210.6701666666665</v>
      </c>
      <c r="AQ71" s="178" t="s">
        <v>136</v>
      </c>
      <c r="AR71" s="111" t="s">
        <v>385</v>
      </c>
      <c r="AS71" s="111" t="s">
        <v>217</v>
      </c>
      <c r="AT71" s="111" t="s">
        <v>887</v>
      </c>
      <c r="AU71" s="111" t="s">
        <v>886</v>
      </c>
      <c r="AV71" s="111">
        <v>8</v>
      </c>
      <c r="AW71" s="111"/>
      <c r="AX71" s="111"/>
      <c r="AY71" s="111" t="s">
        <v>136</v>
      </c>
      <c r="AZ71" s="111" t="s">
        <v>136</v>
      </c>
      <c r="BA71" s="111" t="s">
        <v>136</v>
      </c>
      <c r="BB71" s="111" t="s">
        <v>136</v>
      </c>
      <c r="BC71" s="111" t="s">
        <v>136</v>
      </c>
      <c r="BD71" s="111" t="s">
        <v>136</v>
      </c>
      <c r="BE71" s="111" t="s">
        <v>136</v>
      </c>
      <c r="BF71" s="111" t="s">
        <v>136</v>
      </c>
      <c r="BG71" s="111" t="s">
        <v>136</v>
      </c>
      <c r="BH71" s="111" t="s">
        <v>136</v>
      </c>
      <c r="BI71" s="111" t="s">
        <v>136</v>
      </c>
      <c r="BJ71" s="111" t="s">
        <v>136</v>
      </c>
      <c r="BK71" s="111" t="s">
        <v>136</v>
      </c>
      <c r="BL71" s="111" t="s">
        <v>136</v>
      </c>
      <c r="BM71" s="111" t="s">
        <v>136</v>
      </c>
      <c r="BN71" s="111" t="s">
        <v>136</v>
      </c>
      <c r="BO71" s="111" t="s">
        <v>136</v>
      </c>
      <c r="BP71" s="111" t="s">
        <v>888</v>
      </c>
      <c r="BQ71" s="111" t="s">
        <v>889</v>
      </c>
      <c r="BR71" s="111" t="s">
        <v>890</v>
      </c>
      <c r="BS71" s="111" t="s">
        <v>891</v>
      </c>
      <c r="BT71" s="182" t="s">
        <v>892</v>
      </c>
      <c r="BU71" s="111" t="s">
        <v>893</v>
      </c>
      <c r="BV71" s="111" t="s">
        <v>745</v>
      </c>
      <c r="BW71" s="111"/>
      <c r="BX71" s="111"/>
      <c r="BY71" s="111"/>
      <c r="BZ71" s="111"/>
      <c r="CA71" s="111"/>
      <c r="CB71" s="111"/>
      <c r="CC71" s="178"/>
      <c r="CD71" s="177">
        <f t="shared" si="127"/>
        <v>12311.9</v>
      </c>
      <c r="CE71" s="148">
        <v>45895</v>
      </c>
      <c r="CF71" s="111">
        <f t="shared" si="128"/>
        <v>12</v>
      </c>
      <c r="CG71" s="177">
        <f t="shared" si="129"/>
        <v>14528.041999999999</v>
      </c>
      <c r="CH71" s="203">
        <f t="shared" si="95"/>
        <v>0</v>
      </c>
      <c r="CI71" s="148">
        <v>45895</v>
      </c>
      <c r="CJ71" s="161">
        <f t="shared" si="194"/>
        <v>45926</v>
      </c>
      <c r="CK71" s="162">
        <f t="shared" si="195"/>
        <v>46260</v>
      </c>
      <c r="CL71" s="183"/>
      <c r="CM71" s="164">
        <f t="shared" ca="1" si="130"/>
        <v>46054</v>
      </c>
      <c r="CN71" s="165">
        <f t="shared" si="131"/>
        <v>45926</v>
      </c>
      <c r="CO71" s="109">
        <f t="shared" si="132"/>
        <v>1025.4237288135594</v>
      </c>
      <c r="CP71" s="109">
        <f t="shared" si="133"/>
        <v>184.57627118644069</v>
      </c>
      <c r="CQ71" s="109">
        <v>1210</v>
      </c>
      <c r="CR71" s="109">
        <f t="shared" si="134"/>
        <v>-0.67016666666654601</v>
      </c>
      <c r="CS71" s="166">
        <v>45934</v>
      </c>
      <c r="CT71" s="167">
        <f t="shared" si="135"/>
        <v>8</v>
      </c>
      <c r="CU71" s="165">
        <f t="shared" si="136"/>
        <v>45956</v>
      </c>
      <c r="CV71" s="109">
        <f t="shared" si="137"/>
        <v>1025.4237288135594</v>
      </c>
      <c r="CW71" s="109">
        <f t="shared" si="138"/>
        <v>184.57627118644069</v>
      </c>
      <c r="CX71" s="109">
        <v>1210</v>
      </c>
      <c r="CY71" s="109">
        <f t="shared" si="139"/>
        <v>-0.67016666666654601</v>
      </c>
      <c r="CZ71" s="166">
        <v>45969</v>
      </c>
      <c r="DA71" s="167">
        <f t="shared" si="140"/>
        <v>13</v>
      </c>
      <c r="DB71" s="165">
        <f t="shared" si="141"/>
        <v>45987</v>
      </c>
      <c r="DC71" s="109">
        <f t="shared" si="142"/>
        <v>1025.4237288135594</v>
      </c>
      <c r="DD71" s="109">
        <f t="shared" si="143"/>
        <v>184.57627118644069</v>
      </c>
      <c r="DE71" s="109">
        <v>1210</v>
      </c>
      <c r="DF71" s="109">
        <f t="shared" si="144"/>
        <v>-0.67016666666654601</v>
      </c>
      <c r="DG71" s="166">
        <v>45991</v>
      </c>
      <c r="DH71" s="167">
        <f t="shared" si="145"/>
        <v>4</v>
      </c>
      <c r="DI71" s="165">
        <f t="shared" si="146"/>
        <v>46017</v>
      </c>
      <c r="DJ71" s="109">
        <f t="shared" si="147"/>
        <v>1025.4237288135594</v>
      </c>
      <c r="DK71" s="109">
        <f t="shared" si="148"/>
        <v>184.57627118644069</v>
      </c>
      <c r="DL71" s="109">
        <v>1210</v>
      </c>
      <c r="DM71" s="109">
        <f t="shared" si="149"/>
        <v>-0.67016666666654601</v>
      </c>
      <c r="DN71" s="165">
        <v>46018</v>
      </c>
      <c r="DO71" s="167">
        <f t="shared" si="150"/>
        <v>1</v>
      </c>
      <c r="DP71" s="165">
        <f t="shared" si="93"/>
        <v>46048</v>
      </c>
      <c r="DQ71" s="109">
        <f t="shared" si="151"/>
        <v>0</v>
      </c>
      <c r="DR71" s="109">
        <f t="shared" si="94"/>
        <v>0</v>
      </c>
      <c r="DS71" s="109"/>
      <c r="DT71" s="109">
        <f t="shared" si="152"/>
        <v>0</v>
      </c>
      <c r="DU71" s="166">
        <f t="shared" ca="1" si="88"/>
        <v>46054</v>
      </c>
      <c r="DV71" s="167">
        <f t="shared" ca="1" si="153"/>
        <v>6</v>
      </c>
      <c r="DW71" s="165">
        <f t="shared" si="154"/>
        <v>46079</v>
      </c>
      <c r="DX71" s="109">
        <f t="shared" si="155"/>
        <v>0</v>
      </c>
      <c r="DY71" s="109">
        <f t="shared" si="156"/>
        <v>0</v>
      </c>
      <c r="DZ71" s="109"/>
      <c r="EA71" s="109">
        <f t="shared" si="157"/>
        <v>0</v>
      </c>
      <c r="EB71" s="166">
        <f t="shared" ca="1" si="89"/>
        <v>46054</v>
      </c>
      <c r="EC71" s="167">
        <f t="shared" ca="1" si="158"/>
        <v>0</v>
      </c>
      <c r="ED71" s="165">
        <f t="shared" si="159"/>
        <v>46107</v>
      </c>
      <c r="EE71" s="109">
        <f t="shared" si="160"/>
        <v>0</v>
      </c>
      <c r="EF71" s="109">
        <f t="shared" si="161"/>
        <v>0</v>
      </c>
      <c r="EG71" s="109"/>
      <c r="EH71" s="109">
        <f t="shared" si="162"/>
        <v>0</v>
      </c>
      <c r="EI71" s="166">
        <f t="shared" ca="1" si="90"/>
        <v>46054</v>
      </c>
      <c r="EJ71" s="167">
        <f t="shared" ca="1" si="163"/>
        <v>0</v>
      </c>
      <c r="EK71" s="165">
        <f t="shared" si="164"/>
        <v>46138</v>
      </c>
      <c r="EL71" s="109">
        <f t="shared" si="165"/>
        <v>0</v>
      </c>
      <c r="EM71" s="109">
        <f t="shared" si="166"/>
        <v>0</v>
      </c>
      <c r="EN71" s="109"/>
      <c r="EO71" s="109">
        <f t="shared" si="167"/>
        <v>0</v>
      </c>
      <c r="EP71" s="166">
        <f t="shared" ca="1" si="91"/>
        <v>46054</v>
      </c>
      <c r="EQ71" s="167">
        <f t="shared" ca="1" si="168"/>
        <v>0</v>
      </c>
      <c r="ER71" s="165">
        <f t="shared" si="169"/>
        <v>46168</v>
      </c>
      <c r="ES71" s="109">
        <f t="shared" si="170"/>
        <v>0</v>
      </c>
      <c r="ET71" s="109">
        <f t="shared" si="171"/>
        <v>0</v>
      </c>
      <c r="EU71" s="109"/>
      <c r="EV71" s="109"/>
      <c r="EW71" s="166"/>
      <c r="EX71" s="166"/>
      <c r="EY71" s="165">
        <f t="shared" si="172"/>
        <v>46199</v>
      </c>
      <c r="EZ71" s="109">
        <f t="shared" si="173"/>
        <v>0</v>
      </c>
      <c r="FA71" s="109">
        <f t="shared" si="174"/>
        <v>0</v>
      </c>
      <c r="FB71" s="109"/>
      <c r="FC71" s="109"/>
      <c r="FD71" s="166"/>
      <c r="FE71" s="166"/>
      <c r="FF71" s="165">
        <f t="shared" si="175"/>
        <v>46229</v>
      </c>
      <c r="FG71" s="109">
        <f t="shared" si="176"/>
        <v>0</v>
      </c>
      <c r="FH71" s="109">
        <f t="shared" si="177"/>
        <v>0</v>
      </c>
      <c r="FI71" s="109"/>
      <c r="FJ71" s="109"/>
      <c r="FK71" s="166"/>
      <c r="FL71" s="166"/>
      <c r="FM71" s="165">
        <f t="shared" si="178"/>
        <v>46260</v>
      </c>
      <c r="FN71" s="109">
        <f t="shared" si="179"/>
        <v>0</v>
      </c>
      <c r="FO71" s="109">
        <f t="shared" si="180"/>
        <v>0</v>
      </c>
      <c r="FP71" s="109"/>
      <c r="FQ71" s="109"/>
      <c r="FR71" s="166"/>
      <c r="FS71" s="166"/>
      <c r="FT71" s="165"/>
      <c r="FU71" s="109"/>
      <c r="FV71" s="109"/>
      <c r="FW71" s="109"/>
      <c r="FX71" s="109"/>
      <c r="FY71" s="166"/>
      <c r="FZ71" s="166"/>
      <c r="GA71" s="165"/>
      <c r="GB71" s="109"/>
      <c r="GC71" s="109"/>
      <c r="GD71" s="109"/>
      <c r="GE71" s="109"/>
      <c r="GF71" s="166"/>
      <c r="GG71" s="166"/>
      <c r="GH71" s="165"/>
      <c r="GI71" s="109"/>
      <c r="GJ71" s="109"/>
      <c r="GK71" s="109"/>
      <c r="GL71" s="109"/>
      <c r="GM71" s="166"/>
      <c r="GN71" s="166"/>
      <c r="GO71" s="165"/>
      <c r="GP71" s="109"/>
      <c r="GQ71" s="109"/>
      <c r="GR71" s="109"/>
      <c r="GS71" s="109"/>
      <c r="GT71" s="166"/>
      <c r="GU71" s="166"/>
      <c r="GV71" s="165"/>
      <c r="GW71" s="168"/>
      <c r="GX71" s="168"/>
      <c r="GY71" s="168"/>
      <c r="GZ71" s="168"/>
      <c r="HA71" s="166"/>
      <c r="HB71" s="166"/>
      <c r="HC71" s="165"/>
      <c r="HD71" s="109"/>
      <c r="HE71" s="109"/>
      <c r="HF71" s="109"/>
      <c r="HG71" s="109"/>
      <c r="HH71" s="166"/>
      <c r="HI71" s="166"/>
      <c r="HJ71" s="165"/>
      <c r="HK71" s="109"/>
      <c r="HL71" s="109"/>
      <c r="HM71" s="109"/>
      <c r="HN71" s="109"/>
      <c r="HO71" s="166"/>
      <c r="HP71" s="166"/>
      <c r="HQ71" s="165"/>
      <c r="HR71" s="109"/>
      <c r="HS71" s="109"/>
      <c r="HT71" s="109"/>
      <c r="HU71" s="109"/>
      <c r="HV71" s="166"/>
      <c r="HW71" s="166"/>
      <c r="HX71" s="105">
        <f t="shared" si="86"/>
        <v>4101.6949152542375</v>
      </c>
      <c r="HY71" s="105">
        <f t="shared" si="86"/>
        <v>738.30508474576277</v>
      </c>
      <c r="HZ71" s="105">
        <f t="shared" si="86"/>
        <v>4840</v>
      </c>
      <c r="IA71" s="105">
        <f t="shared" si="181"/>
        <v>0</v>
      </c>
      <c r="IB71" s="109">
        <f t="shared" si="182"/>
        <v>9688.0419999999995</v>
      </c>
      <c r="IC71" s="109">
        <f t="shared" si="183"/>
        <v>8210.2050847457613</v>
      </c>
      <c r="ID71" s="109">
        <f t="shared" si="184"/>
        <v>0</v>
      </c>
      <c r="IE71" s="109">
        <f t="shared" ca="1" si="185"/>
        <v>32</v>
      </c>
      <c r="IF71" s="139">
        <f t="shared" si="186"/>
        <v>3.9977857993527279</v>
      </c>
      <c r="IG71" s="139">
        <f t="shared" ca="1" si="187"/>
        <v>128</v>
      </c>
      <c r="IH71" s="169">
        <f t="shared" ca="1" si="188"/>
        <v>4.2666666666666666</v>
      </c>
      <c r="II71" s="139">
        <f t="shared" ca="1" si="189"/>
        <v>0.26888086731393868</v>
      </c>
      <c r="IJ71" s="169">
        <f t="shared" ca="1" si="190"/>
        <v>8.0664260194181594</v>
      </c>
      <c r="IK71" s="169">
        <f t="shared" ca="1" si="196"/>
        <v>0.26888086731393868</v>
      </c>
      <c r="IL71" s="170">
        <f t="shared" ca="1" si="191"/>
        <v>325.52604444444398</v>
      </c>
      <c r="IM71" s="171"/>
      <c r="IN71" s="171"/>
      <c r="IO71" s="171"/>
      <c r="IP71" s="171"/>
    </row>
    <row r="72" spans="1:250" ht="15" customHeight="1" thickBot="1" x14ac:dyDescent="0.35">
      <c r="A72" s="110">
        <f t="shared" si="192"/>
        <v>68</v>
      </c>
      <c r="B72" s="111" t="s">
        <v>385</v>
      </c>
      <c r="C72" s="111" t="s">
        <v>386</v>
      </c>
      <c r="D72" s="111">
        <v>103</v>
      </c>
      <c r="E72" s="111" t="s">
        <v>387</v>
      </c>
      <c r="F72" s="111"/>
      <c r="G72" s="111" t="s">
        <v>894</v>
      </c>
      <c r="H72" s="111">
        <v>1031100002</v>
      </c>
      <c r="I72" s="146" t="str">
        <f t="shared" si="124"/>
        <v>1100002</v>
      </c>
      <c r="J72" s="145" t="str">
        <f t="shared" si="125"/>
        <v>NG1100002</v>
      </c>
      <c r="K72" s="111" t="s">
        <v>895</v>
      </c>
      <c r="L72" s="111" t="s">
        <v>896</v>
      </c>
      <c r="M72" s="111" t="s">
        <v>897</v>
      </c>
      <c r="N72" s="111" t="s">
        <v>138</v>
      </c>
      <c r="O72" s="111"/>
      <c r="P72" s="111" t="s">
        <v>898</v>
      </c>
      <c r="Q72" s="148">
        <v>32600</v>
      </c>
      <c r="R72" s="111" t="s">
        <v>193</v>
      </c>
      <c r="S72" s="111">
        <f t="shared" ca="1" si="197"/>
        <v>36</v>
      </c>
      <c r="T72" s="111" t="s">
        <v>899</v>
      </c>
      <c r="U72" s="111" t="s">
        <v>217</v>
      </c>
      <c r="V72" s="172">
        <v>786161466</v>
      </c>
      <c r="W72" s="111"/>
      <c r="X72" s="111" t="s">
        <v>181</v>
      </c>
      <c r="Y72" s="111">
        <v>11</v>
      </c>
      <c r="Z72" s="111" t="s">
        <v>417</v>
      </c>
      <c r="AA72" s="111" t="s">
        <v>418</v>
      </c>
      <c r="AB72" s="111" t="s">
        <v>395</v>
      </c>
      <c r="AC72" s="111" t="s">
        <v>146</v>
      </c>
      <c r="AD72" s="111" t="s">
        <v>147</v>
      </c>
      <c r="AE72" s="173" t="s">
        <v>136</v>
      </c>
      <c r="AF72" s="173" t="s">
        <v>136</v>
      </c>
      <c r="AG72" s="174">
        <v>45876</v>
      </c>
      <c r="AH72" s="175">
        <v>80000</v>
      </c>
      <c r="AI72" s="111">
        <v>12</v>
      </c>
      <c r="AJ72" s="111">
        <v>0</v>
      </c>
      <c r="AK72" s="150">
        <f t="shared" si="193"/>
        <v>12</v>
      </c>
      <c r="AL72" s="177">
        <v>25623.7</v>
      </c>
      <c r="AM72" s="176">
        <v>0.18</v>
      </c>
      <c r="AN72" s="177">
        <f t="shared" si="92"/>
        <v>4612.2659999999996</v>
      </c>
      <c r="AO72" s="157">
        <f t="shared" si="96"/>
        <v>30235.966</v>
      </c>
      <c r="AP72" s="158">
        <f t="shared" si="126"/>
        <v>2519.6638333333335</v>
      </c>
      <c r="AQ72" s="111" t="s">
        <v>136</v>
      </c>
      <c r="AR72" s="111" t="s">
        <v>385</v>
      </c>
      <c r="AS72" s="111" t="s">
        <v>217</v>
      </c>
      <c r="AT72" s="111" t="s">
        <v>900</v>
      </c>
      <c r="AU72" s="111" t="s">
        <v>899</v>
      </c>
      <c r="AV72" s="111">
        <v>5</v>
      </c>
      <c r="AW72" s="111"/>
      <c r="AX72" s="111"/>
      <c r="AY72" s="111" t="s">
        <v>136</v>
      </c>
      <c r="AZ72" s="111" t="s">
        <v>136</v>
      </c>
      <c r="BA72" s="111" t="s">
        <v>136</v>
      </c>
      <c r="BB72" s="111" t="s">
        <v>136</v>
      </c>
      <c r="BC72" s="111" t="s">
        <v>136</v>
      </c>
      <c r="BD72" s="111" t="s">
        <v>136</v>
      </c>
      <c r="BE72" s="111" t="s">
        <v>136</v>
      </c>
      <c r="BF72" s="111" t="s">
        <v>136</v>
      </c>
      <c r="BG72" s="111" t="s">
        <v>136</v>
      </c>
      <c r="BH72" s="111" t="s">
        <v>136</v>
      </c>
      <c r="BI72" s="111" t="s">
        <v>136</v>
      </c>
      <c r="BJ72" s="111" t="s">
        <v>136</v>
      </c>
      <c r="BK72" s="111" t="s">
        <v>136</v>
      </c>
      <c r="BL72" s="111" t="s">
        <v>136</v>
      </c>
      <c r="BM72" s="111" t="s">
        <v>136</v>
      </c>
      <c r="BN72" s="111" t="s">
        <v>136</v>
      </c>
      <c r="BO72" s="111" t="s">
        <v>136</v>
      </c>
      <c r="BP72" s="111" t="s">
        <v>901</v>
      </c>
      <c r="BQ72" s="111" t="s">
        <v>287</v>
      </c>
      <c r="BR72" s="111" t="s">
        <v>902</v>
      </c>
      <c r="BS72" s="111" t="s">
        <v>903</v>
      </c>
      <c r="BT72" s="182" t="s">
        <v>904</v>
      </c>
      <c r="BU72" s="111" t="s">
        <v>392</v>
      </c>
      <c r="BV72" s="111" t="s">
        <v>217</v>
      </c>
      <c r="BW72" s="111"/>
      <c r="BX72" s="111"/>
      <c r="BY72" s="111"/>
      <c r="BZ72" s="111"/>
      <c r="CA72" s="111"/>
      <c r="CB72" s="111"/>
      <c r="CC72" s="178"/>
      <c r="CD72" s="177">
        <f t="shared" si="127"/>
        <v>25623.7</v>
      </c>
      <c r="CE72" s="148">
        <v>45896</v>
      </c>
      <c r="CF72" s="111">
        <f t="shared" si="128"/>
        <v>12</v>
      </c>
      <c r="CG72" s="177">
        <f t="shared" si="129"/>
        <v>30235.966</v>
      </c>
      <c r="CH72" s="203">
        <f t="shared" si="95"/>
        <v>0</v>
      </c>
      <c r="CI72" s="148">
        <v>45896</v>
      </c>
      <c r="CJ72" s="161">
        <f t="shared" si="194"/>
        <v>45927</v>
      </c>
      <c r="CK72" s="162">
        <f t="shared" si="195"/>
        <v>46261</v>
      </c>
      <c r="CL72" s="183"/>
      <c r="CM72" s="164">
        <f t="shared" ca="1" si="130"/>
        <v>46054</v>
      </c>
      <c r="CN72" s="165">
        <f t="shared" si="131"/>
        <v>45927</v>
      </c>
      <c r="CO72" s="109">
        <f t="shared" si="132"/>
        <v>2135.593220338983</v>
      </c>
      <c r="CP72" s="109">
        <f t="shared" si="133"/>
        <v>384.40677966101691</v>
      </c>
      <c r="CQ72" s="109">
        <v>2520</v>
      </c>
      <c r="CR72" s="109">
        <f t="shared" si="134"/>
        <v>0.33616666666648598</v>
      </c>
      <c r="CS72" s="166">
        <v>45928</v>
      </c>
      <c r="CT72" s="167">
        <f t="shared" si="135"/>
        <v>1</v>
      </c>
      <c r="CU72" s="165">
        <f t="shared" si="136"/>
        <v>45957</v>
      </c>
      <c r="CV72" s="109">
        <f t="shared" si="137"/>
        <v>2135.593220338983</v>
      </c>
      <c r="CW72" s="109">
        <f t="shared" si="138"/>
        <v>384.40677966101691</v>
      </c>
      <c r="CX72" s="109">
        <v>2520</v>
      </c>
      <c r="CY72" s="109">
        <f t="shared" si="139"/>
        <v>0.33616666666648598</v>
      </c>
      <c r="CZ72" s="166">
        <v>45957</v>
      </c>
      <c r="DA72" s="167">
        <f t="shared" si="140"/>
        <v>0</v>
      </c>
      <c r="DB72" s="165">
        <f t="shared" si="141"/>
        <v>45988</v>
      </c>
      <c r="DC72" s="109">
        <f t="shared" si="142"/>
        <v>2135.593220338983</v>
      </c>
      <c r="DD72" s="109">
        <f t="shared" si="143"/>
        <v>384.40677966101691</v>
      </c>
      <c r="DE72" s="109">
        <v>2520</v>
      </c>
      <c r="DF72" s="109">
        <f t="shared" si="144"/>
        <v>0.33616666666648598</v>
      </c>
      <c r="DG72" s="166">
        <v>45990</v>
      </c>
      <c r="DH72" s="167">
        <f t="shared" si="145"/>
        <v>2</v>
      </c>
      <c r="DI72" s="165">
        <f t="shared" si="146"/>
        <v>46018</v>
      </c>
      <c r="DJ72" s="109">
        <f t="shared" si="147"/>
        <v>2135.593220338983</v>
      </c>
      <c r="DK72" s="109">
        <f t="shared" si="148"/>
        <v>384.40677966101691</v>
      </c>
      <c r="DL72" s="109">
        <v>2520</v>
      </c>
      <c r="DM72" s="109">
        <f t="shared" si="149"/>
        <v>0.33616666666648598</v>
      </c>
      <c r="DN72" s="166">
        <v>46014</v>
      </c>
      <c r="DO72" s="167">
        <f t="shared" si="150"/>
        <v>0</v>
      </c>
      <c r="DP72" s="165">
        <f t="shared" si="93"/>
        <v>46049</v>
      </c>
      <c r="DQ72" s="109">
        <f t="shared" si="151"/>
        <v>0</v>
      </c>
      <c r="DR72" s="109">
        <f t="shared" si="94"/>
        <v>0</v>
      </c>
      <c r="DS72" s="109"/>
      <c r="DT72" s="109">
        <f t="shared" si="152"/>
        <v>0</v>
      </c>
      <c r="DU72" s="166">
        <f t="shared" ca="1" si="88"/>
        <v>46054</v>
      </c>
      <c r="DV72" s="167">
        <f t="shared" ca="1" si="153"/>
        <v>5</v>
      </c>
      <c r="DW72" s="165">
        <f t="shared" si="154"/>
        <v>46080</v>
      </c>
      <c r="DX72" s="109">
        <f t="shared" si="155"/>
        <v>0</v>
      </c>
      <c r="DY72" s="109">
        <f t="shared" si="156"/>
        <v>0</v>
      </c>
      <c r="DZ72" s="109"/>
      <c r="EA72" s="109">
        <f t="shared" si="157"/>
        <v>0</v>
      </c>
      <c r="EB72" s="166">
        <f t="shared" ca="1" si="89"/>
        <v>46054</v>
      </c>
      <c r="EC72" s="167">
        <f t="shared" ca="1" si="158"/>
        <v>0</v>
      </c>
      <c r="ED72" s="165">
        <f t="shared" si="159"/>
        <v>46108</v>
      </c>
      <c r="EE72" s="109">
        <f t="shared" si="160"/>
        <v>0</v>
      </c>
      <c r="EF72" s="109">
        <f t="shared" si="161"/>
        <v>0</v>
      </c>
      <c r="EG72" s="109"/>
      <c r="EH72" s="109">
        <f t="shared" si="162"/>
        <v>0</v>
      </c>
      <c r="EI72" s="166">
        <f t="shared" ca="1" si="90"/>
        <v>46054</v>
      </c>
      <c r="EJ72" s="167">
        <f t="shared" ca="1" si="163"/>
        <v>0</v>
      </c>
      <c r="EK72" s="165">
        <f t="shared" si="164"/>
        <v>46139</v>
      </c>
      <c r="EL72" s="109">
        <f t="shared" si="165"/>
        <v>0</v>
      </c>
      <c r="EM72" s="109">
        <f t="shared" si="166"/>
        <v>0</v>
      </c>
      <c r="EN72" s="109"/>
      <c r="EO72" s="109">
        <f t="shared" si="167"/>
        <v>0</v>
      </c>
      <c r="EP72" s="166">
        <f t="shared" ca="1" si="91"/>
        <v>46054</v>
      </c>
      <c r="EQ72" s="167">
        <f t="shared" ca="1" si="168"/>
        <v>0</v>
      </c>
      <c r="ER72" s="165">
        <f t="shared" si="169"/>
        <v>46169</v>
      </c>
      <c r="ES72" s="109">
        <f t="shared" si="170"/>
        <v>0</v>
      </c>
      <c r="ET72" s="109">
        <f t="shared" si="171"/>
        <v>0</v>
      </c>
      <c r="EU72" s="109"/>
      <c r="EV72" s="109"/>
      <c r="EW72" s="166"/>
      <c r="EX72" s="166"/>
      <c r="EY72" s="165">
        <f t="shared" si="172"/>
        <v>46200</v>
      </c>
      <c r="EZ72" s="109">
        <f t="shared" si="173"/>
        <v>0</v>
      </c>
      <c r="FA72" s="109">
        <f t="shared" si="174"/>
        <v>0</v>
      </c>
      <c r="FB72" s="109"/>
      <c r="FC72" s="109"/>
      <c r="FD72" s="166"/>
      <c r="FE72" s="166"/>
      <c r="FF72" s="165">
        <f t="shared" si="175"/>
        <v>46230</v>
      </c>
      <c r="FG72" s="109">
        <f t="shared" si="176"/>
        <v>0</v>
      </c>
      <c r="FH72" s="109">
        <f t="shared" si="177"/>
        <v>0</v>
      </c>
      <c r="FI72" s="109"/>
      <c r="FJ72" s="109"/>
      <c r="FK72" s="166"/>
      <c r="FL72" s="166"/>
      <c r="FM72" s="165">
        <f t="shared" si="178"/>
        <v>46261</v>
      </c>
      <c r="FN72" s="109">
        <f t="shared" si="179"/>
        <v>0</v>
      </c>
      <c r="FO72" s="109">
        <f t="shared" si="180"/>
        <v>0</v>
      </c>
      <c r="FP72" s="109"/>
      <c r="FQ72" s="109"/>
      <c r="FR72" s="166"/>
      <c r="FS72" s="166"/>
      <c r="FT72" s="165"/>
      <c r="FU72" s="109"/>
      <c r="FV72" s="109"/>
      <c r="FW72" s="109"/>
      <c r="FX72" s="109"/>
      <c r="FY72" s="166"/>
      <c r="FZ72" s="166"/>
      <c r="GA72" s="165"/>
      <c r="GB72" s="109"/>
      <c r="GC72" s="109"/>
      <c r="GD72" s="109"/>
      <c r="GE72" s="109"/>
      <c r="GF72" s="166"/>
      <c r="GG72" s="166"/>
      <c r="GH72" s="165"/>
      <c r="GI72" s="109"/>
      <c r="GJ72" s="109"/>
      <c r="GK72" s="109"/>
      <c r="GL72" s="109"/>
      <c r="GM72" s="166"/>
      <c r="GN72" s="166"/>
      <c r="GO72" s="165"/>
      <c r="GP72" s="109"/>
      <c r="GQ72" s="109"/>
      <c r="GR72" s="109"/>
      <c r="GS72" s="109"/>
      <c r="GT72" s="166"/>
      <c r="GU72" s="166"/>
      <c r="GV72" s="165"/>
      <c r="GW72" s="168"/>
      <c r="GX72" s="168"/>
      <c r="GY72" s="168"/>
      <c r="GZ72" s="168"/>
      <c r="HA72" s="166"/>
      <c r="HB72" s="166"/>
      <c r="HC72" s="165"/>
      <c r="HD72" s="109"/>
      <c r="HE72" s="109"/>
      <c r="HF72" s="109"/>
      <c r="HG72" s="109"/>
      <c r="HH72" s="166"/>
      <c r="HI72" s="166"/>
      <c r="HJ72" s="165"/>
      <c r="HK72" s="109"/>
      <c r="HL72" s="109"/>
      <c r="HM72" s="109"/>
      <c r="HN72" s="109"/>
      <c r="HO72" s="166"/>
      <c r="HP72" s="166"/>
      <c r="HQ72" s="165"/>
      <c r="HR72" s="109"/>
      <c r="HS72" s="109"/>
      <c r="HT72" s="109"/>
      <c r="HU72" s="109"/>
      <c r="HV72" s="166"/>
      <c r="HW72" s="166"/>
      <c r="HX72" s="105">
        <f t="shared" ref="HX72:HZ135" si="198">CO72+CV72+DC72+DJ72+DQ72+DX72+EE72+EL72+ES72+EZ72+FG72+FN72+FU72+GB72+GI72+GP72+GW72+HD72+HK72+HR72</f>
        <v>8542.3728813559319</v>
      </c>
      <c r="HY72" s="105">
        <f t="shared" si="198"/>
        <v>1537.6271186440677</v>
      </c>
      <c r="HZ72" s="105">
        <f t="shared" si="198"/>
        <v>10080</v>
      </c>
      <c r="IA72" s="105">
        <f t="shared" si="181"/>
        <v>0</v>
      </c>
      <c r="IB72" s="109">
        <f t="shared" si="182"/>
        <v>20155.966</v>
      </c>
      <c r="IC72" s="109">
        <f t="shared" si="183"/>
        <v>17081.327118644069</v>
      </c>
      <c r="ID72" s="109">
        <f t="shared" si="184"/>
        <v>0</v>
      </c>
      <c r="IE72" s="109">
        <f t="shared" ca="1" si="185"/>
        <v>8</v>
      </c>
      <c r="IF72" s="139">
        <f t="shared" si="186"/>
        <v>4.0005336690747697</v>
      </c>
      <c r="IG72" s="139">
        <f t="shared" ca="1" si="187"/>
        <v>127</v>
      </c>
      <c r="IH72" s="169">
        <f t="shared" ca="1" si="188"/>
        <v>4.2333333333333334</v>
      </c>
      <c r="II72" s="139">
        <f t="shared" ca="1" si="189"/>
        <v>0.23279966425856369</v>
      </c>
      <c r="IJ72" s="169">
        <f t="shared" ca="1" si="190"/>
        <v>6.9839899277569106</v>
      </c>
      <c r="IK72" s="169">
        <f t="shared" ca="1" si="196"/>
        <v>0.23279966425856369</v>
      </c>
      <c r="IL72" s="170">
        <f t="shared" ca="1" si="191"/>
        <v>586.57689444444566</v>
      </c>
      <c r="IM72" s="171"/>
      <c r="IN72" s="171"/>
      <c r="IO72" s="171"/>
      <c r="IP72" s="171"/>
    </row>
    <row r="73" spans="1:250" ht="15" customHeight="1" thickBot="1" x14ac:dyDescent="0.35">
      <c r="A73" s="110">
        <f t="shared" si="192"/>
        <v>69</v>
      </c>
      <c r="B73" s="111" t="s">
        <v>385</v>
      </c>
      <c r="C73" s="111" t="s">
        <v>386</v>
      </c>
      <c r="D73" s="111">
        <v>103</v>
      </c>
      <c r="E73" s="111" t="s">
        <v>881</v>
      </c>
      <c r="F73" s="111"/>
      <c r="G73" s="111" t="s">
        <v>905</v>
      </c>
      <c r="H73" s="111">
        <v>1031100005</v>
      </c>
      <c r="I73" s="146" t="str">
        <f t="shared" si="124"/>
        <v>1100005</v>
      </c>
      <c r="J73" s="145" t="str">
        <f t="shared" si="125"/>
        <v>NG1100005</v>
      </c>
      <c r="K73" s="111" t="s">
        <v>906</v>
      </c>
      <c r="L73" s="111" t="s">
        <v>287</v>
      </c>
      <c r="M73" s="111" t="s">
        <v>907</v>
      </c>
      <c r="N73" s="111" t="s">
        <v>138</v>
      </c>
      <c r="O73" s="111"/>
      <c r="P73" s="111" t="s">
        <v>908</v>
      </c>
      <c r="Q73" s="148">
        <v>34217</v>
      </c>
      <c r="R73" s="111" t="s">
        <v>170</v>
      </c>
      <c r="S73" s="111">
        <f t="shared" ca="1" si="197"/>
        <v>32</v>
      </c>
      <c r="T73" s="111" t="s">
        <v>909</v>
      </c>
      <c r="U73" s="111" t="s">
        <v>910</v>
      </c>
      <c r="V73" s="181">
        <v>778099561</v>
      </c>
      <c r="W73" s="111"/>
      <c r="X73" s="111" t="s">
        <v>181</v>
      </c>
      <c r="Y73" s="111">
        <v>11</v>
      </c>
      <c r="Z73" s="111" t="s">
        <v>911</v>
      </c>
      <c r="AA73" s="111" t="s">
        <v>912</v>
      </c>
      <c r="AB73" s="111" t="s">
        <v>913</v>
      </c>
      <c r="AC73" s="111" t="s">
        <v>146</v>
      </c>
      <c r="AD73" s="111" t="s">
        <v>147</v>
      </c>
      <c r="AE73" s="173" t="s">
        <v>136</v>
      </c>
      <c r="AF73" s="173" t="s">
        <v>136</v>
      </c>
      <c r="AG73" s="174">
        <v>45888</v>
      </c>
      <c r="AH73" s="175">
        <v>60000</v>
      </c>
      <c r="AI73" s="111">
        <v>12</v>
      </c>
      <c r="AJ73" s="111">
        <v>0</v>
      </c>
      <c r="AK73" s="150">
        <f t="shared" si="193"/>
        <v>12</v>
      </c>
      <c r="AL73" s="177">
        <v>60000</v>
      </c>
      <c r="AM73" s="176">
        <v>0.16</v>
      </c>
      <c r="AN73" s="177">
        <f t="shared" si="92"/>
        <v>9600</v>
      </c>
      <c r="AO73" s="157">
        <f t="shared" si="96"/>
        <v>69600</v>
      </c>
      <c r="AP73" s="158">
        <f t="shared" si="126"/>
        <v>5800</v>
      </c>
      <c r="AQ73" s="111" t="s">
        <v>136</v>
      </c>
      <c r="AR73" s="111" t="s">
        <v>385</v>
      </c>
      <c r="AS73" s="111" t="s">
        <v>910</v>
      </c>
      <c r="AT73" s="111" t="s">
        <v>396</v>
      </c>
      <c r="AU73" s="111" t="s">
        <v>909</v>
      </c>
      <c r="AV73" s="111">
        <v>4</v>
      </c>
      <c r="AW73" s="111" t="s">
        <v>136</v>
      </c>
      <c r="AX73" s="111" t="s">
        <v>136</v>
      </c>
      <c r="AY73" s="111" t="s">
        <v>136</v>
      </c>
      <c r="AZ73" s="111" t="s">
        <v>136</v>
      </c>
      <c r="BA73" s="111" t="s">
        <v>136</v>
      </c>
      <c r="BB73" s="111" t="s">
        <v>136</v>
      </c>
      <c r="BC73" s="111" t="s">
        <v>136</v>
      </c>
      <c r="BD73" s="111" t="s">
        <v>136</v>
      </c>
      <c r="BE73" s="111" t="s">
        <v>136</v>
      </c>
      <c r="BF73" s="111" t="s">
        <v>136</v>
      </c>
      <c r="BG73" s="111" t="s">
        <v>136</v>
      </c>
      <c r="BH73" s="111" t="s">
        <v>136</v>
      </c>
      <c r="BI73" s="111" t="s">
        <v>136</v>
      </c>
      <c r="BJ73" s="111" t="s">
        <v>136</v>
      </c>
      <c r="BK73" s="111" t="s">
        <v>136</v>
      </c>
      <c r="BL73" s="111" t="s">
        <v>136</v>
      </c>
      <c r="BM73" s="111" t="s">
        <v>136</v>
      </c>
      <c r="BN73" s="111" t="s">
        <v>136</v>
      </c>
      <c r="BO73" s="111" t="s">
        <v>136</v>
      </c>
      <c r="BP73" s="111" t="s">
        <v>914</v>
      </c>
      <c r="BQ73" s="111" t="s">
        <v>287</v>
      </c>
      <c r="BR73" s="111" t="s">
        <v>915</v>
      </c>
      <c r="BS73" s="111" t="s">
        <v>916</v>
      </c>
      <c r="BT73" s="182" t="s">
        <v>917</v>
      </c>
      <c r="BU73" s="111" t="s">
        <v>909</v>
      </c>
      <c r="BV73" s="111" t="s">
        <v>910</v>
      </c>
      <c r="BW73" s="111"/>
      <c r="BX73" s="111"/>
      <c r="BY73" s="111"/>
      <c r="BZ73" s="111"/>
      <c r="CA73" s="111"/>
      <c r="CB73" s="111"/>
      <c r="CC73" s="178"/>
      <c r="CD73" s="177">
        <f t="shared" si="127"/>
        <v>60000</v>
      </c>
      <c r="CE73" s="148">
        <v>45988</v>
      </c>
      <c r="CF73" s="111">
        <f t="shared" si="128"/>
        <v>12</v>
      </c>
      <c r="CG73" s="177">
        <f t="shared" si="129"/>
        <v>69600</v>
      </c>
      <c r="CH73" s="203">
        <f t="shared" si="95"/>
        <v>0</v>
      </c>
      <c r="CI73" s="148">
        <v>45988</v>
      </c>
      <c r="CJ73" s="161">
        <f t="shared" si="194"/>
        <v>46018</v>
      </c>
      <c r="CK73" s="162">
        <f t="shared" si="195"/>
        <v>46353</v>
      </c>
      <c r="CL73" s="183"/>
      <c r="CM73" s="164">
        <f t="shared" ca="1" si="130"/>
        <v>46054</v>
      </c>
      <c r="CN73" s="165">
        <f t="shared" si="131"/>
        <v>46018</v>
      </c>
      <c r="CO73" s="109">
        <f t="shared" si="132"/>
        <v>5000</v>
      </c>
      <c r="CP73" s="109">
        <f t="shared" si="133"/>
        <v>800</v>
      </c>
      <c r="CQ73" s="109">
        <v>5800</v>
      </c>
      <c r="CR73" s="109">
        <f t="shared" si="134"/>
        <v>0</v>
      </c>
      <c r="CS73" s="166">
        <v>46019</v>
      </c>
      <c r="CT73" s="167">
        <f t="shared" si="135"/>
        <v>1</v>
      </c>
      <c r="CU73" s="165">
        <f t="shared" si="136"/>
        <v>46049</v>
      </c>
      <c r="CV73" s="109">
        <f t="shared" si="137"/>
        <v>0</v>
      </c>
      <c r="CW73" s="109">
        <f t="shared" si="138"/>
        <v>0</v>
      </c>
      <c r="CX73" s="109"/>
      <c r="CY73" s="109">
        <f t="shared" si="139"/>
        <v>0</v>
      </c>
      <c r="CZ73" s="166">
        <f ca="1">TODAY()</f>
        <v>46054</v>
      </c>
      <c r="DA73" s="167">
        <f t="shared" ca="1" si="140"/>
        <v>5</v>
      </c>
      <c r="DB73" s="165">
        <f t="shared" si="141"/>
        <v>46080</v>
      </c>
      <c r="DC73" s="109">
        <f t="shared" si="142"/>
        <v>0</v>
      </c>
      <c r="DD73" s="109">
        <f t="shared" si="143"/>
        <v>0</v>
      </c>
      <c r="DE73" s="109"/>
      <c r="DF73" s="109">
        <f t="shared" si="144"/>
        <v>0</v>
      </c>
      <c r="DG73" s="166">
        <f t="shared" ref="DG73:DG81" ca="1" si="199">TODAY()</f>
        <v>46054</v>
      </c>
      <c r="DH73" s="167">
        <f t="shared" ca="1" si="145"/>
        <v>0</v>
      </c>
      <c r="DI73" s="165">
        <f t="shared" si="146"/>
        <v>46108</v>
      </c>
      <c r="DJ73" s="109">
        <f t="shared" si="147"/>
        <v>0</v>
      </c>
      <c r="DK73" s="109">
        <f t="shared" si="148"/>
        <v>0</v>
      </c>
      <c r="DL73" s="109">
        <v>0</v>
      </c>
      <c r="DM73" s="109">
        <f t="shared" si="149"/>
        <v>0</v>
      </c>
      <c r="DN73" s="166">
        <f t="shared" ref="DN73:DN81" ca="1" si="200">TODAY()</f>
        <v>46054</v>
      </c>
      <c r="DO73" s="167">
        <f t="shared" ca="1" si="150"/>
        <v>0</v>
      </c>
      <c r="DP73" s="165">
        <f t="shared" si="93"/>
        <v>46139</v>
      </c>
      <c r="DQ73" s="109">
        <f t="shared" si="151"/>
        <v>0</v>
      </c>
      <c r="DR73" s="109">
        <f t="shared" si="94"/>
        <v>0</v>
      </c>
      <c r="DS73" s="109"/>
      <c r="DT73" s="109">
        <f t="shared" si="152"/>
        <v>0</v>
      </c>
      <c r="DU73" s="166">
        <f t="shared" ca="1" si="88"/>
        <v>46054</v>
      </c>
      <c r="DV73" s="167">
        <f t="shared" ca="1" si="153"/>
        <v>0</v>
      </c>
      <c r="DW73" s="165">
        <f t="shared" si="154"/>
        <v>46169</v>
      </c>
      <c r="DX73" s="109">
        <f t="shared" si="155"/>
        <v>0</v>
      </c>
      <c r="DY73" s="109">
        <f t="shared" si="156"/>
        <v>0</v>
      </c>
      <c r="DZ73" s="109"/>
      <c r="EA73" s="109">
        <f t="shared" si="157"/>
        <v>0</v>
      </c>
      <c r="EB73" s="166">
        <f t="shared" ca="1" si="89"/>
        <v>46054</v>
      </c>
      <c r="EC73" s="167">
        <f t="shared" ca="1" si="158"/>
        <v>0</v>
      </c>
      <c r="ED73" s="165">
        <f t="shared" si="159"/>
        <v>46200</v>
      </c>
      <c r="EE73" s="109">
        <f t="shared" si="160"/>
        <v>0</v>
      </c>
      <c r="EF73" s="109">
        <f t="shared" si="161"/>
        <v>0</v>
      </c>
      <c r="EG73" s="109"/>
      <c r="EH73" s="109">
        <f t="shared" si="162"/>
        <v>0</v>
      </c>
      <c r="EI73" s="166">
        <f t="shared" ca="1" si="90"/>
        <v>46054</v>
      </c>
      <c r="EJ73" s="167">
        <f t="shared" ca="1" si="163"/>
        <v>0</v>
      </c>
      <c r="EK73" s="165">
        <f t="shared" si="164"/>
        <v>46230</v>
      </c>
      <c r="EL73" s="109">
        <f t="shared" si="165"/>
        <v>0</v>
      </c>
      <c r="EM73" s="109">
        <f t="shared" si="166"/>
        <v>0</v>
      </c>
      <c r="EN73" s="109"/>
      <c r="EO73" s="109">
        <f t="shared" si="167"/>
        <v>0</v>
      </c>
      <c r="EP73" s="166">
        <f t="shared" ca="1" si="91"/>
        <v>46054</v>
      </c>
      <c r="EQ73" s="167">
        <f t="shared" ca="1" si="168"/>
        <v>0</v>
      </c>
      <c r="ER73" s="165">
        <f t="shared" si="169"/>
        <v>46261</v>
      </c>
      <c r="ES73" s="109">
        <f t="shared" si="170"/>
        <v>0</v>
      </c>
      <c r="ET73" s="109">
        <f t="shared" si="171"/>
        <v>0</v>
      </c>
      <c r="EU73" s="109"/>
      <c r="EV73" s="109"/>
      <c r="EW73" s="166"/>
      <c r="EX73" s="166"/>
      <c r="EY73" s="165">
        <f t="shared" si="172"/>
        <v>46292</v>
      </c>
      <c r="EZ73" s="109">
        <f t="shared" si="173"/>
        <v>0</v>
      </c>
      <c r="FA73" s="109">
        <f t="shared" si="174"/>
        <v>0</v>
      </c>
      <c r="FB73" s="109"/>
      <c r="FC73" s="109"/>
      <c r="FD73" s="166"/>
      <c r="FE73" s="166"/>
      <c r="FF73" s="165">
        <f t="shared" si="175"/>
        <v>46322</v>
      </c>
      <c r="FG73" s="109">
        <f t="shared" si="176"/>
        <v>0</v>
      </c>
      <c r="FH73" s="109">
        <f t="shared" si="177"/>
        <v>0</v>
      </c>
      <c r="FI73" s="109"/>
      <c r="FJ73" s="109"/>
      <c r="FK73" s="166"/>
      <c r="FL73" s="166"/>
      <c r="FM73" s="165">
        <f t="shared" si="178"/>
        <v>46353</v>
      </c>
      <c r="FN73" s="109">
        <f t="shared" si="179"/>
        <v>0</v>
      </c>
      <c r="FO73" s="109">
        <f t="shared" si="180"/>
        <v>0</v>
      </c>
      <c r="FP73" s="109"/>
      <c r="FQ73" s="109"/>
      <c r="FR73" s="166"/>
      <c r="FS73" s="166"/>
      <c r="FT73" s="165"/>
      <c r="FU73" s="109"/>
      <c r="FV73" s="109"/>
      <c r="FW73" s="109"/>
      <c r="FX73" s="109"/>
      <c r="FY73" s="166"/>
      <c r="FZ73" s="166"/>
      <c r="GA73" s="165"/>
      <c r="GB73" s="109"/>
      <c r="GC73" s="109"/>
      <c r="GD73" s="109"/>
      <c r="GE73" s="109"/>
      <c r="GF73" s="166"/>
      <c r="GG73" s="166"/>
      <c r="GH73" s="165"/>
      <c r="GI73" s="109"/>
      <c r="GJ73" s="109"/>
      <c r="GK73" s="109"/>
      <c r="GL73" s="109"/>
      <c r="GM73" s="166"/>
      <c r="GN73" s="166"/>
      <c r="GO73" s="165"/>
      <c r="GP73" s="109"/>
      <c r="GQ73" s="109"/>
      <c r="GR73" s="109"/>
      <c r="GS73" s="109"/>
      <c r="GT73" s="166"/>
      <c r="GU73" s="166"/>
      <c r="GV73" s="165"/>
      <c r="GW73" s="168"/>
      <c r="GX73" s="168"/>
      <c r="GY73" s="168"/>
      <c r="GZ73" s="168"/>
      <c r="HA73" s="166"/>
      <c r="HB73" s="166"/>
      <c r="HC73" s="165"/>
      <c r="HD73" s="109"/>
      <c r="HE73" s="109"/>
      <c r="HF73" s="109"/>
      <c r="HG73" s="109"/>
      <c r="HH73" s="166"/>
      <c r="HI73" s="166"/>
      <c r="HJ73" s="165"/>
      <c r="HK73" s="109"/>
      <c r="HL73" s="109"/>
      <c r="HM73" s="109"/>
      <c r="HN73" s="109"/>
      <c r="HO73" s="166"/>
      <c r="HP73" s="166"/>
      <c r="HQ73" s="165"/>
      <c r="HR73" s="109"/>
      <c r="HS73" s="109"/>
      <c r="HT73" s="109"/>
      <c r="HU73" s="109"/>
      <c r="HV73" s="166"/>
      <c r="HW73" s="166"/>
      <c r="HX73" s="105">
        <f t="shared" si="198"/>
        <v>5000</v>
      </c>
      <c r="HY73" s="105">
        <f t="shared" si="198"/>
        <v>800</v>
      </c>
      <c r="HZ73" s="105">
        <f t="shared" si="198"/>
        <v>5800</v>
      </c>
      <c r="IA73" s="105">
        <f t="shared" si="181"/>
        <v>0</v>
      </c>
      <c r="IB73" s="109">
        <f t="shared" si="182"/>
        <v>63800</v>
      </c>
      <c r="IC73" s="109">
        <f t="shared" si="183"/>
        <v>55000</v>
      </c>
      <c r="ID73" s="109">
        <f t="shared" si="184"/>
        <v>0</v>
      </c>
      <c r="IE73" s="109">
        <f t="shared" ca="1" si="185"/>
        <v>6</v>
      </c>
      <c r="IF73" s="139">
        <f t="shared" si="186"/>
        <v>1</v>
      </c>
      <c r="IG73" s="139">
        <f t="shared" ca="1" si="187"/>
        <v>36</v>
      </c>
      <c r="IH73" s="169">
        <f t="shared" ca="1" si="188"/>
        <v>1.2</v>
      </c>
      <c r="II73" s="139">
        <f t="shared" ca="1" si="189"/>
        <v>0.19999999999999996</v>
      </c>
      <c r="IJ73" s="169">
        <f t="shared" ca="1" si="190"/>
        <v>5.9999999999999982</v>
      </c>
      <c r="IK73" s="169">
        <f t="shared" ca="1" si="196"/>
        <v>0.19999999999999996</v>
      </c>
      <c r="IL73" s="170">
        <f t="shared" ca="1" si="191"/>
        <v>1159.9999999999998</v>
      </c>
      <c r="IM73" s="171"/>
      <c r="IN73" s="171"/>
      <c r="IO73" s="171"/>
      <c r="IP73" s="171"/>
    </row>
    <row r="74" spans="1:250" ht="15" customHeight="1" thickBot="1" x14ac:dyDescent="0.35">
      <c r="A74" s="110">
        <f t="shared" si="192"/>
        <v>70</v>
      </c>
      <c r="B74" s="111" t="s">
        <v>385</v>
      </c>
      <c r="C74" s="111" t="s">
        <v>386</v>
      </c>
      <c r="D74" s="111">
        <v>103</v>
      </c>
      <c r="E74" s="111" t="s">
        <v>881</v>
      </c>
      <c r="F74" s="111"/>
      <c r="G74" s="111" t="s">
        <v>918</v>
      </c>
      <c r="H74" s="111">
        <v>1031100006</v>
      </c>
      <c r="I74" s="146" t="str">
        <f t="shared" si="124"/>
        <v>1100006</v>
      </c>
      <c r="J74" s="145" t="str">
        <f t="shared" si="125"/>
        <v>NG1100006</v>
      </c>
      <c r="K74" s="111" t="s">
        <v>919</v>
      </c>
      <c r="L74" s="111" t="s">
        <v>287</v>
      </c>
      <c r="M74" s="111" t="s">
        <v>920</v>
      </c>
      <c r="N74" s="111" t="s">
        <v>138</v>
      </c>
      <c r="O74" s="111"/>
      <c r="P74" s="111" t="s">
        <v>921</v>
      </c>
      <c r="Q74" s="148">
        <v>34780</v>
      </c>
      <c r="R74" s="111" t="s">
        <v>170</v>
      </c>
      <c r="S74" s="111">
        <f t="shared" ca="1" si="197"/>
        <v>30</v>
      </c>
      <c r="T74" s="111" t="s">
        <v>922</v>
      </c>
      <c r="U74" s="111" t="s">
        <v>745</v>
      </c>
      <c r="V74" s="181">
        <v>786546042</v>
      </c>
      <c r="W74" s="111"/>
      <c r="X74" s="111" t="s">
        <v>181</v>
      </c>
      <c r="Y74" s="111">
        <v>11</v>
      </c>
      <c r="Z74" s="111" t="s">
        <v>923</v>
      </c>
      <c r="AA74" s="111" t="s">
        <v>924</v>
      </c>
      <c r="AB74" s="111" t="s">
        <v>811</v>
      </c>
      <c r="AC74" s="111" t="s">
        <v>146</v>
      </c>
      <c r="AD74" s="111" t="s">
        <v>147</v>
      </c>
      <c r="AE74" s="173" t="s">
        <v>136</v>
      </c>
      <c r="AF74" s="173" t="s">
        <v>136</v>
      </c>
      <c r="AG74" s="174">
        <v>45878</v>
      </c>
      <c r="AH74" s="175">
        <v>80000</v>
      </c>
      <c r="AI74" s="111">
        <v>12</v>
      </c>
      <c r="AJ74" s="111">
        <v>0</v>
      </c>
      <c r="AK74" s="150">
        <f t="shared" si="193"/>
        <v>12</v>
      </c>
      <c r="AL74" s="177">
        <v>80000</v>
      </c>
      <c r="AM74" s="176">
        <v>0.16</v>
      </c>
      <c r="AN74" s="177">
        <f t="shared" si="92"/>
        <v>12800</v>
      </c>
      <c r="AO74" s="157">
        <f t="shared" si="96"/>
        <v>92800</v>
      </c>
      <c r="AP74" s="158">
        <f t="shared" si="126"/>
        <v>7733.333333333333</v>
      </c>
      <c r="AQ74" s="111" t="s">
        <v>136</v>
      </c>
      <c r="AR74" s="111" t="s">
        <v>385</v>
      </c>
      <c r="AS74" s="111" t="s">
        <v>745</v>
      </c>
      <c r="AT74" s="111" t="s">
        <v>925</v>
      </c>
      <c r="AU74" s="111" t="s">
        <v>926</v>
      </c>
      <c r="AV74" s="111">
        <v>3</v>
      </c>
      <c r="AW74" s="111" t="s">
        <v>136</v>
      </c>
      <c r="AX74" s="111" t="s">
        <v>136</v>
      </c>
      <c r="AY74" s="111" t="s">
        <v>136</v>
      </c>
      <c r="AZ74" s="111" t="s">
        <v>136</v>
      </c>
      <c r="BA74" s="111" t="s">
        <v>136</v>
      </c>
      <c r="BB74" s="111" t="s">
        <v>136</v>
      </c>
      <c r="BC74" s="111" t="s">
        <v>136</v>
      </c>
      <c r="BD74" s="111" t="s">
        <v>136</v>
      </c>
      <c r="BE74" s="111" t="s">
        <v>136</v>
      </c>
      <c r="BF74" s="111" t="s">
        <v>136</v>
      </c>
      <c r="BG74" s="111" t="s">
        <v>136</v>
      </c>
      <c r="BH74" s="111" t="s">
        <v>136</v>
      </c>
      <c r="BI74" s="111" t="s">
        <v>136</v>
      </c>
      <c r="BJ74" s="111" t="s">
        <v>136</v>
      </c>
      <c r="BK74" s="111" t="s">
        <v>136</v>
      </c>
      <c r="BL74" s="111" t="s">
        <v>136</v>
      </c>
      <c r="BM74" s="111" t="s">
        <v>136</v>
      </c>
      <c r="BN74" s="111" t="s">
        <v>136</v>
      </c>
      <c r="BO74" s="111" t="s">
        <v>136</v>
      </c>
      <c r="BP74" s="111" t="s">
        <v>927</v>
      </c>
      <c r="BQ74" s="111" t="s">
        <v>291</v>
      </c>
      <c r="BR74" s="111" t="s">
        <v>928</v>
      </c>
      <c r="BS74" s="111" t="s">
        <v>929</v>
      </c>
      <c r="BT74" s="182" t="s">
        <v>930</v>
      </c>
      <c r="BU74" s="111" t="s">
        <v>922</v>
      </c>
      <c r="BV74" s="111" t="s">
        <v>745</v>
      </c>
      <c r="BW74" s="111"/>
      <c r="BX74" s="111"/>
      <c r="BY74" s="111"/>
      <c r="BZ74" s="111"/>
      <c r="CA74" s="111"/>
      <c r="CB74" s="111"/>
      <c r="CC74" s="178"/>
      <c r="CD74" s="177">
        <f t="shared" si="127"/>
        <v>80000</v>
      </c>
      <c r="CE74" s="148">
        <v>45988</v>
      </c>
      <c r="CF74" s="111">
        <f t="shared" si="128"/>
        <v>12</v>
      </c>
      <c r="CG74" s="177">
        <f t="shared" si="129"/>
        <v>92800</v>
      </c>
      <c r="CH74" s="203">
        <f t="shared" si="95"/>
        <v>0</v>
      </c>
      <c r="CI74" s="148">
        <v>45988</v>
      </c>
      <c r="CJ74" s="161">
        <f t="shared" si="194"/>
        <v>46018</v>
      </c>
      <c r="CK74" s="162">
        <f t="shared" si="195"/>
        <v>46353</v>
      </c>
      <c r="CL74" s="183"/>
      <c r="CM74" s="164">
        <f t="shared" ca="1" si="130"/>
        <v>46054</v>
      </c>
      <c r="CN74" s="165">
        <f t="shared" si="131"/>
        <v>46018</v>
      </c>
      <c r="CO74" s="109">
        <f t="shared" si="132"/>
        <v>6666.3793103448279</v>
      </c>
      <c r="CP74" s="109">
        <f t="shared" si="133"/>
        <v>1066.6206896551726</v>
      </c>
      <c r="CQ74" s="109">
        <v>7733</v>
      </c>
      <c r="CR74" s="109">
        <f t="shared" si="134"/>
        <v>-0.33333333333303017</v>
      </c>
      <c r="CS74" s="166">
        <v>46028</v>
      </c>
      <c r="CT74" s="167">
        <f t="shared" si="135"/>
        <v>10</v>
      </c>
      <c r="CU74" s="165">
        <f t="shared" si="136"/>
        <v>46049</v>
      </c>
      <c r="CV74" s="109">
        <f t="shared" si="137"/>
        <v>6666.3793103448279</v>
      </c>
      <c r="CW74" s="109">
        <f t="shared" si="138"/>
        <v>1066.6206896551726</v>
      </c>
      <c r="CX74" s="109">
        <v>7733</v>
      </c>
      <c r="CY74" s="109">
        <f t="shared" si="139"/>
        <v>-0.33333333333303017</v>
      </c>
      <c r="CZ74" s="166">
        <v>46028</v>
      </c>
      <c r="DA74" s="167">
        <f t="shared" si="140"/>
        <v>0</v>
      </c>
      <c r="DB74" s="165">
        <f t="shared" si="141"/>
        <v>46080</v>
      </c>
      <c r="DC74" s="109">
        <f t="shared" si="142"/>
        <v>0</v>
      </c>
      <c r="DD74" s="109">
        <f t="shared" si="143"/>
        <v>0</v>
      </c>
      <c r="DE74" s="109"/>
      <c r="DF74" s="109">
        <f t="shared" si="144"/>
        <v>0</v>
      </c>
      <c r="DG74" s="166">
        <f t="shared" ca="1" si="199"/>
        <v>46054</v>
      </c>
      <c r="DH74" s="167">
        <f t="shared" ca="1" si="145"/>
        <v>0</v>
      </c>
      <c r="DI74" s="165">
        <f t="shared" si="146"/>
        <v>46108</v>
      </c>
      <c r="DJ74" s="109">
        <f t="shared" si="147"/>
        <v>0</v>
      </c>
      <c r="DK74" s="109">
        <f t="shared" si="148"/>
        <v>0</v>
      </c>
      <c r="DL74" s="109">
        <v>0</v>
      </c>
      <c r="DM74" s="109">
        <f t="shared" si="149"/>
        <v>0</v>
      </c>
      <c r="DN74" s="166">
        <f t="shared" ca="1" si="200"/>
        <v>46054</v>
      </c>
      <c r="DO74" s="167">
        <f t="shared" ca="1" si="150"/>
        <v>0</v>
      </c>
      <c r="DP74" s="165">
        <f t="shared" si="93"/>
        <v>46139</v>
      </c>
      <c r="DQ74" s="109">
        <f t="shared" si="151"/>
        <v>0</v>
      </c>
      <c r="DR74" s="109">
        <f t="shared" si="94"/>
        <v>0</v>
      </c>
      <c r="DS74" s="109"/>
      <c r="DT74" s="109">
        <f t="shared" si="152"/>
        <v>0</v>
      </c>
      <c r="DU74" s="166">
        <f t="shared" ref="DU74:DU86" ca="1" si="201">TODAY()</f>
        <v>46054</v>
      </c>
      <c r="DV74" s="167">
        <f t="shared" ca="1" si="153"/>
        <v>0</v>
      </c>
      <c r="DW74" s="165">
        <f t="shared" si="154"/>
        <v>46169</v>
      </c>
      <c r="DX74" s="109">
        <f t="shared" si="155"/>
        <v>0</v>
      </c>
      <c r="DY74" s="109">
        <f t="shared" si="156"/>
        <v>0</v>
      </c>
      <c r="DZ74" s="109"/>
      <c r="EA74" s="109">
        <f t="shared" si="157"/>
        <v>0</v>
      </c>
      <c r="EB74" s="166">
        <f t="shared" ref="EB74:EB86" ca="1" si="202">TODAY()</f>
        <v>46054</v>
      </c>
      <c r="EC74" s="167">
        <f t="shared" ca="1" si="158"/>
        <v>0</v>
      </c>
      <c r="ED74" s="165">
        <f t="shared" si="159"/>
        <v>46200</v>
      </c>
      <c r="EE74" s="109">
        <f t="shared" si="160"/>
        <v>0</v>
      </c>
      <c r="EF74" s="109">
        <f t="shared" si="161"/>
        <v>0</v>
      </c>
      <c r="EG74" s="109"/>
      <c r="EH74" s="109">
        <f t="shared" si="162"/>
        <v>0</v>
      </c>
      <c r="EI74" s="166">
        <f t="shared" ref="EI74:EI86" ca="1" si="203">TODAY()</f>
        <v>46054</v>
      </c>
      <c r="EJ74" s="167">
        <f t="shared" ca="1" si="163"/>
        <v>0</v>
      </c>
      <c r="EK74" s="165">
        <f t="shared" si="164"/>
        <v>46230</v>
      </c>
      <c r="EL74" s="109">
        <f t="shared" si="165"/>
        <v>0</v>
      </c>
      <c r="EM74" s="109">
        <f t="shared" si="166"/>
        <v>0</v>
      </c>
      <c r="EN74" s="109"/>
      <c r="EO74" s="109">
        <f t="shared" si="167"/>
        <v>0</v>
      </c>
      <c r="EP74" s="166">
        <f t="shared" ref="EP74:EP86" ca="1" si="204">TODAY()</f>
        <v>46054</v>
      </c>
      <c r="EQ74" s="167">
        <f t="shared" ca="1" si="168"/>
        <v>0</v>
      </c>
      <c r="ER74" s="165">
        <f t="shared" si="169"/>
        <v>46261</v>
      </c>
      <c r="ES74" s="109">
        <f t="shared" si="170"/>
        <v>0</v>
      </c>
      <c r="ET74" s="109">
        <f t="shared" si="171"/>
        <v>0</v>
      </c>
      <c r="EU74" s="109"/>
      <c r="EV74" s="109"/>
      <c r="EW74" s="166"/>
      <c r="EX74" s="166"/>
      <c r="EY74" s="165">
        <f t="shared" si="172"/>
        <v>46292</v>
      </c>
      <c r="EZ74" s="109">
        <f t="shared" si="173"/>
        <v>0</v>
      </c>
      <c r="FA74" s="109">
        <f t="shared" si="174"/>
        <v>0</v>
      </c>
      <c r="FB74" s="109"/>
      <c r="FC74" s="109"/>
      <c r="FD74" s="166"/>
      <c r="FE74" s="166"/>
      <c r="FF74" s="165">
        <f t="shared" si="175"/>
        <v>46322</v>
      </c>
      <c r="FG74" s="109">
        <f t="shared" si="176"/>
        <v>0</v>
      </c>
      <c r="FH74" s="109">
        <f t="shared" si="177"/>
        <v>0</v>
      </c>
      <c r="FI74" s="109"/>
      <c r="FJ74" s="109"/>
      <c r="FK74" s="166"/>
      <c r="FL74" s="166"/>
      <c r="FM74" s="165">
        <f t="shared" si="178"/>
        <v>46353</v>
      </c>
      <c r="FN74" s="109">
        <f t="shared" si="179"/>
        <v>0</v>
      </c>
      <c r="FO74" s="109">
        <f t="shared" si="180"/>
        <v>0</v>
      </c>
      <c r="FP74" s="109"/>
      <c r="FQ74" s="109"/>
      <c r="FR74" s="166"/>
      <c r="FS74" s="166"/>
      <c r="FT74" s="165"/>
      <c r="FU74" s="109"/>
      <c r="FV74" s="109"/>
      <c r="FW74" s="109"/>
      <c r="FX74" s="109"/>
      <c r="FY74" s="166"/>
      <c r="FZ74" s="166"/>
      <c r="GA74" s="165"/>
      <c r="GB74" s="109"/>
      <c r="GC74" s="109"/>
      <c r="GD74" s="109"/>
      <c r="GE74" s="109"/>
      <c r="GF74" s="166"/>
      <c r="GG74" s="166"/>
      <c r="GH74" s="165"/>
      <c r="GI74" s="109"/>
      <c r="GJ74" s="109"/>
      <c r="GK74" s="109"/>
      <c r="GL74" s="109"/>
      <c r="GM74" s="166"/>
      <c r="GN74" s="166"/>
      <c r="GO74" s="165"/>
      <c r="GP74" s="109"/>
      <c r="GQ74" s="109"/>
      <c r="GR74" s="109"/>
      <c r="GS74" s="109"/>
      <c r="GT74" s="166"/>
      <c r="GU74" s="166"/>
      <c r="GV74" s="165"/>
      <c r="GW74" s="168"/>
      <c r="GX74" s="168"/>
      <c r="GY74" s="168"/>
      <c r="GZ74" s="168"/>
      <c r="HA74" s="166"/>
      <c r="HB74" s="166"/>
      <c r="HC74" s="165"/>
      <c r="HD74" s="109"/>
      <c r="HE74" s="109"/>
      <c r="HF74" s="109"/>
      <c r="HG74" s="109"/>
      <c r="HH74" s="166"/>
      <c r="HI74" s="166"/>
      <c r="HJ74" s="165"/>
      <c r="HK74" s="109"/>
      <c r="HL74" s="109"/>
      <c r="HM74" s="109"/>
      <c r="HN74" s="109"/>
      <c r="HO74" s="166"/>
      <c r="HP74" s="166"/>
      <c r="HQ74" s="165"/>
      <c r="HR74" s="109"/>
      <c r="HS74" s="109"/>
      <c r="HT74" s="109"/>
      <c r="HU74" s="109"/>
      <c r="HV74" s="166"/>
      <c r="HW74" s="166"/>
      <c r="HX74" s="105">
        <f t="shared" si="198"/>
        <v>13332.758620689656</v>
      </c>
      <c r="HY74" s="105">
        <f t="shared" si="198"/>
        <v>2133.2413793103451</v>
      </c>
      <c r="HZ74" s="105">
        <f t="shared" si="198"/>
        <v>15466</v>
      </c>
      <c r="IA74" s="105">
        <f t="shared" si="181"/>
        <v>0</v>
      </c>
      <c r="IB74" s="109">
        <f t="shared" si="182"/>
        <v>77334</v>
      </c>
      <c r="IC74" s="109">
        <f t="shared" si="183"/>
        <v>66667.241379310348</v>
      </c>
      <c r="ID74" s="109">
        <f t="shared" si="184"/>
        <v>0</v>
      </c>
      <c r="IE74" s="109">
        <f t="shared" ca="1" si="185"/>
        <v>10</v>
      </c>
      <c r="IF74" s="139">
        <f t="shared" si="186"/>
        <v>1.9999137931034483</v>
      </c>
      <c r="IG74" s="139">
        <f t="shared" ca="1" si="187"/>
        <v>36</v>
      </c>
      <c r="IH74" s="169">
        <f t="shared" ca="1" si="188"/>
        <v>1.2</v>
      </c>
      <c r="II74" s="139">
        <f t="shared" ca="1" si="189"/>
        <v>-0.79991379310344835</v>
      </c>
      <c r="IJ74" s="169">
        <f t="shared" ca="1" si="190"/>
        <v>0</v>
      </c>
      <c r="IK74" s="169">
        <f t="shared" ca="1" si="196"/>
        <v>-0.79991379310344835</v>
      </c>
      <c r="IL74" s="170">
        <f t="shared" ca="1" si="191"/>
        <v>-6186</v>
      </c>
      <c r="IM74" s="171"/>
      <c r="IN74" s="171"/>
      <c r="IO74" s="171"/>
      <c r="IP74" s="171"/>
    </row>
    <row r="75" spans="1:250" ht="15" customHeight="1" thickBot="1" x14ac:dyDescent="0.35">
      <c r="A75" s="110">
        <f t="shared" si="192"/>
        <v>71</v>
      </c>
      <c r="B75" s="111" t="s">
        <v>385</v>
      </c>
      <c r="C75" s="111" t="s">
        <v>386</v>
      </c>
      <c r="D75" s="111">
        <v>103</v>
      </c>
      <c r="E75" s="111" t="s">
        <v>881</v>
      </c>
      <c r="F75" s="111"/>
      <c r="G75" s="111" t="s">
        <v>931</v>
      </c>
      <c r="H75" s="111">
        <v>1031100007</v>
      </c>
      <c r="I75" s="146" t="str">
        <f t="shared" si="124"/>
        <v>1100007</v>
      </c>
      <c r="J75" s="145" t="str">
        <f t="shared" si="125"/>
        <v>NG1100007</v>
      </c>
      <c r="K75" s="111" t="s">
        <v>932</v>
      </c>
      <c r="L75" s="111" t="s">
        <v>412</v>
      </c>
      <c r="M75" s="111" t="s">
        <v>933</v>
      </c>
      <c r="N75" s="111" t="s">
        <v>138</v>
      </c>
      <c r="O75" s="111"/>
      <c r="P75" s="111" t="s">
        <v>934</v>
      </c>
      <c r="Q75" s="148">
        <v>33572</v>
      </c>
      <c r="R75" s="111" t="s">
        <v>935</v>
      </c>
      <c r="S75" s="111">
        <f t="shared" ca="1" si="197"/>
        <v>34</v>
      </c>
      <c r="T75" s="111" t="s">
        <v>936</v>
      </c>
      <c r="U75" s="111" t="s">
        <v>937</v>
      </c>
      <c r="V75" s="181">
        <v>708425433</v>
      </c>
      <c r="W75" s="111"/>
      <c r="X75" s="111" t="s">
        <v>181</v>
      </c>
      <c r="Y75" s="111">
        <v>11</v>
      </c>
      <c r="Z75" s="111" t="s">
        <v>235</v>
      </c>
      <c r="AA75" s="111" t="s">
        <v>261</v>
      </c>
      <c r="AB75" s="111" t="s">
        <v>236</v>
      </c>
      <c r="AC75" s="111" t="s">
        <v>146</v>
      </c>
      <c r="AD75" s="111" t="s">
        <v>147</v>
      </c>
      <c r="AE75" s="173" t="s">
        <v>136</v>
      </c>
      <c r="AF75" s="173" t="s">
        <v>136</v>
      </c>
      <c r="AG75" s="174">
        <v>45942</v>
      </c>
      <c r="AH75" s="175">
        <v>60000</v>
      </c>
      <c r="AI75" s="111">
        <v>12</v>
      </c>
      <c r="AJ75" s="111">
        <v>0</v>
      </c>
      <c r="AK75" s="150">
        <f t="shared" si="193"/>
        <v>12</v>
      </c>
      <c r="AL75" s="177">
        <v>60000</v>
      </c>
      <c r="AM75" s="176">
        <v>0.16</v>
      </c>
      <c r="AN75" s="177">
        <f t="shared" ref="AN75:AN86" si="205">AL75*AM75</f>
        <v>9600</v>
      </c>
      <c r="AO75" s="157">
        <f t="shared" si="96"/>
        <v>69600</v>
      </c>
      <c r="AP75" s="158">
        <f t="shared" si="126"/>
        <v>5800</v>
      </c>
      <c r="AQ75" s="111" t="s">
        <v>136</v>
      </c>
      <c r="AR75" s="111" t="s">
        <v>385</v>
      </c>
      <c r="AS75" s="111" t="s">
        <v>937</v>
      </c>
      <c r="AT75" s="111" t="s">
        <v>938</v>
      </c>
      <c r="AU75" s="111" t="s">
        <v>939</v>
      </c>
      <c r="AV75" s="111">
        <v>8</v>
      </c>
      <c r="AW75" s="111" t="s">
        <v>136</v>
      </c>
      <c r="AX75" s="111" t="s">
        <v>136</v>
      </c>
      <c r="AY75" s="111" t="s">
        <v>136</v>
      </c>
      <c r="AZ75" s="111" t="s">
        <v>136</v>
      </c>
      <c r="BA75" s="111" t="s">
        <v>136</v>
      </c>
      <c r="BB75" s="111" t="s">
        <v>136</v>
      </c>
      <c r="BC75" s="111" t="s">
        <v>136</v>
      </c>
      <c r="BD75" s="111" t="s">
        <v>136</v>
      </c>
      <c r="BE75" s="111" t="s">
        <v>136</v>
      </c>
      <c r="BF75" s="111" t="s">
        <v>136</v>
      </c>
      <c r="BG75" s="111" t="s">
        <v>136</v>
      </c>
      <c r="BH75" s="111" t="s">
        <v>136</v>
      </c>
      <c r="BI75" s="111" t="s">
        <v>136</v>
      </c>
      <c r="BJ75" s="111" t="s">
        <v>136</v>
      </c>
      <c r="BK75" s="111" t="s">
        <v>136</v>
      </c>
      <c r="BL75" s="111" t="s">
        <v>136</v>
      </c>
      <c r="BM75" s="111" t="s">
        <v>136</v>
      </c>
      <c r="BN75" s="111" t="s">
        <v>136</v>
      </c>
      <c r="BO75" s="111" t="s">
        <v>136</v>
      </c>
      <c r="BP75" s="111" t="s">
        <v>825</v>
      </c>
      <c r="BQ75" s="111" t="s">
        <v>940</v>
      </c>
      <c r="BR75" s="111" t="s">
        <v>941</v>
      </c>
      <c r="BS75" s="111" t="s">
        <v>942</v>
      </c>
      <c r="BT75" s="182" t="s">
        <v>943</v>
      </c>
      <c r="BU75" s="111" t="s">
        <v>944</v>
      </c>
      <c r="BV75" s="111" t="s">
        <v>937</v>
      </c>
      <c r="BW75" s="111"/>
      <c r="BX75" s="111"/>
      <c r="BY75" s="111"/>
      <c r="BZ75" s="111"/>
      <c r="CA75" s="111"/>
      <c r="CB75" s="111"/>
      <c r="CC75" s="178"/>
      <c r="CD75" s="177">
        <f t="shared" si="127"/>
        <v>60000</v>
      </c>
      <c r="CE75" s="148">
        <v>45988</v>
      </c>
      <c r="CF75" s="111">
        <f t="shared" si="128"/>
        <v>12</v>
      </c>
      <c r="CG75" s="177">
        <f t="shared" si="129"/>
        <v>69600</v>
      </c>
      <c r="CH75" s="203">
        <f t="shared" si="95"/>
        <v>0</v>
      </c>
      <c r="CI75" s="148">
        <v>45988</v>
      </c>
      <c r="CJ75" s="161">
        <f t="shared" si="194"/>
        <v>46018</v>
      </c>
      <c r="CK75" s="162">
        <f t="shared" si="195"/>
        <v>46353</v>
      </c>
      <c r="CL75" s="183"/>
      <c r="CM75" s="164">
        <f t="shared" ca="1" si="130"/>
        <v>46054</v>
      </c>
      <c r="CN75" s="165">
        <f t="shared" si="131"/>
        <v>46018</v>
      </c>
      <c r="CO75" s="109">
        <f t="shared" si="132"/>
        <v>5000</v>
      </c>
      <c r="CP75" s="109">
        <f t="shared" si="133"/>
        <v>800</v>
      </c>
      <c r="CQ75" s="109">
        <v>5800</v>
      </c>
      <c r="CR75" s="109">
        <f t="shared" si="134"/>
        <v>0</v>
      </c>
      <c r="CS75" s="166">
        <v>46027</v>
      </c>
      <c r="CT75" s="167">
        <f t="shared" si="135"/>
        <v>9</v>
      </c>
      <c r="CU75" s="165">
        <f t="shared" si="136"/>
        <v>46049</v>
      </c>
      <c r="CV75" s="109">
        <f t="shared" si="137"/>
        <v>5000</v>
      </c>
      <c r="CW75" s="109">
        <f t="shared" si="138"/>
        <v>800</v>
      </c>
      <c r="CX75" s="109">
        <v>5800</v>
      </c>
      <c r="CY75" s="109">
        <f t="shared" si="139"/>
        <v>0</v>
      </c>
      <c r="CZ75" s="166">
        <v>46028</v>
      </c>
      <c r="DA75" s="167">
        <f t="shared" si="140"/>
        <v>0</v>
      </c>
      <c r="DB75" s="165">
        <f t="shared" si="141"/>
        <v>46080</v>
      </c>
      <c r="DC75" s="109">
        <f t="shared" si="142"/>
        <v>0</v>
      </c>
      <c r="DD75" s="109">
        <f t="shared" si="143"/>
        <v>0</v>
      </c>
      <c r="DE75" s="109"/>
      <c r="DF75" s="109">
        <f t="shared" si="144"/>
        <v>0</v>
      </c>
      <c r="DG75" s="166">
        <f t="shared" ca="1" si="199"/>
        <v>46054</v>
      </c>
      <c r="DH75" s="167">
        <f t="shared" ca="1" si="145"/>
        <v>0</v>
      </c>
      <c r="DI75" s="165">
        <f t="shared" si="146"/>
        <v>46108</v>
      </c>
      <c r="DJ75" s="109">
        <f t="shared" si="147"/>
        <v>0</v>
      </c>
      <c r="DK75" s="109">
        <f t="shared" si="148"/>
        <v>0</v>
      </c>
      <c r="DL75" s="109">
        <v>0</v>
      </c>
      <c r="DM75" s="109">
        <f t="shared" si="149"/>
        <v>0</v>
      </c>
      <c r="DN75" s="166">
        <f t="shared" ca="1" si="200"/>
        <v>46054</v>
      </c>
      <c r="DO75" s="167">
        <f t="shared" ca="1" si="150"/>
        <v>0</v>
      </c>
      <c r="DP75" s="165">
        <f t="shared" ref="DP75:DP81" si="206">DI75+31</f>
        <v>46139</v>
      </c>
      <c r="DQ75" s="109">
        <f t="shared" si="151"/>
        <v>0</v>
      </c>
      <c r="DR75" s="109">
        <f t="shared" ref="DR75:DR86" si="207">DS75/(1+AM75)*AM75</f>
        <v>0</v>
      </c>
      <c r="DS75" s="109"/>
      <c r="DT75" s="109">
        <f t="shared" si="152"/>
        <v>0</v>
      </c>
      <c r="DU75" s="166">
        <f t="shared" ca="1" si="201"/>
        <v>46054</v>
      </c>
      <c r="DV75" s="167">
        <f t="shared" ca="1" si="153"/>
        <v>0</v>
      </c>
      <c r="DW75" s="165">
        <f t="shared" si="154"/>
        <v>46169</v>
      </c>
      <c r="DX75" s="109">
        <f t="shared" si="155"/>
        <v>0</v>
      </c>
      <c r="DY75" s="109">
        <f t="shared" si="156"/>
        <v>0</v>
      </c>
      <c r="DZ75" s="109"/>
      <c r="EA75" s="109">
        <f t="shared" si="157"/>
        <v>0</v>
      </c>
      <c r="EB75" s="166">
        <f t="shared" ca="1" si="202"/>
        <v>46054</v>
      </c>
      <c r="EC75" s="167">
        <f t="shared" ca="1" si="158"/>
        <v>0</v>
      </c>
      <c r="ED75" s="165">
        <f t="shared" si="159"/>
        <v>46200</v>
      </c>
      <c r="EE75" s="109">
        <f t="shared" si="160"/>
        <v>0</v>
      </c>
      <c r="EF75" s="109">
        <f t="shared" si="161"/>
        <v>0</v>
      </c>
      <c r="EG75" s="109"/>
      <c r="EH75" s="109">
        <f t="shared" si="162"/>
        <v>0</v>
      </c>
      <c r="EI75" s="166">
        <f t="shared" ca="1" si="203"/>
        <v>46054</v>
      </c>
      <c r="EJ75" s="167">
        <f t="shared" ca="1" si="163"/>
        <v>0</v>
      </c>
      <c r="EK75" s="165">
        <f t="shared" si="164"/>
        <v>46230</v>
      </c>
      <c r="EL75" s="109">
        <f t="shared" si="165"/>
        <v>0</v>
      </c>
      <c r="EM75" s="109">
        <f t="shared" si="166"/>
        <v>0</v>
      </c>
      <c r="EN75" s="109"/>
      <c r="EO75" s="109">
        <f t="shared" si="167"/>
        <v>0</v>
      </c>
      <c r="EP75" s="166">
        <f t="shared" ca="1" si="204"/>
        <v>46054</v>
      </c>
      <c r="EQ75" s="167">
        <f t="shared" ca="1" si="168"/>
        <v>0</v>
      </c>
      <c r="ER75" s="165">
        <f t="shared" si="169"/>
        <v>46261</v>
      </c>
      <c r="ES75" s="109">
        <f t="shared" si="170"/>
        <v>0</v>
      </c>
      <c r="ET75" s="109">
        <f t="shared" si="171"/>
        <v>0</v>
      </c>
      <c r="EU75" s="109"/>
      <c r="EV75" s="109"/>
      <c r="EW75" s="166"/>
      <c r="EX75" s="166"/>
      <c r="EY75" s="165">
        <f t="shared" si="172"/>
        <v>46292</v>
      </c>
      <c r="EZ75" s="109">
        <f t="shared" si="173"/>
        <v>0</v>
      </c>
      <c r="FA75" s="109">
        <f t="shared" si="174"/>
        <v>0</v>
      </c>
      <c r="FB75" s="109"/>
      <c r="FC75" s="109"/>
      <c r="FD75" s="166"/>
      <c r="FE75" s="166"/>
      <c r="FF75" s="165">
        <f t="shared" si="175"/>
        <v>46322</v>
      </c>
      <c r="FG75" s="109">
        <f t="shared" si="176"/>
        <v>0</v>
      </c>
      <c r="FH75" s="109">
        <f t="shared" si="177"/>
        <v>0</v>
      </c>
      <c r="FI75" s="109"/>
      <c r="FJ75" s="109"/>
      <c r="FK75" s="166"/>
      <c r="FL75" s="166"/>
      <c r="FM75" s="165">
        <f t="shared" si="178"/>
        <v>46353</v>
      </c>
      <c r="FN75" s="109">
        <f t="shared" si="179"/>
        <v>0</v>
      </c>
      <c r="FO75" s="109">
        <f t="shared" si="180"/>
        <v>0</v>
      </c>
      <c r="FP75" s="109"/>
      <c r="FQ75" s="109"/>
      <c r="FR75" s="166"/>
      <c r="FS75" s="166"/>
      <c r="FT75" s="165"/>
      <c r="FU75" s="109"/>
      <c r="FV75" s="109"/>
      <c r="FW75" s="109"/>
      <c r="FX75" s="109"/>
      <c r="FY75" s="166"/>
      <c r="FZ75" s="166"/>
      <c r="GA75" s="165"/>
      <c r="GB75" s="109"/>
      <c r="GC75" s="109"/>
      <c r="GD75" s="109"/>
      <c r="GE75" s="109"/>
      <c r="GF75" s="166"/>
      <c r="GG75" s="166"/>
      <c r="GH75" s="165"/>
      <c r="GI75" s="109"/>
      <c r="GJ75" s="109"/>
      <c r="GK75" s="109"/>
      <c r="GL75" s="109"/>
      <c r="GM75" s="166"/>
      <c r="GN75" s="166"/>
      <c r="GO75" s="165"/>
      <c r="GP75" s="109"/>
      <c r="GQ75" s="109"/>
      <c r="GR75" s="109"/>
      <c r="GS75" s="109"/>
      <c r="GT75" s="166"/>
      <c r="GU75" s="166"/>
      <c r="GV75" s="165"/>
      <c r="GW75" s="168"/>
      <c r="GX75" s="168"/>
      <c r="GY75" s="168"/>
      <c r="GZ75" s="168"/>
      <c r="HA75" s="166"/>
      <c r="HB75" s="166"/>
      <c r="HC75" s="165"/>
      <c r="HD75" s="109"/>
      <c r="HE75" s="109"/>
      <c r="HF75" s="109"/>
      <c r="HG75" s="109"/>
      <c r="HH75" s="166"/>
      <c r="HI75" s="166"/>
      <c r="HJ75" s="165"/>
      <c r="HK75" s="109"/>
      <c r="HL75" s="109"/>
      <c r="HM75" s="109"/>
      <c r="HN75" s="109"/>
      <c r="HO75" s="166"/>
      <c r="HP75" s="166"/>
      <c r="HQ75" s="165"/>
      <c r="HR75" s="109"/>
      <c r="HS75" s="109"/>
      <c r="HT75" s="109"/>
      <c r="HU75" s="109"/>
      <c r="HV75" s="166"/>
      <c r="HW75" s="166"/>
      <c r="HX75" s="105">
        <f t="shared" si="198"/>
        <v>10000</v>
      </c>
      <c r="HY75" s="105">
        <f t="shared" si="198"/>
        <v>1600</v>
      </c>
      <c r="HZ75" s="105">
        <f t="shared" si="198"/>
        <v>11600</v>
      </c>
      <c r="IA75" s="105">
        <f t="shared" si="181"/>
        <v>0</v>
      </c>
      <c r="IB75" s="109">
        <f t="shared" si="182"/>
        <v>58000</v>
      </c>
      <c r="IC75" s="109">
        <f t="shared" si="183"/>
        <v>50000</v>
      </c>
      <c r="ID75" s="109">
        <f t="shared" si="184"/>
        <v>0</v>
      </c>
      <c r="IE75" s="109">
        <f t="shared" ca="1" si="185"/>
        <v>9</v>
      </c>
      <c r="IF75" s="139">
        <f t="shared" si="186"/>
        <v>2</v>
      </c>
      <c r="IG75" s="139">
        <f t="shared" ca="1" si="187"/>
        <v>36</v>
      </c>
      <c r="IH75" s="169">
        <f t="shared" ca="1" si="188"/>
        <v>1.2</v>
      </c>
      <c r="II75" s="139">
        <f t="shared" ca="1" si="189"/>
        <v>-0.8</v>
      </c>
      <c r="IJ75" s="169">
        <f t="shared" ca="1" si="190"/>
        <v>0</v>
      </c>
      <c r="IK75" s="169">
        <f t="shared" ca="1" si="196"/>
        <v>-0.8</v>
      </c>
      <c r="IL75" s="170">
        <f t="shared" ca="1" si="191"/>
        <v>-4640</v>
      </c>
      <c r="IM75" s="171"/>
      <c r="IN75" s="171"/>
      <c r="IO75" s="171"/>
      <c r="IP75" s="171"/>
    </row>
    <row r="76" spans="1:250" ht="15" customHeight="1" thickBot="1" x14ac:dyDescent="0.35">
      <c r="A76" s="110">
        <f t="shared" si="192"/>
        <v>72</v>
      </c>
      <c r="B76" s="111" t="s">
        <v>385</v>
      </c>
      <c r="C76" s="111" t="s">
        <v>386</v>
      </c>
      <c r="D76" s="111">
        <v>103</v>
      </c>
      <c r="E76" s="111" t="s">
        <v>881</v>
      </c>
      <c r="F76" s="111"/>
      <c r="G76" s="111" t="s">
        <v>945</v>
      </c>
      <c r="H76" s="111">
        <v>1031100008</v>
      </c>
      <c r="I76" s="146" t="str">
        <f t="shared" si="124"/>
        <v>1100008</v>
      </c>
      <c r="J76" s="145" t="str">
        <f t="shared" si="125"/>
        <v>NG1100008</v>
      </c>
      <c r="K76" s="111" t="s">
        <v>946</v>
      </c>
      <c r="L76" s="111" t="s">
        <v>164</v>
      </c>
      <c r="M76" s="111" t="s">
        <v>947</v>
      </c>
      <c r="N76" s="111" t="s">
        <v>138</v>
      </c>
      <c r="O76" s="111"/>
      <c r="P76" s="111" t="s">
        <v>948</v>
      </c>
      <c r="Q76" s="148">
        <v>29474</v>
      </c>
      <c r="R76" s="111" t="s">
        <v>263</v>
      </c>
      <c r="S76" s="111">
        <f t="shared" ca="1" si="197"/>
        <v>45</v>
      </c>
      <c r="T76" s="111" t="s">
        <v>949</v>
      </c>
      <c r="U76" s="111" t="s">
        <v>910</v>
      </c>
      <c r="V76" s="181">
        <v>772404040</v>
      </c>
      <c r="W76" s="111"/>
      <c r="X76" s="111" t="s">
        <v>181</v>
      </c>
      <c r="Y76" s="111">
        <v>11</v>
      </c>
      <c r="Z76" s="111" t="s">
        <v>456</v>
      </c>
      <c r="AA76" s="111" t="s">
        <v>457</v>
      </c>
      <c r="AB76" s="111" t="s">
        <v>458</v>
      </c>
      <c r="AC76" s="111" t="s">
        <v>146</v>
      </c>
      <c r="AD76" s="111" t="s">
        <v>147</v>
      </c>
      <c r="AE76" s="173" t="s">
        <v>136</v>
      </c>
      <c r="AF76" s="173" t="s">
        <v>136</v>
      </c>
      <c r="AG76" s="174">
        <v>45848</v>
      </c>
      <c r="AH76" s="175">
        <v>100000</v>
      </c>
      <c r="AI76" s="111">
        <v>14</v>
      </c>
      <c r="AJ76" s="111">
        <v>0</v>
      </c>
      <c r="AK76" s="150">
        <f t="shared" si="193"/>
        <v>14</v>
      </c>
      <c r="AL76" s="177">
        <v>100000</v>
      </c>
      <c r="AM76" s="176">
        <v>0.16</v>
      </c>
      <c r="AN76" s="177">
        <f t="shared" si="205"/>
        <v>16000</v>
      </c>
      <c r="AO76" s="157">
        <f t="shared" si="96"/>
        <v>116000</v>
      </c>
      <c r="AP76" s="158">
        <f t="shared" si="126"/>
        <v>8285.7142857142862</v>
      </c>
      <c r="AQ76" s="111" t="s">
        <v>136</v>
      </c>
      <c r="AR76" s="111" t="s">
        <v>385</v>
      </c>
      <c r="AS76" s="111" t="s">
        <v>950</v>
      </c>
      <c r="AT76" s="111" t="s">
        <v>951</v>
      </c>
      <c r="AU76" s="111" t="s">
        <v>952</v>
      </c>
      <c r="AV76" s="111">
        <v>8</v>
      </c>
      <c r="AW76" s="111" t="s">
        <v>136</v>
      </c>
      <c r="AX76" s="111" t="s">
        <v>136</v>
      </c>
      <c r="AY76" s="111" t="s">
        <v>136</v>
      </c>
      <c r="AZ76" s="111" t="s">
        <v>136</v>
      </c>
      <c r="BA76" s="111" t="s">
        <v>136</v>
      </c>
      <c r="BB76" s="111" t="s">
        <v>136</v>
      </c>
      <c r="BC76" s="111" t="s">
        <v>136</v>
      </c>
      <c r="BD76" s="111" t="s">
        <v>136</v>
      </c>
      <c r="BE76" s="111" t="s">
        <v>136</v>
      </c>
      <c r="BF76" s="111" t="s">
        <v>136</v>
      </c>
      <c r="BG76" s="111" t="s">
        <v>136</v>
      </c>
      <c r="BH76" s="111" t="s">
        <v>136</v>
      </c>
      <c r="BI76" s="111" t="s">
        <v>136</v>
      </c>
      <c r="BJ76" s="111" t="s">
        <v>136</v>
      </c>
      <c r="BK76" s="111" t="s">
        <v>136</v>
      </c>
      <c r="BL76" s="111" t="s">
        <v>136</v>
      </c>
      <c r="BM76" s="111" t="s">
        <v>136</v>
      </c>
      <c r="BN76" s="111" t="s">
        <v>136</v>
      </c>
      <c r="BO76" s="111" t="s">
        <v>136</v>
      </c>
      <c r="BP76" s="111" t="s">
        <v>953</v>
      </c>
      <c r="BQ76" s="111" t="s">
        <v>136</v>
      </c>
      <c r="BR76" s="111" t="s">
        <v>954</v>
      </c>
      <c r="BS76" s="111" t="s">
        <v>955</v>
      </c>
      <c r="BT76" s="182" t="s">
        <v>956</v>
      </c>
      <c r="BU76" s="111" t="s">
        <v>949</v>
      </c>
      <c r="BV76" s="111" t="s">
        <v>910</v>
      </c>
      <c r="BW76" s="111"/>
      <c r="BX76" s="111"/>
      <c r="BY76" s="111"/>
      <c r="BZ76" s="111"/>
      <c r="CA76" s="111"/>
      <c r="CB76" s="111"/>
      <c r="CC76" s="178"/>
      <c r="CD76" s="177">
        <f t="shared" si="127"/>
        <v>100000</v>
      </c>
      <c r="CE76" s="148">
        <v>45988</v>
      </c>
      <c r="CF76" s="111">
        <f t="shared" si="128"/>
        <v>14</v>
      </c>
      <c r="CG76" s="177">
        <f t="shared" si="129"/>
        <v>116000</v>
      </c>
      <c r="CH76" s="203">
        <f t="shared" si="95"/>
        <v>0</v>
      </c>
      <c r="CI76" s="148">
        <v>45988</v>
      </c>
      <c r="CJ76" s="161">
        <f t="shared" si="194"/>
        <v>46018</v>
      </c>
      <c r="CK76" s="162">
        <f t="shared" si="195"/>
        <v>46414</v>
      </c>
      <c r="CL76" s="183"/>
      <c r="CM76" s="164">
        <f t="shared" ca="1" si="130"/>
        <v>46054</v>
      </c>
      <c r="CN76" s="165">
        <f t="shared" si="131"/>
        <v>46018</v>
      </c>
      <c r="CO76" s="109">
        <f t="shared" si="132"/>
        <v>7142.2413793103442</v>
      </c>
      <c r="CP76" s="109">
        <f t="shared" si="133"/>
        <v>1142.7586206896553</v>
      </c>
      <c r="CQ76" s="109">
        <v>8285</v>
      </c>
      <c r="CR76" s="109">
        <f t="shared" si="134"/>
        <v>-0.714285714286234</v>
      </c>
      <c r="CS76" s="166">
        <v>46028</v>
      </c>
      <c r="CT76" s="167">
        <f t="shared" si="135"/>
        <v>10</v>
      </c>
      <c r="CU76" s="165">
        <f t="shared" si="136"/>
        <v>46049</v>
      </c>
      <c r="CV76" s="109">
        <f t="shared" si="137"/>
        <v>0</v>
      </c>
      <c r="CW76" s="109">
        <f t="shared" si="138"/>
        <v>0</v>
      </c>
      <c r="CX76" s="109"/>
      <c r="CY76" s="109">
        <f t="shared" si="139"/>
        <v>0</v>
      </c>
      <c r="CZ76" s="166">
        <f ca="1">TODAY()</f>
        <v>46054</v>
      </c>
      <c r="DA76" s="167">
        <f t="shared" ca="1" si="140"/>
        <v>5</v>
      </c>
      <c r="DB76" s="165">
        <f t="shared" si="141"/>
        <v>46080</v>
      </c>
      <c r="DC76" s="109">
        <f t="shared" si="142"/>
        <v>0</v>
      </c>
      <c r="DD76" s="109">
        <f t="shared" si="143"/>
        <v>0</v>
      </c>
      <c r="DE76" s="109"/>
      <c r="DF76" s="109">
        <f t="shared" si="144"/>
        <v>0</v>
      </c>
      <c r="DG76" s="166">
        <f t="shared" ca="1" si="199"/>
        <v>46054</v>
      </c>
      <c r="DH76" s="167">
        <f t="shared" ca="1" si="145"/>
        <v>0</v>
      </c>
      <c r="DI76" s="165">
        <f t="shared" si="146"/>
        <v>46108</v>
      </c>
      <c r="DJ76" s="109">
        <f t="shared" si="147"/>
        <v>0</v>
      </c>
      <c r="DK76" s="109">
        <f t="shared" si="148"/>
        <v>0</v>
      </c>
      <c r="DL76" s="109">
        <v>0</v>
      </c>
      <c r="DM76" s="109">
        <f t="shared" si="149"/>
        <v>0</v>
      </c>
      <c r="DN76" s="166">
        <f t="shared" ca="1" si="200"/>
        <v>46054</v>
      </c>
      <c r="DO76" s="167">
        <f t="shared" ca="1" si="150"/>
        <v>0</v>
      </c>
      <c r="DP76" s="165">
        <f t="shared" si="206"/>
        <v>46139</v>
      </c>
      <c r="DQ76" s="109">
        <f t="shared" si="151"/>
        <v>0</v>
      </c>
      <c r="DR76" s="109">
        <f t="shared" si="207"/>
        <v>0</v>
      </c>
      <c r="DS76" s="109"/>
      <c r="DT76" s="109">
        <f t="shared" si="152"/>
        <v>0</v>
      </c>
      <c r="DU76" s="166">
        <f t="shared" ca="1" si="201"/>
        <v>46054</v>
      </c>
      <c r="DV76" s="167">
        <f t="shared" ca="1" si="153"/>
        <v>0</v>
      </c>
      <c r="DW76" s="165">
        <f t="shared" si="154"/>
        <v>46169</v>
      </c>
      <c r="DX76" s="109">
        <f t="shared" si="155"/>
        <v>0</v>
      </c>
      <c r="DY76" s="109">
        <f t="shared" si="156"/>
        <v>0</v>
      </c>
      <c r="DZ76" s="109"/>
      <c r="EA76" s="109">
        <f t="shared" si="157"/>
        <v>0</v>
      </c>
      <c r="EB76" s="166">
        <f t="shared" ca="1" si="202"/>
        <v>46054</v>
      </c>
      <c r="EC76" s="167">
        <f t="shared" ca="1" si="158"/>
        <v>0</v>
      </c>
      <c r="ED76" s="165">
        <f t="shared" si="159"/>
        <v>46200</v>
      </c>
      <c r="EE76" s="109">
        <f t="shared" si="160"/>
        <v>0</v>
      </c>
      <c r="EF76" s="109">
        <f t="shared" si="161"/>
        <v>0</v>
      </c>
      <c r="EG76" s="109"/>
      <c r="EH76" s="109">
        <f t="shared" si="162"/>
        <v>0</v>
      </c>
      <c r="EI76" s="166">
        <f t="shared" ca="1" si="203"/>
        <v>46054</v>
      </c>
      <c r="EJ76" s="167">
        <f t="shared" ca="1" si="163"/>
        <v>0</v>
      </c>
      <c r="EK76" s="165">
        <f t="shared" si="164"/>
        <v>46230</v>
      </c>
      <c r="EL76" s="109">
        <f t="shared" si="165"/>
        <v>0</v>
      </c>
      <c r="EM76" s="109">
        <f t="shared" si="166"/>
        <v>0</v>
      </c>
      <c r="EN76" s="109"/>
      <c r="EO76" s="109">
        <f t="shared" si="167"/>
        <v>0</v>
      </c>
      <c r="EP76" s="166">
        <f t="shared" ca="1" si="204"/>
        <v>46054</v>
      </c>
      <c r="EQ76" s="167">
        <f t="shared" ca="1" si="168"/>
        <v>0</v>
      </c>
      <c r="ER76" s="165">
        <f t="shared" si="169"/>
        <v>46261</v>
      </c>
      <c r="ES76" s="109">
        <f t="shared" si="170"/>
        <v>0</v>
      </c>
      <c r="ET76" s="109">
        <f t="shared" si="171"/>
        <v>0</v>
      </c>
      <c r="EU76" s="109"/>
      <c r="EV76" s="109"/>
      <c r="EW76" s="166"/>
      <c r="EX76" s="166"/>
      <c r="EY76" s="165">
        <f t="shared" si="172"/>
        <v>46292</v>
      </c>
      <c r="EZ76" s="109">
        <f t="shared" si="173"/>
        <v>0</v>
      </c>
      <c r="FA76" s="109">
        <f t="shared" si="174"/>
        <v>0</v>
      </c>
      <c r="FB76" s="109"/>
      <c r="FC76" s="109"/>
      <c r="FD76" s="166"/>
      <c r="FE76" s="166"/>
      <c r="FF76" s="165">
        <f t="shared" si="175"/>
        <v>46322</v>
      </c>
      <c r="FG76" s="109">
        <f t="shared" si="176"/>
        <v>0</v>
      </c>
      <c r="FH76" s="109">
        <f t="shared" si="177"/>
        <v>0</v>
      </c>
      <c r="FI76" s="109"/>
      <c r="FJ76" s="109"/>
      <c r="FK76" s="166"/>
      <c r="FL76" s="166"/>
      <c r="FM76" s="165">
        <f t="shared" si="178"/>
        <v>46353</v>
      </c>
      <c r="FN76" s="109">
        <f t="shared" si="179"/>
        <v>0</v>
      </c>
      <c r="FO76" s="109">
        <f t="shared" si="180"/>
        <v>0</v>
      </c>
      <c r="FP76" s="109"/>
      <c r="FQ76" s="109"/>
      <c r="FR76" s="166"/>
      <c r="FS76" s="166"/>
      <c r="FT76" s="165"/>
      <c r="FU76" s="109">
        <f>FW76-FV76</f>
        <v>0</v>
      </c>
      <c r="FV76" s="109">
        <f>FW76/(1+AM76)*AM76</f>
        <v>0</v>
      </c>
      <c r="FW76" s="109"/>
      <c r="FX76" s="109"/>
      <c r="FY76" s="166"/>
      <c r="FZ76" s="166"/>
      <c r="GA76" s="165"/>
      <c r="GB76" s="109">
        <f>GD76-GC76</f>
        <v>0</v>
      </c>
      <c r="GC76" s="109">
        <f>GD76/(1+AM76)*AM76</f>
        <v>0</v>
      </c>
      <c r="GD76" s="109"/>
      <c r="GE76" s="109"/>
      <c r="GF76" s="166"/>
      <c r="GG76" s="166"/>
      <c r="GH76" s="165"/>
      <c r="GI76" s="109">
        <f>GK76-GJ76</f>
        <v>0</v>
      </c>
      <c r="GJ76" s="109">
        <f>GK76/(1+AM76)*AM76</f>
        <v>0</v>
      </c>
      <c r="GK76" s="109"/>
      <c r="GL76" s="109"/>
      <c r="GM76" s="166"/>
      <c r="GN76" s="166"/>
      <c r="GO76" s="165"/>
      <c r="GP76" s="109">
        <f>GR76-GQ76</f>
        <v>0</v>
      </c>
      <c r="GQ76" s="109">
        <f>GR76/(1+AM76)*AM76</f>
        <v>0</v>
      </c>
      <c r="GR76" s="109"/>
      <c r="GS76" s="109"/>
      <c r="GT76" s="166"/>
      <c r="GU76" s="166"/>
      <c r="GV76" s="165"/>
      <c r="GW76" s="168">
        <f>GY76-GX76</f>
        <v>0</v>
      </c>
      <c r="GX76" s="168">
        <f>GY76/(1+AM76)*AM76</f>
        <v>0</v>
      </c>
      <c r="GY76" s="168"/>
      <c r="GZ76" s="168"/>
      <c r="HA76" s="166"/>
      <c r="HB76" s="166"/>
      <c r="HC76" s="165"/>
      <c r="HD76" s="109">
        <f>HF76-HE76</f>
        <v>0</v>
      </c>
      <c r="HE76" s="109">
        <f>HF76/(1+AM76)*AM76</f>
        <v>0</v>
      </c>
      <c r="HF76" s="109"/>
      <c r="HG76" s="109"/>
      <c r="HH76" s="166"/>
      <c r="HI76" s="166"/>
      <c r="HJ76" s="165"/>
      <c r="HK76" s="109">
        <f>HM76-HL76</f>
        <v>0</v>
      </c>
      <c r="HL76" s="109">
        <f>HM76/(1+AM76)*AM76</f>
        <v>0</v>
      </c>
      <c r="HM76" s="109"/>
      <c r="HN76" s="109"/>
      <c r="HO76" s="166"/>
      <c r="HP76" s="166"/>
      <c r="HQ76" s="165"/>
      <c r="HR76" s="109">
        <f>HT76-HS76</f>
        <v>0</v>
      </c>
      <c r="HS76" s="109">
        <f>HT76/(1+AM76)*AM76</f>
        <v>0</v>
      </c>
      <c r="HT76" s="109"/>
      <c r="HU76" s="109"/>
      <c r="HV76" s="166"/>
      <c r="HW76" s="166"/>
      <c r="HX76" s="105">
        <f t="shared" si="198"/>
        <v>7142.2413793103442</v>
      </c>
      <c r="HY76" s="105">
        <f t="shared" si="198"/>
        <v>1142.7586206896553</v>
      </c>
      <c r="HZ76" s="105">
        <f t="shared" si="198"/>
        <v>8285</v>
      </c>
      <c r="IA76" s="105">
        <f t="shared" si="181"/>
        <v>0</v>
      </c>
      <c r="IB76" s="109">
        <f t="shared" si="182"/>
        <v>107715</v>
      </c>
      <c r="IC76" s="109">
        <f t="shared" si="183"/>
        <v>92857.758620689652</v>
      </c>
      <c r="ID76" s="109">
        <f t="shared" si="184"/>
        <v>0</v>
      </c>
      <c r="IE76" s="109">
        <f t="shared" ca="1" si="185"/>
        <v>15</v>
      </c>
      <c r="IF76" s="139">
        <f t="shared" si="186"/>
        <v>0.99991379310344819</v>
      </c>
      <c r="IG76" s="139">
        <f t="shared" ca="1" si="187"/>
        <v>36</v>
      </c>
      <c r="IH76" s="169">
        <f t="shared" ca="1" si="188"/>
        <v>1.2</v>
      </c>
      <c r="II76" s="139">
        <f t="shared" ca="1" si="189"/>
        <v>0.20008620689655177</v>
      </c>
      <c r="IJ76" s="169">
        <f t="shared" ca="1" si="190"/>
        <v>6.0025862068965532</v>
      </c>
      <c r="IK76" s="169">
        <f t="shared" ca="1" si="196"/>
        <v>0.20008620689655177</v>
      </c>
      <c r="IL76" s="170">
        <f t="shared" ca="1" si="191"/>
        <v>1657.8571428571433</v>
      </c>
      <c r="IM76" s="171"/>
      <c r="IN76" s="171"/>
      <c r="IO76" s="171"/>
      <c r="IP76" s="171"/>
    </row>
    <row r="77" spans="1:250" ht="15" thickBot="1" x14ac:dyDescent="0.35">
      <c r="A77" s="110">
        <f t="shared" si="192"/>
        <v>73</v>
      </c>
      <c r="B77" s="111" t="s">
        <v>385</v>
      </c>
      <c r="C77" s="111" t="s">
        <v>386</v>
      </c>
      <c r="D77" s="111">
        <v>103</v>
      </c>
      <c r="E77" s="111" t="s">
        <v>881</v>
      </c>
      <c r="F77" s="111"/>
      <c r="G77" s="111" t="s">
        <v>957</v>
      </c>
      <c r="H77" s="111">
        <v>1031100009</v>
      </c>
      <c r="I77" s="146" t="str">
        <f t="shared" si="124"/>
        <v>1100009</v>
      </c>
      <c r="J77" s="145" t="str">
        <f t="shared" si="125"/>
        <v>NG1100009</v>
      </c>
      <c r="K77" s="111" t="s">
        <v>958</v>
      </c>
      <c r="L77" s="111" t="s">
        <v>959</v>
      </c>
      <c r="M77" s="111" t="s">
        <v>960</v>
      </c>
      <c r="N77" s="111" t="s">
        <v>138</v>
      </c>
      <c r="O77" s="111"/>
      <c r="P77" s="111" t="s">
        <v>961</v>
      </c>
      <c r="Q77" s="148">
        <v>33375</v>
      </c>
      <c r="R77" s="111" t="s">
        <v>385</v>
      </c>
      <c r="S77" s="111">
        <f t="shared" ca="1" si="197"/>
        <v>34</v>
      </c>
      <c r="T77" s="111" t="s">
        <v>962</v>
      </c>
      <c r="U77" s="111" t="s">
        <v>910</v>
      </c>
      <c r="V77" s="181">
        <v>785372578</v>
      </c>
      <c r="W77" s="111"/>
      <c r="X77" s="111" t="s">
        <v>181</v>
      </c>
      <c r="Y77" s="111">
        <v>11</v>
      </c>
      <c r="Z77" s="111" t="s">
        <v>963</v>
      </c>
      <c r="AA77" s="111" t="s">
        <v>964</v>
      </c>
      <c r="AB77" s="111" t="s">
        <v>965</v>
      </c>
      <c r="AC77" s="111" t="s">
        <v>146</v>
      </c>
      <c r="AD77" s="111" t="s">
        <v>147</v>
      </c>
      <c r="AE77" s="173" t="s">
        <v>136</v>
      </c>
      <c r="AF77" s="173" t="s">
        <v>136</v>
      </c>
      <c r="AG77" s="174">
        <v>45878</v>
      </c>
      <c r="AH77" s="175">
        <v>70000</v>
      </c>
      <c r="AI77" s="111">
        <v>12</v>
      </c>
      <c r="AJ77" s="111">
        <v>0</v>
      </c>
      <c r="AK77" s="150">
        <f t="shared" si="193"/>
        <v>12</v>
      </c>
      <c r="AL77" s="177">
        <v>70000</v>
      </c>
      <c r="AM77" s="176">
        <v>0.16</v>
      </c>
      <c r="AN77" s="177">
        <f t="shared" si="205"/>
        <v>11200</v>
      </c>
      <c r="AO77" s="157">
        <f t="shared" si="96"/>
        <v>81200</v>
      </c>
      <c r="AP77" s="158">
        <f t="shared" si="126"/>
        <v>6766.666666666667</v>
      </c>
      <c r="AQ77" s="111" t="s">
        <v>136</v>
      </c>
      <c r="AR77" s="111" t="s">
        <v>385</v>
      </c>
      <c r="AS77" s="111" t="s">
        <v>950</v>
      </c>
      <c r="AT77" s="111" t="s">
        <v>966</v>
      </c>
      <c r="AU77" s="111" t="s">
        <v>962</v>
      </c>
      <c r="AV77" s="111">
        <v>7</v>
      </c>
      <c r="AW77" s="111" t="s">
        <v>136</v>
      </c>
      <c r="AX77" s="111" t="s">
        <v>136</v>
      </c>
      <c r="AY77" s="111" t="s">
        <v>136</v>
      </c>
      <c r="AZ77" s="111" t="s">
        <v>136</v>
      </c>
      <c r="BA77" s="111" t="s">
        <v>136</v>
      </c>
      <c r="BB77" s="111" t="s">
        <v>136</v>
      </c>
      <c r="BC77" s="111" t="s">
        <v>136</v>
      </c>
      <c r="BD77" s="111" t="s">
        <v>136</v>
      </c>
      <c r="BE77" s="111" t="s">
        <v>136</v>
      </c>
      <c r="BF77" s="111" t="s">
        <v>136</v>
      </c>
      <c r="BG77" s="111" t="s">
        <v>136</v>
      </c>
      <c r="BH77" s="111" t="s">
        <v>136</v>
      </c>
      <c r="BI77" s="111" t="s">
        <v>136</v>
      </c>
      <c r="BJ77" s="111" t="s">
        <v>136</v>
      </c>
      <c r="BK77" s="111" t="s">
        <v>136</v>
      </c>
      <c r="BL77" s="111" t="s">
        <v>136</v>
      </c>
      <c r="BM77" s="111" t="s">
        <v>136</v>
      </c>
      <c r="BN77" s="111" t="s">
        <v>136</v>
      </c>
      <c r="BO77" s="111" t="s">
        <v>136</v>
      </c>
      <c r="BP77" s="111" t="s">
        <v>967</v>
      </c>
      <c r="BQ77" s="111" t="s">
        <v>968</v>
      </c>
      <c r="BR77" s="111" t="s">
        <v>969</v>
      </c>
      <c r="BS77" s="111" t="s">
        <v>970</v>
      </c>
      <c r="BT77" s="182" t="s">
        <v>971</v>
      </c>
      <c r="BU77" s="111" t="s">
        <v>962</v>
      </c>
      <c r="BV77" s="111" t="s">
        <v>910</v>
      </c>
      <c r="BW77" s="111"/>
      <c r="BX77" s="111"/>
      <c r="BY77" s="111"/>
      <c r="BZ77" s="111"/>
      <c r="CA77" s="111"/>
      <c r="CB77" s="111"/>
      <c r="CC77" s="178"/>
      <c r="CD77" s="177">
        <f t="shared" si="127"/>
        <v>70000</v>
      </c>
      <c r="CE77" s="148">
        <v>45988</v>
      </c>
      <c r="CF77" s="111">
        <f t="shared" si="128"/>
        <v>12</v>
      </c>
      <c r="CG77" s="177">
        <f t="shared" si="129"/>
        <v>81200</v>
      </c>
      <c r="CH77" s="203">
        <f t="shared" ref="CH77:CH109" si="208">AJ77</f>
        <v>0</v>
      </c>
      <c r="CI77" s="148">
        <v>45988</v>
      </c>
      <c r="CJ77" s="161">
        <f t="shared" si="194"/>
        <v>46018</v>
      </c>
      <c r="CK77" s="162">
        <f t="shared" si="195"/>
        <v>46353</v>
      </c>
      <c r="CL77" s="183"/>
      <c r="CM77" s="164">
        <f t="shared" ca="1" si="130"/>
        <v>46054</v>
      </c>
      <c r="CN77" s="165">
        <f t="shared" si="131"/>
        <v>46018</v>
      </c>
      <c r="CO77" s="109">
        <f t="shared" si="132"/>
        <v>5832.7586206896549</v>
      </c>
      <c r="CP77" s="109">
        <f t="shared" si="133"/>
        <v>933.241379310345</v>
      </c>
      <c r="CQ77" s="109">
        <v>6766</v>
      </c>
      <c r="CR77" s="109">
        <f t="shared" si="134"/>
        <v>-0.66666666666696983</v>
      </c>
      <c r="CS77" s="166">
        <v>46027</v>
      </c>
      <c r="CT77" s="167">
        <f t="shared" si="135"/>
        <v>9</v>
      </c>
      <c r="CU77" s="165">
        <f t="shared" si="136"/>
        <v>46049</v>
      </c>
      <c r="CV77" s="109">
        <f t="shared" si="137"/>
        <v>5832.7586206896549</v>
      </c>
      <c r="CW77" s="109">
        <f t="shared" si="138"/>
        <v>933.241379310345</v>
      </c>
      <c r="CX77" s="109">
        <v>6766</v>
      </c>
      <c r="CY77" s="109">
        <f t="shared" si="139"/>
        <v>-0.66666666666696983</v>
      </c>
      <c r="CZ77" s="166">
        <v>46028</v>
      </c>
      <c r="DA77" s="167">
        <f t="shared" si="140"/>
        <v>0</v>
      </c>
      <c r="DB77" s="165">
        <f t="shared" si="141"/>
        <v>46080</v>
      </c>
      <c r="DC77" s="109">
        <f t="shared" si="142"/>
        <v>0</v>
      </c>
      <c r="DD77" s="109">
        <f t="shared" si="143"/>
        <v>0</v>
      </c>
      <c r="DE77" s="109"/>
      <c r="DF77" s="109">
        <f t="shared" si="144"/>
        <v>0</v>
      </c>
      <c r="DG77" s="166">
        <f t="shared" ca="1" si="199"/>
        <v>46054</v>
      </c>
      <c r="DH77" s="167">
        <f t="shared" ca="1" si="145"/>
        <v>0</v>
      </c>
      <c r="DI77" s="165">
        <f t="shared" si="146"/>
        <v>46108</v>
      </c>
      <c r="DJ77" s="109">
        <f t="shared" si="147"/>
        <v>0</v>
      </c>
      <c r="DK77" s="109">
        <f t="shared" si="148"/>
        <v>0</v>
      </c>
      <c r="DL77" s="109">
        <v>0</v>
      </c>
      <c r="DM77" s="109">
        <f t="shared" si="149"/>
        <v>0</v>
      </c>
      <c r="DN77" s="166">
        <f t="shared" ca="1" si="200"/>
        <v>46054</v>
      </c>
      <c r="DO77" s="167">
        <f t="shared" ca="1" si="150"/>
        <v>0</v>
      </c>
      <c r="DP77" s="165">
        <f t="shared" si="206"/>
        <v>46139</v>
      </c>
      <c r="DQ77" s="109">
        <f t="shared" si="151"/>
        <v>0</v>
      </c>
      <c r="DR77" s="109">
        <f t="shared" si="207"/>
        <v>0</v>
      </c>
      <c r="DS77" s="109"/>
      <c r="DT77" s="109">
        <f t="shared" si="152"/>
        <v>0</v>
      </c>
      <c r="DU77" s="166">
        <f t="shared" ca="1" si="201"/>
        <v>46054</v>
      </c>
      <c r="DV77" s="167">
        <f t="shared" ca="1" si="153"/>
        <v>0</v>
      </c>
      <c r="DW77" s="165">
        <f t="shared" si="154"/>
        <v>46169</v>
      </c>
      <c r="DX77" s="109">
        <f t="shared" si="155"/>
        <v>0</v>
      </c>
      <c r="DY77" s="109">
        <f t="shared" si="156"/>
        <v>0</v>
      </c>
      <c r="DZ77" s="109"/>
      <c r="EA77" s="109">
        <f t="shared" si="157"/>
        <v>0</v>
      </c>
      <c r="EB77" s="166">
        <f t="shared" ca="1" si="202"/>
        <v>46054</v>
      </c>
      <c r="EC77" s="167">
        <f t="shared" ca="1" si="158"/>
        <v>0</v>
      </c>
      <c r="ED77" s="165">
        <f t="shared" si="159"/>
        <v>46200</v>
      </c>
      <c r="EE77" s="109">
        <f t="shared" si="160"/>
        <v>0</v>
      </c>
      <c r="EF77" s="109">
        <f t="shared" si="161"/>
        <v>0</v>
      </c>
      <c r="EG77" s="109"/>
      <c r="EH77" s="109">
        <f t="shared" si="162"/>
        <v>0</v>
      </c>
      <c r="EI77" s="166">
        <f t="shared" ca="1" si="203"/>
        <v>46054</v>
      </c>
      <c r="EJ77" s="167">
        <f t="shared" ca="1" si="163"/>
        <v>0</v>
      </c>
      <c r="EK77" s="165">
        <f t="shared" si="164"/>
        <v>46230</v>
      </c>
      <c r="EL77" s="109">
        <f t="shared" si="165"/>
        <v>0</v>
      </c>
      <c r="EM77" s="109">
        <f t="shared" si="166"/>
        <v>0</v>
      </c>
      <c r="EN77" s="109"/>
      <c r="EO77" s="109">
        <f t="shared" si="167"/>
        <v>0</v>
      </c>
      <c r="EP77" s="166">
        <f t="shared" ca="1" si="204"/>
        <v>46054</v>
      </c>
      <c r="EQ77" s="167">
        <f t="shared" ca="1" si="168"/>
        <v>0</v>
      </c>
      <c r="ER77" s="165">
        <f t="shared" si="169"/>
        <v>46261</v>
      </c>
      <c r="ES77" s="109">
        <f t="shared" si="170"/>
        <v>0</v>
      </c>
      <c r="ET77" s="109">
        <f t="shared" si="171"/>
        <v>0</v>
      </c>
      <c r="EU77" s="109"/>
      <c r="EV77" s="109"/>
      <c r="EW77" s="166"/>
      <c r="EX77" s="166"/>
      <c r="EY77" s="165">
        <f t="shared" si="172"/>
        <v>46292</v>
      </c>
      <c r="EZ77" s="109">
        <f t="shared" si="173"/>
        <v>0</v>
      </c>
      <c r="FA77" s="109">
        <f t="shared" si="174"/>
        <v>0</v>
      </c>
      <c r="FB77" s="109"/>
      <c r="FC77" s="109"/>
      <c r="FD77" s="166"/>
      <c r="FE77" s="166"/>
      <c r="FF77" s="165">
        <f t="shared" si="175"/>
        <v>46322</v>
      </c>
      <c r="FG77" s="109">
        <f t="shared" si="176"/>
        <v>0</v>
      </c>
      <c r="FH77" s="109">
        <f t="shared" si="177"/>
        <v>0</v>
      </c>
      <c r="FI77" s="109"/>
      <c r="FJ77" s="109"/>
      <c r="FK77" s="166"/>
      <c r="FL77" s="166"/>
      <c r="FM77" s="165">
        <f t="shared" si="178"/>
        <v>46353</v>
      </c>
      <c r="FN77" s="109">
        <f t="shared" si="179"/>
        <v>0</v>
      </c>
      <c r="FO77" s="109">
        <f t="shared" si="180"/>
        <v>0</v>
      </c>
      <c r="FP77" s="109"/>
      <c r="FQ77" s="109"/>
      <c r="FR77" s="166"/>
      <c r="FS77" s="166"/>
      <c r="FT77" s="165"/>
      <c r="FU77" s="109"/>
      <c r="FV77" s="109"/>
      <c r="FW77" s="109"/>
      <c r="FX77" s="109"/>
      <c r="FY77" s="166"/>
      <c r="FZ77" s="166"/>
      <c r="GA77" s="165"/>
      <c r="GB77" s="109"/>
      <c r="GC77" s="109"/>
      <c r="GD77" s="109"/>
      <c r="GE77" s="109"/>
      <c r="GF77" s="166"/>
      <c r="GG77" s="166"/>
      <c r="GH77" s="165"/>
      <c r="GI77" s="109"/>
      <c r="GJ77" s="109"/>
      <c r="GK77" s="109"/>
      <c r="GL77" s="109"/>
      <c r="GM77" s="166"/>
      <c r="GN77" s="166"/>
      <c r="GO77" s="165"/>
      <c r="GP77" s="109"/>
      <c r="GQ77" s="109"/>
      <c r="GR77" s="109"/>
      <c r="GS77" s="109"/>
      <c r="GT77" s="166"/>
      <c r="GU77" s="166"/>
      <c r="GV77" s="165"/>
      <c r="GW77" s="168"/>
      <c r="GX77" s="168"/>
      <c r="GY77" s="168"/>
      <c r="GZ77" s="168"/>
      <c r="HA77" s="166"/>
      <c r="HB77" s="166"/>
      <c r="HC77" s="165"/>
      <c r="HD77" s="109"/>
      <c r="HE77" s="109"/>
      <c r="HF77" s="109"/>
      <c r="HG77" s="109"/>
      <c r="HH77" s="166"/>
      <c r="HI77" s="166"/>
      <c r="HJ77" s="165"/>
      <c r="HK77" s="109"/>
      <c r="HL77" s="109"/>
      <c r="HM77" s="109"/>
      <c r="HN77" s="109"/>
      <c r="HO77" s="166"/>
      <c r="HP77" s="166"/>
      <c r="HQ77" s="165"/>
      <c r="HR77" s="109"/>
      <c r="HS77" s="109"/>
      <c r="HT77" s="109"/>
      <c r="HU77" s="109"/>
      <c r="HV77" s="166"/>
      <c r="HW77" s="166"/>
      <c r="HX77" s="105">
        <f t="shared" si="198"/>
        <v>11665.51724137931</v>
      </c>
      <c r="HY77" s="105">
        <f t="shared" si="198"/>
        <v>1866.48275862069</v>
      </c>
      <c r="HZ77" s="105">
        <f t="shared" si="198"/>
        <v>13532</v>
      </c>
      <c r="IA77" s="105">
        <f t="shared" si="181"/>
        <v>0</v>
      </c>
      <c r="IB77" s="109">
        <f t="shared" si="182"/>
        <v>67668</v>
      </c>
      <c r="IC77" s="109">
        <f t="shared" si="183"/>
        <v>58334.482758620688</v>
      </c>
      <c r="ID77" s="109">
        <f t="shared" si="184"/>
        <v>0</v>
      </c>
      <c r="IE77" s="109">
        <f t="shared" ca="1" si="185"/>
        <v>9</v>
      </c>
      <c r="IF77" s="139">
        <f t="shared" si="186"/>
        <v>1.9998029556650245</v>
      </c>
      <c r="IG77" s="139">
        <f t="shared" ca="1" si="187"/>
        <v>36</v>
      </c>
      <c r="IH77" s="169">
        <f t="shared" ca="1" si="188"/>
        <v>1.2</v>
      </c>
      <c r="II77" s="139">
        <f t="shared" ca="1" si="189"/>
        <v>-0.79980295566502457</v>
      </c>
      <c r="IJ77" s="169">
        <f t="shared" ca="1" si="190"/>
        <v>0</v>
      </c>
      <c r="IK77" s="169">
        <f t="shared" ca="1" si="196"/>
        <v>-0.79980295566502457</v>
      </c>
      <c r="IL77" s="170">
        <f t="shared" ca="1" si="191"/>
        <v>-5412</v>
      </c>
      <c r="IM77" s="171"/>
      <c r="IN77" s="171"/>
      <c r="IO77" s="171"/>
      <c r="IP77" s="171"/>
    </row>
    <row r="78" spans="1:250" ht="15" customHeight="1" thickBot="1" x14ac:dyDescent="0.35">
      <c r="A78" s="110">
        <f t="shared" si="192"/>
        <v>74</v>
      </c>
      <c r="B78" s="111" t="s">
        <v>385</v>
      </c>
      <c r="C78" s="111" t="s">
        <v>386</v>
      </c>
      <c r="D78" s="111">
        <v>103</v>
      </c>
      <c r="E78" s="111" t="s">
        <v>881</v>
      </c>
      <c r="F78" s="111"/>
      <c r="G78" s="111" t="s">
        <v>972</v>
      </c>
      <c r="H78" s="111">
        <v>1031100010</v>
      </c>
      <c r="I78" s="146" t="str">
        <f t="shared" si="124"/>
        <v>1100010</v>
      </c>
      <c r="J78" s="145" t="str">
        <f t="shared" si="125"/>
        <v>NG1100010</v>
      </c>
      <c r="K78" s="111" t="s">
        <v>973</v>
      </c>
      <c r="L78" s="111" t="s">
        <v>974</v>
      </c>
      <c r="M78" s="111" t="s">
        <v>975</v>
      </c>
      <c r="N78" s="111" t="s">
        <v>138</v>
      </c>
      <c r="O78" s="111"/>
      <c r="P78" s="111" t="s">
        <v>976</v>
      </c>
      <c r="Q78" s="148">
        <v>30430</v>
      </c>
      <c r="R78" s="111" t="s">
        <v>977</v>
      </c>
      <c r="S78" s="111">
        <f t="shared" ca="1" si="197"/>
        <v>42</v>
      </c>
      <c r="T78" s="111" t="s">
        <v>936</v>
      </c>
      <c r="U78" s="111" t="s">
        <v>937</v>
      </c>
      <c r="V78" s="181">
        <v>778065400</v>
      </c>
      <c r="W78" s="111"/>
      <c r="X78" s="111" t="s">
        <v>181</v>
      </c>
      <c r="Y78" s="111">
        <v>11</v>
      </c>
      <c r="Z78" s="111" t="s">
        <v>978</v>
      </c>
      <c r="AA78" s="111" t="s">
        <v>979</v>
      </c>
      <c r="AB78" s="111" t="s">
        <v>980</v>
      </c>
      <c r="AC78" s="111" t="s">
        <v>146</v>
      </c>
      <c r="AD78" s="111" t="s">
        <v>147</v>
      </c>
      <c r="AE78" s="173" t="s">
        <v>136</v>
      </c>
      <c r="AF78" s="173" t="s">
        <v>136</v>
      </c>
      <c r="AG78" s="174">
        <v>45878</v>
      </c>
      <c r="AH78" s="175">
        <v>150000</v>
      </c>
      <c r="AI78" s="111">
        <v>15</v>
      </c>
      <c r="AJ78" s="111">
        <v>0</v>
      </c>
      <c r="AK78" s="150">
        <f t="shared" si="193"/>
        <v>15</v>
      </c>
      <c r="AL78" s="177">
        <v>120000</v>
      </c>
      <c r="AM78" s="176">
        <v>0.16</v>
      </c>
      <c r="AN78" s="177">
        <f t="shared" si="205"/>
        <v>19200</v>
      </c>
      <c r="AO78" s="157">
        <f t="shared" ref="AO78:AO109" si="209">AL78+AN78</f>
        <v>139200</v>
      </c>
      <c r="AP78" s="158">
        <f t="shared" si="126"/>
        <v>9280</v>
      </c>
      <c r="AQ78" s="111" t="s">
        <v>136</v>
      </c>
      <c r="AR78" s="111" t="s">
        <v>385</v>
      </c>
      <c r="AS78" s="111" t="s">
        <v>937</v>
      </c>
      <c r="AT78" s="111" t="s">
        <v>938</v>
      </c>
      <c r="AU78" s="111" t="s">
        <v>939</v>
      </c>
      <c r="AV78" s="111">
        <v>6</v>
      </c>
      <c r="AW78" s="111" t="s">
        <v>136</v>
      </c>
      <c r="AX78" s="111" t="s">
        <v>136</v>
      </c>
      <c r="AY78" s="111" t="s">
        <v>136</v>
      </c>
      <c r="AZ78" s="111" t="s">
        <v>136</v>
      </c>
      <c r="BA78" s="111" t="s">
        <v>136</v>
      </c>
      <c r="BB78" s="111" t="s">
        <v>136</v>
      </c>
      <c r="BC78" s="111" t="s">
        <v>136</v>
      </c>
      <c r="BD78" s="111" t="s">
        <v>136</v>
      </c>
      <c r="BE78" s="111" t="s">
        <v>136</v>
      </c>
      <c r="BF78" s="111" t="s">
        <v>136</v>
      </c>
      <c r="BG78" s="111" t="s">
        <v>136</v>
      </c>
      <c r="BH78" s="111" t="s">
        <v>136</v>
      </c>
      <c r="BI78" s="111" t="s">
        <v>136</v>
      </c>
      <c r="BJ78" s="111" t="s">
        <v>136</v>
      </c>
      <c r="BK78" s="111" t="s">
        <v>136</v>
      </c>
      <c r="BL78" s="111" t="s">
        <v>136</v>
      </c>
      <c r="BM78" s="111" t="s">
        <v>136</v>
      </c>
      <c r="BN78" s="111" t="s">
        <v>136</v>
      </c>
      <c r="BO78" s="111" t="s">
        <v>136</v>
      </c>
      <c r="BP78" s="111" t="s">
        <v>981</v>
      </c>
      <c r="BQ78" s="111" t="s">
        <v>982</v>
      </c>
      <c r="BR78" s="111" t="s">
        <v>983</v>
      </c>
      <c r="BS78" s="111" t="s">
        <v>984</v>
      </c>
      <c r="BT78" s="182" t="s">
        <v>985</v>
      </c>
      <c r="BU78" s="111" t="s">
        <v>944</v>
      </c>
      <c r="BV78" s="111" t="s">
        <v>937</v>
      </c>
      <c r="BW78" s="111"/>
      <c r="BX78" s="111"/>
      <c r="BY78" s="111"/>
      <c r="BZ78" s="111"/>
      <c r="CA78" s="111"/>
      <c r="CB78" s="111"/>
      <c r="CC78" s="178"/>
      <c r="CD78" s="177">
        <f t="shared" si="127"/>
        <v>120000</v>
      </c>
      <c r="CE78" s="148">
        <v>45988</v>
      </c>
      <c r="CF78" s="111">
        <f t="shared" si="128"/>
        <v>15</v>
      </c>
      <c r="CG78" s="177">
        <f t="shared" si="129"/>
        <v>139200</v>
      </c>
      <c r="CH78" s="203">
        <f t="shared" si="208"/>
        <v>0</v>
      </c>
      <c r="CI78" s="148">
        <v>45988</v>
      </c>
      <c r="CJ78" s="161">
        <f t="shared" si="194"/>
        <v>46018</v>
      </c>
      <c r="CK78" s="162">
        <f t="shared" si="195"/>
        <v>46445</v>
      </c>
      <c r="CL78" s="183"/>
      <c r="CM78" s="164">
        <f t="shared" ca="1" si="130"/>
        <v>46054</v>
      </c>
      <c r="CN78" s="165">
        <f t="shared" si="131"/>
        <v>46018</v>
      </c>
      <c r="CO78" s="109">
        <f t="shared" si="132"/>
        <v>8000</v>
      </c>
      <c r="CP78" s="109">
        <f t="shared" si="133"/>
        <v>1280.0000000000002</v>
      </c>
      <c r="CQ78" s="109">
        <v>9280</v>
      </c>
      <c r="CR78" s="109">
        <f t="shared" si="134"/>
        <v>0</v>
      </c>
      <c r="CS78" s="166">
        <v>46028</v>
      </c>
      <c r="CT78" s="167">
        <f t="shared" si="135"/>
        <v>10</v>
      </c>
      <c r="CU78" s="165">
        <f t="shared" si="136"/>
        <v>46049</v>
      </c>
      <c r="CV78" s="109">
        <f t="shared" si="137"/>
        <v>8000</v>
      </c>
      <c r="CW78" s="109">
        <f t="shared" si="138"/>
        <v>1280.0000000000002</v>
      </c>
      <c r="CX78" s="109">
        <v>9280</v>
      </c>
      <c r="CY78" s="109">
        <f t="shared" si="139"/>
        <v>0</v>
      </c>
      <c r="CZ78" s="166">
        <v>46028</v>
      </c>
      <c r="DA78" s="167">
        <f t="shared" si="140"/>
        <v>0</v>
      </c>
      <c r="DB78" s="165">
        <f t="shared" si="141"/>
        <v>46080</v>
      </c>
      <c r="DC78" s="109">
        <f t="shared" si="142"/>
        <v>0</v>
      </c>
      <c r="DD78" s="109">
        <f t="shared" si="143"/>
        <v>0</v>
      </c>
      <c r="DE78" s="109"/>
      <c r="DF78" s="109">
        <f t="shared" si="144"/>
        <v>0</v>
      </c>
      <c r="DG78" s="166">
        <f t="shared" ca="1" si="199"/>
        <v>46054</v>
      </c>
      <c r="DH78" s="167">
        <f t="shared" ca="1" si="145"/>
        <v>0</v>
      </c>
      <c r="DI78" s="165">
        <f t="shared" si="146"/>
        <v>46108</v>
      </c>
      <c r="DJ78" s="109">
        <f t="shared" si="147"/>
        <v>0</v>
      </c>
      <c r="DK78" s="109">
        <f t="shared" si="148"/>
        <v>0</v>
      </c>
      <c r="DL78" s="109">
        <v>0</v>
      </c>
      <c r="DM78" s="109">
        <f t="shared" si="149"/>
        <v>0</v>
      </c>
      <c r="DN78" s="166">
        <f t="shared" ca="1" si="200"/>
        <v>46054</v>
      </c>
      <c r="DO78" s="167">
        <f t="shared" ca="1" si="150"/>
        <v>0</v>
      </c>
      <c r="DP78" s="165">
        <f t="shared" si="206"/>
        <v>46139</v>
      </c>
      <c r="DQ78" s="109">
        <f t="shared" si="151"/>
        <v>0</v>
      </c>
      <c r="DR78" s="109">
        <f t="shared" si="207"/>
        <v>0</v>
      </c>
      <c r="DS78" s="109"/>
      <c r="DT78" s="109">
        <f t="shared" si="152"/>
        <v>0</v>
      </c>
      <c r="DU78" s="166">
        <f t="shared" ca="1" si="201"/>
        <v>46054</v>
      </c>
      <c r="DV78" s="167">
        <f t="shared" ca="1" si="153"/>
        <v>0</v>
      </c>
      <c r="DW78" s="165">
        <f t="shared" si="154"/>
        <v>46169</v>
      </c>
      <c r="DX78" s="109">
        <f t="shared" si="155"/>
        <v>0</v>
      </c>
      <c r="DY78" s="109">
        <f t="shared" si="156"/>
        <v>0</v>
      </c>
      <c r="DZ78" s="109"/>
      <c r="EA78" s="109">
        <f t="shared" si="157"/>
        <v>0</v>
      </c>
      <c r="EB78" s="166">
        <f t="shared" ca="1" si="202"/>
        <v>46054</v>
      </c>
      <c r="EC78" s="167">
        <f t="shared" ca="1" si="158"/>
        <v>0</v>
      </c>
      <c r="ED78" s="165">
        <f t="shared" si="159"/>
        <v>46200</v>
      </c>
      <c r="EE78" s="109">
        <f t="shared" si="160"/>
        <v>0</v>
      </c>
      <c r="EF78" s="109">
        <f t="shared" si="161"/>
        <v>0</v>
      </c>
      <c r="EG78" s="109"/>
      <c r="EH78" s="109">
        <f t="shared" si="162"/>
        <v>0</v>
      </c>
      <c r="EI78" s="166">
        <f t="shared" ca="1" si="203"/>
        <v>46054</v>
      </c>
      <c r="EJ78" s="167">
        <f t="shared" ca="1" si="163"/>
        <v>0</v>
      </c>
      <c r="EK78" s="165">
        <f t="shared" si="164"/>
        <v>46230</v>
      </c>
      <c r="EL78" s="109">
        <f t="shared" si="165"/>
        <v>0</v>
      </c>
      <c r="EM78" s="109">
        <f t="shared" si="166"/>
        <v>0</v>
      </c>
      <c r="EN78" s="109"/>
      <c r="EO78" s="109">
        <f t="shared" si="167"/>
        <v>0</v>
      </c>
      <c r="EP78" s="166">
        <f t="shared" ca="1" si="204"/>
        <v>46054</v>
      </c>
      <c r="EQ78" s="167">
        <f t="shared" ca="1" si="168"/>
        <v>0</v>
      </c>
      <c r="ER78" s="165">
        <f t="shared" si="169"/>
        <v>46261</v>
      </c>
      <c r="ES78" s="109">
        <f t="shared" si="170"/>
        <v>0</v>
      </c>
      <c r="ET78" s="109">
        <f t="shared" si="171"/>
        <v>0</v>
      </c>
      <c r="EU78" s="109"/>
      <c r="EV78" s="109"/>
      <c r="EW78" s="166"/>
      <c r="EX78" s="166"/>
      <c r="EY78" s="165">
        <f t="shared" si="172"/>
        <v>46292</v>
      </c>
      <c r="EZ78" s="109">
        <f t="shared" si="173"/>
        <v>0</v>
      </c>
      <c r="FA78" s="109">
        <f t="shared" si="174"/>
        <v>0</v>
      </c>
      <c r="FB78" s="109"/>
      <c r="FC78" s="109"/>
      <c r="FD78" s="166"/>
      <c r="FE78" s="166"/>
      <c r="FF78" s="165">
        <f t="shared" si="175"/>
        <v>46322</v>
      </c>
      <c r="FG78" s="109">
        <f t="shared" si="176"/>
        <v>0</v>
      </c>
      <c r="FH78" s="109">
        <f t="shared" si="177"/>
        <v>0</v>
      </c>
      <c r="FI78" s="109"/>
      <c r="FJ78" s="109"/>
      <c r="FK78" s="166"/>
      <c r="FL78" s="166"/>
      <c r="FM78" s="165">
        <f t="shared" si="178"/>
        <v>46353</v>
      </c>
      <c r="FN78" s="109">
        <f t="shared" si="179"/>
        <v>0</v>
      </c>
      <c r="FO78" s="109">
        <f t="shared" si="180"/>
        <v>0</v>
      </c>
      <c r="FP78" s="109"/>
      <c r="FQ78" s="109"/>
      <c r="FR78" s="166"/>
      <c r="FS78" s="166"/>
      <c r="FT78" s="165"/>
      <c r="FU78" s="109">
        <f>FW78-FV78</f>
        <v>0</v>
      </c>
      <c r="FV78" s="109">
        <f>FW78/(1+AM78)*AM78</f>
        <v>0</v>
      </c>
      <c r="FW78" s="109"/>
      <c r="FX78" s="109"/>
      <c r="FY78" s="166"/>
      <c r="FZ78" s="166"/>
      <c r="GA78" s="165"/>
      <c r="GB78" s="109">
        <f>GD78-GC78</f>
        <v>0</v>
      </c>
      <c r="GC78" s="109">
        <f>GD78/(1+AM78)*AM78</f>
        <v>0</v>
      </c>
      <c r="GD78" s="109"/>
      <c r="GE78" s="109"/>
      <c r="GF78" s="166"/>
      <c r="GG78" s="166"/>
      <c r="GH78" s="165"/>
      <c r="GI78" s="109">
        <f>GK78-GJ78</f>
        <v>0</v>
      </c>
      <c r="GJ78" s="109">
        <f>GK78/(1+AM78)*AM78</f>
        <v>0</v>
      </c>
      <c r="GK78" s="109"/>
      <c r="GL78" s="109"/>
      <c r="GM78" s="166"/>
      <c r="GN78" s="166"/>
      <c r="GO78" s="165"/>
      <c r="GP78" s="109">
        <f>GR78-GQ78</f>
        <v>0</v>
      </c>
      <c r="GQ78" s="109">
        <f>GR78/(1+AM78)*AM78</f>
        <v>0</v>
      </c>
      <c r="GR78" s="109"/>
      <c r="GS78" s="109"/>
      <c r="GT78" s="166"/>
      <c r="GU78" s="166"/>
      <c r="GV78" s="165"/>
      <c r="GW78" s="168">
        <f>GY78-GX78</f>
        <v>0</v>
      </c>
      <c r="GX78" s="168">
        <f>GY78/(1+AM78)*AM78</f>
        <v>0</v>
      </c>
      <c r="GY78" s="168"/>
      <c r="GZ78" s="168"/>
      <c r="HA78" s="166"/>
      <c r="HB78" s="166"/>
      <c r="HC78" s="165"/>
      <c r="HD78" s="109">
        <f>HF78-HE78</f>
        <v>0</v>
      </c>
      <c r="HE78" s="109">
        <f>HF78/(1+AM78)*AM78</f>
        <v>0</v>
      </c>
      <c r="HF78" s="109"/>
      <c r="HG78" s="109"/>
      <c r="HH78" s="166"/>
      <c r="HI78" s="166"/>
      <c r="HJ78" s="165"/>
      <c r="HK78" s="109">
        <f>HM78-HL78</f>
        <v>0</v>
      </c>
      <c r="HL78" s="109">
        <f>HM78/(1+AM78)*AM78</f>
        <v>0</v>
      </c>
      <c r="HM78" s="109"/>
      <c r="HN78" s="109"/>
      <c r="HO78" s="166"/>
      <c r="HP78" s="166"/>
      <c r="HQ78" s="165"/>
      <c r="HR78" s="109">
        <f>HT78-HS78</f>
        <v>0</v>
      </c>
      <c r="HS78" s="109">
        <f>HT78/(1+AM78)*AM78</f>
        <v>0</v>
      </c>
      <c r="HT78" s="109"/>
      <c r="HU78" s="109"/>
      <c r="HV78" s="166"/>
      <c r="HW78" s="166"/>
      <c r="HX78" s="105">
        <f t="shared" si="198"/>
        <v>16000</v>
      </c>
      <c r="HY78" s="105">
        <f t="shared" si="198"/>
        <v>2560.0000000000005</v>
      </c>
      <c r="HZ78" s="105">
        <f t="shared" si="198"/>
        <v>18560</v>
      </c>
      <c r="IA78" s="105">
        <f t="shared" si="181"/>
        <v>0</v>
      </c>
      <c r="IB78" s="109">
        <f t="shared" si="182"/>
        <v>120640</v>
      </c>
      <c r="IC78" s="109">
        <f t="shared" si="183"/>
        <v>104000</v>
      </c>
      <c r="ID78" s="109">
        <f t="shared" si="184"/>
        <v>0</v>
      </c>
      <c r="IE78" s="109">
        <f t="shared" ca="1" si="185"/>
        <v>10</v>
      </c>
      <c r="IF78" s="139">
        <f t="shared" si="186"/>
        <v>2</v>
      </c>
      <c r="IG78" s="139">
        <f t="shared" ca="1" si="187"/>
        <v>36</v>
      </c>
      <c r="IH78" s="169">
        <f t="shared" ca="1" si="188"/>
        <v>1.2</v>
      </c>
      <c r="II78" s="139">
        <f t="shared" ca="1" si="189"/>
        <v>-0.8</v>
      </c>
      <c r="IJ78" s="169">
        <f t="shared" ca="1" si="190"/>
        <v>0</v>
      </c>
      <c r="IK78" s="169">
        <f t="shared" ca="1" si="196"/>
        <v>-0.8</v>
      </c>
      <c r="IL78" s="170">
        <f t="shared" ca="1" si="191"/>
        <v>-7424</v>
      </c>
      <c r="IM78" s="171"/>
      <c r="IN78" s="171"/>
      <c r="IO78" s="171"/>
      <c r="IP78" s="171"/>
    </row>
    <row r="79" spans="1:250" ht="15" customHeight="1" thickBot="1" x14ac:dyDescent="0.35">
      <c r="A79" s="110">
        <f t="shared" si="192"/>
        <v>75</v>
      </c>
      <c r="B79" s="111" t="s">
        <v>385</v>
      </c>
      <c r="C79" s="111" t="s">
        <v>386</v>
      </c>
      <c r="D79" s="111">
        <v>103</v>
      </c>
      <c r="E79" s="111" t="s">
        <v>881</v>
      </c>
      <c r="F79" s="111"/>
      <c r="G79" s="111" t="s">
        <v>986</v>
      </c>
      <c r="H79" s="111">
        <v>1031100012</v>
      </c>
      <c r="I79" s="146" t="str">
        <f t="shared" si="124"/>
        <v>1100012</v>
      </c>
      <c r="J79" s="145" t="str">
        <f t="shared" si="125"/>
        <v>NG1100012</v>
      </c>
      <c r="K79" s="111" t="s">
        <v>987</v>
      </c>
      <c r="L79" s="111" t="s">
        <v>988</v>
      </c>
      <c r="M79" s="111" t="s">
        <v>989</v>
      </c>
      <c r="N79" s="111" t="s">
        <v>138</v>
      </c>
      <c r="O79" s="111"/>
      <c r="P79" s="111" t="s">
        <v>990</v>
      </c>
      <c r="Q79" s="148">
        <v>35635</v>
      </c>
      <c r="R79" s="111" t="s">
        <v>170</v>
      </c>
      <c r="S79" s="111">
        <f t="shared" ca="1" si="197"/>
        <v>28</v>
      </c>
      <c r="T79" s="111" t="s">
        <v>991</v>
      </c>
      <c r="U79" s="111" t="s">
        <v>910</v>
      </c>
      <c r="V79" s="181">
        <v>771224848</v>
      </c>
      <c r="W79" s="111"/>
      <c r="X79" s="111" t="s">
        <v>181</v>
      </c>
      <c r="Y79" s="111">
        <v>11</v>
      </c>
      <c r="Z79" s="111" t="s">
        <v>235</v>
      </c>
      <c r="AA79" s="111" t="s">
        <v>261</v>
      </c>
      <c r="AB79" s="111" t="s">
        <v>236</v>
      </c>
      <c r="AC79" s="111" t="s">
        <v>146</v>
      </c>
      <c r="AD79" s="111" t="s">
        <v>147</v>
      </c>
      <c r="AE79" s="173" t="s">
        <v>136</v>
      </c>
      <c r="AF79" s="173" t="s">
        <v>136</v>
      </c>
      <c r="AG79" s="174">
        <v>45942</v>
      </c>
      <c r="AH79" s="175">
        <v>30000</v>
      </c>
      <c r="AI79" s="111">
        <v>12</v>
      </c>
      <c r="AJ79" s="111">
        <v>0</v>
      </c>
      <c r="AK79" s="150">
        <f t="shared" si="193"/>
        <v>12</v>
      </c>
      <c r="AL79" s="177">
        <v>30000</v>
      </c>
      <c r="AM79" s="176">
        <v>0.16</v>
      </c>
      <c r="AN79" s="177">
        <f t="shared" si="205"/>
        <v>4800</v>
      </c>
      <c r="AO79" s="157">
        <f t="shared" si="209"/>
        <v>34800</v>
      </c>
      <c r="AP79" s="158">
        <f t="shared" si="126"/>
        <v>2900</v>
      </c>
      <c r="AQ79" s="111" t="s">
        <v>136</v>
      </c>
      <c r="AR79" s="111" t="s">
        <v>170</v>
      </c>
      <c r="AS79" s="111" t="s">
        <v>950</v>
      </c>
      <c r="AT79" s="111" t="s">
        <v>992</v>
      </c>
      <c r="AU79" s="111" t="s">
        <v>993</v>
      </c>
      <c r="AV79" s="111">
        <v>6</v>
      </c>
      <c r="AW79" s="111" t="s">
        <v>136</v>
      </c>
      <c r="AX79" s="111" t="s">
        <v>136</v>
      </c>
      <c r="AY79" s="111" t="s">
        <v>136</v>
      </c>
      <c r="AZ79" s="111" t="s">
        <v>136</v>
      </c>
      <c r="BA79" s="111" t="s">
        <v>136</v>
      </c>
      <c r="BB79" s="111" t="s">
        <v>136</v>
      </c>
      <c r="BC79" s="111" t="s">
        <v>136</v>
      </c>
      <c r="BD79" s="111" t="s">
        <v>136</v>
      </c>
      <c r="BE79" s="111" t="s">
        <v>136</v>
      </c>
      <c r="BF79" s="111" t="s">
        <v>136</v>
      </c>
      <c r="BG79" s="111" t="s">
        <v>136</v>
      </c>
      <c r="BH79" s="111" t="s">
        <v>136</v>
      </c>
      <c r="BI79" s="111" t="s">
        <v>136</v>
      </c>
      <c r="BJ79" s="111" t="s">
        <v>136</v>
      </c>
      <c r="BK79" s="111" t="s">
        <v>136</v>
      </c>
      <c r="BL79" s="111" t="s">
        <v>136</v>
      </c>
      <c r="BM79" s="111" t="s">
        <v>136</v>
      </c>
      <c r="BN79" s="111" t="s">
        <v>136</v>
      </c>
      <c r="BO79" s="111" t="s">
        <v>136</v>
      </c>
      <c r="BP79" s="111" t="s">
        <v>994</v>
      </c>
      <c r="BQ79" s="111" t="s">
        <v>995</v>
      </c>
      <c r="BR79" s="111" t="s">
        <v>996</v>
      </c>
      <c r="BS79" s="111" t="s">
        <v>997</v>
      </c>
      <c r="BT79" s="182" t="s">
        <v>998</v>
      </c>
      <c r="BU79" s="111" t="s">
        <v>991</v>
      </c>
      <c r="BV79" s="111" t="s">
        <v>910</v>
      </c>
      <c r="BW79" s="111"/>
      <c r="BX79" s="111"/>
      <c r="BY79" s="111"/>
      <c r="BZ79" s="111"/>
      <c r="CA79" s="111"/>
      <c r="CB79" s="111"/>
      <c r="CC79" s="178"/>
      <c r="CD79" s="177">
        <f t="shared" si="127"/>
        <v>30000</v>
      </c>
      <c r="CE79" s="148">
        <v>45988</v>
      </c>
      <c r="CF79" s="111">
        <f t="shared" si="128"/>
        <v>12</v>
      </c>
      <c r="CG79" s="177">
        <f t="shared" si="129"/>
        <v>34800</v>
      </c>
      <c r="CH79" s="203">
        <f t="shared" si="208"/>
        <v>0</v>
      </c>
      <c r="CI79" s="148">
        <v>45988</v>
      </c>
      <c r="CJ79" s="161">
        <f t="shared" si="194"/>
        <v>46018</v>
      </c>
      <c r="CK79" s="162">
        <f t="shared" si="195"/>
        <v>46353</v>
      </c>
      <c r="CL79" s="183"/>
      <c r="CM79" s="164">
        <f t="shared" ca="1" si="130"/>
        <v>46054</v>
      </c>
      <c r="CN79" s="165">
        <f t="shared" si="131"/>
        <v>46018</v>
      </c>
      <c r="CO79" s="109">
        <f t="shared" si="132"/>
        <v>2500</v>
      </c>
      <c r="CP79" s="109">
        <f t="shared" si="133"/>
        <v>400</v>
      </c>
      <c r="CQ79" s="109">
        <v>2900</v>
      </c>
      <c r="CR79" s="109">
        <f t="shared" si="134"/>
        <v>0</v>
      </c>
      <c r="CS79" s="166">
        <v>46030</v>
      </c>
      <c r="CT79" s="167">
        <f t="shared" si="135"/>
        <v>12</v>
      </c>
      <c r="CU79" s="165">
        <f t="shared" si="136"/>
        <v>46049</v>
      </c>
      <c r="CV79" s="109">
        <f t="shared" si="137"/>
        <v>0</v>
      </c>
      <c r="CW79" s="109">
        <f t="shared" si="138"/>
        <v>0</v>
      </c>
      <c r="CX79" s="109"/>
      <c r="CY79" s="109">
        <f t="shared" si="139"/>
        <v>0</v>
      </c>
      <c r="CZ79" s="166">
        <f ca="1">TODAY()</f>
        <v>46054</v>
      </c>
      <c r="DA79" s="167">
        <f t="shared" ca="1" si="140"/>
        <v>5</v>
      </c>
      <c r="DB79" s="165">
        <f t="shared" si="141"/>
        <v>46080</v>
      </c>
      <c r="DC79" s="109">
        <f t="shared" si="142"/>
        <v>0</v>
      </c>
      <c r="DD79" s="109">
        <f t="shared" si="143"/>
        <v>0</v>
      </c>
      <c r="DE79" s="109"/>
      <c r="DF79" s="109">
        <f t="shared" si="144"/>
        <v>0</v>
      </c>
      <c r="DG79" s="166">
        <f t="shared" ca="1" si="199"/>
        <v>46054</v>
      </c>
      <c r="DH79" s="167">
        <f t="shared" ca="1" si="145"/>
        <v>0</v>
      </c>
      <c r="DI79" s="165">
        <f t="shared" si="146"/>
        <v>46108</v>
      </c>
      <c r="DJ79" s="109">
        <f t="shared" si="147"/>
        <v>0</v>
      </c>
      <c r="DK79" s="109">
        <f t="shared" si="148"/>
        <v>0</v>
      </c>
      <c r="DL79" s="109">
        <v>0</v>
      </c>
      <c r="DM79" s="109">
        <f t="shared" si="149"/>
        <v>0</v>
      </c>
      <c r="DN79" s="166">
        <f t="shared" ca="1" si="200"/>
        <v>46054</v>
      </c>
      <c r="DO79" s="167">
        <f t="shared" ca="1" si="150"/>
        <v>0</v>
      </c>
      <c r="DP79" s="165">
        <f t="shared" si="206"/>
        <v>46139</v>
      </c>
      <c r="DQ79" s="109">
        <f t="shared" si="151"/>
        <v>0</v>
      </c>
      <c r="DR79" s="109">
        <f t="shared" si="207"/>
        <v>0</v>
      </c>
      <c r="DS79" s="109"/>
      <c r="DT79" s="109">
        <f t="shared" si="152"/>
        <v>0</v>
      </c>
      <c r="DU79" s="166">
        <f t="shared" ca="1" si="201"/>
        <v>46054</v>
      </c>
      <c r="DV79" s="167">
        <f t="shared" ca="1" si="153"/>
        <v>0</v>
      </c>
      <c r="DW79" s="165">
        <f t="shared" si="154"/>
        <v>46169</v>
      </c>
      <c r="DX79" s="109">
        <f t="shared" si="155"/>
        <v>0</v>
      </c>
      <c r="DY79" s="109">
        <f t="shared" si="156"/>
        <v>0</v>
      </c>
      <c r="DZ79" s="109"/>
      <c r="EA79" s="109">
        <f t="shared" si="157"/>
        <v>0</v>
      </c>
      <c r="EB79" s="166">
        <f t="shared" ca="1" si="202"/>
        <v>46054</v>
      </c>
      <c r="EC79" s="167">
        <f t="shared" ca="1" si="158"/>
        <v>0</v>
      </c>
      <c r="ED79" s="165">
        <f t="shared" si="159"/>
        <v>46200</v>
      </c>
      <c r="EE79" s="109">
        <f t="shared" si="160"/>
        <v>0</v>
      </c>
      <c r="EF79" s="109">
        <f t="shared" si="161"/>
        <v>0</v>
      </c>
      <c r="EG79" s="109"/>
      <c r="EH79" s="109">
        <f t="shared" si="162"/>
        <v>0</v>
      </c>
      <c r="EI79" s="166">
        <f t="shared" ca="1" si="203"/>
        <v>46054</v>
      </c>
      <c r="EJ79" s="167">
        <f t="shared" ca="1" si="163"/>
        <v>0</v>
      </c>
      <c r="EK79" s="165">
        <f t="shared" si="164"/>
        <v>46230</v>
      </c>
      <c r="EL79" s="109">
        <f t="shared" si="165"/>
        <v>0</v>
      </c>
      <c r="EM79" s="109">
        <f t="shared" si="166"/>
        <v>0</v>
      </c>
      <c r="EN79" s="109"/>
      <c r="EO79" s="109">
        <f t="shared" si="167"/>
        <v>0</v>
      </c>
      <c r="EP79" s="166">
        <f t="shared" ca="1" si="204"/>
        <v>46054</v>
      </c>
      <c r="EQ79" s="167">
        <f t="shared" ca="1" si="168"/>
        <v>0</v>
      </c>
      <c r="ER79" s="165">
        <f t="shared" si="169"/>
        <v>46261</v>
      </c>
      <c r="ES79" s="109">
        <f t="shared" si="170"/>
        <v>0</v>
      </c>
      <c r="ET79" s="109">
        <f t="shared" si="171"/>
        <v>0</v>
      </c>
      <c r="EU79" s="109"/>
      <c r="EV79" s="109"/>
      <c r="EW79" s="166"/>
      <c r="EX79" s="166"/>
      <c r="EY79" s="165">
        <f t="shared" si="172"/>
        <v>46292</v>
      </c>
      <c r="EZ79" s="109">
        <f t="shared" si="173"/>
        <v>0</v>
      </c>
      <c r="FA79" s="109">
        <f t="shared" si="174"/>
        <v>0</v>
      </c>
      <c r="FB79" s="109"/>
      <c r="FC79" s="109"/>
      <c r="FD79" s="166"/>
      <c r="FE79" s="166"/>
      <c r="FF79" s="165">
        <f t="shared" si="175"/>
        <v>46322</v>
      </c>
      <c r="FG79" s="109">
        <f t="shared" si="176"/>
        <v>0</v>
      </c>
      <c r="FH79" s="109">
        <f t="shared" si="177"/>
        <v>0</v>
      </c>
      <c r="FI79" s="109"/>
      <c r="FJ79" s="109"/>
      <c r="FK79" s="166"/>
      <c r="FL79" s="166"/>
      <c r="FM79" s="165">
        <f t="shared" si="178"/>
        <v>46353</v>
      </c>
      <c r="FN79" s="109">
        <f t="shared" si="179"/>
        <v>0</v>
      </c>
      <c r="FO79" s="109">
        <f t="shared" si="180"/>
        <v>0</v>
      </c>
      <c r="FP79" s="109"/>
      <c r="FQ79" s="109"/>
      <c r="FR79" s="166"/>
      <c r="FS79" s="166"/>
      <c r="FT79" s="165"/>
      <c r="FU79" s="109"/>
      <c r="FV79" s="109"/>
      <c r="FW79" s="109"/>
      <c r="FX79" s="109"/>
      <c r="FY79" s="166"/>
      <c r="FZ79" s="166"/>
      <c r="GA79" s="165"/>
      <c r="GB79" s="109"/>
      <c r="GC79" s="109"/>
      <c r="GD79" s="109"/>
      <c r="GE79" s="109"/>
      <c r="GF79" s="166"/>
      <c r="GG79" s="166"/>
      <c r="GH79" s="165"/>
      <c r="GI79" s="109"/>
      <c r="GJ79" s="109"/>
      <c r="GK79" s="109"/>
      <c r="GL79" s="109"/>
      <c r="GM79" s="166"/>
      <c r="GN79" s="166"/>
      <c r="GO79" s="165"/>
      <c r="GP79" s="109"/>
      <c r="GQ79" s="109"/>
      <c r="GR79" s="109"/>
      <c r="GS79" s="109"/>
      <c r="GT79" s="166"/>
      <c r="GU79" s="166"/>
      <c r="GV79" s="165"/>
      <c r="GW79" s="168"/>
      <c r="GX79" s="168"/>
      <c r="GY79" s="168"/>
      <c r="GZ79" s="168"/>
      <c r="HA79" s="166"/>
      <c r="HB79" s="166"/>
      <c r="HC79" s="165"/>
      <c r="HD79" s="109"/>
      <c r="HE79" s="109"/>
      <c r="HF79" s="109"/>
      <c r="HG79" s="109"/>
      <c r="HH79" s="166"/>
      <c r="HI79" s="166"/>
      <c r="HJ79" s="165"/>
      <c r="HK79" s="109"/>
      <c r="HL79" s="109"/>
      <c r="HM79" s="109"/>
      <c r="HN79" s="109"/>
      <c r="HO79" s="166"/>
      <c r="HP79" s="166"/>
      <c r="HQ79" s="165"/>
      <c r="HR79" s="109"/>
      <c r="HS79" s="109"/>
      <c r="HT79" s="109"/>
      <c r="HU79" s="109"/>
      <c r="HV79" s="166"/>
      <c r="HW79" s="166"/>
      <c r="HX79" s="105">
        <f t="shared" si="198"/>
        <v>2500</v>
      </c>
      <c r="HY79" s="105">
        <f t="shared" si="198"/>
        <v>400</v>
      </c>
      <c r="HZ79" s="105">
        <f t="shared" si="198"/>
        <v>2900</v>
      </c>
      <c r="IA79" s="105">
        <f t="shared" si="181"/>
        <v>0</v>
      </c>
      <c r="IB79" s="109">
        <f t="shared" si="182"/>
        <v>31900</v>
      </c>
      <c r="IC79" s="109">
        <f t="shared" si="183"/>
        <v>27500</v>
      </c>
      <c r="ID79" s="109">
        <f t="shared" si="184"/>
        <v>0</v>
      </c>
      <c r="IE79" s="109">
        <f t="shared" ca="1" si="185"/>
        <v>17</v>
      </c>
      <c r="IF79" s="139">
        <f t="shared" si="186"/>
        <v>1</v>
      </c>
      <c r="IG79" s="139">
        <f t="shared" ca="1" si="187"/>
        <v>36</v>
      </c>
      <c r="IH79" s="169">
        <f t="shared" ca="1" si="188"/>
        <v>1.2</v>
      </c>
      <c r="II79" s="139">
        <f t="shared" ca="1" si="189"/>
        <v>0.19999999999999996</v>
      </c>
      <c r="IJ79" s="169">
        <f t="shared" ca="1" si="190"/>
        <v>5.9999999999999982</v>
      </c>
      <c r="IK79" s="169">
        <f t="shared" ca="1" si="196"/>
        <v>0.19999999999999996</v>
      </c>
      <c r="IL79" s="170">
        <f t="shared" ca="1" si="191"/>
        <v>579.99999999999989</v>
      </c>
      <c r="IM79" s="171"/>
      <c r="IN79" s="171"/>
      <c r="IO79" s="171"/>
      <c r="IP79" s="171"/>
    </row>
    <row r="80" spans="1:250" ht="15" customHeight="1" thickBot="1" x14ac:dyDescent="0.35">
      <c r="A80" s="110">
        <f t="shared" si="192"/>
        <v>76</v>
      </c>
      <c r="B80" s="111" t="s">
        <v>385</v>
      </c>
      <c r="C80" s="111" t="s">
        <v>386</v>
      </c>
      <c r="D80" s="111">
        <v>103</v>
      </c>
      <c r="E80" s="111" t="s">
        <v>881</v>
      </c>
      <c r="F80" s="111"/>
      <c r="G80" s="111" t="s">
        <v>999</v>
      </c>
      <c r="H80" s="111">
        <v>1031100013</v>
      </c>
      <c r="I80" s="146" t="str">
        <f t="shared" si="124"/>
        <v>1100013</v>
      </c>
      <c r="J80" s="145" t="str">
        <f t="shared" si="125"/>
        <v>NG1100013</v>
      </c>
      <c r="K80" s="111" t="s">
        <v>1000</v>
      </c>
      <c r="L80" s="111" t="s">
        <v>1001</v>
      </c>
      <c r="M80" s="111" t="s">
        <v>1002</v>
      </c>
      <c r="N80" s="111" t="s">
        <v>138</v>
      </c>
      <c r="O80" s="111"/>
      <c r="P80" s="111" t="s">
        <v>1003</v>
      </c>
      <c r="Q80" s="148">
        <v>30445</v>
      </c>
      <c r="R80" s="111" t="s">
        <v>193</v>
      </c>
      <c r="S80" s="111">
        <f t="shared" ca="1" si="197"/>
        <v>42</v>
      </c>
      <c r="T80" s="111" t="s">
        <v>1004</v>
      </c>
      <c r="U80" s="111" t="s">
        <v>910</v>
      </c>
      <c r="V80" s="181">
        <v>789115160</v>
      </c>
      <c r="W80" s="111"/>
      <c r="X80" s="111" t="s">
        <v>181</v>
      </c>
      <c r="Y80" s="111">
        <v>11</v>
      </c>
      <c r="Z80" s="111" t="s">
        <v>1005</v>
      </c>
      <c r="AA80" s="111" t="s">
        <v>1006</v>
      </c>
      <c r="AB80" s="111" t="s">
        <v>1007</v>
      </c>
      <c r="AC80" s="111" t="s">
        <v>146</v>
      </c>
      <c r="AD80" s="111" t="s">
        <v>147</v>
      </c>
      <c r="AE80" s="173" t="s">
        <v>136</v>
      </c>
      <c r="AF80" s="173" t="s">
        <v>136</v>
      </c>
      <c r="AG80" s="174">
        <v>45848</v>
      </c>
      <c r="AH80" s="175">
        <v>80000</v>
      </c>
      <c r="AI80" s="111">
        <v>12</v>
      </c>
      <c r="AJ80" s="111">
        <v>0</v>
      </c>
      <c r="AK80" s="150">
        <f t="shared" si="193"/>
        <v>12</v>
      </c>
      <c r="AL80" s="177">
        <v>50000</v>
      </c>
      <c r="AM80" s="176">
        <v>0.16</v>
      </c>
      <c r="AN80" s="177">
        <f t="shared" si="205"/>
        <v>8000</v>
      </c>
      <c r="AO80" s="157">
        <f t="shared" si="209"/>
        <v>58000</v>
      </c>
      <c r="AP80" s="158">
        <f t="shared" si="126"/>
        <v>4833.333333333333</v>
      </c>
      <c r="AQ80" s="111" t="s">
        <v>136</v>
      </c>
      <c r="AR80" s="111" t="s">
        <v>385</v>
      </c>
      <c r="AS80" s="111" t="s">
        <v>950</v>
      </c>
      <c r="AT80" s="111" t="s">
        <v>1008</v>
      </c>
      <c r="AU80" s="111" t="s">
        <v>1009</v>
      </c>
      <c r="AV80" s="111">
        <v>8</v>
      </c>
      <c r="AW80" s="111" t="s">
        <v>136</v>
      </c>
      <c r="AX80" s="111" t="s">
        <v>136</v>
      </c>
      <c r="AY80" s="111" t="s">
        <v>136</v>
      </c>
      <c r="AZ80" s="111" t="s">
        <v>136</v>
      </c>
      <c r="BA80" s="111" t="s">
        <v>136</v>
      </c>
      <c r="BB80" s="111" t="s">
        <v>136</v>
      </c>
      <c r="BC80" s="111" t="s">
        <v>136</v>
      </c>
      <c r="BD80" s="111" t="s">
        <v>136</v>
      </c>
      <c r="BE80" s="111" t="s">
        <v>136</v>
      </c>
      <c r="BF80" s="111" t="s">
        <v>136</v>
      </c>
      <c r="BG80" s="111" t="s">
        <v>136</v>
      </c>
      <c r="BH80" s="111" t="s">
        <v>136</v>
      </c>
      <c r="BI80" s="111" t="s">
        <v>136</v>
      </c>
      <c r="BJ80" s="111" t="s">
        <v>136</v>
      </c>
      <c r="BK80" s="111" t="s">
        <v>136</v>
      </c>
      <c r="BL80" s="111" t="s">
        <v>136</v>
      </c>
      <c r="BM80" s="111" t="s">
        <v>136</v>
      </c>
      <c r="BN80" s="111" t="s">
        <v>136</v>
      </c>
      <c r="BO80" s="111" t="s">
        <v>136</v>
      </c>
      <c r="BP80" s="111" t="s">
        <v>1010</v>
      </c>
      <c r="BQ80" s="111" t="s">
        <v>1011</v>
      </c>
      <c r="BR80" s="111" t="s">
        <v>1002</v>
      </c>
      <c r="BS80" s="111" t="s">
        <v>1012</v>
      </c>
      <c r="BT80" s="182" t="s">
        <v>1013</v>
      </c>
      <c r="BU80" s="111" t="s">
        <v>1004</v>
      </c>
      <c r="BV80" s="111" t="s">
        <v>910</v>
      </c>
      <c r="BW80" s="111"/>
      <c r="BX80" s="111"/>
      <c r="BY80" s="111"/>
      <c r="BZ80" s="111"/>
      <c r="CA80" s="111"/>
      <c r="CB80" s="111"/>
      <c r="CC80" s="178"/>
      <c r="CD80" s="177">
        <f t="shared" si="127"/>
        <v>50000</v>
      </c>
      <c r="CE80" s="148">
        <v>45991</v>
      </c>
      <c r="CF80" s="111">
        <f t="shared" si="128"/>
        <v>12</v>
      </c>
      <c r="CG80" s="177">
        <f t="shared" si="129"/>
        <v>58000</v>
      </c>
      <c r="CH80" s="203">
        <f t="shared" si="208"/>
        <v>0</v>
      </c>
      <c r="CI80" s="148">
        <v>45991</v>
      </c>
      <c r="CJ80" s="161">
        <f t="shared" si="194"/>
        <v>46021</v>
      </c>
      <c r="CK80" s="162">
        <f t="shared" si="195"/>
        <v>46356</v>
      </c>
      <c r="CL80" s="183"/>
      <c r="CM80" s="164">
        <f t="shared" ca="1" si="130"/>
        <v>46054</v>
      </c>
      <c r="CN80" s="165">
        <f t="shared" si="131"/>
        <v>46021</v>
      </c>
      <c r="CO80" s="109">
        <f t="shared" si="132"/>
        <v>4166.3793103448279</v>
      </c>
      <c r="CP80" s="109">
        <f t="shared" si="133"/>
        <v>666.62068965517244</v>
      </c>
      <c r="CQ80" s="109">
        <v>4833</v>
      </c>
      <c r="CR80" s="109">
        <f t="shared" si="134"/>
        <v>-0.33333333333303017</v>
      </c>
      <c r="CS80" s="166">
        <v>46028</v>
      </c>
      <c r="CT80" s="167">
        <f t="shared" si="135"/>
        <v>7</v>
      </c>
      <c r="CU80" s="165">
        <f t="shared" si="136"/>
        <v>46052</v>
      </c>
      <c r="CV80" s="109">
        <f t="shared" si="137"/>
        <v>4166.3793103448279</v>
      </c>
      <c r="CW80" s="109">
        <f t="shared" si="138"/>
        <v>666.62068965517244</v>
      </c>
      <c r="CX80" s="109">
        <v>4833</v>
      </c>
      <c r="CY80" s="109">
        <f t="shared" si="139"/>
        <v>-0.33333333333303017</v>
      </c>
      <c r="CZ80" s="166">
        <v>46028</v>
      </c>
      <c r="DA80" s="167">
        <f t="shared" si="140"/>
        <v>0</v>
      </c>
      <c r="DB80" s="165">
        <f t="shared" si="141"/>
        <v>46081</v>
      </c>
      <c r="DC80" s="109">
        <f t="shared" si="142"/>
        <v>0</v>
      </c>
      <c r="DD80" s="109">
        <f t="shared" si="143"/>
        <v>0</v>
      </c>
      <c r="DE80" s="109"/>
      <c r="DF80" s="109">
        <f t="shared" si="144"/>
        <v>0</v>
      </c>
      <c r="DG80" s="166">
        <f t="shared" ca="1" si="199"/>
        <v>46054</v>
      </c>
      <c r="DH80" s="167">
        <f t="shared" ca="1" si="145"/>
        <v>0</v>
      </c>
      <c r="DI80" s="165">
        <f t="shared" si="146"/>
        <v>46109</v>
      </c>
      <c r="DJ80" s="109">
        <f t="shared" si="147"/>
        <v>0</v>
      </c>
      <c r="DK80" s="109">
        <f t="shared" si="148"/>
        <v>0</v>
      </c>
      <c r="DL80" s="109">
        <v>0</v>
      </c>
      <c r="DM80" s="109">
        <f t="shared" si="149"/>
        <v>0</v>
      </c>
      <c r="DN80" s="166">
        <f t="shared" ca="1" si="200"/>
        <v>46054</v>
      </c>
      <c r="DO80" s="167">
        <f t="shared" ca="1" si="150"/>
        <v>0</v>
      </c>
      <c r="DP80" s="165">
        <f t="shared" si="206"/>
        <v>46140</v>
      </c>
      <c r="DQ80" s="109">
        <f t="shared" si="151"/>
        <v>0</v>
      </c>
      <c r="DR80" s="109">
        <f t="shared" si="207"/>
        <v>0</v>
      </c>
      <c r="DS80" s="109"/>
      <c r="DT80" s="109">
        <f t="shared" si="152"/>
        <v>0</v>
      </c>
      <c r="DU80" s="166">
        <f t="shared" ca="1" si="201"/>
        <v>46054</v>
      </c>
      <c r="DV80" s="167">
        <f t="shared" ca="1" si="153"/>
        <v>0</v>
      </c>
      <c r="DW80" s="165">
        <f t="shared" si="154"/>
        <v>46170</v>
      </c>
      <c r="DX80" s="109">
        <f t="shared" si="155"/>
        <v>0</v>
      </c>
      <c r="DY80" s="109">
        <f t="shared" si="156"/>
        <v>0</v>
      </c>
      <c r="DZ80" s="109"/>
      <c r="EA80" s="109">
        <f t="shared" si="157"/>
        <v>0</v>
      </c>
      <c r="EB80" s="166">
        <f t="shared" ca="1" si="202"/>
        <v>46054</v>
      </c>
      <c r="EC80" s="167">
        <f t="shared" ca="1" si="158"/>
        <v>0</v>
      </c>
      <c r="ED80" s="165">
        <f t="shared" si="159"/>
        <v>46201</v>
      </c>
      <c r="EE80" s="109">
        <f t="shared" si="160"/>
        <v>0</v>
      </c>
      <c r="EF80" s="109">
        <f t="shared" si="161"/>
        <v>0</v>
      </c>
      <c r="EG80" s="109"/>
      <c r="EH80" s="109">
        <f t="shared" si="162"/>
        <v>0</v>
      </c>
      <c r="EI80" s="166">
        <f t="shared" ca="1" si="203"/>
        <v>46054</v>
      </c>
      <c r="EJ80" s="167">
        <f t="shared" ca="1" si="163"/>
        <v>0</v>
      </c>
      <c r="EK80" s="165">
        <f t="shared" si="164"/>
        <v>46231</v>
      </c>
      <c r="EL80" s="109">
        <f t="shared" si="165"/>
        <v>0</v>
      </c>
      <c r="EM80" s="109">
        <f t="shared" si="166"/>
        <v>0</v>
      </c>
      <c r="EN80" s="109"/>
      <c r="EO80" s="109">
        <f t="shared" si="167"/>
        <v>0</v>
      </c>
      <c r="EP80" s="166">
        <f t="shared" ca="1" si="204"/>
        <v>46054</v>
      </c>
      <c r="EQ80" s="167">
        <f t="shared" ca="1" si="168"/>
        <v>0</v>
      </c>
      <c r="ER80" s="165">
        <f t="shared" si="169"/>
        <v>46262</v>
      </c>
      <c r="ES80" s="109">
        <f t="shared" si="170"/>
        <v>0</v>
      </c>
      <c r="ET80" s="109">
        <f t="shared" si="171"/>
        <v>0</v>
      </c>
      <c r="EU80" s="109"/>
      <c r="EV80" s="109"/>
      <c r="EW80" s="166"/>
      <c r="EX80" s="166"/>
      <c r="EY80" s="165">
        <f t="shared" si="172"/>
        <v>46293</v>
      </c>
      <c r="EZ80" s="109">
        <f t="shared" si="173"/>
        <v>0</v>
      </c>
      <c r="FA80" s="109">
        <f t="shared" si="174"/>
        <v>0</v>
      </c>
      <c r="FB80" s="109"/>
      <c r="FC80" s="109"/>
      <c r="FD80" s="166"/>
      <c r="FE80" s="166"/>
      <c r="FF80" s="165">
        <f t="shared" si="175"/>
        <v>46323</v>
      </c>
      <c r="FG80" s="109">
        <f t="shared" si="176"/>
        <v>0</v>
      </c>
      <c r="FH80" s="109">
        <f t="shared" si="177"/>
        <v>0</v>
      </c>
      <c r="FI80" s="109"/>
      <c r="FJ80" s="109"/>
      <c r="FK80" s="166"/>
      <c r="FL80" s="166"/>
      <c r="FM80" s="165">
        <f t="shared" si="178"/>
        <v>46354</v>
      </c>
      <c r="FN80" s="109">
        <f t="shared" si="179"/>
        <v>0</v>
      </c>
      <c r="FO80" s="109">
        <f t="shared" si="180"/>
        <v>0</v>
      </c>
      <c r="FP80" s="109"/>
      <c r="FQ80" s="109"/>
      <c r="FR80" s="166"/>
      <c r="FS80" s="166"/>
      <c r="FT80" s="165"/>
      <c r="FU80" s="109"/>
      <c r="FV80" s="109"/>
      <c r="FW80" s="109"/>
      <c r="FX80" s="109"/>
      <c r="FY80" s="166"/>
      <c r="FZ80" s="166"/>
      <c r="GA80" s="165"/>
      <c r="GB80" s="109"/>
      <c r="GC80" s="109"/>
      <c r="GD80" s="109"/>
      <c r="GE80" s="109"/>
      <c r="GF80" s="166"/>
      <c r="GG80" s="166"/>
      <c r="GH80" s="165"/>
      <c r="GI80" s="109"/>
      <c r="GJ80" s="109"/>
      <c r="GK80" s="109"/>
      <c r="GL80" s="109"/>
      <c r="GM80" s="166"/>
      <c r="GN80" s="166"/>
      <c r="GO80" s="165"/>
      <c r="GP80" s="109"/>
      <c r="GQ80" s="109"/>
      <c r="GR80" s="109"/>
      <c r="GS80" s="109"/>
      <c r="GT80" s="166"/>
      <c r="GU80" s="166"/>
      <c r="GV80" s="165"/>
      <c r="GW80" s="168"/>
      <c r="GX80" s="168"/>
      <c r="GY80" s="168"/>
      <c r="GZ80" s="168"/>
      <c r="HA80" s="166"/>
      <c r="HB80" s="166"/>
      <c r="HC80" s="165"/>
      <c r="HD80" s="109"/>
      <c r="HE80" s="109"/>
      <c r="HF80" s="109"/>
      <c r="HG80" s="109"/>
      <c r="HH80" s="166"/>
      <c r="HI80" s="166"/>
      <c r="HJ80" s="165"/>
      <c r="HK80" s="109"/>
      <c r="HL80" s="109"/>
      <c r="HM80" s="109"/>
      <c r="HN80" s="109"/>
      <c r="HO80" s="166"/>
      <c r="HP80" s="166"/>
      <c r="HQ80" s="165"/>
      <c r="HR80" s="109"/>
      <c r="HS80" s="109"/>
      <c r="HT80" s="109"/>
      <c r="HU80" s="109"/>
      <c r="HV80" s="166"/>
      <c r="HW80" s="166"/>
      <c r="HX80" s="105">
        <f t="shared" si="198"/>
        <v>8332.7586206896558</v>
      </c>
      <c r="HY80" s="105">
        <f t="shared" si="198"/>
        <v>1333.2413793103449</v>
      </c>
      <c r="HZ80" s="105">
        <f t="shared" si="198"/>
        <v>9666</v>
      </c>
      <c r="IA80" s="105">
        <f t="shared" si="181"/>
        <v>0</v>
      </c>
      <c r="IB80" s="109">
        <f t="shared" si="182"/>
        <v>48334</v>
      </c>
      <c r="IC80" s="109">
        <f t="shared" si="183"/>
        <v>41667.241379310348</v>
      </c>
      <c r="ID80" s="109">
        <f t="shared" si="184"/>
        <v>0</v>
      </c>
      <c r="IE80" s="109">
        <f t="shared" ca="1" si="185"/>
        <v>7</v>
      </c>
      <c r="IF80" s="139">
        <f t="shared" si="186"/>
        <v>1.9998620689655173</v>
      </c>
      <c r="IG80" s="139">
        <f t="shared" ca="1" si="187"/>
        <v>33</v>
      </c>
      <c r="IH80" s="169">
        <f t="shared" ca="1" si="188"/>
        <v>1.1000000000000001</v>
      </c>
      <c r="II80" s="139">
        <f t="shared" ca="1" si="189"/>
        <v>-0.89986206896551724</v>
      </c>
      <c r="IJ80" s="169">
        <f t="shared" ca="1" si="190"/>
        <v>0</v>
      </c>
      <c r="IK80" s="169">
        <f t="shared" ca="1" si="196"/>
        <v>-0.89986206896551724</v>
      </c>
      <c r="IL80" s="170">
        <f t="shared" ca="1" si="191"/>
        <v>-4349.333333333333</v>
      </c>
      <c r="IM80" s="171"/>
      <c r="IN80" s="171"/>
      <c r="IO80" s="171"/>
      <c r="IP80" s="171"/>
    </row>
    <row r="81" spans="1:250" ht="15" customHeight="1" thickBot="1" x14ac:dyDescent="0.35">
      <c r="A81" s="110">
        <f t="shared" si="192"/>
        <v>77</v>
      </c>
      <c r="B81" s="111" t="s">
        <v>385</v>
      </c>
      <c r="C81" s="111" t="s">
        <v>386</v>
      </c>
      <c r="D81" s="111">
        <v>103</v>
      </c>
      <c r="E81" s="111" t="s">
        <v>881</v>
      </c>
      <c r="F81" s="111"/>
      <c r="G81" s="111" t="s">
        <v>1014</v>
      </c>
      <c r="H81" s="111">
        <v>1031100014</v>
      </c>
      <c r="I81" s="146" t="str">
        <f t="shared" si="124"/>
        <v>1100014</v>
      </c>
      <c r="J81" s="145" t="str">
        <f t="shared" si="125"/>
        <v>NG1100014</v>
      </c>
      <c r="K81" s="111" t="s">
        <v>1015</v>
      </c>
      <c r="L81" s="111" t="s">
        <v>316</v>
      </c>
      <c r="M81" s="111" t="s">
        <v>1016</v>
      </c>
      <c r="N81" s="111" t="s">
        <v>138</v>
      </c>
      <c r="O81" s="111"/>
      <c r="P81" s="111" t="s">
        <v>1017</v>
      </c>
      <c r="Q81" s="148">
        <v>29828</v>
      </c>
      <c r="R81" s="111" t="s">
        <v>385</v>
      </c>
      <c r="S81" s="111">
        <f t="shared" ca="1" si="197"/>
        <v>44</v>
      </c>
      <c r="T81" s="111" t="s">
        <v>962</v>
      </c>
      <c r="U81" s="111" t="s">
        <v>910</v>
      </c>
      <c r="V81" s="181">
        <v>782185103</v>
      </c>
      <c r="W81" s="111"/>
      <c r="X81" s="111" t="s">
        <v>181</v>
      </c>
      <c r="Y81" s="111">
        <v>11</v>
      </c>
      <c r="Z81" s="111" t="s">
        <v>1018</v>
      </c>
      <c r="AA81" s="111" t="s">
        <v>1019</v>
      </c>
      <c r="AB81" s="111" t="s">
        <v>1020</v>
      </c>
      <c r="AC81" s="111" t="s">
        <v>146</v>
      </c>
      <c r="AD81" s="111" t="s">
        <v>147</v>
      </c>
      <c r="AE81" s="173" t="s">
        <v>136</v>
      </c>
      <c r="AF81" s="173" t="s">
        <v>136</v>
      </c>
      <c r="AG81" s="174">
        <v>45945</v>
      </c>
      <c r="AH81" s="175">
        <v>40000</v>
      </c>
      <c r="AI81" s="111">
        <v>12</v>
      </c>
      <c r="AJ81" s="111">
        <v>0</v>
      </c>
      <c r="AK81" s="150">
        <f t="shared" si="193"/>
        <v>12</v>
      </c>
      <c r="AL81" s="177">
        <v>40000</v>
      </c>
      <c r="AM81" s="176">
        <v>0.16</v>
      </c>
      <c r="AN81" s="177">
        <f t="shared" si="205"/>
        <v>6400</v>
      </c>
      <c r="AO81" s="157">
        <f t="shared" si="209"/>
        <v>46400</v>
      </c>
      <c r="AP81" s="158">
        <f t="shared" si="126"/>
        <v>3866.6666666666665</v>
      </c>
      <c r="AQ81" s="111" t="s">
        <v>136</v>
      </c>
      <c r="AR81" s="111" t="s">
        <v>385</v>
      </c>
      <c r="AS81" s="111" t="s">
        <v>950</v>
      </c>
      <c r="AT81" s="111" t="s">
        <v>966</v>
      </c>
      <c r="AU81" s="111" t="s">
        <v>962</v>
      </c>
      <c r="AV81" s="111">
        <v>8</v>
      </c>
      <c r="AW81" s="111" t="s">
        <v>136</v>
      </c>
      <c r="AX81" s="111" t="s">
        <v>136</v>
      </c>
      <c r="AY81" s="111" t="s">
        <v>136</v>
      </c>
      <c r="AZ81" s="111" t="s">
        <v>136</v>
      </c>
      <c r="BA81" s="111" t="s">
        <v>136</v>
      </c>
      <c r="BB81" s="111" t="s">
        <v>136</v>
      </c>
      <c r="BC81" s="111" t="s">
        <v>136</v>
      </c>
      <c r="BD81" s="111" t="s">
        <v>136</v>
      </c>
      <c r="BE81" s="111" t="s">
        <v>136</v>
      </c>
      <c r="BF81" s="111" t="s">
        <v>136</v>
      </c>
      <c r="BG81" s="111" t="s">
        <v>136</v>
      </c>
      <c r="BH81" s="111" t="s">
        <v>136</v>
      </c>
      <c r="BI81" s="111" t="s">
        <v>136</v>
      </c>
      <c r="BJ81" s="111" t="s">
        <v>136</v>
      </c>
      <c r="BK81" s="111" t="s">
        <v>136</v>
      </c>
      <c r="BL81" s="111" t="s">
        <v>136</v>
      </c>
      <c r="BM81" s="111" t="s">
        <v>136</v>
      </c>
      <c r="BN81" s="111" t="s">
        <v>136</v>
      </c>
      <c r="BO81" s="111" t="s">
        <v>136</v>
      </c>
      <c r="BP81" s="111" t="s">
        <v>1021</v>
      </c>
      <c r="BQ81" s="111" t="s">
        <v>316</v>
      </c>
      <c r="BR81" s="111" t="s">
        <v>1016</v>
      </c>
      <c r="BS81" s="111" t="s">
        <v>1022</v>
      </c>
      <c r="BT81" s="182" t="s">
        <v>1023</v>
      </c>
      <c r="BU81" s="111" t="s">
        <v>962</v>
      </c>
      <c r="BV81" s="111" t="s">
        <v>910</v>
      </c>
      <c r="BW81" s="111"/>
      <c r="BX81" s="111"/>
      <c r="BY81" s="111"/>
      <c r="BZ81" s="111"/>
      <c r="CA81" s="111"/>
      <c r="CB81" s="111"/>
      <c r="CC81" s="178"/>
      <c r="CD81" s="177">
        <f t="shared" si="127"/>
        <v>40000</v>
      </c>
      <c r="CE81" s="148">
        <v>45988</v>
      </c>
      <c r="CF81" s="111">
        <f t="shared" si="128"/>
        <v>12</v>
      </c>
      <c r="CG81" s="177">
        <f t="shared" si="129"/>
        <v>46400</v>
      </c>
      <c r="CH81" s="203">
        <f t="shared" si="208"/>
        <v>0</v>
      </c>
      <c r="CI81" s="148">
        <v>45988</v>
      </c>
      <c r="CJ81" s="161">
        <f t="shared" si="194"/>
        <v>46018</v>
      </c>
      <c r="CK81" s="162">
        <f t="shared" si="195"/>
        <v>46353</v>
      </c>
      <c r="CL81" s="183"/>
      <c r="CM81" s="164">
        <f t="shared" ca="1" si="130"/>
        <v>46054</v>
      </c>
      <c r="CN81" s="165">
        <f t="shared" si="131"/>
        <v>46018</v>
      </c>
      <c r="CO81" s="109">
        <f t="shared" si="132"/>
        <v>3332.7586206896549</v>
      </c>
      <c r="CP81" s="109">
        <f t="shared" si="133"/>
        <v>533.24137931034488</v>
      </c>
      <c r="CQ81" s="109">
        <v>3866</v>
      </c>
      <c r="CR81" s="109">
        <f t="shared" si="134"/>
        <v>-0.66666666666651508</v>
      </c>
      <c r="CS81" s="166">
        <v>46028</v>
      </c>
      <c r="CT81" s="167">
        <f t="shared" si="135"/>
        <v>10</v>
      </c>
      <c r="CU81" s="165">
        <f t="shared" si="136"/>
        <v>46049</v>
      </c>
      <c r="CV81" s="109">
        <f t="shared" si="137"/>
        <v>3332.7586206896549</v>
      </c>
      <c r="CW81" s="109">
        <f t="shared" si="138"/>
        <v>533.24137931034488</v>
      </c>
      <c r="CX81" s="109">
        <v>3866</v>
      </c>
      <c r="CY81" s="109">
        <f t="shared" si="139"/>
        <v>-0.66666666666651508</v>
      </c>
      <c r="CZ81" s="166">
        <v>46028</v>
      </c>
      <c r="DA81" s="167">
        <f t="shared" si="140"/>
        <v>0</v>
      </c>
      <c r="DB81" s="165">
        <f t="shared" si="141"/>
        <v>46080</v>
      </c>
      <c r="DC81" s="109">
        <f t="shared" si="142"/>
        <v>0</v>
      </c>
      <c r="DD81" s="109">
        <f t="shared" si="143"/>
        <v>0</v>
      </c>
      <c r="DE81" s="109"/>
      <c r="DF81" s="109">
        <f t="shared" si="144"/>
        <v>0</v>
      </c>
      <c r="DG81" s="166">
        <f t="shared" ca="1" si="199"/>
        <v>46054</v>
      </c>
      <c r="DH81" s="167">
        <f t="shared" ca="1" si="145"/>
        <v>0</v>
      </c>
      <c r="DI81" s="165">
        <f t="shared" si="146"/>
        <v>46108</v>
      </c>
      <c r="DJ81" s="109">
        <f t="shared" si="147"/>
        <v>0</v>
      </c>
      <c r="DK81" s="109">
        <f t="shared" si="148"/>
        <v>0</v>
      </c>
      <c r="DL81" s="109">
        <v>0</v>
      </c>
      <c r="DM81" s="109">
        <f t="shared" si="149"/>
        <v>0</v>
      </c>
      <c r="DN81" s="166">
        <f t="shared" ca="1" si="200"/>
        <v>46054</v>
      </c>
      <c r="DO81" s="167">
        <f t="shared" ca="1" si="150"/>
        <v>0</v>
      </c>
      <c r="DP81" s="165">
        <f t="shared" si="206"/>
        <v>46139</v>
      </c>
      <c r="DQ81" s="109">
        <f t="shared" si="151"/>
        <v>0</v>
      </c>
      <c r="DR81" s="109">
        <f t="shared" si="207"/>
        <v>0</v>
      </c>
      <c r="DS81" s="109"/>
      <c r="DT81" s="109">
        <f t="shared" si="152"/>
        <v>0</v>
      </c>
      <c r="DU81" s="166">
        <f t="shared" ca="1" si="201"/>
        <v>46054</v>
      </c>
      <c r="DV81" s="167">
        <f t="shared" ca="1" si="153"/>
        <v>0</v>
      </c>
      <c r="DW81" s="165">
        <f t="shared" si="154"/>
        <v>46169</v>
      </c>
      <c r="DX81" s="109">
        <f t="shared" si="155"/>
        <v>0</v>
      </c>
      <c r="DY81" s="109">
        <f t="shared" si="156"/>
        <v>0</v>
      </c>
      <c r="DZ81" s="109"/>
      <c r="EA81" s="109">
        <f t="shared" si="157"/>
        <v>0</v>
      </c>
      <c r="EB81" s="166">
        <f t="shared" ca="1" si="202"/>
        <v>46054</v>
      </c>
      <c r="EC81" s="167">
        <f t="shared" ca="1" si="158"/>
        <v>0</v>
      </c>
      <c r="ED81" s="165">
        <f t="shared" si="159"/>
        <v>46200</v>
      </c>
      <c r="EE81" s="109">
        <f t="shared" si="160"/>
        <v>0</v>
      </c>
      <c r="EF81" s="109">
        <f t="shared" si="161"/>
        <v>0</v>
      </c>
      <c r="EG81" s="109"/>
      <c r="EH81" s="109">
        <f t="shared" si="162"/>
        <v>0</v>
      </c>
      <c r="EI81" s="166">
        <f t="shared" ca="1" si="203"/>
        <v>46054</v>
      </c>
      <c r="EJ81" s="167">
        <f t="shared" ca="1" si="163"/>
        <v>0</v>
      </c>
      <c r="EK81" s="165">
        <f t="shared" si="164"/>
        <v>46230</v>
      </c>
      <c r="EL81" s="109">
        <f t="shared" si="165"/>
        <v>0</v>
      </c>
      <c r="EM81" s="109">
        <f t="shared" si="166"/>
        <v>0</v>
      </c>
      <c r="EN81" s="109"/>
      <c r="EO81" s="109">
        <f t="shared" si="167"/>
        <v>0</v>
      </c>
      <c r="EP81" s="166">
        <f t="shared" ca="1" si="204"/>
        <v>46054</v>
      </c>
      <c r="EQ81" s="167">
        <f t="shared" ca="1" si="168"/>
        <v>0</v>
      </c>
      <c r="ER81" s="165">
        <f t="shared" si="169"/>
        <v>46261</v>
      </c>
      <c r="ES81" s="109">
        <f t="shared" si="170"/>
        <v>0</v>
      </c>
      <c r="ET81" s="109">
        <f t="shared" si="171"/>
        <v>0</v>
      </c>
      <c r="EU81" s="109"/>
      <c r="EV81" s="109"/>
      <c r="EW81" s="166"/>
      <c r="EX81" s="166"/>
      <c r="EY81" s="165">
        <f t="shared" si="172"/>
        <v>46292</v>
      </c>
      <c r="EZ81" s="109">
        <f t="shared" si="173"/>
        <v>0</v>
      </c>
      <c r="FA81" s="109">
        <f t="shared" si="174"/>
        <v>0</v>
      </c>
      <c r="FB81" s="109"/>
      <c r="FC81" s="109"/>
      <c r="FD81" s="166"/>
      <c r="FE81" s="166"/>
      <c r="FF81" s="165">
        <f t="shared" si="175"/>
        <v>46322</v>
      </c>
      <c r="FG81" s="109">
        <f t="shared" si="176"/>
        <v>0</v>
      </c>
      <c r="FH81" s="109">
        <f t="shared" si="177"/>
        <v>0</v>
      </c>
      <c r="FI81" s="109"/>
      <c r="FJ81" s="109"/>
      <c r="FK81" s="166"/>
      <c r="FL81" s="166"/>
      <c r="FM81" s="165">
        <f t="shared" si="178"/>
        <v>46353</v>
      </c>
      <c r="FN81" s="109">
        <f t="shared" si="179"/>
        <v>0</v>
      </c>
      <c r="FO81" s="109">
        <f t="shared" si="180"/>
        <v>0</v>
      </c>
      <c r="FP81" s="109"/>
      <c r="FQ81" s="109"/>
      <c r="FR81" s="166"/>
      <c r="FS81" s="166"/>
      <c r="FT81" s="165"/>
      <c r="FU81" s="109"/>
      <c r="FV81" s="109"/>
      <c r="FW81" s="109"/>
      <c r="FX81" s="109"/>
      <c r="FY81" s="166"/>
      <c r="FZ81" s="166"/>
      <c r="GA81" s="165"/>
      <c r="GB81" s="109"/>
      <c r="GC81" s="109"/>
      <c r="GD81" s="109"/>
      <c r="GE81" s="109"/>
      <c r="GF81" s="166"/>
      <c r="GG81" s="166"/>
      <c r="GH81" s="165"/>
      <c r="GI81" s="109"/>
      <c r="GJ81" s="109"/>
      <c r="GK81" s="109"/>
      <c r="GL81" s="109"/>
      <c r="GM81" s="166"/>
      <c r="GN81" s="166"/>
      <c r="GO81" s="165"/>
      <c r="GP81" s="109"/>
      <c r="GQ81" s="109"/>
      <c r="GR81" s="109"/>
      <c r="GS81" s="109"/>
      <c r="GT81" s="166"/>
      <c r="GU81" s="166"/>
      <c r="GV81" s="165"/>
      <c r="GW81" s="168"/>
      <c r="GX81" s="168"/>
      <c r="GY81" s="168"/>
      <c r="GZ81" s="168"/>
      <c r="HA81" s="166"/>
      <c r="HB81" s="166"/>
      <c r="HC81" s="165"/>
      <c r="HD81" s="109"/>
      <c r="HE81" s="109"/>
      <c r="HF81" s="109"/>
      <c r="HG81" s="109"/>
      <c r="HH81" s="166"/>
      <c r="HI81" s="166"/>
      <c r="HJ81" s="165"/>
      <c r="HK81" s="109"/>
      <c r="HL81" s="109"/>
      <c r="HM81" s="109"/>
      <c r="HN81" s="109"/>
      <c r="HO81" s="166"/>
      <c r="HP81" s="166"/>
      <c r="HQ81" s="165"/>
      <c r="HR81" s="109"/>
      <c r="HS81" s="109"/>
      <c r="HT81" s="109"/>
      <c r="HU81" s="109"/>
      <c r="HV81" s="166"/>
      <c r="HW81" s="166"/>
      <c r="HX81" s="105">
        <f t="shared" si="198"/>
        <v>6665.5172413793098</v>
      </c>
      <c r="HY81" s="105">
        <f t="shared" si="198"/>
        <v>1066.4827586206898</v>
      </c>
      <c r="HZ81" s="105">
        <f t="shared" si="198"/>
        <v>7732</v>
      </c>
      <c r="IA81" s="105">
        <f t="shared" si="181"/>
        <v>0</v>
      </c>
      <c r="IB81" s="109">
        <f t="shared" si="182"/>
        <v>38668</v>
      </c>
      <c r="IC81" s="109">
        <f t="shared" si="183"/>
        <v>33334.482758620688</v>
      </c>
      <c r="ID81" s="109">
        <f t="shared" si="184"/>
        <v>0</v>
      </c>
      <c r="IE81" s="109">
        <f t="shared" ca="1" si="185"/>
        <v>10</v>
      </c>
      <c r="IF81" s="139">
        <f t="shared" si="186"/>
        <v>1.9996551724137932</v>
      </c>
      <c r="IG81" s="139">
        <f t="shared" ca="1" si="187"/>
        <v>36</v>
      </c>
      <c r="IH81" s="169">
        <f t="shared" ca="1" si="188"/>
        <v>1.2</v>
      </c>
      <c r="II81" s="139">
        <f t="shared" ca="1" si="189"/>
        <v>-0.79965517241379325</v>
      </c>
      <c r="IJ81" s="169">
        <f t="shared" ca="1" si="190"/>
        <v>0</v>
      </c>
      <c r="IK81" s="169">
        <f t="shared" ca="1" si="196"/>
        <v>-0.79965517241379325</v>
      </c>
      <c r="IL81" s="170">
        <f t="shared" ca="1" si="191"/>
        <v>-3092.0000000000005</v>
      </c>
      <c r="IM81" s="171"/>
      <c r="IN81" s="171"/>
      <c r="IO81" s="171"/>
      <c r="IP81" s="171"/>
    </row>
    <row r="82" spans="1:250" ht="15" customHeight="1" thickBot="1" x14ac:dyDescent="0.35">
      <c r="A82" s="110">
        <f t="shared" si="192"/>
        <v>78</v>
      </c>
      <c r="B82" s="111" t="s">
        <v>131</v>
      </c>
      <c r="C82" s="111" t="s">
        <v>132</v>
      </c>
      <c r="D82" s="111">
        <v>101</v>
      </c>
      <c r="E82" s="111" t="s">
        <v>133</v>
      </c>
      <c r="F82" s="111"/>
      <c r="G82" s="111" t="s">
        <v>1024</v>
      </c>
      <c r="H82" s="111">
        <v>1011100001</v>
      </c>
      <c r="I82" s="146" t="str">
        <f t="shared" si="124"/>
        <v>1100001</v>
      </c>
      <c r="J82" s="145" t="str">
        <f t="shared" si="125"/>
        <v>KB1100001</v>
      </c>
      <c r="K82" s="111" t="s">
        <v>1025</v>
      </c>
      <c r="L82" s="111" t="s">
        <v>164</v>
      </c>
      <c r="M82" s="111" t="s">
        <v>165</v>
      </c>
      <c r="N82" s="111" t="s">
        <v>138</v>
      </c>
      <c r="O82" s="111"/>
      <c r="P82" s="111" t="s">
        <v>1026</v>
      </c>
      <c r="Q82" s="148">
        <v>36230</v>
      </c>
      <c r="R82" s="111" t="s">
        <v>161</v>
      </c>
      <c r="S82" s="111">
        <f t="shared" ca="1" si="197"/>
        <v>26</v>
      </c>
      <c r="T82" s="111" t="s">
        <v>167</v>
      </c>
      <c r="U82" s="111" t="s">
        <v>168</v>
      </c>
      <c r="V82" s="172">
        <v>778077089</v>
      </c>
      <c r="W82" s="111"/>
      <c r="X82" s="111" t="s">
        <v>181</v>
      </c>
      <c r="Y82" s="111">
        <v>11</v>
      </c>
      <c r="Z82" s="111" t="s">
        <v>143</v>
      </c>
      <c r="AA82" s="111" t="s">
        <v>1027</v>
      </c>
      <c r="AB82" s="111" t="s">
        <v>145</v>
      </c>
      <c r="AC82" s="111" t="s">
        <v>146</v>
      </c>
      <c r="AD82" s="111" t="s">
        <v>147</v>
      </c>
      <c r="AE82" s="173" t="s">
        <v>136</v>
      </c>
      <c r="AF82" s="173" t="s">
        <v>136</v>
      </c>
      <c r="AG82" s="174">
        <v>45726</v>
      </c>
      <c r="AH82" s="175">
        <v>350000</v>
      </c>
      <c r="AI82" s="111">
        <v>24</v>
      </c>
      <c r="AJ82" s="111">
        <v>3</v>
      </c>
      <c r="AK82" s="150">
        <f t="shared" si="193"/>
        <v>21</v>
      </c>
      <c r="AL82" s="177">
        <v>345600</v>
      </c>
      <c r="AM82" s="176">
        <v>0.09</v>
      </c>
      <c r="AN82" s="177">
        <f t="shared" si="205"/>
        <v>31104</v>
      </c>
      <c r="AO82" s="157">
        <f t="shared" si="209"/>
        <v>376704</v>
      </c>
      <c r="AP82" s="158">
        <f t="shared" si="126"/>
        <v>17938.285714285714</v>
      </c>
      <c r="AQ82" s="111" t="s">
        <v>148</v>
      </c>
      <c r="AR82" s="111" t="s">
        <v>149</v>
      </c>
      <c r="AS82" s="111" t="s">
        <v>168</v>
      </c>
      <c r="AT82" s="111" t="s">
        <v>169</v>
      </c>
      <c r="AU82" s="111" t="s">
        <v>169</v>
      </c>
      <c r="AV82" s="111">
        <v>3</v>
      </c>
      <c r="AW82" s="111" t="s">
        <v>136</v>
      </c>
      <c r="AX82" s="111" t="s">
        <v>136</v>
      </c>
      <c r="AY82" s="111" t="s">
        <v>136</v>
      </c>
      <c r="AZ82" s="111" t="s">
        <v>136</v>
      </c>
      <c r="BA82" s="111" t="s">
        <v>136</v>
      </c>
      <c r="BB82" s="111" t="s">
        <v>136</v>
      </c>
      <c r="BC82" s="111" t="s">
        <v>136</v>
      </c>
      <c r="BD82" s="111" t="s">
        <v>1028</v>
      </c>
      <c r="BE82" s="111" t="s">
        <v>136</v>
      </c>
      <c r="BF82" s="111" t="s">
        <v>1029</v>
      </c>
      <c r="BG82" s="111" t="s">
        <v>136</v>
      </c>
      <c r="BH82" s="111" t="s">
        <v>136</v>
      </c>
      <c r="BI82" s="111" t="s">
        <v>136</v>
      </c>
      <c r="BJ82" s="111" t="s">
        <v>136</v>
      </c>
      <c r="BK82" s="111" t="s">
        <v>136</v>
      </c>
      <c r="BL82" s="175">
        <v>346000</v>
      </c>
      <c r="BM82" s="175">
        <v>346000</v>
      </c>
      <c r="BN82" s="111" t="s">
        <v>136</v>
      </c>
      <c r="BO82" s="111" t="s">
        <v>136</v>
      </c>
      <c r="BP82" s="111" t="s">
        <v>136</v>
      </c>
      <c r="BQ82" s="111" t="s">
        <v>136</v>
      </c>
      <c r="BR82" s="111" t="s">
        <v>136</v>
      </c>
      <c r="BS82" s="111" t="s">
        <v>136</v>
      </c>
      <c r="BT82" s="111" t="s">
        <v>136</v>
      </c>
      <c r="BU82" s="111" t="s">
        <v>136</v>
      </c>
      <c r="BV82" s="111" t="s">
        <v>136</v>
      </c>
      <c r="BW82" s="111" t="s">
        <v>136</v>
      </c>
      <c r="BX82" s="111" t="s">
        <v>136</v>
      </c>
      <c r="BY82" s="111" t="s">
        <v>136</v>
      </c>
      <c r="BZ82" s="111" t="s">
        <v>136</v>
      </c>
      <c r="CA82" s="111" t="s">
        <v>136</v>
      </c>
      <c r="CB82" s="111" t="s">
        <v>136</v>
      </c>
      <c r="CC82" s="178" t="s">
        <v>136</v>
      </c>
      <c r="CD82" s="177">
        <f t="shared" si="127"/>
        <v>345600</v>
      </c>
      <c r="CE82" s="148">
        <v>45783</v>
      </c>
      <c r="CF82" s="111">
        <f t="shared" si="128"/>
        <v>24</v>
      </c>
      <c r="CG82" s="177">
        <f t="shared" si="129"/>
        <v>376704</v>
      </c>
      <c r="CH82" s="203">
        <f t="shared" si="208"/>
        <v>3</v>
      </c>
      <c r="CI82" s="148">
        <v>45783</v>
      </c>
      <c r="CJ82" s="161">
        <f t="shared" si="194"/>
        <v>45875</v>
      </c>
      <c r="CK82" s="162">
        <f t="shared" si="195"/>
        <v>46513</v>
      </c>
      <c r="CL82" s="179"/>
      <c r="CM82" s="164">
        <f t="shared" ca="1" si="130"/>
        <v>46054</v>
      </c>
      <c r="CN82" s="165">
        <f t="shared" si="131"/>
        <v>45875</v>
      </c>
      <c r="CO82" s="109">
        <f t="shared" si="132"/>
        <v>16456.880733944956</v>
      </c>
      <c r="CP82" s="109">
        <f t="shared" si="133"/>
        <v>1481.1192660550457</v>
      </c>
      <c r="CQ82" s="109">
        <v>17938</v>
      </c>
      <c r="CR82" s="109">
        <f t="shared" si="134"/>
        <v>-0.285714285713766</v>
      </c>
      <c r="CS82" s="166">
        <v>45939</v>
      </c>
      <c r="CT82" s="167">
        <f t="shared" si="135"/>
        <v>64</v>
      </c>
      <c r="CU82" s="165">
        <f t="shared" si="136"/>
        <v>45906</v>
      </c>
      <c r="CV82" s="109">
        <f t="shared" si="137"/>
        <v>16457.142857142855</v>
      </c>
      <c r="CW82" s="109">
        <f t="shared" si="138"/>
        <v>1481.1428571428569</v>
      </c>
      <c r="CX82" s="109">
        <v>17938.285714285714</v>
      </c>
      <c r="CY82" s="109">
        <f t="shared" si="139"/>
        <v>0</v>
      </c>
      <c r="CZ82" s="166">
        <v>46028</v>
      </c>
      <c r="DA82" s="167">
        <f t="shared" si="140"/>
        <v>122</v>
      </c>
      <c r="DB82" s="165">
        <f t="shared" si="141"/>
        <v>45936</v>
      </c>
      <c r="DC82" s="109">
        <f t="shared" si="142"/>
        <v>16457.142857142855</v>
      </c>
      <c r="DD82" s="109">
        <f t="shared" si="143"/>
        <v>1481.1428571428569</v>
      </c>
      <c r="DE82" s="109">
        <v>17938.285714285714</v>
      </c>
      <c r="DF82" s="109">
        <f t="shared" si="144"/>
        <v>0</v>
      </c>
      <c r="DG82" s="166">
        <v>46029</v>
      </c>
      <c r="DH82" s="167">
        <f t="shared" si="145"/>
        <v>93</v>
      </c>
      <c r="DI82" s="165">
        <f t="shared" si="146"/>
        <v>45967</v>
      </c>
      <c r="DJ82" s="109">
        <f t="shared" si="147"/>
        <v>16457.142857142855</v>
      </c>
      <c r="DK82" s="109">
        <f t="shared" si="148"/>
        <v>1481.1428571428569</v>
      </c>
      <c r="DL82" s="109">
        <v>17938.285714285714</v>
      </c>
      <c r="DM82" s="109">
        <f t="shared" si="149"/>
        <v>0</v>
      </c>
      <c r="DN82" s="166">
        <v>46029</v>
      </c>
      <c r="DO82" s="167">
        <f t="shared" si="150"/>
        <v>62</v>
      </c>
      <c r="DP82" s="165">
        <f>EDATE(DI82,1)</f>
        <v>45997</v>
      </c>
      <c r="DQ82" s="109">
        <f t="shared" si="151"/>
        <v>0</v>
      </c>
      <c r="DR82" s="109">
        <f t="shared" si="207"/>
        <v>0</v>
      </c>
      <c r="DS82" s="109"/>
      <c r="DT82" s="109">
        <f t="shared" si="152"/>
        <v>0</v>
      </c>
      <c r="DU82" s="166">
        <f t="shared" ca="1" si="201"/>
        <v>46054</v>
      </c>
      <c r="DV82" s="167">
        <f t="shared" ca="1" si="153"/>
        <v>57</v>
      </c>
      <c r="DW82" s="165">
        <f t="shared" si="154"/>
        <v>46028</v>
      </c>
      <c r="DX82" s="109">
        <f t="shared" si="155"/>
        <v>0</v>
      </c>
      <c r="DY82" s="109">
        <f t="shared" si="156"/>
        <v>0</v>
      </c>
      <c r="DZ82" s="109"/>
      <c r="EA82" s="109">
        <f t="shared" si="157"/>
        <v>0</v>
      </c>
      <c r="EB82" s="166">
        <f t="shared" ca="1" si="202"/>
        <v>46054</v>
      </c>
      <c r="EC82" s="167">
        <f t="shared" ca="1" si="158"/>
        <v>26</v>
      </c>
      <c r="ED82" s="165">
        <f t="shared" si="159"/>
        <v>46059</v>
      </c>
      <c r="EE82" s="109">
        <f t="shared" si="160"/>
        <v>0</v>
      </c>
      <c r="EF82" s="109">
        <f t="shared" si="161"/>
        <v>0</v>
      </c>
      <c r="EG82" s="109"/>
      <c r="EH82" s="109">
        <f t="shared" si="162"/>
        <v>0</v>
      </c>
      <c r="EI82" s="166">
        <f t="shared" ca="1" si="203"/>
        <v>46054</v>
      </c>
      <c r="EJ82" s="167">
        <f t="shared" ca="1" si="163"/>
        <v>0</v>
      </c>
      <c r="EK82" s="165">
        <f t="shared" si="164"/>
        <v>46087</v>
      </c>
      <c r="EL82" s="109">
        <f t="shared" si="165"/>
        <v>0</v>
      </c>
      <c r="EM82" s="109">
        <f t="shared" si="166"/>
        <v>0</v>
      </c>
      <c r="EN82" s="109"/>
      <c r="EO82" s="109">
        <f t="shared" si="167"/>
        <v>0</v>
      </c>
      <c r="EP82" s="166">
        <f t="shared" ca="1" si="204"/>
        <v>46054</v>
      </c>
      <c r="EQ82" s="167">
        <f t="shared" ca="1" si="168"/>
        <v>0</v>
      </c>
      <c r="ER82" s="165">
        <f t="shared" si="169"/>
        <v>46118</v>
      </c>
      <c r="ES82" s="109">
        <f t="shared" si="170"/>
        <v>0</v>
      </c>
      <c r="ET82" s="109">
        <f t="shared" si="171"/>
        <v>0</v>
      </c>
      <c r="EU82" s="109"/>
      <c r="EV82" s="109"/>
      <c r="EW82" s="166"/>
      <c r="EX82" s="166"/>
      <c r="EY82" s="165">
        <f t="shared" si="172"/>
        <v>46148</v>
      </c>
      <c r="EZ82" s="109">
        <f t="shared" si="173"/>
        <v>0</v>
      </c>
      <c r="FA82" s="109">
        <f t="shared" si="174"/>
        <v>0</v>
      </c>
      <c r="FB82" s="109"/>
      <c r="FC82" s="109"/>
      <c r="FD82" s="166"/>
      <c r="FE82" s="166"/>
      <c r="FF82" s="165">
        <f t="shared" si="175"/>
        <v>46179</v>
      </c>
      <c r="FG82" s="109">
        <f t="shared" si="176"/>
        <v>0</v>
      </c>
      <c r="FH82" s="109">
        <f t="shared" si="177"/>
        <v>0</v>
      </c>
      <c r="FI82" s="109"/>
      <c r="FJ82" s="109"/>
      <c r="FK82" s="166"/>
      <c r="FL82" s="166"/>
      <c r="FM82" s="165">
        <f t="shared" si="178"/>
        <v>46209</v>
      </c>
      <c r="FN82" s="109">
        <f t="shared" si="179"/>
        <v>0</v>
      </c>
      <c r="FO82" s="109">
        <f t="shared" si="180"/>
        <v>0</v>
      </c>
      <c r="FP82" s="109"/>
      <c r="FQ82" s="109"/>
      <c r="FR82" s="166"/>
      <c r="FS82" s="166"/>
      <c r="FT82" s="165">
        <f>EDATE(FM82,1)</f>
        <v>46240</v>
      </c>
      <c r="FU82" s="109">
        <f>FW82-FV82</f>
        <v>0</v>
      </c>
      <c r="FV82" s="109">
        <f>FW82/(1+AM82)*AM82</f>
        <v>0</v>
      </c>
      <c r="FW82" s="109"/>
      <c r="FX82" s="109"/>
      <c r="FY82" s="166"/>
      <c r="FZ82" s="166"/>
      <c r="GA82" s="165">
        <f>EDATE(FT82,1)</f>
        <v>46271</v>
      </c>
      <c r="GB82" s="109">
        <f>GD82-GC82</f>
        <v>0</v>
      </c>
      <c r="GC82" s="109">
        <f>GD82/(1+AM82)*AM82</f>
        <v>0</v>
      </c>
      <c r="GD82" s="109"/>
      <c r="GE82" s="109"/>
      <c r="GF82" s="166"/>
      <c r="GG82" s="166"/>
      <c r="GH82" s="165">
        <f>EDATE(GA82,1)</f>
        <v>46301</v>
      </c>
      <c r="GI82" s="109">
        <f>GK82-GJ82</f>
        <v>0</v>
      </c>
      <c r="GJ82" s="109">
        <f>GK82/(1+AM82)*AM82</f>
        <v>0</v>
      </c>
      <c r="GK82" s="109"/>
      <c r="GL82" s="109"/>
      <c r="GM82" s="166"/>
      <c r="GN82" s="166"/>
      <c r="GO82" s="165">
        <f>EDATE(GH82,1)</f>
        <v>46332</v>
      </c>
      <c r="GP82" s="109">
        <f>GR82-GQ82</f>
        <v>0</v>
      </c>
      <c r="GQ82" s="109">
        <f>GR82/(1+AM82)*AM82</f>
        <v>0</v>
      </c>
      <c r="GR82" s="109"/>
      <c r="GS82" s="109"/>
      <c r="GT82" s="166"/>
      <c r="GU82" s="166"/>
      <c r="GV82" s="165">
        <f>EDATE(GO82,1)</f>
        <v>46362</v>
      </c>
      <c r="GW82" s="168">
        <f>GY82-GX82</f>
        <v>0</v>
      </c>
      <c r="GX82" s="168">
        <f>GY82/(1+AM82)*AM82</f>
        <v>0</v>
      </c>
      <c r="GY82" s="168"/>
      <c r="GZ82" s="168"/>
      <c r="HA82" s="166"/>
      <c r="HB82" s="166"/>
      <c r="HC82" s="165">
        <f>EDATE(GV82,1)</f>
        <v>46393</v>
      </c>
      <c r="HD82" s="109">
        <f>HF82-HE82</f>
        <v>0</v>
      </c>
      <c r="HE82" s="109">
        <f>HF82/(1+AM82)*AM82</f>
        <v>0</v>
      </c>
      <c r="HF82" s="109"/>
      <c r="HG82" s="109"/>
      <c r="HH82" s="166"/>
      <c r="HI82" s="166"/>
      <c r="HJ82" s="165">
        <f>EDATE(HC82,1)</f>
        <v>46424</v>
      </c>
      <c r="HK82" s="109">
        <f>HM82-HL82</f>
        <v>0</v>
      </c>
      <c r="HL82" s="109">
        <f>HM82/(1+AM82)*AM82</f>
        <v>0</v>
      </c>
      <c r="HM82" s="109"/>
      <c r="HN82" s="109"/>
      <c r="HO82" s="166"/>
      <c r="HP82" s="166"/>
      <c r="HQ82" s="165">
        <f>EDATE(HJ82,1)</f>
        <v>46452</v>
      </c>
      <c r="HR82" s="109">
        <f>HT82-HS82</f>
        <v>0</v>
      </c>
      <c r="HS82" s="109">
        <f>HT82/(1+AM82)*AM82</f>
        <v>0</v>
      </c>
      <c r="HT82" s="109"/>
      <c r="HU82" s="109"/>
      <c r="HV82" s="166"/>
      <c r="HW82" s="166"/>
      <c r="HX82" s="105">
        <f t="shared" si="198"/>
        <v>65828.309305373521</v>
      </c>
      <c r="HY82" s="105">
        <f t="shared" si="198"/>
        <v>5924.5478374836166</v>
      </c>
      <c r="HZ82" s="105">
        <f t="shared" si="198"/>
        <v>71752.85714285713</v>
      </c>
      <c r="IA82" s="105">
        <f t="shared" si="181"/>
        <v>0</v>
      </c>
      <c r="IB82" s="109">
        <f t="shared" si="182"/>
        <v>304951.14285714284</v>
      </c>
      <c r="IC82" s="109">
        <f t="shared" si="183"/>
        <v>279771.69069462648</v>
      </c>
      <c r="ID82" s="109">
        <f t="shared" si="184"/>
        <v>0</v>
      </c>
      <c r="IE82" s="109">
        <f t="shared" ca="1" si="185"/>
        <v>424</v>
      </c>
      <c r="IF82" s="139">
        <f t="shared" si="186"/>
        <v>3.9999840723751268</v>
      </c>
      <c r="IG82" s="139">
        <f t="shared" ca="1" si="187"/>
        <v>179</v>
      </c>
      <c r="IH82" s="169">
        <f t="shared" ca="1" si="188"/>
        <v>5.9666666666666668</v>
      </c>
      <c r="II82" s="139">
        <f t="shared" ca="1" si="189"/>
        <v>1.96668259429154</v>
      </c>
      <c r="IJ82" s="169">
        <f t="shared" ca="1" si="190"/>
        <v>59.000477828746199</v>
      </c>
      <c r="IK82" s="169">
        <f t="shared" ca="1" si="196"/>
        <v>1.96668259429154</v>
      </c>
      <c r="IL82" s="170">
        <f t="shared" ca="1" si="191"/>
        <v>35278.914285714302</v>
      </c>
      <c r="IM82" s="171"/>
      <c r="IN82" s="171"/>
      <c r="IO82" s="171"/>
      <c r="IP82" s="171"/>
    </row>
    <row r="83" spans="1:250" ht="15" thickBot="1" x14ac:dyDescent="0.35">
      <c r="A83" s="110">
        <f t="shared" si="192"/>
        <v>79</v>
      </c>
      <c r="B83" s="111" t="s">
        <v>131</v>
      </c>
      <c r="C83" s="111" t="s">
        <v>132</v>
      </c>
      <c r="D83" s="111">
        <v>101</v>
      </c>
      <c r="E83" s="111" t="s">
        <v>133</v>
      </c>
      <c r="F83" s="111"/>
      <c r="G83" s="111" t="s">
        <v>1030</v>
      </c>
      <c r="H83" s="111">
        <v>1011100002</v>
      </c>
      <c r="I83" s="146" t="str">
        <f t="shared" si="124"/>
        <v>1100002</v>
      </c>
      <c r="J83" s="145" t="str">
        <f t="shared" si="125"/>
        <v>KB1100002</v>
      </c>
      <c r="K83" s="111" t="s">
        <v>1031</v>
      </c>
      <c r="L83" s="111" t="s">
        <v>1032</v>
      </c>
      <c r="M83" s="111" t="s">
        <v>1033</v>
      </c>
      <c r="N83" s="111" t="s">
        <v>138</v>
      </c>
      <c r="O83" s="111"/>
      <c r="P83" s="111" t="s">
        <v>1034</v>
      </c>
      <c r="Q83" s="148">
        <v>35218</v>
      </c>
      <c r="R83" s="111" t="s">
        <v>131</v>
      </c>
      <c r="S83" s="111">
        <f t="shared" ca="1" si="197"/>
        <v>29</v>
      </c>
      <c r="T83" s="111" t="s">
        <v>1035</v>
      </c>
      <c r="U83" s="111" t="s">
        <v>1036</v>
      </c>
      <c r="V83" s="172">
        <v>786156321</v>
      </c>
      <c r="W83" s="111"/>
      <c r="X83" s="111" t="s">
        <v>181</v>
      </c>
      <c r="Y83" s="111">
        <v>11</v>
      </c>
      <c r="Z83" s="111" t="s">
        <v>219</v>
      </c>
      <c r="AA83" s="111" t="s">
        <v>220</v>
      </c>
      <c r="AB83" s="111" t="s">
        <v>221</v>
      </c>
      <c r="AC83" s="111" t="s">
        <v>146</v>
      </c>
      <c r="AD83" s="111" t="s">
        <v>147</v>
      </c>
      <c r="AE83" s="173" t="s">
        <v>136</v>
      </c>
      <c r="AF83" s="173" t="s">
        <v>136</v>
      </c>
      <c r="AG83" s="174">
        <v>45769</v>
      </c>
      <c r="AH83" s="175">
        <v>70000</v>
      </c>
      <c r="AI83" s="111">
        <v>12</v>
      </c>
      <c r="AJ83" s="111">
        <v>0</v>
      </c>
      <c r="AK83" s="150">
        <f t="shared" si="193"/>
        <v>12</v>
      </c>
      <c r="AL83" s="177">
        <v>70010</v>
      </c>
      <c r="AM83" s="176">
        <v>0.18</v>
      </c>
      <c r="AN83" s="177">
        <f t="shared" si="205"/>
        <v>12601.8</v>
      </c>
      <c r="AO83" s="157">
        <f t="shared" si="209"/>
        <v>82611.8</v>
      </c>
      <c r="AP83" s="158">
        <f t="shared" si="126"/>
        <v>6884.3166666666666</v>
      </c>
      <c r="AQ83" s="111" t="s">
        <v>222</v>
      </c>
      <c r="AR83" s="111" t="s">
        <v>149</v>
      </c>
      <c r="AS83" s="111" t="s">
        <v>1036</v>
      </c>
      <c r="AT83" s="111" t="s">
        <v>1037</v>
      </c>
      <c r="AU83" s="111" t="s">
        <v>1037</v>
      </c>
      <c r="AV83" s="111">
        <v>6</v>
      </c>
      <c r="AW83" s="111" t="s">
        <v>136</v>
      </c>
      <c r="AX83" s="111" t="s">
        <v>136</v>
      </c>
      <c r="AY83" s="192" t="s">
        <v>203</v>
      </c>
      <c r="AZ83" s="111" t="s">
        <v>1038</v>
      </c>
      <c r="BA83" s="111" t="s">
        <v>1039</v>
      </c>
      <c r="BB83" s="174">
        <v>45737</v>
      </c>
      <c r="BC83" s="174">
        <v>46101</v>
      </c>
      <c r="BD83" s="111" t="s">
        <v>1040</v>
      </c>
      <c r="BE83" s="111"/>
      <c r="BF83" s="111" t="s">
        <v>1041</v>
      </c>
      <c r="BG83" s="111"/>
      <c r="BH83" s="111" t="s">
        <v>131</v>
      </c>
      <c r="BI83" s="111" t="s">
        <v>131</v>
      </c>
      <c r="BJ83" s="111"/>
      <c r="BK83" s="111"/>
      <c r="BL83" s="175">
        <v>149600</v>
      </c>
      <c r="BM83" s="175">
        <v>145000</v>
      </c>
      <c r="BN83" s="111"/>
      <c r="BO83" s="111"/>
      <c r="BP83" s="111" t="s">
        <v>1042</v>
      </c>
      <c r="BQ83" s="111" t="s">
        <v>1043</v>
      </c>
      <c r="BR83" s="111" t="s">
        <v>1044</v>
      </c>
      <c r="BS83" s="111" t="s">
        <v>1045</v>
      </c>
      <c r="BT83" s="111" t="s">
        <v>136</v>
      </c>
      <c r="BU83" s="111" t="s">
        <v>136</v>
      </c>
      <c r="BV83" s="111" t="s">
        <v>745</v>
      </c>
      <c r="BW83" s="111" t="s">
        <v>1046</v>
      </c>
      <c r="BX83" s="111"/>
      <c r="BY83" s="111"/>
      <c r="BZ83" s="111" t="s">
        <v>1047</v>
      </c>
      <c r="CA83" s="111">
        <v>4</v>
      </c>
      <c r="CB83" s="111" t="s">
        <v>1048</v>
      </c>
      <c r="CC83" s="178">
        <v>30000</v>
      </c>
      <c r="CD83" s="177">
        <f t="shared" si="127"/>
        <v>70010</v>
      </c>
      <c r="CE83" s="148">
        <v>45847</v>
      </c>
      <c r="CF83" s="111">
        <f t="shared" si="128"/>
        <v>12</v>
      </c>
      <c r="CG83" s="177">
        <f t="shared" si="129"/>
        <v>82611.8</v>
      </c>
      <c r="CH83" s="203">
        <f t="shared" si="208"/>
        <v>0</v>
      </c>
      <c r="CI83" s="148">
        <v>45847</v>
      </c>
      <c r="CJ83" s="161">
        <f t="shared" si="194"/>
        <v>45878</v>
      </c>
      <c r="CK83" s="162">
        <f t="shared" si="195"/>
        <v>46212</v>
      </c>
      <c r="CL83" s="183"/>
      <c r="CM83" s="164">
        <f t="shared" ca="1" si="130"/>
        <v>46054</v>
      </c>
      <c r="CN83" s="165">
        <f t="shared" si="131"/>
        <v>45878</v>
      </c>
      <c r="CO83" s="109">
        <f t="shared" si="132"/>
        <v>5766.1016949152545</v>
      </c>
      <c r="CP83" s="109">
        <f t="shared" si="133"/>
        <v>1037.8983050847457</v>
      </c>
      <c r="CQ83" s="109">
        <v>6804</v>
      </c>
      <c r="CR83" s="109">
        <f t="shared" si="134"/>
        <v>-80.316666666666606</v>
      </c>
      <c r="CS83" s="166">
        <v>45929</v>
      </c>
      <c r="CT83" s="167">
        <f t="shared" si="135"/>
        <v>51</v>
      </c>
      <c r="CU83" s="165">
        <f t="shared" si="136"/>
        <v>45909</v>
      </c>
      <c r="CV83" s="109">
        <f t="shared" si="137"/>
        <v>5833.8983050847455</v>
      </c>
      <c r="CW83" s="109">
        <f t="shared" si="138"/>
        <v>1050.1016949152543</v>
      </c>
      <c r="CX83" s="109">
        <v>6884</v>
      </c>
      <c r="CY83" s="109">
        <f t="shared" si="139"/>
        <v>-0.31666666666660603</v>
      </c>
      <c r="CZ83" s="166">
        <v>45929</v>
      </c>
      <c r="DA83" s="167">
        <f t="shared" si="140"/>
        <v>20</v>
      </c>
      <c r="DB83" s="165">
        <f t="shared" si="141"/>
        <v>45939</v>
      </c>
      <c r="DC83" s="109">
        <f t="shared" si="142"/>
        <v>5932.203389830509</v>
      </c>
      <c r="DD83" s="109">
        <f t="shared" si="143"/>
        <v>1067.7966101694915</v>
      </c>
      <c r="DE83" s="109">
        <v>7000</v>
      </c>
      <c r="DF83" s="109">
        <f t="shared" si="144"/>
        <v>115.68333333333339</v>
      </c>
      <c r="DG83" s="166">
        <v>45950</v>
      </c>
      <c r="DH83" s="167">
        <f t="shared" si="145"/>
        <v>11</v>
      </c>
      <c r="DI83" s="165">
        <f t="shared" si="146"/>
        <v>45970</v>
      </c>
      <c r="DJ83" s="109">
        <f t="shared" si="147"/>
        <v>0</v>
      </c>
      <c r="DK83" s="109">
        <f t="shared" si="148"/>
        <v>0</v>
      </c>
      <c r="DL83" s="109">
        <v>0</v>
      </c>
      <c r="DM83" s="109">
        <f t="shared" si="149"/>
        <v>0</v>
      </c>
      <c r="DN83" s="166">
        <f ca="1">TODAY()</f>
        <v>46054</v>
      </c>
      <c r="DO83" s="167">
        <f t="shared" ca="1" si="150"/>
        <v>84</v>
      </c>
      <c r="DP83" s="165">
        <f>EDATE(DI83,1)</f>
        <v>46000</v>
      </c>
      <c r="DQ83" s="109">
        <f t="shared" si="151"/>
        <v>0</v>
      </c>
      <c r="DR83" s="109">
        <f t="shared" si="207"/>
        <v>0</v>
      </c>
      <c r="DS83" s="109"/>
      <c r="DT83" s="109">
        <f t="shared" si="152"/>
        <v>0</v>
      </c>
      <c r="DU83" s="166">
        <f t="shared" ca="1" si="201"/>
        <v>46054</v>
      </c>
      <c r="DV83" s="167">
        <f t="shared" ca="1" si="153"/>
        <v>54</v>
      </c>
      <c r="DW83" s="165">
        <f t="shared" si="154"/>
        <v>46031</v>
      </c>
      <c r="DX83" s="109">
        <f t="shared" si="155"/>
        <v>0</v>
      </c>
      <c r="DY83" s="109">
        <f t="shared" si="156"/>
        <v>0</v>
      </c>
      <c r="DZ83" s="109"/>
      <c r="EA83" s="109">
        <f t="shared" si="157"/>
        <v>0</v>
      </c>
      <c r="EB83" s="166">
        <f t="shared" ca="1" si="202"/>
        <v>46054</v>
      </c>
      <c r="EC83" s="167">
        <f t="shared" ca="1" si="158"/>
        <v>23</v>
      </c>
      <c r="ED83" s="165">
        <f t="shared" si="159"/>
        <v>46062</v>
      </c>
      <c r="EE83" s="109">
        <f t="shared" si="160"/>
        <v>0</v>
      </c>
      <c r="EF83" s="109">
        <f t="shared" si="161"/>
        <v>0</v>
      </c>
      <c r="EG83" s="109"/>
      <c r="EH83" s="109">
        <f t="shared" si="162"/>
        <v>0</v>
      </c>
      <c r="EI83" s="166">
        <f t="shared" ca="1" si="203"/>
        <v>46054</v>
      </c>
      <c r="EJ83" s="167">
        <f t="shared" ca="1" si="163"/>
        <v>0</v>
      </c>
      <c r="EK83" s="165">
        <f t="shared" si="164"/>
        <v>46090</v>
      </c>
      <c r="EL83" s="109">
        <f t="shared" si="165"/>
        <v>0</v>
      </c>
      <c r="EM83" s="109">
        <f t="shared" si="166"/>
        <v>0</v>
      </c>
      <c r="EN83" s="109"/>
      <c r="EO83" s="109">
        <f t="shared" si="167"/>
        <v>0</v>
      </c>
      <c r="EP83" s="166">
        <f t="shared" ca="1" si="204"/>
        <v>46054</v>
      </c>
      <c r="EQ83" s="167">
        <f t="shared" ca="1" si="168"/>
        <v>0</v>
      </c>
      <c r="ER83" s="165">
        <f t="shared" si="169"/>
        <v>46121</v>
      </c>
      <c r="ES83" s="109">
        <f t="shared" si="170"/>
        <v>0</v>
      </c>
      <c r="ET83" s="109">
        <f t="shared" si="171"/>
        <v>0</v>
      </c>
      <c r="EU83" s="109"/>
      <c r="EV83" s="109"/>
      <c r="EW83" s="166"/>
      <c r="EX83" s="166"/>
      <c r="EY83" s="165">
        <f t="shared" si="172"/>
        <v>46151</v>
      </c>
      <c r="EZ83" s="109">
        <f t="shared" si="173"/>
        <v>0</v>
      </c>
      <c r="FA83" s="109">
        <f t="shared" si="174"/>
        <v>0</v>
      </c>
      <c r="FB83" s="109"/>
      <c r="FC83" s="109"/>
      <c r="FD83" s="166"/>
      <c r="FE83" s="166"/>
      <c r="FF83" s="165">
        <f t="shared" si="175"/>
        <v>46182</v>
      </c>
      <c r="FG83" s="109">
        <f t="shared" si="176"/>
        <v>0</v>
      </c>
      <c r="FH83" s="109">
        <f t="shared" si="177"/>
        <v>0</v>
      </c>
      <c r="FI83" s="109"/>
      <c r="FJ83" s="109"/>
      <c r="FK83" s="166"/>
      <c r="FL83" s="166"/>
      <c r="FM83" s="165">
        <f t="shared" si="178"/>
        <v>46212</v>
      </c>
      <c r="FN83" s="109">
        <f t="shared" si="179"/>
        <v>0</v>
      </c>
      <c r="FO83" s="109">
        <f t="shared" si="180"/>
        <v>0</v>
      </c>
      <c r="FP83" s="109"/>
      <c r="FQ83" s="109"/>
      <c r="FR83" s="166"/>
      <c r="FS83" s="166"/>
      <c r="FT83" s="165"/>
      <c r="FU83" s="109"/>
      <c r="FV83" s="109"/>
      <c r="FW83" s="109"/>
      <c r="FX83" s="109"/>
      <c r="FY83" s="166"/>
      <c r="FZ83" s="166"/>
      <c r="GA83" s="165"/>
      <c r="GB83" s="109"/>
      <c r="GC83" s="109"/>
      <c r="GD83" s="109"/>
      <c r="GE83" s="109"/>
      <c r="GF83" s="166"/>
      <c r="GG83" s="166"/>
      <c r="GH83" s="165"/>
      <c r="GI83" s="109"/>
      <c r="GJ83" s="109"/>
      <c r="GK83" s="109"/>
      <c r="GL83" s="109"/>
      <c r="GM83" s="166"/>
      <c r="GN83" s="166"/>
      <c r="GO83" s="165"/>
      <c r="GP83" s="109"/>
      <c r="GQ83" s="109"/>
      <c r="GR83" s="109"/>
      <c r="GS83" s="109"/>
      <c r="GT83" s="166"/>
      <c r="GU83" s="166"/>
      <c r="GV83" s="165"/>
      <c r="GW83" s="168"/>
      <c r="GX83" s="168"/>
      <c r="GY83" s="168"/>
      <c r="GZ83" s="168"/>
      <c r="HA83" s="166"/>
      <c r="HB83" s="166"/>
      <c r="HC83" s="165"/>
      <c r="HD83" s="109"/>
      <c r="HE83" s="109"/>
      <c r="HF83" s="109"/>
      <c r="HG83" s="109"/>
      <c r="HH83" s="166"/>
      <c r="HI83" s="166"/>
      <c r="HJ83" s="165"/>
      <c r="HK83" s="109"/>
      <c r="HL83" s="109"/>
      <c r="HM83" s="109"/>
      <c r="HN83" s="109"/>
      <c r="HO83" s="166"/>
      <c r="HP83" s="166"/>
      <c r="HQ83" s="165"/>
      <c r="HR83" s="109"/>
      <c r="HS83" s="109"/>
      <c r="HT83" s="109"/>
      <c r="HU83" s="109"/>
      <c r="HV83" s="166"/>
      <c r="HW83" s="166"/>
      <c r="HX83" s="105">
        <f t="shared" si="198"/>
        <v>17532.203389830509</v>
      </c>
      <c r="HY83" s="105">
        <f t="shared" si="198"/>
        <v>3155.7966101694915</v>
      </c>
      <c r="HZ83" s="105">
        <f t="shared" si="198"/>
        <v>20688</v>
      </c>
      <c r="IA83" s="105">
        <f t="shared" si="181"/>
        <v>0</v>
      </c>
      <c r="IB83" s="109">
        <f t="shared" si="182"/>
        <v>61923.8</v>
      </c>
      <c r="IC83" s="109">
        <f t="shared" si="183"/>
        <v>52477.796610169491</v>
      </c>
      <c r="ID83" s="109">
        <f t="shared" si="184"/>
        <v>0</v>
      </c>
      <c r="IE83" s="109">
        <f t="shared" ca="1" si="185"/>
        <v>243</v>
      </c>
      <c r="IF83" s="139">
        <f t="shared" si="186"/>
        <v>3.0050912823591789</v>
      </c>
      <c r="IG83" s="139">
        <f t="shared" ca="1" si="187"/>
        <v>176</v>
      </c>
      <c r="IH83" s="169">
        <f t="shared" ca="1" si="188"/>
        <v>5.8666666666666663</v>
      </c>
      <c r="II83" s="139">
        <f t="shared" ca="1" si="189"/>
        <v>2.8615753843074874</v>
      </c>
      <c r="IJ83" s="169">
        <f t="shared" ca="1" si="190"/>
        <v>85.847261529224625</v>
      </c>
      <c r="IK83" s="169">
        <f t="shared" ca="1" si="196"/>
        <v>2.8615753843074874</v>
      </c>
      <c r="IL83" s="170">
        <f t="shared" ca="1" si="191"/>
        <v>19699.991111111107</v>
      </c>
      <c r="IM83" s="171"/>
      <c r="IN83" s="171"/>
      <c r="IO83" s="171"/>
      <c r="IP83" s="171"/>
    </row>
    <row r="84" spans="1:250" ht="15" customHeight="1" thickBot="1" x14ac:dyDescent="0.35">
      <c r="A84" s="110">
        <f t="shared" si="192"/>
        <v>80</v>
      </c>
      <c r="B84" s="111" t="s">
        <v>131</v>
      </c>
      <c r="C84" s="111" t="s">
        <v>132</v>
      </c>
      <c r="D84" s="111">
        <v>101</v>
      </c>
      <c r="E84" s="111" t="s">
        <v>522</v>
      </c>
      <c r="F84" s="111"/>
      <c r="G84" s="111" t="s">
        <v>1049</v>
      </c>
      <c r="H84" s="111">
        <v>1011100004</v>
      </c>
      <c r="I84" s="146" t="str">
        <f t="shared" si="124"/>
        <v>1100004</v>
      </c>
      <c r="J84" s="145" t="str">
        <f t="shared" si="125"/>
        <v>KB1100004</v>
      </c>
      <c r="K84" s="111" t="s">
        <v>1050</v>
      </c>
      <c r="L84" s="111" t="s">
        <v>1051</v>
      </c>
      <c r="M84" s="111" t="s">
        <v>1052</v>
      </c>
      <c r="N84" s="111" t="s">
        <v>138</v>
      </c>
      <c r="O84" s="111"/>
      <c r="P84" s="111" t="s">
        <v>1053</v>
      </c>
      <c r="Q84" s="148">
        <v>35177</v>
      </c>
      <c r="R84" s="111" t="s">
        <v>1054</v>
      </c>
      <c r="S84" s="111">
        <f t="shared" ca="1" si="197"/>
        <v>29</v>
      </c>
      <c r="T84" s="111" t="s">
        <v>1055</v>
      </c>
      <c r="U84" s="111" t="s">
        <v>1056</v>
      </c>
      <c r="V84" s="181">
        <v>788980962</v>
      </c>
      <c r="W84" s="111"/>
      <c r="X84" s="111" t="s">
        <v>181</v>
      </c>
      <c r="Y84" s="111">
        <v>11</v>
      </c>
      <c r="Z84" s="111" t="s">
        <v>235</v>
      </c>
      <c r="AA84" s="111" t="s">
        <v>235</v>
      </c>
      <c r="AB84" s="111" t="s">
        <v>236</v>
      </c>
      <c r="AC84" s="111" t="s">
        <v>146</v>
      </c>
      <c r="AD84" s="111" t="s">
        <v>147</v>
      </c>
      <c r="AE84" s="173" t="s">
        <v>136</v>
      </c>
      <c r="AF84" s="173" t="s">
        <v>136</v>
      </c>
      <c r="AG84" s="174">
        <v>45858</v>
      </c>
      <c r="AH84" s="175">
        <v>50000</v>
      </c>
      <c r="AI84" s="111">
        <v>12</v>
      </c>
      <c r="AJ84" s="111">
        <v>0</v>
      </c>
      <c r="AK84" s="150">
        <f t="shared" si="193"/>
        <v>12</v>
      </c>
      <c r="AL84" s="177">
        <v>26535</v>
      </c>
      <c r="AM84" s="176">
        <v>0.18</v>
      </c>
      <c r="AN84" s="177">
        <f t="shared" si="205"/>
        <v>4776.3</v>
      </c>
      <c r="AO84" s="157">
        <f t="shared" si="209"/>
        <v>31311.3</v>
      </c>
      <c r="AP84" s="158">
        <f t="shared" si="126"/>
        <v>2609.2750000000001</v>
      </c>
      <c r="AQ84" s="111" t="s">
        <v>136</v>
      </c>
      <c r="AR84" s="111" t="s">
        <v>149</v>
      </c>
      <c r="AS84" s="111" t="s">
        <v>1056</v>
      </c>
      <c r="AT84" s="111" t="s">
        <v>1057</v>
      </c>
      <c r="AU84" s="111" t="s">
        <v>1058</v>
      </c>
      <c r="AV84" s="111">
        <v>4</v>
      </c>
      <c r="AW84" s="111" t="s">
        <v>136</v>
      </c>
      <c r="AX84" s="111" t="s">
        <v>136</v>
      </c>
      <c r="AY84" s="111" t="s">
        <v>136</v>
      </c>
      <c r="AZ84" s="111" t="s">
        <v>136</v>
      </c>
      <c r="BA84" s="111" t="s">
        <v>136</v>
      </c>
      <c r="BB84" s="111" t="s">
        <v>136</v>
      </c>
      <c r="BC84" s="111" t="s">
        <v>136</v>
      </c>
      <c r="BD84" s="111" t="s">
        <v>136</v>
      </c>
      <c r="BE84" s="111" t="s">
        <v>136</v>
      </c>
      <c r="BF84" s="111" t="s">
        <v>136</v>
      </c>
      <c r="BG84" s="111" t="s">
        <v>136</v>
      </c>
      <c r="BH84" s="111" t="s">
        <v>136</v>
      </c>
      <c r="BI84" s="111" t="s">
        <v>136</v>
      </c>
      <c r="BJ84" s="111" t="s">
        <v>136</v>
      </c>
      <c r="BK84" s="111" t="s">
        <v>136</v>
      </c>
      <c r="BL84" s="111" t="s">
        <v>136</v>
      </c>
      <c r="BM84" s="111" t="s">
        <v>136</v>
      </c>
      <c r="BN84" s="111" t="s">
        <v>136</v>
      </c>
      <c r="BO84" s="111" t="s">
        <v>136</v>
      </c>
      <c r="BP84" s="111" t="s">
        <v>1059</v>
      </c>
      <c r="BQ84" s="111" t="s">
        <v>1060</v>
      </c>
      <c r="BR84" s="111" t="s">
        <v>1061</v>
      </c>
      <c r="BS84" s="111" t="s">
        <v>1062</v>
      </c>
      <c r="BT84" s="182" t="s">
        <v>1063</v>
      </c>
      <c r="BU84" s="111" t="s">
        <v>1058</v>
      </c>
      <c r="BV84" s="111" t="s">
        <v>1056</v>
      </c>
      <c r="BW84" s="111"/>
      <c r="BX84" s="111"/>
      <c r="BY84" s="111"/>
      <c r="BZ84" s="111" t="s">
        <v>1064</v>
      </c>
      <c r="CA84" s="111"/>
      <c r="CB84" s="111"/>
      <c r="CC84" s="178"/>
      <c r="CD84" s="177">
        <f t="shared" si="127"/>
        <v>26535</v>
      </c>
      <c r="CE84" s="148">
        <v>45925</v>
      </c>
      <c r="CF84" s="111">
        <f t="shared" si="128"/>
        <v>12</v>
      </c>
      <c r="CG84" s="177">
        <f t="shared" si="129"/>
        <v>31311.3</v>
      </c>
      <c r="CH84" s="203">
        <f t="shared" si="208"/>
        <v>0</v>
      </c>
      <c r="CI84" s="148">
        <v>45925</v>
      </c>
      <c r="CJ84" s="161">
        <f t="shared" si="194"/>
        <v>45955</v>
      </c>
      <c r="CK84" s="162">
        <f t="shared" si="195"/>
        <v>46290</v>
      </c>
      <c r="CL84" s="183"/>
      <c r="CM84" s="164">
        <f t="shared" ca="1" si="130"/>
        <v>46054</v>
      </c>
      <c r="CN84" s="165">
        <f t="shared" si="131"/>
        <v>45955</v>
      </c>
      <c r="CO84" s="109">
        <f t="shared" si="132"/>
        <v>2211.8644067796608</v>
      </c>
      <c r="CP84" s="109">
        <f t="shared" si="133"/>
        <v>398.13559322033905</v>
      </c>
      <c r="CQ84" s="109">
        <v>2610</v>
      </c>
      <c r="CR84" s="109">
        <f t="shared" si="134"/>
        <v>0.72499999999990905</v>
      </c>
      <c r="CS84" s="166">
        <v>45963</v>
      </c>
      <c r="CT84" s="167">
        <f t="shared" si="135"/>
        <v>8</v>
      </c>
      <c r="CU84" s="165">
        <f t="shared" si="136"/>
        <v>45986</v>
      </c>
      <c r="CV84" s="109">
        <f t="shared" si="137"/>
        <v>0</v>
      </c>
      <c r="CW84" s="109">
        <f t="shared" si="138"/>
        <v>0</v>
      </c>
      <c r="CX84" s="109"/>
      <c r="CY84" s="109">
        <f t="shared" si="139"/>
        <v>0</v>
      </c>
      <c r="CZ84" s="166">
        <f ca="1">TODAY()</f>
        <v>46054</v>
      </c>
      <c r="DA84" s="167">
        <f t="shared" ca="1" si="140"/>
        <v>68</v>
      </c>
      <c r="DB84" s="165">
        <f t="shared" si="141"/>
        <v>46016</v>
      </c>
      <c r="DC84" s="109">
        <f t="shared" si="142"/>
        <v>0</v>
      </c>
      <c r="DD84" s="109">
        <f t="shared" si="143"/>
        <v>0</v>
      </c>
      <c r="DE84" s="109"/>
      <c r="DF84" s="109">
        <f t="shared" si="144"/>
        <v>0</v>
      </c>
      <c r="DG84" s="166">
        <f ca="1">TODAY()</f>
        <v>46054</v>
      </c>
      <c r="DH84" s="167">
        <f t="shared" ca="1" si="145"/>
        <v>38</v>
      </c>
      <c r="DI84" s="165">
        <f t="shared" si="146"/>
        <v>46047</v>
      </c>
      <c r="DJ84" s="109">
        <f t="shared" si="147"/>
        <v>0</v>
      </c>
      <c r="DK84" s="109">
        <f t="shared" si="148"/>
        <v>0</v>
      </c>
      <c r="DL84" s="109">
        <v>0</v>
      </c>
      <c r="DM84" s="109">
        <f t="shared" si="149"/>
        <v>0</v>
      </c>
      <c r="DN84" s="166">
        <f ca="1">TODAY()</f>
        <v>46054</v>
      </c>
      <c r="DO84" s="167">
        <f t="shared" ca="1" si="150"/>
        <v>7</v>
      </c>
      <c r="DP84" s="165">
        <f>DI84+31</f>
        <v>46078</v>
      </c>
      <c r="DQ84" s="109">
        <f t="shared" si="151"/>
        <v>0</v>
      </c>
      <c r="DR84" s="109">
        <f t="shared" si="207"/>
        <v>0</v>
      </c>
      <c r="DS84" s="109"/>
      <c r="DT84" s="109">
        <f t="shared" si="152"/>
        <v>0</v>
      </c>
      <c r="DU84" s="166">
        <f t="shared" ca="1" si="201"/>
        <v>46054</v>
      </c>
      <c r="DV84" s="167">
        <f t="shared" ca="1" si="153"/>
        <v>0</v>
      </c>
      <c r="DW84" s="165">
        <f t="shared" si="154"/>
        <v>46106</v>
      </c>
      <c r="DX84" s="109">
        <f t="shared" si="155"/>
        <v>0</v>
      </c>
      <c r="DY84" s="109">
        <f t="shared" si="156"/>
        <v>0</v>
      </c>
      <c r="DZ84" s="109"/>
      <c r="EA84" s="109">
        <f t="shared" si="157"/>
        <v>0</v>
      </c>
      <c r="EB84" s="166">
        <f t="shared" ca="1" si="202"/>
        <v>46054</v>
      </c>
      <c r="EC84" s="167">
        <f t="shared" ca="1" si="158"/>
        <v>0</v>
      </c>
      <c r="ED84" s="165">
        <f t="shared" si="159"/>
        <v>46137</v>
      </c>
      <c r="EE84" s="109">
        <f t="shared" si="160"/>
        <v>0</v>
      </c>
      <c r="EF84" s="109">
        <f t="shared" si="161"/>
        <v>0</v>
      </c>
      <c r="EG84" s="109"/>
      <c r="EH84" s="109">
        <f t="shared" si="162"/>
        <v>0</v>
      </c>
      <c r="EI84" s="166">
        <f t="shared" ca="1" si="203"/>
        <v>46054</v>
      </c>
      <c r="EJ84" s="167">
        <f t="shared" ca="1" si="163"/>
        <v>0</v>
      </c>
      <c r="EK84" s="165">
        <f t="shared" si="164"/>
        <v>46167</v>
      </c>
      <c r="EL84" s="109">
        <f t="shared" si="165"/>
        <v>0</v>
      </c>
      <c r="EM84" s="109">
        <f t="shared" si="166"/>
        <v>0</v>
      </c>
      <c r="EN84" s="109"/>
      <c r="EO84" s="109">
        <f t="shared" si="167"/>
        <v>0</v>
      </c>
      <c r="EP84" s="166">
        <f t="shared" ca="1" si="204"/>
        <v>46054</v>
      </c>
      <c r="EQ84" s="167">
        <f t="shared" ca="1" si="168"/>
        <v>0</v>
      </c>
      <c r="ER84" s="165">
        <f t="shared" si="169"/>
        <v>46198</v>
      </c>
      <c r="ES84" s="109">
        <f t="shared" si="170"/>
        <v>0</v>
      </c>
      <c r="ET84" s="109">
        <f t="shared" si="171"/>
        <v>0</v>
      </c>
      <c r="EU84" s="109"/>
      <c r="EV84" s="109"/>
      <c r="EW84" s="166"/>
      <c r="EX84" s="166"/>
      <c r="EY84" s="165">
        <f t="shared" si="172"/>
        <v>46228</v>
      </c>
      <c r="EZ84" s="109">
        <f t="shared" si="173"/>
        <v>0</v>
      </c>
      <c r="FA84" s="109">
        <f t="shared" si="174"/>
        <v>0</v>
      </c>
      <c r="FB84" s="109"/>
      <c r="FC84" s="109"/>
      <c r="FD84" s="166"/>
      <c r="FE84" s="166"/>
      <c r="FF84" s="165">
        <f t="shared" si="175"/>
        <v>46259</v>
      </c>
      <c r="FG84" s="109">
        <f t="shared" si="176"/>
        <v>0</v>
      </c>
      <c r="FH84" s="109">
        <f t="shared" si="177"/>
        <v>0</v>
      </c>
      <c r="FI84" s="109"/>
      <c r="FJ84" s="109"/>
      <c r="FK84" s="166"/>
      <c r="FL84" s="166"/>
      <c r="FM84" s="165">
        <f t="shared" si="178"/>
        <v>46290</v>
      </c>
      <c r="FN84" s="109">
        <f t="shared" si="179"/>
        <v>0</v>
      </c>
      <c r="FO84" s="109">
        <f t="shared" si="180"/>
        <v>0</v>
      </c>
      <c r="FP84" s="109"/>
      <c r="FQ84" s="109"/>
      <c r="FR84" s="166"/>
      <c r="FS84" s="166"/>
      <c r="FT84" s="165"/>
      <c r="FU84" s="109"/>
      <c r="FV84" s="109"/>
      <c r="FW84" s="109"/>
      <c r="FX84" s="109"/>
      <c r="FY84" s="166"/>
      <c r="FZ84" s="166"/>
      <c r="GA84" s="165"/>
      <c r="GB84" s="109"/>
      <c r="GC84" s="109"/>
      <c r="GD84" s="109"/>
      <c r="GE84" s="109"/>
      <c r="GF84" s="166"/>
      <c r="GG84" s="166"/>
      <c r="GH84" s="165"/>
      <c r="GI84" s="109"/>
      <c r="GJ84" s="109"/>
      <c r="GK84" s="109"/>
      <c r="GL84" s="109"/>
      <c r="GM84" s="166"/>
      <c r="GN84" s="166"/>
      <c r="GO84" s="165"/>
      <c r="GP84" s="109"/>
      <c r="GQ84" s="109"/>
      <c r="GR84" s="109"/>
      <c r="GS84" s="109"/>
      <c r="GT84" s="166"/>
      <c r="GU84" s="166"/>
      <c r="GV84" s="165"/>
      <c r="GW84" s="168"/>
      <c r="GX84" s="168"/>
      <c r="GY84" s="168"/>
      <c r="GZ84" s="168"/>
      <c r="HA84" s="166"/>
      <c r="HB84" s="166"/>
      <c r="HC84" s="165"/>
      <c r="HD84" s="109"/>
      <c r="HE84" s="109"/>
      <c r="HF84" s="109"/>
      <c r="HG84" s="109"/>
      <c r="HH84" s="166"/>
      <c r="HI84" s="166"/>
      <c r="HJ84" s="165"/>
      <c r="HK84" s="109"/>
      <c r="HL84" s="109"/>
      <c r="HM84" s="109"/>
      <c r="HN84" s="109"/>
      <c r="HO84" s="166"/>
      <c r="HP84" s="166"/>
      <c r="HQ84" s="165"/>
      <c r="HR84" s="109"/>
      <c r="HS84" s="109"/>
      <c r="HT84" s="109"/>
      <c r="HU84" s="109"/>
      <c r="HV84" s="166"/>
      <c r="HW84" s="166"/>
      <c r="HX84" s="105">
        <f t="shared" si="198"/>
        <v>2211.8644067796608</v>
      </c>
      <c r="HY84" s="105">
        <f t="shared" si="198"/>
        <v>398.13559322033905</v>
      </c>
      <c r="HZ84" s="105">
        <f t="shared" si="198"/>
        <v>2610</v>
      </c>
      <c r="IA84" s="105">
        <f t="shared" si="181"/>
        <v>0</v>
      </c>
      <c r="IB84" s="109">
        <f t="shared" si="182"/>
        <v>28701.3</v>
      </c>
      <c r="IC84" s="109">
        <f t="shared" si="183"/>
        <v>24323.135593220341</v>
      </c>
      <c r="ID84" s="109">
        <f t="shared" si="184"/>
        <v>0</v>
      </c>
      <c r="IE84" s="109">
        <f t="shared" ca="1" si="185"/>
        <v>121</v>
      </c>
      <c r="IF84" s="139">
        <f t="shared" si="186"/>
        <v>1.0002778549597109</v>
      </c>
      <c r="IG84" s="139">
        <f t="shared" ca="1" si="187"/>
        <v>99</v>
      </c>
      <c r="IH84" s="169">
        <f t="shared" ca="1" si="188"/>
        <v>3.3</v>
      </c>
      <c r="II84" s="139">
        <f t="shared" ca="1" si="189"/>
        <v>2.2997221450402892</v>
      </c>
      <c r="IJ84" s="169">
        <f t="shared" ca="1" si="190"/>
        <v>68.991664351208669</v>
      </c>
      <c r="IK84" s="169">
        <f t="shared" ca="1" si="196"/>
        <v>2.2997221450402892</v>
      </c>
      <c r="IL84" s="170">
        <f t="shared" ca="1" si="191"/>
        <v>6000.607500000001</v>
      </c>
      <c r="IM84" s="171"/>
      <c r="IN84" s="171"/>
      <c r="IO84" s="171"/>
      <c r="IP84" s="171"/>
    </row>
    <row r="85" spans="1:250" ht="15" customHeight="1" thickBot="1" x14ac:dyDescent="0.35">
      <c r="A85" s="110">
        <f t="shared" si="192"/>
        <v>81</v>
      </c>
      <c r="B85" s="111" t="s">
        <v>131</v>
      </c>
      <c r="C85" s="111" t="s">
        <v>132</v>
      </c>
      <c r="D85" s="111">
        <v>101</v>
      </c>
      <c r="E85" s="111" t="s">
        <v>522</v>
      </c>
      <c r="F85" s="111"/>
      <c r="G85" s="111" t="s">
        <v>1065</v>
      </c>
      <c r="H85" s="111">
        <v>1011100013</v>
      </c>
      <c r="I85" s="146" t="str">
        <f t="shared" si="124"/>
        <v>1100013</v>
      </c>
      <c r="J85" s="145" t="str">
        <f t="shared" si="125"/>
        <v>KB1100013</v>
      </c>
      <c r="K85" s="111" t="s">
        <v>1066</v>
      </c>
      <c r="L85" s="111" t="s">
        <v>1067</v>
      </c>
      <c r="M85" s="111" t="s">
        <v>1068</v>
      </c>
      <c r="N85" s="111" t="s">
        <v>138</v>
      </c>
      <c r="O85" s="111"/>
      <c r="P85" s="111" t="s">
        <v>1069</v>
      </c>
      <c r="Q85" s="148">
        <v>27046</v>
      </c>
      <c r="R85" s="111" t="s">
        <v>131</v>
      </c>
      <c r="S85" s="111">
        <f t="shared" ca="1" si="197"/>
        <v>52</v>
      </c>
      <c r="T85" s="111" t="s">
        <v>1070</v>
      </c>
      <c r="U85" s="111" t="s">
        <v>1071</v>
      </c>
      <c r="V85" s="172">
        <v>771711573</v>
      </c>
      <c r="W85" s="111"/>
      <c r="X85" s="111" t="s">
        <v>181</v>
      </c>
      <c r="Y85" s="111">
        <v>11</v>
      </c>
      <c r="Z85" s="111" t="s">
        <v>182</v>
      </c>
      <c r="AA85" s="111" t="s">
        <v>1072</v>
      </c>
      <c r="AB85" s="111" t="s">
        <v>1073</v>
      </c>
      <c r="AC85" s="111" t="s">
        <v>146</v>
      </c>
      <c r="AD85" s="111" t="s">
        <v>147</v>
      </c>
      <c r="AE85" s="173" t="s">
        <v>136</v>
      </c>
      <c r="AF85" s="173" t="s">
        <v>136</v>
      </c>
      <c r="AG85" s="174">
        <v>45934</v>
      </c>
      <c r="AH85" s="175">
        <v>50000</v>
      </c>
      <c r="AI85" s="111">
        <v>15</v>
      </c>
      <c r="AJ85" s="111">
        <v>0</v>
      </c>
      <c r="AK85" s="150">
        <f t="shared" si="193"/>
        <v>15</v>
      </c>
      <c r="AL85" s="177">
        <v>30000</v>
      </c>
      <c r="AM85" s="176">
        <v>0.18</v>
      </c>
      <c r="AN85" s="177">
        <f t="shared" si="205"/>
        <v>5400</v>
      </c>
      <c r="AO85" s="157">
        <f t="shared" si="209"/>
        <v>35400</v>
      </c>
      <c r="AP85" s="158">
        <f t="shared" si="126"/>
        <v>2360</v>
      </c>
      <c r="AQ85" s="111" t="s">
        <v>136</v>
      </c>
      <c r="AR85" s="111" t="s">
        <v>149</v>
      </c>
      <c r="AS85" s="111" t="s">
        <v>1071</v>
      </c>
      <c r="AT85" s="111" t="s">
        <v>201</v>
      </c>
      <c r="AU85" s="111" t="s">
        <v>1074</v>
      </c>
      <c r="AV85" s="111">
        <v>2</v>
      </c>
      <c r="AW85" s="111" t="s">
        <v>136</v>
      </c>
      <c r="AX85" s="111" t="s">
        <v>136</v>
      </c>
      <c r="AY85" s="111" t="s">
        <v>136</v>
      </c>
      <c r="AZ85" s="111" t="s">
        <v>136</v>
      </c>
      <c r="BA85" s="111" t="s">
        <v>136</v>
      </c>
      <c r="BB85" s="111" t="s">
        <v>136</v>
      </c>
      <c r="BC85" s="111" t="s">
        <v>136</v>
      </c>
      <c r="BD85" s="111" t="s">
        <v>136</v>
      </c>
      <c r="BE85" s="111" t="s">
        <v>136</v>
      </c>
      <c r="BF85" s="111" t="s">
        <v>136</v>
      </c>
      <c r="BG85" s="111" t="s">
        <v>136</v>
      </c>
      <c r="BH85" s="111" t="s">
        <v>136</v>
      </c>
      <c r="BI85" s="111" t="s">
        <v>136</v>
      </c>
      <c r="BJ85" s="111" t="s">
        <v>136</v>
      </c>
      <c r="BK85" s="111" t="s">
        <v>136</v>
      </c>
      <c r="BL85" s="111" t="s">
        <v>136</v>
      </c>
      <c r="BM85" s="111" t="s">
        <v>136</v>
      </c>
      <c r="BN85" s="111" t="s">
        <v>136</v>
      </c>
      <c r="BO85" s="111" t="s">
        <v>136</v>
      </c>
      <c r="BP85" s="111" t="s">
        <v>1075</v>
      </c>
      <c r="BQ85" s="111" t="s">
        <v>1076</v>
      </c>
      <c r="BR85" s="111" t="s">
        <v>1077</v>
      </c>
      <c r="BS85" s="111" t="s">
        <v>1078</v>
      </c>
      <c r="BT85" s="182" t="s">
        <v>1079</v>
      </c>
      <c r="BU85" s="111" t="s">
        <v>201</v>
      </c>
      <c r="BV85" s="111" t="s">
        <v>1071</v>
      </c>
      <c r="BW85" s="111"/>
      <c r="BX85" s="111"/>
      <c r="BY85" s="111"/>
      <c r="BZ85" s="111"/>
      <c r="CA85" s="111"/>
      <c r="CB85" s="111"/>
      <c r="CC85" s="178"/>
      <c r="CD85" s="177">
        <f t="shared" si="127"/>
        <v>30000</v>
      </c>
      <c r="CE85" s="148">
        <v>45956</v>
      </c>
      <c r="CF85" s="111">
        <f t="shared" si="128"/>
        <v>15</v>
      </c>
      <c r="CG85" s="177">
        <f t="shared" si="129"/>
        <v>35400</v>
      </c>
      <c r="CH85" s="203">
        <f t="shared" si="208"/>
        <v>0</v>
      </c>
      <c r="CI85" s="148">
        <v>45956</v>
      </c>
      <c r="CJ85" s="161">
        <f t="shared" si="194"/>
        <v>45987</v>
      </c>
      <c r="CK85" s="162">
        <f t="shared" si="195"/>
        <v>46413</v>
      </c>
      <c r="CL85" s="183"/>
      <c r="CM85" s="164">
        <f t="shared" ca="1" si="130"/>
        <v>46054</v>
      </c>
      <c r="CN85" s="165">
        <f t="shared" si="131"/>
        <v>45987</v>
      </c>
      <c r="CO85" s="109">
        <f t="shared" si="132"/>
        <v>2000</v>
      </c>
      <c r="CP85" s="109">
        <f t="shared" si="133"/>
        <v>360</v>
      </c>
      <c r="CQ85" s="109">
        <v>2360</v>
      </c>
      <c r="CR85" s="109">
        <f t="shared" si="134"/>
        <v>0</v>
      </c>
      <c r="CS85" s="166">
        <v>45994</v>
      </c>
      <c r="CT85" s="167">
        <f t="shared" si="135"/>
        <v>7</v>
      </c>
      <c r="CU85" s="165">
        <f t="shared" si="136"/>
        <v>46017</v>
      </c>
      <c r="CV85" s="109">
        <f t="shared" si="137"/>
        <v>0</v>
      </c>
      <c r="CW85" s="109">
        <f t="shared" si="138"/>
        <v>0</v>
      </c>
      <c r="CX85" s="109"/>
      <c r="CY85" s="109">
        <f t="shared" si="139"/>
        <v>0</v>
      </c>
      <c r="CZ85" s="166">
        <f ca="1">TODAY()</f>
        <v>46054</v>
      </c>
      <c r="DA85" s="167">
        <f t="shared" ca="1" si="140"/>
        <v>37</v>
      </c>
      <c r="DB85" s="165">
        <f t="shared" si="141"/>
        <v>46048</v>
      </c>
      <c r="DC85" s="109">
        <f t="shared" si="142"/>
        <v>0</v>
      </c>
      <c r="DD85" s="109">
        <f t="shared" si="143"/>
        <v>0</v>
      </c>
      <c r="DE85" s="109"/>
      <c r="DF85" s="109">
        <f t="shared" si="144"/>
        <v>0</v>
      </c>
      <c r="DG85" s="166">
        <f ca="1">TODAY()</f>
        <v>46054</v>
      </c>
      <c r="DH85" s="167">
        <f t="shared" ca="1" si="145"/>
        <v>6</v>
      </c>
      <c r="DI85" s="165">
        <f t="shared" si="146"/>
        <v>46079</v>
      </c>
      <c r="DJ85" s="109">
        <f t="shared" si="147"/>
        <v>0</v>
      </c>
      <c r="DK85" s="109">
        <f t="shared" si="148"/>
        <v>0</v>
      </c>
      <c r="DL85" s="109">
        <v>0</v>
      </c>
      <c r="DM85" s="109">
        <f t="shared" si="149"/>
        <v>0</v>
      </c>
      <c r="DN85" s="166">
        <f ca="1">TODAY()</f>
        <v>46054</v>
      </c>
      <c r="DO85" s="167">
        <f t="shared" ca="1" si="150"/>
        <v>0</v>
      </c>
      <c r="DP85" s="165">
        <f>DI85+31</f>
        <v>46110</v>
      </c>
      <c r="DQ85" s="109">
        <f t="shared" si="151"/>
        <v>0</v>
      </c>
      <c r="DR85" s="109">
        <f t="shared" si="207"/>
        <v>0</v>
      </c>
      <c r="DS85" s="109"/>
      <c r="DT85" s="109">
        <f t="shared" si="152"/>
        <v>0</v>
      </c>
      <c r="DU85" s="166">
        <f t="shared" ca="1" si="201"/>
        <v>46054</v>
      </c>
      <c r="DV85" s="167">
        <f t="shared" ca="1" si="153"/>
        <v>0</v>
      </c>
      <c r="DW85" s="165">
        <f t="shared" si="154"/>
        <v>46141</v>
      </c>
      <c r="DX85" s="109">
        <f t="shared" si="155"/>
        <v>0</v>
      </c>
      <c r="DY85" s="109">
        <f t="shared" si="156"/>
        <v>0</v>
      </c>
      <c r="DZ85" s="109"/>
      <c r="EA85" s="109">
        <f t="shared" si="157"/>
        <v>0</v>
      </c>
      <c r="EB85" s="166">
        <f t="shared" ca="1" si="202"/>
        <v>46054</v>
      </c>
      <c r="EC85" s="167">
        <f t="shared" ca="1" si="158"/>
        <v>0</v>
      </c>
      <c r="ED85" s="165">
        <f t="shared" si="159"/>
        <v>46171</v>
      </c>
      <c r="EE85" s="109">
        <f t="shared" si="160"/>
        <v>0</v>
      </c>
      <c r="EF85" s="109">
        <f t="shared" si="161"/>
        <v>0</v>
      </c>
      <c r="EG85" s="109"/>
      <c r="EH85" s="109">
        <f t="shared" si="162"/>
        <v>0</v>
      </c>
      <c r="EI85" s="166">
        <f t="shared" ca="1" si="203"/>
        <v>46054</v>
      </c>
      <c r="EJ85" s="167">
        <f t="shared" ca="1" si="163"/>
        <v>0</v>
      </c>
      <c r="EK85" s="165">
        <f t="shared" si="164"/>
        <v>46202</v>
      </c>
      <c r="EL85" s="109">
        <f t="shared" si="165"/>
        <v>0</v>
      </c>
      <c r="EM85" s="109">
        <f t="shared" si="166"/>
        <v>0</v>
      </c>
      <c r="EN85" s="109"/>
      <c r="EO85" s="109">
        <f t="shared" si="167"/>
        <v>0</v>
      </c>
      <c r="EP85" s="166">
        <f t="shared" ca="1" si="204"/>
        <v>46054</v>
      </c>
      <c r="EQ85" s="167">
        <f t="shared" ca="1" si="168"/>
        <v>0</v>
      </c>
      <c r="ER85" s="165">
        <f t="shared" si="169"/>
        <v>46232</v>
      </c>
      <c r="ES85" s="109">
        <f t="shared" si="170"/>
        <v>0</v>
      </c>
      <c r="ET85" s="109">
        <f t="shared" si="171"/>
        <v>0</v>
      </c>
      <c r="EU85" s="109"/>
      <c r="EV85" s="109"/>
      <c r="EW85" s="166"/>
      <c r="EX85" s="166"/>
      <c r="EY85" s="165">
        <f t="shared" si="172"/>
        <v>46263</v>
      </c>
      <c r="EZ85" s="109">
        <f t="shared" si="173"/>
        <v>0</v>
      </c>
      <c r="FA85" s="109">
        <f t="shared" si="174"/>
        <v>0</v>
      </c>
      <c r="FB85" s="109"/>
      <c r="FC85" s="109"/>
      <c r="FD85" s="166"/>
      <c r="FE85" s="166"/>
      <c r="FF85" s="165">
        <f t="shared" si="175"/>
        <v>46294</v>
      </c>
      <c r="FG85" s="109">
        <f t="shared" si="176"/>
        <v>0</v>
      </c>
      <c r="FH85" s="109">
        <f t="shared" si="177"/>
        <v>0</v>
      </c>
      <c r="FI85" s="109"/>
      <c r="FJ85" s="109"/>
      <c r="FK85" s="166"/>
      <c r="FL85" s="166"/>
      <c r="FM85" s="165">
        <f t="shared" si="178"/>
        <v>46324</v>
      </c>
      <c r="FN85" s="109">
        <f t="shared" si="179"/>
        <v>0</v>
      </c>
      <c r="FO85" s="109">
        <f t="shared" si="180"/>
        <v>0</v>
      </c>
      <c r="FP85" s="109"/>
      <c r="FQ85" s="109"/>
      <c r="FR85" s="166"/>
      <c r="FS85" s="166"/>
      <c r="FT85" s="165">
        <f>EDATE(FM85,1)</f>
        <v>46355</v>
      </c>
      <c r="FU85" s="109">
        <f>FW85-FV85</f>
        <v>0</v>
      </c>
      <c r="FV85" s="109">
        <f>FW85/(1+AM85)*AM85</f>
        <v>0</v>
      </c>
      <c r="FW85" s="109"/>
      <c r="FX85" s="109"/>
      <c r="FY85" s="166"/>
      <c r="FZ85" s="166"/>
      <c r="GA85" s="165">
        <f>EDATE(FT85,1)</f>
        <v>46385</v>
      </c>
      <c r="GB85" s="109">
        <f>GD85-GC85</f>
        <v>0</v>
      </c>
      <c r="GC85" s="109">
        <f>GD85/(1+AM85)*AM85</f>
        <v>0</v>
      </c>
      <c r="GD85" s="109"/>
      <c r="GE85" s="109"/>
      <c r="GF85" s="166"/>
      <c r="GG85" s="166"/>
      <c r="GH85" s="165">
        <f>EDATE(GA85,1)</f>
        <v>46416</v>
      </c>
      <c r="GI85" s="109">
        <f>GK85-GJ85</f>
        <v>0</v>
      </c>
      <c r="GJ85" s="109">
        <f>GK85/(1+AM85)*AM85</f>
        <v>0</v>
      </c>
      <c r="GK85" s="109"/>
      <c r="GL85" s="109"/>
      <c r="GM85" s="166"/>
      <c r="GN85" s="166"/>
      <c r="GO85" s="165"/>
      <c r="GP85" s="109"/>
      <c r="GQ85" s="109"/>
      <c r="GR85" s="109"/>
      <c r="GS85" s="109"/>
      <c r="GT85" s="166"/>
      <c r="GU85" s="166"/>
      <c r="GV85" s="165"/>
      <c r="GW85" s="168"/>
      <c r="GX85" s="168"/>
      <c r="GY85" s="168"/>
      <c r="GZ85" s="168"/>
      <c r="HA85" s="166"/>
      <c r="HB85" s="166"/>
      <c r="HC85" s="165"/>
      <c r="HD85" s="109"/>
      <c r="HE85" s="109"/>
      <c r="HF85" s="109"/>
      <c r="HG85" s="109"/>
      <c r="HH85" s="166"/>
      <c r="HI85" s="166"/>
      <c r="HJ85" s="165"/>
      <c r="HK85" s="109"/>
      <c r="HL85" s="109"/>
      <c r="HM85" s="109"/>
      <c r="HN85" s="109"/>
      <c r="HO85" s="166"/>
      <c r="HP85" s="166"/>
      <c r="HQ85" s="165"/>
      <c r="HR85" s="109"/>
      <c r="HS85" s="109"/>
      <c r="HT85" s="109"/>
      <c r="HU85" s="109"/>
      <c r="HV85" s="166"/>
      <c r="HW85" s="166"/>
      <c r="HX85" s="105">
        <f t="shared" si="198"/>
        <v>2000</v>
      </c>
      <c r="HY85" s="105">
        <f t="shared" si="198"/>
        <v>360</v>
      </c>
      <c r="HZ85" s="105">
        <f t="shared" si="198"/>
        <v>2360</v>
      </c>
      <c r="IA85" s="105">
        <f t="shared" si="181"/>
        <v>0</v>
      </c>
      <c r="IB85" s="109">
        <f t="shared" si="182"/>
        <v>33040</v>
      </c>
      <c r="IC85" s="109">
        <f t="shared" si="183"/>
        <v>28000</v>
      </c>
      <c r="ID85" s="109">
        <f t="shared" si="184"/>
        <v>0</v>
      </c>
      <c r="IE85" s="109">
        <f t="shared" ca="1" si="185"/>
        <v>50</v>
      </c>
      <c r="IF85" s="139">
        <f t="shared" si="186"/>
        <v>1</v>
      </c>
      <c r="IG85" s="139">
        <f t="shared" ca="1" si="187"/>
        <v>67</v>
      </c>
      <c r="IH85" s="169">
        <f t="shared" ca="1" si="188"/>
        <v>2.2333333333333334</v>
      </c>
      <c r="II85" s="139">
        <f t="shared" ca="1" si="189"/>
        <v>1.2333333333333334</v>
      </c>
      <c r="IJ85" s="169">
        <f t="shared" ca="1" si="190"/>
        <v>37</v>
      </c>
      <c r="IK85" s="169">
        <f t="shared" ca="1" si="196"/>
        <v>1.2333333333333334</v>
      </c>
      <c r="IL85" s="170">
        <f t="shared" ca="1" si="191"/>
        <v>2910.666666666667</v>
      </c>
      <c r="IM85" s="171"/>
      <c r="IN85" s="171"/>
      <c r="IO85" s="171"/>
      <c r="IP85" s="171"/>
    </row>
    <row r="86" spans="1:250" ht="15" thickBot="1" x14ac:dyDescent="0.35">
      <c r="A86" s="110">
        <f t="shared" si="192"/>
        <v>82</v>
      </c>
      <c r="B86" s="111" t="s">
        <v>131</v>
      </c>
      <c r="C86" s="111" t="s">
        <v>132</v>
      </c>
      <c r="D86" s="111">
        <v>101</v>
      </c>
      <c r="E86" s="111" t="s">
        <v>522</v>
      </c>
      <c r="F86" s="111"/>
      <c r="G86" s="111" t="s">
        <v>1080</v>
      </c>
      <c r="H86" s="111">
        <v>1011100014</v>
      </c>
      <c r="I86" s="146" t="str">
        <f t="shared" si="124"/>
        <v>1100014</v>
      </c>
      <c r="J86" s="145" t="str">
        <f t="shared" si="125"/>
        <v>KB1100014</v>
      </c>
      <c r="K86" s="111" t="s">
        <v>585</v>
      </c>
      <c r="L86" s="111" t="s">
        <v>1081</v>
      </c>
      <c r="M86" s="111" t="s">
        <v>1082</v>
      </c>
      <c r="N86" s="111" t="s">
        <v>138</v>
      </c>
      <c r="O86" s="111"/>
      <c r="P86" s="111" t="s">
        <v>1083</v>
      </c>
      <c r="Q86" s="148">
        <v>32578</v>
      </c>
      <c r="R86" s="111" t="s">
        <v>131</v>
      </c>
      <c r="S86" s="111">
        <f t="shared" ca="1" si="197"/>
        <v>36</v>
      </c>
      <c r="T86" s="111" t="s">
        <v>1084</v>
      </c>
      <c r="U86" s="111" t="s">
        <v>1036</v>
      </c>
      <c r="V86" s="172">
        <v>789010507</v>
      </c>
      <c r="W86" s="111"/>
      <c r="X86" s="111" t="s">
        <v>181</v>
      </c>
      <c r="Y86" s="111">
        <v>11</v>
      </c>
      <c r="Z86" s="111" t="s">
        <v>235</v>
      </c>
      <c r="AA86" s="111" t="s">
        <v>235</v>
      </c>
      <c r="AB86" s="111" t="s">
        <v>236</v>
      </c>
      <c r="AC86" s="111" t="s">
        <v>146</v>
      </c>
      <c r="AD86" s="111" t="s">
        <v>147</v>
      </c>
      <c r="AE86" s="173" t="s">
        <v>136</v>
      </c>
      <c r="AF86" s="173" t="s">
        <v>136</v>
      </c>
      <c r="AG86" s="174">
        <v>45955</v>
      </c>
      <c r="AH86" s="175">
        <v>500000</v>
      </c>
      <c r="AI86" s="111">
        <v>18</v>
      </c>
      <c r="AJ86" s="111">
        <v>0</v>
      </c>
      <c r="AK86" s="150">
        <f t="shared" si="193"/>
        <v>18</v>
      </c>
      <c r="AL86" s="177">
        <v>400000</v>
      </c>
      <c r="AM86" s="176">
        <v>0.16</v>
      </c>
      <c r="AN86" s="177">
        <f t="shared" si="205"/>
        <v>64000</v>
      </c>
      <c r="AO86" s="157">
        <f t="shared" si="209"/>
        <v>464000</v>
      </c>
      <c r="AP86" s="158">
        <f t="shared" si="126"/>
        <v>25777.777777777777</v>
      </c>
      <c r="AQ86" s="111" t="s">
        <v>136</v>
      </c>
      <c r="AR86" s="111" t="s">
        <v>149</v>
      </c>
      <c r="AS86" s="111" t="s">
        <v>1036</v>
      </c>
      <c r="AT86" s="111" t="s">
        <v>1037</v>
      </c>
      <c r="AU86" s="111" t="s">
        <v>1084</v>
      </c>
      <c r="AV86" s="111">
        <v>4</v>
      </c>
      <c r="AW86" s="111" t="s">
        <v>136</v>
      </c>
      <c r="AX86" s="111" t="s">
        <v>136</v>
      </c>
      <c r="AY86" s="111" t="s">
        <v>136</v>
      </c>
      <c r="AZ86" s="111" t="s">
        <v>136</v>
      </c>
      <c r="BA86" s="111" t="s">
        <v>136</v>
      </c>
      <c r="BB86" s="111" t="s">
        <v>136</v>
      </c>
      <c r="BC86" s="111" t="s">
        <v>136</v>
      </c>
      <c r="BD86" s="111" t="s">
        <v>1082</v>
      </c>
      <c r="BE86" s="111" t="s">
        <v>1085</v>
      </c>
      <c r="BF86" s="111" t="s">
        <v>1086</v>
      </c>
      <c r="BG86" s="111"/>
      <c r="BH86" s="111" t="s">
        <v>131</v>
      </c>
      <c r="BI86" s="111" t="s">
        <v>745</v>
      </c>
      <c r="BJ86" s="111" t="s">
        <v>1087</v>
      </c>
      <c r="BK86" s="111" t="s">
        <v>1084</v>
      </c>
      <c r="BL86" s="175">
        <v>1160000</v>
      </c>
      <c r="BM86" s="175">
        <v>2600000</v>
      </c>
      <c r="BN86" s="111" t="s">
        <v>1088</v>
      </c>
      <c r="BO86" s="111"/>
      <c r="BP86" s="111" t="s">
        <v>1089</v>
      </c>
      <c r="BQ86" s="111" t="s">
        <v>1081</v>
      </c>
      <c r="BR86" s="111" t="s">
        <v>1090</v>
      </c>
      <c r="BS86" s="111" t="s">
        <v>1085</v>
      </c>
      <c r="BT86" s="182" t="s">
        <v>1091</v>
      </c>
      <c r="BU86" s="111" t="s">
        <v>1084</v>
      </c>
      <c r="BV86" s="111" t="s">
        <v>745</v>
      </c>
      <c r="BW86" s="111"/>
      <c r="BX86" s="111"/>
      <c r="BY86" s="111"/>
      <c r="BZ86" s="111"/>
      <c r="CA86" s="111"/>
      <c r="CB86" s="111"/>
      <c r="CC86" s="178"/>
      <c r="CD86" s="177">
        <f t="shared" si="127"/>
        <v>400000</v>
      </c>
      <c r="CE86" s="148">
        <v>45985</v>
      </c>
      <c r="CF86" s="111">
        <f t="shared" si="128"/>
        <v>18</v>
      </c>
      <c r="CG86" s="177">
        <f t="shared" si="129"/>
        <v>464000</v>
      </c>
      <c r="CH86" s="203">
        <f t="shared" si="208"/>
        <v>0</v>
      </c>
      <c r="CI86" s="148">
        <v>45985</v>
      </c>
      <c r="CJ86" s="161">
        <f t="shared" si="194"/>
        <v>46015</v>
      </c>
      <c r="CK86" s="162">
        <f t="shared" si="195"/>
        <v>46531</v>
      </c>
      <c r="CL86" s="183"/>
      <c r="CM86" s="164">
        <f t="shared" ca="1" si="130"/>
        <v>46054</v>
      </c>
      <c r="CN86" s="165">
        <f t="shared" si="131"/>
        <v>46015</v>
      </c>
      <c r="CO86" s="109">
        <f t="shared" si="132"/>
        <v>22413.793103448275</v>
      </c>
      <c r="CP86" s="109">
        <f t="shared" si="133"/>
        <v>3586.2068965517246</v>
      </c>
      <c r="CQ86" s="109">
        <v>26000</v>
      </c>
      <c r="CR86" s="109">
        <f t="shared" si="134"/>
        <v>222.22222222222263</v>
      </c>
      <c r="CS86" s="166">
        <v>46019</v>
      </c>
      <c r="CT86" s="167">
        <f t="shared" si="135"/>
        <v>4</v>
      </c>
      <c r="CU86" s="165">
        <f t="shared" si="136"/>
        <v>46046</v>
      </c>
      <c r="CV86" s="109">
        <f t="shared" si="137"/>
        <v>0</v>
      </c>
      <c r="CW86" s="109">
        <f t="shared" si="138"/>
        <v>0</v>
      </c>
      <c r="CX86" s="109"/>
      <c r="CY86" s="109">
        <f t="shared" si="139"/>
        <v>0</v>
      </c>
      <c r="CZ86" s="166">
        <f ca="1">TODAY()</f>
        <v>46054</v>
      </c>
      <c r="DA86" s="167">
        <f t="shared" ca="1" si="140"/>
        <v>8</v>
      </c>
      <c r="DB86" s="165">
        <f t="shared" si="141"/>
        <v>46077</v>
      </c>
      <c r="DC86" s="109">
        <f t="shared" si="142"/>
        <v>0</v>
      </c>
      <c r="DD86" s="109">
        <f t="shared" si="143"/>
        <v>0</v>
      </c>
      <c r="DE86" s="109"/>
      <c r="DF86" s="109">
        <f t="shared" si="144"/>
        <v>0</v>
      </c>
      <c r="DG86" s="166">
        <f ca="1">TODAY()</f>
        <v>46054</v>
      </c>
      <c r="DH86" s="167">
        <f t="shared" ca="1" si="145"/>
        <v>0</v>
      </c>
      <c r="DI86" s="165">
        <f t="shared" si="146"/>
        <v>46105</v>
      </c>
      <c r="DJ86" s="109">
        <f t="shared" si="147"/>
        <v>0</v>
      </c>
      <c r="DK86" s="109">
        <f t="shared" si="148"/>
        <v>0</v>
      </c>
      <c r="DL86" s="109">
        <v>0</v>
      </c>
      <c r="DM86" s="109">
        <f t="shared" si="149"/>
        <v>0</v>
      </c>
      <c r="DN86" s="166">
        <f ca="1">TODAY()</f>
        <v>46054</v>
      </c>
      <c r="DO86" s="167">
        <f t="shared" ca="1" si="150"/>
        <v>0</v>
      </c>
      <c r="DP86" s="165">
        <f>DI86+31</f>
        <v>46136</v>
      </c>
      <c r="DQ86" s="109">
        <f t="shared" si="151"/>
        <v>0</v>
      </c>
      <c r="DR86" s="109">
        <f t="shared" si="207"/>
        <v>0</v>
      </c>
      <c r="DS86" s="109"/>
      <c r="DT86" s="109">
        <f t="shared" si="152"/>
        <v>0</v>
      </c>
      <c r="DU86" s="166">
        <f t="shared" ca="1" si="201"/>
        <v>46054</v>
      </c>
      <c r="DV86" s="167">
        <f t="shared" ca="1" si="153"/>
        <v>0</v>
      </c>
      <c r="DW86" s="165">
        <f t="shared" si="154"/>
        <v>46166</v>
      </c>
      <c r="DX86" s="109">
        <f t="shared" si="155"/>
        <v>0</v>
      </c>
      <c r="DY86" s="109">
        <f t="shared" si="156"/>
        <v>0</v>
      </c>
      <c r="DZ86" s="109"/>
      <c r="EA86" s="109">
        <f t="shared" si="157"/>
        <v>0</v>
      </c>
      <c r="EB86" s="166">
        <f t="shared" ca="1" si="202"/>
        <v>46054</v>
      </c>
      <c r="EC86" s="167">
        <f t="shared" ca="1" si="158"/>
        <v>0</v>
      </c>
      <c r="ED86" s="165">
        <f t="shared" si="159"/>
        <v>46197</v>
      </c>
      <c r="EE86" s="109">
        <f t="shared" si="160"/>
        <v>0</v>
      </c>
      <c r="EF86" s="109">
        <f t="shared" si="161"/>
        <v>0</v>
      </c>
      <c r="EG86" s="109"/>
      <c r="EH86" s="109">
        <f t="shared" si="162"/>
        <v>0</v>
      </c>
      <c r="EI86" s="166">
        <f t="shared" ca="1" si="203"/>
        <v>46054</v>
      </c>
      <c r="EJ86" s="167">
        <f t="shared" ca="1" si="163"/>
        <v>0</v>
      </c>
      <c r="EK86" s="165">
        <f t="shared" si="164"/>
        <v>46227</v>
      </c>
      <c r="EL86" s="109">
        <f t="shared" si="165"/>
        <v>0</v>
      </c>
      <c r="EM86" s="109">
        <f t="shared" si="166"/>
        <v>0</v>
      </c>
      <c r="EN86" s="109"/>
      <c r="EO86" s="109">
        <f t="shared" si="167"/>
        <v>0</v>
      </c>
      <c r="EP86" s="166">
        <f t="shared" ca="1" si="204"/>
        <v>46054</v>
      </c>
      <c r="EQ86" s="167">
        <f t="shared" ca="1" si="168"/>
        <v>0</v>
      </c>
      <c r="ER86" s="165">
        <f t="shared" si="169"/>
        <v>46258</v>
      </c>
      <c r="ES86" s="109">
        <f t="shared" si="170"/>
        <v>0</v>
      </c>
      <c r="ET86" s="109">
        <f t="shared" si="171"/>
        <v>0</v>
      </c>
      <c r="EU86" s="109"/>
      <c r="EV86" s="109"/>
      <c r="EW86" s="166"/>
      <c r="EX86" s="166"/>
      <c r="EY86" s="165">
        <f t="shared" si="172"/>
        <v>46289</v>
      </c>
      <c r="EZ86" s="109">
        <f t="shared" si="173"/>
        <v>0</v>
      </c>
      <c r="FA86" s="109">
        <f t="shared" si="174"/>
        <v>0</v>
      </c>
      <c r="FB86" s="109"/>
      <c r="FC86" s="109"/>
      <c r="FD86" s="166"/>
      <c r="FE86" s="166"/>
      <c r="FF86" s="165">
        <f t="shared" si="175"/>
        <v>46319</v>
      </c>
      <c r="FG86" s="109">
        <f t="shared" si="176"/>
        <v>0</v>
      </c>
      <c r="FH86" s="109">
        <f t="shared" si="177"/>
        <v>0</v>
      </c>
      <c r="FI86" s="109"/>
      <c r="FJ86" s="109"/>
      <c r="FK86" s="166"/>
      <c r="FL86" s="166"/>
      <c r="FM86" s="165">
        <f t="shared" si="178"/>
        <v>46350</v>
      </c>
      <c r="FN86" s="109">
        <f t="shared" si="179"/>
        <v>0</v>
      </c>
      <c r="FO86" s="109">
        <f t="shared" si="180"/>
        <v>0</v>
      </c>
      <c r="FP86" s="109"/>
      <c r="FQ86" s="109"/>
      <c r="FR86" s="166"/>
      <c r="FS86" s="166"/>
      <c r="FT86" s="165">
        <f>EDATE(FM86,1)</f>
        <v>46380</v>
      </c>
      <c r="FU86" s="109">
        <f>FW86-FV86</f>
        <v>0</v>
      </c>
      <c r="FV86" s="109">
        <f>FW86/(1+AM86)*AM86</f>
        <v>0</v>
      </c>
      <c r="FW86" s="109"/>
      <c r="FX86" s="109"/>
      <c r="FY86" s="166"/>
      <c r="FZ86" s="166"/>
      <c r="GA86" s="165">
        <f>EDATE(FT86,1)</f>
        <v>46411</v>
      </c>
      <c r="GB86" s="109">
        <f>GD86-GC86</f>
        <v>0</v>
      </c>
      <c r="GC86" s="109">
        <f>GD86/(1+AM86)*AM86</f>
        <v>0</v>
      </c>
      <c r="GD86" s="109"/>
      <c r="GE86" s="109"/>
      <c r="GF86" s="166"/>
      <c r="GG86" s="166"/>
      <c r="GH86" s="165">
        <f>EDATE(GA86,1)</f>
        <v>46442</v>
      </c>
      <c r="GI86" s="109">
        <f>GK86-GJ86</f>
        <v>0</v>
      </c>
      <c r="GJ86" s="109">
        <f>GK86/(1+AM86)*AM86</f>
        <v>0</v>
      </c>
      <c r="GK86" s="109"/>
      <c r="GL86" s="109"/>
      <c r="GM86" s="166"/>
      <c r="GN86" s="166"/>
      <c r="GO86" s="165">
        <f>EDATE(GH86,1)</f>
        <v>46470</v>
      </c>
      <c r="GP86" s="109">
        <f>GR86-GQ86</f>
        <v>0</v>
      </c>
      <c r="GQ86" s="109">
        <f>GR86/(1+AM86)*AM86</f>
        <v>0</v>
      </c>
      <c r="GR86" s="109"/>
      <c r="GS86" s="109"/>
      <c r="GT86" s="166"/>
      <c r="GU86" s="166"/>
      <c r="GV86" s="165">
        <f>EDATE(GO86,1)</f>
        <v>46501</v>
      </c>
      <c r="GW86" s="168">
        <f>GY86-GX86</f>
        <v>0</v>
      </c>
      <c r="GX86" s="168">
        <f>GY86/(1+AM86)*AM86</f>
        <v>0</v>
      </c>
      <c r="GY86" s="168"/>
      <c r="GZ86" s="168"/>
      <c r="HA86" s="166"/>
      <c r="HB86" s="166"/>
      <c r="HC86" s="165">
        <f>EDATE(GV86,1)</f>
        <v>46531</v>
      </c>
      <c r="HD86" s="109">
        <f>HF86-HE86</f>
        <v>0</v>
      </c>
      <c r="HE86" s="109">
        <f>HF86/(1+AM86)*AM86</f>
        <v>0</v>
      </c>
      <c r="HF86" s="109"/>
      <c r="HG86" s="109"/>
      <c r="HH86" s="166"/>
      <c r="HI86" s="166"/>
      <c r="HJ86" s="165"/>
      <c r="HK86" s="109">
        <f>HM86-HL86</f>
        <v>0</v>
      </c>
      <c r="HL86" s="109">
        <f>HM86/(1+AM86)*AM86</f>
        <v>0</v>
      </c>
      <c r="HM86" s="109"/>
      <c r="HN86" s="109"/>
      <c r="HO86" s="166"/>
      <c r="HP86" s="166"/>
      <c r="HQ86" s="165"/>
      <c r="HR86" s="109">
        <f>HT86-HS86</f>
        <v>0</v>
      </c>
      <c r="HS86" s="109">
        <f>HT86/(1+AM86)*AM86</f>
        <v>0</v>
      </c>
      <c r="HT86" s="109"/>
      <c r="HU86" s="109"/>
      <c r="HV86" s="166"/>
      <c r="HW86" s="166"/>
      <c r="HX86" s="105">
        <f t="shared" si="198"/>
        <v>22413.793103448275</v>
      </c>
      <c r="HY86" s="105">
        <f t="shared" si="198"/>
        <v>3586.2068965517246</v>
      </c>
      <c r="HZ86" s="105">
        <f t="shared" si="198"/>
        <v>26000</v>
      </c>
      <c r="IA86" s="105">
        <f t="shared" si="181"/>
        <v>0</v>
      </c>
      <c r="IB86" s="109">
        <f t="shared" si="182"/>
        <v>438000</v>
      </c>
      <c r="IC86" s="109">
        <f t="shared" si="183"/>
        <v>377586.20689655171</v>
      </c>
      <c r="ID86" s="109">
        <f t="shared" si="184"/>
        <v>0</v>
      </c>
      <c r="IE86" s="109">
        <f t="shared" ca="1" si="185"/>
        <v>12</v>
      </c>
      <c r="IF86" s="139">
        <f t="shared" si="186"/>
        <v>1.0086206896551724</v>
      </c>
      <c r="IG86" s="139">
        <f t="shared" ca="1" si="187"/>
        <v>39</v>
      </c>
      <c r="IH86" s="169">
        <f t="shared" ca="1" si="188"/>
        <v>1.3</v>
      </c>
      <c r="II86" s="139">
        <f t="shared" ca="1" si="189"/>
        <v>0.29137931034482767</v>
      </c>
      <c r="IJ86" s="169">
        <f t="shared" ca="1" si="190"/>
        <v>8.7413793103448292</v>
      </c>
      <c r="IK86" s="169">
        <f t="shared" ca="1" si="196"/>
        <v>0.29137931034482767</v>
      </c>
      <c r="IL86" s="170">
        <f t="shared" ca="1" si="191"/>
        <v>7511.1111111111131</v>
      </c>
      <c r="IM86" s="171"/>
      <c r="IN86" s="171"/>
      <c r="IO86" s="171"/>
      <c r="IP86" s="171"/>
    </row>
    <row r="87" spans="1:250" ht="15" customHeight="1" thickBot="1" x14ac:dyDescent="0.35">
      <c r="A87" s="110">
        <f t="shared" si="192"/>
        <v>83</v>
      </c>
      <c r="B87" s="111" t="s">
        <v>131</v>
      </c>
      <c r="C87" s="111" t="s">
        <v>132</v>
      </c>
      <c r="D87" s="111">
        <v>101</v>
      </c>
      <c r="E87" s="111" t="s">
        <v>133</v>
      </c>
      <c r="F87" s="111"/>
      <c r="G87" s="111" t="s">
        <v>1092</v>
      </c>
      <c r="H87" s="111">
        <v>1011200001</v>
      </c>
      <c r="I87" s="146" t="str">
        <f t="shared" si="124"/>
        <v>1200001</v>
      </c>
      <c r="J87" s="145" t="str">
        <f t="shared" si="125"/>
        <v>KB1200001</v>
      </c>
      <c r="K87" s="111" t="s">
        <v>1093</v>
      </c>
      <c r="L87" s="111" t="s">
        <v>346</v>
      </c>
      <c r="M87" s="111" t="s">
        <v>533</v>
      </c>
      <c r="N87" s="111" t="s">
        <v>138</v>
      </c>
      <c r="O87" s="111"/>
      <c r="P87" s="111" t="s">
        <v>1094</v>
      </c>
      <c r="Q87" s="148">
        <v>35100</v>
      </c>
      <c r="R87" s="111" t="s">
        <v>935</v>
      </c>
      <c r="S87" s="111">
        <f t="shared" ca="1" si="197"/>
        <v>29</v>
      </c>
      <c r="T87" s="111" t="s">
        <v>1095</v>
      </c>
      <c r="U87" s="111" t="s">
        <v>1036</v>
      </c>
      <c r="V87" s="172">
        <v>700980700</v>
      </c>
      <c r="W87" s="111"/>
      <c r="X87" s="111" t="s">
        <v>1096</v>
      </c>
      <c r="Y87" s="111">
        <v>12</v>
      </c>
      <c r="Z87" s="111" t="s">
        <v>1097</v>
      </c>
      <c r="AA87" s="111" t="s">
        <v>1098</v>
      </c>
      <c r="AB87" s="111" t="s">
        <v>1099</v>
      </c>
      <c r="AC87" s="111" t="s">
        <v>146</v>
      </c>
      <c r="AD87" s="111" t="s">
        <v>147</v>
      </c>
      <c r="AE87" s="173" t="s">
        <v>136</v>
      </c>
      <c r="AF87" s="173" t="s">
        <v>136</v>
      </c>
      <c r="AG87" s="174">
        <v>45831</v>
      </c>
      <c r="AH87" s="175">
        <v>150000</v>
      </c>
      <c r="AI87" s="111">
        <v>12</v>
      </c>
      <c r="AJ87" s="111">
        <v>8</v>
      </c>
      <c r="AK87" s="150">
        <f t="shared" si="193"/>
        <v>4</v>
      </c>
      <c r="AL87" s="177">
        <v>130000</v>
      </c>
      <c r="AM87" s="176">
        <v>0.5</v>
      </c>
      <c r="AN87" s="177">
        <v>0</v>
      </c>
      <c r="AO87" s="157">
        <f t="shared" si="209"/>
        <v>130000</v>
      </c>
      <c r="AP87" s="158">
        <f t="shared" si="126"/>
        <v>32500</v>
      </c>
      <c r="AQ87" s="111" t="s">
        <v>136</v>
      </c>
      <c r="AR87" s="111" t="s">
        <v>149</v>
      </c>
      <c r="AS87" s="111" t="s">
        <v>1036</v>
      </c>
      <c r="AT87" s="111"/>
      <c r="AU87" s="111"/>
      <c r="AV87" s="111">
        <v>2</v>
      </c>
      <c r="AW87" s="111" t="s">
        <v>136</v>
      </c>
      <c r="AX87" s="111" t="s">
        <v>136</v>
      </c>
      <c r="AY87" s="111" t="s">
        <v>136</v>
      </c>
      <c r="AZ87" s="111" t="s">
        <v>136</v>
      </c>
      <c r="BA87" s="111" t="s">
        <v>136</v>
      </c>
      <c r="BB87" s="111" t="s">
        <v>136</v>
      </c>
      <c r="BC87" s="111" t="s">
        <v>136</v>
      </c>
      <c r="BD87" s="111"/>
      <c r="BE87" s="111"/>
      <c r="BF87" s="111"/>
      <c r="BG87" s="111"/>
      <c r="BH87" s="111"/>
      <c r="BI87" s="111"/>
      <c r="BJ87" s="111"/>
      <c r="BK87" s="111"/>
      <c r="BL87" s="175"/>
      <c r="BM87" s="111"/>
      <c r="BN87" s="111"/>
      <c r="BO87" s="111"/>
      <c r="BP87" s="111" t="s">
        <v>1100</v>
      </c>
      <c r="BQ87" s="111" t="s">
        <v>1101</v>
      </c>
      <c r="BR87" s="111" t="s">
        <v>1102</v>
      </c>
      <c r="BS87" s="111" t="s">
        <v>1103</v>
      </c>
      <c r="BT87" s="111" t="s">
        <v>136</v>
      </c>
      <c r="BU87" s="111" t="s">
        <v>136</v>
      </c>
      <c r="BV87" s="111" t="s">
        <v>745</v>
      </c>
      <c r="BW87" s="111"/>
      <c r="BX87" s="111"/>
      <c r="BY87" s="111"/>
      <c r="BZ87" s="111" t="s">
        <v>1104</v>
      </c>
      <c r="CA87" s="111"/>
      <c r="CB87" s="111"/>
      <c r="CC87" s="178"/>
      <c r="CD87" s="177">
        <f t="shared" si="127"/>
        <v>130000</v>
      </c>
      <c r="CE87" s="148">
        <v>45847</v>
      </c>
      <c r="CF87" s="111">
        <f t="shared" si="128"/>
        <v>12</v>
      </c>
      <c r="CG87" s="177">
        <f t="shared" si="129"/>
        <v>130000</v>
      </c>
      <c r="CH87" s="203">
        <f t="shared" si="208"/>
        <v>8</v>
      </c>
      <c r="CI87" s="148">
        <v>45847</v>
      </c>
      <c r="CJ87" s="161">
        <f t="shared" si="194"/>
        <v>46090</v>
      </c>
      <c r="CK87" s="162">
        <f t="shared" si="195"/>
        <v>46212</v>
      </c>
      <c r="CL87" s="179"/>
      <c r="CM87" s="164">
        <f t="shared" ca="1" si="130"/>
        <v>46054</v>
      </c>
      <c r="CN87" s="165">
        <f t="shared" si="131"/>
        <v>46090</v>
      </c>
      <c r="CO87" s="109">
        <f t="shared" si="132"/>
        <v>21666.666666666664</v>
      </c>
      <c r="CP87" s="109">
        <f t="shared" si="133"/>
        <v>10833.333333333334</v>
      </c>
      <c r="CQ87" s="109">
        <v>32500</v>
      </c>
      <c r="CR87" s="109">
        <f t="shared" si="134"/>
        <v>0</v>
      </c>
      <c r="CS87" s="166">
        <v>46007</v>
      </c>
      <c r="CT87" s="167">
        <f t="shared" si="135"/>
        <v>0</v>
      </c>
      <c r="CU87" s="165">
        <f t="shared" si="136"/>
        <v>46121</v>
      </c>
      <c r="CV87" s="109">
        <f t="shared" si="137"/>
        <v>0</v>
      </c>
      <c r="CW87" s="109">
        <f t="shared" si="138"/>
        <v>0</v>
      </c>
      <c r="CX87" s="109"/>
      <c r="CY87" s="109">
        <f t="shared" si="139"/>
        <v>0</v>
      </c>
      <c r="CZ87" s="166">
        <f ca="1">TODAY()</f>
        <v>46054</v>
      </c>
      <c r="DA87" s="167">
        <f t="shared" ca="1" si="140"/>
        <v>0</v>
      </c>
      <c r="DB87" s="165">
        <f t="shared" si="141"/>
        <v>46151</v>
      </c>
      <c r="DC87" s="109">
        <f t="shared" si="142"/>
        <v>0</v>
      </c>
      <c r="DD87" s="109">
        <f t="shared" si="143"/>
        <v>0</v>
      </c>
      <c r="DE87" s="109"/>
      <c r="DF87" s="109">
        <f t="shared" si="144"/>
        <v>0</v>
      </c>
      <c r="DG87" s="166">
        <f ca="1">TODAY()</f>
        <v>46054</v>
      </c>
      <c r="DH87" s="167">
        <f t="shared" ca="1" si="145"/>
        <v>0</v>
      </c>
      <c r="DI87" s="165">
        <f t="shared" si="146"/>
        <v>46182</v>
      </c>
      <c r="DJ87" s="109">
        <f t="shared" si="147"/>
        <v>0</v>
      </c>
      <c r="DK87" s="109">
        <f t="shared" si="148"/>
        <v>0</v>
      </c>
      <c r="DL87" s="109">
        <v>0</v>
      </c>
      <c r="DM87" s="109">
        <f t="shared" si="149"/>
        <v>0</v>
      </c>
      <c r="DN87" s="166">
        <f ca="1">TODAY()</f>
        <v>46054</v>
      </c>
      <c r="DO87" s="167">
        <f t="shared" ca="1" si="150"/>
        <v>0</v>
      </c>
      <c r="DP87" s="165"/>
      <c r="DQ87" s="109"/>
      <c r="DR87" s="109"/>
      <c r="DS87" s="109"/>
      <c r="DT87" s="109">
        <f t="shared" si="152"/>
        <v>0</v>
      </c>
      <c r="DU87" s="166"/>
      <c r="DV87" s="166"/>
      <c r="DW87" s="165"/>
      <c r="DX87" s="109"/>
      <c r="DY87" s="109"/>
      <c r="DZ87" s="109"/>
      <c r="EA87" s="109"/>
      <c r="EB87" s="166"/>
      <c r="EC87" s="166"/>
      <c r="ED87" s="165"/>
      <c r="EE87" s="109"/>
      <c r="EF87" s="109"/>
      <c r="EG87" s="109"/>
      <c r="EH87" s="109"/>
      <c r="EI87" s="166"/>
      <c r="EJ87" s="166"/>
      <c r="EK87" s="165"/>
      <c r="EL87" s="109"/>
      <c r="EM87" s="109"/>
      <c r="EN87" s="109"/>
      <c r="EO87" s="109"/>
      <c r="EP87" s="166"/>
      <c r="EQ87" s="166"/>
      <c r="ER87" s="165"/>
      <c r="ES87" s="109"/>
      <c r="ET87" s="109"/>
      <c r="EU87" s="109"/>
      <c r="EV87" s="109"/>
      <c r="EW87" s="166"/>
      <c r="EX87" s="166"/>
      <c r="EY87" s="165"/>
      <c r="EZ87" s="109"/>
      <c r="FA87" s="109"/>
      <c r="FB87" s="109"/>
      <c r="FC87" s="109"/>
      <c r="FD87" s="166"/>
      <c r="FE87" s="166"/>
      <c r="FF87" s="165"/>
      <c r="FG87" s="109"/>
      <c r="FH87" s="109"/>
      <c r="FI87" s="109"/>
      <c r="FJ87" s="109"/>
      <c r="FK87" s="166"/>
      <c r="FL87" s="166"/>
      <c r="FM87" s="165"/>
      <c r="FN87" s="109"/>
      <c r="FO87" s="109"/>
      <c r="FP87" s="109"/>
      <c r="FQ87" s="109"/>
      <c r="FR87" s="166"/>
      <c r="FS87" s="166"/>
      <c r="FT87" s="165"/>
      <c r="FU87" s="109"/>
      <c r="FV87" s="109"/>
      <c r="FW87" s="109"/>
      <c r="FX87" s="109"/>
      <c r="FY87" s="166"/>
      <c r="FZ87" s="166"/>
      <c r="GA87" s="165"/>
      <c r="GB87" s="109"/>
      <c r="GC87" s="109"/>
      <c r="GD87" s="109"/>
      <c r="GE87" s="109"/>
      <c r="GF87" s="166"/>
      <c r="GG87" s="166"/>
      <c r="GH87" s="165"/>
      <c r="GI87" s="109"/>
      <c r="GJ87" s="109"/>
      <c r="GK87" s="109"/>
      <c r="GL87" s="109"/>
      <c r="GM87" s="166"/>
      <c r="GN87" s="166"/>
      <c r="GO87" s="165"/>
      <c r="GP87" s="109"/>
      <c r="GQ87" s="109"/>
      <c r="GR87" s="109"/>
      <c r="GS87" s="109"/>
      <c r="GT87" s="166"/>
      <c r="GU87" s="166"/>
      <c r="GV87" s="165"/>
      <c r="GW87" s="168"/>
      <c r="GX87" s="168"/>
      <c r="GY87" s="168"/>
      <c r="GZ87" s="168"/>
      <c r="HA87" s="166"/>
      <c r="HB87" s="166"/>
      <c r="HC87" s="165"/>
      <c r="HD87" s="109"/>
      <c r="HE87" s="109"/>
      <c r="HF87" s="109"/>
      <c r="HG87" s="109"/>
      <c r="HH87" s="166"/>
      <c r="HI87" s="166"/>
      <c r="HJ87" s="165"/>
      <c r="HK87" s="109"/>
      <c r="HL87" s="109"/>
      <c r="HM87" s="109"/>
      <c r="HN87" s="109"/>
      <c r="HO87" s="166"/>
      <c r="HP87" s="166"/>
      <c r="HQ87" s="165"/>
      <c r="HR87" s="109"/>
      <c r="HS87" s="109"/>
      <c r="HT87" s="109"/>
      <c r="HU87" s="109"/>
      <c r="HV87" s="166"/>
      <c r="HW87" s="166"/>
      <c r="HX87" s="105">
        <f t="shared" si="198"/>
        <v>21666.666666666664</v>
      </c>
      <c r="HY87" s="105">
        <f t="shared" si="198"/>
        <v>10833.333333333334</v>
      </c>
      <c r="HZ87" s="105">
        <f t="shared" si="198"/>
        <v>32500</v>
      </c>
      <c r="IA87" s="105">
        <f t="shared" si="181"/>
        <v>0</v>
      </c>
      <c r="IB87" s="109">
        <f t="shared" si="182"/>
        <v>97500</v>
      </c>
      <c r="IC87" s="109">
        <f t="shared" si="183"/>
        <v>108333.33333333334</v>
      </c>
      <c r="ID87" s="109">
        <f t="shared" si="184"/>
        <v>0</v>
      </c>
      <c r="IE87" s="109">
        <f t="shared" ca="1" si="185"/>
        <v>0</v>
      </c>
      <c r="IF87" s="139">
        <f t="shared" si="186"/>
        <v>1</v>
      </c>
      <c r="IG87" s="139">
        <f t="shared" ca="1" si="187"/>
        <v>-36</v>
      </c>
      <c r="IH87" s="169">
        <f t="shared" ca="1" si="188"/>
        <v>-1.2</v>
      </c>
      <c r="II87" s="139">
        <f t="shared" ca="1" si="189"/>
        <v>0</v>
      </c>
      <c r="IJ87" s="169">
        <f t="shared" ca="1" si="190"/>
        <v>0</v>
      </c>
      <c r="IK87" s="169">
        <f t="shared" ca="1" si="196"/>
        <v>0</v>
      </c>
      <c r="IL87" s="170">
        <f t="shared" ca="1" si="191"/>
        <v>0</v>
      </c>
      <c r="IM87" s="171"/>
      <c r="IN87" s="171"/>
      <c r="IO87" s="171"/>
      <c r="IP87" s="171"/>
    </row>
    <row r="88" spans="1:250" ht="15" customHeight="1" thickBot="1" x14ac:dyDescent="0.35">
      <c r="A88" s="110">
        <f t="shared" si="192"/>
        <v>84</v>
      </c>
      <c r="B88" s="111" t="s">
        <v>131</v>
      </c>
      <c r="C88" s="145" t="s">
        <v>132</v>
      </c>
      <c r="D88" s="145">
        <v>101</v>
      </c>
      <c r="E88" s="111" t="s">
        <v>1105</v>
      </c>
      <c r="F88" s="111"/>
      <c r="G88" s="111" t="s">
        <v>1106</v>
      </c>
      <c r="H88" s="111">
        <v>1011100015</v>
      </c>
      <c r="I88" s="146" t="str">
        <f t="shared" si="124"/>
        <v>1100015</v>
      </c>
      <c r="J88" s="145" t="str">
        <f t="shared" si="125"/>
        <v>KB1100015</v>
      </c>
      <c r="K88" s="111" t="s">
        <v>1107</v>
      </c>
      <c r="L88" s="111" t="s">
        <v>1108</v>
      </c>
      <c r="M88" s="111" t="s">
        <v>1109</v>
      </c>
      <c r="N88" s="111" t="s">
        <v>176</v>
      </c>
      <c r="O88" s="111"/>
      <c r="P88" s="111" t="s">
        <v>1110</v>
      </c>
      <c r="Q88" s="148">
        <v>37596</v>
      </c>
      <c r="R88" s="111" t="s">
        <v>1111</v>
      </c>
      <c r="S88" s="111">
        <f t="shared" ca="1" si="197"/>
        <v>23</v>
      </c>
      <c r="T88" s="111" t="s">
        <v>1112</v>
      </c>
      <c r="U88" s="111" t="s">
        <v>1113</v>
      </c>
      <c r="V88" s="181">
        <v>773433723</v>
      </c>
      <c r="W88" s="111"/>
      <c r="X88" s="111" t="s">
        <v>181</v>
      </c>
      <c r="Y88" s="111">
        <v>11</v>
      </c>
      <c r="Z88" s="111" t="s">
        <v>182</v>
      </c>
      <c r="AA88" s="111" t="s">
        <v>1114</v>
      </c>
      <c r="AB88" s="111" t="s">
        <v>1115</v>
      </c>
      <c r="AC88" s="111" t="s">
        <v>146</v>
      </c>
      <c r="AD88" s="111" t="s">
        <v>147</v>
      </c>
      <c r="AE88" s="173" t="s">
        <v>136</v>
      </c>
      <c r="AF88" s="173" t="s">
        <v>136</v>
      </c>
      <c r="AG88" s="174">
        <v>45927</v>
      </c>
      <c r="AH88" s="175">
        <v>150000</v>
      </c>
      <c r="AI88" s="111">
        <v>24</v>
      </c>
      <c r="AJ88" s="111">
        <v>3</v>
      </c>
      <c r="AK88" s="150">
        <f t="shared" si="193"/>
        <v>21</v>
      </c>
      <c r="AL88" s="175">
        <v>150986</v>
      </c>
      <c r="AM88" s="176">
        <v>0.16</v>
      </c>
      <c r="AN88" s="177">
        <f t="shared" ref="AN88:AN109" si="210">AL88*AM88</f>
        <v>24157.760000000002</v>
      </c>
      <c r="AO88" s="157">
        <f t="shared" si="209"/>
        <v>175143.76</v>
      </c>
      <c r="AP88" s="193">
        <f t="shared" si="126"/>
        <v>8340.1790476190472</v>
      </c>
      <c r="AQ88" s="111" t="s">
        <v>136</v>
      </c>
      <c r="AR88" s="111" t="s">
        <v>149</v>
      </c>
      <c r="AS88" s="111" t="s">
        <v>1116</v>
      </c>
      <c r="AT88" s="111" t="s">
        <v>1117</v>
      </c>
      <c r="AU88" s="111" t="s">
        <v>1112</v>
      </c>
      <c r="AV88" s="111">
        <v>3</v>
      </c>
      <c r="AW88" s="111" t="s">
        <v>136</v>
      </c>
      <c r="AX88" s="111" t="s">
        <v>136</v>
      </c>
      <c r="AY88" s="111" t="s">
        <v>136</v>
      </c>
      <c r="AZ88" s="111" t="s">
        <v>136</v>
      </c>
      <c r="BA88" s="111" t="s">
        <v>136</v>
      </c>
      <c r="BB88" s="111" t="s">
        <v>136</v>
      </c>
      <c r="BC88" s="111" t="s">
        <v>136</v>
      </c>
      <c r="BD88" s="111" t="s">
        <v>136</v>
      </c>
      <c r="BE88" s="111" t="s">
        <v>136</v>
      </c>
      <c r="BF88" s="111" t="s">
        <v>136</v>
      </c>
      <c r="BG88" s="111" t="s">
        <v>136</v>
      </c>
      <c r="BH88" s="111" t="s">
        <v>136</v>
      </c>
      <c r="BI88" s="111" t="s">
        <v>136</v>
      </c>
      <c r="BJ88" s="111" t="s">
        <v>136</v>
      </c>
      <c r="BK88" s="111" t="s">
        <v>136</v>
      </c>
      <c r="BL88" s="111" t="s">
        <v>136</v>
      </c>
      <c r="BM88" s="111" t="s">
        <v>136</v>
      </c>
      <c r="BN88" s="111" t="s">
        <v>136</v>
      </c>
      <c r="BO88" s="111" t="s">
        <v>136</v>
      </c>
      <c r="BP88" s="111" t="s">
        <v>1118</v>
      </c>
      <c r="BQ88" s="111" t="s">
        <v>1119</v>
      </c>
      <c r="BR88" s="111" t="s">
        <v>1120</v>
      </c>
      <c r="BS88" s="111" t="s">
        <v>1121</v>
      </c>
      <c r="BT88" s="182" t="s">
        <v>1122</v>
      </c>
      <c r="BU88" s="111" t="s">
        <v>1112</v>
      </c>
      <c r="BV88" s="111" t="s">
        <v>1113</v>
      </c>
      <c r="BW88" s="111"/>
      <c r="BX88" s="111"/>
      <c r="BY88" s="111"/>
      <c r="BZ88" s="111"/>
      <c r="CA88" s="111"/>
      <c r="CB88" s="111"/>
      <c r="CC88" s="178"/>
      <c r="CD88" s="177">
        <f t="shared" si="127"/>
        <v>150986</v>
      </c>
      <c r="CE88" s="148">
        <v>45999</v>
      </c>
      <c r="CF88" s="111">
        <f t="shared" si="128"/>
        <v>24</v>
      </c>
      <c r="CG88" s="177">
        <f t="shared" si="129"/>
        <v>175143.76</v>
      </c>
      <c r="CH88" s="203">
        <f t="shared" si="208"/>
        <v>3</v>
      </c>
      <c r="CI88" s="148">
        <v>45999</v>
      </c>
      <c r="CJ88" s="161">
        <f t="shared" si="194"/>
        <v>46089</v>
      </c>
      <c r="CK88" s="162">
        <f t="shared" si="195"/>
        <v>46729</v>
      </c>
      <c r="CL88" s="179"/>
      <c r="CM88" s="164">
        <f t="shared" ca="1" si="130"/>
        <v>46054</v>
      </c>
      <c r="CN88" s="165">
        <f t="shared" si="131"/>
        <v>46089</v>
      </c>
      <c r="CO88" s="109">
        <f t="shared" si="132"/>
        <v>0</v>
      </c>
      <c r="CP88" s="109">
        <f t="shared" si="133"/>
        <v>0</v>
      </c>
      <c r="CQ88" s="109"/>
      <c r="CR88" s="109">
        <f t="shared" si="134"/>
        <v>0</v>
      </c>
      <c r="CS88" s="166">
        <f t="shared" ref="CS88:CS109" ca="1" si="211">TODAY()</f>
        <v>46054</v>
      </c>
      <c r="CT88" s="167">
        <f t="shared" ca="1" si="135"/>
        <v>0</v>
      </c>
      <c r="CU88" s="165">
        <f t="shared" si="136"/>
        <v>46120</v>
      </c>
      <c r="CV88" s="109">
        <f t="shared" si="137"/>
        <v>0</v>
      </c>
      <c r="CW88" s="109">
        <f t="shared" si="138"/>
        <v>0</v>
      </c>
      <c r="CX88" s="109"/>
      <c r="CY88" s="109">
        <f t="shared" si="139"/>
        <v>0</v>
      </c>
      <c r="CZ88" s="166">
        <f t="shared" ref="CZ88:CZ109" ca="1" si="212">TODAY()</f>
        <v>46054</v>
      </c>
      <c r="DA88" s="111"/>
      <c r="DB88" s="165">
        <f t="shared" si="141"/>
        <v>46150</v>
      </c>
      <c r="DC88" s="109">
        <f t="shared" si="142"/>
        <v>0</v>
      </c>
      <c r="DD88" s="109">
        <f t="shared" si="143"/>
        <v>0</v>
      </c>
      <c r="DE88" s="109"/>
      <c r="DF88" s="109">
        <f t="shared" si="144"/>
        <v>0</v>
      </c>
      <c r="DG88" s="166">
        <f t="shared" ref="DG88:DG109" ca="1" si="213">TODAY()</f>
        <v>46054</v>
      </c>
      <c r="DH88" s="167">
        <f t="shared" ca="1" si="145"/>
        <v>0</v>
      </c>
      <c r="DI88" s="165">
        <f t="shared" si="146"/>
        <v>46181</v>
      </c>
      <c r="DJ88" s="109">
        <f t="shared" si="147"/>
        <v>0</v>
      </c>
      <c r="DK88" s="109">
        <f t="shared" si="148"/>
        <v>0</v>
      </c>
      <c r="DL88" s="109">
        <v>0</v>
      </c>
      <c r="DM88" s="109">
        <f t="shared" si="149"/>
        <v>0</v>
      </c>
      <c r="DN88" s="166">
        <f t="shared" ref="DN88:DN109" ca="1" si="214">TODAY()</f>
        <v>46054</v>
      </c>
      <c r="DO88" s="167">
        <f t="shared" ca="1" si="150"/>
        <v>0</v>
      </c>
      <c r="DP88" s="165">
        <f t="shared" ref="DP88:DP109" si="215">DI88+31</f>
        <v>46212</v>
      </c>
      <c r="DQ88" s="109">
        <f t="shared" ref="DQ88:DQ151" si="216">DS88-DR88</f>
        <v>0</v>
      </c>
      <c r="DR88" s="109">
        <f t="shared" ref="DR88:DR151" si="217">DS88/(1+AM88)*AM88</f>
        <v>0</v>
      </c>
      <c r="DS88" s="109"/>
      <c r="DT88" s="109">
        <f t="shared" si="152"/>
        <v>0</v>
      </c>
      <c r="DU88" s="166">
        <f t="shared" ref="DU88:DU109" ca="1" si="218">TODAY()</f>
        <v>46054</v>
      </c>
      <c r="DV88" s="167">
        <f t="shared" ref="DV88:DV109" ca="1" si="219">IF(DU88&lt;DP88,0,DU88-DP88)</f>
        <v>0</v>
      </c>
      <c r="DW88" s="165">
        <f t="shared" ref="DW88:DW109" si="220">EDATE(DP88,1)</f>
        <v>46243</v>
      </c>
      <c r="DX88" s="109">
        <f t="shared" ref="DX88:DX151" si="221">DZ88-DY88</f>
        <v>0</v>
      </c>
      <c r="DY88" s="109">
        <f t="shared" ref="DY88:DY151" si="222">DZ88/(1+AM88)*AM88</f>
        <v>0</v>
      </c>
      <c r="DZ88" s="109"/>
      <c r="EA88" s="109">
        <f t="shared" ref="EA88:EA109" si="223">IF(DZ88&lt;=0,0,DZ88-AP88)</f>
        <v>0</v>
      </c>
      <c r="EB88" s="166">
        <f t="shared" ref="EB88:EB109" ca="1" si="224">TODAY()</f>
        <v>46054</v>
      </c>
      <c r="EC88" s="167">
        <f t="shared" ref="EC88:EC109" ca="1" si="225">IF(EB88&lt;DW88,0,EB88-DW88)</f>
        <v>0</v>
      </c>
      <c r="ED88" s="165">
        <f t="shared" ref="ED88:ED109" si="226">EDATE(DW88,1)</f>
        <v>46274</v>
      </c>
      <c r="EE88" s="109">
        <f t="shared" ref="EE88:EE151" si="227">EG88-EF88</f>
        <v>0</v>
      </c>
      <c r="EF88" s="109">
        <f t="shared" ref="EF88:EF151" si="228">EG88/(1+AM88)*AM88</f>
        <v>0</v>
      </c>
      <c r="EG88" s="109"/>
      <c r="EH88" s="109">
        <f t="shared" ref="EH88:EH109" si="229">IF(EG88&lt;=0,0,EG88-AP88)</f>
        <v>0</v>
      </c>
      <c r="EI88" s="166">
        <f t="shared" ref="EI88:EI109" ca="1" si="230">TODAY()</f>
        <v>46054</v>
      </c>
      <c r="EJ88" s="167">
        <f t="shared" ref="EJ88:EJ109" ca="1" si="231">IF(EI88&lt;ED88,0,EI88-ED88)</f>
        <v>0</v>
      </c>
      <c r="EK88" s="165">
        <f t="shared" ref="EK88:EK109" si="232">EDATE(ED88,1)</f>
        <v>46304</v>
      </c>
      <c r="EL88" s="109">
        <f t="shared" ref="EL88:EL151" si="233">EN88-EM88</f>
        <v>0</v>
      </c>
      <c r="EM88" s="109">
        <f t="shared" ref="EM88:EM151" si="234">EN88/(1+AM88)*AM88</f>
        <v>0</v>
      </c>
      <c r="EN88" s="109"/>
      <c r="EO88" s="109">
        <f t="shared" ref="EO88:EO109" si="235">IF(EN88&lt;=0,0,EN88-AP88)</f>
        <v>0</v>
      </c>
      <c r="EP88" s="166">
        <f t="shared" ref="EP88:EP109" ca="1" si="236">TODAY()</f>
        <v>46054</v>
      </c>
      <c r="EQ88" s="167">
        <f t="shared" ref="EQ88:EQ109" ca="1" si="237">IF(EP88&lt;EK88,0,EP88-EK88)</f>
        <v>0</v>
      </c>
      <c r="ER88" s="165">
        <f t="shared" ref="ER88:ER109" si="238">EDATE(EK88,1)</f>
        <v>46335</v>
      </c>
      <c r="ES88" s="109">
        <f t="shared" ref="ES88:ES151" si="239">EU88-ET88</f>
        <v>0</v>
      </c>
      <c r="ET88" s="109">
        <f t="shared" ref="ET88:ET151" si="240">EU88/(1+AM88)*AM88</f>
        <v>0</v>
      </c>
      <c r="EU88" s="109"/>
      <c r="EV88" s="109"/>
      <c r="EW88" s="111"/>
      <c r="EX88" s="111"/>
      <c r="EY88" s="165">
        <f t="shared" ref="EY88:EY109" si="241">EDATE(ER88,1)</f>
        <v>46365</v>
      </c>
      <c r="EZ88" s="109">
        <f t="shared" ref="EZ88:EZ151" si="242">FB88-FA88</f>
        <v>0</v>
      </c>
      <c r="FA88" s="109">
        <f t="shared" ref="FA88:FA151" si="243">FB88/(1+AM88)*AM88</f>
        <v>0</v>
      </c>
      <c r="FB88" s="109"/>
      <c r="FC88" s="109"/>
      <c r="FD88" s="111"/>
      <c r="FE88" s="111"/>
      <c r="FF88" s="165">
        <f t="shared" ref="FF88:FF109" si="244">EDATE(EY88,1)</f>
        <v>46396</v>
      </c>
      <c r="FG88" s="109">
        <f t="shared" ref="FG88:FG151" si="245">FI88-FH88</f>
        <v>0</v>
      </c>
      <c r="FH88" s="109">
        <f t="shared" ref="FH88:FH151" si="246">FI88/(1+AM88)*AM88</f>
        <v>0</v>
      </c>
      <c r="FI88" s="109"/>
      <c r="FJ88" s="109"/>
      <c r="FK88" s="111"/>
      <c r="FL88" s="111"/>
      <c r="FM88" s="165">
        <f t="shared" ref="FM88:FM109" si="247">EDATE(FF88,1)</f>
        <v>46427</v>
      </c>
      <c r="FN88" s="109">
        <f t="shared" ref="FN88:FN151" si="248">FP88-FO88</f>
        <v>0</v>
      </c>
      <c r="FO88" s="109">
        <f t="shared" ref="FO88:FO151" si="249">FP88/(1+AM88)*AM88</f>
        <v>0</v>
      </c>
      <c r="FP88" s="109"/>
      <c r="FQ88" s="109"/>
      <c r="FR88" s="111"/>
      <c r="FS88" s="111"/>
      <c r="FT88" s="165">
        <f>EDATE(FM88,1)</f>
        <v>46455</v>
      </c>
      <c r="FU88" s="109">
        <f t="shared" ref="FU88:FU151" si="250">FW88-FV88</f>
        <v>0</v>
      </c>
      <c r="FV88" s="109">
        <f>FW88/(1+AM88)*AM88</f>
        <v>0</v>
      </c>
      <c r="FW88" s="109"/>
      <c r="FX88" s="109"/>
      <c r="FY88" s="111"/>
      <c r="FZ88" s="111"/>
      <c r="GA88" s="165">
        <f>EDATE(FT88,1)</f>
        <v>46486</v>
      </c>
      <c r="GB88" s="109">
        <f t="shared" ref="GB88:GB151" si="251">GD88-GC88</f>
        <v>0</v>
      </c>
      <c r="GC88" s="109">
        <f>GD88/(1+AM88)*AM88</f>
        <v>0</v>
      </c>
      <c r="GD88" s="109"/>
      <c r="GE88" s="109"/>
      <c r="GF88" s="111"/>
      <c r="GG88" s="111"/>
      <c r="GH88" s="165">
        <f>EDATE(GA88,1)</f>
        <v>46516</v>
      </c>
      <c r="GI88" s="109">
        <f t="shared" ref="GI88:GI151" si="252">GK88-GJ88</f>
        <v>0</v>
      </c>
      <c r="GJ88" s="109">
        <f>GK88/(1+AM88)*AM88</f>
        <v>0</v>
      </c>
      <c r="GK88" s="109"/>
      <c r="GL88" s="109"/>
      <c r="GM88" s="111"/>
      <c r="GN88" s="111"/>
      <c r="GO88" s="165">
        <f>EDATE(GH88,1)</f>
        <v>46547</v>
      </c>
      <c r="GP88" s="109">
        <f t="shared" ref="GP88:GP151" si="253">GR88-GQ88</f>
        <v>0</v>
      </c>
      <c r="GQ88" s="109">
        <f>GR88/(1+AM88)*AM88</f>
        <v>0</v>
      </c>
      <c r="GR88" s="109"/>
      <c r="GS88" s="109"/>
      <c r="GT88" s="111"/>
      <c r="GU88" s="111"/>
      <c r="GV88" s="165">
        <f>EDATE(GO88,1)</f>
        <v>46577</v>
      </c>
      <c r="GW88" s="168">
        <f t="shared" ref="GW88:GW151" si="254">GY88-GX88</f>
        <v>0</v>
      </c>
      <c r="GX88" s="168">
        <f>GY88/(1+AM88)*AM88</f>
        <v>0</v>
      </c>
      <c r="GY88" s="168"/>
      <c r="GZ88" s="168"/>
      <c r="HA88" s="111"/>
      <c r="HB88" s="111"/>
      <c r="HC88" s="165">
        <f>EDATE(GV88,1)</f>
        <v>46608</v>
      </c>
      <c r="HD88" s="109">
        <f t="shared" ref="HD88:HD151" si="255">HF88-HE88</f>
        <v>0</v>
      </c>
      <c r="HE88" s="109">
        <f>HF88/(1+AM88)*AM88</f>
        <v>0</v>
      </c>
      <c r="HF88" s="109"/>
      <c r="HG88" s="109"/>
      <c r="HH88" s="111"/>
      <c r="HI88" s="111"/>
      <c r="HJ88" s="165">
        <f>EDATE(HC88,1)</f>
        <v>46639</v>
      </c>
      <c r="HK88" s="109">
        <f t="shared" ref="HK88:HK151" si="256">HM88-HL88</f>
        <v>0</v>
      </c>
      <c r="HL88" s="109">
        <f>HM88/(1+AM88)*AM88</f>
        <v>0</v>
      </c>
      <c r="HM88" s="109"/>
      <c r="HN88" s="109"/>
      <c r="HO88" s="111"/>
      <c r="HP88" s="111"/>
      <c r="HQ88" s="165">
        <f>EDATE(HJ88,1)</f>
        <v>46669</v>
      </c>
      <c r="HR88" s="109">
        <f t="shared" ref="HR88:HR151" si="257">HT88-HS88</f>
        <v>0</v>
      </c>
      <c r="HS88" s="109">
        <f>HT88/(1+AM88)*AM88</f>
        <v>0</v>
      </c>
      <c r="HT88" s="109"/>
      <c r="HU88" s="109"/>
      <c r="HV88" s="111"/>
      <c r="HW88" s="111"/>
      <c r="HX88" s="105">
        <f t="shared" si="198"/>
        <v>0</v>
      </c>
      <c r="HY88" s="105">
        <f t="shared" si="198"/>
        <v>0</v>
      </c>
      <c r="HZ88" s="105">
        <f t="shared" si="198"/>
        <v>0</v>
      </c>
      <c r="IA88" s="105">
        <f t="shared" si="181"/>
        <v>0</v>
      </c>
      <c r="IB88" s="109">
        <f t="shared" si="182"/>
        <v>175143.76</v>
      </c>
      <c r="IC88" s="109">
        <f t="shared" si="183"/>
        <v>150986</v>
      </c>
      <c r="ID88" s="109">
        <f t="shared" si="184"/>
        <v>0</v>
      </c>
      <c r="IE88" s="109">
        <f t="shared" ca="1" si="185"/>
        <v>0</v>
      </c>
      <c r="IF88" s="139">
        <f t="shared" si="186"/>
        <v>0</v>
      </c>
      <c r="IG88" s="139">
        <f t="shared" ca="1" si="187"/>
        <v>-35</v>
      </c>
      <c r="IH88" s="169">
        <f t="shared" ca="1" si="188"/>
        <v>-1.1666666666666667</v>
      </c>
      <c r="II88" s="139">
        <f t="shared" ca="1" si="189"/>
        <v>0</v>
      </c>
      <c r="IJ88" s="169">
        <f t="shared" ca="1" si="190"/>
        <v>0</v>
      </c>
      <c r="IK88" s="169">
        <f t="shared" ca="1" si="196"/>
        <v>0</v>
      </c>
      <c r="IL88" s="170">
        <f t="shared" ca="1" si="191"/>
        <v>0</v>
      </c>
      <c r="IM88" s="171"/>
      <c r="IN88" s="171"/>
      <c r="IO88" s="171"/>
      <c r="IP88" s="171"/>
    </row>
    <row r="89" spans="1:250" ht="15" customHeight="1" thickBot="1" x14ac:dyDescent="0.35">
      <c r="A89" s="110">
        <f t="shared" si="192"/>
        <v>85</v>
      </c>
      <c r="B89" s="111" t="s">
        <v>385</v>
      </c>
      <c r="C89" s="111" t="s">
        <v>386</v>
      </c>
      <c r="D89" s="111">
        <v>103</v>
      </c>
      <c r="E89" s="111" t="s">
        <v>881</v>
      </c>
      <c r="F89" s="111"/>
      <c r="G89" s="111" t="s">
        <v>1123</v>
      </c>
      <c r="H89" s="111">
        <v>1031100018</v>
      </c>
      <c r="I89" s="146" t="str">
        <f t="shared" si="124"/>
        <v>1100018</v>
      </c>
      <c r="J89" s="145" t="str">
        <f t="shared" si="125"/>
        <v>NG1100018</v>
      </c>
      <c r="K89" s="111" t="s">
        <v>1124</v>
      </c>
      <c r="L89" s="111" t="s">
        <v>1125</v>
      </c>
      <c r="M89" s="111" t="s">
        <v>1126</v>
      </c>
      <c r="N89" s="111" t="s">
        <v>138</v>
      </c>
      <c r="O89" s="111"/>
      <c r="P89" s="111" t="s">
        <v>1127</v>
      </c>
      <c r="Q89" s="148" t="s">
        <v>1128</v>
      </c>
      <c r="R89" s="145" t="s">
        <v>170</v>
      </c>
      <c r="S89" s="111"/>
      <c r="T89" s="111" t="s">
        <v>1129</v>
      </c>
      <c r="U89" s="111" t="s">
        <v>260</v>
      </c>
      <c r="V89" s="181">
        <v>784306655</v>
      </c>
      <c r="W89" s="111"/>
      <c r="X89" s="111" t="s">
        <v>181</v>
      </c>
      <c r="Y89" s="111">
        <v>11</v>
      </c>
      <c r="Z89" s="111" t="s">
        <v>1130</v>
      </c>
      <c r="AA89" s="111" t="s">
        <v>1131</v>
      </c>
      <c r="AB89" s="111"/>
      <c r="AC89" s="111" t="s">
        <v>146</v>
      </c>
      <c r="AD89" s="111" t="s">
        <v>147</v>
      </c>
      <c r="AE89" s="111"/>
      <c r="AF89" s="111"/>
      <c r="AG89" s="111"/>
      <c r="AH89" s="175"/>
      <c r="AI89" s="111">
        <v>15</v>
      </c>
      <c r="AJ89" s="111">
        <v>2</v>
      </c>
      <c r="AK89" s="150">
        <f t="shared" si="193"/>
        <v>13</v>
      </c>
      <c r="AL89" s="177">
        <v>250000</v>
      </c>
      <c r="AM89" s="176">
        <v>0.16</v>
      </c>
      <c r="AN89" s="177">
        <f t="shared" si="210"/>
        <v>40000</v>
      </c>
      <c r="AO89" s="157">
        <f t="shared" si="209"/>
        <v>290000</v>
      </c>
      <c r="AP89" s="193">
        <f t="shared" si="126"/>
        <v>22307.692307692309</v>
      </c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75"/>
      <c r="BM89" s="111"/>
      <c r="BN89" s="111"/>
      <c r="BO89" s="111"/>
      <c r="BP89" s="111"/>
      <c r="BQ89" s="111"/>
      <c r="BR89" s="111"/>
      <c r="BS89" s="111"/>
      <c r="BT89" s="111"/>
      <c r="BU89" s="111"/>
      <c r="BV89" s="111"/>
      <c r="BW89" s="111"/>
      <c r="BX89" s="111"/>
      <c r="BY89" s="111"/>
      <c r="BZ89" s="111"/>
      <c r="CA89" s="111"/>
      <c r="CB89" s="111"/>
      <c r="CC89" s="178"/>
      <c r="CD89" s="177">
        <f t="shared" si="127"/>
        <v>250000</v>
      </c>
      <c r="CE89" s="148"/>
      <c r="CF89" s="111">
        <f t="shared" si="128"/>
        <v>15</v>
      </c>
      <c r="CG89" s="177">
        <f t="shared" si="129"/>
        <v>290000</v>
      </c>
      <c r="CH89" s="203">
        <f t="shared" si="208"/>
        <v>2</v>
      </c>
      <c r="CI89" s="148">
        <v>46021</v>
      </c>
      <c r="CJ89" s="161">
        <f t="shared" si="194"/>
        <v>46081</v>
      </c>
      <c r="CK89" s="162">
        <f t="shared" si="195"/>
        <v>46476</v>
      </c>
      <c r="CL89" s="179"/>
      <c r="CM89" s="164">
        <f t="shared" ca="1" si="130"/>
        <v>46054</v>
      </c>
      <c r="CN89" s="165">
        <f t="shared" si="131"/>
        <v>46081</v>
      </c>
      <c r="CO89" s="109">
        <f t="shared" si="132"/>
        <v>0</v>
      </c>
      <c r="CP89" s="109">
        <f t="shared" si="133"/>
        <v>0</v>
      </c>
      <c r="CQ89" s="109"/>
      <c r="CR89" s="109">
        <f t="shared" si="134"/>
        <v>0</v>
      </c>
      <c r="CS89" s="166">
        <f t="shared" ca="1" si="211"/>
        <v>46054</v>
      </c>
      <c r="CT89" s="167">
        <f t="shared" ca="1" si="135"/>
        <v>0</v>
      </c>
      <c r="CU89" s="165">
        <f t="shared" si="136"/>
        <v>46109</v>
      </c>
      <c r="CV89" s="109">
        <f t="shared" si="137"/>
        <v>0</v>
      </c>
      <c r="CW89" s="109">
        <f t="shared" si="138"/>
        <v>0</v>
      </c>
      <c r="CX89" s="109"/>
      <c r="CY89" s="109">
        <f t="shared" si="139"/>
        <v>0</v>
      </c>
      <c r="CZ89" s="166">
        <f t="shared" ca="1" si="212"/>
        <v>46054</v>
      </c>
      <c r="DA89" s="111"/>
      <c r="DB89" s="165">
        <f t="shared" si="141"/>
        <v>46140</v>
      </c>
      <c r="DC89" s="109">
        <f t="shared" si="142"/>
        <v>0</v>
      </c>
      <c r="DD89" s="109">
        <f t="shared" si="143"/>
        <v>0</v>
      </c>
      <c r="DE89" s="109"/>
      <c r="DF89" s="109">
        <f t="shared" si="144"/>
        <v>0</v>
      </c>
      <c r="DG89" s="166">
        <f t="shared" ca="1" si="213"/>
        <v>46054</v>
      </c>
      <c r="DH89" s="167">
        <f t="shared" ca="1" si="145"/>
        <v>0</v>
      </c>
      <c r="DI89" s="165">
        <f t="shared" si="146"/>
        <v>46170</v>
      </c>
      <c r="DJ89" s="109">
        <f t="shared" si="147"/>
        <v>0</v>
      </c>
      <c r="DK89" s="109">
        <f t="shared" si="148"/>
        <v>0</v>
      </c>
      <c r="DL89" s="109">
        <v>0</v>
      </c>
      <c r="DM89" s="109">
        <f t="shared" si="149"/>
        <v>0</v>
      </c>
      <c r="DN89" s="166">
        <f t="shared" ca="1" si="214"/>
        <v>46054</v>
      </c>
      <c r="DO89" s="167">
        <f t="shared" ca="1" si="150"/>
        <v>0</v>
      </c>
      <c r="DP89" s="165">
        <f t="shared" si="215"/>
        <v>46201</v>
      </c>
      <c r="DQ89" s="109">
        <f t="shared" si="216"/>
        <v>0</v>
      </c>
      <c r="DR89" s="109">
        <f t="shared" si="217"/>
        <v>0</v>
      </c>
      <c r="DS89" s="109"/>
      <c r="DT89" s="109">
        <f t="shared" si="152"/>
        <v>0</v>
      </c>
      <c r="DU89" s="166">
        <f t="shared" ca="1" si="218"/>
        <v>46054</v>
      </c>
      <c r="DV89" s="167">
        <f t="shared" ca="1" si="219"/>
        <v>0</v>
      </c>
      <c r="DW89" s="165">
        <f t="shared" si="220"/>
        <v>46231</v>
      </c>
      <c r="DX89" s="109">
        <f t="shared" si="221"/>
        <v>0</v>
      </c>
      <c r="DY89" s="109">
        <f t="shared" si="222"/>
        <v>0</v>
      </c>
      <c r="DZ89" s="109"/>
      <c r="EA89" s="109">
        <f t="shared" si="223"/>
        <v>0</v>
      </c>
      <c r="EB89" s="166">
        <f t="shared" ca="1" si="224"/>
        <v>46054</v>
      </c>
      <c r="EC89" s="167">
        <f t="shared" ca="1" si="225"/>
        <v>0</v>
      </c>
      <c r="ED89" s="165">
        <f t="shared" si="226"/>
        <v>46262</v>
      </c>
      <c r="EE89" s="109">
        <f t="shared" si="227"/>
        <v>0</v>
      </c>
      <c r="EF89" s="109">
        <f t="shared" si="228"/>
        <v>0</v>
      </c>
      <c r="EG89" s="109"/>
      <c r="EH89" s="109">
        <f t="shared" si="229"/>
        <v>0</v>
      </c>
      <c r="EI89" s="166">
        <f t="shared" ca="1" si="230"/>
        <v>46054</v>
      </c>
      <c r="EJ89" s="167">
        <f t="shared" ca="1" si="231"/>
        <v>0</v>
      </c>
      <c r="EK89" s="165">
        <f t="shared" si="232"/>
        <v>46293</v>
      </c>
      <c r="EL89" s="109">
        <f t="shared" si="233"/>
        <v>0</v>
      </c>
      <c r="EM89" s="109">
        <f t="shared" si="234"/>
        <v>0</v>
      </c>
      <c r="EN89" s="109"/>
      <c r="EO89" s="109">
        <f t="shared" si="235"/>
        <v>0</v>
      </c>
      <c r="EP89" s="166">
        <f t="shared" ca="1" si="236"/>
        <v>46054</v>
      </c>
      <c r="EQ89" s="167">
        <f t="shared" ca="1" si="237"/>
        <v>0</v>
      </c>
      <c r="ER89" s="165">
        <f t="shared" si="238"/>
        <v>46323</v>
      </c>
      <c r="ES89" s="109">
        <f t="shared" si="239"/>
        <v>0</v>
      </c>
      <c r="ET89" s="109">
        <f t="shared" si="240"/>
        <v>0</v>
      </c>
      <c r="EU89" s="109"/>
      <c r="EV89" s="109"/>
      <c r="EW89" s="111"/>
      <c r="EX89" s="111"/>
      <c r="EY89" s="165">
        <f t="shared" si="241"/>
        <v>46354</v>
      </c>
      <c r="EZ89" s="109">
        <f t="shared" si="242"/>
        <v>0</v>
      </c>
      <c r="FA89" s="109">
        <f t="shared" si="243"/>
        <v>0</v>
      </c>
      <c r="FB89" s="109"/>
      <c r="FC89" s="109"/>
      <c r="FD89" s="111"/>
      <c r="FE89" s="111"/>
      <c r="FF89" s="165">
        <f t="shared" si="244"/>
        <v>46384</v>
      </c>
      <c r="FG89" s="109">
        <f t="shared" si="245"/>
        <v>0</v>
      </c>
      <c r="FH89" s="109">
        <f t="shared" si="246"/>
        <v>0</v>
      </c>
      <c r="FI89" s="109"/>
      <c r="FJ89" s="109"/>
      <c r="FK89" s="111"/>
      <c r="FL89" s="111"/>
      <c r="FM89" s="165">
        <f t="shared" si="247"/>
        <v>46415</v>
      </c>
      <c r="FN89" s="109">
        <f t="shared" si="248"/>
        <v>0</v>
      </c>
      <c r="FO89" s="109">
        <f t="shared" si="249"/>
        <v>0</v>
      </c>
      <c r="FP89" s="109"/>
      <c r="FQ89" s="109"/>
      <c r="FR89" s="111"/>
      <c r="FS89" s="111"/>
      <c r="FT89" s="165"/>
      <c r="FU89" s="109">
        <f t="shared" si="250"/>
        <v>0</v>
      </c>
      <c r="FV89" s="109">
        <f>FW89/(1+AM89)*AM89</f>
        <v>0</v>
      </c>
      <c r="FW89" s="109"/>
      <c r="FX89" s="109"/>
      <c r="FY89" s="111"/>
      <c r="FZ89" s="111"/>
      <c r="GA89" s="165"/>
      <c r="GB89" s="109"/>
      <c r="GC89" s="109"/>
      <c r="GD89" s="109"/>
      <c r="GE89" s="109"/>
      <c r="GF89" s="111"/>
      <c r="GG89" s="111"/>
      <c r="GH89" s="165"/>
      <c r="GI89" s="109"/>
      <c r="GJ89" s="109"/>
      <c r="GK89" s="109"/>
      <c r="GL89" s="109"/>
      <c r="GM89" s="111"/>
      <c r="GN89" s="111"/>
      <c r="GO89" s="165"/>
      <c r="GP89" s="109"/>
      <c r="GQ89" s="109"/>
      <c r="GR89" s="109"/>
      <c r="GS89" s="109"/>
      <c r="GT89" s="111"/>
      <c r="GU89" s="111"/>
      <c r="GV89" s="165"/>
      <c r="GW89" s="168"/>
      <c r="GX89" s="168"/>
      <c r="GY89" s="168"/>
      <c r="GZ89" s="168"/>
      <c r="HA89" s="111"/>
      <c r="HB89" s="111"/>
      <c r="HC89" s="165"/>
      <c r="HD89" s="109"/>
      <c r="HE89" s="109"/>
      <c r="HF89" s="109"/>
      <c r="HG89" s="109"/>
      <c r="HH89" s="111"/>
      <c r="HI89" s="111"/>
      <c r="HJ89" s="165"/>
      <c r="HK89" s="109"/>
      <c r="HL89" s="109"/>
      <c r="HM89" s="109"/>
      <c r="HN89" s="109"/>
      <c r="HO89" s="111"/>
      <c r="HP89" s="111"/>
      <c r="HQ89" s="165"/>
      <c r="HR89" s="109"/>
      <c r="HS89" s="109"/>
      <c r="HT89" s="109"/>
      <c r="HU89" s="109"/>
      <c r="HV89" s="111"/>
      <c r="HW89" s="111"/>
      <c r="HX89" s="105">
        <f t="shared" si="198"/>
        <v>0</v>
      </c>
      <c r="HY89" s="105">
        <f t="shared" si="198"/>
        <v>0</v>
      </c>
      <c r="HZ89" s="105">
        <f t="shared" si="198"/>
        <v>0</v>
      </c>
      <c r="IA89" s="105">
        <f t="shared" si="181"/>
        <v>0</v>
      </c>
      <c r="IB89" s="109">
        <f t="shared" si="182"/>
        <v>290000</v>
      </c>
      <c r="IC89" s="109">
        <f t="shared" si="183"/>
        <v>250000</v>
      </c>
      <c r="ID89" s="109">
        <f t="shared" si="184"/>
        <v>0</v>
      </c>
      <c r="IE89" s="109">
        <f t="shared" ca="1" si="185"/>
        <v>0</v>
      </c>
      <c r="IF89" s="139">
        <f t="shared" si="186"/>
        <v>0</v>
      </c>
      <c r="IG89" s="139">
        <f t="shared" ca="1" si="187"/>
        <v>-27</v>
      </c>
      <c r="IH89" s="169">
        <f t="shared" ca="1" si="188"/>
        <v>-0.9</v>
      </c>
      <c r="II89" s="139">
        <f t="shared" ca="1" si="189"/>
        <v>0</v>
      </c>
      <c r="IJ89" s="169">
        <f t="shared" ca="1" si="190"/>
        <v>0</v>
      </c>
      <c r="IK89" s="169">
        <f t="shared" ca="1" si="196"/>
        <v>0</v>
      </c>
      <c r="IL89" s="170">
        <f t="shared" ca="1" si="191"/>
        <v>0</v>
      </c>
      <c r="IM89" s="171"/>
      <c r="IN89" s="171"/>
      <c r="IO89" s="171"/>
      <c r="IP89" s="171"/>
    </row>
    <row r="90" spans="1:250" ht="15" customHeight="1" thickBot="1" x14ac:dyDescent="0.35">
      <c r="A90" s="110">
        <f t="shared" si="192"/>
        <v>86</v>
      </c>
      <c r="B90" s="111" t="s">
        <v>170</v>
      </c>
      <c r="C90" s="111" t="s">
        <v>171</v>
      </c>
      <c r="D90" s="111">
        <v>102</v>
      </c>
      <c r="E90" s="111" t="s">
        <v>253</v>
      </c>
      <c r="F90" s="111"/>
      <c r="G90" s="111" t="s">
        <v>1132</v>
      </c>
      <c r="H90" s="111">
        <v>1021100184</v>
      </c>
      <c r="I90" s="146" t="str">
        <f t="shared" si="124"/>
        <v>1100184</v>
      </c>
      <c r="J90" s="145" t="str">
        <f t="shared" si="125"/>
        <v>KN1100184</v>
      </c>
      <c r="K90" s="111" t="s">
        <v>1133</v>
      </c>
      <c r="L90" s="111" t="s">
        <v>287</v>
      </c>
      <c r="M90" s="111" t="s">
        <v>1134</v>
      </c>
      <c r="N90" s="111" t="s">
        <v>138</v>
      </c>
      <c r="O90" s="111"/>
      <c r="P90" s="111" t="s">
        <v>1135</v>
      </c>
      <c r="Q90" s="148">
        <v>34427</v>
      </c>
      <c r="R90" s="145" t="s">
        <v>170</v>
      </c>
      <c r="S90" s="111"/>
      <c r="T90" s="111" t="s">
        <v>1136</v>
      </c>
      <c r="U90" s="111" t="s">
        <v>234</v>
      </c>
      <c r="V90" s="181">
        <v>770761030</v>
      </c>
      <c r="W90" s="111"/>
      <c r="X90" s="111" t="s">
        <v>181</v>
      </c>
      <c r="Y90" s="111">
        <v>11</v>
      </c>
      <c r="Z90" s="111" t="s">
        <v>219</v>
      </c>
      <c r="AA90" s="111" t="s">
        <v>1137</v>
      </c>
      <c r="AB90" s="111"/>
      <c r="AC90" s="111" t="s">
        <v>146</v>
      </c>
      <c r="AD90" s="111" t="s">
        <v>147</v>
      </c>
      <c r="AE90" s="111"/>
      <c r="AF90" s="111"/>
      <c r="AG90" s="111"/>
      <c r="AH90" s="175"/>
      <c r="AI90" s="111">
        <v>18</v>
      </c>
      <c r="AJ90" s="111">
        <v>0</v>
      </c>
      <c r="AK90" s="150">
        <f t="shared" si="193"/>
        <v>18</v>
      </c>
      <c r="AL90" s="177">
        <v>200000</v>
      </c>
      <c r="AM90" s="176">
        <v>0.16</v>
      </c>
      <c r="AN90" s="177">
        <f t="shared" si="210"/>
        <v>32000</v>
      </c>
      <c r="AO90" s="157">
        <f t="shared" si="209"/>
        <v>232000</v>
      </c>
      <c r="AP90" s="193">
        <f t="shared" si="126"/>
        <v>12888.888888888889</v>
      </c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1"/>
      <c r="BL90" s="175"/>
      <c r="BM90" s="111"/>
      <c r="BN90" s="111"/>
      <c r="BO90" s="111"/>
      <c r="BP90" s="111"/>
      <c r="BQ90" s="111"/>
      <c r="BR90" s="111"/>
      <c r="BS90" s="111"/>
      <c r="BT90" s="111"/>
      <c r="BU90" s="111"/>
      <c r="BV90" s="111"/>
      <c r="BW90" s="111"/>
      <c r="BX90" s="111"/>
      <c r="BY90" s="111"/>
      <c r="BZ90" s="111"/>
      <c r="CA90" s="111"/>
      <c r="CB90" s="111"/>
      <c r="CC90" s="178"/>
      <c r="CD90" s="177">
        <f t="shared" si="127"/>
        <v>200000</v>
      </c>
      <c r="CE90" s="148"/>
      <c r="CF90" s="111">
        <f t="shared" si="128"/>
        <v>18</v>
      </c>
      <c r="CG90" s="177">
        <f t="shared" si="129"/>
        <v>232000</v>
      </c>
      <c r="CH90" s="203">
        <f t="shared" si="208"/>
        <v>0</v>
      </c>
      <c r="CI90" s="148">
        <v>46022</v>
      </c>
      <c r="CJ90" s="161">
        <f t="shared" si="194"/>
        <v>46053</v>
      </c>
      <c r="CK90" s="162">
        <f t="shared" si="195"/>
        <v>46568</v>
      </c>
      <c r="CL90" s="183"/>
      <c r="CM90" s="164">
        <f t="shared" ca="1" si="130"/>
        <v>46054</v>
      </c>
      <c r="CN90" s="165">
        <f t="shared" si="131"/>
        <v>46053</v>
      </c>
      <c r="CO90" s="109">
        <f t="shared" si="132"/>
        <v>0</v>
      </c>
      <c r="CP90" s="109">
        <f t="shared" si="133"/>
        <v>0</v>
      </c>
      <c r="CQ90" s="109"/>
      <c r="CR90" s="109">
        <f t="shared" si="134"/>
        <v>0</v>
      </c>
      <c r="CS90" s="166">
        <f t="shared" ca="1" si="211"/>
        <v>46054</v>
      </c>
      <c r="CT90" s="167">
        <f t="shared" ca="1" si="135"/>
        <v>1</v>
      </c>
      <c r="CU90" s="165">
        <f t="shared" si="136"/>
        <v>46081</v>
      </c>
      <c r="CV90" s="109">
        <f t="shared" si="137"/>
        <v>0</v>
      </c>
      <c r="CW90" s="109">
        <f t="shared" si="138"/>
        <v>0</v>
      </c>
      <c r="CX90" s="109"/>
      <c r="CY90" s="109">
        <f t="shared" si="139"/>
        <v>0</v>
      </c>
      <c r="CZ90" s="166">
        <f t="shared" ca="1" si="212"/>
        <v>46054</v>
      </c>
      <c r="DA90" s="111"/>
      <c r="DB90" s="165">
        <f t="shared" si="141"/>
        <v>46109</v>
      </c>
      <c r="DC90" s="109">
        <f t="shared" si="142"/>
        <v>0</v>
      </c>
      <c r="DD90" s="109">
        <f t="shared" si="143"/>
        <v>0</v>
      </c>
      <c r="DE90" s="109"/>
      <c r="DF90" s="109">
        <f t="shared" si="144"/>
        <v>0</v>
      </c>
      <c r="DG90" s="166">
        <f t="shared" ca="1" si="213"/>
        <v>46054</v>
      </c>
      <c r="DH90" s="167">
        <f t="shared" ca="1" si="145"/>
        <v>0</v>
      </c>
      <c r="DI90" s="165">
        <f t="shared" si="146"/>
        <v>46140</v>
      </c>
      <c r="DJ90" s="109">
        <f t="shared" si="147"/>
        <v>0</v>
      </c>
      <c r="DK90" s="109">
        <f t="shared" si="148"/>
        <v>0</v>
      </c>
      <c r="DL90" s="109">
        <v>0</v>
      </c>
      <c r="DM90" s="109">
        <f t="shared" si="149"/>
        <v>0</v>
      </c>
      <c r="DN90" s="166">
        <f t="shared" ca="1" si="214"/>
        <v>46054</v>
      </c>
      <c r="DO90" s="167">
        <f t="shared" ca="1" si="150"/>
        <v>0</v>
      </c>
      <c r="DP90" s="165">
        <f t="shared" si="215"/>
        <v>46171</v>
      </c>
      <c r="DQ90" s="109">
        <f t="shared" si="216"/>
        <v>0</v>
      </c>
      <c r="DR90" s="109">
        <f t="shared" si="217"/>
        <v>0</v>
      </c>
      <c r="DS90" s="109"/>
      <c r="DT90" s="109">
        <f t="shared" si="152"/>
        <v>0</v>
      </c>
      <c r="DU90" s="166">
        <f t="shared" ca="1" si="218"/>
        <v>46054</v>
      </c>
      <c r="DV90" s="167">
        <f t="shared" ca="1" si="219"/>
        <v>0</v>
      </c>
      <c r="DW90" s="165">
        <f t="shared" si="220"/>
        <v>46202</v>
      </c>
      <c r="DX90" s="109">
        <f t="shared" si="221"/>
        <v>0</v>
      </c>
      <c r="DY90" s="109">
        <f t="shared" si="222"/>
        <v>0</v>
      </c>
      <c r="DZ90" s="109"/>
      <c r="EA90" s="109">
        <f t="shared" si="223"/>
        <v>0</v>
      </c>
      <c r="EB90" s="166">
        <f t="shared" ca="1" si="224"/>
        <v>46054</v>
      </c>
      <c r="EC90" s="167">
        <f t="shared" ca="1" si="225"/>
        <v>0</v>
      </c>
      <c r="ED90" s="165">
        <f t="shared" si="226"/>
        <v>46232</v>
      </c>
      <c r="EE90" s="109">
        <f t="shared" si="227"/>
        <v>0</v>
      </c>
      <c r="EF90" s="109">
        <f t="shared" si="228"/>
        <v>0</v>
      </c>
      <c r="EG90" s="109"/>
      <c r="EH90" s="109">
        <f t="shared" si="229"/>
        <v>0</v>
      </c>
      <c r="EI90" s="166">
        <f t="shared" ca="1" si="230"/>
        <v>46054</v>
      </c>
      <c r="EJ90" s="167">
        <f t="shared" ca="1" si="231"/>
        <v>0</v>
      </c>
      <c r="EK90" s="165">
        <f t="shared" si="232"/>
        <v>46263</v>
      </c>
      <c r="EL90" s="109">
        <f t="shared" si="233"/>
        <v>0</v>
      </c>
      <c r="EM90" s="109">
        <f t="shared" si="234"/>
        <v>0</v>
      </c>
      <c r="EN90" s="109"/>
      <c r="EO90" s="109">
        <f t="shared" si="235"/>
        <v>0</v>
      </c>
      <c r="EP90" s="166">
        <f t="shared" ca="1" si="236"/>
        <v>46054</v>
      </c>
      <c r="EQ90" s="167">
        <f t="shared" ca="1" si="237"/>
        <v>0</v>
      </c>
      <c r="ER90" s="165">
        <f t="shared" si="238"/>
        <v>46294</v>
      </c>
      <c r="ES90" s="109">
        <f t="shared" si="239"/>
        <v>0</v>
      </c>
      <c r="ET90" s="109">
        <f t="shared" si="240"/>
        <v>0</v>
      </c>
      <c r="EU90" s="109"/>
      <c r="EV90" s="109"/>
      <c r="EW90" s="111"/>
      <c r="EX90" s="111"/>
      <c r="EY90" s="165">
        <f t="shared" si="241"/>
        <v>46324</v>
      </c>
      <c r="EZ90" s="109">
        <f t="shared" si="242"/>
        <v>0</v>
      </c>
      <c r="FA90" s="109">
        <f t="shared" si="243"/>
        <v>0</v>
      </c>
      <c r="FB90" s="109"/>
      <c r="FC90" s="109"/>
      <c r="FD90" s="111"/>
      <c r="FE90" s="111"/>
      <c r="FF90" s="165">
        <f t="shared" si="244"/>
        <v>46355</v>
      </c>
      <c r="FG90" s="109">
        <f t="shared" si="245"/>
        <v>0</v>
      </c>
      <c r="FH90" s="109">
        <f t="shared" si="246"/>
        <v>0</v>
      </c>
      <c r="FI90" s="109"/>
      <c r="FJ90" s="109"/>
      <c r="FK90" s="111"/>
      <c r="FL90" s="111"/>
      <c r="FM90" s="165">
        <f t="shared" si="247"/>
        <v>46385</v>
      </c>
      <c r="FN90" s="109">
        <f t="shared" si="248"/>
        <v>0</v>
      </c>
      <c r="FO90" s="109">
        <f t="shared" si="249"/>
        <v>0</v>
      </c>
      <c r="FP90" s="109"/>
      <c r="FQ90" s="109"/>
      <c r="FR90" s="111"/>
      <c r="FS90" s="111"/>
      <c r="FT90" s="165">
        <f>EDATE(FM90,1)</f>
        <v>46416</v>
      </c>
      <c r="FU90" s="109">
        <f t="shared" si="250"/>
        <v>0</v>
      </c>
      <c r="FV90" s="109">
        <f>FW90/(1+AM90)*AM90</f>
        <v>0</v>
      </c>
      <c r="FW90" s="109"/>
      <c r="FX90" s="109"/>
      <c r="FY90" s="111"/>
      <c r="FZ90" s="111"/>
      <c r="GA90" s="165">
        <f>EDATE(FT90,1)</f>
        <v>46446</v>
      </c>
      <c r="GB90" s="109">
        <f t="shared" si="251"/>
        <v>0</v>
      </c>
      <c r="GC90" s="109">
        <f>GD90/(1+AM90)*AM90</f>
        <v>0</v>
      </c>
      <c r="GD90" s="109"/>
      <c r="GE90" s="109"/>
      <c r="GF90" s="111"/>
      <c r="GG90" s="111"/>
      <c r="GH90" s="165">
        <f>EDATE(GA90,1)</f>
        <v>46474</v>
      </c>
      <c r="GI90" s="109">
        <f t="shared" si="252"/>
        <v>0</v>
      </c>
      <c r="GJ90" s="109">
        <f>GK90/(1+AM90)*AM90</f>
        <v>0</v>
      </c>
      <c r="GK90" s="109"/>
      <c r="GL90" s="109"/>
      <c r="GM90" s="111"/>
      <c r="GN90" s="111"/>
      <c r="GO90" s="165">
        <f>EDATE(GH90,1)</f>
        <v>46505</v>
      </c>
      <c r="GP90" s="109">
        <f t="shared" si="253"/>
        <v>0</v>
      </c>
      <c r="GQ90" s="109">
        <f>GR90/(1+AM90)*AM90</f>
        <v>0</v>
      </c>
      <c r="GR90" s="109"/>
      <c r="GS90" s="109"/>
      <c r="GT90" s="111"/>
      <c r="GU90" s="111"/>
      <c r="GV90" s="165">
        <f>EDATE(GO90,1)</f>
        <v>46535</v>
      </c>
      <c r="GW90" s="168">
        <f t="shared" si="254"/>
        <v>0</v>
      </c>
      <c r="GX90" s="168">
        <f>GY90/(1+AM90)*AM90</f>
        <v>0</v>
      </c>
      <c r="GY90" s="168"/>
      <c r="GZ90" s="168"/>
      <c r="HA90" s="111"/>
      <c r="HB90" s="111"/>
      <c r="HC90" s="165">
        <f>EDATE(GV90,1)</f>
        <v>46566</v>
      </c>
      <c r="HD90" s="109">
        <f t="shared" si="255"/>
        <v>0</v>
      </c>
      <c r="HE90" s="109">
        <f>HF90/(1+AM90)*AM90</f>
        <v>0</v>
      </c>
      <c r="HF90" s="109"/>
      <c r="HG90" s="109"/>
      <c r="HH90" s="111"/>
      <c r="HI90" s="111"/>
      <c r="HJ90" s="165"/>
      <c r="HK90" s="109">
        <f t="shared" si="256"/>
        <v>0</v>
      </c>
      <c r="HL90" s="109">
        <f>HM90/(1+AM90)*AM90</f>
        <v>0</v>
      </c>
      <c r="HM90" s="109"/>
      <c r="HN90" s="109"/>
      <c r="HO90" s="111"/>
      <c r="HP90" s="111"/>
      <c r="HQ90" s="165"/>
      <c r="HR90" s="109">
        <f t="shared" si="257"/>
        <v>0</v>
      </c>
      <c r="HS90" s="109">
        <f>HT90/(1+AM90)*AM90</f>
        <v>0</v>
      </c>
      <c r="HT90" s="109"/>
      <c r="HU90" s="109"/>
      <c r="HV90" s="111"/>
      <c r="HW90" s="111"/>
      <c r="HX90" s="105">
        <f t="shared" si="198"/>
        <v>0</v>
      </c>
      <c r="HY90" s="105">
        <f t="shared" si="198"/>
        <v>0</v>
      </c>
      <c r="HZ90" s="105">
        <f t="shared" si="198"/>
        <v>0</v>
      </c>
      <c r="IA90" s="105">
        <f t="shared" si="181"/>
        <v>0</v>
      </c>
      <c r="IB90" s="109">
        <f t="shared" si="182"/>
        <v>232000</v>
      </c>
      <c r="IC90" s="109">
        <f t="shared" si="183"/>
        <v>200000</v>
      </c>
      <c r="ID90" s="109">
        <f t="shared" si="184"/>
        <v>0</v>
      </c>
      <c r="IE90" s="109">
        <f t="shared" ca="1" si="185"/>
        <v>1</v>
      </c>
      <c r="IF90" s="139">
        <f t="shared" si="186"/>
        <v>0</v>
      </c>
      <c r="IG90" s="139">
        <f t="shared" ca="1" si="187"/>
        <v>1</v>
      </c>
      <c r="IH90" s="169">
        <f t="shared" ca="1" si="188"/>
        <v>3.3333333333333333E-2</v>
      </c>
      <c r="II90" s="139">
        <f t="shared" ca="1" si="189"/>
        <v>3.3333333333333333E-2</v>
      </c>
      <c r="IJ90" s="169">
        <f t="shared" ca="1" si="190"/>
        <v>1</v>
      </c>
      <c r="IK90" s="169">
        <f t="shared" ca="1" si="196"/>
        <v>3.3333333333333333E-2</v>
      </c>
      <c r="IL90" s="170">
        <f t="shared" ca="1" si="191"/>
        <v>429.62962962962962</v>
      </c>
      <c r="IM90" s="171"/>
      <c r="IN90" s="171"/>
      <c r="IO90" s="171"/>
      <c r="IP90" s="171"/>
    </row>
    <row r="91" spans="1:250" ht="15" customHeight="1" thickBot="1" x14ac:dyDescent="0.35">
      <c r="A91" s="110">
        <f t="shared" si="192"/>
        <v>87</v>
      </c>
      <c r="B91" s="111" t="s">
        <v>385</v>
      </c>
      <c r="C91" s="111" t="s">
        <v>386</v>
      </c>
      <c r="D91" s="111">
        <v>103</v>
      </c>
      <c r="E91" s="111" t="s">
        <v>881</v>
      </c>
      <c r="F91" s="111"/>
      <c r="G91" s="111" t="s">
        <v>1138</v>
      </c>
      <c r="H91" s="111">
        <v>1031100022</v>
      </c>
      <c r="I91" s="146" t="str">
        <f t="shared" si="124"/>
        <v>1100022</v>
      </c>
      <c r="J91" s="145" t="str">
        <f t="shared" si="125"/>
        <v>NG1100022</v>
      </c>
      <c r="K91" s="111" t="s">
        <v>447</v>
      </c>
      <c r="L91" s="111" t="s">
        <v>1139</v>
      </c>
      <c r="M91" s="111" t="s">
        <v>1140</v>
      </c>
      <c r="N91" s="111" t="s">
        <v>138</v>
      </c>
      <c r="O91" s="111"/>
      <c r="P91" s="111" t="s">
        <v>1141</v>
      </c>
      <c r="Q91" s="148" t="s">
        <v>1142</v>
      </c>
      <c r="R91" s="145" t="s">
        <v>170</v>
      </c>
      <c r="S91" s="111"/>
      <c r="T91" s="111" t="s">
        <v>1143</v>
      </c>
      <c r="U91" s="111" t="s">
        <v>1144</v>
      </c>
      <c r="V91" s="181">
        <v>777287983</v>
      </c>
      <c r="W91" s="111"/>
      <c r="X91" s="111" t="s">
        <v>181</v>
      </c>
      <c r="Y91" s="111">
        <v>11</v>
      </c>
      <c r="Z91" s="111" t="s">
        <v>1145</v>
      </c>
      <c r="AA91" s="111" t="s">
        <v>1146</v>
      </c>
      <c r="AB91" s="111"/>
      <c r="AC91" s="111" t="s">
        <v>146</v>
      </c>
      <c r="AD91" s="111" t="s">
        <v>147</v>
      </c>
      <c r="AE91" s="111"/>
      <c r="AF91" s="111"/>
      <c r="AG91" s="111"/>
      <c r="AH91" s="175"/>
      <c r="AI91" s="111">
        <v>12</v>
      </c>
      <c r="AJ91" s="111">
        <v>0</v>
      </c>
      <c r="AK91" s="150">
        <f t="shared" si="193"/>
        <v>12</v>
      </c>
      <c r="AL91" s="177">
        <v>70000</v>
      </c>
      <c r="AM91" s="176">
        <v>0.16</v>
      </c>
      <c r="AN91" s="177">
        <f t="shared" si="210"/>
        <v>11200</v>
      </c>
      <c r="AO91" s="157">
        <f t="shared" si="209"/>
        <v>81200</v>
      </c>
      <c r="AP91" s="193">
        <f t="shared" si="126"/>
        <v>6766.666666666667</v>
      </c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11"/>
      <c r="BL91" s="175"/>
      <c r="BM91" s="111"/>
      <c r="BN91" s="111"/>
      <c r="BO91" s="111"/>
      <c r="BP91" s="111"/>
      <c r="BQ91" s="111"/>
      <c r="BR91" s="111"/>
      <c r="BS91" s="111"/>
      <c r="BT91" s="111"/>
      <c r="BU91" s="111"/>
      <c r="BV91" s="111"/>
      <c r="BW91" s="111"/>
      <c r="BX91" s="111"/>
      <c r="BY91" s="111"/>
      <c r="BZ91" s="111"/>
      <c r="CA91" s="111"/>
      <c r="CB91" s="111"/>
      <c r="CC91" s="178"/>
      <c r="CD91" s="177">
        <f t="shared" si="127"/>
        <v>70000</v>
      </c>
      <c r="CE91" s="148"/>
      <c r="CF91" s="111">
        <f t="shared" si="128"/>
        <v>12</v>
      </c>
      <c r="CG91" s="177">
        <f t="shared" si="129"/>
        <v>81200</v>
      </c>
      <c r="CH91" s="203">
        <f t="shared" si="208"/>
        <v>0</v>
      </c>
      <c r="CI91" s="148">
        <v>46022</v>
      </c>
      <c r="CJ91" s="161">
        <f t="shared" si="194"/>
        <v>46053</v>
      </c>
      <c r="CK91" s="162">
        <f t="shared" si="195"/>
        <v>46387</v>
      </c>
      <c r="CL91" s="183"/>
      <c r="CM91" s="164">
        <f t="shared" ca="1" si="130"/>
        <v>46054</v>
      </c>
      <c r="CN91" s="165">
        <f t="shared" si="131"/>
        <v>46053</v>
      </c>
      <c r="CO91" s="109">
        <f t="shared" si="132"/>
        <v>0</v>
      </c>
      <c r="CP91" s="109">
        <f t="shared" si="133"/>
        <v>0</v>
      </c>
      <c r="CQ91" s="109"/>
      <c r="CR91" s="109">
        <f t="shared" si="134"/>
        <v>0</v>
      </c>
      <c r="CS91" s="166">
        <f t="shared" ca="1" si="211"/>
        <v>46054</v>
      </c>
      <c r="CT91" s="167">
        <f t="shared" ca="1" si="135"/>
        <v>1</v>
      </c>
      <c r="CU91" s="165">
        <f t="shared" si="136"/>
        <v>46081</v>
      </c>
      <c r="CV91" s="109">
        <f t="shared" si="137"/>
        <v>0</v>
      </c>
      <c r="CW91" s="109">
        <f t="shared" si="138"/>
        <v>0</v>
      </c>
      <c r="CX91" s="109"/>
      <c r="CY91" s="109">
        <f t="shared" si="139"/>
        <v>0</v>
      </c>
      <c r="CZ91" s="166">
        <f t="shared" ca="1" si="212"/>
        <v>46054</v>
      </c>
      <c r="DA91" s="111"/>
      <c r="DB91" s="165">
        <f t="shared" si="141"/>
        <v>46109</v>
      </c>
      <c r="DC91" s="109">
        <f t="shared" si="142"/>
        <v>0</v>
      </c>
      <c r="DD91" s="109">
        <f t="shared" si="143"/>
        <v>0</v>
      </c>
      <c r="DE91" s="109"/>
      <c r="DF91" s="109">
        <f t="shared" si="144"/>
        <v>0</v>
      </c>
      <c r="DG91" s="166">
        <f t="shared" ca="1" si="213"/>
        <v>46054</v>
      </c>
      <c r="DH91" s="167">
        <f t="shared" ca="1" si="145"/>
        <v>0</v>
      </c>
      <c r="DI91" s="165">
        <f t="shared" si="146"/>
        <v>46140</v>
      </c>
      <c r="DJ91" s="109">
        <f t="shared" si="147"/>
        <v>0</v>
      </c>
      <c r="DK91" s="109">
        <f t="shared" si="148"/>
        <v>0</v>
      </c>
      <c r="DL91" s="109">
        <v>0</v>
      </c>
      <c r="DM91" s="109">
        <f t="shared" si="149"/>
        <v>0</v>
      </c>
      <c r="DN91" s="166">
        <f t="shared" ca="1" si="214"/>
        <v>46054</v>
      </c>
      <c r="DO91" s="167">
        <f t="shared" ca="1" si="150"/>
        <v>0</v>
      </c>
      <c r="DP91" s="165">
        <f t="shared" si="215"/>
        <v>46171</v>
      </c>
      <c r="DQ91" s="109">
        <f t="shared" si="216"/>
        <v>0</v>
      </c>
      <c r="DR91" s="109">
        <f t="shared" si="217"/>
        <v>0</v>
      </c>
      <c r="DS91" s="109"/>
      <c r="DT91" s="109">
        <f t="shared" si="152"/>
        <v>0</v>
      </c>
      <c r="DU91" s="166">
        <f t="shared" ca="1" si="218"/>
        <v>46054</v>
      </c>
      <c r="DV91" s="167">
        <f t="shared" ca="1" si="219"/>
        <v>0</v>
      </c>
      <c r="DW91" s="165">
        <f t="shared" si="220"/>
        <v>46202</v>
      </c>
      <c r="DX91" s="109">
        <f t="shared" si="221"/>
        <v>0</v>
      </c>
      <c r="DY91" s="109">
        <f t="shared" si="222"/>
        <v>0</v>
      </c>
      <c r="DZ91" s="109"/>
      <c r="EA91" s="109">
        <f t="shared" si="223"/>
        <v>0</v>
      </c>
      <c r="EB91" s="166">
        <f t="shared" ca="1" si="224"/>
        <v>46054</v>
      </c>
      <c r="EC91" s="167">
        <f t="shared" ca="1" si="225"/>
        <v>0</v>
      </c>
      <c r="ED91" s="165">
        <f t="shared" si="226"/>
        <v>46232</v>
      </c>
      <c r="EE91" s="109">
        <f t="shared" si="227"/>
        <v>0</v>
      </c>
      <c r="EF91" s="109">
        <f t="shared" si="228"/>
        <v>0</v>
      </c>
      <c r="EG91" s="109"/>
      <c r="EH91" s="109">
        <f t="shared" si="229"/>
        <v>0</v>
      </c>
      <c r="EI91" s="166">
        <f t="shared" ca="1" si="230"/>
        <v>46054</v>
      </c>
      <c r="EJ91" s="167">
        <f t="shared" ca="1" si="231"/>
        <v>0</v>
      </c>
      <c r="EK91" s="165">
        <f t="shared" si="232"/>
        <v>46263</v>
      </c>
      <c r="EL91" s="109">
        <f t="shared" si="233"/>
        <v>0</v>
      </c>
      <c r="EM91" s="109">
        <f t="shared" si="234"/>
        <v>0</v>
      </c>
      <c r="EN91" s="109"/>
      <c r="EO91" s="109">
        <f t="shared" si="235"/>
        <v>0</v>
      </c>
      <c r="EP91" s="166">
        <f t="shared" ca="1" si="236"/>
        <v>46054</v>
      </c>
      <c r="EQ91" s="167">
        <f t="shared" ca="1" si="237"/>
        <v>0</v>
      </c>
      <c r="ER91" s="165">
        <f t="shared" si="238"/>
        <v>46294</v>
      </c>
      <c r="ES91" s="109">
        <f t="shared" si="239"/>
        <v>0</v>
      </c>
      <c r="ET91" s="109">
        <f t="shared" si="240"/>
        <v>0</v>
      </c>
      <c r="EU91" s="109"/>
      <c r="EV91" s="109"/>
      <c r="EW91" s="111"/>
      <c r="EX91" s="111"/>
      <c r="EY91" s="165">
        <f t="shared" si="241"/>
        <v>46324</v>
      </c>
      <c r="EZ91" s="109">
        <f t="shared" si="242"/>
        <v>0</v>
      </c>
      <c r="FA91" s="109">
        <f t="shared" si="243"/>
        <v>0</v>
      </c>
      <c r="FB91" s="109"/>
      <c r="FC91" s="109"/>
      <c r="FD91" s="111"/>
      <c r="FE91" s="111"/>
      <c r="FF91" s="165">
        <f t="shared" si="244"/>
        <v>46355</v>
      </c>
      <c r="FG91" s="109">
        <f t="shared" si="245"/>
        <v>0</v>
      </c>
      <c r="FH91" s="109">
        <f t="shared" si="246"/>
        <v>0</v>
      </c>
      <c r="FI91" s="109"/>
      <c r="FJ91" s="109"/>
      <c r="FK91" s="111"/>
      <c r="FL91" s="111"/>
      <c r="FM91" s="165">
        <f t="shared" si="247"/>
        <v>46385</v>
      </c>
      <c r="FN91" s="109">
        <f t="shared" si="248"/>
        <v>0</v>
      </c>
      <c r="FO91" s="109">
        <f t="shared" si="249"/>
        <v>0</v>
      </c>
      <c r="FP91" s="109"/>
      <c r="FQ91" s="109"/>
      <c r="FR91" s="111"/>
      <c r="FS91" s="111"/>
      <c r="FT91" s="165"/>
      <c r="FU91" s="109"/>
      <c r="FV91" s="109"/>
      <c r="FW91" s="109"/>
      <c r="FX91" s="109"/>
      <c r="FY91" s="111"/>
      <c r="FZ91" s="111"/>
      <c r="GA91" s="165"/>
      <c r="GB91" s="109"/>
      <c r="GC91" s="109"/>
      <c r="GD91" s="109"/>
      <c r="GE91" s="109"/>
      <c r="GF91" s="111"/>
      <c r="GG91" s="111"/>
      <c r="GH91" s="165"/>
      <c r="GI91" s="109"/>
      <c r="GJ91" s="109"/>
      <c r="GK91" s="109"/>
      <c r="GL91" s="109"/>
      <c r="GM91" s="111"/>
      <c r="GN91" s="111"/>
      <c r="GO91" s="165"/>
      <c r="GP91" s="109"/>
      <c r="GQ91" s="109"/>
      <c r="GR91" s="109"/>
      <c r="GS91" s="109"/>
      <c r="GT91" s="111"/>
      <c r="GU91" s="111"/>
      <c r="GV91" s="165"/>
      <c r="GW91" s="168"/>
      <c r="GX91" s="168"/>
      <c r="GY91" s="168"/>
      <c r="GZ91" s="168"/>
      <c r="HA91" s="111"/>
      <c r="HB91" s="111"/>
      <c r="HC91" s="165"/>
      <c r="HD91" s="109"/>
      <c r="HE91" s="109"/>
      <c r="HF91" s="109"/>
      <c r="HG91" s="109"/>
      <c r="HH91" s="111"/>
      <c r="HI91" s="111"/>
      <c r="HJ91" s="165"/>
      <c r="HK91" s="109"/>
      <c r="HL91" s="109"/>
      <c r="HM91" s="109"/>
      <c r="HN91" s="109"/>
      <c r="HO91" s="111"/>
      <c r="HP91" s="111"/>
      <c r="HQ91" s="165"/>
      <c r="HR91" s="109"/>
      <c r="HS91" s="109"/>
      <c r="HT91" s="109"/>
      <c r="HU91" s="109"/>
      <c r="HV91" s="111"/>
      <c r="HW91" s="111"/>
      <c r="HX91" s="105">
        <f t="shared" si="198"/>
        <v>0</v>
      </c>
      <c r="HY91" s="105">
        <f t="shared" si="198"/>
        <v>0</v>
      </c>
      <c r="HZ91" s="105">
        <f t="shared" si="198"/>
        <v>0</v>
      </c>
      <c r="IA91" s="105">
        <f t="shared" si="181"/>
        <v>0</v>
      </c>
      <c r="IB91" s="109">
        <f t="shared" si="182"/>
        <v>81200</v>
      </c>
      <c r="IC91" s="109">
        <f t="shared" si="183"/>
        <v>70000</v>
      </c>
      <c r="ID91" s="109">
        <f t="shared" si="184"/>
        <v>0</v>
      </c>
      <c r="IE91" s="109">
        <f t="shared" ca="1" si="185"/>
        <v>1</v>
      </c>
      <c r="IF91" s="139">
        <f t="shared" si="186"/>
        <v>0</v>
      </c>
      <c r="IG91" s="139">
        <f t="shared" ca="1" si="187"/>
        <v>1</v>
      </c>
      <c r="IH91" s="169">
        <f t="shared" ca="1" si="188"/>
        <v>3.3333333333333333E-2</v>
      </c>
      <c r="II91" s="139">
        <f t="shared" ca="1" si="189"/>
        <v>3.3333333333333333E-2</v>
      </c>
      <c r="IJ91" s="169">
        <f t="shared" ca="1" si="190"/>
        <v>1</v>
      </c>
      <c r="IK91" s="169">
        <f t="shared" ca="1" si="196"/>
        <v>3.3333333333333333E-2</v>
      </c>
      <c r="IL91" s="170">
        <f t="shared" ca="1" si="191"/>
        <v>225.55555555555557</v>
      </c>
      <c r="IM91" s="171"/>
      <c r="IN91" s="171"/>
      <c r="IO91" s="171"/>
      <c r="IP91" s="171"/>
    </row>
    <row r="92" spans="1:250" ht="15" customHeight="1" thickBot="1" x14ac:dyDescent="0.35">
      <c r="A92" s="110">
        <f t="shared" si="192"/>
        <v>88</v>
      </c>
      <c r="B92" s="111" t="s">
        <v>385</v>
      </c>
      <c r="C92" s="111" t="s">
        <v>386</v>
      </c>
      <c r="D92" s="111">
        <v>103</v>
      </c>
      <c r="E92" s="111" t="s">
        <v>881</v>
      </c>
      <c r="F92" s="111"/>
      <c r="G92" s="111" t="s">
        <v>1147</v>
      </c>
      <c r="H92" s="111">
        <v>1031100016</v>
      </c>
      <c r="I92" s="146" t="str">
        <f t="shared" si="124"/>
        <v>1100016</v>
      </c>
      <c r="J92" s="145" t="str">
        <f t="shared" si="125"/>
        <v>NG1100016</v>
      </c>
      <c r="K92" s="111" t="s">
        <v>1148</v>
      </c>
      <c r="L92" s="111" t="s">
        <v>1149</v>
      </c>
      <c r="M92" s="111" t="s">
        <v>1150</v>
      </c>
      <c r="N92" s="111" t="s">
        <v>138</v>
      </c>
      <c r="O92" s="111"/>
      <c r="P92" s="111" t="s">
        <v>1151</v>
      </c>
      <c r="Q92" s="148" t="s">
        <v>1152</v>
      </c>
      <c r="R92" s="145" t="s">
        <v>170</v>
      </c>
      <c r="S92" s="111"/>
      <c r="T92" s="111" t="s">
        <v>1153</v>
      </c>
      <c r="U92" s="111" t="s">
        <v>1154</v>
      </c>
      <c r="V92" s="181">
        <v>777715304</v>
      </c>
      <c r="W92" s="111"/>
      <c r="X92" s="111" t="s">
        <v>181</v>
      </c>
      <c r="Y92" s="111">
        <v>11</v>
      </c>
      <c r="Z92" s="111" t="s">
        <v>1155</v>
      </c>
      <c r="AA92" s="111" t="s">
        <v>1155</v>
      </c>
      <c r="AB92" s="111"/>
      <c r="AC92" s="111" t="s">
        <v>146</v>
      </c>
      <c r="AD92" s="111" t="s">
        <v>147</v>
      </c>
      <c r="AE92" s="111"/>
      <c r="AF92" s="111"/>
      <c r="AG92" s="111"/>
      <c r="AH92" s="175"/>
      <c r="AI92" s="111">
        <v>12</v>
      </c>
      <c r="AJ92" s="111">
        <v>0</v>
      </c>
      <c r="AK92" s="150">
        <f t="shared" si="193"/>
        <v>12</v>
      </c>
      <c r="AL92" s="177">
        <v>95000</v>
      </c>
      <c r="AM92" s="176">
        <v>0.16</v>
      </c>
      <c r="AN92" s="177">
        <f t="shared" si="210"/>
        <v>15200</v>
      </c>
      <c r="AO92" s="157">
        <f t="shared" si="209"/>
        <v>110200</v>
      </c>
      <c r="AP92" s="193">
        <f t="shared" si="126"/>
        <v>9183.3333333333339</v>
      </c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75"/>
      <c r="BM92" s="111"/>
      <c r="BN92" s="111"/>
      <c r="BO92" s="111"/>
      <c r="BP92" s="111"/>
      <c r="BQ92" s="111"/>
      <c r="BR92" s="111"/>
      <c r="BS92" s="111"/>
      <c r="BT92" s="111"/>
      <c r="BU92" s="111"/>
      <c r="BV92" s="111"/>
      <c r="BW92" s="111"/>
      <c r="BX92" s="111"/>
      <c r="BY92" s="111"/>
      <c r="BZ92" s="111"/>
      <c r="CA92" s="111"/>
      <c r="CB92" s="111"/>
      <c r="CC92" s="178"/>
      <c r="CD92" s="177">
        <f t="shared" si="127"/>
        <v>95000</v>
      </c>
      <c r="CE92" s="148"/>
      <c r="CF92" s="111">
        <f t="shared" si="128"/>
        <v>12</v>
      </c>
      <c r="CG92" s="177">
        <f t="shared" si="129"/>
        <v>110200</v>
      </c>
      <c r="CH92" s="203">
        <f t="shared" si="208"/>
        <v>0</v>
      </c>
      <c r="CI92" s="148">
        <v>46022</v>
      </c>
      <c r="CJ92" s="161">
        <f t="shared" si="194"/>
        <v>46053</v>
      </c>
      <c r="CK92" s="162">
        <f t="shared" si="195"/>
        <v>46387</v>
      </c>
      <c r="CL92" s="183"/>
      <c r="CM92" s="164">
        <f t="shared" ca="1" si="130"/>
        <v>46054</v>
      </c>
      <c r="CN92" s="165">
        <f t="shared" si="131"/>
        <v>46053</v>
      </c>
      <c r="CO92" s="109">
        <f t="shared" si="132"/>
        <v>0</v>
      </c>
      <c r="CP92" s="109">
        <f t="shared" si="133"/>
        <v>0</v>
      </c>
      <c r="CQ92" s="109"/>
      <c r="CR92" s="109">
        <f t="shared" si="134"/>
        <v>0</v>
      </c>
      <c r="CS92" s="166">
        <f t="shared" ca="1" si="211"/>
        <v>46054</v>
      </c>
      <c r="CT92" s="167">
        <f t="shared" ca="1" si="135"/>
        <v>1</v>
      </c>
      <c r="CU92" s="165">
        <f t="shared" si="136"/>
        <v>46081</v>
      </c>
      <c r="CV92" s="109">
        <f t="shared" si="137"/>
        <v>0</v>
      </c>
      <c r="CW92" s="109">
        <f t="shared" si="138"/>
        <v>0</v>
      </c>
      <c r="CX92" s="109"/>
      <c r="CY92" s="109">
        <f t="shared" si="139"/>
        <v>0</v>
      </c>
      <c r="CZ92" s="166">
        <f t="shared" ca="1" si="212"/>
        <v>46054</v>
      </c>
      <c r="DA92" s="111"/>
      <c r="DB92" s="165">
        <f t="shared" si="141"/>
        <v>46109</v>
      </c>
      <c r="DC92" s="109">
        <f t="shared" si="142"/>
        <v>0</v>
      </c>
      <c r="DD92" s="109">
        <f t="shared" si="143"/>
        <v>0</v>
      </c>
      <c r="DE92" s="109"/>
      <c r="DF92" s="109">
        <f t="shared" si="144"/>
        <v>0</v>
      </c>
      <c r="DG92" s="166">
        <f t="shared" ca="1" si="213"/>
        <v>46054</v>
      </c>
      <c r="DH92" s="167">
        <f t="shared" ca="1" si="145"/>
        <v>0</v>
      </c>
      <c r="DI92" s="165">
        <f t="shared" si="146"/>
        <v>46140</v>
      </c>
      <c r="DJ92" s="109">
        <f t="shared" si="147"/>
        <v>0</v>
      </c>
      <c r="DK92" s="109">
        <f t="shared" si="148"/>
        <v>0</v>
      </c>
      <c r="DL92" s="109">
        <v>0</v>
      </c>
      <c r="DM92" s="109">
        <f t="shared" si="149"/>
        <v>0</v>
      </c>
      <c r="DN92" s="166">
        <f t="shared" ca="1" si="214"/>
        <v>46054</v>
      </c>
      <c r="DO92" s="167">
        <f t="shared" ca="1" si="150"/>
        <v>0</v>
      </c>
      <c r="DP92" s="165">
        <f t="shared" si="215"/>
        <v>46171</v>
      </c>
      <c r="DQ92" s="109">
        <f t="shared" si="216"/>
        <v>0</v>
      </c>
      <c r="DR92" s="109">
        <f t="shared" si="217"/>
        <v>0</v>
      </c>
      <c r="DS92" s="109"/>
      <c r="DT92" s="109">
        <f t="shared" si="152"/>
        <v>0</v>
      </c>
      <c r="DU92" s="166">
        <f t="shared" ca="1" si="218"/>
        <v>46054</v>
      </c>
      <c r="DV92" s="167">
        <f t="shared" ca="1" si="219"/>
        <v>0</v>
      </c>
      <c r="DW92" s="165">
        <f t="shared" si="220"/>
        <v>46202</v>
      </c>
      <c r="DX92" s="109">
        <f t="shared" si="221"/>
        <v>0</v>
      </c>
      <c r="DY92" s="109">
        <f t="shared" si="222"/>
        <v>0</v>
      </c>
      <c r="DZ92" s="109"/>
      <c r="EA92" s="109">
        <f t="shared" si="223"/>
        <v>0</v>
      </c>
      <c r="EB92" s="166">
        <f t="shared" ca="1" si="224"/>
        <v>46054</v>
      </c>
      <c r="EC92" s="167">
        <f t="shared" ca="1" si="225"/>
        <v>0</v>
      </c>
      <c r="ED92" s="165">
        <f t="shared" si="226"/>
        <v>46232</v>
      </c>
      <c r="EE92" s="109">
        <f t="shared" si="227"/>
        <v>0</v>
      </c>
      <c r="EF92" s="109">
        <f t="shared" si="228"/>
        <v>0</v>
      </c>
      <c r="EG92" s="109"/>
      <c r="EH92" s="109">
        <f t="shared" si="229"/>
        <v>0</v>
      </c>
      <c r="EI92" s="166">
        <f t="shared" ca="1" si="230"/>
        <v>46054</v>
      </c>
      <c r="EJ92" s="167">
        <f t="shared" ca="1" si="231"/>
        <v>0</v>
      </c>
      <c r="EK92" s="165">
        <f t="shared" si="232"/>
        <v>46263</v>
      </c>
      <c r="EL92" s="109">
        <f t="shared" si="233"/>
        <v>0</v>
      </c>
      <c r="EM92" s="109">
        <f t="shared" si="234"/>
        <v>0</v>
      </c>
      <c r="EN92" s="109"/>
      <c r="EO92" s="109">
        <f t="shared" si="235"/>
        <v>0</v>
      </c>
      <c r="EP92" s="166">
        <f t="shared" ca="1" si="236"/>
        <v>46054</v>
      </c>
      <c r="EQ92" s="167">
        <f t="shared" ca="1" si="237"/>
        <v>0</v>
      </c>
      <c r="ER92" s="165">
        <f t="shared" si="238"/>
        <v>46294</v>
      </c>
      <c r="ES92" s="109">
        <f t="shared" si="239"/>
        <v>0</v>
      </c>
      <c r="ET92" s="109">
        <f t="shared" si="240"/>
        <v>0</v>
      </c>
      <c r="EU92" s="109"/>
      <c r="EV92" s="109"/>
      <c r="EW92" s="111"/>
      <c r="EX92" s="111"/>
      <c r="EY92" s="165">
        <f t="shared" si="241"/>
        <v>46324</v>
      </c>
      <c r="EZ92" s="109">
        <f t="shared" si="242"/>
        <v>0</v>
      </c>
      <c r="FA92" s="109">
        <f t="shared" si="243"/>
        <v>0</v>
      </c>
      <c r="FB92" s="109"/>
      <c r="FC92" s="109"/>
      <c r="FD92" s="111"/>
      <c r="FE92" s="111"/>
      <c r="FF92" s="165">
        <f t="shared" si="244"/>
        <v>46355</v>
      </c>
      <c r="FG92" s="109">
        <f t="shared" si="245"/>
        <v>0</v>
      </c>
      <c r="FH92" s="109">
        <f t="shared" si="246"/>
        <v>0</v>
      </c>
      <c r="FI92" s="109"/>
      <c r="FJ92" s="109"/>
      <c r="FK92" s="111"/>
      <c r="FL92" s="111"/>
      <c r="FM92" s="165">
        <f t="shared" si="247"/>
        <v>46385</v>
      </c>
      <c r="FN92" s="109">
        <f t="shared" si="248"/>
        <v>0</v>
      </c>
      <c r="FO92" s="109">
        <f t="shared" si="249"/>
        <v>0</v>
      </c>
      <c r="FP92" s="109"/>
      <c r="FQ92" s="109"/>
      <c r="FR92" s="111"/>
      <c r="FS92" s="111"/>
      <c r="FT92" s="165"/>
      <c r="FU92" s="109"/>
      <c r="FV92" s="109"/>
      <c r="FW92" s="109"/>
      <c r="FX92" s="109"/>
      <c r="FY92" s="111"/>
      <c r="FZ92" s="111"/>
      <c r="GA92" s="165"/>
      <c r="GB92" s="109"/>
      <c r="GC92" s="109"/>
      <c r="GD92" s="109"/>
      <c r="GE92" s="109"/>
      <c r="GF92" s="111"/>
      <c r="GG92" s="111"/>
      <c r="GH92" s="165"/>
      <c r="GI92" s="109"/>
      <c r="GJ92" s="109"/>
      <c r="GK92" s="109"/>
      <c r="GL92" s="109"/>
      <c r="GM92" s="111"/>
      <c r="GN92" s="111"/>
      <c r="GO92" s="165"/>
      <c r="GP92" s="109"/>
      <c r="GQ92" s="109"/>
      <c r="GR92" s="109"/>
      <c r="GS92" s="109"/>
      <c r="GT92" s="111"/>
      <c r="GU92" s="111"/>
      <c r="GV92" s="165"/>
      <c r="GW92" s="168"/>
      <c r="GX92" s="168"/>
      <c r="GY92" s="168"/>
      <c r="GZ92" s="168"/>
      <c r="HA92" s="111"/>
      <c r="HB92" s="111"/>
      <c r="HC92" s="165"/>
      <c r="HD92" s="109"/>
      <c r="HE92" s="109"/>
      <c r="HF92" s="109"/>
      <c r="HG92" s="109"/>
      <c r="HH92" s="111"/>
      <c r="HI92" s="111"/>
      <c r="HJ92" s="165"/>
      <c r="HK92" s="109"/>
      <c r="HL92" s="109"/>
      <c r="HM92" s="109"/>
      <c r="HN92" s="109"/>
      <c r="HO92" s="111"/>
      <c r="HP92" s="111"/>
      <c r="HQ92" s="165"/>
      <c r="HR92" s="109"/>
      <c r="HS92" s="109"/>
      <c r="HT92" s="109"/>
      <c r="HU92" s="109"/>
      <c r="HV92" s="111"/>
      <c r="HW92" s="111"/>
      <c r="HX92" s="105">
        <f t="shared" si="198"/>
        <v>0</v>
      </c>
      <c r="HY92" s="105">
        <f t="shared" si="198"/>
        <v>0</v>
      </c>
      <c r="HZ92" s="105">
        <f t="shared" si="198"/>
        <v>0</v>
      </c>
      <c r="IA92" s="105">
        <f t="shared" si="181"/>
        <v>0</v>
      </c>
      <c r="IB92" s="109">
        <f t="shared" si="182"/>
        <v>110200</v>
      </c>
      <c r="IC92" s="109">
        <f t="shared" si="183"/>
        <v>95000</v>
      </c>
      <c r="ID92" s="109">
        <f t="shared" si="184"/>
        <v>0</v>
      </c>
      <c r="IE92" s="109">
        <f t="shared" ca="1" si="185"/>
        <v>1</v>
      </c>
      <c r="IF92" s="139">
        <f t="shared" si="186"/>
        <v>0</v>
      </c>
      <c r="IG92" s="139">
        <f t="shared" ca="1" si="187"/>
        <v>1</v>
      </c>
      <c r="IH92" s="169">
        <f t="shared" ca="1" si="188"/>
        <v>3.3333333333333333E-2</v>
      </c>
      <c r="II92" s="139">
        <f t="shared" ca="1" si="189"/>
        <v>3.3333333333333333E-2</v>
      </c>
      <c r="IJ92" s="169">
        <f t="shared" ca="1" si="190"/>
        <v>1</v>
      </c>
      <c r="IK92" s="169">
        <f t="shared" ca="1" si="196"/>
        <v>3.3333333333333333E-2</v>
      </c>
      <c r="IL92" s="170">
        <f t="shared" ca="1" si="191"/>
        <v>306.11111111111114</v>
      </c>
      <c r="IM92" s="171"/>
      <c r="IN92" s="171"/>
      <c r="IO92" s="171"/>
      <c r="IP92" s="171"/>
    </row>
    <row r="93" spans="1:250" ht="15" customHeight="1" thickBot="1" x14ac:dyDescent="0.35">
      <c r="A93" s="110">
        <f t="shared" si="192"/>
        <v>89</v>
      </c>
      <c r="B93" s="111" t="s">
        <v>385</v>
      </c>
      <c r="C93" s="111" t="s">
        <v>386</v>
      </c>
      <c r="D93" s="111">
        <v>103</v>
      </c>
      <c r="E93" s="111" t="s">
        <v>881</v>
      </c>
      <c r="F93" s="111"/>
      <c r="G93" s="111" t="s">
        <v>1156</v>
      </c>
      <c r="H93" s="111">
        <v>1031100021</v>
      </c>
      <c r="I93" s="146" t="str">
        <f t="shared" si="124"/>
        <v>1100021</v>
      </c>
      <c r="J93" s="145" t="str">
        <f t="shared" si="125"/>
        <v>NG1100021</v>
      </c>
      <c r="K93" s="111" t="s">
        <v>932</v>
      </c>
      <c r="L93" s="111" t="s">
        <v>287</v>
      </c>
      <c r="M93" s="111" t="s">
        <v>1157</v>
      </c>
      <c r="N93" s="111" t="s">
        <v>138</v>
      </c>
      <c r="O93" s="111"/>
      <c r="P93" s="111" t="s">
        <v>1158</v>
      </c>
      <c r="Q93" s="148" t="s">
        <v>1159</v>
      </c>
      <c r="R93" s="145" t="s">
        <v>385</v>
      </c>
      <c r="S93" s="111"/>
      <c r="T93" s="111" t="s">
        <v>1160</v>
      </c>
      <c r="U93" s="111" t="s">
        <v>1071</v>
      </c>
      <c r="V93" s="181">
        <v>780090300</v>
      </c>
      <c r="W93" s="111"/>
      <c r="X93" s="111" t="s">
        <v>181</v>
      </c>
      <c r="Y93" s="111">
        <v>11</v>
      </c>
      <c r="Z93" s="111" t="s">
        <v>1145</v>
      </c>
      <c r="AA93" s="111" t="s">
        <v>1146</v>
      </c>
      <c r="AB93" s="111"/>
      <c r="AC93" s="111" t="s">
        <v>146</v>
      </c>
      <c r="AD93" s="111" t="s">
        <v>147</v>
      </c>
      <c r="AE93" s="111"/>
      <c r="AF93" s="111"/>
      <c r="AG93" s="111"/>
      <c r="AH93" s="175"/>
      <c r="AI93" s="111">
        <v>12</v>
      </c>
      <c r="AJ93" s="111">
        <v>0</v>
      </c>
      <c r="AK93" s="150">
        <f t="shared" si="193"/>
        <v>12</v>
      </c>
      <c r="AL93" s="177">
        <v>70000</v>
      </c>
      <c r="AM93" s="176">
        <v>0.16</v>
      </c>
      <c r="AN93" s="177">
        <f t="shared" si="210"/>
        <v>11200</v>
      </c>
      <c r="AO93" s="157">
        <f t="shared" si="209"/>
        <v>81200</v>
      </c>
      <c r="AP93" s="193">
        <f t="shared" si="126"/>
        <v>6766.666666666667</v>
      </c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75"/>
      <c r="BM93" s="111"/>
      <c r="BN93" s="111"/>
      <c r="BO93" s="111"/>
      <c r="BP93" s="111"/>
      <c r="BQ93" s="111"/>
      <c r="BR93" s="111"/>
      <c r="BS93" s="111"/>
      <c r="BT93" s="111"/>
      <c r="BU93" s="111"/>
      <c r="BV93" s="111"/>
      <c r="BW93" s="111"/>
      <c r="BX93" s="111"/>
      <c r="BY93" s="111"/>
      <c r="BZ93" s="111"/>
      <c r="CA93" s="111"/>
      <c r="CB93" s="111"/>
      <c r="CC93" s="178"/>
      <c r="CD93" s="177">
        <f t="shared" si="127"/>
        <v>70000</v>
      </c>
      <c r="CE93" s="148"/>
      <c r="CF93" s="111">
        <f t="shared" si="128"/>
        <v>12</v>
      </c>
      <c r="CG93" s="177">
        <f t="shared" si="129"/>
        <v>81200</v>
      </c>
      <c r="CH93" s="203">
        <f t="shared" si="208"/>
        <v>0</v>
      </c>
      <c r="CI93" s="148">
        <v>46022</v>
      </c>
      <c r="CJ93" s="161">
        <f t="shared" si="194"/>
        <v>46053</v>
      </c>
      <c r="CK93" s="162">
        <f t="shared" si="195"/>
        <v>46387</v>
      </c>
      <c r="CL93" s="183"/>
      <c r="CM93" s="164">
        <f t="shared" ca="1" si="130"/>
        <v>46054</v>
      </c>
      <c r="CN93" s="165">
        <f t="shared" si="131"/>
        <v>46053</v>
      </c>
      <c r="CO93" s="109">
        <f t="shared" si="132"/>
        <v>0</v>
      </c>
      <c r="CP93" s="109">
        <f t="shared" si="133"/>
        <v>0</v>
      </c>
      <c r="CQ93" s="109"/>
      <c r="CR93" s="109">
        <f t="shared" si="134"/>
        <v>0</v>
      </c>
      <c r="CS93" s="166">
        <f t="shared" ca="1" si="211"/>
        <v>46054</v>
      </c>
      <c r="CT93" s="167">
        <f t="shared" ca="1" si="135"/>
        <v>1</v>
      </c>
      <c r="CU93" s="165">
        <f t="shared" si="136"/>
        <v>46081</v>
      </c>
      <c r="CV93" s="109">
        <f t="shared" si="137"/>
        <v>0</v>
      </c>
      <c r="CW93" s="109">
        <f t="shared" si="138"/>
        <v>0</v>
      </c>
      <c r="CX93" s="109"/>
      <c r="CY93" s="109">
        <f t="shared" si="139"/>
        <v>0</v>
      </c>
      <c r="CZ93" s="166">
        <f t="shared" ca="1" si="212"/>
        <v>46054</v>
      </c>
      <c r="DA93" s="111"/>
      <c r="DB93" s="165">
        <f t="shared" si="141"/>
        <v>46109</v>
      </c>
      <c r="DC93" s="109">
        <f t="shared" si="142"/>
        <v>0</v>
      </c>
      <c r="DD93" s="109">
        <f t="shared" si="143"/>
        <v>0</v>
      </c>
      <c r="DE93" s="109"/>
      <c r="DF93" s="109">
        <f t="shared" si="144"/>
        <v>0</v>
      </c>
      <c r="DG93" s="166">
        <f t="shared" ca="1" si="213"/>
        <v>46054</v>
      </c>
      <c r="DH93" s="167">
        <f t="shared" ca="1" si="145"/>
        <v>0</v>
      </c>
      <c r="DI93" s="165">
        <f t="shared" si="146"/>
        <v>46140</v>
      </c>
      <c r="DJ93" s="109">
        <f t="shared" si="147"/>
        <v>0</v>
      </c>
      <c r="DK93" s="109">
        <f t="shared" si="148"/>
        <v>0</v>
      </c>
      <c r="DL93" s="109">
        <v>0</v>
      </c>
      <c r="DM93" s="109">
        <f t="shared" si="149"/>
        <v>0</v>
      </c>
      <c r="DN93" s="166">
        <f t="shared" ca="1" si="214"/>
        <v>46054</v>
      </c>
      <c r="DO93" s="167">
        <f t="shared" ca="1" si="150"/>
        <v>0</v>
      </c>
      <c r="DP93" s="165">
        <f t="shared" si="215"/>
        <v>46171</v>
      </c>
      <c r="DQ93" s="109">
        <f t="shared" si="216"/>
        <v>0</v>
      </c>
      <c r="DR93" s="109">
        <f t="shared" si="217"/>
        <v>0</v>
      </c>
      <c r="DS93" s="109"/>
      <c r="DT93" s="109">
        <f t="shared" si="152"/>
        <v>0</v>
      </c>
      <c r="DU93" s="166">
        <f t="shared" ca="1" si="218"/>
        <v>46054</v>
      </c>
      <c r="DV93" s="167">
        <f t="shared" ca="1" si="219"/>
        <v>0</v>
      </c>
      <c r="DW93" s="165">
        <f t="shared" si="220"/>
        <v>46202</v>
      </c>
      <c r="DX93" s="109">
        <f t="shared" si="221"/>
        <v>0</v>
      </c>
      <c r="DY93" s="109">
        <f t="shared" si="222"/>
        <v>0</v>
      </c>
      <c r="DZ93" s="109"/>
      <c r="EA93" s="109">
        <f t="shared" si="223"/>
        <v>0</v>
      </c>
      <c r="EB93" s="166">
        <f t="shared" ca="1" si="224"/>
        <v>46054</v>
      </c>
      <c r="EC93" s="167">
        <f t="shared" ca="1" si="225"/>
        <v>0</v>
      </c>
      <c r="ED93" s="165">
        <f t="shared" si="226"/>
        <v>46232</v>
      </c>
      <c r="EE93" s="109">
        <f t="shared" si="227"/>
        <v>0</v>
      </c>
      <c r="EF93" s="109">
        <f t="shared" si="228"/>
        <v>0</v>
      </c>
      <c r="EG93" s="109"/>
      <c r="EH93" s="109">
        <f t="shared" si="229"/>
        <v>0</v>
      </c>
      <c r="EI93" s="166">
        <f t="shared" ca="1" si="230"/>
        <v>46054</v>
      </c>
      <c r="EJ93" s="167">
        <f t="shared" ca="1" si="231"/>
        <v>0</v>
      </c>
      <c r="EK93" s="165">
        <f t="shared" si="232"/>
        <v>46263</v>
      </c>
      <c r="EL93" s="109">
        <f t="shared" si="233"/>
        <v>0</v>
      </c>
      <c r="EM93" s="109">
        <f t="shared" si="234"/>
        <v>0</v>
      </c>
      <c r="EN93" s="109"/>
      <c r="EO93" s="109">
        <f t="shared" si="235"/>
        <v>0</v>
      </c>
      <c r="EP93" s="166">
        <f t="shared" ca="1" si="236"/>
        <v>46054</v>
      </c>
      <c r="EQ93" s="167">
        <f t="shared" ca="1" si="237"/>
        <v>0</v>
      </c>
      <c r="ER93" s="165">
        <f t="shared" si="238"/>
        <v>46294</v>
      </c>
      <c r="ES93" s="109">
        <f t="shared" si="239"/>
        <v>0</v>
      </c>
      <c r="ET93" s="109">
        <f t="shared" si="240"/>
        <v>0</v>
      </c>
      <c r="EU93" s="109"/>
      <c r="EV93" s="109"/>
      <c r="EW93" s="111"/>
      <c r="EX93" s="111"/>
      <c r="EY93" s="165">
        <f t="shared" si="241"/>
        <v>46324</v>
      </c>
      <c r="EZ93" s="109">
        <f t="shared" si="242"/>
        <v>0</v>
      </c>
      <c r="FA93" s="109">
        <f t="shared" si="243"/>
        <v>0</v>
      </c>
      <c r="FB93" s="109"/>
      <c r="FC93" s="109"/>
      <c r="FD93" s="111"/>
      <c r="FE93" s="111"/>
      <c r="FF93" s="165">
        <f t="shared" si="244"/>
        <v>46355</v>
      </c>
      <c r="FG93" s="109">
        <f t="shared" si="245"/>
        <v>0</v>
      </c>
      <c r="FH93" s="109">
        <f t="shared" si="246"/>
        <v>0</v>
      </c>
      <c r="FI93" s="109"/>
      <c r="FJ93" s="109"/>
      <c r="FK93" s="111"/>
      <c r="FL93" s="111"/>
      <c r="FM93" s="165">
        <f t="shared" si="247"/>
        <v>46385</v>
      </c>
      <c r="FN93" s="109">
        <f t="shared" si="248"/>
        <v>0</v>
      </c>
      <c r="FO93" s="109">
        <f t="shared" si="249"/>
        <v>0</v>
      </c>
      <c r="FP93" s="109"/>
      <c r="FQ93" s="109"/>
      <c r="FR93" s="111"/>
      <c r="FS93" s="111"/>
      <c r="FT93" s="165"/>
      <c r="FU93" s="109"/>
      <c r="FV93" s="109"/>
      <c r="FW93" s="109"/>
      <c r="FX93" s="109"/>
      <c r="FY93" s="111"/>
      <c r="FZ93" s="111"/>
      <c r="GA93" s="165"/>
      <c r="GB93" s="109"/>
      <c r="GC93" s="109"/>
      <c r="GD93" s="109"/>
      <c r="GE93" s="109"/>
      <c r="GF93" s="111"/>
      <c r="GG93" s="111"/>
      <c r="GH93" s="165"/>
      <c r="GI93" s="109"/>
      <c r="GJ93" s="109"/>
      <c r="GK93" s="109"/>
      <c r="GL93" s="109"/>
      <c r="GM93" s="111"/>
      <c r="GN93" s="111"/>
      <c r="GO93" s="165"/>
      <c r="GP93" s="109"/>
      <c r="GQ93" s="109"/>
      <c r="GR93" s="109"/>
      <c r="GS93" s="109"/>
      <c r="GT93" s="111"/>
      <c r="GU93" s="111"/>
      <c r="GV93" s="165"/>
      <c r="GW93" s="168"/>
      <c r="GX93" s="168"/>
      <c r="GY93" s="168"/>
      <c r="GZ93" s="168"/>
      <c r="HA93" s="111"/>
      <c r="HB93" s="111"/>
      <c r="HC93" s="165"/>
      <c r="HD93" s="109"/>
      <c r="HE93" s="109"/>
      <c r="HF93" s="109"/>
      <c r="HG93" s="109"/>
      <c r="HH93" s="111"/>
      <c r="HI93" s="111"/>
      <c r="HJ93" s="165"/>
      <c r="HK93" s="109"/>
      <c r="HL93" s="109"/>
      <c r="HM93" s="109"/>
      <c r="HN93" s="109"/>
      <c r="HO93" s="111"/>
      <c r="HP93" s="111"/>
      <c r="HQ93" s="165"/>
      <c r="HR93" s="109"/>
      <c r="HS93" s="109"/>
      <c r="HT93" s="109"/>
      <c r="HU93" s="109"/>
      <c r="HV93" s="111"/>
      <c r="HW93" s="111"/>
      <c r="HX93" s="105">
        <f t="shared" si="198"/>
        <v>0</v>
      </c>
      <c r="HY93" s="105">
        <f t="shared" si="198"/>
        <v>0</v>
      </c>
      <c r="HZ93" s="105">
        <f t="shared" si="198"/>
        <v>0</v>
      </c>
      <c r="IA93" s="105">
        <f t="shared" si="181"/>
        <v>0</v>
      </c>
      <c r="IB93" s="109">
        <f t="shared" si="182"/>
        <v>81200</v>
      </c>
      <c r="IC93" s="109">
        <f t="shared" si="183"/>
        <v>70000</v>
      </c>
      <c r="ID93" s="109">
        <f t="shared" si="184"/>
        <v>0</v>
      </c>
      <c r="IE93" s="109">
        <f t="shared" ca="1" si="185"/>
        <v>1</v>
      </c>
      <c r="IF93" s="139">
        <f t="shared" si="186"/>
        <v>0</v>
      </c>
      <c r="IG93" s="139">
        <f t="shared" ca="1" si="187"/>
        <v>1</v>
      </c>
      <c r="IH93" s="169">
        <f t="shared" ca="1" si="188"/>
        <v>3.3333333333333333E-2</v>
      </c>
      <c r="II93" s="139">
        <f t="shared" ca="1" si="189"/>
        <v>3.3333333333333333E-2</v>
      </c>
      <c r="IJ93" s="169">
        <f t="shared" ca="1" si="190"/>
        <v>1</v>
      </c>
      <c r="IK93" s="169">
        <f t="shared" ca="1" si="196"/>
        <v>3.3333333333333333E-2</v>
      </c>
      <c r="IL93" s="170">
        <f t="shared" ca="1" si="191"/>
        <v>225.55555555555557</v>
      </c>
      <c r="IM93" s="171"/>
      <c r="IN93" s="171"/>
      <c r="IO93" s="171"/>
      <c r="IP93" s="171"/>
    </row>
    <row r="94" spans="1:250" ht="15" thickBot="1" x14ac:dyDescent="0.35">
      <c r="A94" s="110">
        <f t="shared" si="192"/>
        <v>90</v>
      </c>
      <c r="B94" s="111" t="s">
        <v>385</v>
      </c>
      <c r="C94" s="111" t="s">
        <v>386</v>
      </c>
      <c r="D94" s="111">
        <v>103</v>
      </c>
      <c r="E94" s="111" t="s">
        <v>881</v>
      </c>
      <c r="F94" s="111"/>
      <c r="G94" s="111" t="s">
        <v>1161</v>
      </c>
      <c r="H94" s="111">
        <v>1031100019</v>
      </c>
      <c r="I94" s="146" t="str">
        <f t="shared" si="124"/>
        <v>1100019</v>
      </c>
      <c r="J94" s="145" t="str">
        <f t="shared" si="125"/>
        <v>NG1100019</v>
      </c>
      <c r="K94" s="111" t="s">
        <v>932</v>
      </c>
      <c r="L94" s="111" t="s">
        <v>164</v>
      </c>
      <c r="M94" s="111" t="s">
        <v>1162</v>
      </c>
      <c r="N94" s="111" t="s">
        <v>138</v>
      </c>
      <c r="O94" s="111"/>
      <c r="P94" s="111" t="s">
        <v>1163</v>
      </c>
      <c r="Q94" s="148" t="s">
        <v>1164</v>
      </c>
      <c r="R94" s="145" t="s">
        <v>385</v>
      </c>
      <c r="S94" s="111"/>
      <c r="T94" s="111" t="s">
        <v>1143</v>
      </c>
      <c r="U94" s="111" t="s">
        <v>1144</v>
      </c>
      <c r="V94" s="181">
        <v>779301616</v>
      </c>
      <c r="W94" s="111"/>
      <c r="X94" s="111" t="s">
        <v>181</v>
      </c>
      <c r="Y94" s="111">
        <v>11</v>
      </c>
      <c r="Z94" s="111" t="s">
        <v>1145</v>
      </c>
      <c r="AA94" s="111" t="s">
        <v>1165</v>
      </c>
      <c r="AB94" s="111"/>
      <c r="AC94" s="111" t="s">
        <v>146</v>
      </c>
      <c r="AD94" s="111" t="s">
        <v>147</v>
      </c>
      <c r="AE94" s="111"/>
      <c r="AF94" s="111"/>
      <c r="AG94" s="111"/>
      <c r="AH94" s="175"/>
      <c r="AI94" s="111">
        <v>15</v>
      </c>
      <c r="AJ94" s="111">
        <v>0</v>
      </c>
      <c r="AK94" s="150">
        <f t="shared" si="193"/>
        <v>15</v>
      </c>
      <c r="AL94" s="177">
        <v>150000</v>
      </c>
      <c r="AM94" s="176">
        <v>0.16</v>
      </c>
      <c r="AN94" s="177">
        <f t="shared" si="210"/>
        <v>24000</v>
      </c>
      <c r="AO94" s="157">
        <f t="shared" si="209"/>
        <v>174000</v>
      </c>
      <c r="AP94" s="193">
        <f t="shared" si="126"/>
        <v>11600</v>
      </c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75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  <c r="BW94" s="111"/>
      <c r="BX94" s="111"/>
      <c r="BY94" s="111"/>
      <c r="BZ94" s="111"/>
      <c r="CA94" s="111"/>
      <c r="CB94" s="111"/>
      <c r="CC94" s="178"/>
      <c r="CD94" s="177">
        <f t="shared" si="127"/>
        <v>150000</v>
      </c>
      <c r="CE94" s="148"/>
      <c r="CF94" s="111">
        <f t="shared" si="128"/>
        <v>15</v>
      </c>
      <c r="CG94" s="177">
        <f t="shared" si="129"/>
        <v>174000</v>
      </c>
      <c r="CH94" s="203">
        <f t="shared" si="208"/>
        <v>0</v>
      </c>
      <c r="CI94" s="148">
        <v>46022</v>
      </c>
      <c r="CJ94" s="161">
        <f t="shared" si="194"/>
        <v>46053</v>
      </c>
      <c r="CK94" s="162">
        <f t="shared" si="195"/>
        <v>46477</v>
      </c>
      <c r="CL94" s="183"/>
      <c r="CM94" s="164">
        <f t="shared" ca="1" si="130"/>
        <v>46054</v>
      </c>
      <c r="CN94" s="165">
        <f t="shared" si="131"/>
        <v>46053</v>
      </c>
      <c r="CO94" s="109">
        <f t="shared" si="132"/>
        <v>0</v>
      </c>
      <c r="CP94" s="109">
        <f t="shared" si="133"/>
        <v>0</v>
      </c>
      <c r="CQ94" s="109"/>
      <c r="CR94" s="109">
        <f t="shared" si="134"/>
        <v>0</v>
      </c>
      <c r="CS94" s="166">
        <f t="shared" ca="1" si="211"/>
        <v>46054</v>
      </c>
      <c r="CT94" s="167">
        <f t="shared" ca="1" si="135"/>
        <v>1</v>
      </c>
      <c r="CU94" s="165">
        <f t="shared" si="136"/>
        <v>46081</v>
      </c>
      <c r="CV94" s="109">
        <f t="shared" si="137"/>
        <v>0</v>
      </c>
      <c r="CW94" s="109">
        <f t="shared" si="138"/>
        <v>0</v>
      </c>
      <c r="CX94" s="109"/>
      <c r="CY94" s="109">
        <f t="shared" si="139"/>
        <v>0</v>
      </c>
      <c r="CZ94" s="166">
        <f t="shared" ca="1" si="212"/>
        <v>46054</v>
      </c>
      <c r="DA94" s="111"/>
      <c r="DB94" s="165">
        <f t="shared" si="141"/>
        <v>46109</v>
      </c>
      <c r="DC94" s="109">
        <f t="shared" si="142"/>
        <v>0</v>
      </c>
      <c r="DD94" s="109">
        <f t="shared" si="143"/>
        <v>0</v>
      </c>
      <c r="DE94" s="109"/>
      <c r="DF94" s="109">
        <f t="shared" si="144"/>
        <v>0</v>
      </c>
      <c r="DG94" s="166">
        <f t="shared" ca="1" si="213"/>
        <v>46054</v>
      </c>
      <c r="DH94" s="167">
        <f t="shared" ca="1" si="145"/>
        <v>0</v>
      </c>
      <c r="DI94" s="165">
        <f t="shared" si="146"/>
        <v>46140</v>
      </c>
      <c r="DJ94" s="109">
        <f t="shared" si="147"/>
        <v>0</v>
      </c>
      <c r="DK94" s="109">
        <f t="shared" si="148"/>
        <v>0</v>
      </c>
      <c r="DL94" s="109">
        <v>0</v>
      </c>
      <c r="DM94" s="109">
        <f t="shared" si="149"/>
        <v>0</v>
      </c>
      <c r="DN94" s="166">
        <f t="shared" ca="1" si="214"/>
        <v>46054</v>
      </c>
      <c r="DO94" s="167">
        <f t="shared" ca="1" si="150"/>
        <v>0</v>
      </c>
      <c r="DP94" s="165">
        <f t="shared" si="215"/>
        <v>46171</v>
      </c>
      <c r="DQ94" s="109">
        <f t="shared" si="216"/>
        <v>0</v>
      </c>
      <c r="DR94" s="109">
        <f t="shared" si="217"/>
        <v>0</v>
      </c>
      <c r="DS94" s="109"/>
      <c r="DT94" s="109">
        <f t="shared" si="152"/>
        <v>0</v>
      </c>
      <c r="DU94" s="166">
        <f t="shared" ca="1" si="218"/>
        <v>46054</v>
      </c>
      <c r="DV94" s="167">
        <f t="shared" ca="1" si="219"/>
        <v>0</v>
      </c>
      <c r="DW94" s="165">
        <f t="shared" si="220"/>
        <v>46202</v>
      </c>
      <c r="DX94" s="109">
        <f t="shared" si="221"/>
        <v>0</v>
      </c>
      <c r="DY94" s="109">
        <f t="shared" si="222"/>
        <v>0</v>
      </c>
      <c r="DZ94" s="109"/>
      <c r="EA94" s="109">
        <f t="shared" si="223"/>
        <v>0</v>
      </c>
      <c r="EB94" s="166">
        <f t="shared" ca="1" si="224"/>
        <v>46054</v>
      </c>
      <c r="EC94" s="167">
        <f t="shared" ca="1" si="225"/>
        <v>0</v>
      </c>
      <c r="ED94" s="165">
        <f t="shared" si="226"/>
        <v>46232</v>
      </c>
      <c r="EE94" s="109">
        <f t="shared" si="227"/>
        <v>0</v>
      </c>
      <c r="EF94" s="109">
        <f t="shared" si="228"/>
        <v>0</v>
      </c>
      <c r="EG94" s="109"/>
      <c r="EH94" s="109">
        <f t="shared" si="229"/>
        <v>0</v>
      </c>
      <c r="EI94" s="166">
        <f t="shared" ca="1" si="230"/>
        <v>46054</v>
      </c>
      <c r="EJ94" s="167">
        <f t="shared" ca="1" si="231"/>
        <v>0</v>
      </c>
      <c r="EK94" s="165">
        <f t="shared" si="232"/>
        <v>46263</v>
      </c>
      <c r="EL94" s="109">
        <f t="shared" si="233"/>
        <v>0</v>
      </c>
      <c r="EM94" s="109">
        <f t="shared" si="234"/>
        <v>0</v>
      </c>
      <c r="EN94" s="109"/>
      <c r="EO94" s="109">
        <f t="shared" si="235"/>
        <v>0</v>
      </c>
      <c r="EP94" s="166">
        <f t="shared" ca="1" si="236"/>
        <v>46054</v>
      </c>
      <c r="EQ94" s="167">
        <f t="shared" ca="1" si="237"/>
        <v>0</v>
      </c>
      <c r="ER94" s="165">
        <f t="shared" si="238"/>
        <v>46294</v>
      </c>
      <c r="ES94" s="109">
        <f t="shared" si="239"/>
        <v>0</v>
      </c>
      <c r="ET94" s="109">
        <f t="shared" si="240"/>
        <v>0</v>
      </c>
      <c r="EU94" s="109"/>
      <c r="EV94" s="109"/>
      <c r="EW94" s="111"/>
      <c r="EX94" s="111"/>
      <c r="EY94" s="165">
        <f t="shared" si="241"/>
        <v>46324</v>
      </c>
      <c r="EZ94" s="109">
        <f t="shared" si="242"/>
        <v>0</v>
      </c>
      <c r="FA94" s="109">
        <f t="shared" si="243"/>
        <v>0</v>
      </c>
      <c r="FB94" s="109"/>
      <c r="FC94" s="109"/>
      <c r="FD94" s="111"/>
      <c r="FE94" s="111"/>
      <c r="FF94" s="165">
        <f t="shared" si="244"/>
        <v>46355</v>
      </c>
      <c r="FG94" s="109">
        <f t="shared" si="245"/>
        <v>0</v>
      </c>
      <c r="FH94" s="109">
        <f t="shared" si="246"/>
        <v>0</v>
      </c>
      <c r="FI94" s="109"/>
      <c r="FJ94" s="109"/>
      <c r="FK94" s="111"/>
      <c r="FL94" s="111"/>
      <c r="FM94" s="165">
        <f t="shared" si="247"/>
        <v>46385</v>
      </c>
      <c r="FN94" s="109">
        <f t="shared" si="248"/>
        <v>0</v>
      </c>
      <c r="FO94" s="109">
        <f t="shared" si="249"/>
        <v>0</v>
      </c>
      <c r="FP94" s="109"/>
      <c r="FQ94" s="109"/>
      <c r="FR94" s="111"/>
      <c r="FS94" s="111"/>
      <c r="FT94" s="165"/>
      <c r="FU94" s="109">
        <f t="shared" si="250"/>
        <v>0</v>
      </c>
      <c r="FV94" s="109">
        <f>FW94/(1+AM94)*AM94</f>
        <v>0</v>
      </c>
      <c r="FW94" s="109"/>
      <c r="FX94" s="109"/>
      <c r="FY94" s="111"/>
      <c r="FZ94" s="111"/>
      <c r="GA94" s="165"/>
      <c r="GB94" s="109">
        <f t="shared" si="251"/>
        <v>0</v>
      </c>
      <c r="GC94" s="109">
        <f>GD94/(1+AM94)*AM94</f>
        <v>0</v>
      </c>
      <c r="GD94" s="109"/>
      <c r="GE94" s="109"/>
      <c r="GF94" s="111"/>
      <c r="GG94" s="111"/>
      <c r="GH94" s="165"/>
      <c r="GI94" s="109">
        <f t="shared" si="252"/>
        <v>0</v>
      </c>
      <c r="GJ94" s="109">
        <f>GK94/(1+AM94)*AM94</f>
        <v>0</v>
      </c>
      <c r="GK94" s="109"/>
      <c r="GL94" s="109"/>
      <c r="GM94" s="111"/>
      <c r="GN94" s="111"/>
      <c r="GO94" s="165"/>
      <c r="GP94" s="109">
        <f t="shared" si="253"/>
        <v>0</v>
      </c>
      <c r="GQ94" s="109">
        <f>GR94/(1+AM94)*AM94</f>
        <v>0</v>
      </c>
      <c r="GR94" s="109"/>
      <c r="GS94" s="109"/>
      <c r="GT94" s="111"/>
      <c r="GU94" s="111"/>
      <c r="GV94" s="165"/>
      <c r="GW94" s="168">
        <f t="shared" si="254"/>
        <v>0</v>
      </c>
      <c r="GX94" s="168">
        <f>GY94/(1+AM94)*AM94</f>
        <v>0</v>
      </c>
      <c r="GY94" s="168"/>
      <c r="GZ94" s="168"/>
      <c r="HA94" s="111"/>
      <c r="HB94" s="111"/>
      <c r="HC94" s="165"/>
      <c r="HD94" s="109">
        <f t="shared" si="255"/>
        <v>0</v>
      </c>
      <c r="HE94" s="109">
        <f>HF94/(1+AM94)*AM94</f>
        <v>0</v>
      </c>
      <c r="HF94" s="109"/>
      <c r="HG94" s="109"/>
      <c r="HH94" s="111"/>
      <c r="HI94" s="111"/>
      <c r="HJ94" s="165"/>
      <c r="HK94" s="109">
        <f t="shared" si="256"/>
        <v>0</v>
      </c>
      <c r="HL94" s="109">
        <f>HM94/(1+AM94)*AM94</f>
        <v>0</v>
      </c>
      <c r="HM94" s="109"/>
      <c r="HN94" s="109"/>
      <c r="HO94" s="111"/>
      <c r="HP94" s="111"/>
      <c r="HQ94" s="165"/>
      <c r="HR94" s="109">
        <f t="shared" si="257"/>
        <v>0</v>
      </c>
      <c r="HS94" s="109">
        <f>HT94/(1+AM94)*AM94</f>
        <v>0</v>
      </c>
      <c r="HT94" s="109"/>
      <c r="HU94" s="109"/>
      <c r="HV94" s="111"/>
      <c r="HW94" s="111"/>
      <c r="HX94" s="105">
        <f t="shared" si="198"/>
        <v>0</v>
      </c>
      <c r="HY94" s="105">
        <f t="shared" si="198"/>
        <v>0</v>
      </c>
      <c r="HZ94" s="105">
        <f t="shared" si="198"/>
        <v>0</v>
      </c>
      <c r="IA94" s="105">
        <f t="shared" si="181"/>
        <v>0</v>
      </c>
      <c r="IB94" s="109">
        <f t="shared" si="182"/>
        <v>174000</v>
      </c>
      <c r="IC94" s="109">
        <f t="shared" si="183"/>
        <v>150000</v>
      </c>
      <c r="ID94" s="109">
        <f t="shared" si="184"/>
        <v>0</v>
      </c>
      <c r="IE94" s="109">
        <f t="shared" ca="1" si="185"/>
        <v>1</v>
      </c>
      <c r="IF94" s="139">
        <f t="shared" si="186"/>
        <v>0</v>
      </c>
      <c r="IG94" s="139">
        <f t="shared" ca="1" si="187"/>
        <v>1</v>
      </c>
      <c r="IH94" s="169">
        <f t="shared" ca="1" si="188"/>
        <v>3.3333333333333333E-2</v>
      </c>
      <c r="II94" s="139">
        <f t="shared" ca="1" si="189"/>
        <v>3.3333333333333333E-2</v>
      </c>
      <c r="IJ94" s="169">
        <f t="shared" ca="1" si="190"/>
        <v>1</v>
      </c>
      <c r="IK94" s="169">
        <f t="shared" ca="1" si="196"/>
        <v>3.3333333333333333E-2</v>
      </c>
      <c r="IL94" s="170">
        <f t="shared" ca="1" si="191"/>
        <v>386.66666666666669</v>
      </c>
      <c r="IM94" s="171"/>
      <c r="IN94" s="171"/>
      <c r="IO94" s="171"/>
      <c r="IP94" s="171"/>
    </row>
    <row r="95" spans="1:250" ht="15" customHeight="1" thickBot="1" x14ac:dyDescent="0.35">
      <c r="A95" s="110">
        <f t="shared" si="192"/>
        <v>91</v>
      </c>
      <c r="B95" s="111" t="s">
        <v>385</v>
      </c>
      <c r="C95" s="111" t="s">
        <v>386</v>
      </c>
      <c r="D95" s="111">
        <v>103</v>
      </c>
      <c r="E95" s="111" t="s">
        <v>881</v>
      </c>
      <c r="F95" s="111"/>
      <c r="G95" s="111" t="s">
        <v>1166</v>
      </c>
      <c r="H95" s="111">
        <v>1031100015</v>
      </c>
      <c r="I95" s="146" t="str">
        <f t="shared" si="124"/>
        <v>1100015</v>
      </c>
      <c r="J95" s="145" t="str">
        <f t="shared" si="125"/>
        <v>NG1100015</v>
      </c>
      <c r="K95" s="111" t="s">
        <v>1167</v>
      </c>
      <c r="L95" s="111" t="s">
        <v>287</v>
      </c>
      <c r="M95" s="111" t="s">
        <v>1168</v>
      </c>
      <c r="N95" s="111" t="s">
        <v>138</v>
      </c>
      <c r="O95" s="111"/>
      <c r="P95" s="111" t="s">
        <v>1169</v>
      </c>
      <c r="Q95" s="148" t="s">
        <v>1170</v>
      </c>
      <c r="R95" s="145" t="s">
        <v>1171</v>
      </c>
      <c r="S95" s="111"/>
      <c r="T95" s="111" t="s">
        <v>1172</v>
      </c>
      <c r="U95" s="111" t="s">
        <v>1154</v>
      </c>
      <c r="V95" s="181">
        <v>788291444</v>
      </c>
      <c r="W95" s="111"/>
      <c r="X95" s="111" t="s">
        <v>181</v>
      </c>
      <c r="Y95" s="111">
        <v>11</v>
      </c>
      <c r="Z95" s="111" t="s">
        <v>1145</v>
      </c>
      <c r="AA95" s="111" t="s">
        <v>1173</v>
      </c>
      <c r="AB95" s="111"/>
      <c r="AC95" s="111" t="s">
        <v>146</v>
      </c>
      <c r="AD95" s="111" t="s">
        <v>147</v>
      </c>
      <c r="AE95" s="111"/>
      <c r="AF95" s="111"/>
      <c r="AG95" s="111"/>
      <c r="AH95" s="175"/>
      <c r="AI95" s="111">
        <v>12</v>
      </c>
      <c r="AJ95" s="111">
        <v>0</v>
      </c>
      <c r="AK95" s="150">
        <f t="shared" si="193"/>
        <v>12</v>
      </c>
      <c r="AL95" s="177">
        <v>120000</v>
      </c>
      <c r="AM95" s="176">
        <v>0.16</v>
      </c>
      <c r="AN95" s="177">
        <f t="shared" si="210"/>
        <v>19200</v>
      </c>
      <c r="AO95" s="157">
        <f t="shared" si="209"/>
        <v>139200</v>
      </c>
      <c r="AP95" s="193">
        <f t="shared" si="126"/>
        <v>11600</v>
      </c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75"/>
      <c r="BM95" s="111"/>
      <c r="BN95" s="111"/>
      <c r="BO95" s="111"/>
      <c r="BP95" s="111"/>
      <c r="BQ95" s="111"/>
      <c r="BR95" s="111"/>
      <c r="BS95" s="111"/>
      <c r="BT95" s="111"/>
      <c r="BU95" s="111"/>
      <c r="BV95" s="111"/>
      <c r="BW95" s="111"/>
      <c r="BX95" s="111"/>
      <c r="BY95" s="111"/>
      <c r="BZ95" s="111"/>
      <c r="CA95" s="111"/>
      <c r="CB95" s="111"/>
      <c r="CC95" s="178"/>
      <c r="CD95" s="177">
        <f t="shared" si="127"/>
        <v>120000</v>
      </c>
      <c r="CE95" s="148"/>
      <c r="CF95" s="111">
        <f t="shared" si="128"/>
        <v>12</v>
      </c>
      <c r="CG95" s="177">
        <f t="shared" si="129"/>
        <v>139200</v>
      </c>
      <c r="CH95" s="203">
        <f t="shared" si="208"/>
        <v>0</v>
      </c>
      <c r="CI95" s="148">
        <v>46022</v>
      </c>
      <c r="CJ95" s="161">
        <f t="shared" si="194"/>
        <v>46053</v>
      </c>
      <c r="CK95" s="162">
        <f t="shared" si="195"/>
        <v>46387</v>
      </c>
      <c r="CL95" s="183"/>
      <c r="CM95" s="164">
        <f t="shared" ca="1" si="130"/>
        <v>46054</v>
      </c>
      <c r="CN95" s="165">
        <f t="shared" si="131"/>
        <v>46053</v>
      </c>
      <c r="CO95" s="109">
        <f t="shared" si="132"/>
        <v>0</v>
      </c>
      <c r="CP95" s="109">
        <f t="shared" si="133"/>
        <v>0</v>
      </c>
      <c r="CQ95" s="109"/>
      <c r="CR95" s="109">
        <f t="shared" si="134"/>
        <v>0</v>
      </c>
      <c r="CS95" s="166">
        <f t="shared" ca="1" si="211"/>
        <v>46054</v>
      </c>
      <c r="CT95" s="167">
        <f t="shared" ca="1" si="135"/>
        <v>1</v>
      </c>
      <c r="CU95" s="165">
        <f t="shared" si="136"/>
        <v>46081</v>
      </c>
      <c r="CV95" s="109">
        <f t="shared" si="137"/>
        <v>0</v>
      </c>
      <c r="CW95" s="109">
        <f t="shared" si="138"/>
        <v>0</v>
      </c>
      <c r="CX95" s="109"/>
      <c r="CY95" s="109">
        <f t="shared" si="139"/>
        <v>0</v>
      </c>
      <c r="CZ95" s="166">
        <f t="shared" ca="1" si="212"/>
        <v>46054</v>
      </c>
      <c r="DA95" s="111"/>
      <c r="DB95" s="165">
        <f t="shared" si="141"/>
        <v>46109</v>
      </c>
      <c r="DC95" s="109">
        <f t="shared" si="142"/>
        <v>0</v>
      </c>
      <c r="DD95" s="109">
        <f t="shared" si="143"/>
        <v>0</v>
      </c>
      <c r="DE95" s="109"/>
      <c r="DF95" s="109">
        <f t="shared" si="144"/>
        <v>0</v>
      </c>
      <c r="DG95" s="166">
        <f t="shared" ca="1" si="213"/>
        <v>46054</v>
      </c>
      <c r="DH95" s="167">
        <f t="shared" ca="1" si="145"/>
        <v>0</v>
      </c>
      <c r="DI95" s="165">
        <f t="shared" si="146"/>
        <v>46140</v>
      </c>
      <c r="DJ95" s="109">
        <f t="shared" si="147"/>
        <v>0</v>
      </c>
      <c r="DK95" s="109">
        <f t="shared" si="148"/>
        <v>0</v>
      </c>
      <c r="DL95" s="109">
        <v>0</v>
      </c>
      <c r="DM95" s="109">
        <f t="shared" si="149"/>
        <v>0</v>
      </c>
      <c r="DN95" s="166">
        <f t="shared" ca="1" si="214"/>
        <v>46054</v>
      </c>
      <c r="DO95" s="167">
        <f t="shared" ca="1" si="150"/>
        <v>0</v>
      </c>
      <c r="DP95" s="165">
        <f t="shared" si="215"/>
        <v>46171</v>
      </c>
      <c r="DQ95" s="109">
        <f t="shared" si="216"/>
        <v>0</v>
      </c>
      <c r="DR95" s="109">
        <f t="shared" si="217"/>
        <v>0</v>
      </c>
      <c r="DS95" s="109"/>
      <c r="DT95" s="109">
        <f t="shared" si="152"/>
        <v>0</v>
      </c>
      <c r="DU95" s="166">
        <f t="shared" ca="1" si="218"/>
        <v>46054</v>
      </c>
      <c r="DV95" s="167">
        <f t="shared" ca="1" si="219"/>
        <v>0</v>
      </c>
      <c r="DW95" s="165">
        <f t="shared" si="220"/>
        <v>46202</v>
      </c>
      <c r="DX95" s="109">
        <f t="shared" si="221"/>
        <v>0</v>
      </c>
      <c r="DY95" s="109">
        <f t="shared" si="222"/>
        <v>0</v>
      </c>
      <c r="DZ95" s="109"/>
      <c r="EA95" s="109">
        <f t="shared" si="223"/>
        <v>0</v>
      </c>
      <c r="EB95" s="166">
        <f t="shared" ca="1" si="224"/>
        <v>46054</v>
      </c>
      <c r="EC95" s="167">
        <f t="shared" ca="1" si="225"/>
        <v>0</v>
      </c>
      <c r="ED95" s="165">
        <f t="shared" si="226"/>
        <v>46232</v>
      </c>
      <c r="EE95" s="109">
        <f t="shared" si="227"/>
        <v>0</v>
      </c>
      <c r="EF95" s="109">
        <f t="shared" si="228"/>
        <v>0</v>
      </c>
      <c r="EG95" s="109"/>
      <c r="EH95" s="109">
        <f t="shared" si="229"/>
        <v>0</v>
      </c>
      <c r="EI95" s="166">
        <f t="shared" ca="1" si="230"/>
        <v>46054</v>
      </c>
      <c r="EJ95" s="167">
        <f t="shared" ca="1" si="231"/>
        <v>0</v>
      </c>
      <c r="EK95" s="165">
        <f t="shared" si="232"/>
        <v>46263</v>
      </c>
      <c r="EL95" s="109">
        <f t="shared" si="233"/>
        <v>0</v>
      </c>
      <c r="EM95" s="109">
        <f t="shared" si="234"/>
        <v>0</v>
      </c>
      <c r="EN95" s="109"/>
      <c r="EO95" s="109">
        <f t="shared" si="235"/>
        <v>0</v>
      </c>
      <c r="EP95" s="166">
        <f t="shared" ca="1" si="236"/>
        <v>46054</v>
      </c>
      <c r="EQ95" s="167">
        <f t="shared" ca="1" si="237"/>
        <v>0</v>
      </c>
      <c r="ER95" s="165">
        <f t="shared" si="238"/>
        <v>46294</v>
      </c>
      <c r="ES95" s="109">
        <f t="shared" si="239"/>
        <v>0</v>
      </c>
      <c r="ET95" s="109">
        <f t="shared" si="240"/>
        <v>0</v>
      </c>
      <c r="EU95" s="109"/>
      <c r="EV95" s="109"/>
      <c r="EW95" s="111"/>
      <c r="EX95" s="111"/>
      <c r="EY95" s="165">
        <f t="shared" si="241"/>
        <v>46324</v>
      </c>
      <c r="EZ95" s="109">
        <f t="shared" si="242"/>
        <v>0</v>
      </c>
      <c r="FA95" s="109">
        <f t="shared" si="243"/>
        <v>0</v>
      </c>
      <c r="FB95" s="109"/>
      <c r="FC95" s="109"/>
      <c r="FD95" s="111"/>
      <c r="FE95" s="111"/>
      <c r="FF95" s="165">
        <f t="shared" si="244"/>
        <v>46355</v>
      </c>
      <c r="FG95" s="109">
        <f t="shared" si="245"/>
        <v>0</v>
      </c>
      <c r="FH95" s="109">
        <f t="shared" si="246"/>
        <v>0</v>
      </c>
      <c r="FI95" s="109"/>
      <c r="FJ95" s="109"/>
      <c r="FK95" s="111"/>
      <c r="FL95" s="111"/>
      <c r="FM95" s="165">
        <f t="shared" si="247"/>
        <v>46385</v>
      </c>
      <c r="FN95" s="109">
        <f t="shared" si="248"/>
        <v>0</v>
      </c>
      <c r="FO95" s="109">
        <f t="shared" si="249"/>
        <v>0</v>
      </c>
      <c r="FP95" s="109"/>
      <c r="FQ95" s="109"/>
      <c r="FR95" s="111"/>
      <c r="FS95" s="111"/>
      <c r="FT95" s="165"/>
      <c r="FU95" s="109"/>
      <c r="FV95" s="109"/>
      <c r="FW95" s="109"/>
      <c r="FX95" s="109"/>
      <c r="FY95" s="111"/>
      <c r="FZ95" s="111"/>
      <c r="GA95" s="165"/>
      <c r="GB95" s="109"/>
      <c r="GC95" s="109"/>
      <c r="GD95" s="109"/>
      <c r="GE95" s="109"/>
      <c r="GF95" s="111"/>
      <c r="GG95" s="111"/>
      <c r="GH95" s="165"/>
      <c r="GI95" s="109"/>
      <c r="GJ95" s="109"/>
      <c r="GK95" s="109"/>
      <c r="GL95" s="109"/>
      <c r="GM95" s="111"/>
      <c r="GN95" s="111"/>
      <c r="GO95" s="165"/>
      <c r="GP95" s="109"/>
      <c r="GQ95" s="109"/>
      <c r="GR95" s="109"/>
      <c r="GS95" s="109"/>
      <c r="GT95" s="111"/>
      <c r="GU95" s="111"/>
      <c r="GV95" s="165"/>
      <c r="GW95" s="168"/>
      <c r="GX95" s="168"/>
      <c r="GY95" s="168"/>
      <c r="GZ95" s="168"/>
      <c r="HA95" s="111"/>
      <c r="HB95" s="111"/>
      <c r="HC95" s="165"/>
      <c r="HD95" s="109"/>
      <c r="HE95" s="109"/>
      <c r="HF95" s="109"/>
      <c r="HG95" s="109"/>
      <c r="HH95" s="111"/>
      <c r="HI95" s="111"/>
      <c r="HJ95" s="165"/>
      <c r="HK95" s="109"/>
      <c r="HL95" s="109"/>
      <c r="HM95" s="109"/>
      <c r="HN95" s="109"/>
      <c r="HO95" s="111"/>
      <c r="HP95" s="111"/>
      <c r="HQ95" s="165"/>
      <c r="HR95" s="109"/>
      <c r="HS95" s="109"/>
      <c r="HT95" s="109"/>
      <c r="HU95" s="109"/>
      <c r="HV95" s="111"/>
      <c r="HW95" s="111"/>
      <c r="HX95" s="105">
        <f t="shared" si="198"/>
        <v>0</v>
      </c>
      <c r="HY95" s="105">
        <f t="shared" si="198"/>
        <v>0</v>
      </c>
      <c r="HZ95" s="105">
        <f t="shared" si="198"/>
        <v>0</v>
      </c>
      <c r="IA95" s="105">
        <f t="shared" si="181"/>
        <v>0</v>
      </c>
      <c r="IB95" s="109">
        <f t="shared" si="182"/>
        <v>139200</v>
      </c>
      <c r="IC95" s="109">
        <f t="shared" si="183"/>
        <v>120000</v>
      </c>
      <c r="ID95" s="109">
        <f t="shared" si="184"/>
        <v>0</v>
      </c>
      <c r="IE95" s="109">
        <f t="shared" ca="1" si="185"/>
        <v>1</v>
      </c>
      <c r="IF95" s="139">
        <f t="shared" si="186"/>
        <v>0</v>
      </c>
      <c r="IG95" s="139">
        <f t="shared" ca="1" si="187"/>
        <v>1</v>
      </c>
      <c r="IH95" s="169">
        <f t="shared" ca="1" si="188"/>
        <v>3.3333333333333333E-2</v>
      </c>
      <c r="II95" s="139">
        <f t="shared" ca="1" si="189"/>
        <v>3.3333333333333333E-2</v>
      </c>
      <c r="IJ95" s="169">
        <f t="shared" ca="1" si="190"/>
        <v>1</v>
      </c>
      <c r="IK95" s="169">
        <f t="shared" ca="1" si="196"/>
        <v>3.3333333333333333E-2</v>
      </c>
      <c r="IL95" s="170">
        <f t="shared" ca="1" si="191"/>
        <v>386.66666666666669</v>
      </c>
      <c r="IM95" s="171"/>
      <c r="IN95" s="171"/>
      <c r="IO95" s="171"/>
      <c r="IP95" s="171"/>
    </row>
    <row r="96" spans="1:250" ht="15" customHeight="1" thickBot="1" x14ac:dyDescent="0.35">
      <c r="A96" s="110">
        <f t="shared" si="192"/>
        <v>92</v>
      </c>
      <c r="B96" s="111" t="s">
        <v>385</v>
      </c>
      <c r="C96" s="111" t="s">
        <v>386</v>
      </c>
      <c r="D96" s="111">
        <v>103</v>
      </c>
      <c r="E96" s="111" t="s">
        <v>881</v>
      </c>
      <c r="F96" s="111"/>
      <c r="G96" s="111" t="s">
        <v>1174</v>
      </c>
      <c r="H96" s="111">
        <v>1031100017</v>
      </c>
      <c r="I96" s="146" t="str">
        <f t="shared" si="124"/>
        <v>1100017</v>
      </c>
      <c r="J96" s="145" t="str">
        <f t="shared" si="125"/>
        <v>NG1100017</v>
      </c>
      <c r="K96" s="111" t="s">
        <v>1175</v>
      </c>
      <c r="L96" s="111" t="s">
        <v>287</v>
      </c>
      <c r="M96" s="111" t="s">
        <v>1176</v>
      </c>
      <c r="N96" s="111" t="s">
        <v>138</v>
      </c>
      <c r="O96" s="111"/>
      <c r="P96" s="111" t="s">
        <v>1177</v>
      </c>
      <c r="Q96" s="148">
        <v>25604</v>
      </c>
      <c r="R96" s="145" t="s">
        <v>170</v>
      </c>
      <c r="S96" s="111"/>
      <c r="T96" s="111" t="s">
        <v>1178</v>
      </c>
      <c r="U96" s="111" t="s">
        <v>1179</v>
      </c>
      <c r="V96" s="181">
        <v>777703367</v>
      </c>
      <c r="W96" s="111"/>
      <c r="X96" s="111" t="s">
        <v>181</v>
      </c>
      <c r="Y96" s="111">
        <v>11</v>
      </c>
      <c r="Z96" s="111" t="s">
        <v>1145</v>
      </c>
      <c r="AA96" s="111" t="s">
        <v>1180</v>
      </c>
      <c r="AB96" s="111"/>
      <c r="AC96" s="111" t="s">
        <v>146</v>
      </c>
      <c r="AD96" s="111" t="s">
        <v>147</v>
      </c>
      <c r="AE96" s="111"/>
      <c r="AF96" s="111"/>
      <c r="AG96" s="111"/>
      <c r="AH96" s="175"/>
      <c r="AI96" s="111">
        <v>14</v>
      </c>
      <c r="AJ96" s="111">
        <v>0</v>
      </c>
      <c r="AK96" s="150">
        <f t="shared" si="193"/>
        <v>14</v>
      </c>
      <c r="AL96" s="177">
        <v>80000</v>
      </c>
      <c r="AM96" s="176">
        <v>0.16</v>
      </c>
      <c r="AN96" s="177">
        <f t="shared" si="210"/>
        <v>12800</v>
      </c>
      <c r="AO96" s="157">
        <f t="shared" si="209"/>
        <v>92800</v>
      </c>
      <c r="AP96" s="193">
        <f t="shared" si="126"/>
        <v>6628.5714285714284</v>
      </c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75"/>
      <c r="BM96" s="111"/>
      <c r="BN96" s="111"/>
      <c r="BO96" s="111"/>
      <c r="BP96" s="111"/>
      <c r="BQ96" s="111"/>
      <c r="BR96" s="111"/>
      <c r="BS96" s="111"/>
      <c r="BT96" s="111"/>
      <c r="BU96" s="111"/>
      <c r="BV96" s="111"/>
      <c r="BW96" s="111"/>
      <c r="BX96" s="111"/>
      <c r="BY96" s="111"/>
      <c r="BZ96" s="111"/>
      <c r="CA96" s="111"/>
      <c r="CB96" s="111"/>
      <c r="CC96" s="178"/>
      <c r="CD96" s="177">
        <f t="shared" si="127"/>
        <v>80000</v>
      </c>
      <c r="CE96" s="148"/>
      <c r="CF96" s="111">
        <f t="shared" si="128"/>
        <v>14</v>
      </c>
      <c r="CG96" s="177">
        <f t="shared" si="129"/>
        <v>92800</v>
      </c>
      <c r="CH96" s="203">
        <f t="shared" si="208"/>
        <v>0</v>
      </c>
      <c r="CI96" s="148">
        <v>46022</v>
      </c>
      <c r="CJ96" s="161">
        <f t="shared" si="194"/>
        <v>46053</v>
      </c>
      <c r="CK96" s="162">
        <f t="shared" si="195"/>
        <v>46446</v>
      </c>
      <c r="CL96" s="183"/>
      <c r="CM96" s="164">
        <f t="shared" ca="1" si="130"/>
        <v>46054</v>
      </c>
      <c r="CN96" s="165">
        <f t="shared" si="131"/>
        <v>46053</v>
      </c>
      <c r="CO96" s="109">
        <f t="shared" si="132"/>
        <v>0</v>
      </c>
      <c r="CP96" s="109">
        <f t="shared" si="133"/>
        <v>0</v>
      </c>
      <c r="CQ96" s="109"/>
      <c r="CR96" s="109">
        <f t="shared" si="134"/>
        <v>0</v>
      </c>
      <c r="CS96" s="166">
        <f t="shared" ca="1" si="211"/>
        <v>46054</v>
      </c>
      <c r="CT96" s="167">
        <f t="shared" ca="1" si="135"/>
        <v>1</v>
      </c>
      <c r="CU96" s="165">
        <f t="shared" si="136"/>
        <v>46081</v>
      </c>
      <c r="CV96" s="109">
        <f t="shared" si="137"/>
        <v>0</v>
      </c>
      <c r="CW96" s="109">
        <f t="shared" si="138"/>
        <v>0</v>
      </c>
      <c r="CX96" s="109"/>
      <c r="CY96" s="109">
        <f t="shared" si="139"/>
        <v>0</v>
      </c>
      <c r="CZ96" s="166">
        <f t="shared" ca="1" si="212"/>
        <v>46054</v>
      </c>
      <c r="DA96" s="111"/>
      <c r="DB96" s="165">
        <f t="shared" si="141"/>
        <v>46109</v>
      </c>
      <c r="DC96" s="109">
        <f t="shared" si="142"/>
        <v>0</v>
      </c>
      <c r="DD96" s="109">
        <f t="shared" si="143"/>
        <v>0</v>
      </c>
      <c r="DE96" s="109"/>
      <c r="DF96" s="109">
        <f t="shared" si="144"/>
        <v>0</v>
      </c>
      <c r="DG96" s="166">
        <f t="shared" ca="1" si="213"/>
        <v>46054</v>
      </c>
      <c r="DH96" s="167">
        <f t="shared" ca="1" si="145"/>
        <v>0</v>
      </c>
      <c r="DI96" s="165">
        <f t="shared" si="146"/>
        <v>46140</v>
      </c>
      <c r="DJ96" s="109">
        <f t="shared" si="147"/>
        <v>0</v>
      </c>
      <c r="DK96" s="109">
        <f t="shared" si="148"/>
        <v>0</v>
      </c>
      <c r="DL96" s="109">
        <v>0</v>
      </c>
      <c r="DM96" s="109">
        <f t="shared" si="149"/>
        <v>0</v>
      </c>
      <c r="DN96" s="166">
        <f t="shared" ca="1" si="214"/>
        <v>46054</v>
      </c>
      <c r="DO96" s="167">
        <f t="shared" ca="1" si="150"/>
        <v>0</v>
      </c>
      <c r="DP96" s="165">
        <f t="shared" si="215"/>
        <v>46171</v>
      </c>
      <c r="DQ96" s="109">
        <f t="shared" si="216"/>
        <v>0</v>
      </c>
      <c r="DR96" s="109">
        <f t="shared" si="217"/>
        <v>0</v>
      </c>
      <c r="DS96" s="109"/>
      <c r="DT96" s="109">
        <f t="shared" si="152"/>
        <v>0</v>
      </c>
      <c r="DU96" s="166">
        <f t="shared" ca="1" si="218"/>
        <v>46054</v>
      </c>
      <c r="DV96" s="167">
        <f t="shared" ca="1" si="219"/>
        <v>0</v>
      </c>
      <c r="DW96" s="165">
        <f t="shared" si="220"/>
        <v>46202</v>
      </c>
      <c r="DX96" s="109">
        <f t="shared" si="221"/>
        <v>0</v>
      </c>
      <c r="DY96" s="109">
        <f t="shared" si="222"/>
        <v>0</v>
      </c>
      <c r="DZ96" s="109"/>
      <c r="EA96" s="109">
        <f t="shared" si="223"/>
        <v>0</v>
      </c>
      <c r="EB96" s="166">
        <f t="shared" ca="1" si="224"/>
        <v>46054</v>
      </c>
      <c r="EC96" s="167">
        <f t="shared" ca="1" si="225"/>
        <v>0</v>
      </c>
      <c r="ED96" s="165">
        <f t="shared" si="226"/>
        <v>46232</v>
      </c>
      <c r="EE96" s="109">
        <f t="shared" si="227"/>
        <v>0</v>
      </c>
      <c r="EF96" s="109">
        <f t="shared" si="228"/>
        <v>0</v>
      </c>
      <c r="EG96" s="109"/>
      <c r="EH96" s="109">
        <f t="shared" si="229"/>
        <v>0</v>
      </c>
      <c r="EI96" s="166">
        <f t="shared" ca="1" si="230"/>
        <v>46054</v>
      </c>
      <c r="EJ96" s="167">
        <f t="shared" ca="1" si="231"/>
        <v>0</v>
      </c>
      <c r="EK96" s="165">
        <f t="shared" si="232"/>
        <v>46263</v>
      </c>
      <c r="EL96" s="109">
        <f t="shared" si="233"/>
        <v>0</v>
      </c>
      <c r="EM96" s="109">
        <f t="shared" si="234"/>
        <v>0</v>
      </c>
      <c r="EN96" s="109"/>
      <c r="EO96" s="109">
        <f t="shared" si="235"/>
        <v>0</v>
      </c>
      <c r="EP96" s="166">
        <f t="shared" ca="1" si="236"/>
        <v>46054</v>
      </c>
      <c r="EQ96" s="167">
        <f t="shared" ca="1" si="237"/>
        <v>0</v>
      </c>
      <c r="ER96" s="165">
        <f t="shared" si="238"/>
        <v>46294</v>
      </c>
      <c r="ES96" s="109">
        <f t="shared" si="239"/>
        <v>0</v>
      </c>
      <c r="ET96" s="109">
        <f t="shared" si="240"/>
        <v>0</v>
      </c>
      <c r="EU96" s="109"/>
      <c r="EV96" s="109"/>
      <c r="EW96" s="111"/>
      <c r="EX96" s="111"/>
      <c r="EY96" s="165">
        <f t="shared" si="241"/>
        <v>46324</v>
      </c>
      <c r="EZ96" s="109">
        <f t="shared" si="242"/>
        <v>0</v>
      </c>
      <c r="FA96" s="109">
        <f t="shared" si="243"/>
        <v>0</v>
      </c>
      <c r="FB96" s="109"/>
      <c r="FC96" s="109"/>
      <c r="FD96" s="111"/>
      <c r="FE96" s="111"/>
      <c r="FF96" s="165">
        <f t="shared" si="244"/>
        <v>46355</v>
      </c>
      <c r="FG96" s="109">
        <f t="shared" si="245"/>
        <v>0</v>
      </c>
      <c r="FH96" s="109">
        <f t="shared" si="246"/>
        <v>0</v>
      </c>
      <c r="FI96" s="109"/>
      <c r="FJ96" s="109"/>
      <c r="FK96" s="111"/>
      <c r="FL96" s="111"/>
      <c r="FM96" s="165">
        <f t="shared" si="247"/>
        <v>46385</v>
      </c>
      <c r="FN96" s="109">
        <f t="shared" si="248"/>
        <v>0</v>
      </c>
      <c r="FO96" s="109">
        <f t="shared" si="249"/>
        <v>0</v>
      </c>
      <c r="FP96" s="109"/>
      <c r="FQ96" s="109"/>
      <c r="FR96" s="111"/>
      <c r="FS96" s="111"/>
      <c r="FT96" s="165"/>
      <c r="FU96" s="109">
        <f t="shared" si="250"/>
        <v>0</v>
      </c>
      <c r="FV96" s="109">
        <f>FW96/(1+AM96)*AM96</f>
        <v>0</v>
      </c>
      <c r="FW96" s="109"/>
      <c r="FX96" s="109"/>
      <c r="FY96" s="111"/>
      <c r="FZ96" s="111"/>
      <c r="GA96" s="165"/>
      <c r="GB96" s="109">
        <f t="shared" si="251"/>
        <v>0</v>
      </c>
      <c r="GC96" s="109">
        <f>GD96/(1+AM96)*AM96</f>
        <v>0</v>
      </c>
      <c r="GD96" s="109"/>
      <c r="GE96" s="109"/>
      <c r="GF96" s="111"/>
      <c r="GG96" s="111"/>
      <c r="GH96" s="165"/>
      <c r="GI96" s="109">
        <f t="shared" ref="GI96:GI97" si="258">GK96-GJ96</f>
        <v>0</v>
      </c>
      <c r="GJ96" s="109">
        <f>GK96/(1+AM96)*AM96</f>
        <v>0</v>
      </c>
      <c r="GK96" s="109"/>
      <c r="GL96" s="109"/>
      <c r="GM96" s="166"/>
      <c r="GN96" s="166"/>
      <c r="GO96" s="165"/>
      <c r="GP96" s="109">
        <f t="shared" ref="GP96:GP97" si="259">GR96-GQ96</f>
        <v>0</v>
      </c>
      <c r="GQ96" s="109">
        <f>GR96/(1+AM96)*AM96</f>
        <v>0</v>
      </c>
      <c r="GR96" s="109"/>
      <c r="GS96" s="109"/>
      <c r="GT96" s="166"/>
      <c r="GU96" s="166"/>
      <c r="GV96" s="165"/>
      <c r="GW96" s="168">
        <f t="shared" ref="GW96:GW97" si="260">GY96-GX96</f>
        <v>0</v>
      </c>
      <c r="GX96" s="168">
        <f>GY96/(1+AM96)*AM96</f>
        <v>0</v>
      </c>
      <c r="GY96" s="168"/>
      <c r="GZ96" s="168"/>
      <c r="HA96" s="166"/>
      <c r="HB96" s="166"/>
      <c r="HC96" s="165"/>
      <c r="HD96" s="109">
        <f t="shared" ref="HD96:HD97" si="261">HF96-HE96</f>
        <v>0</v>
      </c>
      <c r="HE96" s="109">
        <f>HF96/(1+AM96)*AM96</f>
        <v>0</v>
      </c>
      <c r="HF96" s="109"/>
      <c r="HG96" s="109"/>
      <c r="HH96" s="166"/>
      <c r="HI96" s="166"/>
      <c r="HJ96" s="165"/>
      <c r="HK96" s="109">
        <f t="shared" ref="HK96:HK97" si="262">HM96-HL96</f>
        <v>0</v>
      </c>
      <c r="HL96" s="109">
        <f>HM96/(1+AM96)*AM96</f>
        <v>0</v>
      </c>
      <c r="HM96" s="109"/>
      <c r="HN96" s="109"/>
      <c r="HO96" s="166"/>
      <c r="HP96" s="166"/>
      <c r="HQ96" s="165"/>
      <c r="HR96" s="109">
        <f t="shared" ref="HR96:HR97" si="263">HT96-HS96</f>
        <v>0</v>
      </c>
      <c r="HS96" s="109">
        <f>HT96/(1+AM96)*AM96</f>
        <v>0</v>
      </c>
      <c r="HT96" s="109"/>
      <c r="HU96" s="109"/>
      <c r="HV96" s="166"/>
      <c r="HW96" s="166"/>
      <c r="HX96" s="105">
        <f t="shared" si="198"/>
        <v>0</v>
      </c>
      <c r="HY96" s="105">
        <f t="shared" si="198"/>
        <v>0</v>
      </c>
      <c r="HZ96" s="105">
        <f t="shared" si="198"/>
        <v>0</v>
      </c>
      <c r="IA96" s="105">
        <f t="shared" si="181"/>
        <v>0</v>
      </c>
      <c r="IB96" s="109">
        <f t="shared" si="182"/>
        <v>92800</v>
      </c>
      <c r="IC96" s="109">
        <f t="shared" si="183"/>
        <v>80000</v>
      </c>
      <c r="ID96" s="109">
        <f t="shared" si="184"/>
        <v>0</v>
      </c>
      <c r="IE96" s="109">
        <f t="shared" ca="1" si="185"/>
        <v>1</v>
      </c>
      <c r="IF96" s="139">
        <f t="shared" si="186"/>
        <v>0</v>
      </c>
      <c r="IG96" s="139">
        <f t="shared" ca="1" si="187"/>
        <v>1</v>
      </c>
      <c r="IH96" s="169">
        <f t="shared" ca="1" si="188"/>
        <v>3.3333333333333333E-2</v>
      </c>
      <c r="II96" s="139">
        <f t="shared" ca="1" si="189"/>
        <v>3.3333333333333333E-2</v>
      </c>
      <c r="IJ96" s="169">
        <f t="shared" ca="1" si="190"/>
        <v>1</v>
      </c>
      <c r="IK96" s="169">
        <f t="shared" ca="1" si="196"/>
        <v>3.3333333333333333E-2</v>
      </c>
      <c r="IL96" s="170">
        <f t="shared" ca="1" si="191"/>
        <v>220.95238095238093</v>
      </c>
      <c r="IM96" s="171"/>
      <c r="IN96" s="171"/>
      <c r="IO96" s="171"/>
      <c r="IP96" s="171"/>
    </row>
    <row r="97" spans="1:250" ht="15" customHeight="1" thickBot="1" x14ac:dyDescent="0.35">
      <c r="A97" s="110">
        <f t="shared" si="192"/>
        <v>93</v>
      </c>
      <c r="B97" s="111" t="s">
        <v>385</v>
      </c>
      <c r="C97" s="111" t="s">
        <v>386</v>
      </c>
      <c r="D97" s="111">
        <v>103</v>
      </c>
      <c r="E97" s="111" t="s">
        <v>881</v>
      </c>
      <c r="F97" s="111"/>
      <c r="G97" s="111" t="s">
        <v>1181</v>
      </c>
      <c r="H97" s="111">
        <v>1031100020</v>
      </c>
      <c r="I97" s="146" t="str">
        <f t="shared" si="124"/>
        <v>1100020</v>
      </c>
      <c r="J97" s="145" t="str">
        <f t="shared" si="125"/>
        <v>NG1100020</v>
      </c>
      <c r="K97" s="111" t="s">
        <v>1182</v>
      </c>
      <c r="L97" s="111" t="s">
        <v>1183</v>
      </c>
      <c r="M97" s="111" t="s">
        <v>1184</v>
      </c>
      <c r="N97" s="111" t="s">
        <v>138</v>
      </c>
      <c r="O97" s="111"/>
      <c r="P97" s="111" t="s">
        <v>1185</v>
      </c>
      <c r="Q97" s="148" t="s">
        <v>1186</v>
      </c>
      <c r="R97" s="145" t="s">
        <v>385</v>
      </c>
      <c r="S97" s="111"/>
      <c r="T97" s="111" t="s">
        <v>1187</v>
      </c>
      <c r="U97" s="111" t="s">
        <v>1188</v>
      </c>
      <c r="V97" s="181">
        <v>787323637</v>
      </c>
      <c r="W97" s="111"/>
      <c r="X97" s="111" t="s">
        <v>181</v>
      </c>
      <c r="Y97" s="111">
        <v>11</v>
      </c>
      <c r="Z97" s="111" t="s">
        <v>1189</v>
      </c>
      <c r="AA97" s="111" t="s">
        <v>1190</v>
      </c>
      <c r="AB97" s="111"/>
      <c r="AC97" s="111" t="s">
        <v>146</v>
      </c>
      <c r="AD97" s="111" t="s">
        <v>147</v>
      </c>
      <c r="AE97" s="111"/>
      <c r="AF97" s="111"/>
      <c r="AG97" s="111"/>
      <c r="AH97" s="175"/>
      <c r="AI97" s="111">
        <v>14</v>
      </c>
      <c r="AJ97" s="111">
        <v>0</v>
      </c>
      <c r="AK97" s="150">
        <f t="shared" si="193"/>
        <v>14</v>
      </c>
      <c r="AL97" s="177">
        <v>150000</v>
      </c>
      <c r="AM97" s="176">
        <v>0.16</v>
      </c>
      <c r="AN97" s="177">
        <f t="shared" si="210"/>
        <v>24000</v>
      </c>
      <c r="AO97" s="157">
        <f t="shared" si="209"/>
        <v>174000</v>
      </c>
      <c r="AP97" s="193">
        <f t="shared" si="126"/>
        <v>12428.571428571429</v>
      </c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75"/>
      <c r="BM97" s="111"/>
      <c r="BN97" s="111"/>
      <c r="BO97" s="111"/>
      <c r="BP97" s="111"/>
      <c r="BQ97" s="111"/>
      <c r="BR97" s="111"/>
      <c r="BS97" s="111"/>
      <c r="BT97" s="111"/>
      <c r="BU97" s="111"/>
      <c r="BV97" s="111"/>
      <c r="BW97" s="111"/>
      <c r="BX97" s="111"/>
      <c r="BY97" s="111"/>
      <c r="BZ97" s="111"/>
      <c r="CA97" s="111"/>
      <c r="CB97" s="111"/>
      <c r="CC97" s="178"/>
      <c r="CD97" s="177">
        <f t="shared" si="127"/>
        <v>150000</v>
      </c>
      <c r="CE97" s="148"/>
      <c r="CF97" s="111">
        <f t="shared" si="128"/>
        <v>14</v>
      </c>
      <c r="CG97" s="177">
        <f t="shared" si="129"/>
        <v>174000</v>
      </c>
      <c r="CH97" s="203">
        <f t="shared" si="208"/>
        <v>0</v>
      </c>
      <c r="CI97" s="148">
        <v>46022</v>
      </c>
      <c r="CJ97" s="161">
        <f t="shared" si="194"/>
        <v>46053</v>
      </c>
      <c r="CK97" s="162">
        <f t="shared" si="195"/>
        <v>46446</v>
      </c>
      <c r="CL97" s="183"/>
      <c r="CM97" s="164">
        <f t="shared" ca="1" si="130"/>
        <v>46054</v>
      </c>
      <c r="CN97" s="165">
        <f t="shared" si="131"/>
        <v>46053</v>
      </c>
      <c r="CO97" s="109">
        <f t="shared" si="132"/>
        <v>0</v>
      </c>
      <c r="CP97" s="109">
        <f t="shared" si="133"/>
        <v>0</v>
      </c>
      <c r="CQ97" s="109"/>
      <c r="CR97" s="109">
        <f t="shared" si="134"/>
        <v>0</v>
      </c>
      <c r="CS97" s="166">
        <f t="shared" ca="1" si="211"/>
        <v>46054</v>
      </c>
      <c r="CT97" s="167">
        <f t="shared" ca="1" si="135"/>
        <v>1</v>
      </c>
      <c r="CU97" s="165">
        <f t="shared" si="136"/>
        <v>46081</v>
      </c>
      <c r="CV97" s="109">
        <f t="shared" si="137"/>
        <v>0</v>
      </c>
      <c r="CW97" s="109">
        <f t="shared" si="138"/>
        <v>0</v>
      </c>
      <c r="CX97" s="109"/>
      <c r="CY97" s="109">
        <f t="shared" si="139"/>
        <v>0</v>
      </c>
      <c r="CZ97" s="166">
        <f t="shared" ca="1" si="212"/>
        <v>46054</v>
      </c>
      <c r="DA97" s="111"/>
      <c r="DB97" s="165">
        <f t="shared" si="141"/>
        <v>46109</v>
      </c>
      <c r="DC97" s="109">
        <f t="shared" si="142"/>
        <v>0</v>
      </c>
      <c r="DD97" s="109">
        <f t="shared" si="143"/>
        <v>0</v>
      </c>
      <c r="DE97" s="109"/>
      <c r="DF97" s="109">
        <f t="shared" si="144"/>
        <v>0</v>
      </c>
      <c r="DG97" s="166">
        <f t="shared" ca="1" si="213"/>
        <v>46054</v>
      </c>
      <c r="DH97" s="167">
        <f t="shared" ca="1" si="145"/>
        <v>0</v>
      </c>
      <c r="DI97" s="165">
        <f t="shared" si="146"/>
        <v>46140</v>
      </c>
      <c r="DJ97" s="109">
        <f t="shared" si="147"/>
        <v>0</v>
      </c>
      <c r="DK97" s="109">
        <f t="shared" si="148"/>
        <v>0</v>
      </c>
      <c r="DL97" s="109">
        <v>0</v>
      </c>
      <c r="DM97" s="109">
        <f t="shared" si="149"/>
        <v>0</v>
      </c>
      <c r="DN97" s="166">
        <f t="shared" ca="1" si="214"/>
        <v>46054</v>
      </c>
      <c r="DO97" s="167">
        <f t="shared" ca="1" si="150"/>
        <v>0</v>
      </c>
      <c r="DP97" s="165">
        <f t="shared" si="215"/>
        <v>46171</v>
      </c>
      <c r="DQ97" s="109">
        <f t="shared" si="216"/>
        <v>0</v>
      </c>
      <c r="DR97" s="109">
        <f t="shared" si="217"/>
        <v>0</v>
      </c>
      <c r="DS97" s="109"/>
      <c r="DT97" s="109">
        <f t="shared" si="152"/>
        <v>0</v>
      </c>
      <c r="DU97" s="166">
        <f t="shared" ca="1" si="218"/>
        <v>46054</v>
      </c>
      <c r="DV97" s="167">
        <f t="shared" ca="1" si="219"/>
        <v>0</v>
      </c>
      <c r="DW97" s="165">
        <f t="shared" si="220"/>
        <v>46202</v>
      </c>
      <c r="DX97" s="109">
        <f t="shared" si="221"/>
        <v>0</v>
      </c>
      <c r="DY97" s="109">
        <f t="shared" si="222"/>
        <v>0</v>
      </c>
      <c r="DZ97" s="109"/>
      <c r="EA97" s="109">
        <f t="shared" si="223"/>
        <v>0</v>
      </c>
      <c r="EB97" s="166">
        <f t="shared" ca="1" si="224"/>
        <v>46054</v>
      </c>
      <c r="EC97" s="167">
        <f t="shared" ca="1" si="225"/>
        <v>0</v>
      </c>
      <c r="ED97" s="165">
        <f t="shared" si="226"/>
        <v>46232</v>
      </c>
      <c r="EE97" s="109">
        <f t="shared" si="227"/>
        <v>0</v>
      </c>
      <c r="EF97" s="109">
        <f t="shared" si="228"/>
        <v>0</v>
      </c>
      <c r="EG97" s="109"/>
      <c r="EH97" s="109">
        <f t="shared" si="229"/>
        <v>0</v>
      </c>
      <c r="EI97" s="166">
        <f t="shared" ca="1" si="230"/>
        <v>46054</v>
      </c>
      <c r="EJ97" s="167">
        <f t="shared" ca="1" si="231"/>
        <v>0</v>
      </c>
      <c r="EK97" s="165">
        <f t="shared" si="232"/>
        <v>46263</v>
      </c>
      <c r="EL97" s="109">
        <f t="shared" si="233"/>
        <v>0</v>
      </c>
      <c r="EM97" s="109">
        <f t="shared" si="234"/>
        <v>0</v>
      </c>
      <c r="EN97" s="109"/>
      <c r="EO97" s="109">
        <f t="shared" si="235"/>
        <v>0</v>
      </c>
      <c r="EP97" s="166">
        <f t="shared" ca="1" si="236"/>
        <v>46054</v>
      </c>
      <c r="EQ97" s="167">
        <f t="shared" ca="1" si="237"/>
        <v>0</v>
      </c>
      <c r="ER97" s="165">
        <f t="shared" si="238"/>
        <v>46294</v>
      </c>
      <c r="ES97" s="109">
        <f t="shared" si="239"/>
        <v>0</v>
      </c>
      <c r="ET97" s="109">
        <f t="shared" si="240"/>
        <v>0</v>
      </c>
      <c r="EU97" s="109"/>
      <c r="EV97" s="109"/>
      <c r="EW97" s="111"/>
      <c r="EX97" s="111"/>
      <c r="EY97" s="165">
        <f t="shared" si="241"/>
        <v>46324</v>
      </c>
      <c r="EZ97" s="109">
        <f t="shared" si="242"/>
        <v>0</v>
      </c>
      <c r="FA97" s="109">
        <f t="shared" si="243"/>
        <v>0</v>
      </c>
      <c r="FB97" s="109"/>
      <c r="FC97" s="109"/>
      <c r="FD97" s="111"/>
      <c r="FE97" s="111"/>
      <c r="FF97" s="165">
        <f t="shared" si="244"/>
        <v>46355</v>
      </c>
      <c r="FG97" s="109">
        <f t="shared" si="245"/>
        <v>0</v>
      </c>
      <c r="FH97" s="109">
        <f t="shared" si="246"/>
        <v>0</v>
      </c>
      <c r="FI97" s="109"/>
      <c r="FJ97" s="109"/>
      <c r="FK97" s="111"/>
      <c r="FL97" s="111"/>
      <c r="FM97" s="165">
        <f t="shared" si="247"/>
        <v>46385</v>
      </c>
      <c r="FN97" s="109">
        <f t="shared" si="248"/>
        <v>0</v>
      </c>
      <c r="FO97" s="109">
        <f t="shared" si="249"/>
        <v>0</v>
      </c>
      <c r="FP97" s="109"/>
      <c r="FQ97" s="109"/>
      <c r="FR97" s="111"/>
      <c r="FS97" s="111"/>
      <c r="FT97" s="165"/>
      <c r="FU97" s="109">
        <f t="shared" si="250"/>
        <v>0</v>
      </c>
      <c r="FV97" s="109">
        <f>FW97/(1+AM97)*AM97</f>
        <v>0</v>
      </c>
      <c r="FW97" s="109"/>
      <c r="FX97" s="109"/>
      <c r="FY97" s="111"/>
      <c r="FZ97" s="111"/>
      <c r="GA97" s="165"/>
      <c r="GB97" s="109">
        <f t="shared" si="251"/>
        <v>0</v>
      </c>
      <c r="GC97" s="109">
        <f>GD97/(1+AM97)*AM97</f>
        <v>0</v>
      </c>
      <c r="GD97" s="109"/>
      <c r="GE97" s="109"/>
      <c r="GF97" s="111"/>
      <c r="GG97" s="111"/>
      <c r="GH97" s="165"/>
      <c r="GI97" s="109">
        <f t="shared" si="258"/>
        <v>0</v>
      </c>
      <c r="GJ97" s="109">
        <f>GK97/(1+AM97)*AM97</f>
        <v>0</v>
      </c>
      <c r="GK97" s="109"/>
      <c r="GL97" s="109"/>
      <c r="GM97" s="166"/>
      <c r="GN97" s="166"/>
      <c r="GO97" s="165"/>
      <c r="GP97" s="109">
        <f t="shared" si="259"/>
        <v>0</v>
      </c>
      <c r="GQ97" s="109">
        <f>GR97/(1+AM97)*AM97</f>
        <v>0</v>
      </c>
      <c r="GR97" s="109"/>
      <c r="GS97" s="109"/>
      <c r="GT97" s="166"/>
      <c r="GU97" s="166"/>
      <c r="GV97" s="165"/>
      <c r="GW97" s="168">
        <f t="shared" si="260"/>
        <v>0</v>
      </c>
      <c r="GX97" s="168">
        <f>GY97/(1+AM97)*AM97</f>
        <v>0</v>
      </c>
      <c r="GY97" s="168"/>
      <c r="GZ97" s="168"/>
      <c r="HA97" s="166"/>
      <c r="HB97" s="166"/>
      <c r="HC97" s="165"/>
      <c r="HD97" s="109">
        <f t="shared" si="261"/>
        <v>0</v>
      </c>
      <c r="HE97" s="109">
        <f>HF97/(1+AM97)*AM97</f>
        <v>0</v>
      </c>
      <c r="HF97" s="109"/>
      <c r="HG97" s="109"/>
      <c r="HH97" s="166"/>
      <c r="HI97" s="166"/>
      <c r="HJ97" s="165"/>
      <c r="HK97" s="109">
        <f t="shared" si="262"/>
        <v>0</v>
      </c>
      <c r="HL97" s="109">
        <f>HM97/(1+AM97)*AM97</f>
        <v>0</v>
      </c>
      <c r="HM97" s="109"/>
      <c r="HN97" s="109"/>
      <c r="HO97" s="166"/>
      <c r="HP97" s="166"/>
      <c r="HQ97" s="165"/>
      <c r="HR97" s="109">
        <f t="shared" si="263"/>
        <v>0</v>
      </c>
      <c r="HS97" s="109">
        <f>HT97/(1+AM97)*AM97</f>
        <v>0</v>
      </c>
      <c r="HT97" s="109"/>
      <c r="HU97" s="109"/>
      <c r="HV97" s="166"/>
      <c r="HW97" s="166"/>
      <c r="HX97" s="105">
        <f t="shared" si="198"/>
        <v>0</v>
      </c>
      <c r="HY97" s="105">
        <f t="shared" si="198"/>
        <v>0</v>
      </c>
      <c r="HZ97" s="105">
        <f t="shared" si="198"/>
        <v>0</v>
      </c>
      <c r="IA97" s="105">
        <f t="shared" si="181"/>
        <v>0</v>
      </c>
      <c r="IB97" s="109">
        <f t="shared" si="182"/>
        <v>174000</v>
      </c>
      <c r="IC97" s="109">
        <f t="shared" si="183"/>
        <v>150000</v>
      </c>
      <c r="ID97" s="109">
        <f t="shared" si="184"/>
        <v>0</v>
      </c>
      <c r="IE97" s="109">
        <f t="shared" ca="1" si="185"/>
        <v>1</v>
      </c>
      <c r="IF97" s="139">
        <f t="shared" si="186"/>
        <v>0</v>
      </c>
      <c r="IG97" s="139">
        <f t="shared" ca="1" si="187"/>
        <v>1</v>
      </c>
      <c r="IH97" s="169">
        <f t="shared" ca="1" si="188"/>
        <v>3.3333333333333333E-2</v>
      </c>
      <c r="II97" s="139">
        <f t="shared" ca="1" si="189"/>
        <v>3.3333333333333333E-2</v>
      </c>
      <c r="IJ97" s="169">
        <f t="shared" ca="1" si="190"/>
        <v>1</v>
      </c>
      <c r="IK97" s="169">
        <f t="shared" ca="1" si="196"/>
        <v>3.3333333333333333E-2</v>
      </c>
      <c r="IL97" s="170">
        <f t="shared" ca="1" si="191"/>
        <v>414.28571428571428</v>
      </c>
      <c r="IM97" s="171"/>
      <c r="IN97" s="171"/>
      <c r="IO97" s="171"/>
      <c r="IP97" s="171"/>
    </row>
    <row r="98" spans="1:250" ht="15" customHeight="1" thickBot="1" x14ac:dyDescent="0.35">
      <c r="A98" s="110">
        <f t="shared" si="192"/>
        <v>94</v>
      </c>
      <c r="B98" s="111" t="s">
        <v>170</v>
      </c>
      <c r="C98" s="111" t="s">
        <v>171</v>
      </c>
      <c r="D98" s="111">
        <v>102</v>
      </c>
      <c r="E98" s="111" t="s">
        <v>253</v>
      </c>
      <c r="F98" s="111"/>
      <c r="G98" s="111" t="s">
        <v>1191</v>
      </c>
      <c r="H98" s="111">
        <v>1021100191</v>
      </c>
      <c r="I98" s="146" t="str">
        <f t="shared" si="124"/>
        <v>1100191</v>
      </c>
      <c r="J98" s="145" t="str">
        <f t="shared" si="125"/>
        <v>KN1100191</v>
      </c>
      <c r="K98" s="111" t="s">
        <v>1192</v>
      </c>
      <c r="L98" s="111" t="s">
        <v>287</v>
      </c>
      <c r="M98" s="111" t="s">
        <v>1193</v>
      </c>
      <c r="N98" s="111" t="s">
        <v>138</v>
      </c>
      <c r="O98" s="111"/>
      <c r="P98" s="111" t="s">
        <v>1194</v>
      </c>
      <c r="Q98" s="148">
        <v>32404</v>
      </c>
      <c r="R98" s="145" t="s">
        <v>170</v>
      </c>
      <c r="S98" s="111"/>
      <c r="T98" s="111" t="s">
        <v>1136</v>
      </c>
      <c r="U98" s="111" t="s">
        <v>234</v>
      </c>
      <c r="V98" s="181">
        <v>777686030</v>
      </c>
      <c r="W98" s="111"/>
      <c r="X98" s="111" t="s">
        <v>181</v>
      </c>
      <c r="Y98" s="111">
        <v>11</v>
      </c>
      <c r="Z98" s="111" t="s">
        <v>1195</v>
      </c>
      <c r="AA98" s="111" t="s">
        <v>1196</v>
      </c>
      <c r="AB98" s="111"/>
      <c r="AC98" s="111" t="s">
        <v>146</v>
      </c>
      <c r="AD98" s="111" t="s">
        <v>147</v>
      </c>
      <c r="AE98" s="111"/>
      <c r="AF98" s="111"/>
      <c r="AG98" s="111"/>
      <c r="AH98" s="175"/>
      <c r="AI98" s="111">
        <v>18</v>
      </c>
      <c r="AJ98" s="111">
        <v>0</v>
      </c>
      <c r="AK98" s="150">
        <f t="shared" si="193"/>
        <v>18</v>
      </c>
      <c r="AL98" s="177">
        <v>200000</v>
      </c>
      <c r="AM98" s="176">
        <v>0.16</v>
      </c>
      <c r="AN98" s="177">
        <f t="shared" si="210"/>
        <v>32000</v>
      </c>
      <c r="AO98" s="157">
        <f t="shared" si="209"/>
        <v>232000</v>
      </c>
      <c r="AP98" s="193">
        <f t="shared" si="126"/>
        <v>12888.888888888889</v>
      </c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75"/>
      <c r="BM98" s="111"/>
      <c r="BN98" s="111"/>
      <c r="BO98" s="111"/>
      <c r="BP98" s="111"/>
      <c r="BQ98" s="111"/>
      <c r="BR98" s="111"/>
      <c r="BS98" s="111"/>
      <c r="BT98" s="111"/>
      <c r="BU98" s="111"/>
      <c r="BV98" s="111"/>
      <c r="BW98" s="111"/>
      <c r="BX98" s="111"/>
      <c r="BY98" s="111"/>
      <c r="BZ98" s="111"/>
      <c r="CA98" s="111"/>
      <c r="CB98" s="111"/>
      <c r="CC98" s="178"/>
      <c r="CD98" s="177">
        <f t="shared" si="127"/>
        <v>200000</v>
      </c>
      <c r="CE98" s="148"/>
      <c r="CF98" s="111">
        <f t="shared" si="128"/>
        <v>18</v>
      </c>
      <c r="CG98" s="177">
        <f t="shared" si="129"/>
        <v>232000</v>
      </c>
      <c r="CH98" s="203">
        <f t="shared" si="208"/>
        <v>0</v>
      </c>
      <c r="CI98" s="148">
        <v>46022</v>
      </c>
      <c r="CJ98" s="161">
        <f t="shared" si="194"/>
        <v>46053</v>
      </c>
      <c r="CK98" s="162">
        <f t="shared" si="195"/>
        <v>46568</v>
      </c>
      <c r="CL98" s="183"/>
      <c r="CM98" s="164">
        <f t="shared" ca="1" si="130"/>
        <v>46054</v>
      </c>
      <c r="CN98" s="165">
        <f t="shared" si="131"/>
        <v>46053</v>
      </c>
      <c r="CO98" s="109">
        <f t="shared" si="132"/>
        <v>0</v>
      </c>
      <c r="CP98" s="109">
        <f t="shared" si="133"/>
        <v>0</v>
      </c>
      <c r="CQ98" s="109"/>
      <c r="CR98" s="109">
        <f t="shared" si="134"/>
        <v>0</v>
      </c>
      <c r="CS98" s="166">
        <f t="shared" ca="1" si="211"/>
        <v>46054</v>
      </c>
      <c r="CT98" s="167">
        <f t="shared" ca="1" si="135"/>
        <v>1</v>
      </c>
      <c r="CU98" s="165">
        <f t="shared" si="136"/>
        <v>46081</v>
      </c>
      <c r="CV98" s="109">
        <f t="shared" si="137"/>
        <v>0</v>
      </c>
      <c r="CW98" s="109">
        <f t="shared" si="138"/>
        <v>0</v>
      </c>
      <c r="CX98" s="109"/>
      <c r="CY98" s="109">
        <f t="shared" si="139"/>
        <v>0</v>
      </c>
      <c r="CZ98" s="166">
        <f t="shared" ca="1" si="212"/>
        <v>46054</v>
      </c>
      <c r="DA98" s="111"/>
      <c r="DB98" s="165">
        <f t="shared" si="141"/>
        <v>46109</v>
      </c>
      <c r="DC98" s="109">
        <f t="shared" si="142"/>
        <v>0</v>
      </c>
      <c r="DD98" s="109">
        <f t="shared" si="143"/>
        <v>0</v>
      </c>
      <c r="DE98" s="109"/>
      <c r="DF98" s="109">
        <f t="shared" si="144"/>
        <v>0</v>
      </c>
      <c r="DG98" s="166">
        <f t="shared" ca="1" si="213"/>
        <v>46054</v>
      </c>
      <c r="DH98" s="167">
        <f t="shared" ca="1" si="145"/>
        <v>0</v>
      </c>
      <c r="DI98" s="165">
        <f t="shared" si="146"/>
        <v>46140</v>
      </c>
      <c r="DJ98" s="109">
        <f t="shared" si="147"/>
        <v>0</v>
      </c>
      <c r="DK98" s="109">
        <f t="shared" si="148"/>
        <v>0</v>
      </c>
      <c r="DL98" s="109">
        <v>0</v>
      </c>
      <c r="DM98" s="109">
        <f t="shared" si="149"/>
        <v>0</v>
      </c>
      <c r="DN98" s="166">
        <f t="shared" ca="1" si="214"/>
        <v>46054</v>
      </c>
      <c r="DO98" s="167">
        <f t="shared" ca="1" si="150"/>
        <v>0</v>
      </c>
      <c r="DP98" s="165">
        <f t="shared" si="215"/>
        <v>46171</v>
      </c>
      <c r="DQ98" s="109">
        <f t="shared" si="216"/>
        <v>0</v>
      </c>
      <c r="DR98" s="109">
        <f t="shared" si="217"/>
        <v>0</v>
      </c>
      <c r="DS98" s="109"/>
      <c r="DT98" s="109">
        <f t="shared" si="152"/>
        <v>0</v>
      </c>
      <c r="DU98" s="166">
        <f t="shared" ca="1" si="218"/>
        <v>46054</v>
      </c>
      <c r="DV98" s="167">
        <f t="shared" ca="1" si="219"/>
        <v>0</v>
      </c>
      <c r="DW98" s="165">
        <f t="shared" si="220"/>
        <v>46202</v>
      </c>
      <c r="DX98" s="109">
        <f t="shared" si="221"/>
        <v>0</v>
      </c>
      <c r="DY98" s="109">
        <f t="shared" si="222"/>
        <v>0</v>
      </c>
      <c r="DZ98" s="109"/>
      <c r="EA98" s="109">
        <f t="shared" si="223"/>
        <v>0</v>
      </c>
      <c r="EB98" s="166">
        <f t="shared" ca="1" si="224"/>
        <v>46054</v>
      </c>
      <c r="EC98" s="167">
        <f t="shared" ca="1" si="225"/>
        <v>0</v>
      </c>
      <c r="ED98" s="165">
        <f t="shared" si="226"/>
        <v>46232</v>
      </c>
      <c r="EE98" s="109">
        <f t="shared" si="227"/>
        <v>0</v>
      </c>
      <c r="EF98" s="109">
        <f t="shared" si="228"/>
        <v>0</v>
      </c>
      <c r="EG98" s="109"/>
      <c r="EH98" s="109">
        <f t="shared" si="229"/>
        <v>0</v>
      </c>
      <c r="EI98" s="166">
        <f t="shared" ca="1" si="230"/>
        <v>46054</v>
      </c>
      <c r="EJ98" s="167">
        <f t="shared" ca="1" si="231"/>
        <v>0</v>
      </c>
      <c r="EK98" s="165">
        <f t="shared" si="232"/>
        <v>46263</v>
      </c>
      <c r="EL98" s="109">
        <f t="shared" si="233"/>
        <v>0</v>
      </c>
      <c r="EM98" s="109">
        <f t="shared" si="234"/>
        <v>0</v>
      </c>
      <c r="EN98" s="109"/>
      <c r="EO98" s="109">
        <f t="shared" si="235"/>
        <v>0</v>
      </c>
      <c r="EP98" s="166">
        <f t="shared" ca="1" si="236"/>
        <v>46054</v>
      </c>
      <c r="EQ98" s="167">
        <f t="shared" ca="1" si="237"/>
        <v>0</v>
      </c>
      <c r="ER98" s="165">
        <f t="shared" si="238"/>
        <v>46294</v>
      </c>
      <c r="ES98" s="109">
        <f t="shared" si="239"/>
        <v>0</v>
      </c>
      <c r="ET98" s="109">
        <f t="shared" si="240"/>
        <v>0</v>
      </c>
      <c r="EU98" s="109"/>
      <c r="EV98" s="109"/>
      <c r="EW98" s="111"/>
      <c r="EX98" s="111"/>
      <c r="EY98" s="165">
        <f t="shared" si="241"/>
        <v>46324</v>
      </c>
      <c r="EZ98" s="109">
        <f t="shared" si="242"/>
        <v>0</v>
      </c>
      <c r="FA98" s="109">
        <f t="shared" si="243"/>
        <v>0</v>
      </c>
      <c r="FB98" s="109"/>
      <c r="FC98" s="109"/>
      <c r="FD98" s="111"/>
      <c r="FE98" s="111"/>
      <c r="FF98" s="165">
        <f t="shared" si="244"/>
        <v>46355</v>
      </c>
      <c r="FG98" s="109">
        <f t="shared" si="245"/>
        <v>0</v>
      </c>
      <c r="FH98" s="109">
        <f t="shared" si="246"/>
        <v>0</v>
      </c>
      <c r="FI98" s="109"/>
      <c r="FJ98" s="109"/>
      <c r="FK98" s="111"/>
      <c r="FL98" s="111"/>
      <c r="FM98" s="165">
        <f t="shared" si="247"/>
        <v>46385</v>
      </c>
      <c r="FN98" s="109">
        <f t="shared" si="248"/>
        <v>0</v>
      </c>
      <c r="FO98" s="109">
        <f t="shared" si="249"/>
        <v>0</v>
      </c>
      <c r="FP98" s="109"/>
      <c r="FQ98" s="109"/>
      <c r="FR98" s="111"/>
      <c r="FS98" s="111"/>
      <c r="FT98" s="165">
        <f>EDATE(FM98,1)</f>
        <v>46416</v>
      </c>
      <c r="FU98" s="109">
        <f t="shared" si="250"/>
        <v>0</v>
      </c>
      <c r="FV98" s="109">
        <f>FW98/(1+AM98)*AM98</f>
        <v>0</v>
      </c>
      <c r="FW98" s="109"/>
      <c r="FX98" s="109"/>
      <c r="FY98" s="111"/>
      <c r="FZ98" s="111"/>
      <c r="GA98" s="165">
        <f>EDATE(FT98,1)</f>
        <v>46446</v>
      </c>
      <c r="GB98" s="109">
        <f t="shared" si="251"/>
        <v>0</v>
      </c>
      <c r="GC98" s="109">
        <f>GD98/(1+AM98)*AM98</f>
        <v>0</v>
      </c>
      <c r="GD98" s="109"/>
      <c r="GE98" s="109"/>
      <c r="GF98" s="111"/>
      <c r="GG98" s="111"/>
      <c r="GH98" s="165">
        <f>EDATE(GA98,1)</f>
        <v>46474</v>
      </c>
      <c r="GI98" s="109">
        <f t="shared" si="252"/>
        <v>0</v>
      </c>
      <c r="GJ98" s="109">
        <f>GK98/(1+AM98)*AM98</f>
        <v>0</v>
      </c>
      <c r="GK98" s="109"/>
      <c r="GL98" s="109"/>
      <c r="GM98" s="111"/>
      <c r="GN98" s="111"/>
      <c r="GO98" s="165">
        <f>EDATE(GH98,1)</f>
        <v>46505</v>
      </c>
      <c r="GP98" s="109">
        <f t="shared" si="253"/>
        <v>0</v>
      </c>
      <c r="GQ98" s="109">
        <f>GR98/(1+AM98)*AM98</f>
        <v>0</v>
      </c>
      <c r="GR98" s="109"/>
      <c r="GS98" s="109"/>
      <c r="GT98" s="111"/>
      <c r="GU98" s="111"/>
      <c r="GV98" s="165">
        <f>EDATE(GO98,1)</f>
        <v>46535</v>
      </c>
      <c r="GW98" s="168">
        <f t="shared" si="254"/>
        <v>0</v>
      </c>
      <c r="GX98" s="168">
        <f>GY98/(1+AM98)*AM98</f>
        <v>0</v>
      </c>
      <c r="GY98" s="168"/>
      <c r="GZ98" s="168"/>
      <c r="HA98" s="111"/>
      <c r="HB98" s="111"/>
      <c r="HC98" s="165">
        <f>EDATE(GV98,1)</f>
        <v>46566</v>
      </c>
      <c r="HD98" s="109">
        <f t="shared" si="255"/>
        <v>0</v>
      </c>
      <c r="HE98" s="109">
        <f>HF98/(1+AM98)*AM98</f>
        <v>0</v>
      </c>
      <c r="HF98" s="109"/>
      <c r="HG98" s="109"/>
      <c r="HH98" s="111"/>
      <c r="HI98" s="111"/>
      <c r="HJ98" s="165"/>
      <c r="HK98" s="109">
        <f t="shared" si="256"/>
        <v>0</v>
      </c>
      <c r="HL98" s="109">
        <f>HM98/(1+AM98)*AM98</f>
        <v>0</v>
      </c>
      <c r="HM98" s="109"/>
      <c r="HN98" s="109"/>
      <c r="HO98" s="111"/>
      <c r="HP98" s="111"/>
      <c r="HQ98" s="165"/>
      <c r="HR98" s="109">
        <f t="shared" si="257"/>
        <v>0</v>
      </c>
      <c r="HS98" s="109">
        <f>HT98/(1+AM98)*AM98</f>
        <v>0</v>
      </c>
      <c r="HT98" s="109"/>
      <c r="HU98" s="109"/>
      <c r="HV98" s="111"/>
      <c r="HW98" s="111"/>
      <c r="HX98" s="105">
        <f t="shared" si="198"/>
        <v>0</v>
      </c>
      <c r="HY98" s="105">
        <f t="shared" si="198"/>
        <v>0</v>
      </c>
      <c r="HZ98" s="105">
        <f t="shared" si="198"/>
        <v>0</v>
      </c>
      <c r="IA98" s="105">
        <f t="shared" si="181"/>
        <v>0</v>
      </c>
      <c r="IB98" s="109">
        <f t="shared" si="182"/>
        <v>232000</v>
      </c>
      <c r="IC98" s="109">
        <f t="shared" si="183"/>
        <v>200000</v>
      </c>
      <c r="ID98" s="109">
        <f t="shared" si="184"/>
        <v>0</v>
      </c>
      <c r="IE98" s="109">
        <f t="shared" ca="1" si="185"/>
        <v>1</v>
      </c>
      <c r="IF98" s="139">
        <f t="shared" si="186"/>
        <v>0</v>
      </c>
      <c r="IG98" s="139">
        <f t="shared" ca="1" si="187"/>
        <v>1</v>
      </c>
      <c r="IH98" s="169">
        <f t="shared" ca="1" si="188"/>
        <v>3.3333333333333333E-2</v>
      </c>
      <c r="II98" s="139">
        <f t="shared" ca="1" si="189"/>
        <v>3.3333333333333333E-2</v>
      </c>
      <c r="IJ98" s="169">
        <f t="shared" ca="1" si="190"/>
        <v>1</v>
      </c>
      <c r="IK98" s="169">
        <f t="shared" ca="1" si="196"/>
        <v>3.3333333333333333E-2</v>
      </c>
      <c r="IL98" s="170">
        <f t="shared" ca="1" si="191"/>
        <v>429.62962962962962</v>
      </c>
      <c r="IM98" s="171"/>
      <c r="IN98" s="171"/>
      <c r="IO98" s="171"/>
      <c r="IP98" s="171"/>
    </row>
    <row r="99" spans="1:250" ht="15" customHeight="1" thickBot="1" x14ac:dyDescent="0.35">
      <c r="A99" s="110">
        <f t="shared" si="192"/>
        <v>95</v>
      </c>
      <c r="B99" s="111" t="s">
        <v>170</v>
      </c>
      <c r="C99" s="111" t="s">
        <v>171</v>
      </c>
      <c r="D99" s="111">
        <v>102</v>
      </c>
      <c r="E99" s="111" t="s">
        <v>253</v>
      </c>
      <c r="F99" s="111"/>
      <c r="G99" s="111" t="s">
        <v>1197</v>
      </c>
      <c r="H99" s="111">
        <v>1021100193</v>
      </c>
      <c r="I99" s="146" t="str">
        <f t="shared" si="124"/>
        <v>1100193</v>
      </c>
      <c r="J99" s="145" t="str">
        <f t="shared" si="125"/>
        <v>KN1100193</v>
      </c>
      <c r="K99" s="111" t="s">
        <v>1198</v>
      </c>
      <c r="L99" s="111" t="s">
        <v>316</v>
      </c>
      <c r="M99" s="111" t="s">
        <v>1199</v>
      </c>
      <c r="N99" s="111" t="s">
        <v>138</v>
      </c>
      <c r="O99" s="111"/>
      <c r="P99" s="111" t="s">
        <v>1200</v>
      </c>
      <c r="Q99" s="148">
        <v>27173</v>
      </c>
      <c r="R99" s="145" t="s">
        <v>170</v>
      </c>
      <c r="S99" s="111"/>
      <c r="T99" s="111" t="s">
        <v>1136</v>
      </c>
      <c r="U99" s="111" t="s">
        <v>234</v>
      </c>
      <c r="V99" s="181">
        <v>774817092</v>
      </c>
      <c r="W99" s="111"/>
      <c r="X99" s="111" t="s">
        <v>181</v>
      </c>
      <c r="Y99" s="111">
        <v>11</v>
      </c>
      <c r="Z99" s="111" t="s">
        <v>1201</v>
      </c>
      <c r="AA99" s="111" t="s">
        <v>1202</v>
      </c>
      <c r="AB99" s="111"/>
      <c r="AC99" s="111" t="s">
        <v>146</v>
      </c>
      <c r="AD99" s="111" t="s">
        <v>147</v>
      </c>
      <c r="AE99" s="111"/>
      <c r="AF99" s="111"/>
      <c r="AG99" s="111"/>
      <c r="AH99" s="175"/>
      <c r="AI99" s="111">
        <v>12</v>
      </c>
      <c r="AJ99" s="111">
        <v>0</v>
      </c>
      <c r="AK99" s="150">
        <f t="shared" si="193"/>
        <v>12</v>
      </c>
      <c r="AL99" s="177">
        <v>50000</v>
      </c>
      <c r="AM99" s="176">
        <v>0.16</v>
      </c>
      <c r="AN99" s="177">
        <f t="shared" si="210"/>
        <v>8000</v>
      </c>
      <c r="AO99" s="157">
        <f t="shared" si="209"/>
        <v>58000</v>
      </c>
      <c r="AP99" s="193">
        <f t="shared" si="126"/>
        <v>4833.333333333333</v>
      </c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75"/>
      <c r="BM99" s="111"/>
      <c r="BN99" s="111"/>
      <c r="BO99" s="111"/>
      <c r="BP99" s="111"/>
      <c r="BQ99" s="111"/>
      <c r="BR99" s="111"/>
      <c r="BS99" s="111"/>
      <c r="BT99" s="111"/>
      <c r="BU99" s="111"/>
      <c r="BV99" s="111"/>
      <c r="BW99" s="111"/>
      <c r="BX99" s="111"/>
      <c r="BY99" s="111"/>
      <c r="BZ99" s="111"/>
      <c r="CA99" s="111"/>
      <c r="CB99" s="111"/>
      <c r="CC99" s="178"/>
      <c r="CD99" s="177">
        <f t="shared" si="127"/>
        <v>50000</v>
      </c>
      <c r="CE99" s="148"/>
      <c r="CF99" s="111">
        <f t="shared" si="128"/>
        <v>12</v>
      </c>
      <c r="CG99" s="177">
        <f t="shared" si="129"/>
        <v>58000</v>
      </c>
      <c r="CH99" s="203">
        <f t="shared" si="208"/>
        <v>0</v>
      </c>
      <c r="CI99" s="148">
        <v>46022</v>
      </c>
      <c r="CJ99" s="161">
        <f t="shared" si="194"/>
        <v>46053</v>
      </c>
      <c r="CK99" s="162">
        <f t="shared" si="195"/>
        <v>46387</v>
      </c>
      <c r="CL99" s="183"/>
      <c r="CM99" s="164">
        <f t="shared" ca="1" si="130"/>
        <v>46054</v>
      </c>
      <c r="CN99" s="165">
        <f t="shared" si="131"/>
        <v>46053</v>
      </c>
      <c r="CO99" s="109">
        <f t="shared" si="132"/>
        <v>0</v>
      </c>
      <c r="CP99" s="109">
        <f t="shared" si="133"/>
        <v>0</v>
      </c>
      <c r="CQ99" s="109"/>
      <c r="CR99" s="109">
        <f t="shared" si="134"/>
        <v>0</v>
      </c>
      <c r="CS99" s="166">
        <f t="shared" ca="1" si="211"/>
        <v>46054</v>
      </c>
      <c r="CT99" s="167">
        <f t="shared" ca="1" si="135"/>
        <v>1</v>
      </c>
      <c r="CU99" s="165">
        <f t="shared" si="136"/>
        <v>46081</v>
      </c>
      <c r="CV99" s="109">
        <f t="shared" si="137"/>
        <v>0</v>
      </c>
      <c r="CW99" s="109">
        <f t="shared" si="138"/>
        <v>0</v>
      </c>
      <c r="CX99" s="109"/>
      <c r="CY99" s="109">
        <f t="shared" si="139"/>
        <v>0</v>
      </c>
      <c r="CZ99" s="166">
        <f t="shared" ca="1" si="212"/>
        <v>46054</v>
      </c>
      <c r="DA99" s="111"/>
      <c r="DB99" s="165">
        <f t="shared" si="141"/>
        <v>46109</v>
      </c>
      <c r="DC99" s="109">
        <f t="shared" si="142"/>
        <v>0</v>
      </c>
      <c r="DD99" s="109">
        <f t="shared" si="143"/>
        <v>0</v>
      </c>
      <c r="DE99" s="109"/>
      <c r="DF99" s="109">
        <f t="shared" si="144"/>
        <v>0</v>
      </c>
      <c r="DG99" s="166">
        <f t="shared" ca="1" si="213"/>
        <v>46054</v>
      </c>
      <c r="DH99" s="167">
        <f t="shared" ca="1" si="145"/>
        <v>0</v>
      </c>
      <c r="DI99" s="165">
        <f t="shared" si="146"/>
        <v>46140</v>
      </c>
      <c r="DJ99" s="109">
        <f t="shared" si="147"/>
        <v>0</v>
      </c>
      <c r="DK99" s="109">
        <f t="shared" si="148"/>
        <v>0</v>
      </c>
      <c r="DL99" s="109">
        <v>0</v>
      </c>
      <c r="DM99" s="109">
        <f t="shared" si="149"/>
        <v>0</v>
      </c>
      <c r="DN99" s="166">
        <f t="shared" ca="1" si="214"/>
        <v>46054</v>
      </c>
      <c r="DO99" s="167">
        <f t="shared" ca="1" si="150"/>
        <v>0</v>
      </c>
      <c r="DP99" s="165">
        <f t="shared" si="215"/>
        <v>46171</v>
      </c>
      <c r="DQ99" s="109">
        <f t="shared" si="216"/>
        <v>0</v>
      </c>
      <c r="DR99" s="109">
        <f t="shared" si="217"/>
        <v>0</v>
      </c>
      <c r="DS99" s="109"/>
      <c r="DT99" s="109">
        <f t="shared" si="152"/>
        <v>0</v>
      </c>
      <c r="DU99" s="166">
        <f t="shared" ca="1" si="218"/>
        <v>46054</v>
      </c>
      <c r="DV99" s="167">
        <f t="shared" ca="1" si="219"/>
        <v>0</v>
      </c>
      <c r="DW99" s="165">
        <f t="shared" si="220"/>
        <v>46202</v>
      </c>
      <c r="DX99" s="109">
        <f t="shared" si="221"/>
        <v>0</v>
      </c>
      <c r="DY99" s="109">
        <f t="shared" si="222"/>
        <v>0</v>
      </c>
      <c r="DZ99" s="109"/>
      <c r="EA99" s="109">
        <f t="shared" si="223"/>
        <v>0</v>
      </c>
      <c r="EB99" s="166">
        <f t="shared" ca="1" si="224"/>
        <v>46054</v>
      </c>
      <c r="EC99" s="167">
        <f t="shared" ca="1" si="225"/>
        <v>0</v>
      </c>
      <c r="ED99" s="165">
        <f t="shared" si="226"/>
        <v>46232</v>
      </c>
      <c r="EE99" s="109">
        <f t="shared" si="227"/>
        <v>0</v>
      </c>
      <c r="EF99" s="109">
        <f t="shared" si="228"/>
        <v>0</v>
      </c>
      <c r="EG99" s="109"/>
      <c r="EH99" s="109">
        <f t="shared" si="229"/>
        <v>0</v>
      </c>
      <c r="EI99" s="166">
        <f t="shared" ca="1" si="230"/>
        <v>46054</v>
      </c>
      <c r="EJ99" s="167">
        <f t="shared" ca="1" si="231"/>
        <v>0</v>
      </c>
      <c r="EK99" s="165">
        <f t="shared" si="232"/>
        <v>46263</v>
      </c>
      <c r="EL99" s="109">
        <f t="shared" si="233"/>
        <v>0</v>
      </c>
      <c r="EM99" s="109">
        <f t="shared" si="234"/>
        <v>0</v>
      </c>
      <c r="EN99" s="109"/>
      <c r="EO99" s="109">
        <f t="shared" si="235"/>
        <v>0</v>
      </c>
      <c r="EP99" s="166">
        <f t="shared" ca="1" si="236"/>
        <v>46054</v>
      </c>
      <c r="EQ99" s="167">
        <f t="shared" ca="1" si="237"/>
        <v>0</v>
      </c>
      <c r="ER99" s="165">
        <f t="shared" si="238"/>
        <v>46294</v>
      </c>
      <c r="ES99" s="109">
        <f t="shared" si="239"/>
        <v>0</v>
      </c>
      <c r="ET99" s="109">
        <f t="shared" si="240"/>
        <v>0</v>
      </c>
      <c r="EU99" s="109"/>
      <c r="EV99" s="109"/>
      <c r="EW99" s="111"/>
      <c r="EX99" s="111"/>
      <c r="EY99" s="165">
        <f t="shared" si="241"/>
        <v>46324</v>
      </c>
      <c r="EZ99" s="109">
        <f t="shared" si="242"/>
        <v>0</v>
      </c>
      <c r="FA99" s="109">
        <f t="shared" si="243"/>
        <v>0</v>
      </c>
      <c r="FB99" s="109"/>
      <c r="FC99" s="109"/>
      <c r="FD99" s="111"/>
      <c r="FE99" s="111"/>
      <c r="FF99" s="165">
        <f t="shared" si="244"/>
        <v>46355</v>
      </c>
      <c r="FG99" s="109">
        <f t="shared" si="245"/>
        <v>0</v>
      </c>
      <c r="FH99" s="109">
        <f t="shared" si="246"/>
        <v>0</v>
      </c>
      <c r="FI99" s="109"/>
      <c r="FJ99" s="109"/>
      <c r="FK99" s="111"/>
      <c r="FL99" s="111"/>
      <c r="FM99" s="165">
        <f t="shared" si="247"/>
        <v>46385</v>
      </c>
      <c r="FN99" s="109">
        <f t="shared" si="248"/>
        <v>0</v>
      </c>
      <c r="FO99" s="109">
        <f t="shared" si="249"/>
        <v>0</v>
      </c>
      <c r="FP99" s="109"/>
      <c r="FQ99" s="109"/>
      <c r="FR99" s="111"/>
      <c r="FS99" s="111"/>
      <c r="FT99" s="165"/>
      <c r="FU99" s="109"/>
      <c r="FV99" s="109"/>
      <c r="FW99" s="109"/>
      <c r="FX99" s="109"/>
      <c r="FY99" s="111"/>
      <c r="FZ99" s="111"/>
      <c r="GA99" s="165"/>
      <c r="GB99" s="109"/>
      <c r="GC99" s="109"/>
      <c r="GD99" s="109"/>
      <c r="GE99" s="109"/>
      <c r="GF99" s="111"/>
      <c r="GG99" s="111"/>
      <c r="GH99" s="165"/>
      <c r="GI99" s="109"/>
      <c r="GJ99" s="109"/>
      <c r="GK99" s="109"/>
      <c r="GL99" s="109"/>
      <c r="GM99" s="111"/>
      <c r="GN99" s="111"/>
      <c r="GO99" s="165"/>
      <c r="GP99" s="109"/>
      <c r="GQ99" s="109"/>
      <c r="GR99" s="109"/>
      <c r="GS99" s="109"/>
      <c r="GT99" s="111"/>
      <c r="GU99" s="111"/>
      <c r="GV99" s="165"/>
      <c r="GW99" s="168"/>
      <c r="GX99" s="168"/>
      <c r="GY99" s="168"/>
      <c r="GZ99" s="168"/>
      <c r="HA99" s="111"/>
      <c r="HB99" s="111"/>
      <c r="HC99" s="165"/>
      <c r="HD99" s="109"/>
      <c r="HE99" s="109"/>
      <c r="HF99" s="109"/>
      <c r="HG99" s="109"/>
      <c r="HH99" s="111"/>
      <c r="HI99" s="111"/>
      <c r="HJ99" s="165"/>
      <c r="HK99" s="109"/>
      <c r="HL99" s="109"/>
      <c r="HM99" s="109"/>
      <c r="HN99" s="109"/>
      <c r="HO99" s="111"/>
      <c r="HP99" s="111"/>
      <c r="HQ99" s="165"/>
      <c r="HR99" s="109"/>
      <c r="HS99" s="109"/>
      <c r="HT99" s="109"/>
      <c r="HU99" s="109"/>
      <c r="HV99" s="111"/>
      <c r="HW99" s="111"/>
      <c r="HX99" s="105">
        <f t="shared" si="198"/>
        <v>0</v>
      </c>
      <c r="HY99" s="105">
        <f t="shared" si="198"/>
        <v>0</v>
      </c>
      <c r="HZ99" s="105">
        <f t="shared" si="198"/>
        <v>0</v>
      </c>
      <c r="IA99" s="105">
        <f t="shared" si="181"/>
        <v>0</v>
      </c>
      <c r="IB99" s="109">
        <f t="shared" si="182"/>
        <v>58000</v>
      </c>
      <c r="IC99" s="109">
        <f t="shared" si="183"/>
        <v>50000</v>
      </c>
      <c r="ID99" s="109">
        <f t="shared" si="184"/>
        <v>0</v>
      </c>
      <c r="IE99" s="109">
        <f t="shared" ca="1" si="185"/>
        <v>1</v>
      </c>
      <c r="IF99" s="139">
        <f t="shared" si="186"/>
        <v>0</v>
      </c>
      <c r="IG99" s="139">
        <f t="shared" ca="1" si="187"/>
        <v>1</v>
      </c>
      <c r="IH99" s="169">
        <f t="shared" ca="1" si="188"/>
        <v>3.3333333333333333E-2</v>
      </c>
      <c r="II99" s="139">
        <f t="shared" ca="1" si="189"/>
        <v>3.3333333333333333E-2</v>
      </c>
      <c r="IJ99" s="169">
        <f t="shared" ca="1" si="190"/>
        <v>1</v>
      </c>
      <c r="IK99" s="169">
        <f t="shared" ca="1" si="196"/>
        <v>3.3333333333333333E-2</v>
      </c>
      <c r="IL99" s="170">
        <f t="shared" ca="1" si="191"/>
        <v>161.11111111111109</v>
      </c>
      <c r="IM99" s="171"/>
      <c r="IN99" s="171"/>
      <c r="IO99" s="171"/>
      <c r="IP99" s="171"/>
    </row>
    <row r="100" spans="1:250" ht="15" thickBot="1" x14ac:dyDescent="0.35">
      <c r="A100" s="110">
        <f t="shared" si="192"/>
        <v>96</v>
      </c>
      <c r="B100" s="111" t="s">
        <v>170</v>
      </c>
      <c r="C100" s="111" t="s">
        <v>171</v>
      </c>
      <c r="D100" s="111">
        <v>102</v>
      </c>
      <c r="E100" s="111" t="s">
        <v>253</v>
      </c>
      <c r="F100" s="111"/>
      <c r="G100" s="111" t="s">
        <v>1203</v>
      </c>
      <c r="H100" s="111">
        <v>1021100187</v>
      </c>
      <c r="I100" s="146" t="str">
        <f t="shared" si="124"/>
        <v>1100187</v>
      </c>
      <c r="J100" s="145" t="str">
        <f t="shared" si="125"/>
        <v>KN1100187</v>
      </c>
      <c r="K100" s="111" t="s">
        <v>1204</v>
      </c>
      <c r="L100" s="111" t="s">
        <v>287</v>
      </c>
      <c r="M100" s="111" t="s">
        <v>1205</v>
      </c>
      <c r="N100" s="111" t="s">
        <v>138</v>
      </c>
      <c r="O100" s="111"/>
      <c r="P100" s="111" t="s">
        <v>1206</v>
      </c>
      <c r="Q100" s="148">
        <v>32002</v>
      </c>
      <c r="R100" s="145" t="s">
        <v>170</v>
      </c>
      <c r="S100" s="111"/>
      <c r="T100" s="111" t="s">
        <v>1207</v>
      </c>
      <c r="U100" s="111" t="s">
        <v>234</v>
      </c>
      <c r="V100" s="181">
        <v>779358763</v>
      </c>
      <c r="W100" s="111"/>
      <c r="X100" s="111" t="s">
        <v>181</v>
      </c>
      <c r="Y100" s="111">
        <v>11</v>
      </c>
      <c r="Z100" s="111" t="s">
        <v>1208</v>
      </c>
      <c r="AA100" s="111" t="s">
        <v>1209</v>
      </c>
      <c r="AB100" s="111"/>
      <c r="AC100" s="111" t="s">
        <v>146</v>
      </c>
      <c r="AD100" s="111" t="s">
        <v>147</v>
      </c>
      <c r="AE100" s="111"/>
      <c r="AF100" s="111"/>
      <c r="AG100" s="111"/>
      <c r="AH100" s="175"/>
      <c r="AI100" s="111">
        <v>15</v>
      </c>
      <c r="AJ100" s="111">
        <v>0</v>
      </c>
      <c r="AK100" s="150">
        <f t="shared" si="193"/>
        <v>15</v>
      </c>
      <c r="AL100" s="177">
        <v>70000</v>
      </c>
      <c r="AM100" s="176">
        <v>0.16</v>
      </c>
      <c r="AN100" s="177">
        <f t="shared" si="210"/>
        <v>11200</v>
      </c>
      <c r="AO100" s="157">
        <f t="shared" si="209"/>
        <v>81200</v>
      </c>
      <c r="AP100" s="193">
        <f t="shared" si="126"/>
        <v>5413.333333333333</v>
      </c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75"/>
      <c r="BM100" s="111"/>
      <c r="BN100" s="111"/>
      <c r="BO100" s="111"/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1"/>
      <c r="CA100" s="111"/>
      <c r="CB100" s="111"/>
      <c r="CC100" s="178"/>
      <c r="CD100" s="177">
        <f t="shared" si="127"/>
        <v>70000</v>
      </c>
      <c r="CE100" s="148"/>
      <c r="CF100" s="111">
        <f t="shared" si="128"/>
        <v>15</v>
      </c>
      <c r="CG100" s="177">
        <f t="shared" si="129"/>
        <v>81200</v>
      </c>
      <c r="CH100" s="203">
        <f t="shared" si="208"/>
        <v>0</v>
      </c>
      <c r="CI100" s="148">
        <v>46022</v>
      </c>
      <c r="CJ100" s="161">
        <f t="shared" si="194"/>
        <v>46053</v>
      </c>
      <c r="CK100" s="162">
        <f t="shared" si="195"/>
        <v>46477</v>
      </c>
      <c r="CL100" s="183"/>
      <c r="CM100" s="164">
        <f t="shared" ca="1" si="130"/>
        <v>46054</v>
      </c>
      <c r="CN100" s="165">
        <f t="shared" si="131"/>
        <v>46053</v>
      </c>
      <c r="CO100" s="109">
        <f t="shared" si="132"/>
        <v>0</v>
      </c>
      <c r="CP100" s="109">
        <f t="shared" si="133"/>
        <v>0</v>
      </c>
      <c r="CQ100" s="109"/>
      <c r="CR100" s="109">
        <f t="shared" si="134"/>
        <v>0</v>
      </c>
      <c r="CS100" s="166">
        <f t="shared" ca="1" si="211"/>
        <v>46054</v>
      </c>
      <c r="CT100" s="167">
        <f t="shared" ca="1" si="135"/>
        <v>1</v>
      </c>
      <c r="CU100" s="165">
        <f t="shared" si="136"/>
        <v>46081</v>
      </c>
      <c r="CV100" s="109">
        <f t="shared" si="137"/>
        <v>0</v>
      </c>
      <c r="CW100" s="109">
        <f t="shared" si="138"/>
        <v>0</v>
      </c>
      <c r="CX100" s="109"/>
      <c r="CY100" s="109">
        <f t="shared" si="139"/>
        <v>0</v>
      </c>
      <c r="CZ100" s="166">
        <f t="shared" ca="1" si="212"/>
        <v>46054</v>
      </c>
      <c r="DA100" s="111"/>
      <c r="DB100" s="165">
        <f t="shared" si="141"/>
        <v>46109</v>
      </c>
      <c r="DC100" s="109">
        <f t="shared" si="142"/>
        <v>0</v>
      </c>
      <c r="DD100" s="109">
        <f t="shared" si="143"/>
        <v>0</v>
      </c>
      <c r="DE100" s="109"/>
      <c r="DF100" s="109">
        <f t="shared" si="144"/>
        <v>0</v>
      </c>
      <c r="DG100" s="166">
        <f t="shared" ca="1" si="213"/>
        <v>46054</v>
      </c>
      <c r="DH100" s="167">
        <f t="shared" ca="1" si="145"/>
        <v>0</v>
      </c>
      <c r="DI100" s="165">
        <f t="shared" si="146"/>
        <v>46140</v>
      </c>
      <c r="DJ100" s="109">
        <f t="shared" si="147"/>
        <v>0</v>
      </c>
      <c r="DK100" s="109">
        <f t="shared" si="148"/>
        <v>0</v>
      </c>
      <c r="DL100" s="109">
        <v>0</v>
      </c>
      <c r="DM100" s="109">
        <f t="shared" si="149"/>
        <v>0</v>
      </c>
      <c r="DN100" s="166">
        <f t="shared" ca="1" si="214"/>
        <v>46054</v>
      </c>
      <c r="DO100" s="167">
        <f t="shared" ca="1" si="150"/>
        <v>0</v>
      </c>
      <c r="DP100" s="165">
        <f t="shared" si="215"/>
        <v>46171</v>
      </c>
      <c r="DQ100" s="109">
        <f t="shared" si="216"/>
        <v>0</v>
      </c>
      <c r="DR100" s="109">
        <f t="shared" si="217"/>
        <v>0</v>
      </c>
      <c r="DS100" s="109"/>
      <c r="DT100" s="109">
        <f t="shared" si="152"/>
        <v>0</v>
      </c>
      <c r="DU100" s="166">
        <f t="shared" ca="1" si="218"/>
        <v>46054</v>
      </c>
      <c r="DV100" s="167">
        <f t="shared" ca="1" si="219"/>
        <v>0</v>
      </c>
      <c r="DW100" s="165">
        <f t="shared" si="220"/>
        <v>46202</v>
      </c>
      <c r="DX100" s="109">
        <f t="shared" si="221"/>
        <v>0</v>
      </c>
      <c r="DY100" s="109">
        <f t="shared" si="222"/>
        <v>0</v>
      </c>
      <c r="DZ100" s="109"/>
      <c r="EA100" s="109">
        <f t="shared" si="223"/>
        <v>0</v>
      </c>
      <c r="EB100" s="166">
        <f t="shared" ca="1" si="224"/>
        <v>46054</v>
      </c>
      <c r="EC100" s="167">
        <f t="shared" ca="1" si="225"/>
        <v>0</v>
      </c>
      <c r="ED100" s="165">
        <f t="shared" si="226"/>
        <v>46232</v>
      </c>
      <c r="EE100" s="109">
        <f t="shared" si="227"/>
        <v>0</v>
      </c>
      <c r="EF100" s="109">
        <f t="shared" si="228"/>
        <v>0</v>
      </c>
      <c r="EG100" s="109"/>
      <c r="EH100" s="109">
        <f t="shared" si="229"/>
        <v>0</v>
      </c>
      <c r="EI100" s="166">
        <f t="shared" ca="1" si="230"/>
        <v>46054</v>
      </c>
      <c r="EJ100" s="167">
        <f t="shared" ca="1" si="231"/>
        <v>0</v>
      </c>
      <c r="EK100" s="165">
        <f t="shared" si="232"/>
        <v>46263</v>
      </c>
      <c r="EL100" s="109">
        <f t="shared" si="233"/>
        <v>0</v>
      </c>
      <c r="EM100" s="109">
        <f t="shared" si="234"/>
        <v>0</v>
      </c>
      <c r="EN100" s="109"/>
      <c r="EO100" s="109">
        <f t="shared" si="235"/>
        <v>0</v>
      </c>
      <c r="EP100" s="166">
        <f t="shared" ca="1" si="236"/>
        <v>46054</v>
      </c>
      <c r="EQ100" s="167">
        <f t="shared" ca="1" si="237"/>
        <v>0</v>
      </c>
      <c r="ER100" s="165">
        <f t="shared" si="238"/>
        <v>46294</v>
      </c>
      <c r="ES100" s="109">
        <f t="shared" si="239"/>
        <v>0</v>
      </c>
      <c r="ET100" s="109">
        <f t="shared" si="240"/>
        <v>0</v>
      </c>
      <c r="EU100" s="109"/>
      <c r="EV100" s="109"/>
      <c r="EW100" s="111"/>
      <c r="EX100" s="111"/>
      <c r="EY100" s="165">
        <f t="shared" si="241"/>
        <v>46324</v>
      </c>
      <c r="EZ100" s="109">
        <f t="shared" si="242"/>
        <v>0</v>
      </c>
      <c r="FA100" s="109">
        <f t="shared" si="243"/>
        <v>0</v>
      </c>
      <c r="FB100" s="109"/>
      <c r="FC100" s="109"/>
      <c r="FD100" s="111"/>
      <c r="FE100" s="111"/>
      <c r="FF100" s="165">
        <f t="shared" si="244"/>
        <v>46355</v>
      </c>
      <c r="FG100" s="109">
        <f t="shared" si="245"/>
        <v>0</v>
      </c>
      <c r="FH100" s="109">
        <f t="shared" si="246"/>
        <v>0</v>
      </c>
      <c r="FI100" s="109"/>
      <c r="FJ100" s="109"/>
      <c r="FK100" s="111"/>
      <c r="FL100" s="111"/>
      <c r="FM100" s="165">
        <f t="shared" si="247"/>
        <v>46385</v>
      </c>
      <c r="FN100" s="109">
        <f t="shared" si="248"/>
        <v>0</v>
      </c>
      <c r="FO100" s="109">
        <f t="shared" si="249"/>
        <v>0</v>
      </c>
      <c r="FP100" s="109"/>
      <c r="FQ100" s="109"/>
      <c r="FR100" s="111"/>
      <c r="FS100" s="111"/>
      <c r="FT100" s="165"/>
      <c r="FU100" s="109">
        <f t="shared" si="250"/>
        <v>0</v>
      </c>
      <c r="FV100" s="109">
        <f>FW100/(1+AM100)*AM100</f>
        <v>0</v>
      </c>
      <c r="FW100" s="109"/>
      <c r="FX100" s="109"/>
      <c r="FY100" s="111"/>
      <c r="FZ100" s="111"/>
      <c r="GA100" s="165"/>
      <c r="GB100" s="109">
        <f t="shared" si="251"/>
        <v>0</v>
      </c>
      <c r="GC100" s="109">
        <f>GD100/(1+AM100)*AM100</f>
        <v>0</v>
      </c>
      <c r="GD100" s="109"/>
      <c r="GE100" s="109"/>
      <c r="GF100" s="111"/>
      <c r="GG100" s="111"/>
      <c r="GH100" s="165"/>
      <c r="GI100" s="109">
        <f t="shared" si="252"/>
        <v>0</v>
      </c>
      <c r="GJ100" s="109">
        <f>GK100/(1+AM100)*AM100</f>
        <v>0</v>
      </c>
      <c r="GK100" s="109"/>
      <c r="GL100" s="109"/>
      <c r="GM100" s="111"/>
      <c r="GN100" s="111"/>
      <c r="GO100" s="165"/>
      <c r="GP100" s="109">
        <f t="shared" si="253"/>
        <v>0</v>
      </c>
      <c r="GQ100" s="109">
        <f>GR100/(1+AM100)*AM100</f>
        <v>0</v>
      </c>
      <c r="GR100" s="109"/>
      <c r="GS100" s="109"/>
      <c r="GT100" s="111"/>
      <c r="GU100" s="111"/>
      <c r="GV100" s="165"/>
      <c r="GW100" s="168">
        <f t="shared" si="254"/>
        <v>0</v>
      </c>
      <c r="GX100" s="168">
        <f>GY100/(1+AM100)*AM100</f>
        <v>0</v>
      </c>
      <c r="GY100" s="168"/>
      <c r="GZ100" s="168"/>
      <c r="HA100" s="111"/>
      <c r="HB100" s="111"/>
      <c r="HC100" s="165"/>
      <c r="HD100" s="109">
        <f t="shared" si="255"/>
        <v>0</v>
      </c>
      <c r="HE100" s="109">
        <f>HF100/(1+AM100)*AM100</f>
        <v>0</v>
      </c>
      <c r="HF100" s="109"/>
      <c r="HG100" s="109"/>
      <c r="HH100" s="111"/>
      <c r="HI100" s="111"/>
      <c r="HJ100" s="165"/>
      <c r="HK100" s="109">
        <f t="shared" si="256"/>
        <v>0</v>
      </c>
      <c r="HL100" s="109">
        <f>HM100/(1+AM100)*AM100</f>
        <v>0</v>
      </c>
      <c r="HM100" s="109"/>
      <c r="HN100" s="109"/>
      <c r="HO100" s="111"/>
      <c r="HP100" s="111"/>
      <c r="HQ100" s="165"/>
      <c r="HR100" s="109">
        <f t="shared" si="257"/>
        <v>0</v>
      </c>
      <c r="HS100" s="109">
        <f>HT100/(1+AM100)*AM100</f>
        <v>0</v>
      </c>
      <c r="HT100" s="109"/>
      <c r="HU100" s="109"/>
      <c r="HV100" s="111"/>
      <c r="HW100" s="111"/>
      <c r="HX100" s="105">
        <f t="shared" si="198"/>
        <v>0</v>
      </c>
      <c r="HY100" s="105">
        <f t="shared" si="198"/>
        <v>0</v>
      </c>
      <c r="HZ100" s="105">
        <f t="shared" si="198"/>
        <v>0</v>
      </c>
      <c r="IA100" s="105">
        <f t="shared" si="181"/>
        <v>0</v>
      </c>
      <c r="IB100" s="109">
        <f t="shared" si="182"/>
        <v>81200</v>
      </c>
      <c r="IC100" s="109">
        <f t="shared" si="183"/>
        <v>70000</v>
      </c>
      <c r="ID100" s="109">
        <f t="shared" si="184"/>
        <v>0</v>
      </c>
      <c r="IE100" s="109">
        <f t="shared" ca="1" si="185"/>
        <v>1</v>
      </c>
      <c r="IF100" s="139">
        <f t="shared" si="186"/>
        <v>0</v>
      </c>
      <c r="IG100" s="139">
        <f t="shared" ca="1" si="187"/>
        <v>1</v>
      </c>
      <c r="IH100" s="169">
        <f t="shared" ca="1" si="188"/>
        <v>3.3333333333333333E-2</v>
      </c>
      <c r="II100" s="139">
        <f t="shared" ca="1" si="189"/>
        <v>3.3333333333333333E-2</v>
      </c>
      <c r="IJ100" s="169">
        <f t="shared" ca="1" si="190"/>
        <v>1</v>
      </c>
      <c r="IK100" s="169">
        <f t="shared" ca="1" si="196"/>
        <v>3.3333333333333333E-2</v>
      </c>
      <c r="IL100" s="170">
        <f t="shared" ca="1" si="191"/>
        <v>180.44444444444443</v>
      </c>
      <c r="IM100" s="171"/>
      <c r="IN100" s="171"/>
      <c r="IO100" s="171"/>
      <c r="IP100" s="171"/>
    </row>
    <row r="101" spans="1:250" ht="15" thickBot="1" x14ac:dyDescent="0.35">
      <c r="A101" s="110">
        <f t="shared" si="192"/>
        <v>97</v>
      </c>
      <c r="B101" s="111" t="s">
        <v>170</v>
      </c>
      <c r="C101" s="111" t="s">
        <v>171</v>
      </c>
      <c r="D101" s="111">
        <v>102</v>
      </c>
      <c r="E101" s="111" t="s">
        <v>253</v>
      </c>
      <c r="F101" s="111"/>
      <c r="G101" s="111" t="s">
        <v>1210</v>
      </c>
      <c r="H101" s="111">
        <v>1021100181</v>
      </c>
      <c r="I101" s="146" t="str">
        <f t="shared" si="124"/>
        <v>1100181</v>
      </c>
      <c r="J101" s="145" t="str">
        <f t="shared" si="125"/>
        <v>KN1100181</v>
      </c>
      <c r="K101" s="111" t="s">
        <v>1211</v>
      </c>
      <c r="L101" s="111" t="s">
        <v>412</v>
      </c>
      <c r="M101" s="111" t="s">
        <v>1212</v>
      </c>
      <c r="N101" s="111" t="s">
        <v>138</v>
      </c>
      <c r="O101" s="111"/>
      <c r="P101" s="111" t="s">
        <v>1213</v>
      </c>
      <c r="Q101" s="148">
        <v>30519</v>
      </c>
      <c r="R101" s="145" t="s">
        <v>170</v>
      </c>
      <c r="S101" s="111"/>
      <c r="T101" s="111" t="s">
        <v>1214</v>
      </c>
      <c r="U101" s="111" t="s">
        <v>234</v>
      </c>
      <c r="V101" s="181">
        <v>775687683</v>
      </c>
      <c r="W101" s="111"/>
      <c r="X101" s="111" t="s">
        <v>181</v>
      </c>
      <c r="Y101" s="111">
        <v>11</v>
      </c>
      <c r="Z101" s="111" t="s">
        <v>1018</v>
      </c>
      <c r="AA101" s="111" t="s">
        <v>1018</v>
      </c>
      <c r="AB101" s="111"/>
      <c r="AC101" s="111" t="s">
        <v>146</v>
      </c>
      <c r="AD101" s="111" t="s">
        <v>147</v>
      </c>
      <c r="AE101" s="111"/>
      <c r="AF101" s="111"/>
      <c r="AG101" s="111"/>
      <c r="AH101" s="175"/>
      <c r="AI101" s="111">
        <v>15</v>
      </c>
      <c r="AJ101" s="111">
        <v>0</v>
      </c>
      <c r="AK101" s="150">
        <f t="shared" si="193"/>
        <v>15</v>
      </c>
      <c r="AL101" s="177">
        <v>90000</v>
      </c>
      <c r="AM101" s="176">
        <v>0.16</v>
      </c>
      <c r="AN101" s="177">
        <f t="shared" si="210"/>
        <v>14400</v>
      </c>
      <c r="AO101" s="157">
        <f t="shared" si="209"/>
        <v>104400</v>
      </c>
      <c r="AP101" s="193">
        <f t="shared" si="126"/>
        <v>6960</v>
      </c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75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1"/>
      <c r="CA101" s="111"/>
      <c r="CB101" s="111"/>
      <c r="CC101" s="178"/>
      <c r="CD101" s="177">
        <f t="shared" si="127"/>
        <v>90000</v>
      </c>
      <c r="CE101" s="148"/>
      <c r="CF101" s="111">
        <f t="shared" si="128"/>
        <v>15</v>
      </c>
      <c r="CG101" s="177">
        <f t="shared" si="129"/>
        <v>104400</v>
      </c>
      <c r="CH101" s="203">
        <f t="shared" si="208"/>
        <v>0</v>
      </c>
      <c r="CI101" s="148">
        <v>46022</v>
      </c>
      <c r="CJ101" s="161">
        <f t="shared" si="194"/>
        <v>46053</v>
      </c>
      <c r="CK101" s="162">
        <f t="shared" si="195"/>
        <v>46477</v>
      </c>
      <c r="CL101" s="183"/>
      <c r="CM101" s="164">
        <f t="shared" ca="1" si="130"/>
        <v>46054</v>
      </c>
      <c r="CN101" s="165">
        <f t="shared" si="131"/>
        <v>46053</v>
      </c>
      <c r="CO101" s="109">
        <f t="shared" si="132"/>
        <v>0</v>
      </c>
      <c r="CP101" s="109">
        <f t="shared" si="133"/>
        <v>0</v>
      </c>
      <c r="CQ101" s="109"/>
      <c r="CR101" s="109">
        <f t="shared" si="134"/>
        <v>0</v>
      </c>
      <c r="CS101" s="166">
        <f t="shared" ca="1" si="211"/>
        <v>46054</v>
      </c>
      <c r="CT101" s="167">
        <f t="shared" ca="1" si="135"/>
        <v>1</v>
      </c>
      <c r="CU101" s="165">
        <f t="shared" si="136"/>
        <v>46081</v>
      </c>
      <c r="CV101" s="109">
        <f t="shared" si="137"/>
        <v>0</v>
      </c>
      <c r="CW101" s="109">
        <f t="shared" si="138"/>
        <v>0</v>
      </c>
      <c r="CX101" s="109"/>
      <c r="CY101" s="109">
        <f t="shared" si="139"/>
        <v>0</v>
      </c>
      <c r="CZ101" s="166">
        <f t="shared" ca="1" si="212"/>
        <v>46054</v>
      </c>
      <c r="DA101" s="111"/>
      <c r="DB101" s="165">
        <f t="shared" si="141"/>
        <v>46109</v>
      </c>
      <c r="DC101" s="109">
        <f t="shared" si="142"/>
        <v>0</v>
      </c>
      <c r="DD101" s="109">
        <f t="shared" si="143"/>
        <v>0</v>
      </c>
      <c r="DE101" s="109"/>
      <c r="DF101" s="109">
        <f t="shared" si="144"/>
        <v>0</v>
      </c>
      <c r="DG101" s="166">
        <f t="shared" ca="1" si="213"/>
        <v>46054</v>
      </c>
      <c r="DH101" s="167">
        <f t="shared" ca="1" si="145"/>
        <v>0</v>
      </c>
      <c r="DI101" s="165">
        <f t="shared" si="146"/>
        <v>46140</v>
      </c>
      <c r="DJ101" s="109">
        <f t="shared" si="147"/>
        <v>0</v>
      </c>
      <c r="DK101" s="109">
        <f t="shared" si="148"/>
        <v>0</v>
      </c>
      <c r="DL101" s="109">
        <v>0</v>
      </c>
      <c r="DM101" s="109">
        <f t="shared" si="149"/>
        <v>0</v>
      </c>
      <c r="DN101" s="166">
        <f t="shared" ca="1" si="214"/>
        <v>46054</v>
      </c>
      <c r="DO101" s="167">
        <f t="shared" ca="1" si="150"/>
        <v>0</v>
      </c>
      <c r="DP101" s="165">
        <f t="shared" si="215"/>
        <v>46171</v>
      </c>
      <c r="DQ101" s="109">
        <f t="shared" si="216"/>
        <v>0</v>
      </c>
      <c r="DR101" s="109">
        <f t="shared" si="217"/>
        <v>0</v>
      </c>
      <c r="DS101" s="109"/>
      <c r="DT101" s="109">
        <f t="shared" si="152"/>
        <v>0</v>
      </c>
      <c r="DU101" s="166">
        <f t="shared" ca="1" si="218"/>
        <v>46054</v>
      </c>
      <c r="DV101" s="167">
        <f t="shared" ca="1" si="219"/>
        <v>0</v>
      </c>
      <c r="DW101" s="165">
        <f t="shared" si="220"/>
        <v>46202</v>
      </c>
      <c r="DX101" s="109">
        <f t="shared" si="221"/>
        <v>0</v>
      </c>
      <c r="DY101" s="109">
        <f t="shared" si="222"/>
        <v>0</v>
      </c>
      <c r="DZ101" s="109"/>
      <c r="EA101" s="109">
        <f t="shared" si="223"/>
        <v>0</v>
      </c>
      <c r="EB101" s="166">
        <f t="shared" ca="1" si="224"/>
        <v>46054</v>
      </c>
      <c r="EC101" s="167">
        <f t="shared" ca="1" si="225"/>
        <v>0</v>
      </c>
      <c r="ED101" s="165">
        <f t="shared" si="226"/>
        <v>46232</v>
      </c>
      <c r="EE101" s="109">
        <f t="shared" si="227"/>
        <v>0</v>
      </c>
      <c r="EF101" s="109">
        <f t="shared" si="228"/>
        <v>0</v>
      </c>
      <c r="EG101" s="109"/>
      <c r="EH101" s="109">
        <f t="shared" si="229"/>
        <v>0</v>
      </c>
      <c r="EI101" s="166">
        <f t="shared" ca="1" si="230"/>
        <v>46054</v>
      </c>
      <c r="EJ101" s="167">
        <f t="shared" ca="1" si="231"/>
        <v>0</v>
      </c>
      <c r="EK101" s="165">
        <f t="shared" si="232"/>
        <v>46263</v>
      </c>
      <c r="EL101" s="109">
        <f t="shared" si="233"/>
        <v>0</v>
      </c>
      <c r="EM101" s="109">
        <f t="shared" si="234"/>
        <v>0</v>
      </c>
      <c r="EN101" s="109"/>
      <c r="EO101" s="109">
        <f t="shared" si="235"/>
        <v>0</v>
      </c>
      <c r="EP101" s="166">
        <f t="shared" ca="1" si="236"/>
        <v>46054</v>
      </c>
      <c r="EQ101" s="167">
        <f t="shared" ca="1" si="237"/>
        <v>0</v>
      </c>
      <c r="ER101" s="165">
        <f t="shared" si="238"/>
        <v>46294</v>
      </c>
      <c r="ES101" s="109">
        <f t="shared" si="239"/>
        <v>0</v>
      </c>
      <c r="ET101" s="109">
        <f t="shared" si="240"/>
        <v>0</v>
      </c>
      <c r="EU101" s="109"/>
      <c r="EV101" s="109"/>
      <c r="EW101" s="111"/>
      <c r="EX101" s="111"/>
      <c r="EY101" s="165">
        <f t="shared" si="241"/>
        <v>46324</v>
      </c>
      <c r="EZ101" s="109">
        <f t="shared" si="242"/>
        <v>0</v>
      </c>
      <c r="FA101" s="109">
        <f t="shared" si="243"/>
        <v>0</v>
      </c>
      <c r="FB101" s="109"/>
      <c r="FC101" s="109"/>
      <c r="FD101" s="111"/>
      <c r="FE101" s="111"/>
      <c r="FF101" s="165">
        <f t="shared" si="244"/>
        <v>46355</v>
      </c>
      <c r="FG101" s="109">
        <f t="shared" si="245"/>
        <v>0</v>
      </c>
      <c r="FH101" s="109">
        <f t="shared" si="246"/>
        <v>0</v>
      </c>
      <c r="FI101" s="109"/>
      <c r="FJ101" s="109"/>
      <c r="FK101" s="111"/>
      <c r="FL101" s="111"/>
      <c r="FM101" s="165">
        <f t="shared" si="247"/>
        <v>46385</v>
      </c>
      <c r="FN101" s="109">
        <f t="shared" si="248"/>
        <v>0</v>
      </c>
      <c r="FO101" s="109">
        <f t="shared" si="249"/>
        <v>0</v>
      </c>
      <c r="FP101" s="109"/>
      <c r="FQ101" s="109"/>
      <c r="FR101" s="111"/>
      <c r="FS101" s="111"/>
      <c r="FT101" s="165"/>
      <c r="FU101" s="109">
        <f t="shared" si="250"/>
        <v>0</v>
      </c>
      <c r="FV101" s="109">
        <f>FW101/(1+AM101)*AM101</f>
        <v>0</v>
      </c>
      <c r="FW101" s="109"/>
      <c r="FX101" s="109"/>
      <c r="FY101" s="111"/>
      <c r="FZ101" s="111"/>
      <c r="GA101" s="165"/>
      <c r="GB101" s="109">
        <f t="shared" si="251"/>
        <v>0</v>
      </c>
      <c r="GC101" s="109">
        <f>GD101/(1+AM101)*AM101</f>
        <v>0</v>
      </c>
      <c r="GD101" s="109"/>
      <c r="GE101" s="109"/>
      <c r="GF101" s="111"/>
      <c r="GG101" s="111"/>
      <c r="GH101" s="165"/>
      <c r="GI101" s="109">
        <f t="shared" si="252"/>
        <v>0</v>
      </c>
      <c r="GJ101" s="109">
        <f>GK101/(1+AM101)*AM101</f>
        <v>0</v>
      </c>
      <c r="GK101" s="109"/>
      <c r="GL101" s="109"/>
      <c r="GM101" s="111"/>
      <c r="GN101" s="111"/>
      <c r="GO101" s="165"/>
      <c r="GP101" s="109">
        <f t="shared" si="253"/>
        <v>0</v>
      </c>
      <c r="GQ101" s="109">
        <f>GR101/(1+AM101)*AM101</f>
        <v>0</v>
      </c>
      <c r="GR101" s="109"/>
      <c r="GS101" s="109"/>
      <c r="GT101" s="111"/>
      <c r="GU101" s="111"/>
      <c r="GV101" s="165"/>
      <c r="GW101" s="168">
        <f t="shared" si="254"/>
        <v>0</v>
      </c>
      <c r="GX101" s="168">
        <f>GY101/(1+AM101)*AM101</f>
        <v>0</v>
      </c>
      <c r="GY101" s="168"/>
      <c r="GZ101" s="168"/>
      <c r="HA101" s="111"/>
      <c r="HB101" s="111"/>
      <c r="HC101" s="165"/>
      <c r="HD101" s="109">
        <f t="shared" si="255"/>
        <v>0</v>
      </c>
      <c r="HE101" s="109">
        <f>HF101/(1+AM101)*AM101</f>
        <v>0</v>
      </c>
      <c r="HF101" s="109"/>
      <c r="HG101" s="109"/>
      <c r="HH101" s="111"/>
      <c r="HI101" s="111"/>
      <c r="HJ101" s="165"/>
      <c r="HK101" s="109">
        <f t="shared" si="256"/>
        <v>0</v>
      </c>
      <c r="HL101" s="109">
        <f>HM101/(1+AM101)*AM101</f>
        <v>0</v>
      </c>
      <c r="HM101" s="109"/>
      <c r="HN101" s="109"/>
      <c r="HO101" s="111"/>
      <c r="HP101" s="111"/>
      <c r="HQ101" s="165"/>
      <c r="HR101" s="109">
        <f t="shared" si="257"/>
        <v>0</v>
      </c>
      <c r="HS101" s="109">
        <f>HT101/(1+AM101)*AM101</f>
        <v>0</v>
      </c>
      <c r="HT101" s="109"/>
      <c r="HU101" s="109"/>
      <c r="HV101" s="111"/>
      <c r="HW101" s="111"/>
      <c r="HX101" s="105">
        <f t="shared" si="198"/>
        <v>0</v>
      </c>
      <c r="HY101" s="105">
        <f t="shared" si="198"/>
        <v>0</v>
      </c>
      <c r="HZ101" s="105">
        <f t="shared" si="198"/>
        <v>0</v>
      </c>
      <c r="IA101" s="105">
        <f t="shared" si="181"/>
        <v>0</v>
      </c>
      <c r="IB101" s="109">
        <f t="shared" si="182"/>
        <v>104400</v>
      </c>
      <c r="IC101" s="109">
        <f t="shared" si="183"/>
        <v>90000</v>
      </c>
      <c r="ID101" s="109">
        <f t="shared" si="184"/>
        <v>0</v>
      </c>
      <c r="IE101" s="109">
        <f t="shared" ca="1" si="185"/>
        <v>1</v>
      </c>
      <c r="IF101" s="139">
        <f t="shared" si="186"/>
        <v>0</v>
      </c>
      <c r="IG101" s="139">
        <f t="shared" ca="1" si="187"/>
        <v>1</v>
      </c>
      <c r="IH101" s="169">
        <f t="shared" ca="1" si="188"/>
        <v>3.3333333333333333E-2</v>
      </c>
      <c r="II101" s="139">
        <f t="shared" ca="1" si="189"/>
        <v>3.3333333333333333E-2</v>
      </c>
      <c r="IJ101" s="169">
        <f t="shared" ca="1" si="190"/>
        <v>1</v>
      </c>
      <c r="IK101" s="169">
        <f t="shared" ca="1" si="196"/>
        <v>3.3333333333333333E-2</v>
      </c>
      <c r="IL101" s="170">
        <f t="shared" ca="1" si="191"/>
        <v>232</v>
      </c>
      <c r="IM101" s="171"/>
      <c r="IN101" s="171"/>
      <c r="IO101" s="171"/>
      <c r="IP101" s="171"/>
    </row>
    <row r="102" spans="1:250" ht="15" customHeight="1" thickBot="1" x14ac:dyDescent="0.35">
      <c r="A102" s="110">
        <f t="shared" si="192"/>
        <v>98</v>
      </c>
      <c r="B102" s="111" t="s">
        <v>170</v>
      </c>
      <c r="C102" s="111" t="s">
        <v>171</v>
      </c>
      <c r="D102" s="111">
        <v>102</v>
      </c>
      <c r="E102" s="111" t="s">
        <v>253</v>
      </c>
      <c r="F102" s="111"/>
      <c r="G102" s="111" t="s">
        <v>1215</v>
      </c>
      <c r="H102" s="111">
        <v>1021100189</v>
      </c>
      <c r="I102" s="146" t="str">
        <f t="shared" si="124"/>
        <v>1100189</v>
      </c>
      <c r="J102" s="145" t="str">
        <f t="shared" si="125"/>
        <v>KN1100189</v>
      </c>
      <c r="K102" s="111" t="s">
        <v>1216</v>
      </c>
      <c r="L102" s="111" t="s">
        <v>164</v>
      </c>
      <c r="M102" s="111" t="s">
        <v>1217</v>
      </c>
      <c r="N102" s="111" t="s">
        <v>138</v>
      </c>
      <c r="O102" s="111"/>
      <c r="P102" s="111" t="s">
        <v>1218</v>
      </c>
      <c r="Q102" s="148">
        <v>31220</v>
      </c>
      <c r="R102" s="145" t="s">
        <v>170</v>
      </c>
      <c r="S102" s="111"/>
      <c r="T102" s="111" t="s">
        <v>1136</v>
      </c>
      <c r="U102" s="111" t="s">
        <v>234</v>
      </c>
      <c r="V102" s="181">
        <v>777432521</v>
      </c>
      <c r="W102" s="111"/>
      <c r="X102" s="111" t="s">
        <v>181</v>
      </c>
      <c r="Y102" s="111">
        <v>11</v>
      </c>
      <c r="Z102" s="111" t="s">
        <v>1219</v>
      </c>
      <c r="AA102" s="111" t="s">
        <v>1220</v>
      </c>
      <c r="AB102" s="111"/>
      <c r="AC102" s="111" t="s">
        <v>146</v>
      </c>
      <c r="AD102" s="111" t="s">
        <v>147</v>
      </c>
      <c r="AE102" s="111"/>
      <c r="AF102" s="111"/>
      <c r="AG102" s="111"/>
      <c r="AH102" s="175"/>
      <c r="AI102" s="111">
        <v>18</v>
      </c>
      <c r="AJ102" s="111">
        <v>0</v>
      </c>
      <c r="AK102" s="150">
        <f t="shared" si="193"/>
        <v>18</v>
      </c>
      <c r="AL102" s="177">
        <v>170000</v>
      </c>
      <c r="AM102" s="176">
        <v>0.16</v>
      </c>
      <c r="AN102" s="177">
        <f t="shared" si="210"/>
        <v>27200</v>
      </c>
      <c r="AO102" s="157">
        <f t="shared" si="209"/>
        <v>197200</v>
      </c>
      <c r="AP102" s="193">
        <f t="shared" si="126"/>
        <v>10955.555555555555</v>
      </c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75"/>
      <c r="BM102" s="111"/>
      <c r="BN102" s="111"/>
      <c r="BO102" s="111"/>
      <c r="BP102" s="111"/>
      <c r="BQ102" s="111"/>
      <c r="BR102" s="111"/>
      <c r="BS102" s="111"/>
      <c r="BT102" s="111"/>
      <c r="BU102" s="111"/>
      <c r="BV102" s="111"/>
      <c r="BW102" s="111"/>
      <c r="BX102" s="111"/>
      <c r="BY102" s="111"/>
      <c r="BZ102" s="111"/>
      <c r="CA102" s="111"/>
      <c r="CB102" s="111"/>
      <c r="CC102" s="178"/>
      <c r="CD102" s="177">
        <f t="shared" si="127"/>
        <v>170000</v>
      </c>
      <c r="CE102" s="148"/>
      <c r="CF102" s="111">
        <f t="shared" si="128"/>
        <v>18</v>
      </c>
      <c r="CG102" s="177">
        <f t="shared" si="129"/>
        <v>197200</v>
      </c>
      <c r="CH102" s="203">
        <f t="shared" si="208"/>
        <v>0</v>
      </c>
      <c r="CI102" s="148">
        <v>46022</v>
      </c>
      <c r="CJ102" s="161">
        <f t="shared" si="194"/>
        <v>46053</v>
      </c>
      <c r="CK102" s="162">
        <f t="shared" si="195"/>
        <v>46568</v>
      </c>
      <c r="CL102" s="183"/>
      <c r="CM102" s="164">
        <f t="shared" ca="1" si="130"/>
        <v>46054</v>
      </c>
      <c r="CN102" s="165">
        <f t="shared" si="131"/>
        <v>46053</v>
      </c>
      <c r="CO102" s="109">
        <f t="shared" si="132"/>
        <v>0</v>
      </c>
      <c r="CP102" s="109">
        <f t="shared" si="133"/>
        <v>0</v>
      </c>
      <c r="CQ102" s="109"/>
      <c r="CR102" s="109">
        <f t="shared" si="134"/>
        <v>0</v>
      </c>
      <c r="CS102" s="166">
        <f t="shared" ca="1" si="211"/>
        <v>46054</v>
      </c>
      <c r="CT102" s="167">
        <f t="shared" ca="1" si="135"/>
        <v>1</v>
      </c>
      <c r="CU102" s="165">
        <f t="shared" si="136"/>
        <v>46081</v>
      </c>
      <c r="CV102" s="109">
        <f t="shared" si="137"/>
        <v>0</v>
      </c>
      <c r="CW102" s="109">
        <f t="shared" si="138"/>
        <v>0</v>
      </c>
      <c r="CX102" s="109"/>
      <c r="CY102" s="109">
        <f t="shared" si="139"/>
        <v>0</v>
      </c>
      <c r="CZ102" s="166">
        <f t="shared" ca="1" si="212"/>
        <v>46054</v>
      </c>
      <c r="DA102" s="111"/>
      <c r="DB102" s="165">
        <f t="shared" si="141"/>
        <v>46109</v>
      </c>
      <c r="DC102" s="109">
        <f t="shared" si="142"/>
        <v>0</v>
      </c>
      <c r="DD102" s="109">
        <f t="shared" si="143"/>
        <v>0</v>
      </c>
      <c r="DE102" s="109"/>
      <c r="DF102" s="109">
        <f t="shared" si="144"/>
        <v>0</v>
      </c>
      <c r="DG102" s="166">
        <f t="shared" ca="1" si="213"/>
        <v>46054</v>
      </c>
      <c r="DH102" s="167">
        <f t="shared" ca="1" si="145"/>
        <v>0</v>
      </c>
      <c r="DI102" s="165">
        <f t="shared" si="146"/>
        <v>46140</v>
      </c>
      <c r="DJ102" s="109">
        <f t="shared" si="147"/>
        <v>0</v>
      </c>
      <c r="DK102" s="109">
        <f t="shared" si="148"/>
        <v>0</v>
      </c>
      <c r="DL102" s="109">
        <v>0</v>
      </c>
      <c r="DM102" s="109">
        <f t="shared" si="149"/>
        <v>0</v>
      </c>
      <c r="DN102" s="166">
        <f t="shared" ca="1" si="214"/>
        <v>46054</v>
      </c>
      <c r="DO102" s="167">
        <f t="shared" ca="1" si="150"/>
        <v>0</v>
      </c>
      <c r="DP102" s="165">
        <f t="shared" si="215"/>
        <v>46171</v>
      </c>
      <c r="DQ102" s="109">
        <f t="shared" si="216"/>
        <v>0</v>
      </c>
      <c r="DR102" s="109">
        <f t="shared" si="217"/>
        <v>0</v>
      </c>
      <c r="DS102" s="109"/>
      <c r="DT102" s="109">
        <f t="shared" si="152"/>
        <v>0</v>
      </c>
      <c r="DU102" s="166">
        <f t="shared" ca="1" si="218"/>
        <v>46054</v>
      </c>
      <c r="DV102" s="167">
        <f t="shared" ca="1" si="219"/>
        <v>0</v>
      </c>
      <c r="DW102" s="165">
        <f t="shared" si="220"/>
        <v>46202</v>
      </c>
      <c r="DX102" s="109">
        <f t="shared" si="221"/>
        <v>0</v>
      </c>
      <c r="DY102" s="109">
        <f t="shared" si="222"/>
        <v>0</v>
      </c>
      <c r="DZ102" s="109"/>
      <c r="EA102" s="109">
        <f t="shared" si="223"/>
        <v>0</v>
      </c>
      <c r="EB102" s="166">
        <f t="shared" ca="1" si="224"/>
        <v>46054</v>
      </c>
      <c r="EC102" s="167">
        <f t="shared" ca="1" si="225"/>
        <v>0</v>
      </c>
      <c r="ED102" s="165">
        <f t="shared" si="226"/>
        <v>46232</v>
      </c>
      <c r="EE102" s="109">
        <f t="shared" si="227"/>
        <v>0</v>
      </c>
      <c r="EF102" s="109">
        <f t="shared" si="228"/>
        <v>0</v>
      </c>
      <c r="EG102" s="109"/>
      <c r="EH102" s="109">
        <f t="shared" si="229"/>
        <v>0</v>
      </c>
      <c r="EI102" s="166">
        <f t="shared" ca="1" si="230"/>
        <v>46054</v>
      </c>
      <c r="EJ102" s="167">
        <f t="shared" ca="1" si="231"/>
        <v>0</v>
      </c>
      <c r="EK102" s="165">
        <f t="shared" si="232"/>
        <v>46263</v>
      </c>
      <c r="EL102" s="109">
        <f t="shared" si="233"/>
        <v>0</v>
      </c>
      <c r="EM102" s="109">
        <f t="shared" si="234"/>
        <v>0</v>
      </c>
      <c r="EN102" s="109"/>
      <c r="EO102" s="109">
        <f t="shared" si="235"/>
        <v>0</v>
      </c>
      <c r="EP102" s="166">
        <f t="shared" ca="1" si="236"/>
        <v>46054</v>
      </c>
      <c r="EQ102" s="167">
        <f t="shared" ca="1" si="237"/>
        <v>0</v>
      </c>
      <c r="ER102" s="165">
        <f t="shared" si="238"/>
        <v>46294</v>
      </c>
      <c r="ES102" s="109">
        <f t="shared" si="239"/>
        <v>0</v>
      </c>
      <c r="ET102" s="109">
        <f t="shared" si="240"/>
        <v>0</v>
      </c>
      <c r="EU102" s="109"/>
      <c r="EV102" s="109"/>
      <c r="EW102" s="111"/>
      <c r="EX102" s="111"/>
      <c r="EY102" s="165">
        <f t="shared" si="241"/>
        <v>46324</v>
      </c>
      <c r="EZ102" s="109">
        <f t="shared" si="242"/>
        <v>0</v>
      </c>
      <c r="FA102" s="109">
        <f t="shared" si="243"/>
        <v>0</v>
      </c>
      <c r="FB102" s="109"/>
      <c r="FC102" s="109"/>
      <c r="FD102" s="111"/>
      <c r="FE102" s="111"/>
      <c r="FF102" s="165">
        <f t="shared" si="244"/>
        <v>46355</v>
      </c>
      <c r="FG102" s="109">
        <f t="shared" si="245"/>
        <v>0</v>
      </c>
      <c r="FH102" s="109">
        <f t="shared" si="246"/>
        <v>0</v>
      </c>
      <c r="FI102" s="109"/>
      <c r="FJ102" s="109"/>
      <c r="FK102" s="111"/>
      <c r="FL102" s="111"/>
      <c r="FM102" s="165">
        <f t="shared" si="247"/>
        <v>46385</v>
      </c>
      <c r="FN102" s="109">
        <f t="shared" si="248"/>
        <v>0</v>
      </c>
      <c r="FO102" s="109">
        <f t="shared" si="249"/>
        <v>0</v>
      </c>
      <c r="FP102" s="109"/>
      <c r="FQ102" s="109"/>
      <c r="FR102" s="111"/>
      <c r="FS102" s="111"/>
      <c r="FT102" s="165">
        <f t="shared" ref="FT102:FT103" si="264">EDATE(FM102,1)</f>
        <v>46416</v>
      </c>
      <c r="FU102" s="109">
        <f t="shared" si="250"/>
        <v>0</v>
      </c>
      <c r="FV102" s="109">
        <f>FW102/(1+AM102)*AM102</f>
        <v>0</v>
      </c>
      <c r="FW102" s="109"/>
      <c r="FX102" s="109"/>
      <c r="FY102" s="111"/>
      <c r="FZ102" s="111"/>
      <c r="GA102" s="165">
        <f t="shared" ref="GA102:GA103" si="265">EDATE(FT102,1)</f>
        <v>46446</v>
      </c>
      <c r="GB102" s="109">
        <f t="shared" si="251"/>
        <v>0</v>
      </c>
      <c r="GC102" s="109">
        <f>GD102/(1+AM102)*AM102</f>
        <v>0</v>
      </c>
      <c r="GD102" s="109"/>
      <c r="GE102" s="109"/>
      <c r="GF102" s="111"/>
      <c r="GG102" s="111"/>
      <c r="GH102" s="165">
        <f t="shared" ref="GH102:GH103" si="266">EDATE(GA102,1)</f>
        <v>46474</v>
      </c>
      <c r="GI102" s="109">
        <f t="shared" si="252"/>
        <v>0</v>
      </c>
      <c r="GJ102" s="109">
        <f>GK102/(1+AM102)*AM102</f>
        <v>0</v>
      </c>
      <c r="GK102" s="109"/>
      <c r="GL102" s="109"/>
      <c r="GM102" s="111"/>
      <c r="GN102" s="111"/>
      <c r="GO102" s="165">
        <f t="shared" ref="GO102:GO103" si="267">EDATE(GH102,1)</f>
        <v>46505</v>
      </c>
      <c r="GP102" s="109">
        <f t="shared" si="253"/>
        <v>0</v>
      </c>
      <c r="GQ102" s="109">
        <f>GR102/(1+AM102)*AM102</f>
        <v>0</v>
      </c>
      <c r="GR102" s="109"/>
      <c r="GS102" s="109"/>
      <c r="GT102" s="111"/>
      <c r="GU102" s="111"/>
      <c r="GV102" s="165">
        <f t="shared" ref="GV102:GV103" si="268">EDATE(GO102,1)</f>
        <v>46535</v>
      </c>
      <c r="GW102" s="168">
        <f t="shared" si="254"/>
        <v>0</v>
      </c>
      <c r="GX102" s="168">
        <f>GY102/(1+AM102)*AM102</f>
        <v>0</v>
      </c>
      <c r="GY102" s="168"/>
      <c r="GZ102" s="168"/>
      <c r="HA102" s="111"/>
      <c r="HB102" s="111"/>
      <c r="HC102" s="165">
        <f t="shared" ref="HC102:HC103" si="269">EDATE(GV102,1)</f>
        <v>46566</v>
      </c>
      <c r="HD102" s="109">
        <f t="shared" si="255"/>
        <v>0</v>
      </c>
      <c r="HE102" s="109">
        <f>HF102/(1+AM102)*AM102</f>
        <v>0</v>
      </c>
      <c r="HF102" s="109"/>
      <c r="HG102" s="109"/>
      <c r="HH102" s="111"/>
      <c r="HI102" s="111"/>
      <c r="HJ102" s="165"/>
      <c r="HK102" s="109">
        <f t="shared" si="256"/>
        <v>0</v>
      </c>
      <c r="HL102" s="109">
        <f>HM102/(1+AM102)*AM102</f>
        <v>0</v>
      </c>
      <c r="HM102" s="109"/>
      <c r="HN102" s="109"/>
      <c r="HO102" s="111"/>
      <c r="HP102" s="111"/>
      <c r="HQ102" s="165"/>
      <c r="HR102" s="109">
        <f t="shared" si="257"/>
        <v>0</v>
      </c>
      <c r="HS102" s="109">
        <f>HT102/(1+AM102)*AM102</f>
        <v>0</v>
      </c>
      <c r="HT102" s="109"/>
      <c r="HU102" s="109"/>
      <c r="HV102" s="111"/>
      <c r="HW102" s="111"/>
      <c r="HX102" s="105">
        <f t="shared" si="198"/>
        <v>0</v>
      </c>
      <c r="HY102" s="105">
        <f t="shared" si="198"/>
        <v>0</v>
      </c>
      <c r="HZ102" s="105">
        <f t="shared" si="198"/>
        <v>0</v>
      </c>
      <c r="IA102" s="105">
        <f t="shared" si="181"/>
        <v>0</v>
      </c>
      <c r="IB102" s="109">
        <f t="shared" si="182"/>
        <v>197200</v>
      </c>
      <c r="IC102" s="109">
        <f t="shared" si="183"/>
        <v>170000</v>
      </c>
      <c r="ID102" s="109">
        <f t="shared" si="184"/>
        <v>0</v>
      </c>
      <c r="IE102" s="109">
        <f t="shared" ca="1" si="185"/>
        <v>1</v>
      </c>
      <c r="IF102" s="139">
        <f t="shared" si="186"/>
        <v>0</v>
      </c>
      <c r="IG102" s="139">
        <f t="shared" ca="1" si="187"/>
        <v>1</v>
      </c>
      <c r="IH102" s="169">
        <f t="shared" ca="1" si="188"/>
        <v>3.3333333333333333E-2</v>
      </c>
      <c r="II102" s="139">
        <f t="shared" ca="1" si="189"/>
        <v>3.3333333333333333E-2</v>
      </c>
      <c r="IJ102" s="169">
        <f t="shared" ca="1" si="190"/>
        <v>1</v>
      </c>
      <c r="IK102" s="169">
        <f t="shared" ca="1" si="196"/>
        <v>3.3333333333333333E-2</v>
      </c>
      <c r="IL102" s="170">
        <f t="shared" ca="1" si="191"/>
        <v>365.18518518518516</v>
      </c>
      <c r="IM102" s="171"/>
      <c r="IN102" s="171"/>
      <c r="IO102" s="171"/>
      <c r="IP102" s="171"/>
    </row>
    <row r="103" spans="1:250" ht="15" customHeight="1" thickBot="1" x14ac:dyDescent="0.35">
      <c r="A103" s="110">
        <f t="shared" si="192"/>
        <v>99</v>
      </c>
      <c r="B103" s="111" t="s">
        <v>170</v>
      </c>
      <c r="C103" s="111" t="s">
        <v>171</v>
      </c>
      <c r="D103" s="111">
        <v>102</v>
      </c>
      <c r="E103" s="111" t="s">
        <v>253</v>
      </c>
      <c r="F103" s="111"/>
      <c r="G103" s="111" t="s">
        <v>1221</v>
      </c>
      <c r="H103" s="111">
        <v>1021100185</v>
      </c>
      <c r="I103" s="146" t="str">
        <f t="shared" si="124"/>
        <v>1100185</v>
      </c>
      <c r="J103" s="145" t="str">
        <f t="shared" si="125"/>
        <v>KN1100185</v>
      </c>
      <c r="K103" s="111" t="s">
        <v>1222</v>
      </c>
      <c r="L103" s="111" t="s">
        <v>1223</v>
      </c>
      <c r="M103" s="111" t="s">
        <v>1224</v>
      </c>
      <c r="N103" s="111" t="s">
        <v>138</v>
      </c>
      <c r="O103" s="111"/>
      <c r="P103" s="111" t="s">
        <v>1225</v>
      </c>
      <c r="Q103" s="148">
        <v>39400</v>
      </c>
      <c r="R103" s="145" t="s">
        <v>170</v>
      </c>
      <c r="S103" s="111"/>
      <c r="T103" s="111" t="s">
        <v>1226</v>
      </c>
      <c r="U103" s="111" t="s">
        <v>470</v>
      </c>
      <c r="V103" s="181">
        <v>771838519</v>
      </c>
      <c r="W103" s="111"/>
      <c r="X103" s="111" t="s">
        <v>181</v>
      </c>
      <c r="Y103" s="111">
        <v>11</v>
      </c>
      <c r="Z103" s="111" t="s">
        <v>1227</v>
      </c>
      <c r="AA103" s="111" t="s">
        <v>235</v>
      </c>
      <c r="AB103" s="111"/>
      <c r="AC103" s="111" t="s">
        <v>146</v>
      </c>
      <c r="AD103" s="111" t="s">
        <v>147</v>
      </c>
      <c r="AE103" s="111"/>
      <c r="AF103" s="111"/>
      <c r="AG103" s="111"/>
      <c r="AH103" s="175"/>
      <c r="AI103" s="111">
        <v>18</v>
      </c>
      <c r="AJ103" s="111">
        <v>0</v>
      </c>
      <c r="AK103" s="150">
        <f t="shared" si="193"/>
        <v>18</v>
      </c>
      <c r="AL103" s="177">
        <v>300000</v>
      </c>
      <c r="AM103" s="176">
        <v>0.16</v>
      </c>
      <c r="AN103" s="177">
        <f t="shared" si="210"/>
        <v>48000</v>
      </c>
      <c r="AO103" s="157">
        <f t="shared" si="209"/>
        <v>348000</v>
      </c>
      <c r="AP103" s="193">
        <f t="shared" si="126"/>
        <v>19333.333333333332</v>
      </c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75"/>
      <c r="BM103" s="111"/>
      <c r="BN103" s="111"/>
      <c r="BO103" s="111"/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1"/>
      <c r="CA103" s="111"/>
      <c r="CB103" s="111"/>
      <c r="CC103" s="178"/>
      <c r="CD103" s="177">
        <f t="shared" si="127"/>
        <v>300000</v>
      </c>
      <c r="CE103" s="148"/>
      <c r="CF103" s="111">
        <f t="shared" si="128"/>
        <v>18</v>
      </c>
      <c r="CG103" s="177">
        <f t="shared" si="129"/>
        <v>348000</v>
      </c>
      <c r="CH103" s="203">
        <f t="shared" si="208"/>
        <v>0</v>
      </c>
      <c r="CI103" s="148">
        <v>46022</v>
      </c>
      <c r="CJ103" s="161">
        <f t="shared" si="194"/>
        <v>46053</v>
      </c>
      <c r="CK103" s="162">
        <f t="shared" si="195"/>
        <v>46568</v>
      </c>
      <c r="CL103" s="183"/>
      <c r="CM103" s="164">
        <f t="shared" ca="1" si="130"/>
        <v>46054</v>
      </c>
      <c r="CN103" s="165">
        <f t="shared" si="131"/>
        <v>46053</v>
      </c>
      <c r="CO103" s="109">
        <f t="shared" si="132"/>
        <v>0</v>
      </c>
      <c r="CP103" s="109">
        <f t="shared" si="133"/>
        <v>0</v>
      </c>
      <c r="CQ103" s="109"/>
      <c r="CR103" s="109">
        <f t="shared" si="134"/>
        <v>0</v>
      </c>
      <c r="CS103" s="166">
        <f t="shared" ca="1" si="211"/>
        <v>46054</v>
      </c>
      <c r="CT103" s="167">
        <f t="shared" ca="1" si="135"/>
        <v>1</v>
      </c>
      <c r="CU103" s="165">
        <f t="shared" si="136"/>
        <v>46081</v>
      </c>
      <c r="CV103" s="109">
        <f t="shared" si="137"/>
        <v>0</v>
      </c>
      <c r="CW103" s="109">
        <f t="shared" si="138"/>
        <v>0</v>
      </c>
      <c r="CX103" s="109"/>
      <c r="CY103" s="109">
        <f t="shared" si="139"/>
        <v>0</v>
      </c>
      <c r="CZ103" s="166">
        <f t="shared" ca="1" si="212"/>
        <v>46054</v>
      </c>
      <c r="DA103" s="111"/>
      <c r="DB103" s="165">
        <f t="shared" si="141"/>
        <v>46109</v>
      </c>
      <c r="DC103" s="109">
        <f t="shared" si="142"/>
        <v>0</v>
      </c>
      <c r="DD103" s="109">
        <f t="shared" si="143"/>
        <v>0</v>
      </c>
      <c r="DE103" s="109"/>
      <c r="DF103" s="109">
        <f t="shared" si="144"/>
        <v>0</v>
      </c>
      <c r="DG103" s="166">
        <f t="shared" ca="1" si="213"/>
        <v>46054</v>
      </c>
      <c r="DH103" s="167">
        <f t="shared" ca="1" si="145"/>
        <v>0</v>
      </c>
      <c r="DI103" s="165">
        <f t="shared" si="146"/>
        <v>46140</v>
      </c>
      <c r="DJ103" s="109">
        <f t="shared" si="147"/>
        <v>0</v>
      </c>
      <c r="DK103" s="109">
        <f t="shared" si="148"/>
        <v>0</v>
      </c>
      <c r="DL103" s="109">
        <v>0</v>
      </c>
      <c r="DM103" s="109">
        <f t="shared" si="149"/>
        <v>0</v>
      </c>
      <c r="DN103" s="166">
        <f t="shared" ca="1" si="214"/>
        <v>46054</v>
      </c>
      <c r="DO103" s="167">
        <f t="shared" ca="1" si="150"/>
        <v>0</v>
      </c>
      <c r="DP103" s="165">
        <f t="shared" si="215"/>
        <v>46171</v>
      </c>
      <c r="DQ103" s="109">
        <f t="shared" si="216"/>
        <v>0</v>
      </c>
      <c r="DR103" s="109">
        <f t="shared" si="217"/>
        <v>0</v>
      </c>
      <c r="DS103" s="109"/>
      <c r="DT103" s="109">
        <f t="shared" si="152"/>
        <v>0</v>
      </c>
      <c r="DU103" s="166">
        <f t="shared" ca="1" si="218"/>
        <v>46054</v>
      </c>
      <c r="DV103" s="167">
        <f t="shared" ca="1" si="219"/>
        <v>0</v>
      </c>
      <c r="DW103" s="165">
        <f t="shared" si="220"/>
        <v>46202</v>
      </c>
      <c r="DX103" s="109">
        <f t="shared" si="221"/>
        <v>0</v>
      </c>
      <c r="DY103" s="109">
        <f t="shared" si="222"/>
        <v>0</v>
      </c>
      <c r="DZ103" s="109"/>
      <c r="EA103" s="109">
        <f t="shared" si="223"/>
        <v>0</v>
      </c>
      <c r="EB103" s="166">
        <f t="shared" ca="1" si="224"/>
        <v>46054</v>
      </c>
      <c r="EC103" s="167">
        <f t="shared" ca="1" si="225"/>
        <v>0</v>
      </c>
      <c r="ED103" s="165">
        <f t="shared" si="226"/>
        <v>46232</v>
      </c>
      <c r="EE103" s="109">
        <f t="shared" si="227"/>
        <v>0</v>
      </c>
      <c r="EF103" s="109">
        <f t="shared" si="228"/>
        <v>0</v>
      </c>
      <c r="EG103" s="109"/>
      <c r="EH103" s="109">
        <f t="shared" si="229"/>
        <v>0</v>
      </c>
      <c r="EI103" s="166">
        <f t="shared" ca="1" si="230"/>
        <v>46054</v>
      </c>
      <c r="EJ103" s="167">
        <f t="shared" ca="1" si="231"/>
        <v>0</v>
      </c>
      <c r="EK103" s="165">
        <f t="shared" si="232"/>
        <v>46263</v>
      </c>
      <c r="EL103" s="109">
        <f t="shared" si="233"/>
        <v>0</v>
      </c>
      <c r="EM103" s="109">
        <f t="shared" si="234"/>
        <v>0</v>
      </c>
      <c r="EN103" s="109"/>
      <c r="EO103" s="109">
        <f t="shared" si="235"/>
        <v>0</v>
      </c>
      <c r="EP103" s="166">
        <f t="shared" ca="1" si="236"/>
        <v>46054</v>
      </c>
      <c r="EQ103" s="167">
        <f t="shared" ca="1" si="237"/>
        <v>0</v>
      </c>
      <c r="ER103" s="165">
        <f t="shared" si="238"/>
        <v>46294</v>
      </c>
      <c r="ES103" s="109">
        <f t="shared" si="239"/>
        <v>0</v>
      </c>
      <c r="ET103" s="109">
        <f t="shared" si="240"/>
        <v>0</v>
      </c>
      <c r="EU103" s="109"/>
      <c r="EV103" s="109"/>
      <c r="EW103" s="111"/>
      <c r="EX103" s="111"/>
      <c r="EY103" s="165">
        <f t="shared" si="241"/>
        <v>46324</v>
      </c>
      <c r="EZ103" s="109">
        <f t="shared" si="242"/>
        <v>0</v>
      </c>
      <c r="FA103" s="109">
        <f t="shared" si="243"/>
        <v>0</v>
      </c>
      <c r="FB103" s="109"/>
      <c r="FC103" s="109"/>
      <c r="FD103" s="111"/>
      <c r="FE103" s="111"/>
      <c r="FF103" s="165">
        <f t="shared" si="244"/>
        <v>46355</v>
      </c>
      <c r="FG103" s="109">
        <f t="shared" si="245"/>
        <v>0</v>
      </c>
      <c r="FH103" s="109">
        <f t="shared" si="246"/>
        <v>0</v>
      </c>
      <c r="FI103" s="109"/>
      <c r="FJ103" s="109"/>
      <c r="FK103" s="111"/>
      <c r="FL103" s="111"/>
      <c r="FM103" s="165">
        <f t="shared" si="247"/>
        <v>46385</v>
      </c>
      <c r="FN103" s="109">
        <f t="shared" si="248"/>
        <v>0</v>
      </c>
      <c r="FO103" s="109">
        <f t="shared" si="249"/>
        <v>0</v>
      </c>
      <c r="FP103" s="109"/>
      <c r="FQ103" s="109"/>
      <c r="FR103" s="111"/>
      <c r="FS103" s="111"/>
      <c r="FT103" s="165">
        <f t="shared" si="264"/>
        <v>46416</v>
      </c>
      <c r="FU103" s="109">
        <f t="shared" si="250"/>
        <v>0</v>
      </c>
      <c r="FV103" s="109">
        <f>FW103/(1+AM103)*AM103</f>
        <v>0</v>
      </c>
      <c r="FW103" s="109"/>
      <c r="FX103" s="109"/>
      <c r="FY103" s="111"/>
      <c r="FZ103" s="111"/>
      <c r="GA103" s="165">
        <f t="shared" si="265"/>
        <v>46446</v>
      </c>
      <c r="GB103" s="109">
        <f t="shared" si="251"/>
        <v>0</v>
      </c>
      <c r="GC103" s="109">
        <f>GD103/(1+AM103)*AM103</f>
        <v>0</v>
      </c>
      <c r="GD103" s="109"/>
      <c r="GE103" s="109"/>
      <c r="GF103" s="111"/>
      <c r="GG103" s="111"/>
      <c r="GH103" s="165">
        <f t="shared" si="266"/>
        <v>46474</v>
      </c>
      <c r="GI103" s="109">
        <f t="shared" si="252"/>
        <v>0</v>
      </c>
      <c r="GJ103" s="109">
        <f>GK103/(1+AM103)*AM103</f>
        <v>0</v>
      </c>
      <c r="GK103" s="109"/>
      <c r="GL103" s="109"/>
      <c r="GM103" s="111"/>
      <c r="GN103" s="111"/>
      <c r="GO103" s="165">
        <f t="shared" si="267"/>
        <v>46505</v>
      </c>
      <c r="GP103" s="109">
        <f t="shared" si="253"/>
        <v>0</v>
      </c>
      <c r="GQ103" s="109">
        <f>GR103/(1+AM103)*AM103</f>
        <v>0</v>
      </c>
      <c r="GR103" s="109"/>
      <c r="GS103" s="109"/>
      <c r="GT103" s="111"/>
      <c r="GU103" s="111"/>
      <c r="GV103" s="165">
        <f t="shared" si="268"/>
        <v>46535</v>
      </c>
      <c r="GW103" s="168">
        <f t="shared" si="254"/>
        <v>0</v>
      </c>
      <c r="GX103" s="168">
        <f>GY103/(1+AM103)*AM103</f>
        <v>0</v>
      </c>
      <c r="GY103" s="168"/>
      <c r="GZ103" s="168"/>
      <c r="HA103" s="111"/>
      <c r="HB103" s="111"/>
      <c r="HC103" s="165">
        <f t="shared" si="269"/>
        <v>46566</v>
      </c>
      <c r="HD103" s="109">
        <f t="shared" si="255"/>
        <v>0</v>
      </c>
      <c r="HE103" s="109">
        <f>HF103/(1+AM103)*AM103</f>
        <v>0</v>
      </c>
      <c r="HF103" s="109"/>
      <c r="HG103" s="109"/>
      <c r="HH103" s="111"/>
      <c r="HI103" s="111"/>
      <c r="HJ103" s="165"/>
      <c r="HK103" s="109">
        <f t="shared" si="256"/>
        <v>0</v>
      </c>
      <c r="HL103" s="109">
        <f>HM103/(1+AM103)*AM103</f>
        <v>0</v>
      </c>
      <c r="HM103" s="109"/>
      <c r="HN103" s="109"/>
      <c r="HO103" s="111"/>
      <c r="HP103" s="111"/>
      <c r="HQ103" s="165"/>
      <c r="HR103" s="109">
        <f t="shared" si="257"/>
        <v>0</v>
      </c>
      <c r="HS103" s="109">
        <f>HT103/(1+AM103)*AM103</f>
        <v>0</v>
      </c>
      <c r="HT103" s="109"/>
      <c r="HU103" s="109"/>
      <c r="HV103" s="111"/>
      <c r="HW103" s="111"/>
      <c r="HX103" s="105">
        <f t="shared" si="198"/>
        <v>0</v>
      </c>
      <c r="HY103" s="105">
        <f t="shared" si="198"/>
        <v>0</v>
      </c>
      <c r="HZ103" s="105">
        <f t="shared" si="198"/>
        <v>0</v>
      </c>
      <c r="IA103" s="105">
        <f t="shared" si="181"/>
        <v>0</v>
      </c>
      <c r="IB103" s="109">
        <f t="shared" si="182"/>
        <v>348000</v>
      </c>
      <c r="IC103" s="109">
        <f t="shared" si="183"/>
        <v>300000</v>
      </c>
      <c r="ID103" s="109">
        <f t="shared" si="184"/>
        <v>0</v>
      </c>
      <c r="IE103" s="109">
        <f t="shared" ca="1" si="185"/>
        <v>1</v>
      </c>
      <c r="IF103" s="139">
        <f t="shared" si="186"/>
        <v>0</v>
      </c>
      <c r="IG103" s="139">
        <f t="shared" ca="1" si="187"/>
        <v>1</v>
      </c>
      <c r="IH103" s="169">
        <f t="shared" ca="1" si="188"/>
        <v>3.3333333333333333E-2</v>
      </c>
      <c r="II103" s="139">
        <f t="shared" ca="1" si="189"/>
        <v>3.3333333333333333E-2</v>
      </c>
      <c r="IJ103" s="169">
        <f t="shared" ca="1" si="190"/>
        <v>1</v>
      </c>
      <c r="IK103" s="169">
        <f t="shared" ca="1" si="196"/>
        <v>3.3333333333333333E-2</v>
      </c>
      <c r="IL103" s="170">
        <f t="shared" ca="1" si="191"/>
        <v>644.44444444444434</v>
      </c>
      <c r="IM103" s="171"/>
      <c r="IN103" s="171"/>
      <c r="IO103" s="171"/>
      <c r="IP103" s="171"/>
    </row>
    <row r="104" spans="1:250" ht="15" customHeight="1" thickBot="1" x14ac:dyDescent="0.35">
      <c r="A104" s="110">
        <f t="shared" si="192"/>
        <v>100</v>
      </c>
      <c r="B104" s="111" t="s">
        <v>170</v>
      </c>
      <c r="C104" s="111" t="s">
        <v>171</v>
      </c>
      <c r="D104" s="111">
        <v>102</v>
      </c>
      <c r="E104" s="111" t="s">
        <v>253</v>
      </c>
      <c r="F104" s="111"/>
      <c r="G104" s="111" t="s">
        <v>1228</v>
      </c>
      <c r="H104" s="111">
        <v>1021100192</v>
      </c>
      <c r="I104" s="146" t="str">
        <f t="shared" si="124"/>
        <v>1100192</v>
      </c>
      <c r="J104" s="145" t="str">
        <f t="shared" si="125"/>
        <v>KN1100192</v>
      </c>
      <c r="K104" s="111" t="s">
        <v>511</v>
      </c>
      <c r="L104" s="111" t="s">
        <v>316</v>
      </c>
      <c r="M104" s="111" t="s">
        <v>1229</v>
      </c>
      <c r="N104" s="111" t="s">
        <v>138</v>
      </c>
      <c r="O104" s="111"/>
      <c r="P104" s="111" t="s">
        <v>1230</v>
      </c>
      <c r="Q104" s="148">
        <v>31319</v>
      </c>
      <c r="R104" s="145" t="s">
        <v>170</v>
      </c>
      <c r="S104" s="111"/>
      <c r="T104" s="111" t="s">
        <v>229</v>
      </c>
      <c r="U104" s="111" t="s">
        <v>234</v>
      </c>
      <c r="V104" s="181">
        <v>779880519</v>
      </c>
      <c r="W104" s="111"/>
      <c r="X104" s="111" t="s">
        <v>181</v>
      </c>
      <c r="Y104" s="111">
        <v>11</v>
      </c>
      <c r="Z104" s="111" t="s">
        <v>1219</v>
      </c>
      <c r="AA104" s="111" t="s">
        <v>1231</v>
      </c>
      <c r="AB104" s="111"/>
      <c r="AC104" s="111" t="s">
        <v>146</v>
      </c>
      <c r="AD104" s="111" t="s">
        <v>147</v>
      </c>
      <c r="AE104" s="111"/>
      <c r="AF104" s="111"/>
      <c r="AG104" s="111"/>
      <c r="AH104" s="175"/>
      <c r="AI104" s="111">
        <v>12</v>
      </c>
      <c r="AJ104" s="111">
        <v>0</v>
      </c>
      <c r="AK104" s="150">
        <f t="shared" si="193"/>
        <v>12</v>
      </c>
      <c r="AL104" s="177">
        <v>50000</v>
      </c>
      <c r="AM104" s="176">
        <v>0.16</v>
      </c>
      <c r="AN104" s="177">
        <f t="shared" si="210"/>
        <v>8000</v>
      </c>
      <c r="AO104" s="157">
        <f t="shared" si="209"/>
        <v>58000</v>
      </c>
      <c r="AP104" s="193">
        <f t="shared" si="126"/>
        <v>4833.333333333333</v>
      </c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75"/>
      <c r="BM104" s="111"/>
      <c r="BN104" s="111"/>
      <c r="BO104" s="111"/>
      <c r="BP104" s="111"/>
      <c r="BQ104" s="111"/>
      <c r="BR104" s="111"/>
      <c r="BS104" s="111"/>
      <c r="BT104" s="111"/>
      <c r="BU104" s="111"/>
      <c r="BV104" s="111"/>
      <c r="BW104" s="111"/>
      <c r="BX104" s="111"/>
      <c r="BY104" s="111"/>
      <c r="BZ104" s="111"/>
      <c r="CA104" s="111"/>
      <c r="CB104" s="111"/>
      <c r="CC104" s="178"/>
      <c r="CD104" s="177">
        <f t="shared" si="127"/>
        <v>50000</v>
      </c>
      <c r="CE104" s="148"/>
      <c r="CF104" s="111">
        <f t="shared" si="128"/>
        <v>12</v>
      </c>
      <c r="CG104" s="177">
        <f t="shared" si="129"/>
        <v>58000</v>
      </c>
      <c r="CH104" s="203">
        <f t="shared" si="208"/>
        <v>0</v>
      </c>
      <c r="CI104" s="148">
        <v>46022</v>
      </c>
      <c r="CJ104" s="161">
        <f t="shared" si="194"/>
        <v>46053</v>
      </c>
      <c r="CK104" s="162">
        <f t="shared" si="195"/>
        <v>46387</v>
      </c>
      <c r="CL104" s="183"/>
      <c r="CM104" s="164">
        <f t="shared" ca="1" si="130"/>
        <v>46054</v>
      </c>
      <c r="CN104" s="165">
        <f t="shared" si="131"/>
        <v>46053</v>
      </c>
      <c r="CO104" s="109">
        <f t="shared" si="132"/>
        <v>0</v>
      </c>
      <c r="CP104" s="109">
        <f t="shared" si="133"/>
        <v>0</v>
      </c>
      <c r="CQ104" s="109"/>
      <c r="CR104" s="109">
        <f t="shared" si="134"/>
        <v>0</v>
      </c>
      <c r="CS104" s="166">
        <f t="shared" ca="1" si="211"/>
        <v>46054</v>
      </c>
      <c r="CT104" s="167">
        <f t="shared" ca="1" si="135"/>
        <v>1</v>
      </c>
      <c r="CU104" s="165">
        <f t="shared" si="136"/>
        <v>46081</v>
      </c>
      <c r="CV104" s="109">
        <f t="shared" si="137"/>
        <v>0</v>
      </c>
      <c r="CW104" s="109">
        <f t="shared" si="138"/>
        <v>0</v>
      </c>
      <c r="CX104" s="109"/>
      <c r="CY104" s="109">
        <f t="shared" si="139"/>
        <v>0</v>
      </c>
      <c r="CZ104" s="166">
        <f t="shared" ca="1" si="212"/>
        <v>46054</v>
      </c>
      <c r="DA104" s="111"/>
      <c r="DB104" s="165">
        <f t="shared" si="141"/>
        <v>46109</v>
      </c>
      <c r="DC104" s="109">
        <f t="shared" si="142"/>
        <v>0</v>
      </c>
      <c r="DD104" s="109">
        <f t="shared" si="143"/>
        <v>0</v>
      </c>
      <c r="DE104" s="109"/>
      <c r="DF104" s="109">
        <f t="shared" si="144"/>
        <v>0</v>
      </c>
      <c r="DG104" s="166">
        <f t="shared" ca="1" si="213"/>
        <v>46054</v>
      </c>
      <c r="DH104" s="167">
        <f t="shared" ca="1" si="145"/>
        <v>0</v>
      </c>
      <c r="DI104" s="165">
        <f t="shared" si="146"/>
        <v>46140</v>
      </c>
      <c r="DJ104" s="109">
        <f t="shared" si="147"/>
        <v>0</v>
      </c>
      <c r="DK104" s="109">
        <f t="shared" si="148"/>
        <v>0</v>
      </c>
      <c r="DL104" s="109">
        <v>0</v>
      </c>
      <c r="DM104" s="109">
        <f t="shared" si="149"/>
        <v>0</v>
      </c>
      <c r="DN104" s="166">
        <f t="shared" ca="1" si="214"/>
        <v>46054</v>
      </c>
      <c r="DO104" s="167">
        <f t="shared" ca="1" si="150"/>
        <v>0</v>
      </c>
      <c r="DP104" s="165">
        <f t="shared" si="215"/>
        <v>46171</v>
      </c>
      <c r="DQ104" s="109">
        <f t="shared" si="216"/>
        <v>0</v>
      </c>
      <c r="DR104" s="109">
        <f t="shared" si="217"/>
        <v>0</v>
      </c>
      <c r="DS104" s="109"/>
      <c r="DT104" s="109">
        <f t="shared" si="152"/>
        <v>0</v>
      </c>
      <c r="DU104" s="166">
        <f t="shared" ca="1" si="218"/>
        <v>46054</v>
      </c>
      <c r="DV104" s="167">
        <f t="shared" ca="1" si="219"/>
        <v>0</v>
      </c>
      <c r="DW104" s="165">
        <f t="shared" si="220"/>
        <v>46202</v>
      </c>
      <c r="DX104" s="109">
        <f t="shared" si="221"/>
        <v>0</v>
      </c>
      <c r="DY104" s="109">
        <f t="shared" si="222"/>
        <v>0</v>
      </c>
      <c r="DZ104" s="109"/>
      <c r="EA104" s="109">
        <f t="shared" si="223"/>
        <v>0</v>
      </c>
      <c r="EB104" s="166">
        <f t="shared" ca="1" si="224"/>
        <v>46054</v>
      </c>
      <c r="EC104" s="167">
        <f t="shared" ca="1" si="225"/>
        <v>0</v>
      </c>
      <c r="ED104" s="165">
        <f t="shared" si="226"/>
        <v>46232</v>
      </c>
      <c r="EE104" s="109">
        <f t="shared" si="227"/>
        <v>0</v>
      </c>
      <c r="EF104" s="109">
        <f t="shared" si="228"/>
        <v>0</v>
      </c>
      <c r="EG104" s="109"/>
      <c r="EH104" s="109">
        <f t="shared" si="229"/>
        <v>0</v>
      </c>
      <c r="EI104" s="166">
        <f t="shared" ca="1" si="230"/>
        <v>46054</v>
      </c>
      <c r="EJ104" s="167">
        <f t="shared" ca="1" si="231"/>
        <v>0</v>
      </c>
      <c r="EK104" s="165">
        <f t="shared" si="232"/>
        <v>46263</v>
      </c>
      <c r="EL104" s="109">
        <f t="shared" si="233"/>
        <v>0</v>
      </c>
      <c r="EM104" s="109">
        <f t="shared" si="234"/>
        <v>0</v>
      </c>
      <c r="EN104" s="109"/>
      <c r="EO104" s="109">
        <f t="shared" si="235"/>
        <v>0</v>
      </c>
      <c r="EP104" s="166">
        <f t="shared" ca="1" si="236"/>
        <v>46054</v>
      </c>
      <c r="EQ104" s="167">
        <f t="shared" ca="1" si="237"/>
        <v>0</v>
      </c>
      <c r="ER104" s="165">
        <f t="shared" si="238"/>
        <v>46294</v>
      </c>
      <c r="ES104" s="109">
        <f t="shared" si="239"/>
        <v>0</v>
      </c>
      <c r="ET104" s="109">
        <f t="shared" si="240"/>
        <v>0</v>
      </c>
      <c r="EU104" s="109"/>
      <c r="EV104" s="109"/>
      <c r="EW104" s="111"/>
      <c r="EX104" s="111"/>
      <c r="EY104" s="165">
        <f t="shared" si="241"/>
        <v>46324</v>
      </c>
      <c r="EZ104" s="109">
        <f t="shared" si="242"/>
        <v>0</v>
      </c>
      <c r="FA104" s="109">
        <f t="shared" si="243"/>
        <v>0</v>
      </c>
      <c r="FB104" s="109"/>
      <c r="FC104" s="109"/>
      <c r="FD104" s="111"/>
      <c r="FE104" s="111"/>
      <c r="FF104" s="165">
        <f t="shared" si="244"/>
        <v>46355</v>
      </c>
      <c r="FG104" s="109">
        <f t="shared" si="245"/>
        <v>0</v>
      </c>
      <c r="FH104" s="109">
        <f t="shared" si="246"/>
        <v>0</v>
      </c>
      <c r="FI104" s="109"/>
      <c r="FJ104" s="109"/>
      <c r="FK104" s="111"/>
      <c r="FL104" s="111"/>
      <c r="FM104" s="165">
        <f t="shared" si="247"/>
        <v>46385</v>
      </c>
      <c r="FN104" s="109">
        <f t="shared" si="248"/>
        <v>0</v>
      </c>
      <c r="FO104" s="109">
        <f t="shared" si="249"/>
        <v>0</v>
      </c>
      <c r="FP104" s="109"/>
      <c r="FQ104" s="109"/>
      <c r="FR104" s="111"/>
      <c r="FS104" s="111"/>
      <c r="FT104" s="165"/>
      <c r="FU104" s="109"/>
      <c r="FV104" s="109"/>
      <c r="FW104" s="109"/>
      <c r="FX104" s="109"/>
      <c r="FY104" s="111"/>
      <c r="FZ104" s="111"/>
      <c r="GA104" s="165"/>
      <c r="GB104" s="109"/>
      <c r="GC104" s="109"/>
      <c r="GD104" s="109"/>
      <c r="GE104" s="109"/>
      <c r="GF104" s="111"/>
      <c r="GG104" s="111"/>
      <c r="GH104" s="165"/>
      <c r="GI104" s="109"/>
      <c r="GJ104" s="109"/>
      <c r="GK104" s="109"/>
      <c r="GL104" s="109"/>
      <c r="GM104" s="111"/>
      <c r="GN104" s="111"/>
      <c r="GO104" s="165"/>
      <c r="GP104" s="109"/>
      <c r="GQ104" s="109"/>
      <c r="GR104" s="109"/>
      <c r="GS104" s="109"/>
      <c r="GT104" s="111"/>
      <c r="GU104" s="111"/>
      <c r="GV104" s="165"/>
      <c r="GW104" s="168"/>
      <c r="GX104" s="168"/>
      <c r="GY104" s="168"/>
      <c r="GZ104" s="168"/>
      <c r="HA104" s="111"/>
      <c r="HB104" s="111"/>
      <c r="HC104" s="165"/>
      <c r="HD104" s="109"/>
      <c r="HE104" s="109"/>
      <c r="HF104" s="109"/>
      <c r="HG104" s="109"/>
      <c r="HH104" s="111"/>
      <c r="HI104" s="111"/>
      <c r="HJ104" s="165"/>
      <c r="HK104" s="109"/>
      <c r="HL104" s="109"/>
      <c r="HM104" s="109"/>
      <c r="HN104" s="109"/>
      <c r="HO104" s="111"/>
      <c r="HP104" s="111"/>
      <c r="HQ104" s="165"/>
      <c r="HR104" s="109"/>
      <c r="HS104" s="109"/>
      <c r="HT104" s="109"/>
      <c r="HU104" s="109"/>
      <c r="HV104" s="111"/>
      <c r="HW104" s="111"/>
      <c r="HX104" s="105">
        <f t="shared" si="198"/>
        <v>0</v>
      </c>
      <c r="HY104" s="105">
        <f t="shared" si="198"/>
        <v>0</v>
      </c>
      <c r="HZ104" s="105">
        <f t="shared" si="198"/>
        <v>0</v>
      </c>
      <c r="IA104" s="105">
        <f t="shared" si="181"/>
        <v>0</v>
      </c>
      <c r="IB104" s="109">
        <f t="shared" si="182"/>
        <v>58000</v>
      </c>
      <c r="IC104" s="109">
        <f t="shared" si="183"/>
        <v>50000</v>
      </c>
      <c r="ID104" s="109">
        <f t="shared" si="184"/>
        <v>0</v>
      </c>
      <c r="IE104" s="109">
        <f t="shared" ca="1" si="185"/>
        <v>1</v>
      </c>
      <c r="IF104" s="139">
        <f t="shared" si="186"/>
        <v>0</v>
      </c>
      <c r="IG104" s="139">
        <f t="shared" ca="1" si="187"/>
        <v>1</v>
      </c>
      <c r="IH104" s="169">
        <f t="shared" ca="1" si="188"/>
        <v>3.3333333333333333E-2</v>
      </c>
      <c r="II104" s="139">
        <f t="shared" ca="1" si="189"/>
        <v>3.3333333333333333E-2</v>
      </c>
      <c r="IJ104" s="169">
        <f t="shared" ca="1" si="190"/>
        <v>1</v>
      </c>
      <c r="IK104" s="169">
        <f t="shared" ca="1" si="196"/>
        <v>3.3333333333333333E-2</v>
      </c>
      <c r="IL104" s="170">
        <f t="shared" ca="1" si="191"/>
        <v>161.11111111111109</v>
      </c>
      <c r="IM104" s="171"/>
      <c r="IN104" s="171"/>
      <c r="IO104" s="171"/>
      <c r="IP104" s="171"/>
    </row>
    <row r="105" spans="1:250" ht="15" customHeight="1" thickBot="1" x14ac:dyDescent="0.35">
      <c r="A105" s="110">
        <f t="shared" si="192"/>
        <v>101</v>
      </c>
      <c r="B105" s="111" t="s">
        <v>131</v>
      </c>
      <c r="C105" s="145" t="s">
        <v>132</v>
      </c>
      <c r="D105" s="145">
        <v>101</v>
      </c>
      <c r="E105" s="111" t="s">
        <v>522</v>
      </c>
      <c r="F105" s="111"/>
      <c r="G105" s="111" t="s">
        <v>1232</v>
      </c>
      <c r="H105" s="111">
        <v>1011100005</v>
      </c>
      <c r="I105" s="146" t="str">
        <f t="shared" si="124"/>
        <v>1100005</v>
      </c>
      <c r="J105" s="145" t="str">
        <f t="shared" si="125"/>
        <v>KB1100005</v>
      </c>
      <c r="K105" s="111" t="s">
        <v>1038</v>
      </c>
      <c r="L105" s="111" t="s">
        <v>164</v>
      </c>
      <c r="M105" s="111" t="s">
        <v>1233</v>
      </c>
      <c r="N105" s="111" t="s">
        <v>138</v>
      </c>
      <c r="O105" s="111"/>
      <c r="P105" s="111" t="s">
        <v>1234</v>
      </c>
      <c r="Q105" s="148">
        <v>37470</v>
      </c>
      <c r="R105" s="145" t="s">
        <v>170</v>
      </c>
      <c r="S105" s="111"/>
      <c r="T105" s="111" t="s">
        <v>1235</v>
      </c>
      <c r="U105" s="111" t="s">
        <v>1071</v>
      </c>
      <c r="V105" s="181">
        <v>729915479</v>
      </c>
      <c r="W105" s="111"/>
      <c r="X105" s="111" t="s">
        <v>181</v>
      </c>
      <c r="Y105" s="111">
        <v>11</v>
      </c>
      <c r="Z105" s="111" t="s">
        <v>1145</v>
      </c>
      <c r="AA105" s="111" t="s">
        <v>1236</v>
      </c>
      <c r="AB105" s="111"/>
      <c r="AC105" s="111" t="s">
        <v>146</v>
      </c>
      <c r="AD105" s="111" t="s">
        <v>147</v>
      </c>
      <c r="AE105" s="111"/>
      <c r="AF105" s="111"/>
      <c r="AG105" s="111"/>
      <c r="AH105" s="175"/>
      <c r="AI105" s="111">
        <v>24</v>
      </c>
      <c r="AJ105" s="111">
        <v>3</v>
      </c>
      <c r="AK105" s="150">
        <f t="shared" si="193"/>
        <v>21</v>
      </c>
      <c r="AL105" s="177">
        <v>222750</v>
      </c>
      <c r="AM105" s="176">
        <v>0.16</v>
      </c>
      <c r="AN105" s="177">
        <f t="shared" si="210"/>
        <v>35640</v>
      </c>
      <c r="AO105" s="157">
        <f t="shared" si="209"/>
        <v>258390</v>
      </c>
      <c r="AP105" s="193">
        <f t="shared" si="126"/>
        <v>12304.285714285714</v>
      </c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75"/>
      <c r="BM105" s="111"/>
      <c r="BN105" s="111"/>
      <c r="BO105" s="111"/>
      <c r="BP105" s="111"/>
      <c r="BQ105" s="111"/>
      <c r="BR105" s="111"/>
      <c r="BS105" s="111"/>
      <c r="BT105" s="111"/>
      <c r="BU105" s="111"/>
      <c r="BV105" s="111"/>
      <c r="BW105" s="111"/>
      <c r="BX105" s="111"/>
      <c r="BY105" s="111"/>
      <c r="BZ105" s="111"/>
      <c r="CA105" s="111"/>
      <c r="CB105" s="111"/>
      <c r="CC105" s="178"/>
      <c r="CD105" s="177">
        <f t="shared" si="127"/>
        <v>222750</v>
      </c>
      <c r="CE105" s="148"/>
      <c r="CF105" s="111">
        <f t="shared" si="128"/>
        <v>24</v>
      </c>
      <c r="CG105" s="177">
        <f t="shared" si="129"/>
        <v>258390</v>
      </c>
      <c r="CH105" s="203">
        <f t="shared" si="208"/>
        <v>3</v>
      </c>
      <c r="CI105" s="148">
        <v>46022</v>
      </c>
      <c r="CJ105" s="161">
        <f t="shared" si="194"/>
        <v>46112</v>
      </c>
      <c r="CK105" s="162">
        <f t="shared" si="195"/>
        <v>46752</v>
      </c>
      <c r="CL105" s="179"/>
      <c r="CM105" s="164">
        <f t="shared" ca="1" si="130"/>
        <v>46054</v>
      </c>
      <c r="CN105" s="165">
        <f t="shared" si="131"/>
        <v>46112</v>
      </c>
      <c r="CO105" s="109">
        <f t="shared" si="132"/>
        <v>0</v>
      </c>
      <c r="CP105" s="109">
        <f t="shared" si="133"/>
        <v>0</v>
      </c>
      <c r="CQ105" s="109"/>
      <c r="CR105" s="109">
        <f t="shared" si="134"/>
        <v>0</v>
      </c>
      <c r="CS105" s="166">
        <f t="shared" ca="1" si="211"/>
        <v>46054</v>
      </c>
      <c r="CT105" s="167">
        <f t="shared" ca="1" si="135"/>
        <v>0</v>
      </c>
      <c r="CU105" s="165">
        <f t="shared" si="136"/>
        <v>46142</v>
      </c>
      <c r="CV105" s="109">
        <f t="shared" si="137"/>
        <v>0</v>
      </c>
      <c r="CW105" s="109">
        <f t="shared" si="138"/>
        <v>0</v>
      </c>
      <c r="CX105" s="109"/>
      <c r="CY105" s="109">
        <f t="shared" si="139"/>
        <v>0</v>
      </c>
      <c r="CZ105" s="166">
        <f t="shared" ca="1" si="212"/>
        <v>46054</v>
      </c>
      <c r="DA105" s="111"/>
      <c r="DB105" s="165">
        <f t="shared" si="141"/>
        <v>46172</v>
      </c>
      <c r="DC105" s="109">
        <f t="shared" si="142"/>
        <v>0</v>
      </c>
      <c r="DD105" s="109">
        <f t="shared" si="143"/>
        <v>0</v>
      </c>
      <c r="DE105" s="109"/>
      <c r="DF105" s="109">
        <f t="shared" si="144"/>
        <v>0</v>
      </c>
      <c r="DG105" s="166">
        <f t="shared" ca="1" si="213"/>
        <v>46054</v>
      </c>
      <c r="DH105" s="167">
        <f t="shared" ca="1" si="145"/>
        <v>0</v>
      </c>
      <c r="DI105" s="165">
        <f t="shared" si="146"/>
        <v>46203</v>
      </c>
      <c r="DJ105" s="109">
        <f t="shared" si="147"/>
        <v>0</v>
      </c>
      <c r="DK105" s="109">
        <f t="shared" si="148"/>
        <v>0</v>
      </c>
      <c r="DL105" s="109">
        <v>0</v>
      </c>
      <c r="DM105" s="109">
        <f t="shared" si="149"/>
        <v>0</v>
      </c>
      <c r="DN105" s="166">
        <f t="shared" ca="1" si="214"/>
        <v>46054</v>
      </c>
      <c r="DO105" s="167">
        <f t="shared" ca="1" si="150"/>
        <v>0</v>
      </c>
      <c r="DP105" s="165">
        <f t="shared" si="215"/>
        <v>46234</v>
      </c>
      <c r="DQ105" s="109">
        <f t="shared" si="216"/>
        <v>0</v>
      </c>
      <c r="DR105" s="109">
        <f t="shared" si="217"/>
        <v>0</v>
      </c>
      <c r="DS105" s="109"/>
      <c r="DT105" s="109">
        <f t="shared" si="152"/>
        <v>0</v>
      </c>
      <c r="DU105" s="166">
        <f t="shared" ca="1" si="218"/>
        <v>46054</v>
      </c>
      <c r="DV105" s="167">
        <f t="shared" ca="1" si="219"/>
        <v>0</v>
      </c>
      <c r="DW105" s="165">
        <f t="shared" si="220"/>
        <v>46265</v>
      </c>
      <c r="DX105" s="109">
        <f t="shared" si="221"/>
        <v>0</v>
      </c>
      <c r="DY105" s="109">
        <f t="shared" si="222"/>
        <v>0</v>
      </c>
      <c r="DZ105" s="109"/>
      <c r="EA105" s="109">
        <f t="shared" si="223"/>
        <v>0</v>
      </c>
      <c r="EB105" s="166">
        <f t="shared" ca="1" si="224"/>
        <v>46054</v>
      </c>
      <c r="EC105" s="167">
        <f t="shared" ca="1" si="225"/>
        <v>0</v>
      </c>
      <c r="ED105" s="165">
        <f t="shared" si="226"/>
        <v>46295</v>
      </c>
      <c r="EE105" s="109">
        <f t="shared" si="227"/>
        <v>0</v>
      </c>
      <c r="EF105" s="109">
        <f t="shared" si="228"/>
        <v>0</v>
      </c>
      <c r="EG105" s="109"/>
      <c r="EH105" s="109">
        <f t="shared" si="229"/>
        <v>0</v>
      </c>
      <c r="EI105" s="166">
        <f t="shared" ca="1" si="230"/>
        <v>46054</v>
      </c>
      <c r="EJ105" s="167">
        <f t="shared" ca="1" si="231"/>
        <v>0</v>
      </c>
      <c r="EK105" s="165">
        <f t="shared" si="232"/>
        <v>46325</v>
      </c>
      <c r="EL105" s="109">
        <f t="shared" si="233"/>
        <v>0</v>
      </c>
      <c r="EM105" s="109">
        <f t="shared" si="234"/>
        <v>0</v>
      </c>
      <c r="EN105" s="109"/>
      <c r="EO105" s="109">
        <f t="shared" si="235"/>
        <v>0</v>
      </c>
      <c r="EP105" s="166">
        <f t="shared" ca="1" si="236"/>
        <v>46054</v>
      </c>
      <c r="EQ105" s="167">
        <f t="shared" ca="1" si="237"/>
        <v>0</v>
      </c>
      <c r="ER105" s="165">
        <f t="shared" si="238"/>
        <v>46356</v>
      </c>
      <c r="ES105" s="109">
        <f t="shared" si="239"/>
        <v>0</v>
      </c>
      <c r="ET105" s="109">
        <f t="shared" si="240"/>
        <v>0</v>
      </c>
      <c r="EU105" s="109"/>
      <c r="EV105" s="109"/>
      <c r="EW105" s="111"/>
      <c r="EX105" s="111"/>
      <c r="EY105" s="165">
        <f t="shared" si="241"/>
        <v>46386</v>
      </c>
      <c r="EZ105" s="109">
        <f t="shared" si="242"/>
        <v>0</v>
      </c>
      <c r="FA105" s="109">
        <f t="shared" si="243"/>
        <v>0</v>
      </c>
      <c r="FB105" s="109"/>
      <c r="FC105" s="109"/>
      <c r="FD105" s="111"/>
      <c r="FE105" s="111"/>
      <c r="FF105" s="165">
        <f t="shared" si="244"/>
        <v>46417</v>
      </c>
      <c r="FG105" s="109">
        <f t="shared" si="245"/>
        <v>0</v>
      </c>
      <c r="FH105" s="109">
        <f t="shared" si="246"/>
        <v>0</v>
      </c>
      <c r="FI105" s="109"/>
      <c r="FJ105" s="109"/>
      <c r="FK105" s="111"/>
      <c r="FL105" s="111"/>
      <c r="FM105" s="165">
        <f t="shared" si="247"/>
        <v>46446</v>
      </c>
      <c r="FN105" s="109">
        <f t="shared" si="248"/>
        <v>0</v>
      </c>
      <c r="FO105" s="109">
        <f t="shared" si="249"/>
        <v>0</v>
      </c>
      <c r="FP105" s="109"/>
      <c r="FQ105" s="109"/>
      <c r="FR105" s="111"/>
      <c r="FS105" s="111"/>
      <c r="FT105" s="165">
        <f t="shared" ref="FT105:FT106" si="270">EDATE(FM105,1)</f>
        <v>46474</v>
      </c>
      <c r="FU105" s="109">
        <f t="shared" si="250"/>
        <v>0</v>
      </c>
      <c r="FV105" s="109">
        <f>FW105/(1+AM105)*AM105</f>
        <v>0</v>
      </c>
      <c r="FW105" s="109"/>
      <c r="FX105" s="109"/>
      <c r="FY105" s="111"/>
      <c r="FZ105" s="111"/>
      <c r="GA105" s="165">
        <f t="shared" ref="GA105:GA106" si="271">EDATE(FT105,1)</f>
        <v>46505</v>
      </c>
      <c r="GB105" s="109">
        <f t="shared" si="251"/>
        <v>0</v>
      </c>
      <c r="GC105" s="109">
        <f>GD105/(1+AM105)*AM105</f>
        <v>0</v>
      </c>
      <c r="GD105" s="109"/>
      <c r="GE105" s="109"/>
      <c r="GF105" s="111"/>
      <c r="GG105" s="111"/>
      <c r="GH105" s="165">
        <f t="shared" ref="GH105:GH106" si="272">EDATE(GA105,1)</f>
        <v>46535</v>
      </c>
      <c r="GI105" s="109">
        <f t="shared" si="252"/>
        <v>0</v>
      </c>
      <c r="GJ105" s="109">
        <f>GK105/(1+AM105)*AM105</f>
        <v>0</v>
      </c>
      <c r="GK105" s="109"/>
      <c r="GL105" s="109"/>
      <c r="GM105" s="111"/>
      <c r="GN105" s="111"/>
      <c r="GO105" s="165">
        <f t="shared" ref="GO105:GO106" si="273">EDATE(GH105,1)</f>
        <v>46566</v>
      </c>
      <c r="GP105" s="109">
        <f t="shared" si="253"/>
        <v>0</v>
      </c>
      <c r="GQ105" s="109">
        <f>GR105/(1+AM105)*AM105</f>
        <v>0</v>
      </c>
      <c r="GR105" s="109"/>
      <c r="GS105" s="109"/>
      <c r="GT105" s="111"/>
      <c r="GU105" s="111"/>
      <c r="GV105" s="165">
        <f t="shared" ref="GV105:GV106" si="274">EDATE(GO105,1)</f>
        <v>46596</v>
      </c>
      <c r="GW105" s="168">
        <f t="shared" si="254"/>
        <v>0</v>
      </c>
      <c r="GX105" s="168">
        <f>GY105/(1+AM105)*AM105</f>
        <v>0</v>
      </c>
      <c r="GY105" s="168"/>
      <c r="GZ105" s="168"/>
      <c r="HA105" s="111"/>
      <c r="HB105" s="111"/>
      <c r="HC105" s="165">
        <f t="shared" ref="HC105:HC106" si="275">EDATE(GV105,1)</f>
        <v>46627</v>
      </c>
      <c r="HD105" s="109">
        <f t="shared" si="255"/>
        <v>0</v>
      </c>
      <c r="HE105" s="109">
        <f>HF105/(1+AM105)*AM105</f>
        <v>0</v>
      </c>
      <c r="HF105" s="109"/>
      <c r="HG105" s="109"/>
      <c r="HH105" s="111"/>
      <c r="HI105" s="111"/>
      <c r="HJ105" s="165">
        <f>EDATE(HC105,1)</f>
        <v>46658</v>
      </c>
      <c r="HK105" s="109">
        <f t="shared" si="256"/>
        <v>0</v>
      </c>
      <c r="HL105" s="109">
        <f>HM105/(1+AM105)*AM105</f>
        <v>0</v>
      </c>
      <c r="HM105" s="109"/>
      <c r="HN105" s="109"/>
      <c r="HO105" s="111"/>
      <c r="HP105" s="111"/>
      <c r="HQ105" s="165">
        <f>EDATE(HJ105,1)</f>
        <v>46688</v>
      </c>
      <c r="HR105" s="109">
        <f t="shared" si="257"/>
        <v>0</v>
      </c>
      <c r="HS105" s="109">
        <f>HT105/(1+AM105)*AM105</f>
        <v>0</v>
      </c>
      <c r="HT105" s="109"/>
      <c r="HU105" s="109"/>
      <c r="HV105" s="111"/>
      <c r="HW105" s="111"/>
      <c r="HX105" s="105">
        <f t="shared" si="198"/>
        <v>0</v>
      </c>
      <c r="HY105" s="105">
        <f t="shared" si="198"/>
        <v>0</v>
      </c>
      <c r="HZ105" s="105">
        <f t="shared" si="198"/>
        <v>0</v>
      </c>
      <c r="IA105" s="105">
        <f t="shared" si="181"/>
        <v>0</v>
      </c>
      <c r="IB105" s="109">
        <f t="shared" si="182"/>
        <v>258390</v>
      </c>
      <c r="IC105" s="109">
        <f t="shared" si="183"/>
        <v>222750</v>
      </c>
      <c r="ID105" s="109">
        <f t="shared" si="184"/>
        <v>0</v>
      </c>
      <c r="IE105" s="109">
        <f t="shared" ca="1" si="185"/>
        <v>0</v>
      </c>
      <c r="IF105" s="139">
        <f t="shared" si="186"/>
        <v>0</v>
      </c>
      <c r="IG105" s="139">
        <f t="shared" ca="1" si="187"/>
        <v>-58</v>
      </c>
      <c r="IH105" s="169">
        <f t="shared" ca="1" si="188"/>
        <v>-1.9333333333333333</v>
      </c>
      <c r="II105" s="139">
        <f t="shared" ca="1" si="189"/>
        <v>0</v>
      </c>
      <c r="IJ105" s="169">
        <f t="shared" ca="1" si="190"/>
        <v>0</v>
      </c>
      <c r="IK105" s="169">
        <f t="shared" ca="1" si="196"/>
        <v>0</v>
      </c>
      <c r="IL105" s="170">
        <f t="shared" ca="1" si="191"/>
        <v>0</v>
      </c>
      <c r="IM105" s="171"/>
      <c r="IN105" s="171"/>
      <c r="IO105" s="171"/>
      <c r="IP105" s="171"/>
    </row>
    <row r="106" spans="1:250" ht="15" customHeight="1" thickBot="1" x14ac:dyDescent="0.35">
      <c r="A106" s="110">
        <f t="shared" si="192"/>
        <v>102</v>
      </c>
      <c r="B106" s="111" t="s">
        <v>170</v>
      </c>
      <c r="C106" s="111" t="s">
        <v>171</v>
      </c>
      <c r="D106" s="111">
        <v>102</v>
      </c>
      <c r="E106" s="111" t="s">
        <v>253</v>
      </c>
      <c r="F106" s="111"/>
      <c r="G106" s="111" t="s">
        <v>1237</v>
      </c>
      <c r="H106" s="111">
        <v>1021100190</v>
      </c>
      <c r="I106" s="146" t="str">
        <f t="shared" si="124"/>
        <v>1100190</v>
      </c>
      <c r="J106" s="145" t="str">
        <f t="shared" si="125"/>
        <v>KN1100190</v>
      </c>
      <c r="K106" s="111" t="s">
        <v>1238</v>
      </c>
      <c r="L106" s="111" t="s">
        <v>287</v>
      </c>
      <c r="M106" s="111" t="s">
        <v>1239</v>
      </c>
      <c r="N106" s="111" t="s">
        <v>138</v>
      </c>
      <c r="O106" s="111"/>
      <c r="P106" s="111" t="s">
        <v>1240</v>
      </c>
      <c r="Q106" s="148">
        <v>30175</v>
      </c>
      <c r="R106" s="145" t="s">
        <v>170</v>
      </c>
      <c r="S106" s="111"/>
      <c r="T106" s="111" t="s">
        <v>1241</v>
      </c>
      <c r="U106" s="111" t="s">
        <v>179</v>
      </c>
      <c r="V106" s="181">
        <v>773623288</v>
      </c>
      <c r="W106" s="111"/>
      <c r="X106" s="111" t="s">
        <v>181</v>
      </c>
      <c r="Y106" s="111">
        <v>11</v>
      </c>
      <c r="Z106" s="111" t="s">
        <v>1189</v>
      </c>
      <c r="AA106" s="111" t="s">
        <v>1242</v>
      </c>
      <c r="AB106" s="111"/>
      <c r="AC106" s="111" t="s">
        <v>146</v>
      </c>
      <c r="AD106" s="111" t="s">
        <v>147</v>
      </c>
      <c r="AE106" s="111"/>
      <c r="AF106" s="111"/>
      <c r="AG106" s="111"/>
      <c r="AH106" s="175"/>
      <c r="AI106" s="111">
        <v>18</v>
      </c>
      <c r="AJ106" s="111">
        <v>0</v>
      </c>
      <c r="AK106" s="150">
        <f t="shared" si="193"/>
        <v>18</v>
      </c>
      <c r="AL106" s="177">
        <v>190000</v>
      </c>
      <c r="AM106" s="176">
        <v>0.16</v>
      </c>
      <c r="AN106" s="177">
        <f t="shared" si="210"/>
        <v>30400</v>
      </c>
      <c r="AO106" s="157">
        <f t="shared" si="209"/>
        <v>220400</v>
      </c>
      <c r="AP106" s="193">
        <f t="shared" si="126"/>
        <v>12244.444444444445</v>
      </c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75"/>
      <c r="BM106" s="111"/>
      <c r="BN106" s="111"/>
      <c r="BO106" s="111"/>
      <c r="BP106" s="111"/>
      <c r="BQ106" s="111"/>
      <c r="BR106" s="111"/>
      <c r="BS106" s="111"/>
      <c r="BT106" s="111"/>
      <c r="BU106" s="111"/>
      <c r="BV106" s="111"/>
      <c r="BW106" s="111"/>
      <c r="BX106" s="111"/>
      <c r="BY106" s="111"/>
      <c r="BZ106" s="111"/>
      <c r="CA106" s="111"/>
      <c r="CB106" s="111"/>
      <c r="CC106" s="178"/>
      <c r="CD106" s="177">
        <f t="shared" si="127"/>
        <v>190000</v>
      </c>
      <c r="CE106" s="148"/>
      <c r="CF106" s="111">
        <f t="shared" si="128"/>
        <v>18</v>
      </c>
      <c r="CG106" s="177">
        <f t="shared" si="129"/>
        <v>220400</v>
      </c>
      <c r="CH106" s="203">
        <f t="shared" si="208"/>
        <v>0</v>
      </c>
      <c r="CI106" s="148">
        <v>46022</v>
      </c>
      <c r="CJ106" s="161">
        <f t="shared" si="194"/>
        <v>46053</v>
      </c>
      <c r="CK106" s="162">
        <f t="shared" si="195"/>
        <v>46568</v>
      </c>
      <c r="CL106" s="183"/>
      <c r="CM106" s="164">
        <f t="shared" ca="1" si="130"/>
        <v>46054</v>
      </c>
      <c r="CN106" s="165">
        <f t="shared" si="131"/>
        <v>46053</v>
      </c>
      <c r="CO106" s="109">
        <f t="shared" si="132"/>
        <v>0</v>
      </c>
      <c r="CP106" s="109">
        <f t="shared" si="133"/>
        <v>0</v>
      </c>
      <c r="CQ106" s="109"/>
      <c r="CR106" s="109">
        <f t="shared" si="134"/>
        <v>0</v>
      </c>
      <c r="CS106" s="166">
        <f t="shared" ca="1" si="211"/>
        <v>46054</v>
      </c>
      <c r="CT106" s="167">
        <f t="shared" ca="1" si="135"/>
        <v>1</v>
      </c>
      <c r="CU106" s="165">
        <f t="shared" si="136"/>
        <v>46081</v>
      </c>
      <c r="CV106" s="109">
        <f t="shared" si="137"/>
        <v>0</v>
      </c>
      <c r="CW106" s="109">
        <f t="shared" si="138"/>
        <v>0</v>
      </c>
      <c r="CX106" s="109"/>
      <c r="CY106" s="109">
        <f t="shared" si="139"/>
        <v>0</v>
      </c>
      <c r="CZ106" s="166">
        <f t="shared" ca="1" si="212"/>
        <v>46054</v>
      </c>
      <c r="DA106" s="111"/>
      <c r="DB106" s="165">
        <f t="shared" si="141"/>
        <v>46109</v>
      </c>
      <c r="DC106" s="109">
        <f t="shared" si="142"/>
        <v>0</v>
      </c>
      <c r="DD106" s="109">
        <f t="shared" si="143"/>
        <v>0</v>
      </c>
      <c r="DE106" s="109"/>
      <c r="DF106" s="109">
        <f t="shared" si="144"/>
        <v>0</v>
      </c>
      <c r="DG106" s="166">
        <f t="shared" ca="1" si="213"/>
        <v>46054</v>
      </c>
      <c r="DH106" s="167">
        <f t="shared" ca="1" si="145"/>
        <v>0</v>
      </c>
      <c r="DI106" s="165">
        <f t="shared" si="146"/>
        <v>46140</v>
      </c>
      <c r="DJ106" s="109">
        <f t="shared" si="147"/>
        <v>0</v>
      </c>
      <c r="DK106" s="109">
        <f t="shared" si="148"/>
        <v>0</v>
      </c>
      <c r="DL106" s="109">
        <v>0</v>
      </c>
      <c r="DM106" s="109">
        <f t="shared" si="149"/>
        <v>0</v>
      </c>
      <c r="DN106" s="166">
        <f t="shared" ca="1" si="214"/>
        <v>46054</v>
      </c>
      <c r="DO106" s="167">
        <f t="shared" ca="1" si="150"/>
        <v>0</v>
      </c>
      <c r="DP106" s="165">
        <f t="shared" si="215"/>
        <v>46171</v>
      </c>
      <c r="DQ106" s="109">
        <f t="shared" si="216"/>
        <v>0</v>
      </c>
      <c r="DR106" s="109">
        <f t="shared" si="217"/>
        <v>0</v>
      </c>
      <c r="DS106" s="109"/>
      <c r="DT106" s="109">
        <f t="shared" si="152"/>
        <v>0</v>
      </c>
      <c r="DU106" s="166">
        <f t="shared" ca="1" si="218"/>
        <v>46054</v>
      </c>
      <c r="DV106" s="167">
        <f t="shared" ca="1" si="219"/>
        <v>0</v>
      </c>
      <c r="DW106" s="165">
        <f t="shared" si="220"/>
        <v>46202</v>
      </c>
      <c r="DX106" s="109">
        <f t="shared" si="221"/>
        <v>0</v>
      </c>
      <c r="DY106" s="109">
        <f t="shared" si="222"/>
        <v>0</v>
      </c>
      <c r="DZ106" s="109"/>
      <c r="EA106" s="109">
        <f t="shared" si="223"/>
        <v>0</v>
      </c>
      <c r="EB106" s="166">
        <f t="shared" ca="1" si="224"/>
        <v>46054</v>
      </c>
      <c r="EC106" s="167">
        <f t="shared" ca="1" si="225"/>
        <v>0</v>
      </c>
      <c r="ED106" s="165">
        <f t="shared" si="226"/>
        <v>46232</v>
      </c>
      <c r="EE106" s="109">
        <f t="shared" si="227"/>
        <v>0</v>
      </c>
      <c r="EF106" s="109">
        <f t="shared" si="228"/>
        <v>0</v>
      </c>
      <c r="EG106" s="109"/>
      <c r="EH106" s="109">
        <f t="shared" si="229"/>
        <v>0</v>
      </c>
      <c r="EI106" s="166">
        <f t="shared" ca="1" si="230"/>
        <v>46054</v>
      </c>
      <c r="EJ106" s="167">
        <f t="shared" ca="1" si="231"/>
        <v>0</v>
      </c>
      <c r="EK106" s="165">
        <f t="shared" si="232"/>
        <v>46263</v>
      </c>
      <c r="EL106" s="109">
        <f t="shared" si="233"/>
        <v>0</v>
      </c>
      <c r="EM106" s="109">
        <f t="shared" si="234"/>
        <v>0</v>
      </c>
      <c r="EN106" s="109"/>
      <c r="EO106" s="109">
        <f t="shared" si="235"/>
        <v>0</v>
      </c>
      <c r="EP106" s="166">
        <f t="shared" ca="1" si="236"/>
        <v>46054</v>
      </c>
      <c r="EQ106" s="167">
        <f t="shared" ca="1" si="237"/>
        <v>0</v>
      </c>
      <c r="ER106" s="165">
        <f t="shared" si="238"/>
        <v>46294</v>
      </c>
      <c r="ES106" s="109">
        <f t="shared" si="239"/>
        <v>0</v>
      </c>
      <c r="ET106" s="109">
        <f t="shared" si="240"/>
        <v>0</v>
      </c>
      <c r="EU106" s="109"/>
      <c r="EV106" s="109"/>
      <c r="EW106" s="111"/>
      <c r="EX106" s="111"/>
      <c r="EY106" s="165">
        <f t="shared" si="241"/>
        <v>46324</v>
      </c>
      <c r="EZ106" s="109">
        <f t="shared" si="242"/>
        <v>0</v>
      </c>
      <c r="FA106" s="109">
        <f t="shared" si="243"/>
        <v>0</v>
      </c>
      <c r="FB106" s="109"/>
      <c r="FC106" s="109"/>
      <c r="FD106" s="111"/>
      <c r="FE106" s="111"/>
      <c r="FF106" s="165">
        <f t="shared" si="244"/>
        <v>46355</v>
      </c>
      <c r="FG106" s="109">
        <f t="shared" si="245"/>
        <v>0</v>
      </c>
      <c r="FH106" s="109">
        <f t="shared" si="246"/>
        <v>0</v>
      </c>
      <c r="FI106" s="109"/>
      <c r="FJ106" s="109"/>
      <c r="FK106" s="111"/>
      <c r="FL106" s="111"/>
      <c r="FM106" s="165">
        <f t="shared" si="247"/>
        <v>46385</v>
      </c>
      <c r="FN106" s="109">
        <f t="shared" si="248"/>
        <v>0</v>
      </c>
      <c r="FO106" s="109">
        <f t="shared" si="249"/>
        <v>0</v>
      </c>
      <c r="FP106" s="109"/>
      <c r="FQ106" s="109"/>
      <c r="FR106" s="111"/>
      <c r="FS106" s="111"/>
      <c r="FT106" s="165">
        <f t="shared" si="270"/>
        <v>46416</v>
      </c>
      <c r="FU106" s="109">
        <f t="shared" si="250"/>
        <v>0</v>
      </c>
      <c r="FV106" s="109">
        <f>FW106/(1+AM106)*AM106</f>
        <v>0</v>
      </c>
      <c r="FW106" s="109"/>
      <c r="FX106" s="109"/>
      <c r="FY106" s="111"/>
      <c r="FZ106" s="111"/>
      <c r="GA106" s="165">
        <f t="shared" si="271"/>
        <v>46446</v>
      </c>
      <c r="GB106" s="109">
        <f t="shared" si="251"/>
        <v>0</v>
      </c>
      <c r="GC106" s="109">
        <f>GD106/(1+AM106)*AM106</f>
        <v>0</v>
      </c>
      <c r="GD106" s="109"/>
      <c r="GE106" s="109"/>
      <c r="GF106" s="111"/>
      <c r="GG106" s="111"/>
      <c r="GH106" s="165">
        <f t="shared" si="272"/>
        <v>46474</v>
      </c>
      <c r="GI106" s="109">
        <f t="shared" si="252"/>
        <v>0</v>
      </c>
      <c r="GJ106" s="109">
        <f>GK106/(1+AM106)*AM106</f>
        <v>0</v>
      </c>
      <c r="GK106" s="109"/>
      <c r="GL106" s="109"/>
      <c r="GM106" s="111"/>
      <c r="GN106" s="111"/>
      <c r="GO106" s="165">
        <f t="shared" si="273"/>
        <v>46505</v>
      </c>
      <c r="GP106" s="109">
        <f t="shared" si="253"/>
        <v>0</v>
      </c>
      <c r="GQ106" s="109">
        <f>GR106/(1+AM106)*AM106</f>
        <v>0</v>
      </c>
      <c r="GR106" s="109"/>
      <c r="GS106" s="109"/>
      <c r="GT106" s="111"/>
      <c r="GU106" s="111"/>
      <c r="GV106" s="165">
        <f t="shared" si="274"/>
        <v>46535</v>
      </c>
      <c r="GW106" s="168">
        <f t="shared" si="254"/>
        <v>0</v>
      </c>
      <c r="GX106" s="168">
        <f>GY106/(1+AM106)*AM106</f>
        <v>0</v>
      </c>
      <c r="GY106" s="168"/>
      <c r="GZ106" s="168"/>
      <c r="HA106" s="111"/>
      <c r="HB106" s="111"/>
      <c r="HC106" s="165">
        <f t="shared" si="275"/>
        <v>46566</v>
      </c>
      <c r="HD106" s="109">
        <f t="shared" si="255"/>
        <v>0</v>
      </c>
      <c r="HE106" s="109">
        <f>HF106/(1+AM106)*AM106</f>
        <v>0</v>
      </c>
      <c r="HF106" s="109"/>
      <c r="HG106" s="109"/>
      <c r="HH106" s="111"/>
      <c r="HI106" s="111"/>
      <c r="HJ106" s="165"/>
      <c r="HK106" s="109">
        <f t="shared" si="256"/>
        <v>0</v>
      </c>
      <c r="HL106" s="109">
        <f>HM106/(1+AM106)*AM106</f>
        <v>0</v>
      </c>
      <c r="HM106" s="109"/>
      <c r="HN106" s="109"/>
      <c r="HO106" s="111"/>
      <c r="HP106" s="111"/>
      <c r="HQ106" s="165"/>
      <c r="HR106" s="109">
        <f t="shared" si="257"/>
        <v>0</v>
      </c>
      <c r="HS106" s="109">
        <f>HT106/(1+AM106)*AM106</f>
        <v>0</v>
      </c>
      <c r="HT106" s="109"/>
      <c r="HU106" s="109"/>
      <c r="HV106" s="111"/>
      <c r="HW106" s="111"/>
      <c r="HX106" s="105">
        <f t="shared" si="198"/>
        <v>0</v>
      </c>
      <c r="HY106" s="105">
        <f t="shared" si="198"/>
        <v>0</v>
      </c>
      <c r="HZ106" s="105">
        <f t="shared" si="198"/>
        <v>0</v>
      </c>
      <c r="IA106" s="105">
        <f t="shared" si="181"/>
        <v>0</v>
      </c>
      <c r="IB106" s="109">
        <f t="shared" si="182"/>
        <v>220400</v>
      </c>
      <c r="IC106" s="109">
        <f t="shared" si="183"/>
        <v>190000</v>
      </c>
      <c r="ID106" s="109">
        <f t="shared" si="184"/>
        <v>0</v>
      </c>
      <c r="IE106" s="109">
        <f t="shared" ca="1" si="185"/>
        <v>1</v>
      </c>
      <c r="IF106" s="139">
        <f t="shared" si="186"/>
        <v>0</v>
      </c>
      <c r="IG106" s="139">
        <f t="shared" ca="1" si="187"/>
        <v>1</v>
      </c>
      <c r="IH106" s="169">
        <f t="shared" ca="1" si="188"/>
        <v>3.3333333333333333E-2</v>
      </c>
      <c r="II106" s="139">
        <f t="shared" ca="1" si="189"/>
        <v>3.3333333333333333E-2</v>
      </c>
      <c r="IJ106" s="169">
        <f t="shared" ca="1" si="190"/>
        <v>1</v>
      </c>
      <c r="IK106" s="169">
        <f t="shared" ca="1" si="196"/>
        <v>3.3333333333333333E-2</v>
      </c>
      <c r="IL106" s="170">
        <f t="shared" ca="1" si="191"/>
        <v>408.14814814814815</v>
      </c>
      <c r="IM106" s="171"/>
      <c r="IN106" s="171"/>
      <c r="IO106" s="171"/>
      <c r="IP106" s="171"/>
    </row>
    <row r="107" spans="1:250" ht="15" thickBot="1" x14ac:dyDescent="0.35">
      <c r="A107" s="110">
        <f t="shared" si="192"/>
        <v>103</v>
      </c>
      <c r="B107" s="111" t="s">
        <v>170</v>
      </c>
      <c r="C107" s="111" t="s">
        <v>171</v>
      </c>
      <c r="D107" s="111">
        <v>102</v>
      </c>
      <c r="E107" s="111" t="s">
        <v>253</v>
      </c>
      <c r="F107" s="111"/>
      <c r="G107" s="111" t="s">
        <v>1243</v>
      </c>
      <c r="H107" s="111">
        <v>1021100188</v>
      </c>
      <c r="I107" s="146" t="str">
        <f t="shared" si="124"/>
        <v>1100188</v>
      </c>
      <c r="J107" s="145" t="str">
        <f t="shared" si="125"/>
        <v>KN1100188</v>
      </c>
      <c r="K107" s="111" t="s">
        <v>1244</v>
      </c>
      <c r="L107" s="111" t="s">
        <v>158</v>
      </c>
      <c r="M107" s="111" t="s">
        <v>1245</v>
      </c>
      <c r="N107" s="111" t="s">
        <v>138</v>
      </c>
      <c r="O107" s="111"/>
      <c r="P107" s="111" t="s">
        <v>1246</v>
      </c>
      <c r="Q107" s="148">
        <v>32257</v>
      </c>
      <c r="R107" s="145" t="s">
        <v>170</v>
      </c>
      <c r="S107" s="111"/>
      <c r="T107" s="111" t="s">
        <v>1214</v>
      </c>
      <c r="U107" s="111" t="s">
        <v>234</v>
      </c>
      <c r="V107" s="181">
        <v>775736100</v>
      </c>
      <c r="W107" s="111"/>
      <c r="X107" s="111" t="s">
        <v>181</v>
      </c>
      <c r="Y107" s="111">
        <v>11</v>
      </c>
      <c r="Z107" s="111" t="s">
        <v>1189</v>
      </c>
      <c r="AA107" s="111" t="s">
        <v>1247</v>
      </c>
      <c r="AB107" s="111"/>
      <c r="AC107" s="111" t="s">
        <v>146</v>
      </c>
      <c r="AD107" s="111" t="s">
        <v>147</v>
      </c>
      <c r="AE107" s="111"/>
      <c r="AF107" s="111"/>
      <c r="AG107" s="111"/>
      <c r="AH107" s="175"/>
      <c r="AI107" s="111">
        <v>15</v>
      </c>
      <c r="AJ107" s="111">
        <v>0</v>
      </c>
      <c r="AK107" s="150">
        <f t="shared" si="193"/>
        <v>15</v>
      </c>
      <c r="AL107" s="177">
        <v>100000</v>
      </c>
      <c r="AM107" s="176">
        <v>0.16</v>
      </c>
      <c r="AN107" s="177">
        <f t="shared" si="210"/>
        <v>16000</v>
      </c>
      <c r="AO107" s="157">
        <f t="shared" si="209"/>
        <v>116000</v>
      </c>
      <c r="AP107" s="193">
        <f t="shared" si="126"/>
        <v>7733.333333333333</v>
      </c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75"/>
      <c r="BM107" s="111"/>
      <c r="BN107" s="111"/>
      <c r="BO107" s="111"/>
      <c r="BP107" s="111"/>
      <c r="BQ107" s="111"/>
      <c r="BR107" s="111"/>
      <c r="BS107" s="111"/>
      <c r="BT107" s="111"/>
      <c r="BU107" s="111"/>
      <c r="BV107" s="111"/>
      <c r="BW107" s="111"/>
      <c r="BX107" s="111"/>
      <c r="BY107" s="111"/>
      <c r="BZ107" s="111"/>
      <c r="CA107" s="111"/>
      <c r="CB107" s="111"/>
      <c r="CC107" s="178"/>
      <c r="CD107" s="177">
        <f t="shared" si="127"/>
        <v>100000</v>
      </c>
      <c r="CE107" s="148"/>
      <c r="CF107" s="111">
        <f t="shared" si="128"/>
        <v>15</v>
      </c>
      <c r="CG107" s="177">
        <f t="shared" si="129"/>
        <v>116000</v>
      </c>
      <c r="CH107" s="203">
        <f t="shared" si="208"/>
        <v>0</v>
      </c>
      <c r="CI107" s="148">
        <v>46022</v>
      </c>
      <c r="CJ107" s="161">
        <f t="shared" si="194"/>
        <v>46053</v>
      </c>
      <c r="CK107" s="162">
        <f t="shared" si="195"/>
        <v>46477</v>
      </c>
      <c r="CL107" s="183"/>
      <c r="CM107" s="164">
        <f t="shared" ca="1" si="130"/>
        <v>46054</v>
      </c>
      <c r="CN107" s="165">
        <f t="shared" si="131"/>
        <v>46053</v>
      </c>
      <c r="CO107" s="109">
        <f t="shared" si="132"/>
        <v>0</v>
      </c>
      <c r="CP107" s="109">
        <f t="shared" si="133"/>
        <v>0</v>
      </c>
      <c r="CQ107" s="109"/>
      <c r="CR107" s="109">
        <f t="shared" si="134"/>
        <v>0</v>
      </c>
      <c r="CS107" s="166">
        <f t="shared" ca="1" si="211"/>
        <v>46054</v>
      </c>
      <c r="CT107" s="167">
        <f t="shared" ca="1" si="135"/>
        <v>1</v>
      </c>
      <c r="CU107" s="165">
        <f t="shared" si="136"/>
        <v>46081</v>
      </c>
      <c r="CV107" s="109">
        <f t="shared" si="137"/>
        <v>0</v>
      </c>
      <c r="CW107" s="109">
        <f t="shared" si="138"/>
        <v>0</v>
      </c>
      <c r="CX107" s="109"/>
      <c r="CY107" s="109">
        <f t="shared" si="139"/>
        <v>0</v>
      </c>
      <c r="CZ107" s="166">
        <f t="shared" ca="1" si="212"/>
        <v>46054</v>
      </c>
      <c r="DA107" s="111"/>
      <c r="DB107" s="165">
        <f t="shared" si="141"/>
        <v>46109</v>
      </c>
      <c r="DC107" s="109">
        <f t="shared" si="142"/>
        <v>0</v>
      </c>
      <c r="DD107" s="109">
        <f t="shared" si="143"/>
        <v>0</v>
      </c>
      <c r="DE107" s="109"/>
      <c r="DF107" s="109">
        <f t="shared" si="144"/>
        <v>0</v>
      </c>
      <c r="DG107" s="166">
        <f t="shared" ca="1" si="213"/>
        <v>46054</v>
      </c>
      <c r="DH107" s="167">
        <f t="shared" ca="1" si="145"/>
        <v>0</v>
      </c>
      <c r="DI107" s="165">
        <f t="shared" si="146"/>
        <v>46140</v>
      </c>
      <c r="DJ107" s="109">
        <f t="shared" si="147"/>
        <v>0</v>
      </c>
      <c r="DK107" s="109">
        <f t="shared" si="148"/>
        <v>0</v>
      </c>
      <c r="DL107" s="109">
        <v>0</v>
      </c>
      <c r="DM107" s="109">
        <f t="shared" si="149"/>
        <v>0</v>
      </c>
      <c r="DN107" s="166">
        <f t="shared" ca="1" si="214"/>
        <v>46054</v>
      </c>
      <c r="DO107" s="167">
        <f t="shared" ca="1" si="150"/>
        <v>0</v>
      </c>
      <c r="DP107" s="165">
        <f t="shared" si="215"/>
        <v>46171</v>
      </c>
      <c r="DQ107" s="109">
        <f t="shared" si="216"/>
        <v>0</v>
      </c>
      <c r="DR107" s="109">
        <f t="shared" si="217"/>
        <v>0</v>
      </c>
      <c r="DS107" s="109"/>
      <c r="DT107" s="109">
        <f t="shared" si="152"/>
        <v>0</v>
      </c>
      <c r="DU107" s="166">
        <f t="shared" ca="1" si="218"/>
        <v>46054</v>
      </c>
      <c r="DV107" s="167">
        <f t="shared" ca="1" si="219"/>
        <v>0</v>
      </c>
      <c r="DW107" s="165">
        <f t="shared" si="220"/>
        <v>46202</v>
      </c>
      <c r="DX107" s="109">
        <f t="shared" si="221"/>
        <v>0</v>
      </c>
      <c r="DY107" s="109">
        <f t="shared" si="222"/>
        <v>0</v>
      </c>
      <c r="DZ107" s="109"/>
      <c r="EA107" s="109">
        <f t="shared" si="223"/>
        <v>0</v>
      </c>
      <c r="EB107" s="166">
        <f t="shared" ca="1" si="224"/>
        <v>46054</v>
      </c>
      <c r="EC107" s="167">
        <f t="shared" ca="1" si="225"/>
        <v>0</v>
      </c>
      <c r="ED107" s="165">
        <f t="shared" si="226"/>
        <v>46232</v>
      </c>
      <c r="EE107" s="109">
        <f t="shared" si="227"/>
        <v>0</v>
      </c>
      <c r="EF107" s="109">
        <f t="shared" si="228"/>
        <v>0</v>
      </c>
      <c r="EG107" s="109"/>
      <c r="EH107" s="109">
        <f t="shared" si="229"/>
        <v>0</v>
      </c>
      <c r="EI107" s="166">
        <f t="shared" ca="1" si="230"/>
        <v>46054</v>
      </c>
      <c r="EJ107" s="167">
        <f t="shared" ca="1" si="231"/>
        <v>0</v>
      </c>
      <c r="EK107" s="165">
        <f t="shared" si="232"/>
        <v>46263</v>
      </c>
      <c r="EL107" s="109">
        <f t="shared" si="233"/>
        <v>0</v>
      </c>
      <c r="EM107" s="109">
        <f t="shared" si="234"/>
        <v>0</v>
      </c>
      <c r="EN107" s="109"/>
      <c r="EO107" s="109">
        <f t="shared" si="235"/>
        <v>0</v>
      </c>
      <c r="EP107" s="166">
        <f t="shared" ca="1" si="236"/>
        <v>46054</v>
      </c>
      <c r="EQ107" s="167">
        <f t="shared" ca="1" si="237"/>
        <v>0</v>
      </c>
      <c r="ER107" s="165">
        <f t="shared" si="238"/>
        <v>46294</v>
      </c>
      <c r="ES107" s="109">
        <f t="shared" si="239"/>
        <v>0</v>
      </c>
      <c r="ET107" s="109">
        <f t="shared" si="240"/>
        <v>0</v>
      </c>
      <c r="EU107" s="109"/>
      <c r="EV107" s="109"/>
      <c r="EW107" s="111"/>
      <c r="EX107" s="111"/>
      <c r="EY107" s="165">
        <f t="shared" si="241"/>
        <v>46324</v>
      </c>
      <c r="EZ107" s="109">
        <f t="shared" si="242"/>
        <v>0</v>
      </c>
      <c r="FA107" s="109">
        <f t="shared" si="243"/>
        <v>0</v>
      </c>
      <c r="FB107" s="109"/>
      <c r="FC107" s="109"/>
      <c r="FD107" s="111"/>
      <c r="FE107" s="111"/>
      <c r="FF107" s="165">
        <f t="shared" si="244"/>
        <v>46355</v>
      </c>
      <c r="FG107" s="109">
        <f t="shared" si="245"/>
        <v>0</v>
      </c>
      <c r="FH107" s="109">
        <f t="shared" si="246"/>
        <v>0</v>
      </c>
      <c r="FI107" s="109"/>
      <c r="FJ107" s="109"/>
      <c r="FK107" s="111"/>
      <c r="FL107" s="111"/>
      <c r="FM107" s="165">
        <f t="shared" si="247"/>
        <v>46385</v>
      </c>
      <c r="FN107" s="109">
        <f t="shared" si="248"/>
        <v>0</v>
      </c>
      <c r="FO107" s="109">
        <f t="shared" si="249"/>
        <v>0</v>
      </c>
      <c r="FP107" s="109"/>
      <c r="FQ107" s="109"/>
      <c r="FR107" s="111"/>
      <c r="FS107" s="111"/>
      <c r="FT107" s="165"/>
      <c r="FU107" s="109">
        <f t="shared" si="250"/>
        <v>0</v>
      </c>
      <c r="FV107" s="109">
        <f>FW107/(1+AM107)*AM107</f>
        <v>0</v>
      </c>
      <c r="FW107" s="109"/>
      <c r="FX107" s="109"/>
      <c r="FY107" s="111"/>
      <c r="FZ107" s="111"/>
      <c r="GA107" s="165"/>
      <c r="GB107" s="109">
        <f t="shared" si="251"/>
        <v>0</v>
      </c>
      <c r="GC107" s="109">
        <f>GD107/(1+AM107)*AM107</f>
        <v>0</v>
      </c>
      <c r="GD107" s="109"/>
      <c r="GE107" s="109"/>
      <c r="GF107" s="111"/>
      <c r="GG107" s="111"/>
      <c r="GH107" s="165"/>
      <c r="GI107" s="109">
        <f t="shared" si="252"/>
        <v>0</v>
      </c>
      <c r="GJ107" s="109">
        <f>GK107/(1+AM107)*AM107</f>
        <v>0</v>
      </c>
      <c r="GK107" s="109"/>
      <c r="GL107" s="109"/>
      <c r="GM107" s="111"/>
      <c r="GN107" s="111"/>
      <c r="GO107" s="165"/>
      <c r="GP107" s="109">
        <f t="shared" si="253"/>
        <v>0</v>
      </c>
      <c r="GQ107" s="109">
        <f>GR107/(1+AM107)*AM107</f>
        <v>0</v>
      </c>
      <c r="GR107" s="109"/>
      <c r="GS107" s="109"/>
      <c r="GT107" s="111"/>
      <c r="GU107" s="111"/>
      <c r="GV107" s="165"/>
      <c r="GW107" s="168">
        <f t="shared" si="254"/>
        <v>0</v>
      </c>
      <c r="GX107" s="168">
        <f>GY107/(1+AM107)*AM107</f>
        <v>0</v>
      </c>
      <c r="GY107" s="168"/>
      <c r="GZ107" s="168"/>
      <c r="HA107" s="111"/>
      <c r="HB107" s="111"/>
      <c r="HC107" s="165"/>
      <c r="HD107" s="109">
        <f t="shared" si="255"/>
        <v>0</v>
      </c>
      <c r="HE107" s="109">
        <f>HF107/(1+AM107)*AM107</f>
        <v>0</v>
      </c>
      <c r="HF107" s="109"/>
      <c r="HG107" s="109"/>
      <c r="HH107" s="111"/>
      <c r="HI107" s="111"/>
      <c r="HJ107" s="165"/>
      <c r="HK107" s="109">
        <f t="shared" si="256"/>
        <v>0</v>
      </c>
      <c r="HL107" s="109">
        <f>HM107/(1+AM107)*AM107</f>
        <v>0</v>
      </c>
      <c r="HM107" s="109"/>
      <c r="HN107" s="109"/>
      <c r="HO107" s="111"/>
      <c r="HP107" s="111"/>
      <c r="HQ107" s="165"/>
      <c r="HR107" s="109">
        <f t="shared" si="257"/>
        <v>0</v>
      </c>
      <c r="HS107" s="109">
        <f>HT107/(1+AM107)*AM107</f>
        <v>0</v>
      </c>
      <c r="HT107" s="109"/>
      <c r="HU107" s="109"/>
      <c r="HV107" s="111"/>
      <c r="HW107" s="111"/>
      <c r="HX107" s="105">
        <f t="shared" si="198"/>
        <v>0</v>
      </c>
      <c r="HY107" s="105">
        <f t="shared" si="198"/>
        <v>0</v>
      </c>
      <c r="HZ107" s="105">
        <f t="shared" si="198"/>
        <v>0</v>
      </c>
      <c r="IA107" s="105">
        <f t="shared" si="181"/>
        <v>0</v>
      </c>
      <c r="IB107" s="109">
        <f t="shared" si="182"/>
        <v>116000</v>
      </c>
      <c r="IC107" s="109">
        <f t="shared" si="183"/>
        <v>100000</v>
      </c>
      <c r="ID107" s="109">
        <f t="shared" si="184"/>
        <v>0</v>
      </c>
      <c r="IE107" s="109">
        <f t="shared" ca="1" si="185"/>
        <v>1</v>
      </c>
      <c r="IF107" s="139">
        <f t="shared" si="186"/>
        <v>0</v>
      </c>
      <c r="IG107" s="139">
        <f t="shared" ca="1" si="187"/>
        <v>1</v>
      </c>
      <c r="IH107" s="169">
        <f t="shared" ca="1" si="188"/>
        <v>3.3333333333333333E-2</v>
      </c>
      <c r="II107" s="139">
        <f t="shared" ca="1" si="189"/>
        <v>3.3333333333333333E-2</v>
      </c>
      <c r="IJ107" s="169">
        <f t="shared" ca="1" si="190"/>
        <v>1</v>
      </c>
      <c r="IK107" s="169">
        <f t="shared" ca="1" si="196"/>
        <v>3.3333333333333333E-2</v>
      </c>
      <c r="IL107" s="170">
        <f t="shared" ca="1" si="191"/>
        <v>257.77777777777777</v>
      </c>
      <c r="IM107" s="171"/>
      <c r="IN107" s="171"/>
      <c r="IO107" s="171"/>
      <c r="IP107" s="171"/>
    </row>
    <row r="108" spans="1:250" ht="15" customHeight="1" thickBot="1" x14ac:dyDescent="0.35">
      <c r="A108" s="110">
        <f t="shared" si="192"/>
        <v>104</v>
      </c>
      <c r="B108" s="111" t="s">
        <v>385</v>
      </c>
      <c r="C108" s="111" t="s">
        <v>386</v>
      </c>
      <c r="D108" s="111">
        <v>103</v>
      </c>
      <c r="E108" s="111" t="s">
        <v>881</v>
      </c>
      <c r="F108" s="111"/>
      <c r="G108" s="111" t="s">
        <v>1248</v>
      </c>
      <c r="H108" s="111">
        <v>1031100023</v>
      </c>
      <c r="I108" s="146" t="str">
        <f t="shared" si="124"/>
        <v>1100023</v>
      </c>
      <c r="J108" s="145" t="str">
        <f t="shared" si="125"/>
        <v>NG1100023</v>
      </c>
      <c r="K108" s="111" t="s">
        <v>1249</v>
      </c>
      <c r="L108" s="111"/>
      <c r="M108" s="111" t="s">
        <v>1250</v>
      </c>
      <c r="N108" s="111" t="s">
        <v>138</v>
      </c>
      <c r="O108" s="111"/>
      <c r="P108" s="111" t="s">
        <v>1251</v>
      </c>
      <c r="Q108" s="148" t="s">
        <v>1252</v>
      </c>
      <c r="R108" s="145" t="s">
        <v>385</v>
      </c>
      <c r="S108" s="111"/>
      <c r="T108" s="111" t="s">
        <v>1253</v>
      </c>
      <c r="U108" s="111" t="s">
        <v>937</v>
      </c>
      <c r="V108" s="181">
        <v>788119313</v>
      </c>
      <c r="W108" s="111"/>
      <c r="X108" s="111" t="s">
        <v>181</v>
      </c>
      <c r="Y108" s="111">
        <v>11</v>
      </c>
      <c r="Z108" s="111" t="s">
        <v>197</v>
      </c>
      <c r="AA108" s="111" t="s">
        <v>197</v>
      </c>
      <c r="AB108" s="111"/>
      <c r="AC108" s="111" t="s">
        <v>146</v>
      </c>
      <c r="AD108" s="111" t="s">
        <v>147</v>
      </c>
      <c r="AE108" s="111"/>
      <c r="AF108" s="111"/>
      <c r="AG108" s="111"/>
      <c r="AH108" s="175"/>
      <c r="AI108" s="111">
        <v>12</v>
      </c>
      <c r="AJ108" s="111">
        <v>0</v>
      </c>
      <c r="AK108" s="150">
        <f t="shared" si="193"/>
        <v>12</v>
      </c>
      <c r="AL108" s="177">
        <v>80000</v>
      </c>
      <c r="AM108" s="176">
        <v>0.16</v>
      </c>
      <c r="AN108" s="177">
        <f t="shared" si="210"/>
        <v>12800</v>
      </c>
      <c r="AO108" s="157">
        <f t="shared" si="209"/>
        <v>92800</v>
      </c>
      <c r="AP108" s="193">
        <f t="shared" si="126"/>
        <v>7733.333333333333</v>
      </c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75"/>
      <c r="BM108" s="111"/>
      <c r="BN108" s="111"/>
      <c r="BO108" s="111"/>
      <c r="BP108" s="111"/>
      <c r="BQ108" s="111"/>
      <c r="BR108" s="111"/>
      <c r="BS108" s="111"/>
      <c r="BT108" s="111"/>
      <c r="BU108" s="111"/>
      <c r="BV108" s="111"/>
      <c r="BW108" s="111"/>
      <c r="BX108" s="111"/>
      <c r="BY108" s="111"/>
      <c r="BZ108" s="111"/>
      <c r="CA108" s="111"/>
      <c r="CB108" s="111"/>
      <c r="CC108" s="178"/>
      <c r="CD108" s="177">
        <f t="shared" si="127"/>
        <v>80000</v>
      </c>
      <c r="CE108" s="148"/>
      <c r="CF108" s="111">
        <f t="shared" si="128"/>
        <v>12</v>
      </c>
      <c r="CG108" s="177">
        <f t="shared" si="129"/>
        <v>92800</v>
      </c>
      <c r="CH108" s="203">
        <f t="shared" si="208"/>
        <v>0</v>
      </c>
      <c r="CI108" s="148">
        <v>46022</v>
      </c>
      <c r="CJ108" s="161">
        <f t="shared" si="194"/>
        <v>46053</v>
      </c>
      <c r="CK108" s="162">
        <f t="shared" si="195"/>
        <v>46387</v>
      </c>
      <c r="CL108" s="183"/>
      <c r="CM108" s="164">
        <f t="shared" ca="1" si="130"/>
        <v>46054</v>
      </c>
      <c r="CN108" s="165">
        <f t="shared" si="131"/>
        <v>46053</v>
      </c>
      <c r="CO108" s="109">
        <f t="shared" si="132"/>
        <v>0</v>
      </c>
      <c r="CP108" s="109">
        <f t="shared" si="133"/>
        <v>0</v>
      </c>
      <c r="CQ108" s="109"/>
      <c r="CR108" s="109">
        <f t="shared" si="134"/>
        <v>0</v>
      </c>
      <c r="CS108" s="166">
        <f t="shared" ca="1" si="211"/>
        <v>46054</v>
      </c>
      <c r="CT108" s="167">
        <f t="shared" ca="1" si="135"/>
        <v>1</v>
      </c>
      <c r="CU108" s="165">
        <f t="shared" si="136"/>
        <v>46081</v>
      </c>
      <c r="CV108" s="109">
        <f t="shared" si="137"/>
        <v>0</v>
      </c>
      <c r="CW108" s="109">
        <f t="shared" si="138"/>
        <v>0</v>
      </c>
      <c r="CX108" s="109"/>
      <c r="CY108" s="109">
        <f t="shared" si="139"/>
        <v>0</v>
      </c>
      <c r="CZ108" s="166">
        <f t="shared" ca="1" si="212"/>
        <v>46054</v>
      </c>
      <c r="DA108" s="111"/>
      <c r="DB108" s="165">
        <f t="shared" si="141"/>
        <v>46109</v>
      </c>
      <c r="DC108" s="109">
        <f t="shared" si="142"/>
        <v>0</v>
      </c>
      <c r="DD108" s="109">
        <f t="shared" si="143"/>
        <v>0</v>
      </c>
      <c r="DE108" s="109"/>
      <c r="DF108" s="109">
        <f t="shared" si="144"/>
        <v>0</v>
      </c>
      <c r="DG108" s="166">
        <f t="shared" ca="1" si="213"/>
        <v>46054</v>
      </c>
      <c r="DH108" s="167">
        <f t="shared" ca="1" si="145"/>
        <v>0</v>
      </c>
      <c r="DI108" s="165">
        <f t="shared" si="146"/>
        <v>46140</v>
      </c>
      <c r="DJ108" s="109">
        <f t="shared" si="147"/>
        <v>0</v>
      </c>
      <c r="DK108" s="109">
        <f t="shared" si="148"/>
        <v>0</v>
      </c>
      <c r="DL108" s="109">
        <v>0</v>
      </c>
      <c r="DM108" s="109">
        <f t="shared" si="149"/>
        <v>0</v>
      </c>
      <c r="DN108" s="166">
        <f t="shared" ca="1" si="214"/>
        <v>46054</v>
      </c>
      <c r="DO108" s="167">
        <f t="shared" ca="1" si="150"/>
        <v>0</v>
      </c>
      <c r="DP108" s="165">
        <f t="shared" si="215"/>
        <v>46171</v>
      </c>
      <c r="DQ108" s="109">
        <f t="shared" si="216"/>
        <v>0</v>
      </c>
      <c r="DR108" s="109">
        <f t="shared" si="217"/>
        <v>0</v>
      </c>
      <c r="DS108" s="109"/>
      <c r="DT108" s="109">
        <f t="shared" si="152"/>
        <v>0</v>
      </c>
      <c r="DU108" s="166">
        <f t="shared" ca="1" si="218"/>
        <v>46054</v>
      </c>
      <c r="DV108" s="167">
        <f t="shared" ca="1" si="219"/>
        <v>0</v>
      </c>
      <c r="DW108" s="165">
        <f t="shared" si="220"/>
        <v>46202</v>
      </c>
      <c r="DX108" s="109">
        <f t="shared" si="221"/>
        <v>0</v>
      </c>
      <c r="DY108" s="109">
        <f t="shared" si="222"/>
        <v>0</v>
      </c>
      <c r="DZ108" s="109"/>
      <c r="EA108" s="109">
        <f t="shared" si="223"/>
        <v>0</v>
      </c>
      <c r="EB108" s="166">
        <f t="shared" ca="1" si="224"/>
        <v>46054</v>
      </c>
      <c r="EC108" s="167">
        <f t="shared" ca="1" si="225"/>
        <v>0</v>
      </c>
      <c r="ED108" s="165">
        <f t="shared" si="226"/>
        <v>46232</v>
      </c>
      <c r="EE108" s="109">
        <f t="shared" si="227"/>
        <v>0</v>
      </c>
      <c r="EF108" s="109">
        <f t="shared" si="228"/>
        <v>0</v>
      </c>
      <c r="EG108" s="109"/>
      <c r="EH108" s="109">
        <f t="shared" si="229"/>
        <v>0</v>
      </c>
      <c r="EI108" s="166">
        <f t="shared" ca="1" si="230"/>
        <v>46054</v>
      </c>
      <c r="EJ108" s="167">
        <f t="shared" ca="1" si="231"/>
        <v>0</v>
      </c>
      <c r="EK108" s="165">
        <f t="shared" si="232"/>
        <v>46263</v>
      </c>
      <c r="EL108" s="109">
        <f t="shared" si="233"/>
        <v>0</v>
      </c>
      <c r="EM108" s="109">
        <f t="shared" si="234"/>
        <v>0</v>
      </c>
      <c r="EN108" s="109"/>
      <c r="EO108" s="109">
        <f t="shared" si="235"/>
        <v>0</v>
      </c>
      <c r="EP108" s="166">
        <f t="shared" ca="1" si="236"/>
        <v>46054</v>
      </c>
      <c r="EQ108" s="167">
        <f t="shared" ca="1" si="237"/>
        <v>0</v>
      </c>
      <c r="ER108" s="165">
        <f t="shared" si="238"/>
        <v>46294</v>
      </c>
      <c r="ES108" s="109">
        <f t="shared" si="239"/>
        <v>0</v>
      </c>
      <c r="ET108" s="109">
        <f t="shared" si="240"/>
        <v>0</v>
      </c>
      <c r="EU108" s="109"/>
      <c r="EV108" s="109"/>
      <c r="EW108" s="111"/>
      <c r="EX108" s="111"/>
      <c r="EY108" s="165">
        <f t="shared" si="241"/>
        <v>46324</v>
      </c>
      <c r="EZ108" s="109">
        <f t="shared" si="242"/>
        <v>0</v>
      </c>
      <c r="FA108" s="109">
        <f t="shared" si="243"/>
        <v>0</v>
      </c>
      <c r="FB108" s="109"/>
      <c r="FC108" s="109"/>
      <c r="FD108" s="111"/>
      <c r="FE108" s="111"/>
      <c r="FF108" s="165">
        <f t="shared" si="244"/>
        <v>46355</v>
      </c>
      <c r="FG108" s="109">
        <f t="shared" si="245"/>
        <v>0</v>
      </c>
      <c r="FH108" s="109">
        <f t="shared" si="246"/>
        <v>0</v>
      </c>
      <c r="FI108" s="109"/>
      <c r="FJ108" s="109"/>
      <c r="FK108" s="111"/>
      <c r="FL108" s="111"/>
      <c r="FM108" s="165">
        <f t="shared" si="247"/>
        <v>46385</v>
      </c>
      <c r="FN108" s="109">
        <f t="shared" si="248"/>
        <v>0</v>
      </c>
      <c r="FO108" s="109">
        <f t="shared" si="249"/>
        <v>0</v>
      </c>
      <c r="FP108" s="109"/>
      <c r="FQ108" s="109"/>
      <c r="FR108" s="111"/>
      <c r="FS108" s="111"/>
      <c r="FT108" s="165"/>
      <c r="FU108" s="109"/>
      <c r="FV108" s="109"/>
      <c r="FW108" s="109"/>
      <c r="FX108" s="109"/>
      <c r="FY108" s="111"/>
      <c r="FZ108" s="111"/>
      <c r="GA108" s="165"/>
      <c r="GB108" s="109"/>
      <c r="GC108" s="109"/>
      <c r="GD108" s="109"/>
      <c r="GE108" s="109"/>
      <c r="GF108" s="111"/>
      <c r="GG108" s="111"/>
      <c r="GH108" s="165"/>
      <c r="GI108" s="109"/>
      <c r="GJ108" s="109"/>
      <c r="GK108" s="109"/>
      <c r="GL108" s="109"/>
      <c r="GM108" s="111"/>
      <c r="GN108" s="111"/>
      <c r="GO108" s="165"/>
      <c r="GP108" s="109"/>
      <c r="GQ108" s="109"/>
      <c r="GR108" s="109"/>
      <c r="GS108" s="109"/>
      <c r="GT108" s="111"/>
      <c r="GU108" s="111"/>
      <c r="GV108" s="165"/>
      <c r="GW108" s="168"/>
      <c r="GX108" s="168"/>
      <c r="GY108" s="168"/>
      <c r="GZ108" s="168"/>
      <c r="HA108" s="111"/>
      <c r="HB108" s="111"/>
      <c r="HC108" s="165"/>
      <c r="HD108" s="109"/>
      <c r="HE108" s="109"/>
      <c r="HF108" s="109"/>
      <c r="HG108" s="109"/>
      <c r="HH108" s="111"/>
      <c r="HI108" s="111"/>
      <c r="HJ108" s="165"/>
      <c r="HK108" s="109"/>
      <c r="HL108" s="109"/>
      <c r="HM108" s="109"/>
      <c r="HN108" s="109"/>
      <c r="HO108" s="111"/>
      <c r="HP108" s="111"/>
      <c r="HQ108" s="165"/>
      <c r="HR108" s="109"/>
      <c r="HS108" s="109"/>
      <c r="HT108" s="109"/>
      <c r="HU108" s="109"/>
      <c r="HV108" s="111"/>
      <c r="HW108" s="111"/>
      <c r="HX108" s="105">
        <f t="shared" si="198"/>
        <v>0</v>
      </c>
      <c r="HY108" s="105">
        <f t="shared" si="198"/>
        <v>0</v>
      </c>
      <c r="HZ108" s="105">
        <f t="shared" si="198"/>
        <v>0</v>
      </c>
      <c r="IA108" s="105">
        <f t="shared" si="181"/>
        <v>0</v>
      </c>
      <c r="IB108" s="109">
        <f t="shared" si="182"/>
        <v>92800</v>
      </c>
      <c r="IC108" s="109">
        <f t="shared" si="183"/>
        <v>80000</v>
      </c>
      <c r="ID108" s="109">
        <f t="shared" si="184"/>
        <v>0</v>
      </c>
      <c r="IE108" s="109">
        <f t="shared" ca="1" si="185"/>
        <v>1</v>
      </c>
      <c r="IF108" s="139">
        <f t="shared" si="186"/>
        <v>0</v>
      </c>
      <c r="IG108" s="139">
        <f t="shared" ca="1" si="187"/>
        <v>1</v>
      </c>
      <c r="IH108" s="169">
        <f t="shared" ca="1" si="188"/>
        <v>3.3333333333333333E-2</v>
      </c>
      <c r="II108" s="139">
        <f t="shared" ca="1" si="189"/>
        <v>3.3333333333333333E-2</v>
      </c>
      <c r="IJ108" s="169">
        <f t="shared" ca="1" si="190"/>
        <v>1</v>
      </c>
      <c r="IK108" s="169">
        <f t="shared" ca="1" si="196"/>
        <v>3.3333333333333333E-2</v>
      </c>
      <c r="IL108" s="170">
        <f t="shared" ca="1" si="191"/>
        <v>257.77777777777777</v>
      </c>
      <c r="IM108" s="171"/>
      <c r="IN108" s="171"/>
      <c r="IO108" s="171"/>
      <c r="IP108" s="171"/>
    </row>
    <row r="109" spans="1:250" ht="15" customHeight="1" x14ac:dyDescent="0.3">
      <c r="A109" s="110">
        <f t="shared" si="192"/>
        <v>105</v>
      </c>
      <c r="B109" s="111" t="s">
        <v>170</v>
      </c>
      <c r="C109" s="111" t="s">
        <v>171</v>
      </c>
      <c r="D109" s="111">
        <v>102</v>
      </c>
      <c r="E109" s="111" t="s">
        <v>253</v>
      </c>
      <c r="F109" s="111"/>
      <c r="G109" s="111" t="s">
        <v>1254</v>
      </c>
      <c r="H109" s="111">
        <v>1021100186</v>
      </c>
      <c r="I109" s="146" t="str">
        <f t="shared" si="124"/>
        <v>1100186</v>
      </c>
      <c r="J109" s="145" t="str">
        <f t="shared" si="125"/>
        <v>KN1100186</v>
      </c>
      <c r="K109" s="111" t="s">
        <v>1255</v>
      </c>
      <c r="L109" s="111" t="s">
        <v>412</v>
      </c>
      <c r="M109" s="111" t="s">
        <v>1256</v>
      </c>
      <c r="N109" s="111" t="s">
        <v>138</v>
      </c>
      <c r="O109" s="111"/>
      <c r="P109" s="111" t="s">
        <v>1257</v>
      </c>
      <c r="Q109" s="148">
        <v>33684</v>
      </c>
      <c r="R109" s="145" t="s">
        <v>170</v>
      </c>
      <c r="S109" s="111"/>
      <c r="T109" s="111" t="s">
        <v>1258</v>
      </c>
      <c r="U109" s="111" t="s">
        <v>470</v>
      </c>
      <c r="V109" s="181">
        <v>776568936</v>
      </c>
      <c r="W109" s="111"/>
      <c r="X109" s="111" t="s">
        <v>181</v>
      </c>
      <c r="Y109" s="111">
        <v>11</v>
      </c>
      <c r="Z109" s="111" t="s">
        <v>1259</v>
      </c>
      <c r="AA109" s="111" t="s">
        <v>1260</v>
      </c>
      <c r="AB109" s="111"/>
      <c r="AC109" s="111" t="s">
        <v>146</v>
      </c>
      <c r="AD109" s="111" t="s">
        <v>147</v>
      </c>
      <c r="AE109" s="111"/>
      <c r="AF109" s="111"/>
      <c r="AG109" s="111"/>
      <c r="AH109" s="175"/>
      <c r="AI109" s="111">
        <v>18</v>
      </c>
      <c r="AJ109" s="111">
        <v>0</v>
      </c>
      <c r="AK109" s="150">
        <f>AI109-AJ109</f>
        <v>18</v>
      </c>
      <c r="AL109" s="177">
        <v>250000</v>
      </c>
      <c r="AM109" s="176">
        <v>0.16</v>
      </c>
      <c r="AN109" s="177">
        <f t="shared" si="210"/>
        <v>40000</v>
      </c>
      <c r="AO109" s="157">
        <f t="shared" si="209"/>
        <v>290000</v>
      </c>
      <c r="AP109" s="193">
        <f t="shared" si="126"/>
        <v>16111.111111111111</v>
      </c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75"/>
      <c r="BM109" s="111"/>
      <c r="BN109" s="111"/>
      <c r="BO109" s="111"/>
      <c r="BP109" s="111"/>
      <c r="BQ109" s="111"/>
      <c r="BR109" s="111"/>
      <c r="BS109" s="111"/>
      <c r="BT109" s="111"/>
      <c r="BU109" s="111"/>
      <c r="BV109" s="111"/>
      <c r="BW109" s="111"/>
      <c r="BX109" s="111"/>
      <c r="BY109" s="111"/>
      <c r="BZ109" s="111"/>
      <c r="CA109" s="111"/>
      <c r="CB109" s="111"/>
      <c r="CC109" s="178"/>
      <c r="CD109" s="177">
        <f t="shared" si="127"/>
        <v>250000</v>
      </c>
      <c r="CE109" s="148"/>
      <c r="CF109" s="111">
        <f t="shared" si="128"/>
        <v>18</v>
      </c>
      <c r="CG109" s="177">
        <f t="shared" si="129"/>
        <v>290000</v>
      </c>
      <c r="CH109" s="203">
        <f t="shared" si="208"/>
        <v>0</v>
      </c>
      <c r="CI109" s="148">
        <v>46022</v>
      </c>
      <c r="CJ109" s="161">
        <f t="shared" si="194"/>
        <v>46053</v>
      </c>
      <c r="CK109" s="162">
        <f t="shared" si="195"/>
        <v>46568</v>
      </c>
      <c r="CL109" s="183"/>
      <c r="CM109" s="164">
        <f t="shared" ca="1" si="130"/>
        <v>46054</v>
      </c>
      <c r="CN109" s="165">
        <f t="shared" si="131"/>
        <v>46053</v>
      </c>
      <c r="CO109" s="109">
        <f t="shared" si="132"/>
        <v>0</v>
      </c>
      <c r="CP109" s="109">
        <f t="shared" si="133"/>
        <v>0</v>
      </c>
      <c r="CQ109" s="109"/>
      <c r="CR109" s="109">
        <f t="shared" si="134"/>
        <v>0</v>
      </c>
      <c r="CS109" s="166">
        <f t="shared" ca="1" si="211"/>
        <v>46054</v>
      </c>
      <c r="CT109" s="167">
        <f t="shared" ca="1" si="135"/>
        <v>1</v>
      </c>
      <c r="CU109" s="165">
        <f t="shared" si="136"/>
        <v>46081</v>
      </c>
      <c r="CV109" s="109">
        <f t="shared" si="137"/>
        <v>0</v>
      </c>
      <c r="CW109" s="109">
        <f t="shared" si="138"/>
        <v>0</v>
      </c>
      <c r="CX109" s="109"/>
      <c r="CY109" s="109">
        <f t="shared" si="139"/>
        <v>0</v>
      </c>
      <c r="CZ109" s="166">
        <f t="shared" ca="1" si="212"/>
        <v>46054</v>
      </c>
      <c r="DA109" s="111"/>
      <c r="DB109" s="165">
        <f t="shared" si="141"/>
        <v>46109</v>
      </c>
      <c r="DC109" s="109">
        <f t="shared" si="142"/>
        <v>0</v>
      </c>
      <c r="DD109" s="109">
        <f t="shared" si="143"/>
        <v>0</v>
      </c>
      <c r="DE109" s="109"/>
      <c r="DF109" s="109">
        <f t="shared" si="144"/>
        <v>0</v>
      </c>
      <c r="DG109" s="166">
        <f t="shared" ca="1" si="213"/>
        <v>46054</v>
      </c>
      <c r="DH109" s="167">
        <f t="shared" ca="1" si="145"/>
        <v>0</v>
      </c>
      <c r="DI109" s="165">
        <f t="shared" si="146"/>
        <v>46140</v>
      </c>
      <c r="DJ109" s="109">
        <f t="shared" si="147"/>
        <v>0</v>
      </c>
      <c r="DK109" s="109">
        <f t="shared" si="148"/>
        <v>0</v>
      </c>
      <c r="DL109" s="109">
        <v>0</v>
      </c>
      <c r="DM109" s="109">
        <f t="shared" si="149"/>
        <v>0</v>
      </c>
      <c r="DN109" s="166">
        <f t="shared" ca="1" si="214"/>
        <v>46054</v>
      </c>
      <c r="DO109" s="167">
        <f t="shared" ca="1" si="150"/>
        <v>0</v>
      </c>
      <c r="DP109" s="165">
        <f t="shared" si="215"/>
        <v>46171</v>
      </c>
      <c r="DQ109" s="109">
        <f t="shared" si="216"/>
        <v>0</v>
      </c>
      <c r="DR109" s="109">
        <f t="shared" si="217"/>
        <v>0</v>
      </c>
      <c r="DS109" s="109"/>
      <c r="DT109" s="109">
        <f t="shared" si="152"/>
        <v>0</v>
      </c>
      <c r="DU109" s="166">
        <f t="shared" ca="1" si="218"/>
        <v>46054</v>
      </c>
      <c r="DV109" s="167">
        <f t="shared" ca="1" si="219"/>
        <v>0</v>
      </c>
      <c r="DW109" s="165">
        <f t="shared" si="220"/>
        <v>46202</v>
      </c>
      <c r="DX109" s="109">
        <f t="shared" si="221"/>
        <v>0</v>
      </c>
      <c r="DY109" s="109">
        <f t="shared" si="222"/>
        <v>0</v>
      </c>
      <c r="DZ109" s="109"/>
      <c r="EA109" s="109">
        <f t="shared" si="223"/>
        <v>0</v>
      </c>
      <c r="EB109" s="166">
        <f t="shared" ca="1" si="224"/>
        <v>46054</v>
      </c>
      <c r="EC109" s="167">
        <f t="shared" ca="1" si="225"/>
        <v>0</v>
      </c>
      <c r="ED109" s="165">
        <f t="shared" si="226"/>
        <v>46232</v>
      </c>
      <c r="EE109" s="109">
        <f t="shared" si="227"/>
        <v>0</v>
      </c>
      <c r="EF109" s="109">
        <f t="shared" si="228"/>
        <v>0</v>
      </c>
      <c r="EG109" s="109"/>
      <c r="EH109" s="109">
        <f t="shared" si="229"/>
        <v>0</v>
      </c>
      <c r="EI109" s="166">
        <f t="shared" ca="1" si="230"/>
        <v>46054</v>
      </c>
      <c r="EJ109" s="167">
        <f t="shared" ca="1" si="231"/>
        <v>0</v>
      </c>
      <c r="EK109" s="165">
        <f t="shared" si="232"/>
        <v>46263</v>
      </c>
      <c r="EL109" s="109">
        <f t="shared" si="233"/>
        <v>0</v>
      </c>
      <c r="EM109" s="109">
        <f t="shared" si="234"/>
        <v>0</v>
      </c>
      <c r="EN109" s="109"/>
      <c r="EO109" s="109">
        <f t="shared" si="235"/>
        <v>0</v>
      </c>
      <c r="EP109" s="166">
        <f t="shared" ca="1" si="236"/>
        <v>46054</v>
      </c>
      <c r="EQ109" s="167">
        <f t="shared" ca="1" si="237"/>
        <v>0</v>
      </c>
      <c r="ER109" s="165">
        <f t="shared" si="238"/>
        <v>46294</v>
      </c>
      <c r="ES109" s="109">
        <f t="shared" si="239"/>
        <v>0</v>
      </c>
      <c r="ET109" s="109">
        <f t="shared" si="240"/>
        <v>0</v>
      </c>
      <c r="EU109" s="109"/>
      <c r="EV109" s="109"/>
      <c r="EW109" s="111"/>
      <c r="EX109" s="111"/>
      <c r="EY109" s="165">
        <f t="shared" si="241"/>
        <v>46324</v>
      </c>
      <c r="EZ109" s="109">
        <f t="shared" si="242"/>
        <v>0</v>
      </c>
      <c r="FA109" s="109">
        <f t="shared" si="243"/>
        <v>0</v>
      </c>
      <c r="FB109" s="109"/>
      <c r="FC109" s="109"/>
      <c r="FD109" s="111"/>
      <c r="FE109" s="111"/>
      <c r="FF109" s="165">
        <f t="shared" si="244"/>
        <v>46355</v>
      </c>
      <c r="FG109" s="109">
        <f t="shared" si="245"/>
        <v>0</v>
      </c>
      <c r="FH109" s="109">
        <f t="shared" si="246"/>
        <v>0</v>
      </c>
      <c r="FI109" s="109"/>
      <c r="FJ109" s="109"/>
      <c r="FK109" s="111"/>
      <c r="FL109" s="111"/>
      <c r="FM109" s="165">
        <f t="shared" si="247"/>
        <v>46385</v>
      </c>
      <c r="FN109" s="109">
        <f t="shared" si="248"/>
        <v>0</v>
      </c>
      <c r="FO109" s="109">
        <f t="shared" si="249"/>
        <v>0</v>
      </c>
      <c r="FP109" s="109"/>
      <c r="FQ109" s="109"/>
      <c r="FR109" s="111"/>
      <c r="FS109" s="111"/>
      <c r="FT109" s="165">
        <f>EDATE(FM109,1)</f>
        <v>46416</v>
      </c>
      <c r="FU109" s="109">
        <f t="shared" si="250"/>
        <v>0</v>
      </c>
      <c r="FV109" s="109">
        <f t="shared" ref="FV109:FV172" si="276">FW109/(1+AM109)*AM109</f>
        <v>0</v>
      </c>
      <c r="FW109" s="109"/>
      <c r="FX109" s="109"/>
      <c r="FY109" s="111"/>
      <c r="FZ109" s="111"/>
      <c r="GA109" s="165">
        <f>EDATE(FT109,1)</f>
        <v>46446</v>
      </c>
      <c r="GB109" s="109">
        <f t="shared" si="251"/>
        <v>0</v>
      </c>
      <c r="GC109" s="109">
        <f t="shared" ref="GC109:GC172" si="277">GD109/(1+AM109)*AM109</f>
        <v>0</v>
      </c>
      <c r="GD109" s="109"/>
      <c r="GE109" s="109"/>
      <c r="GF109" s="111"/>
      <c r="GG109" s="111"/>
      <c r="GH109" s="165">
        <f>EDATE(GA109,1)</f>
        <v>46474</v>
      </c>
      <c r="GI109" s="109">
        <f t="shared" si="252"/>
        <v>0</v>
      </c>
      <c r="GJ109" s="109">
        <f t="shared" ref="GJ109:GJ172" si="278">GK109/(1+AM109)*AM109</f>
        <v>0</v>
      </c>
      <c r="GK109" s="109"/>
      <c r="GL109" s="109"/>
      <c r="GM109" s="111"/>
      <c r="GN109" s="111"/>
      <c r="GO109" s="165">
        <f>EDATE(GH109,1)</f>
        <v>46505</v>
      </c>
      <c r="GP109" s="109">
        <f t="shared" si="253"/>
        <v>0</v>
      </c>
      <c r="GQ109" s="109">
        <f t="shared" ref="GQ109:GQ172" si="279">GR109/(1+AM109)*AM109</f>
        <v>0</v>
      </c>
      <c r="GR109" s="109"/>
      <c r="GS109" s="109"/>
      <c r="GT109" s="111"/>
      <c r="GU109" s="111"/>
      <c r="GV109" s="165">
        <f>EDATE(GO109,1)</f>
        <v>46535</v>
      </c>
      <c r="GW109" s="168">
        <f t="shared" si="254"/>
        <v>0</v>
      </c>
      <c r="GX109" s="168">
        <f t="shared" ref="GX109:GX172" si="280">GY109/(1+AM109)*AM109</f>
        <v>0</v>
      </c>
      <c r="GY109" s="168"/>
      <c r="GZ109" s="168"/>
      <c r="HA109" s="111"/>
      <c r="HB109" s="111"/>
      <c r="HC109" s="165">
        <f>EDATE(GV109,1)</f>
        <v>46566</v>
      </c>
      <c r="HD109" s="109">
        <f t="shared" si="255"/>
        <v>0</v>
      </c>
      <c r="HE109" s="109">
        <f t="shared" ref="HE109:HE172" si="281">HF109/(1+AM109)*AM109</f>
        <v>0</v>
      </c>
      <c r="HF109" s="109"/>
      <c r="HG109" s="109"/>
      <c r="HH109" s="111"/>
      <c r="HI109" s="111"/>
      <c r="HJ109" s="165"/>
      <c r="HK109" s="109">
        <f t="shared" si="256"/>
        <v>0</v>
      </c>
      <c r="HL109" s="109">
        <f t="shared" ref="HL109:HL172" si="282">HM109/(1+AM109)*AM109</f>
        <v>0</v>
      </c>
      <c r="HM109" s="109"/>
      <c r="HN109" s="109"/>
      <c r="HO109" s="111"/>
      <c r="HP109" s="111"/>
      <c r="HQ109" s="165"/>
      <c r="HR109" s="109">
        <f t="shared" si="257"/>
        <v>0</v>
      </c>
      <c r="HS109" s="109">
        <f t="shared" ref="HS109:HS172" si="283">HT109/(1+AM109)*AM109</f>
        <v>0</v>
      </c>
      <c r="HT109" s="109"/>
      <c r="HU109" s="109"/>
      <c r="HV109" s="111"/>
      <c r="HW109" s="111"/>
      <c r="HX109" s="105">
        <f t="shared" si="198"/>
        <v>0</v>
      </c>
      <c r="HY109" s="105">
        <f t="shared" si="198"/>
        <v>0</v>
      </c>
      <c r="HZ109" s="105">
        <f t="shared" si="198"/>
        <v>0</v>
      </c>
      <c r="IA109" s="105">
        <f t="shared" si="181"/>
        <v>0</v>
      </c>
      <c r="IB109" s="109">
        <f t="shared" si="182"/>
        <v>290000</v>
      </c>
      <c r="IC109" s="109">
        <f t="shared" si="183"/>
        <v>250000</v>
      </c>
      <c r="ID109" s="109">
        <f t="shared" si="184"/>
        <v>0</v>
      </c>
      <c r="IE109" s="109">
        <f t="shared" ca="1" si="185"/>
        <v>1</v>
      </c>
      <c r="IF109" s="139">
        <f t="shared" si="186"/>
        <v>0</v>
      </c>
      <c r="IG109" s="139">
        <f t="shared" ca="1" si="187"/>
        <v>1</v>
      </c>
      <c r="IH109" s="169">
        <f t="shared" ca="1" si="188"/>
        <v>3.3333333333333333E-2</v>
      </c>
      <c r="II109" s="139">
        <f t="shared" ca="1" si="189"/>
        <v>3.3333333333333333E-2</v>
      </c>
      <c r="IJ109" s="169">
        <f t="shared" ca="1" si="190"/>
        <v>1</v>
      </c>
      <c r="IK109" s="169">
        <f t="shared" ca="1" si="196"/>
        <v>3.3333333333333333E-2</v>
      </c>
      <c r="IL109" s="170">
        <f t="shared" ca="1" si="191"/>
        <v>537.03703703703707</v>
      </c>
      <c r="IM109" s="171"/>
      <c r="IN109" s="171"/>
      <c r="IO109" s="171"/>
      <c r="IP109" s="171"/>
    </row>
    <row r="110" spans="1:250" ht="15" customHeight="1" x14ac:dyDescent="0.3">
      <c r="A110" s="110">
        <f t="shared" si="192"/>
        <v>106</v>
      </c>
      <c r="B110" s="111" t="s">
        <v>131</v>
      </c>
      <c r="C110" s="111" t="s">
        <v>132</v>
      </c>
      <c r="D110" s="111">
        <v>101</v>
      </c>
      <c r="E110" s="111" t="s">
        <v>133</v>
      </c>
      <c r="F110" s="111"/>
      <c r="G110" s="111"/>
      <c r="H110" s="111">
        <v>1021100001</v>
      </c>
      <c r="I110" s="194">
        <v>1100001</v>
      </c>
      <c r="J110" s="111" t="s">
        <v>1261</v>
      </c>
      <c r="K110" s="111"/>
      <c r="L110" s="111"/>
      <c r="M110" s="111"/>
      <c r="N110" s="111"/>
      <c r="O110" s="111"/>
      <c r="P110" s="195">
        <v>1400030305835</v>
      </c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75"/>
      <c r="AI110" s="111"/>
      <c r="AJ110" s="111"/>
      <c r="AK110" s="111"/>
      <c r="AL110" s="177"/>
      <c r="AM110" s="176"/>
      <c r="AN110" s="177"/>
      <c r="AO110" s="157"/>
      <c r="AP110" s="158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75"/>
      <c r="BM110" s="111"/>
      <c r="BN110" s="111"/>
      <c r="BO110" s="111"/>
      <c r="BP110" s="111"/>
      <c r="BQ110" s="111"/>
      <c r="BR110" s="111"/>
      <c r="BS110" s="111"/>
      <c r="BT110" s="111"/>
      <c r="BU110" s="111"/>
      <c r="BV110" s="111"/>
      <c r="BW110" s="111"/>
      <c r="BX110" s="111"/>
      <c r="BY110" s="111"/>
      <c r="BZ110" s="111"/>
      <c r="CA110" s="111"/>
      <c r="CB110" s="111"/>
      <c r="CC110" s="178"/>
      <c r="CD110" s="177">
        <f t="shared" si="127"/>
        <v>0</v>
      </c>
      <c r="CE110" s="148"/>
      <c r="CF110" s="111">
        <f t="shared" si="128"/>
        <v>0</v>
      </c>
      <c r="CG110" s="177"/>
      <c r="CH110" s="204"/>
      <c r="CI110" s="148"/>
      <c r="CJ110" s="165"/>
      <c r="CK110" s="165"/>
      <c r="CL110" s="111"/>
      <c r="CM110" s="111"/>
      <c r="CN110" s="165">
        <f t="shared" si="131"/>
        <v>0</v>
      </c>
      <c r="CO110" s="109">
        <f t="shared" si="132"/>
        <v>0</v>
      </c>
      <c r="CP110" s="109">
        <f t="shared" si="133"/>
        <v>0</v>
      </c>
      <c r="CQ110" s="109"/>
      <c r="CR110" s="109"/>
      <c r="CS110" s="196"/>
      <c r="CT110" s="167"/>
      <c r="CU110" s="165"/>
      <c r="CV110" s="109">
        <f t="shared" si="137"/>
        <v>0</v>
      </c>
      <c r="CW110" s="109">
        <f t="shared" si="138"/>
        <v>0</v>
      </c>
      <c r="CX110" s="109"/>
      <c r="CY110" s="109"/>
      <c r="CZ110" s="111"/>
      <c r="DA110" s="111"/>
      <c r="DB110" s="165"/>
      <c r="DC110" s="109">
        <f t="shared" si="142"/>
        <v>0</v>
      </c>
      <c r="DD110" s="109">
        <f t="shared" si="143"/>
        <v>0</v>
      </c>
      <c r="DE110" s="109"/>
      <c r="DF110" s="109"/>
      <c r="DG110" s="111"/>
      <c r="DH110" s="111"/>
      <c r="DI110" s="165"/>
      <c r="DJ110" s="109">
        <f t="shared" si="147"/>
        <v>0</v>
      </c>
      <c r="DK110" s="109">
        <f t="shared" si="148"/>
        <v>0</v>
      </c>
      <c r="DL110" s="109"/>
      <c r="DM110" s="109"/>
      <c r="DN110" s="111"/>
      <c r="DO110" s="111"/>
      <c r="DP110" s="165"/>
      <c r="DQ110" s="109">
        <f t="shared" si="216"/>
        <v>0</v>
      </c>
      <c r="DR110" s="109">
        <f t="shared" si="217"/>
        <v>0</v>
      </c>
      <c r="DS110" s="109"/>
      <c r="DT110" s="109"/>
      <c r="DU110" s="111"/>
      <c r="DV110" s="111"/>
      <c r="DW110" s="165"/>
      <c r="DX110" s="109">
        <f t="shared" si="221"/>
        <v>0</v>
      </c>
      <c r="DY110" s="109">
        <f t="shared" si="222"/>
        <v>0</v>
      </c>
      <c r="DZ110" s="109"/>
      <c r="EA110" s="109"/>
      <c r="EB110" s="111"/>
      <c r="EC110" s="111"/>
      <c r="ED110" s="165"/>
      <c r="EE110" s="109">
        <f t="shared" si="227"/>
        <v>0</v>
      </c>
      <c r="EF110" s="109">
        <f t="shared" si="228"/>
        <v>0</v>
      </c>
      <c r="EG110" s="109"/>
      <c r="EH110" s="109"/>
      <c r="EI110" s="111"/>
      <c r="EJ110" s="111"/>
      <c r="EK110" s="165"/>
      <c r="EL110" s="109">
        <f t="shared" si="233"/>
        <v>0</v>
      </c>
      <c r="EM110" s="109">
        <f t="shared" si="234"/>
        <v>0</v>
      </c>
      <c r="EN110" s="109"/>
      <c r="EO110" s="109"/>
      <c r="EP110" s="111"/>
      <c r="EQ110" s="111"/>
      <c r="ER110" s="165"/>
      <c r="ES110" s="109">
        <f t="shared" si="239"/>
        <v>0</v>
      </c>
      <c r="ET110" s="109">
        <f t="shared" si="240"/>
        <v>0</v>
      </c>
      <c r="EU110" s="109"/>
      <c r="EV110" s="109"/>
      <c r="EW110" s="111"/>
      <c r="EX110" s="111"/>
      <c r="EY110" s="165"/>
      <c r="EZ110" s="109">
        <f t="shared" si="242"/>
        <v>0</v>
      </c>
      <c r="FA110" s="109">
        <f t="shared" si="243"/>
        <v>0</v>
      </c>
      <c r="FB110" s="109"/>
      <c r="FC110" s="109"/>
      <c r="FD110" s="111"/>
      <c r="FE110" s="111"/>
      <c r="FF110" s="165"/>
      <c r="FG110" s="109">
        <f t="shared" si="245"/>
        <v>0</v>
      </c>
      <c r="FH110" s="109">
        <f t="shared" si="246"/>
        <v>0</v>
      </c>
      <c r="FI110" s="109"/>
      <c r="FJ110" s="109"/>
      <c r="FK110" s="111"/>
      <c r="FL110" s="111"/>
      <c r="FM110" s="165"/>
      <c r="FN110" s="109">
        <f t="shared" si="248"/>
        <v>0</v>
      </c>
      <c r="FO110" s="109">
        <f t="shared" si="249"/>
        <v>0</v>
      </c>
      <c r="FP110" s="109"/>
      <c r="FQ110" s="109"/>
      <c r="FR110" s="111"/>
      <c r="FS110" s="111"/>
      <c r="FT110" s="165"/>
      <c r="FU110" s="109">
        <f t="shared" si="250"/>
        <v>0</v>
      </c>
      <c r="FV110" s="109">
        <f t="shared" si="276"/>
        <v>0</v>
      </c>
      <c r="FW110" s="109"/>
      <c r="FX110" s="109"/>
      <c r="FY110" s="111"/>
      <c r="FZ110" s="111"/>
      <c r="GA110" s="165"/>
      <c r="GB110" s="109">
        <f t="shared" si="251"/>
        <v>0</v>
      </c>
      <c r="GC110" s="109">
        <f t="shared" si="277"/>
        <v>0</v>
      </c>
      <c r="GD110" s="109"/>
      <c r="GE110" s="109"/>
      <c r="GF110" s="111"/>
      <c r="GG110" s="111"/>
      <c r="GH110" s="165"/>
      <c r="GI110" s="109">
        <f t="shared" si="252"/>
        <v>0</v>
      </c>
      <c r="GJ110" s="109">
        <f t="shared" si="278"/>
        <v>0</v>
      </c>
      <c r="GK110" s="109"/>
      <c r="GL110" s="109"/>
      <c r="GM110" s="111"/>
      <c r="GN110" s="111"/>
      <c r="GO110" s="165"/>
      <c r="GP110" s="109">
        <f t="shared" si="253"/>
        <v>0</v>
      </c>
      <c r="GQ110" s="109">
        <f t="shared" si="279"/>
        <v>0</v>
      </c>
      <c r="GR110" s="109"/>
      <c r="GS110" s="109"/>
      <c r="GT110" s="111"/>
      <c r="GU110" s="111"/>
      <c r="GV110" s="165"/>
      <c r="GW110" s="168">
        <f t="shared" si="254"/>
        <v>0</v>
      </c>
      <c r="GX110" s="168">
        <f t="shared" si="280"/>
        <v>0</v>
      </c>
      <c r="GY110" s="168"/>
      <c r="GZ110" s="168"/>
      <c r="HA110" s="111"/>
      <c r="HB110" s="111"/>
      <c r="HC110" s="165"/>
      <c r="HD110" s="109">
        <f t="shared" si="255"/>
        <v>0</v>
      </c>
      <c r="HE110" s="109">
        <f t="shared" si="281"/>
        <v>0</v>
      </c>
      <c r="HF110" s="109"/>
      <c r="HG110" s="109"/>
      <c r="HH110" s="111"/>
      <c r="HI110" s="111"/>
      <c r="HJ110" s="165"/>
      <c r="HK110" s="109">
        <f t="shared" si="256"/>
        <v>0</v>
      </c>
      <c r="HL110" s="109">
        <f t="shared" si="282"/>
        <v>0</v>
      </c>
      <c r="HM110" s="109"/>
      <c r="HN110" s="109"/>
      <c r="HO110" s="111"/>
      <c r="HP110" s="111"/>
      <c r="HQ110" s="165"/>
      <c r="HR110" s="109">
        <f t="shared" si="257"/>
        <v>0</v>
      </c>
      <c r="HS110" s="109">
        <f t="shared" si="283"/>
        <v>0</v>
      </c>
      <c r="HT110" s="109"/>
      <c r="HU110" s="109"/>
      <c r="HV110" s="111"/>
      <c r="HW110" s="111"/>
      <c r="HX110" s="105">
        <f t="shared" si="198"/>
        <v>0</v>
      </c>
      <c r="HY110" s="105">
        <f t="shared" si="198"/>
        <v>0</v>
      </c>
      <c r="HZ110" s="105">
        <f t="shared" si="198"/>
        <v>0</v>
      </c>
      <c r="IA110" s="105">
        <f t="shared" si="181"/>
        <v>0</v>
      </c>
      <c r="IB110" s="109">
        <f t="shared" si="182"/>
        <v>0</v>
      </c>
      <c r="IC110" s="109">
        <f t="shared" si="183"/>
        <v>0</v>
      </c>
      <c r="ID110" s="109">
        <f t="shared" si="184"/>
        <v>0</v>
      </c>
      <c r="IE110" s="109">
        <f t="shared" si="185"/>
        <v>0</v>
      </c>
      <c r="IF110" s="197"/>
      <c r="IG110" s="197"/>
      <c r="IH110" s="197"/>
      <c r="II110" s="197"/>
      <c r="IJ110" s="197"/>
      <c r="IK110" s="197"/>
      <c r="IL110" s="197"/>
      <c r="IM110" s="171"/>
      <c r="IN110" s="171"/>
      <c r="IO110" s="171"/>
      <c r="IP110" s="171"/>
    </row>
    <row r="111" spans="1:250" ht="15" customHeight="1" x14ac:dyDescent="0.3">
      <c r="A111" s="110">
        <f t="shared" si="192"/>
        <v>107</v>
      </c>
      <c r="B111" s="111"/>
      <c r="C111" s="111"/>
      <c r="D111" s="111"/>
      <c r="E111" s="111"/>
      <c r="F111" s="111"/>
      <c r="G111" s="111"/>
      <c r="H111" s="111"/>
      <c r="I111" s="194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75"/>
      <c r="AI111" s="111"/>
      <c r="AJ111" s="111"/>
      <c r="AK111" s="111"/>
      <c r="AL111" s="177"/>
      <c r="AM111" s="176"/>
      <c r="AN111" s="177"/>
      <c r="AO111" s="157"/>
      <c r="AP111" s="158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  <c r="BJ111" s="111"/>
      <c r="BK111" s="111"/>
      <c r="BL111" s="175"/>
      <c r="BM111" s="111"/>
      <c r="BN111" s="111"/>
      <c r="BO111" s="111"/>
      <c r="BP111" s="111"/>
      <c r="BQ111" s="111"/>
      <c r="BR111" s="111"/>
      <c r="BS111" s="111"/>
      <c r="BT111" s="111"/>
      <c r="BU111" s="111"/>
      <c r="BV111" s="111"/>
      <c r="BW111" s="111"/>
      <c r="BX111" s="111"/>
      <c r="BY111" s="111"/>
      <c r="BZ111" s="111"/>
      <c r="CA111" s="111"/>
      <c r="CB111" s="111"/>
      <c r="CC111" s="178"/>
      <c r="CD111" s="177">
        <f t="shared" si="127"/>
        <v>0</v>
      </c>
      <c r="CE111" s="148"/>
      <c r="CF111" s="111">
        <f t="shared" si="128"/>
        <v>0</v>
      </c>
      <c r="CG111" s="177"/>
      <c r="CH111" s="204"/>
      <c r="CI111" s="148"/>
      <c r="CJ111" s="165"/>
      <c r="CK111" s="165"/>
      <c r="CL111" s="111"/>
      <c r="CM111" s="111"/>
      <c r="CN111" s="165">
        <f t="shared" si="131"/>
        <v>0</v>
      </c>
      <c r="CO111" s="109">
        <f t="shared" si="132"/>
        <v>0</v>
      </c>
      <c r="CP111" s="109">
        <f t="shared" si="133"/>
        <v>0</v>
      </c>
      <c r="CQ111" s="109"/>
      <c r="CR111" s="109"/>
      <c r="CS111" s="196"/>
      <c r="CT111" s="167"/>
      <c r="CU111" s="165"/>
      <c r="CV111" s="109">
        <f t="shared" si="137"/>
        <v>0</v>
      </c>
      <c r="CW111" s="109">
        <f t="shared" si="138"/>
        <v>0</v>
      </c>
      <c r="CX111" s="109"/>
      <c r="CY111" s="109"/>
      <c r="CZ111" s="111"/>
      <c r="DA111" s="111"/>
      <c r="DB111" s="165"/>
      <c r="DC111" s="109">
        <f t="shared" si="142"/>
        <v>0</v>
      </c>
      <c r="DD111" s="109">
        <f t="shared" si="143"/>
        <v>0</v>
      </c>
      <c r="DE111" s="109"/>
      <c r="DF111" s="109"/>
      <c r="DG111" s="111"/>
      <c r="DH111" s="111"/>
      <c r="DI111" s="165"/>
      <c r="DJ111" s="109">
        <f t="shared" si="147"/>
        <v>0</v>
      </c>
      <c r="DK111" s="109">
        <f t="shared" si="148"/>
        <v>0</v>
      </c>
      <c r="DL111" s="109"/>
      <c r="DM111" s="109"/>
      <c r="DN111" s="111"/>
      <c r="DO111" s="111"/>
      <c r="DP111" s="165"/>
      <c r="DQ111" s="109">
        <f t="shared" si="216"/>
        <v>0</v>
      </c>
      <c r="DR111" s="109">
        <f t="shared" si="217"/>
        <v>0</v>
      </c>
      <c r="DS111" s="109"/>
      <c r="DT111" s="109"/>
      <c r="DU111" s="111"/>
      <c r="DV111" s="111"/>
      <c r="DW111" s="165"/>
      <c r="DX111" s="109">
        <f t="shared" si="221"/>
        <v>0</v>
      </c>
      <c r="DY111" s="109">
        <f t="shared" si="222"/>
        <v>0</v>
      </c>
      <c r="DZ111" s="109"/>
      <c r="EA111" s="109"/>
      <c r="EB111" s="111"/>
      <c r="EC111" s="111"/>
      <c r="ED111" s="165"/>
      <c r="EE111" s="109">
        <f t="shared" si="227"/>
        <v>0</v>
      </c>
      <c r="EF111" s="109">
        <f t="shared" si="228"/>
        <v>0</v>
      </c>
      <c r="EG111" s="109"/>
      <c r="EH111" s="109"/>
      <c r="EI111" s="111"/>
      <c r="EJ111" s="111"/>
      <c r="EK111" s="165"/>
      <c r="EL111" s="109">
        <f t="shared" si="233"/>
        <v>0</v>
      </c>
      <c r="EM111" s="109">
        <f t="shared" si="234"/>
        <v>0</v>
      </c>
      <c r="EN111" s="109"/>
      <c r="EO111" s="109"/>
      <c r="EP111" s="111"/>
      <c r="EQ111" s="111"/>
      <c r="ER111" s="165"/>
      <c r="ES111" s="109">
        <f t="shared" si="239"/>
        <v>0</v>
      </c>
      <c r="ET111" s="109">
        <f t="shared" si="240"/>
        <v>0</v>
      </c>
      <c r="EU111" s="109"/>
      <c r="EV111" s="109"/>
      <c r="EW111" s="111"/>
      <c r="EX111" s="111"/>
      <c r="EY111" s="165"/>
      <c r="EZ111" s="109">
        <f t="shared" si="242"/>
        <v>0</v>
      </c>
      <c r="FA111" s="109">
        <f t="shared" si="243"/>
        <v>0</v>
      </c>
      <c r="FB111" s="109"/>
      <c r="FC111" s="109"/>
      <c r="FD111" s="111"/>
      <c r="FE111" s="111"/>
      <c r="FF111" s="165"/>
      <c r="FG111" s="109">
        <f t="shared" si="245"/>
        <v>0</v>
      </c>
      <c r="FH111" s="109">
        <f t="shared" si="246"/>
        <v>0</v>
      </c>
      <c r="FI111" s="109"/>
      <c r="FJ111" s="109"/>
      <c r="FK111" s="111"/>
      <c r="FL111" s="111"/>
      <c r="FM111" s="165"/>
      <c r="FN111" s="109">
        <f t="shared" si="248"/>
        <v>0</v>
      </c>
      <c r="FO111" s="109">
        <f t="shared" si="249"/>
        <v>0</v>
      </c>
      <c r="FP111" s="109"/>
      <c r="FQ111" s="109"/>
      <c r="FR111" s="111"/>
      <c r="FS111" s="111"/>
      <c r="FT111" s="165"/>
      <c r="FU111" s="109">
        <f t="shared" si="250"/>
        <v>0</v>
      </c>
      <c r="FV111" s="109">
        <f t="shared" si="276"/>
        <v>0</v>
      </c>
      <c r="FW111" s="109"/>
      <c r="FX111" s="109"/>
      <c r="FY111" s="111"/>
      <c r="FZ111" s="111"/>
      <c r="GA111" s="165"/>
      <c r="GB111" s="109">
        <f t="shared" si="251"/>
        <v>0</v>
      </c>
      <c r="GC111" s="109">
        <f t="shared" si="277"/>
        <v>0</v>
      </c>
      <c r="GD111" s="109"/>
      <c r="GE111" s="109"/>
      <c r="GF111" s="111"/>
      <c r="GG111" s="111"/>
      <c r="GH111" s="165"/>
      <c r="GI111" s="109">
        <f t="shared" si="252"/>
        <v>0</v>
      </c>
      <c r="GJ111" s="109">
        <f t="shared" si="278"/>
        <v>0</v>
      </c>
      <c r="GK111" s="109"/>
      <c r="GL111" s="109"/>
      <c r="GM111" s="111"/>
      <c r="GN111" s="111"/>
      <c r="GO111" s="165"/>
      <c r="GP111" s="109">
        <f t="shared" si="253"/>
        <v>0</v>
      </c>
      <c r="GQ111" s="109">
        <f t="shared" si="279"/>
        <v>0</v>
      </c>
      <c r="GR111" s="109"/>
      <c r="GS111" s="109"/>
      <c r="GT111" s="111"/>
      <c r="GU111" s="111"/>
      <c r="GV111" s="165"/>
      <c r="GW111" s="168">
        <f t="shared" si="254"/>
        <v>0</v>
      </c>
      <c r="GX111" s="168">
        <f t="shared" si="280"/>
        <v>0</v>
      </c>
      <c r="GY111" s="168"/>
      <c r="GZ111" s="168"/>
      <c r="HA111" s="111"/>
      <c r="HB111" s="111"/>
      <c r="HC111" s="165"/>
      <c r="HD111" s="109">
        <f t="shared" si="255"/>
        <v>0</v>
      </c>
      <c r="HE111" s="109">
        <f t="shared" si="281"/>
        <v>0</v>
      </c>
      <c r="HF111" s="109"/>
      <c r="HG111" s="109"/>
      <c r="HH111" s="111"/>
      <c r="HI111" s="111"/>
      <c r="HJ111" s="165"/>
      <c r="HK111" s="109">
        <f t="shared" si="256"/>
        <v>0</v>
      </c>
      <c r="HL111" s="109">
        <f t="shared" si="282"/>
        <v>0</v>
      </c>
      <c r="HM111" s="109"/>
      <c r="HN111" s="109"/>
      <c r="HO111" s="111"/>
      <c r="HP111" s="111"/>
      <c r="HQ111" s="165"/>
      <c r="HR111" s="109">
        <f t="shared" si="257"/>
        <v>0</v>
      </c>
      <c r="HS111" s="109">
        <f t="shared" si="283"/>
        <v>0</v>
      </c>
      <c r="HT111" s="109"/>
      <c r="HU111" s="109"/>
      <c r="HV111" s="111"/>
      <c r="HW111" s="111"/>
      <c r="HX111" s="105">
        <f t="shared" si="198"/>
        <v>0</v>
      </c>
      <c r="HY111" s="105">
        <f t="shared" si="198"/>
        <v>0</v>
      </c>
      <c r="HZ111" s="105">
        <f t="shared" si="198"/>
        <v>0</v>
      </c>
      <c r="IA111" s="105">
        <f t="shared" si="181"/>
        <v>0</v>
      </c>
      <c r="IB111" s="109">
        <f t="shared" si="182"/>
        <v>0</v>
      </c>
      <c r="IC111" s="109">
        <f t="shared" si="183"/>
        <v>0</v>
      </c>
      <c r="ID111" s="109">
        <f t="shared" si="184"/>
        <v>0</v>
      </c>
      <c r="IE111" s="109">
        <f t="shared" si="185"/>
        <v>0</v>
      </c>
      <c r="IF111" s="197"/>
      <c r="IG111" s="197"/>
      <c r="IH111" s="197"/>
      <c r="II111" s="197"/>
      <c r="IJ111" s="197"/>
      <c r="IK111" s="197"/>
      <c r="IL111" s="197"/>
      <c r="IM111" s="171"/>
      <c r="IN111" s="171"/>
      <c r="IO111" s="171"/>
      <c r="IP111" s="171"/>
    </row>
    <row r="112" spans="1:250" ht="15" customHeight="1" x14ac:dyDescent="0.3">
      <c r="A112" s="110">
        <f t="shared" si="192"/>
        <v>108</v>
      </c>
      <c r="B112" s="111"/>
      <c r="C112" s="111"/>
      <c r="D112" s="111"/>
      <c r="E112" s="111"/>
      <c r="F112" s="111"/>
      <c r="G112" s="111"/>
      <c r="H112" s="111"/>
      <c r="I112" s="194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75"/>
      <c r="AI112" s="111"/>
      <c r="AJ112" s="111"/>
      <c r="AK112" s="111"/>
      <c r="AL112" s="177"/>
      <c r="AM112" s="176"/>
      <c r="AN112" s="177"/>
      <c r="AO112" s="157"/>
      <c r="AP112" s="158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75"/>
      <c r="BM112" s="111"/>
      <c r="BN112" s="111"/>
      <c r="BO112" s="111"/>
      <c r="BP112" s="111"/>
      <c r="BQ112" s="111"/>
      <c r="BR112" s="111"/>
      <c r="BS112" s="111"/>
      <c r="BT112" s="111"/>
      <c r="BU112" s="111"/>
      <c r="BV112" s="111"/>
      <c r="BW112" s="111"/>
      <c r="BX112" s="111"/>
      <c r="BY112" s="111"/>
      <c r="BZ112" s="111"/>
      <c r="CA112" s="111"/>
      <c r="CB112" s="111"/>
      <c r="CC112" s="178"/>
      <c r="CD112" s="177">
        <f t="shared" si="127"/>
        <v>0</v>
      </c>
      <c r="CE112" s="148"/>
      <c r="CF112" s="111">
        <f t="shared" si="128"/>
        <v>0</v>
      </c>
      <c r="CG112" s="177"/>
      <c r="CH112" s="204"/>
      <c r="CI112" s="148"/>
      <c r="CJ112" s="165"/>
      <c r="CK112" s="165"/>
      <c r="CL112" s="111"/>
      <c r="CM112" s="111"/>
      <c r="CN112" s="165">
        <f t="shared" si="131"/>
        <v>0</v>
      </c>
      <c r="CO112" s="109">
        <f t="shared" si="132"/>
        <v>0</v>
      </c>
      <c r="CP112" s="109">
        <f t="shared" si="133"/>
        <v>0</v>
      </c>
      <c r="CQ112" s="109"/>
      <c r="CR112" s="109"/>
      <c r="CS112" s="196"/>
      <c r="CT112" s="167"/>
      <c r="CU112" s="165"/>
      <c r="CV112" s="109">
        <f t="shared" si="137"/>
        <v>0</v>
      </c>
      <c r="CW112" s="109">
        <f t="shared" si="138"/>
        <v>0</v>
      </c>
      <c r="CX112" s="109"/>
      <c r="CY112" s="109"/>
      <c r="CZ112" s="111"/>
      <c r="DA112" s="111"/>
      <c r="DB112" s="165"/>
      <c r="DC112" s="109">
        <f t="shared" si="142"/>
        <v>0</v>
      </c>
      <c r="DD112" s="109">
        <f t="shared" si="143"/>
        <v>0</v>
      </c>
      <c r="DE112" s="109"/>
      <c r="DF112" s="109"/>
      <c r="DG112" s="111"/>
      <c r="DH112" s="111"/>
      <c r="DI112" s="165"/>
      <c r="DJ112" s="109">
        <f t="shared" si="147"/>
        <v>0</v>
      </c>
      <c r="DK112" s="109">
        <f t="shared" si="148"/>
        <v>0</v>
      </c>
      <c r="DL112" s="109"/>
      <c r="DM112" s="109"/>
      <c r="DN112" s="111"/>
      <c r="DO112" s="111"/>
      <c r="DP112" s="165"/>
      <c r="DQ112" s="109">
        <f t="shared" si="216"/>
        <v>0</v>
      </c>
      <c r="DR112" s="109">
        <f t="shared" si="217"/>
        <v>0</v>
      </c>
      <c r="DS112" s="109"/>
      <c r="DT112" s="109"/>
      <c r="DU112" s="111"/>
      <c r="DV112" s="111"/>
      <c r="DW112" s="165"/>
      <c r="DX112" s="109">
        <f t="shared" si="221"/>
        <v>0</v>
      </c>
      <c r="DY112" s="109">
        <f t="shared" si="222"/>
        <v>0</v>
      </c>
      <c r="DZ112" s="109"/>
      <c r="EA112" s="109"/>
      <c r="EB112" s="111"/>
      <c r="EC112" s="111"/>
      <c r="ED112" s="165"/>
      <c r="EE112" s="109">
        <f t="shared" si="227"/>
        <v>0</v>
      </c>
      <c r="EF112" s="109">
        <f t="shared" si="228"/>
        <v>0</v>
      </c>
      <c r="EG112" s="109"/>
      <c r="EH112" s="109"/>
      <c r="EI112" s="111"/>
      <c r="EJ112" s="111"/>
      <c r="EK112" s="165"/>
      <c r="EL112" s="109">
        <f t="shared" si="233"/>
        <v>0</v>
      </c>
      <c r="EM112" s="109">
        <f t="shared" si="234"/>
        <v>0</v>
      </c>
      <c r="EN112" s="109"/>
      <c r="EO112" s="109"/>
      <c r="EP112" s="111"/>
      <c r="EQ112" s="111"/>
      <c r="ER112" s="165"/>
      <c r="ES112" s="109">
        <f t="shared" si="239"/>
        <v>0</v>
      </c>
      <c r="ET112" s="109">
        <f t="shared" si="240"/>
        <v>0</v>
      </c>
      <c r="EU112" s="109"/>
      <c r="EV112" s="109"/>
      <c r="EW112" s="111"/>
      <c r="EX112" s="111"/>
      <c r="EY112" s="165"/>
      <c r="EZ112" s="109">
        <f t="shared" si="242"/>
        <v>0</v>
      </c>
      <c r="FA112" s="109">
        <f t="shared" si="243"/>
        <v>0</v>
      </c>
      <c r="FB112" s="109"/>
      <c r="FC112" s="109"/>
      <c r="FD112" s="111"/>
      <c r="FE112" s="111"/>
      <c r="FF112" s="165"/>
      <c r="FG112" s="109">
        <f t="shared" si="245"/>
        <v>0</v>
      </c>
      <c r="FH112" s="109">
        <f t="shared" si="246"/>
        <v>0</v>
      </c>
      <c r="FI112" s="109"/>
      <c r="FJ112" s="109"/>
      <c r="FK112" s="111"/>
      <c r="FL112" s="111"/>
      <c r="FM112" s="165"/>
      <c r="FN112" s="109">
        <f t="shared" si="248"/>
        <v>0</v>
      </c>
      <c r="FO112" s="109">
        <f t="shared" si="249"/>
        <v>0</v>
      </c>
      <c r="FP112" s="109"/>
      <c r="FQ112" s="109"/>
      <c r="FR112" s="111"/>
      <c r="FS112" s="111"/>
      <c r="FT112" s="165"/>
      <c r="FU112" s="109">
        <f t="shared" si="250"/>
        <v>0</v>
      </c>
      <c r="FV112" s="109">
        <f t="shared" si="276"/>
        <v>0</v>
      </c>
      <c r="FW112" s="109"/>
      <c r="FX112" s="109"/>
      <c r="FY112" s="111"/>
      <c r="FZ112" s="111"/>
      <c r="GA112" s="165"/>
      <c r="GB112" s="109">
        <f t="shared" si="251"/>
        <v>0</v>
      </c>
      <c r="GC112" s="109">
        <f t="shared" si="277"/>
        <v>0</v>
      </c>
      <c r="GD112" s="109"/>
      <c r="GE112" s="109"/>
      <c r="GF112" s="111"/>
      <c r="GG112" s="111"/>
      <c r="GH112" s="165"/>
      <c r="GI112" s="109">
        <f t="shared" si="252"/>
        <v>0</v>
      </c>
      <c r="GJ112" s="109">
        <f t="shared" si="278"/>
        <v>0</v>
      </c>
      <c r="GK112" s="109"/>
      <c r="GL112" s="109"/>
      <c r="GM112" s="111"/>
      <c r="GN112" s="111"/>
      <c r="GO112" s="165"/>
      <c r="GP112" s="109">
        <f t="shared" si="253"/>
        <v>0</v>
      </c>
      <c r="GQ112" s="109">
        <f t="shared" si="279"/>
        <v>0</v>
      </c>
      <c r="GR112" s="109"/>
      <c r="GS112" s="109"/>
      <c r="GT112" s="111"/>
      <c r="GU112" s="111"/>
      <c r="GV112" s="165"/>
      <c r="GW112" s="168">
        <f t="shared" si="254"/>
        <v>0</v>
      </c>
      <c r="GX112" s="168">
        <f t="shared" si="280"/>
        <v>0</v>
      </c>
      <c r="GY112" s="168"/>
      <c r="GZ112" s="168"/>
      <c r="HA112" s="111"/>
      <c r="HB112" s="111"/>
      <c r="HC112" s="165"/>
      <c r="HD112" s="109">
        <f t="shared" si="255"/>
        <v>0</v>
      </c>
      <c r="HE112" s="109">
        <f t="shared" si="281"/>
        <v>0</v>
      </c>
      <c r="HF112" s="109"/>
      <c r="HG112" s="109"/>
      <c r="HH112" s="111"/>
      <c r="HI112" s="111"/>
      <c r="HJ112" s="165"/>
      <c r="HK112" s="109">
        <f t="shared" si="256"/>
        <v>0</v>
      </c>
      <c r="HL112" s="109">
        <f t="shared" si="282"/>
        <v>0</v>
      </c>
      <c r="HM112" s="109"/>
      <c r="HN112" s="109"/>
      <c r="HO112" s="111"/>
      <c r="HP112" s="111"/>
      <c r="HQ112" s="165"/>
      <c r="HR112" s="109">
        <f t="shared" si="257"/>
        <v>0</v>
      </c>
      <c r="HS112" s="109">
        <f t="shared" si="283"/>
        <v>0</v>
      </c>
      <c r="HT112" s="109"/>
      <c r="HU112" s="109"/>
      <c r="HV112" s="111"/>
      <c r="HW112" s="111"/>
      <c r="HX112" s="105">
        <f t="shared" si="198"/>
        <v>0</v>
      </c>
      <c r="HY112" s="105">
        <f t="shared" si="198"/>
        <v>0</v>
      </c>
      <c r="HZ112" s="105">
        <f t="shared" si="198"/>
        <v>0</v>
      </c>
      <c r="IA112" s="105">
        <f t="shared" si="181"/>
        <v>0</v>
      </c>
      <c r="IB112" s="109">
        <f t="shared" si="182"/>
        <v>0</v>
      </c>
      <c r="IC112" s="109">
        <f t="shared" si="183"/>
        <v>0</v>
      </c>
      <c r="ID112" s="109">
        <f t="shared" si="184"/>
        <v>0</v>
      </c>
      <c r="IE112" s="109">
        <f t="shared" si="185"/>
        <v>0</v>
      </c>
      <c r="IF112" s="197"/>
      <c r="IG112" s="197"/>
      <c r="IH112" s="197"/>
      <c r="II112" s="197"/>
      <c r="IJ112" s="197"/>
      <c r="IK112" s="197"/>
      <c r="IL112" s="197"/>
      <c r="IM112" s="171"/>
      <c r="IN112" s="171"/>
      <c r="IO112" s="171"/>
      <c r="IP112" s="171"/>
    </row>
    <row r="113" spans="1:250" ht="15" customHeight="1" x14ac:dyDescent="0.3">
      <c r="A113" s="110">
        <f t="shared" si="192"/>
        <v>109</v>
      </c>
      <c r="B113" s="111"/>
      <c r="C113" s="111"/>
      <c r="D113" s="111"/>
      <c r="E113" s="111"/>
      <c r="F113" s="111"/>
      <c r="G113" s="111"/>
      <c r="H113" s="111"/>
      <c r="I113" s="194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75"/>
      <c r="AI113" s="111"/>
      <c r="AJ113" s="111"/>
      <c r="AK113" s="111"/>
      <c r="AL113" s="177"/>
      <c r="AM113" s="176"/>
      <c r="AN113" s="177"/>
      <c r="AO113" s="157"/>
      <c r="AP113" s="158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75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78"/>
      <c r="CD113" s="177">
        <f t="shared" si="127"/>
        <v>0</v>
      </c>
      <c r="CE113" s="148"/>
      <c r="CF113" s="111">
        <f t="shared" si="128"/>
        <v>0</v>
      </c>
      <c r="CG113" s="177"/>
      <c r="CH113" s="204"/>
      <c r="CI113" s="148"/>
      <c r="CJ113" s="165"/>
      <c r="CK113" s="165"/>
      <c r="CL113" s="111"/>
      <c r="CM113" s="111"/>
      <c r="CN113" s="165">
        <f t="shared" si="131"/>
        <v>0</v>
      </c>
      <c r="CO113" s="109">
        <f t="shared" si="132"/>
        <v>0</v>
      </c>
      <c r="CP113" s="109">
        <f t="shared" si="133"/>
        <v>0</v>
      </c>
      <c r="CQ113" s="109"/>
      <c r="CR113" s="109"/>
      <c r="CS113" s="196"/>
      <c r="CT113" s="167"/>
      <c r="CU113" s="165"/>
      <c r="CV113" s="109">
        <f t="shared" si="137"/>
        <v>0</v>
      </c>
      <c r="CW113" s="109">
        <f t="shared" si="138"/>
        <v>0</v>
      </c>
      <c r="CX113" s="109"/>
      <c r="CY113" s="109"/>
      <c r="CZ113" s="111"/>
      <c r="DA113" s="111"/>
      <c r="DB113" s="165"/>
      <c r="DC113" s="109">
        <f t="shared" si="142"/>
        <v>0</v>
      </c>
      <c r="DD113" s="109">
        <f t="shared" si="143"/>
        <v>0</v>
      </c>
      <c r="DE113" s="109"/>
      <c r="DF113" s="109"/>
      <c r="DG113" s="111"/>
      <c r="DH113" s="111"/>
      <c r="DI113" s="165"/>
      <c r="DJ113" s="109">
        <f t="shared" si="147"/>
        <v>0</v>
      </c>
      <c r="DK113" s="109">
        <f t="shared" si="148"/>
        <v>0</v>
      </c>
      <c r="DL113" s="109"/>
      <c r="DM113" s="109"/>
      <c r="DN113" s="111"/>
      <c r="DO113" s="111"/>
      <c r="DP113" s="165"/>
      <c r="DQ113" s="109">
        <f t="shared" si="216"/>
        <v>0</v>
      </c>
      <c r="DR113" s="109">
        <f t="shared" si="217"/>
        <v>0</v>
      </c>
      <c r="DS113" s="109"/>
      <c r="DT113" s="109"/>
      <c r="DU113" s="111"/>
      <c r="DV113" s="111"/>
      <c r="DW113" s="165"/>
      <c r="DX113" s="109">
        <f t="shared" si="221"/>
        <v>0</v>
      </c>
      <c r="DY113" s="109">
        <f t="shared" si="222"/>
        <v>0</v>
      </c>
      <c r="DZ113" s="109"/>
      <c r="EA113" s="109"/>
      <c r="EB113" s="111"/>
      <c r="EC113" s="111"/>
      <c r="ED113" s="165"/>
      <c r="EE113" s="109">
        <f t="shared" si="227"/>
        <v>0</v>
      </c>
      <c r="EF113" s="109">
        <f t="shared" si="228"/>
        <v>0</v>
      </c>
      <c r="EG113" s="109"/>
      <c r="EH113" s="109"/>
      <c r="EI113" s="111"/>
      <c r="EJ113" s="111"/>
      <c r="EK113" s="165"/>
      <c r="EL113" s="109">
        <f t="shared" si="233"/>
        <v>0</v>
      </c>
      <c r="EM113" s="109">
        <f t="shared" si="234"/>
        <v>0</v>
      </c>
      <c r="EN113" s="109"/>
      <c r="EO113" s="109"/>
      <c r="EP113" s="111"/>
      <c r="EQ113" s="111"/>
      <c r="ER113" s="165"/>
      <c r="ES113" s="109">
        <f t="shared" si="239"/>
        <v>0</v>
      </c>
      <c r="ET113" s="109">
        <f t="shared" si="240"/>
        <v>0</v>
      </c>
      <c r="EU113" s="109"/>
      <c r="EV113" s="109"/>
      <c r="EW113" s="111"/>
      <c r="EX113" s="111"/>
      <c r="EY113" s="165"/>
      <c r="EZ113" s="109">
        <f t="shared" si="242"/>
        <v>0</v>
      </c>
      <c r="FA113" s="109">
        <f t="shared" si="243"/>
        <v>0</v>
      </c>
      <c r="FB113" s="109"/>
      <c r="FC113" s="109"/>
      <c r="FD113" s="111"/>
      <c r="FE113" s="111"/>
      <c r="FF113" s="165"/>
      <c r="FG113" s="109">
        <f t="shared" si="245"/>
        <v>0</v>
      </c>
      <c r="FH113" s="109">
        <f t="shared" si="246"/>
        <v>0</v>
      </c>
      <c r="FI113" s="109"/>
      <c r="FJ113" s="109"/>
      <c r="FK113" s="111"/>
      <c r="FL113" s="111"/>
      <c r="FM113" s="165"/>
      <c r="FN113" s="109">
        <f t="shared" si="248"/>
        <v>0</v>
      </c>
      <c r="FO113" s="109">
        <f t="shared" si="249"/>
        <v>0</v>
      </c>
      <c r="FP113" s="109"/>
      <c r="FQ113" s="109"/>
      <c r="FR113" s="111"/>
      <c r="FS113" s="111"/>
      <c r="FT113" s="165"/>
      <c r="FU113" s="109">
        <f t="shared" si="250"/>
        <v>0</v>
      </c>
      <c r="FV113" s="109">
        <f t="shared" si="276"/>
        <v>0</v>
      </c>
      <c r="FW113" s="109"/>
      <c r="FX113" s="109"/>
      <c r="FY113" s="111"/>
      <c r="FZ113" s="111"/>
      <c r="GA113" s="165"/>
      <c r="GB113" s="109">
        <f t="shared" si="251"/>
        <v>0</v>
      </c>
      <c r="GC113" s="109">
        <f t="shared" si="277"/>
        <v>0</v>
      </c>
      <c r="GD113" s="109"/>
      <c r="GE113" s="109"/>
      <c r="GF113" s="111"/>
      <c r="GG113" s="111"/>
      <c r="GH113" s="165"/>
      <c r="GI113" s="109">
        <f t="shared" si="252"/>
        <v>0</v>
      </c>
      <c r="GJ113" s="109">
        <f t="shared" si="278"/>
        <v>0</v>
      </c>
      <c r="GK113" s="109"/>
      <c r="GL113" s="109"/>
      <c r="GM113" s="111"/>
      <c r="GN113" s="111"/>
      <c r="GO113" s="165"/>
      <c r="GP113" s="109">
        <f t="shared" si="253"/>
        <v>0</v>
      </c>
      <c r="GQ113" s="109">
        <f t="shared" si="279"/>
        <v>0</v>
      </c>
      <c r="GR113" s="109"/>
      <c r="GS113" s="109"/>
      <c r="GT113" s="111"/>
      <c r="GU113" s="111"/>
      <c r="GV113" s="165"/>
      <c r="GW113" s="168">
        <f t="shared" si="254"/>
        <v>0</v>
      </c>
      <c r="GX113" s="168">
        <f t="shared" si="280"/>
        <v>0</v>
      </c>
      <c r="GY113" s="168"/>
      <c r="GZ113" s="168"/>
      <c r="HA113" s="111"/>
      <c r="HB113" s="111"/>
      <c r="HC113" s="165"/>
      <c r="HD113" s="109">
        <f t="shared" si="255"/>
        <v>0</v>
      </c>
      <c r="HE113" s="109">
        <f t="shared" si="281"/>
        <v>0</v>
      </c>
      <c r="HF113" s="109"/>
      <c r="HG113" s="109"/>
      <c r="HH113" s="111"/>
      <c r="HI113" s="111"/>
      <c r="HJ113" s="165"/>
      <c r="HK113" s="109">
        <f t="shared" si="256"/>
        <v>0</v>
      </c>
      <c r="HL113" s="109">
        <f t="shared" si="282"/>
        <v>0</v>
      </c>
      <c r="HM113" s="109"/>
      <c r="HN113" s="109"/>
      <c r="HO113" s="111"/>
      <c r="HP113" s="111"/>
      <c r="HQ113" s="165"/>
      <c r="HR113" s="109">
        <f t="shared" si="257"/>
        <v>0</v>
      </c>
      <c r="HS113" s="109">
        <f t="shared" si="283"/>
        <v>0</v>
      </c>
      <c r="HT113" s="109"/>
      <c r="HU113" s="109"/>
      <c r="HV113" s="111"/>
      <c r="HW113" s="111"/>
      <c r="HX113" s="105">
        <f t="shared" si="198"/>
        <v>0</v>
      </c>
      <c r="HY113" s="105">
        <f t="shared" si="198"/>
        <v>0</v>
      </c>
      <c r="HZ113" s="105">
        <f t="shared" si="198"/>
        <v>0</v>
      </c>
      <c r="IA113" s="105">
        <f t="shared" si="181"/>
        <v>0</v>
      </c>
      <c r="IB113" s="109">
        <f t="shared" si="182"/>
        <v>0</v>
      </c>
      <c r="IC113" s="109">
        <f t="shared" si="183"/>
        <v>0</v>
      </c>
      <c r="ID113" s="109">
        <f t="shared" si="184"/>
        <v>0</v>
      </c>
      <c r="IE113" s="109">
        <f t="shared" si="185"/>
        <v>0</v>
      </c>
      <c r="IF113" s="197"/>
      <c r="IG113" s="197"/>
      <c r="IH113" s="197"/>
      <c r="II113" s="197"/>
      <c r="IJ113" s="197"/>
      <c r="IK113" s="197"/>
      <c r="IL113" s="197"/>
      <c r="IM113" s="171"/>
      <c r="IN113" s="171"/>
      <c r="IO113" s="171"/>
      <c r="IP113" s="171"/>
    </row>
    <row r="114" spans="1:250" ht="15" customHeight="1" x14ac:dyDescent="0.3">
      <c r="A114" s="110">
        <f t="shared" si="192"/>
        <v>110</v>
      </c>
      <c r="B114" s="111"/>
      <c r="C114" s="111"/>
      <c r="D114" s="111"/>
      <c r="E114" s="111"/>
      <c r="F114" s="111"/>
      <c r="G114" s="111"/>
      <c r="H114" s="111"/>
      <c r="I114" s="194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75"/>
      <c r="AI114" s="111"/>
      <c r="AJ114" s="111"/>
      <c r="AK114" s="111"/>
      <c r="AL114" s="177"/>
      <c r="AM114" s="176"/>
      <c r="AN114" s="177"/>
      <c r="AO114" s="157"/>
      <c r="AP114" s="158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75"/>
      <c r="BM114" s="111"/>
      <c r="BN114" s="111"/>
      <c r="BO114" s="111"/>
      <c r="BP114" s="111"/>
      <c r="BQ114" s="111"/>
      <c r="BR114" s="111"/>
      <c r="BS114" s="111"/>
      <c r="BT114" s="111"/>
      <c r="BU114" s="111"/>
      <c r="BV114" s="111"/>
      <c r="BW114" s="111"/>
      <c r="BX114" s="111"/>
      <c r="BY114" s="111"/>
      <c r="BZ114" s="111"/>
      <c r="CA114" s="111"/>
      <c r="CB114" s="111"/>
      <c r="CC114" s="178"/>
      <c r="CD114" s="177">
        <f t="shared" si="127"/>
        <v>0</v>
      </c>
      <c r="CE114" s="148"/>
      <c r="CF114" s="111">
        <f t="shared" si="128"/>
        <v>0</v>
      </c>
      <c r="CG114" s="177"/>
      <c r="CH114" s="204"/>
      <c r="CI114" s="148"/>
      <c r="CJ114" s="165"/>
      <c r="CK114" s="165"/>
      <c r="CL114" s="111"/>
      <c r="CM114" s="111"/>
      <c r="CN114" s="165">
        <f t="shared" si="131"/>
        <v>0</v>
      </c>
      <c r="CO114" s="109">
        <f t="shared" si="132"/>
        <v>0</v>
      </c>
      <c r="CP114" s="109">
        <f t="shared" si="133"/>
        <v>0</v>
      </c>
      <c r="CQ114" s="109"/>
      <c r="CR114" s="109"/>
      <c r="CS114" s="196"/>
      <c r="CT114" s="167"/>
      <c r="CU114" s="165"/>
      <c r="CV114" s="109">
        <f t="shared" si="137"/>
        <v>0</v>
      </c>
      <c r="CW114" s="109">
        <f t="shared" si="138"/>
        <v>0</v>
      </c>
      <c r="CX114" s="109"/>
      <c r="CY114" s="109"/>
      <c r="CZ114" s="111"/>
      <c r="DA114" s="111"/>
      <c r="DB114" s="165"/>
      <c r="DC114" s="109">
        <f t="shared" si="142"/>
        <v>0</v>
      </c>
      <c r="DD114" s="109">
        <f t="shared" si="143"/>
        <v>0</v>
      </c>
      <c r="DE114" s="109"/>
      <c r="DF114" s="109"/>
      <c r="DG114" s="111"/>
      <c r="DH114" s="111"/>
      <c r="DI114" s="165"/>
      <c r="DJ114" s="109">
        <f t="shared" si="147"/>
        <v>0</v>
      </c>
      <c r="DK114" s="109">
        <f t="shared" si="148"/>
        <v>0</v>
      </c>
      <c r="DL114" s="109"/>
      <c r="DM114" s="109"/>
      <c r="DN114" s="111"/>
      <c r="DO114" s="111"/>
      <c r="DP114" s="165"/>
      <c r="DQ114" s="109">
        <f t="shared" si="216"/>
        <v>0</v>
      </c>
      <c r="DR114" s="109">
        <f t="shared" si="217"/>
        <v>0</v>
      </c>
      <c r="DS114" s="109"/>
      <c r="DT114" s="109"/>
      <c r="DU114" s="111"/>
      <c r="DV114" s="111"/>
      <c r="DW114" s="165"/>
      <c r="DX114" s="109">
        <f t="shared" si="221"/>
        <v>0</v>
      </c>
      <c r="DY114" s="109">
        <f t="shared" si="222"/>
        <v>0</v>
      </c>
      <c r="DZ114" s="109"/>
      <c r="EA114" s="109"/>
      <c r="EB114" s="111"/>
      <c r="EC114" s="111"/>
      <c r="ED114" s="165"/>
      <c r="EE114" s="109">
        <f t="shared" si="227"/>
        <v>0</v>
      </c>
      <c r="EF114" s="109">
        <f t="shared" si="228"/>
        <v>0</v>
      </c>
      <c r="EG114" s="109"/>
      <c r="EH114" s="109"/>
      <c r="EI114" s="111"/>
      <c r="EJ114" s="111"/>
      <c r="EK114" s="165"/>
      <c r="EL114" s="109">
        <f t="shared" si="233"/>
        <v>0</v>
      </c>
      <c r="EM114" s="109">
        <f t="shared" si="234"/>
        <v>0</v>
      </c>
      <c r="EN114" s="109"/>
      <c r="EO114" s="109"/>
      <c r="EP114" s="111"/>
      <c r="EQ114" s="111"/>
      <c r="ER114" s="165"/>
      <c r="ES114" s="109">
        <f t="shared" si="239"/>
        <v>0</v>
      </c>
      <c r="ET114" s="109">
        <f t="shared" si="240"/>
        <v>0</v>
      </c>
      <c r="EU114" s="109"/>
      <c r="EV114" s="109"/>
      <c r="EW114" s="111"/>
      <c r="EX114" s="111"/>
      <c r="EY114" s="165"/>
      <c r="EZ114" s="109">
        <f t="shared" si="242"/>
        <v>0</v>
      </c>
      <c r="FA114" s="109">
        <f t="shared" si="243"/>
        <v>0</v>
      </c>
      <c r="FB114" s="109"/>
      <c r="FC114" s="109"/>
      <c r="FD114" s="111"/>
      <c r="FE114" s="111"/>
      <c r="FF114" s="165"/>
      <c r="FG114" s="109">
        <f t="shared" si="245"/>
        <v>0</v>
      </c>
      <c r="FH114" s="109">
        <f t="shared" si="246"/>
        <v>0</v>
      </c>
      <c r="FI114" s="109"/>
      <c r="FJ114" s="109"/>
      <c r="FK114" s="111"/>
      <c r="FL114" s="111"/>
      <c r="FM114" s="165"/>
      <c r="FN114" s="109">
        <f t="shared" si="248"/>
        <v>0</v>
      </c>
      <c r="FO114" s="109">
        <f t="shared" si="249"/>
        <v>0</v>
      </c>
      <c r="FP114" s="109"/>
      <c r="FQ114" s="109"/>
      <c r="FR114" s="111"/>
      <c r="FS114" s="111"/>
      <c r="FT114" s="165"/>
      <c r="FU114" s="109">
        <f t="shared" si="250"/>
        <v>0</v>
      </c>
      <c r="FV114" s="109">
        <f t="shared" si="276"/>
        <v>0</v>
      </c>
      <c r="FW114" s="109"/>
      <c r="FX114" s="109"/>
      <c r="FY114" s="111"/>
      <c r="FZ114" s="111"/>
      <c r="GA114" s="165"/>
      <c r="GB114" s="109">
        <f t="shared" si="251"/>
        <v>0</v>
      </c>
      <c r="GC114" s="109">
        <f t="shared" si="277"/>
        <v>0</v>
      </c>
      <c r="GD114" s="109"/>
      <c r="GE114" s="109"/>
      <c r="GF114" s="111"/>
      <c r="GG114" s="111"/>
      <c r="GH114" s="165"/>
      <c r="GI114" s="109">
        <f t="shared" si="252"/>
        <v>0</v>
      </c>
      <c r="GJ114" s="109">
        <f t="shared" si="278"/>
        <v>0</v>
      </c>
      <c r="GK114" s="109"/>
      <c r="GL114" s="109"/>
      <c r="GM114" s="111"/>
      <c r="GN114" s="111"/>
      <c r="GO114" s="165"/>
      <c r="GP114" s="109">
        <f t="shared" si="253"/>
        <v>0</v>
      </c>
      <c r="GQ114" s="109">
        <f t="shared" si="279"/>
        <v>0</v>
      </c>
      <c r="GR114" s="109"/>
      <c r="GS114" s="109"/>
      <c r="GT114" s="111"/>
      <c r="GU114" s="111"/>
      <c r="GV114" s="165"/>
      <c r="GW114" s="168">
        <f t="shared" si="254"/>
        <v>0</v>
      </c>
      <c r="GX114" s="168">
        <f t="shared" si="280"/>
        <v>0</v>
      </c>
      <c r="GY114" s="168"/>
      <c r="GZ114" s="168"/>
      <c r="HA114" s="111"/>
      <c r="HB114" s="111"/>
      <c r="HC114" s="165"/>
      <c r="HD114" s="109">
        <f t="shared" si="255"/>
        <v>0</v>
      </c>
      <c r="HE114" s="109">
        <f t="shared" si="281"/>
        <v>0</v>
      </c>
      <c r="HF114" s="109"/>
      <c r="HG114" s="109"/>
      <c r="HH114" s="111"/>
      <c r="HI114" s="111"/>
      <c r="HJ114" s="165"/>
      <c r="HK114" s="109">
        <f t="shared" si="256"/>
        <v>0</v>
      </c>
      <c r="HL114" s="109">
        <f t="shared" si="282"/>
        <v>0</v>
      </c>
      <c r="HM114" s="109"/>
      <c r="HN114" s="109"/>
      <c r="HO114" s="111"/>
      <c r="HP114" s="111"/>
      <c r="HQ114" s="165"/>
      <c r="HR114" s="109">
        <f t="shared" si="257"/>
        <v>0</v>
      </c>
      <c r="HS114" s="109">
        <f t="shared" si="283"/>
        <v>0</v>
      </c>
      <c r="HT114" s="109"/>
      <c r="HU114" s="109"/>
      <c r="HV114" s="111"/>
      <c r="HW114" s="111"/>
      <c r="HX114" s="105">
        <f t="shared" si="198"/>
        <v>0</v>
      </c>
      <c r="HY114" s="105">
        <f t="shared" si="198"/>
        <v>0</v>
      </c>
      <c r="HZ114" s="105">
        <f t="shared" si="198"/>
        <v>0</v>
      </c>
      <c r="IA114" s="105">
        <f t="shared" si="181"/>
        <v>0</v>
      </c>
      <c r="IB114" s="109">
        <f t="shared" si="182"/>
        <v>0</v>
      </c>
      <c r="IC114" s="109">
        <f t="shared" si="183"/>
        <v>0</v>
      </c>
      <c r="ID114" s="109">
        <f t="shared" si="184"/>
        <v>0</v>
      </c>
      <c r="IE114" s="109">
        <f t="shared" si="185"/>
        <v>0</v>
      </c>
      <c r="IF114" s="197"/>
      <c r="IG114" s="197"/>
      <c r="IH114" s="197"/>
      <c r="II114" s="197"/>
      <c r="IJ114" s="197"/>
      <c r="IK114" s="197"/>
      <c r="IL114" s="197"/>
      <c r="IM114" s="171"/>
      <c r="IN114" s="171"/>
      <c r="IO114" s="171"/>
      <c r="IP114" s="171"/>
    </row>
    <row r="115" spans="1:250" ht="15" customHeight="1" x14ac:dyDescent="0.3">
      <c r="A115" s="110">
        <f t="shared" si="192"/>
        <v>111</v>
      </c>
      <c r="B115" s="111"/>
      <c r="C115" s="111"/>
      <c r="D115" s="111"/>
      <c r="E115" s="111"/>
      <c r="F115" s="111"/>
      <c r="G115" s="111"/>
      <c r="H115" s="111"/>
      <c r="I115" s="194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75"/>
      <c r="AI115" s="111"/>
      <c r="AJ115" s="111"/>
      <c r="AK115" s="111"/>
      <c r="AL115" s="177"/>
      <c r="AM115" s="176"/>
      <c r="AN115" s="177"/>
      <c r="AO115" s="157"/>
      <c r="AP115" s="158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75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78"/>
      <c r="CD115" s="177">
        <f t="shared" si="127"/>
        <v>0</v>
      </c>
      <c r="CE115" s="148"/>
      <c r="CF115" s="111">
        <f t="shared" si="128"/>
        <v>0</v>
      </c>
      <c r="CG115" s="177"/>
      <c r="CH115" s="204"/>
      <c r="CI115" s="148"/>
      <c r="CJ115" s="165"/>
      <c r="CK115" s="165"/>
      <c r="CL115" s="111"/>
      <c r="CM115" s="111"/>
      <c r="CN115" s="165">
        <f t="shared" si="131"/>
        <v>0</v>
      </c>
      <c r="CO115" s="109">
        <f t="shared" si="132"/>
        <v>0</v>
      </c>
      <c r="CP115" s="109">
        <f t="shared" si="133"/>
        <v>0</v>
      </c>
      <c r="CQ115" s="109"/>
      <c r="CR115" s="109"/>
      <c r="CS115" s="196"/>
      <c r="CT115" s="167"/>
      <c r="CU115" s="165"/>
      <c r="CV115" s="109">
        <f t="shared" si="137"/>
        <v>0</v>
      </c>
      <c r="CW115" s="109">
        <f t="shared" si="138"/>
        <v>0</v>
      </c>
      <c r="CX115" s="109"/>
      <c r="CY115" s="109"/>
      <c r="CZ115" s="111"/>
      <c r="DA115" s="111"/>
      <c r="DB115" s="165"/>
      <c r="DC115" s="109">
        <f t="shared" si="142"/>
        <v>0</v>
      </c>
      <c r="DD115" s="109">
        <f t="shared" si="143"/>
        <v>0</v>
      </c>
      <c r="DE115" s="109"/>
      <c r="DF115" s="109"/>
      <c r="DG115" s="111"/>
      <c r="DH115" s="111"/>
      <c r="DI115" s="165"/>
      <c r="DJ115" s="109">
        <f t="shared" si="147"/>
        <v>0</v>
      </c>
      <c r="DK115" s="109">
        <f t="shared" si="148"/>
        <v>0</v>
      </c>
      <c r="DL115" s="109"/>
      <c r="DM115" s="109"/>
      <c r="DN115" s="111"/>
      <c r="DO115" s="111"/>
      <c r="DP115" s="165"/>
      <c r="DQ115" s="109">
        <f t="shared" si="216"/>
        <v>0</v>
      </c>
      <c r="DR115" s="109">
        <f t="shared" si="217"/>
        <v>0</v>
      </c>
      <c r="DS115" s="109"/>
      <c r="DT115" s="109"/>
      <c r="DU115" s="111"/>
      <c r="DV115" s="111"/>
      <c r="DW115" s="165"/>
      <c r="DX115" s="109">
        <f t="shared" si="221"/>
        <v>0</v>
      </c>
      <c r="DY115" s="109">
        <f t="shared" si="222"/>
        <v>0</v>
      </c>
      <c r="DZ115" s="109"/>
      <c r="EA115" s="109"/>
      <c r="EB115" s="111"/>
      <c r="EC115" s="111"/>
      <c r="ED115" s="165"/>
      <c r="EE115" s="109">
        <f t="shared" si="227"/>
        <v>0</v>
      </c>
      <c r="EF115" s="109">
        <f t="shared" si="228"/>
        <v>0</v>
      </c>
      <c r="EG115" s="109"/>
      <c r="EH115" s="109"/>
      <c r="EI115" s="111"/>
      <c r="EJ115" s="111"/>
      <c r="EK115" s="165"/>
      <c r="EL115" s="109">
        <f t="shared" si="233"/>
        <v>0</v>
      </c>
      <c r="EM115" s="109">
        <f t="shared" si="234"/>
        <v>0</v>
      </c>
      <c r="EN115" s="109"/>
      <c r="EO115" s="109"/>
      <c r="EP115" s="111"/>
      <c r="EQ115" s="111"/>
      <c r="ER115" s="165"/>
      <c r="ES115" s="109">
        <f t="shared" si="239"/>
        <v>0</v>
      </c>
      <c r="ET115" s="109">
        <f t="shared" si="240"/>
        <v>0</v>
      </c>
      <c r="EU115" s="109"/>
      <c r="EV115" s="109"/>
      <c r="EW115" s="111"/>
      <c r="EX115" s="111"/>
      <c r="EY115" s="165"/>
      <c r="EZ115" s="109">
        <f t="shared" si="242"/>
        <v>0</v>
      </c>
      <c r="FA115" s="109">
        <f t="shared" si="243"/>
        <v>0</v>
      </c>
      <c r="FB115" s="109"/>
      <c r="FC115" s="109"/>
      <c r="FD115" s="111"/>
      <c r="FE115" s="111"/>
      <c r="FF115" s="165"/>
      <c r="FG115" s="109">
        <f t="shared" si="245"/>
        <v>0</v>
      </c>
      <c r="FH115" s="109">
        <f t="shared" si="246"/>
        <v>0</v>
      </c>
      <c r="FI115" s="109"/>
      <c r="FJ115" s="109"/>
      <c r="FK115" s="111"/>
      <c r="FL115" s="111"/>
      <c r="FM115" s="165"/>
      <c r="FN115" s="109">
        <f t="shared" si="248"/>
        <v>0</v>
      </c>
      <c r="FO115" s="109">
        <f t="shared" si="249"/>
        <v>0</v>
      </c>
      <c r="FP115" s="109"/>
      <c r="FQ115" s="109"/>
      <c r="FR115" s="111"/>
      <c r="FS115" s="111"/>
      <c r="FT115" s="165"/>
      <c r="FU115" s="109">
        <f t="shared" si="250"/>
        <v>0</v>
      </c>
      <c r="FV115" s="109">
        <f t="shared" si="276"/>
        <v>0</v>
      </c>
      <c r="FW115" s="109"/>
      <c r="FX115" s="109"/>
      <c r="FY115" s="111"/>
      <c r="FZ115" s="111"/>
      <c r="GA115" s="165"/>
      <c r="GB115" s="109">
        <f t="shared" si="251"/>
        <v>0</v>
      </c>
      <c r="GC115" s="109">
        <f t="shared" si="277"/>
        <v>0</v>
      </c>
      <c r="GD115" s="109"/>
      <c r="GE115" s="109"/>
      <c r="GF115" s="111"/>
      <c r="GG115" s="111"/>
      <c r="GH115" s="165"/>
      <c r="GI115" s="109">
        <f t="shared" si="252"/>
        <v>0</v>
      </c>
      <c r="GJ115" s="109">
        <f t="shared" si="278"/>
        <v>0</v>
      </c>
      <c r="GK115" s="109"/>
      <c r="GL115" s="109"/>
      <c r="GM115" s="111"/>
      <c r="GN115" s="111"/>
      <c r="GO115" s="165"/>
      <c r="GP115" s="109">
        <f t="shared" si="253"/>
        <v>0</v>
      </c>
      <c r="GQ115" s="109">
        <f t="shared" si="279"/>
        <v>0</v>
      </c>
      <c r="GR115" s="109"/>
      <c r="GS115" s="109"/>
      <c r="GT115" s="111"/>
      <c r="GU115" s="111"/>
      <c r="GV115" s="165"/>
      <c r="GW115" s="168">
        <f t="shared" si="254"/>
        <v>0</v>
      </c>
      <c r="GX115" s="168">
        <f t="shared" si="280"/>
        <v>0</v>
      </c>
      <c r="GY115" s="168"/>
      <c r="GZ115" s="168"/>
      <c r="HA115" s="111"/>
      <c r="HB115" s="111"/>
      <c r="HC115" s="165"/>
      <c r="HD115" s="109">
        <f t="shared" si="255"/>
        <v>0</v>
      </c>
      <c r="HE115" s="109">
        <f t="shared" si="281"/>
        <v>0</v>
      </c>
      <c r="HF115" s="109"/>
      <c r="HG115" s="109"/>
      <c r="HH115" s="111"/>
      <c r="HI115" s="111"/>
      <c r="HJ115" s="165"/>
      <c r="HK115" s="109">
        <f t="shared" si="256"/>
        <v>0</v>
      </c>
      <c r="HL115" s="109">
        <f t="shared" si="282"/>
        <v>0</v>
      </c>
      <c r="HM115" s="109"/>
      <c r="HN115" s="109"/>
      <c r="HO115" s="111"/>
      <c r="HP115" s="111"/>
      <c r="HQ115" s="165"/>
      <c r="HR115" s="109">
        <f t="shared" si="257"/>
        <v>0</v>
      </c>
      <c r="HS115" s="109">
        <f t="shared" si="283"/>
        <v>0</v>
      </c>
      <c r="HT115" s="109"/>
      <c r="HU115" s="109"/>
      <c r="HV115" s="111"/>
      <c r="HW115" s="111"/>
      <c r="HX115" s="105">
        <f t="shared" si="198"/>
        <v>0</v>
      </c>
      <c r="HY115" s="105">
        <f t="shared" si="198"/>
        <v>0</v>
      </c>
      <c r="HZ115" s="105">
        <f t="shared" si="198"/>
        <v>0</v>
      </c>
      <c r="IA115" s="105">
        <f t="shared" si="181"/>
        <v>0</v>
      </c>
      <c r="IB115" s="109">
        <f t="shared" si="182"/>
        <v>0</v>
      </c>
      <c r="IC115" s="109">
        <f t="shared" si="183"/>
        <v>0</v>
      </c>
      <c r="ID115" s="109">
        <f t="shared" si="184"/>
        <v>0</v>
      </c>
      <c r="IE115" s="109">
        <f t="shared" si="185"/>
        <v>0</v>
      </c>
      <c r="IF115" s="197"/>
      <c r="IG115" s="197"/>
      <c r="IH115" s="197"/>
      <c r="II115" s="197"/>
      <c r="IJ115" s="197"/>
      <c r="IK115" s="197"/>
      <c r="IL115" s="197"/>
      <c r="IM115" s="171"/>
      <c r="IN115" s="171"/>
      <c r="IO115" s="171"/>
      <c r="IP115" s="171"/>
    </row>
    <row r="116" spans="1:250" ht="15" customHeight="1" x14ac:dyDescent="0.3">
      <c r="A116" s="110">
        <f t="shared" si="192"/>
        <v>112</v>
      </c>
      <c r="B116" s="111"/>
      <c r="C116" s="111"/>
      <c r="D116" s="111"/>
      <c r="E116" s="111"/>
      <c r="F116" s="111"/>
      <c r="G116" s="111"/>
      <c r="H116" s="111"/>
      <c r="I116" s="194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75"/>
      <c r="AI116" s="111"/>
      <c r="AJ116" s="111"/>
      <c r="AK116" s="111"/>
      <c r="AL116" s="177"/>
      <c r="AM116" s="176"/>
      <c r="AN116" s="177"/>
      <c r="AO116" s="157"/>
      <c r="AP116" s="158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75"/>
      <c r="BM116" s="111"/>
      <c r="BN116" s="111"/>
      <c r="BO116" s="111"/>
      <c r="BP116" s="111"/>
      <c r="BQ116" s="111"/>
      <c r="BR116" s="111"/>
      <c r="BS116" s="111"/>
      <c r="BT116" s="111"/>
      <c r="BU116" s="111"/>
      <c r="BV116" s="111"/>
      <c r="BW116" s="111"/>
      <c r="BX116" s="111"/>
      <c r="BY116" s="111"/>
      <c r="BZ116" s="111"/>
      <c r="CA116" s="111"/>
      <c r="CB116" s="111"/>
      <c r="CC116" s="178"/>
      <c r="CD116" s="177">
        <f t="shared" si="127"/>
        <v>0</v>
      </c>
      <c r="CE116" s="148"/>
      <c r="CF116" s="111">
        <f t="shared" si="128"/>
        <v>0</v>
      </c>
      <c r="CG116" s="177"/>
      <c r="CH116" s="204"/>
      <c r="CI116" s="148"/>
      <c r="CJ116" s="165"/>
      <c r="CK116" s="165"/>
      <c r="CL116" s="111"/>
      <c r="CM116" s="111"/>
      <c r="CN116" s="165">
        <f t="shared" si="131"/>
        <v>0</v>
      </c>
      <c r="CO116" s="109">
        <f t="shared" si="132"/>
        <v>0</v>
      </c>
      <c r="CP116" s="109">
        <f t="shared" si="133"/>
        <v>0</v>
      </c>
      <c r="CQ116" s="109"/>
      <c r="CR116" s="109"/>
      <c r="CS116" s="196"/>
      <c r="CT116" s="167"/>
      <c r="CU116" s="165"/>
      <c r="CV116" s="109">
        <f t="shared" si="137"/>
        <v>0</v>
      </c>
      <c r="CW116" s="109">
        <f t="shared" si="138"/>
        <v>0</v>
      </c>
      <c r="CX116" s="109"/>
      <c r="CY116" s="109"/>
      <c r="CZ116" s="111"/>
      <c r="DA116" s="111"/>
      <c r="DB116" s="165"/>
      <c r="DC116" s="109">
        <f t="shared" si="142"/>
        <v>0</v>
      </c>
      <c r="DD116" s="109">
        <f t="shared" si="143"/>
        <v>0</v>
      </c>
      <c r="DE116" s="109"/>
      <c r="DF116" s="109"/>
      <c r="DG116" s="111"/>
      <c r="DH116" s="111"/>
      <c r="DI116" s="165"/>
      <c r="DJ116" s="109">
        <f t="shared" si="147"/>
        <v>0</v>
      </c>
      <c r="DK116" s="109">
        <f t="shared" si="148"/>
        <v>0</v>
      </c>
      <c r="DL116" s="109"/>
      <c r="DM116" s="109"/>
      <c r="DN116" s="111"/>
      <c r="DO116" s="111"/>
      <c r="DP116" s="165"/>
      <c r="DQ116" s="109">
        <f t="shared" si="216"/>
        <v>0</v>
      </c>
      <c r="DR116" s="109">
        <f t="shared" si="217"/>
        <v>0</v>
      </c>
      <c r="DS116" s="109"/>
      <c r="DT116" s="109"/>
      <c r="DU116" s="111"/>
      <c r="DV116" s="111"/>
      <c r="DW116" s="165"/>
      <c r="DX116" s="109">
        <f t="shared" si="221"/>
        <v>0</v>
      </c>
      <c r="DY116" s="109">
        <f t="shared" si="222"/>
        <v>0</v>
      </c>
      <c r="DZ116" s="109"/>
      <c r="EA116" s="109"/>
      <c r="EB116" s="111"/>
      <c r="EC116" s="111"/>
      <c r="ED116" s="165"/>
      <c r="EE116" s="109">
        <f t="shared" si="227"/>
        <v>0</v>
      </c>
      <c r="EF116" s="109">
        <f t="shared" si="228"/>
        <v>0</v>
      </c>
      <c r="EG116" s="109"/>
      <c r="EH116" s="109"/>
      <c r="EI116" s="111"/>
      <c r="EJ116" s="111"/>
      <c r="EK116" s="165"/>
      <c r="EL116" s="109">
        <f t="shared" si="233"/>
        <v>0</v>
      </c>
      <c r="EM116" s="109">
        <f t="shared" si="234"/>
        <v>0</v>
      </c>
      <c r="EN116" s="109"/>
      <c r="EO116" s="109"/>
      <c r="EP116" s="111"/>
      <c r="EQ116" s="111"/>
      <c r="ER116" s="165"/>
      <c r="ES116" s="109">
        <f t="shared" si="239"/>
        <v>0</v>
      </c>
      <c r="ET116" s="109">
        <f t="shared" si="240"/>
        <v>0</v>
      </c>
      <c r="EU116" s="109"/>
      <c r="EV116" s="109"/>
      <c r="EW116" s="111"/>
      <c r="EX116" s="111"/>
      <c r="EY116" s="165"/>
      <c r="EZ116" s="109">
        <f t="shared" si="242"/>
        <v>0</v>
      </c>
      <c r="FA116" s="109">
        <f t="shared" si="243"/>
        <v>0</v>
      </c>
      <c r="FB116" s="109"/>
      <c r="FC116" s="109"/>
      <c r="FD116" s="111"/>
      <c r="FE116" s="111"/>
      <c r="FF116" s="165"/>
      <c r="FG116" s="109">
        <f t="shared" si="245"/>
        <v>0</v>
      </c>
      <c r="FH116" s="109">
        <f t="shared" si="246"/>
        <v>0</v>
      </c>
      <c r="FI116" s="109"/>
      <c r="FJ116" s="109"/>
      <c r="FK116" s="111"/>
      <c r="FL116" s="111"/>
      <c r="FM116" s="165"/>
      <c r="FN116" s="109">
        <f t="shared" si="248"/>
        <v>0</v>
      </c>
      <c r="FO116" s="109">
        <f t="shared" si="249"/>
        <v>0</v>
      </c>
      <c r="FP116" s="109"/>
      <c r="FQ116" s="109"/>
      <c r="FR116" s="111"/>
      <c r="FS116" s="111"/>
      <c r="FT116" s="165"/>
      <c r="FU116" s="109">
        <f t="shared" si="250"/>
        <v>0</v>
      </c>
      <c r="FV116" s="109">
        <f t="shared" si="276"/>
        <v>0</v>
      </c>
      <c r="FW116" s="109"/>
      <c r="FX116" s="109"/>
      <c r="FY116" s="111"/>
      <c r="FZ116" s="111"/>
      <c r="GA116" s="165"/>
      <c r="GB116" s="109">
        <f t="shared" si="251"/>
        <v>0</v>
      </c>
      <c r="GC116" s="109">
        <f t="shared" si="277"/>
        <v>0</v>
      </c>
      <c r="GD116" s="109"/>
      <c r="GE116" s="109"/>
      <c r="GF116" s="111"/>
      <c r="GG116" s="111"/>
      <c r="GH116" s="165"/>
      <c r="GI116" s="109">
        <f t="shared" si="252"/>
        <v>0</v>
      </c>
      <c r="GJ116" s="109">
        <f t="shared" si="278"/>
        <v>0</v>
      </c>
      <c r="GK116" s="109"/>
      <c r="GL116" s="109"/>
      <c r="GM116" s="111"/>
      <c r="GN116" s="111"/>
      <c r="GO116" s="165"/>
      <c r="GP116" s="109">
        <f t="shared" si="253"/>
        <v>0</v>
      </c>
      <c r="GQ116" s="109">
        <f t="shared" si="279"/>
        <v>0</v>
      </c>
      <c r="GR116" s="109"/>
      <c r="GS116" s="109"/>
      <c r="GT116" s="111"/>
      <c r="GU116" s="111"/>
      <c r="GV116" s="165"/>
      <c r="GW116" s="168">
        <f t="shared" si="254"/>
        <v>0</v>
      </c>
      <c r="GX116" s="168">
        <f t="shared" si="280"/>
        <v>0</v>
      </c>
      <c r="GY116" s="168"/>
      <c r="GZ116" s="168"/>
      <c r="HA116" s="111"/>
      <c r="HB116" s="111"/>
      <c r="HC116" s="165"/>
      <c r="HD116" s="109">
        <f t="shared" si="255"/>
        <v>0</v>
      </c>
      <c r="HE116" s="109">
        <f t="shared" si="281"/>
        <v>0</v>
      </c>
      <c r="HF116" s="109"/>
      <c r="HG116" s="109"/>
      <c r="HH116" s="111"/>
      <c r="HI116" s="111"/>
      <c r="HJ116" s="165"/>
      <c r="HK116" s="109">
        <f t="shared" si="256"/>
        <v>0</v>
      </c>
      <c r="HL116" s="109">
        <f t="shared" si="282"/>
        <v>0</v>
      </c>
      <c r="HM116" s="109"/>
      <c r="HN116" s="109"/>
      <c r="HO116" s="111"/>
      <c r="HP116" s="111"/>
      <c r="HQ116" s="165"/>
      <c r="HR116" s="109">
        <f t="shared" si="257"/>
        <v>0</v>
      </c>
      <c r="HS116" s="109">
        <f t="shared" si="283"/>
        <v>0</v>
      </c>
      <c r="HT116" s="109"/>
      <c r="HU116" s="109"/>
      <c r="HV116" s="111"/>
      <c r="HW116" s="111"/>
      <c r="HX116" s="105">
        <f t="shared" si="198"/>
        <v>0</v>
      </c>
      <c r="HY116" s="105">
        <f t="shared" si="198"/>
        <v>0</v>
      </c>
      <c r="HZ116" s="105">
        <f t="shared" si="198"/>
        <v>0</v>
      </c>
      <c r="IA116" s="105">
        <f t="shared" si="181"/>
        <v>0</v>
      </c>
      <c r="IB116" s="109">
        <f t="shared" si="182"/>
        <v>0</v>
      </c>
      <c r="IC116" s="109">
        <f t="shared" si="183"/>
        <v>0</v>
      </c>
      <c r="ID116" s="109">
        <f t="shared" si="184"/>
        <v>0</v>
      </c>
      <c r="IE116" s="109">
        <f t="shared" si="185"/>
        <v>0</v>
      </c>
      <c r="IF116" s="197"/>
      <c r="IG116" s="197"/>
      <c r="IH116" s="197"/>
      <c r="II116" s="197"/>
      <c r="IJ116" s="197"/>
      <c r="IK116" s="197"/>
      <c r="IL116" s="197"/>
      <c r="IM116" s="171"/>
      <c r="IN116" s="171"/>
      <c r="IO116" s="171"/>
      <c r="IP116" s="171"/>
    </row>
    <row r="117" spans="1:250" ht="15" customHeight="1" x14ac:dyDescent="0.3">
      <c r="A117" s="110">
        <f t="shared" si="192"/>
        <v>113</v>
      </c>
      <c r="B117" s="111"/>
      <c r="C117" s="111"/>
      <c r="D117" s="111"/>
      <c r="E117" s="111"/>
      <c r="F117" s="111"/>
      <c r="G117" s="111"/>
      <c r="H117" s="111"/>
      <c r="I117" s="194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75"/>
      <c r="AI117" s="111"/>
      <c r="AJ117" s="111"/>
      <c r="AK117" s="111"/>
      <c r="AL117" s="177"/>
      <c r="AM117" s="176"/>
      <c r="AN117" s="177"/>
      <c r="AO117" s="157"/>
      <c r="AP117" s="158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11"/>
      <c r="BL117" s="175"/>
      <c r="BM117" s="111"/>
      <c r="BN117" s="111"/>
      <c r="BO117" s="111"/>
      <c r="BP117" s="111"/>
      <c r="BQ117" s="111"/>
      <c r="BR117" s="111"/>
      <c r="BS117" s="111"/>
      <c r="BT117" s="111"/>
      <c r="BU117" s="111"/>
      <c r="BV117" s="111"/>
      <c r="BW117" s="111"/>
      <c r="BX117" s="111"/>
      <c r="BY117" s="111"/>
      <c r="BZ117" s="111"/>
      <c r="CA117" s="111"/>
      <c r="CB117" s="111"/>
      <c r="CC117" s="178"/>
      <c r="CD117" s="177">
        <f t="shared" si="127"/>
        <v>0</v>
      </c>
      <c r="CE117" s="148"/>
      <c r="CF117" s="111">
        <f t="shared" si="128"/>
        <v>0</v>
      </c>
      <c r="CG117" s="177"/>
      <c r="CH117" s="204"/>
      <c r="CI117" s="148"/>
      <c r="CJ117" s="165"/>
      <c r="CK117" s="165"/>
      <c r="CL117" s="111"/>
      <c r="CM117" s="111"/>
      <c r="CN117" s="165">
        <f t="shared" si="131"/>
        <v>0</v>
      </c>
      <c r="CO117" s="109">
        <f t="shared" si="132"/>
        <v>0</v>
      </c>
      <c r="CP117" s="109">
        <f t="shared" si="133"/>
        <v>0</v>
      </c>
      <c r="CQ117" s="109"/>
      <c r="CR117" s="109"/>
      <c r="CS117" s="196"/>
      <c r="CT117" s="167"/>
      <c r="CU117" s="165"/>
      <c r="CV117" s="109">
        <f t="shared" si="137"/>
        <v>0</v>
      </c>
      <c r="CW117" s="109">
        <f t="shared" si="138"/>
        <v>0</v>
      </c>
      <c r="CX117" s="109"/>
      <c r="CY117" s="109"/>
      <c r="CZ117" s="111"/>
      <c r="DA117" s="111"/>
      <c r="DB117" s="165"/>
      <c r="DC117" s="109">
        <f t="shared" si="142"/>
        <v>0</v>
      </c>
      <c r="DD117" s="109">
        <f t="shared" si="143"/>
        <v>0</v>
      </c>
      <c r="DE117" s="109"/>
      <c r="DF117" s="109"/>
      <c r="DG117" s="111"/>
      <c r="DH117" s="111"/>
      <c r="DI117" s="165"/>
      <c r="DJ117" s="109">
        <f t="shared" si="147"/>
        <v>0</v>
      </c>
      <c r="DK117" s="109">
        <f t="shared" si="148"/>
        <v>0</v>
      </c>
      <c r="DL117" s="109"/>
      <c r="DM117" s="109"/>
      <c r="DN117" s="111"/>
      <c r="DO117" s="111"/>
      <c r="DP117" s="165"/>
      <c r="DQ117" s="109">
        <f t="shared" si="216"/>
        <v>0</v>
      </c>
      <c r="DR117" s="109">
        <f t="shared" si="217"/>
        <v>0</v>
      </c>
      <c r="DS117" s="109"/>
      <c r="DT117" s="109"/>
      <c r="DU117" s="111"/>
      <c r="DV117" s="111"/>
      <c r="DW117" s="165"/>
      <c r="DX117" s="109">
        <f t="shared" si="221"/>
        <v>0</v>
      </c>
      <c r="DY117" s="109">
        <f t="shared" si="222"/>
        <v>0</v>
      </c>
      <c r="DZ117" s="109"/>
      <c r="EA117" s="109"/>
      <c r="EB117" s="111"/>
      <c r="EC117" s="111"/>
      <c r="ED117" s="165"/>
      <c r="EE117" s="109">
        <f t="shared" si="227"/>
        <v>0</v>
      </c>
      <c r="EF117" s="109">
        <f t="shared" si="228"/>
        <v>0</v>
      </c>
      <c r="EG117" s="109"/>
      <c r="EH117" s="109"/>
      <c r="EI117" s="111"/>
      <c r="EJ117" s="111"/>
      <c r="EK117" s="165"/>
      <c r="EL117" s="109">
        <f t="shared" si="233"/>
        <v>0</v>
      </c>
      <c r="EM117" s="109">
        <f t="shared" si="234"/>
        <v>0</v>
      </c>
      <c r="EN117" s="109"/>
      <c r="EO117" s="109"/>
      <c r="EP117" s="111"/>
      <c r="EQ117" s="111"/>
      <c r="ER117" s="165"/>
      <c r="ES117" s="109">
        <f t="shared" si="239"/>
        <v>0</v>
      </c>
      <c r="ET117" s="109">
        <f t="shared" si="240"/>
        <v>0</v>
      </c>
      <c r="EU117" s="109"/>
      <c r="EV117" s="109"/>
      <c r="EW117" s="111"/>
      <c r="EX117" s="111"/>
      <c r="EY117" s="165"/>
      <c r="EZ117" s="109">
        <f t="shared" si="242"/>
        <v>0</v>
      </c>
      <c r="FA117" s="109">
        <f t="shared" si="243"/>
        <v>0</v>
      </c>
      <c r="FB117" s="109"/>
      <c r="FC117" s="109"/>
      <c r="FD117" s="111"/>
      <c r="FE117" s="111"/>
      <c r="FF117" s="165"/>
      <c r="FG117" s="109">
        <f t="shared" si="245"/>
        <v>0</v>
      </c>
      <c r="FH117" s="109">
        <f t="shared" si="246"/>
        <v>0</v>
      </c>
      <c r="FI117" s="109"/>
      <c r="FJ117" s="109"/>
      <c r="FK117" s="111"/>
      <c r="FL117" s="111"/>
      <c r="FM117" s="165"/>
      <c r="FN117" s="109">
        <f t="shared" si="248"/>
        <v>0</v>
      </c>
      <c r="FO117" s="109">
        <f t="shared" si="249"/>
        <v>0</v>
      </c>
      <c r="FP117" s="109"/>
      <c r="FQ117" s="109"/>
      <c r="FR117" s="111"/>
      <c r="FS117" s="111"/>
      <c r="FT117" s="165"/>
      <c r="FU117" s="109">
        <f t="shared" si="250"/>
        <v>0</v>
      </c>
      <c r="FV117" s="109">
        <f t="shared" si="276"/>
        <v>0</v>
      </c>
      <c r="FW117" s="109"/>
      <c r="FX117" s="109"/>
      <c r="FY117" s="111"/>
      <c r="FZ117" s="111"/>
      <c r="GA117" s="165"/>
      <c r="GB117" s="109">
        <f t="shared" si="251"/>
        <v>0</v>
      </c>
      <c r="GC117" s="109">
        <f t="shared" si="277"/>
        <v>0</v>
      </c>
      <c r="GD117" s="109"/>
      <c r="GE117" s="109"/>
      <c r="GF117" s="111"/>
      <c r="GG117" s="111"/>
      <c r="GH117" s="165"/>
      <c r="GI117" s="109">
        <f t="shared" si="252"/>
        <v>0</v>
      </c>
      <c r="GJ117" s="109">
        <f t="shared" si="278"/>
        <v>0</v>
      </c>
      <c r="GK117" s="109"/>
      <c r="GL117" s="109"/>
      <c r="GM117" s="111"/>
      <c r="GN117" s="111"/>
      <c r="GO117" s="165"/>
      <c r="GP117" s="109">
        <f t="shared" si="253"/>
        <v>0</v>
      </c>
      <c r="GQ117" s="109">
        <f t="shared" si="279"/>
        <v>0</v>
      </c>
      <c r="GR117" s="109"/>
      <c r="GS117" s="109"/>
      <c r="GT117" s="111"/>
      <c r="GU117" s="111"/>
      <c r="GV117" s="165"/>
      <c r="GW117" s="168">
        <f t="shared" si="254"/>
        <v>0</v>
      </c>
      <c r="GX117" s="168">
        <f t="shared" si="280"/>
        <v>0</v>
      </c>
      <c r="GY117" s="168"/>
      <c r="GZ117" s="168"/>
      <c r="HA117" s="111"/>
      <c r="HB117" s="111"/>
      <c r="HC117" s="165"/>
      <c r="HD117" s="109">
        <f t="shared" si="255"/>
        <v>0</v>
      </c>
      <c r="HE117" s="109">
        <f t="shared" si="281"/>
        <v>0</v>
      </c>
      <c r="HF117" s="109"/>
      <c r="HG117" s="109"/>
      <c r="HH117" s="111"/>
      <c r="HI117" s="111"/>
      <c r="HJ117" s="165"/>
      <c r="HK117" s="109">
        <f t="shared" si="256"/>
        <v>0</v>
      </c>
      <c r="HL117" s="109">
        <f t="shared" si="282"/>
        <v>0</v>
      </c>
      <c r="HM117" s="109"/>
      <c r="HN117" s="109"/>
      <c r="HO117" s="111"/>
      <c r="HP117" s="111"/>
      <c r="HQ117" s="165"/>
      <c r="HR117" s="109">
        <f t="shared" si="257"/>
        <v>0</v>
      </c>
      <c r="HS117" s="109">
        <f t="shared" si="283"/>
        <v>0</v>
      </c>
      <c r="HT117" s="109"/>
      <c r="HU117" s="109"/>
      <c r="HV117" s="111"/>
      <c r="HW117" s="111"/>
      <c r="HX117" s="105">
        <f t="shared" si="198"/>
        <v>0</v>
      </c>
      <c r="HY117" s="105">
        <f t="shared" si="198"/>
        <v>0</v>
      </c>
      <c r="HZ117" s="105">
        <f t="shared" si="198"/>
        <v>0</v>
      </c>
      <c r="IA117" s="105">
        <f t="shared" si="181"/>
        <v>0</v>
      </c>
      <c r="IB117" s="109">
        <f t="shared" si="182"/>
        <v>0</v>
      </c>
      <c r="IC117" s="109">
        <f t="shared" si="183"/>
        <v>0</v>
      </c>
      <c r="ID117" s="109">
        <f t="shared" si="184"/>
        <v>0</v>
      </c>
      <c r="IE117" s="109">
        <f t="shared" si="185"/>
        <v>0</v>
      </c>
      <c r="IF117" s="197"/>
      <c r="IG117" s="197"/>
      <c r="IH117" s="197"/>
      <c r="II117" s="197"/>
      <c r="IJ117" s="197"/>
      <c r="IK117" s="197"/>
      <c r="IL117" s="197"/>
      <c r="IM117" s="171"/>
      <c r="IN117" s="171"/>
      <c r="IO117" s="171"/>
      <c r="IP117" s="171"/>
    </row>
    <row r="118" spans="1:250" ht="15" customHeight="1" x14ac:dyDescent="0.3">
      <c r="A118" s="110">
        <f t="shared" si="192"/>
        <v>114</v>
      </c>
      <c r="B118" s="111"/>
      <c r="C118" s="111"/>
      <c r="D118" s="111"/>
      <c r="E118" s="111"/>
      <c r="F118" s="111"/>
      <c r="G118" s="111"/>
      <c r="H118" s="111"/>
      <c r="I118" s="194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75"/>
      <c r="AI118" s="111"/>
      <c r="AJ118" s="111"/>
      <c r="AK118" s="111"/>
      <c r="AL118" s="177"/>
      <c r="AM118" s="176"/>
      <c r="AN118" s="177"/>
      <c r="AO118" s="157"/>
      <c r="AP118" s="158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75"/>
      <c r="BM118" s="111"/>
      <c r="BN118" s="111"/>
      <c r="BO118" s="111"/>
      <c r="BP118" s="111"/>
      <c r="BQ118" s="111"/>
      <c r="BR118" s="111"/>
      <c r="BS118" s="111"/>
      <c r="BT118" s="111"/>
      <c r="BU118" s="111"/>
      <c r="BV118" s="111"/>
      <c r="BW118" s="111"/>
      <c r="BX118" s="111"/>
      <c r="BY118" s="111"/>
      <c r="BZ118" s="111"/>
      <c r="CA118" s="111"/>
      <c r="CB118" s="111"/>
      <c r="CC118" s="178"/>
      <c r="CD118" s="177">
        <f t="shared" si="127"/>
        <v>0</v>
      </c>
      <c r="CE118" s="148"/>
      <c r="CF118" s="111">
        <f t="shared" si="128"/>
        <v>0</v>
      </c>
      <c r="CG118" s="177"/>
      <c r="CH118" s="204"/>
      <c r="CI118" s="148"/>
      <c r="CJ118" s="165"/>
      <c r="CK118" s="165"/>
      <c r="CL118" s="111"/>
      <c r="CM118" s="111"/>
      <c r="CN118" s="165">
        <f t="shared" si="131"/>
        <v>0</v>
      </c>
      <c r="CO118" s="109">
        <f t="shared" si="132"/>
        <v>0</v>
      </c>
      <c r="CP118" s="109">
        <f t="shared" si="133"/>
        <v>0</v>
      </c>
      <c r="CQ118" s="109"/>
      <c r="CR118" s="109"/>
      <c r="CS118" s="196"/>
      <c r="CT118" s="167"/>
      <c r="CU118" s="165"/>
      <c r="CV118" s="109">
        <f t="shared" si="137"/>
        <v>0</v>
      </c>
      <c r="CW118" s="109">
        <f t="shared" si="138"/>
        <v>0</v>
      </c>
      <c r="CX118" s="109"/>
      <c r="CY118" s="109"/>
      <c r="CZ118" s="111"/>
      <c r="DA118" s="111"/>
      <c r="DB118" s="165"/>
      <c r="DC118" s="109">
        <f t="shared" si="142"/>
        <v>0</v>
      </c>
      <c r="DD118" s="109">
        <f t="shared" si="143"/>
        <v>0</v>
      </c>
      <c r="DE118" s="109"/>
      <c r="DF118" s="109"/>
      <c r="DG118" s="111"/>
      <c r="DH118" s="111"/>
      <c r="DI118" s="165"/>
      <c r="DJ118" s="109">
        <f t="shared" si="147"/>
        <v>0</v>
      </c>
      <c r="DK118" s="109">
        <f t="shared" si="148"/>
        <v>0</v>
      </c>
      <c r="DL118" s="109"/>
      <c r="DM118" s="109"/>
      <c r="DN118" s="111"/>
      <c r="DO118" s="111"/>
      <c r="DP118" s="165"/>
      <c r="DQ118" s="109">
        <f t="shared" si="216"/>
        <v>0</v>
      </c>
      <c r="DR118" s="109">
        <f t="shared" si="217"/>
        <v>0</v>
      </c>
      <c r="DS118" s="109"/>
      <c r="DT118" s="109"/>
      <c r="DU118" s="111"/>
      <c r="DV118" s="111"/>
      <c r="DW118" s="165"/>
      <c r="DX118" s="109">
        <f t="shared" si="221"/>
        <v>0</v>
      </c>
      <c r="DY118" s="109">
        <f t="shared" si="222"/>
        <v>0</v>
      </c>
      <c r="DZ118" s="109"/>
      <c r="EA118" s="109"/>
      <c r="EB118" s="111"/>
      <c r="EC118" s="111"/>
      <c r="ED118" s="165"/>
      <c r="EE118" s="109">
        <f t="shared" si="227"/>
        <v>0</v>
      </c>
      <c r="EF118" s="109">
        <f t="shared" si="228"/>
        <v>0</v>
      </c>
      <c r="EG118" s="109"/>
      <c r="EH118" s="109"/>
      <c r="EI118" s="111"/>
      <c r="EJ118" s="111"/>
      <c r="EK118" s="165"/>
      <c r="EL118" s="109">
        <f t="shared" si="233"/>
        <v>0</v>
      </c>
      <c r="EM118" s="109">
        <f t="shared" si="234"/>
        <v>0</v>
      </c>
      <c r="EN118" s="109"/>
      <c r="EO118" s="109"/>
      <c r="EP118" s="111"/>
      <c r="EQ118" s="111"/>
      <c r="ER118" s="165"/>
      <c r="ES118" s="109">
        <f t="shared" si="239"/>
        <v>0</v>
      </c>
      <c r="ET118" s="109">
        <f t="shared" si="240"/>
        <v>0</v>
      </c>
      <c r="EU118" s="109"/>
      <c r="EV118" s="109"/>
      <c r="EW118" s="111"/>
      <c r="EX118" s="111"/>
      <c r="EY118" s="165"/>
      <c r="EZ118" s="109">
        <f t="shared" si="242"/>
        <v>0</v>
      </c>
      <c r="FA118" s="109">
        <f t="shared" si="243"/>
        <v>0</v>
      </c>
      <c r="FB118" s="109"/>
      <c r="FC118" s="109"/>
      <c r="FD118" s="111"/>
      <c r="FE118" s="111"/>
      <c r="FF118" s="165"/>
      <c r="FG118" s="109">
        <f t="shared" si="245"/>
        <v>0</v>
      </c>
      <c r="FH118" s="109">
        <f t="shared" si="246"/>
        <v>0</v>
      </c>
      <c r="FI118" s="109"/>
      <c r="FJ118" s="109"/>
      <c r="FK118" s="111"/>
      <c r="FL118" s="111"/>
      <c r="FM118" s="165"/>
      <c r="FN118" s="109">
        <f t="shared" si="248"/>
        <v>0</v>
      </c>
      <c r="FO118" s="109">
        <f t="shared" si="249"/>
        <v>0</v>
      </c>
      <c r="FP118" s="109"/>
      <c r="FQ118" s="109"/>
      <c r="FR118" s="111"/>
      <c r="FS118" s="111"/>
      <c r="FT118" s="165"/>
      <c r="FU118" s="109">
        <f t="shared" si="250"/>
        <v>0</v>
      </c>
      <c r="FV118" s="109">
        <f t="shared" si="276"/>
        <v>0</v>
      </c>
      <c r="FW118" s="109"/>
      <c r="FX118" s="109"/>
      <c r="FY118" s="111"/>
      <c r="FZ118" s="111"/>
      <c r="GA118" s="165"/>
      <c r="GB118" s="109">
        <f t="shared" si="251"/>
        <v>0</v>
      </c>
      <c r="GC118" s="109">
        <f t="shared" si="277"/>
        <v>0</v>
      </c>
      <c r="GD118" s="109"/>
      <c r="GE118" s="109"/>
      <c r="GF118" s="111"/>
      <c r="GG118" s="111"/>
      <c r="GH118" s="165"/>
      <c r="GI118" s="109">
        <f t="shared" si="252"/>
        <v>0</v>
      </c>
      <c r="GJ118" s="109">
        <f t="shared" si="278"/>
        <v>0</v>
      </c>
      <c r="GK118" s="109"/>
      <c r="GL118" s="109"/>
      <c r="GM118" s="111"/>
      <c r="GN118" s="111"/>
      <c r="GO118" s="165"/>
      <c r="GP118" s="109">
        <f t="shared" si="253"/>
        <v>0</v>
      </c>
      <c r="GQ118" s="109">
        <f t="shared" si="279"/>
        <v>0</v>
      </c>
      <c r="GR118" s="109"/>
      <c r="GS118" s="109"/>
      <c r="GT118" s="111"/>
      <c r="GU118" s="111"/>
      <c r="GV118" s="165"/>
      <c r="GW118" s="168">
        <f t="shared" si="254"/>
        <v>0</v>
      </c>
      <c r="GX118" s="168">
        <f t="shared" si="280"/>
        <v>0</v>
      </c>
      <c r="GY118" s="168"/>
      <c r="GZ118" s="168"/>
      <c r="HA118" s="111"/>
      <c r="HB118" s="111"/>
      <c r="HC118" s="165"/>
      <c r="HD118" s="109">
        <f t="shared" si="255"/>
        <v>0</v>
      </c>
      <c r="HE118" s="109">
        <f t="shared" si="281"/>
        <v>0</v>
      </c>
      <c r="HF118" s="109"/>
      <c r="HG118" s="109"/>
      <c r="HH118" s="111"/>
      <c r="HI118" s="111"/>
      <c r="HJ118" s="165"/>
      <c r="HK118" s="109">
        <f t="shared" si="256"/>
        <v>0</v>
      </c>
      <c r="HL118" s="109">
        <f t="shared" si="282"/>
        <v>0</v>
      </c>
      <c r="HM118" s="109"/>
      <c r="HN118" s="109"/>
      <c r="HO118" s="111"/>
      <c r="HP118" s="111"/>
      <c r="HQ118" s="165"/>
      <c r="HR118" s="109">
        <f t="shared" si="257"/>
        <v>0</v>
      </c>
      <c r="HS118" s="109">
        <f t="shared" si="283"/>
        <v>0</v>
      </c>
      <c r="HT118" s="109"/>
      <c r="HU118" s="109"/>
      <c r="HV118" s="111"/>
      <c r="HW118" s="111"/>
      <c r="HX118" s="105">
        <f t="shared" si="198"/>
        <v>0</v>
      </c>
      <c r="HY118" s="105">
        <f t="shared" si="198"/>
        <v>0</v>
      </c>
      <c r="HZ118" s="105">
        <f t="shared" si="198"/>
        <v>0</v>
      </c>
      <c r="IA118" s="105">
        <f t="shared" si="181"/>
        <v>0</v>
      </c>
      <c r="IB118" s="109">
        <f t="shared" si="182"/>
        <v>0</v>
      </c>
      <c r="IC118" s="109">
        <f t="shared" si="183"/>
        <v>0</v>
      </c>
      <c r="ID118" s="109">
        <f t="shared" si="184"/>
        <v>0</v>
      </c>
      <c r="IE118" s="109">
        <f t="shared" si="185"/>
        <v>0</v>
      </c>
      <c r="IF118" s="197"/>
      <c r="IG118" s="197"/>
      <c r="IH118" s="197"/>
      <c r="II118" s="197"/>
      <c r="IJ118" s="197"/>
      <c r="IK118" s="197"/>
      <c r="IL118" s="197"/>
      <c r="IM118" s="171"/>
      <c r="IN118" s="171"/>
      <c r="IO118" s="171"/>
      <c r="IP118" s="171"/>
    </row>
    <row r="119" spans="1:250" ht="15" customHeight="1" x14ac:dyDescent="0.3">
      <c r="A119" s="110">
        <f t="shared" si="192"/>
        <v>115</v>
      </c>
      <c r="B119" s="111"/>
      <c r="C119" s="111"/>
      <c r="D119" s="111"/>
      <c r="E119" s="111"/>
      <c r="F119" s="111"/>
      <c r="G119" s="111"/>
      <c r="H119" s="111"/>
      <c r="I119" s="194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75"/>
      <c r="AI119" s="111"/>
      <c r="AJ119" s="111"/>
      <c r="AK119" s="111"/>
      <c r="AL119" s="177"/>
      <c r="AM119" s="176"/>
      <c r="AN119" s="177"/>
      <c r="AO119" s="157"/>
      <c r="AP119" s="158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75"/>
      <c r="BM119" s="111"/>
      <c r="BN119" s="111"/>
      <c r="BO119" s="111"/>
      <c r="BP119" s="111"/>
      <c r="BQ119" s="111"/>
      <c r="BR119" s="111"/>
      <c r="BS119" s="111"/>
      <c r="BT119" s="111"/>
      <c r="BU119" s="111"/>
      <c r="BV119" s="111"/>
      <c r="BW119" s="111"/>
      <c r="BX119" s="111"/>
      <c r="BY119" s="111"/>
      <c r="BZ119" s="111"/>
      <c r="CA119" s="111"/>
      <c r="CB119" s="111"/>
      <c r="CC119" s="178"/>
      <c r="CD119" s="177">
        <f t="shared" si="127"/>
        <v>0</v>
      </c>
      <c r="CE119" s="148"/>
      <c r="CF119" s="111">
        <f t="shared" si="128"/>
        <v>0</v>
      </c>
      <c r="CG119" s="177"/>
      <c r="CH119" s="204"/>
      <c r="CI119" s="148"/>
      <c r="CJ119" s="165"/>
      <c r="CK119" s="165"/>
      <c r="CL119" s="111"/>
      <c r="CM119" s="111"/>
      <c r="CN119" s="165">
        <f t="shared" si="131"/>
        <v>0</v>
      </c>
      <c r="CO119" s="109">
        <f t="shared" si="132"/>
        <v>0</v>
      </c>
      <c r="CP119" s="109">
        <f t="shared" si="133"/>
        <v>0</v>
      </c>
      <c r="CQ119" s="109"/>
      <c r="CR119" s="109"/>
      <c r="CS119" s="196"/>
      <c r="CT119" s="167"/>
      <c r="CU119" s="165"/>
      <c r="CV119" s="109">
        <f t="shared" si="137"/>
        <v>0</v>
      </c>
      <c r="CW119" s="109">
        <f t="shared" si="138"/>
        <v>0</v>
      </c>
      <c r="CX119" s="109"/>
      <c r="CY119" s="109"/>
      <c r="CZ119" s="111"/>
      <c r="DA119" s="111"/>
      <c r="DB119" s="165"/>
      <c r="DC119" s="109">
        <f t="shared" si="142"/>
        <v>0</v>
      </c>
      <c r="DD119" s="109">
        <f t="shared" si="143"/>
        <v>0</v>
      </c>
      <c r="DE119" s="109"/>
      <c r="DF119" s="109"/>
      <c r="DG119" s="111"/>
      <c r="DH119" s="111"/>
      <c r="DI119" s="165"/>
      <c r="DJ119" s="109">
        <f t="shared" si="147"/>
        <v>0</v>
      </c>
      <c r="DK119" s="109">
        <f t="shared" si="148"/>
        <v>0</v>
      </c>
      <c r="DL119" s="109"/>
      <c r="DM119" s="109"/>
      <c r="DN119" s="111"/>
      <c r="DO119" s="111"/>
      <c r="DP119" s="165"/>
      <c r="DQ119" s="109">
        <f t="shared" si="216"/>
        <v>0</v>
      </c>
      <c r="DR119" s="109">
        <f t="shared" si="217"/>
        <v>0</v>
      </c>
      <c r="DS119" s="109"/>
      <c r="DT119" s="109"/>
      <c r="DU119" s="111"/>
      <c r="DV119" s="111"/>
      <c r="DW119" s="165"/>
      <c r="DX119" s="109">
        <f t="shared" si="221"/>
        <v>0</v>
      </c>
      <c r="DY119" s="109">
        <f t="shared" si="222"/>
        <v>0</v>
      </c>
      <c r="DZ119" s="109"/>
      <c r="EA119" s="109"/>
      <c r="EB119" s="111"/>
      <c r="EC119" s="111"/>
      <c r="ED119" s="165"/>
      <c r="EE119" s="109">
        <f t="shared" si="227"/>
        <v>0</v>
      </c>
      <c r="EF119" s="109">
        <f t="shared" si="228"/>
        <v>0</v>
      </c>
      <c r="EG119" s="109"/>
      <c r="EH119" s="109"/>
      <c r="EI119" s="111"/>
      <c r="EJ119" s="111"/>
      <c r="EK119" s="165"/>
      <c r="EL119" s="109">
        <f t="shared" si="233"/>
        <v>0</v>
      </c>
      <c r="EM119" s="109">
        <f t="shared" si="234"/>
        <v>0</v>
      </c>
      <c r="EN119" s="109"/>
      <c r="EO119" s="109"/>
      <c r="EP119" s="111"/>
      <c r="EQ119" s="111"/>
      <c r="ER119" s="165"/>
      <c r="ES119" s="109">
        <f t="shared" si="239"/>
        <v>0</v>
      </c>
      <c r="ET119" s="109">
        <f t="shared" si="240"/>
        <v>0</v>
      </c>
      <c r="EU119" s="109"/>
      <c r="EV119" s="109"/>
      <c r="EW119" s="111"/>
      <c r="EX119" s="111"/>
      <c r="EY119" s="165"/>
      <c r="EZ119" s="109">
        <f t="shared" si="242"/>
        <v>0</v>
      </c>
      <c r="FA119" s="109">
        <f t="shared" si="243"/>
        <v>0</v>
      </c>
      <c r="FB119" s="109"/>
      <c r="FC119" s="109"/>
      <c r="FD119" s="111"/>
      <c r="FE119" s="111"/>
      <c r="FF119" s="165"/>
      <c r="FG119" s="109">
        <f t="shared" si="245"/>
        <v>0</v>
      </c>
      <c r="FH119" s="109">
        <f t="shared" si="246"/>
        <v>0</v>
      </c>
      <c r="FI119" s="109"/>
      <c r="FJ119" s="109"/>
      <c r="FK119" s="111"/>
      <c r="FL119" s="111"/>
      <c r="FM119" s="165"/>
      <c r="FN119" s="109">
        <f t="shared" si="248"/>
        <v>0</v>
      </c>
      <c r="FO119" s="109">
        <f t="shared" si="249"/>
        <v>0</v>
      </c>
      <c r="FP119" s="109"/>
      <c r="FQ119" s="109"/>
      <c r="FR119" s="111"/>
      <c r="FS119" s="111"/>
      <c r="FT119" s="165"/>
      <c r="FU119" s="109">
        <f t="shared" si="250"/>
        <v>0</v>
      </c>
      <c r="FV119" s="109">
        <f t="shared" si="276"/>
        <v>0</v>
      </c>
      <c r="FW119" s="109"/>
      <c r="FX119" s="109"/>
      <c r="FY119" s="111"/>
      <c r="FZ119" s="111"/>
      <c r="GA119" s="165"/>
      <c r="GB119" s="109">
        <f t="shared" si="251"/>
        <v>0</v>
      </c>
      <c r="GC119" s="109">
        <f t="shared" si="277"/>
        <v>0</v>
      </c>
      <c r="GD119" s="109"/>
      <c r="GE119" s="109"/>
      <c r="GF119" s="111"/>
      <c r="GG119" s="111"/>
      <c r="GH119" s="165"/>
      <c r="GI119" s="109">
        <f t="shared" si="252"/>
        <v>0</v>
      </c>
      <c r="GJ119" s="109">
        <f t="shared" si="278"/>
        <v>0</v>
      </c>
      <c r="GK119" s="109"/>
      <c r="GL119" s="109"/>
      <c r="GM119" s="111"/>
      <c r="GN119" s="111"/>
      <c r="GO119" s="165"/>
      <c r="GP119" s="109">
        <f t="shared" si="253"/>
        <v>0</v>
      </c>
      <c r="GQ119" s="109">
        <f t="shared" si="279"/>
        <v>0</v>
      </c>
      <c r="GR119" s="109"/>
      <c r="GS119" s="109"/>
      <c r="GT119" s="111"/>
      <c r="GU119" s="111"/>
      <c r="GV119" s="165"/>
      <c r="GW119" s="168">
        <f t="shared" si="254"/>
        <v>0</v>
      </c>
      <c r="GX119" s="168">
        <f t="shared" si="280"/>
        <v>0</v>
      </c>
      <c r="GY119" s="168"/>
      <c r="GZ119" s="168"/>
      <c r="HA119" s="111"/>
      <c r="HB119" s="111"/>
      <c r="HC119" s="165"/>
      <c r="HD119" s="109">
        <f t="shared" si="255"/>
        <v>0</v>
      </c>
      <c r="HE119" s="109">
        <f t="shared" si="281"/>
        <v>0</v>
      </c>
      <c r="HF119" s="109"/>
      <c r="HG119" s="109"/>
      <c r="HH119" s="111"/>
      <c r="HI119" s="111"/>
      <c r="HJ119" s="165"/>
      <c r="HK119" s="109">
        <f t="shared" si="256"/>
        <v>0</v>
      </c>
      <c r="HL119" s="109">
        <f t="shared" si="282"/>
        <v>0</v>
      </c>
      <c r="HM119" s="109"/>
      <c r="HN119" s="109"/>
      <c r="HO119" s="111"/>
      <c r="HP119" s="111"/>
      <c r="HQ119" s="165"/>
      <c r="HR119" s="109">
        <f t="shared" si="257"/>
        <v>0</v>
      </c>
      <c r="HS119" s="109">
        <f t="shared" si="283"/>
        <v>0</v>
      </c>
      <c r="HT119" s="109"/>
      <c r="HU119" s="109"/>
      <c r="HV119" s="111"/>
      <c r="HW119" s="111"/>
      <c r="HX119" s="105">
        <f t="shared" si="198"/>
        <v>0</v>
      </c>
      <c r="HY119" s="105">
        <f t="shared" si="198"/>
        <v>0</v>
      </c>
      <c r="HZ119" s="105">
        <f t="shared" si="198"/>
        <v>0</v>
      </c>
      <c r="IA119" s="105">
        <f t="shared" si="181"/>
        <v>0</v>
      </c>
      <c r="IB119" s="109">
        <f t="shared" si="182"/>
        <v>0</v>
      </c>
      <c r="IC119" s="109">
        <f t="shared" si="183"/>
        <v>0</v>
      </c>
      <c r="ID119" s="109">
        <f t="shared" si="184"/>
        <v>0</v>
      </c>
      <c r="IE119" s="109">
        <f t="shared" si="185"/>
        <v>0</v>
      </c>
      <c r="IF119" s="197"/>
      <c r="IG119" s="197"/>
      <c r="IH119" s="197"/>
      <c r="II119" s="197"/>
      <c r="IJ119" s="197"/>
      <c r="IK119" s="197"/>
      <c r="IL119" s="197"/>
      <c r="IM119" s="171"/>
      <c r="IN119" s="171"/>
      <c r="IO119" s="171"/>
      <c r="IP119" s="171"/>
    </row>
    <row r="120" spans="1:250" ht="15" customHeight="1" x14ac:dyDescent="0.3">
      <c r="A120" s="110">
        <f t="shared" si="192"/>
        <v>116</v>
      </c>
      <c r="B120" s="111"/>
      <c r="C120" s="111"/>
      <c r="D120" s="111"/>
      <c r="E120" s="111"/>
      <c r="F120" s="111"/>
      <c r="G120" s="111"/>
      <c r="H120" s="111"/>
      <c r="I120" s="194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75"/>
      <c r="AI120" s="111"/>
      <c r="AJ120" s="111"/>
      <c r="AK120" s="111"/>
      <c r="AL120" s="177"/>
      <c r="AM120" s="176"/>
      <c r="AN120" s="177"/>
      <c r="AO120" s="157"/>
      <c r="AP120" s="158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75"/>
      <c r="BM120" s="111"/>
      <c r="BN120" s="111"/>
      <c r="BO120" s="111"/>
      <c r="BP120" s="111"/>
      <c r="BQ120" s="111"/>
      <c r="BR120" s="111"/>
      <c r="BS120" s="111"/>
      <c r="BT120" s="111"/>
      <c r="BU120" s="111"/>
      <c r="BV120" s="111"/>
      <c r="BW120" s="111"/>
      <c r="BX120" s="111"/>
      <c r="BY120" s="111"/>
      <c r="BZ120" s="111"/>
      <c r="CA120" s="111"/>
      <c r="CB120" s="111"/>
      <c r="CC120" s="178"/>
      <c r="CD120" s="177">
        <f t="shared" si="127"/>
        <v>0</v>
      </c>
      <c r="CE120" s="148"/>
      <c r="CF120" s="111">
        <f t="shared" si="128"/>
        <v>0</v>
      </c>
      <c r="CG120" s="177"/>
      <c r="CH120" s="204"/>
      <c r="CI120" s="148"/>
      <c r="CJ120" s="165"/>
      <c r="CK120" s="165"/>
      <c r="CL120" s="111"/>
      <c r="CM120" s="111"/>
      <c r="CN120" s="165">
        <f t="shared" si="131"/>
        <v>0</v>
      </c>
      <c r="CO120" s="109">
        <f t="shared" si="132"/>
        <v>0</v>
      </c>
      <c r="CP120" s="109">
        <f t="shared" si="133"/>
        <v>0</v>
      </c>
      <c r="CQ120" s="109"/>
      <c r="CR120" s="109"/>
      <c r="CS120" s="196"/>
      <c r="CT120" s="167"/>
      <c r="CU120" s="165"/>
      <c r="CV120" s="109">
        <f t="shared" si="137"/>
        <v>0</v>
      </c>
      <c r="CW120" s="109">
        <f t="shared" si="138"/>
        <v>0</v>
      </c>
      <c r="CX120" s="109"/>
      <c r="CY120" s="109"/>
      <c r="CZ120" s="111"/>
      <c r="DA120" s="111"/>
      <c r="DB120" s="165"/>
      <c r="DC120" s="109">
        <f t="shared" si="142"/>
        <v>0</v>
      </c>
      <c r="DD120" s="109">
        <f t="shared" si="143"/>
        <v>0</v>
      </c>
      <c r="DE120" s="109"/>
      <c r="DF120" s="109"/>
      <c r="DG120" s="111"/>
      <c r="DH120" s="111"/>
      <c r="DI120" s="165"/>
      <c r="DJ120" s="109">
        <f t="shared" si="147"/>
        <v>0</v>
      </c>
      <c r="DK120" s="109">
        <f t="shared" si="148"/>
        <v>0</v>
      </c>
      <c r="DL120" s="109"/>
      <c r="DM120" s="109"/>
      <c r="DN120" s="111"/>
      <c r="DO120" s="111"/>
      <c r="DP120" s="165"/>
      <c r="DQ120" s="109">
        <f t="shared" si="216"/>
        <v>0</v>
      </c>
      <c r="DR120" s="109">
        <f t="shared" si="217"/>
        <v>0</v>
      </c>
      <c r="DS120" s="109"/>
      <c r="DT120" s="109"/>
      <c r="DU120" s="111"/>
      <c r="DV120" s="111"/>
      <c r="DW120" s="165"/>
      <c r="DX120" s="109">
        <f t="shared" si="221"/>
        <v>0</v>
      </c>
      <c r="DY120" s="109">
        <f t="shared" si="222"/>
        <v>0</v>
      </c>
      <c r="DZ120" s="109"/>
      <c r="EA120" s="109"/>
      <c r="EB120" s="111"/>
      <c r="EC120" s="111"/>
      <c r="ED120" s="165"/>
      <c r="EE120" s="109">
        <f t="shared" si="227"/>
        <v>0</v>
      </c>
      <c r="EF120" s="109">
        <f t="shared" si="228"/>
        <v>0</v>
      </c>
      <c r="EG120" s="109"/>
      <c r="EH120" s="109"/>
      <c r="EI120" s="111"/>
      <c r="EJ120" s="111"/>
      <c r="EK120" s="165"/>
      <c r="EL120" s="109">
        <f t="shared" si="233"/>
        <v>0</v>
      </c>
      <c r="EM120" s="109">
        <f t="shared" si="234"/>
        <v>0</v>
      </c>
      <c r="EN120" s="109"/>
      <c r="EO120" s="109"/>
      <c r="EP120" s="111"/>
      <c r="EQ120" s="111"/>
      <c r="ER120" s="165"/>
      <c r="ES120" s="109">
        <f t="shared" si="239"/>
        <v>0</v>
      </c>
      <c r="ET120" s="109">
        <f t="shared" si="240"/>
        <v>0</v>
      </c>
      <c r="EU120" s="109"/>
      <c r="EV120" s="109"/>
      <c r="EW120" s="111"/>
      <c r="EX120" s="111"/>
      <c r="EY120" s="165"/>
      <c r="EZ120" s="109">
        <f t="shared" si="242"/>
        <v>0</v>
      </c>
      <c r="FA120" s="109">
        <f t="shared" si="243"/>
        <v>0</v>
      </c>
      <c r="FB120" s="109"/>
      <c r="FC120" s="109"/>
      <c r="FD120" s="111"/>
      <c r="FE120" s="111"/>
      <c r="FF120" s="165"/>
      <c r="FG120" s="109">
        <f t="shared" si="245"/>
        <v>0</v>
      </c>
      <c r="FH120" s="109">
        <f t="shared" si="246"/>
        <v>0</v>
      </c>
      <c r="FI120" s="109"/>
      <c r="FJ120" s="109"/>
      <c r="FK120" s="111"/>
      <c r="FL120" s="111"/>
      <c r="FM120" s="165"/>
      <c r="FN120" s="109">
        <f t="shared" si="248"/>
        <v>0</v>
      </c>
      <c r="FO120" s="109">
        <f t="shared" si="249"/>
        <v>0</v>
      </c>
      <c r="FP120" s="109"/>
      <c r="FQ120" s="109"/>
      <c r="FR120" s="111"/>
      <c r="FS120" s="111"/>
      <c r="FT120" s="165"/>
      <c r="FU120" s="109">
        <f t="shared" si="250"/>
        <v>0</v>
      </c>
      <c r="FV120" s="109">
        <f t="shared" si="276"/>
        <v>0</v>
      </c>
      <c r="FW120" s="109"/>
      <c r="FX120" s="109"/>
      <c r="FY120" s="111"/>
      <c r="FZ120" s="111"/>
      <c r="GA120" s="165"/>
      <c r="GB120" s="109">
        <f t="shared" si="251"/>
        <v>0</v>
      </c>
      <c r="GC120" s="109">
        <f t="shared" si="277"/>
        <v>0</v>
      </c>
      <c r="GD120" s="109"/>
      <c r="GE120" s="109"/>
      <c r="GF120" s="111"/>
      <c r="GG120" s="111"/>
      <c r="GH120" s="165"/>
      <c r="GI120" s="109">
        <f t="shared" si="252"/>
        <v>0</v>
      </c>
      <c r="GJ120" s="109">
        <f t="shared" si="278"/>
        <v>0</v>
      </c>
      <c r="GK120" s="109"/>
      <c r="GL120" s="109"/>
      <c r="GM120" s="111"/>
      <c r="GN120" s="111"/>
      <c r="GO120" s="165"/>
      <c r="GP120" s="109">
        <f t="shared" si="253"/>
        <v>0</v>
      </c>
      <c r="GQ120" s="109">
        <f t="shared" si="279"/>
        <v>0</v>
      </c>
      <c r="GR120" s="109"/>
      <c r="GS120" s="109"/>
      <c r="GT120" s="111"/>
      <c r="GU120" s="111"/>
      <c r="GV120" s="165"/>
      <c r="GW120" s="168">
        <f t="shared" si="254"/>
        <v>0</v>
      </c>
      <c r="GX120" s="168">
        <f t="shared" si="280"/>
        <v>0</v>
      </c>
      <c r="GY120" s="168"/>
      <c r="GZ120" s="168"/>
      <c r="HA120" s="111"/>
      <c r="HB120" s="111"/>
      <c r="HC120" s="165"/>
      <c r="HD120" s="109">
        <f t="shared" si="255"/>
        <v>0</v>
      </c>
      <c r="HE120" s="109">
        <f t="shared" si="281"/>
        <v>0</v>
      </c>
      <c r="HF120" s="109"/>
      <c r="HG120" s="109"/>
      <c r="HH120" s="111"/>
      <c r="HI120" s="111"/>
      <c r="HJ120" s="165"/>
      <c r="HK120" s="109">
        <f t="shared" si="256"/>
        <v>0</v>
      </c>
      <c r="HL120" s="109">
        <f t="shared" si="282"/>
        <v>0</v>
      </c>
      <c r="HM120" s="109"/>
      <c r="HN120" s="109"/>
      <c r="HO120" s="111"/>
      <c r="HP120" s="111"/>
      <c r="HQ120" s="165"/>
      <c r="HR120" s="109">
        <f t="shared" si="257"/>
        <v>0</v>
      </c>
      <c r="HS120" s="109">
        <f t="shared" si="283"/>
        <v>0</v>
      </c>
      <c r="HT120" s="109"/>
      <c r="HU120" s="109"/>
      <c r="HV120" s="111"/>
      <c r="HW120" s="111"/>
      <c r="HX120" s="105">
        <f t="shared" si="198"/>
        <v>0</v>
      </c>
      <c r="HY120" s="105">
        <f t="shared" si="198"/>
        <v>0</v>
      </c>
      <c r="HZ120" s="105">
        <f t="shared" si="198"/>
        <v>0</v>
      </c>
      <c r="IA120" s="105">
        <f t="shared" si="181"/>
        <v>0</v>
      </c>
      <c r="IB120" s="109">
        <f t="shared" si="182"/>
        <v>0</v>
      </c>
      <c r="IC120" s="109">
        <f t="shared" si="183"/>
        <v>0</v>
      </c>
      <c r="ID120" s="109">
        <f t="shared" si="184"/>
        <v>0</v>
      </c>
      <c r="IE120" s="109">
        <f t="shared" si="185"/>
        <v>0</v>
      </c>
      <c r="IF120" s="197"/>
      <c r="IG120" s="197"/>
      <c r="IH120" s="197"/>
      <c r="II120" s="197"/>
      <c r="IJ120" s="197"/>
      <c r="IK120" s="197"/>
      <c r="IL120" s="197"/>
      <c r="IM120" s="171"/>
      <c r="IN120" s="171"/>
      <c r="IO120" s="171"/>
      <c r="IP120" s="171"/>
    </row>
    <row r="121" spans="1:250" ht="15" customHeight="1" x14ac:dyDescent="0.3">
      <c r="A121" s="110">
        <f t="shared" si="192"/>
        <v>117</v>
      </c>
      <c r="B121" s="111"/>
      <c r="C121" s="111"/>
      <c r="D121" s="111"/>
      <c r="E121" s="111"/>
      <c r="F121" s="111"/>
      <c r="G121" s="111"/>
      <c r="H121" s="111"/>
      <c r="I121" s="194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75"/>
      <c r="AI121" s="111"/>
      <c r="AJ121" s="111"/>
      <c r="AK121" s="111"/>
      <c r="AL121" s="177"/>
      <c r="AM121" s="176"/>
      <c r="AN121" s="177"/>
      <c r="AO121" s="157"/>
      <c r="AP121" s="158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75"/>
      <c r="BM121" s="111"/>
      <c r="BN121" s="111"/>
      <c r="BO121" s="111"/>
      <c r="BP121" s="111"/>
      <c r="BQ121" s="111"/>
      <c r="BR121" s="111"/>
      <c r="BS121" s="111"/>
      <c r="BT121" s="111"/>
      <c r="BU121" s="111"/>
      <c r="BV121" s="111"/>
      <c r="BW121" s="111"/>
      <c r="BX121" s="111"/>
      <c r="BY121" s="111"/>
      <c r="BZ121" s="111"/>
      <c r="CA121" s="111"/>
      <c r="CB121" s="111"/>
      <c r="CC121" s="178"/>
      <c r="CD121" s="177">
        <f t="shared" si="127"/>
        <v>0</v>
      </c>
      <c r="CE121" s="148"/>
      <c r="CF121" s="111">
        <f t="shared" si="128"/>
        <v>0</v>
      </c>
      <c r="CG121" s="177"/>
      <c r="CH121" s="204"/>
      <c r="CI121" s="148"/>
      <c r="CJ121" s="165"/>
      <c r="CK121" s="165"/>
      <c r="CL121" s="111"/>
      <c r="CM121" s="111"/>
      <c r="CN121" s="165">
        <f t="shared" si="131"/>
        <v>0</v>
      </c>
      <c r="CO121" s="109">
        <f t="shared" si="132"/>
        <v>0</v>
      </c>
      <c r="CP121" s="109">
        <f t="shared" si="133"/>
        <v>0</v>
      </c>
      <c r="CQ121" s="109"/>
      <c r="CR121" s="109"/>
      <c r="CS121" s="196"/>
      <c r="CT121" s="167"/>
      <c r="CU121" s="165"/>
      <c r="CV121" s="109">
        <f t="shared" si="137"/>
        <v>0</v>
      </c>
      <c r="CW121" s="109">
        <f t="shared" si="138"/>
        <v>0</v>
      </c>
      <c r="CX121" s="109"/>
      <c r="CY121" s="109"/>
      <c r="CZ121" s="111"/>
      <c r="DA121" s="111"/>
      <c r="DB121" s="165"/>
      <c r="DC121" s="109">
        <f t="shared" si="142"/>
        <v>0</v>
      </c>
      <c r="DD121" s="109">
        <f t="shared" si="143"/>
        <v>0</v>
      </c>
      <c r="DE121" s="109"/>
      <c r="DF121" s="109"/>
      <c r="DG121" s="111"/>
      <c r="DH121" s="111"/>
      <c r="DI121" s="165"/>
      <c r="DJ121" s="109">
        <f t="shared" si="147"/>
        <v>0</v>
      </c>
      <c r="DK121" s="109">
        <f t="shared" si="148"/>
        <v>0</v>
      </c>
      <c r="DL121" s="109"/>
      <c r="DM121" s="109"/>
      <c r="DN121" s="111"/>
      <c r="DO121" s="111"/>
      <c r="DP121" s="165"/>
      <c r="DQ121" s="109">
        <f t="shared" si="216"/>
        <v>0</v>
      </c>
      <c r="DR121" s="109">
        <f t="shared" si="217"/>
        <v>0</v>
      </c>
      <c r="DS121" s="109"/>
      <c r="DT121" s="109"/>
      <c r="DU121" s="111"/>
      <c r="DV121" s="111"/>
      <c r="DW121" s="165"/>
      <c r="DX121" s="109">
        <f t="shared" si="221"/>
        <v>0</v>
      </c>
      <c r="DY121" s="109">
        <f t="shared" si="222"/>
        <v>0</v>
      </c>
      <c r="DZ121" s="109"/>
      <c r="EA121" s="109"/>
      <c r="EB121" s="111"/>
      <c r="EC121" s="111"/>
      <c r="ED121" s="165"/>
      <c r="EE121" s="109">
        <f t="shared" si="227"/>
        <v>0</v>
      </c>
      <c r="EF121" s="109">
        <f t="shared" si="228"/>
        <v>0</v>
      </c>
      <c r="EG121" s="109"/>
      <c r="EH121" s="109"/>
      <c r="EI121" s="111"/>
      <c r="EJ121" s="111"/>
      <c r="EK121" s="165"/>
      <c r="EL121" s="109">
        <f t="shared" si="233"/>
        <v>0</v>
      </c>
      <c r="EM121" s="109">
        <f t="shared" si="234"/>
        <v>0</v>
      </c>
      <c r="EN121" s="109"/>
      <c r="EO121" s="109"/>
      <c r="EP121" s="111"/>
      <c r="EQ121" s="111"/>
      <c r="ER121" s="165"/>
      <c r="ES121" s="109">
        <f t="shared" si="239"/>
        <v>0</v>
      </c>
      <c r="ET121" s="109">
        <f t="shared" si="240"/>
        <v>0</v>
      </c>
      <c r="EU121" s="109"/>
      <c r="EV121" s="109"/>
      <c r="EW121" s="111"/>
      <c r="EX121" s="111"/>
      <c r="EY121" s="165"/>
      <c r="EZ121" s="109">
        <f t="shared" si="242"/>
        <v>0</v>
      </c>
      <c r="FA121" s="109">
        <f t="shared" si="243"/>
        <v>0</v>
      </c>
      <c r="FB121" s="109"/>
      <c r="FC121" s="109"/>
      <c r="FD121" s="111"/>
      <c r="FE121" s="111"/>
      <c r="FF121" s="165"/>
      <c r="FG121" s="109">
        <f t="shared" si="245"/>
        <v>0</v>
      </c>
      <c r="FH121" s="109">
        <f t="shared" si="246"/>
        <v>0</v>
      </c>
      <c r="FI121" s="109"/>
      <c r="FJ121" s="109"/>
      <c r="FK121" s="111"/>
      <c r="FL121" s="111"/>
      <c r="FM121" s="165"/>
      <c r="FN121" s="109">
        <f t="shared" si="248"/>
        <v>0</v>
      </c>
      <c r="FO121" s="109">
        <f t="shared" si="249"/>
        <v>0</v>
      </c>
      <c r="FP121" s="109"/>
      <c r="FQ121" s="109"/>
      <c r="FR121" s="111"/>
      <c r="FS121" s="111"/>
      <c r="FT121" s="165"/>
      <c r="FU121" s="109">
        <f t="shared" si="250"/>
        <v>0</v>
      </c>
      <c r="FV121" s="109">
        <f t="shared" si="276"/>
        <v>0</v>
      </c>
      <c r="FW121" s="109"/>
      <c r="FX121" s="109"/>
      <c r="FY121" s="111"/>
      <c r="FZ121" s="111"/>
      <c r="GA121" s="165"/>
      <c r="GB121" s="109">
        <f t="shared" si="251"/>
        <v>0</v>
      </c>
      <c r="GC121" s="109">
        <f t="shared" si="277"/>
        <v>0</v>
      </c>
      <c r="GD121" s="109"/>
      <c r="GE121" s="109"/>
      <c r="GF121" s="111"/>
      <c r="GG121" s="111"/>
      <c r="GH121" s="165"/>
      <c r="GI121" s="109">
        <f t="shared" si="252"/>
        <v>0</v>
      </c>
      <c r="GJ121" s="109">
        <f t="shared" si="278"/>
        <v>0</v>
      </c>
      <c r="GK121" s="109"/>
      <c r="GL121" s="109"/>
      <c r="GM121" s="111"/>
      <c r="GN121" s="111"/>
      <c r="GO121" s="165"/>
      <c r="GP121" s="109">
        <f t="shared" si="253"/>
        <v>0</v>
      </c>
      <c r="GQ121" s="109">
        <f t="shared" si="279"/>
        <v>0</v>
      </c>
      <c r="GR121" s="109"/>
      <c r="GS121" s="109"/>
      <c r="GT121" s="111"/>
      <c r="GU121" s="111"/>
      <c r="GV121" s="165"/>
      <c r="GW121" s="168">
        <f t="shared" si="254"/>
        <v>0</v>
      </c>
      <c r="GX121" s="168">
        <f t="shared" si="280"/>
        <v>0</v>
      </c>
      <c r="GY121" s="168"/>
      <c r="GZ121" s="168"/>
      <c r="HA121" s="111"/>
      <c r="HB121" s="111"/>
      <c r="HC121" s="165"/>
      <c r="HD121" s="109">
        <f t="shared" si="255"/>
        <v>0</v>
      </c>
      <c r="HE121" s="109">
        <f t="shared" si="281"/>
        <v>0</v>
      </c>
      <c r="HF121" s="109"/>
      <c r="HG121" s="109"/>
      <c r="HH121" s="111"/>
      <c r="HI121" s="111"/>
      <c r="HJ121" s="165"/>
      <c r="HK121" s="109">
        <f t="shared" si="256"/>
        <v>0</v>
      </c>
      <c r="HL121" s="109">
        <f t="shared" si="282"/>
        <v>0</v>
      </c>
      <c r="HM121" s="109"/>
      <c r="HN121" s="109"/>
      <c r="HO121" s="111"/>
      <c r="HP121" s="111"/>
      <c r="HQ121" s="165"/>
      <c r="HR121" s="109">
        <f t="shared" si="257"/>
        <v>0</v>
      </c>
      <c r="HS121" s="109">
        <f t="shared" si="283"/>
        <v>0</v>
      </c>
      <c r="HT121" s="109"/>
      <c r="HU121" s="109"/>
      <c r="HV121" s="111"/>
      <c r="HW121" s="111"/>
      <c r="HX121" s="105">
        <f t="shared" si="198"/>
        <v>0</v>
      </c>
      <c r="HY121" s="105">
        <f t="shared" si="198"/>
        <v>0</v>
      </c>
      <c r="HZ121" s="105">
        <f t="shared" si="198"/>
        <v>0</v>
      </c>
      <c r="IA121" s="105">
        <f t="shared" si="181"/>
        <v>0</v>
      </c>
      <c r="IB121" s="109">
        <f t="shared" si="182"/>
        <v>0</v>
      </c>
      <c r="IC121" s="109">
        <f t="shared" si="183"/>
        <v>0</v>
      </c>
      <c r="ID121" s="109">
        <f t="shared" si="184"/>
        <v>0</v>
      </c>
      <c r="IE121" s="109">
        <f t="shared" si="185"/>
        <v>0</v>
      </c>
      <c r="IF121" s="197"/>
      <c r="IG121" s="197"/>
      <c r="IH121" s="197"/>
      <c r="II121" s="197"/>
      <c r="IJ121" s="197"/>
      <c r="IK121" s="197"/>
      <c r="IL121" s="197"/>
      <c r="IM121" s="171"/>
      <c r="IN121" s="171"/>
      <c r="IO121" s="171"/>
      <c r="IP121" s="171"/>
    </row>
    <row r="122" spans="1:250" ht="15" customHeight="1" x14ac:dyDescent="0.3">
      <c r="A122" s="110">
        <f t="shared" si="192"/>
        <v>118</v>
      </c>
      <c r="B122" s="111"/>
      <c r="C122" s="111"/>
      <c r="D122" s="111"/>
      <c r="E122" s="111"/>
      <c r="F122" s="111"/>
      <c r="G122" s="111"/>
      <c r="H122" s="111"/>
      <c r="I122" s="194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75"/>
      <c r="AI122" s="111"/>
      <c r="AJ122" s="111"/>
      <c r="AK122" s="111"/>
      <c r="AL122" s="177"/>
      <c r="AM122" s="176"/>
      <c r="AN122" s="177"/>
      <c r="AO122" s="157"/>
      <c r="AP122" s="158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75"/>
      <c r="BM122" s="111"/>
      <c r="BN122" s="111"/>
      <c r="BO122" s="111"/>
      <c r="BP122" s="111"/>
      <c r="BQ122" s="111"/>
      <c r="BR122" s="111"/>
      <c r="BS122" s="111"/>
      <c r="BT122" s="111"/>
      <c r="BU122" s="111"/>
      <c r="BV122" s="111"/>
      <c r="BW122" s="111"/>
      <c r="BX122" s="111"/>
      <c r="BY122" s="111"/>
      <c r="BZ122" s="111"/>
      <c r="CA122" s="111"/>
      <c r="CB122" s="111"/>
      <c r="CC122" s="178"/>
      <c r="CD122" s="177">
        <f t="shared" si="127"/>
        <v>0</v>
      </c>
      <c r="CE122" s="148"/>
      <c r="CF122" s="111">
        <f t="shared" si="128"/>
        <v>0</v>
      </c>
      <c r="CG122" s="177"/>
      <c r="CH122" s="204"/>
      <c r="CI122" s="148"/>
      <c r="CJ122" s="165"/>
      <c r="CK122" s="165"/>
      <c r="CL122" s="111"/>
      <c r="CM122" s="111"/>
      <c r="CN122" s="165">
        <f t="shared" si="131"/>
        <v>0</v>
      </c>
      <c r="CO122" s="109">
        <f t="shared" si="132"/>
        <v>0</v>
      </c>
      <c r="CP122" s="109">
        <f t="shared" si="133"/>
        <v>0</v>
      </c>
      <c r="CQ122" s="109"/>
      <c r="CR122" s="109"/>
      <c r="CS122" s="196"/>
      <c r="CT122" s="167"/>
      <c r="CU122" s="165"/>
      <c r="CV122" s="109">
        <f t="shared" si="137"/>
        <v>0</v>
      </c>
      <c r="CW122" s="109">
        <f t="shared" si="138"/>
        <v>0</v>
      </c>
      <c r="CX122" s="109"/>
      <c r="CY122" s="109"/>
      <c r="CZ122" s="111"/>
      <c r="DA122" s="111"/>
      <c r="DB122" s="165"/>
      <c r="DC122" s="109">
        <f t="shared" si="142"/>
        <v>0</v>
      </c>
      <c r="DD122" s="109">
        <f t="shared" si="143"/>
        <v>0</v>
      </c>
      <c r="DE122" s="109"/>
      <c r="DF122" s="109"/>
      <c r="DG122" s="111"/>
      <c r="DH122" s="111"/>
      <c r="DI122" s="165"/>
      <c r="DJ122" s="109">
        <f t="shared" si="147"/>
        <v>0</v>
      </c>
      <c r="DK122" s="109">
        <f t="shared" si="148"/>
        <v>0</v>
      </c>
      <c r="DL122" s="109"/>
      <c r="DM122" s="109"/>
      <c r="DN122" s="111"/>
      <c r="DO122" s="111"/>
      <c r="DP122" s="165"/>
      <c r="DQ122" s="109">
        <f t="shared" si="216"/>
        <v>0</v>
      </c>
      <c r="DR122" s="109">
        <f t="shared" si="217"/>
        <v>0</v>
      </c>
      <c r="DS122" s="109"/>
      <c r="DT122" s="109"/>
      <c r="DU122" s="111"/>
      <c r="DV122" s="111"/>
      <c r="DW122" s="165"/>
      <c r="DX122" s="109">
        <f t="shared" si="221"/>
        <v>0</v>
      </c>
      <c r="DY122" s="109">
        <f t="shared" si="222"/>
        <v>0</v>
      </c>
      <c r="DZ122" s="109"/>
      <c r="EA122" s="109"/>
      <c r="EB122" s="111"/>
      <c r="EC122" s="111"/>
      <c r="ED122" s="165"/>
      <c r="EE122" s="109">
        <f t="shared" si="227"/>
        <v>0</v>
      </c>
      <c r="EF122" s="109">
        <f t="shared" si="228"/>
        <v>0</v>
      </c>
      <c r="EG122" s="109"/>
      <c r="EH122" s="109"/>
      <c r="EI122" s="111"/>
      <c r="EJ122" s="111"/>
      <c r="EK122" s="165"/>
      <c r="EL122" s="109">
        <f t="shared" si="233"/>
        <v>0</v>
      </c>
      <c r="EM122" s="109">
        <f t="shared" si="234"/>
        <v>0</v>
      </c>
      <c r="EN122" s="109"/>
      <c r="EO122" s="109"/>
      <c r="EP122" s="111"/>
      <c r="EQ122" s="111"/>
      <c r="ER122" s="165"/>
      <c r="ES122" s="109">
        <f t="shared" si="239"/>
        <v>0</v>
      </c>
      <c r="ET122" s="109">
        <f t="shared" si="240"/>
        <v>0</v>
      </c>
      <c r="EU122" s="109"/>
      <c r="EV122" s="109"/>
      <c r="EW122" s="111"/>
      <c r="EX122" s="111"/>
      <c r="EY122" s="165"/>
      <c r="EZ122" s="109">
        <f t="shared" si="242"/>
        <v>0</v>
      </c>
      <c r="FA122" s="109">
        <f t="shared" si="243"/>
        <v>0</v>
      </c>
      <c r="FB122" s="109"/>
      <c r="FC122" s="109"/>
      <c r="FD122" s="111"/>
      <c r="FE122" s="111"/>
      <c r="FF122" s="165"/>
      <c r="FG122" s="109">
        <f t="shared" si="245"/>
        <v>0</v>
      </c>
      <c r="FH122" s="109">
        <f t="shared" si="246"/>
        <v>0</v>
      </c>
      <c r="FI122" s="109"/>
      <c r="FJ122" s="109"/>
      <c r="FK122" s="111"/>
      <c r="FL122" s="111"/>
      <c r="FM122" s="165"/>
      <c r="FN122" s="109">
        <f t="shared" si="248"/>
        <v>0</v>
      </c>
      <c r="FO122" s="109">
        <f t="shared" si="249"/>
        <v>0</v>
      </c>
      <c r="FP122" s="109"/>
      <c r="FQ122" s="109"/>
      <c r="FR122" s="111"/>
      <c r="FS122" s="111"/>
      <c r="FT122" s="165"/>
      <c r="FU122" s="109">
        <f t="shared" si="250"/>
        <v>0</v>
      </c>
      <c r="FV122" s="109">
        <f t="shared" si="276"/>
        <v>0</v>
      </c>
      <c r="FW122" s="109"/>
      <c r="FX122" s="109"/>
      <c r="FY122" s="111"/>
      <c r="FZ122" s="111"/>
      <c r="GA122" s="165"/>
      <c r="GB122" s="109">
        <f t="shared" si="251"/>
        <v>0</v>
      </c>
      <c r="GC122" s="109">
        <f t="shared" si="277"/>
        <v>0</v>
      </c>
      <c r="GD122" s="109"/>
      <c r="GE122" s="109"/>
      <c r="GF122" s="111"/>
      <c r="GG122" s="111"/>
      <c r="GH122" s="165"/>
      <c r="GI122" s="109">
        <f t="shared" si="252"/>
        <v>0</v>
      </c>
      <c r="GJ122" s="109">
        <f t="shared" si="278"/>
        <v>0</v>
      </c>
      <c r="GK122" s="109"/>
      <c r="GL122" s="109"/>
      <c r="GM122" s="111"/>
      <c r="GN122" s="111"/>
      <c r="GO122" s="165"/>
      <c r="GP122" s="109">
        <f t="shared" si="253"/>
        <v>0</v>
      </c>
      <c r="GQ122" s="109">
        <f t="shared" si="279"/>
        <v>0</v>
      </c>
      <c r="GR122" s="109"/>
      <c r="GS122" s="109"/>
      <c r="GT122" s="111"/>
      <c r="GU122" s="111"/>
      <c r="GV122" s="165"/>
      <c r="GW122" s="168">
        <f t="shared" si="254"/>
        <v>0</v>
      </c>
      <c r="GX122" s="168">
        <f t="shared" si="280"/>
        <v>0</v>
      </c>
      <c r="GY122" s="168"/>
      <c r="GZ122" s="168"/>
      <c r="HA122" s="111"/>
      <c r="HB122" s="111"/>
      <c r="HC122" s="165"/>
      <c r="HD122" s="109">
        <f t="shared" si="255"/>
        <v>0</v>
      </c>
      <c r="HE122" s="109">
        <f t="shared" si="281"/>
        <v>0</v>
      </c>
      <c r="HF122" s="109"/>
      <c r="HG122" s="109"/>
      <c r="HH122" s="111"/>
      <c r="HI122" s="111"/>
      <c r="HJ122" s="165"/>
      <c r="HK122" s="109">
        <f t="shared" si="256"/>
        <v>0</v>
      </c>
      <c r="HL122" s="109">
        <f t="shared" si="282"/>
        <v>0</v>
      </c>
      <c r="HM122" s="109"/>
      <c r="HN122" s="109"/>
      <c r="HO122" s="111"/>
      <c r="HP122" s="111"/>
      <c r="HQ122" s="165"/>
      <c r="HR122" s="109">
        <f t="shared" si="257"/>
        <v>0</v>
      </c>
      <c r="HS122" s="109">
        <f t="shared" si="283"/>
        <v>0</v>
      </c>
      <c r="HT122" s="109"/>
      <c r="HU122" s="109"/>
      <c r="HV122" s="111"/>
      <c r="HW122" s="111"/>
      <c r="HX122" s="105">
        <f t="shared" si="198"/>
        <v>0</v>
      </c>
      <c r="HY122" s="105">
        <f t="shared" si="198"/>
        <v>0</v>
      </c>
      <c r="HZ122" s="105">
        <f t="shared" si="198"/>
        <v>0</v>
      </c>
      <c r="IA122" s="105">
        <f t="shared" si="181"/>
        <v>0</v>
      </c>
      <c r="IB122" s="109">
        <f t="shared" si="182"/>
        <v>0</v>
      </c>
      <c r="IC122" s="109">
        <f t="shared" si="183"/>
        <v>0</v>
      </c>
      <c r="ID122" s="109">
        <f t="shared" si="184"/>
        <v>0</v>
      </c>
      <c r="IE122" s="109">
        <f t="shared" si="185"/>
        <v>0</v>
      </c>
      <c r="IF122" s="197"/>
      <c r="IG122" s="197"/>
      <c r="IH122" s="197"/>
      <c r="II122" s="197"/>
      <c r="IJ122" s="197"/>
      <c r="IK122" s="197"/>
      <c r="IL122" s="197"/>
      <c r="IM122" s="171"/>
      <c r="IN122" s="171"/>
      <c r="IO122" s="171"/>
      <c r="IP122" s="171"/>
    </row>
    <row r="123" spans="1:250" ht="15" customHeight="1" x14ac:dyDescent="0.3">
      <c r="A123" s="110">
        <f t="shared" si="192"/>
        <v>119</v>
      </c>
      <c r="B123" s="111"/>
      <c r="C123" s="111"/>
      <c r="D123" s="111"/>
      <c r="E123" s="111"/>
      <c r="F123" s="111"/>
      <c r="G123" s="111"/>
      <c r="H123" s="111"/>
      <c r="I123" s="194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75"/>
      <c r="AI123" s="111"/>
      <c r="AJ123" s="111"/>
      <c r="AK123" s="111"/>
      <c r="AL123" s="177"/>
      <c r="AM123" s="176"/>
      <c r="AN123" s="177"/>
      <c r="AO123" s="157"/>
      <c r="AP123" s="158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75"/>
      <c r="BM123" s="111"/>
      <c r="BN123" s="111"/>
      <c r="BO123" s="111"/>
      <c r="BP123" s="111"/>
      <c r="BQ123" s="111"/>
      <c r="BR123" s="111"/>
      <c r="BS123" s="111"/>
      <c r="BT123" s="111"/>
      <c r="BU123" s="111"/>
      <c r="BV123" s="111"/>
      <c r="BW123" s="111"/>
      <c r="BX123" s="111"/>
      <c r="BY123" s="111"/>
      <c r="BZ123" s="111"/>
      <c r="CA123" s="111"/>
      <c r="CB123" s="111"/>
      <c r="CC123" s="178"/>
      <c r="CD123" s="177">
        <f t="shared" si="127"/>
        <v>0</v>
      </c>
      <c r="CE123" s="148"/>
      <c r="CF123" s="111">
        <f t="shared" si="128"/>
        <v>0</v>
      </c>
      <c r="CG123" s="177"/>
      <c r="CH123" s="204"/>
      <c r="CI123" s="148"/>
      <c r="CJ123" s="165"/>
      <c r="CK123" s="165"/>
      <c r="CL123" s="111"/>
      <c r="CM123" s="111"/>
      <c r="CN123" s="165">
        <f t="shared" si="131"/>
        <v>0</v>
      </c>
      <c r="CO123" s="109">
        <f t="shared" si="132"/>
        <v>0</v>
      </c>
      <c r="CP123" s="109">
        <f t="shared" si="133"/>
        <v>0</v>
      </c>
      <c r="CQ123" s="109"/>
      <c r="CR123" s="109"/>
      <c r="CS123" s="196"/>
      <c r="CT123" s="167"/>
      <c r="CU123" s="165"/>
      <c r="CV123" s="109">
        <f t="shared" si="137"/>
        <v>0</v>
      </c>
      <c r="CW123" s="109">
        <f t="shared" si="138"/>
        <v>0</v>
      </c>
      <c r="CX123" s="109"/>
      <c r="CY123" s="109"/>
      <c r="CZ123" s="111"/>
      <c r="DA123" s="111"/>
      <c r="DB123" s="165"/>
      <c r="DC123" s="109">
        <f t="shared" si="142"/>
        <v>0</v>
      </c>
      <c r="DD123" s="109">
        <f t="shared" si="143"/>
        <v>0</v>
      </c>
      <c r="DE123" s="109"/>
      <c r="DF123" s="109"/>
      <c r="DG123" s="111"/>
      <c r="DH123" s="111"/>
      <c r="DI123" s="165"/>
      <c r="DJ123" s="109">
        <f t="shared" si="147"/>
        <v>0</v>
      </c>
      <c r="DK123" s="109">
        <f t="shared" si="148"/>
        <v>0</v>
      </c>
      <c r="DL123" s="109"/>
      <c r="DM123" s="109"/>
      <c r="DN123" s="111"/>
      <c r="DO123" s="111"/>
      <c r="DP123" s="165"/>
      <c r="DQ123" s="109">
        <f t="shared" si="216"/>
        <v>0</v>
      </c>
      <c r="DR123" s="109">
        <f t="shared" si="217"/>
        <v>0</v>
      </c>
      <c r="DS123" s="109"/>
      <c r="DT123" s="109"/>
      <c r="DU123" s="111"/>
      <c r="DV123" s="111"/>
      <c r="DW123" s="165"/>
      <c r="DX123" s="109">
        <f t="shared" si="221"/>
        <v>0</v>
      </c>
      <c r="DY123" s="109">
        <f t="shared" si="222"/>
        <v>0</v>
      </c>
      <c r="DZ123" s="109"/>
      <c r="EA123" s="109"/>
      <c r="EB123" s="111"/>
      <c r="EC123" s="111"/>
      <c r="ED123" s="165"/>
      <c r="EE123" s="109">
        <f t="shared" si="227"/>
        <v>0</v>
      </c>
      <c r="EF123" s="109">
        <f t="shared" si="228"/>
        <v>0</v>
      </c>
      <c r="EG123" s="109"/>
      <c r="EH123" s="109"/>
      <c r="EI123" s="111"/>
      <c r="EJ123" s="111"/>
      <c r="EK123" s="165"/>
      <c r="EL123" s="109">
        <f t="shared" si="233"/>
        <v>0</v>
      </c>
      <c r="EM123" s="109">
        <f t="shared" si="234"/>
        <v>0</v>
      </c>
      <c r="EN123" s="109"/>
      <c r="EO123" s="109"/>
      <c r="EP123" s="111"/>
      <c r="EQ123" s="111"/>
      <c r="ER123" s="165"/>
      <c r="ES123" s="109">
        <f t="shared" si="239"/>
        <v>0</v>
      </c>
      <c r="ET123" s="109">
        <f t="shared" si="240"/>
        <v>0</v>
      </c>
      <c r="EU123" s="109"/>
      <c r="EV123" s="109"/>
      <c r="EW123" s="111"/>
      <c r="EX123" s="111"/>
      <c r="EY123" s="165"/>
      <c r="EZ123" s="109">
        <f t="shared" si="242"/>
        <v>0</v>
      </c>
      <c r="FA123" s="109">
        <f t="shared" si="243"/>
        <v>0</v>
      </c>
      <c r="FB123" s="109"/>
      <c r="FC123" s="109"/>
      <c r="FD123" s="111"/>
      <c r="FE123" s="111"/>
      <c r="FF123" s="165"/>
      <c r="FG123" s="109">
        <f t="shared" si="245"/>
        <v>0</v>
      </c>
      <c r="FH123" s="109">
        <f t="shared" si="246"/>
        <v>0</v>
      </c>
      <c r="FI123" s="109"/>
      <c r="FJ123" s="109"/>
      <c r="FK123" s="111"/>
      <c r="FL123" s="111"/>
      <c r="FM123" s="165"/>
      <c r="FN123" s="109">
        <f t="shared" si="248"/>
        <v>0</v>
      </c>
      <c r="FO123" s="109">
        <f t="shared" si="249"/>
        <v>0</v>
      </c>
      <c r="FP123" s="109"/>
      <c r="FQ123" s="109"/>
      <c r="FR123" s="111"/>
      <c r="FS123" s="111"/>
      <c r="FT123" s="165"/>
      <c r="FU123" s="109">
        <f t="shared" si="250"/>
        <v>0</v>
      </c>
      <c r="FV123" s="109">
        <f t="shared" si="276"/>
        <v>0</v>
      </c>
      <c r="FW123" s="109"/>
      <c r="FX123" s="109"/>
      <c r="FY123" s="111"/>
      <c r="FZ123" s="111"/>
      <c r="GA123" s="165"/>
      <c r="GB123" s="109">
        <f t="shared" si="251"/>
        <v>0</v>
      </c>
      <c r="GC123" s="109">
        <f t="shared" si="277"/>
        <v>0</v>
      </c>
      <c r="GD123" s="109"/>
      <c r="GE123" s="109"/>
      <c r="GF123" s="111"/>
      <c r="GG123" s="111"/>
      <c r="GH123" s="165"/>
      <c r="GI123" s="109">
        <f t="shared" si="252"/>
        <v>0</v>
      </c>
      <c r="GJ123" s="109">
        <f t="shared" si="278"/>
        <v>0</v>
      </c>
      <c r="GK123" s="109"/>
      <c r="GL123" s="109"/>
      <c r="GM123" s="111"/>
      <c r="GN123" s="111"/>
      <c r="GO123" s="165"/>
      <c r="GP123" s="109">
        <f t="shared" si="253"/>
        <v>0</v>
      </c>
      <c r="GQ123" s="109">
        <f t="shared" si="279"/>
        <v>0</v>
      </c>
      <c r="GR123" s="109"/>
      <c r="GS123" s="109"/>
      <c r="GT123" s="111"/>
      <c r="GU123" s="111"/>
      <c r="GV123" s="165"/>
      <c r="GW123" s="168">
        <f t="shared" si="254"/>
        <v>0</v>
      </c>
      <c r="GX123" s="168">
        <f t="shared" si="280"/>
        <v>0</v>
      </c>
      <c r="GY123" s="168"/>
      <c r="GZ123" s="168"/>
      <c r="HA123" s="111"/>
      <c r="HB123" s="111"/>
      <c r="HC123" s="165"/>
      <c r="HD123" s="109">
        <f t="shared" si="255"/>
        <v>0</v>
      </c>
      <c r="HE123" s="109">
        <f t="shared" si="281"/>
        <v>0</v>
      </c>
      <c r="HF123" s="109"/>
      <c r="HG123" s="109"/>
      <c r="HH123" s="111"/>
      <c r="HI123" s="111"/>
      <c r="HJ123" s="165"/>
      <c r="HK123" s="109">
        <f t="shared" si="256"/>
        <v>0</v>
      </c>
      <c r="HL123" s="109">
        <f t="shared" si="282"/>
        <v>0</v>
      </c>
      <c r="HM123" s="109"/>
      <c r="HN123" s="109"/>
      <c r="HO123" s="111"/>
      <c r="HP123" s="111"/>
      <c r="HQ123" s="165"/>
      <c r="HR123" s="109">
        <f t="shared" si="257"/>
        <v>0</v>
      </c>
      <c r="HS123" s="109">
        <f t="shared" si="283"/>
        <v>0</v>
      </c>
      <c r="HT123" s="109"/>
      <c r="HU123" s="109"/>
      <c r="HV123" s="111"/>
      <c r="HW123" s="111"/>
      <c r="HX123" s="105">
        <f t="shared" si="198"/>
        <v>0</v>
      </c>
      <c r="HY123" s="105">
        <f t="shared" si="198"/>
        <v>0</v>
      </c>
      <c r="HZ123" s="105">
        <f t="shared" si="198"/>
        <v>0</v>
      </c>
      <c r="IA123" s="105">
        <f t="shared" si="181"/>
        <v>0</v>
      </c>
      <c r="IB123" s="109">
        <f t="shared" si="182"/>
        <v>0</v>
      </c>
      <c r="IC123" s="109">
        <f t="shared" si="183"/>
        <v>0</v>
      </c>
      <c r="ID123" s="109">
        <f t="shared" si="184"/>
        <v>0</v>
      </c>
      <c r="IE123" s="109">
        <f t="shared" si="185"/>
        <v>0</v>
      </c>
      <c r="IF123" s="197"/>
      <c r="IG123" s="197"/>
      <c r="IH123" s="197"/>
      <c r="II123" s="197"/>
      <c r="IJ123" s="197"/>
      <c r="IK123" s="197"/>
      <c r="IL123" s="197"/>
      <c r="IM123" s="171"/>
      <c r="IN123" s="171"/>
      <c r="IO123" s="171"/>
      <c r="IP123" s="171"/>
    </row>
    <row r="124" spans="1:250" ht="15" customHeight="1" x14ac:dyDescent="0.3">
      <c r="A124" s="110">
        <f t="shared" si="192"/>
        <v>120</v>
      </c>
      <c r="B124" s="111"/>
      <c r="C124" s="111"/>
      <c r="D124" s="111"/>
      <c r="E124" s="111"/>
      <c r="F124" s="111"/>
      <c r="G124" s="111"/>
      <c r="H124" s="111"/>
      <c r="I124" s="194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75"/>
      <c r="AI124" s="111"/>
      <c r="AJ124" s="111"/>
      <c r="AK124" s="111"/>
      <c r="AL124" s="177"/>
      <c r="AM124" s="176"/>
      <c r="AN124" s="177"/>
      <c r="AO124" s="157"/>
      <c r="AP124" s="158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75"/>
      <c r="BM124" s="111"/>
      <c r="BN124" s="111"/>
      <c r="BO124" s="111"/>
      <c r="BP124" s="111"/>
      <c r="BQ124" s="111"/>
      <c r="BR124" s="111"/>
      <c r="BS124" s="111"/>
      <c r="BT124" s="111"/>
      <c r="BU124" s="111"/>
      <c r="BV124" s="111"/>
      <c r="BW124" s="111"/>
      <c r="BX124" s="111"/>
      <c r="BY124" s="111"/>
      <c r="BZ124" s="111"/>
      <c r="CA124" s="111"/>
      <c r="CB124" s="111"/>
      <c r="CC124" s="178"/>
      <c r="CD124" s="177">
        <f t="shared" si="127"/>
        <v>0</v>
      </c>
      <c r="CE124" s="148"/>
      <c r="CF124" s="111">
        <f t="shared" si="128"/>
        <v>0</v>
      </c>
      <c r="CG124" s="177"/>
      <c r="CH124" s="204"/>
      <c r="CI124" s="148"/>
      <c r="CJ124" s="165"/>
      <c r="CK124" s="165"/>
      <c r="CL124" s="111"/>
      <c r="CM124" s="111"/>
      <c r="CN124" s="165">
        <f t="shared" si="131"/>
        <v>0</v>
      </c>
      <c r="CO124" s="109">
        <f t="shared" si="132"/>
        <v>0</v>
      </c>
      <c r="CP124" s="109">
        <f t="shared" si="133"/>
        <v>0</v>
      </c>
      <c r="CQ124" s="109"/>
      <c r="CR124" s="109"/>
      <c r="CS124" s="196"/>
      <c r="CT124" s="167"/>
      <c r="CU124" s="165"/>
      <c r="CV124" s="109">
        <f t="shared" si="137"/>
        <v>0</v>
      </c>
      <c r="CW124" s="109">
        <f t="shared" si="138"/>
        <v>0</v>
      </c>
      <c r="CX124" s="109"/>
      <c r="CY124" s="109"/>
      <c r="CZ124" s="111"/>
      <c r="DA124" s="111"/>
      <c r="DB124" s="165"/>
      <c r="DC124" s="109">
        <f t="shared" si="142"/>
        <v>0</v>
      </c>
      <c r="DD124" s="109">
        <f t="shared" si="143"/>
        <v>0</v>
      </c>
      <c r="DE124" s="109"/>
      <c r="DF124" s="109"/>
      <c r="DG124" s="111"/>
      <c r="DH124" s="111"/>
      <c r="DI124" s="165"/>
      <c r="DJ124" s="109">
        <f t="shared" si="147"/>
        <v>0</v>
      </c>
      <c r="DK124" s="109">
        <f t="shared" si="148"/>
        <v>0</v>
      </c>
      <c r="DL124" s="109"/>
      <c r="DM124" s="109"/>
      <c r="DN124" s="111"/>
      <c r="DO124" s="111"/>
      <c r="DP124" s="165"/>
      <c r="DQ124" s="109">
        <f t="shared" si="216"/>
        <v>0</v>
      </c>
      <c r="DR124" s="109">
        <f t="shared" si="217"/>
        <v>0</v>
      </c>
      <c r="DS124" s="109"/>
      <c r="DT124" s="109"/>
      <c r="DU124" s="111"/>
      <c r="DV124" s="111"/>
      <c r="DW124" s="165"/>
      <c r="DX124" s="109">
        <f t="shared" si="221"/>
        <v>0</v>
      </c>
      <c r="DY124" s="109">
        <f t="shared" si="222"/>
        <v>0</v>
      </c>
      <c r="DZ124" s="109"/>
      <c r="EA124" s="109"/>
      <c r="EB124" s="111"/>
      <c r="EC124" s="111"/>
      <c r="ED124" s="165"/>
      <c r="EE124" s="109">
        <f t="shared" si="227"/>
        <v>0</v>
      </c>
      <c r="EF124" s="109">
        <f t="shared" si="228"/>
        <v>0</v>
      </c>
      <c r="EG124" s="109"/>
      <c r="EH124" s="109"/>
      <c r="EI124" s="111"/>
      <c r="EJ124" s="111"/>
      <c r="EK124" s="165"/>
      <c r="EL124" s="109">
        <f t="shared" si="233"/>
        <v>0</v>
      </c>
      <c r="EM124" s="109">
        <f t="shared" si="234"/>
        <v>0</v>
      </c>
      <c r="EN124" s="109"/>
      <c r="EO124" s="109"/>
      <c r="EP124" s="111"/>
      <c r="EQ124" s="111"/>
      <c r="ER124" s="165"/>
      <c r="ES124" s="109">
        <f t="shared" si="239"/>
        <v>0</v>
      </c>
      <c r="ET124" s="109">
        <f t="shared" si="240"/>
        <v>0</v>
      </c>
      <c r="EU124" s="109"/>
      <c r="EV124" s="109"/>
      <c r="EW124" s="111"/>
      <c r="EX124" s="111"/>
      <c r="EY124" s="165"/>
      <c r="EZ124" s="109">
        <f t="shared" si="242"/>
        <v>0</v>
      </c>
      <c r="FA124" s="109">
        <f t="shared" si="243"/>
        <v>0</v>
      </c>
      <c r="FB124" s="109"/>
      <c r="FC124" s="109"/>
      <c r="FD124" s="111"/>
      <c r="FE124" s="111"/>
      <c r="FF124" s="165"/>
      <c r="FG124" s="109">
        <f t="shared" si="245"/>
        <v>0</v>
      </c>
      <c r="FH124" s="109">
        <f t="shared" si="246"/>
        <v>0</v>
      </c>
      <c r="FI124" s="109"/>
      <c r="FJ124" s="109"/>
      <c r="FK124" s="111"/>
      <c r="FL124" s="111"/>
      <c r="FM124" s="165"/>
      <c r="FN124" s="109">
        <f t="shared" si="248"/>
        <v>0</v>
      </c>
      <c r="FO124" s="109">
        <f t="shared" si="249"/>
        <v>0</v>
      </c>
      <c r="FP124" s="109"/>
      <c r="FQ124" s="109"/>
      <c r="FR124" s="111"/>
      <c r="FS124" s="111"/>
      <c r="FT124" s="165"/>
      <c r="FU124" s="109">
        <f t="shared" si="250"/>
        <v>0</v>
      </c>
      <c r="FV124" s="109">
        <f t="shared" si="276"/>
        <v>0</v>
      </c>
      <c r="FW124" s="109"/>
      <c r="FX124" s="109"/>
      <c r="FY124" s="111"/>
      <c r="FZ124" s="111"/>
      <c r="GA124" s="165"/>
      <c r="GB124" s="109">
        <f t="shared" si="251"/>
        <v>0</v>
      </c>
      <c r="GC124" s="109">
        <f t="shared" si="277"/>
        <v>0</v>
      </c>
      <c r="GD124" s="109"/>
      <c r="GE124" s="109"/>
      <c r="GF124" s="111"/>
      <c r="GG124" s="111"/>
      <c r="GH124" s="165"/>
      <c r="GI124" s="109">
        <f t="shared" si="252"/>
        <v>0</v>
      </c>
      <c r="GJ124" s="109">
        <f t="shared" si="278"/>
        <v>0</v>
      </c>
      <c r="GK124" s="109"/>
      <c r="GL124" s="109"/>
      <c r="GM124" s="111"/>
      <c r="GN124" s="111"/>
      <c r="GO124" s="165"/>
      <c r="GP124" s="109">
        <f t="shared" si="253"/>
        <v>0</v>
      </c>
      <c r="GQ124" s="109">
        <f t="shared" si="279"/>
        <v>0</v>
      </c>
      <c r="GR124" s="109"/>
      <c r="GS124" s="109"/>
      <c r="GT124" s="111"/>
      <c r="GU124" s="111"/>
      <c r="GV124" s="165"/>
      <c r="GW124" s="168">
        <f t="shared" si="254"/>
        <v>0</v>
      </c>
      <c r="GX124" s="168">
        <f t="shared" si="280"/>
        <v>0</v>
      </c>
      <c r="GY124" s="168"/>
      <c r="GZ124" s="168"/>
      <c r="HA124" s="111"/>
      <c r="HB124" s="111"/>
      <c r="HC124" s="165"/>
      <c r="HD124" s="109">
        <f t="shared" si="255"/>
        <v>0</v>
      </c>
      <c r="HE124" s="109">
        <f t="shared" si="281"/>
        <v>0</v>
      </c>
      <c r="HF124" s="109"/>
      <c r="HG124" s="109"/>
      <c r="HH124" s="111"/>
      <c r="HI124" s="111"/>
      <c r="HJ124" s="165"/>
      <c r="HK124" s="109">
        <f t="shared" si="256"/>
        <v>0</v>
      </c>
      <c r="HL124" s="109">
        <f t="shared" si="282"/>
        <v>0</v>
      </c>
      <c r="HM124" s="109"/>
      <c r="HN124" s="109"/>
      <c r="HO124" s="111"/>
      <c r="HP124" s="111"/>
      <c r="HQ124" s="165"/>
      <c r="HR124" s="109">
        <f t="shared" si="257"/>
        <v>0</v>
      </c>
      <c r="HS124" s="109">
        <f t="shared" si="283"/>
        <v>0</v>
      </c>
      <c r="HT124" s="109"/>
      <c r="HU124" s="109"/>
      <c r="HV124" s="111"/>
      <c r="HW124" s="111"/>
      <c r="HX124" s="105">
        <f t="shared" si="198"/>
        <v>0</v>
      </c>
      <c r="HY124" s="105">
        <f t="shared" si="198"/>
        <v>0</v>
      </c>
      <c r="HZ124" s="105">
        <f t="shared" si="198"/>
        <v>0</v>
      </c>
      <c r="IA124" s="105">
        <f t="shared" si="181"/>
        <v>0</v>
      </c>
      <c r="IB124" s="109">
        <f t="shared" si="182"/>
        <v>0</v>
      </c>
      <c r="IC124" s="109">
        <f t="shared" si="183"/>
        <v>0</v>
      </c>
      <c r="ID124" s="109">
        <f t="shared" si="184"/>
        <v>0</v>
      </c>
      <c r="IE124" s="109">
        <f t="shared" si="185"/>
        <v>0</v>
      </c>
      <c r="IF124" s="197"/>
      <c r="IG124" s="197"/>
      <c r="IH124" s="197"/>
      <c r="II124" s="197"/>
      <c r="IJ124" s="197"/>
      <c r="IK124" s="197"/>
      <c r="IL124" s="197"/>
      <c r="IM124" s="171"/>
      <c r="IN124" s="171"/>
      <c r="IO124" s="171"/>
      <c r="IP124" s="171"/>
    </row>
    <row r="125" spans="1:250" ht="15" customHeight="1" x14ac:dyDescent="0.3">
      <c r="A125" s="110">
        <f t="shared" si="192"/>
        <v>121</v>
      </c>
      <c r="B125" s="111"/>
      <c r="C125" s="111"/>
      <c r="D125" s="111"/>
      <c r="E125" s="111"/>
      <c r="F125" s="111"/>
      <c r="G125" s="111"/>
      <c r="H125" s="111"/>
      <c r="I125" s="194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75"/>
      <c r="AI125" s="111"/>
      <c r="AJ125" s="111"/>
      <c r="AK125" s="111"/>
      <c r="AL125" s="177"/>
      <c r="AM125" s="176"/>
      <c r="AN125" s="177"/>
      <c r="AO125" s="157"/>
      <c r="AP125" s="158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75"/>
      <c r="BM125" s="111"/>
      <c r="BN125" s="111"/>
      <c r="BO125" s="111"/>
      <c r="BP125" s="111"/>
      <c r="BQ125" s="111"/>
      <c r="BR125" s="111"/>
      <c r="BS125" s="111"/>
      <c r="BT125" s="111"/>
      <c r="BU125" s="111"/>
      <c r="BV125" s="111"/>
      <c r="BW125" s="111"/>
      <c r="BX125" s="111"/>
      <c r="BY125" s="111"/>
      <c r="BZ125" s="111"/>
      <c r="CA125" s="111"/>
      <c r="CB125" s="111"/>
      <c r="CC125" s="178"/>
      <c r="CD125" s="177">
        <f t="shared" si="127"/>
        <v>0</v>
      </c>
      <c r="CE125" s="148"/>
      <c r="CF125" s="111">
        <f t="shared" si="128"/>
        <v>0</v>
      </c>
      <c r="CG125" s="177"/>
      <c r="CH125" s="204"/>
      <c r="CI125" s="148"/>
      <c r="CJ125" s="165"/>
      <c r="CK125" s="165"/>
      <c r="CL125" s="111"/>
      <c r="CM125" s="111"/>
      <c r="CN125" s="165">
        <f t="shared" si="131"/>
        <v>0</v>
      </c>
      <c r="CO125" s="109">
        <f t="shared" si="132"/>
        <v>0</v>
      </c>
      <c r="CP125" s="109">
        <f t="shared" si="133"/>
        <v>0</v>
      </c>
      <c r="CQ125" s="109"/>
      <c r="CR125" s="109"/>
      <c r="CS125" s="196"/>
      <c r="CT125" s="167"/>
      <c r="CU125" s="165"/>
      <c r="CV125" s="109">
        <f t="shared" si="137"/>
        <v>0</v>
      </c>
      <c r="CW125" s="109">
        <f t="shared" si="138"/>
        <v>0</v>
      </c>
      <c r="CX125" s="109"/>
      <c r="CY125" s="109"/>
      <c r="CZ125" s="111"/>
      <c r="DA125" s="111"/>
      <c r="DB125" s="165"/>
      <c r="DC125" s="109">
        <f t="shared" si="142"/>
        <v>0</v>
      </c>
      <c r="DD125" s="109">
        <f t="shared" si="143"/>
        <v>0</v>
      </c>
      <c r="DE125" s="109"/>
      <c r="DF125" s="109"/>
      <c r="DG125" s="111"/>
      <c r="DH125" s="111"/>
      <c r="DI125" s="165"/>
      <c r="DJ125" s="109">
        <f t="shared" si="147"/>
        <v>0</v>
      </c>
      <c r="DK125" s="109">
        <f t="shared" si="148"/>
        <v>0</v>
      </c>
      <c r="DL125" s="109"/>
      <c r="DM125" s="109"/>
      <c r="DN125" s="111"/>
      <c r="DO125" s="111"/>
      <c r="DP125" s="165"/>
      <c r="DQ125" s="109">
        <f t="shared" si="216"/>
        <v>0</v>
      </c>
      <c r="DR125" s="109">
        <f t="shared" si="217"/>
        <v>0</v>
      </c>
      <c r="DS125" s="109"/>
      <c r="DT125" s="109"/>
      <c r="DU125" s="111"/>
      <c r="DV125" s="111"/>
      <c r="DW125" s="165"/>
      <c r="DX125" s="109">
        <f t="shared" si="221"/>
        <v>0</v>
      </c>
      <c r="DY125" s="109">
        <f t="shared" si="222"/>
        <v>0</v>
      </c>
      <c r="DZ125" s="109"/>
      <c r="EA125" s="109"/>
      <c r="EB125" s="111"/>
      <c r="EC125" s="111"/>
      <c r="ED125" s="165"/>
      <c r="EE125" s="109">
        <f t="shared" si="227"/>
        <v>0</v>
      </c>
      <c r="EF125" s="109">
        <f t="shared" si="228"/>
        <v>0</v>
      </c>
      <c r="EG125" s="109"/>
      <c r="EH125" s="109"/>
      <c r="EI125" s="111"/>
      <c r="EJ125" s="111"/>
      <c r="EK125" s="165"/>
      <c r="EL125" s="109">
        <f t="shared" si="233"/>
        <v>0</v>
      </c>
      <c r="EM125" s="109">
        <f t="shared" si="234"/>
        <v>0</v>
      </c>
      <c r="EN125" s="109"/>
      <c r="EO125" s="109"/>
      <c r="EP125" s="111"/>
      <c r="EQ125" s="111"/>
      <c r="ER125" s="165"/>
      <c r="ES125" s="109">
        <f t="shared" si="239"/>
        <v>0</v>
      </c>
      <c r="ET125" s="109">
        <f t="shared" si="240"/>
        <v>0</v>
      </c>
      <c r="EU125" s="109"/>
      <c r="EV125" s="109"/>
      <c r="EW125" s="111"/>
      <c r="EX125" s="111"/>
      <c r="EY125" s="165"/>
      <c r="EZ125" s="109">
        <f t="shared" si="242"/>
        <v>0</v>
      </c>
      <c r="FA125" s="109">
        <f t="shared" si="243"/>
        <v>0</v>
      </c>
      <c r="FB125" s="109"/>
      <c r="FC125" s="109"/>
      <c r="FD125" s="111"/>
      <c r="FE125" s="111"/>
      <c r="FF125" s="165"/>
      <c r="FG125" s="109">
        <f t="shared" si="245"/>
        <v>0</v>
      </c>
      <c r="FH125" s="109">
        <f t="shared" si="246"/>
        <v>0</v>
      </c>
      <c r="FI125" s="109"/>
      <c r="FJ125" s="109"/>
      <c r="FK125" s="111"/>
      <c r="FL125" s="111"/>
      <c r="FM125" s="165"/>
      <c r="FN125" s="109">
        <f t="shared" si="248"/>
        <v>0</v>
      </c>
      <c r="FO125" s="109">
        <f t="shared" si="249"/>
        <v>0</v>
      </c>
      <c r="FP125" s="109"/>
      <c r="FQ125" s="109"/>
      <c r="FR125" s="111"/>
      <c r="FS125" s="111"/>
      <c r="FT125" s="165"/>
      <c r="FU125" s="109">
        <f t="shared" si="250"/>
        <v>0</v>
      </c>
      <c r="FV125" s="109">
        <f t="shared" si="276"/>
        <v>0</v>
      </c>
      <c r="FW125" s="109"/>
      <c r="FX125" s="109"/>
      <c r="FY125" s="111"/>
      <c r="FZ125" s="111"/>
      <c r="GA125" s="165"/>
      <c r="GB125" s="109">
        <f t="shared" si="251"/>
        <v>0</v>
      </c>
      <c r="GC125" s="109">
        <f t="shared" si="277"/>
        <v>0</v>
      </c>
      <c r="GD125" s="109"/>
      <c r="GE125" s="109"/>
      <c r="GF125" s="111"/>
      <c r="GG125" s="111"/>
      <c r="GH125" s="165"/>
      <c r="GI125" s="109">
        <f t="shared" si="252"/>
        <v>0</v>
      </c>
      <c r="GJ125" s="109">
        <f t="shared" si="278"/>
        <v>0</v>
      </c>
      <c r="GK125" s="109"/>
      <c r="GL125" s="109"/>
      <c r="GM125" s="111"/>
      <c r="GN125" s="111"/>
      <c r="GO125" s="165"/>
      <c r="GP125" s="109">
        <f t="shared" si="253"/>
        <v>0</v>
      </c>
      <c r="GQ125" s="109">
        <f t="shared" si="279"/>
        <v>0</v>
      </c>
      <c r="GR125" s="109"/>
      <c r="GS125" s="109"/>
      <c r="GT125" s="111"/>
      <c r="GU125" s="111"/>
      <c r="GV125" s="165"/>
      <c r="GW125" s="168">
        <f t="shared" si="254"/>
        <v>0</v>
      </c>
      <c r="GX125" s="168">
        <f t="shared" si="280"/>
        <v>0</v>
      </c>
      <c r="GY125" s="168"/>
      <c r="GZ125" s="168"/>
      <c r="HA125" s="111"/>
      <c r="HB125" s="111"/>
      <c r="HC125" s="165"/>
      <c r="HD125" s="109">
        <f t="shared" si="255"/>
        <v>0</v>
      </c>
      <c r="HE125" s="109">
        <f t="shared" si="281"/>
        <v>0</v>
      </c>
      <c r="HF125" s="109"/>
      <c r="HG125" s="109"/>
      <c r="HH125" s="111"/>
      <c r="HI125" s="111"/>
      <c r="HJ125" s="165"/>
      <c r="HK125" s="109">
        <f t="shared" si="256"/>
        <v>0</v>
      </c>
      <c r="HL125" s="109">
        <f t="shared" si="282"/>
        <v>0</v>
      </c>
      <c r="HM125" s="109"/>
      <c r="HN125" s="109"/>
      <c r="HO125" s="111"/>
      <c r="HP125" s="111"/>
      <c r="HQ125" s="165"/>
      <c r="HR125" s="109">
        <f t="shared" si="257"/>
        <v>0</v>
      </c>
      <c r="HS125" s="109">
        <f t="shared" si="283"/>
        <v>0</v>
      </c>
      <c r="HT125" s="109"/>
      <c r="HU125" s="109"/>
      <c r="HV125" s="111"/>
      <c r="HW125" s="111"/>
      <c r="HX125" s="105">
        <f t="shared" si="198"/>
        <v>0</v>
      </c>
      <c r="HY125" s="105">
        <f t="shared" si="198"/>
        <v>0</v>
      </c>
      <c r="HZ125" s="105">
        <f t="shared" si="198"/>
        <v>0</v>
      </c>
      <c r="IA125" s="105">
        <f t="shared" si="181"/>
        <v>0</v>
      </c>
      <c r="IB125" s="109">
        <f t="shared" si="182"/>
        <v>0</v>
      </c>
      <c r="IC125" s="109">
        <f t="shared" si="183"/>
        <v>0</v>
      </c>
      <c r="ID125" s="109">
        <f t="shared" si="184"/>
        <v>0</v>
      </c>
      <c r="IE125" s="109">
        <f t="shared" si="185"/>
        <v>0</v>
      </c>
      <c r="IF125" s="197"/>
      <c r="IG125" s="197"/>
      <c r="IH125" s="197"/>
      <c r="II125" s="197"/>
      <c r="IJ125" s="197"/>
      <c r="IK125" s="197"/>
      <c r="IL125" s="197"/>
      <c r="IM125" s="171"/>
      <c r="IN125" s="171"/>
      <c r="IO125" s="171"/>
      <c r="IP125" s="171"/>
    </row>
    <row r="126" spans="1:250" ht="15" customHeight="1" x14ac:dyDescent="0.3">
      <c r="A126" s="110">
        <f t="shared" si="192"/>
        <v>122</v>
      </c>
      <c r="B126" s="111"/>
      <c r="C126" s="111"/>
      <c r="D126" s="111"/>
      <c r="E126" s="111"/>
      <c r="F126" s="111"/>
      <c r="G126" s="111"/>
      <c r="H126" s="111"/>
      <c r="I126" s="194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75"/>
      <c r="AI126" s="111"/>
      <c r="AJ126" s="111"/>
      <c r="AK126" s="111"/>
      <c r="AL126" s="177"/>
      <c r="AM126" s="176"/>
      <c r="AN126" s="177"/>
      <c r="AO126" s="157"/>
      <c r="AP126" s="158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75"/>
      <c r="BM126" s="111"/>
      <c r="BN126" s="111"/>
      <c r="BO126" s="111"/>
      <c r="BP126" s="111"/>
      <c r="BQ126" s="111"/>
      <c r="BR126" s="111"/>
      <c r="BS126" s="111"/>
      <c r="BT126" s="111"/>
      <c r="BU126" s="111"/>
      <c r="BV126" s="111"/>
      <c r="BW126" s="111"/>
      <c r="BX126" s="111"/>
      <c r="BY126" s="111"/>
      <c r="BZ126" s="111"/>
      <c r="CA126" s="111"/>
      <c r="CB126" s="111"/>
      <c r="CC126" s="178"/>
      <c r="CD126" s="177">
        <f t="shared" si="127"/>
        <v>0</v>
      </c>
      <c r="CE126" s="148"/>
      <c r="CF126" s="111">
        <f t="shared" si="128"/>
        <v>0</v>
      </c>
      <c r="CG126" s="177"/>
      <c r="CH126" s="204"/>
      <c r="CI126" s="148"/>
      <c r="CJ126" s="165"/>
      <c r="CK126" s="165"/>
      <c r="CL126" s="111"/>
      <c r="CM126" s="111"/>
      <c r="CN126" s="165">
        <f t="shared" si="131"/>
        <v>0</v>
      </c>
      <c r="CO126" s="109">
        <f t="shared" si="132"/>
        <v>0</v>
      </c>
      <c r="CP126" s="109">
        <f t="shared" si="133"/>
        <v>0</v>
      </c>
      <c r="CQ126" s="109"/>
      <c r="CR126" s="109"/>
      <c r="CS126" s="196"/>
      <c r="CT126" s="167"/>
      <c r="CU126" s="165"/>
      <c r="CV126" s="109">
        <f t="shared" si="137"/>
        <v>0</v>
      </c>
      <c r="CW126" s="109">
        <f t="shared" si="138"/>
        <v>0</v>
      </c>
      <c r="CX126" s="109"/>
      <c r="CY126" s="109"/>
      <c r="CZ126" s="111"/>
      <c r="DA126" s="111"/>
      <c r="DB126" s="165"/>
      <c r="DC126" s="109">
        <f t="shared" si="142"/>
        <v>0</v>
      </c>
      <c r="DD126" s="109">
        <f t="shared" si="143"/>
        <v>0</v>
      </c>
      <c r="DE126" s="109"/>
      <c r="DF126" s="109"/>
      <c r="DG126" s="111"/>
      <c r="DH126" s="111"/>
      <c r="DI126" s="165"/>
      <c r="DJ126" s="109">
        <f t="shared" si="147"/>
        <v>0</v>
      </c>
      <c r="DK126" s="109">
        <f t="shared" si="148"/>
        <v>0</v>
      </c>
      <c r="DL126" s="109"/>
      <c r="DM126" s="109"/>
      <c r="DN126" s="111"/>
      <c r="DO126" s="111"/>
      <c r="DP126" s="165"/>
      <c r="DQ126" s="109">
        <f t="shared" si="216"/>
        <v>0</v>
      </c>
      <c r="DR126" s="109">
        <f t="shared" si="217"/>
        <v>0</v>
      </c>
      <c r="DS126" s="109"/>
      <c r="DT126" s="109"/>
      <c r="DU126" s="111"/>
      <c r="DV126" s="111"/>
      <c r="DW126" s="165"/>
      <c r="DX126" s="109">
        <f t="shared" si="221"/>
        <v>0</v>
      </c>
      <c r="DY126" s="109">
        <f t="shared" si="222"/>
        <v>0</v>
      </c>
      <c r="DZ126" s="109"/>
      <c r="EA126" s="109"/>
      <c r="EB126" s="111"/>
      <c r="EC126" s="111"/>
      <c r="ED126" s="165"/>
      <c r="EE126" s="109">
        <f t="shared" si="227"/>
        <v>0</v>
      </c>
      <c r="EF126" s="109">
        <f t="shared" si="228"/>
        <v>0</v>
      </c>
      <c r="EG126" s="109"/>
      <c r="EH126" s="109"/>
      <c r="EI126" s="111"/>
      <c r="EJ126" s="111"/>
      <c r="EK126" s="165"/>
      <c r="EL126" s="109">
        <f t="shared" si="233"/>
        <v>0</v>
      </c>
      <c r="EM126" s="109">
        <f t="shared" si="234"/>
        <v>0</v>
      </c>
      <c r="EN126" s="109"/>
      <c r="EO126" s="109"/>
      <c r="EP126" s="111"/>
      <c r="EQ126" s="111"/>
      <c r="ER126" s="165"/>
      <c r="ES126" s="109">
        <f t="shared" si="239"/>
        <v>0</v>
      </c>
      <c r="ET126" s="109">
        <f t="shared" si="240"/>
        <v>0</v>
      </c>
      <c r="EU126" s="109"/>
      <c r="EV126" s="109"/>
      <c r="EW126" s="111"/>
      <c r="EX126" s="111"/>
      <c r="EY126" s="165"/>
      <c r="EZ126" s="109">
        <f t="shared" si="242"/>
        <v>0</v>
      </c>
      <c r="FA126" s="109">
        <f t="shared" si="243"/>
        <v>0</v>
      </c>
      <c r="FB126" s="109"/>
      <c r="FC126" s="109"/>
      <c r="FD126" s="111"/>
      <c r="FE126" s="111"/>
      <c r="FF126" s="165"/>
      <c r="FG126" s="109">
        <f t="shared" si="245"/>
        <v>0</v>
      </c>
      <c r="FH126" s="109">
        <f t="shared" si="246"/>
        <v>0</v>
      </c>
      <c r="FI126" s="109"/>
      <c r="FJ126" s="109"/>
      <c r="FK126" s="111"/>
      <c r="FL126" s="111"/>
      <c r="FM126" s="165"/>
      <c r="FN126" s="109">
        <f t="shared" si="248"/>
        <v>0</v>
      </c>
      <c r="FO126" s="109">
        <f t="shared" si="249"/>
        <v>0</v>
      </c>
      <c r="FP126" s="109"/>
      <c r="FQ126" s="109"/>
      <c r="FR126" s="111"/>
      <c r="FS126" s="111"/>
      <c r="FT126" s="165"/>
      <c r="FU126" s="109">
        <f t="shared" si="250"/>
        <v>0</v>
      </c>
      <c r="FV126" s="109">
        <f t="shared" si="276"/>
        <v>0</v>
      </c>
      <c r="FW126" s="109"/>
      <c r="FX126" s="109"/>
      <c r="FY126" s="111"/>
      <c r="FZ126" s="111"/>
      <c r="GA126" s="165"/>
      <c r="GB126" s="109">
        <f t="shared" si="251"/>
        <v>0</v>
      </c>
      <c r="GC126" s="109">
        <f t="shared" si="277"/>
        <v>0</v>
      </c>
      <c r="GD126" s="109"/>
      <c r="GE126" s="109"/>
      <c r="GF126" s="111"/>
      <c r="GG126" s="111"/>
      <c r="GH126" s="165"/>
      <c r="GI126" s="109">
        <f t="shared" si="252"/>
        <v>0</v>
      </c>
      <c r="GJ126" s="109">
        <f t="shared" si="278"/>
        <v>0</v>
      </c>
      <c r="GK126" s="109"/>
      <c r="GL126" s="109"/>
      <c r="GM126" s="111"/>
      <c r="GN126" s="111"/>
      <c r="GO126" s="165"/>
      <c r="GP126" s="109">
        <f t="shared" si="253"/>
        <v>0</v>
      </c>
      <c r="GQ126" s="109">
        <f t="shared" si="279"/>
        <v>0</v>
      </c>
      <c r="GR126" s="109"/>
      <c r="GS126" s="109"/>
      <c r="GT126" s="111"/>
      <c r="GU126" s="111"/>
      <c r="GV126" s="165"/>
      <c r="GW126" s="168">
        <f t="shared" si="254"/>
        <v>0</v>
      </c>
      <c r="GX126" s="168">
        <f t="shared" si="280"/>
        <v>0</v>
      </c>
      <c r="GY126" s="168"/>
      <c r="GZ126" s="168"/>
      <c r="HA126" s="111"/>
      <c r="HB126" s="111"/>
      <c r="HC126" s="165"/>
      <c r="HD126" s="109">
        <f t="shared" si="255"/>
        <v>0</v>
      </c>
      <c r="HE126" s="109">
        <f t="shared" si="281"/>
        <v>0</v>
      </c>
      <c r="HF126" s="109"/>
      <c r="HG126" s="109"/>
      <c r="HH126" s="111"/>
      <c r="HI126" s="111"/>
      <c r="HJ126" s="165"/>
      <c r="HK126" s="109">
        <f t="shared" si="256"/>
        <v>0</v>
      </c>
      <c r="HL126" s="109">
        <f t="shared" si="282"/>
        <v>0</v>
      </c>
      <c r="HM126" s="109"/>
      <c r="HN126" s="109"/>
      <c r="HO126" s="111"/>
      <c r="HP126" s="111"/>
      <c r="HQ126" s="165"/>
      <c r="HR126" s="109">
        <f t="shared" si="257"/>
        <v>0</v>
      </c>
      <c r="HS126" s="109">
        <f t="shared" si="283"/>
        <v>0</v>
      </c>
      <c r="HT126" s="109"/>
      <c r="HU126" s="109"/>
      <c r="HV126" s="111"/>
      <c r="HW126" s="111"/>
      <c r="HX126" s="105">
        <f t="shared" si="198"/>
        <v>0</v>
      </c>
      <c r="HY126" s="105">
        <f t="shared" si="198"/>
        <v>0</v>
      </c>
      <c r="HZ126" s="105">
        <f t="shared" si="198"/>
        <v>0</v>
      </c>
      <c r="IA126" s="105">
        <f t="shared" si="181"/>
        <v>0</v>
      </c>
      <c r="IB126" s="109">
        <f t="shared" si="182"/>
        <v>0</v>
      </c>
      <c r="IC126" s="109">
        <f t="shared" si="183"/>
        <v>0</v>
      </c>
      <c r="ID126" s="109">
        <f t="shared" si="184"/>
        <v>0</v>
      </c>
      <c r="IE126" s="109">
        <f t="shared" si="185"/>
        <v>0</v>
      </c>
      <c r="IF126" s="197"/>
      <c r="IG126" s="197"/>
      <c r="IH126" s="197"/>
      <c r="II126" s="197"/>
      <c r="IJ126" s="197"/>
      <c r="IK126" s="197"/>
      <c r="IL126" s="197"/>
      <c r="IM126" s="171"/>
      <c r="IN126" s="171"/>
      <c r="IO126" s="171"/>
      <c r="IP126" s="171"/>
    </row>
    <row r="127" spans="1:250" ht="15" customHeight="1" x14ac:dyDescent="0.3">
      <c r="A127" s="110">
        <f t="shared" si="192"/>
        <v>123</v>
      </c>
      <c r="B127" s="111"/>
      <c r="C127" s="111"/>
      <c r="D127" s="111"/>
      <c r="E127" s="111"/>
      <c r="F127" s="111"/>
      <c r="G127" s="111"/>
      <c r="H127" s="111"/>
      <c r="I127" s="194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75"/>
      <c r="AI127" s="111"/>
      <c r="AJ127" s="111"/>
      <c r="AK127" s="111"/>
      <c r="AL127" s="177"/>
      <c r="AM127" s="176"/>
      <c r="AN127" s="177"/>
      <c r="AO127" s="157"/>
      <c r="AP127" s="158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75"/>
      <c r="BM127" s="111"/>
      <c r="BN127" s="111"/>
      <c r="BO127" s="111"/>
      <c r="BP127" s="111"/>
      <c r="BQ127" s="111"/>
      <c r="BR127" s="111"/>
      <c r="BS127" s="111"/>
      <c r="BT127" s="111"/>
      <c r="BU127" s="111"/>
      <c r="BV127" s="111"/>
      <c r="BW127" s="111"/>
      <c r="BX127" s="111"/>
      <c r="BY127" s="111"/>
      <c r="BZ127" s="111"/>
      <c r="CA127" s="111"/>
      <c r="CB127" s="111"/>
      <c r="CC127" s="178"/>
      <c r="CD127" s="177">
        <f t="shared" si="127"/>
        <v>0</v>
      </c>
      <c r="CE127" s="148"/>
      <c r="CF127" s="111">
        <f t="shared" si="128"/>
        <v>0</v>
      </c>
      <c r="CG127" s="177"/>
      <c r="CH127" s="204"/>
      <c r="CI127" s="148"/>
      <c r="CJ127" s="165"/>
      <c r="CK127" s="165"/>
      <c r="CL127" s="111"/>
      <c r="CM127" s="111"/>
      <c r="CN127" s="165">
        <f t="shared" si="131"/>
        <v>0</v>
      </c>
      <c r="CO127" s="109">
        <f t="shared" si="132"/>
        <v>0</v>
      </c>
      <c r="CP127" s="109">
        <f t="shared" si="133"/>
        <v>0</v>
      </c>
      <c r="CQ127" s="109"/>
      <c r="CR127" s="109"/>
      <c r="CS127" s="196"/>
      <c r="CT127" s="167"/>
      <c r="CU127" s="165"/>
      <c r="CV127" s="109">
        <f t="shared" si="137"/>
        <v>0</v>
      </c>
      <c r="CW127" s="109">
        <f t="shared" si="138"/>
        <v>0</v>
      </c>
      <c r="CX127" s="109"/>
      <c r="CY127" s="109"/>
      <c r="CZ127" s="111"/>
      <c r="DA127" s="111"/>
      <c r="DB127" s="165"/>
      <c r="DC127" s="109">
        <f t="shared" si="142"/>
        <v>0</v>
      </c>
      <c r="DD127" s="109">
        <f t="shared" si="143"/>
        <v>0</v>
      </c>
      <c r="DE127" s="109"/>
      <c r="DF127" s="109"/>
      <c r="DG127" s="111"/>
      <c r="DH127" s="111"/>
      <c r="DI127" s="165"/>
      <c r="DJ127" s="109">
        <f t="shared" si="147"/>
        <v>0</v>
      </c>
      <c r="DK127" s="109">
        <f t="shared" si="148"/>
        <v>0</v>
      </c>
      <c r="DL127" s="109"/>
      <c r="DM127" s="109"/>
      <c r="DN127" s="111"/>
      <c r="DO127" s="111"/>
      <c r="DP127" s="165"/>
      <c r="DQ127" s="109">
        <f t="shared" si="216"/>
        <v>0</v>
      </c>
      <c r="DR127" s="109">
        <f t="shared" si="217"/>
        <v>0</v>
      </c>
      <c r="DS127" s="109"/>
      <c r="DT127" s="109"/>
      <c r="DU127" s="111"/>
      <c r="DV127" s="111"/>
      <c r="DW127" s="165"/>
      <c r="DX127" s="109">
        <f t="shared" si="221"/>
        <v>0</v>
      </c>
      <c r="DY127" s="109">
        <f t="shared" si="222"/>
        <v>0</v>
      </c>
      <c r="DZ127" s="109"/>
      <c r="EA127" s="109"/>
      <c r="EB127" s="111"/>
      <c r="EC127" s="111"/>
      <c r="ED127" s="165"/>
      <c r="EE127" s="109">
        <f t="shared" si="227"/>
        <v>0</v>
      </c>
      <c r="EF127" s="109">
        <f t="shared" si="228"/>
        <v>0</v>
      </c>
      <c r="EG127" s="109"/>
      <c r="EH127" s="109"/>
      <c r="EI127" s="111"/>
      <c r="EJ127" s="111"/>
      <c r="EK127" s="165"/>
      <c r="EL127" s="109">
        <f t="shared" si="233"/>
        <v>0</v>
      </c>
      <c r="EM127" s="109">
        <f t="shared" si="234"/>
        <v>0</v>
      </c>
      <c r="EN127" s="109"/>
      <c r="EO127" s="109"/>
      <c r="EP127" s="111"/>
      <c r="EQ127" s="111"/>
      <c r="ER127" s="165"/>
      <c r="ES127" s="109">
        <f t="shared" si="239"/>
        <v>0</v>
      </c>
      <c r="ET127" s="109">
        <f t="shared" si="240"/>
        <v>0</v>
      </c>
      <c r="EU127" s="109"/>
      <c r="EV127" s="109"/>
      <c r="EW127" s="111"/>
      <c r="EX127" s="111"/>
      <c r="EY127" s="165"/>
      <c r="EZ127" s="109">
        <f t="shared" si="242"/>
        <v>0</v>
      </c>
      <c r="FA127" s="109">
        <f t="shared" si="243"/>
        <v>0</v>
      </c>
      <c r="FB127" s="109"/>
      <c r="FC127" s="109"/>
      <c r="FD127" s="111"/>
      <c r="FE127" s="111"/>
      <c r="FF127" s="165"/>
      <c r="FG127" s="109">
        <f t="shared" si="245"/>
        <v>0</v>
      </c>
      <c r="FH127" s="109">
        <f t="shared" si="246"/>
        <v>0</v>
      </c>
      <c r="FI127" s="109"/>
      <c r="FJ127" s="109"/>
      <c r="FK127" s="111"/>
      <c r="FL127" s="111"/>
      <c r="FM127" s="165"/>
      <c r="FN127" s="109">
        <f t="shared" si="248"/>
        <v>0</v>
      </c>
      <c r="FO127" s="109">
        <f t="shared" si="249"/>
        <v>0</v>
      </c>
      <c r="FP127" s="109"/>
      <c r="FQ127" s="109"/>
      <c r="FR127" s="111"/>
      <c r="FS127" s="111"/>
      <c r="FT127" s="165"/>
      <c r="FU127" s="109">
        <f t="shared" si="250"/>
        <v>0</v>
      </c>
      <c r="FV127" s="109">
        <f t="shared" si="276"/>
        <v>0</v>
      </c>
      <c r="FW127" s="109"/>
      <c r="FX127" s="109"/>
      <c r="FY127" s="111"/>
      <c r="FZ127" s="111"/>
      <c r="GA127" s="165"/>
      <c r="GB127" s="109">
        <f t="shared" si="251"/>
        <v>0</v>
      </c>
      <c r="GC127" s="109">
        <f t="shared" si="277"/>
        <v>0</v>
      </c>
      <c r="GD127" s="109"/>
      <c r="GE127" s="109"/>
      <c r="GF127" s="111"/>
      <c r="GG127" s="111"/>
      <c r="GH127" s="165"/>
      <c r="GI127" s="109">
        <f t="shared" si="252"/>
        <v>0</v>
      </c>
      <c r="GJ127" s="109">
        <f t="shared" si="278"/>
        <v>0</v>
      </c>
      <c r="GK127" s="109"/>
      <c r="GL127" s="109"/>
      <c r="GM127" s="111"/>
      <c r="GN127" s="111"/>
      <c r="GO127" s="165"/>
      <c r="GP127" s="109">
        <f t="shared" si="253"/>
        <v>0</v>
      </c>
      <c r="GQ127" s="109">
        <f t="shared" si="279"/>
        <v>0</v>
      </c>
      <c r="GR127" s="109"/>
      <c r="GS127" s="109"/>
      <c r="GT127" s="111"/>
      <c r="GU127" s="111"/>
      <c r="GV127" s="165"/>
      <c r="GW127" s="168">
        <f t="shared" si="254"/>
        <v>0</v>
      </c>
      <c r="GX127" s="168">
        <f t="shared" si="280"/>
        <v>0</v>
      </c>
      <c r="GY127" s="168"/>
      <c r="GZ127" s="168"/>
      <c r="HA127" s="111"/>
      <c r="HB127" s="111"/>
      <c r="HC127" s="165"/>
      <c r="HD127" s="109">
        <f t="shared" si="255"/>
        <v>0</v>
      </c>
      <c r="HE127" s="109">
        <f t="shared" si="281"/>
        <v>0</v>
      </c>
      <c r="HF127" s="109"/>
      <c r="HG127" s="109"/>
      <c r="HH127" s="111"/>
      <c r="HI127" s="111"/>
      <c r="HJ127" s="165"/>
      <c r="HK127" s="109">
        <f t="shared" si="256"/>
        <v>0</v>
      </c>
      <c r="HL127" s="109">
        <f t="shared" si="282"/>
        <v>0</v>
      </c>
      <c r="HM127" s="109"/>
      <c r="HN127" s="109"/>
      <c r="HO127" s="111"/>
      <c r="HP127" s="111"/>
      <c r="HQ127" s="165"/>
      <c r="HR127" s="109">
        <f t="shared" si="257"/>
        <v>0</v>
      </c>
      <c r="HS127" s="109">
        <f t="shared" si="283"/>
        <v>0</v>
      </c>
      <c r="HT127" s="109"/>
      <c r="HU127" s="109"/>
      <c r="HV127" s="111"/>
      <c r="HW127" s="111"/>
      <c r="HX127" s="105">
        <f t="shared" si="198"/>
        <v>0</v>
      </c>
      <c r="HY127" s="105">
        <f t="shared" si="198"/>
        <v>0</v>
      </c>
      <c r="HZ127" s="105">
        <f t="shared" si="198"/>
        <v>0</v>
      </c>
      <c r="IA127" s="105">
        <f t="shared" si="181"/>
        <v>0</v>
      </c>
      <c r="IB127" s="109">
        <f t="shared" si="182"/>
        <v>0</v>
      </c>
      <c r="IC127" s="109">
        <f t="shared" si="183"/>
        <v>0</v>
      </c>
      <c r="ID127" s="109">
        <f t="shared" si="184"/>
        <v>0</v>
      </c>
      <c r="IE127" s="109">
        <f t="shared" si="185"/>
        <v>0</v>
      </c>
      <c r="IF127" s="197"/>
      <c r="IG127" s="197"/>
      <c r="IH127" s="197"/>
      <c r="II127" s="197"/>
      <c r="IJ127" s="197"/>
      <c r="IK127" s="197"/>
      <c r="IL127" s="197"/>
      <c r="IM127" s="171"/>
      <c r="IN127" s="171"/>
      <c r="IO127" s="171"/>
      <c r="IP127" s="171"/>
    </row>
    <row r="128" spans="1:250" ht="15" customHeight="1" x14ac:dyDescent="0.3">
      <c r="A128" s="110">
        <f t="shared" si="192"/>
        <v>124</v>
      </c>
      <c r="B128" s="111"/>
      <c r="C128" s="111"/>
      <c r="D128" s="111"/>
      <c r="E128" s="111"/>
      <c r="F128" s="111"/>
      <c r="G128" s="111"/>
      <c r="H128" s="111"/>
      <c r="I128" s="194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75"/>
      <c r="AI128" s="111"/>
      <c r="AJ128" s="111"/>
      <c r="AK128" s="111"/>
      <c r="AL128" s="177"/>
      <c r="AM128" s="176"/>
      <c r="AN128" s="177"/>
      <c r="AO128" s="157"/>
      <c r="AP128" s="158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75"/>
      <c r="BM128" s="111"/>
      <c r="BN128" s="111"/>
      <c r="BO128" s="111"/>
      <c r="BP128" s="111"/>
      <c r="BQ128" s="111"/>
      <c r="BR128" s="111"/>
      <c r="BS128" s="111"/>
      <c r="BT128" s="111"/>
      <c r="BU128" s="111"/>
      <c r="BV128" s="111"/>
      <c r="BW128" s="111"/>
      <c r="BX128" s="111"/>
      <c r="BY128" s="111"/>
      <c r="BZ128" s="111"/>
      <c r="CA128" s="111"/>
      <c r="CB128" s="111"/>
      <c r="CC128" s="178"/>
      <c r="CD128" s="177">
        <f t="shared" si="127"/>
        <v>0</v>
      </c>
      <c r="CE128" s="148"/>
      <c r="CF128" s="111">
        <f t="shared" si="128"/>
        <v>0</v>
      </c>
      <c r="CG128" s="177"/>
      <c r="CH128" s="204"/>
      <c r="CI128" s="148"/>
      <c r="CJ128" s="165"/>
      <c r="CK128" s="165"/>
      <c r="CL128" s="111"/>
      <c r="CM128" s="111"/>
      <c r="CN128" s="165">
        <f t="shared" si="131"/>
        <v>0</v>
      </c>
      <c r="CO128" s="109">
        <f t="shared" si="132"/>
        <v>0</v>
      </c>
      <c r="CP128" s="109">
        <f t="shared" si="133"/>
        <v>0</v>
      </c>
      <c r="CQ128" s="109"/>
      <c r="CR128" s="109"/>
      <c r="CS128" s="196"/>
      <c r="CT128" s="167"/>
      <c r="CU128" s="165"/>
      <c r="CV128" s="109">
        <f t="shared" si="137"/>
        <v>0</v>
      </c>
      <c r="CW128" s="109">
        <f t="shared" si="138"/>
        <v>0</v>
      </c>
      <c r="CX128" s="109"/>
      <c r="CY128" s="109"/>
      <c r="CZ128" s="111"/>
      <c r="DA128" s="111"/>
      <c r="DB128" s="165"/>
      <c r="DC128" s="109">
        <f t="shared" si="142"/>
        <v>0</v>
      </c>
      <c r="DD128" s="109">
        <f t="shared" si="143"/>
        <v>0</v>
      </c>
      <c r="DE128" s="109"/>
      <c r="DF128" s="109"/>
      <c r="DG128" s="111"/>
      <c r="DH128" s="111"/>
      <c r="DI128" s="165"/>
      <c r="DJ128" s="109">
        <f t="shared" si="147"/>
        <v>0</v>
      </c>
      <c r="DK128" s="109">
        <f t="shared" si="148"/>
        <v>0</v>
      </c>
      <c r="DL128" s="109"/>
      <c r="DM128" s="109"/>
      <c r="DN128" s="111"/>
      <c r="DO128" s="111"/>
      <c r="DP128" s="165"/>
      <c r="DQ128" s="109">
        <f t="shared" si="216"/>
        <v>0</v>
      </c>
      <c r="DR128" s="109">
        <f t="shared" si="217"/>
        <v>0</v>
      </c>
      <c r="DS128" s="109"/>
      <c r="DT128" s="109"/>
      <c r="DU128" s="111"/>
      <c r="DV128" s="111"/>
      <c r="DW128" s="165"/>
      <c r="DX128" s="109">
        <f t="shared" si="221"/>
        <v>0</v>
      </c>
      <c r="DY128" s="109">
        <f t="shared" si="222"/>
        <v>0</v>
      </c>
      <c r="DZ128" s="109"/>
      <c r="EA128" s="109"/>
      <c r="EB128" s="111"/>
      <c r="EC128" s="111"/>
      <c r="ED128" s="165"/>
      <c r="EE128" s="109">
        <f t="shared" si="227"/>
        <v>0</v>
      </c>
      <c r="EF128" s="109">
        <f t="shared" si="228"/>
        <v>0</v>
      </c>
      <c r="EG128" s="109"/>
      <c r="EH128" s="109"/>
      <c r="EI128" s="111"/>
      <c r="EJ128" s="111"/>
      <c r="EK128" s="165"/>
      <c r="EL128" s="109">
        <f t="shared" si="233"/>
        <v>0</v>
      </c>
      <c r="EM128" s="109">
        <f t="shared" si="234"/>
        <v>0</v>
      </c>
      <c r="EN128" s="109"/>
      <c r="EO128" s="109"/>
      <c r="EP128" s="111"/>
      <c r="EQ128" s="111"/>
      <c r="ER128" s="165"/>
      <c r="ES128" s="109">
        <f t="shared" si="239"/>
        <v>0</v>
      </c>
      <c r="ET128" s="109">
        <f t="shared" si="240"/>
        <v>0</v>
      </c>
      <c r="EU128" s="109"/>
      <c r="EV128" s="109"/>
      <c r="EW128" s="111"/>
      <c r="EX128" s="111"/>
      <c r="EY128" s="165"/>
      <c r="EZ128" s="109">
        <f t="shared" si="242"/>
        <v>0</v>
      </c>
      <c r="FA128" s="109">
        <f t="shared" si="243"/>
        <v>0</v>
      </c>
      <c r="FB128" s="109"/>
      <c r="FC128" s="109"/>
      <c r="FD128" s="111"/>
      <c r="FE128" s="111"/>
      <c r="FF128" s="165"/>
      <c r="FG128" s="109">
        <f t="shared" si="245"/>
        <v>0</v>
      </c>
      <c r="FH128" s="109">
        <f t="shared" si="246"/>
        <v>0</v>
      </c>
      <c r="FI128" s="109"/>
      <c r="FJ128" s="109"/>
      <c r="FK128" s="111"/>
      <c r="FL128" s="111"/>
      <c r="FM128" s="165"/>
      <c r="FN128" s="109">
        <f t="shared" si="248"/>
        <v>0</v>
      </c>
      <c r="FO128" s="109">
        <f t="shared" si="249"/>
        <v>0</v>
      </c>
      <c r="FP128" s="109"/>
      <c r="FQ128" s="109"/>
      <c r="FR128" s="111"/>
      <c r="FS128" s="111"/>
      <c r="FT128" s="165"/>
      <c r="FU128" s="109">
        <f t="shared" si="250"/>
        <v>0</v>
      </c>
      <c r="FV128" s="109">
        <f t="shared" si="276"/>
        <v>0</v>
      </c>
      <c r="FW128" s="109"/>
      <c r="FX128" s="109"/>
      <c r="FY128" s="111"/>
      <c r="FZ128" s="111"/>
      <c r="GA128" s="165"/>
      <c r="GB128" s="109">
        <f t="shared" si="251"/>
        <v>0</v>
      </c>
      <c r="GC128" s="109">
        <f t="shared" si="277"/>
        <v>0</v>
      </c>
      <c r="GD128" s="109"/>
      <c r="GE128" s="109"/>
      <c r="GF128" s="111"/>
      <c r="GG128" s="111"/>
      <c r="GH128" s="165"/>
      <c r="GI128" s="109">
        <f t="shared" si="252"/>
        <v>0</v>
      </c>
      <c r="GJ128" s="109">
        <f t="shared" si="278"/>
        <v>0</v>
      </c>
      <c r="GK128" s="109"/>
      <c r="GL128" s="109"/>
      <c r="GM128" s="111"/>
      <c r="GN128" s="111"/>
      <c r="GO128" s="165"/>
      <c r="GP128" s="109">
        <f t="shared" si="253"/>
        <v>0</v>
      </c>
      <c r="GQ128" s="109">
        <f t="shared" si="279"/>
        <v>0</v>
      </c>
      <c r="GR128" s="109"/>
      <c r="GS128" s="109"/>
      <c r="GT128" s="111"/>
      <c r="GU128" s="111"/>
      <c r="GV128" s="165"/>
      <c r="GW128" s="168">
        <f t="shared" si="254"/>
        <v>0</v>
      </c>
      <c r="GX128" s="168">
        <f t="shared" si="280"/>
        <v>0</v>
      </c>
      <c r="GY128" s="168"/>
      <c r="GZ128" s="168"/>
      <c r="HA128" s="111"/>
      <c r="HB128" s="111"/>
      <c r="HC128" s="165"/>
      <c r="HD128" s="109">
        <f t="shared" si="255"/>
        <v>0</v>
      </c>
      <c r="HE128" s="109">
        <f t="shared" si="281"/>
        <v>0</v>
      </c>
      <c r="HF128" s="109"/>
      <c r="HG128" s="109"/>
      <c r="HH128" s="111"/>
      <c r="HI128" s="111"/>
      <c r="HJ128" s="165"/>
      <c r="HK128" s="109">
        <f t="shared" si="256"/>
        <v>0</v>
      </c>
      <c r="HL128" s="109">
        <f t="shared" si="282"/>
        <v>0</v>
      </c>
      <c r="HM128" s="109"/>
      <c r="HN128" s="109"/>
      <c r="HO128" s="111"/>
      <c r="HP128" s="111"/>
      <c r="HQ128" s="165"/>
      <c r="HR128" s="109">
        <f t="shared" si="257"/>
        <v>0</v>
      </c>
      <c r="HS128" s="109">
        <f t="shared" si="283"/>
        <v>0</v>
      </c>
      <c r="HT128" s="109"/>
      <c r="HU128" s="109"/>
      <c r="HV128" s="111"/>
      <c r="HW128" s="111"/>
      <c r="HX128" s="105">
        <f t="shared" si="198"/>
        <v>0</v>
      </c>
      <c r="HY128" s="105">
        <f t="shared" si="198"/>
        <v>0</v>
      </c>
      <c r="HZ128" s="105">
        <f t="shared" si="198"/>
        <v>0</v>
      </c>
      <c r="IA128" s="105">
        <f t="shared" si="181"/>
        <v>0</v>
      </c>
      <c r="IB128" s="109">
        <f t="shared" si="182"/>
        <v>0</v>
      </c>
      <c r="IC128" s="109">
        <f t="shared" si="183"/>
        <v>0</v>
      </c>
      <c r="ID128" s="109">
        <f t="shared" si="184"/>
        <v>0</v>
      </c>
      <c r="IE128" s="109">
        <f t="shared" si="185"/>
        <v>0</v>
      </c>
      <c r="IF128" s="197"/>
      <c r="IG128" s="197"/>
      <c r="IH128" s="197"/>
      <c r="II128" s="197"/>
      <c r="IJ128" s="197"/>
      <c r="IK128" s="197"/>
      <c r="IL128" s="197"/>
      <c r="IM128" s="171"/>
      <c r="IN128" s="171"/>
      <c r="IO128" s="171"/>
      <c r="IP128" s="171"/>
    </row>
    <row r="129" spans="1:250" ht="15" customHeight="1" x14ac:dyDescent="0.3">
      <c r="A129" s="110">
        <f t="shared" si="192"/>
        <v>125</v>
      </c>
      <c r="B129" s="111"/>
      <c r="C129" s="111"/>
      <c r="D129" s="111"/>
      <c r="E129" s="111"/>
      <c r="F129" s="111"/>
      <c r="G129" s="111"/>
      <c r="H129" s="111"/>
      <c r="I129" s="194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75"/>
      <c r="AI129" s="111"/>
      <c r="AJ129" s="111"/>
      <c r="AK129" s="111"/>
      <c r="AL129" s="177"/>
      <c r="AM129" s="176"/>
      <c r="AN129" s="177"/>
      <c r="AO129" s="157"/>
      <c r="AP129" s="158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75"/>
      <c r="BM129" s="111"/>
      <c r="BN129" s="111"/>
      <c r="BO129" s="111"/>
      <c r="BP129" s="111"/>
      <c r="BQ129" s="111"/>
      <c r="BR129" s="111"/>
      <c r="BS129" s="111"/>
      <c r="BT129" s="111"/>
      <c r="BU129" s="111"/>
      <c r="BV129" s="111"/>
      <c r="BW129" s="111"/>
      <c r="BX129" s="111"/>
      <c r="BY129" s="111"/>
      <c r="BZ129" s="111"/>
      <c r="CA129" s="111"/>
      <c r="CB129" s="111"/>
      <c r="CC129" s="178"/>
      <c r="CD129" s="177">
        <f t="shared" si="127"/>
        <v>0</v>
      </c>
      <c r="CE129" s="148"/>
      <c r="CF129" s="111">
        <f t="shared" si="128"/>
        <v>0</v>
      </c>
      <c r="CG129" s="177"/>
      <c r="CH129" s="204"/>
      <c r="CI129" s="148"/>
      <c r="CJ129" s="165"/>
      <c r="CK129" s="165"/>
      <c r="CL129" s="111"/>
      <c r="CM129" s="111"/>
      <c r="CN129" s="165">
        <f t="shared" si="131"/>
        <v>0</v>
      </c>
      <c r="CO129" s="109">
        <f t="shared" si="132"/>
        <v>0</v>
      </c>
      <c r="CP129" s="109">
        <f t="shared" si="133"/>
        <v>0</v>
      </c>
      <c r="CQ129" s="109"/>
      <c r="CR129" s="109"/>
      <c r="CS129" s="196"/>
      <c r="CT129" s="167"/>
      <c r="CU129" s="165"/>
      <c r="CV129" s="109">
        <f t="shared" si="137"/>
        <v>0</v>
      </c>
      <c r="CW129" s="109">
        <f t="shared" si="138"/>
        <v>0</v>
      </c>
      <c r="CX129" s="109"/>
      <c r="CY129" s="109"/>
      <c r="CZ129" s="111"/>
      <c r="DA129" s="111"/>
      <c r="DB129" s="165"/>
      <c r="DC129" s="109">
        <f t="shared" si="142"/>
        <v>0</v>
      </c>
      <c r="DD129" s="109">
        <f t="shared" si="143"/>
        <v>0</v>
      </c>
      <c r="DE129" s="109"/>
      <c r="DF129" s="109"/>
      <c r="DG129" s="111"/>
      <c r="DH129" s="111"/>
      <c r="DI129" s="165"/>
      <c r="DJ129" s="109">
        <f t="shared" si="147"/>
        <v>0</v>
      </c>
      <c r="DK129" s="109">
        <f t="shared" si="148"/>
        <v>0</v>
      </c>
      <c r="DL129" s="109"/>
      <c r="DM129" s="109"/>
      <c r="DN129" s="111"/>
      <c r="DO129" s="111"/>
      <c r="DP129" s="165"/>
      <c r="DQ129" s="109">
        <f t="shared" si="216"/>
        <v>0</v>
      </c>
      <c r="DR129" s="109">
        <f t="shared" si="217"/>
        <v>0</v>
      </c>
      <c r="DS129" s="109"/>
      <c r="DT129" s="109"/>
      <c r="DU129" s="111"/>
      <c r="DV129" s="111"/>
      <c r="DW129" s="165"/>
      <c r="DX129" s="109">
        <f t="shared" si="221"/>
        <v>0</v>
      </c>
      <c r="DY129" s="109">
        <f t="shared" si="222"/>
        <v>0</v>
      </c>
      <c r="DZ129" s="109"/>
      <c r="EA129" s="109"/>
      <c r="EB129" s="111"/>
      <c r="EC129" s="111"/>
      <c r="ED129" s="165"/>
      <c r="EE129" s="109">
        <f t="shared" si="227"/>
        <v>0</v>
      </c>
      <c r="EF129" s="109">
        <f t="shared" si="228"/>
        <v>0</v>
      </c>
      <c r="EG129" s="109"/>
      <c r="EH129" s="109"/>
      <c r="EI129" s="111"/>
      <c r="EJ129" s="111"/>
      <c r="EK129" s="165"/>
      <c r="EL129" s="109">
        <f t="shared" si="233"/>
        <v>0</v>
      </c>
      <c r="EM129" s="109">
        <f t="shared" si="234"/>
        <v>0</v>
      </c>
      <c r="EN129" s="109"/>
      <c r="EO129" s="109"/>
      <c r="EP129" s="111"/>
      <c r="EQ129" s="111"/>
      <c r="ER129" s="165"/>
      <c r="ES129" s="109">
        <f t="shared" si="239"/>
        <v>0</v>
      </c>
      <c r="ET129" s="109">
        <f t="shared" si="240"/>
        <v>0</v>
      </c>
      <c r="EU129" s="109"/>
      <c r="EV129" s="109"/>
      <c r="EW129" s="111"/>
      <c r="EX129" s="111"/>
      <c r="EY129" s="165"/>
      <c r="EZ129" s="109">
        <f t="shared" si="242"/>
        <v>0</v>
      </c>
      <c r="FA129" s="109">
        <f t="shared" si="243"/>
        <v>0</v>
      </c>
      <c r="FB129" s="109"/>
      <c r="FC129" s="109"/>
      <c r="FD129" s="111"/>
      <c r="FE129" s="111"/>
      <c r="FF129" s="165"/>
      <c r="FG129" s="109">
        <f t="shared" si="245"/>
        <v>0</v>
      </c>
      <c r="FH129" s="109">
        <f t="shared" si="246"/>
        <v>0</v>
      </c>
      <c r="FI129" s="109"/>
      <c r="FJ129" s="109"/>
      <c r="FK129" s="111"/>
      <c r="FL129" s="111"/>
      <c r="FM129" s="165"/>
      <c r="FN129" s="109">
        <f t="shared" si="248"/>
        <v>0</v>
      </c>
      <c r="FO129" s="109">
        <f t="shared" si="249"/>
        <v>0</v>
      </c>
      <c r="FP129" s="109"/>
      <c r="FQ129" s="109"/>
      <c r="FR129" s="111"/>
      <c r="FS129" s="111"/>
      <c r="FT129" s="165"/>
      <c r="FU129" s="109">
        <f t="shared" si="250"/>
        <v>0</v>
      </c>
      <c r="FV129" s="109">
        <f t="shared" si="276"/>
        <v>0</v>
      </c>
      <c r="FW129" s="109"/>
      <c r="FX129" s="109"/>
      <c r="FY129" s="111"/>
      <c r="FZ129" s="111"/>
      <c r="GA129" s="165"/>
      <c r="GB129" s="109">
        <f t="shared" si="251"/>
        <v>0</v>
      </c>
      <c r="GC129" s="109">
        <f t="shared" si="277"/>
        <v>0</v>
      </c>
      <c r="GD129" s="109"/>
      <c r="GE129" s="109"/>
      <c r="GF129" s="111"/>
      <c r="GG129" s="111"/>
      <c r="GH129" s="165"/>
      <c r="GI129" s="109">
        <f t="shared" si="252"/>
        <v>0</v>
      </c>
      <c r="GJ129" s="109">
        <f t="shared" si="278"/>
        <v>0</v>
      </c>
      <c r="GK129" s="109"/>
      <c r="GL129" s="109"/>
      <c r="GM129" s="111"/>
      <c r="GN129" s="111"/>
      <c r="GO129" s="165"/>
      <c r="GP129" s="109">
        <f t="shared" si="253"/>
        <v>0</v>
      </c>
      <c r="GQ129" s="109">
        <f t="shared" si="279"/>
        <v>0</v>
      </c>
      <c r="GR129" s="109"/>
      <c r="GS129" s="109"/>
      <c r="GT129" s="111"/>
      <c r="GU129" s="111"/>
      <c r="GV129" s="165"/>
      <c r="GW129" s="168">
        <f t="shared" si="254"/>
        <v>0</v>
      </c>
      <c r="GX129" s="168">
        <f t="shared" si="280"/>
        <v>0</v>
      </c>
      <c r="GY129" s="168"/>
      <c r="GZ129" s="168"/>
      <c r="HA129" s="111"/>
      <c r="HB129" s="111"/>
      <c r="HC129" s="165"/>
      <c r="HD129" s="109">
        <f t="shared" si="255"/>
        <v>0</v>
      </c>
      <c r="HE129" s="109">
        <f t="shared" si="281"/>
        <v>0</v>
      </c>
      <c r="HF129" s="109"/>
      <c r="HG129" s="109"/>
      <c r="HH129" s="111"/>
      <c r="HI129" s="111"/>
      <c r="HJ129" s="165"/>
      <c r="HK129" s="109">
        <f t="shared" si="256"/>
        <v>0</v>
      </c>
      <c r="HL129" s="109">
        <f t="shared" si="282"/>
        <v>0</v>
      </c>
      <c r="HM129" s="109"/>
      <c r="HN129" s="109"/>
      <c r="HO129" s="111"/>
      <c r="HP129" s="111"/>
      <c r="HQ129" s="165"/>
      <c r="HR129" s="109">
        <f t="shared" si="257"/>
        <v>0</v>
      </c>
      <c r="HS129" s="109">
        <f t="shared" si="283"/>
        <v>0</v>
      </c>
      <c r="HT129" s="109"/>
      <c r="HU129" s="109"/>
      <c r="HV129" s="111"/>
      <c r="HW129" s="111"/>
      <c r="HX129" s="105">
        <f t="shared" si="198"/>
        <v>0</v>
      </c>
      <c r="HY129" s="105">
        <f t="shared" si="198"/>
        <v>0</v>
      </c>
      <c r="HZ129" s="105">
        <f t="shared" si="198"/>
        <v>0</v>
      </c>
      <c r="IA129" s="105">
        <f t="shared" si="181"/>
        <v>0</v>
      </c>
      <c r="IB129" s="109">
        <f t="shared" si="182"/>
        <v>0</v>
      </c>
      <c r="IC129" s="109">
        <f t="shared" si="183"/>
        <v>0</v>
      </c>
      <c r="ID129" s="109">
        <f t="shared" si="184"/>
        <v>0</v>
      </c>
      <c r="IE129" s="109">
        <f t="shared" si="185"/>
        <v>0</v>
      </c>
      <c r="IF129" s="197"/>
      <c r="IG129" s="197"/>
      <c r="IH129" s="197"/>
      <c r="II129" s="197"/>
      <c r="IJ129" s="197"/>
      <c r="IK129" s="197"/>
      <c r="IL129" s="197"/>
      <c r="IM129" s="171"/>
      <c r="IN129" s="171"/>
      <c r="IO129" s="171"/>
      <c r="IP129" s="171"/>
    </row>
    <row r="130" spans="1:250" ht="15" customHeight="1" x14ac:dyDescent="0.3">
      <c r="A130" s="110">
        <f t="shared" si="192"/>
        <v>126</v>
      </c>
      <c r="B130" s="111"/>
      <c r="C130" s="111"/>
      <c r="D130" s="111"/>
      <c r="E130" s="111"/>
      <c r="F130" s="111"/>
      <c r="G130" s="111"/>
      <c r="H130" s="111"/>
      <c r="I130" s="194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75"/>
      <c r="AI130" s="111"/>
      <c r="AJ130" s="111"/>
      <c r="AK130" s="111"/>
      <c r="AL130" s="177"/>
      <c r="AM130" s="176"/>
      <c r="AN130" s="177"/>
      <c r="AO130" s="157"/>
      <c r="AP130" s="158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75"/>
      <c r="BM130" s="111"/>
      <c r="BN130" s="111"/>
      <c r="BO130" s="111"/>
      <c r="BP130" s="111"/>
      <c r="BQ130" s="111"/>
      <c r="BR130" s="111"/>
      <c r="BS130" s="111"/>
      <c r="BT130" s="111"/>
      <c r="BU130" s="111"/>
      <c r="BV130" s="111"/>
      <c r="BW130" s="111"/>
      <c r="BX130" s="111"/>
      <c r="BY130" s="111"/>
      <c r="BZ130" s="111"/>
      <c r="CA130" s="111"/>
      <c r="CB130" s="111"/>
      <c r="CC130" s="178"/>
      <c r="CD130" s="177">
        <f t="shared" si="127"/>
        <v>0</v>
      </c>
      <c r="CE130" s="148"/>
      <c r="CF130" s="111">
        <f t="shared" si="128"/>
        <v>0</v>
      </c>
      <c r="CG130" s="177"/>
      <c r="CH130" s="204"/>
      <c r="CI130" s="148"/>
      <c r="CJ130" s="165"/>
      <c r="CK130" s="165"/>
      <c r="CL130" s="111"/>
      <c r="CM130" s="111"/>
      <c r="CN130" s="165">
        <f t="shared" si="131"/>
        <v>0</v>
      </c>
      <c r="CO130" s="109">
        <f t="shared" si="132"/>
        <v>0</v>
      </c>
      <c r="CP130" s="109">
        <f t="shared" si="133"/>
        <v>0</v>
      </c>
      <c r="CQ130" s="109"/>
      <c r="CR130" s="109"/>
      <c r="CS130" s="196"/>
      <c r="CT130" s="167"/>
      <c r="CU130" s="165"/>
      <c r="CV130" s="109">
        <f t="shared" si="137"/>
        <v>0</v>
      </c>
      <c r="CW130" s="109">
        <f t="shared" si="138"/>
        <v>0</v>
      </c>
      <c r="CX130" s="109"/>
      <c r="CY130" s="109"/>
      <c r="CZ130" s="111"/>
      <c r="DA130" s="111"/>
      <c r="DB130" s="165"/>
      <c r="DC130" s="109">
        <f t="shared" si="142"/>
        <v>0</v>
      </c>
      <c r="DD130" s="109">
        <f t="shared" si="143"/>
        <v>0</v>
      </c>
      <c r="DE130" s="109"/>
      <c r="DF130" s="109"/>
      <c r="DG130" s="111"/>
      <c r="DH130" s="111"/>
      <c r="DI130" s="165"/>
      <c r="DJ130" s="109">
        <f t="shared" si="147"/>
        <v>0</v>
      </c>
      <c r="DK130" s="109">
        <f t="shared" si="148"/>
        <v>0</v>
      </c>
      <c r="DL130" s="109"/>
      <c r="DM130" s="109"/>
      <c r="DN130" s="111"/>
      <c r="DO130" s="111"/>
      <c r="DP130" s="165"/>
      <c r="DQ130" s="109">
        <f t="shared" si="216"/>
        <v>0</v>
      </c>
      <c r="DR130" s="109">
        <f t="shared" si="217"/>
        <v>0</v>
      </c>
      <c r="DS130" s="109"/>
      <c r="DT130" s="109"/>
      <c r="DU130" s="111"/>
      <c r="DV130" s="111"/>
      <c r="DW130" s="165"/>
      <c r="DX130" s="109">
        <f t="shared" si="221"/>
        <v>0</v>
      </c>
      <c r="DY130" s="109">
        <f t="shared" si="222"/>
        <v>0</v>
      </c>
      <c r="DZ130" s="109"/>
      <c r="EA130" s="109"/>
      <c r="EB130" s="111"/>
      <c r="EC130" s="111"/>
      <c r="ED130" s="165"/>
      <c r="EE130" s="109">
        <f t="shared" si="227"/>
        <v>0</v>
      </c>
      <c r="EF130" s="109">
        <f t="shared" si="228"/>
        <v>0</v>
      </c>
      <c r="EG130" s="109"/>
      <c r="EH130" s="109"/>
      <c r="EI130" s="111"/>
      <c r="EJ130" s="111"/>
      <c r="EK130" s="165"/>
      <c r="EL130" s="109">
        <f t="shared" si="233"/>
        <v>0</v>
      </c>
      <c r="EM130" s="109">
        <f t="shared" si="234"/>
        <v>0</v>
      </c>
      <c r="EN130" s="109"/>
      <c r="EO130" s="109"/>
      <c r="EP130" s="111"/>
      <c r="EQ130" s="111"/>
      <c r="ER130" s="165"/>
      <c r="ES130" s="109">
        <f t="shared" si="239"/>
        <v>0</v>
      </c>
      <c r="ET130" s="109">
        <f t="shared" si="240"/>
        <v>0</v>
      </c>
      <c r="EU130" s="109"/>
      <c r="EV130" s="109"/>
      <c r="EW130" s="111"/>
      <c r="EX130" s="111"/>
      <c r="EY130" s="165"/>
      <c r="EZ130" s="109">
        <f t="shared" si="242"/>
        <v>0</v>
      </c>
      <c r="FA130" s="109">
        <f t="shared" si="243"/>
        <v>0</v>
      </c>
      <c r="FB130" s="109"/>
      <c r="FC130" s="109"/>
      <c r="FD130" s="111"/>
      <c r="FE130" s="111"/>
      <c r="FF130" s="165"/>
      <c r="FG130" s="109">
        <f t="shared" si="245"/>
        <v>0</v>
      </c>
      <c r="FH130" s="109">
        <f t="shared" si="246"/>
        <v>0</v>
      </c>
      <c r="FI130" s="109"/>
      <c r="FJ130" s="109"/>
      <c r="FK130" s="111"/>
      <c r="FL130" s="111"/>
      <c r="FM130" s="165"/>
      <c r="FN130" s="109">
        <f t="shared" si="248"/>
        <v>0</v>
      </c>
      <c r="FO130" s="109">
        <f t="shared" si="249"/>
        <v>0</v>
      </c>
      <c r="FP130" s="109"/>
      <c r="FQ130" s="109"/>
      <c r="FR130" s="111"/>
      <c r="FS130" s="111"/>
      <c r="FT130" s="165"/>
      <c r="FU130" s="109">
        <f t="shared" si="250"/>
        <v>0</v>
      </c>
      <c r="FV130" s="109">
        <f t="shared" si="276"/>
        <v>0</v>
      </c>
      <c r="FW130" s="109"/>
      <c r="FX130" s="109"/>
      <c r="FY130" s="111"/>
      <c r="FZ130" s="111"/>
      <c r="GA130" s="165"/>
      <c r="GB130" s="109">
        <f t="shared" si="251"/>
        <v>0</v>
      </c>
      <c r="GC130" s="109">
        <f t="shared" si="277"/>
        <v>0</v>
      </c>
      <c r="GD130" s="109"/>
      <c r="GE130" s="109"/>
      <c r="GF130" s="111"/>
      <c r="GG130" s="111"/>
      <c r="GH130" s="165"/>
      <c r="GI130" s="109">
        <f t="shared" si="252"/>
        <v>0</v>
      </c>
      <c r="GJ130" s="109">
        <f t="shared" si="278"/>
        <v>0</v>
      </c>
      <c r="GK130" s="109"/>
      <c r="GL130" s="109"/>
      <c r="GM130" s="111"/>
      <c r="GN130" s="111"/>
      <c r="GO130" s="165"/>
      <c r="GP130" s="109">
        <f t="shared" si="253"/>
        <v>0</v>
      </c>
      <c r="GQ130" s="109">
        <f t="shared" si="279"/>
        <v>0</v>
      </c>
      <c r="GR130" s="109"/>
      <c r="GS130" s="109"/>
      <c r="GT130" s="111"/>
      <c r="GU130" s="111"/>
      <c r="GV130" s="165"/>
      <c r="GW130" s="168">
        <f t="shared" si="254"/>
        <v>0</v>
      </c>
      <c r="GX130" s="168">
        <f t="shared" si="280"/>
        <v>0</v>
      </c>
      <c r="GY130" s="168"/>
      <c r="GZ130" s="168"/>
      <c r="HA130" s="111"/>
      <c r="HB130" s="111"/>
      <c r="HC130" s="165"/>
      <c r="HD130" s="109">
        <f t="shared" si="255"/>
        <v>0</v>
      </c>
      <c r="HE130" s="109">
        <f t="shared" si="281"/>
        <v>0</v>
      </c>
      <c r="HF130" s="109"/>
      <c r="HG130" s="109"/>
      <c r="HH130" s="111"/>
      <c r="HI130" s="111"/>
      <c r="HJ130" s="165"/>
      <c r="HK130" s="109">
        <f t="shared" si="256"/>
        <v>0</v>
      </c>
      <c r="HL130" s="109">
        <f t="shared" si="282"/>
        <v>0</v>
      </c>
      <c r="HM130" s="109"/>
      <c r="HN130" s="109"/>
      <c r="HO130" s="111"/>
      <c r="HP130" s="111"/>
      <c r="HQ130" s="165"/>
      <c r="HR130" s="109">
        <f t="shared" si="257"/>
        <v>0</v>
      </c>
      <c r="HS130" s="109">
        <f t="shared" si="283"/>
        <v>0</v>
      </c>
      <c r="HT130" s="109"/>
      <c r="HU130" s="109"/>
      <c r="HV130" s="111"/>
      <c r="HW130" s="111"/>
      <c r="HX130" s="105">
        <f t="shared" si="198"/>
        <v>0</v>
      </c>
      <c r="HY130" s="105">
        <f t="shared" si="198"/>
        <v>0</v>
      </c>
      <c r="HZ130" s="105">
        <f t="shared" si="198"/>
        <v>0</v>
      </c>
      <c r="IA130" s="105">
        <f t="shared" si="181"/>
        <v>0</v>
      </c>
      <c r="IB130" s="109">
        <f t="shared" si="182"/>
        <v>0</v>
      </c>
      <c r="IC130" s="109">
        <f t="shared" si="183"/>
        <v>0</v>
      </c>
      <c r="ID130" s="109">
        <f t="shared" si="184"/>
        <v>0</v>
      </c>
      <c r="IE130" s="109">
        <f t="shared" si="185"/>
        <v>0</v>
      </c>
      <c r="IF130" s="197"/>
      <c r="IG130" s="197"/>
      <c r="IH130" s="197"/>
      <c r="II130" s="197"/>
      <c r="IJ130" s="197"/>
      <c r="IK130" s="197"/>
      <c r="IL130" s="197"/>
      <c r="IM130" s="171"/>
      <c r="IN130" s="171"/>
      <c r="IO130" s="171"/>
      <c r="IP130" s="171"/>
    </row>
    <row r="131" spans="1:250" ht="15" customHeight="1" x14ac:dyDescent="0.3">
      <c r="A131" s="110">
        <f t="shared" si="192"/>
        <v>127</v>
      </c>
      <c r="B131" s="111"/>
      <c r="C131" s="111"/>
      <c r="D131" s="111"/>
      <c r="E131" s="111"/>
      <c r="F131" s="111"/>
      <c r="G131" s="111"/>
      <c r="H131" s="111"/>
      <c r="I131" s="194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75"/>
      <c r="AI131" s="111"/>
      <c r="AJ131" s="111"/>
      <c r="AK131" s="111"/>
      <c r="AL131" s="177"/>
      <c r="AM131" s="176"/>
      <c r="AN131" s="177"/>
      <c r="AO131" s="157"/>
      <c r="AP131" s="158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75"/>
      <c r="BM131" s="111"/>
      <c r="BN131" s="111"/>
      <c r="BO131" s="111"/>
      <c r="BP131" s="111"/>
      <c r="BQ131" s="111"/>
      <c r="BR131" s="111"/>
      <c r="BS131" s="111"/>
      <c r="BT131" s="111"/>
      <c r="BU131" s="111"/>
      <c r="BV131" s="111"/>
      <c r="BW131" s="111"/>
      <c r="BX131" s="111"/>
      <c r="BY131" s="111"/>
      <c r="BZ131" s="111"/>
      <c r="CA131" s="111"/>
      <c r="CB131" s="111"/>
      <c r="CC131" s="178"/>
      <c r="CD131" s="177">
        <f t="shared" si="127"/>
        <v>0</v>
      </c>
      <c r="CE131" s="148"/>
      <c r="CF131" s="111">
        <f t="shared" si="128"/>
        <v>0</v>
      </c>
      <c r="CG131" s="177"/>
      <c r="CH131" s="204"/>
      <c r="CI131" s="148"/>
      <c r="CJ131" s="165"/>
      <c r="CK131" s="165"/>
      <c r="CL131" s="111"/>
      <c r="CM131" s="111"/>
      <c r="CN131" s="165">
        <f t="shared" si="131"/>
        <v>0</v>
      </c>
      <c r="CO131" s="109">
        <f t="shared" si="132"/>
        <v>0</v>
      </c>
      <c r="CP131" s="109">
        <f t="shared" si="133"/>
        <v>0</v>
      </c>
      <c r="CQ131" s="109"/>
      <c r="CR131" s="109"/>
      <c r="CS131" s="196"/>
      <c r="CT131" s="167"/>
      <c r="CU131" s="165"/>
      <c r="CV131" s="109">
        <f t="shared" si="137"/>
        <v>0</v>
      </c>
      <c r="CW131" s="109">
        <f t="shared" si="138"/>
        <v>0</v>
      </c>
      <c r="CX131" s="109"/>
      <c r="CY131" s="109"/>
      <c r="CZ131" s="111"/>
      <c r="DA131" s="111"/>
      <c r="DB131" s="165"/>
      <c r="DC131" s="109">
        <f t="shared" si="142"/>
        <v>0</v>
      </c>
      <c r="DD131" s="109">
        <f t="shared" si="143"/>
        <v>0</v>
      </c>
      <c r="DE131" s="109"/>
      <c r="DF131" s="109"/>
      <c r="DG131" s="111"/>
      <c r="DH131" s="111"/>
      <c r="DI131" s="165"/>
      <c r="DJ131" s="109">
        <f t="shared" si="147"/>
        <v>0</v>
      </c>
      <c r="DK131" s="109">
        <f t="shared" si="148"/>
        <v>0</v>
      </c>
      <c r="DL131" s="109"/>
      <c r="DM131" s="109"/>
      <c r="DN131" s="111"/>
      <c r="DO131" s="111"/>
      <c r="DP131" s="165"/>
      <c r="DQ131" s="109">
        <f t="shared" si="216"/>
        <v>0</v>
      </c>
      <c r="DR131" s="109">
        <f t="shared" si="217"/>
        <v>0</v>
      </c>
      <c r="DS131" s="109"/>
      <c r="DT131" s="109"/>
      <c r="DU131" s="111"/>
      <c r="DV131" s="111"/>
      <c r="DW131" s="165"/>
      <c r="DX131" s="109">
        <f t="shared" si="221"/>
        <v>0</v>
      </c>
      <c r="DY131" s="109">
        <f t="shared" si="222"/>
        <v>0</v>
      </c>
      <c r="DZ131" s="109"/>
      <c r="EA131" s="109"/>
      <c r="EB131" s="111"/>
      <c r="EC131" s="111"/>
      <c r="ED131" s="165"/>
      <c r="EE131" s="109">
        <f t="shared" si="227"/>
        <v>0</v>
      </c>
      <c r="EF131" s="109">
        <f t="shared" si="228"/>
        <v>0</v>
      </c>
      <c r="EG131" s="109"/>
      <c r="EH131" s="109"/>
      <c r="EI131" s="111"/>
      <c r="EJ131" s="111"/>
      <c r="EK131" s="165"/>
      <c r="EL131" s="109">
        <f t="shared" si="233"/>
        <v>0</v>
      </c>
      <c r="EM131" s="109">
        <f t="shared" si="234"/>
        <v>0</v>
      </c>
      <c r="EN131" s="109"/>
      <c r="EO131" s="109"/>
      <c r="EP131" s="111"/>
      <c r="EQ131" s="111"/>
      <c r="ER131" s="165"/>
      <c r="ES131" s="109">
        <f t="shared" si="239"/>
        <v>0</v>
      </c>
      <c r="ET131" s="109">
        <f t="shared" si="240"/>
        <v>0</v>
      </c>
      <c r="EU131" s="109"/>
      <c r="EV131" s="109"/>
      <c r="EW131" s="111"/>
      <c r="EX131" s="111"/>
      <c r="EY131" s="165"/>
      <c r="EZ131" s="109">
        <f t="shared" si="242"/>
        <v>0</v>
      </c>
      <c r="FA131" s="109">
        <f t="shared" si="243"/>
        <v>0</v>
      </c>
      <c r="FB131" s="109"/>
      <c r="FC131" s="109"/>
      <c r="FD131" s="111"/>
      <c r="FE131" s="111"/>
      <c r="FF131" s="165"/>
      <c r="FG131" s="109">
        <f t="shared" si="245"/>
        <v>0</v>
      </c>
      <c r="FH131" s="109">
        <f t="shared" si="246"/>
        <v>0</v>
      </c>
      <c r="FI131" s="109"/>
      <c r="FJ131" s="109"/>
      <c r="FK131" s="111"/>
      <c r="FL131" s="111"/>
      <c r="FM131" s="165"/>
      <c r="FN131" s="109">
        <f t="shared" si="248"/>
        <v>0</v>
      </c>
      <c r="FO131" s="109">
        <f t="shared" si="249"/>
        <v>0</v>
      </c>
      <c r="FP131" s="109"/>
      <c r="FQ131" s="109"/>
      <c r="FR131" s="111"/>
      <c r="FS131" s="111"/>
      <c r="FT131" s="165"/>
      <c r="FU131" s="109">
        <f t="shared" si="250"/>
        <v>0</v>
      </c>
      <c r="FV131" s="109">
        <f t="shared" si="276"/>
        <v>0</v>
      </c>
      <c r="FW131" s="109"/>
      <c r="FX131" s="109"/>
      <c r="FY131" s="111"/>
      <c r="FZ131" s="111"/>
      <c r="GA131" s="165"/>
      <c r="GB131" s="109">
        <f t="shared" si="251"/>
        <v>0</v>
      </c>
      <c r="GC131" s="109">
        <f t="shared" si="277"/>
        <v>0</v>
      </c>
      <c r="GD131" s="109"/>
      <c r="GE131" s="109"/>
      <c r="GF131" s="111"/>
      <c r="GG131" s="111"/>
      <c r="GH131" s="165"/>
      <c r="GI131" s="109">
        <f t="shared" si="252"/>
        <v>0</v>
      </c>
      <c r="GJ131" s="109">
        <f t="shared" si="278"/>
        <v>0</v>
      </c>
      <c r="GK131" s="109"/>
      <c r="GL131" s="109"/>
      <c r="GM131" s="111"/>
      <c r="GN131" s="111"/>
      <c r="GO131" s="165"/>
      <c r="GP131" s="109">
        <f t="shared" si="253"/>
        <v>0</v>
      </c>
      <c r="GQ131" s="109">
        <f t="shared" si="279"/>
        <v>0</v>
      </c>
      <c r="GR131" s="109"/>
      <c r="GS131" s="109"/>
      <c r="GT131" s="111"/>
      <c r="GU131" s="111"/>
      <c r="GV131" s="165"/>
      <c r="GW131" s="168">
        <f t="shared" si="254"/>
        <v>0</v>
      </c>
      <c r="GX131" s="168">
        <f t="shared" si="280"/>
        <v>0</v>
      </c>
      <c r="GY131" s="168"/>
      <c r="GZ131" s="168"/>
      <c r="HA131" s="111"/>
      <c r="HB131" s="111"/>
      <c r="HC131" s="165"/>
      <c r="HD131" s="109">
        <f t="shared" si="255"/>
        <v>0</v>
      </c>
      <c r="HE131" s="109">
        <f t="shared" si="281"/>
        <v>0</v>
      </c>
      <c r="HF131" s="109"/>
      <c r="HG131" s="109"/>
      <c r="HH131" s="111"/>
      <c r="HI131" s="111"/>
      <c r="HJ131" s="165"/>
      <c r="HK131" s="109">
        <f t="shared" si="256"/>
        <v>0</v>
      </c>
      <c r="HL131" s="109">
        <f t="shared" si="282"/>
        <v>0</v>
      </c>
      <c r="HM131" s="109"/>
      <c r="HN131" s="109"/>
      <c r="HO131" s="111"/>
      <c r="HP131" s="111"/>
      <c r="HQ131" s="165"/>
      <c r="HR131" s="109">
        <f t="shared" si="257"/>
        <v>0</v>
      </c>
      <c r="HS131" s="109">
        <f t="shared" si="283"/>
        <v>0</v>
      </c>
      <c r="HT131" s="109"/>
      <c r="HU131" s="109"/>
      <c r="HV131" s="111"/>
      <c r="HW131" s="111"/>
      <c r="HX131" s="105">
        <f t="shared" si="198"/>
        <v>0</v>
      </c>
      <c r="HY131" s="105">
        <f t="shared" si="198"/>
        <v>0</v>
      </c>
      <c r="HZ131" s="105">
        <f t="shared" si="198"/>
        <v>0</v>
      </c>
      <c r="IA131" s="105">
        <f t="shared" si="181"/>
        <v>0</v>
      </c>
      <c r="IB131" s="109">
        <f t="shared" si="182"/>
        <v>0</v>
      </c>
      <c r="IC131" s="109">
        <f t="shared" si="183"/>
        <v>0</v>
      </c>
      <c r="ID131" s="109">
        <f t="shared" si="184"/>
        <v>0</v>
      </c>
      <c r="IE131" s="109">
        <f t="shared" si="185"/>
        <v>0</v>
      </c>
      <c r="IF131" s="197"/>
      <c r="IG131" s="197"/>
      <c r="IH131" s="197"/>
      <c r="II131" s="197"/>
      <c r="IJ131" s="197"/>
      <c r="IK131" s="197"/>
      <c r="IL131" s="197"/>
      <c r="IM131" s="171"/>
      <c r="IN131" s="171"/>
      <c r="IO131" s="171"/>
      <c r="IP131" s="171"/>
    </row>
    <row r="132" spans="1:250" ht="15" customHeight="1" x14ac:dyDescent="0.3">
      <c r="A132" s="110">
        <f t="shared" si="192"/>
        <v>128</v>
      </c>
      <c r="B132" s="111"/>
      <c r="C132" s="111"/>
      <c r="D132" s="111"/>
      <c r="E132" s="111"/>
      <c r="F132" s="111"/>
      <c r="G132" s="111"/>
      <c r="H132" s="111"/>
      <c r="I132" s="194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75"/>
      <c r="AI132" s="111"/>
      <c r="AJ132" s="111"/>
      <c r="AK132" s="111"/>
      <c r="AL132" s="177"/>
      <c r="AM132" s="176"/>
      <c r="AN132" s="177"/>
      <c r="AO132" s="157"/>
      <c r="AP132" s="158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75"/>
      <c r="BM132" s="111"/>
      <c r="BN132" s="111"/>
      <c r="BO132" s="111"/>
      <c r="BP132" s="111"/>
      <c r="BQ132" s="111"/>
      <c r="BR132" s="111"/>
      <c r="BS132" s="111"/>
      <c r="BT132" s="111"/>
      <c r="BU132" s="111"/>
      <c r="BV132" s="111"/>
      <c r="BW132" s="111"/>
      <c r="BX132" s="111"/>
      <c r="BY132" s="111"/>
      <c r="BZ132" s="111"/>
      <c r="CA132" s="111"/>
      <c r="CB132" s="111"/>
      <c r="CC132" s="178"/>
      <c r="CD132" s="177">
        <f t="shared" si="127"/>
        <v>0</v>
      </c>
      <c r="CE132" s="148"/>
      <c r="CF132" s="111">
        <f t="shared" si="128"/>
        <v>0</v>
      </c>
      <c r="CG132" s="177"/>
      <c r="CH132" s="204"/>
      <c r="CI132" s="148"/>
      <c r="CJ132" s="165"/>
      <c r="CK132" s="165"/>
      <c r="CL132" s="111"/>
      <c r="CM132" s="111"/>
      <c r="CN132" s="165">
        <f t="shared" si="131"/>
        <v>0</v>
      </c>
      <c r="CO132" s="109">
        <f t="shared" si="132"/>
        <v>0</v>
      </c>
      <c r="CP132" s="109">
        <f t="shared" si="133"/>
        <v>0</v>
      </c>
      <c r="CQ132" s="109"/>
      <c r="CR132" s="109"/>
      <c r="CS132" s="196"/>
      <c r="CT132" s="167"/>
      <c r="CU132" s="165"/>
      <c r="CV132" s="109">
        <f t="shared" si="137"/>
        <v>0</v>
      </c>
      <c r="CW132" s="109">
        <f t="shared" si="138"/>
        <v>0</v>
      </c>
      <c r="CX132" s="109"/>
      <c r="CY132" s="109"/>
      <c r="CZ132" s="111"/>
      <c r="DA132" s="111"/>
      <c r="DB132" s="165"/>
      <c r="DC132" s="109">
        <f t="shared" si="142"/>
        <v>0</v>
      </c>
      <c r="DD132" s="109">
        <f t="shared" si="143"/>
        <v>0</v>
      </c>
      <c r="DE132" s="109"/>
      <c r="DF132" s="109"/>
      <c r="DG132" s="111"/>
      <c r="DH132" s="111"/>
      <c r="DI132" s="165"/>
      <c r="DJ132" s="109">
        <f t="shared" si="147"/>
        <v>0</v>
      </c>
      <c r="DK132" s="109">
        <f t="shared" si="148"/>
        <v>0</v>
      </c>
      <c r="DL132" s="109"/>
      <c r="DM132" s="109"/>
      <c r="DN132" s="111"/>
      <c r="DO132" s="111"/>
      <c r="DP132" s="165"/>
      <c r="DQ132" s="109">
        <f t="shared" si="216"/>
        <v>0</v>
      </c>
      <c r="DR132" s="109">
        <f t="shared" si="217"/>
        <v>0</v>
      </c>
      <c r="DS132" s="109"/>
      <c r="DT132" s="109"/>
      <c r="DU132" s="111"/>
      <c r="DV132" s="111"/>
      <c r="DW132" s="165"/>
      <c r="DX132" s="109">
        <f t="shared" si="221"/>
        <v>0</v>
      </c>
      <c r="DY132" s="109">
        <f t="shared" si="222"/>
        <v>0</v>
      </c>
      <c r="DZ132" s="109"/>
      <c r="EA132" s="109"/>
      <c r="EB132" s="111"/>
      <c r="EC132" s="111"/>
      <c r="ED132" s="165"/>
      <c r="EE132" s="109">
        <f t="shared" si="227"/>
        <v>0</v>
      </c>
      <c r="EF132" s="109">
        <f t="shared" si="228"/>
        <v>0</v>
      </c>
      <c r="EG132" s="109"/>
      <c r="EH132" s="109"/>
      <c r="EI132" s="111"/>
      <c r="EJ132" s="111"/>
      <c r="EK132" s="165"/>
      <c r="EL132" s="109">
        <f t="shared" si="233"/>
        <v>0</v>
      </c>
      <c r="EM132" s="109">
        <f t="shared" si="234"/>
        <v>0</v>
      </c>
      <c r="EN132" s="109"/>
      <c r="EO132" s="109"/>
      <c r="EP132" s="111"/>
      <c r="EQ132" s="111"/>
      <c r="ER132" s="165"/>
      <c r="ES132" s="109">
        <f t="shared" si="239"/>
        <v>0</v>
      </c>
      <c r="ET132" s="109">
        <f t="shared" si="240"/>
        <v>0</v>
      </c>
      <c r="EU132" s="109"/>
      <c r="EV132" s="109"/>
      <c r="EW132" s="111"/>
      <c r="EX132" s="111"/>
      <c r="EY132" s="165"/>
      <c r="EZ132" s="109">
        <f t="shared" si="242"/>
        <v>0</v>
      </c>
      <c r="FA132" s="109">
        <f t="shared" si="243"/>
        <v>0</v>
      </c>
      <c r="FB132" s="109"/>
      <c r="FC132" s="109"/>
      <c r="FD132" s="111"/>
      <c r="FE132" s="111"/>
      <c r="FF132" s="165"/>
      <c r="FG132" s="109">
        <f t="shared" si="245"/>
        <v>0</v>
      </c>
      <c r="FH132" s="109">
        <f t="shared" si="246"/>
        <v>0</v>
      </c>
      <c r="FI132" s="109"/>
      <c r="FJ132" s="109"/>
      <c r="FK132" s="111"/>
      <c r="FL132" s="111"/>
      <c r="FM132" s="165"/>
      <c r="FN132" s="109">
        <f t="shared" si="248"/>
        <v>0</v>
      </c>
      <c r="FO132" s="109">
        <f t="shared" si="249"/>
        <v>0</v>
      </c>
      <c r="FP132" s="109"/>
      <c r="FQ132" s="109"/>
      <c r="FR132" s="111"/>
      <c r="FS132" s="111"/>
      <c r="FT132" s="165"/>
      <c r="FU132" s="109">
        <f t="shared" si="250"/>
        <v>0</v>
      </c>
      <c r="FV132" s="109">
        <f t="shared" si="276"/>
        <v>0</v>
      </c>
      <c r="FW132" s="109"/>
      <c r="FX132" s="109"/>
      <c r="FY132" s="111"/>
      <c r="FZ132" s="111"/>
      <c r="GA132" s="165"/>
      <c r="GB132" s="109">
        <f t="shared" si="251"/>
        <v>0</v>
      </c>
      <c r="GC132" s="109">
        <f t="shared" si="277"/>
        <v>0</v>
      </c>
      <c r="GD132" s="109"/>
      <c r="GE132" s="109"/>
      <c r="GF132" s="111"/>
      <c r="GG132" s="111"/>
      <c r="GH132" s="165"/>
      <c r="GI132" s="109">
        <f t="shared" si="252"/>
        <v>0</v>
      </c>
      <c r="GJ132" s="109">
        <f t="shared" si="278"/>
        <v>0</v>
      </c>
      <c r="GK132" s="109"/>
      <c r="GL132" s="109"/>
      <c r="GM132" s="111"/>
      <c r="GN132" s="111"/>
      <c r="GO132" s="165"/>
      <c r="GP132" s="109">
        <f t="shared" si="253"/>
        <v>0</v>
      </c>
      <c r="GQ132" s="109">
        <f t="shared" si="279"/>
        <v>0</v>
      </c>
      <c r="GR132" s="109"/>
      <c r="GS132" s="109"/>
      <c r="GT132" s="111"/>
      <c r="GU132" s="111"/>
      <c r="GV132" s="165"/>
      <c r="GW132" s="168">
        <f t="shared" si="254"/>
        <v>0</v>
      </c>
      <c r="GX132" s="168">
        <f t="shared" si="280"/>
        <v>0</v>
      </c>
      <c r="GY132" s="168"/>
      <c r="GZ132" s="168"/>
      <c r="HA132" s="111"/>
      <c r="HB132" s="111"/>
      <c r="HC132" s="165"/>
      <c r="HD132" s="109">
        <f t="shared" si="255"/>
        <v>0</v>
      </c>
      <c r="HE132" s="109">
        <f t="shared" si="281"/>
        <v>0</v>
      </c>
      <c r="HF132" s="109"/>
      <c r="HG132" s="109"/>
      <c r="HH132" s="111"/>
      <c r="HI132" s="111"/>
      <c r="HJ132" s="165"/>
      <c r="HK132" s="109">
        <f t="shared" si="256"/>
        <v>0</v>
      </c>
      <c r="HL132" s="109">
        <f t="shared" si="282"/>
        <v>0</v>
      </c>
      <c r="HM132" s="109"/>
      <c r="HN132" s="109"/>
      <c r="HO132" s="111"/>
      <c r="HP132" s="111"/>
      <c r="HQ132" s="165"/>
      <c r="HR132" s="109">
        <f t="shared" si="257"/>
        <v>0</v>
      </c>
      <c r="HS132" s="109">
        <f t="shared" si="283"/>
        <v>0</v>
      </c>
      <c r="HT132" s="109"/>
      <c r="HU132" s="109"/>
      <c r="HV132" s="111"/>
      <c r="HW132" s="111"/>
      <c r="HX132" s="105">
        <f t="shared" si="198"/>
        <v>0</v>
      </c>
      <c r="HY132" s="105">
        <f t="shared" si="198"/>
        <v>0</v>
      </c>
      <c r="HZ132" s="105">
        <f t="shared" si="198"/>
        <v>0</v>
      </c>
      <c r="IA132" s="105">
        <f t="shared" si="181"/>
        <v>0</v>
      </c>
      <c r="IB132" s="109">
        <f t="shared" si="182"/>
        <v>0</v>
      </c>
      <c r="IC132" s="109">
        <f t="shared" si="183"/>
        <v>0</v>
      </c>
      <c r="ID132" s="109">
        <f t="shared" si="184"/>
        <v>0</v>
      </c>
      <c r="IE132" s="109">
        <f t="shared" si="185"/>
        <v>0</v>
      </c>
      <c r="IF132" s="197"/>
      <c r="IG132" s="197"/>
      <c r="IH132" s="197"/>
      <c r="II132" s="197"/>
      <c r="IJ132" s="197"/>
      <c r="IK132" s="197"/>
      <c r="IL132" s="197"/>
      <c r="IM132" s="171"/>
      <c r="IN132" s="171"/>
      <c r="IO132" s="171"/>
      <c r="IP132" s="171"/>
    </row>
    <row r="133" spans="1:250" ht="15" customHeight="1" x14ac:dyDescent="0.3">
      <c r="A133" s="110">
        <f t="shared" si="192"/>
        <v>129</v>
      </c>
      <c r="B133" s="111"/>
      <c r="C133" s="111"/>
      <c r="D133" s="111"/>
      <c r="E133" s="111"/>
      <c r="F133" s="111"/>
      <c r="G133" s="111"/>
      <c r="H133" s="111"/>
      <c r="I133" s="194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75"/>
      <c r="AI133" s="111"/>
      <c r="AJ133" s="111"/>
      <c r="AK133" s="111"/>
      <c r="AL133" s="177"/>
      <c r="AM133" s="176"/>
      <c r="AN133" s="177"/>
      <c r="AO133" s="157"/>
      <c r="AP133" s="158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75"/>
      <c r="BM133" s="111"/>
      <c r="BN133" s="111"/>
      <c r="BO133" s="111"/>
      <c r="BP133" s="111"/>
      <c r="BQ133" s="111"/>
      <c r="BR133" s="111"/>
      <c r="BS133" s="111"/>
      <c r="BT133" s="111"/>
      <c r="BU133" s="111"/>
      <c r="BV133" s="111"/>
      <c r="BW133" s="111"/>
      <c r="BX133" s="111"/>
      <c r="BY133" s="111"/>
      <c r="BZ133" s="111"/>
      <c r="CA133" s="111"/>
      <c r="CB133" s="111"/>
      <c r="CC133" s="178"/>
      <c r="CD133" s="177">
        <f t="shared" ref="CD133:CD196" si="284">AL133</f>
        <v>0</v>
      </c>
      <c r="CE133" s="148"/>
      <c r="CF133" s="111">
        <f t="shared" ref="CF133:CF196" si="285">AI133</f>
        <v>0</v>
      </c>
      <c r="CG133" s="177"/>
      <c r="CH133" s="204"/>
      <c r="CI133" s="148"/>
      <c r="CJ133" s="165"/>
      <c r="CK133" s="165"/>
      <c r="CL133" s="111"/>
      <c r="CM133" s="111"/>
      <c r="CN133" s="165">
        <f t="shared" ref="CN133:CN196" si="286">CJ133</f>
        <v>0</v>
      </c>
      <c r="CO133" s="109">
        <f t="shared" ref="CO133:CO196" si="287">CQ133-CP133</f>
        <v>0</v>
      </c>
      <c r="CP133" s="109">
        <f t="shared" ref="CP133:CP196" si="288">CQ133/(1+AM133)*AM133</f>
        <v>0</v>
      </c>
      <c r="CQ133" s="109"/>
      <c r="CR133" s="109"/>
      <c r="CS133" s="196"/>
      <c r="CT133" s="167"/>
      <c r="CU133" s="165"/>
      <c r="CV133" s="109">
        <f t="shared" ref="CV133:CV196" si="289">CX133-CW133</f>
        <v>0</v>
      </c>
      <c r="CW133" s="109">
        <f t="shared" ref="CW133:CW196" si="290">CX133/(1+AM133)*AM133</f>
        <v>0</v>
      </c>
      <c r="CX133" s="109"/>
      <c r="CY133" s="109"/>
      <c r="CZ133" s="111"/>
      <c r="DA133" s="111"/>
      <c r="DB133" s="165"/>
      <c r="DC133" s="109">
        <f t="shared" ref="DC133:DC196" si="291">DE133-DD133</f>
        <v>0</v>
      </c>
      <c r="DD133" s="109">
        <f t="shared" ref="DD133:DD196" si="292">DE133/(1+AM133)*AM133</f>
        <v>0</v>
      </c>
      <c r="DE133" s="109"/>
      <c r="DF133" s="109"/>
      <c r="DG133" s="111"/>
      <c r="DH133" s="111"/>
      <c r="DI133" s="165"/>
      <c r="DJ133" s="109">
        <f t="shared" ref="DJ133:DJ196" si="293">DL133-DK133</f>
        <v>0</v>
      </c>
      <c r="DK133" s="109">
        <f t="shared" ref="DK133:DK196" si="294">DL133/(1+AM133)*AM133</f>
        <v>0</v>
      </c>
      <c r="DL133" s="109"/>
      <c r="DM133" s="109"/>
      <c r="DN133" s="111"/>
      <c r="DO133" s="111"/>
      <c r="DP133" s="165"/>
      <c r="DQ133" s="109">
        <f t="shared" si="216"/>
        <v>0</v>
      </c>
      <c r="DR133" s="109">
        <f t="shared" si="217"/>
        <v>0</v>
      </c>
      <c r="DS133" s="109"/>
      <c r="DT133" s="109"/>
      <c r="DU133" s="111"/>
      <c r="DV133" s="111"/>
      <c r="DW133" s="165"/>
      <c r="DX133" s="109">
        <f t="shared" si="221"/>
        <v>0</v>
      </c>
      <c r="DY133" s="109">
        <f t="shared" si="222"/>
        <v>0</v>
      </c>
      <c r="DZ133" s="109"/>
      <c r="EA133" s="109"/>
      <c r="EB133" s="111"/>
      <c r="EC133" s="111"/>
      <c r="ED133" s="165"/>
      <c r="EE133" s="109">
        <f t="shared" si="227"/>
        <v>0</v>
      </c>
      <c r="EF133" s="109">
        <f t="shared" si="228"/>
        <v>0</v>
      </c>
      <c r="EG133" s="109"/>
      <c r="EH133" s="109"/>
      <c r="EI133" s="111"/>
      <c r="EJ133" s="111"/>
      <c r="EK133" s="165"/>
      <c r="EL133" s="109">
        <f t="shared" si="233"/>
        <v>0</v>
      </c>
      <c r="EM133" s="109">
        <f t="shared" si="234"/>
        <v>0</v>
      </c>
      <c r="EN133" s="109"/>
      <c r="EO133" s="109"/>
      <c r="EP133" s="111"/>
      <c r="EQ133" s="111"/>
      <c r="ER133" s="165"/>
      <c r="ES133" s="109">
        <f t="shared" si="239"/>
        <v>0</v>
      </c>
      <c r="ET133" s="109">
        <f t="shared" si="240"/>
        <v>0</v>
      </c>
      <c r="EU133" s="109"/>
      <c r="EV133" s="109"/>
      <c r="EW133" s="111"/>
      <c r="EX133" s="111"/>
      <c r="EY133" s="165"/>
      <c r="EZ133" s="109">
        <f t="shared" si="242"/>
        <v>0</v>
      </c>
      <c r="FA133" s="109">
        <f t="shared" si="243"/>
        <v>0</v>
      </c>
      <c r="FB133" s="109"/>
      <c r="FC133" s="109"/>
      <c r="FD133" s="111"/>
      <c r="FE133" s="111"/>
      <c r="FF133" s="165"/>
      <c r="FG133" s="109">
        <f t="shared" si="245"/>
        <v>0</v>
      </c>
      <c r="FH133" s="109">
        <f t="shared" si="246"/>
        <v>0</v>
      </c>
      <c r="FI133" s="109"/>
      <c r="FJ133" s="109"/>
      <c r="FK133" s="111"/>
      <c r="FL133" s="111"/>
      <c r="FM133" s="165"/>
      <c r="FN133" s="109">
        <f t="shared" si="248"/>
        <v>0</v>
      </c>
      <c r="FO133" s="109">
        <f t="shared" si="249"/>
        <v>0</v>
      </c>
      <c r="FP133" s="109"/>
      <c r="FQ133" s="109"/>
      <c r="FR133" s="111"/>
      <c r="FS133" s="111"/>
      <c r="FT133" s="165"/>
      <c r="FU133" s="109">
        <f t="shared" si="250"/>
        <v>0</v>
      </c>
      <c r="FV133" s="109">
        <f t="shared" si="276"/>
        <v>0</v>
      </c>
      <c r="FW133" s="109"/>
      <c r="FX133" s="109"/>
      <c r="FY133" s="111"/>
      <c r="FZ133" s="111"/>
      <c r="GA133" s="165"/>
      <c r="GB133" s="109">
        <f t="shared" si="251"/>
        <v>0</v>
      </c>
      <c r="GC133" s="109">
        <f t="shared" si="277"/>
        <v>0</v>
      </c>
      <c r="GD133" s="109"/>
      <c r="GE133" s="109"/>
      <c r="GF133" s="111"/>
      <c r="GG133" s="111"/>
      <c r="GH133" s="165"/>
      <c r="GI133" s="109">
        <f t="shared" si="252"/>
        <v>0</v>
      </c>
      <c r="GJ133" s="109">
        <f t="shared" si="278"/>
        <v>0</v>
      </c>
      <c r="GK133" s="109"/>
      <c r="GL133" s="109"/>
      <c r="GM133" s="111"/>
      <c r="GN133" s="111"/>
      <c r="GO133" s="165"/>
      <c r="GP133" s="109">
        <f t="shared" si="253"/>
        <v>0</v>
      </c>
      <c r="GQ133" s="109">
        <f t="shared" si="279"/>
        <v>0</v>
      </c>
      <c r="GR133" s="109"/>
      <c r="GS133" s="109"/>
      <c r="GT133" s="111"/>
      <c r="GU133" s="111"/>
      <c r="GV133" s="165"/>
      <c r="GW133" s="168">
        <f t="shared" si="254"/>
        <v>0</v>
      </c>
      <c r="GX133" s="168">
        <f t="shared" si="280"/>
        <v>0</v>
      </c>
      <c r="GY133" s="168"/>
      <c r="GZ133" s="168"/>
      <c r="HA133" s="111"/>
      <c r="HB133" s="111"/>
      <c r="HC133" s="165"/>
      <c r="HD133" s="109">
        <f t="shared" si="255"/>
        <v>0</v>
      </c>
      <c r="HE133" s="109">
        <f t="shared" si="281"/>
        <v>0</v>
      </c>
      <c r="HF133" s="109"/>
      <c r="HG133" s="109"/>
      <c r="HH133" s="111"/>
      <c r="HI133" s="111"/>
      <c r="HJ133" s="165"/>
      <c r="HK133" s="109">
        <f t="shared" si="256"/>
        <v>0</v>
      </c>
      <c r="HL133" s="109">
        <f t="shared" si="282"/>
        <v>0</v>
      </c>
      <c r="HM133" s="109"/>
      <c r="HN133" s="109"/>
      <c r="HO133" s="111"/>
      <c r="HP133" s="111"/>
      <c r="HQ133" s="165"/>
      <c r="HR133" s="109">
        <f t="shared" si="257"/>
        <v>0</v>
      </c>
      <c r="HS133" s="109">
        <f t="shared" si="283"/>
        <v>0</v>
      </c>
      <c r="HT133" s="109"/>
      <c r="HU133" s="109"/>
      <c r="HV133" s="111"/>
      <c r="HW133" s="111"/>
      <c r="HX133" s="105">
        <f t="shared" si="198"/>
        <v>0</v>
      </c>
      <c r="HY133" s="105">
        <f t="shared" si="198"/>
        <v>0</v>
      </c>
      <c r="HZ133" s="105">
        <f t="shared" si="198"/>
        <v>0</v>
      </c>
      <c r="IA133" s="105">
        <f t="shared" ref="IA133:IA196" si="295">HX133+HY133-HZ133</f>
        <v>0</v>
      </c>
      <c r="IB133" s="109">
        <f t="shared" ref="IB133:IB196" si="296">AO133-HZ133</f>
        <v>0</v>
      </c>
      <c r="IC133" s="109">
        <f t="shared" ref="IC133:IC196" si="297">AL133-HX133</f>
        <v>0</v>
      </c>
      <c r="ID133" s="109">
        <f t="shared" ref="ID133:ID196" si="298">(HZ133+IB133)-AO133</f>
        <v>0</v>
      </c>
      <c r="IE133" s="109">
        <f t="shared" ref="IE133:IE196" si="299">CT133+DA133+DH133+DO133+DV133+EC133+EJ133</f>
        <v>0</v>
      </c>
      <c r="IF133" s="197"/>
      <c r="IG133" s="197"/>
      <c r="IH133" s="197"/>
      <c r="II133" s="197"/>
      <c r="IJ133" s="197"/>
      <c r="IK133" s="197"/>
      <c r="IL133" s="197"/>
      <c r="IM133" s="171"/>
      <c r="IN133" s="171"/>
      <c r="IO133" s="171"/>
      <c r="IP133" s="171"/>
    </row>
    <row r="134" spans="1:250" ht="15" customHeight="1" x14ac:dyDescent="0.3">
      <c r="A134" s="110">
        <f t="shared" ref="A134:A197" si="300">A133+1</f>
        <v>130</v>
      </c>
      <c r="B134" s="111"/>
      <c r="C134" s="111"/>
      <c r="D134" s="111"/>
      <c r="E134" s="111"/>
      <c r="F134" s="111"/>
      <c r="G134" s="111"/>
      <c r="H134" s="111"/>
      <c r="I134" s="194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75"/>
      <c r="AI134" s="111"/>
      <c r="AJ134" s="111"/>
      <c r="AK134" s="111"/>
      <c r="AL134" s="177"/>
      <c r="AM134" s="176"/>
      <c r="AN134" s="177"/>
      <c r="AO134" s="157"/>
      <c r="AP134" s="158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75"/>
      <c r="BM134" s="111"/>
      <c r="BN134" s="111"/>
      <c r="BO134" s="111"/>
      <c r="BP134" s="111"/>
      <c r="BQ134" s="111"/>
      <c r="BR134" s="111"/>
      <c r="BS134" s="111"/>
      <c r="BT134" s="111"/>
      <c r="BU134" s="111"/>
      <c r="BV134" s="111"/>
      <c r="BW134" s="111"/>
      <c r="BX134" s="111"/>
      <c r="BY134" s="111"/>
      <c r="BZ134" s="111"/>
      <c r="CA134" s="111"/>
      <c r="CB134" s="111"/>
      <c r="CC134" s="178"/>
      <c r="CD134" s="177">
        <f t="shared" si="284"/>
        <v>0</v>
      </c>
      <c r="CE134" s="148"/>
      <c r="CF134" s="111">
        <f t="shared" si="285"/>
        <v>0</v>
      </c>
      <c r="CG134" s="177"/>
      <c r="CH134" s="204"/>
      <c r="CI134" s="148"/>
      <c r="CJ134" s="165"/>
      <c r="CK134" s="165"/>
      <c r="CL134" s="111"/>
      <c r="CM134" s="111"/>
      <c r="CN134" s="165">
        <f t="shared" si="286"/>
        <v>0</v>
      </c>
      <c r="CO134" s="109">
        <f t="shared" si="287"/>
        <v>0</v>
      </c>
      <c r="CP134" s="109">
        <f t="shared" si="288"/>
        <v>0</v>
      </c>
      <c r="CQ134" s="109"/>
      <c r="CR134" s="109"/>
      <c r="CS134" s="196"/>
      <c r="CT134" s="167"/>
      <c r="CU134" s="165"/>
      <c r="CV134" s="109">
        <f t="shared" si="289"/>
        <v>0</v>
      </c>
      <c r="CW134" s="109">
        <f t="shared" si="290"/>
        <v>0</v>
      </c>
      <c r="CX134" s="109"/>
      <c r="CY134" s="109"/>
      <c r="CZ134" s="111"/>
      <c r="DA134" s="111"/>
      <c r="DB134" s="165"/>
      <c r="DC134" s="109">
        <f t="shared" si="291"/>
        <v>0</v>
      </c>
      <c r="DD134" s="109">
        <f t="shared" si="292"/>
        <v>0</v>
      </c>
      <c r="DE134" s="109"/>
      <c r="DF134" s="109"/>
      <c r="DG134" s="111"/>
      <c r="DH134" s="111"/>
      <c r="DI134" s="165"/>
      <c r="DJ134" s="109">
        <f t="shared" si="293"/>
        <v>0</v>
      </c>
      <c r="DK134" s="109">
        <f t="shared" si="294"/>
        <v>0</v>
      </c>
      <c r="DL134" s="109"/>
      <c r="DM134" s="109"/>
      <c r="DN134" s="111"/>
      <c r="DO134" s="111"/>
      <c r="DP134" s="165"/>
      <c r="DQ134" s="109">
        <f t="shared" si="216"/>
        <v>0</v>
      </c>
      <c r="DR134" s="109">
        <f t="shared" si="217"/>
        <v>0</v>
      </c>
      <c r="DS134" s="109"/>
      <c r="DT134" s="109"/>
      <c r="DU134" s="111"/>
      <c r="DV134" s="111"/>
      <c r="DW134" s="165"/>
      <c r="DX134" s="109">
        <f t="shared" si="221"/>
        <v>0</v>
      </c>
      <c r="DY134" s="109">
        <f t="shared" si="222"/>
        <v>0</v>
      </c>
      <c r="DZ134" s="109"/>
      <c r="EA134" s="109"/>
      <c r="EB134" s="111"/>
      <c r="EC134" s="111"/>
      <c r="ED134" s="165"/>
      <c r="EE134" s="109">
        <f t="shared" si="227"/>
        <v>0</v>
      </c>
      <c r="EF134" s="109">
        <f t="shared" si="228"/>
        <v>0</v>
      </c>
      <c r="EG134" s="109"/>
      <c r="EH134" s="109"/>
      <c r="EI134" s="111"/>
      <c r="EJ134" s="111"/>
      <c r="EK134" s="165"/>
      <c r="EL134" s="109">
        <f t="shared" si="233"/>
        <v>0</v>
      </c>
      <c r="EM134" s="109">
        <f t="shared" si="234"/>
        <v>0</v>
      </c>
      <c r="EN134" s="109"/>
      <c r="EO134" s="109"/>
      <c r="EP134" s="111"/>
      <c r="EQ134" s="111"/>
      <c r="ER134" s="165"/>
      <c r="ES134" s="109">
        <f t="shared" si="239"/>
        <v>0</v>
      </c>
      <c r="ET134" s="109">
        <f t="shared" si="240"/>
        <v>0</v>
      </c>
      <c r="EU134" s="109"/>
      <c r="EV134" s="109"/>
      <c r="EW134" s="111"/>
      <c r="EX134" s="111"/>
      <c r="EY134" s="165"/>
      <c r="EZ134" s="109">
        <f t="shared" si="242"/>
        <v>0</v>
      </c>
      <c r="FA134" s="109">
        <f t="shared" si="243"/>
        <v>0</v>
      </c>
      <c r="FB134" s="109"/>
      <c r="FC134" s="109"/>
      <c r="FD134" s="111"/>
      <c r="FE134" s="111"/>
      <c r="FF134" s="165"/>
      <c r="FG134" s="109">
        <f t="shared" si="245"/>
        <v>0</v>
      </c>
      <c r="FH134" s="109">
        <f t="shared" si="246"/>
        <v>0</v>
      </c>
      <c r="FI134" s="109"/>
      <c r="FJ134" s="109"/>
      <c r="FK134" s="111"/>
      <c r="FL134" s="111"/>
      <c r="FM134" s="165"/>
      <c r="FN134" s="109">
        <f t="shared" si="248"/>
        <v>0</v>
      </c>
      <c r="FO134" s="109">
        <f t="shared" si="249"/>
        <v>0</v>
      </c>
      <c r="FP134" s="109"/>
      <c r="FQ134" s="109"/>
      <c r="FR134" s="111"/>
      <c r="FS134" s="111"/>
      <c r="FT134" s="165"/>
      <c r="FU134" s="109">
        <f t="shared" si="250"/>
        <v>0</v>
      </c>
      <c r="FV134" s="109">
        <f t="shared" si="276"/>
        <v>0</v>
      </c>
      <c r="FW134" s="109"/>
      <c r="FX134" s="109"/>
      <c r="FY134" s="111"/>
      <c r="FZ134" s="111"/>
      <c r="GA134" s="165"/>
      <c r="GB134" s="109">
        <f t="shared" si="251"/>
        <v>0</v>
      </c>
      <c r="GC134" s="109">
        <f t="shared" si="277"/>
        <v>0</v>
      </c>
      <c r="GD134" s="109"/>
      <c r="GE134" s="109"/>
      <c r="GF134" s="111"/>
      <c r="GG134" s="111"/>
      <c r="GH134" s="165"/>
      <c r="GI134" s="109">
        <f t="shared" si="252"/>
        <v>0</v>
      </c>
      <c r="GJ134" s="109">
        <f t="shared" si="278"/>
        <v>0</v>
      </c>
      <c r="GK134" s="109"/>
      <c r="GL134" s="109"/>
      <c r="GM134" s="111"/>
      <c r="GN134" s="111"/>
      <c r="GO134" s="165"/>
      <c r="GP134" s="109">
        <f t="shared" si="253"/>
        <v>0</v>
      </c>
      <c r="GQ134" s="109">
        <f t="shared" si="279"/>
        <v>0</v>
      </c>
      <c r="GR134" s="109"/>
      <c r="GS134" s="109"/>
      <c r="GT134" s="111"/>
      <c r="GU134" s="111"/>
      <c r="GV134" s="165"/>
      <c r="GW134" s="168">
        <f t="shared" si="254"/>
        <v>0</v>
      </c>
      <c r="GX134" s="168">
        <f t="shared" si="280"/>
        <v>0</v>
      </c>
      <c r="GY134" s="168"/>
      <c r="GZ134" s="168"/>
      <c r="HA134" s="111"/>
      <c r="HB134" s="111"/>
      <c r="HC134" s="165"/>
      <c r="HD134" s="109">
        <f t="shared" si="255"/>
        <v>0</v>
      </c>
      <c r="HE134" s="109">
        <f t="shared" si="281"/>
        <v>0</v>
      </c>
      <c r="HF134" s="109"/>
      <c r="HG134" s="109"/>
      <c r="HH134" s="111"/>
      <c r="HI134" s="111"/>
      <c r="HJ134" s="165"/>
      <c r="HK134" s="109">
        <f t="shared" si="256"/>
        <v>0</v>
      </c>
      <c r="HL134" s="109">
        <f t="shared" si="282"/>
        <v>0</v>
      </c>
      <c r="HM134" s="109"/>
      <c r="HN134" s="109"/>
      <c r="HO134" s="111"/>
      <c r="HP134" s="111"/>
      <c r="HQ134" s="165"/>
      <c r="HR134" s="109">
        <f t="shared" si="257"/>
        <v>0</v>
      </c>
      <c r="HS134" s="109">
        <f t="shared" si="283"/>
        <v>0</v>
      </c>
      <c r="HT134" s="109"/>
      <c r="HU134" s="109"/>
      <c r="HV134" s="111"/>
      <c r="HW134" s="111"/>
      <c r="HX134" s="105">
        <f t="shared" si="198"/>
        <v>0</v>
      </c>
      <c r="HY134" s="105">
        <f t="shared" si="198"/>
        <v>0</v>
      </c>
      <c r="HZ134" s="105">
        <f t="shared" si="198"/>
        <v>0</v>
      </c>
      <c r="IA134" s="105">
        <f t="shared" si="295"/>
        <v>0</v>
      </c>
      <c r="IB134" s="109">
        <f t="shared" si="296"/>
        <v>0</v>
      </c>
      <c r="IC134" s="109">
        <f t="shared" si="297"/>
        <v>0</v>
      </c>
      <c r="ID134" s="109">
        <f t="shared" si="298"/>
        <v>0</v>
      </c>
      <c r="IE134" s="109">
        <f t="shared" si="299"/>
        <v>0</v>
      </c>
      <c r="IF134" s="197"/>
      <c r="IG134" s="197"/>
      <c r="IH134" s="197"/>
      <c r="II134" s="197"/>
      <c r="IJ134" s="197"/>
      <c r="IK134" s="197"/>
      <c r="IL134" s="197"/>
      <c r="IM134" s="171"/>
      <c r="IN134" s="171"/>
      <c r="IO134" s="171"/>
      <c r="IP134" s="171"/>
    </row>
    <row r="135" spans="1:250" ht="15" customHeight="1" x14ac:dyDescent="0.3">
      <c r="A135" s="110">
        <f t="shared" si="300"/>
        <v>131</v>
      </c>
      <c r="B135" s="111"/>
      <c r="C135" s="111"/>
      <c r="D135" s="111"/>
      <c r="E135" s="111"/>
      <c r="F135" s="111"/>
      <c r="G135" s="111"/>
      <c r="H135" s="111"/>
      <c r="I135" s="194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75"/>
      <c r="AI135" s="111"/>
      <c r="AJ135" s="111"/>
      <c r="AK135" s="111"/>
      <c r="AL135" s="177"/>
      <c r="AM135" s="176"/>
      <c r="AN135" s="177"/>
      <c r="AO135" s="157"/>
      <c r="AP135" s="158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75"/>
      <c r="BM135" s="111"/>
      <c r="BN135" s="111"/>
      <c r="BO135" s="111"/>
      <c r="BP135" s="111"/>
      <c r="BQ135" s="111"/>
      <c r="BR135" s="111"/>
      <c r="BS135" s="111"/>
      <c r="BT135" s="111"/>
      <c r="BU135" s="111"/>
      <c r="BV135" s="111"/>
      <c r="BW135" s="111"/>
      <c r="BX135" s="111"/>
      <c r="BY135" s="111"/>
      <c r="BZ135" s="111"/>
      <c r="CA135" s="111"/>
      <c r="CB135" s="111"/>
      <c r="CC135" s="178"/>
      <c r="CD135" s="177">
        <f t="shared" si="284"/>
        <v>0</v>
      </c>
      <c r="CE135" s="148"/>
      <c r="CF135" s="111">
        <f t="shared" si="285"/>
        <v>0</v>
      </c>
      <c r="CG135" s="177"/>
      <c r="CH135" s="204"/>
      <c r="CI135" s="148"/>
      <c r="CJ135" s="165"/>
      <c r="CK135" s="165"/>
      <c r="CL135" s="111"/>
      <c r="CM135" s="111"/>
      <c r="CN135" s="165">
        <f t="shared" si="286"/>
        <v>0</v>
      </c>
      <c r="CO135" s="109">
        <f t="shared" si="287"/>
        <v>0</v>
      </c>
      <c r="CP135" s="109">
        <f t="shared" si="288"/>
        <v>0</v>
      </c>
      <c r="CQ135" s="109"/>
      <c r="CR135" s="109"/>
      <c r="CS135" s="196"/>
      <c r="CT135" s="167"/>
      <c r="CU135" s="165"/>
      <c r="CV135" s="109">
        <f t="shared" si="289"/>
        <v>0</v>
      </c>
      <c r="CW135" s="109">
        <f t="shared" si="290"/>
        <v>0</v>
      </c>
      <c r="CX135" s="109"/>
      <c r="CY135" s="109"/>
      <c r="CZ135" s="111"/>
      <c r="DA135" s="111"/>
      <c r="DB135" s="165"/>
      <c r="DC135" s="109">
        <f t="shared" si="291"/>
        <v>0</v>
      </c>
      <c r="DD135" s="109">
        <f t="shared" si="292"/>
        <v>0</v>
      </c>
      <c r="DE135" s="109"/>
      <c r="DF135" s="109"/>
      <c r="DG135" s="111"/>
      <c r="DH135" s="111"/>
      <c r="DI135" s="165"/>
      <c r="DJ135" s="109">
        <f t="shared" si="293"/>
        <v>0</v>
      </c>
      <c r="DK135" s="109">
        <f t="shared" si="294"/>
        <v>0</v>
      </c>
      <c r="DL135" s="109"/>
      <c r="DM135" s="109"/>
      <c r="DN135" s="111"/>
      <c r="DO135" s="111"/>
      <c r="DP135" s="165"/>
      <c r="DQ135" s="109">
        <f t="shared" si="216"/>
        <v>0</v>
      </c>
      <c r="DR135" s="109">
        <f t="shared" si="217"/>
        <v>0</v>
      </c>
      <c r="DS135" s="109"/>
      <c r="DT135" s="109"/>
      <c r="DU135" s="111"/>
      <c r="DV135" s="111"/>
      <c r="DW135" s="165"/>
      <c r="DX135" s="109">
        <f t="shared" si="221"/>
        <v>0</v>
      </c>
      <c r="DY135" s="109">
        <f t="shared" si="222"/>
        <v>0</v>
      </c>
      <c r="DZ135" s="109"/>
      <c r="EA135" s="109"/>
      <c r="EB135" s="111"/>
      <c r="EC135" s="111"/>
      <c r="ED135" s="165"/>
      <c r="EE135" s="109">
        <f t="shared" si="227"/>
        <v>0</v>
      </c>
      <c r="EF135" s="109">
        <f t="shared" si="228"/>
        <v>0</v>
      </c>
      <c r="EG135" s="109"/>
      <c r="EH135" s="109"/>
      <c r="EI135" s="111"/>
      <c r="EJ135" s="111"/>
      <c r="EK135" s="165"/>
      <c r="EL135" s="109">
        <f t="shared" si="233"/>
        <v>0</v>
      </c>
      <c r="EM135" s="109">
        <f t="shared" si="234"/>
        <v>0</v>
      </c>
      <c r="EN135" s="109"/>
      <c r="EO135" s="109"/>
      <c r="EP135" s="111"/>
      <c r="EQ135" s="111"/>
      <c r="ER135" s="165"/>
      <c r="ES135" s="109">
        <f t="shared" si="239"/>
        <v>0</v>
      </c>
      <c r="ET135" s="109">
        <f t="shared" si="240"/>
        <v>0</v>
      </c>
      <c r="EU135" s="109"/>
      <c r="EV135" s="109"/>
      <c r="EW135" s="111"/>
      <c r="EX135" s="111"/>
      <c r="EY135" s="165"/>
      <c r="EZ135" s="109">
        <f t="shared" si="242"/>
        <v>0</v>
      </c>
      <c r="FA135" s="109">
        <f t="shared" si="243"/>
        <v>0</v>
      </c>
      <c r="FB135" s="109"/>
      <c r="FC135" s="109"/>
      <c r="FD135" s="111"/>
      <c r="FE135" s="111"/>
      <c r="FF135" s="165"/>
      <c r="FG135" s="109">
        <f t="shared" si="245"/>
        <v>0</v>
      </c>
      <c r="FH135" s="109">
        <f t="shared" si="246"/>
        <v>0</v>
      </c>
      <c r="FI135" s="109"/>
      <c r="FJ135" s="109"/>
      <c r="FK135" s="111"/>
      <c r="FL135" s="111"/>
      <c r="FM135" s="165"/>
      <c r="FN135" s="109">
        <f t="shared" si="248"/>
        <v>0</v>
      </c>
      <c r="FO135" s="109">
        <f t="shared" si="249"/>
        <v>0</v>
      </c>
      <c r="FP135" s="109"/>
      <c r="FQ135" s="109"/>
      <c r="FR135" s="111"/>
      <c r="FS135" s="111"/>
      <c r="FT135" s="165"/>
      <c r="FU135" s="109">
        <f t="shared" si="250"/>
        <v>0</v>
      </c>
      <c r="FV135" s="109">
        <f t="shared" si="276"/>
        <v>0</v>
      </c>
      <c r="FW135" s="109"/>
      <c r="FX135" s="109"/>
      <c r="FY135" s="111"/>
      <c r="FZ135" s="111"/>
      <c r="GA135" s="165"/>
      <c r="GB135" s="109">
        <f t="shared" si="251"/>
        <v>0</v>
      </c>
      <c r="GC135" s="109">
        <f t="shared" si="277"/>
        <v>0</v>
      </c>
      <c r="GD135" s="109"/>
      <c r="GE135" s="109"/>
      <c r="GF135" s="111"/>
      <c r="GG135" s="111"/>
      <c r="GH135" s="165"/>
      <c r="GI135" s="109">
        <f t="shared" si="252"/>
        <v>0</v>
      </c>
      <c r="GJ135" s="109">
        <f t="shared" si="278"/>
        <v>0</v>
      </c>
      <c r="GK135" s="109"/>
      <c r="GL135" s="109"/>
      <c r="GM135" s="111"/>
      <c r="GN135" s="111"/>
      <c r="GO135" s="165"/>
      <c r="GP135" s="109">
        <f t="shared" si="253"/>
        <v>0</v>
      </c>
      <c r="GQ135" s="109">
        <f t="shared" si="279"/>
        <v>0</v>
      </c>
      <c r="GR135" s="109"/>
      <c r="GS135" s="109"/>
      <c r="GT135" s="111"/>
      <c r="GU135" s="111"/>
      <c r="GV135" s="165"/>
      <c r="GW135" s="168">
        <f t="shared" si="254"/>
        <v>0</v>
      </c>
      <c r="GX135" s="168">
        <f t="shared" si="280"/>
        <v>0</v>
      </c>
      <c r="GY135" s="168"/>
      <c r="GZ135" s="168"/>
      <c r="HA135" s="111"/>
      <c r="HB135" s="111"/>
      <c r="HC135" s="165"/>
      <c r="HD135" s="109">
        <f t="shared" si="255"/>
        <v>0</v>
      </c>
      <c r="HE135" s="109">
        <f t="shared" si="281"/>
        <v>0</v>
      </c>
      <c r="HF135" s="109"/>
      <c r="HG135" s="109"/>
      <c r="HH135" s="111"/>
      <c r="HI135" s="111"/>
      <c r="HJ135" s="165"/>
      <c r="HK135" s="109">
        <f t="shared" si="256"/>
        <v>0</v>
      </c>
      <c r="HL135" s="109">
        <f t="shared" si="282"/>
        <v>0</v>
      </c>
      <c r="HM135" s="109"/>
      <c r="HN135" s="109"/>
      <c r="HO135" s="111"/>
      <c r="HP135" s="111"/>
      <c r="HQ135" s="165"/>
      <c r="HR135" s="109">
        <f t="shared" si="257"/>
        <v>0</v>
      </c>
      <c r="HS135" s="109">
        <f t="shared" si="283"/>
        <v>0</v>
      </c>
      <c r="HT135" s="109"/>
      <c r="HU135" s="109"/>
      <c r="HV135" s="111"/>
      <c r="HW135" s="111"/>
      <c r="HX135" s="105">
        <f t="shared" si="198"/>
        <v>0</v>
      </c>
      <c r="HY135" s="105">
        <f t="shared" si="198"/>
        <v>0</v>
      </c>
      <c r="HZ135" s="105">
        <f t="shared" si="198"/>
        <v>0</v>
      </c>
      <c r="IA135" s="105">
        <f t="shared" si="295"/>
        <v>0</v>
      </c>
      <c r="IB135" s="109">
        <f t="shared" si="296"/>
        <v>0</v>
      </c>
      <c r="IC135" s="109">
        <f t="shared" si="297"/>
        <v>0</v>
      </c>
      <c r="ID135" s="109">
        <f t="shared" si="298"/>
        <v>0</v>
      </c>
      <c r="IE135" s="109">
        <f t="shared" si="299"/>
        <v>0</v>
      </c>
      <c r="IF135" s="197"/>
      <c r="IG135" s="197"/>
      <c r="IH135" s="197"/>
      <c r="II135" s="197"/>
      <c r="IJ135" s="197"/>
      <c r="IK135" s="197"/>
      <c r="IL135" s="197"/>
      <c r="IM135" s="171"/>
      <c r="IN135" s="171"/>
      <c r="IO135" s="171"/>
      <c r="IP135" s="171"/>
    </row>
    <row r="136" spans="1:250" ht="15" customHeight="1" x14ac:dyDescent="0.3">
      <c r="A136" s="110">
        <f t="shared" si="300"/>
        <v>132</v>
      </c>
      <c r="B136" s="111"/>
      <c r="C136" s="111"/>
      <c r="D136" s="111"/>
      <c r="E136" s="111"/>
      <c r="F136" s="111"/>
      <c r="G136" s="111"/>
      <c r="H136" s="111"/>
      <c r="I136" s="194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75"/>
      <c r="AI136" s="111"/>
      <c r="AJ136" s="111"/>
      <c r="AK136" s="111"/>
      <c r="AL136" s="177"/>
      <c r="AM136" s="176"/>
      <c r="AN136" s="177"/>
      <c r="AO136" s="157"/>
      <c r="AP136" s="158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75"/>
      <c r="BM136" s="111"/>
      <c r="BN136" s="111"/>
      <c r="BO136" s="111"/>
      <c r="BP136" s="111"/>
      <c r="BQ136" s="111"/>
      <c r="BR136" s="111"/>
      <c r="BS136" s="111"/>
      <c r="BT136" s="111"/>
      <c r="BU136" s="111"/>
      <c r="BV136" s="111"/>
      <c r="BW136" s="111"/>
      <c r="BX136" s="111"/>
      <c r="BY136" s="111"/>
      <c r="BZ136" s="111"/>
      <c r="CA136" s="111"/>
      <c r="CB136" s="111"/>
      <c r="CC136" s="178"/>
      <c r="CD136" s="177">
        <f t="shared" si="284"/>
        <v>0</v>
      </c>
      <c r="CE136" s="148"/>
      <c r="CF136" s="111">
        <f t="shared" si="285"/>
        <v>0</v>
      </c>
      <c r="CG136" s="177"/>
      <c r="CH136" s="204"/>
      <c r="CI136" s="148"/>
      <c r="CJ136" s="165"/>
      <c r="CK136" s="165"/>
      <c r="CL136" s="111"/>
      <c r="CM136" s="111"/>
      <c r="CN136" s="165">
        <f t="shared" si="286"/>
        <v>0</v>
      </c>
      <c r="CO136" s="109">
        <f t="shared" si="287"/>
        <v>0</v>
      </c>
      <c r="CP136" s="109">
        <f t="shared" si="288"/>
        <v>0</v>
      </c>
      <c r="CQ136" s="109"/>
      <c r="CR136" s="109"/>
      <c r="CS136" s="196"/>
      <c r="CT136" s="167"/>
      <c r="CU136" s="165"/>
      <c r="CV136" s="109">
        <f t="shared" si="289"/>
        <v>0</v>
      </c>
      <c r="CW136" s="109">
        <f t="shared" si="290"/>
        <v>0</v>
      </c>
      <c r="CX136" s="109"/>
      <c r="CY136" s="109"/>
      <c r="CZ136" s="111"/>
      <c r="DA136" s="111"/>
      <c r="DB136" s="165"/>
      <c r="DC136" s="109">
        <f t="shared" si="291"/>
        <v>0</v>
      </c>
      <c r="DD136" s="109">
        <f t="shared" si="292"/>
        <v>0</v>
      </c>
      <c r="DE136" s="109"/>
      <c r="DF136" s="109"/>
      <c r="DG136" s="111"/>
      <c r="DH136" s="111"/>
      <c r="DI136" s="165"/>
      <c r="DJ136" s="109">
        <f t="shared" si="293"/>
        <v>0</v>
      </c>
      <c r="DK136" s="109">
        <f t="shared" si="294"/>
        <v>0</v>
      </c>
      <c r="DL136" s="109"/>
      <c r="DM136" s="109"/>
      <c r="DN136" s="111"/>
      <c r="DO136" s="111"/>
      <c r="DP136" s="165"/>
      <c r="DQ136" s="109">
        <f t="shared" si="216"/>
        <v>0</v>
      </c>
      <c r="DR136" s="109">
        <f t="shared" si="217"/>
        <v>0</v>
      </c>
      <c r="DS136" s="109"/>
      <c r="DT136" s="109"/>
      <c r="DU136" s="111"/>
      <c r="DV136" s="111"/>
      <c r="DW136" s="165"/>
      <c r="DX136" s="109">
        <f t="shared" si="221"/>
        <v>0</v>
      </c>
      <c r="DY136" s="109">
        <f t="shared" si="222"/>
        <v>0</v>
      </c>
      <c r="DZ136" s="109"/>
      <c r="EA136" s="109"/>
      <c r="EB136" s="111"/>
      <c r="EC136" s="111"/>
      <c r="ED136" s="165"/>
      <c r="EE136" s="109">
        <f t="shared" si="227"/>
        <v>0</v>
      </c>
      <c r="EF136" s="109">
        <f t="shared" si="228"/>
        <v>0</v>
      </c>
      <c r="EG136" s="109"/>
      <c r="EH136" s="109"/>
      <c r="EI136" s="111"/>
      <c r="EJ136" s="111"/>
      <c r="EK136" s="165"/>
      <c r="EL136" s="109">
        <f t="shared" si="233"/>
        <v>0</v>
      </c>
      <c r="EM136" s="109">
        <f t="shared" si="234"/>
        <v>0</v>
      </c>
      <c r="EN136" s="109"/>
      <c r="EO136" s="109"/>
      <c r="EP136" s="111"/>
      <c r="EQ136" s="111"/>
      <c r="ER136" s="165"/>
      <c r="ES136" s="109">
        <f t="shared" si="239"/>
        <v>0</v>
      </c>
      <c r="ET136" s="109">
        <f t="shared" si="240"/>
        <v>0</v>
      </c>
      <c r="EU136" s="109"/>
      <c r="EV136" s="109"/>
      <c r="EW136" s="111"/>
      <c r="EX136" s="111"/>
      <c r="EY136" s="165"/>
      <c r="EZ136" s="109">
        <f t="shared" si="242"/>
        <v>0</v>
      </c>
      <c r="FA136" s="109">
        <f t="shared" si="243"/>
        <v>0</v>
      </c>
      <c r="FB136" s="109"/>
      <c r="FC136" s="109"/>
      <c r="FD136" s="111"/>
      <c r="FE136" s="111"/>
      <c r="FF136" s="165"/>
      <c r="FG136" s="109">
        <f t="shared" si="245"/>
        <v>0</v>
      </c>
      <c r="FH136" s="109">
        <f t="shared" si="246"/>
        <v>0</v>
      </c>
      <c r="FI136" s="109"/>
      <c r="FJ136" s="109"/>
      <c r="FK136" s="111"/>
      <c r="FL136" s="111"/>
      <c r="FM136" s="165"/>
      <c r="FN136" s="109">
        <f t="shared" si="248"/>
        <v>0</v>
      </c>
      <c r="FO136" s="109">
        <f t="shared" si="249"/>
        <v>0</v>
      </c>
      <c r="FP136" s="109"/>
      <c r="FQ136" s="109"/>
      <c r="FR136" s="111"/>
      <c r="FS136" s="111"/>
      <c r="FT136" s="165"/>
      <c r="FU136" s="109">
        <f t="shared" si="250"/>
        <v>0</v>
      </c>
      <c r="FV136" s="109">
        <f t="shared" si="276"/>
        <v>0</v>
      </c>
      <c r="FW136" s="109"/>
      <c r="FX136" s="109"/>
      <c r="FY136" s="111"/>
      <c r="FZ136" s="111"/>
      <c r="GA136" s="165"/>
      <c r="GB136" s="109">
        <f t="shared" si="251"/>
        <v>0</v>
      </c>
      <c r="GC136" s="109">
        <f t="shared" si="277"/>
        <v>0</v>
      </c>
      <c r="GD136" s="109"/>
      <c r="GE136" s="109"/>
      <c r="GF136" s="111"/>
      <c r="GG136" s="111"/>
      <c r="GH136" s="165"/>
      <c r="GI136" s="109">
        <f t="shared" si="252"/>
        <v>0</v>
      </c>
      <c r="GJ136" s="109">
        <f t="shared" si="278"/>
        <v>0</v>
      </c>
      <c r="GK136" s="109"/>
      <c r="GL136" s="109"/>
      <c r="GM136" s="111"/>
      <c r="GN136" s="111"/>
      <c r="GO136" s="165"/>
      <c r="GP136" s="109">
        <f t="shared" si="253"/>
        <v>0</v>
      </c>
      <c r="GQ136" s="109">
        <f t="shared" si="279"/>
        <v>0</v>
      </c>
      <c r="GR136" s="109"/>
      <c r="GS136" s="109"/>
      <c r="GT136" s="111"/>
      <c r="GU136" s="111"/>
      <c r="GV136" s="165"/>
      <c r="GW136" s="168">
        <f t="shared" si="254"/>
        <v>0</v>
      </c>
      <c r="GX136" s="168">
        <f t="shared" si="280"/>
        <v>0</v>
      </c>
      <c r="GY136" s="168"/>
      <c r="GZ136" s="168"/>
      <c r="HA136" s="111"/>
      <c r="HB136" s="111"/>
      <c r="HC136" s="165"/>
      <c r="HD136" s="109">
        <f t="shared" si="255"/>
        <v>0</v>
      </c>
      <c r="HE136" s="109">
        <f t="shared" si="281"/>
        <v>0</v>
      </c>
      <c r="HF136" s="109"/>
      <c r="HG136" s="109"/>
      <c r="HH136" s="111"/>
      <c r="HI136" s="111"/>
      <c r="HJ136" s="165"/>
      <c r="HK136" s="109">
        <f t="shared" si="256"/>
        <v>0</v>
      </c>
      <c r="HL136" s="109">
        <f t="shared" si="282"/>
        <v>0</v>
      </c>
      <c r="HM136" s="109"/>
      <c r="HN136" s="109"/>
      <c r="HO136" s="111"/>
      <c r="HP136" s="111"/>
      <c r="HQ136" s="165"/>
      <c r="HR136" s="109">
        <f t="shared" si="257"/>
        <v>0</v>
      </c>
      <c r="HS136" s="109">
        <f t="shared" si="283"/>
        <v>0</v>
      </c>
      <c r="HT136" s="109"/>
      <c r="HU136" s="109"/>
      <c r="HV136" s="111"/>
      <c r="HW136" s="111"/>
      <c r="HX136" s="105">
        <f t="shared" ref="HX136:HZ199" si="301">CO136+CV136+DC136+DJ136+DQ136+DX136+EE136+EL136+ES136+EZ136+FG136+FN136+FU136+GB136+GI136+GP136+GW136+HD136+HK136+HR136</f>
        <v>0</v>
      </c>
      <c r="HY136" s="105">
        <f t="shared" si="301"/>
        <v>0</v>
      </c>
      <c r="HZ136" s="105">
        <f t="shared" si="301"/>
        <v>0</v>
      </c>
      <c r="IA136" s="105">
        <f t="shared" si="295"/>
        <v>0</v>
      </c>
      <c r="IB136" s="109">
        <f t="shared" si="296"/>
        <v>0</v>
      </c>
      <c r="IC136" s="109">
        <f t="shared" si="297"/>
        <v>0</v>
      </c>
      <c r="ID136" s="109">
        <f t="shared" si="298"/>
        <v>0</v>
      </c>
      <c r="IE136" s="109">
        <f t="shared" si="299"/>
        <v>0</v>
      </c>
      <c r="IF136" s="197"/>
      <c r="IG136" s="197"/>
      <c r="IH136" s="197"/>
      <c r="II136" s="197"/>
      <c r="IJ136" s="197"/>
      <c r="IK136" s="197"/>
      <c r="IL136" s="197"/>
      <c r="IM136" s="171"/>
      <c r="IN136" s="171"/>
      <c r="IO136" s="171"/>
      <c r="IP136" s="171"/>
    </row>
    <row r="137" spans="1:250" ht="15" customHeight="1" x14ac:dyDescent="0.3">
      <c r="A137" s="110">
        <f t="shared" si="300"/>
        <v>133</v>
      </c>
      <c r="B137" s="111"/>
      <c r="C137" s="111"/>
      <c r="D137" s="111"/>
      <c r="E137" s="111"/>
      <c r="F137" s="111"/>
      <c r="G137" s="111"/>
      <c r="H137" s="111"/>
      <c r="I137" s="194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75"/>
      <c r="AI137" s="111"/>
      <c r="AJ137" s="111"/>
      <c r="AK137" s="111"/>
      <c r="AL137" s="177"/>
      <c r="AM137" s="176"/>
      <c r="AN137" s="177"/>
      <c r="AO137" s="157"/>
      <c r="AP137" s="158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75"/>
      <c r="BM137" s="111"/>
      <c r="BN137" s="111"/>
      <c r="BO137" s="111"/>
      <c r="BP137" s="111"/>
      <c r="BQ137" s="111"/>
      <c r="BR137" s="111"/>
      <c r="BS137" s="111"/>
      <c r="BT137" s="111"/>
      <c r="BU137" s="111"/>
      <c r="BV137" s="111"/>
      <c r="BW137" s="111"/>
      <c r="BX137" s="111"/>
      <c r="BY137" s="111"/>
      <c r="BZ137" s="111"/>
      <c r="CA137" s="111"/>
      <c r="CB137" s="111"/>
      <c r="CC137" s="178"/>
      <c r="CD137" s="177">
        <f t="shared" si="284"/>
        <v>0</v>
      </c>
      <c r="CE137" s="148"/>
      <c r="CF137" s="111">
        <f t="shared" si="285"/>
        <v>0</v>
      </c>
      <c r="CG137" s="177"/>
      <c r="CH137" s="204"/>
      <c r="CI137" s="148"/>
      <c r="CJ137" s="165"/>
      <c r="CK137" s="165"/>
      <c r="CL137" s="111"/>
      <c r="CM137" s="111"/>
      <c r="CN137" s="165">
        <f t="shared" si="286"/>
        <v>0</v>
      </c>
      <c r="CO137" s="109">
        <f t="shared" si="287"/>
        <v>0</v>
      </c>
      <c r="CP137" s="109">
        <f t="shared" si="288"/>
        <v>0</v>
      </c>
      <c r="CQ137" s="109"/>
      <c r="CR137" s="109"/>
      <c r="CS137" s="196"/>
      <c r="CT137" s="167"/>
      <c r="CU137" s="165"/>
      <c r="CV137" s="109">
        <f t="shared" si="289"/>
        <v>0</v>
      </c>
      <c r="CW137" s="109">
        <f t="shared" si="290"/>
        <v>0</v>
      </c>
      <c r="CX137" s="109"/>
      <c r="CY137" s="109"/>
      <c r="CZ137" s="111"/>
      <c r="DA137" s="111"/>
      <c r="DB137" s="165"/>
      <c r="DC137" s="109">
        <f t="shared" si="291"/>
        <v>0</v>
      </c>
      <c r="DD137" s="109">
        <f t="shared" si="292"/>
        <v>0</v>
      </c>
      <c r="DE137" s="109"/>
      <c r="DF137" s="109"/>
      <c r="DG137" s="111"/>
      <c r="DH137" s="111"/>
      <c r="DI137" s="165"/>
      <c r="DJ137" s="109">
        <f t="shared" si="293"/>
        <v>0</v>
      </c>
      <c r="DK137" s="109">
        <f t="shared" si="294"/>
        <v>0</v>
      </c>
      <c r="DL137" s="109"/>
      <c r="DM137" s="109"/>
      <c r="DN137" s="111"/>
      <c r="DO137" s="111"/>
      <c r="DP137" s="165"/>
      <c r="DQ137" s="109">
        <f t="shared" si="216"/>
        <v>0</v>
      </c>
      <c r="DR137" s="109">
        <f t="shared" si="217"/>
        <v>0</v>
      </c>
      <c r="DS137" s="109"/>
      <c r="DT137" s="109"/>
      <c r="DU137" s="111"/>
      <c r="DV137" s="111"/>
      <c r="DW137" s="165"/>
      <c r="DX137" s="109">
        <f t="shared" si="221"/>
        <v>0</v>
      </c>
      <c r="DY137" s="109">
        <f t="shared" si="222"/>
        <v>0</v>
      </c>
      <c r="DZ137" s="109"/>
      <c r="EA137" s="109"/>
      <c r="EB137" s="111"/>
      <c r="EC137" s="111"/>
      <c r="ED137" s="165"/>
      <c r="EE137" s="109">
        <f t="shared" si="227"/>
        <v>0</v>
      </c>
      <c r="EF137" s="109">
        <f t="shared" si="228"/>
        <v>0</v>
      </c>
      <c r="EG137" s="109"/>
      <c r="EH137" s="109"/>
      <c r="EI137" s="111"/>
      <c r="EJ137" s="111"/>
      <c r="EK137" s="165"/>
      <c r="EL137" s="109">
        <f t="shared" si="233"/>
        <v>0</v>
      </c>
      <c r="EM137" s="109">
        <f t="shared" si="234"/>
        <v>0</v>
      </c>
      <c r="EN137" s="109"/>
      <c r="EO137" s="109"/>
      <c r="EP137" s="111"/>
      <c r="EQ137" s="111"/>
      <c r="ER137" s="165"/>
      <c r="ES137" s="109">
        <f t="shared" si="239"/>
        <v>0</v>
      </c>
      <c r="ET137" s="109">
        <f t="shared" si="240"/>
        <v>0</v>
      </c>
      <c r="EU137" s="109"/>
      <c r="EV137" s="109"/>
      <c r="EW137" s="111"/>
      <c r="EX137" s="111"/>
      <c r="EY137" s="165"/>
      <c r="EZ137" s="109">
        <f t="shared" si="242"/>
        <v>0</v>
      </c>
      <c r="FA137" s="109">
        <f t="shared" si="243"/>
        <v>0</v>
      </c>
      <c r="FB137" s="109"/>
      <c r="FC137" s="109"/>
      <c r="FD137" s="111"/>
      <c r="FE137" s="111"/>
      <c r="FF137" s="165"/>
      <c r="FG137" s="109">
        <f t="shared" si="245"/>
        <v>0</v>
      </c>
      <c r="FH137" s="109">
        <f t="shared" si="246"/>
        <v>0</v>
      </c>
      <c r="FI137" s="109"/>
      <c r="FJ137" s="109"/>
      <c r="FK137" s="111"/>
      <c r="FL137" s="111"/>
      <c r="FM137" s="165"/>
      <c r="FN137" s="109">
        <f t="shared" si="248"/>
        <v>0</v>
      </c>
      <c r="FO137" s="109">
        <f t="shared" si="249"/>
        <v>0</v>
      </c>
      <c r="FP137" s="109"/>
      <c r="FQ137" s="109"/>
      <c r="FR137" s="111"/>
      <c r="FS137" s="111"/>
      <c r="FT137" s="165"/>
      <c r="FU137" s="109">
        <f t="shared" si="250"/>
        <v>0</v>
      </c>
      <c r="FV137" s="109">
        <f t="shared" si="276"/>
        <v>0</v>
      </c>
      <c r="FW137" s="109"/>
      <c r="FX137" s="109"/>
      <c r="FY137" s="111"/>
      <c r="FZ137" s="111"/>
      <c r="GA137" s="165"/>
      <c r="GB137" s="109">
        <f t="shared" si="251"/>
        <v>0</v>
      </c>
      <c r="GC137" s="109">
        <f t="shared" si="277"/>
        <v>0</v>
      </c>
      <c r="GD137" s="109"/>
      <c r="GE137" s="109"/>
      <c r="GF137" s="111"/>
      <c r="GG137" s="111"/>
      <c r="GH137" s="165"/>
      <c r="GI137" s="109">
        <f t="shared" si="252"/>
        <v>0</v>
      </c>
      <c r="GJ137" s="109">
        <f t="shared" si="278"/>
        <v>0</v>
      </c>
      <c r="GK137" s="109"/>
      <c r="GL137" s="109"/>
      <c r="GM137" s="111"/>
      <c r="GN137" s="111"/>
      <c r="GO137" s="165"/>
      <c r="GP137" s="109">
        <f t="shared" si="253"/>
        <v>0</v>
      </c>
      <c r="GQ137" s="109">
        <f t="shared" si="279"/>
        <v>0</v>
      </c>
      <c r="GR137" s="109"/>
      <c r="GS137" s="109"/>
      <c r="GT137" s="111"/>
      <c r="GU137" s="111"/>
      <c r="GV137" s="165"/>
      <c r="GW137" s="168">
        <f t="shared" si="254"/>
        <v>0</v>
      </c>
      <c r="GX137" s="168">
        <f t="shared" si="280"/>
        <v>0</v>
      </c>
      <c r="GY137" s="168"/>
      <c r="GZ137" s="168"/>
      <c r="HA137" s="111"/>
      <c r="HB137" s="111"/>
      <c r="HC137" s="165"/>
      <c r="HD137" s="109">
        <f t="shared" si="255"/>
        <v>0</v>
      </c>
      <c r="HE137" s="109">
        <f t="shared" si="281"/>
        <v>0</v>
      </c>
      <c r="HF137" s="109"/>
      <c r="HG137" s="109"/>
      <c r="HH137" s="111"/>
      <c r="HI137" s="111"/>
      <c r="HJ137" s="165"/>
      <c r="HK137" s="109">
        <f t="shared" si="256"/>
        <v>0</v>
      </c>
      <c r="HL137" s="109">
        <f t="shared" si="282"/>
        <v>0</v>
      </c>
      <c r="HM137" s="109"/>
      <c r="HN137" s="109"/>
      <c r="HO137" s="111"/>
      <c r="HP137" s="111"/>
      <c r="HQ137" s="165"/>
      <c r="HR137" s="109">
        <f t="shared" si="257"/>
        <v>0</v>
      </c>
      <c r="HS137" s="109">
        <f t="shared" si="283"/>
        <v>0</v>
      </c>
      <c r="HT137" s="109"/>
      <c r="HU137" s="109"/>
      <c r="HV137" s="111"/>
      <c r="HW137" s="111"/>
      <c r="HX137" s="105">
        <f t="shared" si="301"/>
        <v>0</v>
      </c>
      <c r="HY137" s="105">
        <f t="shared" si="301"/>
        <v>0</v>
      </c>
      <c r="HZ137" s="105">
        <f t="shared" si="301"/>
        <v>0</v>
      </c>
      <c r="IA137" s="105">
        <f t="shared" si="295"/>
        <v>0</v>
      </c>
      <c r="IB137" s="109">
        <f t="shared" si="296"/>
        <v>0</v>
      </c>
      <c r="IC137" s="109">
        <f t="shared" si="297"/>
        <v>0</v>
      </c>
      <c r="ID137" s="109">
        <f t="shared" si="298"/>
        <v>0</v>
      </c>
      <c r="IE137" s="109">
        <f t="shared" si="299"/>
        <v>0</v>
      </c>
      <c r="IF137" s="197"/>
      <c r="IG137" s="197"/>
      <c r="IH137" s="197"/>
      <c r="II137" s="197"/>
      <c r="IJ137" s="197"/>
      <c r="IK137" s="197"/>
      <c r="IL137" s="197"/>
      <c r="IM137" s="171"/>
      <c r="IN137" s="171"/>
      <c r="IO137" s="171"/>
      <c r="IP137" s="171"/>
    </row>
    <row r="138" spans="1:250" ht="15" customHeight="1" x14ac:dyDescent="0.3">
      <c r="A138" s="110">
        <f t="shared" si="300"/>
        <v>134</v>
      </c>
      <c r="B138" s="111"/>
      <c r="C138" s="111"/>
      <c r="D138" s="111"/>
      <c r="E138" s="111"/>
      <c r="F138" s="111"/>
      <c r="G138" s="111"/>
      <c r="H138" s="111"/>
      <c r="I138" s="194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75"/>
      <c r="AI138" s="111"/>
      <c r="AJ138" s="111"/>
      <c r="AK138" s="111"/>
      <c r="AL138" s="177"/>
      <c r="AM138" s="176"/>
      <c r="AN138" s="177"/>
      <c r="AO138" s="157"/>
      <c r="AP138" s="158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75"/>
      <c r="BM138" s="111"/>
      <c r="BN138" s="111"/>
      <c r="BO138" s="111"/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1"/>
      <c r="CA138" s="111"/>
      <c r="CB138" s="111"/>
      <c r="CC138" s="178"/>
      <c r="CD138" s="177">
        <f t="shared" si="284"/>
        <v>0</v>
      </c>
      <c r="CE138" s="148"/>
      <c r="CF138" s="111">
        <f t="shared" si="285"/>
        <v>0</v>
      </c>
      <c r="CG138" s="177"/>
      <c r="CH138" s="204"/>
      <c r="CI138" s="148"/>
      <c r="CJ138" s="165"/>
      <c r="CK138" s="165"/>
      <c r="CL138" s="111"/>
      <c r="CM138" s="111"/>
      <c r="CN138" s="165">
        <f t="shared" si="286"/>
        <v>0</v>
      </c>
      <c r="CO138" s="109">
        <f t="shared" si="287"/>
        <v>0</v>
      </c>
      <c r="CP138" s="109">
        <f t="shared" si="288"/>
        <v>0</v>
      </c>
      <c r="CQ138" s="109"/>
      <c r="CR138" s="109"/>
      <c r="CS138" s="196"/>
      <c r="CT138" s="167"/>
      <c r="CU138" s="165"/>
      <c r="CV138" s="109">
        <f t="shared" si="289"/>
        <v>0</v>
      </c>
      <c r="CW138" s="109">
        <f t="shared" si="290"/>
        <v>0</v>
      </c>
      <c r="CX138" s="109"/>
      <c r="CY138" s="109"/>
      <c r="CZ138" s="111"/>
      <c r="DA138" s="111"/>
      <c r="DB138" s="165"/>
      <c r="DC138" s="109">
        <f t="shared" si="291"/>
        <v>0</v>
      </c>
      <c r="DD138" s="109">
        <f t="shared" si="292"/>
        <v>0</v>
      </c>
      <c r="DE138" s="109"/>
      <c r="DF138" s="109"/>
      <c r="DG138" s="111"/>
      <c r="DH138" s="111"/>
      <c r="DI138" s="165"/>
      <c r="DJ138" s="109">
        <f t="shared" si="293"/>
        <v>0</v>
      </c>
      <c r="DK138" s="109">
        <f t="shared" si="294"/>
        <v>0</v>
      </c>
      <c r="DL138" s="109"/>
      <c r="DM138" s="109"/>
      <c r="DN138" s="111"/>
      <c r="DO138" s="111"/>
      <c r="DP138" s="165"/>
      <c r="DQ138" s="109">
        <f t="shared" si="216"/>
        <v>0</v>
      </c>
      <c r="DR138" s="109">
        <f t="shared" si="217"/>
        <v>0</v>
      </c>
      <c r="DS138" s="109"/>
      <c r="DT138" s="109"/>
      <c r="DU138" s="111"/>
      <c r="DV138" s="111"/>
      <c r="DW138" s="165"/>
      <c r="DX138" s="109">
        <f t="shared" si="221"/>
        <v>0</v>
      </c>
      <c r="DY138" s="109">
        <f t="shared" si="222"/>
        <v>0</v>
      </c>
      <c r="DZ138" s="109"/>
      <c r="EA138" s="109"/>
      <c r="EB138" s="111"/>
      <c r="EC138" s="111"/>
      <c r="ED138" s="165"/>
      <c r="EE138" s="109">
        <f t="shared" si="227"/>
        <v>0</v>
      </c>
      <c r="EF138" s="109">
        <f t="shared" si="228"/>
        <v>0</v>
      </c>
      <c r="EG138" s="109"/>
      <c r="EH138" s="109"/>
      <c r="EI138" s="111"/>
      <c r="EJ138" s="111"/>
      <c r="EK138" s="165"/>
      <c r="EL138" s="109">
        <f t="shared" si="233"/>
        <v>0</v>
      </c>
      <c r="EM138" s="109">
        <f t="shared" si="234"/>
        <v>0</v>
      </c>
      <c r="EN138" s="109"/>
      <c r="EO138" s="109"/>
      <c r="EP138" s="111"/>
      <c r="EQ138" s="111"/>
      <c r="ER138" s="165"/>
      <c r="ES138" s="109">
        <f t="shared" si="239"/>
        <v>0</v>
      </c>
      <c r="ET138" s="109">
        <f t="shared" si="240"/>
        <v>0</v>
      </c>
      <c r="EU138" s="109"/>
      <c r="EV138" s="109"/>
      <c r="EW138" s="111"/>
      <c r="EX138" s="111"/>
      <c r="EY138" s="165"/>
      <c r="EZ138" s="109">
        <f t="shared" si="242"/>
        <v>0</v>
      </c>
      <c r="FA138" s="109">
        <f t="shared" si="243"/>
        <v>0</v>
      </c>
      <c r="FB138" s="109"/>
      <c r="FC138" s="109"/>
      <c r="FD138" s="111"/>
      <c r="FE138" s="111"/>
      <c r="FF138" s="165"/>
      <c r="FG138" s="109">
        <f t="shared" si="245"/>
        <v>0</v>
      </c>
      <c r="FH138" s="109">
        <f t="shared" si="246"/>
        <v>0</v>
      </c>
      <c r="FI138" s="109"/>
      <c r="FJ138" s="109"/>
      <c r="FK138" s="111"/>
      <c r="FL138" s="111"/>
      <c r="FM138" s="165"/>
      <c r="FN138" s="109">
        <f t="shared" si="248"/>
        <v>0</v>
      </c>
      <c r="FO138" s="109">
        <f t="shared" si="249"/>
        <v>0</v>
      </c>
      <c r="FP138" s="109"/>
      <c r="FQ138" s="109"/>
      <c r="FR138" s="111"/>
      <c r="FS138" s="111"/>
      <c r="FT138" s="165"/>
      <c r="FU138" s="109">
        <f t="shared" si="250"/>
        <v>0</v>
      </c>
      <c r="FV138" s="109">
        <f t="shared" si="276"/>
        <v>0</v>
      </c>
      <c r="FW138" s="109"/>
      <c r="FX138" s="109"/>
      <c r="FY138" s="111"/>
      <c r="FZ138" s="111"/>
      <c r="GA138" s="165"/>
      <c r="GB138" s="109">
        <f t="shared" si="251"/>
        <v>0</v>
      </c>
      <c r="GC138" s="109">
        <f t="shared" si="277"/>
        <v>0</v>
      </c>
      <c r="GD138" s="109"/>
      <c r="GE138" s="109"/>
      <c r="GF138" s="111"/>
      <c r="GG138" s="111"/>
      <c r="GH138" s="165"/>
      <c r="GI138" s="109">
        <f t="shared" si="252"/>
        <v>0</v>
      </c>
      <c r="GJ138" s="109">
        <f t="shared" si="278"/>
        <v>0</v>
      </c>
      <c r="GK138" s="109"/>
      <c r="GL138" s="109"/>
      <c r="GM138" s="111"/>
      <c r="GN138" s="111"/>
      <c r="GO138" s="165"/>
      <c r="GP138" s="109">
        <f t="shared" si="253"/>
        <v>0</v>
      </c>
      <c r="GQ138" s="109">
        <f t="shared" si="279"/>
        <v>0</v>
      </c>
      <c r="GR138" s="109"/>
      <c r="GS138" s="109"/>
      <c r="GT138" s="111"/>
      <c r="GU138" s="111"/>
      <c r="GV138" s="165"/>
      <c r="GW138" s="168">
        <f t="shared" si="254"/>
        <v>0</v>
      </c>
      <c r="GX138" s="168">
        <f t="shared" si="280"/>
        <v>0</v>
      </c>
      <c r="GY138" s="168"/>
      <c r="GZ138" s="168"/>
      <c r="HA138" s="111"/>
      <c r="HB138" s="111"/>
      <c r="HC138" s="165"/>
      <c r="HD138" s="109">
        <f t="shared" si="255"/>
        <v>0</v>
      </c>
      <c r="HE138" s="109">
        <f t="shared" si="281"/>
        <v>0</v>
      </c>
      <c r="HF138" s="109"/>
      <c r="HG138" s="109"/>
      <c r="HH138" s="111"/>
      <c r="HI138" s="111"/>
      <c r="HJ138" s="165"/>
      <c r="HK138" s="109">
        <f t="shared" si="256"/>
        <v>0</v>
      </c>
      <c r="HL138" s="109">
        <f t="shared" si="282"/>
        <v>0</v>
      </c>
      <c r="HM138" s="109"/>
      <c r="HN138" s="109"/>
      <c r="HO138" s="111"/>
      <c r="HP138" s="111"/>
      <c r="HQ138" s="165"/>
      <c r="HR138" s="109">
        <f t="shared" si="257"/>
        <v>0</v>
      </c>
      <c r="HS138" s="109">
        <f t="shared" si="283"/>
        <v>0</v>
      </c>
      <c r="HT138" s="109"/>
      <c r="HU138" s="109"/>
      <c r="HV138" s="111"/>
      <c r="HW138" s="111"/>
      <c r="HX138" s="105">
        <f t="shared" si="301"/>
        <v>0</v>
      </c>
      <c r="HY138" s="105">
        <f t="shared" si="301"/>
        <v>0</v>
      </c>
      <c r="HZ138" s="105">
        <f t="shared" si="301"/>
        <v>0</v>
      </c>
      <c r="IA138" s="105">
        <f t="shared" si="295"/>
        <v>0</v>
      </c>
      <c r="IB138" s="109">
        <f t="shared" si="296"/>
        <v>0</v>
      </c>
      <c r="IC138" s="109">
        <f t="shared" si="297"/>
        <v>0</v>
      </c>
      <c r="ID138" s="109">
        <f t="shared" si="298"/>
        <v>0</v>
      </c>
      <c r="IE138" s="109">
        <f t="shared" si="299"/>
        <v>0</v>
      </c>
      <c r="IF138" s="197"/>
      <c r="IG138" s="197"/>
      <c r="IH138" s="197"/>
      <c r="II138" s="197"/>
      <c r="IJ138" s="197"/>
      <c r="IK138" s="197"/>
      <c r="IL138" s="197"/>
      <c r="IM138" s="171"/>
      <c r="IN138" s="171"/>
      <c r="IO138" s="171"/>
      <c r="IP138" s="171"/>
    </row>
    <row r="139" spans="1:250" ht="15" customHeight="1" x14ac:dyDescent="0.3">
      <c r="A139" s="110">
        <f t="shared" si="300"/>
        <v>135</v>
      </c>
      <c r="B139" s="111"/>
      <c r="C139" s="111"/>
      <c r="D139" s="111"/>
      <c r="E139" s="111"/>
      <c r="F139" s="111"/>
      <c r="G139" s="111"/>
      <c r="H139" s="111"/>
      <c r="I139" s="194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75"/>
      <c r="AI139" s="111"/>
      <c r="AJ139" s="111"/>
      <c r="AK139" s="111"/>
      <c r="AL139" s="177"/>
      <c r="AM139" s="176"/>
      <c r="AN139" s="177"/>
      <c r="AO139" s="157"/>
      <c r="AP139" s="158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75"/>
      <c r="BM139" s="111"/>
      <c r="BN139" s="111"/>
      <c r="BO139" s="111"/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1"/>
      <c r="CA139" s="111"/>
      <c r="CB139" s="111"/>
      <c r="CC139" s="178"/>
      <c r="CD139" s="177">
        <f t="shared" si="284"/>
        <v>0</v>
      </c>
      <c r="CE139" s="148"/>
      <c r="CF139" s="111">
        <f t="shared" si="285"/>
        <v>0</v>
      </c>
      <c r="CG139" s="177"/>
      <c r="CH139" s="204"/>
      <c r="CI139" s="148"/>
      <c r="CJ139" s="165"/>
      <c r="CK139" s="165"/>
      <c r="CL139" s="111"/>
      <c r="CM139" s="111"/>
      <c r="CN139" s="165">
        <f t="shared" si="286"/>
        <v>0</v>
      </c>
      <c r="CO139" s="109">
        <f t="shared" si="287"/>
        <v>0</v>
      </c>
      <c r="CP139" s="109">
        <f t="shared" si="288"/>
        <v>0</v>
      </c>
      <c r="CQ139" s="109"/>
      <c r="CR139" s="109"/>
      <c r="CS139" s="196"/>
      <c r="CT139" s="167"/>
      <c r="CU139" s="165"/>
      <c r="CV139" s="109">
        <f t="shared" si="289"/>
        <v>0</v>
      </c>
      <c r="CW139" s="109">
        <f t="shared" si="290"/>
        <v>0</v>
      </c>
      <c r="CX139" s="109"/>
      <c r="CY139" s="109"/>
      <c r="CZ139" s="111"/>
      <c r="DA139" s="111"/>
      <c r="DB139" s="165"/>
      <c r="DC139" s="109">
        <f t="shared" si="291"/>
        <v>0</v>
      </c>
      <c r="DD139" s="109">
        <f t="shared" si="292"/>
        <v>0</v>
      </c>
      <c r="DE139" s="109"/>
      <c r="DF139" s="109"/>
      <c r="DG139" s="111"/>
      <c r="DH139" s="111"/>
      <c r="DI139" s="165"/>
      <c r="DJ139" s="109">
        <f t="shared" si="293"/>
        <v>0</v>
      </c>
      <c r="DK139" s="109">
        <f t="shared" si="294"/>
        <v>0</v>
      </c>
      <c r="DL139" s="109"/>
      <c r="DM139" s="109"/>
      <c r="DN139" s="111"/>
      <c r="DO139" s="111"/>
      <c r="DP139" s="165"/>
      <c r="DQ139" s="109">
        <f t="shared" si="216"/>
        <v>0</v>
      </c>
      <c r="DR139" s="109">
        <f t="shared" si="217"/>
        <v>0</v>
      </c>
      <c r="DS139" s="109"/>
      <c r="DT139" s="109"/>
      <c r="DU139" s="111"/>
      <c r="DV139" s="111"/>
      <c r="DW139" s="165"/>
      <c r="DX139" s="109">
        <f t="shared" si="221"/>
        <v>0</v>
      </c>
      <c r="DY139" s="109">
        <f t="shared" si="222"/>
        <v>0</v>
      </c>
      <c r="DZ139" s="109"/>
      <c r="EA139" s="109"/>
      <c r="EB139" s="111"/>
      <c r="EC139" s="111"/>
      <c r="ED139" s="165"/>
      <c r="EE139" s="109">
        <f t="shared" si="227"/>
        <v>0</v>
      </c>
      <c r="EF139" s="109">
        <f t="shared" si="228"/>
        <v>0</v>
      </c>
      <c r="EG139" s="109"/>
      <c r="EH139" s="109"/>
      <c r="EI139" s="111"/>
      <c r="EJ139" s="111"/>
      <c r="EK139" s="165"/>
      <c r="EL139" s="109">
        <f t="shared" si="233"/>
        <v>0</v>
      </c>
      <c r="EM139" s="109">
        <f t="shared" si="234"/>
        <v>0</v>
      </c>
      <c r="EN139" s="109"/>
      <c r="EO139" s="109"/>
      <c r="EP139" s="111"/>
      <c r="EQ139" s="111"/>
      <c r="ER139" s="165"/>
      <c r="ES139" s="109">
        <f t="shared" si="239"/>
        <v>0</v>
      </c>
      <c r="ET139" s="109">
        <f t="shared" si="240"/>
        <v>0</v>
      </c>
      <c r="EU139" s="109"/>
      <c r="EV139" s="109"/>
      <c r="EW139" s="111"/>
      <c r="EX139" s="111"/>
      <c r="EY139" s="165"/>
      <c r="EZ139" s="109">
        <f t="shared" si="242"/>
        <v>0</v>
      </c>
      <c r="FA139" s="109">
        <f t="shared" si="243"/>
        <v>0</v>
      </c>
      <c r="FB139" s="109"/>
      <c r="FC139" s="109"/>
      <c r="FD139" s="111"/>
      <c r="FE139" s="111"/>
      <c r="FF139" s="165"/>
      <c r="FG139" s="109">
        <f t="shared" si="245"/>
        <v>0</v>
      </c>
      <c r="FH139" s="109">
        <f t="shared" si="246"/>
        <v>0</v>
      </c>
      <c r="FI139" s="109"/>
      <c r="FJ139" s="109"/>
      <c r="FK139" s="111"/>
      <c r="FL139" s="111"/>
      <c r="FM139" s="165"/>
      <c r="FN139" s="109">
        <f t="shared" si="248"/>
        <v>0</v>
      </c>
      <c r="FO139" s="109">
        <f t="shared" si="249"/>
        <v>0</v>
      </c>
      <c r="FP139" s="109"/>
      <c r="FQ139" s="109"/>
      <c r="FR139" s="111"/>
      <c r="FS139" s="111"/>
      <c r="FT139" s="165"/>
      <c r="FU139" s="109">
        <f t="shared" si="250"/>
        <v>0</v>
      </c>
      <c r="FV139" s="109">
        <f t="shared" si="276"/>
        <v>0</v>
      </c>
      <c r="FW139" s="109"/>
      <c r="FX139" s="109"/>
      <c r="FY139" s="111"/>
      <c r="FZ139" s="111"/>
      <c r="GA139" s="165"/>
      <c r="GB139" s="109">
        <f t="shared" si="251"/>
        <v>0</v>
      </c>
      <c r="GC139" s="109">
        <f t="shared" si="277"/>
        <v>0</v>
      </c>
      <c r="GD139" s="109"/>
      <c r="GE139" s="109"/>
      <c r="GF139" s="111"/>
      <c r="GG139" s="111"/>
      <c r="GH139" s="165"/>
      <c r="GI139" s="109">
        <f t="shared" si="252"/>
        <v>0</v>
      </c>
      <c r="GJ139" s="109">
        <f t="shared" si="278"/>
        <v>0</v>
      </c>
      <c r="GK139" s="109"/>
      <c r="GL139" s="109"/>
      <c r="GM139" s="111"/>
      <c r="GN139" s="111"/>
      <c r="GO139" s="165"/>
      <c r="GP139" s="109">
        <f t="shared" si="253"/>
        <v>0</v>
      </c>
      <c r="GQ139" s="109">
        <f t="shared" si="279"/>
        <v>0</v>
      </c>
      <c r="GR139" s="109"/>
      <c r="GS139" s="109"/>
      <c r="GT139" s="111"/>
      <c r="GU139" s="111"/>
      <c r="GV139" s="165"/>
      <c r="GW139" s="168">
        <f t="shared" si="254"/>
        <v>0</v>
      </c>
      <c r="GX139" s="168">
        <f t="shared" si="280"/>
        <v>0</v>
      </c>
      <c r="GY139" s="168"/>
      <c r="GZ139" s="168"/>
      <c r="HA139" s="111"/>
      <c r="HB139" s="111"/>
      <c r="HC139" s="165"/>
      <c r="HD139" s="109">
        <f t="shared" si="255"/>
        <v>0</v>
      </c>
      <c r="HE139" s="109">
        <f t="shared" si="281"/>
        <v>0</v>
      </c>
      <c r="HF139" s="109"/>
      <c r="HG139" s="109"/>
      <c r="HH139" s="111"/>
      <c r="HI139" s="111"/>
      <c r="HJ139" s="165"/>
      <c r="HK139" s="109">
        <f t="shared" si="256"/>
        <v>0</v>
      </c>
      <c r="HL139" s="109">
        <f t="shared" si="282"/>
        <v>0</v>
      </c>
      <c r="HM139" s="109"/>
      <c r="HN139" s="109"/>
      <c r="HO139" s="111"/>
      <c r="HP139" s="111"/>
      <c r="HQ139" s="165"/>
      <c r="HR139" s="109">
        <f t="shared" si="257"/>
        <v>0</v>
      </c>
      <c r="HS139" s="109">
        <f t="shared" si="283"/>
        <v>0</v>
      </c>
      <c r="HT139" s="109"/>
      <c r="HU139" s="109"/>
      <c r="HV139" s="111"/>
      <c r="HW139" s="111"/>
      <c r="HX139" s="105">
        <f t="shared" si="301"/>
        <v>0</v>
      </c>
      <c r="HY139" s="105">
        <f t="shared" si="301"/>
        <v>0</v>
      </c>
      <c r="HZ139" s="105">
        <f t="shared" si="301"/>
        <v>0</v>
      </c>
      <c r="IA139" s="105">
        <f t="shared" si="295"/>
        <v>0</v>
      </c>
      <c r="IB139" s="109">
        <f t="shared" si="296"/>
        <v>0</v>
      </c>
      <c r="IC139" s="109">
        <f t="shared" si="297"/>
        <v>0</v>
      </c>
      <c r="ID139" s="109">
        <f t="shared" si="298"/>
        <v>0</v>
      </c>
      <c r="IE139" s="109">
        <f t="shared" si="299"/>
        <v>0</v>
      </c>
      <c r="IF139" s="197"/>
      <c r="IG139" s="197"/>
      <c r="IH139" s="197"/>
      <c r="II139" s="197"/>
      <c r="IJ139" s="197"/>
      <c r="IK139" s="197"/>
      <c r="IL139" s="197"/>
      <c r="IM139" s="171"/>
      <c r="IN139" s="171"/>
      <c r="IO139" s="171"/>
      <c r="IP139" s="171"/>
    </row>
    <row r="140" spans="1:250" ht="15" customHeight="1" x14ac:dyDescent="0.3">
      <c r="A140" s="110">
        <f t="shared" si="300"/>
        <v>136</v>
      </c>
      <c r="B140" s="111"/>
      <c r="C140" s="111"/>
      <c r="D140" s="111"/>
      <c r="E140" s="111"/>
      <c r="F140" s="111"/>
      <c r="G140" s="111"/>
      <c r="H140" s="111"/>
      <c r="I140" s="194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75"/>
      <c r="AI140" s="111"/>
      <c r="AJ140" s="111"/>
      <c r="AK140" s="111"/>
      <c r="AL140" s="177"/>
      <c r="AM140" s="176"/>
      <c r="AN140" s="177"/>
      <c r="AO140" s="157"/>
      <c r="AP140" s="158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75"/>
      <c r="BM140" s="111"/>
      <c r="BN140" s="111"/>
      <c r="BO140" s="111"/>
      <c r="BP140" s="111"/>
      <c r="BQ140" s="111"/>
      <c r="BR140" s="111"/>
      <c r="BS140" s="111"/>
      <c r="BT140" s="111"/>
      <c r="BU140" s="111"/>
      <c r="BV140" s="111"/>
      <c r="BW140" s="111"/>
      <c r="BX140" s="111"/>
      <c r="BY140" s="111"/>
      <c r="BZ140" s="111"/>
      <c r="CA140" s="111"/>
      <c r="CB140" s="111"/>
      <c r="CC140" s="178"/>
      <c r="CD140" s="177">
        <f t="shared" si="284"/>
        <v>0</v>
      </c>
      <c r="CE140" s="148"/>
      <c r="CF140" s="111">
        <f t="shared" si="285"/>
        <v>0</v>
      </c>
      <c r="CG140" s="177"/>
      <c r="CH140" s="204"/>
      <c r="CI140" s="148"/>
      <c r="CJ140" s="165"/>
      <c r="CK140" s="165"/>
      <c r="CL140" s="111"/>
      <c r="CM140" s="111"/>
      <c r="CN140" s="165">
        <f t="shared" si="286"/>
        <v>0</v>
      </c>
      <c r="CO140" s="109">
        <f t="shared" si="287"/>
        <v>0</v>
      </c>
      <c r="CP140" s="109">
        <f t="shared" si="288"/>
        <v>0</v>
      </c>
      <c r="CQ140" s="109"/>
      <c r="CR140" s="109"/>
      <c r="CS140" s="196"/>
      <c r="CT140" s="167"/>
      <c r="CU140" s="165"/>
      <c r="CV140" s="109">
        <f t="shared" si="289"/>
        <v>0</v>
      </c>
      <c r="CW140" s="109">
        <f t="shared" si="290"/>
        <v>0</v>
      </c>
      <c r="CX140" s="109"/>
      <c r="CY140" s="109"/>
      <c r="CZ140" s="111"/>
      <c r="DA140" s="111"/>
      <c r="DB140" s="165"/>
      <c r="DC140" s="109">
        <f t="shared" si="291"/>
        <v>0</v>
      </c>
      <c r="DD140" s="109">
        <f t="shared" si="292"/>
        <v>0</v>
      </c>
      <c r="DE140" s="109"/>
      <c r="DF140" s="109"/>
      <c r="DG140" s="111"/>
      <c r="DH140" s="111"/>
      <c r="DI140" s="165"/>
      <c r="DJ140" s="109">
        <f t="shared" si="293"/>
        <v>0</v>
      </c>
      <c r="DK140" s="109">
        <f t="shared" si="294"/>
        <v>0</v>
      </c>
      <c r="DL140" s="109"/>
      <c r="DM140" s="109"/>
      <c r="DN140" s="111"/>
      <c r="DO140" s="111"/>
      <c r="DP140" s="165"/>
      <c r="DQ140" s="109">
        <f t="shared" si="216"/>
        <v>0</v>
      </c>
      <c r="DR140" s="109">
        <f t="shared" si="217"/>
        <v>0</v>
      </c>
      <c r="DS140" s="109"/>
      <c r="DT140" s="109"/>
      <c r="DU140" s="111"/>
      <c r="DV140" s="111"/>
      <c r="DW140" s="165"/>
      <c r="DX140" s="109">
        <f t="shared" si="221"/>
        <v>0</v>
      </c>
      <c r="DY140" s="109">
        <f t="shared" si="222"/>
        <v>0</v>
      </c>
      <c r="DZ140" s="109"/>
      <c r="EA140" s="109"/>
      <c r="EB140" s="111"/>
      <c r="EC140" s="111"/>
      <c r="ED140" s="165"/>
      <c r="EE140" s="109">
        <f t="shared" si="227"/>
        <v>0</v>
      </c>
      <c r="EF140" s="109">
        <f t="shared" si="228"/>
        <v>0</v>
      </c>
      <c r="EG140" s="109"/>
      <c r="EH140" s="109"/>
      <c r="EI140" s="111"/>
      <c r="EJ140" s="111"/>
      <c r="EK140" s="165"/>
      <c r="EL140" s="109">
        <f t="shared" si="233"/>
        <v>0</v>
      </c>
      <c r="EM140" s="109">
        <f t="shared" si="234"/>
        <v>0</v>
      </c>
      <c r="EN140" s="109"/>
      <c r="EO140" s="109"/>
      <c r="EP140" s="111"/>
      <c r="EQ140" s="111"/>
      <c r="ER140" s="165"/>
      <c r="ES140" s="109">
        <f t="shared" si="239"/>
        <v>0</v>
      </c>
      <c r="ET140" s="109">
        <f t="shared" si="240"/>
        <v>0</v>
      </c>
      <c r="EU140" s="109"/>
      <c r="EV140" s="109"/>
      <c r="EW140" s="111"/>
      <c r="EX140" s="111"/>
      <c r="EY140" s="165"/>
      <c r="EZ140" s="109">
        <f t="shared" si="242"/>
        <v>0</v>
      </c>
      <c r="FA140" s="109">
        <f t="shared" si="243"/>
        <v>0</v>
      </c>
      <c r="FB140" s="109"/>
      <c r="FC140" s="109"/>
      <c r="FD140" s="111"/>
      <c r="FE140" s="111"/>
      <c r="FF140" s="165"/>
      <c r="FG140" s="109">
        <f t="shared" si="245"/>
        <v>0</v>
      </c>
      <c r="FH140" s="109">
        <f t="shared" si="246"/>
        <v>0</v>
      </c>
      <c r="FI140" s="109"/>
      <c r="FJ140" s="109"/>
      <c r="FK140" s="111"/>
      <c r="FL140" s="111"/>
      <c r="FM140" s="165"/>
      <c r="FN140" s="109">
        <f t="shared" si="248"/>
        <v>0</v>
      </c>
      <c r="FO140" s="109">
        <f t="shared" si="249"/>
        <v>0</v>
      </c>
      <c r="FP140" s="109"/>
      <c r="FQ140" s="109"/>
      <c r="FR140" s="111"/>
      <c r="FS140" s="111"/>
      <c r="FT140" s="165"/>
      <c r="FU140" s="109">
        <f t="shared" si="250"/>
        <v>0</v>
      </c>
      <c r="FV140" s="109">
        <f t="shared" si="276"/>
        <v>0</v>
      </c>
      <c r="FW140" s="109"/>
      <c r="FX140" s="109"/>
      <c r="FY140" s="111"/>
      <c r="FZ140" s="111"/>
      <c r="GA140" s="165"/>
      <c r="GB140" s="109">
        <f t="shared" si="251"/>
        <v>0</v>
      </c>
      <c r="GC140" s="109">
        <f t="shared" si="277"/>
        <v>0</v>
      </c>
      <c r="GD140" s="109"/>
      <c r="GE140" s="109"/>
      <c r="GF140" s="111"/>
      <c r="GG140" s="111"/>
      <c r="GH140" s="165"/>
      <c r="GI140" s="109">
        <f t="shared" si="252"/>
        <v>0</v>
      </c>
      <c r="GJ140" s="109">
        <f t="shared" si="278"/>
        <v>0</v>
      </c>
      <c r="GK140" s="109"/>
      <c r="GL140" s="109"/>
      <c r="GM140" s="111"/>
      <c r="GN140" s="111"/>
      <c r="GO140" s="165"/>
      <c r="GP140" s="109">
        <f t="shared" si="253"/>
        <v>0</v>
      </c>
      <c r="GQ140" s="109">
        <f t="shared" si="279"/>
        <v>0</v>
      </c>
      <c r="GR140" s="109"/>
      <c r="GS140" s="109"/>
      <c r="GT140" s="111"/>
      <c r="GU140" s="111"/>
      <c r="GV140" s="165"/>
      <c r="GW140" s="168">
        <f t="shared" si="254"/>
        <v>0</v>
      </c>
      <c r="GX140" s="168">
        <f t="shared" si="280"/>
        <v>0</v>
      </c>
      <c r="GY140" s="168"/>
      <c r="GZ140" s="168"/>
      <c r="HA140" s="111"/>
      <c r="HB140" s="111"/>
      <c r="HC140" s="165"/>
      <c r="HD140" s="109">
        <f t="shared" si="255"/>
        <v>0</v>
      </c>
      <c r="HE140" s="109">
        <f t="shared" si="281"/>
        <v>0</v>
      </c>
      <c r="HF140" s="109"/>
      <c r="HG140" s="109"/>
      <c r="HH140" s="111"/>
      <c r="HI140" s="111"/>
      <c r="HJ140" s="165"/>
      <c r="HK140" s="109">
        <f t="shared" si="256"/>
        <v>0</v>
      </c>
      <c r="HL140" s="109">
        <f t="shared" si="282"/>
        <v>0</v>
      </c>
      <c r="HM140" s="109"/>
      <c r="HN140" s="109"/>
      <c r="HO140" s="111"/>
      <c r="HP140" s="111"/>
      <c r="HQ140" s="165"/>
      <c r="HR140" s="109">
        <f t="shared" si="257"/>
        <v>0</v>
      </c>
      <c r="HS140" s="109">
        <f t="shared" si="283"/>
        <v>0</v>
      </c>
      <c r="HT140" s="109"/>
      <c r="HU140" s="109"/>
      <c r="HV140" s="111"/>
      <c r="HW140" s="111"/>
      <c r="HX140" s="105">
        <f t="shared" si="301"/>
        <v>0</v>
      </c>
      <c r="HY140" s="105">
        <f t="shared" si="301"/>
        <v>0</v>
      </c>
      <c r="HZ140" s="105">
        <f t="shared" si="301"/>
        <v>0</v>
      </c>
      <c r="IA140" s="105">
        <f t="shared" si="295"/>
        <v>0</v>
      </c>
      <c r="IB140" s="109">
        <f t="shared" si="296"/>
        <v>0</v>
      </c>
      <c r="IC140" s="109">
        <f t="shared" si="297"/>
        <v>0</v>
      </c>
      <c r="ID140" s="109">
        <f t="shared" si="298"/>
        <v>0</v>
      </c>
      <c r="IE140" s="109">
        <f t="shared" si="299"/>
        <v>0</v>
      </c>
      <c r="IF140" s="197"/>
      <c r="IG140" s="197"/>
      <c r="IH140" s="197"/>
      <c r="II140" s="197"/>
      <c r="IJ140" s="197"/>
      <c r="IK140" s="197"/>
      <c r="IL140" s="197"/>
      <c r="IM140" s="171"/>
      <c r="IN140" s="171"/>
      <c r="IO140" s="171"/>
      <c r="IP140" s="171"/>
    </row>
    <row r="141" spans="1:250" ht="15" customHeight="1" x14ac:dyDescent="0.3">
      <c r="A141" s="110">
        <f t="shared" si="300"/>
        <v>137</v>
      </c>
      <c r="B141" s="111"/>
      <c r="C141" s="111"/>
      <c r="D141" s="111"/>
      <c r="E141" s="111"/>
      <c r="F141" s="111"/>
      <c r="G141" s="111"/>
      <c r="H141" s="111"/>
      <c r="I141" s="194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75"/>
      <c r="AI141" s="111"/>
      <c r="AJ141" s="111"/>
      <c r="AK141" s="111"/>
      <c r="AL141" s="177"/>
      <c r="AM141" s="176"/>
      <c r="AN141" s="177"/>
      <c r="AO141" s="157"/>
      <c r="AP141" s="158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75"/>
      <c r="BM141" s="111"/>
      <c r="BN141" s="111"/>
      <c r="BO141" s="111"/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1"/>
      <c r="CA141" s="111"/>
      <c r="CB141" s="111"/>
      <c r="CC141" s="178"/>
      <c r="CD141" s="177">
        <f t="shared" si="284"/>
        <v>0</v>
      </c>
      <c r="CE141" s="148"/>
      <c r="CF141" s="111">
        <f t="shared" si="285"/>
        <v>0</v>
      </c>
      <c r="CG141" s="177"/>
      <c r="CH141" s="204"/>
      <c r="CI141" s="148"/>
      <c r="CJ141" s="165"/>
      <c r="CK141" s="165"/>
      <c r="CL141" s="111"/>
      <c r="CM141" s="111"/>
      <c r="CN141" s="165">
        <f t="shared" si="286"/>
        <v>0</v>
      </c>
      <c r="CO141" s="109">
        <f t="shared" si="287"/>
        <v>0</v>
      </c>
      <c r="CP141" s="109">
        <f t="shared" si="288"/>
        <v>0</v>
      </c>
      <c r="CQ141" s="109"/>
      <c r="CR141" s="109"/>
      <c r="CS141" s="196"/>
      <c r="CT141" s="167"/>
      <c r="CU141" s="165"/>
      <c r="CV141" s="109">
        <f t="shared" si="289"/>
        <v>0</v>
      </c>
      <c r="CW141" s="109">
        <f t="shared" si="290"/>
        <v>0</v>
      </c>
      <c r="CX141" s="109"/>
      <c r="CY141" s="109"/>
      <c r="CZ141" s="111"/>
      <c r="DA141" s="111"/>
      <c r="DB141" s="165"/>
      <c r="DC141" s="109">
        <f t="shared" si="291"/>
        <v>0</v>
      </c>
      <c r="DD141" s="109">
        <f t="shared" si="292"/>
        <v>0</v>
      </c>
      <c r="DE141" s="109"/>
      <c r="DF141" s="109"/>
      <c r="DG141" s="111"/>
      <c r="DH141" s="111"/>
      <c r="DI141" s="165"/>
      <c r="DJ141" s="109">
        <f t="shared" si="293"/>
        <v>0</v>
      </c>
      <c r="DK141" s="109">
        <f t="shared" si="294"/>
        <v>0</v>
      </c>
      <c r="DL141" s="109"/>
      <c r="DM141" s="109"/>
      <c r="DN141" s="111"/>
      <c r="DO141" s="111"/>
      <c r="DP141" s="165"/>
      <c r="DQ141" s="109">
        <f t="shared" si="216"/>
        <v>0</v>
      </c>
      <c r="DR141" s="109">
        <f t="shared" si="217"/>
        <v>0</v>
      </c>
      <c r="DS141" s="109"/>
      <c r="DT141" s="109"/>
      <c r="DU141" s="111"/>
      <c r="DV141" s="111"/>
      <c r="DW141" s="165"/>
      <c r="DX141" s="109">
        <f t="shared" si="221"/>
        <v>0</v>
      </c>
      <c r="DY141" s="109">
        <f t="shared" si="222"/>
        <v>0</v>
      </c>
      <c r="DZ141" s="109"/>
      <c r="EA141" s="109"/>
      <c r="EB141" s="111"/>
      <c r="EC141" s="111"/>
      <c r="ED141" s="165"/>
      <c r="EE141" s="109">
        <f t="shared" si="227"/>
        <v>0</v>
      </c>
      <c r="EF141" s="109">
        <f t="shared" si="228"/>
        <v>0</v>
      </c>
      <c r="EG141" s="109"/>
      <c r="EH141" s="109"/>
      <c r="EI141" s="111"/>
      <c r="EJ141" s="111"/>
      <c r="EK141" s="165"/>
      <c r="EL141" s="109">
        <f t="shared" si="233"/>
        <v>0</v>
      </c>
      <c r="EM141" s="109">
        <f t="shared" si="234"/>
        <v>0</v>
      </c>
      <c r="EN141" s="109"/>
      <c r="EO141" s="109"/>
      <c r="EP141" s="111"/>
      <c r="EQ141" s="111"/>
      <c r="ER141" s="165"/>
      <c r="ES141" s="109">
        <f t="shared" si="239"/>
        <v>0</v>
      </c>
      <c r="ET141" s="109">
        <f t="shared" si="240"/>
        <v>0</v>
      </c>
      <c r="EU141" s="109"/>
      <c r="EV141" s="109"/>
      <c r="EW141" s="111"/>
      <c r="EX141" s="111"/>
      <c r="EY141" s="165"/>
      <c r="EZ141" s="109">
        <f t="shared" si="242"/>
        <v>0</v>
      </c>
      <c r="FA141" s="109">
        <f t="shared" si="243"/>
        <v>0</v>
      </c>
      <c r="FB141" s="109"/>
      <c r="FC141" s="109"/>
      <c r="FD141" s="111"/>
      <c r="FE141" s="111"/>
      <c r="FF141" s="165"/>
      <c r="FG141" s="109">
        <f t="shared" si="245"/>
        <v>0</v>
      </c>
      <c r="FH141" s="109">
        <f t="shared" si="246"/>
        <v>0</v>
      </c>
      <c r="FI141" s="109"/>
      <c r="FJ141" s="109"/>
      <c r="FK141" s="111"/>
      <c r="FL141" s="111"/>
      <c r="FM141" s="165"/>
      <c r="FN141" s="109">
        <f t="shared" si="248"/>
        <v>0</v>
      </c>
      <c r="FO141" s="109">
        <f t="shared" si="249"/>
        <v>0</v>
      </c>
      <c r="FP141" s="109"/>
      <c r="FQ141" s="109"/>
      <c r="FR141" s="111"/>
      <c r="FS141" s="111"/>
      <c r="FT141" s="165"/>
      <c r="FU141" s="109">
        <f t="shared" si="250"/>
        <v>0</v>
      </c>
      <c r="FV141" s="109">
        <f t="shared" si="276"/>
        <v>0</v>
      </c>
      <c r="FW141" s="109"/>
      <c r="FX141" s="109"/>
      <c r="FY141" s="111"/>
      <c r="FZ141" s="111"/>
      <c r="GA141" s="165"/>
      <c r="GB141" s="109">
        <f t="shared" si="251"/>
        <v>0</v>
      </c>
      <c r="GC141" s="109">
        <f t="shared" si="277"/>
        <v>0</v>
      </c>
      <c r="GD141" s="109"/>
      <c r="GE141" s="109"/>
      <c r="GF141" s="111"/>
      <c r="GG141" s="111"/>
      <c r="GH141" s="165"/>
      <c r="GI141" s="109">
        <f t="shared" si="252"/>
        <v>0</v>
      </c>
      <c r="GJ141" s="109">
        <f t="shared" si="278"/>
        <v>0</v>
      </c>
      <c r="GK141" s="109"/>
      <c r="GL141" s="109"/>
      <c r="GM141" s="111"/>
      <c r="GN141" s="111"/>
      <c r="GO141" s="165"/>
      <c r="GP141" s="109">
        <f t="shared" si="253"/>
        <v>0</v>
      </c>
      <c r="GQ141" s="109">
        <f t="shared" si="279"/>
        <v>0</v>
      </c>
      <c r="GR141" s="109"/>
      <c r="GS141" s="109"/>
      <c r="GT141" s="111"/>
      <c r="GU141" s="111"/>
      <c r="GV141" s="165"/>
      <c r="GW141" s="168">
        <f t="shared" si="254"/>
        <v>0</v>
      </c>
      <c r="GX141" s="168">
        <f t="shared" si="280"/>
        <v>0</v>
      </c>
      <c r="GY141" s="168"/>
      <c r="GZ141" s="168"/>
      <c r="HA141" s="111"/>
      <c r="HB141" s="111"/>
      <c r="HC141" s="165"/>
      <c r="HD141" s="109">
        <f t="shared" si="255"/>
        <v>0</v>
      </c>
      <c r="HE141" s="109">
        <f t="shared" si="281"/>
        <v>0</v>
      </c>
      <c r="HF141" s="109"/>
      <c r="HG141" s="109"/>
      <c r="HH141" s="111"/>
      <c r="HI141" s="111"/>
      <c r="HJ141" s="165"/>
      <c r="HK141" s="109">
        <f t="shared" si="256"/>
        <v>0</v>
      </c>
      <c r="HL141" s="109">
        <f t="shared" si="282"/>
        <v>0</v>
      </c>
      <c r="HM141" s="109"/>
      <c r="HN141" s="109"/>
      <c r="HO141" s="111"/>
      <c r="HP141" s="111"/>
      <c r="HQ141" s="165"/>
      <c r="HR141" s="109">
        <f t="shared" si="257"/>
        <v>0</v>
      </c>
      <c r="HS141" s="109">
        <f t="shared" si="283"/>
        <v>0</v>
      </c>
      <c r="HT141" s="109"/>
      <c r="HU141" s="109"/>
      <c r="HV141" s="111"/>
      <c r="HW141" s="111"/>
      <c r="HX141" s="105">
        <f t="shared" si="301"/>
        <v>0</v>
      </c>
      <c r="HY141" s="105">
        <f t="shared" si="301"/>
        <v>0</v>
      </c>
      <c r="HZ141" s="105">
        <f t="shared" si="301"/>
        <v>0</v>
      </c>
      <c r="IA141" s="105">
        <f t="shared" si="295"/>
        <v>0</v>
      </c>
      <c r="IB141" s="109">
        <f t="shared" si="296"/>
        <v>0</v>
      </c>
      <c r="IC141" s="109">
        <f t="shared" si="297"/>
        <v>0</v>
      </c>
      <c r="ID141" s="109">
        <f t="shared" si="298"/>
        <v>0</v>
      </c>
      <c r="IE141" s="109">
        <f t="shared" si="299"/>
        <v>0</v>
      </c>
      <c r="IF141" s="197"/>
      <c r="IG141" s="197"/>
      <c r="IH141" s="197"/>
      <c r="II141" s="197"/>
      <c r="IJ141" s="197"/>
      <c r="IK141" s="197"/>
      <c r="IL141" s="197"/>
      <c r="IM141" s="171"/>
      <c r="IN141" s="171"/>
      <c r="IO141" s="171"/>
      <c r="IP141" s="171"/>
    </row>
    <row r="142" spans="1:250" ht="15" customHeight="1" x14ac:dyDescent="0.3">
      <c r="A142" s="110">
        <f t="shared" si="300"/>
        <v>138</v>
      </c>
      <c r="B142" s="111"/>
      <c r="C142" s="111"/>
      <c r="D142" s="111"/>
      <c r="E142" s="111"/>
      <c r="F142" s="111"/>
      <c r="G142" s="111"/>
      <c r="H142" s="111"/>
      <c r="I142" s="194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75"/>
      <c r="AI142" s="111"/>
      <c r="AJ142" s="111"/>
      <c r="AK142" s="111"/>
      <c r="AL142" s="177"/>
      <c r="AM142" s="176"/>
      <c r="AN142" s="177"/>
      <c r="AO142" s="157"/>
      <c r="AP142" s="158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75"/>
      <c r="BM142" s="111"/>
      <c r="BN142" s="111"/>
      <c r="BO142" s="111"/>
      <c r="BP142" s="111"/>
      <c r="BQ142" s="111"/>
      <c r="BR142" s="111"/>
      <c r="BS142" s="111"/>
      <c r="BT142" s="111"/>
      <c r="BU142" s="111"/>
      <c r="BV142" s="111"/>
      <c r="BW142" s="111"/>
      <c r="BX142" s="111"/>
      <c r="BY142" s="111"/>
      <c r="BZ142" s="111"/>
      <c r="CA142" s="111"/>
      <c r="CB142" s="111"/>
      <c r="CC142" s="178"/>
      <c r="CD142" s="177">
        <f t="shared" si="284"/>
        <v>0</v>
      </c>
      <c r="CE142" s="148"/>
      <c r="CF142" s="111">
        <f t="shared" si="285"/>
        <v>0</v>
      </c>
      <c r="CG142" s="177"/>
      <c r="CH142" s="204"/>
      <c r="CI142" s="148"/>
      <c r="CJ142" s="165"/>
      <c r="CK142" s="165"/>
      <c r="CL142" s="111"/>
      <c r="CM142" s="111"/>
      <c r="CN142" s="165">
        <f t="shared" si="286"/>
        <v>0</v>
      </c>
      <c r="CO142" s="109">
        <f t="shared" si="287"/>
        <v>0</v>
      </c>
      <c r="CP142" s="109">
        <f t="shared" si="288"/>
        <v>0</v>
      </c>
      <c r="CQ142" s="109"/>
      <c r="CR142" s="109"/>
      <c r="CS142" s="196"/>
      <c r="CT142" s="167"/>
      <c r="CU142" s="165"/>
      <c r="CV142" s="109">
        <f t="shared" si="289"/>
        <v>0</v>
      </c>
      <c r="CW142" s="109">
        <f t="shared" si="290"/>
        <v>0</v>
      </c>
      <c r="CX142" s="109"/>
      <c r="CY142" s="109"/>
      <c r="CZ142" s="111"/>
      <c r="DA142" s="111"/>
      <c r="DB142" s="165"/>
      <c r="DC142" s="109">
        <f t="shared" si="291"/>
        <v>0</v>
      </c>
      <c r="DD142" s="109">
        <f t="shared" si="292"/>
        <v>0</v>
      </c>
      <c r="DE142" s="109"/>
      <c r="DF142" s="109"/>
      <c r="DG142" s="111"/>
      <c r="DH142" s="111"/>
      <c r="DI142" s="165"/>
      <c r="DJ142" s="109">
        <f t="shared" si="293"/>
        <v>0</v>
      </c>
      <c r="DK142" s="109">
        <f t="shared" si="294"/>
        <v>0</v>
      </c>
      <c r="DL142" s="109"/>
      <c r="DM142" s="109"/>
      <c r="DN142" s="111"/>
      <c r="DO142" s="111"/>
      <c r="DP142" s="165"/>
      <c r="DQ142" s="109">
        <f t="shared" si="216"/>
        <v>0</v>
      </c>
      <c r="DR142" s="109">
        <f t="shared" si="217"/>
        <v>0</v>
      </c>
      <c r="DS142" s="109"/>
      <c r="DT142" s="109"/>
      <c r="DU142" s="111"/>
      <c r="DV142" s="111"/>
      <c r="DW142" s="165"/>
      <c r="DX142" s="109">
        <f t="shared" si="221"/>
        <v>0</v>
      </c>
      <c r="DY142" s="109">
        <f t="shared" si="222"/>
        <v>0</v>
      </c>
      <c r="DZ142" s="109"/>
      <c r="EA142" s="109"/>
      <c r="EB142" s="111"/>
      <c r="EC142" s="111"/>
      <c r="ED142" s="165"/>
      <c r="EE142" s="109">
        <f t="shared" si="227"/>
        <v>0</v>
      </c>
      <c r="EF142" s="109">
        <f t="shared" si="228"/>
        <v>0</v>
      </c>
      <c r="EG142" s="109"/>
      <c r="EH142" s="109"/>
      <c r="EI142" s="111"/>
      <c r="EJ142" s="111"/>
      <c r="EK142" s="165"/>
      <c r="EL142" s="109">
        <f t="shared" si="233"/>
        <v>0</v>
      </c>
      <c r="EM142" s="109">
        <f t="shared" si="234"/>
        <v>0</v>
      </c>
      <c r="EN142" s="109"/>
      <c r="EO142" s="109"/>
      <c r="EP142" s="111"/>
      <c r="EQ142" s="111"/>
      <c r="ER142" s="165"/>
      <c r="ES142" s="109">
        <f t="shared" si="239"/>
        <v>0</v>
      </c>
      <c r="ET142" s="109">
        <f t="shared" si="240"/>
        <v>0</v>
      </c>
      <c r="EU142" s="109"/>
      <c r="EV142" s="109"/>
      <c r="EW142" s="111"/>
      <c r="EX142" s="111"/>
      <c r="EY142" s="165"/>
      <c r="EZ142" s="109">
        <f t="shared" si="242"/>
        <v>0</v>
      </c>
      <c r="FA142" s="109">
        <f t="shared" si="243"/>
        <v>0</v>
      </c>
      <c r="FB142" s="109"/>
      <c r="FC142" s="109"/>
      <c r="FD142" s="111"/>
      <c r="FE142" s="111"/>
      <c r="FF142" s="165"/>
      <c r="FG142" s="109">
        <f t="shared" si="245"/>
        <v>0</v>
      </c>
      <c r="FH142" s="109">
        <f t="shared" si="246"/>
        <v>0</v>
      </c>
      <c r="FI142" s="109"/>
      <c r="FJ142" s="109"/>
      <c r="FK142" s="111"/>
      <c r="FL142" s="111"/>
      <c r="FM142" s="165"/>
      <c r="FN142" s="109">
        <f t="shared" si="248"/>
        <v>0</v>
      </c>
      <c r="FO142" s="109">
        <f t="shared" si="249"/>
        <v>0</v>
      </c>
      <c r="FP142" s="109"/>
      <c r="FQ142" s="109"/>
      <c r="FR142" s="111"/>
      <c r="FS142" s="111"/>
      <c r="FT142" s="165"/>
      <c r="FU142" s="109">
        <f t="shared" si="250"/>
        <v>0</v>
      </c>
      <c r="FV142" s="109">
        <f t="shared" si="276"/>
        <v>0</v>
      </c>
      <c r="FW142" s="109"/>
      <c r="FX142" s="109"/>
      <c r="FY142" s="111"/>
      <c r="FZ142" s="111"/>
      <c r="GA142" s="165"/>
      <c r="GB142" s="109">
        <f t="shared" si="251"/>
        <v>0</v>
      </c>
      <c r="GC142" s="109">
        <f t="shared" si="277"/>
        <v>0</v>
      </c>
      <c r="GD142" s="109"/>
      <c r="GE142" s="109"/>
      <c r="GF142" s="111"/>
      <c r="GG142" s="111"/>
      <c r="GH142" s="165"/>
      <c r="GI142" s="109">
        <f t="shared" si="252"/>
        <v>0</v>
      </c>
      <c r="GJ142" s="109">
        <f t="shared" si="278"/>
        <v>0</v>
      </c>
      <c r="GK142" s="109"/>
      <c r="GL142" s="109"/>
      <c r="GM142" s="111"/>
      <c r="GN142" s="111"/>
      <c r="GO142" s="165"/>
      <c r="GP142" s="109">
        <f t="shared" si="253"/>
        <v>0</v>
      </c>
      <c r="GQ142" s="109">
        <f t="shared" si="279"/>
        <v>0</v>
      </c>
      <c r="GR142" s="109"/>
      <c r="GS142" s="109"/>
      <c r="GT142" s="111"/>
      <c r="GU142" s="111"/>
      <c r="GV142" s="165"/>
      <c r="GW142" s="168">
        <f t="shared" si="254"/>
        <v>0</v>
      </c>
      <c r="GX142" s="168">
        <f t="shared" si="280"/>
        <v>0</v>
      </c>
      <c r="GY142" s="168"/>
      <c r="GZ142" s="168"/>
      <c r="HA142" s="111"/>
      <c r="HB142" s="111"/>
      <c r="HC142" s="165"/>
      <c r="HD142" s="109">
        <f t="shared" si="255"/>
        <v>0</v>
      </c>
      <c r="HE142" s="109">
        <f t="shared" si="281"/>
        <v>0</v>
      </c>
      <c r="HF142" s="109"/>
      <c r="HG142" s="109"/>
      <c r="HH142" s="111"/>
      <c r="HI142" s="111"/>
      <c r="HJ142" s="165"/>
      <c r="HK142" s="109">
        <f t="shared" si="256"/>
        <v>0</v>
      </c>
      <c r="HL142" s="109">
        <f t="shared" si="282"/>
        <v>0</v>
      </c>
      <c r="HM142" s="109"/>
      <c r="HN142" s="109"/>
      <c r="HO142" s="111"/>
      <c r="HP142" s="111"/>
      <c r="HQ142" s="165"/>
      <c r="HR142" s="109">
        <f t="shared" si="257"/>
        <v>0</v>
      </c>
      <c r="HS142" s="109">
        <f t="shared" si="283"/>
        <v>0</v>
      </c>
      <c r="HT142" s="109"/>
      <c r="HU142" s="109"/>
      <c r="HV142" s="111"/>
      <c r="HW142" s="111"/>
      <c r="HX142" s="105">
        <f t="shared" si="301"/>
        <v>0</v>
      </c>
      <c r="HY142" s="105">
        <f t="shared" si="301"/>
        <v>0</v>
      </c>
      <c r="HZ142" s="105">
        <f t="shared" si="301"/>
        <v>0</v>
      </c>
      <c r="IA142" s="105">
        <f t="shared" si="295"/>
        <v>0</v>
      </c>
      <c r="IB142" s="109">
        <f t="shared" si="296"/>
        <v>0</v>
      </c>
      <c r="IC142" s="109">
        <f t="shared" si="297"/>
        <v>0</v>
      </c>
      <c r="ID142" s="109">
        <f t="shared" si="298"/>
        <v>0</v>
      </c>
      <c r="IE142" s="109">
        <f t="shared" si="299"/>
        <v>0</v>
      </c>
      <c r="IF142" s="197"/>
      <c r="IG142" s="197"/>
      <c r="IH142" s="197"/>
      <c r="II142" s="197"/>
      <c r="IJ142" s="197"/>
      <c r="IK142" s="197"/>
      <c r="IL142" s="197"/>
      <c r="IM142" s="171"/>
      <c r="IN142" s="171"/>
      <c r="IO142" s="171"/>
      <c r="IP142" s="171"/>
    </row>
    <row r="143" spans="1:250" ht="15" customHeight="1" x14ac:dyDescent="0.3">
      <c r="A143" s="110">
        <f t="shared" si="300"/>
        <v>139</v>
      </c>
      <c r="B143" s="111"/>
      <c r="C143" s="111"/>
      <c r="D143" s="111"/>
      <c r="E143" s="111"/>
      <c r="F143" s="111"/>
      <c r="G143" s="111"/>
      <c r="H143" s="111"/>
      <c r="I143" s="194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75"/>
      <c r="AI143" s="111"/>
      <c r="AJ143" s="111"/>
      <c r="AK143" s="111"/>
      <c r="AL143" s="177"/>
      <c r="AM143" s="176"/>
      <c r="AN143" s="177"/>
      <c r="AO143" s="157"/>
      <c r="AP143" s="158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75"/>
      <c r="BM143" s="111"/>
      <c r="BN143" s="111"/>
      <c r="BO143" s="111"/>
      <c r="BP143" s="111"/>
      <c r="BQ143" s="111"/>
      <c r="BR143" s="111"/>
      <c r="BS143" s="111"/>
      <c r="BT143" s="111"/>
      <c r="BU143" s="111"/>
      <c r="BV143" s="111"/>
      <c r="BW143" s="111"/>
      <c r="BX143" s="111"/>
      <c r="BY143" s="111"/>
      <c r="BZ143" s="111"/>
      <c r="CA143" s="111"/>
      <c r="CB143" s="111"/>
      <c r="CC143" s="178"/>
      <c r="CD143" s="177">
        <f t="shared" si="284"/>
        <v>0</v>
      </c>
      <c r="CE143" s="148"/>
      <c r="CF143" s="111">
        <f t="shared" si="285"/>
        <v>0</v>
      </c>
      <c r="CG143" s="177"/>
      <c r="CH143" s="204"/>
      <c r="CI143" s="148"/>
      <c r="CJ143" s="165"/>
      <c r="CK143" s="165"/>
      <c r="CL143" s="111"/>
      <c r="CM143" s="111"/>
      <c r="CN143" s="165">
        <f t="shared" si="286"/>
        <v>0</v>
      </c>
      <c r="CO143" s="109">
        <f t="shared" si="287"/>
        <v>0</v>
      </c>
      <c r="CP143" s="109">
        <f t="shared" si="288"/>
        <v>0</v>
      </c>
      <c r="CQ143" s="109"/>
      <c r="CR143" s="109"/>
      <c r="CS143" s="196"/>
      <c r="CT143" s="167"/>
      <c r="CU143" s="165"/>
      <c r="CV143" s="109">
        <f t="shared" si="289"/>
        <v>0</v>
      </c>
      <c r="CW143" s="109">
        <f t="shared" si="290"/>
        <v>0</v>
      </c>
      <c r="CX143" s="109"/>
      <c r="CY143" s="109"/>
      <c r="CZ143" s="111"/>
      <c r="DA143" s="111"/>
      <c r="DB143" s="165"/>
      <c r="DC143" s="109">
        <f t="shared" si="291"/>
        <v>0</v>
      </c>
      <c r="DD143" s="109">
        <f t="shared" si="292"/>
        <v>0</v>
      </c>
      <c r="DE143" s="109"/>
      <c r="DF143" s="109"/>
      <c r="DG143" s="111"/>
      <c r="DH143" s="111"/>
      <c r="DI143" s="165"/>
      <c r="DJ143" s="109">
        <f t="shared" si="293"/>
        <v>0</v>
      </c>
      <c r="DK143" s="109">
        <f t="shared" si="294"/>
        <v>0</v>
      </c>
      <c r="DL143" s="109"/>
      <c r="DM143" s="109"/>
      <c r="DN143" s="111"/>
      <c r="DO143" s="111"/>
      <c r="DP143" s="165"/>
      <c r="DQ143" s="109">
        <f t="shared" si="216"/>
        <v>0</v>
      </c>
      <c r="DR143" s="109">
        <f t="shared" si="217"/>
        <v>0</v>
      </c>
      <c r="DS143" s="109"/>
      <c r="DT143" s="109"/>
      <c r="DU143" s="111"/>
      <c r="DV143" s="111"/>
      <c r="DW143" s="165"/>
      <c r="DX143" s="109">
        <f t="shared" si="221"/>
        <v>0</v>
      </c>
      <c r="DY143" s="109">
        <f t="shared" si="222"/>
        <v>0</v>
      </c>
      <c r="DZ143" s="109"/>
      <c r="EA143" s="109"/>
      <c r="EB143" s="111"/>
      <c r="EC143" s="111"/>
      <c r="ED143" s="165"/>
      <c r="EE143" s="109">
        <f t="shared" si="227"/>
        <v>0</v>
      </c>
      <c r="EF143" s="109">
        <f t="shared" si="228"/>
        <v>0</v>
      </c>
      <c r="EG143" s="109"/>
      <c r="EH143" s="109"/>
      <c r="EI143" s="111"/>
      <c r="EJ143" s="111"/>
      <c r="EK143" s="165"/>
      <c r="EL143" s="109">
        <f t="shared" si="233"/>
        <v>0</v>
      </c>
      <c r="EM143" s="109">
        <f t="shared" si="234"/>
        <v>0</v>
      </c>
      <c r="EN143" s="109"/>
      <c r="EO143" s="109"/>
      <c r="EP143" s="111"/>
      <c r="EQ143" s="111"/>
      <c r="ER143" s="165"/>
      <c r="ES143" s="109">
        <f t="shared" si="239"/>
        <v>0</v>
      </c>
      <c r="ET143" s="109">
        <f t="shared" si="240"/>
        <v>0</v>
      </c>
      <c r="EU143" s="109"/>
      <c r="EV143" s="109"/>
      <c r="EW143" s="111"/>
      <c r="EX143" s="111"/>
      <c r="EY143" s="165"/>
      <c r="EZ143" s="109">
        <f t="shared" si="242"/>
        <v>0</v>
      </c>
      <c r="FA143" s="109">
        <f t="shared" si="243"/>
        <v>0</v>
      </c>
      <c r="FB143" s="109"/>
      <c r="FC143" s="109"/>
      <c r="FD143" s="111"/>
      <c r="FE143" s="111"/>
      <c r="FF143" s="165"/>
      <c r="FG143" s="109">
        <f t="shared" si="245"/>
        <v>0</v>
      </c>
      <c r="FH143" s="109">
        <f t="shared" si="246"/>
        <v>0</v>
      </c>
      <c r="FI143" s="109"/>
      <c r="FJ143" s="109"/>
      <c r="FK143" s="111"/>
      <c r="FL143" s="111"/>
      <c r="FM143" s="165"/>
      <c r="FN143" s="109">
        <f t="shared" si="248"/>
        <v>0</v>
      </c>
      <c r="FO143" s="109">
        <f t="shared" si="249"/>
        <v>0</v>
      </c>
      <c r="FP143" s="109"/>
      <c r="FQ143" s="109"/>
      <c r="FR143" s="111"/>
      <c r="FS143" s="111"/>
      <c r="FT143" s="165"/>
      <c r="FU143" s="109">
        <f t="shared" si="250"/>
        <v>0</v>
      </c>
      <c r="FV143" s="109">
        <f t="shared" si="276"/>
        <v>0</v>
      </c>
      <c r="FW143" s="109"/>
      <c r="FX143" s="109"/>
      <c r="FY143" s="111"/>
      <c r="FZ143" s="111"/>
      <c r="GA143" s="165"/>
      <c r="GB143" s="109">
        <f t="shared" si="251"/>
        <v>0</v>
      </c>
      <c r="GC143" s="109">
        <f t="shared" si="277"/>
        <v>0</v>
      </c>
      <c r="GD143" s="109"/>
      <c r="GE143" s="109"/>
      <c r="GF143" s="111"/>
      <c r="GG143" s="111"/>
      <c r="GH143" s="165"/>
      <c r="GI143" s="109">
        <f t="shared" si="252"/>
        <v>0</v>
      </c>
      <c r="GJ143" s="109">
        <f t="shared" si="278"/>
        <v>0</v>
      </c>
      <c r="GK143" s="109"/>
      <c r="GL143" s="109"/>
      <c r="GM143" s="111"/>
      <c r="GN143" s="111"/>
      <c r="GO143" s="165"/>
      <c r="GP143" s="109">
        <f t="shared" si="253"/>
        <v>0</v>
      </c>
      <c r="GQ143" s="109">
        <f t="shared" si="279"/>
        <v>0</v>
      </c>
      <c r="GR143" s="109"/>
      <c r="GS143" s="109"/>
      <c r="GT143" s="111"/>
      <c r="GU143" s="111"/>
      <c r="GV143" s="165"/>
      <c r="GW143" s="168">
        <f t="shared" si="254"/>
        <v>0</v>
      </c>
      <c r="GX143" s="168">
        <f t="shared" si="280"/>
        <v>0</v>
      </c>
      <c r="GY143" s="168"/>
      <c r="GZ143" s="168"/>
      <c r="HA143" s="111"/>
      <c r="HB143" s="111"/>
      <c r="HC143" s="165"/>
      <c r="HD143" s="109">
        <f t="shared" si="255"/>
        <v>0</v>
      </c>
      <c r="HE143" s="109">
        <f t="shared" si="281"/>
        <v>0</v>
      </c>
      <c r="HF143" s="109"/>
      <c r="HG143" s="109"/>
      <c r="HH143" s="111"/>
      <c r="HI143" s="111"/>
      <c r="HJ143" s="165"/>
      <c r="HK143" s="109">
        <f t="shared" si="256"/>
        <v>0</v>
      </c>
      <c r="HL143" s="109">
        <f t="shared" si="282"/>
        <v>0</v>
      </c>
      <c r="HM143" s="109"/>
      <c r="HN143" s="109"/>
      <c r="HO143" s="111"/>
      <c r="HP143" s="111"/>
      <c r="HQ143" s="165"/>
      <c r="HR143" s="109">
        <f t="shared" si="257"/>
        <v>0</v>
      </c>
      <c r="HS143" s="109">
        <f t="shared" si="283"/>
        <v>0</v>
      </c>
      <c r="HT143" s="109"/>
      <c r="HU143" s="109"/>
      <c r="HV143" s="111"/>
      <c r="HW143" s="111"/>
      <c r="HX143" s="105">
        <f t="shared" si="301"/>
        <v>0</v>
      </c>
      <c r="HY143" s="105">
        <f t="shared" si="301"/>
        <v>0</v>
      </c>
      <c r="HZ143" s="105">
        <f t="shared" si="301"/>
        <v>0</v>
      </c>
      <c r="IA143" s="105">
        <f t="shared" si="295"/>
        <v>0</v>
      </c>
      <c r="IB143" s="109">
        <f t="shared" si="296"/>
        <v>0</v>
      </c>
      <c r="IC143" s="109">
        <f t="shared" si="297"/>
        <v>0</v>
      </c>
      <c r="ID143" s="109">
        <f t="shared" si="298"/>
        <v>0</v>
      </c>
      <c r="IE143" s="109">
        <f t="shared" si="299"/>
        <v>0</v>
      </c>
      <c r="IF143" s="197"/>
      <c r="IG143" s="197"/>
      <c r="IH143" s="197"/>
      <c r="II143" s="197"/>
      <c r="IJ143" s="197"/>
      <c r="IK143" s="197"/>
      <c r="IL143" s="197"/>
      <c r="IM143" s="171"/>
      <c r="IN143" s="171"/>
      <c r="IO143" s="171"/>
      <c r="IP143" s="171"/>
    </row>
    <row r="144" spans="1:250" ht="15" customHeight="1" x14ac:dyDescent="0.3">
      <c r="A144" s="110">
        <f t="shared" si="300"/>
        <v>140</v>
      </c>
      <c r="B144" s="111"/>
      <c r="C144" s="111"/>
      <c r="D144" s="111"/>
      <c r="E144" s="111"/>
      <c r="F144" s="111"/>
      <c r="G144" s="111"/>
      <c r="H144" s="111"/>
      <c r="I144" s="194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75"/>
      <c r="AI144" s="111"/>
      <c r="AJ144" s="111"/>
      <c r="AK144" s="111"/>
      <c r="AL144" s="177"/>
      <c r="AM144" s="176"/>
      <c r="AN144" s="177"/>
      <c r="AO144" s="157"/>
      <c r="AP144" s="158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75"/>
      <c r="BM144" s="111"/>
      <c r="BN144" s="111"/>
      <c r="BO144" s="111"/>
      <c r="BP144" s="111"/>
      <c r="BQ144" s="111"/>
      <c r="BR144" s="111"/>
      <c r="BS144" s="111"/>
      <c r="BT144" s="111"/>
      <c r="BU144" s="111"/>
      <c r="BV144" s="111"/>
      <c r="BW144" s="111"/>
      <c r="BX144" s="111"/>
      <c r="BY144" s="111"/>
      <c r="BZ144" s="111"/>
      <c r="CA144" s="111"/>
      <c r="CB144" s="111"/>
      <c r="CC144" s="178"/>
      <c r="CD144" s="177">
        <f t="shared" si="284"/>
        <v>0</v>
      </c>
      <c r="CE144" s="148"/>
      <c r="CF144" s="111">
        <f t="shared" si="285"/>
        <v>0</v>
      </c>
      <c r="CG144" s="177"/>
      <c r="CH144" s="204"/>
      <c r="CI144" s="148"/>
      <c r="CJ144" s="165"/>
      <c r="CK144" s="165"/>
      <c r="CL144" s="111"/>
      <c r="CM144" s="111"/>
      <c r="CN144" s="165">
        <f t="shared" si="286"/>
        <v>0</v>
      </c>
      <c r="CO144" s="109">
        <f t="shared" si="287"/>
        <v>0</v>
      </c>
      <c r="CP144" s="109">
        <f t="shared" si="288"/>
        <v>0</v>
      </c>
      <c r="CQ144" s="109"/>
      <c r="CR144" s="109"/>
      <c r="CS144" s="196"/>
      <c r="CT144" s="167"/>
      <c r="CU144" s="165"/>
      <c r="CV144" s="109">
        <f t="shared" si="289"/>
        <v>0</v>
      </c>
      <c r="CW144" s="109">
        <f t="shared" si="290"/>
        <v>0</v>
      </c>
      <c r="CX144" s="109"/>
      <c r="CY144" s="109"/>
      <c r="CZ144" s="111"/>
      <c r="DA144" s="111"/>
      <c r="DB144" s="165"/>
      <c r="DC144" s="109">
        <f t="shared" si="291"/>
        <v>0</v>
      </c>
      <c r="DD144" s="109">
        <f t="shared" si="292"/>
        <v>0</v>
      </c>
      <c r="DE144" s="109"/>
      <c r="DF144" s="109"/>
      <c r="DG144" s="111"/>
      <c r="DH144" s="111"/>
      <c r="DI144" s="165"/>
      <c r="DJ144" s="109">
        <f t="shared" si="293"/>
        <v>0</v>
      </c>
      <c r="DK144" s="109">
        <f t="shared" si="294"/>
        <v>0</v>
      </c>
      <c r="DL144" s="109"/>
      <c r="DM144" s="109"/>
      <c r="DN144" s="111"/>
      <c r="DO144" s="111"/>
      <c r="DP144" s="165"/>
      <c r="DQ144" s="109">
        <f t="shared" si="216"/>
        <v>0</v>
      </c>
      <c r="DR144" s="109">
        <f t="shared" si="217"/>
        <v>0</v>
      </c>
      <c r="DS144" s="109"/>
      <c r="DT144" s="109"/>
      <c r="DU144" s="111"/>
      <c r="DV144" s="111"/>
      <c r="DW144" s="165"/>
      <c r="DX144" s="109">
        <f t="shared" si="221"/>
        <v>0</v>
      </c>
      <c r="DY144" s="109">
        <f t="shared" si="222"/>
        <v>0</v>
      </c>
      <c r="DZ144" s="109"/>
      <c r="EA144" s="109"/>
      <c r="EB144" s="111"/>
      <c r="EC144" s="111"/>
      <c r="ED144" s="165"/>
      <c r="EE144" s="109">
        <f t="shared" si="227"/>
        <v>0</v>
      </c>
      <c r="EF144" s="109">
        <f t="shared" si="228"/>
        <v>0</v>
      </c>
      <c r="EG144" s="109"/>
      <c r="EH144" s="109"/>
      <c r="EI144" s="111"/>
      <c r="EJ144" s="111"/>
      <c r="EK144" s="165"/>
      <c r="EL144" s="109">
        <f t="shared" si="233"/>
        <v>0</v>
      </c>
      <c r="EM144" s="109">
        <f t="shared" si="234"/>
        <v>0</v>
      </c>
      <c r="EN144" s="109"/>
      <c r="EO144" s="109"/>
      <c r="EP144" s="111"/>
      <c r="EQ144" s="111"/>
      <c r="ER144" s="165"/>
      <c r="ES144" s="109">
        <f t="shared" si="239"/>
        <v>0</v>
      </c>
      <c r="ET144" s="109">
        <f t="shared" si="240"/>
        <v>0</v>
      </c>
      <c r="EU144" s="109"/>
      <c r="EV144" s="109"/>
      <c r="EW144" s="111"/>
      <c r="EX144" s="111"/>
      <c r="EY144" s="165"/>
      <c r="EZ144" s="109">
        <f t="shared" si="242"/>
        <v>0</v>
      </c>
      <c r="FA144" s="109">
        <f t="shared" si="243"/>
        <v>0</v>
      </c>
      <c r="FB144" s="109"/>
      <c r="FC144" s="109"/>
      <c r="FD144" s="111"/>
      <c r="FE144" s="111"/>
      <c r="FF144" s="165"/>
      <c r="FG144" s="109">
        <f t="shared" si="245"/>
        <v>0</v>
      </c>
      <c r="FH144" s="109">
        <f t="shared" si="246"/>
        <v>0</v>
      </c>
      <c r="FI144" s="109"/>
      <c r="FJ144" s="109"/>
      <c r="FK144" s="111"/>
      <c r="FL144" s="111"/>
      <c r="FM144" s="165"/>
      <c r="FN144" s="109">
        <f t="shared" si="248"/>
        <v>0</v>
      </c>
      <c r="FO144" s="109">
        <f t="shared" si="249"/>
        <v>0</v>
      </c>
      <c r="FP144" s="109"/>
      <c r="FQ144" s="109"/>
      <c r="FR144" s="111"/>
      <c r="FS144" s="111"/>
      <c r="FT144" s="165"/>
      <c r="FU144" s="109">
        <f t="shared" si="250"/>
        <v>0</v>
      </c>
      <c r="FV144" s="109">
        <f t="shared" si="276"/>
        <v>0</v>
      </c>
      <c r="FW144" s="109"/>
      <c r="FX144" s="109"/>
      <c r="FY144" s="111"/>
      <c r="FZ144" s="111"/>
      <c r="GA144" s="165"/>
      <c r="GB144" s="109">
        <f t="shared" si="251"/>
        <v>0</v>
      </c>
      <c r="GC144" s="109">
        <f t="shared" si="277"/>
        <v>0</v>
      </c>
      <c r="GD144" s="109"/>
      <c r="GE144" s="109"/>
      <c r="GF144" s="111"/>
      <c r="GG144" s="111"/>
      <c r="GH144" s="165"/>
      <c r="GI144" s="109">
        <f t="shared" si="252"/>
        <v>0</v>
      </c>
      <c r="GJ144" s="109">
        <f t="shared" si="278"/>
        <v>0</v>
      </c>
      <c r="GK144" s="109"/>
      <c r="GL144" s="109"/>
      <c r="GM144" s="111"/>
      <c r="GN144" s="111"/>
      <c r="GO144" s="165"/>
      <c r="GP144" s="109">
        <f t="shared" si="253"/>
        <v>0</v>
      </c>
      <c r="GQ144" s="109">
        <f t="shared" si="279"/>
        <v>0</v>
      </c>
      <c r="GR144" s="109"/>
      <c r="GS144" s="109"/>
      <c r="GT144" s="111"/>
      <c r="GU144" s="111"/>
      <c r="GV144" s="165"/>
      <c r="GW144" s="168">
        <f t="shared" si="254"/>
        <v>0</v>
      </c>
      <c r="GX144" s="168">
        <f t="shared" si="280"/>
        <v>0</v>
      </c>
      <c r="GY144" s="168"/>
      <c r="GZ144" s="168"/>
      <c r="HA144" s="111"/>
      <c r="HB144" s="111"/>
      <c r="HC144" s="165"/>
      <c r="HD144" s="109">
        <f t="shared" si="255"/>
        <v>0</v>
      </c>
      <c r="HE144" s="109">
        <f t="shared" si="281"/>
        <v>0</v>
      </c>
      <c r="HF144" s="109"/>
      <c r="HG144" s="109"/>
      <c r="HH144" s="111"/>
      <c r="HI144" s="111"/>
      <c r="HJ144" s="165"/>
      <c r="HK144" s="109">
        <f t="shared" si="256"/>
        <v>0</v>
      </c>
      <c r="HL144" s="109">
        <f t="shared" si="282"/>
        <v>0</v>
      </c>
      <c r="HM144" s="109"/>
      <c r="HN144" s="109"/>
      <c r="HO144" s="111"/>
      <c r="HP144" s="111"/>
      <c r="HQ144" s="165"/>
      <c r="HR144" s="109">
        <f t="shared" si="257"/>
        <v>0</v>
      </c>
      <c r="HS144" s="109">
        <f t="shared" si="283"/>
        <v>0</v>
      </c>
      <c r="HT144" s="109"/>
      <c r="HU144" s="109"/>
      <c r="HV144" s="111"/>
      <c r="HW144" s="111"/>
      <c r="HX144" s="105">
        <f t="shared" si="301"/>
        <v>0</v>
      </c>
      <c r="HY144" s="105">
        <f t="shared" si="301"/>
        <v>0</v>
      </c>
      <c r="HZ144" s="105">
        <f t="shared" si="301"/>
        <v>0</v>
      </c>
      <c r="IA144" s="105">
        <f t="shared" si="295"/>
        <v>0</v>
      </c>
      <c r="IB144" s="109">
        <f t="shared" si="296"/>
        <v>0</v>
      </c>
      <c r="IC144" s="109">
        <f t="shared" si="297"/>
        <v>0</v>
      </c>
      <c r="ID144" s="109">
        <f t="shared" si="298"/>
        <v>0</v>
      </c>
      <c r="IE144" s="109">
        <f t="shared" si="299"/>
        <v>0</v>
      </c>
      <c r="IF144" s="197"/>
      <c r="IG144" s="197"/>
      <c r="IH144" s="197"/>
      <c r="II144" s="197"/>
      <c r="IJ144" s="197"/>
      <c r="IK144" s="197"/>
      <c r="IL144" s="197"/>
      <c r="IM144" s="171"/>
      <c r="IN144" s="171"/>
      <c r="IO144" s="171"/>
      <c r="IP144" s="171"/>
    </row>
    <row r="145" spans="1:250" ht="15" customHeight="1" x14ac:dyDescent="0.3">
      <c r="A145" s="110">
        <f t="shared" si="300"/>
        <v>141</v>
      </c>
      <c r="B145" s="111"/>
      <c r="C145" s="111"/>
      <c r="D145" s="111"/>
      <c r="E145" s="111"/>
      <c r="F145" s="111"/>
      <c r="G145" s="111"/>
      <c r="H145" s="111"/>
      <c r="I145" s="194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75"/>
      <c r="AI145" s="111"/>
      <c r="AJ145" s="111"/>
      <c r="AK145" s="111"/>
      <c r="AL145" s="177"/>
      <c r="AM145" s="176"/>
      <c r="AN145" s="177"/>
      <c r="AO145" s="157"/>
      <c r="AP145" s="158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75"/>
      <c r="BM145" s="111"/>
      <c r="BN145" s="111"/>
      <c r="BO145" s="111"/>
      <c r="BP145" s="111"/>
      <c r="BQ145" s="111"/>
      <c r="BR145" s="111"/>
      <c r="BS145" s="111"/>
      <c r="BT145" s="111"/>
      <c r="BU145" s="111"/>
      <c r="BV145" s="111"/>
      <c r="BW145" s="111"/>
      <c r="BX145" s="111"/>
      <c r="BY145" s="111"/>
      <c r="BZ145" s="111"/>
      <c r="CA145" s="111"/>
      <c r="CB145" s="111"/>
      <c r="CC145" s="178"/>
      <c r="CD145" s="177">
        <f t="shared" si="284"/>
        <v>0</v>
      </c>
      <c r="CE145" s="148"/>
      <c r="CF145" s="111">
        <f t="shared" si="285"/>
        <v>0</v>
      </c>
      <c r="CG145" s="177"/>
      <c r="CH145" s="204"/>
      <c r="CI145" s="148"/>
      <c r="CJ145" s="165"/>
      <c r="CK145" s="165"/>
      <c r="CL145" s="111"/>
      <c r="CM145" s="111"/>
      <c r="CN145" s="165">
        <f t="shared" si="286"/>
        <v>0</v>
      </c>
      <c r="CO145" s="109">
        <f t="shared" si="287"/>
        <v>0</v>
      </c>
      <c r="CP145" s="109">
        <f t="shared" si="288"/>
        <v>0</v>
      </c>
      <c r="CQ145" s="109"/>
      <c r="CR145" s="109"/>
      <c r="CS145" s="196"/>
      <c r="CT145" s="167"/>
      <c r="CU145" s="165"/>
      <c r="CV145" s="109">
        <f t="shared" si="289"/>
        <v>0</v>
      </c>
      <c r="CW145" s="109">
        <f t="shared" si="290"/>
        <v>0</v>
      </c>
      <c r="CX145" s="109"/>
      <c r="CY145" s="109"/>
      <c r="CZ145" s="111"/>
      <c r="DA145" s="111"/>
      <c r="DB145" s="165"/>
      <c r="DC145" s="109">
        <f t="shared" si="291"/>
        <v>0</v>
      </c>
      <c r="DD145" s="109">
        <f t="shared" si="292"/>
        <v>0</v>
      </c>
      <c r="DE145" s="109"/>
      <c r="DF145" s="109"/>
      <c r="DG145" s="111"/>
      <c r="DH145" s="111"/>
      <c r="DI145" s="165"/>
      <c r="DJ145" s="109">
        <f t="shared" si="293"/>
        <v>0</v>
      </c>
      <c r="DK145" s="109">
        <f t="shared" si="294"/>
        <v>0</v>
      </c>
      <c r="DL145" s="109"/>
      <c r="DM145" s="109"/>
      <c r="DN145" s="111"/>
      <c r="DO145" s="111"/>
      <c r="DP145" s="165"/>
      <c r="DQ145" s="109">
        <f t="shared" si="216"/>
        <v>0</v>
      </c>
      <c r="DR145" s="109">
        <f t="shared" si="217"/>
        <v>0</v>
      </c>
      <c r="DS145" s="109"/>
      <c r="DT145" s="109"/>
      <c r="DU145" s="111"/>
      <c r="DV145" s="111"/>
      <c r="DW145" s="165"/>
      <c r="DX145" s="109">
        <f t="shared" si="221"/>
        <v>0</v>
      </c>
      <c r="DY145" s="109">
        <f t="shared" si="222"/>
        <v>0</v>
      </c>
      <c r="DZ145" s="109"/>
      <c r="EA145" s="109"/>
      <c r="EB145" s="111"/>
      <c r="EC145" s="111"/>
      <c r="ED145" s="165"/>
      <c r="EE145" s="109">
        <f t="shared" si="227"/>
        <v>0</v>
      </c>
      <c r="EF145" s="109">
        <f t="shared" si="228"/>
        <v>0</v>
      </c>
      <c r="EG145" s="109"/>
      <c r="EH145" s="109"/>
      <c r="EI145" s="111"/>
      <c r="EJ145" s="111"/>
      <c r="EK145" s="165"/>
      <c r="EL145" s="109">
        <f t="shared" si="233"/>
        <v>0</v>
      </c>
      <c r="EM145" s="109">
        <f t="shared" si="234"/>
        <v>0</v>
      </c>
      <c r="EN145" s="109"/>
      <c r="EO145" s="109"/>
      <c r="EP145" s="111"/>
      <c r="EQ145" s="111"/>
      <c r="ER145" s="165"/>
      <c r="ES145" s="109">
        <f t="shared" si="239"/>
        <v>0</v>
      </c>
      <c r="ET145" s="109">
        <f t="shared" si="240"/>
        <v>0</v>
      </c>
      <c r="EU145" s="109"/>
      <c r="EV145" s="109"/>
      <c r="EW145" s="111"/>
      <c r="EX145" s="111"/>
      <c r="EY145" s="165"/>
      <c r="EZ145" s="109">
        <f t="shared" si="242"/>
        <v>0</v>
      </c>
      <c r="FA145" s="109">
        <f t="shared" si="243"/>
        <v>0</v>
      </c>
      <c r="FB145" s="109"/>
      <c r="FC145" s="109"/>
      <c r="FD145" s="111"/>
      <c r="FE145" s="111"/>
      <c r="FF145" s="165"/>
      <c r="FG145" s="109">
        <f t="shared" si="245"/>
        <v>0</v>
      </c>
      <c r="FH145" s="109">
        <f t="shared" si="246"/>
        <v>0</v>
      </c>
      <c r="FI145" s="109"/>
      <c r="FJ145" s="109"/>
      <c r="FK145" s="111"/>
      <c r="FL145" s="111"/>
      <c r="FM145" s="165"/>
      <c r="FN145" s="109">
        <f t="shared" si="248"/>
        <v>0</v>
      </c>
      <c r="FO145" s="109">
        <f t="shared" si="249"/>
        <v>0</v>
      </c>
      <c r="FP145" s="109"/>
      <c r="FQ145" s="109"/>
      <c r="FR145" s="111"/>
      <c r="FS145" s="111"/>
      <c r="FT145" s="165"/>
      <c r="FU145" s="109">
        <f t="shared" si="250"/>
        <v>0</v>
      </c>
      <c r="FV145" s="109">
        <f t="shared" si="276"/>
        <v>0</v>
      </c>
      <c r="FW145" s="109"/>
      <c r="FX145" s="109"/>
      <c r="FY145" s="111"/>
      <c r="FZ145" s="111"/>
      <c r="GA145" s="165"/>
      <c r="GB145" s="109">
        <f t="shared" si="251"/>
        <v>0</v>
      </c>
      <c r="GC145" s="109">
        <f t="shared" si="277"/>
        <v>0</v>
      </c>
      <c r="GD145" s="109"/>
      <c r="GE145" s="109"/>
      <c r="GF145" s="111"/>
      <c r="GG145" s="111"/>
      <c r="GH145" s="165"/>
      <c r="GI145" s="109">
        <f t="shared" si="252"/>
        <v>0</v>
      </c>
      <c r="GJ145" s="109">
        <f t="shared" si="278"/>
        <v>0</v>
      </c>
      <c r="GK145" s="109"/>
      <c r="GL145" s="109"/>
      <c r="GM145" s="111"/>
      <c r="GN145" s="111"/>
      <c r="GO145" s="165"/>
      <c r="GP145" s="109">
        <f t="shared" si="253"/>
        <v>0</v>
      </c>
      <c r="GQ145" s="109">
        <f t="shared" si="279"/>
        <v>0</v>
      </c>
      <c r="GR145" s="109"/>
      <c r="GS145" s="109"/>
      <c r="GT145" s="111"/>
      <c r="GU145" s="111"/>
      <c r="GV145" s="165"/>
      <c r="GW145" s="168">
        <f t="shared" si="254"/>
        <v>0</v>
      </c>
      <c r="GX145" s="168">
        <f t="shared" si="280"/>
        <v>0</v>
      </c>
      <c r="GY145" s="168"/>
      <c r="GZ145" s="168"/>
      <c r="HA145" s="111"/>
      <c r="HB145" s="111"/>
      <c r="HC145" s="165"/>
      <c r="HD145" s="109">
        <f t="shared" si="255"/>
        <v>0</v>
      </c>
      <c r="HE145" s="109">
        <f t="shared" si="281"/>
        <v>0</v>
      </c>
      <c r="HF145" s="109"/>
      <c r="HG145" s="109"/>
      <c r="HH145" s="111"/>
      <c r="HI145" s="111"/>
      <c r="HJ145" s="165"/>
      <c r="HK145" s="109">
        <f t="shared" si="256"/>
        <v>0</v>
      </c>
      <c r="HL145" s="109">
        <f t="shared" si="282"/>
        <v>0</v>
      </c>
      <c r="HM145" s="109"/>
      <c r="HN145" s="109"/>
      <c r="HO145" s="111"/>
      <c r="HP145" s="111"/>
      <c r="HQ145" s="165"/>
      <c r="HR145" s="109">
        <f t="shared" si="257"/>
        <v>0</v>
      </c>
      <c r="HS145" s="109">
        <f t="shared" si="283"/>
        <v>0</v>
      </c>
      <c r="HT145" s="109"/>
      <c r="HU145" s="109"/>
      <c r="HV145" s="111"/>
      <c r="HW145" s="111"/>
      <c r="HX145" s="105">
        <f t="shared" si="301"/>
        <v>0</v>
      </c>
      <c r="HY145" s="105">
        <f t="shared" si="301"/>
        <v>0</v>
      </c>
      <c r="HZ145" s="105">
        <f t="shared" si="301"/>
        <v>0</v>
      </c>
      <c r="IA145" s="105">
        <f t="shared" si="295"/>
        <v>0</v>
      </c>
      <c r="IB145" s="109">
        <f t="shared" si="296"/>
        <v>0</v>
      </c>
      <c r="IC145" s="109">
        <f t="shared" si="297"/>
        <v>0</v>
      </c>
      <c r="ID145" s="109">
        <f t="shared" si="298"/>
        <v>0</v>
      </c>
      <c r="IE145" s="109">
        <f t="shared" si="299"/>
        <v>0</v>
      </c>
      <c r="IF145" s="197"/>
      <c r="IG145" s="197"/>
      <c r="IH145" s="197"/>
      <c r="II145" s="197"/>
      <c r="IJ145" s="197"/>
      <c r="IK145" s="197"/>
      <c r="IL145" s="197"/>
      <c r="IM145" s="171"/>
      <c r="IN145" s="171"/>
      <c r="IO145" s="171"/>
      <c r="IP145" s="171"/>
    </row>
    <row r="146" spans="1:250" ht="15" customHeight="1" x14ac:dyDescent="0.3">
      <c r="A146" s="110">
        <f t="shared" si="300"/>
        <v>142</v>
      </c>
      <c r="B146" s="111"/>
      <c r="C146" s="111"/>
      <c r="D146" s="111"/>
      <c r="E146" s="111"/>
      <c r="F146" s="111"/>
      <c r="G146" s="111"/>
      <c r="H146" s="111"/>
      <c r="I146" s="194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75"/>
      <c r="AI146" s="111"/>
      <c r="AJ146" s="111"/>
      <c r="AK146" s="111"/>
      <c r="AL146" s="177"/>
      <c r="AM146" s="176"/>
      <c r="AN146" s="177"/>
      <c r="AO146" s="157"/>
      <c r="AP146" s="158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75"/>
      <c r="BM146" s="111"/>
      <c r="BN146" s="111"/>
      <c r="BO146" s="111"/>
      <c r="BP146" s="111"/>
      <c r="BQ146" s="111"/>
      <c r="BR146" s="111"/>
      <c r="BS146" s="111"/>
      <c r="BT146" s="111"/>
      <c r="BU146" s="111"/>
      <c r="BV146" s="111"/>
      <c r="BW146" s="111"/>
      <c r="BX146" s="111"/>
      <c r="BY146" s="111"/>
      <c r="BZ146" s="111"/>
      <c r="CA146" s="111"/>
      <c r="CB146" s="111"/>
      <c r="CC146" s="178"/>
      <c r="CD146" s="177">
        <f t="shared" si="284"/>
        <v>0</v>
      </c>
      <c r="CE146" s="148"/>
      <c r="CF146" s="111">
        <f t="shared" si="285"/>
        <v>0</v>
      </c>
      <c r="CG146" s="177"/>
      <c r="CH146" s="204"/>
      <c r="CI146" s="148"/>
      <c r="CJ146" s="165"/>
      <c r="CK146" s="165"/>
      <c r="CL146" s="111"/>
      <c r="CM146" s="111"/>
      <c r="CN146" s="165">
        <f t="shared" si="286"/>
        <v>0</v>
      </c>
      <c r="CO146" s="109">
        <f t="shared" si="287"/>
        <v>0</v>
      </c>
      <c r="CP146" s="109">
        <f t="shared" si="288"/>
        <v>0</v>
      </c>
      <c r="CQ146" s="109"/>
      <c r="CR146" s="109"/>
      <c r="CS146" s="196"/>
      <c r="CT146" s="167"/>
      <c r="CU146" s="165"/>
      <c r="CV146" s="109">
        <f t="shared" si="289"/>
        <v>0</v>
      </c>
      <c r="CW146" s="109">
        <f t="shared" si="290"/>
        <v>0</v>
      </c>
      <c r="CX146" s="109"/>
      <c r="CY146" s="109"/>
      <c r="CZ146" s="111"/>
      <c r="DA146" s="111"/>
      <c r="DB146" s="165"/>
      <c r="DC146" s="109">
        <f t="shared" si="291"/>
        <v>0</v>
      </c>
      <c r="DD146" s="109">
        <f t="shared" si="292"/>
        <v>0</v>
      </c>
      <c r="DE146" s="109"/>
      <c r="DF146" s="109"/>
      <c r="DG146" s="111"/>
      <c r="DH146" s="111"/>
      <c r="DI146" s="165"/>
      <c r="DJ146" s="109">
        <f t="shared" si="293"/>
        <v>0</v>
      </c>
      <c r="DK146" s="109">
        <f t="shared" si="294"/>
        <v>0</v>
      </c>
      <c r="DL146" s="109"/>
      <c r="DM146" s="109"/>
      <c r="DN146" s="111"/>
      <c r="DO146" s="111"/>
      <c r="DP146" s="165"/>
      <c r="DQ146" s="109">
        <f t="shared" si="216"/>
        <v>0</v>
      </c>
      <c r="DR146" s="109">
        <f t="shared" si="217"/>
        <v>0</v>
      </c>
      <c r="DS146" s="109"/>
      <c r="DT146" s="109"/>
      <c r="DU146" s="111"/>
      <c r="DV146" s="111"/>
      <c r="DW146" s="165"/>
      <c r="DX146" s="109">
        <f t="shared" si="221"/>
        <v>0</v>
      </c>
      <c r="DY146" s="109">
        <f t="shared" si="222"/>
        <v>0</v>
      </c>
      <c r="DZ146" s="109"/>
      <c r="EA146" s="109"/>
      <c r="EB146" s="111"/>
      <c r="EC146" s="111"/>
      <c r="ED146" s="165"/>
      <c r="EE146" s="109">
        <f t="shared" si="227"/>
        <v>0</v>
      </c>
      <c r="EF146" s="109">
        <f t="shared" si="228"/>
        <v>0</v>
      </c>
      <c r="EG146" s="109"/>
      <c r="EH146" s="109"/>
      <c r="EI146" s="111"/>
      <c r="EJ146" s="111"/>
      <c r="EK146" s="165"/>
      <c r="EL146" s="109">
        <f t="shared" si="233"/>
        <v>0</v>
      </c>
      <c r="EM146" s="109">
        <f t="shared" si="234"/>
        <v>0</v>
      </c>
      <c r="EN146" s="109"/>
      <c r="EO146" s="109"/>
      <c r="EP146" s="111"/>
      <c r="EQ146" s="111"/>
      <c r="ER146" s="165"/>
      <c r="ES146" s="109">
        <f t="shared" si="239"/>
        <v>0</v>
      </c>
      <c r="ET146" s="109">
        <f t="shared" si="240"/>
        <v>0</v>
      </c>
      <c r="EU146" s="109"/>
      <c r="EV146" s="109"/>
      <c r="EW146" s="111"/>
      <c r="EX146" s="111"/>
      <c r="EY146" s="165"/>
      <c r="EZ146" s="109">
        <f t="shared" si="242"/>
        <v>0</v>
      </c>
      <c r="FA146" s="109">
        <f t="shared" si="243"/>
        <v>0</v>
      </c>
      <c r="FB146" s="109"/>
      <c r="FC146" s="109"/>
      <c r="FD146" s="111"/>
      <c r="FE146" s="111"/>
      <c r="FF146" s="165"/>
      <c r="FG146" s="109">
        <f t="shared" si="245"/>
        <v>0</v>
      </c>
      <c r="FH146" s="109">
        <f t="shared" si="246"/>
        <v>0</v>
      </c>
      <c r="FI146" s="109"/>
      <c r="FJ146" s="109"/>
      <c r="FK146" s="111"/>
      <c r="FL146" s="111"/>
      <c r="FM146" s="165"/>
      <c r="FN146" s="109">
        <f t="shared" si="248"/>
        <v>0</v>
      </c>
      <c r="FO146" s="109">
        <f t="shared" si="249"/>
        <v>0</v>
      </c>
      <c r="FP146" s="109"/>
      <c r="FQ146" s="109"/>
      <c r="FR146" s="111"/>
      <c r="FS146" s="111"/>
      <c r="FT146" s="165"/>
      <c r="FU146" s="109">
        <f t="shared" si="250"/>
        <v>0</v>
      </c>
      <c r="FV146" s="109">
        <f t="shared" si="276"/>
        <v>0</v>
      </c>
      <c r="FW146" s="109"/>
      <c r="FX146" s="109"/>
      <c r="FY146" s="111"/>
      <c r="FZ146" s="111"/>
      <c r="GA146" s="165"/>
      <c r="GB146" s="109">
        <f t="shared" si="251"/>
        <v>0</v>
      </c>
      <c r="GC146" s="109">
        <f t="shared" si="277"/>
        <v>0</v>
      </c>
      <c r="GD146" s="109"/>
      <c r="GE146" s="109"/>
      <c r="GF146" s="111"/>
      <c r="GG146" s="111"/>
      <c r="GH146" s="165"/>
      <c r="GI146" s="109">
        <f t="shared" si="252"/>
        <v>0</v>
      </c>
      <c r="GJ146" s="109">
        <f t="shared" si="278"/>
        <v>0</v>
      </c>
      <c r="GK146" s="109"/>
      <c r="GL146" s="109"/>
      <c r="GM146" s="111"/>
      <c r="GN146" s="111"/>
      <c r="GO146" s="165"/>
      <c r="GP146" s="109">
        <f t="shared" si="253"/>
        <v>0</v>
      </c>
      <c r="GQ146" s="109">
        <f t="shared" si="279"/>
        <v>0</v>
      </c>
      <c r="GR146" s="109"/>
      <c r="GS146" s="109"/>
      <c r="GT146" s="111"/>
      <c r="GU146" s="111"/>
      <c r="GV146" s="165"/>
      <c r="GW146" s="168">
        <f t="shared" si="254"/>
        <v>0</v>
      </c>
      <c r="GX146" s="168">
        <f t="shared" si="280"/>
        <v>0</v>
      </c>
      <c r="GY146" s="168"/>
      <c r="GZ146" s="168"/>
      <c r="HA146" s="111"/>
      <c r="HB146" s="111"/>
      <c r="HC146" s="165"/>
      <c r="HD146" s="109">
        <f t="shared" si="255"/>
        <v>0</v>
      </c>
      <c r="HE146" s="109">
        <f t="shared" si="281"/>
        <v>0</v>
      </c>
      <c r="HF146" s="109"/>
      <c r="HG146" s="109"/>
      <c r="HH146" s="111"/>
      <c r="HI146" s="111"/>
      <c r="HJ146" s="165"/>
      <c r="HK146" s="109">
        <f t="shared" si="256"/>
        <v>0</v>
      </c>
      <c r="HL146" s="109">
        <f t="shared" si="282"/>
        <v>0</v>
      </c>
      <c r="HM146" s="109"/>
      <c r="HN146" s="109"/>
      <c r="HO146" s="111"/>
      <c r="HP146" s="111"/>
      <c r="HQ146" s="165"/>
      <c r="HR146" s="109">
        <f t="shared" si="257"/>
        <v>0</v>
      </c>
      <c r="HS146" s="109">
        <f t="shared" si="283"/>
        <v>0</v>
      </c>
      <c r="HT146" s="109"/>
      <c r="HU146" s="109"/>
      <c r="HV146" s="111"/>
      <c r="HW146" s="111"/>
      <c r="HX146" s="105">
        <f t="shared" si="301"/>
        <v>0</v>
      </c>
      <c r="HY146" s="105">
        <f t="shared" si="301"/>
        <v>0</v>
      </c>
      <c r="HZ146" s="105">
        <f t="shared" si="301"/>
        <v>0</v>
      </c>
      <c r="IA146" s="105">
        <f t="shared" si="295"/>
        <v>0</v>
      </c>
      <c r="IB146" s="109">
        <f t="shared" si="296"/>
        <v>0</v>
      </c>
      <c r="IC146" s="109">
        <f t="shared" si="297"/>
        <v>0</v>
      </c>
      <c r="ID146" s="109">
        <f t="shared" si="298"/>
        <v>0</v>
      </c>
      <c r="IE146" s="109">
        <f t="shared" si="299"/>
        <v>0</v>
      </c>
      <c r="IF146" s="197"/>
      <c r="IG146" s="197"/>
      <c r="IH146" s="197"/>
      <c r="II146" s="197"/>
      <c r="IJ146" s="197"/>
      <c r="IK146" s="197"/>
      <c r="IL146" s="197"/>
      <c r="IM146" s="171"/>
      <c r="IN146" s="171"/>
      <c r="IO146" s="171"/>
      <c r="IP146" s="171"/>
    </row>
    <row r="147" spans="1:250" ht="15" customHeight="1" x14ac:dyDescent="0.3">
      <c r="A147" s="110">
        <f t="shared" si="300"/>
        <v>143</v>
      </c>
      <c r="B147" s="111"/>
      <c r="C147" s="111"/>
      <c r="D147" s="111"/>
      <c r="E147" s="111"/>
      <c r="F147" s="111"/>
      <c r="G147" s="111"/>
      <c r="H147" s="111"/>
      <c r="I147" s="194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75"/>
      <c r="AI147" s="111"/>
      <c r="AJ147" s="111"/>
      <c r="AK147" s="111"/>
      <c r="AL147" s="177"/>
      <c r="AM147" s="176"/>
      <c r="AN147" s="177"/>
      <c r="AO147" s="157"/>
      <c r="AP147" s="158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75"/>
      <c r="BM147" s="111"/>
      <c r="BN147" s="111"/>
      <c r="BO147" s="111"/>
      <c r="BP147" s="111"/>
      <c r="BQ147" s="111"/>
      <c r="BR147" s="111"/>
      <c r="BS147" s="111"/>
      <c r="BT147" s="111"/>
      <c r="BU147" s="111"/>
      <c r="BV147" s="111"/>
      <c r="BW147" s="111"/>
      <c r="BX147" s="111"/>
      <c r="BY147" s="111"/>
      <c r="BZ147" s="111"/>
      <c r="CA147" s="111"/>
      <c r="CB147" s="111"/>
      <c r="CC147" s="178"/>
      <c r="CD147" s="177">
        <f t="shared" si="284"/>
        <v>0</v>
      </c>
      <c r="CE147" s="148"/>
      <c r="CF147" s="111">
        <f t="shared" si="285"/>
        <v>0</v>
      </c>
      <c r="CG147" s="177"/>
      <c r="CH147" s="204"/>
      <c r="CI147" s="148"/>
      <c r="CJ147" s="165"/>
      <c r="CK147" s="165"/>
      <c r="CL147" s="111"/>
      <c r="CM147" s="111"/>
      <c r="CN147" s="165">
        <f t="shared" si="286"/>
        <v>0</v>
      </c>
      <c r="CO147" s="109">
        <f t="shared" si="287"/>
        <v>0</v>
      </c>
      <c r="CP147" s="109">
        <f t="shared" si="288"/>
        <v>0</v>
      </c>
      <c r="CQ147" s="109"/>
      <c r="CR147" s="109"/>
      <c r="CS147" s="196"/>
      <c r="CT147" s="167"/>
      <c r="CU147" s="165"/>
      <c r="CV147" s="109">
        <f t="shared" si="289"/>
        <v>0</v>
      </c>
      <c r="CW147" s="109">
        <f t="shared" si="290"/>
        <v>0</v>
      </c>
      <c r="CX147" s="109"/>
      <c r="CY147" s="109"/>
      <c r="CZ147" s="111"/>
      <c r="DA147" s="111"/>
      <c r="DB147" s="165"/>
      <c r="DC147" s="109">
        <f t="shared" si="291"/>
        <v>0</v>
      </c>
      <c r="DD147" s="109">
        <f t="shared" si="292"/>
        <v>0</v>
      </c>
      <c r="DE147" s="109"/>
      <c r="DF147" s="109"/>
      <c r="DG147" s="111"/>
      <c r="DH147" s="111"/>
      <c r="DI147" s="165"/>
      <c r="DJ147" s="109">
        <f t="shared" si="293"/>
        <v>0</v>
      </c>
      <c r="DK147" s="109">
        <f t="shared" si="294"/>
        <v>0</v>
      </c>
      <c r="DL147" s="109"/>
      <c r="DM147" s="109"/>
      <c r="DN147" s="111"/>
      <c r="DO147" s="111"/>
      <c r="DP147" s="165"/>
      <c r="DQ147" s="109">
        <f t="shared" si="216"/>
        <v>0</v>
      </c>
      <c r="DR147" s="109">
        <f t="shared" si="217"/>
        <v>0</v>
      </c>
      <c r="DS147" s="109"/>
      <c r="DT147" s="109"/>
      <c r="DU147" s="111"/>
      <c r="DV147" s="111"/>
      <c r="DW147" s="165"/>
      <c r="DX147" s="109">
        <f t="shared" si="221"/>
        <v>0</v>
      </c>
      <c r="DY147" s="109">
        <f t="shared" si="222"/>
        <v>0</v>
      </c>
      <c r="DZ147" s="109"/>
      <c r="EA147" s="109"/>
      <c r="EB147" s="111"/>
      <c r="EC147" s="111"/>
      <c r="ED147" s="165"/>
      <c r="EE147" s="109">
        <f t="shared" si="227"/>
        <v>0</v>
      </c>
      <c r="EF147" s="109">
        <f t="shared" si="228"/>
        <v>0</v>
      </c>
      <c r="EG147" s="109"/>
      <c r="EH147" s="109"/>
      <c r="EI147" s="111"/>
      <c r="EJ147" s="111"/>
      <c r="EK147" s="165"/>
      <c r="EL147" s="109">
        <f t="shared" si="233"/>
        <v>0</v>
      </c>
      <c r="EM147" s="109">
        <f t="shared" si="234"/>
        <v>0</v>
      </c>
      <c r="EN147" s="109"/>
      <c r="EO147" s="109"/>
      <c r="EP147" s="111"/>
      <c r="EQ147" s="111"/>
      <c r="ER147" s="165"/>
      <c r="ES147" s="109">
        <f t="shared" si="239"/>
        <v>0</v>
      </c>
      <c r="ET147" s="109">
        <f t="shared" si="240"/>
        <v>0</v>
      </c>
      <c r="EU147" s="109"/>
      <c r="EV147" s="109"/>
      <c r="EW147" s="111"/>
      <c r="EX147" s="111"/>
      <c r="EY147" s="165"/>
      <c r="EZ147" s="109">
        <f t="shared" si="242"/>
        <v>0</v>
      </c>
      <c r="FA147" s="109">
        <f t="shared" si="243"/>
        <v>0</v>
      </c>
      <c r="FB147" s="109"/>
      <c r="FC147" s="109"/>
      <c r="FD147" s="111"/>
      <c r="FE147" s="111"/>
      <c r="FF147" s="165"/>
      <c r="FG147" s="109">
        <f t="shared" si="245"/>
        <v>0</v>
      </c>
      <c r="FH147" s="109">
        <f t="shared" si="246"/>
        <v>0</v>
      </c>
      <c r="FI147" s="109"/>
      <c r="FJ147" s="109"/>
      <c r="FK147" s="111"/>
      <c r="FL147" s="111"/>
      <c r="FM147" s="165"/>
      <c r="FN147" s="109">
        <f t="shared" si="248"/>
        <v>0</v>
      </c>
      <c r="FO147" s="109">
        <f t="shared" si="249"/>
        <v>0</v>
      </c>
      <c r="FP147" s="109"/>
      <c r="FQ147" s="109"/>
      <c r="FR147" s="111"/>
      <c r="FS147" s="111"/>
      <c r="FT147" s="165"/>
      <c r="FU147" s="109">
        <f t="shared" si="250"/>
        <v>0</v>
      </c>
      <c r="FV147" s="109">
        <f t="shared" si="276"/>
        <v>0</v>
      </c>
      <c r="FW147" s="109"/>
      <c r="FX147" s="109"/>
      <c r="FY147" s="111"/>
      <c r="FZ147" s="111"/>
      <c r="GA147" s="165"/>
      <c r="GB147" s="109">
        <f t="shared" si="251"/>
        <v>0</v>
      </c>
      <c r="GC147" s="109">
        <f t="shared" si="277"/>
        <v>0</v>
      </c>
      <c r="GD147" s="109"/>
      <c r="GE147" s="109"/>
      <c r="GF147" s="111"/>
      <c r="GG147" s="111"/>
      <c r="GH147" s="165"/>
      <c r="GI147" s="109">
        <f t="shared" si="252"/>
        <v>0</v>
      </c>
      <c r="GJ147" s="109">
        <f t="shared" si="278"/>
        <v>0</v>
      </c>
      <c r="GK147" s="109"/>
      <c r="GL147" s="109"/>
      <c r="GM147" s="111"/>
      <c r="GN147" s="111"/>
      <c r="GO147" s="165"/>
      <c r="GP147" s="109">
        <f t="shared" si="253"/>
        <v>0</v>
      </c>
      <c r="GQ147" s="109">
        <f t="shared" si="279"/>
        <v>0</v>
      </c>
      <c r="GR147" s="109"/>
      <c r="GS147" s="109"/>
      <c r="GT147" s="111"/>
      <c r="GU147" s="111"/>
      <c r="GV147" s="165"/>
      <c r="GW147" s="168">
        <f t="shared" si="254"/>
        <v>0</v>
      </c>
      <c r="GX147" s="168">
        <f t="shared" si="280"/>
        <v>0</v>
      </c>
      <c r="GY147" s="168"/>
      <c r="GZ147" s="168"/>
      <c r="HA147" s="111"/>
      <c r="HB147" s="111"/>
      <c r="HC147" s="165"/>
      <c r="HD147" s="109">
        <f t="shared" si="255"/>
        <v>0</v>
      </c>
      <c r="HE147" s="109">
        <f t="shared" si="281"/>
        <v>0</v>
      </c>
      <c r="HF147" s="109"/>
      <c r="HG147" s="109"/>
      <c r="HH147" s="111"/>
      <c r="HI147" s="111"/>
      <c r="HJ147" s="165"/>
      <c r="HK147" s="109">
        <f t="shared" si="256"/>
        <v>0</v>
      </c>
      <c r="HL147" s="109">
        <f t="shared" si="282"/>
        <v>0</v>
      </c>
      <c r="HM147" s="109"/>
      <c r="HN147" s="109"/>
      <c r="HO147" s="111"/>
      <c r="HP147" s="111"/>
      <c r="HQ147" s="165"/>
      <c r="HR147" s="109">
        <f t="shared" si="257"/>
        <v>0</v>
      </c>
      <c r="HS147" s="109">
        <f t="shared" si="283"/>
        <v>0</v>
      </c>
      <c r="HT147" s="109"/>
      <c r="HU147" s="109"/>
      <c r="HV147" s="111"/>
      <c r="HW147" s="111"/>
      <c r="HX147" s="105">
        <f t="shared" si="301"/>
        <v>0</v>
      </c>
      <c r="HY147" s="105">
        <f t="shared" si="301"/>
        <v>0</v>
      </c>
      <c r="HZ147" s="105">
        <f t="shared" si="301"/>
        <v>0</v>
      </c>
      <c r="IA147" s="105">
        <f t="shared" si="295"/>
        <v>0</v>
      </c>
      <c r="IB147" s="109">
        <f t="shared" si="296"/>
        <v>0</v>
      </c>
      <c r="IC147" s="109">
        <f t="shared" si="297"/>
        <v>0</v>
      </c>
      <c r="ID147" s="109">
        <f t="shared" si="298"/>
        <v>0</v>
      </c>
      <c r="IE147" s="109">
        <f t="shared" si="299"/>
        <v>0</v>
      </c>
      <c r="IF147" s="197"/>
      <c r="IG147" s="197"/>
      <c r="IH147" s="197"/>
      <c r="II147" s="197"/>
      <c r="IJ147" s="197"/>
      <c r="IK147" s="197"/>
      <c r="IL147" s="197"/>
      <c r="IM147" s="171"/>
      <c r="IN147" s="171"/>
      <c r="IO147" s="171"/>
      <c r="IP147" s="171"/>
    </row>
    <row r="148" spans="1:250" ht="15" customHeight="1" x14ac:dyDescent="0.3">
      <c r="A148" s="110">
        <f t="shared" si="300"/>
        <v>144</v>
      </c>
      <c r="B148" s="111"/>
      <c r="C148" s="111"/>
      <c r="D148" s="111"/>
      <c r="E148" s="111"/>
      <c r="F148" s="111"/>
      <c r="G148" s="111"/>
      <c r="H148" s="111"/>
      <c r="I148" s="194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75"/>
      <c r="AI148" s="111"/>
      <c r="AJ148" s="111"/>
      <c r="AK148" s="111"/>
      <c r="AL148" s="177"/>
      <c r="AM148" s="176"/>
      <c r="AN148" s="177"/>
      <c r="AO148" s="157"/>
      <c r="AP148" s="158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75"/>
      <c r="BM148" s="111"/>
      <c r="BN148" s="111"/>
      <c r="BO148" s="111"/>
      <c r="BP148" s="111"/>
      <c r="BQ148" s="111"/>
      <c r="BR148" s="111"/>
      <c r="BS148" s="111"/>
      <c r="BT148" s="111"/>
      <c r="BU148" s="111"/>
      <c r="BV148" s="111"/>
      <c r="BW148" s="111"/>
      <c r="BX148" s="111"/>
      <c r="BY148" s="111"/>
      <c r="BZ148" s="111"/>
      <c r="CA148" s="111"/>
      <c r="CB148" s="111"/>
      <c r="CC148" s="178"/>
      <c r="CD148" s="177">
        <f t="shared" si="284"/>
        <v>0</v>
      </c>
      <c r="CE148" s="148"/>
      <c r="CF148" s="111">
        <f t="shared" si="285"/>
        <v>0</v>
      </c>
      <c r="CG148" s="177"/>
      <c r="CH148" s="204"/>
      <c r="CI148" s="148"/>
      <c r="CJ148" s="165"/>
      <c r="CK148" s="165"/>
      <c r="CL148" s="111"/>
      <c r="CM148" s="111"/>
      <c r="CN148" s="165">
        <f t="shared" si="286"/>
        <v>0</v>
      </c>
      <c r="CO148" s="109">
        <f t="shared" si="287"/>
        <v>0</v>
      </c>
      <c r="CP148" s="109">
        <f t="shared" si="288"/>
        <v>0</v>
      </c>
      <c r="CQ148" s="109"/>
      <c r="CR148" s="109"/>
      <c r="CS148" s="196"/>
      <c r="CT148" s="167"/>
      <c r="CU148" s="165"/>
      <c r="CV148" s="109">
        <f t="shared" si="289"/>
        <v>0</v>
      </c>
      <c r="CW148" s="109">
        <f t="shared" si="290"/>
        <v>0</v>
      </c>
      <c r="CX148" s="109"/>
      <c r="CY148" s="109"/>
      <c r="CZ148" s="111"/>
      <c r="DA148" s="111"/>
      <c r="DB148" s="165"/>
      <c r="DC148" s="109">
        <f t="shared" si="291"/>
        <v>0</v>
      </c>
      <c r="DD148" s="109">
        <f t="shared" si="292"/>
        <v>0</v>
      </c>
      <c r="DE148" s="109"/>
      <c r="DF148" s="109"/>
      <c r="DG148" s="111"/>
      <c r="DH148" s="111"/>
      <c r="DI148" s="165"/>
      <c r="DJ148" s="109">
        <f t="shared" si="293"/>
        <v>0</v>
      </c>
      <c r="DK148" s="109">
        <f t="shared" si="294"/>
        <v>0</v>
      </c>
      <c r="DL148" s="109"/>
      <c r="DM148" s="109"/>
      <c r="DN148" s="111"/>
      <c r="DO148" s="111"/>
      <c r="DP148" s="165"/>
      <c r="DQ148" s="109">
        <f t="shared" si="216"/>
        <v>0</v>
      </c>
      <c r="DR148" s="109">
        <f t="shared" si="217"/>
        <v>0</v>
      </c>
      <c r="DS148" s="109"/>
      <c r="DT148" s="109"/>
      <c r="DU148" s="111"/>
      <c r="DV148" s="111"/>
      <c r="DW148" s="165"/>
      <c r="DX148" s="109">
        <f t="shared" si="221"/>
        <v>0</v>
      </c>
      <c r="DY148" s="109">
        <f t="shared" si="222"/>
        <v>0</v>
      </c>
      <c r="DZ148" s="109"/>
      <c r="EA148" s="109"/>
      <c r="EB148" s="111"/>
      <c r="EC148" s="111"/>
      <c r="ED148" s="165"/>
      <c r="EE148" s="109">
        <f t="shared" si="227"/>
        <v>0</v>
      </c>
      <c r="EF148" s="109">
        <f t="shared" si="228"/>
        <v>0</v>
      </c>
      <c r="EG148" s="109"/>
      <c r="EH148" s="109"/>
      <c r="EI148" s="111"/>
      <c r="EJ148" s="111"/>
      <c r="EK148" s="165"/>
      <c r="EL148" s="109">
        <f t="shared" si="233"/>
        <v>0</v>
      </c>
      <c r="EM148" s="109">
        <f t="shared" si="234"/>
        <v>0</v>
      </c>
      <c r="EN148" s="109"/>
      <c r="EO148" s="109"/>
      <c r="EP148" s="111"/>
      <c r="EQ148" s="111"/>
      <c r="ER148" s="165"/>
      <c r="ES148" s="109">
        <f t="shared" si="239"/>
        <v>0</v>
      </c>
      <c r="ET148" s="109">
        <f t="shared" si="240"/>
        <v>0</v>
      </c>
      <c r="EU148" s="109"/>
      <c r="EV148" s="109"/>
      <c r="EW148" s="111"/>
      <c r="EX148" s="111"/>
      <c r="EY148" s="165"/>
      <c r="EZ148" s="109">
        <f t="shared" si="242"/>
        <v>0</v>
      </c>
      <c r="FA148" s="109">
        <f t="shared" si="243"/>
        <v>0</v>
      </c>
      <c r="FB148" s="109"/>
      <c r="FC148" s="109"/>
      <c r="FD148" s="111"/>
      <c r="FE148" s="111"/>
      <c r="FF148" s="165"/>
      <c r="FG148" s="109">
        <f t="shared" si="245"/>
        <v>0</v>
      </c>
      <c r="FH148" s="109">
        <f t="shared" si="246"/>
        <v>0</v>
      </c>
      <c r="FI148" s="109"/>
      <c r="FJ148" s="109"/>
      <c r="FK148" s="111"/>
      <c r="FL148" s="111"/>
      <c r="FM148" s="165"/>
      <c r="FN148" s="109">
        <f t="shared" si="248"/>
        <v>0</v>
      </c>
      <c r="FO148" s="109">
        <f t="shared" si="249"/>
        <v>0</v>
      </c>
      <c r="FP148" s="109"/>
      <c r="FQ148" s="109"/>
      <c r="FR148" s="111"/>
      <c r="FS148" s="111"/>
      <c r="FT148" s="165"/>
      <c r="FU148" s="109">
        <f t="shared" si="250"/>
        <v>0</v>
      </c>
      <c r="FV148" s="109">
        <f t="shared" si="276"/>
        <v>0</v>
      </c>
      <c r="FW148" s="109"/>
      <c r="FX148" s="109"/>
      <c r="FY148" s="111"/>
      <c r="FZ148" s="111"/>
      <c r="GA148" s="165"/>
      <c r="GB148" s="109">
        <f t="shared" si="251"/>
        <v>0</v>
      </c>
      <c r="GC148" s="109">
        <f t="shared" si="277"/>
        <v>0</v>
      </c>
      <c r="GD148" s="109"/>
      <c r="GE148" s="109"/>
      <c r="GF148" s="111"/>
      <c r="GG148" s="111"/>
      <c r="GH148" s="165"/>
      <c r="GI148" s="109">
        <f t="shared" si="252"/>
        <v>0</v>
      </c>
      <c r="GJ148" s="109">
        <f t="shared" si="278"/>
        <v>0</v>
      </c>
      <c r="GK148" s="109"/>
      <c r="GL148" s="109"/>
      <c r="GM148" s="111"/>
      <c r="GN148" s="111"/>
      <c r="GO148" s="165"/>
      <c r="GP148" s="109">
        <f t="shared" si="253"/>
        <v>0</v>
      </c>
      <c r="GQ148" s="109">
        <f t="shared" si="279"/>
        <v>0</v>
      </c>
      <c r="GR148" s="109"/>
      <c r="GS148" s="109"/>
      <c r="GT148" s="111"/>
      <c r="GU148" s="111"/>
      <c r="GV148" s="165"/>
      <c r="GW148" s="168">
        <f t="shared" si="254"/>
        <v>0</v>
      </c>
      <c r="GX148" s="168">
        <f t="shared" si="280"/>
        <v>0</v>
      </c>
      <c r="GY148" s="168"/>
      <c r="GZ148" s="168"/>
      <c r="HA148" s="111"/>
      <c r="HB148" s="111"/>
      <c r="HC148" s="165"/>
      <c r="HD148" s="109">
        <f t="shared" si="255"/>
        <v>0</v>
      </c>
      <c r="HE148" s="109">
        <f t="shared" si="281"/>
        <v>0</v>
      </c>
      <c r="HF148" s="109"/>
      <c r="HG148" s="109"/>
      <c r="HH148" s="111"/>
      <c r="HI148" s="111"/>
      <c r="HJ148" s="165"/>
      <c r="HK148" s="109">
        <f t="shared" si="256"/>
        <v>0</v>
      </c>
      <c r="HL148" s="109">
        <f t="shared" si="282"/>
        <v>0</v>
      </c>
      <c r="HM148" s="109"/>
      <c r="HN148" s="109"/>
      <c r="HO148" s="111"/>
      <c r="HP148" s="111"/>
      <c r="HQ148" s="165"/>
      <c r="HR148" s="109">
        <f t="shared" si="257"/>
        <v>0</v>
      </c>
      <c r="HS148" s="109">
        <f t="shared" si="283"/>
        <v>0</v>
      </c>
      <c r="HT148" s="109"/>
      <c r="HU148" s="109"/>
      <c r="HV148" s="111"/>
      <c r="HW148" s="111"/>
      <c r="HX148" s="105">
        <f t="shared" si="301"/>
        <v>0</v>
      </c>
      <c r="HY148" s="105">
        <f t="shared" si="301"/>
        <v>0</v>
      </c>
      <c r="HZ148" s="105">
        <f t="shared" si="301"/>
        <v>0</v>
      </c>
      <c r="IA148" s="105">
        <f t="shared" si="295"/>
        <v>0</v>
      </c>
      <c r="IB148" s="109">
        <f t="shared" si="296"/>
        <v>0</v>
      </c>
      <c r="IC148" s="109">
        <f t="shared" si="297"/>
        <v>0</v>
      </c>
      <c r="ID148" s="109">
        <f t="shared" si="298"/>
        <v>0</v>
      </c>
      <c r="IE148" s="109">
        <f t="shared" si="299"/>
        <v>0</v>
      </c>
      <c r="IF148" s="197"/>
      <c r="IG148" s="197"/>
      <c r="IH148" s="197"/>
      <c r="II148" s="197"/>
      <c r="IJ148" s="197"/>
      <c r="IK148" s="197"/>
      <c r="IL148" s="197"/>
      <c r="IM148" s="171"/>
      <c r="IN148" s="171"/>
      <c r="IO148" s="171"/>
      <c r="IP148" s="171"/>
    </row>
    <row r="149" spans="1:250" ht="15" customHeight="1" x14ac:dyDescent="0.3">
      <c r="A149" s="110">
        <f t="shared" si="300"/>
        <v>145</v>
      </c>
      <c r="B149" s="111"/>
      <c r="C149" s="111"/>
      <c r="D149" s="111"/>
      <c r="E149" s="111"/>
      <c r="F149" s="111"/>
      <c r="G149" s="111"/>
      <c r="H149" s="111"/>
      <c r="I149" s="194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75"/>
      <c r="AI149" s="111"/>
      <c r="AJ149" s="111"/>
      <c r="AK149" s="111"/>
      <c r="AL149" s="177"/>
      <c r="AM149" s="176"/>
      <c r="AN149" s="177"/>
      <c r="AO149" s="157"/>
      <c r="AP149" s="158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75"/>
      <c r="BM149" s="111"/>
      <c r="BN149" s="111"/>
      <c r="BO149" s="111"/>
      <c r="BP149" s="111"/>
      <c r="BQ149" s="111"/>
      <c r="BR149" s="111"/>
      <c r="BS149" s="111"/>
      <c r="BT149" s="111"/>
      <c r="BU149" s="111"/>
      <c r="BV149" s="111"/>
      <c r="BW149" s="111"/>
      <c r="BX149" s="111"/>
      <c r="BY149" s="111"/>
      <c r="BZ149" s="111"/>
      <c r="CA149" s="111"/>
      <c r="CB149" s="111"/>
      <c r="CC149" s="178"/>
      <c r="CD149" s="177">
        <f t="shared" si="284"/>
        <v>0</v>
      </c>
      <c r="CE149" s="148"/>
      <c r="CF149" s="111">
        <f t="shared" si="285"/>
        <v>0</v>
      </c>
      <c r="CG149" s="177"/>
      <c r="CH149" s="204"/>
      <c r="CI149" s="148"/>
      <c r="CJ149" s="165"/>
      <c r="CK149" s="165"/>
      <c r="CL149" s="111"/>
      <c r="CM149" s="111"/>
      <c r="CN149" s="165">
        <f t="shared" si="286"/>
        <v>0</v>
      </c>
      <c r="CO149" s="109">
        <f t="shared" si="287"/>
        <v>0</v>
      </c>
      <c r="CP149" s="109">
        <f t="shared" si="288"/>
        <v>0</v>
      </c>
      <c r="CQ149" s="109"/>
      <c r="CR149" s="109"/>
      <c r="CS149" s="196"/>
      <c r="CT149" s="167"/>
      <c r="CU149" s="165"/>
      <c r="CV149" s="109">
        <f t="shared" si="289"/>
        <v>0</v>
      </c>
      <c r="CW149" s="109">
        <f t="shared" si="290"/>
        <v>0</v>
      </c>
      <c r="CX149" s="109"/>
      <c r="CY149" s="109"/>
      <c r="CZ149" s="111"/>
      <c r="DA149" s="111"/>
      <c r="DB149" s="165"/>
      <c r="DC149" s="109">
        <f t="shared" si="291"/>
        <v>0</v>
      </c>
      <c r="DD149" s="109">
        <f t="shared" si="292"/>
        <v>0</v>
      </c>
      <c r="DE149" s="109"/>
      <c r="DF149" s="109"/>
      <c r="DG149" s="111"/>
      <c r="DH149" s="111"/>
      <c r="DI149" s="165"/>
      <c r="DJ149" s="109">
        <f t="shared" si="293"/>
        <v>0</v>
      </c>
      <c r="DK149" s="109">
        <f t="shared" si="294"/>
        <v>0</v>
      </c>
      <c r="DL149" s="109"/>
      <c r="DM149" s="109"/>
      <c r="DN149" s="111"/>
      <c r="DO149" s="111"/>
      <c r="DP149" s="165"/>
      <c r="DQ149" s="109">
        <f t="shared" si="216"/>
        <v>0</v>
      </c>
      <c r="DR149" s="109">
        <f t="shared" si="217"/>
        <v>0</v>
      </c>
      <c r="DS149" s="109"/>
      <c r="DT149" s="109"/>
      <c r="DU149" s="111"/>
      <c r="DV149" s="111"/>
      <c r="DW149" s="165"/>
      <c r="DX149" s="109">
        <f t="shared" si="221"/>
        <v>0</v>
      </c>
      <c r="DY149" s="109">
        <f t="shared" si="222"/>
        <v>0</v>
      </c>
      <c r="DZ149" s="109"/>
      <c r="EA149" s="109"/>
      <c r="EB149" s="111"/>
      <c r="EC149" s="111"/>
      <c r="ED149" s="165"/>
      <c r="EE149" s="109">
        <f t="shared" si="227"/>
        <v>0</v>
      </c>
      <c r="EF149" s="109">
        <f t="shared" si="228"/>
        <v>0</v>
      </c>
      <c r="EG149" s="109"/>
      <c r="EH149" s="109"/>
      <c r="EI149" s="111"/>
      <c r="EJ149" s="111"/>
      <c r="EK149" s="165"/>
      <c r="EL149" s="109">
        <f t="shared" si="233"/>
        <v>0</v>
      </c>
      <c r="EM149" s="109">
        <f t="shared" si="234"/>
        <v>0</v>
      </c>
      <c r="EN149" s="109"/>
      <c r="EO149" s="109"/>
      <c r="EP149" s="111"/>
      <c r="EQ149" s="111"/>
      <c r="ER149" s="165"/>
      <c r="ES149" s="109">
        <f t="shared" si="239"/>
        <v>0</v>
      </c>
      <c r="ET149" s="109">
        <f t="shared" si="240"/>
        <v>0</v>
      </c>
      <c r="EU149" s="109"/>
      <c r="EV149" s="109"/>
      <c r="EW149" s="111"/>
      <c r="EX149" s="111"/>
      <c r="EY149" s="165"/>
      <c r="EZ149" s="109">
        <f t="shared" si="242"/>
        <v>0</v>
      </c>
      <c r="FA149" s="109">
        <f t="shared" si="243"/>
        <v>0</v>
      </c>
      <c r="FB149" s="109"/>
      <c r="FC149" s="109"/>
      <c r="FD149" s="111"/>
      <c r="FE149" s="111"/>
      <c r="FF149" s="165"/>
      <c r="FG149" s="109">
        <f t="shared" si="245"/>
        <v>0</v>
      </c>
      <c r="FH149" s="109">
        <f t="shared" si="246"/>
        <v>0</v>
      </c>
      <c r="FI149" s="109"/>
      <c r="FJ149" s="109"/>
      <c r="FK149" s="111"/>
      <c r="FL149" s="111"/>
      <c r="FM149" s="165"/>
      <c r="FN149" s="109">
        <f t="shared" si="248"/>
        <v>0</v>
      </c>
      <c r="FO149" s="109">
        <f t="shared" si="249"/>
        <v>0</v>
      </c>
      <c r="FP149" s="109"/>
      <c r="FQ149" s="109"/>
      <c r="FR149" s="111"/>
      <c r="FS149" s="111"/>
      <c r="FT149" s="165"/>
      <c r="FU149" s="109">
        <f t="shared" si="250"/>
        <v>0</v>
      </c>
      <c r="FV149" s="109">
        <f t="shared" si="276"/>
        <v>0</v>
      </c>
      <c r="FW149" s="109"/>
      <c r="FX149" s="109"/>
      <c r="FY149" s="111"/>
      <c r="FZ149" s="111"/>
      <c r="GA149" s="165"/>
      <c r="GB149" s="109">
        <f t="shared" si="251"/>
        <v>0</v>
      </c>
      <c r="GC149" s="109">
        <f t="shared" si="277"/>
        <v>0</v>
      </c>
      <c r="GD149" s="109"/>
      <c r="GE149" s="109"/>
      <c r="GF149" s="111"/>
      <c r="GG149" s="111"/>
      <c r="GH149" s="165"/>
      <c r="GI149" s="109">
        <f t="shared" si="252"/>
        <v>0</v>
      </c>
      <c r="GJ149" s="109">
        <f t="shared" si="278"/>
        <v>0</v>
      </c>
      <c r="GK149" s="109"/>
      <c r="GL149" s="109"/>
      <c r="GM149" s="111"/>
      <c r="GN149" s="111"/>
      <c r="GO149" s="165"/>
      <c r="GP149" s="109">
        <f t="shared" si="253"/>
        <v>0</v>
      </c>
      <c r="GQ149" s="109">
        <f t="shared" si="279"/>
        <v>0</v>
      </c>
      <c r="GR149" s="109"/>
      <c r="GS149" s="109"/>
      <c r="GT149" s="111"/>
      <c r="GU149" s="111"/>
      <c r="GV149" s="165"/>
      <c r="GW149" s="168">
        <f t="shared" si="254"/>
        <v>0</v>
      </c>
      <c r="GX149" s="168">
        <f t="shared" si="280"/>
        <v>0</v>
      </c>
      <c r="GY149" s="168"/>
      <c r="GZ149" s="168"/>
      <c r="HA149" s="111"/>
      <c r="HB149" s="111"/>
      <c r="HC149" s="165"/>
      <c r="HD149" s="109">
        <f t="shared" si="255"/>
        <v>0</v>
      </c>
      <c r="HE149" s="109">
        <f t="shared" si="281"/>
        <v>0</v>
      </c>
      <c r="HF149" s="109"/>
      <c r="HG149" s="109"/>
      <c r="HH149" s="111"/>
      <c r="HI149" s="111"/>
      <c r="HJ149" s="165"/>
      <c r="HK149" s="109">
        <f t="shared" si="256"/>
        <v>0</v>
      </c>
      <c r="HL149" s="109">
        <f t="shared" si="282"/>
        <v>0</v>
      </c>
      <c r="HM149" s="109"/>
      <c r="HN149" s="109"/>
      <c r="HO149" s="111"/>
      <c r="HP149" s="111"/>
      <c r="HQ149" s="165"/>
      <c r="HR149" s="109">
        <f t="shared" si="257"/>
        <v>0</v>
      </c>
      <c r="HS149" s="109">
        <f t="shared" si="283"/>
        <v>0</v>
      </c>
      <c r="HT149" s="109"/>
      <c r="HU149" s="109"/>
      <c r="HV149" s="111"/>
      <c r="HW149" s="111"/>
      <c r="HX149" s="105">
        <f t="shared" si="301"/>
        <v>0</v>
      </c>
      <c r="HY149" s="105">
        <f t="shared" si="301"/>
        <v>0</v>
      </c>
      <c r="HZ149" s="105">
        <f t="shared" si="301"/>
        <v>0</v>
      </c>
      <c r="IA149" s="105">
        <f t="shared" si="295"/>
        <v>0</v>
      </c>
      <c r="IB149" s="109">
        <f t="shared" si="296"/>
        <v>0</v>
      </c>
      <c r="IC149" s="109">
        <f t="shared" si="297"/>
        <v>0</v>
      </c>
      <c r="ID149" s="109">
        <f t="shared" si="298"/>
        <v>0</v>
      </c>
      <c r="IE149" s="109">
        <f t="shared" si="299"/>
        <v>0</v>
      </c>
      <c r="IF149" s="197"/>
      <c r="IG149" s="197"/>
      <c r="IH149" s="197"/>
      <c r="II149" s="197"/>
      <c r="IJ149" s="197"/>
      <c r="IK149" s="197"/>
      <c r="IL149" s="197"/>
      <c r="IM149" s="171"/>
      <c r="IN149" s="171"/>
      <c r="IO149" s="171"/>
      <c r="IP149" s="171"/>
    </row>
    <row r="150" spans="1:250" ht="15" customHeight="1" x14ac:dyDescent="0.3">
      <c r="A150" s="110">
        <f t="shared" si="300"/>
        <v>146</v>
      </c>
      <c r="B150" s="111"/>
      <c r="C150" s="111"/>
      <c r="D150" s="111"/>
      <c r="E150" s="111"/>
      <c r="F150" s="111"/>
      <c r="G150" s="111"/>
      <c r="H150" s="111"/>
      <c r="I150" s="194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75"/>
      <c r="AI150" s="111"/>
      <c r="AJ150" s="111"/>
      <c r="AK150" s="111"/>
      <c r="AL150" s="177"/>
      <c r="AM150" s="176"/>
      <c r="AN150" s="177"/>
      <c r="AO150" s="157"/>
      <c r="AP150" s="158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75"/>
      <c r="BM150" s="111"/>
      <c r="BN150" s="111"/>
      <c r="BO150" s="111"/>
      <c r="BP150" s="111"/>
      <c r="BQ150" s="111"/>
      <c r="BR150" s="111"/>
      <c r="BS150" s="111"/>
      <c r="BT150" s="111"/>
      <c r="BU150" s="111"/>
      <c r="BV150" s="111"/>
      <c r="BW150" s="111"/>
      <c r="BX150" s="111"/>
      <c r="BY150" s="111"/>
      <c r="BZ150" s="111"/>
      <c r="CA150" s="111"/>
      <c r="CB150" s="111"/>
      <c r="CC150" s="178"/>
      <c r="CD150" s="177">
        <f t="shared" si="284"/>
        <v>0</v>
      </c>
      <c r="CE150" s="148"/>
      <c r="CF150" s="111">
        <f t="shared" si="285"/>
        <v>0</v>
      </c>
      <c r="CG150" s="177"/>
      <c r="CH150" s="204"/>
      <c r="CI150" s="148"/>
      <c r="CJ150" s="165"/>
      <c r="CK150" s="165"/>
      <c r="CL150" s="111"/>
      <c r="CM150" s="111"/>
      <c r="CN150" s="165">
        <f t="shared" si="286"/>
        <v>0</v>
      </c>
      <c r="CO150" s="109">
        <f t="shared" si="287"/>
        <v>0</v>
      </c>
      <c r="CP150" s="109">
        <f t="shared" si="288"/>
        <v>0</v>
      </c>
      <c r="CQ150" s="109"/>
      <c r="CR150" s="109"/>
      <c r="CS150" s="196"/>
      <c r="CT150" s="167"/>
      <c r="CU150" s="165"/>
      <c r="CV150" s="109">
        <f t="shared" si="289"/>
        <v>0</v>
      </c>
      <c r="CW150" s="109">
        <f t="shared" si="290"/>
        <v>0</v>
      </c>
      <c r="CX150" s="109"/>
      <c r="CY150" s="109"/>
      <c r="CZ150" s="111"/>
      <c r="DA150" s="111"/>
      <c r="DB150" s="165"/>
      <c r="DC150" s="109">
        <f t="shared" si="291"/>
        <v>0</v>
      </c>
      <c r="DD150" s="109">
        <f t="shared" si="292"/>
        <v>0</v>
      </c>
      <c r="DE150" s="109"/>
      <c r="DF150" s="109"/>
      <c r="DG150" s="111"/>
      <c r="DH150" s="111"/>
      <c r="DI150" s="165"/>
      <c r="DJ150" s="109">
        <f t="shared" si="293"/>
        <v>0</v>
      </c>
      <c r="DK150" s="109">
        <f t="shared" si="294"/>
        <v>0</v>
      </c>
      <c r="DL150" s="109"/>
      <c r="DM150" s="109"/>
      <c r="DN150" s="111"/>
      <c r="DO150" s="111"/>
      <c r="DP150" s="165"/>
      <c r="DQ150" s="109">
        <f t="shared" si="216"/>
        <v>0</v>
      </c>
      <c r="DR150" s="109">
        <f t="shared" si="217"/>
        <v>0</v>
      </c>
      <c r="DS150" s="109"/>
      <c r="DT150" s="109"/>
      <c r="DU150" s="111"/>
      <c r="DV150" s="111"/>
      <c r="DW150" s="165"/>
      <c r="DX150" s="109">
        <f t="shared" si="221"/>
        <v>0</v>
      </c>
      <c r="DY150" s="109">
        <f t="shared" si="222"/>
        <v>0</v>
      </c>
      <c r="DZ150" s="109"/>
      <c r="EA150" s="109"/>
      <c r="EB150" s="111"/>
      <c r="EC150" s="111"/>
      <c r="ED150" s="165"/>
      <c r="EE150" s="109">
        <f t="shared" si="227"/>
        <v>0</v>
      </c>
      <c r="EF150" s="109">
        <f t="shared" si="228"/>
        <v>0</v>
      </c>
      <c r="EG150" s="109"/>
      <c r="EH150" s="109"/>
      <c r="EI150" s="111"/>
      <c r="EJ150" s="111"/>
      <c r="EK150" s="165"/>
      <c r="EL150" s="109">
        <f t="shared" si="233"/>
        <v>0</v>
      </c>
      <c r="EM150" s="109">
        <f t="shared" si="234"/>
        <v>0</v>
      </c>
      <c r="EN150" s="109"/>
      <c r="EO150" s="109"/>
      <c r="EP150" s="111"/>
      <c r="EQ150" s="111"/>
      <c r="ER150" s="165"/>
      <c r="ES150" s="109">
        <f t="shared" si="239"/>
        <v>0</v>
      </c>
      <c r="ET150" s="109">
        <f t="shared" si="240"/>
        <v>0</v>
      </c>
      <c r="EU150" s="109"/>
      <c r="EV150" s="109"/>
      <c r="EW150" s="111"/>
      <c r="EX150" s="111"/>
      <c r="EY150" s="165"/>
      <c r="EZ150" s="109">
        <f t="shared" si="242"/>
        <v>0</v>
      </c>
      <c r="FA150" s="109">
        <f t="shared" si="243"/>
        <v>0</v>
      </c>
      <c r="FB150" s="109"/>
      <c r="FC150" s="109"/>
      <c r="FD150" s="111"/>
      <c r="FE150" s="111"/>
      <c r="FF150" s="165"/>
      <c r="FG150" s="109">
        <f t="shared" si="245"/>
        <v>0</v>
      </c>
      <c r="FH150" s="109">
        <f t="shared" si="246"/>
        <v>0</v>
      </c>
      <c r="FI150" s="109"/>
      <c r="FJ150" s="109"/>
      <c r="FK150" s="111"/>
      <c r="FL150" s="111"/>
      <c r="FM150" s="165"/>
      <c r="FN150" s="109">
        <f t="shared" si="248"/>
        <v>0</v>
      </c>
      <c r="FO150" s="109">
        <f t="shared" si="249"/>
        <v>0</v>
      </c>
      <c r="FP150" s="109"/>
      <c r="FQ150" s="109"/>
      <c r="FR150" s="111"/>
      <c r="FS150" s="111"/>
      <c r="FT150" s="165"/>
      <c r="FU150" s="109">
        <f t="shared" si="250"/>
        <v>0</v>
      </c>
      <c r="FV150" s="109">
        <f t="shared" si="276"/>
        <v>0</v>
      </c>
      <c r="FW150" s="109"/>
      <c r="FX150" s="109"/>
      <c r="FY150" s="111"/>
      <c r="FZ150" s="111"/>
      <c r="GA150" s="165"/>
      <c r="GB150" s="109">
        <f t="shared" si="251"/>
        <v>0</v>
      </c>
      <c r="GC150" s="109">
        <f t="shared" si="277"/>
        <v>0</v>
      </c>
      <c r="GD150" s="109"/>
      <c r="GE150" s="109"/>
      <c r="GF150" s="111"/>
      <c r="GG150" s="111"/>
      <c r="GH150" s="165"/>
      <c r="GI150" s="109">
        <f t="shared" si="252"/>
        <v>0</v>
      </c>
      <c r="GJ150" s="109">
        <f t="shared" si="278"/>
        <v>0</v>
      </c>
      <c r="GK150" s="109"/>
      <c r="GL150" s="109"/>
      <c r="GM150" s="111"/>
      <c r="GN150" s="111"/>
      <c r="GO150" s="165"/>
      <c r="GP150" s="109">
        <f t="shared" si="253"/>
        <v>0</v>
      </c>
      <c r="GQ150" s="109">
        <f t="shared" si="279"/>
        <v>0</v>
      </c>
      <c r="GR150" s="109"/>
      <c r="GS150" s="109"/>
      <c r="GT150" s="111"/>
      <c r="GU150" s="111"/>
      <c r="GV150" s="165"/>
      <c r="GW150" s="168">
        <f t="shared" si="254"/>
        <v>0</v>
      </c>
      <c r="GX150" s="168">
        <f t="shared" si="280"/>
        <v>0</v>
      </c>
      <c r="GY150" s="168"/>
      <c r="GZ150" s="168"/>
      <c r="HA150" s="111"/>
      <c r="HB150" s="111"/>
      <c r="HC150" s="165"/>
      <c r="HD150" s="109">
        <f t="shared" si="255"/>
        <v>0</v>
      </c>
      <c r="HE150" s="109">
        <f t="shared" si="281"/>
        <v>0</v>
      </c>
      <c r="HF150" s="109"/>
      <c r="HG150" s="109"/>
      <c r="HH150" s="111"/>
      <c r="HI150" s="111"/>
      <c r="HJ150" s="165"/>
      <c r="HK150" s="109">
        <f t="shared" si="256"/>
        <v>0</v>
      </c>
      <c r="HL150" s="109">
        <f t="shared" si="282"/>
        <v>0</v>
      </c>
      <c r="HM150" s="109"/>
      <c r="HN150" s="109"/>
      <c r="HO150" s="111"/>
      <c r="HP150" s="111"/>
      <c r="HQ150" s="165"/>
      <c r="HR150" s="109">
        <f t="shared" si="257"/>
        <v>0</v>
      </c>
      <c r="HS150" s="109">
        <f t="shared" si="283"/>
        <v>0</v>
      </c>
      <c r="HT150" s="109"/>
      <c r="HU150" s="109"/>
      <c r="HV150" s="111"/>
      <c r="HW150" s="111"/>
      <c r="HX150" s="105">
        <f t="shared" si="301"/>
        <v>0</v>
      </c>
      <c r="HY150" s="105">
        <f t="shared" si="301"/>
        <v>0</v>
      </c>
      <c r="HZ150" s="105">
        <f t="shared" si="301"/>
        <v>0</v>
      </c>
      <c r="IA150" s="105">
        <f t="shared" si="295"/>
        <v>0</v>
      </c>
      <c r="IB150" s="109">
        <f t="shared" si="296"/>
        <v>0</v>
      </c>
      <c r="IC150" s="109">
        <f t="shared" si="297"/>
        <v>0</v>
      </c>
      <c r="ID150" s="109">
        <f t="shared" si="298"/>
        <v>0</v>
      </c>
      <c r="IE150" s="109">
        <f t="shared" si="299"/>
        <v>0</v>
      </c>
      <c r="IF150" s="197"/>
      <c r="IG150" s="197"/>
      <c r="IH150" s="197"/>
      <c r="II150" s="197"/>
      <c r="IJ150" s="197"/>
      <c r="IK150" s="197"/>
      <c r="IL150" s="197"/>
      <c r="IM150" s="171"/>
      <c r="IN150" s="171"/>
      <c r="IO150" s="171"/>
      <c r="IP150" s="171"/>
    </row>
    <row r="151" spans="1:250" ht="15" customHeight="1" x14ac:dyDescent="0.3">
      <c r="A151" s="110">
        <f t="shared" si="300"/>
        <v>147</v>
      </c>
      <c r="B151" s="111"/>
      <c r="C151" s="111"/>
      <c r="D151" s="111"/>
      <c r="E151" s="111"/>
      <c r="F151" s="111"/>
      <c r="G151" s="111"/>
      <c r="H151" s="111"/>
      <c r="I151" s="194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75"/>
      <c r="AI151" s="111"/>
      <c r="AJ151" s="111"/>
      <c r="AK151" s="111"/>
      <c r="AL151" s="177"/>
      <c r="AM151" s="176"/>
      <c r="AN151" s="177"/>
      <c r="AO151" s="157"/>
      <c r="AP151" s="158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75"/>
      <c r="BM151" s="111"/>
      <c r="BN151" s="111"/>
      <c r="BO151" s="111"/>
      <c r="BP151" s="111"/>
      <c r="BQ151" s="111"/>
      <c r="BR151" s="111"/>
      <c r="BS151" s="111"/>
      <c r="BT151" s="111"/>
      <c r="BU151" s="111"/>
      <c r="BV151" s="111"/>
      <c r="BW151" s="111"/>
      <c r="BX151" s="111"/>
      <c r="BY151" s="111"/>
      <c r="BZ151" s="111"/>
      <c r="CA151" s="111"/>
      <c r="CB151" s="111"/>
      <c r="CC151" s="178"/>
      <c r="CD151" s="177">
        <f t="shared" si="284"/>
        <v>0</v>
      </c>
      <c r="CE151" s="148"/>
      <c r="CF151" s="111">
        <f t="shared" si="285"/>
        <v>0</v>
      </c>
      <c r="CG151" s="177"/>
      <c r="CH151" s="204"/>
      <c r="CI151" s="148"/>
      <c r="CJ151" s="165"/>
      <c r="CK151" s="165"/>
      <c r="CL151" s="111"/>
      <c r="CM151" s="111"/>
      <c r="CN151" s="165">
        <f t="shared" si="286"/>
        <v>0</v>
      </c>
      <c r="CO151" s="109">
        <f t="shared" si="287"/>
        <v>0</v>
      </c>
      <c r="CP151" s="109">
        <f t="shared" si="288"/>
        <v>0</v>
      </c>
      <c r="CQ151" s="109"/>
      <c r="CR151" s="109"/>
      <c r="CS151" s="196"/>
      <c r="CT151" s="167"/>
      <c r="CU151" s="165"/>
      <c r="CV151" s="109">
        <f t="shared" si="289"/>
        <v>0</v>
      </c>
      <c r="CW151" s="109">
        <f t="shared" si="290"/>
        <v>0</v>
      </c>
      <c r="CX151" s="109"/>
      <c r="CY151" s="109"/>
      <c r="CZ151" s="111"/>
      <c r="DA151" s="111"/>
      <c r="DB151" s="165"/>
      <c r="DC151" s="109">
        <f t="shared" si="291"/>
        <v>0</v>
      </c>
      <c r="DD151" s="109">
        <f t="shared" si="292"/>
        <v>0</v>
      </c>
      <c r="DE151" s="109"/>
      <c r="DF151" s="109"/>
      <c r="DG151" s="111"/>
      <c r="DH151" s="111"/>
      <c r="DI151" s="165"/>
      <c r="DJ151" s="109">
        <f t="shared" si="293"/>
        <v>0</v>
      </c>
      <c r="DK151" s="109">
        <f t="shared" si="294"/>
        <v>0</v>
      </c>
      <c r="DL151" s="109"/>
      <c r="DM151" s="109"/>
      <c r="DN151" s="111"/>
      <c r="DO151" s="111"/>
      <c r="DP151" s="165"/>
      <c r="DQ151" s="109">
        <f t="shared" si="216"/>
        <v>0</v>
      </c>
      <c r="DR151" s="109">
        <f t="shared" si="217"/>
        <v>0</v>
      </c>
      <c r="DS151" s="109"/>
      <c r="DT151" s="109"/>
      <c r="DU151" s="111"/>
      <c r="DV151" s="111"/>
      <c r="DW151" s="165"/>
      <c r="DX151" s="109">
        <f t="shared" si="221"/>
        <v>0</v>
      </c>
      <c r="DY151" s="109">
        <f t="shared" si="222"/>
        <v>0</v>
      </c>
      <c r="DZ151" s="109"/>
      <c r="EA151" s="109"/>
      <c r="EB151" s="111"/>
      <c r="EC151" s="111"/>
      <c r="ED151" s="165"/>
      <c r="EE151" s="109">
        <f t="shared" si="227"/>
        <v>0</v>
      </c>
      <c r="EF151" s="109">
        <f t="shared" si="228"/>
        <v>0</v>
      </c>
      <c r="EG151" s="109"/>
      <c r="EH151" s="109"/>
      <c r="EI151" s="111"/>
      <c r="EJ151" s="111"/>
      <c r="EK151" s="165"/>
      <c r="EL151" s="109">
        <f t="shared" si="233"/>
        <v>0</v>
      </c>
      <c r="EM151" s="109">
        <f t="shared" si="234"/>
        <v>0</v>
      </c>
      <c r="EN151" s="109"/>
      <c r="EO151" s="109"/>
      <c r="EP151" s="111"/>
      <c r="EQ151" s="111"/>
      <c r="ER151" s="165"/>
      <c r="ES151" s="109">
        <f t="shared" si="239"/>
        <v>0</v>
      </c>
      <c r="ET151" s="109">
        <f t="shared" si="240"/>
        <v>0</v>
      </c>
      <c r="EU151" s="109"/>
      <c r="EV151" s="109"/>
      <c r="EW151" s="111"/>
      <c r="EX151" s="111"/>
      <c r="EY151" s="165"/>
      <c r="EZ151" s="109">
        <f t="shared" si="242"/>
        <v>0</v>
      </c>
      <c r="FA151" s="109">
        <f t="shared" si="243"/>
        <v>0</v>
      </c>
      <c r="FB151" s="109"/>
      <c r="FC151" s="109"/>
      <c r="FD151" s="111"/>
      <c r="FE151" s="111"/>
      <c r="FF151" s="165"/>
      <c r="FG151" s="109">
        <f t="shared" si="245"/>
        <v>0</v>
      </c>
      <c r="FH151" s="109">
        <f t="shared" si="246"/>
        <v>0</v>
      </c>
      <c r="FI151" s="109"/>
      <c r="FJ151" s="109"/>
      <c r="FK151" s="111"/>
      <c r="FL151" s="111"/>
      <c r="FM151" s="165"/>
      <c r="FN151" s="109">
        <f t="shared" si="248"/>
        <v>0</v>
      </c>
      <c r="FO151" s="109">
        <f t="shared" si="249"/>
        <v>0</v>
      </c>
      <c r="FP151" s="109"/>
      <c r="FQ151" s="109"/>
      <c r="FR151" s="111"/>
      <c r="FS151" s="111"/>
      <c r="FT151" s="165"/>
      <c r="FU151" s="109">
        <f t="shared" si="250"/>
        <v>0</v>
      </c>
      <c r="FV151" s="109">
        <f t="shared" si="276"/>
        <v>0</v>
      </c>
      <c r="FW151" s="109"/>
      <c r="FX151" s="109"/>
      <c r="FY151" s="111"/>
      <c r="FZ151" s="111"/>
      <c r="GA151" s="165"/>
      <c r="GB151" s="109">
        <f t="shared" si="251"/>
        <v>0</v>
      </c>
      <c r="GC151" s="109">
        <f t="shared" si="277"/>
        <v>0</v>
      </c>
      <c r="GD151" s="109"/>
      <c r="GE151" s="109"/>
      <c r="GF151" s="111"/>
      <c r="GG151" s="111"/>
      <c r="GH151" s="165"/>
      <c r="GI151" s="109">
        <f t="shared" si="252"/>
        <v>0</v>
      </c>
      <c r="GJ151" s="109">
        <f t="shared" si="278"/>
        <v>0</v>
      </c>
      <c r="GK151" s="109"/>
      <c r="GL151" s="109"/>
      <c r="GM151" s="111"/>
      <c r="GN151" s="111"/>
      <c r="GO151" s="165"/>
      <c r="GP151" s="109">
        <f t="shared" si="253"/>
        <v>0</v>
      </c>
      <c r="GQ151" s="109">
        <f t="shared" si="279"/>
        <v>0</v>
      </c>
      <c r="GR151" s="109"/>
      <c r="GS151" s="109"/>
      <c r="GT151" s="111"/>
      <c r="GU151" s="111"/>
      <c r="GV151" s="165"/>
      <c r="GW151" s="168">
        <f t="shared" si="254"/>
        <v>0</v>
      </c>
      <c r="GX151" s="168">
        <f t="shared" si="280"/>
        <v>0</v>
      </c>
      <c r="GY151" s="168"/>
      <c r="GZ151" s="168"/>
      <c r="HA151" s="111"/>
      <c r="HB151" s="111"/>
      <c r="HC151" s="165"/>
      <c r="HD151" s="109">
        <f t="shared" si="255"/>
        <v>0</v>
      </c>
      <c r="HE151" s="109">
        <f t="shared" si="281"/>
        <v>0</v>
      </c>
      <c r="HF151" s="109"/>
      <c r="HG151" s="109"/>
      <c r="HH151" s="111"/>
      <c r="HI151" s="111"/>
      <c r="HJ151" s="165"/>
      <c r="HK151" s="109">
        <f t="shared" si="256"/>
        <v>0</v>
      </c>
      <c r="HL151" s="109">
        <f t="shared" si="282"/>
        <v>0</v>
      </c>
      <c r="HM151" s="109"/>
      <c r="HN151" s="109"/>
      <c r="HO151" s="111"/>
      <c r="HP151" s="111"/>
      <c r="HQ151" s="165"/>
      <c r="HR151" s="109">
        <f t="shared" si="257"/>
        <v>0</v>
      </c>
      <c r="HS151" s="109">
        <f t="shared" si="283"/>
        <v>0</v>
      </c>
      <c r="HT151" s="109"/>
      <c r="HU151" s="109"/>
      <c r="HV151" s="111"/>
      <c r="HW151" s="111"/>
      <c r="HX151" s="105">
        <f t="shared" si="301"/>
        <v>0</v>
      </c>
      <c r="HY151" s="105">
        <f t="shared" si="301"/>
        <v>0</v>
      </c>
      <c r="HZ151" s="105">
        <f t="shared" si="301"/>
        <v>0</v>
      </c>
      <c r="IA151" s="105">
        <f t="shared" si="295"/>
        <v>0</v>
      </c>
      <c r="IB151" s="109">
        <f t="shared" si="296"/>
        <v>0</v>
      </c>
      <c r="IC151" s="109">
        <f t="shared" si="297"/>
        <v>0</v>
      </c>
      <c r="ID151" s="109">
        <f t="shared" si="298"/>
        <v>0</v>
      </c>
      <c r="IE151" s="109">
        <f t="shared" si="299"/>
        <v>0</v>
      </c>
      <c r="IF151" s="197"/>
      <c r="IG151" s="197"/>
      <c r="IH151" s="197"/>
      <c r="II151" s="197"/>
      <c r="IJ151" s="197"/>
      <c r="IK151" s="197"/>
      <c r="IL151" s="197"/>
      <c r="IM151" s="171"/>
      <c r="IN151" s="171"/>
      <c r="IO151" s="171"/>
      <c r="IP151" s="171"/>
    </row>
    <row r="152" spans="1:250" ht="15" customHeight="1" x14ac:dyDescent="0.3">
      <c r="A152" s="110">
        <f t="shared" si="300"/>
        <v>148</v>
      </c>
      <c r="B152" s="111"/>
      <c r="C152" s="111"/>
      <c r="D152" s="111"/>
      <c r="E152" s="111"/>
      <c r="F152" s="111"/>
      <c r="G152" s="111"/>
      <c r="H152" s="111"/>
      <c r="I152" s="194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75"/>
      <c r="AI152" s="111"/>
      <c r="AJ152" s="111"/>
      <c r="AK152" s="111"/>
      <c r="AL152" s="177"/>
      <c r="AM152" s="176"/>
      <c r="AN152" s="177"/>
      <c r="AO152" s="157"/>
      <c r="AP152" s="158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75"/>
      <c r="BM152" s="111"/>
      <c r="BN152" s="111"/>
      <c r="BO152" s="111"/>
      <c r="BP152" s="111"/>
      <c r="BQ152" s="111"/>
      <c r="BR152" s="111"/>
      <c r="BS152" s="111"/>
      <c r="BT152" s="111"/>
      <c r="BU152" s="111"/>
      <c r="BV152" s="111"/>
      <c r="BW152" s="111"/>
      <c r="BX152" s="111"/>
      <c r="BY152" s="111"/>
      <c r="BZ152" s="111"/>
      <c r="CA152" s="111"/>
      <c r="CB152" s="111"/>
      <c r="CC152" s="178"/>
      <c r="CD152" s="177">
        <f t="shared" si="284"/>
        <v>0</v>
      </c>
      <c r="CE152" s="148"/>
      <c r="CF152" s="111">
        <f t="shared" si="285"/>
        <v>0</v>
      </c>
      <c r="CG152" s="177"/>
      <c r="CH152" s="204"/>
      <c r="CI152" s="148"/>
      <c r="CJ152" s="165"/>
      <c r="CK152" s="165"/>
      <c r="CL152" s="111"/>
      <c r="CM152" s="111"/>
      <c r="CN152" s="165">
        <f t="shared" si="286"/>
        <v>0</v>
      </c>
      <c r="CO152" s="109">
        <f t="shared" si="287"/>
        <v>0</v>
      </c>
      <c r="CP152" s="109">
        <f t="shared" si="288"/>
        <v>0</v>
      </c>
      <c r="CQ152" s="109"/>
      <c r="CR152" s="109"/>
      <c r="CS152" s="196"/>
      <c r="CT152" s="167"/>
      <c r="CU152" s="165"/>
      <c r="CV152" s="109">
        <f t="shared" si="289"/>
        <v>0</v>
      </c>
      <c r="CW152" s="109">
        <f t="shared" si="290"/>
        <v>0</v>
      </c>
      <c r="CX152" s="109"/>
      <c r="CY152" s="109"/>
      <c r="CZ152" s="111"/>
      <c r="DA152" s="111"/>
      <c r="DB152" s="165"/>
      <c r="DC152" s="109">
        <f t="shared" si="291"/>
        <v>0</v>
      </c>
      <c r="DD152" s="109">
        <f t="shared" si="292"/>
        <v>0</v>
      </c>
      <c r="DE152" s="109"/>
      <c r="DF152" s="109"/>
      <c r="DG152" s="111"/>
      <c r="DH152" s="111"/>
      <c r="DI152" s="165"/>
      <c r="DJ152" s="109">
        <f t="shared" si="293"/>
        <v>0</v>
      </c>
      <c r="DK152" s="109">
        <f t="shared" si="294"/>
        <v>0</v>
      </c>
      <c r="DL152" s="109"/>
      <c r="DM152" s="109"/>
      <c r="DN152" s="111"/>
      <c r="DO152" s="111"/>
      <c r="DP152" s="165"/>
      <c r="DQ152" s="109">
        <f t="shared" ref="DQ152:DQ215" si="302">DS152-DR152</f>
        <v>0</v>
      </c>
      <c r="DR152" s="109">
        <f t="shared" ref="DR152:DR215" si="303">DS152/(1+AM152)*AM152</f>
        <v>0</v>
      </c>
      <c r="DS152" s="109"/>
      <c r="DT152" s="109"/>
      <c r="DU152" s="111"/>
      <c r="DV152" s="111"/>
      <c r="DW152" s="165"/>
      <c r="DX152" s="109">
        <f t="shared" ref="DX152:DX215" si="304">DZ152-DY152</f>
        <v>0</v>
      </c>
      <c r="DY152" s="109">
        <f t="shared" ref="DY152:DY215" si="305">DZ152/(1+AM152)*AM152</f>
        <v>0</v>
      </c>
      <c r="DZ152" s="109"/>
      <c r="EA152" s="109"/>
      <c r="EB152" s="111"/>
      <c r="EC152" s="111"/>
      <c r="ED152" s="165"/>
      <c r="EE152" s="109">
        <f t="shared" ref="EE152:EE215" si="306">EG152-EF152</f>
        <v>0</v>
      </c>
      <c r="EF152" s="109">
        <f t="shared" ref="EF152:EF215" si="307">EG152/(1+AM152)*AM152</f>
        <v>0</v>
      </c>
      <c r="EG152" s="109"/>
      <c r="EH152" s="109"/>
      <c r="EI152" s="111"/>
      <c r="EJ152" s="111"/>
      <c r="EK152" s="165"/>
      <c r="EL152" s="109">
        <f t="shared" ref="EL152:EL215" si="308">EN152-EM152</f>
        <v>0</v>
      </c>
      <c r="EM152" s="109">
        <f t="shared" ref="EM152:EM215" si="309">EN152/(1+AM152)*AM152</f>
        <v>0</v>
      </c>
      <c r="EN152" s="109"/>
      <c r="EO152" s="109"/>
      <c r="EP152" s="111"/>
      <c r="EQ152" s="111"/>
      <c r="ER152" s="165"/>
      <c r="ES152" s="109">
        <f t="shared" ref="ES152:ES215" si="310">EU152-ET152</f>
        <v>0</v>
      </c>
      <c r="ET152" s="109">
        <f t="shared" ref="ET152:ET215" si="311">EU152/(1+AM152)*AM152</f>
        <v>0</v>
      </c>
      <c r="EU152" s="109"/>
      <c r="EV152" s="109"/>
      <c r="EW152" s="111"/>
      <c r="EX152" s="111"/>
      <c r="EY152" s="165"/>
      <c r="EZ152" s="109">
        <f t="shared" ref="EZ152:EZ215" si="312">FB152-FA152</f>
        <v>0</v>
      </c>
      <c r="FA152" s="109">
        <f t="shared" ref="FA152:FA215" si="313">FB152/(1+AM152)*AM152</f>
        <v>0</v>
      </c>
      <c r="FB152" s="109"/>
      <c r="FC152" s="109"/>
      <c r="FD152" s="111"/>
      <c r="FE152" s="111"/>
      <c r="FF152" s="165"/>
      <c r="FG152" s="109">
        <f t="shared" ref="FG152:FG215" si="314">FI152-FH152</f>
        <v>0</v>
      </c>
      <c r="FH152" s="109">
        <f t="shared" ref="FH152:FH215" si="315">FI152/(1+AM152)*AM152</f>
        <v>0</v>
      </c>
      <c r="FI152" s="109"/>
      <c r="FJ152" s="109"/>
      <c r="FK152" s="111"/>
      <c r="FL152" s="111"/>
      <c r="FM152" s="165"/>
      <c r="FN152" s="109">
        <f t="shared" ref="FN152:FN215" si="316">FP152-FO152</f>
        <v>0</v>
      </c>
      <c r="FO152" s="109">
        <f t="shared" ref="FO152:FO215" si="317">FP152/(1+AM152)*AM152</f>
        <v>0</v>
      </c>
      <c r="FP152" s="109"/>
      <c r="FQ152" s="109"/>
      <c r="FR152" s="111"/>
      <c r="FS152" s="111"/>
      <c r="FT152" s="165"/>
      <c r="FU152" s="109">
        <f t="shared" ref="FU152:FU215" si="318">FW152-FV152</f>
        <v>0</v>
      </c>
      <c r="FV152" s="109">
        <f t="shared" si="276"/>
        <v>0</v>
      </c>
      <c r="FW152" s="109"/>
      <c r="FX152" s="109"/>
      <c r="FY152" s="111"/>
      <c r="FZ152" s="111"/>
      <c r="GA152" s="165"/>
      <c r="GB152" s="109">
        <f t="shared" ref="GB152:GB215" si="319">GD152-GC152</f>
        <v>0</v>
      </c>
      <c r="GC152" s="109">
        <f t="shared" si="277"/>
        <v>0</v>
      </c>
      <c r="GD152" s="109"/>
      <c r="GE152" s="109"/>
      <c r="GF152" s="111"/>
      <c r="GG152" s="111"/>
      <c r="GH152" s="165"/>
      <c r="GI152" s="109">
        <f t="shared" ref="GI152:GI215" si="320">GK152-GJ152</f>
        <v>0</v>
      </c>
      <c r="GJ152" s="109">
        <f t="shared" si="278"/>
        <v>0</v>
      </c>
      <c r="GK152" s="109"/>
      <c r="GL152" s="109"/>
      <c r="GM152" s="111"/>
      <c r="GN152" s="111"/>
      <c r="GO152" s="165"/>
      <c r="GP152" s="109">
        <f t="shared" ref="GP152:GP215" si="321">GR152-GQ152</f>
        <v>0</v>
      </c>
      <c r="GQ152" s="109">
        <f t="shared" si="279"/>
        <v>0</v>
      </c>
      <c r="GR152" s="109"/>
      <c r="GS152" s="109"/>
      <c r="GT152" s="111"/>
      <c r="GU152" s="111"/>
      <c r="GV152" s="165"/>
      <c r="GW152" s="168">
        <f t="shared" ref="GW152:GW215" si="322">GY152-GX152</f>
        <v>0</v>
      </c>
      <c r="GX152" s="168">
        <f t="shared" si="280"/>
        <v>0</v>
      </c>
      <c r="GY152" s="168"/>
      <c r="GZ152" s="168"/>
      <c r="HA152" s="111"/>
      <c r="HB152" s="111"/>
      <c r="HC152" s="165"/>
      <c r="HD152" s="109">
        <f t="shared" ref="HD152:HD215" si="323">HF152-HE152</f>
        <v>0</v>
      </c>
      <c r="HE152" s="109">
        <f t="shared" si="281"/>
        <v>0</v>
      </c>
      <c r="HF152" s="109"/>
      <c r="HG152" s="109"/>
      <c r="HH152" s="111"/>
      <c r="HI152" s="111"/>
      <c r="HJ152" s="165"/>
      <c r="HK152" s="109">
        <f t="shared" ref="HK152:HK215" si="324">HM152-HL152</f>
        <v>0</v>
      </c>
      <c r="HL152" s="109">
        <f t="shared" si="282"/>
        <v>0</v>
      </c>
      <c r="HM152" s="109"/>
      <c r="HN152" s="109"/>
      <c r="HO152" s="111"/>
      <c r="HP152" s="111"/>
      <c r="HQ152" s="165"/>
      <c r="HR152" s="109">
        <f t="shared" ref="HR152:HR215" si="325">HT152-HS152</f>
        <v>0</v>
      </c>
      <c r="HS152" s="109">
        <f t="shared" si="283"/>
        <v>0</v>
      </c>
      <c r="HT152" s="109"/>
      <c r="HU152" s="109"/>
      <c r="HV152" s="111"/>
      <c r="HW152" s="111"/>
      <c r="HX152" s="105">
        <f t="shared" si="301"/>
        <v>0</v>
      </c>
      <c r="HY152" s="105">
        <f t="shared" si="301"/>
        <v>0</v>
      </c>
      <c r="HZ152" s="105">
        <f t="shared" si="301"/>
        <v>0</v>
      </c>
      <c r="IA152" s="105">
        <f t="shared" si="295"/>
        <v>0</v>
      </c>
      <c r="IB152" s="109">
        <f t="shared" si="296"/>
        <v>0</v>
      </c>
      <c r="IC152" s="109">
        <f t="shared" si="297"/>
        <v>0</v>
      </c>
      <c r="ID152" s="109">
        <f t="shared" si="298"/>
        <v>0</v>
      </c>
      <c r="IE152" s="109">
        <f t="shared" si="299"/>
        <v>0</v>
      </c>
      <c r="IF152" s="197"/>
      <c r="IG152" s="197"/>
      <c r="IH152" s="197"/>
      <c r="II152" s="197"/>
      <c r="IJ152" s="197"/>
      <c r="IK152" s="197"/>
      <c r="IL152" s="197"/>
      <c r="IM152" s="171"/>
      <c r="IN152" s="171"/>
      <c r="IO152" s="171"/>
      <c r="IP152" s="171"/>
    </row>
    <row r="153" spans="1:250" ht="15" customHeight="1" x14ac:dyDescent="0.3">
      <c r="A153" s="110">
        <f t="shared" si="300"/>
        <v>149</v>
      </c>
      <c r="B153" s="111"/>
      <c r="C153" s="111"/>
      <c r="D153" s="111"/>
      <c r="E153" s="111"/>
      <c r="F153" s="111"/>
      <c r="G153" s="111"/>
      <c r="H153" s="111"/>
      <c r="I153" s="194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75"/>
      <c r="AI153" s="111"/>
      <c r="AJ153" s="111"/>
      <c r="AK153" s="111"/>
      <c r="AL153" s="177"/>
      <c r="AM153" s="176"/>
      <c r="AN153" s="177"/>
      <c r="AO153" s="157"/>
      <c r="AP153" s="158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75"/>
      <c r="BM153" s="111"/>
      <c r="BN153" s="111"/>
      <c r="BO153" s="111"/>
      <c r="BP153" s="111"/>
      <c r="BQ153" s="111"/>
      <c r="BR153" s="111"/>
      <c r="BS153" s="111"/>
      <c r="BT153" s="111"/>
      <c r="BU153" s="111"/>
      <c r="BV153" s="111"/>
      <c r="BW153" s="111"/>
      <c r="BX153" s="111"/>
      <c r="BY153" s="111"/>
      <c r="BZ153" s="111"/>
      <c r="CA153" s="111"/>
      <c r="CB153" s="111"/>
      <c r="CC153" s="178"/>
      <c r="CD153" s="177">
        <f t="shared" si="284"/>
        <v>0</v>
      </c>
      <c r="CE153" s="148"/>
      <c r="CF153" s="111">
        <f t="shared" si="285"/>
        <v>0</v>
      </c>
      <c r="CG153" s="177"/>
      <c r="CH153" s="204"/>
      <c r="CI153" s="148"/>
      <c r="CJ153" s="165"/>
      <c r="CK153" s="165"/>
      <c r="CL153" s="111"/>
      <c r="CM153" s="111"/>
      <c r="CN153" s="165">
        <f t="shared" si="286"/>
        <v>0</v>
      </c>
      <c r="CO153" s="109">
        <f t="shared" si="287"/>
        <v>0</v>
      </c>
      <c r="CP153" s="109">
        <f t="shared" si="288"/>
        <v>0</v>
      </c>
      <c r="CQ153" s="109"/>
      <c r="CR153" s="109"/>
      <c r="CS153" s="196"/>
      <c r="CT153" s="167"/>
      <c r="CU153" s="165"/>
      <c r="CV153" s="109">
        <f t="shared" si="289"/>
        <v>0</v>
      </c>
      <c r="CW153" s="109">
        <f t="shared" si="290"/>
        <v>0</v>
      </c>
      <c r="CX153" s="109"/>
      <c r="CY153" s="109"/>
      <c r="CZ153" s="111"/>
      <c r="DA153" s="111"/>
      <c r="DB153" s="165"/>
      <c r="DC153" s="109">
        <f t="shared" si="291"/>
        <v>0</v>
      </c>
      <c r="DD153" s="109">
        <f t="shared" si="292"/>
        <v>0</v>
      </c>
      <c r="DE153" s="109"/>
      <c r="DF153" s="109"/>
      <c r="DG153" s="111"/>
      <c r="DH153" s="111"/>
      <c r="DI153" s="165"/>
      <c r="DJ153" s="109">
        <f t="shared" si="293"/>
        <v>0</v>
      </c>
      <c r="DK153" s="109">
        <f t="shared" si="294"/>
        <v>0</v>
      </c>
      <c r="DL153" s="109"/>
      <c r="DM153" s="109"/>
      <c r="DN153" s="111"/>
      <c r="DO153" s="111"/>
      <c r="DP153" s="165"/>
      <c r="DQ153" s="109">
        <f t="shared" si="302"/>
        <v>0</v>
      </c>
      <c r="DR153" s="109">
        <f t="shared" si="303"/>
        <v>0</v>
      </c>
      <c r="DS153" s="109"/>
      <c r="DT153" s="109"/>
      <c r="DU153" s="111"/>
      <c r="DV153" s="111"/>
      <c r="DW153" s="165"/>
      <c r="DX153" s="109">
        <f t="shared" si="304"/>
        <v>0</v>
      </c>
      <c r="DY153" s="109">
        <f t="shared" si="305"/>
        <v>0</v>
      </c>
      <c r="DZ153" s="109"/>
      <c r="EA153" s="109"/>
      <c r="EB153" s="111"/>
      <c r="EC153" s="111"/>
      <c r="ED153" s="165"/>
      <c r="EE153" s="109">
        <f t="shared" si="306"/>
        <v>0</v>
      </c>
      <c r="EF153" s="109">
        <f t="shared" si="307"/>
        <v>0</v>
      </c>
      <c r="EG153" s="109"/>
      <c r="EH153" s="109"/>
      <c r="EI153" s="111"/>
      <c r="EJ153" s="111"/>
      <c r="EK153" s="165"/>
      <c r="EL153" s="109">
        <f t="shared" si="308"/>
        <v>0</v>
      </c>
      <c r="EM153" s="109">
        <f t="shared" si="309"/>
        <v>0</v>
      </c>
      <c r="EN153" s="109"/>
      <c r="EO153" s="109"/>
      <c r="EP153" s="111"/>
      <c r="EQ153" s="111"/>
      <c r="ER153" s="165"/>
      <c r="ES153" s="109">
        <f t="shared" si="310"/>
        <v>0</v>
      </c>
      <c r="ET153" s="109">
        <f t="shared" si="311"/>
        <v>0</v>
      </c>
      <c r="EU153" s="109"/>
      <c r="EV153" s="109"/>
      <c r="EW153" s="111"/>
      <c r="EX153" s="111"/>
      <c r="EY153" s="165"/>
      <c r="EZ153" s="109">
        <f t="shared" si="312"/>
        <v>0</v>
      </c>
      <c r="FA153" s="109">
        <f t="shared" si="313"/>
        <v>0</v>
      </c>
      <c r="FB153" s="109"/>
      <c r="FC153" s="109"/>
      <c r="FD153" s="111"/>
      <c r="FE153" s="111"/>
      <c r="FF153" s="165"/>
      <c r="FG153" s="109">
        <f t="shared" si="314"/>
        <v>0</v>
      </c>
      <c r="FH153" s="109">
        <f t="shared" si="315"/>
        <v>0</v>
      </c>
      <c r="FI153" s="109"/>
      <c r="FJ153" s="109"/>
      <c r="FK153" s="111"/>
      <c r="FL153" s="111"/>
      <c r="FM153" s="165"/>
      <c r="FN153" s="109">
        <f t="shared" si="316"/>
        <v>0</v>
      </c>
      <c r="FO153" s="109">
        <f t="shared" si="317"/>
        <v>0</v>
      </c>
      <c r="FP153" s="109"/>
      <c r="FQ153" s="109"/>
      <c r="FR153" s="111"/>
      <c r="FS153" s="111"/>
      <c r="FT153" s="165"/>
      <c r="FU153" s="109">
        <f t="shared" si="318"/>
        <v>0</v>
      </c>
      <c r="FV153" s="109">
        <f t="shared" si="276"/>
        <v>0</v>
      </c>
      <c r="FW153" s="109"/>
      <c r="FX153" s="109"/>
      <c r="FY153" s="111"/>
      <c r="FZ153" s="111"/>
      <c r="GA153" s="165"/>
      <c r="GB153" s="109">
        <f t="shared" si="319"/>
        <v>0</v>
      </c>
      <c r="GC153" s="109">
        <f t="shared" si="277"/>
        <v>0</v>
      </c>
      <c r="GD153" s="109"/>
      <c r="GE153" s="109"/>
      <c r="GF153" s="111"/>
      <c r="GG153" s="111"/>
      <c r="GH153" s="165"/>
      <c r="GI153" s="109">
        <f t="shared" si="320"/>
        <v>0</v>
      </c>
      <c r="GJ153" s="109">
        <f t="shared" si="278"/>
        <v>0</v>
      </c>
      <c r="GK153" s="109"/>
      <c r="GL153" s="109"/>
      <c r="GM153" s="111"/>
      <c r="GN153" s="111"/>
      <c r="GO153" s="165"/>
      <c r="GP153" s="109">
        <f t="shared" si="321"/>
        <v>0</v>
      </c>
      <c r="GQ153" s="109">
        <f t="shared" si="279"/>
        <v>0</v>
      </c>
      <c r="GR153" s="109"/>
      <c r="GS153" s="109"/>
      <c r="GT153" s="111"/>
      <c r="GU153" s="111"/>
      <c r="GV153" s="165"/>
      <c r="GW153" s="168">
        <f t="shared" si="322"/>
        <v>0</v>
      </c>
      <c r="GX153" s="168">
        <f t="shared" si="280"/>
        <v>0</v>
      </c>
      <c r="GY153" s="168"/>
      <c r="GZ153" s="168"/>
      <c r="HA153" s="111"/>
      <c r="HB153" s="111"/>
      <c r="HC153" s="165"/>
      <c r="HD153" s="109">
        <f t="shared" si="323"/>
        <v>0</v>
      </c>
      <c r="HE153" s="109">
        <f t="shared" si="281"/>
        <v>0</v>
      </c>
      <c r="HF153" s="109"/>
      <c r="HG153" s="109"/>
      <c r="HH153" s="111"/>
      <c r="HI153" s="111"/>
      <c r="HJ153" s="165"/>
      <c r="HK153" s="109">
        <f t="shared" si="324"/>
        <v>0</v>
      </c>
      <c r="HL153" s="109">
        <f t="shared" si="282"/>
        <v>0</v>
      </c>
      <c r="HM153" s="109"/>
      <c r="HN153" s="109"/>
      <c r="HO153" s="111"/>
      <c r="HP153" s="111"/>
      <c r="HQ153" s="165"/>
      <c r="HR153" s="109">
        <f t="shared" si="325"/>
        <v>0</v>
      </c>
      <c r="HS153" s="109">
        <f t="shared" si="283"/>
        <v>0</v>
      </c>
      <c r="HT153" s="109"/>
      <c r="HU153" s="109"/>
      <c r="HV153" s="111"/>
      <c r="HW153" s="111"/>
      <c r="HX153" s="105">
        <f t="shared" si="301"/>
        <v>0</v>
      </c>
      <c r="HY153" s="105">
        <f t="shared" si="301"/>
        <v>0</v>
      </c>
      <c r="HZ153" s="105">
        <f t="shared" si="301"/>
        <v>0</v>
      </c>
      <c r="IA153" s="105">
        <f t="shared" si="295"/>
        <v>0</v>
      </c>
      <c r="IB153" s="109">
        <f t="shared" si="296"/>
        <v>0</v>
      </c>
      <c r="IC153" s="109">
        <f t="shared" si="297"/>
        <v>0</v>
      </c>
      <c r="ID153" s="109">
        <f t="shared" si="298"/>
        <v>0</v>
      </c>
      <c r="IE153" s="109">
        <f t="shared" si="299"/>
        <v>0</v>
      </c>
      <c r="IF153" s="197"/>
      <c r="IG153" s="197"/>
      <c r="IH153" s="197"/>
      <c r="II153" s="197"/>
      <c r="IJ153" s="197"/>
      <c r="IK153" s="197"/>
      <c r="IL153" s="197"/>
      <c r="IM153" s="171"/>
      <c r="IN153" s="171"/>
      <c r="IO153" s="171"/>
      <c r="IP153" s="171"/>
    </row>
    <row r="154" spans="1:250" ht="15" customHeight="1" x14ac:dyDescent="0.3">
      <c r="A154" s="110">
        <f t="shared" si="300"/>
        <v>150</v>
      </c>
      <c r="B154" s="111"/>
      <c r="C154" s="111"/>
      <c r="D154" s="111"/>
      <c r="E154" s="111"/>
      <c r="F154" s="111"/>
      <c r="G154" s="111"/>
      <c r="H154" s="111"/>
      <c r="I154" s="194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75"/>
      <c r="AI154" s="111"/>
      <c r="AJ154" s="111"/>
      <c r="AK154" s="111"/>
      <c r="AL154" s="177"/>
      <c r="AM154" s="176"/>
      <c r="AN154" s="177"/>
      <c r="AO154" s="157"/>
      <c r="AP154" s="158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/>
      <c r="BK154" s="111"/>
      <c r="BL154" s="175"/>
      <c r="BM154" s="111"/>
      <c r="BN154" s="111"/>
      <c r="BO154" s="111"/>
      <c r="BP154" s="111"/>
      <c r="BQ154" s="111"/>
      <c r="BR154" s="111"/>
      <c r="BS154" s="111"/>
      <c r="BT154" s="111"/>
      <c r="BU154" s="111"/>
      <c r="BV154" s="111"/>
      <c r="BW154" s="111"/>
      <c r="BX154" s="111"/>
      <c r="BY154" s="111"/>
      <c r="BZ154" s="111"/>
      <c r="CA154" s="111"/>
      <c r="CB154" s="111"/>
      <c r="CC154" s="178"/>
      <c r="CD154" s="177">
        <f t="shared" si="284"/>
        <v>0</v>
      </c>
      <c r="CE154" s="148"/>
      <c r="CF154" s="111">
        <f t="shared" si="285"/>
        <v>0</v>
      </c>
      <c r="CG154" s="177"/>
      <c r="CH154" s="204"/>
      <c r="CI154" s="148"/>
      <c r="CJ154" s="165"/>
      <c r="CK154" s="165"/>
      <c r="CL154" s="111"/>
      <c r="CM154" s="111"/>
      <c r="CN154" s="165">
        <f t="shared" si="286"/>
        <v>0</v>
      </c>
      <c r="CO154" s="109">
        <f t="shared" si="287"/>
        <v>0</v>
      </c>
      <c r="CP154" s="109">
        <f t="shared" si="288"/>
        <v>0</v>
      </c>
      <c r="CQ154" s="109"/>
      <c r="CR154" s="109"/>
      <c r="CS154" s="196"/>
      <c r="CT154" s="167"/>
      <c r="CU154" s="165"/>
      <c r="CV154" s="109">
        <f t="shared" si="289"/>
        <v>0</v>
      </c>
      <c r="CW154" s="109">
        <f t="shared" si="290"/>
        <v>0</v>
      </c>
      <c r="CX154" s="109"/>
      <c r="CY154" s="109"/>
      <c r="CZ154" s="111"/>
      <c r="DA154" s="111"/>
      <c r="DB154" s="165"/>
      <c r="DC154" s="109">
        <f t="shared" si="291"/>
        <v>0</v>
      </c>
      <c r="DD154" s="109">
        <f t="shared" si="292"/>
        <v>0</v>
      </c>
      <c r="DE154" s="109"/>
      <c r="DF154" s="109"/>
      <c r="DG154" s="111"/>
      <c r="DH154" s="111"/>
      <c r="DI154" s="165"/>
      <c r="DJ154" s="109">
        <f t="shared" si="293"/>
        <v>0</v>
      </c>
      <c r="DK154" s="109">
        <f t="shared" si="294"/>
        <v>0</v>
      </c>
      <c r="DL154" s="109"/>
      <c r="DM154" s="109"/>
      <c r="DN154" s="111"/>
      <c r="DO154" s="111"/>
      <c r="DP154" s="165"/>
      <c r="DQ154" s="109">
        <f t="shared" si="302"/>
        <v>0</v>
      </c>
      <c r="DR154" s="109">
        <f t="shared" si="303"/>
        <v>0</v>
      </c>
      <c r="DS154" s="109"/>
      <c r="DT154" s="109"/>
      <c r="DU154" s="111"/>
      <c r="DV154" s="111"/>
      <c r="DW154" s="165"/>
      <c r="DX154" s="109">
        <f t="shared" si="304"/>
        <v>0</v>
      </c>
      <c r="DY154" s="109">
        <f t="shared" si="305"/>
        <v>0</v>
      </c>
      <c r="DZ154" s="109"/>
      <c r="EA154" s="109"/>
      <c r="EB154" s="111"/>
      <c r="EC154" s="111"/>
      <c r="ED154" s="165"/>
      <c r="EE154" s="109">
        <f t="shared" si="306"/>
        <v>0</v>
      </c>
      <c r="EF154" s="109">
        <f t="shared" si="307"/>
        <v>0</v>
      </c>
      <c r="EG154" s="109"/>
      <c r="EH154" s="109"/>
      <c r="EI154" s="111"/>
      <c r="EJ154" s="111"/>
      <c r="EK154" s="165"/>
      <c r="EL154" s="109">
        <f t="shared" si="308"/>
        <v>0</v>
      </c>
      <c r="EM154" s="109">
        <f t="shared" si="309"/>
        <v>0</v>
      </c>
      <c r="EN154" s="109"/>
      <c r="EO154" s="109"/>
      <c r="EP154" s="111"/>
      <c r="EQ154" s="111"/>
      <c r="ER154" s="165"/>
      <c r="ES154" s="109">
        <f t="shared" si="310"/>
        <v>0</v>
      </c>
      <c r="ET154" s="109">
        <f t="shared" si="311"/>
        <v>0</v>
      </c>
      <c r="EU154" s="109"/>
      <c r="EV154" s="109"/>
      <c r="EW154" s="111"/>
      <c r="EX154" s="111"/>
      <c r="EY154" s="165"/>
      <c r="EZ154" s="109">
        <f t="shared" si="312"/>
        <v>0</v>
      </c>
      <c r="FA154" s="109">
        <f t="shared" si="313"/>
        <v>0</v>
      </c>
      <c r="FB154" s="109"/>
      <c r="FC154" s="109"/>
      <c r="FD154" s="111"/>
      <c r="FE154" s="111"/>
      <c r="FF154" s="165"/>
      <c r="FG154" s="109">
        <f t="shared" si="314"/>
        <v>0</v>
      </c>
      <c r="FH154" s="109">
        <f t="shared" si="315"/>
        <v>0</v>
      </c>
      <c r="FI154" s="109"/>
      <c r="FJ154" s="109"/>
      <c r="FK154" s="111"/>
      <c r="FL154" s="111"/>
      <c r="FM154" s="165"/>
      <c r="FN154" s="109">
        <f t="shared" si="316"/>
        <v>0</v>
      </c>
      <c r="FO154" s="109">
        <f t="shared" si="317"/>
        <v>0</v>
      </c>
      <c r="FP154" s="109"/>
      <c r="FQ154" s="109"/>
      <c r="FR154" s="111"/>
      <c r="FS154" s="111"/>
      <c r="FT154" s="165"/>
      <c r="FU154" s="109">
        <f t="shared" si="318"/>
        <v>0</v>
      </c>
      <c r="FV154" s="109">
        <f t="shared" si="276"/>
        <v>0</v>
      </c>
      <c r="FW154" s="109"/>
      <c r="FX154" s="109"/>
      <c r="FY154" s="111"/>
      <c r="FZ154" s="111"/>
      <c r="GA154" s="165"/>
      <c r="GB154" s="109">
        <f t="shared" si="319"/>
        <v>0</v>
      </c>
      <c r="GC154" s="109">
        <f t="shared" si="277"/>
        <v>0</v>
      </c>
      <c r="GD154" s="109"/>
      <c r="GE154" s="109"/>
      <c r="GF154" s="111"/>
      <c r="GG154" s="111"/>
      <c r="GH154" s="165"/>
      <c r="GI154" s="109">
        <f t="shared" si="320"/>
        <v>0</v>
      </c>
      <c r="GJ154" s="109">
        <f t="shared" si="278"/>
        <v>0</v>
      </c>
      <c r="GK154" s="109"/>
      <c r="GL154" s="109"/>
      <c r="GM154" s="111"/>
      <c r="GN154" s="111"/>
      <c r="GO154" s="165"/>
      <c r="GP154" s="109">
        <f t="shared" si="321"/>
        <v>0</v>
      </c>
      <c r="GQ154" s="109">
        <f t="shared" si="279"/>
        <v>0</v>
      </c>
      <c r="GR154" s="109"/>
      <c r="GS154" s="109"/>
      <c r="GT154" s="111"/>
      <c r="GU154" s="111"/>
      <c r="GV154" s="165"/>
      <c r="GW154" s="168">
        <f t="shared" si="322"/>
        <v>0</v>
      </c>
      <c r="GX154" s="168">
        <f t="shared" si="280"/>
        <v>0</v>
      </c>
      <c r="GY154" s="168"/>
      <c r="GZ154" s="168"/>
      <c r="HA154" s="111"/>
      <c r="HB154" s="111"/>
      <c r="HC154" s="165"/>
      <c r="HD154" s="109">
        <f t="shared" si="323"/>
        <v>0</v>
      </c>
      <c r="HE154" s="109">
        <f t="shared" si="281"/>
        <v>0</v>
      </c>
      <c r="HF154" s="109"/>
      <c r="HG154" s="109"/>
      <c r="HH154" s="111"/>
      <c r="HI154" s="111"/>
      <c r="HJ154" s="165"/>
      <c r="HK154" s="109">
        <f t="shared" si="324"/>
        <v>0</v>
      </c>
      <c r="HL154" s="109">
        <f t="shared" si="282"/>
        <v>0</v>
      </c>
      <c r="HM154" s="109"/>
      <c r="HN154" s="109"/>
      <c r="HO154" s="111"/>
      <c r="HP154" s="111"/>
      <c r="HQ154" s="165"/>
      <c r="HR154" s="109">
        <f t="shared" si="325"/>
        <v>0</v>
      </c>
      <c r="HS154" s="109">
        <f t="shared" si="283"/>
        <v>0</v>
      </c>
      <c r="HT154" s="109"/>
      <c r="HU154" s="109"/>
      <c r="HV154" s="111"/>
      <c r="HW154" s="111"/>
      <c r="HX154" s="105">
        <f t="shared" si="301"/>
        <v>0</v>
      </c>
      <c r="HY154" s="105">
        <f t="shared" si="301"/>
        <v>0</v>
      </c>
      <c r="HZ154" s="105">
        <f t="shared" si="301"/>
        <v>0</v>
      </c>
      <c r="IA154" s="105">
        <f t="shared" si="295"/>
        <v>0</v>
      </c>
      <c r="IB154" s="109">
        <f t="shared" si="296"/>
        <v>0</v>
      </c>
      <c r="IC154" s="109">
        <f t="shared" si="297"/>
        <v>0</v>
      </c>
      <c r="ID154" s="109">
        <f t="shared" si="298"/>
        <v>0</v>
      </c>
      <c r="IE154" s="109">
        <f t="shared" si="299"/>
        <v>0</v>
      </c>
      <c r="IF154" s="197"/>
      <c r="IG154" s="197"/>
      <c r="IH154" s="197"/>
      <c r="II154" s="197"/>
      <c r="IJ154" s="197"/>
      <c r="IK154" s="197"/>
      <c r="IL154" s="197"/>
      <c r="IM154" s="171"/>
      <c r="IN154" s="171"/>
      <c r="IO154" s="171"/>
      <c r="IP154" s="171"/>
    </row>
    <row r="155" spans="1:250" ht="15" customHeight="1" x14ac:dyDescent="0.3">
      <c r="A155" s="110">
        <f t="shared" si="300"/>
        <v>151</v>
      </c>
      <c r="B155" s="111"/>
      <c r="C155" s="111"/>
      <c r="D155" s="111"/>
      <c r="E155" s="111"/>
      <c r="F155" s="111"/>
      <c r="G155" s="111"/>
      <c r="H155" s="111"/>
      <c r="I155" s="194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75"/>
      <c r="AI155" s="111"/>
      <c r="AJ155" s="111"/>
      <c r="AK155" s="111"/>
      <c r="AL155" s="177"/>
      <c r="AM155" s="176"/>
      <c r="AN155" s="177"/>
      <c r="AO155" s="157"/>
      <c r="AP155" s="158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75"/>
      <c r="BM155" s="111"/>
      <c r="BN155" s="111"/>
      <c r="BO155" s="111"/>
      <c r="BP155" s="111"/>
      <c r="BQ155" s="111"/>
      <c r="BR155" s="111"/>
      <c r="BS155" s="111"/>
      <c r="BT155" s="111"/>
      <c r="BU155" s="111"/>
      <c r="BV155" s="111"/>
      <c r="BW155" s="111"/>
      <c r="BX155" s="111"/>
      <c r="BY155" s="111"/>
      <c r="BZ155" s="111"/>
      <c r="CA155" s="111"/>
      <c r="CB155" s="111"/>
      <c r="CC155" s="178"/>
      <c r="CD155" s="177">
        <f t="shared" si="284"/>
        <v>0</v>
      </c>
      <c r="CE155" s="148"/>
      <c r="CF155" s="111">
        <f t="shared" si="285"/>
        <v>0</v>
      </c>
      <c r="CG155" s="177"/>
      <c r="CH155" s="204"/>
      <c r="CI155" s="148"/>
      <c r="CJ155" s="165"/>
      <c r="CK155" s="165"/>
      <c r="CL155" s="111"/>
      <c r="CM155" s="111"/>
      <c r="CN155" s="165">
        <f t="shared" si="286"/>
        <v>0</v>
      </c>
      <c r="CO155" s="109">
        <f t="shared" si="287"/>
        <v>0</v>
      </c>
      <c r="CP155" s="109">
        <f t="shared" si="288"/>
        <v>0</v>
      </c>
      <c r="CQ155" s="109"/>
      <c r="CR155" s="109"/>
      <c r="CS155" s="196"/>
      <c r="CT155" s="167"/>
      <c r="CU155" s="165"/>
      <c r="CV155" s="109">
        <f t="shared" si="289"/>
        <v>0</v>
      </c>
      <c r="CW155" s="109">
        <f t="shared" si="290"/>
        <v>0</v>
      </c>
      <c r="CX155" s="109"/>
      <c r="CY155" s="109"/>
      <c r="CZ155" s="111"/>
      <c r="DA155" s="111"/>
      <c r="DB155" s="165"/>
      <c r="DC155" s="109">
        <f t="shared" si="291"/>
        <v>0</v>
      </c>
      <c r="DD155" s="109">
        <f t="shared" si="292"/>
        <v>0</v>
      </c>
      <c r="DE155" s="109"/>
      <c r="DF155" s="109"/>
      <c r="DG155" s="111"/>
      <c r="DH155" s="111"/>
      <c r="DI155" s="165"/>
      <c r="DJ155" s="109">
        <f t="shared" si="293"/>
        <v>0</v>
      </c>
      <c r="DK155" s="109">
        <f t="shared" si="294"/>
        <v>0</v>
      </c>
      <c r="DL155" s="109"/>
      <c r="DM155" s="109"/>
      <c r="DN155" s="111"/>
      <c r="DO155" s="111"/>
      <c r="DP155" s="165"/>
      <c r="DQ155" s="109">
        <f t="shared" si="302"/>
        <v>0</v>
      </c>
      <c r="DR155" s="109">
        <f t="shared" si="303"/>
        <v>0</v>
      </c>
      <c r="DS155" s="109"/>
      <c r="DT155" s="109"/>
      <c r="DU155" s="111"/>
      <c r="DV155" s="111"/>
      <c r="DW155" s="165"/>
      <c r="DX155" s="109">
        <f t="shared" si="304"/>
        <v>0</v>
      </c>
      <c r="DY155" s="109">
        <f t="shared" si="305"/>
        <v>0</v>
      </c>
      <c r="DZ155" s="109"/>
      <c r="EA155" s="109"/>
      <c r="EB155" s="111"/>
      <c r="EC155" s="111"/>
      <c r="ED155" s="165"/>
      <c r="EE155" s="109">
        <f t="shared" si="306"/>
        <v>0</v>
      </c>
      <c r="EF155" s="109">
        <f t="shared" si="307"/>
        <v>0</v>
      </c>
      <c r="EG155" s="109"/>
      <c r="EH155" s="109"/>
      <c r="EI155" s="111"/>
      <c r="EJ155" s="111"/>
      <c r="EK155" s="165"/>
      <c r="EL155" s="109">
        <f t="shared" si="308"/>
        <v>0</v>
      </c>
      <c r="EM155" s="109">
        <f t="shared" si="309"/>
        <v>0</v>
      </c>
      <c r="EN155" s="109"/>
      <c r="EO155" s="109"/>
      <c r="EP155" s="111"/>
      <c r="EQ155" s="111"/>
      <c r="ER155" s="165"/>
      <c r="ES155" s="109">
        <f t="shared" si="310"/>
        <v>0</v>
      </c>
      <c r="ET155" s="109">
        <f t="shared" si="311"/>
        <v>0</v>
      </c>
      <c r="EU155" s="109"/>
      <c r="EV155" s="109"/>
      <c r="EW155" s="111"/>
      <c r="EX155" s="111"/>
      <c r="EY155" s="165"/>
      <c r="EZ155" s="109">
        <f t="shared" si="312"/>
        <v>0</v>
      </c>
      <c r="FA155" s="109">
        <f t="shared" si="313"/>
        <v>0</v>
      </c>
      <c r="FB155" s="109"/>
      <c r="FC155" s="109"/>
      <c r="FD155" s="111"/>
      <c r="FE155" s="111"/>
      <c r="FF155" s="165"/>
      <c r="FG155" s="109">
        <f t="shared" si="314"/>
        <v>0</v>
      </c>
      <c r="FH155" s="109">
        <f t="shared" si="315"/>
        <v>0</v>
      </c>
      <c r="FI155" s="109"/>
      <c r="FJ155" s="109"/>
      <c r="FK155" s="111"/>
      <c r="FL155" s="111"/>
      <c r="FM155" s="165"/>
      <c r="FN155" s="109">
        <f t="shared" si="316"/>
        <v>0</v>
      </c>
      <c r="FO155" s="109">
        <f t="shared" si="317"/>
        <v>0</v>
      </c>
      <c r="FP155" s="109"/>
      <c r="FQ155" s="109"/>
      <c r="FR155" s="111"/>
      <c r="FS155" s="111"/>
      <c r="FT155" s="165"/>
      <c r="FU155" s="109">
        <f t="shared" si="318"/>
        <v>0</v>
      </c>
      <c r="FV155" s="109">
        <f t="shared" si="276"/>
        <v>0</v>
      </c>
      <c r="FW155" s="109"/>
      <c r="FX155" s="109"/>
      <c r="FY155" s="111"/>
      <c r="FZ155" s="111"/>
      <c r="GA155" s="165"/>
      <c r="GB155" s="109">
        <f t="shared" si="319"/>
        <v>0</v>
      </c>
      <c r="GC155" s="109">
        <f t="shared" si="277"/>
        <v>0</v>
      </c>
      <c r="GD155" s="109"/>
      <c r="GE155" s="109"/>
      <c r="GF155" s="111"/>
      <c r="GG155" s="111"/>
      <c r="GH155" s="165"/>
      <c r="GI155" s="109">
        <f t="shared" si="320"/>
        <v>0</v>
      </c>
      <c r="GJ155" s="109">
        <f t="shared" si="278"/>
        <v>0</v>
      </c>
      <c r="GK155" s="109"/>
      <c r="GL155" s="109"/>
      <c r="GM155" s="111"/>
      <c r="GN155" s="111"/>
      <c r="GO155" s="165"/>
      <c r="GP155" s="109">
        <f t="shared" si="321"/>
        <v>0</v>
      </c>
      <c r="GQ155" s="109">
        <f t="shared" si="279"/>
        <v>0</v>
      </c>
      <c r="GR155" s="109"/>
      <c r="GS155" s="109"/>
      <c r="GT155" s="111"/>
      <c r="GU155" s="111"/>
      <c r="GV155" s="165"/>
      <c r="GW155" s="168">
        <f t="shared" si="322"/>
        <v>0</v>
      </c>
      <c r="GX155" s="168">
        <f t="shared" si="280"/>
        <v>0</v>
      </c>
      <c r="GY155" s="168"/>
      <c r="GZ155" s="168"/>
      <c r="HA155" s="111"/>
      <c r="HB155" s="111"/>
      <c r="HC155" s="165"/>
      <c r="HD155" s="109">
        <f t="shared" si="323"/>
        <v>0</v>
      </c>
      <c r="HE155" s="109">
        <f t="shared" si="281"/>
        <v>0</v>
      </c>
      <c r="HF155" s="109"/>
      <c r="HG155" s="109"/>
      <c r="HH155" s="111"/>
      <c r="HI155" s="111"/>
      <c r="HJ155" s="165"/>
      <c r="HK155" s="109">
        <f t="shared" si="324"/>
        <v>0</v>
      </c>
      <c r="HL155" s="109">
        <f t="shared" si="282"/>
        <v>0</v>
      </c>
      <c r="HM155" s="109"/>
      <c r="HN155" s="109"/>
      <c r="HO155" s="111"/>
      <c r="HP155" s="111"/>
      <c r="HQ155" s="165"/>
      <c r="HR155" s="109">
        <f t="shared" si="325"/>
        <v>0</v>
      </c>
      <c r="HS155" s="109">
        <f t="shared" si="283"/>
        <v>0</v>
      </c>
      <c r="HT155" s="109"/>
      <c r="HU155" s="109"/>
      <c r="HV155" s="111"/>
      <c r="HW155" s="111"/>
      <c r="HX155" s="105">
        <f t="shared" si="301"/>
        <v>0</v>
      </c>
      <c r="HY155" s="105">
        <f t="shared" si="301"/>
        <v>0</v>
      </c>
      <c r="HZ155" s="105">
        <f t="shared" si="301"/>
        <v>0</v>
      </c>
      <c r="IA155" s="105">
        <f t="shared" si="295"/>
        <v>0</v>
      </c>
      <c r="IB155" s="109">
        <f t="shared" si="296"/>
        <v>0</v>
      </c>
      <c r="IC155" s="109">
        <f t="shared" si="297"/>
        <v>0</v>
      </c>
      <c r="ID155" s="109">
        <f t="shared" si="298"/>
        <v>0</v>
      </c>
      <c r="IE155" s="109">
        <f t="shared" si="299"/>
        <v>0</v>
      </c>
      <c r="IF155" s="197"/>
      <c r="IG155" s="197"/>
      <c r="IH155" s="197"/>
      <c r="II155" s="197"/>
      <c r="IJ155" s="197"/>
      <c r="IK155" s="197"/>
      <c r="IL155" s="197"/>
      <c r="IM155" s="171"/>
      <c r="IN155" s="171"/>
      <c r="IO155" s="171"/>
      <c r="IP155" s="171"/>
    </row>
    <row r="156" spans="1:250" ht="15" customHeight="1" x14ac:dyDescent="0.3">
      <c r="A156" s="110">
        <f t="shared" si="300"/>
        <v>152</v>
      </c>
      <c r="B156" s="111"/>
      <c r="C156" s="111"/>
      <c r="D156" s="111"/>
      <c r="E156" s="111"/>
      <c r="F156" s="111"/>
      <c r="G156" s="111"/>
      <c r="H156" s="111"/>
      <c r="I156" s="194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75"/>
      <c r="AI156" s="111"/>
      <c r="AJ156" s="111"/>
      <c r="AK156" s="111"/>
      <c r="AL156" s="177"/>
      <c r="AM156" s="176"/>
      <c r="AN156" s="177"/>
      <c r="AO156" s="157"/>
      <c r="AP156" s="158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75"/>
      <c r="BM156" s="111"/>
      <c r="BN156" s="111"/>
      <c r="BO156" s="111"/>
      <c r="BP156" s="111"/>
      <c r="BQ156" s="111"/>
      <c r="BR156" s="111"/>
      <c r="BS156" s="111"/>
      <c r="BT156" s="111"/>
      <c r="BU156" s="111"/>
      <c r="BV156" s="111"/>
      <c r="BW156" s="111"/>
      <c r="BX156" s="111"/>
      <c r="BY156" s="111"/>
      <c r="BZ156" s="111"/>
      <c r="CA156" s="111"/>
      <c r="CB156" s="111"/>
      <c r="CC156" s="178"/>
      <c r="CD156" s="177">
        <f t="shared" si="284"/>
        <v>0</v>
      </c>
      <c r="CE156" s="148"/>
      <c r="CF156" s="111">
        <f t="shared" si="285"/>
        <v>0</v>
      </c>
      <c r="CG156" s="177"/>
      <c r="CH156" s="204"/>
      <c r="CI156" s="148"/>
      <c r="CJ156" s="165"/>
      <c r="CK156" s="165"/>
      <c r="CL156" s="111"/>
      <c r="CM156" s="111"/>
      <c r="CN156" s="165">
        <f t="shared" si="286"/>
        <v>0</v>
      </c>
      <c r="CO156" s="109">
        <f t="shared" si="287"/>
        <v>0</v>
      </c>
      <c r="CP156" s="109">
        <f t="shared" si="288"/>
        <v>0</v>
      </c>
      <c r="CQ156" s="109"/>
      <c r="CR156" s="109"/>
      <c r="CS156" s="196"/>
      <c r="CT156" s="167"/>
      <c r="CU156" s="165"/>
      <c r="CV156" s="109">
        <f t="shared" si="289"/>
        <v>0</v>
      </c>
      <c r="CW156" s="109">
        <f t="shared" si="290"/>
        <v>0</v>
      </c>
      <c r="CX156" s="109"/>
      <c r="CY156" s="109"/>
      <c r="CZ156" s="111"/>
      <c r="DA156" s="111"/>
      <c r="DB156" s="165"/>
      <c r="DC156" s="109">
        <f t="shared" si="291"/>
        <v>0</v>
      </c>
      <c r="DD156" s="109">
        <f t="shared" si="292"/>
        <v>0</v>
      </c>
      <c r="DE156" s="109"/>
      <c r="DF156" s="109"/>
      <c r="DG156" s="111"/>
      <c r="DH156" s="111"/>
      <c r="DI156" s="165"/>
      <c r="DJ156" s="109">
        <f t="shared" si="293"/>
        <v>0</v>
      </c>
      <c r="DK156" s="109">
        <f t="shared" si="294"/>
        <v>0</v>
      </c>
      <c r="DL156" s="109"/>
      <c r="DM156" s="109"/>
      <c r="DN156" s="111"/>
      <c r="DO156" s="111"/>
      <c r="DP156" s="165"/>
      <c r="DQ156" s="109">
        <f t="shared" si="302"/>
        <v>0</v>
      </c>
      <c r="DR156" s="109">
        <f t="shared" si="303"/>
        <v>0</v>
      </c>
      <c r="DS156" s="109"/>
      <c r="DT156" s="109"/>
      <c r="DU156" s="111"/>
      <c r="DV156" s="111"/>
      <c r="DW156" s="165"/>
      <c r="DX156" s="109">
        <f t="shared" si="304"/>
        <v>0</v>
      </c>
      <c r="DY156" s="109">
        <f t="shared" si="305"/>
        <v>0</v>
      </c>
      <c r="DZ156" s="109"/>
      <c r="EA156" s="109"/>
      <c r="EB156" s="111"/>
      <c r="EC156" s="111"/>
      <c r="ED156" s="165"/>
      <c r="EE156" s="109">
        <f t="shared" si="306"/>
        <v>0</v>
      </c>
      <c r="EF156" s="109">
        <f t="shared" si="307"/>
        <v>0</v>
      </c>
      <c r="EG156" s="109"/>
      <c r="EH156" s="109"/>
      <c r="EI156" s="111"/>
      <c r="EJ156" s="111"/>
      <c r="EK156" s="165"/>
      <c r="EL156" s="109">
        <f t="shared" si="308"/>
        <v>0</v>
      </c>
      <c r="EM156" s="109">
        <f t="shared" si="309"/>
        <v>0</v>
      </c>
      <c r="EN156" s="109"/>
      <c r="EO156" s="109"/>
      <c r="EP156" s="111"/>
      <c r="EQ156" s="111"/>
      <c r="ER156" s="165"/>
      <c r="ES156" s="109">
        <f t="shared" si="310"/>
        <v>0</v>
      </c>
      <c r="ET156" s="109">
        <f t="shared" si="311"/>
        <v>0</v>
      </c>
      <c r="EU156" s="109"/>
      <c r="EV156" s="109"/>
      <c r="EW156" s="111"/>
      <c r="EX156" s="111"/>
      <c r="EY156" s="165"/>
      <c r="EZ156" s="109">
        <f t="shared" si="312"/>
        <v>0</v>
      </c>
      <c r="FA156" s="109">
        <f t="shared" si="313"/>
        <v>0</v>
      </c>
      <c r="FB156" s="109"/>
      <c r="FC156" s="109"/>
      <c r="FD156" s="111"/>
      <c r="FE156" s="111"/>
      <c r="FF156" s="165"/>
      <c r="FG156" s="109">
        <f t="shared" si="314"/>
        <v>0</v>
      </c>
      <c r="FH156" s="109">
        <f t="shared" si="315"/>
        <v>0</v>
      </c>
      <c r="FI156" s="109"/>
      <c r="FJ156" s="109"/>
      <c r="FK156" s="111"/>
      <c r="FL156" s="111"/>
      <c r="FM156" s="165"/>
      <c r="FN156" s="109">
        <f t="shared" si="316"/>
        <v>0</v>
      </c>
      <c r="FO156" s="109">
        <f t="shared" si="317"/>
        <v>0</v>
      </c>
      <c r="FP156" s="109"/>
      <c r="FQ156" s="109"/>
      <c r="FR156" s="111"/>
      <c r="FS156" s="111"/>
      <c r="FT156" s="165"/>
      <c r="FU156" s="109">
        <f t="shared" si="318"/>
        <v>0</v>
      </c>
      <c r="FV156" s="109">
        <f t="shared" si="276"/>
        <v>0</v>
      </c>
      <c r="FW156" s="109"/>
      <c r="FX156" s="109"/>
      <c r="FY156" s="111"/>
      <c r="FZ156" s="111"/>
      <c r="GA156" s="165"/>
      <c r="GB156" s="109">
        <f t="shared" si="319"/>
        <v>0</v>
      </c>
      <c r="GC156" s="109">
        <f t="shared" si="277"/>
        <v>0</v>
      </c>
      <c r="GD156" s="109"/>
      <c r="GE156" s="109"/>
      <c r="GF156" s="111"/>
      <c r="GG156" s="111"/>
      <c r="GH156" s="165"/>
      <c r="GI156" s="109">
        <f t="shared" si="320"/>
        <v>0</v>
      </c>
      <c r="GJ156" s="109">
        <f t="shared" si="278"/>
        <v>0</v>
      </c>
      <c r="GK156" s="109"/>
      <c r="GL156" s="109"/>
      <c r="GM156" s="111"/>
      <c r="GN156" s="111"/>
      <c r="GO156" s="165"/>
      <c r="GP156" s="109">
        <f t="shared" si="321"/>
        <v>0</v>
      </c>
      <c r="GQ156" s="109">
        <f t="shared" si="279"/>
        <v>0</v>
      </c>
      <c r="GR156" s="109"/>
      <c r="GS156" s="109"/>
      <c r="GT156" s="111"/>
      <c r="GU156" s="111"/>
      <c r="GV156" s="165"/>
      <c r="GW156" s="168">
        <f t="shared" si="322"/>
        <v>0</v>
      </c>
      <c r="GX156" s="168">
        <f t="shared" si="280"/>
        <v>0</v>
      </c>
      <c r="GY156" s="168"/>
      <c r="GZ156" s="168"/>
      <c r="HA156" s="111"/>
      <c r="HB156" s="111"/>
      <c r="HC156" s="165"/>
      <c r="HD156" s="109">
        <f t="shared" si="323"/>
        <v>0</v>
      </c>
      <c r="HE156" s="109">
        <f t="shared" si="281"/>
        <v>0</v>
      </c>
      <c r="HF156" s="109"/>
      <c r="HG156" s="109"/>
      <c r="HH156" s="111"/>
      <c r="HI156" s="111"/>
      <c r="HJ156" s="165"/>
      <c r="HK156" s="109">
        <f t="shared" si="324"/>
        <v>0</v>
      </c>
      <c r="HL156" s="109">
        <f t="shared" si="282"/>
        <v>0</v>
      </c>
      <c r="HM156" s="109"/>
      <c r="HN156" s="109"/>
      <c r="HO156" s="111"/>
      <c r="HP156" s="111"/>
      <c r="HQ156" s="165"/>
      <c r="HR156" s="109">
        <f t="shared" si="325"/>
        <v>0</v>
      </c>
      <c r="HS156" s="109">
        <f t="shared" si="283"/>
        <v>0</v>
      </c>
      <c r="HT156" s="109"/>
      <c r="HU156" s="109"/>
      <c r="HV156" s="111"/>
      <c r="HW156" s="111"/>
      <c r="HX156" s="105">
        <f t="shared" si="301"/>
        <v>0</v>
      </c>
      <c r="HY156" s="105">
        <f t="shared" si="301"/>
        <v>0</v>
      </c>
      <c r="HZ156" s="105">
        <f t="shared" si="301"/>
        <v>0</v>
      </c>
      <c r="IA156" s="105">
        <f t="shared" si="295"/>
        <v>0</v>
      </c>
      <c r="IB156" s="109">
        <f t="shared" si="296"/>
        <v>0</v>
      </c>
      <c r="IC156" s="109">
        <f t="shared" si="297"/>
        <v>0</v>
      </c>
      <c r="ID156" s="109">
        <f t="shared" si="298"/>
        <v>0</v>
      </c>
      <c r="IE156" s="109">
        <f t="shared" si="299"/>
        <v>0</v>
      </c>
      <c r="IF156" s="197"/>
      <c r="IG156" s="197"/>
      <c r="IH156" s="197"/>
      <c r="II156" s="197"/>
      <c r="IJ156" s="197"/>
      <c r="IK156" s="197"/>
      <c r="IL156" s="197"/>
      <c r="IM156" s="171"/>
      <c r="IN156" s="171"/>
      <c r="IO156" s="171"/>
      <c r="IP156" s="171"/>
    </row>
    <row r="157" spans="1:250" ht="15" customHeight="1" x14ac:dyDescent="0.3">
      <c r="A157" s="110">
        <f t="shared" si="300"/>
        <v>153</v>
      </c>
      <c r="B157" s="111"/>
      <c r="C157" s="111"/>
      <c r="D157" s="111"/>
      <c r="E157" s="111"/>
      <c r="F157" s="111"/>
      <c r="G157" s="111"/>
      <c r="H157" s="111"/>
      <c r="I157" s="194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75"/>
      <c r="AI157" s="111"/>
      <c r="AJ157" s="111"/>
      <c r="AK157" s="111"/>
      <c r="AL157" s="177"/>
      <c r="AM157" s="176"/>
      <c r="AN157" s="177"/>
      <c r="AO157" s="157"/>
      <c r="AP157" s="158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75"/>
      <c r="BM157" s="111"/>
      <c r="BN157" s="111"/>
      <c r="BO157" s="111"/>
      <c r="BP157" s="111"/>
      <c r="BQ157" s="111"/>
      <c r="BR157" s="111"/>
      <c r="BS157" s="111"/>
      <c r="BT157" s="111"/>
      <c r="BU157" s="111"/>
      <c r="BV157" s="111"/>
      <c r="BW157" s="111"/>
      <c r="BX157" s="111"/>
      <c r="BY157" s="111"/>
      <c r="BZ157" s="111"/>
      <c r="CA157" s="111"/>
      <c r="CB157" s="111"/>
      <c r="CC157" s="178"/>
      <c r="CD157" s="177">
        <f t="shared" si="284"/>
        <v>0</v>
      </c>
      <c r="CE157" s="148"/>
      <c r="CF157" s="111">
        <f t="shared" si="285"/>
        <v>0</v>
      </c>
      <c r="CG157" s="177"/>
      <c r="CH157" s="204"/>
      <c r="CI157" s="148"/>
      <c r="CJ157" s="165"/>
      <c r="CK157" s="165"/>
      <c r="CL157" s="111"/>
      <c r="CM157" s="111"/>
      <c r="CN157" s="165">
        <f t="shared" si="286"/>
        <v>0</v>
      </c>
      <c r="CO157" s="109">
        <f t="shared" si="287"/>
        <v>0</v>
      </c>
      <c r="CP157" s="109">
        <f t="shared" si="288"/>
        <v>0</v>
      </c>
      <c r="CQ157" s="109"/>
      <c r="CR157" s="109"/>
      <c r="CS157" s="196"/>
      <c r="CT157" s="167"/>
      <c r="CU157" s="165"/>
      <c r="CV157" s="109">
        <f t="shared" si="289"/>
        <v>0</v>
      </c>
      <c r="CW157" s="109">
        <f t="shared" si="290"/>
        <v>0</v>
      </c>
      <c r="CX157" s="109"/>
      <c r="CY157" s="109"/>
      <c r="CZ157" s="111"/>
      <c r="DA157" s="111"/>
      <c r="DB157" s="165"/>
      <c r="DC157" s="109">
        <f t="shared" si="291"/>
        <v>0</v>
      </c>
      <c r="DD157" s="109">
        <f t="shared" si="292"/>
        <v>0</v>
      </c>
      <c r="DE157" s="109"/>
      <c r="DF157" s="109"/>
      <c r="DG157" s="111"/>
      <c r="DH157" s="111"/>
      <c r="DI157" s="165"/>
      <c r="DJ157" s="109">
        <f t="shared" si="293"/>
        <v>0</v>
      </c>
      <c r="DK157" s="109">
        <f t="shared" si="294"/>
        <v>0</v>
      </c>
      <c r="DL157" s="109"/>
      <c r="DM157" s="109"/>
      <c r="DN157" s="111"/>
      <c r="DO157" s="111"/>
      <c r="DP157" s="165"/>
      <c r="DQ157" s="109">
        <f t="shared" si="302"/>
        <v>0</v>
      </c>
      <c r="DR157" s="109">
        <f t="shared" si="303"/>
        <v>0</v>
      </c>
      <c r="DS157" s="109"/>
      <c r="DT157" s="109"/>
      <c r="DU157" s="111"/>
      <c r="DV157" s="111"/>
      <c r="DW157" s="165"/>
      <c r="DX157" s="109">
        <f t="shared" si="304"/>
        <v>0</v>
      </c>
      <c r="DY157" s="109">
        <f t="shared" si="305"/>
        <v>0</v>
      </c>
      <c r="DZ157" s="109"/>
      <c r="EA157" s="109"/>
      <c r="EB157" s="111"/>
      <c r="EC157" s="111"/>
      <c r="ED157" s="165"/>
      <c r="EE157" s="109">
        <f t="shared" si="306"/>
        <v>0</v>
      </c>
      <c r="EF157" s="109">
        <f t="shared" si="307"/>
        <v>0</v>
      </c>
      <c r="EG157" s="109"/>
      <c r="EH157" s="109"/>
      <c r="EI157" s="111"/>
      <c r="EJ157" s="111"/>
      <c r="EK157" s="165"/>
      <c r="EL157" s="109">
        <f t="shared" si="308"/>
        <v>0</v>
      </c>
      <c r="EM157" s="109">
        <f t="shared" si="309"/>
        <v>0</v>
      </c>
      <c r="EN157" s="109"/>
      <c r="EO157" s="109"/>
      <c r="EP157" s="111"/>
      <c r="EQ157" s="111"/>
      <c r="ER157" s="165"/>
      <c r="ES157" s="109">
        <f t="shared" si="310"/>
        <v>0</v>
      </c>
      <c r="ET157" s="109">
        <f t="shared" si="311"/>
        <v>0</v>
      </c>
      <c r="EU157" s="109"/>
      <c r="EV157" s="109"/>
      <c r="EW157" s="111"/>
      <c r="EX157" s="111"/>
      <c r="EY157" s="165"/>
      <c r="EZ157" s="109">
        <f t="shared" si="312"/>
        <v>0</v>
      </c>
      <c r="FA157" s="109">
        <f t="shared" si="313"/>
        <v>0</v>
      </c>
      <c r="FB157" s="109"/>
      <c r="FC157" s="109"/>
      <c r="FD157" s="111"/>
      <c r="FE157" s="111"/>
      <c r="FF157" s="165"/>
      <c r="FG157" s="109">
        <f t="shared" si="314"/>
        <v>0</v>
      </c>
      <c r="FH157" s="109">
        <f t="shared" si="315"/>
        <v>0</v>
      </c>
      <c r="FI157" s="109"/>
      <c r="FJ157" s="109"/>
      <c r="FK157" s="111"/>
      <c r="FL157" s="111"/>
      <c r="FM157" s="165"/>
      <c r="FN157" s="109">
        <f t="shared" si="316"/>
        <v>0</v>
      </c>
      <c r="FO157" s="109">
        <f t="shared" si="317"/>
        <v>0</v>
      </c>
      <c r="FP157" s="109"/>
      <c r="FQ157" s="109"/>
      <c r="FR157" s="111"/>
      <c r="FS157" s="111"/>
      <c r="FT157" s="165"/>
      <c r="FU157" s="109">
        <f t="shared" si="318"/>
        <v>0</v>
      </c>
      <c r="FV157" s="109">
        <f t="shared" si="276"/>
        <v>0</v>
      </c>
      <c r="FW157" s="109"/>
      <c r="FX157" s="109"/>
      <c r="FY157" s="111"/>
      <c r="FZ157" s="111"/>
      <c r="GA157" s="165"/>
      <c r="GB157" s="109">
        <f t="shared" si="319"/>
        <v>0</v>
      </c>
      <c r="GC157" s="109">
        <f t="shared" si="277"/>
        <v>0</v>
      </c>
      <c r="GD157" s="109"/>
      <c r="GE157" s="109"/>
      <c r="GF157" s="111"/>
      <c r="GG157" s="111"/>
      <c r="GH157" s="165"/>
      <c r="GI157" s="109">
        <f t="shared" si="320"/>
        <v>0</v>
      </c>
      <c r="GJ157" s="109">
        <f t="shared" si="278"/>
        <v>0</v>
      </c>
      <c r="GK157" s="109"/>
      <c r="GL157" s="109"/>
      <c r="GM157" s="111"/>
      <c r="GN157" s="111"/>
      <c r="GO157" s="165"/>
      <c r="GP157" s="109">
        <f t="shared" si="321"/>
        <v>0</v>
      </c>
      <c r="GQ157" s="109">
        <f t="shared" si="279"/>
        <v>0</v>
      </c>
      <c r="GR157" s="109"/>
      <c r="GS157" s="109"/>
      <c r="GT157" s="111"/>
      <c r="GU157" s="111"/>
      <c r="GV157" s="165"/>
      <c r="GW157" s="168">
        <f t="shared" si="322"/>
        <v>0</v>
      </c>
      <c r="GX157" s="168">
        <f t="shared" si="280"/>
        <v>0</v>
      </c>
      <c r="GY157" s="168"/>
      <c r="GZ157" s="168"/>
      <c r="HA157" s="111"/>
      <c r="HB157" s="111"/>
      <c r="HC157" s="165"/>
      <c r="HD157" s="109">
        <f t="shared" si="323"/>
        <v>0</v>
      </c>
      <c r="HE157" s="109">
        <f t="shared" si="281"/>
        <v>0</v>
      </c>
      <c r="HF157" s="109"/>
      <c r="HG157" s="109"/>
      <c r="HH157" s="111"/>
      <c r="HI157" s="111"/>
      <c r="HJ157" s="165"/>
      <c r="HK157" s="109">
        <f t="shared" si="324"/>
        <v>0</v>
      </c>
      <c r="HL157" s="109">
        <f t="shared" si="282"/>
        <v>0</v>
      </c>
      <c r="HM157" s="109"/>
      <c r="HN157" s="109"/>
      <c r="HO157" s="111"/>
      <c r="HP157" s="111"/>
      <c r="HQ157" s="165"/>
      <c r="HR157" s="109">
        <f t="shared" si="325"/>
        <v>0</v>
      </c>
      <c r="HS157" s="109">
        <f t="shared" si="283"/>
        <v>0</v>
      </c>
      <c r="HT157" s="109"/>
      <c r="HU157" s="109"/>
      <c r="HV157" s="111"/>
      <c r="HW157" s="111"/>
      <c r="HX157" s="105">
        <f t="shared" si="301"/>
        <v>0</v>
      </c>
      <c r="HY157" s="105">
        <f t="shared" si="301"/>
        <v>0</v>
      </c>
      <c r="HZ157" s="105">
        <f t="shared" si="301"/>
        <v>0</v>
      </c>
      <c r="IA157" s="105">
        <f t="shared" si="295"/>
        <v>0</v>
      </c>
      <c r="IB157" s="109">
        <f t="shared" si="296"/>
        <v>0</v>
      </c>
      <c r="IC157" s="109">
        <f t="shared" si="297"/>
        <v>0</v>
      </c>
      <c r="ID157" s="109">
        <f t="shared" si="298"/>
        <v>0</v>
      </c>
      <c r="IE157" s="109">
        <f t="shared" si="299"/>
        <v>0</v>
      </c>
      <c r="IF157" s="197"/>
      <c r="IG157" s="197"/>
      <c r="IH157" s="197"/>
      <c r="II157" s="197"/>
      <c r="IJ157" s="197"/>
      <c r="IK157" s="197"/>
      <c r="IL157" s="197"/>
      <c r="IM157" s="171"/>
      <c r="IN157" s="171"/>
      <c r="IO157" s="171"/>
      <c r="IP157" s="171"/>
    </row>
    <row r="158" spans="1:250" ht="15" customHeight="1" x14ac:dyDescent="0.3">
      <c r="A158" s="110">
        <f t="shared" si="300"/>
        <v>154</v>
      </c>
      <c r="B158" s="111"/>
      <c r="C158" s="111"/>
      <c r="D158" s="111"/>
      <c r="E158" s="111"/>
      <c r="F158" s="111"/>
      <c r="G158" s="111"/>
      <c r="H158" s="111"/>
      <c r="I158" s="194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75"/>
      <c r="AI158" s="111"/>
      <c r="AJ158" s="111"/>
      <c r="AK158" s="111"/>
      <c r="AL158" s="177"/>
      <c r="AM158" s="176"/>
      <c r="AN158" s="177"/>
      <c r="AO158" s="157"/>
      <c r="AP158" s="158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75"/>
      <c r="BM158" s="111"/>
      <c r="BN158" s="111"/>
      <c r="BO158" s="111"/>
      <c r="BP158" s="111"/>
      <c r="BQ158" s="111"/>
      <c r="BR158" s="111"/>
      <c r="BS158" s="111"/>
      <c r="BT158" s="111"/>
      <c r="BU158" s="111"/>
      <c r="BV158" s="111"/>
      <c r="BW158" s="111"/>
      <c r="BX158" s="111"/>
      <c r="BY158" s="111"/>
      <c r="BZ158" s="111"/>
      <c r="CA158" s="111"/>
      <c r="CB158" s="111"/>
      <c r="CC158" s="178"/>
      <c r="CD158" s="177">
        <f t="shared" si="284"/>
        <v>0</v>
      </c>
      <c r="CE158" s="148"/>
      <c r="CF158" s="111">
        <f t="shared" si="285"/>
        <v>0</v>
      </c>
      <c r="CG158" s="177"/>
      <c r="CH158" s="204"/>
      <c r="CI158" s="148"/>
      <c r="CJ158" s="165"/>
      <c r="CK158" s="165"/>
      <c r="CL158" s="111"/>
      <c r="CM158" s="111"/>
      <c r="CN158" s="165">
        <f t="shared" si="286"/>
        <v>0</v>
      </c>
      <c r="CO158" s="109">
        <f t="shared" si="287"/>
        <v>0</v>
      </c>
      <c r="CP158" s="109">
        <f t="shared" si="288"/>
        <v>0</v>
      </c>
      <c r="CQ158" s="109"/>
      <c r="CR158" s="109"/>
      <c r="CS158" s="196"/>
      <c r="CT158" s="167"/>
      <c r="CU158" s="165"/>
      <c r="CV158" s="109">
        <f t="shared" si="289"/>
        <v>0</v>
      </c>
      <c r="CW158" s="109">
        <f t="shared" si="290"/>
        <v>0</v>
      </c>
      <c r="CX158" s="109"/>
      <c r="CY158" s="109"/>
      <c r="CZ158" s="111"/>
      <c r="DA158" s="111"/>
      <c r="DB158" s="165"/>
      <c r="DC158" s="109">
        <f t="shared" si="291"/>
        <v>0</v>
      </c>
      <c r="DD158" s="109">
        <f t="shared" si="292"/>
        <v>0</v>
      </c>
      <c r="DE158" s="109"/>
      <c r="DF158" s="109"/>
      <c r="DG158" s="111"/>
      <c r="DH158" s="111"/>
      <c r="DI158" s="165"/>
      <c r="DJ158" s="109">
        <f t="shared" si="293"/>
        <v>0</v>
      </c>
      <c r="DK158" s="109">
        <f t="shared" si="294"/>
        <v>0</v>
      </c>
      <c r="DL158" s="109"/>
      <c r="DM158" s="109"/>
      <c r="DN158" s="111"/>
      <c r="DO158" s="111"/>
      <c r="DP158" s="165"/>
      <c r="DQ158" s="109">
        <f t="shared" si="302"/>
        <v>0</v>
      </c>
      <c r="DR158" s="109">
        <f t="shared" si="303"/>
        <v>0</v>
      </c>
      <c r="DS158" s="109"/>
      <c r="DT158" s="109"/>
      <c r="DU158" s="111"/>
      <c r="DV158" s="111"/>
      <c r="DW158" s="165"/>
      <c r="DX158" s="109">
        <f t="shared" si="304"/>
        <v>0</v>
      </c>
      <c r="DY158" s="109">
        <f t="shared" si="305"/>
        <v>0</v>
      </c>
      <c r="DZ158" s="109"/>
      <c r="EA158" s="109"/>
      <c r="EB158" s="111"/>
      <c r="EC158" s="111"/>
      <c r="ED158" s="165"/>
      <c r="EE158" s="109">
        <f t="shared" si="306"/>
        <v>0</v>
      </c>
      <c r="EF158" s="109">
        <f t="shared" si="307"/>
        <v>0</v>
      </c>
      <c r="EG158" s="109"/>
      <c r="EH158" s="109"/>
      <c r="EI158" s="111"/>
      <c r="EJ158" s="111"/>
      <c r="EK158" s="165"/>
      <c r="EL158" s="109">
        <f t="shared" si="308"/>
        <v>0</v>
      </c>
      <c r="EM158" s="109">
        <f t="shared" si="309"/>
        <v>0</v>
      </c>
      <c r="EN158" s="109"/>
      <c r="EO158" s="109"/>
      <c r="EP158" s="111"/>
      <c r="EQ158" s="111"/>
      <c r="ER158" s="165"/>
      <c r="ES158" s="109">
        <f t="shared" si="310"/>
        <v>0</v>
      </c>
      <c r="ET158" s="109">
        <f t="shared" si="311"/>
        <v>0</v>
      </c>
      <c r="EU158" s="109"/>
      <c r="EV158" s="109"/>
      <c r="EW158" s="111"/>
      <c r="EX158" s="111"/>
      <c r="EY158" s="165"/>
      <c r="EZ158" s="109">
        <f t="shared" si="312"/>
        <v>0</v>
      </c>
      <c r="FA158" s="109">
        <f t="shared" si="313"/>
        <v>0</v>
      </c>
      <c r="FB158" s="109"/>
      <c r="FC158" s="109"/>
      <c r="FD158" s="111"/>
      <c r="FE158" s="111"/>
      <c r="FF158" s="165"/>
      <c r="FG158" s="109">
        <f t="shared" si="314"/>
        <v>0</v>
      </c>
      <c r="FH158" s="109">
        <f t="shared" si="315"/>
        <v>0</v>
      </c>
      <c r="FI158" s="109"/>
      <c r="FJ158" s="109"/>
      <c r="FK158" s="111"/>
      <c r="FL158" s="111"/>
      <c r="FM158" s="165"/>
      <c r="FN158" s="109">
        <f t="shared" si="316"/>
        <v>0</v>
      </c>
      <c r="FO158" s="109">
        <f t="shared" si="317"/>
        <v>0</v>
      </c>
      <c r="FP158" s="109"/>
      <c r="FQ158" s="109"/>
      <c r="FR158" s="111"/>
      <c r="FS158" s="111"/>
      <c r="FT158" s="165"/>
      <c r="FU158" s="109">
        <f t="shared" si="318"/>
        <v>0</v>
      </c>
      <c r="FV158" s="109">
        <f t="shared" si="276"/>
        <v>0</v>
      </c>
      <c r="FW158" s="109"/>
      <c r="FX158" s="109"/>
      <c r="FY158" s="111"/>
      <c r="FZ158" s="111"/>
      <c r="GA158" s="165"/>
      <c r="GB158" s="109">
        <f t="shared" si="319"/>
        <v>0</v>
      </c>
      <c r="GC158" s="109">
        <f t="shared" si="277"/>
        <v>0</v>
      </c>
      <c r="GD158" s="109"/>
      <c r="GE158" s="109"/>
      <c r="GF158" s="111"/>
      <c r="GG158" s="111"/>
      <c r="GH158" s="165"/>
      <c r="GI158" s="109">
        <f t="shared" si="320"/>
        <v>0</v>
      </c>
      <c r="GJ158" s="109">
        <f t="shared" si="278"/>
        <v>0</v>
      </c>
      <c r="GK158" s="109"/>
      <c r="GL158" s="109"/>
      <c r="GM158" s="111"/>
      <c r="GN158" s="111"/>
      <c r="GO158" s="165"/>
      <c r="GP158" s="109">
        <f t="shared" si="321"/>
        <v>0</v>
      </c>
      <c r="GQ158" s="109">
        <f t="shared" si="279"/>
        <v>0</v>
      </c>
      <c r="GR158" s="109"/>
      <c r="GS158" s="109"/>
      <c r="GT158" s="111"/>
      <c r="GU158" s="111"/>
      <c r="GV158" s="165"/>
      <c r="GW158" s="168">
        <f t="shared" si="322"/>
        <v>0</v>
      </c>
      <c r="GX158" s="168">
        <f t="shared" si="280"/>
        <v>0</v>
      </c>
      <c r="GY158" s="168"/>
      <c r="GZ158" s="168"/>
      <c r="HA158" s="111"/>
      <c r="HB158" s="111"/>
      <c r="HC158" s="165"/>
      <c r="HD158" s="109">
        <f t="shared" si="323"/>
        <v>0</v>
      </c>
      <c r="HE158" s="109">
        <f t="shared" si="281"/>
        <v>0</v>
      </c>
      <c r="HF158" s="109"/>
      <c r="HG158" s="109"/>
      <c r="HH158" s="111"/>
      <c r="HI158" s="111"/>
      <c r="HJ158" s="165"/>
      <c r="HK158" s="109">
        <f t="shared" si="324"/>
        <v>0</v>
      </c>
      <c r="HL158" s="109">
        <f t="shared" si="282"/>
        <v>0</v>
      </c>
      <c r="HM158" s="109"/>
      <c r="HN158" s="109"/>
      <c r="HO158" s="111"/>
      <c r="HP158" s="111"/>
      <c r="HQ158" s="165"/>
      <c r="HR158" s="109">
        <f t="shared" si="325"/>
        <v>0</v>
      </c>
      <c r="HS158" s="109">
        <f t="shared" si="283"/>
        <v>0</v>
      </c>
      <c r="HT158" s="109"/>
      <c r="HU158" s="109"/>
      <c r="HV158" s="111"/>
      <c r="HW158" s="111"/>
      <c r="HX158" s="105">
        <f t="shared" si="301"/>
        <v>0</v>
      </c>
      <c r="HY158" s="105">
        <f t="shared" si="301"/>
        <v>0</v>
      </c>
      <c r="HZ158" s="105">
        <f t="shared" si="301"/>
        <v>0</v>
      </c>
      <c r="IA158" s="105">
        <f t="shared" si="295"/>
        <v>0</v>
      </c>
      <c r="IB158" s="109">
        <f t="shared" si="296"/>
        <v>0</v>
      </c>
      <c r="IC158" s="109">
        <f t="shared" si="297"/>
        <v>0</v>
      </c>
      <c r="ID158" s="109">
        <f t="shared" si="298"/>
        <v>0</v>
      </c>
      <c r="IE158" s="109">
        <f t="shared" si="299"/>
        <v>0</v>
      </c>
      <c r="IF158" s="197"/>
      <c r="IG158" s="197"/>
      <c r="IH158" s="197"/>
      <c r="II158" s="197"/>
      <c r="IJ158" s="197"/>
      <c r="IK158" s="197"/>
      <c r="IL158" s="197"/>
      <c r="IM158" s="171"/>
      <c r="IN158" s="171"/>
      <c r="IO158" s="171"/>
      <c r="IP158" s="171"/>
    </row>
    <row r="159" spans="1:250" ht="15" customHeight="1" x14ac:dyDescent="0.3">
      <c r="A159" s="110">
        <f t="shared" si="300"/>
        <v>155</v>
      </c>
      <c r="B159" s="111"/>
      <c r="C159" s="111"/>
      <c r="D159" s="111"/>
      <c r="E159" s="111"/>
      <c r="F159" s="111"/>
      <c r="G159" s="111"/>
      <c r="H159" s="111"/>
      <c r="I159" s="194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75"/>
      <c r="AI159" s="111"/>
      <c r="AJ159" s="111"/>
      <c r="AK159" s="111"/>
      <c r="AL159" s="177"/>
      <c r="AM159" s="176"/>
      <c r="AN159" s="177"/>
      <c r="AO159" s="157"/>
      <c r="AP159" s="158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11"/>
      <c r="BK159" s="111"/>
      <c r="BL159" s="175"/>
      <c r="BM159" s="111"/>
      <c r="BN159" s="111"/>
      <c r="BO159" s="111"/>
      <c r="BP159" s="111"/>
      <c r="BQ159" s="111"/>
      <c r="BR159" s="111"/>
      <c r="BS159" s="111"/>
      <c r="BT159" s="111"/>
      <c r="BU159" s="111"/>
      <c r="BV159" s="111"/>
      <c r="BW159" s="111"/>
      <c r="BX159" s="111"/>
      <c r="BY159" s="111"/>
      <c r="BZ159" s="111"/>
      <c r="CA159" s="111"/>
      <c r="CB159" s="111"/>
      <c r="CC159" s="178"/>
      <c r="CD159" s="177">
        <f t="shared" si="284"/>
        <v>0</v>
      </c>
      <c r="CE159" s="148"/>
      <c r="CF159" s="111">
        <f t="shared" si="285"/>
        <v>0</v>
      </c>
      <c r="CG159" s="177"/>
      <c r="CH159" s="204"/>
      <c r="CI159" s="148"/>
      <c r="CJ159" s="165"/>
      <c r="CK159" s="165"/>
      <c r="CL159" s="111"/>
      <c r="CM159" s="111"/>
      <c r="CN159" s="165">
        <f t="shared" si="286"/>
        <v>0</v>
      </c>
      <c r="CO159" s="109">
        <f t="shared" si="287"/>
        <v>0</v>
      </c>
      <c r="CP159" s="109">
        <f t="shared" si="288"/>
        <v>0</v>
      </c>
      <c r="CQ159" s="109"/>
      <c r="CR159" s="109"/>
      <c r="CS159" s="196"/>
      <c r="CT159" s="167"/>
      <c r="CU159" s="165"/>
      <c r="CV159" s="109">
        <f t="shared" si="289"/>
        <v>0</v>
      </c>
      <c r="CW159" s="109">
        <f t="shared" si="290"/>
        <v>0</v>
      </c>
      <c r="CX159" s="109"/>
      <c r="CY159" s="109"/>
      <c r="CZ159" s="111"/>
      <c r="DA159" s="111"/>
      <c r="DB159" s="165"/>
      <c r="DC159" s="109">
        <f t="shared" si="291"/>
        <v>0</v>
      </c>
      <c r="DD159" s="109">
        <f t="shared" si="292"/>
        <v>0</v>
      </c>
      <c r="DE159" s="109"/>
      <c r="DF159" s="109"/>
      <c r="DG159" s="111"/>
      <c r="DH159" s="111"/>
      <c r="DI159" s="165"/>
      <c r="DJ159" s="109">
        <f t="shared" si="293"/>
        <v>0</v>
      </c>
      <c r="DK159" s="109">
        <f t="shared" si="294"/>
        <v>0</v>
      </c>
      <c r="DL159" s="109"/>
      <c r="DM159" s="109"/>
      <c r="DN159" s="111"/>
      <c r="DO159" s="111"/>
      <c r="DP159" s="165"/>
      <c r="DQ159" s="109">
        <f t="shared" si="302"/>
        <v>0</v>
      </c>
      <c r="DR159" s="109">
        <f t="shared" si="303"/>
        <v>0</v>
      </c>
      <c r="DS159" s="109"/>
      <c r="DT159" s="109"/>
      <c r="DU159" s="111"/>
      <c r="DV159" s="111"/>
      <c r="DW159" s="165"/>
      <c r="DX159" s="109">
        <f t="shared" si="304"/>
        <v>0</v>
      </c>
      <c r="DY159" s="109">
        <f t="shared" si="305"/>
        <v>0</v>
      </c>
      <c r="DZ159" s="109"/>
      <c r="EA159" s="109"/>
      <c r="EB159" s="111"/>
      <c r="EC159" s="111"/>
      <c r="ED159" s="165"/>
      <c r="EE159" s="109">
        <f t="shared" si="306"/>
        <v>0</v>
      </c>
      <c r="EF159" s="109">
        <f t="shared" si="307"/>
        <v>0</v>
      </c>
      <c r="EG159" s="109"/>
      <c r="EH159" s="109"/>
      <c r="EI159" s="111"/>
      <c r="EJ159" s="111"/>
      <c r="EK159" s="165"/>
      <c r="EL159" s="109">
        <f t="shared" si="308"/>
        <v>0</v>
      </c>
      <c r="EM159" s="109">
        <f t="shared" si="309"/>
        <v>0</v>
      </c>
      <c r="EN159" s="109"/>
      <c r="EO159" s="109"/>
      <c r="EP159" s="111"/>
      <c r="EQ159" s="111"/>
      <c r="ER159" s="165"/>
      <c r="ES159" s="109">
        <f t="shared" si="310"/>
        <v>0</v>
      </c>
      <c r="ET159" s="109">
        <f t="shared" si="311"/>
        <v>0</v>
      </c>
      <c r="EU159" s="109"/>
      <c r="EV159" s="109"/>
      <c r="EW159" s="111"/>
      <c r="EX159" s="111"/>
      <c r="EY159" s="165"/>
      <c r="EZ159" s="109">
        <f t="shared" si="312"/>
        <v>0</v>
      </c>
      <c r="FA159" s="109">
        <f t="shared" si="313"/>
        <v>0</v>
      </c>
      <c r="FB159" s="109"/>
      <c r="FC159" s="109"/>
      <c r="FD159" s="111"/>
      <c r="FE159" s="111"/>
      <c r="FF159" s="165"/>
      <c r="FG159" s="109">
        <f t="shared" si="314"/>
        <v>0</v>
      </c>
      <c r="FH159" s="109">
        <f t="shared" si="315"/>
        <v>0</v>
      </c>
      <c r="FI159" s="109"/>
      <c r="FJ159" s="109"/>
      <c r="FK159" s="111"/>
      <c r="FL159" s="111"/>
      <c r="FM159" s="165"/>
      <c r="FN159" s="109">
        <f t="shared" si="316"/>
        <v>0</v>
      </c>
      <c r="FO159" s="109">
        <f t="shared" si="317"/>
        <v>0</v>
      </c>
      <c r="FP159" s="109"/>
      <c r="FQ159" s="109"/>
      <c r="FR159" s="111"/>
      <c r="FS159" s="111"/>
      <c r="FT159" s="165"/>
      <c r="FU159" s="109">
        <f t="shared" si="318"/>
        <v>0</v>
      </c>
      <c r="FV159" s="109">
        <f t="shared" si="276"/>
        <v>0</v>
      </c>
      <c r="FW159" s="109"/>
      <c r="FX159" s="109"/>
      <c r="FY159" s="111"/>
      <c r="FZ159" s="111"/>
      <c r="GA159" s="165"/>
      <c r="GB159" s="109">
        <f t="shared" si="319"/>
        <v>0</v>
      </c>
      <c r="GC159" s="109">
        <f t="shared" si="277"/>
        <v>0</v>
      </c>
      <c r="GD159" s="109"/>
      <c r="GE159" s="109"/>
      <c r="GF159" s="111"/>
      <c r="GG159" s="111"/>
      <c r="GH159" s="165"/>
      <c r="GI159" s="109">
        <f t="shared" si="320"/>
        <v>0</v>
      </c>
      <c r="GJ159" s="109">
        <f t="shared" si="278"/>
        <v>0</v>
      </c>
      <c r="GK159" s="109"/>
      <c r="GL159" s="109"/>
      <c r="GM159" s="111"/>
      <c r="GN159" s="111"/>
      <c r="GO159" s="165"/>
      <c r="GP159" s="109">
        <f t="shared" si="321"/>
        <v>0</v>
      </c>
      <c r="GQ159" s="109">
        <f t="shared" si="279"/>
        <v>0</v>
      </c>
      <c r="GR159" s="109"/>
      <c r="GS159" s="109"/>
      <c r="GT159" s="111"/>
      <c r="GU159" s="111"/>
      <c r="GV159" s="165"/>
      <c r="GW159" s="168">
        <f t="shared" si="322"/>
        <v>0</v>
      </c>
      <c r="GX159" s="168">
        <f t="shared" si="280"/>
        <v>0</v>
      </c>
      <c r="GY159" s="168"/>
      <c r="GZ159" s="168"/>
      <c r="HA159" s="111"/>
      <c r="HB159" s="111"/>
      <c r="HC159" s="165"/>
      <c r="HD159" s="109">
        <f t="shared" si="323"/>
        <v>0</v>
      </c>
      <c r="HE159" s="109">
        <f t="shared" si="281"/>
        <v>0</v>
      </c>
      <c r="HF159" s="109"/>
      <c r="HG159" s="109"/>
      <c r="HH159" s="111"/>
      <c r="HI159" s="111"/>
      <c r="HJ159" s="165"/>
      <c r="HK159" s="109">
        <f t="shared" si="324"/>
        <v>0</v>
      </c>
      <c r="HL159" s="109">
        <f t="shared" si="282"/>
        <v>0</v>
      </c>
      <c r="HM159" s="109"/>
      <c r="HN159" s="109"/>
      <c r="HO159" s="111"/>
      <c r="HP159" s="111"/>
      <c r="HQ159" s="165"/>
      <c r="HR159" s="109">
        <f t="shared" si="325"/>
        <v>0</v>
      </c>
      <c r="HS159" s="109">
        <f t="shared" si="283"/>
        <v>0</v>
      </c>
      <c r="HT159" s="109"/>
      <c r="HU159" s="109"/>
      <c r="HV159" s="111"/>
      <c r="HW159" s="111"/>
      <c r="HX159" s="105">
        <f t="shared" si="301"/>
        <v>0</v>
      </c>
      <c r="HY159" s="105">
        <f t="shared" si="301"/>
        <v>0</v>
      </c>
      <c r="HZ159" s="105">
        <f t="shared" si="301"/>
        <v>0</v>
      </c>
      <c r="IA159" s="105">
        <f t="shared" si="295"/>
        <v>0</v>
      </c>
      <c r="IB159" s="109">
        <f t="shared" si="296"/>
        <v>0</v>
      </c>
      <c r="IC159" s="109">
        <f t="shared" si="297"/>
        <v>0</v>
      </c>
      <c r="ID159" s="109">
        <f t="shared" si="298"/>
        <v>0</v>
      </c>
      <c r="IE159" s="109">
        <f t="shared" si="299"/>
        <v>0</v>
      </c>
      <c r="IF159" s="197"/>
      <c r="IG159" s="197"/>
      <c r="IH159" s="197"/>
      <c r="II159" s="197"/>
      <c r="IJ159" s="197"/>
      <c r="IK159" s="197"/>
      <c r="IL159" s="197"/>
      <c r="IM159" s="171"/>
      <c r="IN159" s="171"/>
      <c r="IO159" s="171"/>
      <c r="IP159" s="171"/>
    </row>
    <row r="160" spans="1:250" ht="15" customHeight="1" x14ac:dyDescent="0.3">
      <c r="A160" s="110">
        <f t="shared" si="300"/>
        <v>156</v>
      </c>
      <c r="B160" s="111"/>
      <c r="C160" s="111"/>
      <c r="D160" s="111"/>
      <c r="E160" s="111"/>
      <c r="F160" s="111"/>
      <c r="G160" s="111"/>
      <c r="H160" s="111"/>
      <c r="I160" s="194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75"/>
      <c r="AI160" s="111"/>
      <c r="AJ160" s="111"/>
      <c r="AK160" s="111"/>
      <c r="AL160" s="177"/>
      <c r="AM160" s="176"/>
      <c r="AN160" s="177"/>
      <c r="AO160" s="157"/>
      <c r="AP160" s="158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75"/>
      <c r="BM160" s="111"/>
      <c r="BN160" s="111"/>
      <c r="BO160" s="111"/>
      <c r="BP160" s="111"/>
      <c r="BQ160" s="111"/>
      <c r="BR160" s="111"/>
      <c r="BS160" s="111"/>
      <c r="BT160" s="111"/>
      <c r="BU160" s="111"/>
      <c r="BV160" s="111"/>
      <c r="BW160" s="111"/>
      <c r="BX160" s="111"/>
      <c r="BY160" s="111"/>
      <c r="BZ160" s="111"/>
      <c r="CA160" s="111"/>
      <c r="CB160" s="111"/>
      <c r="CC160" s="178"/>
      <c r="CD160" s="177">
        <f t="shared" si="284"/>
        <v>0</v>
      </c>
      <c r="CE160" s="148"/>
      <c r="CF160" s="111">
        <f t="shared" si="285"/>
        <v>0</v>
      </c>
      <c r="CG160" s="177"/>
      <c r="CH160" s="204"/>
      <c r="CI160" s="148"/>
      <c r="CJ160" s="165"/>
      <c r="CK160" s="165"/>
      <c r="CL160" s="111"/>
      <c r="CM160" s="111"/>
      <c r="CN160" s="165">
        <f t="shared" si="286"/>
        <v>0</v>
      </c>
      <c r="CO160" s="109">
        <f t="shared" si="287"/>
        <v>0</v>
      </c>
      <c r="CP160" s="109">
        <f t="shared" si="288"/>
        <v>0</v>
      </c>
      <c r="CQ160" s="109"/>
      <c r="CR160" s="109"/>
      <c r="CS160" s="196"/>
      <c r="CT160" s="167"/>
      <c r="CU160" s="165"/>
      <c r="CV160" s="109">
        <f t="shared" si="289"/>
        <v>0</v>
      </c>
      <c r="CW160" s="109">
        <f t="shared" si="290"/>
        <v>0</v>
      </c>
      <c r="CX160" s="109"/>
      <c r="CY160" s="109"/>
      <c r="CZ160" s="111"/>
      <c r="DA160" s="111"/>
      <c r="DB160" s="165"/>
      <c r="DC160" s="109">
        <f t="shared" si="291"/>
        <v>0</v>
      </c>
      <c r="DD160" s="109">
        <f t="shared" si="292"/>
        <v>0</v>
      </c>
      <c r="DE160" s="109"/>
      <c r="DF160" s="109"/>
      <c r="DG160" s="111"/>
      <c r="DH160" s="111"/>
      <c r="DI160" s="165"/>
      <c r="DJ160" s="109">
        <f t="shared" si="293"/>
        <v>0</v>
      </c>
      <c r="DK160" s="109">
        <f t="shared" si="294"/>
        <v>0</v>
      </c>
      <c r="DL160" s="109"/>
      <c r="DM160" s="109"/>
      <c r="DN160" s="111"/>
      <c r="DO160" s="111"/>
      <c r="DP160" s="165"/>
      <c r="DQ160" s="109">
        <f t="shared" si="302"/>
        <v>0</v>
      </c>
      <c r="DR160" s="109">
        <f t="shared" si="303"/>
        <v>0</v>
      </c>
      <c r="DS160" s="109"/>
      <c r="DT160" s="109"/>
      <c r="DU160" s="111"/>
      <c r="DV160" s="111"/>
      <c r="DW160" s="165"/>
      <c r="DX160" s="109">
        <f t="shared" si="304"/>
        <v>0</v>
      </c>
      <c r="DY160" s="109">
        <f t="shared" si="305"/>
        <v>0</v>
      </c>
      <c r="DZ160" s="109"/>
      <c r="EA160" s="109"/>
      <c r="EB160" s="111"/>
      <c r="EC160" s="111"/>
      <c r="ED160" s="165"/>
      <c r="EE160" s="109">
        <f t="shared" si="306"/>
        <v>0</v>
      </c>
      <c r="EF160" s="109">
        <f t="shared" si="307"/>
        <v>0</v>
      </c>
      <c r="EG160" s="109"/>
      <c r="EH160" s="109"/>
      <c r="EI160" s="111"/>
      <c r="EJ160" s="111"/>
      <c r="EK160" s="165"/>
      <c r="EL160" s="109">
        <f t="shared" si="308"/>
        <v>0</v>
      </c>
      <c r="EM160" s="109">
        <f t="shared" si="309"/>
        <v>0</v>
      </c>
      <c r="EN160" s="109"/>
      <c r="EO160" s="109"/>
      <c r="EP160" s="111"/>
      <c r="EQ160" s="111"/>
      <c r="ER160" s="165"/>
      <c r="ES160" s="109">
        <f t="shared" si="310"/>
        <v>0</v>
      </c>
      <c r="ET160" s="109">
        <f t="shared" si="311"/>
        <v>0</v>
      </c>
      <c r="EU160" s="109"/>
      <c r="EV160" s="109"/>
      <c r="EW160" s="111"/>
      <c r="EX160" s="111"/>
      <c r="EY160" s="165"/>
      <c r="EZ160" s="109">
        <f t="shared" si="312"/>
        <v>0</v>
      </c>
      <c r="FA160" s="109">
        <f t="shared" si="313"/>
        <v>0</v>
      </c>
      <c r="FB160" s="109"/>
      <c r="FC160" s="109"/>
      <c r="FD160" s="111"/>
      <c r="FE160" s="111"/>
      <c r="FF160" s="165"/>
      <c r="FG160" s="109">
        <f t="shared" si="314"/>
        <v>0</v>
      </c>
      <c r="FH160" s="109">
        <f t="shared" si="315"/>
        <v>0</v>
      </c>
      <c r="FI160" s="109"/>
      <c r="FJ160" s="109"/>
      <c r="FK160" s="111"/>
      <c r="FL160" s="111"/>
      <c r="FM160" s="165"/>
      <c r="FN160" s="109">
        <f t="shared" si="316"/>
        <v>0</v>
      </c>
      <c r="FO160" s="109">
        <f t="shared" si="317"/>
        <v>0</v>
      </c>
      <c r="FP160" s="109"/>
      <c r="FQ160" s="109"/>
      <c r="FR160" s="111"/>
      <c r="FS160" s="111"/>
      <c r="FT160" s="165"/>
      <c r="FU160" s="109">
        <f t="shared" si="318"/>
        <v>0</v>
      </c>
      <c r="FV160" s="109">
        <f t="shared" si="276"/>
        <v>0</v>
      </c>
      <c r="FW160" s="109"/>
      <c r="FX160" s="109"/>
      <c r="FY160" s="111"/>
      <c r="FZ160" s="111"/>
      <c r="GA160" s="165"/>
      <c r="GB160" s="109">
        <f t="shared" si="319"/>
        <v>0</v>
      </c>
      <c r="GC160" s="109">
        <f t="shared" si="277"/>
        <v>0</v>
      </c>
      <c r="GD160" s="109"/>
      <c r="GE160" s="109"/>
      <c r="GF160" s="111"/>
      <c r="GG160" s="111"/>
      <c r="GH160" s="165"/>
      <c r="GI160" s="109">
        <f t="shared" si="320"/>
        <v>0</v>
      </c>
      <c r="GJ160" s="109">
        <f t="shared" si="278"/>
        <v>0</v>
      </c>
      <c r="GK160" s="109"/>
      <c r="GL160" s="109"/>
      <c r="GM160" s="111"/>
      <c r="GN160" s="111"/>
      <c r="GO160" s="165"/>
      <c r="GP160" s="109">
        <f t="shared" si="321"/>
        <v>0</v>
      </c>
      <c r="GQ160" s="109">
        <f t="shared" si="279"/>
        <v>0</v>
      </c>
      <c r="GR160" s="109"/>
      <c r="GS160" s="109"/>
      <c r="GT160" s="111"/>
      <c r="GU160" s="111"/>
      <c r="GV160" s="165"/>
      <c r="GW160" s="168">
        <f t="shared" si="322"/>
        <v>0</v>
      </c>
      <c r="GX160" s="168">
        <f t="shared" si="280"/>
        <v>0</v>
      </c>
      <c r="GY160" s="168"/>
      <c r="GZ160" s="168"/>
      <c r="HA160" s="111"/>
      <c r="HB160" s="111"/>
      <c r="HC160" s="165"/>
      <c r="HD160" s="109">
        <f t="shared" si="323"/>
        <v>0</v>
      </c>
      <c r="HE160" s="109">
        <f t="shared" si="281"/>
        <v>0</v>
      </c>
      <c r="HF160" s="109"/>
      <c r="HG160" s="109"/>
      <c r="HH160" s="111"/>
      <c r="HI160" s="111"/>
      <c r="HJ160" s="165"/>
      <c r="HK160" s="109">
        <f t="shared" si="324"/>
        <v>0</v>
      </c>
      <c r="HL160" s="109">
        <f t="shared" si="282"/>
        <v>0</v>
      </c>
      <c r="HM160" s="109"/>
      <c r="HN160" s="109"/>
      <c r="HO160" s="111"/>
      <c r="HP160" s="111"/>
      <c r="HQ160" s="165"/>
      <c r="HR160" s="109">
        <f t="shared" si="325"/>
        <v>0</v>
      </c>
      <c r="HS160" s="109">
        <f t="shared" si="283"/>
        <v>0</v>
      </c>
      <c r="HT160" s="109"/>
      <c r="HU160" s="109"/>
      <c r="HV160" s="111"/>
      <c r="HW160" s="111"/>
      <c r="HX160" s="105">
        <f t="shared" si="301"/>
        <v>0</v>
      </c>
      <c r="HY160" s="105">
        <f t="shared" si="301"/>
        <v>0</v>
      </c>
      <c r="HZ160" s="105">
        <f t="shared" si="301"/>
        <v>0</v>
      </c>
      <c r="IA160" s="105">
        <f t="shared" si="295"/>
        <v>0</v>
      </c>
      <c r="IB160" s="109">
        <f t="shared" si="296"/>
        <v>0</v>
      </c>
      <c r="IC160" s="109">
        <f t="shared" si="297"/>
        <v>0</v>
      </c>
      <c r="ID160" s="109">
        <f t="shared" si="298"/>
        <v>0</v>
      </c>
      <c r="IE160" s="109">
        <f t="shared" si="299"/>
        <v>0</v>
      </c>
      <c r="IF160" s="197"/>
      <c r="IG160" s="197"/>
      <c r="IH160" s="197"/>
      <c r="II160" s="197"/>
      <c r="IJ160" s="197"/>
      <c r="IK160" s="197"/>
      <c r="IL160" s="197"/>
      <c r="IM160" s="171"/>
      <c r="IN160" s="171"/>
      <c r="IO160" s="171"/>
      <c r="IP160" s="171"/>
    </row>
    <row r="161" spans="1:250" ht="15" customHeight="1" x14ac:dyDescent="0.3">
      <c r="A161" s="110">
        <f t="shared" si="300"/>
        <v>157</v>
      </c>
      <c r="B161" s="111"/>
      <c r="C161" s="111"/>
      <c r="D161" s="111"/>
      <c r="E161" s="111"/>
      <c r="F161" s="111"/>
      <c r="G161" s="111"/>
      <c r="H161" s="111"/>
      <c r="I161" s="194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75"/>
      <c r="AI161" s="111"/>
      <c r="AJ161" s="111"/>
      <c r="AK161" s="111"/>
      <c r="AL161" s="177"/>
      <c r="AM161" s="176"/>
      <c r="AN161" s="177"/>
      <c r="AO161" s="157"/>
      <c r="AP161" s="158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75"/>
      <c r="BM161" s="111"/>
      <c r="BN161" s="111"/>
      <c r="BO161" s="111"/>
      <c r="BP161" s="111"/>
      <c r="BQ161" s="111"/>
      <c r="BR161" s="111"/>
      <c r="BS161" s="111"/>
      <c r="BT161" s="111"/>
      <c r="BU161" s="111"/>
      <c r="BV161" s="111"/>
      <c r="BW161" s="111"/>
      <c r="BX161" s="111"/>
      <c r="BY161" s="111"/>
      <c r="BZ161" s="111"/>
      <c r="CA161" s="111"/>
      <c r="CB161" s="111"/>
      <c r="CC161" s="178"/>
      <c r="CD161" s="177">
        <f t="shared" si="284"/>
        <v>0</v>
      </c>
      <c r="CE161" s="148"/>
      <c r="CF161" s="111">
        <f t="shared" si="285"/>
        <v>0</v>
      </c>
      <c r="CG161" s="177"/>
      <c r="CH161" s="204"/>
      <c r="CI161" s="148"/>
      <c r="CJ161" s="165"/>
      <c r="CK161" s="165"/>
      <c r="CL161" s="111"/>
      <c r="CM161" s="111"/>
      <c r="CN161" s="165">
        <f t="shared" si="286"/>
        <v>0</v>
      </c>
      <c r="CO161" s="109">
        <f t="shared" si="287"/>
        <v>0</v>
      </c>
      <c r="CP161" s="109">
        <f t="shared" si="288"/>
        <v>0</v>
      </c>
      <c r="CQ161" s="109"/>
      <c r="CR161" s="109"/>
      <c r="CS161" s="196"/>
      <c r="CT161" s="167"/>
      <c r="CU161" s="165"/>
      <c r="CV161" s="109">
        <f t="shared" si="289"/>
        <v>0</v>
      </c>
      <c r="CW161" s="109">
        <f t="shared" si="290"/>
        <v>0</v>
      </c>
      <c r="CX161" s="109"/>
      <c r="CY161" s="109"/>
      <c r="CZ161" s="111"/>
      <c r="DA161" s="111"/>
      <c r="DB161" s="165"/>
      <c r="DC161" s="109">
        <f t="shared" si="291"/>
        <v>0</v>
      </c>
      <c r="DD161" s="109">
        <f t="shared" si="292"/>
        <v>0</v>
      </c>
      <c r="DE161" s="109"/>
      <c r="DF161" s="109"/>
      <c r="DG161" s="111"/>
      <c r="DH161" s="111"/>
      <c r="DI161" s="165"/>
      <c r="DJ161" s="109">
        <f t="shared" si="293"/>
        <v>0</v>
      </c>
      <c r="DK161" s="109">
        <f t="shared" si="294"/>
        <v>0</v>
      </c>
      <c r="DL161" s="109"/>
      <c r="DM161" s="109"/>
      <c r="DN161" s="111"/>
      <c r="DO161" s="111"/>
      <c r="DP161" s="165"/>
      <c r="DQ161" s="109">
        <f t="shared" si="302"/>
        <v>0</v>
      </c>
      <c r="DR161" s="109">
        <f t="shared" si="303"/>
        <v>0</v>
      </c>
      <c r="DS161" s="109"/>
      <c r="DT161" s="109"/>
      <c r="DU161" s="111"/>
      <c r="DV161" s="111"/>
      <c r="DW161" s="165"/>
      <c r="DX161" s="109">
        <f t="shared" si="304"/>
        <v>0</v>
      </c>
      <c r="DY161" s="109">
        <f t="shared" si="305"/>
        <v>0</v>
      </c>
      <c r="DZ161" s="109"/>
      <c r="EA161" s="109"/>
      <c r="EB161" s="111"/>
      <c r="EC161" s="111"/>
      <c r="ED161" s="165"/>
      <c r="EE161" s="109">
        <f t="shared" si="306"/>
        <v>0</v>
      </c>
      <c r="EF161" s="109">
        <f t="shared" si="307"/>
        <v>0</v>
      </c>
      <c r="EG161" s="109"/>
      <c r="EH161" s="109"/>
      <c r="EI161" s="111"/>
      <c r="EJ161" s="111"/>
      <c r="EK161" s="165"/>
      <c r="EL161" s="109">
        <f t="shared" si="308"/>
        <v>0</v>
      </c>
      <c r="EM161" s="109">
        <f t="shared" si="309"/>
        <v>0</v>
      </c>
      <c r="EN161" s="109"/>
      <c r="EO161" s="109"/>
      <c r="EP161" s="111"/>
      <c r="EQ161" s="111"/>
      <c r="ER161" s="165"/>
      <c r="ES161" s="109">
        <f t="shared" si="310"/>
        <v>0</v>
      </c>
      <c r="ET161" s="109">
        <f t="shared" si="311"/>
        <v>0</v>
      </c>
      <c r="EU161" s="109"/>
      <c r="EV161" s="109"/>
      <c r="EW161" s="111"/>
      <c r="EX161" s="111"/>
      <c r="EY161" s="165"/>
      <c r="EZ161" s="109">
        <f t="shared" si="312"/>
        <v>0</v>
      </c>
      <c r="FA161" s="109">
        <f t="shared" si="313"/>
        <v>0</v>
      </c>
      <c r="FB161" s="109"/>
      <c r="FC161" s="109"/>
      <c r="FD161" s="111"/>
      <c r="FE161" s="111"/>
      <c r="FF161" s="165"/>
      <c r="FG161" s="109">
        <f t="shared" si="314"/>
        <v>0</v>
      </c>
      <c r="FH161" s="109">
        <f t="shared" si="315"/>
        <v>0</v>
      </c>
      <c r="FI161" s="109"/>
      <c r="FJ161" s="109"/>
      <c r="FK161" s="111"/>
      <c r="FL161" s="111"/>
      <c r="FM161" s="165"/>
      <c r="FN161" s="109">
        <f t="shared" si="316"/>
        <v>0</v>
      </c>
      <c r="FO161" s="109">
        <f t="shared" si="317"/>
        <v>0</v>
      </c>
      <c r="FP161" s="109"/>
      <c r="FQ161" s="109"/>
      <c r="FR161" s="111"/>
      <c r="FS161" s="111"/>
      <c r="FT161" s="165"/>
      <c r="FU161" s="109">
        <f t="shared" si="318"/>
        <v>0</v>
      </c>
      <c r="FV161" s="109">
        <f t="shared" si="276"/>
        <v>0</v>
      </c>
      <c r="FW161" s="109"/>
      <c r="FX161" s="109"/>
      <c r="FY161" s="111"/>
      <c r="FZ161" s="111"/>
      <c r="GA161" s="165"/>
      <c r="GB161" s="109">
        <f t="shared" si="319"/>
        <v>0</v>
      </c>
      <c r="GC161" s="109">
        <f t="shared" si="277"/>
        <v>0</v>
      </c>
      <c r="GD161" s="109"/>
      <c r="GE161" s="109"/>
      <c r="GF161" s="111"/>
      <c r="GG161" s="111"/>
      <c r="GH161" s="165"/>
      <c r="GI161" s="109">
        <f t="shared" si="320"/>
        <v>0</v>
      </c>
      <c r="GJ161" s="109">
        <f t="shared" si="278"/>
        <v>0</v>
      </c>
      <c r="GK161" s="109"/>
      <c r="GL161" s="109"/>
      <c r="GM161" s="111"/>
      <c r="GN161" s="111"/>
      <c r="GO161" s="165"/>
      <c r="GP161" s="109">
        <f t="shared" si="321"/>
        <v>0</v>
      </c>
      <c r="GQ161" s="109">
        <f t="shared" si="279"/>
        <v>0</v>
      </c>
      <c r="GR161" s="109"/>
      <c r="GS161" s="109"/>
      <c r="GT161" s="111"/>
      <c r="GU161" s="111"/>
      <c r="GV161" s="165"/>
      <c r="GW161" s="168">
        <f t="shared" si="322"/>
        <v>0</v>
      </c>
      <c r="GX161" s="168">
        <f t="shared" si="280"/>
        <v>0</v>
      </c>
      <c r="GY161" s="168"/>
      <c r="GZ161" s="168"/>
      <c r="HA161" s="111"/>
      <c r="HB161" s="111"/>
      <c r="HC161" s="165"/>
      <c r="HD161" s="109">
        <f t="shared" si="323"/>
        <v>0</v>
      </c>
      <c r="HE161" s="109">
        <f t="shared" si="281"/>
        <v>0</v>
      </c>
      <c r="HF161" s="109"/>
      <c r="HG161" s="109"/>
      <c r="HH161" s="111"/>
      <c r="HI161" s="111"/>
      <c r="HJ161" s="165"/>
      <c r="HK161" s="109">
        <f t="shared" si="324"/>
        <v>0</v>
      </c>
      <c r="HL161" s="109">
        <f t="shared" si="282"/>
        <v>0</v>
      </c>
      <c r="HM161" s="109"/>
      <c r="HN161" s="109"/>
      <c r="HO161" s="111"/>
      <c r="HP161" s="111"/>
      <c r="HQ161" s="165"/>
      <c r="HR161" s="109">
        <f t="shared" si="325"/>
        <v>0</v>
      </c>
      <c r="HS161" s="109">
        <f t="shared" si="283"/>
        <v>0</v>
      </c>
      <c r="HT161" s="109"/>
      <c r="HU161" s="109"/>
      <c r="HV161" s="111"/>
      <c r="HW161" s="111"/>
      <c r="HX161" s="105">
        <f t="shared" si="301"/>
        <v>0</v>
      </c>
      <c r="HY161" s="105">
        <f t="shared" si="301"/>
        <v>0</v>
      </c>
      <c r="HZ161" s="105">
        <f t="shared" si="301"/>
        <v>0</v>
      </c>
      <c r="IA161" s="105">
        <f t="shared" si="295"/>
        <v>0</v>
      </c>
      <c r="IB161" s="109">
        <f t="shared" si="296"/>
        <v>0</v>
      </c>
      <c r="IC161" s="109">
        <f t="shared" si="297"/>
        <v>0</v>
      </c>
      <c r="ID161" s="109">
        <f t="shared" si="298"/>
        <v>0</v>
      </c>
      <c r="IE161" s="109">
        <f t="shared" si="299"/>
        <v>0</v>
      </c>
      <c r="IF161" s="197"/>
      <c r="IG161" s="197"/>
      <c r="IH161" s="197"/>
      <c r="II161" s="197"/>
      <c r="IJ161" s="197"/>
      <c r="IK161" s="197"/>
      <c r="IL161" s="197"/>
      <c r="IM161" s="171"/>
      <c r="IN161" s="171"/>
      <c r="IO161" s="171"/>
      <c r="IP161" s="171"/>
    </row>
    <row r="162" spans="1:250" ht="15" customHeight="1" x14ac:dyDescent="0.3">
      <c r="A162" s="110">
        <f t="shared" si="300"/>
        <v>158</v>
      </c>
      <c r="B162" s="111"/>
      <c r="C162" s="111"/>
      <c r="D162" s="111"/>
      <c r="E162" s="111"/>
      <c r="F162" s="111"/>
      <c r="G162" s="111"/>
      <c r="H162" s="111"/>
      <c r="I162" s="194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75"/>
      <c r="AI162" s="111"/>
      <c r="AJ162" s="111"/>
      <c r="AK162" s="111"/>
      <c r="AL162" s="177"/>
      <c r="AM162" s="176"/>
      <c r="AN162" s="177"/>
      <c r="AO162" s="157"/>
      <c r="AP162" s="158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75"/>
      <c r="BM162" s="111"/>
      <c r="BN162" s="111"/>
      <c r="BO162" s="111"/>
      <c r="BP162" s="111"/>
      <c r="BQ162" s="111"/>
      <c r="BR162" s="111"/>
      <c r="BS162" s="111"/>
      <c r="BT162" s="111"/>
      <c r="BU162" s="111"/>
      <c r="BV162" s="111"/>
      <c r="BW162" s="111"/>
      <c r="BX162" s="111"/>
      <c r="BY162" s="111"/>
      <c r="BZ162" s="111"/>
      <c r="CA162" s="111"/>
      <c r="CB162" s="111"/>
      <c r="CC162" s="178"/>
      <c r="CD162" s="177">
        <f t="shared" si="284"/>
        <v>0</v>
      </c>
      <c r="CE162" s="148"/>
      <c r="CF162" s="111">
        <f t="shared" si="285"/>
        <v>0</v>
      </c>
      <c r="CG162" s="177"/>
      <c r="CH162" s="204"/>
      <c r="CI162" s="148"/>
      <c r="CJ162" s="165"/>
      <c r="CK162" s="165"/>
      <c r="CL162" s="111"/>
      <c r="CM162" s="111"/>
      <c r="CN162" s="165">
        <f t="shared" si="286"/>
        <v>0</v>
      </c>
      <c r="CO162" s="109">
        <f t="shared" si="287"/>
        <v>0</v>
      </c>
      <c r="CP162" s="109">
        <f t="shared" si="288"/>
        <v>0</v>
      </c>
      <c r="CQ162" s="109"/>
      <c r="CR162" s="109"/>
      <c r="CS162" s="196"/>
      <c r="CT162" s="167"/>
      <c r="CU162" s="165"/>
      <c r="CV162" s="109">
        <f t="shared" si="289"/>
        <v>0</v>
      </c>
      <c r="CW162" s="109">
        <f t="shared" si="290"/>
        <v>0</v>
      </c>
      <c r="CX162" s="109"/>
      <c r="CY162" s="109"/>
      <c r="CZ162" s="111"/>
      <c r="DA162" s="111"/>
      <c r="DB162" s="165"/>
      <c r="DC162" s="109">
        <f t="shared" si="291"/>
        <v>0</v>
      </c>
      <c r="DD162" s="109">
        <f t="shared" si="292"/>
        <v>0</v>
      </c>
      <c r="DE162" s="109"/>
      <c r="DF162" s="109"/>
      <c r="DG162" s="111"/>
      <c r="DH162" s="111"/>
      <c r="DI162" s="165"/>
      <c r="DJ162" s="109">
        <f t="shared" si="293"/>
        <v>0</v>
      </c>
      <c r="DK162" s="109">
        <f t="shared" si="294"/>
        <v>0</v>
      </c>
      <c r="DL162" s="109"/>
      <c r="DM162" s="109"/>
      <c r="DN162" s="111"/>
      <c r="DO162" s="111"/>
      <c r="DP162" s="165"/>
      <c r="DQ162" s="109">
        <f t="shared" si="302"/>
        <v>0</v>
      </c>
      <c r="DR162" s="109">
        <f t="shared" si="303"/>
        <v>0</v>
      </c>
      <c r="DS162" s="109"/>
      <c r="DT162" s="109"/>
      <c r="DU162" s="111"/>
      <c r="DV162" s="111"/>
      <c r="DW162" s="165"/>
      <c r="DX162" s="109">
        <f t="shared" si="304"/>
        <v>0</v>
      </c>
      <c r="DY162" s="109">
        <f t="shared" si="305"/>
        <v>0</v>
      </c>
      <c r="DZ162" s="109"/>
      <c r="EA162" s="109"/>
      <c r="EB162" s="111"/>
      <c r="EC162" s="111"/>
      <c r="ED162" s="165"/>
      <c r="EE162" s="109">
        <f t="shared" si="306"/>
        <v>0</v>
      </c>
      <c r="EF162" s="109">
        <f t="shared" si="307"/>
        <v>0</v>
      </c>
      <c r="EG162" s="109"/>
      <c r="EH162" s="109"/>
      <c r="EI162" s="111"/>
      <c r="EJ162" s="111"/>
      <c r="EK162" s="165"/>
      <c r="EL162" s="109">
        <f t="shared" si="308"/>
        <v>0</v>
      </c>
      <c r="EM162" s="109">
        <f t="shared" si="309"/>
        <v>0</v>
      </c>
      <c r="EN162" s="109"/>
      <c r="EO162" s="109"/>
      <c r="EP162" s="111"/>
      <c r="EQ162" s="111"/>
      <c r="ER162" s="165"/>
      <c r="ES162" s="109">
        <f t="shared" si="310"/>
        <v>0</v>
      </c>
      <c r="ET162" s="109">
        <f t="shared" si="311"/>
        <v>0</v>
      </c>
      <c r="EU162" s="109"/>
      <c r="EV162" s="109"/>
      <c r="EW162" s="111"/>
      <c r="EX162" s="111"/>
      <c r="EY162" s="165"/>
      <c r="EZ162" s="109">
        <f t="shared" si="312"/>
        <v>0</v>
      </c>
      <c r="FA162" s="109">
        <f t="shared" si="313"/>
        <v>0</v>
      </c>
      <c r="FB162" s="109"/>
      <c r="FC162" s="109"/>
      <c r="FD162" s="111"/>
      <c r="FE162" s="111"/>
      <c r="FF162" s="165"/>
      <c r="FG162" s="109">
        <f t="shared" si="314"/>
        <v>0</v>
      </c>
      <c r="FH162" s="109">
        <f t="shared" si="315"/>
        <v>0</v>
      </c>
      <c r="FI162" s="109"/>
      <c r="FJ162" s="109"/>
      <c r="FK162" s="111"/>
      <c r="FL162" s="111"/>
      <c r="FM162" s="165"/>
      <c r="FN162" s="109">
        <f t="shared" si="316"/>
        <v>0</v>
      </c>
      <c r="FO162" s="109">
        <f t="shared" si="317"/>
        <v>0</v>
      </c>
      <c r="FP162" s="109"/>
      <c r="FQ162" s="109"/>
      <c r="FR162" s="111"/>
      <c r="FS162" s="111"/>
      <c r="FT162" s="165"/>
      <c r="FU162" s="109">
        <f t="shared" si="318"/>
        <v>0</v>
      </c>
      <c r="FV162" s="109">
        <f t="shared" si="276"/>
        <v>0</v>
      </c>
      <c r="FW162" s="109"/>
      <c r="FX162" s="109"/>
      <c r="FY162" s="111"/>
      <c r="FZ162" s="111"/>
      <c r="GA162" s="165"/>
      <c r="GB162" s="109">
        <f t="shared" si="319"/>
        <v>0</v>
      </c>
      <c r="GC162" s="109">
        <f t="shared" si="277"/>
        <v>0</v>
      </c>
      <c r="GD162" s="109"/>
      <c r="GE162" s="109"/>
      <c r="GF162" s="111"/>
      <c r="GG162" s="111"/>
      <c r="GH162" s="165"/>
      <c r="GI162" s="109">
        <f t="shared" si="320"/>
        <v>0</v>
      </c>
      <c r="GJ162" s="109">
        <f t="shared" si="278"/>
        <v>0</v>
      </c>
      <c r="GK162" s="109"/>
      <c r="GL162" s="109"/>
      <c r="GM162" s="111"/>
      <c r="GN162" s="111"/>
      <c r="GO162" s="165"/>
      <c r="GP162" s="109">
        <f t="shared" si="321"/>
        <v>0</v>
      </c>
      <c r="GQ162" s="109">
        <f t="shared" si="279"/>
        <v>0</v>
      </c>
      <c r="GR162" s="109"/>
      <c r="GS162" s="109"/>
      <c r="GT162" s="111"/>
      <c r="GU162" s="111"/>
      <c r="GV162" s="165"/>
      <c r="GW162" s="168">
        <f t="shared" si="322"/>
        <v>0</v>
      </c>
      <c r="GX162" s="168">
        <f t="shared" si="280"/>
        <v>0</v>
      </c>
      <c r="GY162" s="168"/>
      <c r="GZ162" s="168"/>
      <c r="HA162" s="111"/>
      <c r="HB162" s="111"/>
      <c r="HC162" s="165"/>
      <c r="HD162" s="109">
        <f t="shared" si="323"/>
        <v>0</v>
      </c>
      <c r="HE162" s="109">
        <f t="shared" si="281"/>
        <v>0</v>
      </c>
      <c r="HF162" s="109"/>
      <c r="HG162" s="109"/>
      <c r="HH162" s="111"/>
      <c r="HI162" s="111"/>
      <c r="HJ162" s="165"/>
      <c r="HK162" s="109">
        <f t="shared" si="324"/>
        <v>0</v>
      </c>
      <c r="HL162" s="109">
        <f t="shared" si="282"/>
        <v>0</v>
      </c>
      <c r="HM162" s="109"/>
      <c r="HN162" s="109"/>
      <c r="HO162" s="111"/>
      <c r="HP162" s="111"/>
      <c r="HQ162" s="165"/>
      <c r="HR162" s="109">
        <f t="shared" si="325"/>
        <v>0</v>
      </c>
      <c r="HS162" s="109">
        <f t="shared" si="283"/>
        <v>0</v>
      </c>
      <c r="HT162" s="109"/>
      <c r="HU162" s="109"/>
      <c r="HV162" s="111"/>
      <c r="HW162" s="111"/>
      <c r="HX162" s="105">
        <f t="shared" si="301"/>
        <v>0</v>
      </c>
      <c r="HY162" s="105">
        <f t="shared" si="301"/>
        <v>0</v>
      </c>
      <c r="HZ162" s="105">
        <f t="shared" si="301"/>
        <v>0</v>
      </c>
      <c r="IA162" s="105">
        <f t="shared" si="295"/>
        <v>0</v>
      </c>
      <c r="IB162" s="109">
        <f t="shared" si="296"/>
        <v>0</v>
      </c>
      <c r="IC162" s="109">
        <f t="shared" si="297"/>
        <v>0</v>
      </c>
      <c r="ID162" s="109">
        <f t="shared" si="298"/>
        <v>0</v>
      </c>
      <c r="IE162" s="109">
        <f t="shared" si="299"/>
        <v>0</v>
      </c>
      <c r="IF162" s="197"/>
      <c r="IG162" s="197"/>
      <c r="IH162" s="197"/>
      <c r="II162" s="197"/>
      <c r="IJ162" s="197"/>
      <c r="IK162" s="197"/>
      <c r="IL162" s="197"/>
      <c r="IM162" s="171"/>
      <c r="IN162" s="171"/>
      <c r="IO162" s="171"/>
      <c r="IP162" s="171"/>
    </row>
    <row r="163" spans="1:250" ht="15" customHeight="1" x14ac:dyDescent="0.3">
      <c r="A163" s="110">
        <f t="shared" si="300"/>
        <v>159</v>
      </c>
      <c r="B163" s="111"/>
      <c r="C163" s="111"/>
      <c r="D163" s="111"/>
      <c r="E163" s="111"/>
      <c r="F163" s="111"/>
      <c r="G163" s="111"/>
      <c r="H163" s="111"/>
      <c r="I163" s="194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75"/>
      <c r="AI163" s="111"/>
      <c r="AJ163" s="111"/>
      <c r="AK163" s="111"/>
      <c r="AL163" s="177"/>
      <c r="AM163" s="176"/>
      <c r="AN163" s="177"/>
      <c r="AO163" s="157"/>
      <c r="AP163" s="158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75"/>
      <c r="BM163" s="111"/>
      <c r="BN163" s="111"/>
      <c r="BO163" s="111"/>
      <c r="BP163" s="111"/>
      <c r="BQ163" s="111"/>
      <c r="BR163" s="111"/>
      <c r="BS163" s="111"/>
      <c r="BT163" s="111"/>
      <c r="BU163" s="111"/>
      <c r="BV163" s="111"/>
      <c r="BW163" s="111"/>
      <c r="BX163" s="111"/>
      <c r="BY163" s="111"/>
      <c r="BZ163" s="111"/>
      <c r="CA163" s="111"/>
      <c r="CB163" s="111"/>
      <c r="CC163" s="178"/>
      <c r="CD163" s="177">
        <f t="shared" si="284"/>
        <v>0</v>
      </c>
      <c r="CE163" s="148"/>
      <c r="CF163" s="111">
        <f t="shared" si="285"/>
        <v>0</v>
      </c>
      <c r="CG163" s="177"/>
      <c r="CH163" s="204"/>
      <c r="CI163" s="148"/>
      <c r="CJ163" s="165"/>
      <c r="CK163" s="165"/>
      <c r="CL163" s="111"/>
      <c r="CM163" s="111"/>
      <c r="CN163" s="165">
        <f t="shared" si="286"/>
        <v>0</v>
      </c>
      <c r="CO163" s="109">
        <f t="shared" si="287"/>
        <v>0</v>
      </c>
      <c r="CP163" s="109">
        <f t="shared" si="288"/>
        <v>0</v>
      </c>
      <c r="CQ163" s="109"/>
      <c r="CR163" s="109"/>
      <c r="CS163" s="196"/>
      <c r="CT163" s="167"/>
      <c r="CU163" s="165"/>
      <c r="CV163" s="109">
        <f t="shared" si="289"/>
        <v>0</v>
      </c>
      <c r="CW163" s="109">
        <f t="shared" si="290"/>
        <v>0</v>
      </c>
      <c r="CX163" s="109"/>
      <c r="CY163" s="109"/>
      <c r="CZ163" s="111"/>
      <c r="DA163" s="111"/>
      <c r="DB163" s="165"/>
      <c r="DC163" s="109">
        <f t="shared" si="291"/>
        <v>0</v>
      </c>
      <c r="DD163" s="109">
        <f t="shared" si="292"/>
        <v>0</v>
      </c>
      <c r="DE163" s="109"/>
      <c r="DF163" s="109"/>
      <c r="DG163" s="111"/>
      <c r="DH163" s="111"/>
      <c r="DI163" s="165"/>
      <c r="DJ163" s="109">
        <f t="shared" si="293"/>
        <v>0</v>
      </c>
      <c r="DK163" s="109">
        <f t="shared" si="294"/>
        <v>0</v>
      </c>
      <c r="DL163" s="109"/>
      <c r="DM163" s="109"/>
      <c r="DN163" s="111"/>
      <c r="DO163" s="111"/>
      <c r="DP163" s="165"/>
      <c r="DQ163" s="109">
        <f t="shared" si="302"/>
        <v>0</v>
      </c>
      <c r="DR163" s="109">
        <f t="shared" si="303"/>
        <v>0</v>
      </c>
      <c r="DS163" s="109"/>
      <c r="DT163" s="109"/>
      <c r="DU163" s="111"/>
      <c r="DV163" s="111"/>
      <c r="DW163" s="165"/>
      <c r="DX163" s="109">
        <f t="shared" si="304"/>
        <v>0</v>
      </c>
      <c r="DY163" s="109">
        <f t="shared" si="305"/>
        <v>0</v>
      </c>
      <c r="DZ163" s="109"/>
      <c r="EA163" s="109"/>
      <c r="EB163" s="111"/>
      <c r="EC163" s="111"/>
      <c r="ED163" s="165"/>
      <c r="EE163" s="109">
        <f t="shared" si="306"/>
        <v>0</v>
      </c>
      <c r="EF163" s="109">
        <f t="shared" si="307"/>
        <v>0</v>
      </c>
      <c r="EG163" s="109"/>
      <c r="EH163" s="109"/>
      <c r="EI163" s="111"/>
      <c r="EJ163" s="111"/>
      <c r="EK163" s="165"/>
      <c r="EL163" s="109">
        <f t="shared" si="308"/>
        <v>0</v>
      </c>
      <c r="EM163" s="109">
        <f t="shared" si="309"/>
        <v>0</v>
      </c>
      <c r="EN163" s="109"/>
      <c r="EO163" s="109"/>
      <c r="EP163" s="111"/>
      <c r="EQ163" s="111"/>
      <c r="ER163" s="165"/>
      <c r="ES163" s="109">
        <f t="shared" si="310"/>
        <v>0</v>
      </c>
      <c r="ET163" s="109">
        <f t="shared" si="311"/>
        <v>0</v>
      </c>
      <c r="EU163" s="109"/>
      <c r="EV163" s="109"/>
      <c r="EW163" s="111"/>
      <c r="EX163" s="111"/>
      <c r="EY163" s="165"/>
      <c r="EZ163" s="109">
        <f t="shared" si="312"/>
        <v>0</v>
      </c>
      <c r="FA163" s="109">
        <f t="shared" si="313"/>
        <v>0</v>
      </c>
      <c r="FB163" s="109"/>
      <c r="FC163" s="109"/>
      <c r="FD163" s="111"/>
      <c r="FE163" s="111"/>
      <c r="FF163" s="165"/>
      <c r="FG163" s="109">
        <f t="shared" si="314"/>
        <v>0</v>
      </c>
      <c r="FH163" s="109">
        <f t="shared" si="315"/>
        <v>0</v>
      </c>
      <c r="FI163" s="109"/>
      <c r="FJ163" s="109"/>
      <c r="FK163" s="111"/>
      <c r="FL163" s="111"/>
      <c r="FM163" s="165"/>
      <c r="FN163" s="109">
        <f t="shared" si="316"/>
        <v>0</v>
      </c>
      <c r="FO163" s="109">
        <f t="shared" si="317"/>
        <v>0</v>
      </c>
      <c r="FP163" s="109"/>
      <c r="FQ163" s="109"/>
      <c r="FR163" s="111"/>
      <c r="FS163" s="111"/>
      <c r="FT163" s="165"/>
      <c r="FU163" s="109">
        <f t="shared" si="318"/>
        <v>0</v>
      </c>
      <c r="FV163" s="109">
        <f t="shared" si="276"/>
        <v>0</v>
      </c>
      <c r="FW163" s="109"/>
      <c r="FX163" s="109"/>
      <c r="FY163" s="111"/>
      <c r="FZ163" s="111"/>
      <c r="GA163" s="165"/>
      <c r="GB163" s="109">
        <f t="shared" si="319"/>
        <v>0</v>
      </c>
      <c r="GC163" s="109">
        <f t="shared" si="277"/>
        <v>0</v>
      </c>
      <c r="GD163" s="109"/>
      <c r="GE163" s="109"/>
      <c r="GF163" s="111"/>
      <c r="GG163" s="111"/>
      <c r="GH163" s="165"/>
      <c r="GI163" s="109">
        <f t="shared" si="320"/>
        <v>0</v>
      </c>
      <c r="GJ163" s="109">
        <f t="shared" si="278"/>
        <v>0</v>
      </c>
      <c r="GK163" s="109"/>
      <c r="GL163" s="109"/>
      <c r="GM163" s="111"/>
      <c r="GN163" s="111"/>
      <c r="GO163" s="165"/>
      <c r="GP163" s="109">
        <f t="shared" si="321"/>
        <v>0</v>
      </c>
      <c r="GQ163" s="109">
        <f t="shared" si="279"/>
        <v>0</v>
      </c>
      <c r="GR163" s="109"/>
      <c r="GS163" s="109"/>
      <c r="GT163" s="111"/>
      <c r="GU163" s="111"/>
      <c r="GV163" s="165"/>
      <c r="GW163" s="168">
        <f t="shared" si="322"/>
        <v>0</v>
      </c>
      <c r="GX163" s="168">
        <f t="shared" si="280"/>
        <v>0</v>
      </c>
      <c r="GY163" s="168"/>
      <c r="GZ163" s="168"/>
      <c r="HA163" s="111"/>
      <c r="HB163" s="111"/>
      <c r="HC163" s="165"/>
      <c r="HD163" s="109">
        <f t="shared" si="323"/>
        <v>0</v>
      </c>
      <c r="HE163" s="109">
        <f t="shared" si="281"/>
        <v>0</v>
      </c>
      <c r="HF163" s="109"/>
      <c r="HG163" s="109"/>
      <c r="HH163" s="111"/>
      <c r="HI163" s="111"/>
      <c r="HJ163" s="165"/>
      <c r="HK163" s="109">
        <f t="shared" si="324"/>
        <v>0</v>
      </c>
      <c r="HL163" s="109">
        <f t="shared" si="282"/>
        <v>0</v>
      </c>
      <c r="HM163" s="109"/>
      <c r="HN163" s="109"/>
      <c r="HO163" s="111"/>
      <c r="HP163" s="111"/>
      <c r="HQ163" s="165"/>
      <c r="HR163" s="109">
        <f t="shared" si="325"/>
        <v>0</v>
      </c>
      <c r="HS163" s="109">
        <f t="shared" si="283"/>
        <v>0</v>
      </c>
      <c r="HT163" s="109"/>
      <c r="HU163" s="109"/>
      <c r="HV163" s="111"/>
      <c r="HW163" s="111"/>
      <c r="HX163" s="105">
        <f t="shared" si="301"/>
        <v>0</v>
      </c>
      <c r="HY163" s="105">
        <f t="shared" si="301"/>
        <v>0</v>
      </c>
      <c r="HZ163" s="105">
        <f t="shared" si="301"/>
        <v>0</v>
      </c>
      <c r="IA163" s="105">
        <f t="shared" si="295"/>
        <v>0</v>
      </c>
      <c r="IB163" s="109">
        <f t="shared" si="296"/>
        <v>0</v>
      </c>
      <c r="IC163" s="109">
        <f t="shared" si="297"/>
        <v>0</v>
      </c>
      <c r="ID163" s="109">
        <f t="shared" si="298"/>
        <v>0</v>
      </c>
      <c r="IE163" s="109">
        <f t="shared" si="299"/>
        <v>0</v>
      </c>
      <c r="IF163" s="197"/>
      <c r="IG163" s="197"/>
      <c r="IH163" s="197"/>
      <c r="II163" s="197"/>
      <c r="IJ163" s="197"/>
      <c r="IK163" s="197"/>
      <c r="IL163" s="197"/>
      <c r="IM163" s="171"/>
      <c r="IN163" s="171"/>
      <c r="IO163" s="171"/>
      <c r="IP163" s="171"/>
    </row>
    <row r="164" spans="1:250" ht="15" customHeight="1" x14ac:dyDescent="0.3">
      <c r="A164" s="110">
        <f t="shared" si="300"/>
        <v>160</v>
      </c>
      <c r="B164" s="111"/>
      <c r="C164" s="111"/>
      <c r="D164" s="111"/>
      <c r="E164" s="111"/>
      <c r="F164" s="111"/>
      <c r="G164" s="111"/>
      <c r="H164" s="111"/>
      <c r="I164" s="194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75"/>
      <c r="AI164" s="111"/>
      <c r="AJ164" s="111"/>
      <c r="AK164" s="111"/>
      <c r="AL164" s="177"/>
      <c r="AM164" s="176"/>
      <c r="AN164" s="177"/>
      <c r="AO164" s="157"/>
      <c r="AP164" s="158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75"/>
      <c r="BM164" s="111"/>
      <c r="BN164" s="111"/>
      <c r="BO164" s="111"/>
      <c r="BP164" s="111"/>
      <c r="BQ164" s="111"/>
      <c r="BR164" s="111"/>
      <c r="BS164" s="111"/>
      <c r="BT164" s="111"/>
      <c r="BU164" s="111"/>
      <c r="BV164" s="111"/>
      <c r="BW164" s="111"/>
      <c r="BX164" s="111"/>
      <c r="BY164" s="111"/>
      <c r="BZ164" s="111"/>
      <c r="CA164" s="111"/>
      <c r="CB164" s="111"/>
      <c r="CC164" s="178"/>
      <c r="CD164" s="177">
        <f t="shared" si="284"/>
        <v>0</v>
      </c>
      <c r="CE164" s="148"/>
      <c r="CF164" s="111">
        <f t="shared" si="285"/>
        <v>0</v>
      </c>
      <c r="CG164" s="177"/>
      <c r="CH164" s="204"/>
      <c r="CI164" s="148"/>
      <c r="CJ164" s="165"/>
      <c r="CK164" s="165"/>
      <c r="CL164" s="111"/>
      <c r="CM164" s="111"/>
      <c r="CN164" s="165">
        <f t="shared" si="286"/>
        <v>0</v>
      </c>
      <c r="CO164" s="109">
        <f t="shared" si="287"/>
        <v>0</v>
      </c>
      <c r="CP164" s="109">
        <f t="shared" si="288"/>
        <v>0</v>
      </c>
      <c r="CQ164" s="109"/>
      <c r="CR164" s="109"/>
      <c r="CS164" s="196"/>
      <c r="CT164" s="167"/>
      <c r="CU164" s="165"/>
      <c r="CV164" s="109">
        <f t="shared" si="289"/>
        <v>0</v>
      </c>
      <c r="CW164" s="109">
        <f t="shared" si="290"/>
        <v>0</v>
      </c>
      <c r="CX164" s="109"/>
      <c r="CY164" s="109"/>
      <c r="CZ164" s="111"/>
      <c r="DA164" s="111"/>
      <c r="DB164" s="165"/>
      <c r="DC164" s="109">
        <f t="shared" si="291"/>
        <v>0</v>
      </c>
      <c r="DD164" s="109">
        <f t="shared" si="292"/>
        <v>0</v>
      </c>
      <c r="DE164" s="109"/>
      <c r="DF164" s="109"/>
      <c r="DG164" s="111"/>
      <c r="DH164" s="111"/>
      <c r="DI164" s="165"/>
      <c r="DJ164" s="109">
        <f t="shared" si="293"/>
        <v>0</v>
      </c>
      <c r="DK164" s="109">
        <f t="shared" si="294"/>
        <v>0</v>
      </c>
      <c r="DL164" s="109"/>
      <c r="DM164" s="109"/>
      <c r="DN164" s="111"/>
      <c r="DO164" s="111"/>
      <c r="DP164" s="165"/>
      <c r="DQ164" s="109">
        <f t="shared" si="302"/>
        <v>0</v>
      </c>
      <c r="DR164" s="109">
        <f t="shared" si="303"/>
        <v>0</v>
      </c>
      <c r="DS164" s="109"/>
      <c r="DT164" s="109"/>
      <c r="DU164" s="111"/>
      <c r="DV164" s="111"/>
      <c r="DW164" s="165"/>
      <c r="DX164" s="109">
        <f t="shared" si="304"/>
        <v>0</v>
      </c>
      <c r="DY164" s="109">
        <f t="shared" si="305"/>
        <v>0</v>
      </c>
      <c r="DZ164" s="109"/>
      <c r="EA164" s="109"/>
      <c r="EB164" s="111"/>
      <c r="EC164" s="111"/>
      <c r="ED164" s="165"/>
      <c r="EE164" s="109">
        <f t="shared" si="306"/>
        <v>0</v>
      </c>
      <c r="EF164" s="109">
        <f t="shared" si="307"/>
        <v>0</v>
      </c>
      <c r="EG164" s="109"/>
      <c r="EH164" s="109"/>
      <c r="EI164" s="111"/>
      <c r="EJ164" s="111"/>
      <c r="EK164" s="165"/>
      <c r="EL164" s="109">
        <f t="shared" si="308"/>
        <v>0</v>
      </c>
      <c r="EM164" s="109">
        <f t="shared" si="309"/>
        <v>0</v>
      </c>
      <c r="EN164" s="109"/>
      <c r="EO164" s="109"/>
      <c r="EP164" s="111"/>
      <c r="EQ164" s="111"/>
      <c r="ER164" s="165"/>
      <c r="ES164" s="109">
        <f t="shared" si="310"/>
        <v>0</v>
      </c>
      <c r="ET164" s="109">
        <f t="shared" si="311"/>
        <v>0</v>
      </c>
      <c r="EU164" s="109"/>
      <c r="EV164" s="109"/>
      <c r="EW164" s="111"/>
      <c r="EX164" s="111"/>
      <c r="EY164" s="165"/>
      <c r="EZ164" s="109">
        <f t="shared" si="312"/>
        <v>0</v>
      </c>
      <c r="FA164" s="109">
        <f t="shared" si="313"/>
        <v>0</v>
      </c>
      <c r="FB164" s="109"/>
      <c r="FC164" s="109"/>
      <c r="FD164" s="111"/>
      <c r="FE164" s="111"/>
      <c r="FF164" s="165"/>
      <c r="FG164" s="109">
        <f t="shared" si="314"/>
        <v>0</v>
      </c>
      <c r="FH164" s="109">
        <f t="shared" si="315"/>
        <v>0</v>
      </c>
      <c r="FI164" s="109"/>
      <c r="FJ164" s="109"/>
      <c r="FK164" s="111"/>
      <c r="FL164" s="111"/>
      <c r="FM164" s="165"/>
      <c r="FN164" s="109">
        <f t="shared" si="316"/>
        <v>0</v>
      </c>
      <c r="FO164" s="109">
        <f t="shared" si="317"/>
        <v>0</v>
      </c>
      <c r="FP164" s="109"/>
      <c r="FQ164" s="109"/>
      <c r="FR164" s="111"/>
      <c r="FS164" s="111"/>
      <c r="FT164" s="165"/>
      <c r="FU164" s="109">
        <f t="shared" si="318"/>
        <v>0</v>
      </c>
      <c r="FV164" s="109">
        <f t="shared" si="276"/>
        <v>0</v>
      </c>
      <c r="FW164" s="109"/>
      <c r="FX164" s="109"/>
      <c r="FY164" s="111"/>
      <c r="FZ164" s="111"/>
      <c r="GA164" s="165"/>
      <c r="GB164" s="109">
        <f t="shared" si="319"/>
        <v>0</v>
      </c>
      <c r="GC164" s="109">
        <f t="shared" si="277"/>
        <v>0</v>
      </c>
      <c r="GD164" s="109"/>
      <c r="GE164" s="109"/>
      <c r="GF164" s="111"/>
      <c r="GG164" s="111"/>
      <c r="GH164" s="165"/>
      <c r="GI164" s="109">
        <f t="shared" si="320"/>
        <v>0</v>
      </c>
      <c r="GJ164" s="109">
        <f t="shared" si="278"/>
        <v>0</v>
      </c>
      <c r="GK164" s="109"/>
      <c r="GL164" s="109"/>
      <c r="GM164" s="111"/>
      <c r="GN164" s="111"/>
      <c r="GO164" s="165"/>
      <c r="GP164" s="109">
        <f t="shared" si="321"/>
        <v>0</v>
      </c>
      <c r="GQ164" s="109">
        <f t="shared" si="279"/>
        <v>0</v>
      </c>
      <c r="GR164" s="109"/>
      <c r="GS164" s="109"/>
      <c r="GT164" s="111"/>
      <c r="GU164" s="111"/>
      <c r="GV164" s="165"/>
      <c r="GW164" s="168">
        <f t="shared" si="322"/>
        <v>0</v>
      </c>
      <c r="GX164" s="168">
        <f t="shared" si="280"/>
        <v>0</v>
      </c>
      <c r="GY164" s="168"/>
      <c r="GZ164" s="168"/>
      <c r="HA164" s="111"/>
      <c r="HB164" s="111"/>
      <c r="HC164" s="165"/>
      <c r="HD164" s="109">
        <f t="shared" si="323"/>
        <v>0</v>
      </c>
      <c r="HE164" s="109">
        <f t="shared" si="281"/>
        <v>0</v>
      </c>
      <c r="HF164" s="109"/>
      <c r="HG164" s="109"/>
      <c r="HH164" s="111"/>
      <c r="HI164" s="111"/>
      <c r="HJ164" s="165"/>
      <c r="HK164" s="109">
        <f t="shared" si="324"/>
        <v>0</v>
      </c>
      <c r="HL164" s="109">
        <f t="shared" si="282"/>
        <v>0</v>
      </c>
      <c r="HM164" s="109"/>
      <c r="HN164" s="109"/>
      <c r="HO164" s="111"/>
      <c r="HP164" s="111"/>
      <c r="HQ164" s="165"/>
      <c r="HR164" s="109">
        <f t="shared" si="325"/>
        <v>0</v>
      </c>
      <c r="HS164" s="109">
        <f t="shared" si="283"/>
        <v>0</v>
      </c>
      <c r="HT164" s="109"/>
      <c r="HU164" s="109"/>
      <c r="HV164" s="111"/>
      <c r="HW164" s="111"/>
      <c r="HX164" s="105">
        <f t="shared" si="301"/>
        <v>0</v>
      </c>
      <c r="HY164" s="105">
        <f t="shared" si="301"/>
        <v>0</v>
      </c>
      <c r="HZ164" s="105">
        <f t="shared" si="301"/>
        <v>0</v>
      </c>
      <c r="IA164" s="105">
        <f t="shared" si="295"/>
        <v>0</v>
      </c>
      <c r="IB164" s="109">
        <f t="shared" si="296"/>
        <v>0</v>
      </c>
      <c r="IC164" s="109">
        <f t="shared" si="297"/>
        <v>0</v>
      </c>
      <c r="ID164" s="109">
        <f t="shared" si="298"/>
        <v>0</v>
      </c>
      <c r="IE164" s="109">
        <f t="shared" si="299"/>
        <v>0</v>
      </c>
      <c r="IF164" s="197"/>
      <c r="IG164" s="197"/>
      <c r="IH164" s="197"/>
      <c r="II164" s="197"/>
      <c r="IJ164" s="197"/>
      <c r="IK164" s="197"/>
      <c r="IL164" s="197"/>
      <c r="IM164" s="171"/>
      <c r="IN164" s="171"/>
      <c r="IO164" s="171"/>
      <c r="IP164" s="171"/>
    </row>
    <row r="165" spans="1:250" ht="15" customHeight="1" x14ac:dyDescent="0.3">
      <c r="A165" s="110">
        <f t="shared" si="300"/>
        <v>161</v>
      </c>
      <c r="B165" s="111"/>
      <c r="C165" s="111"/>
      <c r="D165" s="111"/>
      <c r="E165" s="111"/>
      <c r="F165" s="111"/>
      <c r="G165" s="111"/>
      <c r="H165" s="111"/>
      <c r="I165" s="194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75"/>
      <c r="AI165" s="111"/>
      <c r="AJ165" s="111"/>
      <c r="AK165" s="111"/>
      <c r="AL165" s="177"/>
      <c r="AM165" s="176"/>
      <c r="AN165" s="177"/>
      <c r="AO165" s="157"/>
      <c r="AP165" s="158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75"/>
      <c r="BM165" s="111"/>
      <c r="BN165" s="111"/>
      <c r="BO165" s="111"/>
      <c r="BP165" s="111"/>
      <c r="BQ165" s="111"/>
      <c r="BR165" s="111"/>
      <c r="BS165" s="111"/>
      <c r="BT165" s="111"/>
      <c r="BU165" s="111"/>
      <c r="BV165" s="111"/>
      <c r="BW165" s="111"/>
      <c r="BX165" s="111"/>
      <c r="BY165" s="111"/>
      <c r="BZ165" s="111"/>
      <c r="CA165" s="111"/>
      <c r="CB165" s="111"/>
      <c r="CC165" s="178"/>
      <c r="CD165" s="177">
        <f t="shared" si="284"/>
        <v>0</v>
      </c>
      <c r="CE165" s="148"/>
      <c r="CF165" s="111">
        <f t="shared" si="285"/>
        <v>0</v>
      </c>
      <c r="CG165" s="177"/>
      <c r="CH165" s="204"/>
      <c r="CI165" s="148"/>
      <c r="CJ165" s="165"/>
      <c r="CK165" s="165"/>
      <c r="CL165" s="111"/>
      <c r="CM165" s="111"/>
      <c r="CN165" s="165">
        <f t="shared" si="286"/>
        <v>0</v>
      </c>
      <c r="CO165" s="109">
        <f t="shared" si="287"/>
        <v>0</v>
      </c>
      <c r="CP165" s="109">
        <f t="shared" si="288"/>
        <v>0</v>
      </c>
      <c r="CQ165" s="109"/>
      <c r="CR165" s="109"/>
      <c r="CS165" s="196"/>
      <c r="CT165" s="167"/>
      <c r="CU165" s="165"/>
      <c r="CV165" s="109">
        <f t="shared" si="289"/>
        <v>0</v>
      </c>
      <c r="CW165" s="109">
        <f t="shared" si="290"/>
        <v>0</v>
      </c>
      <c r="CX165" s="109"/>
      <c r="CY165" s="109"/>
      <c r="CZ165" s="111"/>
      <c r="DA165" s="111"/>
      <c r="DB165" s="165"/>
      <c r="DC165" s="109">
        <f t="shared" si="291"/>
        <v>0</v>
      </c>
      <c r="DD165" s="109">
        <f t="shared" si="292"/>
        <v>0</v>
      </c>
      <c r="DE165" s="109"/>
      <c r="DF165" s="109"/>
      <c r="DG165" s="111"/>
      <c r="DH165" s="111"/>
      <c r="DI165" s="165"/>
      <c r="DJ165" s="109">
        <f t="shared" si="293"/>
        <v>0</v>
      </c>
      <c r="DK165" s="109">
        <f t="shared" si="294"/>
        <v>0</v>
      </c>
      <c r="DL165" s="109"/>
      <c r="DM165" s="109"/>
      <c r="DN165" s="111"/>
      <c r="DO165" s="111"/>
      <c r="DP165" s="165"/>
      <c r="DQ165" s="109">
        <f t="shared" si="302"/>
        <v>0</v>
      </c>
      <c r="DR165" s="109">
        <f t="shared" si="303"/>
        <v>0</v>
      </c>
      <c r="DS165" s="109"/>
      <c r="DT165" s="109"/>
      <c r="DU165" s="111"/>
      <c r="DV165" s="111"/>
      <c r="DW165" s="165"/>
      <c r="DX165" s="109">
        <f t="shared" si="304"/>
        <v>0</v>
      </c>
      <c r="DY165" s="109">
        <f t="shared" si="305"/>
        <v>0</v>
      </c>
      <c r="DZ165" s="109"/>
      <c r="EA165" s="109"/>
      <c r="EB165" s="111"/>
      <c r="EC165" s="111"/>
      <c r="ED165" s="165"/>
      <c r="EE165" s="109">
        <f t="shared" si="306"/>
        <v>0</v>
      </c>
      <c r="EF165" s="109">
        <f t="shared" si="307"/>
        <v>0</v>
      </c>
      <c r="EG165" s="109"/>
      <c r="EH165" s="109"/>
      <c r="EI165" s="111"/>
      <c r="EJ165" s="111"/>
      <c r="EK165" s="165"/>
      <c r="EL165" s="109">
        <f t="shared" si="308"/>
        <v>0</v>
      </c>
      <c r="EM165" s="109">
        <f t="shared" si="309"/>
        <v>0</v>
      </c>
      <c r="EN165" s="109"/>
      <c r="EO165" s="109"/>
      <c r="EP165" s="111"/>
      <c r="EQ165" s="111"/>
      <c r="ER165" s="165"/>
      <c r="ES165" s="109">
        <f t="shared" si="310"/>
        <v>0</v>
      </c>
      <c r="ET165" s="109">
        <f t="shared" si="311"/>
        <v>0</v>
      </c>
      <c r="EU165" s="109"/>
      <c r="EV165" s="109"/>
      <c r="EW165" s="111"/>
      <c r="EX165" s="111"/>
      <c r="EY165" s="165"/>
      <c r="EZ165" s="109">
        <f t="shared" si="312"/>
        <v>0</v>
      </c>
      <c r="FA165" s="109">
        <f t="shared" si="313"/>
        <v>0</v>
      </c>
      <c r="FB165" s="109"/>
      <c r="FC165" s="109"/>
      <c r="FD165" s="111"/>
      <c r="FE165" s="111"/>
      <c r="FF165" s="165"/>
      <c r="FG165" s="109">
        <f t="shared" si="314"/>
        <v>0</v>
      </c>
      <c r="FH165" s="109">
        <f t="shared" si="315"/>
        <v>0</v>
      </c>
      <c r="FI165" s="109"/>
      <c r="FJ165" s="109"/>
      <c r="FK165" s="111"/>
      <c r="FL165" s="111"/>
      <c r="FM165" s="165"/>
      <c r="FN165" s="109">
        <f t="shared" si="316"/>
        <v>0</v>
      </c>
      <c r="FO165" s="109">
        <f t="shared" si="317"/>
        <v>0</v>
      </c>
      <c r="FP165" s="109"/>
      <c r="FQ165" s="109"/>
      <c r="FR165" s="111"/>
      <c r="FS165" s="111"/>
      <c r="FT165" s="165"/>
      <c r="FU165" s="109">
        <f t="shared" si="318"/>
        <v>0</v>
      </c>
      <c r="FV165" s="109">
        <f t="shared" si="276"/>
        <v>0</v>
      </c>
      <c r="FW165" s="109"/>
      <c r="FX165" s="109"/>
      <c r="FY165" s="111"/>
      <c r="FZ165" s="111"/>
      <c r="GA165" s="165"/>
      <c r="GB165" s="109">
        <f t="shared" si="319"/>
        <v>0</v>
      </c>
      <c r="GC165" s="109">
        <f t="shared" si="277"/>
        <v>0</v>
      </c>
      <c r="GD165" s="109"/>
      <c r="GE165" s="109"/>
      <c r="GF165" s="111"/>
      <c r="GG165" s="111"/>
      <c r="GH165" s="165"/>
      <c r="GI165" s="109">
        <f t="shared" si="320"/>
        <v>0</v>
      </c>
      <c r="GJ165" s="109">
        <f t="shared" si="278"/>
        <v>0</v>
      </c>
      <c r="GK165" s="109"/>
      <c r="GL165" s="109"/>
      <c r="GM165" s="111"/>
      <c r="GN165" s="111"/>
      <c r="GO165" s="165"/>
      <c r="GP165" s="109">
        <f t="shared" si="321"/>
        <v>0</v>
      </c>
      <c r="GQ165" s="109">
        <f t="shared" si="279"/>
        <v>0</v>
      </c>
      <c r="GR165" s="109"/>
      <c r="GS165" s="109"/>
      <c r="GT165" s="111"/>
      <c r="GU165" s="111"/>
      <c r="GV165" s="165"/>
      <c r="GW165" s="168">
        <f t="shared" si="322"/>
        <v>0</v>
      </c>
      <c r="GX165" s="168">
        <f t="shared" si="280"/>
        <v>0</v>
      </c>
      <c r="GY165" s="168"/>
      <c r="GZ165" s="168"/>
      <c r="HA165" s="111"/>
      <c r="HB165" s="111"/>
      <c r="HC165" s="165"/>
      <c r="HD165" s="109">
        <f t="shared" si="323"/>
        <v>0</v>
      </c>
      <c r="HE165" s="109">
        <f t="shared" si="281"/>
        <v>0</v>
      </c>
      <c r="HF165" s="109"/>
      <c r="HG165" s="109"/>
      <c r="HH165" s="111"/>
      <c r="HI165" s="111"/>
      <c r="HJ165" s="165"/>
      <c r="HK165" s="109">
        <f t="shared" si="324"/>
        <v>0</v>
      </c>
      <c r="HL165" s="109">
        <f t="shared" si="282"/>
        <v>0</v>
      </c>
      <c r="HM165" s="109"/>
      <c r="HN165" s="109"/>
      <c r="HO165" s="111"/>
      <c r="HP165" s="111"/>
      <c r="HQ165" s="165"/>
      <c r="HR165" s="109">
        <f t="shared" si="325"/>
        <v>0</v>
      </c>
      <c r="HS165" s="109">
        <f t="shared" si="283"/>
        <v>0</v>
      </c>
      <c r="HT165" s="109"/>
      <c r="HU165" s="109"/>
      <c r="HV165" s="111"/>
      <c r="HW165" s="111"/>
      <c r="HX165" s="105">
        <f t="shared" si="301"/>
        <v>0</v>
      </c>
      <c r="HY165" s="105">
        <f t="shared" si="301"/>
        <v>0</v>
      </c>
      <c r="HZ165" s="105">
        <f t="shared" si="301"/>
        <v>0</v>
      </c>
      <c r="IA165" s="105">
        <f t="shared" si="295"/>
        <v>0</v>
      </c>
      <c r="IB165" s="109">
        <f t="shared" si="296"/>
        <v>0</v>
      </c>
      <c r="IC165" s="109">
        <f t="shared" si="297"/>
        <v>0</v>
      </c>
      <c r="ID165" s="109">
        <f t="shared" si="298"/>
        <v>0</v>
      </c>
      <c r="IE165" s="109">
        <f t="shared" si="299"/>
        <v>0</v>
      </c>
      <c r="IF165" s="197"/>
      <c r="IG165" s="197"/>
      <c r="IH165" s="197"/>
      <c r="II165" s="197"/>
      <c r="IJ165" s="197"/>
      <c r="IK165" s="197"/>
      <c r="IL165" s="197"/>
      <c r="IM165" s="171"/>
      <c r="IN165" s="171"/>
      <c r="IO165" s="171"/>
      <c r="IP165" s="171"/>
    </row>
    <row r="166" spans="1:250" ht="15" customHeight="1" x14ac:dyDescent="0.3">
      <c r="A166" s="110">
        <f t="shared" si="300"/>
        <v>162</v>
      </c>
      <c r="B166" s="111"/>
      <c r="C166" s="111"/>
      <c r="D166" s="111"/>
      <c r="E166" s="111"/>
      <c r="F166" s="111"/>
      <c r="G166" s="111"/>
      <c r="H166" s="111"/>
      <c r="I166" s="194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75"/>
      <c r="AI166" s="111"/>
      <c r="AJ166" s="111"/>
      <c r="AK166" s="111"/>
      <c r="AL166" s="177"/>
      <c r="AM166" s="176"/>
      <c r="AN166" s="177"/>
      <c r="AO166" s="157"/>
      <c r="AP166" s="158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75"/>
      <c r="BM166" s="111"/>
      <c r="BN166" s="111"/>
      <c r="BO166" s="111"/>
      <c r="BP166" s="111"/>
      <c r="BQ166" s="111"/>
      <c r="BR166" s="111"/>
      <c r="BS166" s="111"/>
      <c r="BT166" s="111"/>
      <c r="BU166" s="111"/>
      <c r="BV166" s="111"/>
      <c r="BW166" s="111"/>
      <c r="BX166" s="111"/>
      <c r="BY166" s="111"/>
      <c r="BZ166" s="111"/>
      <c r="CA166" s="111"/>
      <c r="CB166" s="111"/>
      <c r="CC166" s="178"/>
      <c r="CD166" s="177">
        <f t="shared" si="284"/>
        <v>0</v>
      </c>
      <c r="CE166" s="148"/>
      <c r="CF166" s="111">
        <f t="shared" si="285"/>
        <v>0</v>
      </c>
      <c r="CG166" s="177"/>
      <c r="CH166" s="204"/>
      <c r="CI166" s="148"/>
      <c r="CJ166" s="165"/>
      <c r="CK166" s="165"/>
      <c r="CL166" s="111"/>
      <c r="CM166" s="111"/>
      <c r="CN166" s="165">
        <f t="shared" si="286"/>
        <v>0</v>
      </c>
      <c r="CO166" s="109">
        <f t="shared" si="287"/>
        <v>0</v>
      </c>
      <c r="CP166" s="109">
        <f t="shared" si="288"/>
        <v>0</v>
      </c>
      <c r="CQ166" s="109"/>
      <c r="CR166" s="109"/>
      <c r="CS166" s="196"/>
      <c r="CT166" s="167"/>
      <c r="CU166" s="165"/>
      <c r="CV166" s="109">
        <f t="shared" si="289"/>
        <v>0</v>
      </c>
      <c r="CW166" s="109">
        <f t="shared" si="290"/>
        <v>0</v>
      </c>
      <c r="CX166" s="109"/>
      <c r="CY166" s="109"/>
      <c r="CZ166" s="111"/>
      <c r="DA166" s="111"/>
      <c r="DB166" s="165"/>
      <c r="DC166" s="109">
        <f t="shared" si="291"/>
        <v>0</v>
      </c>
      <c r="DD166" s="109">
        <f t="shared" si="292"/>
        <v>0</v>
      </c>
      <c r="DE166" s="109"/>
      <c r="DF166" s="109"/>
      <c r="DG166" s="111"/>
      <c r="DH166" s="111"/>
      <c r="DI166" s="165"/>
      <c r="DJ166" s="109">
        <f t="shared" si="293"/>
        <v>0</v>
      </c>
      <c r="DK166" s="109">
        <f t="shared" si="294"/>
        <v>0</v>
      </c>
      <c r="DL166" s="109"/>
      <c r="DM166" s="109"/>
      <c r="DN166" s="111"/>
      <c r="DO166" s="111"/>
      <c r="DP166" s="165"/>
      <c r="DQ166" s="109">
        <f t="shared" si="302"/>
        <v>0</v>
      </c>
      <c r="DR166" s="109">
        <f t="shared" si="303"/>
        <v>0</v>
      </c>
      <c r="DS166" s="109"/>
      <c r="DT166" s="109"/>
      <c r="DU166" s="111"/>
      <c r="DV166" s="111"/>
      <c r="DW166" s="165"/>
      <c r="DX166" s="109">
        <f t="shared" si="304"/>
        <v>0</v>
      </c>
      <c r="DY166" s="109">
        <f t="shared" si="305"/>
        <v>0</v>
      </c>
      <c r="DZ166" s="109"/>
      <c r="EA166" s="109"/>
      <c r="EB166" s="111"/>
      <c r="EC166" s="111"/>
      <c r="ED166" s="165"/>
      <c r="EE166" s="109">
        <f t="shared" si="306"/>
        <v>0</v>
      </c>
      <c r="EF166" s="109">
        <f t="shared" si="307"/>
        <v>0</v>
      </c>
      <c r="EG166" s="109"/>
      <c r="EH166" s="109"/>
      <c r="EI166" s="111"/>
      <c r="EJ166" s="111"/>
      <c r="EK166" s="165"/>
      <c r="EL166" s="109">
        <f t="shared" si="308"/>
        <v>0</v>
      </c>
      <c r="EM166" s="109">
        <f t="shared" si="309"/>
        <v>0</v>
      </c>
      <c r="EN166" s="109"/>
      <c r="EO166" s="109"/>
      <c r="EP166" s="111"/>
      <c r="EQ166" s="111"/>
      <c r="ER166" s="165"/>
      <c r="ES166" s="109">
        <f t="shared" si="310"/>
        <v>0</v>
      </c>
      <c r="ET166" s="109">
        <f t="shared" si="311"/>
        <v>0</v>
      </c>
      <c r="EU166" s="109"/>
      <c r="EV166" s="109"/>
      <c r="EW166" s="111"/>
      <c r="EX166" s="111"/>
      <c r="EY166" s="165"/>
      <c r="EZ166" s="109">
        <f t="shared" si="312"/>
        <v>0</v>
      </c>
      <c r="FA166" s="109">
        <f t="shared" si="313"/>
        <v>0</v>
      </c>
      <c r="FB166" s="109"/>
      <c r="FC166" s="109"/>
      <c r="FD166" s="111"/>
      <c r="FE166" s="111"/>
      <c r="FF166" s="165"/>
      <c r="FG166" s="109">
        <f t="shared" si="314"/>
        <v>0</v>
      </c>
      <c r="FH166" s="109">
        <f t="shared" si="315"/>
        <v>0</v>
      </c>
      <c r="FI166" s="109"/>
      <c r="FJ166" s="109"/>
      <c r="FK166" s="111"/>
      <c r="FL166" s="111"/>
      <c r="FM166" s="165"/>
      <c r="FN166" s="109">
        <f t="shared" si="316"/>
        <v>0</v>
      </c>
      <c r="FO166" s="109">
        <f t="shared" si="317"/>
        <v>0</v>
      </c>
      <c r="FP166" s="109"/>
      <c r="FQ166" s="109"/>
      <c r="FR166" s="111"/>
      <c r="FS166" s="111"/>
      <c r="FT166" s="165"/>
      <c r="FU166" s="109">
        <f t="shared" si="318"/>
        <v>0</v>
      </c>
      <c r="FV166" s="109">
        <f t="shared" si="276"/>
        <v>0</v>
      </c>
      <c r="FW166" s="109"/>
      <c r="FX166" s="109"/>
      <c r="FY166" s="111"/>
      <c r="FZ166" s="111"/>
      <c r="GA166" s="165"/>
      <c r="GB166" s="109">
        <f t="shared" si="319"/>
        <v>0</v>
      </c>
      <c r="GC166" s="109">
        <f t="shared" si="277"/>
        <v>0</v>
      </c>
      <c r="GD166" s="109"/>
      <c r="GE166" s="109"/>
      <c r="GF166" s="111"/>
      <c r="GG166" s="111"/>
      <c r="GH166" s="165"/>
      <c r="GI166" s="109">
        <f t="shared" si="320"/>
        <v>0</v>
      </c>
      <c r="GJ166" s="109">
        <f t="shared" si="278"/>
        <v>0</v>
      </c>
      <c r="GK166" s="109"/>
      <c r="GL166" s="109"/>
      <c r="GM166" s="111"/>
      <c r="GN166" s="111"/>
      <c r="GO166" s="165"/>
      <c r="GP166" s="109">
        <f t="shared" si="321"/>
        <v>0</v>
      </c>
      <c r="GQ166" s="109">
        <f t="shared" si="279"/>
        <v>0</v>
      </c>
      <c r="GR166" s="109"/>
      <c r="GS166" s="109"/>
      <c r="GT166" s="111"/>
      <c r="GU166" s="111"/>
      <c r="GV166" s="165"/>
      <c r="GW166" s="168">
        <f t="shared" si="322"/>
        <v>0</v>
      </c>
      <c r="GX166" s="168">
        <f t="shared" si="280"/>
        <v>0</v>
      </c>
      <c r="GY166" s="168"/>
      <c r="GZ166" s="168"/>
      <c r="HA166" s="111"/>
      <c r="HB166" s="111"/>
      <c r="HC166" s="165"/>
      <c r="HD166" s="109">
        <f t="shared" si="323"/>
        <v>0</v>
      </c>
      <c r="HE166" s="109">
        <f t="shared" si="281"/>
        <v>0</v>
      </c>
      <c r="HF166" s="109"/>
      <c r="HG166" s="109"/>
      <c r="HH166" s="111"/>
      <c r="HI166" s="111"/>
      <c r="HJ166" s="165"/>
      <c r="HK166" s="109">
        <f t="shared" si="324"/>
        <v>0</v>
      </c>
      <c r="HL166" s="109">
        <f t="shared" si="282"/>
        <v>0</v>
      </c>
      <c r="HM166" s="109"/>
      <c r="HN166" s="109"/>
      <c r="HO166" s="111"/>
      <c r="HP166" s="111"/>
      <c r="HQ166" s="165"/>
      <c r="HR166" s="109">
        <f t="shared" si="325"/>
        <v>0</v>
      </c>
      <c r="HS166" s="109">
        <f t="shared" si="283"/>
        <v>0</v>
      </c>
      <c r="HT166" s="109"/>
      <c r="HU166" s="109"/>
      <c r="HV166" s="111"/>
      <c r="HW166" s="111"/>
      <c r="HX166" s="105">
        <f t="shared" si="301"/>
        <v>0</v>
      </c>
      <c r="HY166" s="105">
        <f t="shared" si="301"/>
        <v>0</v>
      </c>
      <c r="HZ166" s="105">
        <f t="shared" si="301"/>
        <v>0</v>
      </c>
      <c r="IA166" s="105">
        <f t="shared" si="295"/>
        <v>0</v>
      </c>
      <c r="IB166" s="109">
        <f t="shared" si="296"/>
        <v>0</v>
      </c>
      <c r="IC166" s="109">
        <f t="shared" si="297"/>
        <v>0</v>
      </c>
      <c r="ID166" s="109">
        <f t="shared" si="298"/>
        <v>0</v>
      </c>
      <c r="IE166" s="109">
        <f t="shared" si="299"/>
        <v>0</v>
      </c>
      <c r="IF166" s="197"/>
      <c r="IG166" s="197"/>
      <c r="IH166" s="197"/>
      <c r="II166" s="197"/>
      <c r="IJ166" s="197"/>
      <c r="IK166" s="197"/>
      <c r="IL166" s="197"/>
      <c r="IM166" s="171"/>
      <c r="IN166" s="171"/>
      <c r="IO166" s="171"/>
      <c r="IP166" s="171"/>
    </row>
    <row r="167" spans="1:250" ht="15" customHeight="1" x14ac:dyDescent="0.3">
      <c r="A167" s="110">
        <f t="shared" si="300"/>
        <v>163</v>
      </c>
      <c r="B167" s="111"/>
      <c r="C167" s="111"/>
      <c r="D167" s="111"/>
      <c r="E167" s="111"/>
      <c r="F167" s="111"/>
      <c r="G167" s="111"/>
      <c r="H167" s="111"/>
      <c r="I167" s="194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75"/>
      <c r="AI167" s="111"/>
      <c r="AJ167" s="111"/>
      <c r="AK167" s="111"/>
      <c r="AL167" s="177"/>
      <c r="AM167" s="176"/>
      <c r="AN167" s="177"/>
      <c r="AO167" s="157"/>
      <c r="AP167" s="158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  <c r="BJ167" s="111"/>
      <c r="BK167" s="111"/>
      <c r="BL167" s="175"/>
      <c r="BM167" s="111"/>
      <c r="BN167" s="111"/>
      <c r="BO167" s="111"/>
      <c r="BP167" s="111"/>
      <c r="BQ167" s="111"/>
      <c r="BR167" s="111"/>
      <c r="BS167" s="111"/>
      <c r="BT167" s="111"/>
      <c r="BU167" s="111"/>
      <c r="BV167" s="111"/>
      <c r="BW167" s="111"/>
      <c r="BX167" s="111"/>
      <c r="BY167" s="111"/>
      <c r="BZ167" s="111"/>
      <c r="CA167" s="111"/>
      <c r="CB167" s="111"/>
      <c r="CC167" s="178"/>
      <c r="CD167" s="177">
        <f t="shared" si="284"/>
        <v>0</v>
      </c>
      <c r="CE167" s="148"/>
      <c r="CF167" s="111">
        <f t="shared" si="285"/>
        <v>0</v>
      </c>
      <c r="CG167" s="177"/>
      <c r="CH167" s="204"/>
      <c r="CI167" s="148"/>
      <c r="CJ167" s="165"/>
      <c r="CK167" s="165"/>
      <c r="CL167" s="111"/>
      <c r="CM167" s="111"/>
      <c r="CN167" s="165">
        <f t="shared" si="286"/>
        <v>0</v>
      </c>
      <c r="CO167" s="109">
        <f t="shared" si="287"/>
        <v>0</v>
      </c>
      <c r="CP167" s="109">
        <f t="shared" si="288"/>
        <v>0</v>
      </c>
      <c r="CQ167" s="109"/>
      <c r="CR167" s="109"/>
      <c r="CS167" s="196"/>
      <c r="CT167" s="167"/>
      <c r="CU167" s="165"/>
      <c r="CV167" s="109">
        <f t="shared" si="289"/>
        <v>0</v>
      </c>
      <c r="CW167" s="109">
        <f t="shared" si="290"/>
        <v>0</v>
      </c>
      <c r="CX167" s="109"/>
      <c r="CY167" s="109"/>
      <c r="CZ167" s="111"/>
      <c r="DA167" s="111"/>
      <c r="DB167" s="165"/>
      <c r="DC167" s="109">
        <f t="shared" si="291"/>
        <v>0</v>
      </c>
      <c r="DD167" s="109">
        <f t="shared" si="292"/>
        <v>0</v>
      </c>
      <c r="DE167" s="109"/>
      <c r="DF167" s="109"/>
      <c r="DG167" s="111"/>
      <c r="DH167" s="111"/>
      <c r="DI167" s="165"/>
      <c r="DJ167" s="109">
        <f t="shared" si="293"/>
        <v>0</v>
      </c>
      <c r="DK167" s="109">
        <f t="shared" si="294"/>
        <v>0</v>
      </c>
      <c r="DL167" s="109"/>
      <c r="DM167" s="109"/>
      <c r="DN167" s="111"/>
      <c r="DO167" s="111"/>
      <c r="DP167" s="165"/>
      <c r="DQ167" s="109">
        <f t="shared" si="302"/>
        <v>0</v>
      </c>
      <c r="DR167" s="109">
        <f t="shared" si="303"/>
        <v>0</v>
      </c>
      <c r="DS167" s="109"/>
      <c r="DT167" s="109"/>
      <c r="DU167" s="111"/>
      <c r="DV167" s="111"/>
      <c r="DW167" s="165"/>
      <c r="DX167" s="109">
        <f t="shared" si="304"/>
        <v>0</v>
      </c>
      <c r="DY167" s="109">
        <f t="shared" si="305"/>
        <v>0</v>
      </c>
      <c r="DZ167" s="109"/>
      <c r="EA167" s="109"/>
      <c r="EB167" s="111"/>
      <c r="EC167" s="111"/>
      <c r="ED167" s="165"/>
      <c r="EE167" s="109">
        <f t="shared" si="306"/>
        <v>0</v>
      </c>
      <c r="EF167" s="109">
        <f t="shared" si="307"/>
        <v>0</v>
      </c>
      <c r="EG167" s="109"/>
      <c r="EH167" s="109"/>
      <c r="EI167" s="111"/>
      <c r="EJ167" s="111"/>
      <c r="EK167" s="165"/>
      <c r="EL167" s="109">
        <f t="shared" si="308"/>
        <v>0</v>
      </c>
      <c r="EM167" s="109">
        <f t="shared" si="309"/>
        <v>0</v>
      </c>
      <c r="EN167" s="109"/>
      <c r="EO167" s="109"/>
      <c r="EP167" s="111"/>
      <c r="EQ167" s="111"/>
      <c r="ER167" s="165"/>
      <c r="ES167" s="109">
        <f t="shared" si="310"/>
        <v>0</v>
      </c>
      <c r="ET167" s="109">
        <f t="shared" si="311"/>
        <v>0</v>
      </c>
      <c r="EU167" s="109"/>
      <c r="EV167" s="109"/>
      <c r="EW167" s="111"/>
      <c r="EX167" s="111"/>
      <c r="EY167" s="165"/>
      <c r="EZ167" s="109">
        <f t="shared" si="312"/>
        <v>0</v>
      </c>
      <c r="FA167" s="109">
        <f t="shared" si="313"/>
        <v>0</v>
      </c>
      <c r="FB167" s="109"/>
      <c r="FC167" s="109"/>
      <c r="FD167" s="111"/>
      <c r="FE167" s="111"/>
      <c r="FF167" s="165"/>
      <c r="FG167" s="109">
        <f t="shared" si="314"/>
        <v>0</v>
      </c>
      <c r="FH167" s="109">
        <f t="shared" si="315"/>
        <v>0</v>
      </c>
      <c r="FI167" s="109"/>
      <c r="FJ167" s="109"/>
      <c r="FK167" s="111"/>
      <c r="FL167" s="111"/>
      <c r="FM167" s="165"/>
      <c r="FN167" s="109">
        <f t="shared" si="316"/>
        <v>0</v>
      </c>
      <c r="FO167" s="109">
        <f t="shared" si="317"/>
        <v>0</v>
      </c>
      <c r="FP167" s="109"/>
      <c r="FQ167" s="109"/>
      <c r="FR167" s="111"/>
      <c r="FS167" s="111"/>
      <c r="FT167" s="165"/>
      <c r="FU167" s="109">
        <f t="shared" si="318"/>
        <v>0</v>
      </c>
      <c r="FV167" s="109">
        <f t="shared" si="276"/>
        <v>0</v>
      </c>
      <c r="FW167" s="109"/>
      <c r="FX167" s="109"/>
      <c r="FY167" s="111"/>
      <c r="FZ167" s="111"/>
      <c r="GA167" s="165"/>
      <c r="GB167" s="109">
        <f t="shared" si="319"/>
        <v>0</v>
      </c>
      <c r="GC167" s="109">
        <f t="shared" si="277"/>
        <v>0</v>
      </c>
      <c r="GD167" s="109"/>
      <c r="GE167" s="109"/>
      <c r="GF167" s="111"/>
      <c r="GG167" s="111"/>
      <c r="GH167" s="165"/>
      <c r="GI167" s="109">
        <f t="shared" si="320"/>
        <v>0</v>
      </c>
      <c r="GJ167" s="109">
        <f t="shared" si="278"/>
        <v>0</v>
      </c>
      <c r="GK167" s="109"/>
      <c r="GL167" s="109"/>
      <c r="GM167" s="111"/>
      <c r="GN167" s="111"/>
      <c r="GO167" s="165"/>
      <c r="GP167" s="109">
        <f t="shared" si="321"/>
        <v>0</v>
      </c>
      <c r="GQ167" s="109">
        <f t="shared" si="279"/>
        <v>0</v>
      </c>
      <c r="GR167" s="109"/>
      <c r="GS167" s="109"/>
      <c r="GT167" s="111"/>
      <c r="GU167" s="111"/>
      <c r="GV167" s="165"/>
      <c r="GW167" s="168">
        <f t="shared" si="322"/>
        <v>0</v>
      </c>
      <c r="GX167" s="168">
        <f t="shared" si="280"/>
        <v>0</v>
      </c>
      <c r="GY167" s="168"/>
      <c r="GZ167" s="168"/>
      <c r="HA167" s="111"/>
      <c r="HB167" s="111"/>
      <c r="HC167" s="165"/>
      <c r="HD167" s="109">
        <f t="shared" si="323"/>
        <v>0</v>
      </c>
      <c r="HE167" s="109">
        <f t="shared" si="281"/>
        <v>0</v>
      </c>
      <c r="HF167" s="109"/>
      <c r="HG167" s="109"/>
      <c r="HH167" s="111"/>
      <c r="HI167" s="111"/>
      <c r="HJ167" s="165"/>
      <c r="HK167" s="109">
        <f t="shared" si="324"/>
        <v>0</v>
      </c>
      <c r="HL167" s="109">
        <f t="shared" si="282"/>
        <v>0</v>
      </c>
      <c r="HM167" s="109"/>
      <c r="HN167" s="109"/>
      <c r="HO167" s="111"/>
      <c r="HP167" s="111"/>
      <c r="HQ167" s="165"/>
      <c r="HR167" s="109">
        <f t="shared" si="325"/>
        <v>0</v>
      </c>
      <c r="HS167" s="109">
        <f t="shared" si="283"/>
        <v>0</v>
      </c>
      <c r="HT167" s="109"/>
      <c r="HU167" s="109"/>
      <c r="HV167" s="111"/>
      <c r="HW167" s="111"/>
      <c r="HX167" s="105">
        <f t="shared" si="301"/>
        <v>0</v>
      </c>
      <c r="HY167" s="105">
        <f t="shared" si="301"/>
        <v>0</v>
      </c>
      <c r="HZ167" s="105">
        <f t="shared" si="301"/>
        <v>0</v>
      </c>
      <c r="IA167" s="105">
        <f t="shared" si="295"/>
        <v>0</v>
      </c>
      <c r="IB167" s="109">
        <f t="shared" si="296"/>
        <v>0</v>
      </c>
      <c r="IC167" s="109">
        <f t="shared" si="297"/>
        <v>0</v>
      </c>
      <c r="ID167" s="109">
        <f t="shared" si="298"/>
        <v>0</v>
      </c>
      <c r="IE167" s="109">
        <f t="shared" si="299"/>
        <v>0</v>
      </c>
      <c r="IF167" s="197"/>
      <c r="IG167" s="197"/>
      <c r="IH167" s="197"/>
      <c r="II167" s="197"/>
      <c r="IJ167" s="197"/>
      <c r="IK167" s="197"/>
      <c r="IL167" s="197"/>
      <c r="IM167" s="171"/>
      <c r="IN167" s="171"/>
      <c r="IO167" s="171"/>
      <c r="IP167" s="171"/>
    </row>
    <row r="168" spans="1:250" ht="15" customHeight="1" x14ac:dyDescent="0.3">
      <c r="A168" s="110">
        <f t="shared" si="300"/>
        <v>164</v>
      </c>
      <c r="B168" s="111"/>
      <c r="C168" s="111"/>
      <c r="D168" s="111"/>
      <c r="E168" s="111"/>
      <c r="F168" s="111"/>
      <c r="G168" s="111"/>
      <c r="H168" s="111"/>
      <c r="I168" s="194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75"/>
      <c r="AI168" s="111"/>
      <c r="AJ168" s="111"/>
      <c r="AK168" s="111"/>
      <c r="AL168" s="177"/>
      <c r="AM168" s="176"/>
      <c r="AN168" s="177"/>
      <c r="AO168" s="157"/>
      <c r="AP168" s="158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75"/>
      <c r="BM168" s="111"/>
      <c r="BN168" s="111"/>
      <c r="BO168" s="111"/>
      <c r="BP168" s="111"/>
      <c r="BQ168" s="111"/>
      <c r="BR168" s="111"/>
      <c r="BS168" s="111"/>
      <c r="BT168" s="111"/>
      <c r="BU168" s="111"/>
      <c r="BV168" s="111"/>
      <c r="BW168" s="111"/>
      <c r="BX168" s="111"/>
      <c r="BY168" s="111"/>
      <c r="BZ168" s="111"/>
      <c r="CA168" s="111"/>
      <c r="CB168" s="111"/>
      <c r="CC168" s="178"/>
      <c r="CD168" s="177">
        <f t="shared" si="284"/>
        <v>0</v>
      </c>
      <c r="CE168" s="148"/>
      <c r="CF168" s="111">
        <f t="shared" si="285"/>
        <v>0</v>
      </c>
      <c r="CG168" s="177"/>
      <c r="CH168" s="204"/>
      <c r="CI168" s="148"/>
      <c r="CJ168" s="165"/>
      <c r="CK168" s="165"/>
      <c r="CL168" s="111"/>
      <c r="CM168" s="111"/>
      <c r="CN168" s="165">
        <f t="shared" si="286"/>
        <v>0</v>
      </c>
      <c r="CO168" s="109">
        <f t="shared" si="287"/>
        <v>0</v>
      </c>
      <c r="CP168" s="109">
        <f t="shared" si="288"/>
        <v>0</v>
      </c>
      <c r="CQ168" s="109"/>
      <c r="CR168" s="109"/>
      <c r="CS168" s="196"/>
      <c r="CT168" s="167"/>
      <c r="CU168" s="165"/>
      <c r="CV168" s="109">
        <f t="shared" si="289"/>
        <v>0</v>
      </c>
      <c r="CW168" s="109">
        <f t="shared" si="290"/>
        <v>0</v>
      </c>
      <c r="CX168" s="109"/>
      <c r="CY168" s="109"/>
      <c r="CZ168" s="111"/>
      <c r="DA168" s="111"/>
      <c r="DB168" s="165"/>
      <c r="DC168" s="109">
        <f t="shared" si="291"/>
        <v>0</v>
      </c>
      <c r="DD168" s="109">
        <f t="shared" si="292"/>
        <v>0</v>
      </c>
      <c r="DE168" s="109"/>
      <c r="DF168" s="109"/>
      <c r="DG168" s="111"/>
      <c r="DH168" s="111"/>
      <c r="DI168" s="165"/>
      <c r="DJ168" s="109">
        <f t="shared" si="293"/>
        <v>0</v>
      </c>
      <c r="DK168" s="109">
        <f t="shared" si="294"/>
        <v>0</v>
      </c>
      <c r="DL168" s="109"/>
      <c r="DM168" s="109"/>
      <c r="DN168" s="111"/>
      <c r="DO168" s="111"/>
      <c r="DP168" s="165"/>
      <c r="DQ168" s="109">
        <f t="shared" si="302"/>
        <v>0</v>
      </c>
      <c r="DR168" s="109">
        <f t="shared" si="303"/>
        <v>0</v>
      </c>
      <c r="DS168" s="109"/>
      <c r="DT168" s="109"/>
      <c r="DU168" s="111"/>
      <c r="DV168" s="111"/>
      <c r="DW168" s="165"/>
      <c r="DX168" s="109">
        <f t="shared" si="304"/>
        <v>0</v>
      </c>
      <c r="DY168" s="109">
        <f t="shared" si="305"/>
        <v>0</v>
      </c>
      <c r="DZ168" s="109"/>
      <c r="EA168" s="109"/>
      <c r="EB168" s="111"/>
      <c r="EC168" s="111"/>
      <c r="ED168" s="165"/>
      <c r="EE168" s="109">
        <f t="shared" si="306"/>
        <v>0</v>
      </c>
      <c r="EF168" s="109">
        <f t="shared" si="307"/>
        <v>0</v>
      </c>
      <c r="EG168" s="109"/>
      <c r="EH168" s="109"/>
      <c r="EI168" s="111"/>
      <c r="EJ168" s="111"/>
      <c r="EK168" s="165"/>
      <c r="EL168" s="109">
        <f t="shared" si="308"/>
        <v>0</v>
      </c>
      <c r="EM168" s="109">
        <f t="shared" si="309"/>
        <v>0</v>
      </c>
      <c r="EN168" s="109"/>
      <c r="EO168" s="109"/>
      <c r="EP168" s="111"/>
      <c r="EQ168" s="111"/>
      <c r="ER168" s="165"/>
      <c r="ES168" s="109">
        <f t="shared" si="310"/>
        <v>0</v>
      </c>
      <c r="ET168" s="109">
        <f t="shared" si="311"/>
        <v>0</v>
      </c>
      <c r="EU168" s="109"/>
      <c r="EV168" s="109"/>
      <c r="EW168" s="111"/>
      <c r="EX168" s="111"/>
      <c r="EY168" s="165"/>
      <c r="EZ168" s="109">
        <f t="shared" si="312"/>
        <v>0</v>
      </c>
      <c r="FA168" s="109">
        <f t="shared" si="313"/>
        <v>0</v>
      </c>
      <c r="FB168" s="109"/>
      <c r="FC168" s="109"/>
      <c r="FD168" s="111"/>
      <c r="FE168" s="111"/>
      <c r="FF168" s="165"/>
      <c r="FG168" s="109">
        <f t="shared" si="314"/>
        <v>0</v>
      </c>
      <c r="FH168" s="109">
        <f t="shared" si="315"/>
        <v>0</v>
      </c>
      <c r="FI168" s="109"/>
      <c r="FJ168" s="109"/>
      <c r="FK168" s="111"/>
      <c r="FL168" s="111"/>
      <c r="FM168" s="165"/>
      <c r="FN168" s="109">
        <f t="shared" si="316"/>
        <v>0</v>
      </c>
      <c r="FO168" s="109">
        <f t="shared" si="317"/>
        <v>0</v>
      </c>
      <c r="FP168" s="109"/>
      <c r="FQ168" s="109"/>
      <c r="FR168" s="111"/>
      <c r="FS168" s="111"/>
      <c r="FT168" s="165"/>
      <c r="FU168" s="109">
        <f t="shared" si="318"/>
        <v>0</v>
      </c>
      <c r="FV168" s="109">
        <f t="shared" si="276"/>
        <v>0</v>
      </c>
      <c r="FW168" s="109"/>
      <c r="FX168" s="109"/>
      <c r="FY168" s="111"/>
      <c r="FZ168" s="111"/>
      <c r="GA168" s="165"/>
      <c r="GB168" s="109">
        <f t="shared" si="319"/>
        <v>0</v>
      </c>
      <c r="GC168" s="109">
        <f t="shared" si="277"/>
        <v>0</v>
      </c>
      <c r="GD168" s="109"/>
      <c r="GE168" s="109"/>
      <c r="GF168" s="111"/>
      <c r="GG168" s="111"/>
      <c r="GH168" s="165"/>
      <c r="GI168" s="109">
        <f t="shared" si="320"/>
        <v>0</v>
      </c>
      <c r="GJ168" s="109">
        <f t="shared" si="278"/>
        <v>0</v>
      </c>
      <c r="GK168" s="109"/>
      <c r="GL168" s="109"/>
      <c r="GM168" s="111"/>
      <c r="GN168" s="111"/>
      <c r="GO168" s="165"/>
      <c r="GP168" s="109">
        <f t="shared" si="321"/>
        <v>0</v>
      </c>
      <c r="GQ168" s="109">
        <f t="shared" si="279"/>
        <v>0</v>
      </c>
      <c r="GR168" s="109"/>
      <c r="GS168" s="109"/>
      <c r="GT168" s="111"/>
      <c r="GU168" s="111"/>
      <c r="GV168" s="165"/>
      <c r="GW168" s="168">
        <f t="shared" si="322"/>
        <v>0</v>
      </c>
      <c r="GX168" s="168">
        <f t="shared" si="280"/>
        <v>0</v>
      </c>
      <c r="GY168" s="168"/>
      <c r="GZ168" s="168"/>
      <c r="HA168" s="111"/>
      <c r="HB168" s="111"/>
      <c r="HC168" s="165"/>
      <c r="HD168" s="109">
        <f t="shared" si="323"/>
        <v>0</v>
      </c>
      <c r="HE168" s="109">
        <f t="shared" si="281"/>
        <v>0</v>
      </c>
      <c r="HF168" s="109"/>
      <c r="HG168" s="109"/>
      <c r="HH168" s="111"/>
      <c r="HI168" s="111"/>
      <c r="HJ168" s="165"/>
      <c r="HK168" s="109">
        <f t="shared" si="324"/>
        <v>0</v>
      </c>
      <c r="HL168" s="109">
        <f t="shared" si="282"/>
        <v>0</v>
      </c>
      <c r="HM168" s="109"/>
      <c r="HN168" s="109"/>
      <c r="HO168" s="111"/>
      <c r="HP168" s="111"/>
      <c r="HQ168" s="165"/>
      <c r="HR168" s="109">
        <f t="shared" si="325"/>
        <v>0</v>
      </c>
      <c r="HS168" s="109">
        <f t="shared" si="283"/>
        <v>0</v>
      </c>
      <c r="HT168" s="109"/>
      <c r="HU168" s="109"/>
      <c r="HV168" s="111"/>
      <c r="HW168" s="111"/>
      <c r="HX168" s="105">
        <f t="shared" si="301"/>
        <v>0</v>
      </c>
      <c r="HY168" s="105">
        <f t="shared" si="301"/>
        <v>0</v>
      </c>
      <c r="HZ168" s="105">
        <f t="shared" si="301"/>
        <v>0</v>
      </c>
      <c r="IA168" s="105">
        <f t="shared" si="295"/>
        <v>0</v>
      </c>
      <c r="IB168" s="109">
        <f t="shared" si="296"/>
        <v>0</v>
      </c>
      <c r="IC168" s="109">
        <f t="shared" si="297"/>
        <v>0</v>
      </c>
      <c r="ID168" s="109">
        <f t="shared" si="298"/>
        <v>0</v>
      </c>
      <c r="IE168" s="109">
        <f t="shared" si="299"/>
        <v>0</v>
      </c>
      <c r="IF168" s="197"/>
      <c r="IG168" s="197"/>
      <c r="IH168" s="197"/>
      <c r="II168" s="197"/>
      <c r="IJ168" s="197"/>
      <c r="IK168" s="197"/>
      <c r="IL168" s="197"/>
      <c r="IM168" s="171"/>
      <c r="IN168" s="171"/>
      <c r="IO168" s="171"/>
      <c r="IP168" s="171"/>
    </row>
    <row r="169" spans="1:250" ht="15" customHeight="1" x14ac:dyDescent="0.3">
      <c r="A169" s="110">
        <f t="shared" si="300"/>
        <v>165</v>
      </c>
      <c r="B169" s="111"/>
      <c r="C169" s="111"/>
      <c r="D169" s="111"/>
      <c r="E169" s="111"/>
      <c r="F169" s="111"/>
      <c r="G169" s="111"/>
      <c r="H169" s="111"/>
      <c r="I169" s="194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75"/>
      <c r="AI169" s="111"/>
      <c r="AJ169" s="111"/>
      <c r="AK169" s="111"/>
      <c r="AL169" s="177"/>
      <c r="AM169" s="176"/>
      <c r="AN169" s="177"/>
      <c r="AO169" s="157"/>
      <c r="AP169" s="158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11"/>
      <c r="BK169" s="111"/>
      <c r="BL169" s="175"/>
      <c r="BM169" s="111"/>
      <c r="BN169" s="111"/>
      <c r="BO169" s="111"/>
      <c r="BP169" s="111"/>
      <c r="BQ169" s="111"/>
      <c r="BR169" s="111"/>
      <c r="BS169" s="111"/>
      <c r="BT169" s="111"/>
      <c r="BU169" s="111"/>
      <c r="BV169" s="111"/>
      <c r="BW169" s="111"/>
      <c r="BX169" s="111"/>
      <c r="BY169" s="111"/>
      <c r="BZ169" s="111"/>
      <c r="CA169" s="111"/>
      <c r="CB169" s="111"/>
      <c r="CC169" s="178"/>
      <c r="CD169" s="177">
        <f t="shared" si="284"/>
        <v>0</v>
      </c>
      <c r="CE169" s="148"/>
      <c r="CF169" s="111">
        <f t="shared" si="285"/>
        <v>0</v>
      </c>
      <c r="CG169" s="177"/>
      <c r="CH169" s="204"/>
      <c r="CI169" s="148"/>
      <c r="CJ169" s="165"/>
      <c r="CK169" s="165"/>
      <c r="CL169" s="111"/>
      <c r="CM169" s="111"/>
      <c r="CN169" s="165">
        <f t="shared" si="286"/>
        <v>0</v>
      </c>
      <c r="CO169" s="109">
        <f t="shared" si="287"/>
        <v>0</v>
      </c>
      <c r="CP169" s="109">
        <f t="shared" si="288"/>
        <v>0</v>
      </c>
      <c r="CQ169" s="109"/>
      <c r="CR169" s="109"/>
      <c r="CS169" s="196"/>
      <c r="CT169" s="167"/>
      <c r="CU169" s="165"/>
      <c r="CV169" s="109">
        <f t="shared" si="289"/>
        <v>0</v>
      </c>
      <c r="CW169" s="109">
        <f t="shared" si="290"/>
        <v>0</v>
      </c>
      <c r="CX169" s="109"/>
      <c r="CY169" s="109"/>
      <c r="CZ169" s="111"/>
      <c r="DA169" s="111"/>
      <c r="DB169" s="165"/>
      <c r="DC169" s="109">
        <f t="shared" si="291"/>
        <v>0</v>
      </c>
      <c r="DD169" s="109">
        <f t="shared" si="292"/>
        <v>0</v>
      </c>
      <c r="DE169" s="109"/>
      <c r="DF169" s="109"/>
      <c r="DG169" s="111"/>
      <c r="DH169" s="111"/>
      <c r="DI169" s="165"/>
      <c r="DJ169" s="109">
        <f t="shared" si="293"/>
        <v>0</v>
      </c>
      <c r="DK169" s="109">
        <f t="shared" si="294"/>
        <v>0</v>
      </c>
      <c r="DL169" s="109"/>
      <c r="DM169" s="109"/>
      <c r="DN169" s="111"/>
      <c r="DO169" s="111"/>
      <c r="DP169" s="165"/>
      <c r="DQ169" s="109">
        <f t="shared" si="302"/>
        <v>0</v>
      </c>
      <c r="DR169" s="109">
        <f t="shared" si="303"/>
        <v>0</v>
      </c>
      <c r="DS169" s="109"/>
      <c r="DT169" s="109"/>
      <c r="DU169" s="111"/>
      <c r="DV169" s="111"/>
      <c r="DW169" s="165"/>
      <c r="DX169" s="109">
        <f t="shared" si="304"/>
        <v>0</v>
      </c>
      <c r="DY169" s="109">
        <f t="shared" si="305"/>
        <v>0</v>
      </c>
      <c r="DZ169" s="109"/>
      <c r="EA169" s="109"/>
      <c r="EB169" s="111"/>
      <c r="EC169" s="111"/>
      <c r="ED169" s="165"/>
      <c r="EE169" s="109">
        <f t="shared" si="306"/>
        <v>0</v>
      </c>
      <c r="EF169" s="109">
        <f t="shared" si="307"/>
        <v>0</v>
      </c>
      <c r="EG169" s="109"/>
      <c r="EH169" s="109"/>
      <c r="EI169" s="111"/>
      <c r="EJ169" s="111"/>
      <c r="EK169" s="165"/>
      <c r="EL169" s="109">
        <f t="shared" si="308"/>
        <v>0</v>
      </c>
      <c r="EM169" s="109">
        <f t="shared" si="309"/>
        <v>0</v>
      </c>
      <c r="EN169" s="109"/>
      <c r="EO169" s="109"/>
      <c r="EP169" s="111"/>
      <c r="EQ169" s="111"/>
      <c r="ER169" s="165"/>
      <c r="ES169" s="109">
        <f t="shared" si="310"/>
        <v>0</v>
      </c>
      <c r="ET169" s="109">
        <f t="shared" si="311"/>
        <v>0</v>
      </c>
      <c r="EU169" s="109"/>
      <c r="EV169" s="109"/>
      <c r="EW169" s="111"/>
      <c r="EX169" s="111"/>
      <c r="EY169" s="165"/>
      <c r="EZ169" s="109">
        <f t="shared" si="312"/>
        <v>0</v>
      </c>
      <c r="FA169" s="109">
        <f t="shared" si="313"/>
        <v>0</v>
      </c>
      <c r="FB169" s="109"/>
      <c r="FC169" s="109"/>
      <c r="FD169" s="111"/>
      <c r="FE169" s="111"/>
      <c r="FF169" s="165"/>
      <c r="FG169" s="109">
        <f t="shared" si="314"/>
        <v>0</v>
      </c>
      <c r="FH169" s="109">
        <f t="shared" si="315"/>
        <v>0</v>
      </c>
      <c r="FI169" s="109"/>
      <c r="FJ169" s="109"/>
      <c r="FK169" s="111"/>
      <c r="FL169" s="111"/>
      <c r="FM169" s="165"/>
      <c r="FN169" s="109">
        <f t="shared" si="316"/>
        <v>0</v>
      </c>
      <c r="FO169" s="109">
        <f t="shared" si="317"/>
        <v>0</v>
      </c>
      <c r="FP169" s="109"/>
      <c r="FQ169" s="109"/>
      <c r="FR169" s="111"/>
      <c r="FS169" s="111"/>
      <c r="FT169" s="165"/>
      <c r="FU169" s="109">
        <f t="shared" si="318"/>
        <v>0</v>
      </c>
      <c r="FV169" s="109">
        <f t="shared" si="276"/>
        <v>0</v>
      </c>
      <c r="FW169" s="109"/>
      <c r="FX169" s="109"/>
      <c r="FY169" s="111"/>
      <c r="FZ169" s="111"/>
      <c r="GA169" s="165"/>
      <c r="GB169" s="109">
        <f t="shared" si="319"/>
        <v>0</v>
      </c>
      <c r="GC169" s="109">
        <f t="shared" si="277"/>
        <v>0</v>
      </c>
      <c r="GD169" s="109"/>
      <c r="GE169" s="109"/>
      <c r="GF169" s="111"/>
      <c r="GG169" s="111"/>
      <c r="GH169" s="165"/>
      <c r="GI169" s="109">
        <f t="shared" si="320"/>
        <v>0</v>
      </c>
      <c r="GJ169" s="109">
        <f t="shared" si="278"/>
        <v>0</v>
      </c>
      <c r="GK169" s="109"/>
      <c r="GL169" s="109"/>
      <c r="GM169" s="111"/>
      <c r="GN169" s="111"/>
      <c r="GO169" s="165"/>
      <c r="GP169" s="109">
        <f t="shared" si="321"/>
        <v>0</v>
      </c>
      <c r="GQ169" s="109">
        <f t="shared" si="279"/>
        <v>0</v>
      </c>
      <c r="GR169" s="109"/>
      <c r="GS169" s="109"/>
      <c r="GT169" s="111"/>
      <c r="GU169" s="111"/>
      <c r="GV169" s="165"/>
      <c r="GW169" s="168">
        <f t="shared" si="322"/>
        <v>0</v>
      </c>
      <c r="GX169" s="168">
        <f t="shared" si="280"/>
        <v>0</v>
      </c>
      <c r="GY169" s="168"/>
      <c r="GZ169" s="168"/>
      <c r="HA169" s="111"/>
      <c r="HB169" s="111"/>
      <c r="HC169" s="165"/>
      <c r="HD169" s="109">
        <f t="shared" si="323"/>
        <v>0</v>
      </c>
      <c r="HE169" s="109">
        <f t="shared" si="281"/>
        <v>0</v>
      </c>
      <c r="HF169" s="109"/>
      <c r="HG169" s="109"/>
      <c r="HH169" s="111"/>
      <c r="HI169" s="111"/>
      <c r="HJ169" s="165"/>
      <c r="HK169" s="109">
        <f t="shared" si="324"/>
        <v>0</v>
      </c>
      <c r="HL169" s="109">
        <f t="shared" si="282"/>
        <v>0</v>
      </c>
      <c r="HM169" s="109"/>
      <c r="HN169" s="109"/>
      <c r="HO169" s="111"/>
      <c r="HP169" s="111"/>
      <c r="HQ169" s="165"/>
      <c r="HR169" s="109">
        <f t="shared" si="325"/>
        <v>0</v>
      </c>
      <c r="HS169" s="109">
        <f t="shared" si="283"/>
        <v>0</v>
      </c>
      <c r="HT169" s="109"/>
      <c r="HU169" s="109"/>
      <c r="HV169" s="111"/>
      <c r="HW169" s="111"/>
      <c r="HX169" s="105">
        <f t="shared" si="301"/>
        <v>0</v>
      </c>
      <c r="HY169" s="105">
        <f t="shared" si="301"/>
        <v>0</v>
      </c>
      <c r="HZ169" s="105">
        <f t="shared" si="301"/>
        <v>0</v>
      </c>
      <c r="IA169" s="105">
        <f t="shared" si="295"/>
        <v>0</v>
      </c>
      <c r="IB169" s="109">
        <f t="shared" si="296"/>
        <v>0</v>
      </c>
      <c r="IC169" s="109">
        <f t="shared" si="297"/>
        <v>0</v>
      </c>
      <c r="ID169" s="109">
        <f t="shared" si="298"/>
        <v>0</v>
      </c>
      <c r="IE169" s="109">
        <f t="shared" si="299"/>
        <v>0</v>
      </c>
      <c r="IF169" s="197"/>
      <c r="IG169" s="197"/>
      <c r="IH169" s="197"/>
      <c r="II169" s="197"/>
      <c r="IJ169" s="197"/>
      <c r="IK169" s="197"/>
      <c r="IL169" s="197"/>
      <c r="IM169" s="171"/>
      <c r="IN169" s="171"/>
      <c r="IO169" s="171"/>
      <c r="IP169" s="171"/>
    </row>
    <row r="170" spans="1:250" ht="15" customHeight="1" x14ac:dyDescent="0.3">
      <c r="A170" s="110">
        <f t="shared" si="300"/>
        <v>166</v>
      </c>
      <c r="B170" s="111"/>
      <c r="C170" s="111"/>
      <c r="D170" s="111"/>
      <c r="E170" s="111"/>
      <c r="F170" s="111"/>
      <c r="G170" s="111"/>
      <c r="H170" s="111"/>
      <c r="I170" s="194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75"/>
      <c r="AI170" s="111"/>
      <c r="AJ170" s="111"/>
      <c r="AK170" s="111"/>
      <c r="AL170" s="177"/>
      <c r="AM170" s="176"/>
      <c r="AN170" s="177"/>
      <c r="AO170" s="157"/>
      <c r="AP170" s="158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75"/>
      <c r="BM170" s="111"/>
      <c r="BN170" s="111"/>
      <c r="BO170" s="111"/>
      <c r="BP170" s="111"/>
      <c r="BQ170" s="111"/>
      <c r="BR170" s="111"/>
      <c r="BS170" s="111"/>
      <c r="BT170" s="111"/>
      <c r="BU170" s="111"/>
      <c r="BV170" s="111"/>
      <c r="BW170" s="111"/>
      <c r="BX170" s="111"/>
      <c r="BY170" s="111"/>
      <c r="BZ170" s="111"/>
      <c r="CA170" s="111"/>
      <c r="CB170" s="111"/>
      <c r="CC170" s="178"/>
      <c r="CD170" s="177">
        <f t="shared" si="284"/>
        <v>0</v>
      </c>
      <c r="CE170" s="148"/>
      <c r="CF170" s="111">
        <f t="shared" si="285"/>
        <v>0</v>
      </c>
      <c r="CG170" s="177"/>
      <c r="CH170" s="204"/>
      <c r="CI170" s="148"/>
      <c r="CJ170" s="165"/>
      <c r="CK170" s="165"/>
      <c r="CL170" s="111"/>
      <c r="CM170" s="111"/>
      <c r="CN170" s="165">
        <f t="shared" si="286"/>
        <v>0</v>
      </c>
      <c r="CO170" s="109">
        <f t="shared" si="287"/>
        <v>0</v>
      </c>
      <c r="CP170" s="109">
        <f t="shared" si="288"/>
        <v>0</v>
      </c>
      <c r="CQ170" s="109"/>
      <c r="CR170" s="109"/>
      <c r="CS170" s="196"/>
      <c r="CT170" s="167"/>
      <c r="CU170" s="165"/>
      <c r="CV170" s="109">
        <f t="shared" si="289"/>
        <v>0</v>
      </c>
      <c r="CW170" s="109">
        <f t="shared" si="290"/>
        <v>0</v>
      </c>
      <c r="CX170" s="109"/>
      <c r="CY170" s="109"/>
      <c r="CZ170" s="111"/>
      <c r="DA170" s="111"/>
      <c r="DB170" s="165"/>
      <c r="DC170" s="109">
        <f t="shared" si="291"/>
        <v>0</v>
      </c>
      <c r="DD170" s="109">
        <f t="shared" si="292"/>
        <v>0</v>
      </c>
      <c r="DE170" s="109"/>
      <c r="DF170" s="109"/>
      <c r="DG170" s="111"/>
      <c r="DH170" s="111"/>
      <c r="DI170" s="165"/>
      <c r="DJ170" s="109">
        <f t="shared" si="293"/>
        <v>0</v>
      </c>
      <c r="DK170" s="109">
        <f t="shared" si="294"/>
        <v>0</v>
      </c>
      <c r="DL170" s="109"/>
      <c r="DM170" s="109"/>
      <c r="DN170" s="111"/>
      <c r="DO170" s="111"/>
      <c r="DP170" s="165"/>
      <c r="DQ170" s="109">
        <f t="shared" si="302"/>
        <v>0</v>
      </c>
      <c r="DR170" s="109">
        <f t="shared" si="303"/>
        <v>0</v>
      </c>
      <c r="DS170" s="109"/>
      <c r="DT170" s="109"/>
      <c r="DU170" s="111"/>
      <c r="DV170" s="111"/>
      <c r="DW170" s="165"/>
      <c r="DX170" s="109">
        <f t="shared" si="304"/>
        <v>0</v>
      </c>
      <c r="DY170" s="109">
        <f t="shared" si="305"/>
        <v>0</v>
      </c>
      <c r="DZ170" s="109"/>
      <c r="EA170" s="109"/>
      <c r="EB170" s="111"/>
      <c r="EC170" s="111"/>
      <c r="ED170" s="165"/>
      <c r="EE170" s="109">
        <f t="shared" si="306"/>
        <v>0</v>
      </c>
      <c r="EF170" s="109">
        <f t="shared" si="307"/>
        <v>0</v>
      </c>
      <c r="EG170" s="109"/>
      <c r="EH170" s="109"/>
      <c r="EI170" s="111"/>
      <c r="EJ170" s="111"/>
      <c r="EK170" s="165"/>
      <c r="EL170" s="109">
        <f t="shared" si="308"/>
        <v>0</v>
      </c>
      <c r="EM170" s="109">
        <f t="shared" si="309"/>
        <v>0</v>
      </c>
      <c r="EN170" s="109"/>
      <c r="EO170" s="109"/>
      <c r="EP170" s="111"/>
      <c r="EQ170" s="111"/>
      <c r="ER170" s="165"/>
      <c r="ES170" s="109">
        <f t="shared" si="310"/>
        <v>0</v>
      </c>
      <c r="ET170" s="109">
        <f t="shared" si="311"/>
        <v>0</v>
      </c>
      <c r="EU170" s="109"/>
      <c r="EV170" s="109"/>
      <c r="EW170" s="111"/>
      <c r="EX170" s="111"/>
      <c r="EY170" s="165"/>
      <c r="EZ170" s="109">
        <f t="shared" si="312"/>
        <v>0</v>
      </c>
      <c r="FA170" s="109">
        <f t="shared" si="313"/>
        <v>0</v>
      </c>
      <c r="FB170" s="109"/>
      <c r="FC170" s="109"/>
      <c r="FD170" s="111"/>
      <c r="FE170" s="111"/>
      <c r="FF170" s="165"/>
      <c r="FG170" s="109">
        <f t="shared" si="314"/>
        <v>0</v>
      </c>
      <c r="FH170" s="109">
        <f t="shared" si="315"/>
        <v>0</v>
      </c>
      <c r="FI170" s="109"/>
      <c r="FJ170" s="109"/>
      <c r="FK170" s="111"/>
      <c r="FL170" s="111"/>
      <c r="FM170" s="165"/>
      <c r="FN170" s="109">
        <f t="shared" si="316"/>
        <v>0</v>
      </c>
      <c r="FO170" s="109">
        <f t="shared" si="317"/>
        <v>0</v>
      </c>
      <c r="FP170" s="109"/>
      <c r="FQ170" s="109"/>
      <c r="FR170" s="111"/>
      <c r="FS170" s="111"/>
      <c r="FT170" s="165"/>
      <c r="FU170" s="109">
        <f t="shared" si="318"/>
        <v>0</v>
      </c>
      <c r="FV170" s="109">
        <f t="shared" si="276"/>
        <v>0</v>
      </c>
      <c r="FW170" s="109"/>
      <c r="FX170" s="109"/>
      <c r="FY170" s="111"/>
      <c r="FZ170" s="111"/>
      <c r="GA170" s="165"/>
      <c r="GB170" s="109">
        <f t="shared" si="319"/>
        <v>0</v>
      </c>
      <c r="GC170" s="109">
        <f t="shared" si="277"/>
        <v>0</v>
      </c>
      <c r="GD170" s="109"/>
      <c r="GE170" s="109"/>
      <c r="GF170" s="111"/>
      <c r="GG170" s="111"/>
      <c r="GH170" s="165"/>
      <c r="GI170" s="109">
        <f t="shared" si="320"/>
        <v>0</v>
      </c>
      <c r="GJ170" s="109">
        <f t="shared" si="278"/>
        <v>0</v>
      </c>
      <c r="GK170" s="109"/>
      <c r="GL170" s="109"/>
      <c r="GM170" s="111"/>
      <c r="GN170" s="111"/>
      <c r="GO170" s="165"/>
      <c r="GP170" s="109">
        <f t="shared" si="321"/>
        <v>0</v>
      </c>
      <c r="GQ170" s="109">
        <f t="shared" si="279"/>
        <v>0</v>
      </c>
      <c r="GR170" s="109"/>
      <c r="GS170" s="109"/>
      <c r="GT170" s="111"/>
      <c r="GU170" s="111"/>
      <c r="GV170" s="165"/>
      <c r="GW170" s="168">
        <f t="shared" si="322"/>
        <v>0</v>
      </c>
      <c r="GX170" s="168">
        <f t="shared" si="280"/>
        <v>0</v>
      </c>
      <c r="GY170" s="168"/>
      <c r="GZ170" s="168"/>
      <c r="HA170" s="111"/>
      <c r="HB170" s="111"/>
      <c r="HC170" s="165"/>
      <c r="HD170" s="109">
        <f t="shared" si="323"/>
        <v>0</v>
      </c>
      <c r="HE170" s="109">
        <f t="shared" si="281"/>
        <v>0</v>
      </c>
      <c r="HF170" s="109"/>
      <c r="HG170" s="109"/>
      <c r="HH170" s="111"/>
      <c r="HI170" s="111"/>
      <c r="HJ170" s="165"/>
      <c r="HK170" s="109">
        <f t="shared" si="324"/>
        <v>0</v>
      </c>
      <c r="HL170" s="109">
        <f t="shared" si="282"/>
        <v>0</v>
      </c>
      <c r="HM170" s="109"/>
      <c r="HN170" s="109"/>
      <c r="HO170" s="111"/>
      <c r="HP170" s="111"/>
      <c r="HQ170" s="165"/>
      <c r="HR170" s="109">
        <f t="shared" si="325"/>
        <v>0</v>
      </c>
      <c r="HS170" s="109">
        <f t="shared" si="283"/>
        <v>0</v>
      </c>
      <c r="HT170" s="109"/>
      <c r="HU170" s="109"/>
      <c r="HV170" s="111"/>
      <c r="HW170" s="111"/>
      <c r="HX170" s="105">
        <f t="shared" si="301"/>
        <v>0</v>
      </c>
      <c r="HY170" s="105">
        <f t="shared" si="301"/>
        <v>0</v>
      </c>
      <c r="HZ170" s="105">
        <f t="shared" si="301"/>
        <v>0</v>
      </c>
      <c r="IA170" s="105">
        <f t="shared" si="295"/>
        <v>0</v>
      </c>
      <c r="IB170" s="109">
        <f t="shared" si="296"/>
        <v>0</v>
      </c>
      <c r="IC170" s="109">
        <f t="shared" si="297"/>
        <v>0</v>
      </c>
      <c r="ID170" s="109">
        <f t="shared" si="298"/>
        <v>0</v>
      </c>
      <c r="IE170" s="109">
        <f t="shared" si="299"/>
        <v>0</v>
      </c>
      <c r="IF170" s="197"/>
      <c r="IG170" s="197"/>
      <c r="IH170" s="197"/>
      <c r="II170" s="197"/>
      <c r="IJ170" s="197"/>
      <c r="IK170" s="197"/>
      <c r="IL170" s="197"/>
      <c r="IM170" s="171"/>
      <c r="IN170" s="171"/>
      <c r="IO170" s="171"/>
      <c r="IP170" s="171"/>
    </row>
    <row r="171" spans="1:250" ht="15" customHeight="1" x14ac:dyDescent="0.3">
      <c r="A171" s="110">
        <f t="shared" si="300"/>
        <v>167</v>
      </c>
      <c r="B171" s="111"/>
      <c r="C171" s="111"/>
      <c r="D171" s="111"/>
      <c r="E171" s="111"/>
      <c r="F171" s="111"/>
      <c r="G171" s="111"/>
      <c r="H171" s="111"/>
      <c r="I171" s="194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75"/>
      <c r="AI171" s="111"/>
      <c r="AJ171" s="111"/>
      <c r="AK171" s="111"/>
      <c r="AL171" s="177"/>
      <c r="AM171" s="176"/>
      <c r="AN171" s="177"/>
      <c r="AO171" s="157"/>
      <c r="AP171" s="158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75"/>
      <c r="BM171" s="111"/>
      <c r="BN171" s="111"/>
      <c r="BO171" s="111"/>
      <c r="BP171" s="111"/>
      <c r="BQ171" s="111"/>
      <c r="BR171" s="111"/>
      <c r="BS171" s="111"/>
      <c r="BT171" s="111"/>
      <c r="BU171" s="111"/>
      <c r="BV171" s="111"/>
      <c r="BW171" s="111"/>
      <c r="BX171" s="111"/>
      <c r="BY171" s="111"/>
      <c r="BZ171" s="111"/>
      <c r="CA171" s="111"/>
      <c r="CB171" s="111"/>
      <c r="CC171" s="178"/>
      <c r="CD171" s="177">
        <f t="shared" si="284"/>
        <v>0</v>
      </c>
      <c r="CE171" s="148"/>
      <c r="CF171" s="111">
        <f t="shared" si="285"/>
        <v>0</v>
      </c>
      <c r="CG171" s="177"/>
      <c r="CH171" s="204"/>
      <c r="CI171" s="148"/>
      <c r="CJ171" s="165"/>
      <c r="CK171" s="165"/>
      <c r="CL171" s="111"/>
      <c r="CM171" s="111"/>
      <c r="CN171" s="165">
        <f t="shared" si="286"/>
        <v>0</v>
      </c>
      <c r="CO171" s="109">
        <f t="shared" si="287"/>
        <v>0</v>
      </c>
      <c r="CP171" s="109">
        <f t="shared" si="288"/>
        <v>0</v>
      </c>
      <c r="CQ171" s="109"/>
      <c r="CR171" s="109"/>
      <c r="CS171" s="196"/>
      <c r="CT171" s="167"/>
      <c r="CU171" s="165"/>
      <c r="CV171" s="109">
        <f t="shared" si="289"/>
        <v>0</v>
      </c>
      <c r="CW171" s="109">
        <f t="shared" si="290"/>
        <v>0</v>
      </c>
      <c r="CX171" s="109"/>
      <c r="CY171" s="109"/>
      <c r="CZ171" s="111"/>
      <c r="DA171" s="111"/>
      <c r="DB171" s="165"/>
      <c r="DC171" s="109">
        <f t="shared" si="291"/>
        <v>0</v>
      </c>
      <c r="DD171" s="109">
        <f t="shared" si="292"/>
        <v>0</v>
      </c>
      <c r="DE171" s="109"/>
      <c r="DF171" s="109"/>
      <c r="DG171" s="111"/>
      <c r="DH171" s="111"/>
      <c r="DI171" s="165"/>
      <c r="DJ171" s="109">
        <f t="shared" si="293"/>
        <v>0</v>
      </c>
      <c r="DK171" s="109">
        <f t="shared" si="294"/>
        <v>0</v>
      </c>
      <c r="DL171" s="109"/>
      <c r="DM171" s="109"/>
      <c r="DN171" s="111"/>
      <c r="DO171" s="111"/>
      <c r="DP171" s="165"/>
      <c r="DQ171" s="109">
        <f t="shared" si="302"/>
        <v>0</v>
      </c>
      <c r="DR171" s="109">
        <f t="shared" si="303"/>
        <v>0</v>
      </c>
      <c r="DS171" s="109"/>
      <c r="DT171" s="109"/>
      <c r="DU171" s="111"/>
      <c r="DV171" s="111"/>
      <c r="DW171" s="165"/>
      <c r="DX171" s="109">
        <f t="shared" si="304"/>
        <v>0</v>
      </c>
      <c r="DY171" s="109">
        <f t="shared" si="305"/>
        <v>0</v>
      </c>
      <c r="DZ171" s="109"/>
      <c r="EA171" s="109"/>
      <c r="EB171" s="111"/>
      <c r="EC171" s="111"/>
      <c r="ED171" s="165"/>
      <c r="EE171" s="109">
        <f t="shared" si="306"/>
        <v>0</v>
      </c>
      <c r="EF171" s="109">
        <f t="shared" si="307"/>
        <v>0</v>
      </c>
      <c r="EG171" s="109"/>
      <c r="EH171" s="109"/>
      <c r="EI171" s="111"/>
      <c r="EJ171" s="111"/>
      <c r="EK171" s="165"/>
      <c r="EL171" s="109">
        <f t="shared" si="308"/>
        <v>0</v>
      </c>
      <c r="EM171" s="109">
        <f t="shared" si="309"/>
        <v>0</v>
      </c>
      <c r="EN171" s="109"/>
      <c r="EO171" s="109"/>
      <c r="EP171" s="111"/>
      <c r="EQ171" s="111"/>
      <c r="ER171" s="165"/>
      <c r="ES171" s="109">
        <f t="shared" si="310"/>
        <v>0</v>
      </c>
      <c r="ET171" s="109">
        <f t="shared" si="311"/>
        <v>0</v>
      </c>
      <c r="EU171" s="109"/>
      <c r="EV171" s="109"/>
      <c r="EW171" s="111"/>
      <c r="EX171" s="111"/>
      <c r="EY171" s="165"/>
      <c r="EZ171" s="109">
        <f t="shared" si="312"/>
        <v>0</v>
      </c>
      <c r="FA171" s="109">
        <f t="shared" si="313"/>
        <v>0</v>
      </c>
      <c r="FB171" s="109"/>
      <c r="FC171" s="109"/>
      <c r="FD171" s="111"/>
      <c r="FE171" s="111"/>
      <c r="FF171" s="165"/>
      <c r="FG171" s="109">
        <f t="shared" si="314"/>
        <v>0</v>
      </c>
      <c r="FH171" s="109">
        <f t="shared" si="315"/>
        <v>0</v>
      </c>
      <c r="FI171" s="109"/>
      <c r="FJ171" s="109"/>
      <c r="FK171" s="111"/>
      <c r="FL171" s="111"/>
      <c r="FM171" s="165"/>
      <c r="FN171" s="109">
        <f t="shared" si="316"/>
        <v>0</v>
      </c>
      <c r="FO171" s="109">
        <f t="shared" si="317"/>
        <v>0</v>
      </c>
      <c r="FP171" s="109"/>
      <c r="FQ171" s="109"/>
      <c r="FR171" s="111"/>
      <c r="FS171" s="111"/>
      <c r="FT171" s="165"/>
      <c r="FU171" s="109">
        <f t="shared" si="318"/>
        <v>0</v>
      </c>
      <c r="FV171" s="109">
        <f t="shared" si="276"/>
        <v>0</v>
      </c>
      <c r="FW171" s="109"/>
      <c r="FX171" s="109"/>
      <c r="FY171" s="111"/>
      <c r="FZ171" s="111"/>
      <c r="GA171" s="165"/>
      <c r="GB171" s="109">
        <f t="shared" si="319"/>
        <v>0</v>
      </c>
      <c r="GC171" s="109">
        <f t="shared" si="277"/>
        <v>0</v>
      </c>
      <c r="GD171" s="109"/>
      <c r="GE171" s="109"/>
      <c r="GF171" s="111"/>
      <c r="GG171" s="111"/>
      <c r="GH171" s="165"/>
      <c r="GI171" s="109">
        <f t="shared" si="320"/>
        <v>0</v>
      </c>
      <c r="GJ171" s="109">
        <f t="shared" si="278"/>
        <v>0</v>
      </c>
      <c r="GK171" s="109"/>
      <c r="GL171" s="109"/>
      <c r="GM171" s="111"/>
      <c r="GN171" s="111"/>
      <c r="GO171" s="165"/>
      <c r="GP171" s="109">
        <f t="shared" si="321"/>
        <v>0</v>
      </c>
      <c r="GQ171" s="109">
        <f t="shared" si="279"/>
        <v>0</v>
      </c>
      <c r="GR171" s="109"/>
      <c r="GS171" s="109"/>
      <c r="GT171" s="111"/>
      <c r="GU171" s="111"/>
      <c r="GV171" s="165"/>
      <c r="GW171" s="168">
        <f t="shared" si="322"/>
        <v>0</v>
      </c>
      <c r="GX171" s="168">
        <f t="shared" si="280"/>
        <v>0</v>
      </c>
      <c r="GY171" s="168"/>
      <c r="GZ171" s="168"/>
      <c r="HA171" s="111"/>
      <c r="HB171" s="111"/>
      <c r="HC171" s="165"/>
      <c r="HD171" s="109">
        <f t="shared" si="323"/>
        <v>0</v>
      </c>
      <c r="HE171" s="109">
        <f t="shared" si="281"/>
        <v>0</v>
      </c>
      <c r="HF171" s="109"/>
      <c r="HG171" s="109"/>
      <c r="HH171" s="111"/>
      <c r="HI171" s="111"/>
      <c r="HJ171" s="165"/>
      <c r="HK171" s="109">
        <f t="shared" si="324"/>
        <v>0</v>
      </c>
      <c r="HL171" s="109">
        <f t="shared" si="282"/>
        <v>0</v>
      </c>
      <c r="HM171" s="109"/>
      <c r="HN171" s="109"/>
      <c r="HO171" s="111"/>
      <c r="HP171" s="111"/>
      <c r="HQ171" s="165"/>
      <c r="HR171" s="109">
        <f t="shared" si="325"/>
        <v>0</v>
      </c>
      <c r="HS171" s="109">
        <f t="shared" si="283"/>
        <v>0</v>
      </c>
      <c r="HT171" s="109"/>
      <c r="HU171" s="109"/>
      <c r="HV171" s="111"/>
      <c r="HW171" s="111"/>
      <c r="HX171" s="105">
        <f t="shared" si="301"/>
        <v>0</v>
      </c>
      <c r="HY171" s="105">
        <f t="shared" si="301"/>
        <v>0</v>
      </c>
      <c r="HZ171" s="105">
        <f t="shared" si="301"/>
        <v>0</v>
      </c>
      <c r="IA171" s="105">
        <f t="shared" si="295"/>
        <v>0</v>
      </c>
      <c r="IB171" s="109">
        <f t="shared" si="296"/>
        <v>0</v>
      </c>
      <c r="IC171" s="109">
        <f t="shared" si="297"/>
        <v>0</v>
      </c>
      <c r="ID171" s="109">
        <f t="shared" si="298"/>
        <v>0</v>
      </c>
      <c r="IE171" s="109">
        <f t="shared" si="299"/>
        <v>0</v>
      </c>
      <c r="IF171" s="197"/>
      <c r="IG171" s="197"/>
      <c r="IH171" s="197"/>
      <c r="II171" s="197"/>
      <c r="IJ171" s="197"/>
      <c r="IK171" s="197"/>
      <c r="IL171" s="197"/>
      <c r="IM171" s="171"/>
      <c r="IN171" s="171"/>
      <c r="IO171" s="171"/>
      <c r="IP171" s="171"/>
    </row>
    <row r="172" spans="1:250" ht="15" customHeight="1" x14ac:dyDescent="0.3">
      <c r="A172" s="110">
        <f t="shared" si="300"/>
        <v>168</v>
      </c>
      <c r="B172" s="111"/>
      <c r="C172" s="111"/>
      <c r="D172" s="111"/>
      <c r="E172" s="111"/>
      <c r="F172" s="111"/>
      <c r="G172" s="111"/>
      <c r="H172" s="111"/>
      <c r="I172" s="194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75"/>
      <c r="AI172" s="111"/>
      <c r="AJ172" s="111"/>
      <c r="AK172" s="111"/>
      <c r="AL172" s="177"/>
      <c r="AM172" s="176"/>
      <c r="AN172" s="177"/>
      <c r="AO172" s="157"/>
      <c r="AP172" s="158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75"/>
      <c r="BM172" s="111"/>
      <c r="BN172" s="111"/>
      <c r="BO172" s="111"/>
      <c r="BP172" s="111"/>
      <c r="BQ172" s="111"/>
      <c r="BR172" s="111"/>
      <c r="BS172" s="111"/>
      <c r="BT172" s="111"/>
      <c r="BU172" s="111"/>
      <c r="BV172" s="111"/>
      <c r="BW172" s="111"/>
      <c r="BX172" s="111"/>
      <c r="BY172" s="111"/>
      <c r="BZ172" s="111"/>
      <c r="CA172" s="111"/>
      <c r="CB172" s="111"/>
      <c r="CC172" s="178"/>
      <c r="CD172" s="177">
        <f t="shared" si="284"/>
        <v>0</v>
      </c>
      <c r="CE172" s="148"/>
      <c r="CF172" s="111">
        <f t="shared" si="285"/>
        <v>0</v>
      </c>
      <c r="CG172" s="177"/>
      <c r="CH172" s="204"/>
      <c r="CI172" s="148"/>
      <c r="CJ172" s="165"/>
      <c r="CK172" s="165"/>
      <c r="CL172" s="111"/>
      <c r="CM172" s="111"/>
      <c r="CN172" s="165">
        <f t="shared" si="286"/>
        <v>0</v>
      </c>
      <c r="CO172" s="109">
        <f t="shared" si="287"/>
        <v>0</v>
      </c>
      <c r="CP172" s="109">
        <f t="shared" si="288"/>
        <v>0</v>
      </c>
      <c r="CQ172" s="109"/>
      <c r="CR172" s="109"/>
      <c r="CS172" s="196"/>
      <c r="CT172" s="167"/>
      <c r="CU172" s="165"/>
      <c r="CV172" s="109">
        <f t="shared" si="289"/>
        <v>0</v>
      </c>
      <c r="CW172" s="109">
        <f t="shared" si="290"/>
        <v>0</v>
      </c>
      <c r="CX172" s="109"/>
      <c r="CY172" s="109"/>
      <c r="CZ172" s="111"/>
      <c r="DA172" s="111"/>
      <c r="DB172" s="165"/>
      <c r="DC172" s="109">
        <f t="shared" si="291"/>
        <v>0</v>
      </c>
      <c r="DD172" s="109">
        <f t="shared" si="292"/>
        <v>0</v>
      </c>
      <c r="DE172" s="109"/>
      <c r="DF172" s="109"/>
      <c r="DG172" s="111"/>
      <c r="DH172" s="111"/>
      <c r="DI172" s="165"/>
      <c r="DJ172" s="109">
        <f t="shared" si="293"/>
        <v>0</v>
      </c>
      <c r="DK172" s="109">
        <f t="shared" si="294"/>
        <v>0</v>
      </c>
      <c r="DL172" s="109"/>
      <c r="DM172" s="109"/>
      <c r="DN172" s="111"/>
      <c r="DO172" s="111"/>
      <c r="DP172" s="165"/>
      <c r="DQ172" s="109">
        <f t="shared" si="302"/>
        <v>0</v>
      </c>
      <c r="DR172" s="109">
        <f t="shared" si="303"/>
        <v>0</v>
      </c>
      <c r="DS172" s="109"/>
      <c r="DT172" s="109"/>
      <c r="DU172" s="111"/>
      <c r="DV172" s="111"/>
      <c r="DW172" s="165"/>
      <c r="DX172" s="109">
        <f t="shared" si="304"/>
        <v>0</v>
      </c>
      <c r="DY172" s="109">
        <f t="shared" si="305"/>
        <v>0</v>
      </c>
      <c r="DZ172" s="109"/>
      <c r="EA172" s="109"/>
      <c r="EB172" s="111"/>
      <c r="EC172" s="111"/>
      <c r="ED172" s="165"/>
      <c r="EE172" s="109">
        <f t="shared" si="306"/>
        <v>0</v>
      </c>
      <c r="EF172" s="109">
        <f t="shared" si="307"/>
        <v>0</v>
      </c>
      <c r="EG172" s="109"/>
      <c r="EH172" s="109"/>
      <c r="EI172" s="111"/>
      <c r="EJ172" s="111"/>
      <c r="EK172" s="165"/>
      <c r="EL172" s="109">
        <f t="shared" si="308"/>
        <v>0</v>
      </c>
      <c r="EM172" s="109">
        <f t="shared" si="309"/>
        <v>0</v>
      </c>
      <c r="EN172" s="109"/>
      <c r="EO172" s="109"/>
      <c r="EP172" s="111"/>
      <c r="EQ172" s="111"/>
      <c r="ER172" s="165"/>
      <c r="ES172" s="109">
        <f t="shared" si="310"/>
        <v>0</v>
      </c>
      <c r="ET172" s="109">
        <f t="shared" si="311"/>
        <v>0</v>
      </c>
      <c r="EU172" s="109"/>
      <c r="EV172" s="109"/>
      <c r="EW172" s="111"/>
      <c r="EX172" s="111"/>
      <c r="EY172" s="165"/>
      <c r="EZ172" s="109">
        <f t="shared" si="312"/>
        <v>0</v>
      </c>
      <c r="FA172" s="109">
        <f t="shared" si="313"/>
        <v>0</v>
      </c>
      <c r="FB172" s="109"/>
      <c r="FC172" s="109"/>
      <c r="FD172" s="111"/>
      <c r="FE172" s="111"/>
      <c r="FF172" s="165"/>
      <c r="FG172" s="109">
        <f t="shared" si="314"/>
        <v>0</v>
      </c>
      <c r="FH172" s="109">
        <f t="shared" si="315"/>
        <v>0</v>
      </c>
      <c r="FI172" s="109"/>
      <c r="FJ172" s="109"/>
      <c r="FK172" s="111"/>
      <c r="FL172" s="111"/>
      <c r="FM172" s="165"/>
      <c r="FN172" s="109">
        <f t="shared" si="316"/>
        <v>0</v>
      </c>
      <c r="FO172" s="109">
        <f t="shared" si="317"/>
        <v>0</v>
      </c>
      <c r="FP172" s="109"/>
      <c r="FQ172" s="109"/>
      <c r="FR172" s="111"/>
      <c r="FS172" s="111"/>
      <c r="FT172" s="165"/>
      <c r="FU172" s="109">
        <f t="shared" si="318"/>
        <v>0</v>
      </c>
      <c r="FV172" s="109">
        <f t="shared" si="276"/>
        <v>0</v>
      </c>
      <c r="FW172" s="109"/>
      <c r="FX172" s="109"/>
      <c r="FY172" s="111"/>
      <c r="FZ172" s="111"/>
      <c r="GA172" s="165"/>
      <c r="GB172" s="109">
        <f t="shared" si="319"/>
        <v>0</v>
      </c>
      <c r="GC172" s="109">
        <f t="shared" si="277"/>
        <v>0</v>
      </c>
      <c r="GD172" s="109"/>
      <c r="GE172" s="109"/>
      <c r="GF172" s="111"/>
      <c r="GG172" s="111"/>
      <c r="GH172" s="165"/>
      <c r="GI172" s="109">
        <f t="shared" si="320"/>
        <v>0</v>
      </c>
      <c r="GJ172" s="109">
        <f t="shared" si="278"/>
        <v>0</v>
      </c>
      <c r="GK172" s="109"/>
      <c r="GL172" s="109"/>
      <c r="GM172" s="111"/>
      <c r="GN172" s="111"/>
      <c r="GO172" s="165"/>
      <c r="GP172" s="109">
        <f t="shared" si="321"/>
        <v>0</v>
      </c>
      <c r="GQ172" s="109">
        <f t="shared" si="279"/>
        <v>0</v>
      </c>
      <c r="GR172" s="109"/>
      <c r="GS172" s="109"/>
      <c r="GT172" s="111"/>
      <c r="GU172" s="111"/>
      <c r="GV172" s="165"/>
      <c r="GW172" s="168">
        <f t="shared" si="322"/>
        <v>0</v>
      </c>
      <c r="GX172" s="168">
        <f t="shared" si="280"/>
        <v>0</v>
      </c>
      <c r="GY172" s="168"/>
      <c r="GZ172" s="168"/>
      <c r="HA172" s="111"/>
      <c r="HB172" s="111"/>
      <c r="HC172" s="165"/>
      <c r="HD172" s="109">
        <f t="shared" si="323"/>
        <v>0</v>
      </c>
      <c r="HE172" s="109">
        <f t="shared" si="281"/>
        <v>0</v>
      </c>
      <c r="HF172" s="109"/>
      <c r="HG172" s="109"/>
      <c r="HH172" s="111"/>
      <c r="HI172" s="111"/>
      <c r="HJ172" s="165"/>
      <c r="HK172" s="109">
        <f t="shared" si="324"/>
        <v>0</v>
      </c>
      <c r="HL172" s="109">
        <f t="shared" si="282"/>
        <v>0</v>
      </c>
      <c r="HM172" s="109"/>
      <c r="HN172" s="109"/>
      <c r="HO172" s="111"/>
      <c r="HP172" s="111"/>
      <c r="HQ172" s="165"/>
      <c r="HR172" s="109">
        <f t="shared" si="325"/>
        <v>0</v>
      </c>
      <c r="HS172" s="109">
        <f t="shared" si="283"/>
        <v>0</v>
      </c>
      <c r="HT172" s="109"/>
      <c r="HU172" s="109"/>
      <c r="HV172" s="111"/>
      <c r="HW172" s="111"/>
      <c r="HX172" s="105">
        <f t="shared" si="301"/>
        <v>0</v>
      </c>
      <c r="HY172" s="105">
        <f t="shared" si="301"/>
        <v>0</v>
      </c>
      <c r="HZ172" s="105">
        <f t="shared" si="301"/>
        <v>0</v>
      </c>
      <c r="IA172" s="105">
        <f t="shared" si="295"/>
        <v>0</v>
      </c>
      <c r="IB172" s="109">
        <f t="shared" si="296"/>
        <v>0</v>
      </c>
      <c r="IC172" s="109">
        <f t="shared" si="297"/>
        <v>0</v>
      </c>
      <c r="ID172" s="109">
        <f t="shared" si="298"/>
        <v>0</v>
      </c>
      <c r="IE172" s="109">
        <f t="shared" si="299"/>
        <v>0</v>
      </c>
      <c r="IF172" s="197"/>
      <c r="IG172" s="197"/>
      <c r="IH172" s="197"/>
      <c r="II172" s="197"/>
      <c r="IJ172" s="197"/>
      <c r="IK172" s="197"/>
      <c r="IL172" s="197"/>
      <c r="IM172" s="171"/>
      <c r="IN172" s="171"/>
      <c r="IO172" s="171"/>
      <c r="IP172" s="171"/>
    </row>
    <row r="173" spans="1:250" ht="15" customHeight="1" x14ac:dyDescent="0.3">
      <c r="A173" s="110">
        <f t="shared" si="300"/>
        <v>169</v>
      </c>
      <c r="B173" s="111"/>
      <c r="C173" s="111"/>
      <c r="D173" s="111"/>
      <c r="E173" s="111"/>
      <c r="F173" s="111"/>
      <c r="G173" s="111"/>
      <c r="H173" s="111"/>
      <c r="I173" s="194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75"/>
      <c r="AI173" s="111"/>
      <c r="AJ173" s="111"/>
      <c r="AK173" s="111"/>
      <c r="AL173" s="177"/>
      <c r="AM173" s="176"/>
      <c r="AN173" s="177"/>
      <c r="AO173" s="157"/>
      <c r="AP173" s="158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75"/>
      <c r="BM173" s="111"/>
      <c r="BN173" s="111"/>
      <c r="BO173" s="111"/>
      <c r="BP173" s="111"/>
      <c r="BQ173" s="111"/>
      <c r="BR173" s="111"/>
      <c r="BS173" s="111"/>
      <c r="BT173" s="111"/>
      <c r="BU173" s="111"/>
      <c r="BV173" s="111"/>
      <c r="BW173" s="111"/>
      <c r="BX173" s="111"/>
      <c r="BY173" s="111"/>
      <c r="BZ173" s="111"/>
      <c r="CA173" s="111"/>
      <c r="CB173" s="111"/>
      <c r="CC173" s="178"/>
      <c r="CD173" s="177">
        <f t="shared" si="284"/>
        <v>0</v>
      </c>
      <c r="CE173" s="148"/>
      <c r="CF173" s="111">
        <f t="shared" si="285"/>
        <v>0</v>
      </c>
      <c r="CG173" s="177"/>
      <c r="CH173" s="204"/>
      <c r="CI173" s="148"/>
      <c r="CJ173" s="165"/>
      <c r="CK173" s="165"/>
      <c r="CL173" s="111"/>
      <c r="CM173" s="111"/>
      <c r="CN173" s="165">
        <f t="shared" si="286"/>
        <v>0</v>
      </c>
      <c r="CO173" s="109">
        <f t="shared" si="287"/>
        <v>0</v>
      </c>
      <c r="CP173" s="109">
        <f t="shared" si="288"/>
        <v>0</v>
      </c>
      <c r="CQ173" s="109"/>
      <c r="CR173" s="109"/>
      <c r="CS173" s="196"/>
      <c r="CT173" s="167"/>
      <c r="CU173" s="165"/>
      <c r="CV173" s="109">
        <f t="shared" si="289"/>
        <v>0</v>
      </c>
      <c r="CW173" s="109">
        <f t="shared" si="290"/>
        <v>0</v>
      </c>
      <c r="CX173" s="109"/>
      <c r="CY173" s="109"/>
      <c r="CZ173" s="111"/>
      <c r="DA173" s="111"/>
      <c r="DB173" s="165"/>
      <c r="DC173" s="109">
        <f t="shared" si="291"/>
        <v>0</v>
      </c>
      <c r="DD173" s="109">
        <f t="shared" si="292"/>
        <v>0</v>
      </c>
      <c r="DE173" s="109"/>
      <c r="DF173" s="109"/>
      <c r="DG173" s="111"/>
      <c r="DH173" s="111"/>
      <c r="DI173" s="165"/>
      <c r="DJ173" s="109">
        <f t="shared" si="293"/>
        <v>0</v>
      </c>
      <c r="DK173" s="109">
        <f t="shared" si="294"/>
        <v>0</v>
      </c>
      <c r="DL173" s="109"/>
      <c r="DM173" s="109"/>
      <c r="DN173" s="111"/>
      <c r="DO173" s="111"/>
      <c r="DP173" s="165"/>
      <c r="DQ173" s="109">
        <f t="shared" si="302"/>
        <v>0</v>
      </c>
      <c r="DR173" s="109">
        <f t="shared" si="303"/>
        <v>0</v>
      </c>
      <c r="DS173" s="109"/>
      <c r="DT173" s="109"/>
      <c r="DU173" s="111"/>
      <c r="DV173" s="111"/>
      <c r="DW173" s="165"/>
      <c r="DX173" s="109">
        <f t="shared" si="304"/>
        <v>0</v>
      </c>
      <c r="DY173" s="109">
        <f t="shared" si="305"/>
        <v>0</v>
      </c>
      <c r="DZ173" s="109"/>
      <c r="EA173" s="109"/>
      <c r="EB173" s="111"/>
      <c r="EC173" s="111"/>
      <c r="ED173" s="165"/>
      <c r="EE173" s="109">
        <f t="shared" si="306"/>
        <v>0</v>
      </c>
      <c r="EF173" s="109">
        <f t="shared" si="307"/>
        <v>0</v>
      </c>
      <c r="EG173" s="109"/>
      <c r="EH173" s="109"/>
      <c r="EI173" s="111"/>
      <c r="EJ173" s="111"/>
      <c r="EK173" s="165"/>
      <c r="EL173" s="109">
        <f t="shared" si="308"/>
        <v>0</v>
      </c>
      <c r="EM173" s="109">
        <f t="shared" si="309"/>
        <v>0</v>
      </c>
      <c r="EN173" s="109"/>
      <c r="EO173" s="109"/>
      <c r="EP173" s="111"/>
      <c r="EQ173" s="111"/>
      <c r="ER173" s="165"/>
      <c r="ES173" s="109">
        <f t="shared" si="310"/>
        <v>0</v>
      </c>
      <c r="ET173" s="109">
        <f t="shared" si="311"/>
        <v>0</v>
      </c>
      <c r="EU173" s="109"/>
      <c r="EV173" s="109"/>
      <c r="EW173" s="111"/>
      <c r="EX173" s="111"/>
      <c r="EY173" s="165"/>
      <c r="EZ173" s="109">
        <f t="shared" si="312"/>
        <v>0</v>
      </c>
      <c r="FA173" s="109">
        <f t="shared" si="313"/>
        <v>0</v>
      </c>
      <c r="FB173" s="109"/>
      <c r="FC173" s="109"/>
      <c r="FD173" s="111"/>
      <c r="FE173" s="111"/>
      <c r="FF173" s="165"/>
      <c r="FG173" s="109">
        <f t="shared" si="314"/>
        <v>0</v>
      </c>
      <c r="FH173" s="109">
        <f t="shared" si="315"/>
        <v>0</v>
      </c>
      <c r="FI173" s="109"/>
      <c r="FJ173" s="109"/>
      <c r="FK173" s="111"/>
      <c r="FL173" s="111"/>
      <c r="FM173" s="165"/>
      <c r="FN173" s="109">
        <f t="shared" si="316"/>
        <v>0</v>
      </c>
      <c r="FO173" s="109">
        <f t="shared" si="317"/>
        <v>0</v>
      </c>
      <c r="FP173" s="109"/>
      <c r="FQ173" s="109"/>
      <c r="FR173" s="111"/>
      <c r="FS173" s="111"/>
      <c r="FT173" s="165"/>
      <c r="FU173" s="109">
        <f t="shared" si="318"/>
        <v>0</v>
      </c>
      <c r="FV173" s="109">
        <f t="shared" ref="FV173:FV236" si="326">FW173/(1+AM173)*AM173</f>
        <v>0</v>
      </c>
      <c r="FW173" s="109"/>
      <c r="FX173" s="109"/>
      <c r="FY173" s="111"/>
      <c r="FZ173" s="111"/>
      <c r="GA173" s="165"/>
      <c r="GB173" s="109">
        <f t="shared" si="319"/>
        <v>0</v>
      </c>
      <c r="GC173" s="109">
        <f t="shared" ref="GC173:GC236" si="327">GD173/(1+AM173)*AM173</f>
        <v>0</v>
      </c>
      <c r="GD173" s="109"/>
      <c r="GE173" s="109"/>
      <c r="GF173" s="111"/>
      <c r="GG173" s="111"/>
      <c r="GH173" s="165"/>
      <c r="GI173" s="109">
        <f t="shared" si="320"/>
        <v>0</v>
      </c>
      <c r="GJ173" s="109">
        <f t="shared" ref="GJ173:GJ236" si="328">GK173/(1+AM173)*AM173</f>
        <v>0</v>
      </c>
      <c r="GK173" s="109"/>
      <c r="GL173" s="109"/>
      <c r="GM173" s="111"/>
      <c r="GN173" s="111"/>
      <c r="GO173" s="165"/>
      <c r="GP173" s="109">
        <f t="shared" si="321"/>
        <v>0</v>
      </c>
      <c r="GQ173" s="109">
        <f t="shared" ref="GQ173:GQ236" si="329">GR173/(1+AM173)*AM173</f>
        <v>0</v>
      </c>
      <c r="GR173" s="109"/>
      <c r="GS173" s="109"/>
      <c r="GT173" s="111"/>
      <c r="GU173" s="111"/>
      <c r="GV173" s="165"/>
      <c r="GW173" s="168">
        <f t="shared" si="322"/>
        <v>0</v>
      </c>
      <c r="GX173" s="168">
        <f t="shared" ref="GX173:GX236" si="330">GY173/(1+AM173)*AM173</f>
        <v>0</v>
      </c>
      <c r="GY173" s="168"/>
      <c r="GZ173" s="168"/>
      <c r="HA173" s="111"/>
      <c r="HB173" s="111"/>
      <c r="HC173" s="165"/>
      <c r="HD173" s="109">
        <f t="shared" si="323"/>
        <v>0</v>
      </c>
      <c r="HE173" s="109">
        <f t="shared" ref="HE173:HE236" si="331">HF173/(1+AM173)*AM173</f>
        <v>0</v>
      </c>
      <c r="HF173" s="109"/>
      <c r="HG173" s="109"/>
      <c r="HH173" s="111"/>
      <c r="HI173" s="111"/>
      <c r="HJ173" s="165"/>
      <c r="HK173" s="109">
        <f t="shared" si="324"/>
        <v>0</v>
      </c>
      <c r="HL173" s="109">
        <f t="shared" ref="HL173:HL236" si="332">HM173/(1+AM173)*AM173</f>
        <v>0</v>
      </c>
      <c r="HM173" s="109"/>
      <c r="HN173" s="109"/>
      <c r="HO173" s="111"/>
      <c r="HP173" s="111"/>
      <c r="HQ173" s="165"/>
      <c r="HR173" s="109">
        <f t="shared" si="325"/>
        <v>0</v>
      </c>
      <c r="HS173" s="109">
        <f t="shared" ref="HS173:HS236" si="333">HT173/(1+AM173)*AM173</f>
        <v>0</v>
      </c>
      <c r="HT173" s="109"/>
      <c r="HU173" s="109"/>
      <c r="HV173" s="111"/>
      <c r="HW173" s="111"/>
      <c r="HX173" s="105">
        <f t="shared" si="301"/>
        <v>0</v>
      </c>
      <c r="HY173" s="105">
        <f t="shared" si="301"/>
        <v>0</v>
      </c>
      <c r="HZ173" s="105">
        <f t="shared" si="301"/>
        <v>0</v>
      </c>
      <c r="IA173" s="105">
        <f t="shared" si="295"/>
        <v>0</v>
      </c>
      <c r="IB173" s="109">
        <f t="shared" si="296"/>
        <v>0</v>
      </c>
      <c r="IC173" s="109">
        <f t="shared" si="297"/>
        <v>0</v>
      </c>
      <c r="ID173" s="109">
        <f t="shared" si="298"/>
        <v>0</v>
      </c>
      <c r="IE173" s="109">
        <f t="shared" si="299"/>
        <v>0</v>
      </c>
      <c r="IF173" s="197"/>
      <c r="IG173" s="197"/>
      <c r="IH173" s="197"/>
      <c r="II173" s="197"/>
      <c r="IJ173" s="197"/>
      <c r="IK173" s="197"/>
      <c r="IL173" s="197"/>
      <c r="IM173" s="171"/>
      <c r="IN173" s="171"/>
      <c r="IO173" s="171"/>
      <c r="IP173" s="171"/>
    </row>
    <row r="174" spans="1:250" ht="15" customHeight="1" x14ac:dyDescent="0.3">
      <c r="A174" s="110">
        <f t="shared" si="300"/>
        <v>170</v>
      </c>
      <c r="B174" s="111"/>
      <c r="C174" s="111"/>
      <c r="D174" s="111"/>
      <c r="E174" s="111"/>
      <c r="F174" s="111"/>
      <c r="G174" s="111"/>
      <c r="H174" s="111"/>
      <c r="I174" s="194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75"/>
      <c r="AI174" s="111"/>
      <c r="AJ174" s="111"/>
      <c r="AK174" s="111"/>
      <c r="AL174" s="177"/>
      <c r="AM174" s="176"/>
      <c r="AN174" s="177"/>
      <c r="AO174" s="157"/>
      <c r="AP174" s="158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75"/>
      <c r="BM174" s="111"/>
      <c r="BN174" s="111"/>
      <c r="BO174" s="111"/>
      <c r="BP174" s="111"/>
      <c r="BQ174" s="111"/>
      <c r="BR174" s="111"/>
      <c r="BS174" s="111"/>
      <c r="BT174" s="111"/>
      <c r="BU174" s="111"/>
      <c r="BV174" s="111"/>
      <c r="BW174" s="111"/>
      <c r="BX174" s="111"/>
      <c r="BY174" s="111"/>
      <c r="BZ174" s="111"/>
      <c r="CA174" s="111"/>
      <c r="CB174" s="111"/>
      <c r="CC174" s="178"/>
      <c r="CD174" s="177">
        <f t="shared" si="284"/>
        <v>0</v>
      </c>
      <c r="CE174" s="148"/>
      <c r="CF174" s="111">
        <f t="shared" si="285"/>
        <v>0</v>
      </c>
      <c r="CG174" s="177"/>
      <c r="CH174" s="204"/>
      <c r="CI174" s="148"/>
      <c r="CJ174" s="165"/>
      <c r="CK174" s="165"/>
      <c r="CL174" s="111"/>
      <c r="CM174" s="111"/>
      <c r="CN174" s="165">
        <f t="shared" si="286"/>
        <v>0</v>
      </c>
      <c r="CO174" s="109">
        <f t="shared" si="287"/>
        <v>0</v>
      </c>
      <c r="CP174" s="109">
        <f t="shared" si="288"/>
        <v>0</v>
      </c>
      <c r="CQ174" s="109"/>
      <c r="CR174" s="109"/>
      <c r="CS174" s="196"/>
      <c r="CT174" s="167"/>
      <c r="CU174" s="165"/>
      <c r="CV174" s="109">
        <f t="shared" si="289"/>
        <v>0</v>
      </c>
      <c r="CW174" s="109">
        <f t="shared" si="290"/>
        <v>0</v>
      </c>
      <c r="CX174" s="109"/>
      <c r="CY174" s="109"/>
      <c r="CZ174" s="111"/>
      <c r="DA174" s="111"/>
      <c r="DB174" s="165"/>
      <c r="DC174" s="109">
        <f t="shared" si="291"/>
        <v>0</v>
      </c>
      <c r="DD174" s="109">
        <f t="shared" si="292"/>
        <v>0</v>
      </c>
      <c r="DE174" s="109"/>
      <c r="DF174" s="109"/>
      <c r="DG174" s="111"/>
      <c r="DH174" s="111"/>
      <c r="DI174" s="165"/>
      <c r="DJ174" s="109">
        <f t="shared" si="293"/>
        <v>0</v>
      </c>
      <c r="DK174" s="109">
        <f t="shared" si="294"/>
        <v>0</v>
      </c>
      <c r="DL174" s="109"/>
      <c r="DM174" s="109"/>
      <c r="DN174" s="111"/>
      <c r="DO174" s="111"/>
      <c r="DP174" s="165"/>
      <c r="DQ174" s="109">
        <f t="shared" si="302"/>
        <v>0</v>
      </c>
      <c r="DR174" s="109">
        <f t="shared" si="303"/>
        <v>0</v>
      </c>
      <c r="DS174" s="109"/>
      <c r="DT174" s="109"/>
      <c r="DU174" s="111"/>
      <c r="DV174" s="111"/>
      <c r="DW174" s="165"/>
      <c r="DX174" s="109">
        <f t="shared" si="304"/>
        <v>0</v>
      </c>
      <c r="DY174" s="109">
        <f t="shared" si="305"/>
        <v>0</v>
      </c>
      <c r="DZ174" s="109"/>
      <c r="EA174" s="109"/>
      <c r="EB174" s="111"/>
      <c r="EC174" s="111"/>
      <c r="ED174" s="165"/>
      <c r="EE174" s="109">
        <f t="shared" si="306"/>
        <v>0</v>
      </c>
      <c r="EF174" s="109">
        <f t="shared" si="307"/>
        <v>0</v>
      </c>
      <c r="EG174" s="109"/>
      <c r="EH174" s="109"/>
      <c r="EI174" s="111"/>
      <c r="EJ174" s="111"/>
      <c r="EK174" s="165"/>
      <c r="EL174" s="109">
        <f t="shared" si="308"/>
        <v>0</v>
      </c>
      <c r="EM174" s="109">
        <f t="shared" si="309"/>
        <v>0</v>
      </c>
      <c r="EN174" s="109"/>
      <c r="EO174" s="109"/>
      <c r="EP174" s="111"/>
      <c r="EQ174" s="111"/>
      <c r="ER174" s="165"/>
      <c r="ES174" s="109">
        <f t="shared" si="310"/>
        <v>0</v>
      </c>
      <c r="ET174" s="109">
        <f t="shared" si="311"/>
        <v>0</v>
      </c>
      <c r="EU174" s="109"/>
      <c r="EV174" s="109"/>
      <c r="EW174" s="111"/>
      <c r="EX174" s="111"/>
      <c r="EY174" s="165"/>
      <c r="EZ174" s="109">
        <f t="shared" si="312"/>
        <v>0</v>
      </c>
      <c r="FA174" s="109">
        <f t="shared" si="313"/>
        <v>0</v>
      </c>
      <c r="FB174" s="109"/>
      <c r="FC174" s="109"/>
      <c r="FD174" s="111"/>
      <c r="FE174" s="111"/>
      <c r="FF174" s="165"/>
      <c r="FG174" s="109">
        <f t="shared" si="314"/>
        <v>0</v>
      </c>
      <c r="FH174" s="109">
        <f t="shared" si="315"/>
        <v>0</v>
      </c>
      <c r="FI174" s="109"/>
      <c r="FJ174" s="109"/>
      <c r="FK174" s="111"/>
      <c r="FL174" s="111"/>
      <c r="FM174" s="165"/>
      <c r="FN174" s="109">
        <f t="shared" si="316"/>
        <v>0</v>
      </c>
      <c r="FO174" s="109">
        <f t="shared" si="317"/>
        <v>0</v>
      </c>
      <c r="FP174" s="109"/>
      <c r="FQ174" s="109"/>
      <c r="FR174" s="111"/>
      <c r="FS174" s="111"/>
      <c r="FT174" s="165"/>
      <c r="FU174" s="109">
        <f t="shared" si="318"/>
        <v>0</v>
      </c>
      <c r="FV174" s="109">
        <f t="shared" si="326"/>
        <v>0</v>
      </c>
      <c r="FW174" s="109"/>
      <c r="FX174" s="109"/>
      <c r="FY174" s="111"/>
      <c r="FZ174" s="111"/>
      <c r="GA174" s="165"/>
      <c r="GB174" s="109">
        <f t="shared" si="319"/>
        <v>0</v>
      </c>
      <c r="GC174" s="109">
        <f t="shared" si="327"/>
        <v>0</v>
      </c>
      <c r="GD174" s="109"/>
      <c r="GE174" s="109"/>
      <c r="GF174" s="111"/>
      <c r="GG174" s="111"/>
      <c r="GH174" s="165"/>
      <c r="GI174" s="109">
        <f t="shared" si="320"/>
        <v>0</v>
      </c>
      <c r="GJ174" s="109">
        <f t="shared" si="328"/>
        <v>0</v>
      </c>
      <c r="GK174" s="109"/>
      <c r="GL174" s="109"/>
      <c r="GM174" s="111"/>
      <c r="GN174" s="111"/>
      <c r="GO174" s="165"/>
      <c r="GP174" s="109">
        <f t="shared" si="321"/>
        <v>0</v>
      </c>
      <c r="GQ174" s="109">
        <f t="shared" si="329"/>
        <v>0</v>
      </c>
      <c r="GR174" s="109"/>
      <c r="GS174" s="109"/>
      <c r="GT174" s="111"/>
      <c r="GU174" s="111"/>
      <c r="GV174" s="165"/>
      <c r="GW174" s="168">
        <f t="shared" si="322"/>
        <v>0</v>
      </c>
      <c r="GX174" s="168">
        <f t="shared" si="330"/>
        <v>0</v>
      </c>
      <c r="GY174" s="168"/>
      <c r="GZ174" s="168"/>
      <c r="HA174" s="111"/>
      <c r="HB174" s="111"/>
      <c r="HC174" s="165"/>
      <c r="HD174" s="109">
        <f t="shared" si="323"/>
        <v>0</v>
      </c>
      <c r="HE174" s="109">
        <f t="shared" si="331"/>
        <v>0</v>
      </c>
      <c r="HF174" s="109"/>
      <c r="HG174" s="109"/>
      <c r="HH174" s="111"/>
      <c r="HI174" s="111"/>
      <c r="HJ174" s="165"/>
      <c r="HK174" s="109">
        <f t="shared" si="324"/>
        <v>0</v>
      </c>
      <c r="HL174" s="109">
        <f t="shared" si="332"/>
        <v>0</v>
      </c>
      <c r="HM174" s="109"/>
      <c r="HN174" s="109"/>
      <c r="HO174" s="111"/>
      <c r="HP174" s="111"/>
      <c r="HQ174" s="165"/>
      <c r="HR174" s="109">
        <f t="shared" si="325"/>
        <v>0</v>
      </c>
      <c r="HS174" s="109">
        <f t="shared" si="333"/>
        <v>0</v>
      </c>
      <c r="HT174" s="109"/>
      <c r="HU174" s="109"/>
      <c r="HV174" s="111"/>
      <c r="HW174" s="111"/>
      <c r="HX174" s="105">
        <f t="shared" si="301"/>
        <v>0</v>
      </c>
      <c r="HY174" s="105">
        <f t="shared" si="301"/>
        <v>0</v>
      </c>
      <c r="HZ174" s="105">
        <f t="shared" si="301"/>
        <v>0</v>
      </c>
      <c r="IA174" s="105">
        <f t="shared" si="295"/>
        <v>0</v>
      </c>
      <c r="IB174" s="109">
        <f t="shared" si="296"/>
        <v>0</v>
      </c>
      <c r="IC174" s="109">
        <f t="shared" si="297"/>
        <v>0</v>
      </c>
      <c r="ID174" s="109">
        <f t="shared" si="298"/>
        <v>0</v>
      </c>
      <c r="IE174" s="109">
        <f t="shared" si="299"/>
        <v>0</v>
      </c>
      <c r="IF174" s="197"/>
      <c r="IG174" s="197"/>
      <c r="IH174" s="197"/>
      <c r="II174" s="197"/>
      <c r="IJ174" s="197"/>
      <c r="IK174" s="197"/>
      <c r="IL174" s="197"/>
      <c r="IM174" s="171"/>
      <c r="IN174" s="171"/>
      <c r="IO174" s="171"/>
      <c r="IP174" s="171"/>
    </row>
    <row r="175" spans="1:250" ht="15" customHeight="1" x14ac:dyDescent="0.3">
      <c r="A175" s="110">
        <f t="shared" si="300"/>
        <v>171</v>
      </c>
      <c r="B175" s="111"/>
      <c r="C175" s="111"/>
      <c r="D175" s="111"/>
      <c r="E175" s="111"/>
      <c r="F175" s="111"/>
      <c r="G175" s="111"/>
      <c r="H175" s="111"/>
      <c r="I175" s="194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75"/>
      <c r="AI175" s="111"/>
      <c r="AJ175" s="111"/>
      <c r="AK175" s="111"/>
      <c r="AL175" s="177"/>
      <c r="AM175" s="176"/>
      <c r="AN175" s="177"/>
      <c r="AO175" s="157"/>
      <c r="AP175" s="158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75"/>
      <c r="BM175" s="111"/>
      <c r="BN175" s="111"/>
      <c r="BO175" s="111"/>
      <c r="BP175" s="111"/>
      <c r="BQ175" s="111"/>
      <c r="BR175" s="111"/>
      <c r="BS175" s="111"/>
      <c r="BT175" s="111"/>
      <c r="BU175" s="111"/>
      <c r="BV175" s="111"/>
      <c r="BW175" s="111"/>
      <c r="BX175" s="111"/>
      <c r="BY175" s="111"/>
      <c r="BZ175" s="111"/>
      <c r="CA175" s="111"/>
      <c r="CB175" s="111"/>
      <c r="CC175" s="178"/>
      <c r="CD175" s="177">
        <f t="shared" si="284"/>
        <v>0</v>
      </c>
      <c r="CE175" s="148"/>
      <c r="CF175" s="111">
        <f t="shared" si="285"/>
        <v>0</v>
      </c>
      <c r="CG175" s="177"/>
      <c r="CH175" s="204"/>
      <c r="CI175" s="148"/>
      <c r="CJ175" s="165"/>
      <c r="CK175" s="165"/>
      <c r="CL175" s="111"/>
      <c r="CM175" s="111"/>
      <c r="CN175" s="165">
        <f t="shared" si="286"/>
        <v>0</v>
      </c>
      <c r="CO175" s="109">
        <f t="shared" si="287"/>
        <v>0</v>
      </c>
      <c r="CP175" s="109">
        <f t="shared" si="288"/>
        <v>0</v>
      </c>
      <c r="CQ175" s="109"/>
      <c r="CR175" s="109"/>
      <c r="CS175" s="196"/>
      <c r="CT175" s="167"/>
      <c r="CU175" s="165"/>
      <c r="CV175" s="109">
        <f t="shared" si="289"/>
        <v>0</v>
      </c>
      <c r="CW175" s="109">
        <f t="shared" si="290"/>
        <v>0</v>
      </c>
      <c r="CX175" s="109"/>
      <c r="CY175" s="109"/>
      <c r="CZ175" s="111"/>
      <c r="DA175" s="111"/>
      <c r="DB175" s="165"/>
      <c r="DC175" s="109">
        <f t="shared" si="291"/>
        <v>0</v>
      </c>
      <c r="DD175" s="109">
        <f t="shared" si="292"/>
        <v>0</v>
      </c>
      <c r="DE175" s="109"/>
      <c r="DF175" s="109"/>
      <c r="DG175" s="111"/>
      <c r="DH175" s="111"/>
      <c r="DI175" s="165"/>
      <c r="DJ175" s="109">
        <f t="shared" si="293"/>
        <v>0</v>
      </c>
      <c r="DK175" s="109">
        <f t="shared" si="294"/>
        <v>0</v>
      </c>
      <c r="DL175" s="109"/>
      <c r="DM175" s="109"/>
      <c r="DN175" s="111"/>
      <c r="DO175" s="111"/>
      <c r="DP175" s="165"/>
      <c r="DQ175" s="109">
        <f t="shared" si="302"/>
        <v>0</v>
      </c>
      <c r="DR175" s="109">
        <f t="shared" si="303"/>
        <v>0</v>
      </c>
      <c r="DS175" s="109"/>
      <c r="DT175" s="109"/>
      <c r="DU175" s="111"/>
      <c r="DV175" s="111"/>
      <c r="DW175" s="165"/>
      <c r="DX175" s="109">
        <f t="shared" si="304"/>
        <v>0</v>
      </c>
      <c r="DY175" s="109">
        <f t="shared" si="305"/>
        <v>0</v>
      </c>
      <c r="DZ175" s="109"/>
      <c r="EA175" s="109"/>
      <c r="EB175" s="111"/>
      <c r="EC175" s="111"/>
      <c r="ED175" s="165"/>
      <c r="EE175" s="109">
        <f t="shared" si="306"/>
        <v>0</v>
      </c>
      <c r="EF175" s="109">
        <f t="shared" si="307"/>
        <v>0</v>
      </c>
      <c r="EG175" s="109"/>
      <c r="EH175" s="109"/>
      <c r="EI175" s="111"/>
      <c r="EJ175" s="111"/>
      <c r="EK175" s="165"/>
      <c r="EL175" s="109">
        <f t="shared" si="308"/>
        <v>0</v>
      </c>
      <c r="EM175" s="109">
        <f t="shared" si="309"/>
        <v>0</v>
      </c>
      <c r="EN175" s="109"/>
      <c r="EO175" s="109"/>
      <c r="EP175" s="111"/>
      <c r="EQ175" s="111"/>
      <c r="ER175" s="165"/>
      <c r="ES175" s="109">
        <f t="shared" si="310"/>
        <v>0</v>
      </c>
      <c r="ET175" s="109">
        <f t="shared" si="311"/>
        <v>0</v>
      </c>
      <c r="EU175" s="109"/>
      <c r="EV175" s="109"/>
      <c r="EW175" s="111"/>
      <c r="EX175" s="111"/>
      <c r="EY175" s="165"/>
      <c r="EZ175" s="109">
        <f t="shared" si="312"/>
        <v>0</v>
      </c>
      <c r="FA175" s="109">
        <f t="shared" si="313"/>
        <v>0</v>
      </c>
      <c r="FB175" s="109"/>
      <c r="FC175" s="109"/>
      <c r="FD175" s="111"/>
      <c r="FE175" s="111"/>
      <c r="FF175" s="165"/>
      <c r="FG175" s="109">
        <f t="shared" si="314"/>
        <v>0</v>
      </c>
      <c r="FH175" s="109">
        <f t="shared" si="315"/>
        <v>0</v>
      </c>
      <c r="FI175" s="109"/>
      <c r="FJ175" s="109"/>
      <c r="FK175" s="111"/>
      <c r="FL175" s="111"/>
      <c r="FM175" s="165"/>
      <c r="FN175" s="109">
        <f t="shared" si="316"/>
        <v>0</v>
      </c>
      <c r="FO175" s="109">
        <f t="shared" si="317"/>
        <v>0</v>
      </c>
      <c r="FP175" s="109"/>
      <c r="FQ175" s="109"/>
      <c r="FR175" s="111"/>
      <c r="FS175" s="111"/>
      <c r="FT175" s="165"/>
      <c r="FU175" s="109">
        <f t="shared" si="318"/>
        <v>0</v>
      </c>
      <c r="FV175" s="109">
        <f t="shared" si="326"/>
        <v>0</v>
      </c>
      <c r="FW175" s="109"/>
      <c r="FX175" s="109"/>
      <c r="FY175" s="111"/>
      <c r="FZ175" s="111"/>
      <c r="GA175" s="165"/>
      <c r="GB175" s="109">
        <f t="shared" si="319"/>
        <v>0</v>
      </c>
      <c r="GC175" s="109">
        <f t="shared" si="327"/>
        <v>0</v>
      </c>
      <c r="GD175" s="109"/>
      <c r="GE175" s="109"/>
      <c r="GF175" s="111"/>
      <c r="GG175" s="111"/>
      <c r="GH175" s="165"/>
      <c r="GI175" s="109">
        <f t="shared" si="320"/>
        <v>0</v>
      </c>
      <c r="GJ175" s="109">
        <f t="shared" si="328"/>
        <v>0</v>
      </c>
      <c r="GK175" s="109"/>
      <c r="GL175" s="109"/>
      <c r="GM175" s="111"/>
      <c r="GN175" s="111"/>
      <c r="GO175" s="165"/>
      <c r="GP175" s="109">
        <f t="shared" si="321"/>
        <v>0</v>
      </c>
      <c r="GQ175" s="109">
        <f t="shared" si="329"/>
        <v>0</v>
      </c>
      <c r="GR175" s="109"/>
      <c r="GS175" s="109"/>
      <c r="GT175" s="111"/>
      <c r="GU175" s="111"/>
      <c r="GV175" s="165"/>
      <c r="GW175" s="168">
        <f t="shared" si="322"/>
        <v>0</v>
      </c>
      <c r="GX175" s="168">
        <f t="shared" si="330"/>
        <v>0</v>
      </c>
      <c r="GY175" s="168"/>
      <c r="GZ175" s="168"/>
      <c r="HA175" s="111"/>
      <c r="HB175" s="111"/>
      <c r="HC175" s="165"/>
      <c r="HD175" s="109">
        <f t="shared" si="323"/>
        <v>0</v>
      </c>
      <c r="HE175" s="109">
        <f t="shared" si="331"/>
        <v>0</v>
      </c>
      <c r="HF175" s="109"/>
      <c r="HG175" s="109"/>
      <c r="HH175" s="111"/>
      <c r="HI175" s="111"/>
      <c r="HJ175" s="165"/>
      <c r="HK175" s="109">
        <f t="shared" si="324"/>
        <v>0</v>
      </c>
      <c r="HL175" s="109">
        <f t="shared" si="332"/>
        <v>0</v>
      </c>
      <c r="HM175" s="109"/>
      <c r="HN175" s="109"/>
      <c r="HO175" s="111"/>
      <c r="HP175" s="111"/>
      <c r="HQ175" s="165"/>
      <c r="HR175" s="109">
        <f t="shared" si="325"/>
        <v>0</v>
      </c>
      <c r="HS175" s="109">
        <f t="shared" si="333"/>
        <v>0</v>
      </c>
      <c r="HT175" s="109"/>
      <c r="HU175" s="109"/>
      <c r="HV175" s="111"/>
      <c r="HW175" s="111"/>
      <c r="HX175" s="105">
        <f t="shared" si="301"/>
        <v>0</v>
      </c>
      <c r="HY175" s="105">
        <f t="shared" si="301"/>
        <v>0</v>
      </c>
      <c r="HZ175" s="105">
        <f t="shared" si="301"/>
        <v>0</v>
      </c>
      <c r="IA175" s="105">
        <f t="shared" si="295"/>
        <v>0</v>
      </c>
      <c r="IB175" s="109">
        <f t="shared" si="296"/>
        <v>0</v>
      </c>
      <c r="IC175" s="109">
        <f t="shared" si="297"/>
        <v>0</v>
      </c>
      <c r="ID175" s="109">
        <f t="shared" si="298"/>
        <v>0</v>
      </c>
      <c r="IE175" s="109">
        <f t="shared" si="299"/>
        <v>0</v>
      </c>
      <c r="IF175" s="197"/>
      <c r="IG175" s="197"/>
      <c r="IH175" s="197"/>
      <c r="II175" s="197"/>
      <c r="IJ175" s="197"/>
      <c r="IK175" s="197"/>
      <c r="IL175" s="197"/>
      <c r="IM175" s="171"/>
      <c r="IN175" s="171"/>
      <c r="IO175" s="171"/>
      <c r="IP175" s="171"/>
    </row>
    <row r="176" spans="1:250" ht="15" customHeight="1" x14ac:dyDescent="0.3">
      <c r="A176" s="110">
        <f t="shared" si="300"/>
        <v>172</v>
      </c>
      <c r="B176" s="111"/>
      <c r="C176" s="111"/>
      <c r="D176" s="111"/>
      <c r="E176" s="111"/>
      <c r="F176" s="111"/>
      <c r="G176" s="111"/>
      <c r="H176" s="111"/>
      <c r="I176" s="194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75"/>
      <c r="AI176" s="111"/>
      <c r="AJ176" s="111"/>
      <c r="AK176" s="111"/>
      <c r="AL176" s="177"/>
      <c r="AM176" s="176"/>
      <c r="AN176" s="177"/>
      <c r="AO176" s="157"/>
      <c r="AP176" s="158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75"/>
      <c r="BM176" s="111"/>
      <c r="BN176" s="111"/>
      <c r="BO176" s="111"/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1"/>
      <c r="CA176" s="111"/>
      <c r="CB176" s="111"/>
      <c r="CC176" s="178"/>
      <c r="CD176" s="177">
        <f t="shared" si="284"/>
        <v>0</v>
      </c>
      <c r="CE176" s="148"/>
      <c r="CF176" s="111">
        <f t="shared" si="285"/>
        <v>0</v>
      </c>
      <c r="CG176" s="177"/>
      <c r="CH176" s="204"/>
      <c r="CI176" s="148"/>
      <c r="CJ176" s="165"/>
      <c r="CK176" s="165"/>
      <c r="CL176" s="111"/>
      <c r="CM176" s="111"/>
      <c r="CN176" s="165">
        <f t="shared" si="286"/>
        <v>0</v>
      </c>
      <c r="CO176" s="109">
        <f t="shared" si="287"/>
        <v>0</v>
      </c>
      <c r="CP176" s="109">
        <f t="shared" si="288"/>
        <v>0</v>
      </c>
      <c r="CQ176" s="109"/>
      <c r="CR176" s="109"/>
      <c r="CS176" s="196"/>
      <c r="CT176" s="167"/>
      <c r="CU176" s="165"/>
      <c r="CV176" s="109">
        <f t="shared" si="289"/>
        <v>0</v>
      </c>
      <c r="CW176" s="109">
        <f t="shared" si="290"/>
        <v>0</v>
      </c>
      <c r="CX176" s="109"/>
      <c r="CY176" s="109"/>
      <c r="CZ176" s="111"/>
      <c r="DA176" s="111"/>
      <c r="DB176" s="165"/>
      <c r="DC176" s="109">
        <f t="shared" si="291"/>
        <v>0</v>
      </c>
      <c r="DD176" s="109">
        <f t="shared" si="292"/>
        <v>0</v>
      </c>
      <c r="DE176" s="109"/>
      <c r="DF176" s="109"/>
      <c r="DG176" s="111"/>
      <c r="DH176" s="111"/>
      <c r="DI176" s="165"/>
      <c r="DJ176" s="109">
        <f t="shared" si="293"/>
        <v>0</v>
      </c>
      <c r="DK176" s="109">
        <f t="shared" si="294"/>
        <v>0</v>
      </c>
      <c r="DL176" s="109"/>
      <c r="DM176" s="109"/>
      <c r="DN176" s="111"/>
      <c r="DO176" s="111"/>
      <c r="DP176" s="165"/>
      <c r="DQ176" s="109">
        <f t="shared" si="302"/>
        <v>0</v>
      </c>
      <c r="DR176" s="109">
        <f t="shared" si="303"/>
        <v>0</v>
      </c>
      <c r="DS176" s="109"/>
      <c r="DT176" s="109"/>
      <c r="DU176" s="111"/>
      <c r="DV176" s="111"/>
      <c r="DW176" s="165"/>
      <c r="DX176" s="109">
        <f t="shared" si="304"/>
        <v>0</v>
      </c>
      <c r="DY176" s="109">
        <f t="shared" si="305"/>
        <v>0</v>
      </c>
      <c r="DZ176" s="109"/>
      <c r="EA176" s="109"/>
      <c r="EB176" s="111"/>
      <c r="EC176" s="111"/>
      <c r="ED176" s="165"/>
      <c r="EE176" s="109">
        <f t="shared" si="306"/>
        <v>0</v>
      </c>
      <c r="EF176" s="109">
        <f t="shared" si="307"/>
        <v>0</v>
      </c>
      <c r="EG176" s="109"/>
      <c r="EH176" s="109"/>
      <c r="EI176" s="111"/>
      <c r="EJ176" s="111"/>
      <c r="EK176" s="165"/>
      <c r="EL176" s="109">
        <f t="shared" si="308"/>
        <v>0</v>
      </c>
      <c r="EM176" s="109">
        <f t="shared" si="309"/>
        <v>0</v>
      </c>
      <c r="EN176" s="109"/>
      <c r="EO176" s="109"/>
      <c r="EP176" s="111"/>
      <c r="EQ176" s="111"/>
      <c r="ER176" s="165"/>
      <c r="ES176" s="109">
        <f t="shared" si="310"/>
        <v>0</v>
      </c>
      <c r="ET176" s="109">
        <f t="shared" si="311"/>
        <v>0</v>
      </c>
      <c r="EU176" s="109"/>
      <c r="EV176" s="109"/>
      <c r="EW176" s="111"/>
      <c r="EX176" s="111"/>
      <c r="EY176" s="165"/>
      <c r="EZ176" s="109">
        <f t="shared" si="312"/>
        <v>0</v>
      </c>
      <c r="FA176" s="109">
        <f t="shared" si="313"/>
        <v>0</v>
      </c>
      <c r="FB176" s="109"/>
      <c r="FC176" s="109"/>
      <c r="FD176" s="111"/>
      <c r="FE176" s="111"/>
      <c r="FF176" s="165"/>
      <c r="FG176" s="109">
        <f t="shared" si="314"/>
        <v>0</v>
      </c>
      <c r="FH176" s="109">
        <f t="shared" si="315"/>
        <v>0</v>
      </c>
      <c r="FI176" s="109"/>
      <c r="FJ176" s="109"/>
      <c r="FK176" s="111"/>
      <c r="FL176" s="111"/>
      <c r="FM176" s="165"/>
      <c r="FN176" s="109">
        <f t="shared" si="316"/>
        <v>0</v>
      </c>
      <c r="FO176" s="109">
        <f t="shared" si="317"/>
        <v>0</v>
      </c>
      <c r="FP176" s="109"/>
      <c r="FQ176" s="109"/>
      <c r="FR176" s="111"/>
      <c r="FS176" s="111"/>
      <c r="FT176" s="165"/>
      <c r="FU176" s="109">
        <f t="shared" si="318"/>
        <v>0</v>
      </c>
      <c r="FV176" s="109">
        <f t="shared" si="326"/>
        <v>0</v>
      </c>
      <c r="FW176" s="109"/>
      <c r="FX176" s="109"/>
      <c r="FY176" s="111"/>
      <c r="FZ176" s="111"/>
      <c r="GA176" s="165"/>
      <c r="GB176" s="109">
        <f t="shared" si="319"/>
        <v>0</v>
      </c>
      <c r="GC176" s="109">
        <f t="shared" si="327"/>
        <v>0</v>
      </c>
      <c r="GD176" s="109"/>
      <c r="GE176" s="109"/>
      <c r="GF176" s="111"/>
      <c r="GG176" s="111"/>
      <c r="GH176" s="165"/>
      <c r="GI176" s="109">
        <f t="shared" si="320"/>
        <v>0</v>
      </c>
      <c r="GJ176" s="109">
        <f t="shared" si="328"/>
        <v>0</v>
      </c>
      <c r="GK176" s="109"/>
      <c r="GL176" s="109"/>
      <c r="GM176" s="111"/>
      <c r="GN176" s="111"/>
      <c r="GO176" s="165"/>
      <c r="GP176" s="109">
        <f t="shared" si="321"/>
        <v>0</v>
      </c>
      <c r="GQ176" s="109">
        <f t="shared" si="329"/>
        <v>0</v>
      </c>
      <c r="GR176" s="109"/>
      <c r="GS176" s="109"/>
      <c r="GT176" s="111"/>
      <c r="GU176" s="111"/>
      <c r="GV176" s="165"/>
      <c r="GW176" s="168">
        <f t="shared" si="322"/>
        <v>0</v>
      </c>
      <c r="GX176" s="168">
        <f t="shared" si="330"/>
        <v>0</v>
      </c>
      <c r="GY176" s="168"/>
      <c r="GZ176" s="168"/>
      <c r="HA176" s="111"/>
      <c r="HB176" s="111"/>
      <c r="HC176" s="165"/>
      <c r="HD176" s="109">
        <f t="shared" si="323"/>
        <v>0</v>
      </c>
      <c r="HE176" s="109">
        <f t="shared" si="331"/>
        <v>0</v>
      </c>
      <c r="HF176" s="109"/>
      <c r="HG176" s="109"/>
      <c r="HH176" s="111"/>
      <c r="HI176" s="111"/>
      <c r="HJ176" s="165"/>
      <c r="HK176" s="109">
        <f t="shared" si="324"/>
        <v>0</v>
      </c>
      <c r="HL176" s="109">
        <f t="shared" si="332"/>
        <v>0</v>
      </c>
      <c r="HM176" s="109"/>
      <c r="HN176" s="109"/>
      <c r="HO176" s="111"/>
      <c r="HP176" s="111"/>
      <c r="HQ176" s="165"/>
      <c r="HR176" s="109">
        <f t="shared" si="325"/>
        <v>0</v>
      </c>
      <c r="HS176" s="109">
        <f t="shared" si="333"/>
        <v>0</v>
      </c>
      <c r="HT176" s="109"/>
      <c r="HU176" s="109"/>
      <c r="HV176" s="111"/>
      <c r="HW176" s="111"/>
      <c r="HX176" s="105">
        <f t="shared" si="301"/>
        <v>0</v>
      </c>
      <c r="HY176" s="105">
        <f t="shared" si="301"/>
        <v>0</v>
      </c>
      <c r="HZ176" s="105">
        <f t="shared" si="301"/>
        <v>0</v>
      </c>
      <c r="IA176" s="105">
        <f t="shared" si="295"/>
        <v>0</v>
      </c>
      <c r="IB176" s="109">
        <f t="shared" si="296"/>
        <v>0</v>
      </c>
      <c r="IC176" s="109">
        <f t="shared" si="297"/>
        <v>0</v>
      </c>
      <c r="ID176" s="109">
        <f t="shared" si="298"/>
        <v>0</v>
      </c>
      <c r="IE176" s="109">
        <f t="shared" si="299"/>
        <v>0</v>
      </c>
      <c r="IF176" s="197"/>
      <c r="IG176" s="197"/>
      <c r="IH176" s="197"/>
      <c r="II176" s="197"/>
      <c r="IJ176" s="197"/>
      <c r="IK176" s="197"/>
      <c r="IL176" s="197"/>
      <c r="IM176" s="171"/>
      <c r="IN176" s="171"/>
      <c r="IO176" s="171"/>
      <c r="IP176" s="171"/>
    </row>
    <row r="177" spans="1:250" ht="15" customHeight="1" x14ac:dyDescent="0.3">
      <c r="A177" s="110">
        <f t="shared" si="300"/>
        <v>173</v>
      </c>
      <c r="B177" s="111"/>
      <c r="C177" s="111"/>
      <c r="D177" s="111"/>
      <c r="E177" s="111"/>
      <c r="F177" s="111"/>
      <c r="G177" s="111"/>
      <c r="H177" s="111"/>
      <c r="I177" s="194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75"/>
      <c r="AI177" s="111"/>
      <c r="AJ177" s="111"/>
      <c r="AK177" s="111"/>
      <c r="AL177" s="177"/>
      <c r="AM177" s="176"/>
      <c r="AN177" s="177"/>
      <c r="AO177" s="157"/>
      <c r="AP177" s="158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75"/>
      <c r="BM177" s="111"/>
      <c r="BN177" s="111"/>
      <c r="BO177" s="111"/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1"/>
      <c r="CA177" s="111"/>
      <c r="CB177" s="111"/>
      <c r="CC177" s="178"/>
      <c r="CD177" s="177">
        <f t="shared" si="284"/>
        <v>0</v>
      </c>
      <c r="CE177" s="148"/>
      <c r="CF177" s="111">
        <f t="shared" si="285"/>
        <v>0</v>
      </c>
      <c r="CG177" s="177"/>
      <c r="CH177" s="204"/>
      <c r="CI177" s="148"/>
      <c r="CJ177" s="165"/>
      <c r="CK177" s="165"/>
      <c r="CL177" s="111"/>
      <c r="CM177" s="111"/>
      <c r="CN177" s="165">
        <f t="shared" si="286"/>
        <v>0</v>
      </c>
      <c r="CO177" s="109">
        <f t="shared" si="287"/>
        <v>0</v>
      </c>
      <c r="CP177" s="109">
        <f t="shared" si="288"/>
        <v>0</v>
      </c>
      <c r="CQ177" s="109"/>
      <c r="CR177" s="109"/>
      <c r="CS177" s="196"/>
      <c r="CT177" s="167"/>
      <c r="CU177" s="165"/>
      <c r="CV177" s="109">
        <f t="shared" si="289"/>
        <v>0</v>
      </c>
      <c r="CW177" s="109">
        <f t="shared" si="290"/>
        <v>0</v>
      </c>
      <c r="CX177" s="109"/>
      <c r="CY177" s="109"/>
      <c r="CZ177" s="111"/>
      <c r="DA177" s="111"/>
      <c r="DB177" s="165"/>
      <c r="DC177" s="109">
        <f t="shared" si="291"/>
        <v>0</v>
      </c>
      <c r="DD177" s="109">
        <f t="shared" si="292"/>
        <v>0</v>
      </c>
      <c r="DE177" s="109"/>
      <c r="DF177" s="109"/>
      <c r="DG177" s="111"/>
      <c r="DH177" s="111"/>
      <c r="DI177" s="165"/>
      <c r="DJ177" s="109">
        <f t="shared" si="293"/>
        <v>0</v>
      </c>
      <c r="DK177" s="109">
        <f t="shared" si="294"/>
        <v>0</v>
      </c>
      <c r="DL177" s="109"/>
      <c r="DM177" s="109"/>
      <c r="DN177" s="111"/>
      <c r="DO177" s="111"/>
      <c r="DP177" s="165"/>
      <c r="DQ177" s="109">
        <f t="shared" si="302"/>
        <v>0</v>
      </c>
      <c r="DR177" s="109">
        <f t="shared" si="303"/>
        <v>0</v>
      </c>
      <c r="DS177" s="109"/>
      <c r="DT177" s="109"/>
      <c r="DU177" s="111"/>
      <c r="DV177" s="111"/>
      <c r="DW177" s="165"/>
      <c r="DX177" s="109">
        <f t="shared" si="304"/>
        <v>0</v>
      </c>
      <c r="DY177" s="109">
        <f t="shared" si="305"/>
        <v>0</v>
      </c>
      <c r="DZ177" s="109"/>
      <c r="EA177" s="109"/>
      <c r="EB177" s="111"/>
      <c r="EC177" s="111"/>
      <c r="ED177" s="165"/>
      <c r="EE177" s="109">
        <f t="shared" si="306"/>
        <v>0</v>
      </c>
      <c r="EF177" s="109">
        <f t="shared" si="307"/>
        <v>0</v>
      </c>
      <c r="EG177" s="109"/>
      <c r="EH177" s="109"/>
      <c r="EI177" s="111"/>
      <c r="EJ177" s="111"/>
      <c r="EK177" s="165"/>
      <c r="EL177" s="109">
        <f t="shared" si="308"/>
        <v>0</v>
      </c>
      <c r="EM177" s="109">
        <f t="shared" si="309"/>
        <v>0</v>
      </c>
      <c r="EN177" s="109"/>
      <c r="EO177" s="109"/>
      <c r="EP177" s="111"/>
      <c r="EQ177" s="111"/>
      <c r="ER177" s="165"/>
      <c r="ES177" s="109">
        <f t="shared" si="310"/>
        <v>0</v>
      </c>
      <c r="ET177" s="109">
        <f t="shared" si="311"/>
        <v>0</v>
      </c>
      <c r="EU177" s="109"/>
      <c r="EV177" s="109"/>
      <c r="EW177" s="111"/>
      <c r="EX177" s="111"/>
      <c r="EY177" s="165"/>
      <c r="EZ177" s="109">
        <f t="shared" si="312"/>
        <v>0</v>
      </c>
      <c r="FA177" s="109">
        <f t="shared" si="313"/>
        <v>0</v>
      </c>
      <c r="FB177" s="109"/>
      <c r="FC177" s="109"/>
      <c r="FD177" s="111"/>
      <c r="FE177" s="111"/>
      <c r="FF177" s="165"/>
      <c r="FG177" s="109">
        <f t="shared" si="314"/>
        <v>0</v>
      </c>
      <c r="FH177" s="109">
        <f t="shared" si="315"/>
        <v>0</v>
      </c>
      <c r="FI177" s="109"/>
      <c r="FJ177" s="109"/>
      <c r="FK177" s="111"/>
      <c r="FL177" s="111"/>
      <c r="FM177" s="165"/>
      <c r="FN177" s="109">
        <f t="shared" si="316"/>
        <v>0</v>
      </c>
      <c r="FO177" s="109">
        <f t="shared" si="317"/>
        <v>0</v>
      </c>
      <c r="FP177" s="109"/>
      <c r="FQ177" s="109"/>
      <c r="FR177" s="111"/>
      <c r="FS177" s="111"/>
      <c r="FT177" s="165"/>
      <c r="FU177" s="109">
        <f t="shared" si="318"/>
        <v>0</v>
      </c>
      <c r="FV177" s="109">
        <f t="shared" si="326"/>
        <v>0</v>
      </c>
      <c r="FW177" s="109"/>
      <c r="FX177" s="109"/>
      <c r="FY177" s="111"/>
      <c r="FZ177" s="111"/>
      <c r="GA177" s="165"/>
      <c r="GB177" s="109">
        <f t="shared" si="319"/>
        <v>0</v>
      </c>
      <c r="GC177" s="109">
        <f t="shared" si="327"/>
        <v>0</v>
      </c>
      <c r="GD177" s="109"/>
      <c r="GE177" s="109"/>
      <c r="GF177" s="111"/>
      <c r="GG177" s="111"/>
      <c r="GH177" s="165"/>
      <c r="GI177" s="109">
        <f t="shared" si="320"/>
        <v>0</v>
      </c>
      <c r="GJ177" s="109">
        <f t="shared" si="328"/>
        <v>0</v>
      </c>
      <c r="GK177" s="109"/>
      <c r="GL177" s="109"/>
      <c r="GM177" s="111"/>
      <c r="GN177" s="111"/>
      <c r="GO177" s="165"/>
      <c r="GP177" s="109">
        <f t="shared" si="321"/>
        <v>0</v>
      </c>
      <c r="GQ177" s="109">
        <f t="shared" si="329"/>
        <v>0</v>
      </c>
      <c r="GR177" s="109"/>
      <c r="GS177" s="109"/>
      <c r="GT177" s="111"/>
      <c r="GU177" s="111"/>
      <c r="GV177" s="165"/>
      <c r="GW177" s="168">
        <f t="shared" si="322"/>
        <v>0</v>
      </c>
      <c r="GX177" s="168">
        <f t="shared" si="330"/>
        <v>0</v>
      </c>
      <c r="GY177" s="168"/>
      <c r="GZ177" s="168"/>
      <c r="HA177" s="111"/>
      <c r="HB177" s="111"/>
      <c r="HC177" s="165"/>
      <c r="HD177" s="109">
        <f t="shared" si="323"/>
        <v>0</v>
      </c>
      <c r="HE177" s="109">
        <f t="shared" si="331"/>
        <v>0</v>
      </c>
      <c r="HF177" s="109"/>
      <c r="HG177" s="109"/>
      <c r="HH177" s="111"/>
      <c r="HI177" s="111"/>
      <c r="HJ177" s="165"/>
      <c r="HK177" s="109">
        <f t="shared" si="324"/>
        <v>0</v>
      </c>
      <c r="HL177" s="109">
        <f t="shared" si="332"/>
        <v>0</v>
      </c>
      <c r="HM177" s="109"/>
      <c r="HN177" s="109"/>
      <c r="HO177" s="111"/>
      <c r="HP177" s="111"/>
      <c r="HQ177" s="165"/>
      <c r="HR177" s="109">
        <f t="shared" si="325"/>
        <v>0</v>
      </c>
      <c r="HS177" s="109">
        <f t="shared" si="333"/>
        <v>0</v>
      </c>
      <c r="HT177" s="109"/>
      <c r="HU177" s="109"/>
      <c r="HV177" s="111"/>
      <c r="HW177" s="111"/>
      <c r="HX177" s="105">
        <f t="shared" si="301"/>
        <v>0</v>
      </c>
      <c r="HY177" s="105">
        <f t="shared" si="301"/>
        <v>0</v>
      </c>
      <c r="HZ177" s="105">
        <f t="shared" si="301"/>
        <v>0</v>
      </c>
      <c r="IA177" s="105">
        <f t="shared" si="295"/>
        <v>0</v>
      </c>
      <c r="IB177" s="109">
        <f t="shared" si="296"/>
        <v>0</v>
      </c>
      <c r="IC177" s="109">
        <f t="shared" si="297"/>
        <v>0</v>
      </c>
      <c r="ID177" s="109">
        <f t="shared" si="298"/>
        <v>0</v>
      </c>
      <c r="IE177" s="109">
        <f t="shared" si="299"/>
        <v>0</v>
      </c>
      <c r="IF177" s="197"/>
      <c r="IG177" s="197"/>
      <c r="IH177" s="197"/>
      <c r="II177" s="197"/>
      <c r="IJ177" s="197"/>
      <c r="IK177" s="197"/>
      <c r="IL177" s="197"/>
      <c r="IM177" s="171"/>
      <c r="IN177" s="171"/>
      <c r="IO177" s="171"/>
      <c r="IP177" s="171"/>
    </row>
    <row r="178" spans="1:250" ht="15" customHeight="1" x14ac:dyDescent="0.3">
      <c r="A178" s="110">
        <f t="shared" si="300"/>
        <v>174</v>
      </c>
      <c r="B178" s="111"/>
      <c r="C178" s="111"/>
      <c r="D178" s="111"/>
      <c r="E178" s="111"/>
      <c r="F178" s="111"/>
      <c r="G178" s="111"/>
      <c r="H178" s="111"/>
      <c r="I178" s="194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75"/>
      <c r="AI178" s="111"/>
      <c r="AJ178" s="111"/>
      <c r="AK178" s="111"/>
      <c r="AL178" s="177"/>
      <c r="AM178" s="176"/>
      <c r="AN178" s="177"/>
      <c r="AO178" s="157"/>
      <c r="AP178" s="158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75"/>
      <c r="BM178" s="111"/>
      <c r="BN178" s="111"/>
      <c r="BO178" s="111"/>
      <c r="BP178" s="111"/>
      <c r="BQ178" s="111"/>
      <c r="BR178" s="111"/>
      <c r="BS178" s="111"/>
      <c r="BT178" s="111"/>
      <c r="BU178" s="111"/>
      <c r="BV178" s="111"/>
      <c r="BW178" s="111"/>
      <c r="BX178" s="111"/>
      <c r="BY178" s="111"/>
      <c r="BZ178" s="111"/>
      <c r="CA178" s="111"/>
      <c r="CB178" s="111"/>
      <c r="CC178" s="178"/>
      <c r="CD178" s="177">
        <f t="shared" si="284"/>
        <v>0</v>
      </c>
      <c r="CE178" s="148"/>
      <c r="CF178" s="111">
        <f t="shared" si="285"/>
        <v>0</v>
      </c>
      <c r="CG178" s="177"/>
      <c r="CH178" s="204"/>
      <c r="CI178" s="148"/>
      <c r="CJ178" s="165"/>
      <c r="CK178" s="165"/>
      <c r="CL178" s="111"/>
      <c r="CM178" s="111"/>
      <c r="CN178" s="165">
        <f t="shared" si="286"/>
        <v>0</v>
      </c>
      <c r="CO178" s="109">
        <f t="shared" si="287"/>
        <v>0</v>
      </c>
      <c r="CP178" s="109">
        <f t="shared" si="288"/>
        <v>0</v>
      </c>
      <c r="CQ178" s="109"/>
      <c r="CR178" s="109"/>
      <c r="CS178" s="196"/>
      <c r="CT178" s="167"/>
      <c r="CU178" s="165"/>
      <c r="CV178" s="109">
        <f t="shared" si="289"/>
        <v>0</v>
      </c>
      <c r="CW178" s="109">
        <f t="shared" si="290"/>
        <v>0</v>
      </c>
      <c r="CX178" s="109"/>
      <c r="CY178" s="109"/>
      <c r="CZ178" s="111"/>
      <c r="DA178" s="111"/>
      <c r="DB178" s="165"/>
      <c r="DC178" s="109">
        <f t="shared" si="291"/>
        <v>0</v>
      </c>
      <c r="DD178" s="109">
        <f t="shared" si="292"/>
        <v>0</v>
      </c>
      <c r="DE178" s="109"/>
      <c r="DF178" s="109"/>
      <c r="DG178" s="111"/>
      <c r="DH178" s="111"/>
      <c r="DI178" s="165"/>
      <c r="DJ178" s="109">
        <f t="shared" si="293"/>
        <v>0</v>
      </c>
      <c r="DK178" s="109">
        <f t="shared" si="294"/>
        <v>0</v>
      </c>
      <c r="DL178" s="109"/>
      <c r="DM178" s="109"/>
      <c r="DN178" s="111"/>
      <c r="DO178" s="111"/>
      <c r="DP178" s="165"/>
      <c r="DQ178" s="109">
        <f t="shared" si="302"/>
        <v>0</v>
      </c>
      <c r="DR178" s="109">
        <f t="shared" si="303"/>
        <v>0</v>
      </c>
      <c r="DS178" s="109"/>
      <c r="DT178" s="109"/>
      <c r="DU178" s="111"/>
      <c r="DV178" s="111"/>
      <c r="DW178" s="165"/>
      <c r="DX178" s="109">
        <f t="shared" si="304"/>
        <v>0</v>
      </c>
      <c r="DY178" s="109">
        <f t="shared" si="305"/>
        <v>0</v>
      </c>
      <c r="DZ178" s="109"/>
      <c r="EA178" s="109"/>
      <c r="EB178" s="111"/>
      <c r="EC178" s="111"/>
      <c r="ED178" s="165"/>
      <c r="EE178" s="109">
        <f t="shared" si="306"/>
        <v>0</v>
      </c>
      <c r="EF178" s="109">
        <f t="shared" si="307"/>
        <v>0</v>
      </c>
      <c r="EG178" s="109"/>
      <c r="EH178" s="109"/>
      <c r="EI178" s="111"/>
      <c r="EJ178" s="111"/>
      <c r="EK178" s="165"/>
      <c r="EL178" s="109">
        <f t="shared" si="308"/>
        <v>0</v>
      </c>
      <c r="EM178" s="109">
        <f t="shared" si="309"/>
        <v>0</v>
      </c>
      <c r="EN178" s="109"/>
      <c r="EO178" s="109"/>
      <c r="EP178" s="111"/>
      <c r="EQ178" s="111"/>
      <c r="ER178" s="165"/>
      <c r="ES178" s="109">
        <f t="shared" si="310"/>
        <v>0</v>
      </c>
      <c r="ET178" s="109">
        <f t="shared" si="311"/>
        <v>0</v>
      </c>
      <c r="EU178" s="109"/>
      <c r="EV178" s="109"/>
      <c r="EW178" s="111"/>
      <c r="EX178" s="111"/>
      <c r="EY178" s="165"/>
      <c r="EZ178" s="109">
        <f t="shared" si="312"/>
        <v>0</v>
      </c>
      <c r="FA178" s="109">
        <f t="shared" si="313"/>
        <v>0</v>
      </c>
      <c r="FB178" s="109"/>
      <c r="FC178" s="109"/>
      <c r="FD178" s="111"/>
      <c r="FE178" s="111"/>
      <c r="FF178" s="165"/>
      <c r="FG178" s="109">
        <f t="shared" si="314"/>
        <v>0</v>
      </c>
      <c r="FH178" s="109">
        <f t="shared" si="315"/>
        <v>0</v>
      </c>
      <c r="FI178" s="109"/>
      <c r="FJ178" s="109"/>
      <c r="FK178" s="111"/>
      <c r="FL178" s="111"/>
      <c r="FM178" s="165"/>
      <c r="FN178" s="109">
        <f t="shared" si="316"/>
        <v>0</v>
      </c>
      <c r="FO178" s="109">
        <f t="shared" si="317"/>
        <v>0</v>
      </c>
      <c r="FP178" s="109"/>
      <c r="FQ178" s="109"/>
      <c r="FR178" s="111"/>
      <c r="FS178" s="111"/>
      <c r="FT178" s="165"/>
      <c r="FU178" s="109">
        <f t="shared" si="318"/>
        <v>0</v>
      </c>
      <c r="FV178" s="109">
        <f t="shared" si="326"/>
        <v>0</v>
      </c>
      <c r="FW178" s="109"/>
      <c r="FX178" s="109"/>
      <c r="FY178" s="111"/>
      <c r="FZ178" s="111"/>
      <c r="GA178" s="165"/>
      <c r="GB178" s="109">
        <f t="shared" si="319"/>
        <v>0</v>
      </c>
      <c r="GC178" s="109">
        <f t="shared" si="327"/>
        <v>0</v>
      </c>
      <c r="GD178" s="109"/>
      <c r="GE178" s="109"/>
      <c r="GF178" s="111"/>
      <c r="GG178" s="111"/>
      <c r="GH178" s="165"/>
      <c r="GI178" s="109">
        <f t="shared" si="320"/>
        <v>0</v>
      </c>
      <c r="GJ178" s="109">
        <f t="shared" si="328"/>
        <v>0</v>
      </c>
      <c r="GK178" s="109"/>
      <c r="GL178" s="109"/>
      <c r="GM178" s="111"/>
      <c r="GN178" s="111"/>
      <c r="GO178" s="165"/>
      <c r="GP178" s="109">
        <f t="shared" si="321"/>
        <v>0</v>
      </c>
      <c r="GQ178" s="109">
        <f t="shared" si="329"/>
        <v>0</v>
      </c>
      <c r="GR178" s="109"/>
      <c r="GS178" s="109"/>
      <c r="GT178" s="111"/>
      <c r="GU178" s="111"/>
      <c r="GV178" s="165"/>
      <c r="GW178" s="168">
        <f t="shared" si="322"/>
        <v>0</v>
      </c>
      <c r="GX178" s="168">
        <f t="shared" si="330"/>
        <v>0</v>
      </c>
      <c r="GY178" s="168"/>
      <c r="GZ178" s="168"/>
      <c r="HA178" s="111"/>
      <c r="HB178" s="111"/>
      <c r="HC178" s="165"/>
      <c r="HD178" s="109">
        <f t="shared" si="323"/>
        <v>0</v>
      </c>
      <c r="HE178" s="109">
        <f t="shared" si="331"/>
        <v>0</v>
      </c>
      <c r="HF178" s="109"/>
      <c r="HG178" s="109"/>
      <c r="HH178" s="111"/>
      <c r="HI178" s="111"/>
      <c r="HJ178" s="165"/>
      <c r="HK178" s="109">
        <f t="shared" si="324"/>
        <v>0</v>
      </c>
      <c r="HL178" s="109">
        <f t="shared" si="332"/>
        <v>0</v>
      </c>
      <c r="HM178" s="109"/>
      <c r="HN178" s="109"/>
      <c r="HO178" s="111"/>
      <c r="HP178" s="111"/>
      <c r="HQ178" s="165"/>
      <c r="HR178" s="109">
        <f t="shared" si="325"/>
        <v>0</v>
      </c>
      <c r="HS178" s="109">
        <f t="shared" si="333"/>
        <v>0</v>
      </c>
      <c r="HT178" s="109"/>
      <c r="HU178" s="109"/>
      <c r="HV178" s="111"/>
      <c r="HW178" s="111"/>
      <c r="HX178" s="105">
        <f t="shared" si="301"/>
        <v>0</v>
      </c>
      <c r="HY178" s="105">
        <f t="shared" si="301"/>
        <v>0</v>
      </c>
      <c r="HZ178" s="105">
        <f t="shared" si="301"/>
        <v>0</v>
      </c>
      <c r="IA178" s="105">
        <f t="shared" si="295"/>
        <v>0</v>
      </c>
      <c r="IB178" s="109">
        <f t="shared" si="296"/>
        <v>0</v>
      </c>
      <c r="IC178" s="109">
        <f t="shared" si="297"/>
        <v>0</v>
      </c>
      <c r="ID178" s="109">
        <f t="shared" si="298"/>
        <v>0</v>
      </c>
      <c r="IE178" s="109">
        <f t="shared" si="299"/>
        <v>0</v>
      </c>
      <c r="IF178" s="197"/>
      <c r="IG178" s="197"/>
      <c r="IH178" s="197"/>
      <c r="II178" s="197"/>
      <c r="IJ178" s="197"/>
      <c r="IK178" s="197"/>
      <c r="IL178" s="197"/>
      <c r="IM178" s="171"/>
      <c r="IN178" s="171"/>
      <c r="IO178" s="171"/>
      <c r="IP178" s="171"/>
    </row>
    <row r="179" spans="1:250" ht="15" customHeight="1" x14ac:dyDescent="0.3">
      <c r="A179" s="110">
        <f t="shared" si="300"/>
        <v>175</v>
      </c>
      <c r="B179" s="111"/>
      <c r="C179" s="111"/>
      <c r="D179" s="111"/>
      <c r="E179" s="111"/>
      <c r="F179" s="111"/>
      <c r="G179" s="111"/>
      <c r="H179" s="111"/>
      <c r="I179" s="194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75"/>
      <c r="AI179" s="111"/>
      <c r="AJ179" s="111"/>
      <c r="AK179" s="111"/>
      <c r="AL179" s="177"/>
      <c r="AM179" s="176"/>
      <c r="AN179" s="177"/>
      <c r="AO179" s="157"/>
      <c r="AP179" s="158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75"/>
      <c r="BM179" s="111"/>
      <c r="BN179" s="111"/>
      <c r="BO179" s="111"/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1"/>
      <c r="CA179" s="111"/>
      <c r="CB179" s="111"/>
      <c r="CC179" s="178"/>
      <c r="CD179" s="177">
        <f t="shared" si="284"/>
        <v>0</v>
      </c>
      <c r="CE179" s="148"/>
      <c r="CF179" s="111">
        <f t="shared" si="285"/>
        <v>0</v>
      </c>
      <c r="CG179" s="177"/>
      <c r="CH179" s="204"/>
      <c r="CI179" s="148"/>
      <c r="CJ179" s="165"/>
      <c r="CK179" s="165"/>
      <c r="CL179" s="111"/>
      <c r="CM179" s="111"/>
      <c r="CN179" s="165">
        <f t="shared" si="286"/>
        <v>0</v>
      </c>
      <c r="CO179" s="109">
        <f t="shared" si="287"/>
        <v>0</v>
      </c>
      <c r="CP179" s="109">
        <f t="shared" si="288"/>
        <v>0</v>
      </c>
      <c r="CQ179" s="109"/>
      <c r="CR179" s="109"/>
      <c r="CS179" s="196"/>
      <c r="CT179" s="167"/>
      <c r="CU179" s="165"/>
      <c r="CV179" s="109">
        <f t="shared" si="289"/>
        <v>0</v>
      </c>
      <c r="CW179" s="109">
        <f t="shared" si="290"/>
        <v>0</v>
      </c>
      <c r="CX179" s="109"/>
      <c r="CY179" s="109"/>
      <c r="CZ179" s="111"/>
      <c r="DA179" s="111"/>
      <c r="DB179" s="165"/>
      <c r="DC179" s="109">
        <f t="shared" si="291"/>
        <v>0</v>
      </c>
      <c r="DD179" s="109">
        <f t="shared" si="292"/>
        <v>0</v>
      </c>
      <c r="DE179" s="109"/>
      <c r="DF179" s="109"/>
      <c r="DG179" s="111"/>
      <c r="DH179" s="111"/>
      <c r="DI179" s="165"/>
      <c r="DJ179" s="109">
        <f t="shared" si="293"/>
        <v>0</v>
      </c>
      <c r="DK179" s="109">
        <f t="shared" si="294"/>
        <v>0</v>
      </c>
      <c r="DL179" s="109"/>
      <c r="DM179" s="109"/>
      <c r="DN179" s="111"/>
      <c r="DO179" s="111"/>
      <c r="DP179" s="165"/>
      <c r="DQ179" s="109">
        <f t="shared" si="302"/>
        <v>0</v>
      </c>
      <c r="DR179" s="109">
        <f t="shared" si="303"/>
        <v>0</v>
      </c>
      <c r="DS179" s="109"/>
      <c r="DT179" s="109"/>
      <c r="DU179" s="111"/>
      <c r="DV179" s="111"/>
      <c r="DW179" s="165"/>
      <c r="DX179" s="109">
        <f t="shared" si="304"/>
        <v>0</v>
      </c>
      <c r="DY179" s="109">
        <f t="shared" si="305"/>
        <v>0</v>
      </c>
      <c r="DZ179" s="109"/>
      <c r="EA179" s="109"/>
      <c r="EB179" s="111"/>
      <c r="EC179" s="111"/>
      <c r="ED179" s="165"/>
      <c r="EE179" s="109">
        <f t="shared" si="306"/>
        <v>0</v>
      </c>
      <c r="EF179" s="109">
        <f t="shared" si="307"/>
        <v>0</v>
      </c>
      <c r="EG179" s="109"/>
      <c r="EH179" s="109"/>
      <c r="EI179" s="111"/>
      <c r="EJ179" s="111"/>
      <c r="EK179" s="165"/>
      <c r="EL179" s="109">
        <f t="shared" si="308"/>
        <v>0</v>
      </c>
      <c r="EM179" s="109">
        <f t="shared" si="309"/>
        <v>0</v>
      </c>
      <c r="EN179" s="109"/>
      <c r="EO179" s="109"/>
      <c r="EP179" s="111"/>
      <c r="EQ179" s="111"/>
      <c r="ER179" s="165"/>
      <c r="ES179" s="109">
        <f t="shared" si="310"/>
        <v>0</v>
      </c>
      <c r="ET179" s="109">
        <f t="shared" si="311"/>
        <v>0</v>
      </c>
      <c r="EU179" s="109"/>
      <c r="EV179" s="109"/>
      <c r="EW179" s="111"/>
      <c r="EX179" s="111"/>
      <c r="EY179" s="165"/>
      <c r="EZ179" s="109">
        <f t="shared" si="312"/>
        <v>0</v>
      </c>
      <c r="FA179" s="109">
        <f t="shared" si="313"/>
        <v>0</v>
      </c>
      <c r="FB179" s="109"/>
      <c r="FC179" s="109"/>
      <c r="FD179" s="111"/>
      <c r="FE179" s="111"/>
      <c r="FF179" s="165"/>
      <c r="FG179" s="109">
        <f t="shared" si="314"/>
        <v>0</v>
      </c>
      <c r="FH179" s="109">
        <f t="shared" si="315"/>
        <v>0</v>
      </c>
      <c r="FI179" s="109"/>
      <c r="FJ179" s="109"/>
      <c r="FK179" s="111"/>
      <c r="FL179" s="111"/>
      <c r="FM179" s="165"/>
      <c r="FN179" s="109">
        <f t="shared" si="316"/>
        <v>0</v>
      </c>
      <c r="FO179" s="109">
        <f t="shared" si="317"/>
        <v>0</v>
      </c>
      <c r="FP179" s="109"/>
      <c r="FQ179" s="109"/>
      <c r="FR179" s="111"/>
      <c r="FS179" s="111"/>
      <c r="FT179" s="165"/>
      <c r="FU179" s="109">
        <f t="shared" si="318"/>
        <v>0</v>
      </c>
      <c r="FV179" s="109">
        <f t="shared" si="326"/>
        <v>0</v>
      </c>
      <c r="FW179" s="109"/>
      <c r="FX179" s="109"/>
      <c r="FY179" s="111"/>
      <c r="FZ179" s="111"/>
      <c r="GA179" s="165"/>
      <c r="GB179" s="109">
        <f t="shared" si="319"/>
        <v>0</v>
      </c>
      <c r="GC179" s="109">
        <f t="shared" si="327"/>
        <v>0</v>
      </c>
      <c r="GD179" s="109"/>
      <c r="GE179" s="109"/>
      <c r="GF179" s="111"/>
      <c r="GG179" s="111"/>
      <c r="GH179" s="165"/>
      <c r="GI179" s="109">
        <f t="shared" si="320"/>
        <v>0</v>
      </c>
      <c r="GJ179" s="109">
        <f t="shared" si="328"/>
        <v>0</v>
      </c>
      <c r="GK179" s="109"/>
      <c r="GL179" s="109"/>
      <c r="GM179" s="111"/>
      <c r="GN179" s="111"/>
      <c r="GO179" s="165"/>
      <c r="GP179" s="109">
        <f t="shared" si="321"/>
        <v>0</v>
      </c>
      <c r="GQ179" s="109">
        <f t="shared" si="329"/>
        <v>0</v>
      </c>
      <c r="GR179" s="109"/>
      <c r="GS179" s="109"/>
      <c r="GT179" s="111"/>
      <c r="GU179" s="111"/>
      <c r="GV179" s="165"/>
      <c r="GW179" s="168">
        <f t="shared" si="322"/>
        <v>0</v>
      </c>
      <c r="GX179" s="168">
        <f t="shared" si="330"/>
        <v>0</v>
      </c>
      <c r="GY179" s="168"/>
      <c r="GZ179" s="168"/>
      <c r="HA179" s="111"/>
      <c r="HB179" s="111"/>
      <c r="HC179" s="165"/>
      <c r="HD179" s="109">
        <f t="shared" si="323"/>
        <v>0</v>
      </c>
      <c r="HE179" s="109">
        <f t="shared" si="331"/>
        <v>0</v>
      </c>
      <c r="HF179" s="109"/>
      <c r="HG179" s="109"/>
      <c r="HH179" s="111"/>
      <c r="HI179" s="111"/>
      <c r="HJ179" s="165"/>
      <c r="HK179" s="109">
        <f t="shared" si="324"/>
        <v>0</v>
      </c>
      <c r="HL179" s="109">
        <f t="shared" si="332"/>
        <v>0</v>
      </c>
      <c r="HM179" s="109"/>
      <c r="HN179" s="109"/>
      <c r="HO179" s="111"/>
      <c r="HP179" s="111"/>
      <c r="HQ179" s="165"/>
      <c r="HR179" s="109">
        <f t="shared" si="325"/>
        <v>0</v>
      </c>
      <c r="HS179" s="109">
        <f t="shared" si="333"/>
        <v>0</v>
      </c>
      <c r="HT179" s="109"/>
      <c r="HU179" s="109"/>
      <c r="HV179" s="111"/>
      <c r="HW179" s="111"/>
      <c r="HX179" s="105">
        <f t="shared" si="301"/>
        <v>0</v>
      </c>
      <c r="HY179" s="105">
        <f t="shared" si="301"/>
        <v>0</v>
      </c>
      <c r="HZ179" s="105">
        <f t="shared" si="301"/>
        <v>0</v>
      </c>
      <c r="IA179" s="105">
        <f t="shared" si="295"/>
        <v>0</v>
      </c>
      <c r="IB179" s="109">
        <f t="shared" si="296"/>
        <v>0</v>
      </c>
      <c r="IC179" s="109">
        <f t="shared" si="297"/>
        <v>0</v>
      </c>
      <c r="ID179" s="109">
        <f t="shared" si="298"/>
        <v>0</v>
      </c>
      <c r="IE179" s="109">
        <f t="shared" si="299"/>
        <v>0</v>
      </c>
      <c r="IF179" s="197"/>
      <c r="IG179" s="197"/>
      <c r="IH179" s="197"/>
      <c r="II179" s="197"/>
      <c r="IJ179" s="197"/>
      <c r="IK179" s="197"/>
      <c r="IL179" s="197"/>
      <c r="IM179" s="171"/>
      <c r="IN179" s="171"/>
      <c r="IO179" s="171"/>
      <c r="IP179" s="171"/>
    </row>
    <row r="180" spans="1:250" ht="15" customHeight="1" x14ac:dyDescent="0.3">
      <c r="A180" s="110">
        <f t="shared" si="300"/>
        <v>176</v>
      </c>
      <c r="B180" s="111"/>
      <c r="C180" s="111"/>
      <c r="D180" s="111"/>
      <c r="E180" s="111"/>
      <c r="F180" s="111"/>
      <c r="G180" s="111"/>
      <c r="H180" s="111"/>
      <c r="I180" s="194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75"/>
      <c r="AI180" s="111"/>
      <c r="AJ180" s="111"/>
      <c r="AK180" s="111"/>
      <c r="AL180" s="177"/>
      <c r="AM180" s="176"/>
      <c r="AN180" s="177"/>
      <c r="AO180" s="157"/>
      <c r="AP180" s="158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75"/>
      <c r="BM180" s="111"/>
      <c r="BN180" s="111"/>
      <c r="BO180" s="111"/>
      <c r="BP180" s="111"/>
      <c r="BQ180" s="111"/>
      <c r="BR180" s="111"/>
      <c r="BS180" s="111"/>
      <c r="BT180" s="111"/>
      <c r="BU180" s="111"/>
      <c r="BV180" s="111"/>
      <c r="BW180" s="111"/>
      <c r="BX180" s="111"/>
      <c r="BY180" s="111"/>
      <c r="BZ180" s="111"/>
      <c r="CA180" s="111"/>
      <c r="CB180" s="111"/>
      <c r="CC180" s="178"/>
      <c r="CD180" s="177">
        <f t="shared" si="284"/>
        <v>0</v>
      </c>
      <c r="CE180" s="148"/>
      <c r="CF180" s="111">
        <f t="shared" si="285"/>
        <v>0</v>
      </c>
      <c r="CG180" s="177"/>
      <c r="CH180" s="204"/>
      <c r="CI180" s="148"/>
      <c r="CJ180" s="165"/>
      <c r="CK180" s="165"/>
      <c r="CL180" s="111"/>
      <c r="CM180" s="111"/>
      <c r="CN180" s="165">
        <f t="shared" si="286"/>
        <v>0</v>
      </c>
      <c r="CO180" s="109">
        <f t="shared" si="287"/>
        <v>0</v>
      </c>
      <c r="CP180" s="109">
        <f t="shared" si="288"/>
        <v>0</v>
      </c>
      <c r="CQ180" s="109"/>
      <c r="CR180" s="109"/>
      <c r="CS180" s="196"/>
      <c r="CT180" s="167"/>
      <c r="CU180" s="165"/>
      <c r="CV180" s="109">
        <f t="shared" si="289"/>
        <v>0</v>
      </c>
      <c r="CW180" s="109">
        <f t="shared" si="290"/>
        <v>0</v>
      </c>
      <c r="CX180" s="109"/>
      <c r="CY180" s="109"/>
      <c r="CZ180" s="111"/>
      <c r="DA180" s="111"/>
      <c r="DB180" s="165"/>
      <c r="DC180" s="109">
        <f t="shared" si="291"/>
        <v>0</v>
      </c>
      <c r="DD180" s="109">
        <f t="shared" si="292"/>
        <v>0</v>
      </c>
      <c r="DE180" s="109"/>
      <c r="DF180" s="109"/>
      <c r="DG180" s="111"/>
      <c r="DH180" s="111"/>
      <c r="DI180" s="165"/>
      <c r="DJ180" s="109">
        <f t="shared" si="293"/>
        <v>0</v>
      </c>
      <c r="DK180" s="109">
        <f t="shared" si="294"/>
        <v>0</v>
      </c>
      <c r="DL180" s="109"/>
      <c r="DM180" s="109"/>
      <c r="DN180" s="111"/>
      <c r="DO180" s="111"/>
      <c r="DP180" s="165"/>
      <c r="DQ180" s="109">
        <f t="shared" si="302"/>
        <v>0</v>
      </c>
      <c r="DR180" s="109">
        <f t="shared" si="303"/>
        <v>0</v>
      </c>
      <c r="DS180" s="109"/>
      <c r="DT180" s="109"/>
      <c r="DU180" s="111"/>
      <c r="DV180" s="111"/>
      <c r="DW180" s="165"/>
      <c r="DX180" s="109">
        <f t="shared" si="304"/>
        <v>0</v>
      </c>
      <c r="DY180" s="109">
        <f t="shared" si="305"/>
        <v>0</v>
      </c>
      <c r="DZ180" s="109"/>
      <c r="EA180" s="109"/>
      <c r="EB180" s="111"/>
      <c r="EC180" s="111"/>
      <c r="ED180" s="165"/>
      <c r="EE180" s="109">
        <f t="shared" si="306"/>
        <v>0</v>
      </c>
      <c r="EF180" s="109">
        <f t="shared" si="307"/>
        <v>0</v>
      </c>
      <c r="EG180" s="109"/>
      <c r="EH180" s="109"/>
      <c r="EI180" s="111"/>
      <c r="EJ180" s="111"/>
      <c r="EK180" s="165"/>
      <c r="EL180" s="109">
        <f t="shared" si="308"/>
        <v>0</v>
      </c>
      <c r="EM180" s="109">
        <f t="shared" si="309"/>
        <v>0</v>
      </c>
      <c r="EN180" s="109"/>
      <c r="EO180" s="109"/>
      <c r="EP180" s="111"/>
      <c r="EQ180" s="111"/>
      <c r="ER180" s="165"/>
      <c r="ES180" s="109">
        <f t="shared" si="310"/>
        <v>0</v>
      </c>
      <c r="ET180" s="109">
        <f t="shared" si="311"/>
        <v>0</v>
      </c>
      <c r="EU180" s="109"/>
      <c r="EV180" s="109"/>
      <c r="EW180" s="111"/>
      <c r="EX180" s="111"/>
      <c r="EY180" s="165"/>
      <c r="EZ180" s="109">
        <f t="shared" si="312"/>
        <v>0</v>
      </c>
      <c r="FA180" s="109">
        <f t="shared" si="313"/>
        <v>0</v>
      </c>
      <c r="FB180" s="109"/>
      <c r="FC180" s="109"/>
      <c r="FD180" s="111"/>
      <c r="FE180" s="111"/>
      <c r="FF180" s="165"/>
      <c r="FG180" s="109">
        <f t="shared" si="314"/>
        <v>0</v>
      </c>
      <c r="FH180" s="109">
        <f t="shared" si="315"/>
        <v>0</v>
      </c>
      <c r="FI180" s="109"/>
      <c r="FJ180" s="109"/>
      <c r="FK180" s="111"/>
      <c r="FL180" s="111"/>
      <c r="FM180" s="165"/>
      <c r="FN180" s="109">
        <f t="shared" si="316"/>
        <v>0</v>
      </c>
      <c r="FO180" s="109">
        <f t="shared" si="317"/>
        <v>0</v>
      </c>
      <c r="FP180" s="109"/>
      <c r="FQ180" s="109"/>
      <c r="FR180" s="111"/>
      <c r="FS180" s="111"/>
      <c r="FT180" s="165"/>
      <c r="FU180" s="109">
        <f t="shared" si="318"/>
        <v>0</v>
      </c>
      <c r="FV180" s="109">
        <f t="shared" si="326"/>
        <v>0</v>
      </c>
      <c r="FW180" s="109"/>
      <c r="FX180" s="109"/>
      <c r="FY180" s="111"/>
      <c r="FZ180" s="111"/>
      <c r="GA180" s="165"/>
      <c r="GB180" s="109">
        <f t="shared" si="319"/>
        <v>0</v>
      </c>
      <c r="GC180" s="109">
        <f t="shared" si="327"/>
        <v>0</v>
      </c>
      <c r="GD180" s="109"/>
      <c r="GE180" s="109"/>
      <c r="GF180" s="111"/>
      <c r="GG180" s="111"/>
      <c r="GH180" s="165"/>
      <c r="GI180" s="109">
        <f t="shared" si="320"/>
        <v>0</v>
      </c>
      <c r="GJ180" s="109">
        <f t="shared" si="328"/>
        <v>0</v>
      </c>
      <c r="GK180" s="109"/>
      <c r="GL180" s="109"/>
      <c r="GM180" s="111"/>
      <c r="GN180" s="111"/>
      <c r="GO180" s="165"/>
      <c r="GP180" s="109">
        <f t="shared" si="321"/>
        <v>0</v>
      </c>
      <c r="GQ180" s="109">
        <f t="shared" si="329"/>
        <v>0</v>
      </c>
      <c r="GR180" s="109"/>
      <c r="GS180" s="109"/>
      <c r="GT180" s="111"/>
      <c r="GU180" s="111"/>
      <c r="GV180" s="165"/>
      <c r="GW180" s="168">
        <f t="shared" si="322"/>
        <v>0</v>
      </c>
      <c r="GX180" s="168">
        <f t="shared" si="330"/>
        <v>0</v>
      </c>
      <c r="GY180" s="168"/>
      <c r="GZ180" s="168"/>
      <c r="HA180" s="111"/>
      <c r="HB180" s="111"/>
      <c r="HC180" s="165"/>
      <c r="HD180" s="109">
        <f t="shared" si="323"/>
        <v>0</v>
      </c>
      <c r="HE180" s="109">
        <f t="shared" si="331"/>
        <v>0</v>
      </c>
      <c r="HF180" s="109"/>
      <c r="HG180" s="109"/>
      <c r="HH180" s="111"/>
      <c r="HI180" s="111"/>
      <c r="HJ180" s="165"/>
      <c r="HK180" s="109">
        <f t="shared" si="324"/>
        <v>0</v>
      </c>
      <c r="HL180" s="109">
        <f t="shared" si="332"/>
        <v>0</v>
      </c>
      <c r="HM180" s="109"/>
      <c r="HN180" s="109"/>
      <c r="HO180" s="111"/>
      <c r="HP180" s="111"/>
      <c r="HQ180" s="165"/>
      <c r="HR180" s="109">
        <f t="shared" si="325"/>
        <v>0</v>
      </c>
      <c r="HS180" s="109">
        <f t="shared" si="333"/>
        <v>0</v>
      </c>
      <c r="HT180" s="109"/>
      <c r="HU180" s="109"/>
      <c r="HV180" s="111"/>
      <c r="HW180" s="111"/>
      <c r="HX180" s="105">
        <f t="shared" si="301"/>
        <v>0</v>
      </c>
      <c r="HY180" s="105">
        <f t="shared" si="301"/>
        <v>0</v>
      </c>
      <c r="HZ180" s="105">
        <f t="shared" si="301"/>
        <v>0</v>
      </c>
      <c r="IA180" s="105">
        <f t="shared" si="295"/>
        <v>0</v>
      </c>
      <c r="IB180" s="109">
        <f t="shared" si="296"/>
        <v>0</v>
      </c>
      <c r="IC180" s="109">
        <f t="shared" si="297"/>
        <v>0</v>
      </c>
      <c r="ID180" s="109">
        <f t="shared" si="298"/>
        <v>0</v>
      </c>
      <c r="IE180" s="109">
        <f t="shared" si="299"/>
        <v>0</v>
      </c>
      <c r="IF180" s="197"/>
      <c r="IG180" s="197"/>
      <c r="IH180" s="197"/>
      <c r="II180" s="197"/>
      <c r="IJ180" s="197"/>
      <c r="IK180" s="197"/>
      <c r="IL180" s="197"/>
      <c r="IM180" s="171"/>
      <c r="IN180" s="171"/>
      <c r="IO180" s="171"/>
      <c r="IP180" s="171"/>
    </row>
    <row r="181" spans="1:250" ht="15" customHeight="1" x14ac:dyDescent="0.3">
      <c r="A181" s="110">
        <f t="shared" si="300"/>
        <v>177</v>
      </c>
      <c r="B181" s="111"/>
      <c r="C181" s="111"/>
      <c r="D181" s="111"/>
      <c r="E181" s="111"/>
      <c r="F181" s="111"/>
      <c r="G181" s="111"/>
      <c r="H181" s="111"/>
      <c r="I181" s="194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75"/>
      <c r="AI181" s="111"/>
      <c r="AJ181" s="111"/>
      <c r="AK181" s="111"/>
      <c r="AL181" s="177"/>
      <c r="AM181" s="176"/>
      <c r="AN181" s="177"/>
      <c r="AO181" s="157"/>
      <c r="AP181" s="158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75"/>
      <c r="BM181" s="111"/>
      <c r="BN181" s="111"/>
      <c r="BO181" s="111"/>
      <c r="BP181" s="111"/>
      <c r="BQ181" s="111"/>
      <c r="BR181" s="111"/>
      <c r="BS181" s="111"/>
      <c r="BT181" s="111"/>
      <c r="BU181" s="111"/>
      <c r="BV181" s="111"/>
      <c r="BW181" s="111"/>
      <c r="BX181" s="111"/>
      <c r="BY181" s="111"/>
      <c r="BZ181" s="111"/>
      <c r="CA181" s="111"/>
      <c r="CB181" s="111"/>
      <c r="CC181" s="178"/>
      <c r="CD181" s="177">
        <f t="shared" si="284"/>
        <v>0</v>
      </c>
      <c r="CE181" s="148"/>
      <c r="CF181" s="111">
        <f t="shared" si="285"/>
        <v>0</v>
      </c>
      <c r="CG181" s="177"/>
      <c r="CH181" s="204"/>
      <c r="CI181" s="148"/>
      <c r="CJ181" s="165"/>
      <c r="CK181" s="165"/>
      <c r="CL181" s="111"/>
      <c r="CM181" s="111"/>
      <c r="CN181" s="165">
        <f t="shared" si="286"/>
        <v>0</v>
      </c>
      <c r="CO181" s="109">
        <f t="shared" si="287"/>
        <v>0</v>
      </c>
      <c r="CP181" s="109">
        <f t="shared" si="288"/>
        <v>0</v>
      </c>
      <c r="CQ181" s="109"/>
      <c r="CR181" s="109"/>
      <c r="CS181" s="196"/>
      <c r="CT181" s="167"/>
      <c r="CU181" s="165"/>
      <c r="CV181" s="109">
        <f t="shared" si="289"/>
        <v>0</v>
      </c>
      <c r="CW181" s="109">
        <f t="shared" si="290"/>
        <v>0</v>
      </c>
      <c r="CX181" s="109"/>
      <c r="CY181" s="109"/>
      <c r="CZ181" s="111"/>
      <c r="DA181" s="111"/>
      <c r="DB181" s="165"/>
      <c r="DC181" s="109">
        <f t="shared" si="291"/>
        <v>0</v>
      </c>
      <c r="DD181" s="109">
        <f t="shared" si="292"/>
        <v>0</v>
      </c>
      <c r="DE181" s="109"/>
      <c r="DF181" s="109"/>
      <c r="DG181" s="111"/>
      <c r="DH181" s="111"/>
      <c r="DI181" s="165"/>
      <c r="DJ181" s="109">
        <f t="shared" si="293"/>
        <v>0</v>
      </c>
      <c r="DK181" s="109">
        <f t="shared" si="294"/>
        <v>0</v>
      </c>
      <c r="DL181" s="109"/>
      <c r="DM181" s="109"/>
      <c r="DN181" s="111"/>
      <c r="DO181" s="111"/>
      <c r="DP181" s="165"/>
      <c r="DQ181" s="109">
        <f t="shared" si="302"/>
        <v>0</v>
      </c>
      <c r="DR181" s="109">
        <f t="shared" si="303"/>
        <v>0</v>
      </c>
      <c r="DS181" s="109"/>
      <c r="DT181" s="109"/>
      <c r="DU181" s="111"/>
      <c r="DV181" s="111"/>
      <c r="DW181" s="165"/>
      <c r="DX181" s="109">
        <f t="shared" si="304"/>
        <v>0</v>
      </c>
      <c r="DY181" s="109">
        <f t="shared" si="305"/>
        <v>0</v>
      </c>
      <c r="DZ181" s="109"/>
      <c r="EA181" s="109"/>
      <c r="EB181" s="111"/>
      <c r="EC181" s="111"/>
      <c r="ED181" s="165"/>
      <c r="EE181" s="109">
        <f t="shared" si="306"/>
        <v>0</v>
      </c>
      <c r="EF181" s="109">
        <f t="shared" si="307"/>
        <v>0</v>
      </c>
      <c r="EG181" s="109"/>
      <c r="EH181" s="109"/>
      <c r="EI181" s="111"/>
      <c r="EJ181" s="111"/>
      <c r="EK181" s="165"/>
      <c r="EL181" s="109">
        <f t="shared" si="308"/>
        <v>0</v>
      </c>
      <c r="EM181" s="109">
        <f t="shared" si="309"/>
        <v>0</v>
      </c>
      <c r="EN181" s="109"/>
      <c r="EO181" s="109"/>
      <c r="EP181" s="111"/>
      <c r="EQ181" s="111"/>
      <c r="ER181" s="165"/>
      <c r="ES181" s="109">
        <f t="shared" si="310"/>
        <v>0</v>
      </c>
      <c r="ET181" s="109">
        <f t="shared" si="311"/>
        <v>0</v>
      </c>
      <c r="EU181" s="109"/>
      <c r="EV181" s="109"/>
      <c r="EW181" s="111"/>
      <c r="EX181" s="111"/>
      <c r="EY181" s="165"/>
      <c r="EZ181" s="109">
        <f t="shared" si="312"/>
        <v>0</v>
      </c>
      <c r="FA181" s="109">
        <f t="shared" si="313"/>
        <v>0</v>
      </c>
      <c r="FB181" s="109"/>
      <c r="FC181" s="109"/>
      <c r="FD181" s="111"/>
      <c r="FE181" s="111"/>
      <c r="FF181" s="165"/>
      <c r="FG181" s="109">
        <f t="shared" si="314"/>
        <v>0</v>
      </c>
      <c r="FH181" s="109">
        <f t="shared" si="315"/>
        <v>0</v>
      </c>
      <c r="FI181" s="109"/>
      <c r="FJ181" s="109"/>
      <c r="FK181" s="111"/>
      <c r="FL181" s="111"/>
      <c r="FM181" s="165"/>
      <c r="FN181" s="109">
        <f t="shared" si="316"/>
        <v>0</v>
      </c>
      <c r="FO181" s="109">
        <f t="shared" si="317"/>
        <v>0</v>
      </c>
      <c r="FP181" s="109"/>
      <c r="FQ181" s="109"/>
      <c r="FR181" s="111"/>
      <c r="FS181" s="111"/>
      <c r="FT181" s="165"/>
      <c r="FU181" s="109">
        <f t="shared" si="318"/>
        <v>0</v>
      </c>
      <c r="FV181" s="109">
        <f t="shared" si="326"/>
        <v>0</v>
      </c>
      <c r="FW181" s="109"/>
      <c r="FX181" s="109"/>
      <c r="FY181" s="111"/>
      <c r="FZ181" s="111"/>
      <c r="GA181" s="165"/>
      <c r="GB181" s="109">
        <f t="shared" si="319"/>
        <v>0</v>
      </c>
      <c r="GC181" s="109">
        <f t="shared" si="327"/>
        <v>0</v>
      </c>
      <c r="GD181" s="109"/>
      <c r="GE181" s="109"/>
      <c r="GF181" s="111"/>
      <c r="GG181" s="111"/>
      <c r="GH181" s="165"/>
      <c r="GI181" s="109">
        <f t="shared" si="320"/>
        <v>0</v>
      </c>
      <c r="GJ181" s="109">
        <f t="shared" si="328"/>
        <v>0</v>
      </c>
      <c r="GK181" s="109"/>
      <c r="GL181" s="109"/>
      <c r="GM181" s="111"/>
      <c r="GN181" s="111"/>
      <c r="GO181" s="165"/>
      <c r="GP181" s="109">
        <f t="shared" si="321"/>
        <v>0</v>
      </c>
      <c r="GQ181" s="109">
        <f t="shared" si="329"/>
        <v>0</v>
      </c>
      <c r="GR181" s="109"/>
      <c r="GS181" s="109"/>
      <c r="GT181" s="111"/>
      <c r="GU181" s="111"/>
      <c r="GV181" s="165"/>
      <c r="GW181" s="168">
        <f t="shared" si="322"/>
        <v>0</v>
      </c>
      <c r="GX181" s="168">
        <f t="shared" si="330"/>
        <v>0</v>
      </c>
      <c r="GY181" s="168"/>
      <c r="GZ181" s="168"/>
      <c r="HA181" s="111"/>
      <c r="HB181" s="111"/>
      <c r="HC181" s="165"/>
      <c r="HD181" s="109">
        <f t="shared" si="323"/>
        <v>0</v>
      </c>
      <c r="HE181" s="109">
        <f t="shared" si="331"/>
        <v>0</v>
      </c>
      <c r="HF181" s="109"/>
      <c r="HG181" s="109"/>
      <c r="HH181" s="111"/>
      <c r="HI181" s="111"/>
      <c r="HJ181" s="165"/>
      <c r="HK181" s="109">
        <f t="shared" si="324"/>
        <v>0</v>
      </c>
      <c r="HL181" s="109">
        <f t="shared" si="332"/>
        <v>0</v>
      </c>
      <c r="HM181" s="109"/>
      <c r="HN181" s="109"/>
      <c r="HO181" s="111"/>
      <c r="HP181" s="111"/>
      <c r="HQ181" s="165"/>
      <c r="HR181" s="109">
        <f t="shared" si="325"/>
        <v>0</v>
      </c>
      <c r="HS181" s="109">
        <f t="shared" si="333"/>
        <v>0</v>
      </c>
      <c r="HT181" s="109"/>
      <c r="HU181" s="109"/>
      <c r="HV181" s="111"/>
      <c r="HW181" s="111"/>
      <c r="HX181" s="105">
        <f t="shared" si="301"/>
        <v>0</v>
      </c>
      <c r="HY181" s="105">
        <f t="shared" si="301"/>
        <v>0</v>
      </c>
      <c r="HZ181" s="105">
        <f t="shared" si="301"/>
        <v>0</v>
      </c>
      <c r="IA181" s="105">
        <f t="shared" si="295"/>
        <v>0</v>
      </c>
      <c r="IB181" s="109">
        <f t="shared" si="296"/>
        <v>0</v>
      </c>
      <c r="IC181" s="109">
        <f t="shared" si="297"/>
        <v>0</v>
      </c>
      <c r="ID181" s="109">
        <f t="shared" si="298"/>
        <v>0</v>
      </c>
      <c r="IE181" s="109">
        <f t="shared" si="299"/>
        <v>0</v>
      </c>
      <c r="IF181" s="197"/>
      <c r="IG181" s="197"/>
      <c r="IH181" s="197"/>
      <c r="II181" s="197"/>
      <c r="IJ181" s="197"/>
      <c r="IK181" s="197"/>
      <c r="IL181" s="197"/>
      <c r="IM181" s="171"/>
      <c r="IN181" s="171"/>
      <c r="IO181" s="171"/>
      <c r="IP181" s="171"/>
    </row>
    <row r="182" spans="1:250" ht="15" customHeight="1" x14ac:dyDescent="0.3">
      <c r="A182" s="110">
        <f t="shared" si="300"/>
        <v>178</v>
      </c>
      <c r="B182" s="111"/>
      <c r="C182" s="111"/>
      <c r="D182" s="111"/>
      <c r="E182" s="111"/>
      <c r="F182" s="111"/>
      <c r="G182" s="111"/>
      <c r="H182" s="111"/>
      <c r="I182" s="194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75"/>
      <c r="AI182" s="111"/>
      <c r="AJ182" s="111"/>
      <c r="AK182" s="111"/>
      <c r="AL182" s="177"/>
      <c r="AM182" s="176"/>
      <c r="AN182" s="177"/>
      <c r="AO182" s="157"/>
      <c r="AP182" s="158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75"/>
      <c r="BM182" s="111"/>
      <c r="BN182" s="111"/>
      <c r="BO182" s="111"/>
      <c r="BP182" s="111"/>
      <c r="BQ182" s="111"/>
      <c r="BR182" s="111"/>
      <c r="BS182" s="111"/>
      <c r="BT182" s="111"/>
      <c r="BU182" s="111"/>
      <c r="BV182" s="111"/>
      <c r="BW182" s="111"/>
      <c r="BX182" s="111"/>
      <c r="BY182" s="111"/>
      <c r="BZ182" s="111"/>
      <c r="CA182" s="111"/>
      <c r="CB182" s="111"/>
      <c r="CC182" s="178"/>
      <c r="CD182" s="177">
        <f t="shared" si="284"/>
        <v>0</v>
      </c>
      <c r="CE182" s="148"/>
      <c r="CF182" s="111">
        <f t="shared" si="285"/>
        <v>0</v>
      </c>
      <c r="CG182" s="177"/>
      <c r="CH182" s="204"/>
      <c r="CI182" s="148"/>
      <c r="CJ182" s="165"/>
      <c r="CK182" s="165"/>
      <c r="CL182" s="111"/>
      <c r="CM182" s="111"/>
      <c r="CN182" s="165">
        <f t="shared" si="286"/>
        <v>0</v>
      </c>
      <c r="CO182" s="109">
        <f t="shared" si="287"/>
        <v>0</v>
      </c>
      <c r="CP182" s="109">
        <f t="shared" si="288"/>
        <v>0</v>
      </c>
      <c r="CQ182" s="109"/>
      <c r="CR182" s="109"/>
      <c r="CS182" s="196"/>
      <c r="CT182" s="167"/>
      <c r="CU182" s="165"/>
      <c r="CV182" s="109">
        <f t="shared" si="289"/>
        <v>0</v>
      </c>
      <c r="CW182" s="109">
        <f t="shared" si="290"/>
        <v>0</v>
      </c>
      <c r="CX182" s="109"/>
      <c r="CY182" s="109"/>
      <c r="CZ182" s="111"/>
      <c r="DA182" s="111"/>
      <c r="DB182" s="165"/>
      <c r="DC182" s="109">
        <f t="shared" si="291"/>
        <v>0</v>
      </c>
      <c r="DD182" s="109">
        <f t="shared" si="292"/>
        <v>0</v>
      </c>
      <c r="DE182" s="109"/>
      <c r="DF182" s="109"/>
      <c r="DG182" s="111"/>
      <c r="DH182" s="111"/>
      <c r="DI182" s="165"/>
      <c r="DJ182" s="109">
        <f t="shared" si="293"/>
        <v>0</v>
      </c>
      <c r="DK182" s="109">
        <f t="shared" si="294"/>
        <v>0</v>
      </c>
      <c r="DL182" s="109"/>
      <c r="DM182" s="109"/>
      <c r="DN182" s="111"/>
      <c r="DO182" s="111"/>
      <c r="DP182" s="165"/>
      <c r="DQ182" s="109">
        <f t="shared" si="302"/>
        <v>0</v>
      </c>
      <c r="DR182" s="109">
        <f t="shared" si="303"/>
        <v>0</v>
      </c>
      <c r="DS182" s="109"/>
      <c r="DT182" s="109"/>
      <c r="DU182" s="111"/>
      <c r="DV182" s="111"/>
      <c r="DW182" s="165"/>
      <c r="DX182" s="109">
        <f t="shared" si="304"/>
        <v>0</v>
      </c>
      <c r="DY182" s="109">
        <f t="shared" si="305"/>
        <v>0</v>
      </c>
      <c r="DZ182" s="109"/>
      <c r="EA182" s="109"/>
      <c r="EB182" s="111"/>
      <c r="EC182" s="111"/>
      <c r="ED182" s="165"/>
      <c r="EE182" s="109">
        <f t="shared" si="306"/>
        <v>0</v>
      </c>
      <c r="EF182" s="109">
        <f t="shared" si="307"/>
        <v>0</v>
      </c>
      <c r="EG182" s="109"/>
      <c r="EH182" s="109"/>
      <c r="EI182" s="111"/>
      <c r="EJ182" s="111"/>
      <c r="EK182" s="165"/>
      <c r="EL182" s="109">
        <f t="shared" si="308"/>
        <v>0</v>
      </c>
      <c r="EM182" s="109">
        <f t="shared" si="309"/>
        <v>0</v>
      </c>
      <c r="EN182" s="109"/>
      <c r="EO182" s="109"/>
      <c r="EP182" s="111"/>
      <c r="EQ182" s="111"/>
      <c r="ER182" s="165"/>
      <c r="ES182" s="109">
        <f t="shared" si="310"/>
        <v>0</v>
      </c>
      <c r="ET182" s="109">
        <f t="shared" si="311"/>
        <v>0</v>
      </c>
      <c r="EU182" s="109"/>
      <c r="EV182" s="109"/>
      <c r="EW182" s="111"/>
      <c r="EX182" s="111"/>
      <c r="EY182" s="165"/>
      <c r="EZ182" s="109">
        <f t="shared" si="312"/>
        <v>0</v>
      </c>
      <c r="FA182" s="109">
        <f t="shared" si="313"/>
        <v>0</v>
      </c>
      <c r="FB182" s="109"/>
      <c r="FC182" s="109"/>
      <c r="FD182" s="111"/>
      <c r="FE182" s="111"/>
      <c r="FF182" s="165"/>
      <c r="FG182" s="109">
        <f t="shared" si="314"/>
        <v>0</v>
      </c>
      <c r="FH182" s="109">
        <f t="shared" si="315"/>
        <v>0</v>
      </c>
      <c r="FI182" s="109"/>
      <c r="FJ182" s="109"/>
      <c r="FK182" s="111"/>
      <c r="FL182" s="111"/>
      <c r="FM182" s="165"/>
      <c r="FN182" s="109">
        <f t="shared" si="316"/>
        <v>0</v>
      </c>
      <c r="FO182" s="109">
        <f t="shared" si="317"/>
        <v>0</v>
      </c>
      <c r="FP182" s="109"/>
      <c r="FQ182" s="109"/>
      <c r="FR182" s="111"/>
      <c r="FS182" s="111"/>
      <c r="FT182" s="165"/>
      <c r="FU182" s="109">
        <f t="shared" si="318"/>
        <v>0</v>
      </c>
      <c r="FV182" s="109">
        <f t="shared" si="326"/>
        <v>0</v>
      </c>
      <c r="FW182" s="109"/>
      <c r="FX182" s="109"/>
      <c r="FY182" s="111"/>
      <c r="FZ182" s="111"/>
      <c r="GA182" s="165"/>
      <c r="GB182" s="109">
        <f t="shared" si="319"/>
        <v>0</v>
      </c>
      <c r="GC182" s="109">
        <f t="shared" si="327"/>
        <v>0</v>
      </c>
      <c r="GD182" s="109"/>
      <c r="GE182" s="109"/>
      <c r="GF182" s="111"/>
      <c r="GG182" s="111"/>
      <c r="GH182" s="165"/>
      <c r="GI182" s="109">
        <f t="shared" si="320"/>
        <v>0</v>
      </c>
      <c r="GJ182" s="109">
        <f t="shared" si="328"/>
        <v>0</v>
      </c>
      <c r="GK182" s="109"/>
      <c r="GL182" s="109"/>
      <c r="GM182" s="111"/>
      <c r="GN182" s="111"/>
      <c r="GO182" s="165"/>
      <c r="GP182" s="109">
        <f t="shared" si="321"/>
        <v>0</v>
      </c>
      <c r="GQ182" s="109">
        <f t="shared" si="329"/>
        <v>0</v>
      </c>
      <c r="GR182" s="109"/>
      <c r="GS182" s="109"/>
      <c r="GT182" s="111"/>
      <c r="GU182" s="111"/>
      <c r="GV182" s="165"/>
      <c r="GW182" s="168">
        <f t="shared" si="322"/>
        <v>0</v>
      </c>
      <c r="GX182" s="168">
        <f t="shared" si="330"/>
        <v>0</v>
      </c>
      <c r="GY182" s="168"/>
      <c r="GZ182" s="168"/>
      <c r="HA182" s="111"/>
      <c r="HB182" s="111"/>
      <c r="HC182" s="165"/>
      <c r="HD182" s="109">
        <f t="shared" si="323"/>
        <v>0</v>
      </c>
      <c r="HE182" s="109">
        <f t="shared" si="331"/>
        <v>0</v>
      </c>
      <c r="HF182" s="109"/>
      <c r="HG182" s="109"/>
      <c r="HH182" s="111"/>
      <c r="HI182" s="111"/>
      <c r="HJ182" s="165"/>
      <c r="HK182" s="109">
        <f t="shared" si="324"/>
        <v>0</v>
      </c>
      <c r="HL182" s="109">
        <f t="shared" si="332"/>
        <v>0</v>
      </c>
      <c r="HM182" s="109"/>
      <c r="HN182" s="109"/>
      <c r="HO182" s="111"/>
      <c r="HP182" s="111"/>
      <c r="HQ182" s="165"/>
      <c r="HR182" s="109">
        <f t="shared" si="325"/>
        <v>0</v>
      </c>
      <c r="HS182" s="109">
        <f t="shared" si="333"/>
        <v>0</v>
      </c>
      <c r="HT182" s="109"/>
      <c r="HU182" s="109"/>
      <c r="HV182" s="111"/>
      <c r="HW182" s="111"/>
      <c r="HX182" s="105">
        <f t="shared" si="301"/>
        <v>0</v>
      </c>
      <c r="HY182" s="105">
        <f t="shared" si="301"/>
        <v>0</v>
      </c>
      <c r="HZ182" s="105">
        <f t="shared" si="301"/>
        <v>0</v>
      </c>
      <c r="IA182" s="105">
        <f t="shared" si="295"/>
        <v>0</v>
      </c>
      <c r="IB182" s="109">
        <f t="shared" si="296"/>
        <v>0</v>
      </c>
      <c r="IC182" s="109">
        <f t="shared" si="297"/>
        <v>0</v>
      </c>
      <c r="ID182" s="109">
        <f t="shared" si="298"/>
        <v>0</v>
      </c>
      <c r="IE182" s="109">
        <f t="shared" si="299"/>
        <v>0</v>
      </c>
      <c r="IF182" s="197"/>
      <c r="IG182" s="197"/>
      <c r="IH182" s="197"/>
      <c r="II182" s="197"/>
      <c r="IJ182" s="197"/>
      <c r="IK182" s="197"/>
      <c r="IL182" s="197"/>
      <c r="IM182" s="171"/>
      <c r="IN182" s="171"/>
      <c r="IO182" s="171"/>
      <c r="IP182" s="171"/>
    </row>
    <row r="183" spans="1:250" ht="15" customHeight="1" x14ac:dyDescent="0.3">
      <c r="A183" s="110">
        <f t="shared" si="300"/>
        <v>179</v>
      </c>
      <c r="B183" s="111"/>
      <c r="C183" s="111"/>
      <c r="D183" s="111"/>
      <c r="E183" s="111"/>
      <c r="F183" s="111"/>
      <c r="G183" s="111"/>
      <c r="H183" s="111"/>
      <c r="I183" s="194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75"/>
      <c r="AI183" s="111"/>
      <c r="AJ183" s="111"/>
      <c r="AK183" s="111"/>
      <c r="AL183" s="177"/>
      <c r="AM183" s="176"/>
      <c r="AN183" s="177"/>
      <c r="AO183" s="157"/>
      <c r="AP183" s="158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75"/>
      <c r="BM183" s="111"/>
      <c r="BN183" s="111"/>
      <c r="BO183" s="111"/>
      <c r="BP183" s="111"/>
      <c r="BQ183" s="111"/>
      <c r="BR183" s="111"/>
      <c r="BS183" s="111"/>
      <c r="BT183" s="111"/>
      <c r="BU183" s="111"/>
      <c r="BV183" s="111"/>
      <c r="BW183" s="111"/>
      <c r="BX183" s="111"/>
      <c r="BY183" s="111"/>
      <c r="BZ183" s="111"/>
      <c r="CA183" s="111"/>
      <c r="CB183" s="111"/>
      <c r="CC183" s="178"/>
      <c r="CD183" s="177">
        <f t="shared" si="284"/>
        <v>0</v>
      </c>
      <c r="CE183" s="148"/>
      <c r="CF183" s="111">
        <f t="shared" si="285"/>
        <v>0</v>
      </c>
      <c r="CG183" s="177"/>
      <c r="CH183" s="204"/>
      <c r="CI183" s="148"/>
      <c r="CJ183" s="165"/>
      <c r="CK183" s="165"/>
      <c r="CL183" s="111"/>
      <c r="CM183" s="111"/>
      <c r="CN183" s="165">
        <f t="shared" si="286"/>
        <v>0</v>
      </c>
      <c r="CO183" s="109">
        <f t="shared" si="287"/>
        <v>0</v>
      </c>
      <c r="CP183" s="109">
        <f t="shared" si="288"/>
        <v>0</v>
      </c>
      <c r="CQ183" s="109"/>
      <c r="CR183" s="109"/>
      <c r="CS183" s="196"/>
      <c r="CT183" s="167"/>
      <c r="CU183" s="165"/>
      <c r="CV183" s="109">
        <f t="shared" si="289"/>
        <v>0</v>
      </c>
      <c r="CW183" s="109">
        <f t="shared" si="290"/>
        <v>0</v>
      </c>
      <c r="CX183" s="109"/>
      <c r="CY183" s="109"/>
      <c r="CZ183" s="111"/>
      <c r="DA183" s="111"/>
      <c r="DB183" s="165"/>
      <c r="DC183" s="109">
        <f t="shared" si="291"/>
        <v>0</v>
      </c>
      <c r="DD183" s="109">
        <f t="shared" si="292"/>
        <v>0</v>
      </c>
      <c r="DE183" s="109"/>
      <c r="DF183" s="109"/>
      <c r="DG183" s="111"/>
      <c r="DH183" s="111"/>
      <c r="DI183" s="165"/>
      <c r="DJ183" s="109">
        <f t="shared" si="293"/>
        <v>0</v>
      </c>
      <c r="DK183" s="109">
        <f t="shared" si="294"/>
        <v>0</v>
      </c>
      <c r="DL183" s="109"/>
      <c r="DM183" s="109"/>
      <c r="DN183" s="111"/>
      <c r="DO183" s="111"/>
      <c r="DP183" s="165"/>
      <c r="DQ183" s="109">
        <f t="shared" si="302"/>
        <v>0</v>
      </c>
      <c r="DR183" s="109">
        <f t="shared" si="303"/>
        <v>0</v>
      </c>
      <c r="DS183" s="109"/>
      <c r="DT183" s="109"/>
      <c r="DU183" s="111"/>
      <c r="DV183" s="111"/>
      <c r="DW183" s="165"/>
      <c r="DX183" s="109">
        <f t="shared" si="304"/>
        <v>0</v>
      </c>
      <c r="DY183" s="109">
        <f t="shared" si="305"/>
        <v>0</v>
      </c>
      <c r="DZ183" s="109"/>
      <c r="EA183" s="109"/>
      <c r="EB183" s="111"/>
      <c r="EC183" s="111"/>
      <c r="ED183" s="165"/>
      <c r="EE183" s="109">
        <f t="shared" si="306"/>
        <v>0</v>
      </c>
      <c r="EF183" s="109">
        <f t="shared" si="307"/>
        <v>0</v>
      </c>
      <c r="EG183" s="109"/>
      <c r="EH183" s="109"/>
      <c r="EI183" s="111"/>
      <c r="EJ183" s="111"/>
      <c r="EK183" s="165"/>
      <c r="EL183" s="109">
        <f t="shared" si="308"/>
        <v>0</v>
      </c>
      <c r="EM183" s="109">
        <f t="shared" si="309"/>
        <v>0</v>
      </c>
      <c r="EN183" s="109"/>
      <c r="EO183" s="109"/>
      <c r="EP183" s="111"/>
      <c r="EQ183" s="111"/>
      <c r="ER183" s="165"/>
      <c r="ES183" s="109">
        <f t="shared" si="310"/>
        <v>0</v>
      </c>
      <c r="ET183" s="109">
        <f t="shared" si="311"/>
        <v>0</v>
      </c>
      <c r="EU183" s="109"/>
      <c r="EV183" s="109"/>
      <c r="EW183" s="111"/>
      <c r="EX183" s="111"/>
      <c r="EY183" s="165"/>
      <c r="EZ183" s="109">
        <f t="shared" si="312"/>
        <v>0</v>
      </c>
      <c r="FA183" s="109">
        <f t="shared" si="313"/>
        <v>0</v>
      </c>
      <c r="FB183" s="109"/>
      <c r="FC183" s="109"/>
      <c r="FD183" s="111"/>
      <c r="FE183" s="111"/>
      <c r="FF183" s="165"/>
      <c r="FG183" s="109">
        <f t="shared" si="314"/>
        <v>0</v>
      </c>
      <c r="FH183" s="109">
        <f t="shared" si="315"/>
        <v>0</v>
      </c>
      <c r="FI183" s="109"/>
      <c r="FJ183" s="109"/>
      <c r="FK183" s="111"/>
      <c r="FL183" s="111"/>
      <c r="FM183" s="165"/>
      <c r="FN183" s="109">
        <f t="shared" si="316"/>
        <v>0</v>
      </c>
      <c r="FO183" s="109">
        <f t="shared" si="317"/>
        <v>0</v>
      </c>
      <c r="FP183" s="109"/>
      <c r="FQ183" s="109"/>
      <c r="FR183" s="111"/>
      <c r="FS183" s="111"/>
      <c r="FT183" s="165"/>
      <c r="FU183" s="109">
        <f t="shared" si="318"/>
        <v>0</v>
      </c>
      <c r="FV183" s="109">
        <f t="shared" si="326"/>
        <v>0</v>
      </c>
      <c r="FW183" s="109"/>
      <c r="FX183" s="109"/>
      <c r="FY183" s="111"/>
      <c r="FZ183" s="111"/>
      <c r="GA183" s="165"/>
      <c r="GB183" s="109">
        <f t="shared" si="319"/>
        <v>0</v>
      </c>
      <c r="GC183" s="109">
        <f t="shared" si="327"/>
        <v>0</v>
      </c>
      <c r="GD183" s="109"/>
      <c r="GE183" s="109"/>
      <c r="GF183" s="111"/>
      <c r="GG183" s="111"/>
      <c r="GH183" s="165"/>
      <c r="GI183" s="109">
        <f t="shared" si="320"/>
        <v>0</v>
      </c>
      <c r="GJ183" s="109">
        <f t="shared" si="328"/>
        <v>0</v>
      </c>
      <c r="GK183" s="109"/>
      <c r="GL183" s="109"/>
      <c r="GM183" s="111"/>
      <c r="GN183" s="111"/>
      <c r="GO183" s="165"/>
      <c r="GP183" s="109">
        <f t="shared" si="321"/>
        <v>0</v>
      </c>
      <c r="GQ183" s="109">
        <f t="shared" si="329"/>
        <v>0</v>
      </c>
      <c r="GR183" s="109"/>
      <c r="GS183" s="109"/>
      <c r="GT183" s="111"/>
      <c r="GU183" s="111"/>
      <c r="GV183" s="165"/>
      <c r="GW183" s="168">
        <f t="shared" si="322"/>
        <v>0</v>
      </c>
      <c r="GX183" s="168">
        <f t="shared" si="330"/>
        <v>0</v>
      </c>
      <c r="GY183" s="168"/>
      <c r="GZ183" s="168"/>
      <c r="HA183" s="111"/>
      <c r="HB183" s="111"/>
      <c r="HC183" s="165"/>
      <c r="HD183" s="109">
        <f t="shared" si="323"/>
        <v>0</v>
      </c>
      <c r="HE183" s="109">
        <f t="shared" si="331"/>
        <v>0</v>
      </c>
      <c r="HF183" s="109"/>
      <c r="HG183" s="109"/>
      <c r="HH183" s="111"/>
      <c r="HI183" s="111"/>
      <c r="HJ183" s="165"/>
      <c r="HK183" s="109">
        <f t="shared" si="324"/>
        <v>0</v>
      </c>
      <c r="HL183" s="109">
        <f t="shared" si="332"/>
        <v>0</v>
      </c>
      <c r="HM183" s="109"/>
      <c r="HN183" s="109"/>
      <c r="HO183" s="111"/>
      <c r="HP183" s="111"/>
      <c r="HQ183" s="165"/>
      <c r="HR183" s="109">
        <f t="shared" si="325"/>
        <v>0</v>
      </c>
      <c r="HS183" s="109">
        <f t="shared" si="333"/>
        <v>0</v>
      </c>
      <c r="HT183" s="109"/>
      <c r="HU183" s="109"/>
      <c r="HV183" s="111"/>
      <c r="HW183" s="111"/>
      <c r="HX183" s="105">
        <f t="shared" si="301"/>
        <v>0</v>
      </c>
      <c r="HY183" s="105">
        <f t="shared" si="301"/>
        <v>0</v>
      </c>
      <c r="HZ183" s="105">
        <f t="shared" si="301"/>
        <v>0</v>
      </c>
      <c r="IA183" s="105">
        <f t="shared" si="295"/>
        <v>0</v>
      </c>
      <c r="IB183" s="109">
        <f t="shared" si="296"/>
        <v>0</v>
      </c>
      <c r="IC183" s="109">
        <f t="shared" si="297"/>
        <v>0</v>
      </c>
      <c r="ID183" s="109">
        <f t="shared" si="298"/>
        <v>0</v>
      </c>
      <c r="IE183" s="109">
        <f t="shared" si="299"/>
        <v>0</v>
      </c>
      <c r="IF183" s="197"/>
      <c r="IG183" s="197"/>
      <c r="IH183" s="197"/>
      <c r="II183" s="197"/>
      <c r="IJ183" s="197"/>
      <c r="IK183" s="197"/>
      <c r="IL183" s="197"/>
      <c r="IM183" s="171"/>
      <c r="IN183" s="171"/>
      <c r="IO183" s="171"/>
      <c r="IP183" s="171"/>
    </row>
    <row r="184" spans="1:250" ht="15" customHeight="1" x14ac:dyDescent="0.3">
      <c r="A184" s="110">
        <f t="shared" si="300"/>
        <v>180</v>
      </c>
      <c r="B184" s="111"/>
      <c r="C184" s="111"/>
      <c r="D184" s="111"/>
      <c r="E184" s="111"/>
      <c r="F184" s="111"/>
      <c r="G184" s="111"/>
      <c r="H184" s="111"/>
      <c r="I184" s="194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75"/>
      <c r="AI184" s="111"/>
      <c r="AJ184" s="111"/>
      <c r="AK184" s="111"/>
      <c r="AL184" s="177"/>
      <c r="AM184" s="176"/>
      <c r="AN184" s="177"/>
      <c r="AO184" s="157"/>
      <c r="AP184" s="158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75"/>
      <c r="BM184" s="111"/>
      <c r="BN184" s="111"/>
      <c r="BO184" s="111"/>
      <c r="BP184" s="111"/>
      <c r="BQ184" s="111"/>
      <c r="BR184" s="111"/>
      <c r="BS184" s="111"/>
      <c r="BT184" s="111"/>
      <c r="BU184" s="111"/>
      <c r="BV184" s="111"/>
      <c r="BW184" s="111"/>
      <c r="BX184" s="111"/>
      <c r="BY184" s="111"/>
      <c r="BZ184" s="111"/>
      <c r="CA184" s="111"/>
      <c r="CB184" s="111"/>
      <c r="CC184" s="178"/>
      <c r="CD184" s="177">
        <f t="shared" si="284"/>
        <v>0</v>
      </c>
      <c r="CE184" s="148"/>
      <c r="CF184" s="111">
        <f t="shared" si="285"/>
        <v>0</v>
      </c>
      <c r="CG184" s="177"/>
      <c r="CH184" s="204"/>
      <c r="CI184" s="148"/>
      <c r="CJ184" s="165"/>
      <c r="CK184" s="165"/>
      <c r="CL184" s="111"/>
      <c r="CM184" s="111"/>
      <c r="CN184" s="165">
        <f t="shared" si="286"/>
        <v>0</v>
      </c>
      <c r="CO184" s="109">
        <f t="shared" si="287"/>
        <v>0</v>
      </c>
      <c r="CP184" s="109">
        <f t="shared" si="288"/>
        <v>0</v>
      </c>
      <c r="CQ184" s="109"/>
      <c r="CR184" s="109"/>
      <c r="CS184" s="196"/>
      <c r="CT184" s="167"/>
      <c r="CU184" s="165"/>
      <c r="CV184" s="109">
        <f t="shared" si="289"/>
        <v>0</v>
      </c>
      <c r="CW184" s="109">
        <f t="shared" si="290"/>
        <v>0</v>
      </c>
      <c r="CX184" s="109"/>
      <c r="CY184" s="109"/>
      <c r="CZ184" s="111"/>
      <c r="DA184" s="111"/>
      <c r="DB184" s="165"/>
      <c r="DC184" s="109">
        <f t="shared" si="291"/>
        <v>0</v>
      </c>
      <c r="DD184" s="109">
        <f t="shared" si="292"/>
        <v>0</v>
      </c>
      <c r="DE184" s="109"/>
      <c r="DF184" s="109"/>
      <c r="DG184" s="111"/>
      <c r="DH184" s="111"/>
      <c r="DI184" s="165"/>
      <c r="DJ184" s="109">
        <f t="shared" si="293"/>
        <v>0</v>
      </c>
      <c r="DK184" s="109">
        <f t="shared" si="294"/>
        <v>0</v>
      </c>
      <c r="DL184" s="109"/>
      <c r="DM184" s="109"/>
      <c r="DN184" s="111"/>
      <c r="DO184" s="111"/>
      <c r="DP184" s="165"/>
      <c r="DQ184" s="109">
        <f t="shared" si="302"/>
        <v>0</v>
      </c>
      <c r="DR184" s="109">
        <f t="shared" si="303"/>
        <v>0</v>
      </c>
      <c r="DS184" s="109"/>
      <c r="DT184" s="109"/>
      <c r="DU184" s="111"/>
      <c r="DV184" s="111"/>
      <c r="DW184" s="165"/>
      <c r="DX184" s="109">
        <f t="shared" si="304"/>
        <v>0</v>
      </c>
      <c r="DY184" s="109">
        <f t="shared" si="305"/>
        <v>0</v>
      </c>
      <c r="DZ184" s="109"/>
      <c r="EA184" s="109"/>
      <c r="EB184" s="111"/>
      <c r="EC184" s="111"/>
      <c r="ED184" s="165"/>
      <c r="EE184" s="109">
        <f t="shared" si="306"/>
        <v>0</v>
      </c>
      <c r="EF184" s="109">
        <f t="shared" si="307"/>
        <v>0</v>
      </c>
      <c r="EG184" s="109"/>
      <c r="EH184" s="109"/>
      <c r="EI184" s="111"/>
      <c r="EJ184" s="111"/>
      <c r="EK184" s="165"/>
      <c r="EL184" s="109">
        <f t="shared" si="308"/>
        <v>0</v>
      </c>
      <c r="EM184" s="109">
        <f t="shared" si="309"/>
        <v>0</v>
      </c>
      <c r="EN184" s="109"/>
      <c r="EO184" s="109"/>
      <c r="EP184" s="111"/>
      <c r="EQ184" s="111"/>
      <c r="ER184" s="165"/>
      <c r="ES184" s="109">
        <f t="shared" si="310"/>
        <v>0</v>
      </c>
      <c r="ET184" s="109">
        <f t="shared" si="311"/>
        <v>0</v>
      </c>
      <c r="EU184" s="109"/>
      <c r="EV184" s="109"/>
      <c r="EW184" s="111"/>
      <c r="EX184" s="111"/>
      <c r="EY184" s="165"/>
      <c r="EZ184" s="109">
        <f t="shared" si="312"/>
        <v>0</v>
      </c>
      <c r="FA184" s="109">
        <f t="shared" si="313"/>
        <v>0</v>
      </c>
      <c r="FB184" s="109"/>
      <c r="FC184" s="109"/>
      <c r="FD184" s="111"/>
      <c r="FE184" s="111"/>
      <c r="FF184" s="165"/>
      <c r="FG184" s="109">
        <f t="shared" si="314"/>
        <v>0</v>
      </c>
      <c r="FH184" s="109">
        <f t="shared" si="315"/>
        <v>0</v>
      </c>
      <c r="FI184" s="109"/>
      <c r="FJ184" s="109"/>
      <c r="FK184" s="111"/>
      <c r="FL184" s="111"/>
      <c r="FM184" s="165"/>
      <c r="FN184" s="109">
        <f t="shared" si="316"/>
        <v>0</v>
      </c>
      <c r="FO184" s="109">
        <f t="shared" si="317"/>
        <v>0</v>
      </c>
      <c r="FP184" s="109"/>
      <c r="FQ184" s="109"/>
      <c r="FR184" s="111"/>
      <c r="FS184" s="111"/>
      <c r="FT184" s="165"/>
      <c r="FU184" s="109">
        <f t="shared" si="318"/>
        <v>0</v>
      </c>
      <c r="FV184" s="109">
        <f t="shared" si="326"/>
        <v>0</v>
      </c>
      <c r="FW184" s="109"/>
      <c r="FX184" s="109"/>
      <c r="FY184" s="111"/>
      <c r="FZ184" s="111"/>
      <c r="GA184" s="165"/>
      <c r="GB184" s="109">
        <f t="shared" si="319"/>
        <v>0</v>
      </c>
      <c r="GC184" s="109">
        <f t="shared" si="327"/>
        <v>0</v>
      </c>
      <c r="GD184" s="109"/>
      <c r="GE184" s="109"/>
      <c r="GF184" s="111"/>
      <c r="GG184" s="111"/>
      <c r="GH184" s="165"/>
      <c r="GI184" s="109">
        <f t="shared" si="320"/>
        <v>0</v>
      </c>
      <c r="GJ184" s="109">
        <f t="shared" si="328"/>
        <v>0</v>
      </c>
      <c r="GK184" s="109"/>
      <c r="GL184" s="109"/>
      <c r="GM184" s="111"/>
      <c r="GN184" s="111"/>
      <c r="GO184" s="165"/>
      <c r="GP184" s="109">
        <f t="shared" si="321"/>
        <v>0</v>
      </c>
      <c r="GQ184" s="109">
        <f t="shared" si="329"/>
        <v>0</v>
      </c>
      <c r="GR184" s="109"/>
      <c r="GS184" s="109"/>
      <c r="GT184" s="111"/>
      <c r="GU184" s="111"/>
      <c r="GV184" s="165"/>
      <c r="GW184" s="168">
        <f t="shared" si="322"/>
        <v>0</v>
      </c>
      <c r="GX184" s="168">
        <f t="shared" si="330"/>
        <v>0</v>
      </c>
      <c r="GY184" s="168"/>
      <c r="GZ184" s="168"/>
      <c r="HA184" s="111"/>
      <c r="HB184" s="111"/>
      <c r="HC184" s="165"/>
      <c r="HD184" s="109">
        <f t="shared" si="323"/>
        <v>0</v>
      </c>
      <c r="HE184" s="109">
        <f t="shared" si="331"/>
        <v>0</v>
      </c>
      <c r="HF184" s="109"/>
      <c r="HG184" s="109"/>
      <c r="HH184" s="111"/>
      <c r="HI184" s="111"/>
      <c r="HJ184" s="165"/>
      <c r="HK184" s="109">
        <f t="shared" si="324"/>
        <v>0</v>
      </c>
      <c r="HL184" s="109">
        <f t="shared" si="332"/>
        <v>0</v>
      </c>
      <c r="HM184" s="109"/>
      <c r="HN184" s="109"/>
      <c r="HO184" s="111"/>
      <c r="HP184" s="111"/>
      <c r="HQ184" s="165"/>
      <c r="HR184" s="109">
        <f t="shared" si="325"/>
        <v>0</v>
      </c>
      <c r="HS184" s="109">
        <f t="shared" si="333"/>
        <v>0</v>
      </c>
      <c r="HT184" s="109"/>
      <c r="HU184" s="109"/>
      <c r="HV184" s="111"/>
      <c r="HW184" s="111"/>
      <c r="HX184" s="105">
        <f t="shared" si="301"/>
        <v>0</v>
      </c>
      <c r="HY184" s="105">
        <f t="shared" si="301"/>
        <v>0</v>
      </c>
      <c r="HZ184" s="105">
        <f t="shared" si="301"/>
        <v>0</v>
      </c>
      <c r="IA184" s="105">
        <f t="shared" si="295"/>
        <v>0</v>
      </c>
      <c r="IB184" s="109">
        <f t="shared" si="296"/>
        <v>0</v>
      </c>
      <c r="IC184" s="109">
        <f t="shared" si="297"/>
        <v>0</v>
      </c>
      <c r="ID184" s="109">
        <f t="shared" si="298"/>
        <v>0</v>
      </c>
      <c r="IE184" s="109">
        <f t="shared" si="299"/>
        <v>0</v>
      </c>
      <c r="IF184" s="197"/>
      <c r="IG184" s="197"/>
      <c r="IH184" s="197"/>
      <c r="II184" s="197"/>
      <c r="IJ184" s="197"/>
      <c r="IK184" s="197"/>
      <c r="IL184" s="197"/>
      <c r="IM184" s="171"/>
      <c r="IN184" s="171"/>
      <c r="IO184" s="171"/>
      <c r="IP184" s="171"/>
    </row>
    <row r="185" spans="1:250" ht="15" customHeight="1" x14ac:dyDescent="0.3">
      <c r="A185" s="110">
        <f t="shared" si="300"/>
        <v>181</v>
      </c>
      <c r="B185" s="111"/>
      <c r="C185" s="111"/>
      <c r="D185" s="111"/>
      <c r="E185" s="111"/>
      <c r="F185" s="111"/>
      <c r="G185" s="111"/>
      <c r="H185" s="111"/>
      <c r="I185" s="194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75"/>
      <c r="AI185" s="111"/>
      <c r="AJ185" s="111"/>
      <c r="AK185" s="111"/>
      <c r="AL185" s="177"/>
      <c r="AM185" s="176"/>
      <c r="AN185" s="177"/>
      <c r="AO185" s="157"/>
      <c r="AP185" s="158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75"/>
      <c r="BM185" s="111"/>
      <c r="BN185" s="111"/>
      <c r="BO185" s="111"/>
      <c r="BP185" s="111"/>
      <c r="BQ185" s="111"/>
      <c r="BR185" s="111"/>
      <c r="BS185" s="111"/>
      <c r="BT185" s="111"/>
      <c r="BU185" s="111"/>
      <c r="BV185" s="111"/>
      <c r="BW185" s="111"/>
      <c r="BX185" s="111"/>
      <c r="BY185" s="111"/>
      <c r="BZ185" s="111"/>
      <c r="CA185" s="111"/>
      <c r="CB185" s="111"/>
      <c r="CC185" s="178"/>
      <c r="CD185" s="177">
        <f t="shared" si="284"/>
        <v>0</v>
      </c>
      <c r="CE185" s="148"/>
      <c r="CF185" s="111">
        <f t="shared" si="285"/>
        <v>0</v>
      </c>
      <c r="CG185" s="177"/>
      <c r="CH185" s="204"/>
      <c r="CI185" s="148"/>
      <c r="CJ185" s="165"/>
      <c r="CK185" s="165"/>
      <c r="CL185" s="111"/>
      <c r="CM185" s="111"/>
      <c r="CN185" s="165">
        <f t="shared" si="286"/>
        <v>0</v>
      </c>
      <c r="CO185" s="109">
        <f t="shared" si="287"/>
        <v>0</v>
      </c>
      <c r="CP185" s="109">
        <f t="shared" si="288"/>
        <v>0</v>
      </c>
      <c r="CQ185" s="109"/>
      <c r="CR185" s="109"/>
      <c r="CS185" s="196"/>
      <c r="CT185" s="167"/>
      <c r="CU185" s="165"/>
      <c r="CV185" s="109">
        <f t="shared" si="289"/>
        <v>0</v>
      </c>
      <c r="CW185" s="109">
        <f t="shared" si="290"/>
        <v>0</v>
      </c>
      <c r="CX185" s="109"/>
      <c r="CY185" s="109"/>
      <c r="CZ185" s="111"/>
      <c r="DA185" s="111"/>
      <c r="DB185" s="165"/>
      <c r="DC185" s="109">
        <f t="shared" si="291"/>
        <v>0</v>
      </c>
      <c r="DD185" s="109">
        <f t="shared" si="292"/>
        <v>0</v>
      </c>
      <c r="DE185" s="109"/>
      <c r="DF185" s="109"/>
      <c r="DG185" s="111"/>
      <c r="DH185" s="111"/>
      <c r="DI185" s="165"/>
      <c r="DJ185" s="109">
        <f t="shared" si="293"/>
        <v>0</v>
      </c>
      <c r="DK185" s="109">
        <f t="shared" si="294"/>
        <v>0</v>
      </c>
      <c r="DL185" s="109"/>
      <c r="DM185" s="109"/>
      <c r="DN185" s="111"/>
      <c r="DO185" s="111"/>
      <c r="DP185" s="165"/>
      <c r="DQ185" s="109">
        <f t="shared" si="302"/>
        <v>0</v>
      </c>
      <c r="DR185" s="109">
        <f t="shared" si="303"/>
        <v>0</v>
      </c>
      <c r="DS185" s="109"/>
      <c r="DT185" s="109"/>
      <c r="DU185" s="111"/>
      <c r="DV185" s="111"/>
      <c r="DW185" s="165"/>
      <c r="DX185" s="109">
        <f t="shared" si="304"/>
        <v>0</v>
      </c>
      <c r="DY185" s="109">
        <f t="shared" si="305"/>
        <v>0</v>
      </c>
      <c r="DZ185" s="109"/>
      <c r="EA185" s="109"/>
      <c r="EB185" s="111"/>
      <c r="EC185" s="111"/>
      <c r="ED185" s="165"/>
      <c r="EE185" s="109">
        <f t="shared" si="306"/>
        <v>0</v>
      </c>
      <c r="EF185" s="109">
        <f t="shared" si="307"/>
        <v>0</v>
      </c>
      <c r="EG185" s="109"/>
      <c r="EH185" s="109"/>
      <c r="EI185" s="111"/>
      <c r="EJ185" s="111"/>
      <c r="EK185" s="165"/>
      <c r="EL185" s="109">
        <f t="shared" si="308"/>
        <v>0</v>
      </c>
      <c r="EM185" s="109">
        <f t="shared" si="309"/>
        <v>0</v>
      </c>
      <c r="EN185" s="109"/>
      <c r="EO185" s="109"/>
      <c r="EP185" s="111"/>
      <c r="EQ185" s="111"/>
      <c r="ER185" s="165"/>
      <c r="ES185" s="109">
        <f t="shared" si="310"/>
        <v>0</v>
      </c>
      <c r="ET185" s="109">
        <f t="shared" si="311"/>
        <v>0</v>
      </c>
      <c r="EU185" s="109"/>
      <c r="EV185" s="109"/>
      <c r="EW185" s="111"/>
      <c r="EX185" s="111"/>
      <c r="EY185" s="165"/>
      <c r="EZ185" s="109">
        <f t="shared" si="312"/>
        <v>0</v>
      </c>
      <c r="FA185" s="109">
        <f t="shared" si="313"/>
        <v>0</v>
      </c>
      <c r="FB185" s="109"/>
      <c r="FC185" s="109"/>
      <c r="FD185" s="111"/>
      <c r="FE185" s="111"/>
      <c r="FF185" s="165"/>
      <c r="FG185" s="109">
        <f t="shared" si="314"/>
        <v>0</v>
      </c>
      <c r="FH185" s="109">
        <f t="shared" si="315"/>
        <v>0</v>
      </c>
      <c r="FI185" s="109"/>
      <c r="FJ185" s="109"/>
      <c r="FK185" s="111"/>
      <c r="FL185" s="111"/>
      <c r="FM185" s="165"/>
      <c r="FN185" s="109">
        <f t="shared" si="316"/>
        <v>0</v>
      </c>
      <c r="FO185" s="109">
        <f t="shared" si="317"/>
        <v>0</v>
      </c>
      <c r="FP185" s="109"/>
      <c r="FQ185" s="109"/>
      <c r="FR185" s="111"/>
      <c r="FS185" s="111"/>
      <c r="FT185" s="165"/>
      <c r="FU185" s="109">
        <f t="shared" si="318"/>
        <v>0</v>
      </c>
      <c r="FV185" s="109">
        <f t="shared" si="326"/>
        <v>0</v>
      </c>
      <c r="FW185" s="109"/>
      <c r="FX185" s="109"/>
      <c r="FY185" s="111"/>
      <c r="FZ185" s="111"/>
      <c r="GA185" s="165"/>
      <c r="GB185" s="109">
        <f t="shared" si="319"/>
        <v>0</v>
      </c>
      <c r="GC185" s="109">
        <f t="shared" si="327"/>
        <v>0</v>
      </c>
      <c r="GD185" s="109"/>
      <c r="GE185" s="109"/>
      <c r="GF185" s="111"/>
      <c r="GG185" s="111"/>
      <c r="GH185" s="165"/>
      <c r="GI185" s="109">
        <f t="shared" si="320"/>
        <v>0</v>
      </c>
      <c r="GJ185" s="109">
        <f t="shared" si="328"/>
        <v>0</v>
      </c>
      <c r="GK185" s="109"/>
      <c r="GL185" s="109"/>
      <c r="GM185" s="111"/>
      <c r="GN185" s="111"/>
      <c r="GO185" s="165"/>
      <c r="GP185" s="109">
        <f t="shared" si="321"/>
        <v>0</v>
      </c>
      <c r="GQ185" s="109">
        <f t="shared" si="329"/>
        <v>0</v>
      </c>
      <c r="GR185" s="109"/>
      <c r="GS185" s="109"/>
      <c r="GT185" s="111"/>
      <c r="GU185" s="111"/>
      <c r="GV185" s="165"/>
      <c r="GW185" s="168">
        <f t="shared" si="322"/>
        <v>0</v>
      </c>
      <c r="GX185" s="168">
        <f t="shared" si="330"/>
        <v>0</v>
      </c>
      <c r="GY185" s="168"/>
      <c r="GZ185" s="168"/>
      <c r="HA185" s="111"/>
      <c r="HB185" s="111"/>
      <c r="HC185" s="165"/>
      <c r="HD185" s="109">
        <f t="shared" si="323"/>
        <v>0</v>
      </c>
      <c r="HE185" s="109">
        <f t="shared" si="331"/>
        <v>0</v>
      </c>
      <c r="HF185" s="109"/>
      <c r="HG185" s="109"/>
      <c r="HH185" s="111"/>
      <c r="HI185" s="111"/>
      <c r="HJ185" s="165"/>
      <c r="HK185" s="109">
        <f t="shared" si="324"/>
        <v>0</v>
      </c>
      <c r="HL185" s="109">
        <f t="shared" si="332"/>
        <v>0</v>
      </c>
      <c r="HM185" s="109"/>
      <c r="HN185" s="109"/>
      <c r="HO185" s="111"/>
      <c r="HP185" s="111"/>
      <c r="HQ185" s="165"/>
      <c r="HR185" s="109">
        <f t="shared" si="325"/>
        <v>0</v>
      </c>
      <c r="HS185" s="109">
        <f t="shared" si="333"/>
        <v>0</v>
      </c>
      <c r="HT185" s="109"/>
      <c r="HU185" s="109"/>
      <c r="HV185" s="111"/>
      <c r="HW185" s="111"/>
      <c r="HX185" s="105">
        <f t="shared" si="301"/>
        <v>0</v>
      </c>
      <c r="HY185" s="105">
        <f t="shared" si="301"/>
        <v>0</v>
      </c>
      <c r="HZ185" s="105">
        <f t="shared" si="301"/>
        <v>0</v>
      </c>
      <c r="IA185" s="105">
        <f t="shared" si="295"/>
        <v>0</v>
      </c>
      <c r="IB185" s="109">
        <f t="shared" si="296"/>
        <v>0</v>
      </c>
      <c r="IC185" s="109">
        <f t="shared" si="297"/>
        <v>0</v>
      </c>
      <c r="ID185" s="109">
        <f t="shared" si="298"/>
        <v>0</v>
      </c>
      <c r="IE185" s="109">
        <f t="shared" si="299"/>
        <v>0</v>
      </c>
      <c r="IF185" s="197"/>
      <c r="IG185" s="197"/>
      <c r="IH185" s="197"/>
      <c r="II185" s="197"/>
      <c r="IJ185" s="197"/>
      <c r="IK185" s="197"/>
      <c r="IL185" s="197"/>
      <c r="IM185" s="171"/>
      <c r="IN185" s="171"/>
      <c r="IO185" s="171"/>
      <c r="IP185" s="171"/>
    </row>
    <row r="186" spans="1:250" ht="15" customHeight="1" x14ac:dyDescent="0.3">
      <c r="A186" s="110">
        <f t="shared" si="300"/>
        <v>182</v>
      </c>
      <c r="B186" s="111"/>
      <c r="C186" s="111"/>
      <c r="D186" s="111"/>
      <c r="E186" s="111"/>
      <c r="F186" s="111"/>
      <c r="G186" s="111"/>
      <c r="H186" s="111"/>
      <c r="I186" s="194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75"/>
      <c r="AI186" s="111"/>
      <c r="AJ186" s="111"/>
      <c r="AK186" s="111"/>
      <c r="AL186" s="177"/>
      <c r="AM186" s="176"/>
      <c r="AN186" s="177"/>
      <c r="AO186" s="157"/>
      <c r="AP186" s="158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75"/>
      <c r="BM186" s="111"/>
      <c r="BN186" s="111"/>
      <c r="BO186" s="111"/>
      <c r="BP186" s="111"/>
      <c r="BQ186" s="111"/>
      <c r="BR186" s="111"/>
      <c r="BS186" s="111"/>
      <c r="BT186" s="111"/>
      <c r="BU186" s="111"/>
      <c r="BV186" s="111"/>
      <c r="BW186" s="111"/>
      <c r="BX186" s="111"/>
      <c r="BY186" s="111"/>
      <c r="BZ186" s="111"/>
      <c r="CA186" s="111"/>
      <c r="CB186" s="111"/>
      <c r="CC186" s="178"/>
      <c r="CD186" s="177">
        <f t="shared" si="284"/>
        <v>0</v>
      </c>
      <c r="CE186" s="148"/>
      <c r="CF186" s="111">
        <f t="shared" si="285"/>
        <v>0</v>
      </c>
      <c r="CG186" s="177"/>
      <c r="CH186" s="204"/>
      <c r="CI186" s="148"/>
      <c r="CJ186" s="165"/>
      <c r="CK186" s="165"/>
      <c r="CL186" s="111"/>
      <c r="CM186" s="111"/>
      <c r="CN186" s="165">
        <f t="shared" si="286"/>
        <v>0</v>
      </c>
      <c r="CO186" s="109">
        <f t="shared" si="287"/>
        <v>0</v>
      </c>
      <c r="CP186" s="109">
        <f t="shared" si="288"/>
        <v>0</v>
      </c>
      <c r="CQ186" s="109"/>
      <c r="CR186" s="109"/>
      <c r="CS186" s="196"/>
      <c r="CT186" s="167"/>
      <c r="CU186" s="165"/>
      <c r="CV186" s="109">
        <f t="shared" si="289"/>
        <v>0</v>
      </c>
      <c r="CW186" s="109">
        <f t="shared" si="290"/>
        <v>0</v>
      </c>
      <c r="CX186" s="109"/>
      <c r="CY186" s="109"/>
      <c r="CZ186" s="111"/>
      <c r="DA186" s="111"/>
      <c r="DB186" s="165"/>
      <c r="DC186" s="109">
        <f t="shared" si="291"/>
        <v>0</v>
      </c>
      <c r="DD186" s="109">
        <f t="shared" si="292"/>
        <v>0</v>
      </c>
      <c r="DE186" s="109"/>
      <c r="DF186" s="109"/>
      <c r="DG186" s="111"/>
      <c r="DH186" s="111"/>
      <c r="DI186" s="165"/>
      <c r="DJ186" s="109">
        <f t="shared" si="293"/>
        <v>0</v>
      </c>
      <c r="DK186" s="109">
        <f t="shared" si="294"/>
        <v>0</v>
      </c>
      <c r="DL186" s="109"/>
      <c r="DM186" s="109"/>
      <c r="DN186" s="111"/>
      <c r="DO186" s="111"/>
      <c r="DP186" s="165"/>
      <c r="DQ186" s="109">
        <f t="shared" si="302"/>
        <v>0</v>
      </c>
      <c r="DR186" s="109">
        <f t="shared" si="303"/>
        <v>0</v>
      </c>
      <c r="DS186" s="109"/>
      <c r="DT186" s="109"/>
      <c r="DU186" s="111"/>
      <c r="DV186" s="111"/>
      <c r="DW186" s="165"/>
      <c r="DX186" s="109">
        <f t="shared" si="304"/>
        <v>0</v>
      </c>
      <c r="DY186" s="109">
        <f t="shared" si="305"/>
        <v>0</v>
      </c>
      <c r="DZ186" s="109"/>
      <c r="EA186" s="109"/>
      <c r="EB186" s="111"/>
      <c r="EC186" s="111"/>
      <c r="ED186" s="165"/>
      <c r="EE186" s="109">
        <f t="shared" si="306"/>
        <v>0</v>
      </c>
      <c r="EF186" s="109">
        <f t="shared" si="307"/>
        <v>0</v>
      </c>
      <c r="EG186" s="109"/>
      <c r="EH186" s="109"/>
      <c r="EI186" s="111"/>
      <c r="EJ186" s="111"/>
      <c r="EK186" s="165"/>
      <c r="EL186" s="109">
        <f t="shared" si="308"/>
        <v>0</v>
      </c>
      <c r="EM186" s="109">
        <f t="shared" si="309"/>
        <v>0</v>
      </c>
      <c r="EN186" s="109"/>
      <c r="EO186" s="109"/>
      <c r="EP186" s="111"/>
      <c r="EQ186" s="111"/>
      <c r="ER186" s="165"/>
      <c r="ES186" s="109">
        <f t="shared" si="310"/>
        <v>0</v>
      </c>
      <c r="ET186" s="109">
        <f t="shared" si="311"/>
        <v>0</v>
      </c>
      <c r="EU186" s="109"/>
      <c r="EV186" s="109"/>
      <c r="EW186" s="111"/>
      <c r="EX186" s="111"/>
      <c r="EY186" s="165"/>
      <c r="EZ186" s="109">
        <f t="shared" si="312"/>
        <v>0</v>
      </c>
      <c r="FA186" s="109">
        <f t="shared" si="313"/>
        <v>0</v>
      </c>
      <c r="FB186" s="109"/>
      <c r="FC186" s="109"/>
      <c r="FD186" s="111"/>
      <c r="FE186" s="111"/>
      <c r="FF186" s="165"/>
      <c r="FG186" s="109">
        <f t="shared" si="314"/>
        <v>0</v>
      </c>
      <c r="FH186" s="109">
        <f t="shared" si="315"/>
        <v>0</v>
      </c>
      <c r="FI186" s="109"/>
      <c r="FJ186" s="109"/>
      <c r="FK186" s="111"/>
      <c r="FL186" s="111"/>
      <c r="FM186" s="165"/>
      <c r="FN186" s="109">
        <f t="shared" si="316"/>
        <v>0</v>
      </c>
      <c r="FO186" s="109">
        <f t="shared" si="317"/>
        <v>0</v>
      </c>
      <c r="FP186" s="109"/>
      <c r="FQ186" s="109"/>
      <c r="FR186" s="111"/>
      <c r="FS186" s="111"/>
      <c r="FT186" s="165"/>
      <c r="FU186" s="109">
        <f t="shared" si="318"/>
        <v>0</v>
      </c>
      <c r="FV186" s="109">
        <f t="shared" si="326"/>
        <v>0</v>
      </c>
      <c r="FW186" s="109"/>
      <c r="FX186" s="109"/>
      <c r="FY186" s="111"/>
      <c r="FZ186" s="111"/>
      <c r="GA186" s="165"/>
      <c r="GB186" s="109">
        <f t="shared" si="319"/>
        <v>0</v>
      </c>
      <c r="GC186" s="109">
        <f t="shared" si="327"/>
        <v>0</v>
      </c>
      <c r="GD186" s="109"/>
      <c r="GE186" s="109"/>
      <c r="GF186" s="111"/>
      <c r="GG186" s="111"/>
      <c r="GH186" s="165"/>
      <c r="GI186" s="109">
        <f t="shared" si="320"/>
        <v>0</v>
      </c>
      <c r="GJ186" s="109">
        <f t="shared" si="328"/>
        <v>0</v>
      </c>
      <c r="GK186" s="109"/>
      <c r="GL186" s="109"/>
      <c r="GM186" s="111"/>
      <c r="GN186" s="111"/>
      <c r="GO186" s="165"/>
      <c r="GP186" s="109">
        <f t="shared" si="321"/>
        <v>0</v>
      </c>
      <c r="GQ186" s="109">
        <f t="shared" si="329"/>
        <v>0</v>
      </c>
      <c r="GR186" s="109"/>
      <c r="GS186" s="109"/>
      <c r="GT186" s="111"/>
      <c r="GU186" s="111"/>
      <c r="GV186" s="165"/>
      <c r="GW186" s="168">
        <f t="shared" si="322"/>
        <v>0</v>
      </c>
      <c r="GX186" s="168">
        <f t="shared" si="330"/>
        <v>0</v>
      </c>
      <c r="GY186" s="168"/>
      <c r="GZ186" s="168"/>
      <c r="HA186" s="111"/>
      <c r="HB186" s="111"/>
      <c r="HC186" s="165"/>
      <c r="HD186" s="109">
        <f t="shared" si="323"/>
        <v>0</v>
      </c>
      <c r="HE186" s="109">
        <f t="shared" si="331"/>
        <v>0</v>
      </c>
      <c r="HF186" s="109"/>
      <c r="HG186" s="109"/>
      <c r="HH186" s="111"/>
      <c r="HI186" s="111"/>
      <c r="HJ186" s="165"/>
      <c r="HK186" s="109">
        <f t="shared" si="324"/>
        <v>0</v>
      </c>
      <c r="HL186" s="109">
        <f t="shared" si="332"/>
        <v>0</v>
      </c>
      <c r="HM186" s="109"/>
      <c r="HN186" s="109"/>
      <c r="HO186" s="111"/>
      <c r="HP186" s="111"/>
      <c r="HQ186" s="165"/>
      <c r="HR186" s="109">
        <f t="shared" si="325"/>
        <v>0</v>
      </c>
      <c r="HS186" s="109">
        <f t="shared" si="333"/>
        <v>0</v>
      </c>
      <c r="HT186" s="109"/>
      <c r="HU186" s="109"/>
      <c r="HV186" s="111"/>
      <c r="HW186" s="111"/>
      <c r="HX186" s="105">
        <f t="shared" si="301"/>
        <v>0</v>
      </c>
      <c r="HY186" s="105">
        <f t="shared" si="301"/>
        <v>0</v>
      </c>
      <c r="HZ186" s="105">
        <f t="shared" si="301"/>
        <v>0</v>
      </c>
      <c r="IA186" s="105">
        <f t="shared" si="295"/>
        <v>0</v>
      </c>
      <c r="IB186" s="109">
        <f t="shared" si="296"/>
        <v>0</v>
      </c>
      <c r="IC186" s="109">
        <f t="shared" si="297"/>
        <v>0</v>
      </c>
      <c r="ID186" s="109">
        <f t="shared" si="298"/>
        <v>0</v>
      </c>
      <c r="IE186" s="109">
        <f t="shared" si="299"/>
        <v>0</v>
      </c>
      <c r="IF186" s="197"/>
      <c r="IG186" s="197"/>
      <c r="IH186" s="197"/>
      <c r="II186" s="197"/>
      <c r="IJ186" s="197"/>
      <c r="IK186" s="197"/>
      <c r="IL186" s="197"/>
      <c r="IM186" s="171"/>
      <c r="IN186" s="171"/>
      <c r="IO186" s="171"/>
      <c r="IP186" s="171"/>
    </row>
    <row r="187" spans="1:250" ht="15" customHeight="1" x14ac:dyDescent="0.3">
      <c r="A187" s="110">
        <f t="shared" si="300"/>
        <v>183</v>
      </c>
      <c r="B187" s="111"/>
      <c r="C187" s="111"/>
      <c r="D187" s="111"/>
      <c r="E187" s="111"/>
      <c r="F187" s="111"/>
      <c r="G187" s="111"/>
      <c r="H187" s="111"/>
      <c r="I187" s="194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75"/>
      <c r="AI187" s="111"/>
      <c r="AJ187" s="111"/>
      <c r="AK187" s="111"/>
      <c r="AL187" s="177"/>
      <c r="AM187" s="176"/>
      <c r="AN187" s="177"/>
      <c r="AO187" s="157"/>
      <c r="AP187" s="158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75"/>
      <c r="BM187" s="111"/>
      <c r="BN187" s="111"/>
      <c r="BO187" s="111"/>
      <c r="BP187" s="111"/>
      <c r="BQ187" s="111"/>
      <c r="BR187" s="111"/>
      <c r="BS187" s="111"/>
      <c r="BT187" s="111"/>
      <c r="BU187" s="111"/>
      <c r="BV187" s="111"/>
      <c r="BW187" s="111"/>
      <c r="BX187" s="111"/>
      <c r="BY187" s="111"/>
      <c r="BZ187" s="111"/>
      <c r="CA187" s="111"/>
      <c r="CB187" s="111"/>
      <c r="CC187" s="178"/>
      <c r="CD187" s="177">
        <f t="shared" si="284"/>
        <v>0</v>
      </c>
      <c r="CE187" s="148"/>
      <c r="CF187" s="111">
        <f t="shared" si="285"/>
        <v>0</v>
      </c>
      <c r="CG187" s="177"/>
      <c r="CH187" s="204"/>
      <c r="CI187" s="148"/>
      <c r="CJ187" s="165"/>
      <c r="CK187" s="165"/>
      <c r="CL187" s="111"/>
      <c r="CM187" s="111"/>
      <c r="CN187" s="165">
        <f t="shared" si="286"/>
        <v>0</v>
      </c>
      <c r="CO187" s="109">
        <f t="shared" si="287"/>
        <v>0</v>
      </c>
      <c r="CP187" s="109">
        <f t="shared" si="288"/>
        <v>0</v>
      </c>
      <c r="CQ187" s="109"/>
      <c r="CR187" s="109"/>
      <c r="CS187" s="196"/>
      <c r="CT187" s="167"/>
      <c r="CU187" s="165"/>
      <c r="CV187" s="109">
        <f t="shared" si="289"/>
        <v>0</v>
      </c>
      <c r="CW187" s="109">
        <f t="shared" si="290"/>
        <v>0</v>
      </c>
      <c r="CX187" s="109"/>
      <c r="CY187" s="109"/>
      <c r="CZ187" s="111"/>
      <c r="DA187" s="111"/>
      <c r="DB187" s="165"/>
      <c r="DC187" s="109">
        <f t="shared" si="291"/>
        <v>0</v>
      </c>
      <c r="DD187" s="109">
        <f t="shared" si="292"/>
        <v>0</v>
      </c>
      <c r="DE187" s="109"/>
      <c r="DF187" s="109"/>
      <c r="DG187" s="111"/>
      <c r="DH187" s="111"/>
      <c r="DI187" s="165"/>
      <c r="DJ187" s="109">
        <f t="shared" si="293"/>
        <v>0</v>
      </c>
      <c r="DK187" s="109">
        <f t="shared" si="294"/>
        <v>0</v>
      </c>
      <c r="DL187" s="109"/>
      <c r="DM187" s="109"/>
      <c r="DN187" s="111"/>
      <c r="DO187" s="111"/>
      <c r="DP187" s="165"/>
      <c r="DQ187" s="109">
        <f t="shared" si="302"/>
        <v>0</v>
      </c>
      <c r="DR187" s="109">
        <f t="shared" si="303"/>
        <v>0</v>
      </c>
      <c r="DS187" s="109"/>
      <c r="DT187" s="109"/>
      <c r="DU187" s="111"/>
      <c r="DV187" s="111"/>
      <c r="DW187" s="165"/>
      <c r="DX187" s="109">
        <f t="shared" si="304"/>
        <v>0</v>
      </c>
      <c r="DY187" s="109">
        <f t="shared" si="305"/>
        <v>0</v>
      </c>
      <c r="DZ187" s="109"/>
      <c r="EA187" s="109"/>
      <c r="EB187" s="111"/>
      <c r="EC187" s="111"/>
      <c r="ED187" s="165"/>
      <c r="EE187" s="109">
        <f t="shared" si="306"/>
        <v>0</v>
      </c>
      <c r="EF187" s="109">
        <f t="shared" si="307"/>
        <v>0</v>
      </c>
      <c r="EG187" s="109"/>
      <c r="EH187" s="109"/>
      <c r="EI187" s="111"/>
      <c r="EJ187" s="111"/>
      <c r="EK187" s="165"/>
      <c r="EL187" s="109">
        <f t="shared" si="308"/>
        <v>0</v>
      </c>
      <c r="EM187" s="109">
        <f t="shared" si="309"/>
        <v>0</v>
      </c>
      <c r="EN187" s="109"/>
      <c r="EO187" s="109"/>
      <c r="EP187" s="111"/>
      <c r="EQ187" s="111"/>
      <c r="ER187" s="165"/>
      <c r="ES187" s="109">
        <f t="shared" si="310"/>
        <v>0</v>
      </c>
      <c r="ET187" s="109">
        <f t="shared" si="311"/>
        <v>0</v>
      </c>
      <c r="EU187" s="109"/>
      <c r="EV187" s="109"/>
      <c r="EW187" s="111"/>
      <c r="EX187" s="111"/>
      <c r="EY187" s="165"/>
      <c r="EZ187" s="109">
        <f t="shared" si="312"/>
        <v>0</v>
      </c>
      <c r="FA187" s="109">
        <f t="shared" si="313"/>
        <v>0</v>
      </c>
      <c r="FB187" s="109"/>
      <c r="FC187" s="109"/>
      <c r="FD187" s="111"/>
      <c r="FE187" s="111"/>
      <c r="FF187" s="165"/>
      <c r="FG187" s="109">
        <f t="shared" si="314"/>
        <v>0</v>
      </c>
      <c r="FH187" s="109">
        <f t="shared" si="315"/>
        <v>0</v>
      </c>
      <c r="FI187" s="109"/>
      <c r="FJ187" s="109"/>
      <c r="FK187" s="111"/>
      <c r="FL187" s="111"/>
      <c r="FM187" s="165"/>
      <c r="FN187" s="109">
        <f t="shared" si="316"/>
        <v>0</v>
      </c>
      <c r="FO187" s="109">
        <f t="shared" si="317"/>
        <v>0</v>
      </c>
      <c r="FP187" s="109"/>
      <c r="FQ187" s="109"/>
      <c r="FR187" s="111"/>
      <c r="FS187" s="111"/>
      <c r="FT187" s="165"/>
      <c r="FU187" s="109">
        <f t="shared" si="318"/>
        <v>0</v>
      </c>
      <c r="FV187" s="109">
        <f t="shared" si="326"/>
        <v>0</v>
      </c>
      <c r="FW187" s="109"/>
      <c r="FX187" s="109"/>
      <c r="FY187" s="111"/>
      <c r="FZ187" s="111"/>
      <c r="GA187" s="165"/>
      <c r="GB187" s="109">
        <f t="shared" si="319"/>
        <v>0</v>
      </c>
      <c r="GC187" s="109">
        <f t="shared" si="327"/>
        <v>0</v>
      </c>
      <c r="GD187" s="109"/>
      <c r="GE187" s="109"/>
      <c r="GF187" s="111"/>
      <c r="GG187" s="111"/>
      <c r="GH187" s="165"/>
      <c r="GI187" s="109">
        <f t="shared" si="320"/>
        <v>0</v>
      </c>
      <c r="GJ187" s="109">
        <f t="shared" si="328"/>
        <v>0</v>
      </c>
      <c r="GK187" s="109"/>
      <c r="GL187" s="109"/>
      <c r="GM187" s="111"/>
      <c r="GN187" s="111"/>
      <c r="GO187" s="165"/>
      <c r="GP187" s="109">
        <f t="shared" si="321"/>
        <v>0</v>
      </c>
      <c r="GQ187" s="109">
        <f t="shared" si="329"/>
        <v>0</v>
      </c>
      <c r="GR187" s="109"/>
      <c r="GS187" s="109"/>
      <c r="GT187" s="111"/>
      <c r="GU187" s="111"/>
      <c r="GV187" s="165"/>
      <c r="GW187" s="168">
        <f t="shared" si="322"/>
        <v>0</v>
      </c>
      <c r="GX187" s="168">
        <f t="shared" si="330"/>
        <v>0</v>
      </c>
      <c r="GY187" s="168"/>
      <c r="GZ187" s="168"/>
      <c r="HA187" s="111"/>
      <c r="HB187" s="111"/>
      <c r="HC187" s="165"/>
      <c r="HD187" s="109">
        <f t="shared" si="323"/>
        <v>0</v>
      </c>
      <c r="HE187" s="109">
        <f t="shared" si="331"/>
        <v>0</v>
      </c>
      <c r="HF187" s="109"/>
      <c r="HG187" s="109"/>
      <c r="HH187" s="111"/>
      <c r="HI187" s="111"/>
      <c r="HJ187" s="165"/>
      <c r="HK187" s="109">
        <f t="shared" si="324"/>
        <v>0</v>
      </c>
      <c r="HL187" s="109">
        <f t="shared" si="332"/>
        <v>0</v>
      </c>
      <c r="HM187" s="109"/>
      <c r="HN187" s="109"/>
      <c r="HO187" s="111"/>
      <c r="HP187" s="111"/>
      <c r="HQ187" s="165"/>
      <c r="HR187" s="109">
        <f t="shared" si="325"/>
        <v>0</v>
      </c>
      <c r="HS187" s="109">
        <f t="shared" si="333"/>
        <v>0</v>
      </c>
      <c r="HT187" s="109"/>
      <c r="HU187" s="109"/>
      <c r="HV187" s="111"/>
      <c r="HW187" s="111"/>
      <c r="HX187" s="105">
        <f t="shared" si="301"/>
        <v>0</v>
      </c>
      <c r="HY187" s="105">
        <f t="shared" si="301"/>
        <v>0</v>
      </c>
      <c r="HZ187" s="105">
        <f t="shared" si="301"/>
        <v>0</v>
      </c>
      <c r="IA187" s="105">
        <f t="shared" si="295"/>
        <v>0</v>
      </c>
      <c r="IB187" s="109">
        <f t="shared" si="296"/>
        <v>0</v>
      </c>
      <c r="IC187" s="109">
        <f t="shared" si="297"/>
        <v>0</v>
      </c>
      <c r="ID187" s="109">
        <f t="shared" si="298"/>
        <v>0</v>
      </c>
      <c r="IE187" s="109">
        <f t="shared" si="299"/>
        <v>0</v>
      </c>
      <c r="IF187" s="197"/>
      <c r="IG187" s="197"/>
      <c r="IH187" s="197"/>
      <c r="II187" s="197"/>
      <c r="IJ187" s="197"/>
      <c r="IK187" s="197"/>
      <c r="IL187" s="197"/>
      <c r="IM187" s="171"/>
      <c r="IN187" s="171"/>
      <c r="IO187" s="171"/>
      <c r="IP187" s="171"/>
    </row>
    <row r="188" spans="1:250" ht="15" customHeight="1" x14ac:dyDescent="0.3">
      <c r="A188" s="110">
        <f t="shared" si="300"/>
        <v>184</v>
      </c>
      <c r="B188" s="111"/>
      <c r="C188" s="111"/>
      <c r="D188" s="111"/>
      <c r="E188" s="111"/>
      <c r="F188" s="111"/>
      <c r="G188" s="111"/>
      <c r="H188" s="111"/>
      <c r="I188" s="194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75"/>
      <c r="AI188" s="111"/>
      <c r="AJ188" s="111"/>
      <c r="AK188" s="111"/>
      <c r="AL188" s="177"/>
      <c r="AM188" s="176"/>
      <c r="AN188" s="177"/>
      <c r="AO188" s="157"/>
      <c r="AP188" s="158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75"/>
      <c r="BM188" s="111"/>
      <c r="BN188" s="111"/>
      <c r="BO188" s="111"/>
      <c r="BP188" s="111"/>
      <c r="BQ188" s="111"/>
      <c r="BR188" s="111"/>
      <c r="BS188" s="111"/>
      <c r="BT188" s="111"/>
      <c r="BU188" s="111"/>
      <c r="BV188" s="111"/>
      <c r="BW188" s="111"/>
      <c r="BX188" s="111"/>
      <c r="BY188" s="111"/>
      <c r="BZ188" s="111"/>
      <c r="CA188" s="111"/>
      <c r="CB188" s="111"/>
      <c r="CC188" s="178"/>
      <c r="CD188" s="177">
        <f t="shared" si="284"/>
        <v>0</v>
      </c>
      <c r="CE188" s="148"/>
      <c r="CF188" s="111">
        <f t="shared" si="285"/>
        <v>0</v>
      </c>
      <c r="CG188" s="177"/>
      <c r="CH188" s="204"/>
      <c r="CI188" s="148"/>
      <c r="CJ188" s="165"/>
      <c r="CK188" s="165"/>
      <c r="CL188" s="111"/>
      <c r="CM188" s="111"/>
      <c r="CN188" s="165">
        <f t="shared" si="286"/>
        <v>0</v>
      </c>
      <c r="CO188" s="109">
        <f t="shared" si="287"/>
        <v>0</v>
      </c>
      <c r="CP188" s="109">
        <f t="shared" si="288"/>
        <v>0</v>
      </c>
      <c r="CQ188" s="109"/>
      <c r="CR188" s="109"/>
      <c r="CS188" s="196"/>
      <c r="CT188" s="167"/>
      <c r="CU188" s="165"/>
      <c r="CV188" s="109">
        <f t="shared" si="289"/>
        <v>0</v>
      </c>
      <c r="CW188" s="109">
        <f t="shared" si="290"/>
        <v>0</v>
      </c>
      <c r="CX188" s="109"/>
      <c r="CY188" s="109"/>
      <c r="CZ188" s="111"/>
      <c r="DA188" s="111"/>
      <c r="DB188" s="165"/>
      <c r="DC188" s="109">
        <f t="shared" si="291"/>
        <v>0</v>
      </c>
      <c r="DD188" s="109">
        <f t="shared" si="292"/>
        <v>0</v>
      </c>
      <c r="DE188" s="109"/>
      <c r="DF188" s="109"/>
      <c r="DG188" s="111"/>
      <c r="DH188" s="111"/>
      <c r="DI188" s="165"/>
      <c r="DJ188" s="109">
        <f t="shared" si="293"/>
        <v>0</v>
      </c>
      <c r="DK188" s="109">
        <f t="shared" si="294"/>
        <v>0</v>
      </c>
      <c r="DL188" s="109"/>
      <c r="DM188" s="109"/>
      <c r="DN188" s="111"/>
      <c r="DO188" s="111"/>
      <c r="DP188" s="165"/>
      <c r="DQ188" s="109">
        <f t="shared" si="302"/>
        <v>0</v>
      </c>
      <c r="DR188" s="109">
        <f t="shared" si="303"/>
        <v>0</v>
      </c>
      <c r="DS188" s="109"/>
      <c r="DT188" s="109"/>
      <c r="DU188" s="111"/>
      <c r="DV188" s="111"/>
      <c r="DW188" s="165"/>
      <c r="DX188" s="109">
        <f t="shared" si="304"/>
        <v>0</v>
      </c>
      <c r="DY188" s="109">
        <f t="shared" si="305"/>
        <v>0</v>
      </c>
      <c r="DZ188" s="109"/>
      <c r="EA188" s="109"/>
      <c r="EB188" s="111"/>
      <c r="EC188" s="111"/>
      <c r="ED188" s="165"/>
      <c r="EE188" s="109">
        <f t="shared" si="306"/>
        <v>0</v>
      </c>
      <c r="EF188" s="109">
        <f t="shared" si="307"/>
        <v>0</v>
      </c>
      <c r="EG188" s="109"/>
      <c r="EH188" s="109"/>
      <c r="EI188" s="111"/>
      <c r="EJ188" s="111"/>
      <c r="EK188" s="165"/>
      <c r="EL188" s="109">
        <f t="shared" si="308"/>
        <v>0</v>
      </c>
      <c r="EM188" s="109">
        <f t="shared" si="309"/>
        <v>0</v>
      </c>
      <c r="EN188" s="109"/>
      <c r="EO188" s="109"/>
      <c r="EP188" s="111"/>
      <c r="EQ188" s="111"/>
      <c r="ER188" s="165"/>
      <c r="ES188" s="109">
        <f t="shared" si="310"/>
        <v>0</v>
      </c>
      <c r="ET188" s="109">
        <f t="shared" si="311"/>
        <v>0</v>
      </c>
      <c r="EU188" s="109"/>
      <c r="EV188" s="109"/>
      <c r="EW188" s="111"/>
      <c r="EX188" s="111"/>
      <c r="EY188" s="165"/>
      <c r="EZ188" s="109">
        <f t="shared" si="312"/>
        <v>0</v>
      </c>
      <c r="FA188" s="109">
        <f t="shared" si="313"/>
        <v>0</v>
      </c>
      <c r="FB188" s="109"/>
      <c r="FC188" s="109"/>
      <c r="FD188" s="111"/>
      <c r="FE188" s="111"/>
      <c r="FF188" s="165"/>
      <c r="FG188" s="109">
        <f t="shared" si="314"/>
        <v>0</v>
      </c>
      <c r="FH188" s="109">
        <f t="shared" si="315"/>
        <v>0</v>
      </c>
      <c r="FI188" s="109"/>
      <c r="FJ188" s="109"/>
      <c r="FK188" s="111"/>
      <c r="FL188" s="111"/>
      <c r="FM188" s="165"/>
      <c r="FN188" s="109">
        <f t="shared" si="316"/>
        <v>0</v>
      </c>
      <c r="FO188" s="109">
        <f t="shared" si="317"/>
        <v>0</v>
      </c>
      <c r="FP188" s="109"/>
      <c r="FQ188" s="109"/>
      <c r="FR188" s="111"/>
      <c r="FS188" s="111"/>
      <c r="FT188" s="165"/>
      <c r="FU188" s="109">
        <f t="shared" si="318"/>
        <v>0</v>
      </c>
      <c r="FV188" s="109">
        <f t="shared" si="326"/>
        <v>0</v>
      </c>
      <c r="FW188" s="109"/>
      <c r="FX188" s="109"/>
      <c r="FY188" s="111"/>
      <c r="FZ188" s="111"/>
      <c r="GA188" s="165"/>
      <c r="GB188" s="109">
        <f t="shared" si="319"/>
        <v>0</v>
      </c>
      <c r="GC188" s="109">
        <f t="shared" si="327"/>
        <v>0</v>
      </c>
      <c r="GD188" s="109"/>
      <c r="GE188" s="109"/>
      <c r="GF188" s="111"/>
      <c r="GG188" s="111"/>
      <c r="GH188" s="165"/>
      <c r="GI188" s="109">
        <f t="shared" si="320"/>
        <v>0</v>
      </c>
      <c r="GJ188" s="109">
        <f t="shared" si="328"/>
        <v>0</v>
      </c>
      <c r="GK188" s="109"/>
      <c r="GL188" s="109"/>
      <c r="GM188" s="111"/>
      <c r="GN188" s="111"/>
      <c r="GO188" s="165"/>
      <c r="GP188" s="109">
        <f t="shared" si="321"/>
        <v>0</v>
      </c>
      <c r="GQ188" s="109">
        <f t="shared" si="329"/>
        <v>0</v>
      </c>
      <c r="GR188" s="109"/>
      <c r="GS188" s="109"/>
      <c r="GT188" s="111"/>
      <c r="GU188" s="111"/>
      <c r="GV188" s="165"/>
      <c r="GW188" s="168">
        <f t="shared" si="322"/>
        <v>0</v>
      </c>
      <c r="GX188" s="168">
        <f t="shared" si="330"/>
        <v>0</v>
      </c>
      <c r="GY188" s="168"/>
      <c r="GZ188" s="168"/>
      <c r="HA188" s="111"/>
      <c r="HB188" s="111"/>
      <c r="HC188" s="165"/>
      <c r="HD188" s="109">
        <f t="shared" si="323"/>
        <v>0</v>
      </c>
      <c r="HE188" s="109">
        <f t="shared" si="331"/>
        <v>0</v>
      </c>
      <c r="HF188" s="109"/>
      <c r="HG188" s="109"/>
      <c r="HH188" s="111"/>
      <c r="HI188" s="111"/>
      <c r="HJ188" s="165"/>
      <c r="HK188" s="109">
        <f t="shared" si="324"/>
        <v>0</v>
      </c>
      <c r="HL188" s="109">
        <f t="shared" si="332"/>
        <v>0</v>
      </c>
      <c r="HM188" s="109"/>
      <c r="HN188" s="109"/>
      <c r="HO188" s="111"/>
      <c r="HP188" s="111"/>
      <c r="HQ188" s="165"/>
      <c r="HR188" s="109">
        <f t="shared" si="325"/>
        <v>0</v>
      </c>
      <c r="HS188" s="109">
        <f t="shared" si="333"/>
        <v>0</v>
      </c>
      <c r="HT188" s="109"/>
      <c r="HU188" s="109"/>
      <c r="HV188" s="111"/>
      <c r="HW188" s="111"/>
      <c r="HX188" s="105">
        <f t="shared" si="301"/>
        <v>0</v>
      </c>
      <c r="HY188" s="105">
        <f t="shared" si="301"/>
        <v>0</v>
      </c>
      <c r="HZ188" s="105">
        <f t="shared" si="301"/>
        <v>0</v>
      </c>
      <c r="IA188" s="105">
        <f t="shared" si="295"/>
        <v>0</v>
      </c>
      <c r="IB188" s="109">
        <f t="shared" si="296"/>
        <v>0</v>
      </c>
      <c r="IC188" s="109">
        <f t="shared" si="297"/>
        <v>0</v>
      </c>
      <c r="ID188" s="109">
        <f t="shared" si="298"/>
        <v>0</v>
      </c>
      <c r="IE188" s="109">
        <f t="shared" si="299"/>
        <v>0</v>
      </c>
      <c r="IF188" s="197"/>
      <c r="IG188" s="197"/>
      <c r="IH188" s="197"/>
      <c r="II188" s="197"/>
      <c r="IJ188" s="197"/>
      <c r="IK188" s="197"/>
      <c r="IL188" s="197"/>
      <c r="IM188" s="171"/>
      <c r="IN188" s="171"/>
      <c r="IO188" s="171"/>
      <c r="IP188" s="171"/>
    </row>
    <row r="189" spans="1:250" ht="15" customHeight="1" x14ac:dyDescent="0.3">
      <c r="A189" s="110">
        <f t="shared" si="300"/>
        <v>185</v>
      </c>
      <c r="B189" s="111"/>
      <c r="C189" s="111"/>
      <c r="D189" s="111"/>
      <c r="E189" s="111"/>
      <c r="F189" s="111"/>
      <c r="G189" s="111"/>
      <c r="H189" s="111"/>
      <c r="I189" s="194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75"/>
      <c r="AI189" s="111"/>
      <c r="AJ189" s="111"/>
      <c r="AK189" s="111"/>
      <c r="AL189" s="177"/>
      <c r="AM189" s="176"/>
      <c r="AN189" s="177"/>
      <c r="AO189" s="157"/>
      <c r="AP189" s="158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75"/>
      <c r="BM189" s="111"/>
      <c r="BN189" s="111"/>
      <c r="BO189" s="111"/>
      <c r="BP189" s="111"/>
      <c r="BQ189" s="111"/>
      <c r="BR189" s="111"/>
      <c r="BS189" s="111"/>
      <c r="BT189" s="111"/>
      <c r="BU189" s="111"/>
      <c r="BV189" s="111"/>
      <c r="BW189" s="111"/>
      <c r="BX189" s="111"/>
      <c r="BY189" s="111"/>
      <c r="BZ189" s="111"/>
      <c r="CA189" s="111"/>
      <c r="CB189" s="111"/>
      <c r="CC189" s="178"/>
      <c r="CD189" s="177">
        <f t="shared" si="284"/>
        <v>0</v>
      </c>
      <c r="CE189" s="148"/>
      <c r="CF189" s="111">
        <f t="shared" si="285"/>
        <v>0</v>
      </c>
      <c r="CG189" s="177"/>
      <c r="CH189" s="204"/>
      <c r="CI189" s="148"/>
      <c r="CJ189" s="165"/>
      <c r="CK189" s="165"/>
      <c r="CL189" s="111"/>
      <c r="CM189" s="111"/>
      <c r="CN189" s="165">
        <f t="shared" si="286"/>
        <v>0</v>
      </c>
      <c r="CO189" s="109">
        <f t="shared" si="287"/>
        <v>0</v>
      </c>
      <c r="CP189" s="109">
        <f t="shared" si="288"/>
        <v>0</v>
      </c>
      <c r="CQ189" s="109"/>
      <c r="CR189" s="109"/>
      <c r="CS189" s="196"/>
      <c r="CT189" s="167"/>
      <c r="CU189" s="165"/>
      <c r="CV189" s="109">
        <f t="shared" si="289"/>
        <v>0</v>
      </c>
      <c r="CW189" s="109">
        <f t="shared" si="290"/>
        <v>0</v>
      </c>
      <c r="CX189" s="109"/>
      <c r="CY189" s="109"/>
      <c r="CZ189" s="111"/>
      <c r="DA189" s="111"/>
      <c r="DB189" s="165"/>
      <c r="DC189" s="109">
        <f t="shared" si="291"/>
        <v>0</v>
      </c>
      <c r="DD189" s="109">
        <f t="shared" si="292"/>
        <v>0</v>
      </c>
      <c r="DE189" s="109"/>
      <c r="DF189" s="109"/>
      <c r="DG189" s="111"/>
      <c r="DH189" s="111"/>
      <c r="DI189" s="165"/>
      <c r="DJ189" s="109">
        <f t="shared" si="293"/>
        <v>0</v>
      </c>
      <c r="DK189" s="109">
        <f t="shared" si="294"/>
        <v>0</v>
      </c>
      <c r="DL189" s="109"/>
      <c r="DM189" s="109"/>
      <c r="DN189" s="111"/>
      <c r="DO189" s="111"/>
      <c r="DP189" s="165"/>
      <c r="DQ189" s="109">
        <f t="shared" si="302"/>
        <v>0</v>
      </c>
      <c r="DR189" s="109">
        <f t="shared" si="303"/>
        <v>0</v>
      </c>
      <c r="DS189" s="109"/>
      <c r="DT189" s="109"/>
      <c r="DU189" s="111"/>
      <c r="DV189" s="111"/>
      <c r="DW189" s="165"/>
      <c r="DX189" s="109">
        <f t="shared" si="304"/>
        <v>0</v>
      </c>
      <c r="DY189" s="109">
        <f t="shared" si="305"/>
        <v>0</v>
      </c>
      <c r="DZ189" s="109"/>
      <c r="EA189" s="109"/>
      <c r="EB189" s="111"/>
      <c r="EC189" s="111"/>
      <c r="ED189" s="165"/>
      <c r="EE189" s="109">
        <f t="shared" si="306"/>
        <v>0</v>
      </c>
      <c r="EF189" s="109">
        <f t="shared" si="307"/>
        <v>0</v>
      </c>
      <c r="EG189" s="109"/>
      <c r="EH189" s="109"/>
      <c r="EI189" s="111"/>
      <c r="EJ189" s="111"/>
      <c r="EK189" s="165"/>
      <c r="EL189" s="109">
        <f t="shared" si="308"/>
        <v>0</v>
      </c>
      <c r="EM189" s="109">
        <f t="shared" si="309"/>
        <v>0</v>
      </c>
      <c r="EN189" s="109"/>
      <c r="EO189" s="109"/>
      <c r="EP189" s="111"/>
      <c r="EQ189" s="111"/>
      <c r="ER189" s="165"/>
      <c r="ES189" s="109">
        <f t="shared" si="310"/>
        <v>0</v>
      </c>
      <c r="ET189" s="109">
        <f t="shared" si="311"/>
        <v>0</v>
      </c>
      <c r="EU189" s="109"/>
      <c r="EV189" s="109"/>
      <c r="EW189" s="111"/>
      <c r="EX189" s="111"/>
      <c r="EY189" s="165"/>
      <c r="EZ189" s="109">
        <f t="shared" si="312"/>
        <v>0</v>
      </c>
      <c r="FA189" s="109">
        <f t="shared" si="313"/>
        <v>0</v>
      </c>
      <c r="FB189" s="109"/>
      <c r="FC189" s="109"/>
      <c r="FD189" s="111"/>
      <c r="FE189" s="111"/>
      <c r="FF189" s="165"/>
      <c r="FG189" s="109">
        <f t="shared" si="314"/>
        <v>0</v>
      </c>
      <c r="FH189" s="109">
        <f t="shared" si="315"/>
        <v>0</v>
      </c>
      <c r="FI189" s="109"/>
      <c r="FJ189" s="109"/>
      <c r="FK189" s="111"/>
      <c r="FL189" s="111"/>
      <c r="FM189" s="165"/>
      <c r="FN189" s="109">
        <f t="shared" si="316"/>
        <v>0</v>
      </c>
      <c r="FO189" s="109">
        <f t="shared" si="317"/>
        <v>0</v>
      </c>
      <c r="FP189" s="109"/>
      <c r="FQ189" s="109"/>
      <c r="FR189" s="111"/>
      <c r="FS189" s="111"/>
      <c r="FT189" s="165"/>
      <c r="FU189" s="109">
        <f t="shared" si="318"/>
        <v>0</v>
      </c>
      <c r="FV189" s="109">
        <f t="shared" si="326"/>
        <v>0</v>
      </c>
      <c r="FW189" s="109"/>
      <c r="FX189" s="109"/>
      <c r="FY189" s="111"/>
      <c r="FZ189" s="111"/>
      <c r="GA189" s="165"/>
      <c r="GB189" s="109">
        <f t="shared" si="319"/>
        <v>0</v>
      </c>
      <c r="GC189" s="109">
        <f t="shared" si="327"/>
        <v>0</v>
      </c>
      <c r="GD189" s="109"/>
      <c r="GE189" s="109"/>
      <c r="GF189" s="111"/>
      <c r="GG189" s="111"/>
      <c r="GH189" s="165"/>
      <c r="GI189" s="109">
        <f t="shared" si="320"/>
        <v>0</v>
      </c>
      <c r="GJ189" s="109">
        <f t="shared" si="328"/>
        <v>0</v>
      </c>
      <c r="GK189" s="109"/>
      <c r="GL189" s="109"/>
      <c r="GM189" s="111"/>
      <c r="GN189" s="111"/>
      <c r="GO189" s="165"/>
      <c r="GP189" s="109">
        <f t="shared" si="321"/>
        <v>0</v>
      </c>
      <c r="GQ189" s="109">
        <f t="shared" si="329"/>
        <v>0</v>
      </c>
      <c r="GR189" s="109"/>
      <c r="GS189" s="109"/>
      <c r="GT189" s="111"/>
      <c r="GU189" s="111"/>
      <c r="GV189" s="165"/>
      <c r="GW189" s="168">
        <f t="shared" si="322"/>
        <v>0</v>
      </c>
      <c r="GX189" s="168">
        <f t="shared" si="330"/>
        <v>0</v>
      </c>
      <c r="GY189" s="168"/>
      <c r="GZ189" s="168"/>
      <c r="HA189" s="111"/>
      <c r="HB189" s="111"/>
      <c r="HC189" s="165"/>
      <c r="HD189" s="109">
        <f t="shared" si="323"/>
        <v>0</v>
      </c>
      <c r="HE189" s="109">
        <f t="shared" si="331"/>
        <v>0</v>
      </c>
      <c r="HF189" s="109"/>
      <c r="HG189" s="109"/>
      <c r="HH189" s="111"/>
      <c r="HI189" s="111"/>
      <c r="HJ189" s="165"/>
      <c r="HK189" s="109">
        <f t="shared" si="324"/>
        <v>0</v>
      </c>
      <c r="HL189" s="109">
        <f t="shared" si="332"/>
        <v>0</v>
      </c>
      <c r="HM189" s="109"/>
      <c r="HN189" s="109"/>
      <c r="HO189" s="111"/>
      <c r="HP189" s="111"/>
      <c r="HQ189" s="165"/>
      <c r="HR189" s="109">
        <f t="shared" si="325"/>
        <v>0</v>
      </c>
      <c r="HS189" s="109">
        <f t="shared" si="333"/>
        <v>0</v>
      </c>
      <c r="HT189" s="109"/>
      <c r="HU189" s="109"/>
      <c r="HV189" s="111"/>
      <c r="HW189" s="111"/>
      <c r="HX189" s="105">
        <f t="shared" si="301"/>
        <v>0</v>
      </c>
      <c r="HY189" s="105">
        <f t="shared" si="301"/>
        <v>0</v>
      </c>
      <c r="HZ189" s="105">
        <f t="shared" si="301"/>
        <v>0</v>
      </c>
      <c r="IA189" s="105">
        <f t="shared" si="295"/>
        <v>0</v>
      </c>
      <c r="IB189" s="109">
        <f t="shared" si="296"/>
        <v>0</v>
      </c>
      <c r="IC189" s="109">
        <f t="shared" si="297"/>
        <v>0</v>
      </c>
      <c r="ID189" s="109">
        <f t="shared" si="298"/>
        <v>0</v>
      </c>
      <c r="IE189" s="109">
        <f t="shared" si="299"/>
        <v>0</v>
      </c>
      <c r="IF189" s="197"/>
      <c r="IG189" s="197"/>
      <c r="IH189" s="197"/>
      <c r="II189" s="197"/>
      <c r="IJ189" s="197"/>
      <c r="IK189" s="197"/>
      <c r="IL189" s="197"/>
      <c r="IM189" s="171"/>
      <c r="IN189" s="171"/>
      <c r="IO189" s="171"/>
      <c r="IP189" s="171"/>
    </row>
    <row r="190" spans="1:250" ht="15" customHeight="1" x14ac:dyDescent="0.3">
      <c r="A190" s="110">
        <f t="shared" si="300"/>
        <v>186</v>
      </c>
      <c r="B190" s="111"/>
      <c r="C190" s="111"/>
      <c r="D190" s="111"/>
      <c r="E190" s="111"/>
      <c r="F190" s="111"/>
      <c r="G190" s="111"/>
      <c r="H190" s="111"/>
      <c r="I190" s="194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75"/>
      <c r="AI190" s="111"/>
      <c r="AJ190" s="111"/>
      <c r="AK190" s="111"/>
      <c r="AL190" s="177"/>
      <c r="AM190" s="176"/>
      <c r="AN190" s="177"/>
      <c r="AO190" s="157"/>
      <c r="AP190" s="158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  <c r="BJ190" s="111"/>
      <c r="BK190" s="111"/>
      <c r="BL190" s="175"/>
      <c r="BM190" s="111"/>
      <c r="BN190" s="111"/>
      <c r="BO190" s="111"/>
      <c r="BP190" s="111"/>
      <c r="BQ190" s="111"/>
      <c r="BR190" s="111"/>
      <c r="BS190" s="111"/>
      <c r="BT190" s="111"/>
      <c r="BU190" s="111"/>
      <c r="BV190" s="111"/>
      <c r="BW190" s="111"/>
      <c r="BX190" s="111"/>
      <c r="BY190" s="111"/>
      <c r="BZ190" s="111"/>
      <c r="CA190" s="111"/>
      <c r="CB190" s="111"/>
      <c r="CC190" s="178"/>
      <c r="CD190" s="177">
        <f t="shared" si="284"/>
        <v>0</v>
      </c>
      <c r="CE190" s="148"/>
      <c r="CF190" s="111">
        <f t="shared" si="285"/>
        <v>0</v>
      </c>
      <c r="CG190" s="177"/>
      <c r="CH190" s="204"/>
      <c r="CI190" s="148"/>
      <c r="CJ190" s="165"/>
      <c r="CK190" s="165"/>
      <c r="CL190" s="111"/>
      <c r="CM190" s="111"/>
      <c r="CN190" s="165">
        <f t="shared" si="286"/>
        <v>0</v>
      </c>
      <c r="CO190" s="109">
        <f t="shared" si="287"/>
        <v>0</v>
      </c>
      <c r="CP190" s="109">
        <f t="shared" si="288"/>
        <v>0</v>
      </c>
      <c r="CQ190" s="109"/>
      <c r="CR190" s="109"/>
      <c r="CS190" s="196"/>
      <c r="CT190" s="167"/>
      <c r="CU190" s="165"/>
      <c r="CV190" s="109">
        <f t="shared" si="289"/>
        <v>0</v>
      </c>
      <c r="CW190" s="109">
        <f t="shared" si="290"/>
        <v>0</v>
      </c>
      <c r="CX190" s="109"/>
      <c r="CY190" s="109"/>
      <c r="CZ190" s="111"/>
      <c r="DA190" s="111"/>
      <c r="DB190" s="165"/>
      <c r="DC190" s="109">
        <f t="shared" si="291"/>
        <v>0</v>
      </c>
      <c r="DD190" s="109">
        <f t="shared" si="292"/>
        <v>0</v>
      </c>
      <c r="DE190" s="109"/>
      <c r="DF190" s="109"/>
      <c r="DG190" s="111"/>
      <c r="DH190" s="111"/>
      <c r="DI190" s="165"/>
      <c r="DJ190" s="109">
        <f t="shared" si="293"/>
        <v>0</v>
      </c>
      <c r="DK190" s="109">
        <f t="shared" si="294"/>
        <v>0</v>
      </c>
      <c r="DL190" s="109"/>
      <c r="DM190" s="109"/>
      <c r="DN190" s="111"/>
      <c r="DO190" s="111"/>
      <c r="DP190" s="165"/>
      <c r="DQ190" s="109">
        <f t="shared" si="302"/>
        <v>0</v>
      </c>
      <c r="DR190" s="109">
        <f t="shared" si="303"/>
        <v>0</v>
      </c>
      <c r="DS190" s="109"/>
      <c r="DT190" s="109"/>
      <c r="DU190" s="111"/>
      <c r="DV190" s="111"/>
      <c r="DW190" s="165"/>
      <c r="DX190" s="109">
        <f t="shared" si="304"/>
        <v>0</v>
      </c>
      <c r="DY190" s="109">
        <f t="shared" si="305"/>
        <v>0</v>
      </c>
      <c r="DZ190" s="109"/>
      <c r="EA190" s="109"/>
      <c r="EB190" s="111"/>
      <c r="EC190" s="111"/>
      <c r="ED190" s="165"/>
      <c r="EE190" s="109">
        <f t="shared" si="306"/>
        <v>0</v>
      </c>
      <c r="EF190" s="109">
        <f t="shared" si="307"/>
        <v>0</v>
      </c>
      <c r="EG190" s="109"/>
      <c r="EH190" s="109"/>
      <c r="EI190" s="111"/>
      <c r="EJ190" s="111"/>
      <c r="EK190" s="165"/>
      <c r="EL190" s="109">
        <f t="shared" si="308"/>
        <v>0</v>
      </c>
      <c r="EM190" s="109">
        <f t="shared" si="309"/>
        <v>0</v>
      </c>
      <c r="EN190" s="109"/>
      <c r="EO190" s="109"/>
      <c r="EP190" s="111"/>
      <c r="EQ190" s="111"/>
      <c r="ER190" s="165"/>
      <c r="ES190" s="109">
        <f t="shared" si="310"/>
        <v>0</v>
      </c>
      <c r="ET190" s="109">
        <f t="shared" si="311"/>
        <v>0</v>
      </c>
      <c r="EU190" s="109"/>
      <c r="EV190" s="109"/>
      <c r="EW190" s="111"/>
      <c r="EX190" s="111"/>
      <c r="EY190" s="165"/>
      <c r="EZ190" s="109">
        <f t="shared" si="312"/>
        <v>0</v>
      </c>
      <c r="FA190" s="109">
        <f t="shared" si="313"/>
        <v>0</v>
      </c>
      <c r="FB190" s="109"/>
      <c r="FC190" s="109"/>
      <c r="FD190" s="111"/>
      <c r="FE190" s="111"/>
      <c r="FF190" s="165"/>
      <c r="FG190" s="109">
        <f t="shared" si="314"/>
        <v>0</v>
      </c>
      <c r="FH190" s="109">
        <f t="shared" si="315"/>
        <v>0</v>
      </c>
      <c r="FI190" s="109"/>
      <c r="FJ190" s="109"/>
      <c r="FK190" s="111"/>
      <c r="FL190" s="111"/>
      <c r="FM190" s="165"/>
      <c r="FN190" s="109">
        <f t="shared" si="316"/>
        <v>0</v>
      </c>
      <c r="FO190" s="109">
        <f t="shared" si="317"/>
        <v>0</v>
      </c>
      <c r="FP190" s="109"/>
      <c r="FQ190" s="109"/>
      <c r="FR190" s="111"/>
      <c r="FS190" s="111"/>
      <c r="FT190" s="165"/>
      <c r="FU190" s="109">
        <f t="shared" si="318"/>
        <v>0</v>
      </c>
      <c r="FV190" s="109">
        <f t="shared" si="326"/>
        <v>0</v>
      </c>
      <c r="FW190" s="109"/>
      <c r="FX190" s="109"/>
      <c r="FY190" s="111"/>
      <c r="FZ190" s="111"/>
      <c r="GA190" s="165"/>
      <c r="GB190" s="109">
        <f t="shared" si="319"/>
        <v>0</v>
      </c>
      <c r="GC190" s="109">
        <f t="shared" si="327"/>
        <v>0</v>
      </c>
      <c r="GD190" s="109"/>
      <c r="GE190" s="109"/>
      <c r="GF190" s="111"/>
      <c r="GG190" s="111"/>
      <c r="GH190" s="165"/>
      <c r="GI190" s="109">
        <f t="shared" si="320"/>
        <v>0</v>
      </c>
      <c r="GJ190" s="109">
        <f t="shared" si="328"/>
        <v>0</v>
      </c>
      <c r="GK190" s="109"/>
      <c r="GL190" s="109"/>
      <c r="GM190" s="111"/>
      <c r="GN190" s="111"/>
      <c r="GO190" s="165"/>
      <c r="GP190" s="109">
        <f t="shared" si="321"/>
        <v>0</v>
      </c>
      <c r="GQ190" s="109">
        <f t="shared" si="329"/>
        <v>0</v>
      </c>
      <c r="GR190" s="109"/>
      <c r="GS190" s="109"/>
      <c r="GT190" s="111"/>
      <c r="GU190" s="111"/>
      <c r="GV190" s="165"/>
      <c r="GW190" s="168">
        <f t="shared" si="322"/>
        <v>0</v>
      </c>
      <c r="GX190" s="168">
        <f t="shared" si="330"/>
        <v>0</v>
      </c>
      <c r="GY190" s="168"/>
      <c r="GZ190" s="168"/>
      <c r="HA190" s="111"/>
      <c r="HB190" s="111"/>
      <c r="HC190" s="165"/>
      <c r="HD190" s="109">
        <f t="shared" si="323"/>
        <v>0</v>
      </c>
      <c r="HE190" s="109">
        <f t="shared" si="331"/>
        <v>0</v>
      </c>
      <c r="HF190" s="109"/>
      <c r="HG190" s="109"/>
      <c r="HH190" s="111"/>
      <c r="HI190" s="111"/>
      <c r="HJ190" s="165"/>
      <c r="HK190" s="109">
        <f t="shared" si="324"/>
        <v>0</v>
      </c>
      <c r="HL190" s="109">
        <f t="shared" si="332"/>
        <v>0</v>
      </c>
      <c r="HM190" s="109"/>
      <c r="HN190" s="109"/>
      <c r="HO190" s="111"/>
      <c r="HP190" s="111"/>
      <c r="HQ190" s="165"/>
      <c r="HR190" s="109">
        <f t="shared" si="325"/>
        <v>0</v>
      </c>
      <c r="HS190" s="109">
        <f t="shared" si="333"/>
        <v>0</v>
      </c>
      <c r="HT190" s="109"/>
      <c r="HU190" s="109"/>
      <c r="HV190" s="111"/>
      <c r="HW190" s="111"/>
      <c r="HX190" s="105">
        <f t="shared" si="301"/>
        <v>0</v>
      </c>
      <c r="HY190" s="105">
        <f t="shared" si="301"/>
        <v>0</v>
      </c>
      <c r="HZ190" s="105">
        <f t="shared" si="301"/>
        <v>0</v>
      </c>
      <c r="IA190" s="105">
        <f t="shared" si="295"/>
        <v>0</v>
      </c>
      <c r="IB190" s="109">
        <f t="shared" si="296"/>
        <v>0</v>
      </c>
      <c r="IC190" s="109">
        <f t="shared" si="297"/>
        <v>0</v>
      </c>
      <c r="ID190" s="109">
        <f t="shared" si="298"/>
        <v>0</v>
      </c>
      <c r="IE190" s="109">
        <f t="shared" si="299"/>
        <v>0</v>
      </c>
      <c r="IF190" s="197"/>
      <c r="IG190" s="197"/>
      <c r="IH190" s="197"/>
      <c r="II190" s="197"/>
      <c r="IJ190" s="197"/>
      <c r="IK190" s="197"/>
      <c r="IL190" s="197"/>
      <c r="IM190" s="171"/>
      <c r="IN190" s="171"/>
      <c r="IO190" s="171"/>
      <c r="IP190" s="171"/>
    </row>
    <row r="191" spans="1:250" ht="15" customHeight="1" x14ac:dyDescent="0.3">
      <c r="A191" s="110">
        <f t="shared" si="300"/>
        <v>187</v>
      </c>
      <c r="B191" s="111"/>
      <c r="C191" s="111"/>
      <c r="D191" s="111"/>
      <c r="E191" s="111"/>
      <c r="F191" s="111"/>
      <c r="G191" s="111"/>
      <c r="H191" s="111"/>
      <c r="I191" s="194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75"/>
      <c r="AI191" s="111"/>
      <c r="AJ191" s="111"/>
      <c r="AK191" s="111"/>
      <c r="AL191" s="177"/>
      <c r="AM191" s="176"/>
      <c r="AN191" s="177"/>
      <c r="AO191" s="157"/>
      <c r="AP191" s="158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75"/>
      <c r="BM191" s="111"/>
      <c r="BN191" s="111"/>
      <c r="BO191" s="111"/>
      <c r="BP191" s="111"/>
      <c r="BQ191" s="111"/>
      <c r="BR191" s="111"/>
      <c r="BS191" s="111"/>
      <c r="BT191" s="111"/>
      <c r="BU191" s="111"/>
      <c r="BV191" s="111"/>
      <c r="BW191" s="111"/>
      <c r="BX191" s="111"/>
      <c r="BY191" s="111"/>
      <c r="BZ191" s="111"/>
      <c r="CA191" s="111"/>
      <c r="CB191" s="111"/>
      <c r="CC191" s="178"/>
      <c r="CD191" s="177">
        <f t="shared" si="284"/>
        <v>0</v>
      </c>
      <c r="CE191" s="148"/>
      <c r="CF191" s="111">
        <f t="shared" si="285"/>
        <v>0</v>
      </c>
      <c r="CG191" s="177"/>
      <c r="CH191" s="204"/>
      <c r="CI191" s="148"/>
      <c r="CJ191" s="165"/>
      <c r="CK191" s="165"/>
      <c r="CL191" s="111"/>
      <c r="CM191" s="111"/>
      <c r="CN191" s="165">
        <f t="shared" si="286"/>
        <v>0</v>
      </c>
      <c r="CO191" s="109">
        <f t="shared" si="287"/>
        <v>0</v>
      </c>
      <c r="CP191" s="109">
        <f t="shared" si="288"/>
        <v>0</v>
      </c>
      <c r="CQ191" s="109"/>
      <c r="CR191" s="109"/>
      <c r="CS191" s="196"/>
      <c r="CT191" s="167"/>
      <c r="CU191" s="165"/>
      <c r="CV191" s="109">
        <f t="shared" si="289"/>
        <v>0</v>
      </c>
      <c r="CW191" s="109">
        <f t="shared" si="290"/>
        <v>0</v>
      </c>
      <c r="CX191" s="109"/>
      <c r="CY191" s="109"/>
      <c r="CZ191" s="111"/>
      <c r="DA191" s="111"/>
      <c r="DB191" s="165"/>
      <c r="DC191" s="109">
        <f t="shared" si="291"/>
        <v>0</v>
      </c>
      <c r="DD191" s="109">
        <f t="shared" si="292"/>
        <v>0</v>
      </c>
      <c r="DE191" s="109"/>
      <c r="DF191" s="109"/>
      <c r="DG191" s="111"/>
      <c r="DH191" s="111"/>
      <c r="DI191" s="165"/>
      <c r="DJ191" s="109">
        <f t="shared" si="293"/>
        <v>0</v>
      </c>
      <c r="DK191" s="109">
        <f t="shared" si="294"/>
        <v>0</v>
      </c>
      <c r="DL191" s="109"/>
      <c r="DM191" s="109"/>
      <c r="DN191" s="111"/>
      <c r="DO191" s="111"/>
      <c r="DP191" s="165"/>
      <c r="DQ191" s="109">
        <f t="shared" si="302"/>
        <v>0</v>
      </c>
      <c r="DR191" s="109">
        <f t="shared" si="303"/>
        <v>0</v>
      </c>
      <c r="DS191" s="109"/>
      <c r="DT191" s="109"/>
      <c r="DU191" s="111"/>
      <c r="DV191" s="111"/>
      <c r="DW191" s="165"/>
      <c r="DX191" s="109">
        <f t="shared" si="304"/>
        <v>0</v>
      </c>
      <c r="DY191" s="109">
        <f t="shared" si="305"/>
        <v>0</v>
      </c>
      <c r="DZ191" s="109"/>
      <c r="EA191" s="109"/>
      <c r="EB191" s="111"/>
      <c r="EC191" s="111"/>
      <c r="ED191" s="165"/>
      <c r="EE191" s="109">
        <f t="shared" si="306"/>
        <v>0</v>
      </c>
      <c r="EF191" s="109">
        <f t="shared" si="307"/>
        <v>0</v>
      </c>
      <c r="EG191" s="109"/>
      <c r="EH191" s="109"/>
      <c r="EI191" s="111"/>
      <c r="EJ191" s="111"/>
      <c r="EK191" s="165"/>
      <c r="EL191" s="109">
        <f t="shared" si="308"/>
        <v>0</v>
      </c>
      <c r="EM191" s="109">
        <f t="shared" si="309"/>
        <v>0</v>
      </c>
      <c r="EN191" s="109"/>
      <c r="EO191" s="109"/>
      <c r="EP191" s="111"/>
      <c r="EQ191" s="111"/>
      <c r="ER191" s="165"/>
      <c r="ES191" s="109">
        <f t="shared" si="310"/>
        <v>0</v>
      </c>
      <c r="ET191" s="109">
        <f t="shared" si="311"/>
        <v>0</v>
      </c>
      <c r="EU191" s="109"/>
      <c r="EV191" s="109"/>
      <c r="EW191" s="111"/>
      <c r="EX191" s="111"/>
      <c r="EY191" s="165"/>
      <c r="EZ191" s="109">
        <f t="shared" si="312"/>
        <v>0</v>
      </c>
      <c r="FA191" s="109">
        <f t="shared" si="313"/>
        <v>0</v>
      </c>
      <c r="FB191" s="109"/>
      <c r="FC191" s="109"/>
      <c r="FD191" s="111"/>
      <c r="FE191" s="111"/>
      <c r="FF191" s="165"/>
      <c r="FG191" s="109">
        <f t="shared" si="314"/>
        <v>0</v>
      </c>
      <c r="FH191" s="109">
        <f t="shared" si="315"/>
        <v>0</v>
      </c>
      <c r="FI191" s="109"/>
      <c r="FJ191" s="109"/>
      <c r="FK191" s="111"/>
      <c r="FL191" s="111"/>
      <c r="FM191" s="165"/>
      <c r="FN191" s="109">
        <f t="shared" si="316"/>
        <v>0</v>
      </c>
      <c r="FO191" s="109">
        <f t="shared" si="317"/>
        <v>0</v>
      </c>
      <c r="FP191" s="109"/>
      <c r="FQ191" s="109"/>
      <c r="FR191" s="111"/>
      <c r="FS191" s="111"/>
      <c r="FT191" s="165"/>
      <c r="FU191" s="109">
        <f t="shared" si="318"/>
        <v>0</v>
      </c>
      <c r="FV191" s="109">
        <f t="shared" si="326"/>
        <v>0</v>
      </c>
      <c r="FW191" s="109"/>
      <c r="FX191" s="109"/>
      <c r="FY191" s="111"/>
      <c r="FZ191" s="111"/>
      <c r="GA191" s="165"/>
      <c r="GB191" s="109">
        <f t="shared" si="319"/>
        <v>0</v>
      </c>
      <c r="GC191" s="109">
        <f t="shared" si="327"/>
        <v>0</v>
      </c>
      <c r="GD191" s="109"/>
      <c r="GE191" s="109"/>
      <c r="GF191" s="111"/>
      <c r="GG191" s="111"/>
      <c r="GH191" s="165"/>
      <c r="GI191" s="109">
        <f t="shared" si="320"/>
        <v>0</v>
      </c>
      <c r="GJ191" s="109">
        <f t="shared" si="328"/>
        <v>0</v>
      </c>
      <c r="GK191" s="109"/>
      <c r="GL191" s="109"/>
      <c r="GM191" s="111"/>
      <c r="GN191" s="111"/>
      <c r="GO191" s="165"/>
      <c r="GP191" s="109">
        <f t="shared" si="321"/>
        <v>0</v>
      </c>
      <c r="GQ191" s="109">
        <f t="shared" si="329"/>
        <v>0</v>
      </c>
      <c r="GR191" s="109"/>
      <c r="GS191" s="109"/>
      <c r="GT191" s="111"/>
      <c r="GU191" s="111"/>
      <c r="GV191" s="165"/>
      <c r="GW191" s="168">
        <f t="shared" si="322"/>
        <v>0</v>
      </c>
      <c r="GX191" s="168">
        <f t="shared" si="330"/>
        <v>0</v>
      </c>
      <c r="GY191" s="168"/>
      <c r="GZ191" s="168"/>
      <c r="HA191" s="111"/>
      <c r="HB191" s="111"/>
      <c r="HC191" s="165"/>
      <c r="HD191" s="109">
        <f t="shared" si="323"/>
        <v>0</v>
      </c>
      <c r="HE191" s="109">
        <f t="shared" si="331"/>
        <v>0</v>
      </c>
      <c r="HF191" s="109"/>
      <c r="HG191" s="109"/>
      <c r="HH191" s="111"/>
      <c r="HI191" s="111"/>
      <c r="HJ191" s="165"/>
      <c r="HK191" s="109">
        <f t="shared" si="324"/>
        <v>0</v>
      </c>
      <c r="HL191" s="109">
        <f t="shared" si="332"/>
        <v>0</v>
      </c>
      <c r="HM191" s="109"/>
      <c r="HN191" s="109"/>
      <c r="HO191" s="111"/>
      <c r="HP191" s="111"/>
      <c r="HQ191" s="165"/>
      <c r="HR191" s="109">
        <f t="shared" si="325"/>
        <v>0</v>
      </c>
      <c r="HS191" s="109">
        <f t="shared" si="333"/>
        <v>0</v>
      </c>
      <c r="HT191" s="109"/>
      <c r="HU191" s="109"/>
      <c r="HV191" s="111"/>
      <c r="HW191" s="111"/>
      <c r="HX191" s="105">
        <f t="shared" si="301"/>
        <v>0</v>
      </c>
      <c r="HY191" s="105">
        <f t="shared" si="301"/>
        <v>0</v>
      </c>
      <c r="HZ191" s="105">
        <f t="shared" si="301"/>
        <v>0</v>
      </c>
      <c r="IA191" s="105">
        <f t="shared" si="295"/>
        <v>0</v>
      </c>
      <c r="IB191" s="109">
        <f t="shared" si="296"/>
        <v>0</v>
      </c>
      <c r="IC191" s="109">
        <f t="shared" si="297"/>
        <v>0</v>
      </c>
      <c r="ID191" s="109">
        <f t="shared" si="298"/>
        <v>0</v>
      </c>
      <c r="IE191" s="109">
        <f t="shared" si="299"/>
        <v>0</v>
      </c>
      <c r="IF191" s="197"/>
      <c r="IG191" s="197"/>
      <c r="IH191" s="197"/>
      <c r="II191" s="197"/>
      <c r="IJ191" s="197"/>
      <c r="IK191" s="197"/>
      <c r="IL191" s="197"/>
      <c r="IM191" s="171"/>
      <c r="IN191" s="171"/>
      <c r="IO191" s="171"/>
      <c r="IP191" s="171"/>
    </row>
    <row r="192" spans="1:250" ht="15" customHeight="1" x14ac:dyDescent="0.3">
      <c r="A192" s="110">
        <f t="shared" si="300"/>
        <v>188</v>
      </c>
      <c r="B192" s="111"/>
      <c r="C192" s="111"/>
      <c r="D192" s="111"/>
      <c r="E192" s="111"/>
      <c r="F192" s="111"/>
      <c r="G192" s="111"/>
      <c r="H192" s="111"/>
      <c r="I192" s="194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75"/>
      <c r="AI192" s="111"/>
      <c r="AJ192" s="111"/>
      <c r="AK192" s="111"/>
      <c r="AL192" s="177"/>
      <c r="AM192" s="176"/>
      <c r="AN192" s="177"/>
      <c r="AO192" s="157"/>
      <c r="AP192" s="158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75"/>
      <c r="BM192" s="111"/>
      <c r="BN192" s="111"/>
      <c r="BO192" s="111"/>
      <c r="BP192" s="111"/>
      <c r="BQ192" s="111"/>
      <c r="BR192" s="111"/>
      <c r="BS192" s="111"/>
      <c r="BT192" s="111"/>
      <c r="BU192" s="111"/>
      <c r="BV192" s="111"/>
      <c r="BW192" s="111"/>
      <c r="BX192" s="111"/>
      <c r="BY192" s="111"/>
      <c r="BZ192" s="111"/>
      <c r="CA192" s="111"/>
      <c r="CB192" s="111"/>
      <c r="CC192" s="178"/>
      <c r="CD192" s="177">
        <f t="shared" si="284"/>
        <v>0</v>
      </c>
      <c r="CE192" s="148"/>
      <c r="CF192" s="111">
        <f t="shared" si="285"/>
        <v>0</v>
      </c>
      <c r="CG192" s="177"/>
      <c r="CH192" s="204"/>
      <c r="CI192" s="148"/>
      <c r="CJ192" s="165"/>
      <c r="CK192" s="165"/>
      <c r="CL192" s="111"/>
      <c r="CM192" s="111"/>
      <c r="CN192" s="165">
        <f t="shared" si="286"/>
        <v>0</v>
      </c>
      <c r="CO192" s="109">
        <f t="shared" si="287"/>
        <v>0</v>
      </c>
      <c r="CP192" s="109">
        <f t="shared" si="288"/>
        <v>0</v>
      </c>
      <c r="CQ192" s="109"/>
      <c r="CR192" s="109"/>
      <c r="CS192" s="196"/>
      <c r="CT192" s="167"/>
      <c r="CU192" s="165"/>
      <c r="CV192" s="109">
        <f t="shared" si="289"/>
        <v>0</v>
      </c>
      <c r="CW192" s="109">
        <f t="shared" si="290"/>
        <v>0</v>
      </c>
      <c r="CX192" s="109"/>
      <c r="CY192" s="109"/>
      <c r="CZ192" s="111"/>
      <c r="DA192" s="111"/>
      <c r="DB192" s="165"/>
      <c r="DC192" s="109">
        <f t="shared" si="291"/>
        <v>0</v>
      </c>
      <c r="DD192" s="109">
        <f t="shared" si="292"/>
        <v>0</v>
      </c>
      <c r="DE192" s="109"/>
      <c r="DF192" s="109"/>
      <c r="DG192" s="111"/>
      <c r="DH192" s="111"/>
      <c r="DI192" s="165"/>
      <c r="DJ192" s="109">
        <f t="shared" si="293"/>
        <v>0</v>
      </c>
      <c r="DK192" s="109">
        <f t="shared" si="294"/>
        <v>0</v>
      </c>
      <c r="DL192" s="109"/>
      <c r="DM192" s="109"/>
      <c r="DN192" s="111"/>
      <c r="DO192" s="111"/>
      <c r="DP192" s="165"/>
      <c r="DQ192" s="109">
        <f t="shared" si="302"/>
        <v>0</v>
      </c>
      <c r="DR192" s="109">
        <f t="shared" si="303"/>
        <v>0</v>
      </c>
      <c r="DS192" s="109"/>
      <c r="DT192" s="109"/>
      <c r="DU192" s="111"/>
      <c r="DV192" s="111"/>
      <c r="DW192" s="165"/>
      <c r="DX192" s="109">
        <f t="shared" si="304"/>
        <v>0</v>
      </c>
      <c r="DY192" s="109">
        <f t="shared" si="305"/>
        <v>0</v>
      </c>
      <c r="DZ192" s="109"/>
      <c r="EA192" s="109"/>
      <c r="EB192" s="111"/>
      <c r="EC192" s="111"/>
      <c r="ED192" s="165"/>
      <c r="EE192" s="109">
        <f t="shared" si="306"/>
        <v>0</v>
      </c>
      <c r="EF192" s="109">
        <f t="shared" si="307"/>
        <v>0</v>
      </c>
      <c r="EG192" s="109"/>
      <c r="EH192" s="109"/>
      <c r="EI192" s="111"/>
      <c r="EJ192" s="111"/>
      <c r="EK192" s="165"/>
      <c r="EL192" s="109">
        <f t="shared" si="308"/>
        <v>0</v>
      </c>
      <c r="EM192" s="109">
        <f t="shared" si="309"/>
        <v>0</v>
      </c>
      <c r="EN192" s="109"/>
      <c r="EO192" s="109"/>
      <c r="EP192" s="111"/>
      <c r="EQ192" s="111"/>
      <c r="ER192" s="165"/>
      <c r="ES192" s="109">
        <f t="shared" si="310"/>
        <v>0</v>
      </c>
      <c r="ET192" s="109">
        <f t="shared" si="311"/>
        <v>0</v>
      </c>
      <c r="EU192" s="109"/>
      <c r="EV192" s="109"/>
      <c r="EW192" s="111"/>
      <c r="EX192" s="111"/>
      <c r="EY192" s="165"/>
      <c r="EZ192" s="109">
        <f t="shared" si="312"/>
        <v>0</v>
      </c>
      <c r="FA192" s="109">
        <f t="shared" si="313"/>
        <v>0</v>
      </c>
      <c r="FB192" s="109"/>
      <c r="FC192" s="109"/>
      <c r="FD192" s="111"/>
      <c r="FE192" s="111"/>
      <c r="FF192" s="165"/>
      <c r="FG192" s="109">
        <f t="shared" si="314"/>
        <v>0</v>
      </c>
      <c r="FH192" s="109">
        <f t="shared" si="315"/>
        <v>0</v>
      </c>
      <c r="FI192" s="109"/>
      <c r="FJ192" s="109"/>
      <c r="FK192" s="111"/>
      <c r="FL192" s="111"/>
      <c r="FM192" s="165"/>
      <c r="FN192" s="109">
        <f t="shared" si="316"/>
        <v>0</v>
      </c>
      <c r="FO192" s="109">
        <f t="shared" si="317"/>
        <v>0</v>
      </c>
      <c r="FP192" s="109"/>
      <c r="FQ192" s="109"/>
      <c r="FR192" s="111"/>
      <c r="FS192" s="111"/>
      <c r="FT192" s="165"/>
      <c r="FU192" s="109">
        <f t="shared" si="318"/>
        <v>0</v>
      </c>
      <c r="FV192" s="109">
        <f t="shared" si="326"/>
        <v>0</v>
      </c>
      <c r="FW192" s="109"/>
      <c r="FX192" s="109"/>
      <c r="FY192" s="111"/>
      <c r="FZ192" s="111"/>
      <c r="GA192" s="165"/>
      <c r="GB192" s="109">
        <f t="shared" si="319"/>
        <v>0</v>
      </c>
      <c r="GC192" s="109">
        <f t="shared" si="327"/>
        <v>0</v>
      </c>
      <c r="GD192" s="109"/>
      <c r="GE192" s="109"/>
      <c r="GF192" s="111"/>
      <c r="GG192" s="111"/>
      <c r="GH192" s="165"/>
      <c r="GI192" s="109">
        <f t="shared" si="320"/>
        <v>0</v>
      </c>
      <c r="GJ192" s="109">
        <f t="shared" si="328"/>
        <v>0</v>
      </c>
      <c r="GK192" s="109"/>
      <c r="GL192" s="109"/>
      <c r="GM192" s="111"/>
      <c r="GN192" s="111"/>
      <c r="GO192" s="165"/>
      <c r="GP192" s="109">
        <f t="shared" si="321"/>
        <v>0</v>
      </c>
      <c r="GQ192" s="109">
        <f t="shared" si="329"/>
        <v>0</v>
      </c>
      <c r="GR192" s="109"/>
      <c r="GS192" s="109"/>
      <c r="GT192" s="111"/>
      <c r="GU192" s="111"/>
      <c r="GV192" s="165"/>
      <c r="GW192" s="168">
        <f t="shared" si="322"/>
        <v>0</v>
      </c>
      <c r="GX192" s="168">
        <f t="shared" si="330"/>
        <v>0</v>
      </c>
      <c r="GY192" s="168"/>
      <c r="GZ192" s="168"/>
      <c r="HA192" s="111"/>
      <c r="HB192" s="111"/>
      <c r="HC192" s="165"/>
      <c r="HD192" s="109">
        <f t="shared" si="323"/>
        <v>0</v>
      </c>
      <c r="HE192" s="109">
        <f t="shared" si="331"/>
        <v>0</v>
      </c>
      <c r="HF192" s="109"/>
      <c r="HG192" s="109"/>
      <c r="HH192" s="111"/>
      <c r="HI192" s="111"/>
      <c r="HJ192" s="165"/>
      <c r="HK192" s="109">
        <f t="shared" si="324"/>
        <v>0</v>
      </c>
      <c r="HL192" s="109">
        <f t="shared" si="332"/>
        <v>0</v>
      </c>
      <c r="HM192" s="109"/>
      <c r="HN192" s="109"/>
      <c r="HO192" s="111"/>
      <c r="HP192" s="111"/>
      <c r="HQ192" s="165"/>
      <c r="HR192" s="109">
        <f t="shared" si="325"/>
        <v>0</v>
      </c>
      <c r="HS192" s="109">
        <f t="shared" si="333"/>
        <v>0</v>
      </c>
      <c r="HT192" s="109"/>
      <c r="HU192" s="109"/>
      <c r="HV192" s="111"/>
      <c r="HW192" s="111"/>
      <c r="HX192" s="105">
        <f t="shared" si="301"/>
        <v>0</v>
      </c>
      <c r="HY192" s="105">
        <f t="shared" si="301"/>
        <v>0</v>
      </c>
      <c r="HZ192" s="105">
        <f t="shared" si="301"/>
        <v>0</v>
      </c>
      <c r="IA192" s="105">
        <f t="shared" si="295"/>
        <v>0</v>
      </c>
      <c r="IB192" s="109">
        <f t="shared" si="296"/>
        <v>0</v>
      </c>
      <c r="IC192" s="109">
        <f t="shared" si="297"/>
        <v>0</v>
      </c>
      <c r="ID192" s="109">
        <f t="shared" si="298"/>
        <v>0</v>
      </c>
      <c r="IE192" s="109">
        <f t="shared" si="299"/>
        <v>0</v>
      </c>
      <c r="IF192" s="197"/>
      <c r="IG192" s="197"/>
      <c r="IH192" s="197"/>
      <c r="II192" s="197"/>
      <c r="IJ192" s="197"/>
      <c r="IK192" s="197"/>
      <c r="IL192" s="197"/>
      <c r="IM192" s="171"/>
      <c r="IN192" s="171"/>
      <c r="IO192" s="171"/>
      <c r="IP192" s="171"/>
    </row>
    <row r="193" spans="1:250" ht="15" customHeight="1" x14ac:dyDescent="0.3">
      <c r="A193" s="110">
        <f t="shared" si="300"/>
        <v>189</v>
      </c>
      <c r="B193" s="111"/>
      <c r="C193" s="111"/>
      <c r="D193" s="111"/>
      <c r="E193" s="111"/>
      <c r="F193" s="111"/>
      <c r="G193" s="111"/>
      <c r="H193" s="111"/>
      <c r="I193" s="194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75"/>
      <c r="AI193" s="111"/>
      <c r="AJ193" s="111"/>
      <c r="AK193" s="111"/>
      <c r="AL193" s="177"/>
      <c r="AM193" s="176"/>
      <c r="AN193" s="177"/>
      <c r="AO193" s="157"/>
      <c r="AP193" s="158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75"/>
      <c r="BM193" s="111"/>
      <c r="BN193" s="111"/>
      <c r="BO193" s="111"/>
      <c r="BP193" s="111"/>
      <c r="BQ193" s="111"/>
      <c r="BR193" s="111"/>
      <c r="BS193" s="111"/>
      <c r="BT193" s="111"/>
      <c r="BU193" s="111"/>
      <c r="BV193" s="111"/>
      <c r="BW193" s="111"/>
      <c r="BX193" s="111"/>
      <c r="BY193" s="111"/>
      <c r="BZ193" s="111"/>
      <c r="CA193" s="111"/>
      <c r="CB193" s="111"/>
      <c r="CC193" s="178"/>
      <c r="CD193" s="177">
        <f t="shared" si="284"/>
        <v>0</v>
      </c>
      <c r="CE193" s="148"/>
      <c r="CF193" s="111">
        <f t="shared" si="285"/>
        <v>0</v>
      </c>
      <c r="CG193" s="177"/>
      <c r="CH193" s="204"/>
      <c r="CI193" s="148"/>
      <c r="CJ193" s="165"/>
      <c r="CK193" s="165"/>
      <c r="CL193" s="111"/>
      <c r="CM193" s="111"/>
      <c r="CN193" s="165">
        <f t="shared" si="286"/>
        <v>0</v>
      </c>
      <c r="CO193" s="109">
        <f t="shared" si="287"/>
        <v>0</v>
      </c>
      <c r="CP193" s="109">
        <f t="shared" si="288"/>
        <v>0</v>
      </c>
      <c r="CQ193" s="109"/>
      <c r="CR193" s="109"/>
      <c r="CS193" s="196"/>
      <c r="CT193" s="167"/>
      <c r="CU193" s="165"/>
      <c r="CV193" s="109">
        <f t="shared" si="289"/>
        <v>0</v>
      </c>
      <c r="CW193" s="109">
        <f t="shared" si="290"/>
        <v>0</v>
      </c>
      <c r="CX193" s="109"/>
      <c r="CY193" s="109"/>
      <c r="CZ193" s="111"/>
      <c r="DA193" s="111"/>
      <c r="DB193" s="165"/>
      <c r="DC193" s="109">
        <f t="shared" si="291"/>
        <v>0</v>
      </c>
      <c r="DD193" s="109">
        <f t="shared" si="292"/>
        <v>0</v>
      </c>
      <c r="DE193" s="109"/>
      <c r="DF193" s="109"/>
      <c r="DG193" s="111"/>
      <c r="DH193" s="111"/>
      <c r="DI193" s="165"/>
      <c r="DJ193" s="109">
        <f t="shared" si="293"/>
        <v>0</v>
      </c>
      <c r="DK193" s="109">
        <f t="shared" si="294"/>
        <v>0</v>
      </c>
      <c r="DL193" s="109"/>
      <c r="DM193" s="109"/>
      <c r="DN193" s="111"/>
      <c r="DO193" s="111"/>
      <c r="DP193" s="165"/>
      <c r="DQ193" s="109">
        <f t="shared" si="302"/>
        <v>0</v>
      </c>
      <c r="DR193" s="109">
        <f t="shared" si="303"/>
        <v>0</v>
      </c>
      <c r="DS193" s="109"/>
      <c r="DT193" s="109"/>
      <c r="DU193" s="111"/>
      <c r="DV193" s="111"/>
      <c r="DW193" s="165"/>
      <c r="DX193" s="109">
        <f t="shared" si="304"/>
        <v>0</v>
      </c>
      <c r="DY193" s="109">
        <f t="shared" si="305"/>
        <v>0</v>
      </c>
      <c r="DZ193" s="109"/>
      <c r="EA193" s="109"/>
      <c r="EB193" s="111"/>
      <c r="EC193" s="111"/>
      <c r="ED193" s="165"/>
      <c r="EE193" s="109">
        <f t="shared" si="306"/>
        <v>0</v>
      </c>
      <c r="EF193" s="109">
        <f t="shared" si="307"/>
        <v>0</v>
      </c>
      <c r="EG193" s="109"/>
      <c r="EH193" s="109"/>
      <c r="EI193" s="111"/>
      <c r="EJ193" s="111"/>
      <c r="EK193" s="165"/>
      <c r="EL193" s="109">
        <f t="shared" si="308"/>
        <v>0</v>
      </c>
      <c r="EM193" s="109">
        <f t="shared" si="309"/>
        <v>0</v>
      </c>
      <c r="EN193" s="109"/>
      <c r="EO193" s="109"/>
      <c r="EP193" s="111"/>
      <c r="EQ193" s="111"/>
      <c r="ER193" s="165"/>
      <c r="ES193" s="109">
        <f t="shared" si="310"/>
        <v>0</v>
      </c>
      <c r="ET193" s="109">
        <f t="shared" si="311"/>
        <v>0</v>
      </c>
      <c r="EU193" s="109"/>
      <c r="EV193" s="109"/>
      <c r="EW193" s="111"/>
      <c r="EX193" s="111"/>
      <c r="EY193" s="165"/>
      <c r="EZ193" s="109">
        <f t="shared" si="312"/>
        <v>0</v>
      </c>
      <c r="FA193" s="109">
        <f t="shared" si="313"/>
        <v>0</v>
      </c>
      <c r="FB193" s="109"/>
      <c r="FC193" s="109"/>
      <c r="FD193" s="111"/>
      <c r="FE193" s="111"/>
      <c r="FF193" s="165"/>
      <c r="FG193" s="109">
        <f t="shared" si="314"/>
        <v>0</v>
      </c>
      <c r="FH193" s="109">
        <f t="shared" si="315"/>
        <v>0</v>
      </c>
      <c r="FI193" s="109"/>
      <c r="FJ193" s="109"/>
      <c r="FK193" s="111"/>
      <c r="FL193" s="111"/>
      <c r="FM193" s="165"/>
      <c r="FN193" s="109">
        <f t="shared" si="316"/>
        <v>0</v>
      </c>
      <c r="FO193" s="109">
        <f t="shared" si="317"/>
        <v>0</v>
      </c>
      <c r="FP193" s="109"/>
      <c r="FQ193" s="109"/>
      <c r="FR193" s="111"/>
      <c r="FS193" s="111"/>
      <c r="FT193" s="165"/>
      <c r="FU193" s="109">
        <f t="shared" si="318"/>
        <v>0</v>
      </c>
      <c r="FV193" s="109">
        <f t="shared" si="326"/>
        <v>0</v>
      </c>
      <c r="FW193" s="109"/>
      <c r="FX193" s="109"/>
      <c r="FY193" s="111"/>
      <c r="FZ193" s="111"/>
      <c r="GA193" s="165"/>
      <c r="GB193" s="109">
        <f t="shared" si="319"/>
        <v>0</v>
      </c>
      <c r="GC193" s="109">
        <f t="shared" si="327"/>
        <v>0</v>
      </c>
      <c r="GD193" s="109"/>
      <c r="GE193" s="109"/>
      <c r="GF193" s="111"/>
      <c r="GG193" s="111"/>
      <c r="GH193" s="165"/>
      <c r="GI193" s="109">
        <f t="shared" si="320"/>
        <v>0</v>
      </c>
      <c r="GJ193" s="109">
        <f t="shared" si="328"/>
        <v>0</v>
      </c>
      <c r="GK193" s="109"/>
      <c r="GL193" s="109"/>
      <c r="GM193" s="111"/>
      <c r="GN193" s="111"/>
      <c r="GO193" s="165"/>
      <c r="GP193" s="109">
        <f t="shared" si="321"/>
        <v>0</v>
      </c>
      <c r="GQ193" s="109">
        <f t="shared" si="329"/>
        <v>0</v>
      </c>
      <c r="GR193" s="109"/>
      <c r="GS193" s="109"/>
      <c r="GT193" s="111"/>
      <c r="GU193" s="111"/>
      <c r="GV193" s="165"/>
      <c r="GW193" s="168">
        <f t="shared" si="322"/>
        <v>0</v>
      </c>
      <c r="GX193" s="168">
        <f t="shared" si="330"/>
        <v>0</v>
      </c>
      <c r="GY193" s="168"/>
      <c r="GZ193" s="168"/>
      <c r="HA193" s="111"/>
      <c r="HB193" s="111"/>
      <c r="HC193" s="165"/>
      <c r="HD193" s="109">
        <f t="shared" si="323"/>
        <v>0</v>
      </c>
      <c r="HE193" s="109">
        <f t="shared" si="331"/>
        <v>0</v>
      </c>
      <c r="HF193" s="109"/>
      <c r="HG193" s="109"/>
      <c r="HH193" s="111"/>
      <c r="HI193" s="111"/>
      <c r="HJ193" s="165"/>
      <c r="HK193" s="109">
        <f t="shared" si="324"/>
        <v>0</v>
      </c>
      <c r="HL193" s="109">
        <f t="shared" si="332"/>
        <v>0</v>
      </c>
      <c r="HM193" s="109"/>
      <c r="HN193" s="109"/>
      <c r="HO193" s="111"/>
      <c r="HP193" s="111"/>
      <c r="HQ193" s="165"/>
      <c r="HR193" s="109">
        <f t="shared" si="325"/>
        <v>0</v>
      </c>
      <c r="HS193" s="109">
        <f t="shared" si="333"/>
        <v>0</v>
      </c>
      <c r="HT193" s="109"/>
      <c r="HU193" s="109"/>
      <c r="HV193" s="111"/>
      <c r="HW193" s="111"/>
      <c r="HX193" s="105">
        <f t="shared" si="301"/>
        <v>0</v>
      </c>
      <c r="HY193" s="105">
        <f t="shared" si="301"/>
        <v>0</v>
      </c>
      <c r="HZ193" s="105">
        <f t="shared" si="301"/>
        <v>0</v>
      </c>
      <c r="IA193" s="105">
        <f t="shared" si="295"/>
        <v>0</v>
      </c>
      <c r="IB193" s="109">
        <f t="shared" si="296"/>
        <v>0</v>
      </c>
      <c r="IC193" s="109">
        <f t="shared" si="297"/>
        <v>0</v>
      </c>
      <c r="ID193" s="109">
        <f t="shared" si="298"/>
        <v>0</v>
      </c>
      <c r="IE193" s="109">
        <f t="shared" si="299"/>
        <v>0</v>
      </c>
      <c r="IF193" s="197"/>
      <c r="IG193" s="197"/>
      <c r="IH193" s="197"/>
      <c r="II193" s="197"/>
      <c r="IJ193" s="197"/>
      <c r="IK193" s="197"/>
      <c r="IL193" s="197"/>
      <c r="IM193" s="171"/>
      <c r="IN193" s="171"/>
      <c r="IO193" s="171"/>
      <c r="IP193" s="171"/>
    </row>
    <row r="194" spans="1:250" ht="15" customHeight="1" x14ac:dyDescent="0.3">
      <c r="A194" s="110">
        <f t="shared" si="300"/>
        <v>190</v>
      </c>
      <c r="B194" s="111"/>
      <c r="C194" s="111"/>
      <c r="D194" s="111"/>
      <c r="E194" s="111"/>
      <c r="F194" s="111"/>
      <c r="G194" s="111"/>
      <c r="H194" s="111"/>
      <c r="I194" s="194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75"/>
      <c r="AI194" s="111"/>
      <c r="AJ194" s="111"/>
      <c r="AK194" s="111"/>
      <c r="AL194" s="177"/>
      <c r="AM194" s="176"/>
      <c r="AN194" s="177"/>
      <c r="AO194" s="157"/>
      <c r="AP194" s="158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  <c r="BG194" s="111"/>
      <c r="BH194" s="111"/>
      <c r="BI194" s="111"/>
      <c r="BJ194" s="111"/>
      <c r="BK194" s="111"/>
      <c r="BL194" s="175"/>
      <c r="BM194" s="111"/>
      <c r="BN194" s="111"/>
      <c r="BO194" s="111"/>
      <c r="BP194" s="111"/>
      <c r="BQ194" s="111"/>
      <c r="BR194" s="111"/>
      <c r="BS194" s="111"/>
      <c r="BT194" s="111"/>
      <c r="BU194" s="111"/>
      <c r="BV194" s="111"/>
      <c r="BW194" s="111"/>
      <c r="BX194" s="111"/>
      <c r="BY194" s="111"/>
      <c r="BZ194" s="111"/>
      <c r="CA194" s="111"/>
      <c r="CB194" s="111"/>
      <c r="CC194" s="178"/>
      <c r="CD194" s="177">
        <f t="shared" si="284"/>
        <v>0</v>
      </c>
      <c r="CE194" s="148"/>
      <c r="CF194" s="111">
        <f t="shared" si="285"/>
        <v>0</v>
      </c>
      <c r="CG194" s="177"/>
      <c r="CH194" s="204"/>
      <c r="CI194" s="148"/>
      <c r="CJ194" s="165"/>
      <c r="CK194" s="165"/>
      <c r="CL194" s="111"/>
      <c r="CM194" s="111"/>
      <c r="CN194" s="165">
        <f t="shared" si="286"/>
        <v>0</v>
      </c>
      <c r="CO194" s="109">
        <f t="shared" si="287"/>
        <v>0</v>
      </c>
      <c r="CP194" s="109">
        <f t="shared" si="288"/>
        <v>0</v>
      </c>
      <c r="CQ194" s="109"/>
      <c r="CR194" s="109"/>
      <c r="CS194" s="196"/>
      <c r="CT194" s="167"/>
      <c r="CU194" s="165"/>
      <c r="CV194" s="109">
        <f t="shared" si="289"/>
        <v>0</v>
      </c>
      <c r="CW194" s="109">
        <f t="shared" si="290"/>
        <v>0</v>
      </c>
      <c r="CX194" s="109"/>
      <c r="CY194" s="109"/>
      <c r="CZ194" s="111"/>
      <c r="DA194" s="111"/>
      <c r="DB194" s="165"/>
      <c r="DC194" s="109">
        <f t="shared" si="291"/>
        <v>0</v>
      </c>
      <c r="DD194" s="109">
        <f t="shared" si="292"/>
        <v>0</v>
      </c>
      <c r="DE194" s="109"/>
      <c r="DF194" s="109"/>
      <c r="DG194" s="111"/>
      <c r="DH194" s="111"/>
      <c r="DI194" s="165"/>
      <c r="DJ194" s="109">
        <f t="shared" si="293"/>
        <v>0</v>
      </c>
      <c r="DK194" s="109">
        <f t="shared" si="294"/>
        <v>0</v>
      </c>
      <c r="DL194" s="109"/>
      <c r="DM194" s="109"/>
      <c r="DN194" s="111"/>
      <c r="DO194" s="111"/>
      <c r="DP194" s="165"/>
      <c r="DQ194" s="109">
        <f t="shared" si="302"/>
        <v>0</v>
      </c>
      <c r="DR194" s="109">
        <f t="shared" si="303"/>
        <v>0</v>
      </c>
      <c r="DS194" s="109"/>
      <c r="DT194" s="109"/>
      <c r="DU194" s="111"/>
      <c r="DV194" s="111"/>
      <c r="DW194" s="165"/>
      <c r="DX194" s="109">
        <f t="shared" si="304"/>
        <v>0</v>
      </c>
      <c r="DY194" s="109">
        <f t="shared" si="305"/>
        <v>0</v>
      </c>
      <c r="DZ194" s="109"/>
      <c r="EA194" s="109"/>
      <c r="EB194" s="111"/>
      <c r="EC194" s="111"/>
      <c r="ED194" s="165"/>
      <c r="EE194" s="109">
        <f t="shared" si="306"/>
        <v>0</v>
      </c>
      <c r="EF194" s="109">
        <f t="shared" si="307"/>
        <v>0</v>
      </c>
      <c r="EG194" s="109"/>
      <c r="EH194" s="109"/>
      <c r="EI194" s="111"/>
      <c r="EJ194" s="111"/>
      <c r="EK194" s="165"/>
      <c r="EL194" s="109">
        <f t="shared" si="308"/>
        <v>0</v>
      </c>
      <c r="EM194" s="109">
        <f t="shared" si="309"/>
        <v>0</v>
      </c>
      <c r="EN194" s="109"/>
      <c r="EO194" s="109"/>
      <c r="EP194" s="111"/>
      <c r="EQ194" s="111"/>
      <c r="ER194" s="165"/>
      <c r="ES194" s="109">
        <f t="shared" si="310"/>
        <v>0</v>
      </c>
      <c r="ET194" s="109">
        <f t="shared" si="311"/>
        <v>0</v>
      </c>
      <c r="EU194" s="109"/>
      <c r="EV194" s="109"/>
      <c r="EW194" s="111"/>
      <c r="EX194" s="111"/>
      <c r="EY194" s="165"/>
      <c r="EZ194" s="109">
        <f t="shared" si="312"/>
        <v>0</v>
      </c>
      <c r="FA194" s="109">
        <f t="shared" si="313"/>
        <v>0</v>
      </c>
      <c r="FB194" s="109"/>
      <c r="FC194" s="109"/>
      <c r="FD194" s="111"/>
      <c r="FE194" s="111"/>
      <c r="FF194" s="165"/>
      <c r="FG194" s="109">
        <f t="shared" si="314"/>
        <v>0</v>
      </c>
      <c r="FH194" s="109">
        <f t="shared" si="315"/>
        <v>0</v>
      </c>
      <c r="FI194" s="109"/>
      <c r="FJ194" s="109"/>
      <c r="FK194" s="111"/>
      <c r="FL194" s="111"/>
      <c r="FM194" s="165"/>
      <c r="FN194" s="109">
        <f t="shared" si="316"/>
        <v>0</v>
      </c>
      <c r="FO194" s="109">
        <f t="shared" si="317"/>
        <v>0</v>
      </c>
      <c r="FP194" s="109"/>
      <c r="FQ194" s="109"/>
      <c r="FR194" s="111"/>
      <c r="FS194" s="111"/>
      <c r="FT194" s="165"/>
      <c r="FU194" s="109">
        <f t="shared" si="318"/>
        <v>0</v>
      </c>
      <c r="FV194" s="109">
        <f t="shared" si="326"/>
        <v>0</v>
      </c>
      <c r="FW194" s="109"/>
      <c r="FX194" s="109"/>
      <c r="FY194" s="111"/>
      <c r="FZ194" s="111"/>
      <c r="GA194" s="165"/>
      <c r="GB194" s="109">
        <f t="shared" si="319"/>
        <v>0</v>
      </c>
      <c r="GC194" s="109">
        <f t="shared" si="327"/>
        <v>0</v>
      </c>
      <c r="GD194" s="109"/>
      <c r="GE194" s="109"/>
      <c r="GF194" s="111"/>
      <c r="GG194" s="111"/>
      <c r="GH194" s="165"/>
      <c r="GI194" s="109">
        <f t="shared" si="320"/>
        <v>0</v>
      </c>
      <c r="GJ194" s="109">
        <f t="shared" si="328"/>
        <v>0</v>
      </c>
      <c r="GK194" s="109"/>
      <c r="GL194" s="109"/>
      <c r="GM194" s="111"/>
      <c r="GN194" s="111"/>
      <c r="GO194" s="165"/>
      <c r="GP194" s="109">
        <f t="shared" si="321"/>
        <v>0</v>
      </c>
      <c r="GQ194" s="109">
        <f t="shared" si="329"/>
        <v>0</v>
      </c>
      <c r="GR194" s="109"/>
      <c r="GS194" s="109"/>
      <c r="GT194" s="111"/>
      <c r="GU194" s="111"/>
      <c r="GV194" s="165"/>
      <c r="GW194" s="168">
        <f t="shared" si="322"/>
        <v>0</v>
      </c>
      <c r="GX194" s="168">
        <f t="shared" si="330"/>
        <v>0</v>
      </c>
      <c r="GY194" s="168"/>
      <c r="GZ194" s="168"/>
      <c r="HA194" s="111"/>
      <c r="HB194" s="111"/>
      <c r="HC194" s="165"/>
      <c r="HD194" s="109">
        <f t="shared" si="323"/>
        <v>0</v>
      </c>
      <c r="HE194" s="109">
        <f t="shared" si="331"/>
        <v>0</v>
      </c>
      <c r="HF194" s="109"/>
      <c r="HG194" s="109"/>
      <c r="HH194" s="111"/>
      <c r="HI194" s="111"/>
      <c r="HJ194" s="165"/>
      <c r="HK194" s="109">
        <f t="shared" si="324"/>
        <v>0</v>
      </c>
      <c r="HL194" s="109">
        <f t="shared" si="332"/>
        <v>0</v>
      </c>
      <c r="HM194" s="109"/>
      <c r="HN194" s="109"/>
      <c r="HO194" s="111"/>
      <c r="HP194" s="111"/>
      <c r="HQ194" s="165"/>
      <c r="HR194" s="109">
        <f t="shared" si="325"/>
        <v>0</v>
      </c>
      <c r="HS194" s="109">
        <f t="shared" si="333"/>
        <v>0</v>
      </c>
      <c r="HT194" s="109"/>
      <c r="HU194" s="109"/>
      <c r="HV194" s="111"/>
      <c r="HW194" s="111"/>
      <c r="HX194" s="105">
        <f t="shared" si="301"/>
        <v>0</v>
      </c>
      <c r="HY194" s="105">
        <f t="shared" si="301"/>
        <v>0</v>
      </c>
      <c r="HZ194" s="105">
        <f t="shared" si="301"/>
        <v>0</v>
      </c>
      <c r="IA194" s="105">
        <f t="shared" si="295"/>
        <v>0</v>
      </c>
      <c r="IB194" s="109">
        <f t="shared" si="296"/>
        <v>0</v>
      </c>
      <c r="IC194" s="109">
        <f t="shared" si="297"/>
        <v>0</v>
      </c>
      <c r="ID194" s="109">
        <f t="shared" si="298"/>
        <v>0</v>
      </c>
      <c r="IE194" s="109">
        <f t="shared" si="299"/>
        <v>0</v>
      </c>
      <c r="IF194" s="197"/>
      <c r="IG194" s="197"/>
      <c r="IH194" s="197"/>
      <c r="II194" s="197"/>
      <c r="IJ194" s="197"/>
      <c r="IK194" s="197"/>
      <c r="IL194" s="197"/>
      <c r="IM194" s="171"/>
      <c r="IN194" s="171"/>
      <c r="IO194" s="171"/>
      <c r="IP194" s="171"/>
    </row>
    <row r="195" spans="1:250" ht="15" customHeight="1" x14ac:dyDescent="0.3">
      <c r="A195" s="110">
        <f t="shared" si="300"/>
        <v>191</v>
      </c>
      <c r="B195" s="111"/>
      <c r="C195" s="111"/>
      <c r="D195" s="111"/>
      <c r="E195" s="111"/>
      <c r="F195" s="111"/>
      <c r="G195" s="111"/>
      <c r="H195" s="111"/>
      <c r="I195" s="194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75"/>
      <c r="AI195" s="111"/>
      <c r="AJ195" s="111"/>
      <c r="AK195" s="111"/>
      <c r="AL195" s="177"/>
      <c r="AM195" s="176"/>
      <c r="AN195" s="177"/>
      <c r="AO195" s="157"/>
      <c r="AP195" s="158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1"/>
      <c r="BC195" s="111"/>
      <c r="BD195" s="111"/>
      <c r="BE195" s="111"/>
      <c r="BF195" s="111"/>
      <c r="BG195" s="111"/>
      <c r="BH195" s="111"/>
      <c r="BI195" s="111"/>
      <c r="BJ195" s="111"/>
      <c r="BK195" s="111"/>
      <c r="BL195" s="175"/>
      <c r="BM195" s="111"/>
      <c r="BN195" s="111"/>
      <c r="BO195" s="111"/>
      <c r="BP195" s="111"/>
      <c r="BQ195" s="111"/>
      <c r="BR195" s="111"/>
      <c r="BS195" s="111"/>
      <c r="BT195" s="111"/>
      <c r="BU195" s="111"/>
      <c r="BV195" s="111"/>
      <c r="BW195" s="111"/>
      <c r="BX195" s="111"/>
      <c r="BY195" s="111"/>
      <c r="BZ195" s="111"/>
      <c r="CA195" s="111"/>
      <c r="CB195" s="111"/>
      <c r="CC195" s="178"/>
      <c r="CD195" s="177">
        <f t="shared" si="284"/>
        <v>0</v>
      </c>
      <c r="CE195" s="148"/>
      <c r="CF195" s="111">
        <f t="shared" si="285"/>
        <v>0</v>
      </c>
      <c r="CG195" s="177"/>
      <c r="CH195" s="204"/>
      <c r="CI195" s="148"/>
      <c r="CJ195" s="165"/>
      <c r="CK195" s="165"/>
      <c r="CL195" s="111"/>
      <c r="CM195" s="111"/>
      <c r="CN195" s="165">
        <f t="shared" si="286"/>
        <v>0</v>
      </c>
      <c r="CO195" s="109">
        <f t="shared" si="287"/>
        <v>0</v>
      </c>
      <c r="CP195" s="109">
        <f t="shared" si="288"/>
        <v>0</v>
      </c>
      <c r="CQ195" s="109"/>
      <c r="CR195" s="109"/>
      <c r="CS195" s="196"/>
      <c r="CT195" s="167"/>
      <c r="CU195" s="165"/>
      <c r="CV195" s="109">
        <f t="shared" si="289"/>
        <v>0</v>
      </c>
      <c r="CW195" s="109">
        <f t="shared" si="290"/>
        <v>0</v>
      </c>
      <c r="CX195" s="109"/>
      <c r="CY195" s="109"/>
      <c r="CZ195" s="111"/>
      <c r="DA195" s="111"/>
      <c r="DB195" s="165"/>
      <c r="DC195" s="109">
        <f t="shared" si="291"/>
        <v>0</v>
      </c>
      <c r="DD195" s="109">
        <f t="shared" si="292"/>
        <v>0</v>
      </c>
      <c r="DE195" s="109"/>
      <c r="DF195" s="109"/>
      <c r="DG195" s="111"/>
      <c r="DH195" s="111"/>
      <c r="DI195" s="165"/>
      <c r="DJ195" s="109">
        <f t="shared" si="293"/>
        <v>0</v>
      </c>
      <c r="DK195" s="109">
        <f t="shared" si="294"/>
        <v>0</v>
      </c>
      <c r="DL195" s="109"/>
      <c r="DM195" s="109"/>
      <c r="DN195" s="111"/>
      <c r="DO195" s="111"/>
      <c r="DP195" s="165"/>
      <c r="DQ195" s="109">
        <f t="shared" si="302"/>
        <v>0</v>
      </c>
      <c r="DR195" s="109">
        <f t="shared" si="303"/>
        <v>0</v>
      </c>
      <c r="DS195" s="109"/>
      <c r="DT195" s="109"/>
      <c r="DU195" s="111"/>
      <c r="DV195" s="111"/>
      <c r="DW195" s="165"/>
      <c r="DX195" s="109">
        <f t="shared" si="304"/>
        <v>0</v>
      </c>
      <c r="DY195" s="109">
        <f t="shared" si="305"/>
        <v>0</v>
      </c>
      <c r="DZ195" s="109"/>
      <c r="EA195" s="109"/>
      <c r="EB195" s="111"/>
      <c r="EC195" s="111"/>
      <c r="ED195" s="165"/>
      <c r="EE195" s="109">
        <f t="shared" si="306"/>
        <v>0</v>
      </c>
      <c r="EF195" s="109">
        <f t="shared" si="307"/>
        <v>0</v>
      </c>
      <c r="EG195" s="109"/>
      <c r="EH195" s="109"/>
      <c r="EI195" s="111"/>
      <c r="EJ195" s="111"/>
      <c r="EK195" s="165"/>
      <c r="EL195" s="109">
        <f t="shared" si="308"/>
        <v>0</v>
      </c>
      <c r="EM195" s="109">
        <f t="shared" si="309"/>
        <v>0</v>
      </c>
      <c r="EN195" s="109"/>
      <c r="EO195" s="109"/>
      <c r="EP195" s="111"/>
      <c r="EQ195" s="111"/>
      <c r="ER195" s="165"/>
      <c r="ES195" s="109">
        <f t="shared" si="310"/>
        <v>0</v>
      </c>
      <c r="ET195" s="109">
        <f t="shared" si="311"/>
        <v>0</v>
      </c>
      <c r="EU195" s="109"/>
      <c r="EV195" s="109"/>
      <c r="EW195" s="111"/>
      <c r="EX195" s="111"/>
      <c r="EY195" s="165"/>
      <c r="EZ195" s="109">
        <f t="shared" si="312"/>
        <v>0</v>
      </c>
      <c r="FA195" s="109">
        <f t="shared" si="313"/>
        <v>0</v>
      </c>
      <c r="FB195" s="109"/>
      <c r="FC195" s="109"/>
      <c r="FD195" s="111"/>
      <c r="FE195" s="111"/>
      <c r="FF195" s="165"/>
      <c r="FG195" s="109">
        <f t="shared" si="314"/>
        <v>0</v>
      </c>
      <c r="FH195" s="109">
        <f t="shared" si="315"/>
        <v>0</v>
      </c>
      <c r="FI195" s="109"/>
      <c r="FJ195" s="109"/>
      <c r="FK195" s="111"/>
      <c r="FL195" s="111"/>
      <c r="FM195" s="165"/>
      <c r="FN195" s="109">
        <f t="shared" si="316"/>
        <v>0</v>
      </c>
      <c r="FO195" s="109">
        <f t="shared" si="317"/>
        <v>0</v>
      </c>
      <c r="FP195" s="109"/>
      <c r="FQ195" s="109"/>
      <c r="FR195" s="111"/>
      <c r="FS195" s="111"/>
      <c r="FT195" s="165"/>
      <c r="FU195" s="109">
        <f t="shared" si="318"/>
        <v>0</v>
      </c>
      <c r="FV195" s="109">
        <f t="shared" si="326"/>
        <v>0</v>
      </c>
      <c r="FW195" s="109"/>
      <c r="FX195" s="109"/>
      <c r="FY195" s="111"/>
      <c r="FZ195" s="111"/>
      <c r="GA195" s="165"/>
      <c r="GB195" s="109">
        <f t="shared" si="319"/>
        <v>0</v>
      </c>
      <c r="GC195" s="109">
        <f t="shared" si="327"/>
        <v>0</v>
      </c>
      <c r="GD195" s="109"/>
      <c r="GE195" s="109"/>
      <c r="GF195" s="111"/>
      <c r="GG195" s="111"/>
      <c r="GH195" s="165"/>
      <c r="GI195" s="109">
        <f t="shared" si="320"/>
        <v>0</v>
      </c>
      <c r="GJ195" s="109">
        <f t="shared" si="328"/>
        <v>0</v>
      </c>
      <c r="GK195" s="109"/>
      <c r="GL195" s="109"/>
      <c r="GM195" s="111"/>
      <c r="GN195" s="111"/>
      <c r="GO195" s="165"/>
      <c r="GP195" s="109">
        <f t="shared" si="321"/>
        <v>0</v>
      </c>
      <c r="GQ195" s="109">
        <f t="shared" si="329"/>
        <v>0</v>
      </c>
      <c r="GR195" s="109"/>
      <c r="GS195" s="109"/>
      <c r="GT195" s="111"/>
      <c r="GU195" s="111"/>
      <c r="GV195" s="165"/>
      <c r="GW195" s="168">
        <f t="shared" si="322"/>
        <v>0</v>
      </c>
      <c r="GX195" s="168">
        <f t="shared" si="330"/>
        <v>0</v>
      </c>
      <c r="GY195" s="168"/>
      <c r="GZ195" s="168"/>
      <c r="HA195" s="111"/>
      <c r="HB195" s="111"/>
      <c r="HC195" s="165"/>
      <c r="HD195" s="109">
        <f t="shared" si="323"/>
        <v>0</v>
      </c>
      <c r="HE195" s="109">
        <f t="shared" si="331"/>
        <v>0</v>
      </c>
      <c r="HF195" s="109"/>
      <c r="HG195" s="109"/>
      <c r="HH195" s="111"/>
      <c r="HI195" s="111"/>
      <c r="HJ195" s="165"/>
      <c r="HK195" s="109">
        <f t="shared" si="324"/>
        <v>0</v>
      </c>
      <c r="HL195" s="109">
        <f t="shared" si="332"/>
        <v>0</v>
      </c>
      <c r="HM195" s="109"/>
      <c r="HN195" s="109"/>
      <c r="HO195" s="111"/>
      <c r="HP195" s="111"/>
      <c r="HQ195" s="165"/>
      <c r="HR195" s="109">
        <f t="shared" si="325"/>
        <v>0</v>
      </c>
      <c r="HS195" s="109">
        <f t="shared" si="333"/>
        <v>0</v>
      </c>
      <c r="HT195" s="109"/>
      <c r="HU195" s="109"/>
      <c r="HV195" s="111"/>
      <c r="HW195" s="111"/>
      <c r="HX195" s="105">
        <f t="shared" si="301"/>
        <v>0</v>
      </c>
      <c r="HY195" s="105">
        <f t="shared" si="301"/>
        <v>0</v>
      </c>
      <c r="HZ195" s="105">
        <f t="shared" si="301"/>
        <v>0</v>
      </c>
      <c r="IA195" s="105">
        <f t="shared" si="295"/>
        <v>0</v>
      </c>
      <c r="IB195" s="109">
        <f t="shared" si="296"/>
        <v>0</v>
      </c>
      <c r="IC195" s="109">
        <f t="shared" si="297"/>
        <v>0</v>
      </c>
      <c r="ID195" s="109">
        <f t="shared" si="298"/>
        <v>0</v>
      </c>
      <c r="IE195" s="109">
        <f t="shared" si="299"/>
        <v>0</v>
      </c>
      <c r="IF195" s="197"/>
      <c r="IG195" s="197"/>
      <c r="IH195" s="197"/>
      <c r="II195" s="197"/>
      <c r="IJ195" s="197"/>
      <c r="IK195" s="197"/>
      <c r="IL195" s="197"/>
      <c r="IM195" s="171"/>
      <c r="IN195" s="171"/>
      <c r="IO195" s="171"/>
      <c r="IP195" s="171"/>
    </row>
    <row r="196" spans="1:250" ht="15" customHeight="1" x14ac:dyDescent="0.3">
      <c r="A196" s="110">
        <f t="shared" si="300"/>
        <v>192</v>
      </c>
      <c r="B196" s="111"/>
      <c r="C196" s="111"/>
      <c r="D196" s="111"/>
      <c r="E196" s="111"/>
      <c r="F196" s="111"/>
      <c r="G196" s="111"/>
      <c r="H196" s="111"/>
      <c r="I196" s="194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75"/>
      <c r="AI196" s="111"/>
      <c r="AJ196" s="111"/>
      <c r="AK196" s="111"/>
      <c r="AL196" s="177"/>
      <c r="AM196" s="176"/>
      <c r="AN196" s="177"/>
      <c r="AO196" s="157"/>
      <c r="AP196" s="158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75"/>
      <c r="BM196" s="111"/>
      <c r="BN196" s="111"/>
      <c r="BO196" s="111"/>
      <c r="BP196" s="111"/>
      <c r="BQ196" s="111"/>
      <c r="BR196" s="111"/>
      <c r="BS196" s="111"/>
      <c r="BT196" s="111"/>
      <c r="BU196" s="111"/>
      <c r="BV196" s="111"/>
      <c r="BW196" s="111"/>
      <c r="BX196" s="111"/>
      <c r="BY196" s="111"/>
      <c r="BZ196" s="111"/>
      <c r="CA196" s="111"/>
      <c r="CB196" s="111"/>
      <c r="CC196" s="178"/>
      <c r="CD196" s="177">
        <f t="shared" si="284"/>
        <v>0</v>
      </c>
      <c r="CE196" s="148"/>
      <c r="CF196" s="111">
        <f t="shared" si="285"/>
        <v>0</v>
      </c>
      <c r="CG196" s="177"/>
      <c r="CH196" s="204"/>
      <c r="CI196" s="148"/>
      <c r="CJ196" s="165"/>
      <c r="CK196" s="165"/>
      <c r="CL196" s="111"/>
      <c r="CM196" s="111"/>
      <c r="CN196" s="165">
        <f t="shared" si="286"/>
        <v>0</v>
      </c>
      <c r="CO196" s="109">
        <f t="shared" si="287"/>
        <v>0</v>
      </c>
      <c r="CP196" s="109">
        <f t="shared" si="288"/>
        <v>0</v>
      </c>
      <c r="CQ196" s="109"/>
      <c r="CR196" s="109"/>
      <c r="CS196" s="196"/>
      <c r="CT196" s="167"/>
      <c r="CU196" s="165"/>
      <c r="CV196" s="109">
        <f t="shared" si="289"/>
        <v>0</v>
      </c>
      <c r="CW196" s="109">
        <f t="shared" si="290"/>
        <v>0</v>
      </c>
      <c r="CX196" s="109"/>
      <c r="CY196" s="109"/>
      <c r="CZ196" s="111"/>
      <c r="DA196" s="111"/>
      <c r="DB196" s="165"/>
      <c r="DC196" s="109">
        <f t="shared" si="291"/>
        <v>0</v>
      </c>
      <c r="DD196" s="109">
        <f t="shared" si="292"/>
        <v>0</v>
      </c>
      <c r="DE196" s="109"/>
      <c r="DF196" s="109"/>
      <c r="DG196" s="111"/>
      <c r="DH196" s="111"/>
      <c r="DI196" s="165"/>
      <c r="DJ196" s="109">
        <f t="shared" si="293"/>
        <v>0</v>
      </c>
      <c r="DK196" s="109">
        <f t="shared" si="294"/>
        <v>0</v>
      </c>
      <c r="DL196" s="109"/>
      <c r="DM196" s="109"/>
      <c r="DN196" s="111"/>
      <c r="DO196" s="111"/>
      <c r="DP196" s="165"/>
      <c r="DQ196" s="109">
        <f t="shared" si="302"/>
        <v>0</v>
      </c>
      <c r="DR196" s="109">
        <f t="shared" si="303"/>
        <v>0</v>
      </c>
      <c r="DS196" s="109"/>
      <c r="DT196" s="109"/>
      <c r="DU196" s="111"/>
      <c r="DV196" s="111"/>
      <c r="DW196" s="165"/>
      <c r="DX196" s="109">
        <f t="shared" si="304"/>
        <v>0</v>
      </c>
      <c r="DY196" s="109">
        <f t="shared" si="305"/>
        <v>0</v>
      </c>
      <c r="DZ196" s="109"/>
      <c r="EA196" s="109"/>
      <c r="EB196" s="111"/>
      <c r="EC196" s="111"/>
      <c r="ED196" s="165"/>
      <c r="EE196" s="109">
        <f t="shared" si="306"/>
        <v>0</v>
      </c>
      <c r="EF196" s="109">
        <f t="shared" si="307"/>
        <v>0</v>
      </c>
      <c r="EG196" s="109"/>
      <c r="EH196" s="109"/>
      <c r="EI196" s="111"/>
      <c r="EJ196" s="111"/>
      <c r="EK196" s="165"/>
      <c r="EL196" s="109">
        <f t="shared" si="308"/>
        <v>0</v>
      </c>
      <c r="EM196" s="109">
        <f t="shared" si="309"/>
        <v>0</v>
      </c>
      <c r="EN196" s="109"/>
      <c r="EO196" s="109"/>
      <c r="EP196" s="111"/>
      <c r="EQ196" s="111"/>
      <c r="ER196" s="165"/>
      <c r="ES196" s="109">
        <f t="shared" si="310"/>
        <v>0</v>
      </c>
      <c r="ET196" s="109">
        <f t="shared" si="311"/>
        <v>0</v>
      </c>
      <c r="EU196" s="109"/>
      <c r="EV196" s="109"/>
      <c r="EW196" s="111"/>
      <c r="EX196" s="111"/>
      <c r="EY196" s="165"/>
      <c r="EZ196" s="109">
        <f t="shared" si="312"/>
        <v>0</v>
      </c>
      <c r="FA196" s="109">
        <f t="shared" si="313"/>
        <v>0</v>
      </c>
      <c r="FB196" s="109"/>
      <c r="FC196" s="109"/>
      <c r="FD196" s="111"/>
      <c r="FE196" s="111"/>
      <c r="FF196" s="165"/>
      <c r="FG196" s="109">
        <f t="shared" si="314"/>
        <v>0</v>
      </c>
      <c r="FH196" s="109">
        <f t="shared" si="315"/>
        <v>0</v>
      </c>
      <c r="FI196" s="109"/>
      <c r="FJ196" s="109"/>
      <c r="FK196" s="111"/>
      <c r="FL196" s="111"/>
      <c r="FM196" s="165"/>
      <c r="FN196" s="109">
        <f t="shared" si="316"/>
        <v>0</v>
      </c>
      <c r="FO196" s="109">
        <f t="shared" si="317"/>
        <v>0</v>
      </c>
      <c r="FP196" s="109"/>
      <c r="FQ196" s="109"/>
      <c r="FR196" s="111"/>
      <c r="FS196" s="111"/>
      <c r="FT196" s="165"/>
      <c r="FU196" s="109">
        <f t="shared" si="318"/>
        <v>0</v>
      </c>
      <c r="FV196" s="109">
        <f t="shared" si="326"/>
        <v>0</v>
      </c>
      <c r="FW196" s="109"/>
      <c r="FX196" s="109"/>
      <c r="FY196" s="111"/>
      <c r="FZ196" s="111"/>
      <c r="GA196" s="165"/>
      <c r="GB196" s="109">
        <f t="shared" si="319"/>
        <v>0</v>
      </c>
      <c r="GC196" s="109">
        <f t="shared" si="327"/>
        <v>0</v>
      </c>
      <c r="GD196" s="109"/>
      <c r="GE196" s="109"/>
      <c r="GF196" s="111"/>
      <c r="GG196" s="111"/>
      <c r="GH196" s="165"/>
      <c r="GI196" s="109">
        <f t="shared" si="320"/>
        <v>0</v>
      </c>
      <c r="GJ196" s="109">
        <f t="shared" si="328"/>
        <v>0</v>
      </c>
      <c r="GK196" s="109"/>
      <c r="GL196" s="109"/>
      <c r="GM196" s="111"/>
      <c r="GN196" s="111"/>
      <c r="GO196" s="165"/>
      <c r="GP196" s="109">
        <f t="shared" si="321"/>
        <v>0</v>
      </c>
      <c r="GQ196" s="109">
        <f t="shared" si="329"/>
        <v>0</v>
      </c>
      <c r="GR196" s="109"/>
      <c r="GS196" s="109"/>
      <c r="GT196" s="111"/>
      <c r="GU196" s="111"/>
      <c r="GV196" s="165"/>
      <c r="GW196" s="168">
        <f t="shared" si="322"/>
        <v>0</v>
      </c>
      <c r="GX196" s="168">
        <f t="shared" si="330"/>
        <v>0</v>
      </c>
      <c r="GY196" s="168"/>
      <c r="GZ196" s="168"/>
      <c r="HA196" s="111"/>
      <c r="HB196" s="111"/>
      <c r="HC196" s="165"/>
      <c r="HD196" s="109">
        <f t="shared" si="323"/>
        <v>0</v>
      </c>
      <c r="HE196" s="109">
        <f t="shared" si="331"/>
        <v>0</v>
      </c>
      <c r="HF196" s="109"/>
      <c r="HG196" s="109"/>
      <c r="HH196" s="111"/>
      <c r="HI196" s="111"/>
      <c r="HJ196" s="165"/>
      <c r="HK196" s="109">
        <f t="shared" si="324"/>
        <v>0</v>
      </c>
      <c r="HL196" s="109">
        <f t="shared" si="332"/>
        <v>0</v>
      </c>
      <c r="HM196" s="109"/>
      <c r="HN196" s="109"/>
      <c r="HO196" s="111"/>
      <c r="HP196" s="111"/>
      <c r="HQ196" s="165"/>
      <c r="HR196" s="109">
        <f t="shared" si="325"/>
        <v>0</v>
      </c>
      <c r="HS196" s="109">
        <f t="shared" si="333"/>
        <v>0</v>
      </c>
      <c r="HT196" s="109"/>
      <c r="HU196" s="109"/>
      <c r="HV196" s="111"/>
      <c r="HW196" s="111"/>
      <c r="HX196" s="105">
        <f t="shared" si="301"/>
        <v>0</v>
      </c>
      <c r="HY196" s="105">
        <f t="shared" si="301"/>
        <v>0</v>
      </c>
      <c r="HZ196" s="105">
        <f t="shared" si="301"/>
        <v>0</v>
      </c>
      <c r="IA196" s="105">
        <f t="shared" si="295"/>
        <v>0</v>
      </c>
      <c r="IB196" s="109">
        <f t="shared" si="296"/>
        <v>0</v>
      </c>
      <c r="IC196" s="109">
        <f t="shared" si="297"/>
        <v>0</v>
      </c>
      <c r="ID196" s="109">
        <f t="shared" si="298"/>
        <v>0</v>
      </c>
      <c r="IE196" s="109">
        <f t="shared" si="299"/>
        <v>0</v>
      </c>
      <c r="IF196" s="197"/>
      <c r="IG196" s="197"/>
      <c r="IH196" s="197"/>
      <c r="II196" s="197"/>
      <c r="IJ196" s="197"/>
      <c r="IK196" s="197"/>
      <c r="IL196" s="197"/>
      <c r="IM196" s="171"/>
      <c r="IN196" s="171"/>
      <c r="IO196" s="171"/>
      <c r="IP196" s="171"/>
    </row>
    <row r="197" spans="1:250" ht="15" customHeight="1" x14ac:dyDescent="0.3">
      <c r="A197" s="110">
        <f t="shared" si="300"/>
        <v>193</v>
      </c>
      <c r="B197" s="111"/>
      <c r="C197" s="111"/>
      <c r="D197" s="111"/>
      <c r="E197" s="111"/>
      <c r="F197" s="111"/>
      <c r="G197" s="111"/>
      <c r="H197" s="111"/>
      <c r="I197" s="194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75"/>
      <c r="AI197" s="111"/>
      <c r="AJ197" s="111"/>
      <c r="AK197" s="111"/>
      <c r="AL197" s="177"/>
      <c r="AM197" s="176"/>
      <c r="AN197" s="177"/>
      <c r="AO197" s="157"/>
      <c r="AP197" s="158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75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  <c r="BW197" s="111"/>
      <c r="BX197" s="111"/>
      <c r="BY197" s="111"/>
      <c r="BZ197" s="111"/>
      <c r="CA197" s="111"/>
      <c r="CB197" s="111"/>
      <c r="CC197" s="178"/>
      <c r="CD197" s="177">
        <f t="shared" ref="CD197:CD260" si="334">AL197</f>
        <v>0</v>
      </c>
      <c r="CE197" s="148"/>
      <c r="CF197" s="111">
        <f t="shared" ref="CF197:CF260" si="335">AI197</f>
        <v>0</v>
      </c>
      <c r="CG197" s="177"/>
      <c r="CH197" s="204"/>
      <c r="CI197" s="148"/>
      <c r="CJ197" s="165"/>
      <c r="CK197" s="165"/>
      <c r="CL197" s="111"/>
      <c r="CM197" s="111"/>
      <c r="CN197" s="165">
        <f t="shared" ref="CN197:CN260" si="336">CJ197</f>
        <v>0</v>
      </c>
      <c r="CO197" s="109">
        <f t="shared" ref="CO197:CO260" si="337">CQ197-CP197</f>
        <v>0</v>
      </c>
      <c r="CP197" s="109">
        <f t="shared" ref="CP197:CP260" si="338">CQ197/(1+AM197)*AM197</f>
        <v>0</v>
      </c>
      <c r="CQ197" s="109"/>
      <c r="CR197" s="109"/>
      <c r="CS197" s="196"/>
      <c r="CT197" s="167"/>
      <c r="CU197" s="165"/>
      <c r="CV197" s="109">
        <f t="shared" ref="CV197:CV260" si="339">CX197-CW197</f>
        <v>0</v>
      </c>
      <c r="CW197" s="109">
        <f t="shared" ref="CW197:CW260" si="340">CX197/(1+AM197)*AM197</f>
        <v>0</v>
      </c>
      <c r="CX197" s="109"/>
      <c r="CY197" s="109"/>
      <c r="CZ197" s="111"/>
      <c r="DA197" s="111"/>
      <c r="DB197" s="165"/>
      <c r="DC197" s="109">
        <f t="shared" ref="DC197:DC260" si="341">DE197-DD197</f>
        <v>0</v>
      </c>
      <c r="DD197" s="109">
        <f t="shared" ref="DD197:DD260" si="342">DE197/(1+AM197)*AM197</f>
        <v>0</v>
      </c>
      <c r="DE197" s="109"/>
      <c r="DF197" s="109"/>
      <c r="DG197" s="111"/>
      <c r="DH197" s="111"/>
      <c r="DI197" s="165"/>
      <c r="DJ197" s="109">
        <f t="shared" ref="DJ197:DJ260" si="343">DL197-DK197</f>
        <v>0</v>
      </c>
      <c r="DK197" s="109">
        <f t="shared" ref="DK197:DK260" si="344">DL197/(1+AM197)*AM197</f>
        <v>0</v>
      </c>
      <c r="DL197" s="109"/>
      <c r="DM197" s="109"/>
      <c r="DN197" s="111"/>
      <c r="DO197" s="111"/>
      <c r="DP197" s="165"/>
      <c r="DQ197" s="109">
        <f t="shared" si="302"/>
        <v>0</v>
      </c>
      <c r="DR197" s="109">
        <f t="shared" si="303"/>
        <v>0</v>
      </c>
      <c r="DS197" s="109"/>
      <c r="DT197" s="109"/>
      <c r="DU197" s="111"/>
      <c r="DV197" s="111"/>
      <c r="DW197" s="165"/>
      <c r="DX197" s="109">
        <f t="shared" si="304"/>
        <v>0</v>
      </c>
      <c r="DY197" s="109">
        <f t="shared" si="305"/>
        <v>0</v>
      </c>
      <c r="DZ197" s="109"/>
      <c r="EA197" s="109"/>
      <c r="EB197" s="111"/>
      <c r="EC197" s="111"/>
      <c r="ED197" s="165"/>
      <c r="EE197" s="109">
        <f t="shared" si="306"/>
        <v>0</v>
      </c>
      <c r="EF197" s="109">
        <f t="shared" si="307"/>
        <v>0</v>
      </c>
      <c r="EG197" s="109"/>
      <c r="EH197" s="109"/>
      <c r="EI197" s="111"/>
      <c r="EJ197" s="111"/>
      <c r="EK197" s="165"/>
      <c r="EL197" s="109">
        <f t="shared" si="308"/>
        <v>0</v>
      </c>
      <c r="EM197" s="109">
        <f t="shared" si="309"/>
        <v>0</v>
      </c>
      <c r="EN197" s="109"/>
      <c r="EO197" s="109"/>
      <c r="EP197" s="111"/>
      <c r="EQ197" s="111"/>
      <c r="ER197" s="165"/>
      <c r="ES197" s="109">
        <f t="shared" si="310"/>
        <v>0</v>
      </c>
      <c r="ET197" s="109">
        <f t="shared" si="311"/>
        <v>0</v>
      </c>
      <c r="EU197" s="109"/>
      <c r="EV197" s="109"/>
      <c r="EW197" s="111"/>
      <c r="EX197" s="111"/>
      <c r="EY197" s="165"/>
      <c r="EZ197" s="109">
        <f t="shared" si="312"/>
        <v>0</v>
      </c>
      <c r="FA197" s="109">
        <f t="shared" si="313"/>
        <v>0</v>
      </c>
      <c r="FB197" s="109"/>
      <c r="FC197" s="109"/>
      <c r="FD197" s="111"/>
      <c r="FE197" s="111"/>
      <c r="FF197" s="165"/>
      <c r="FG197" s="109">
        <f t="shared" si="314"/>
        <v>0</v>
      </c>
      <c r="FH197" s="109">
        <f t="shared" si="315"/>
        <v>0</v>
      </c>
      <c r="FI197" s="109"/>
      <c r="FJ197" s="109"/>
      <c r="FK197" s="111"/>
      <c r="FL197" s="111"/>
      <c r="FM197" s="165"/>
      <c r="FN197" s="109">
        <f t="shared" si="316"/>
        <v>0</v>
      </c>
      <c r="FO197" s="109">
        <f t="shared" si="317"/>
        <v>0</v>
      </c>
      <c r="FP197" s="109"/>
      <c r="FQ197" s="109"/>
      <c r="FR197" s="111"/>
      <c r="FS197" s="111"/>
      <c r="FT197" s="165"/>
      <c r="FU197" s="109">
        <f t="shared" si="318"/>
        <v>0</v>
      </c>
      <c r="FV197" s="109">
        <f t="shared" si="326"/>
        <v>0</v>
      </c>
      <c r="FW197" s="109"/>
      <c r="FX197" s="109"/>
      <c r="FY197" s="111"/>
      <c r="FZ197" s="111"/>
      <c r="GA197" s="165"/>
      <c r="GB197" s="109">
        <f t="shared" si="319"/>
        <v>0</v>
      </c>
      <c r="GC197" s="109">
        <f t="shared" si="327"/>
        <v>0</v>
      </c>
      <c r="GD197" s="109"/>
      <c r="GE197" s="109"/>
      <c r="GF197" s="111"/>
      <c r="GG197" s="111"/>
      <c r="GH197" s="165"/>
      <c r="GI197" s="109">
        <f t="shared" si="320"/>
        <v>0</v>
      </c>
      <c r="GJ197" s="109">
        <f t="shared" si="328"/>
        <v>0</v>
      </c>
      <c r="GK197" s="109"/>
      <c r="GL197" s="109"/>
      <c r="GM197" s="111"/>
      <c r="GN197" s="111"/>
      <c r="GO197" s="165"/>
      <c r="GP197" s="109">
        <f t="shared" si="321"/>
        <v>0</v>
      </c>
      <c r="GQ197" s="109">
        <f t="shared" si="329"/>
        <v>0</v>
      </c>
      <c r="GR197" s="109"/>
      <c r="GS197" s="109"/>
      <c r="GT197" s="111"/>
      <c r="GU197" s="111"/>
      <c r="GV197" s="165"/>
      <c r="GW197" s="168">
        <f t="shared" si="322"/>
        <v>0</v>
      </c>
      <c r="GX197" s="168">
        <f t="shared" si="330"/>
        <v>0</v>
      </c>
      <c r="GY197" s="168"/>
      <c r="GZ197" s="168"/>
      <c r="HA197" s="111"/>
      <c r="HB197" s="111"/>
      <c r="HC197" s="165"/>
      <c r="HD197" s="109">
        <f t="shared" si="323"/>
        <v>0</v>
      </c>
      <c r="HE197" s="109">
        <f t="shared" si="331"/>
        <v>0</v>
      </c>
      <c r="HF197" s="109"/>
      <c r="HG197" s="109"/>
      <c r="HH197" s="111"/>
      <c r="HI197" s="111"/>
      <c r="HJ197" s="165"/>
      <c r="HK197" s="109">
        <f t="shared" si="324"/>
        <v>0</v>
      </c>
      <c r="HL197" s="109">
        <f t="shared" si="332"/>
        <v>0</v>
      </c>
      <c r="HM197" s="109"/>
      <c r="HN197" s="109"/>
      <c r="HO197" s="111"/>
      <c r="HP197" s="111"/>
      <c r="HQ197" s="165"/>
      <c r="HR197" s="109">
        <f t="shared" si="325"/>
        <v>0</v>
      </c>
      <c r="HS197" s="109">
        <f t="shared" si="333"/>
        <v>0</v>
      </c>
      <c r="HT197" s="109"/>
      <c r="HU197" s="109"/>
      <c r="HV197" s="111"/>
      <c r="HW197" s="111"/>
      <c r="HX197" s="105">
        <f t="shared" si="301"/>
        <v>0</v>
      </c>
      <c r="HY197" s="105">
        <f t="shared" si="301"/>
        <v>0</v>
      </c>
      <c r="HZ197" s="105">
        <f t="shared" si="301"/>
        <v>0</v>
      </c>
      <c r="IA197" s="105">
        <f t="shared" ref="IA197:IA260" si="345">HX197+HY197-HZ197</f>
        <v>0</v>
      </c>
      <c r="IB197" s="109">
        <f t="shared" ref="IB197:IB260" si="346">AO197-HZ197</f>
        <v>0</v>
      </c>
      <c r="IC197" s="109">
        <f t="shared" ref="IC197:IC260" si="347">AL197-HX197</f>
        <v>0</v>
      </c>
      <c r="ID197" s="109">
        <f t="shared" ref="ID197:ID260" si="348">(HZ197+IB197)-AO197</f>
        <v>0</v>
      </c>
      <c r="IE197" s="109">
        <f t="shared" ref="IE197:IE260" si="349">CT197+DA197+DH197+DO197+DV197+EC197+EJ197</f>
        <v>0</v>
      </c>
      <c r="IF197" s="197"/>
      <c r="IG197" s="197"/>
      <c r="IH197" s="197"/>
      <c r="II197" s="197"/>
      <c r="IJ197" s="197"/>
      <c r="IK197" s="197"/>
      <c r="IL197" s="197"/>
      <c r="IM197" s="171"/>
      <c r="IN197" s="171"/>
      <c r="IO197" s="171"/>
      <c r="IP197" s="171"/>
    </row>
    <row r="198" spans="1:250" ht="15" customHeight="1" x14ac:dyDescent="0.3">
      <c r="A198" s="110">
        <f t="shared" ref="A198:A261" si="350">A197+1</f>
        <v>194</v>
      </c>
      <c r="B198" s="111"/>
      <c r="C198" s="111"/>
      <c r="D198" s="111"/>
      <c r="E198" s="111"/>
      <c r="F198" s="111"/>
      <c r="G198" s="111"/>
      <c r="H198" s="111"/>
      <c r="I198" s="194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75"/>
      <c r="AI198" s="111"/>
      <c r="AJ198" s="111"/>
      <c r="AK198" s="111"/>
      <c r="AL198" s="177"/>
      <c r="AM198" s="176"/>
      <c r="AN198" s="177"/>
      <c r="AO198" s="157"/>
      <c r="AP198" s="158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  <c r="BJ198" s="111"/>
      <c r="BK198" s="111"/>
      <c r="BL198" s="175"/>
      <c r="BM198" s="111"/>
      <c r="BN198" s="111"/>
      <c r="BO198" s="111"/>
      <c r="BP198" s="111"/>
      <c r="BQ198" s="111"/>
      <c r="BR198" s="111"/>
      <c r="BS198" s="111"/>
      <c r="BT198" s="111"/>
      <c r="BU198" s="111"/>
      <c r="BV198" s="111"/>
      <c r="BW198" s="111"/>
      <c r="BX198" s="111"/>
      <c r="BY198" s="111"/>
      <c r="BZ198" s="111"/>
      <c r="CA198" s="111"/>
      <c r="CB198" s="111"/>
      <c r="CC198" s="178"/>
      <c r="CD198" s="177">
        <f t="shared" si="334"/>
        <v>0</v>
      </c>
      <c r="CE198" s="148"/>
      <c r="CF198" s="111">
        <f t="shared" si="335"/>
        <v>0</v>
      </c>
      <c r="CG198" s="177"/>
      <c r="CH198" s="204"/>
      <c r="CI198" s="148"/>
      <c r="CJ198" s="165"/>
      <c r="CK198" s="165"/>
      <c r="CL198" s="111"/>
      <c r="CM198" s="111"/>
      <c r="CN198" s="165">
        <f t="shared" si="336"/>
        <v>0</v>
      </c>
      <c r="CO198" s="109">
        <f t="shared" si="337"/>
        <v>0</v>
      </c>
      <c r="CP198" s="109">
        <f t="shared" si="338"/>
        <v>0</v>
      </c>
      <c r="CQ198" s="109"/>
      <c r="CR198" s="109"/>
      <c r="CS198" s="196"/>
      <c r="CT198" s="167"/>
      <c r="CU198" s="165"/>
      <c r="CV198" s="109">
        <f t="shared" si="339"/>
        <v>0</v>
      </c>
      <c r="CW198" s="109">
        <f t="shared" si="340"/>
        <v>0</v>
      </c>
      <c r="CX198" s="109"/>
      <c r="CY198" s="109"/>
      <c r="CZ198" s="111"/>
      <c r="DA198" s="111"/>
      <c r="DB198" s="165"/>
      <c r="DC198" s="109">
        <f t="shared" si="341"/>
        <v>0</v>
      </c>
      <c r="DD198" s="109">
        <f t="shared" si="342"/>
        <v>0</v>
      </c>
      <c r="DE198" s="109"/>
      <c r="DF198" s="109"/>
      <c r="DG198" s="111"/>
      <c r="DH198" s="111"/>
      <c r="DI198" s="165"/>
      <c r="DJ198" s="109">
        <f t="shared" si="343"/>
        <v>0</v>
      </c>
      <c r="DK198" s="109">
        <f t="shared" si="344"/>
        <v>0</v>
      </c>
      <c r="DL198" s="109"/>
      <c r="DM198" s="109"/>
      <c r="DN198" s="111"/>
      <c r="DO198" s="111"/>
      <c r="DP198" s="165"/>
      <c r="DQ198" s="109">
        <f t="shared" si="302"/>
        <v>0</v>
      </c>
      <c r="DR198" s="109">
        <f t="shared" si="303"/>
        <v>0</v>
      </c>
      <c r="DS198" s="109"/>
      <c r="DT198" s="109"/>
      <c r="DU198" s="111"/>
      <c r="DV198" s="111"/>
      <c r="DW198" s="165"/>
      <c r="DX198" s="109">
        <f t="shared" si="304"/>
        <v>0</v>
      </c>
      <c r="DY198" s="109">
        <f t="shared" si="305"/>
        <v>0</v>
      </c>
      <c r="DZ198" s="109"/>
      <c r="EA198" s="109"/>
      <c r="EB198" s="111"/>
      <c r="EC198" s="111"/>
      <c r="ED198" s="165"/>
      <c r="EE198" s="109">
        <f t="shared" si="306"/>
        <v>0</v>
      </c>
      <c r="EF198" s="109">
        <f t="shared" si="307"/>
        <v>0</v>
      </c>
      <c r="EG198" s="109"/>
      <c r="EH198" s="109"/>
      <c r="EI198" s="111"/>
      <c r="EJ198" s="111"/>
      <c r="EK198" s="165"/>
      <c r="EL198" s="109">
        <f t="shared" si="308"/>
        <v>0</v>
      </c>
      <c r="EM198" s="109">
        <f t="shared" si="309"/>
        <v>0</v>
      </c>
      <c r="EN198" s="109"/>
      <c r="EO198" s="109"/>
      <c r="EP198" s="111"/>
      <c r="EQ198" s="111"/>
      <c r="ER198" s="165"/>
      <c r="ES198" s="109">
        <f t="shared" si="310"/>
        <v>0</v>
      </c>
      <c r="ET198" s="109">
        <f t="shared" si="311"/>
        <v>0</v>
      </c>
      <c r="EU198" s="109"/>
      <c r="EV198" s="109"/>
      <c r="EW198" s="111"/>
      <c r="EX198" s="111"/>
      <c r="EY198" s="165"/>
      <c r="EZ198" s="109">
        <f t="shared" si="312"/>
        <v>0</v>
      </c>
      <c r="FA198" s="109">
        <f t="shared" si="313"/>
        <v>0</v>
      </c>
      <c r="FB198" s="109"/>
      <c r="FC198" s="109"/>
      <c r="FD198" s="111"/>
      <c r="FE198" s="111"/>
      <c r="FF198" s="165"/>
      <c r="FG198" s="109">
        <f t="shared" si="314"/>
        <v>0</v>
      </c>
      <c r="FH198" s="109">
        <f t="shared" si="315"/>
        <v>0</v>
      </c>
      <c r="FI198" s="109"/>
      <c r="FJ198" s="109"/>
      <c r="FK198" s="111"/>
      <c r="FL198" s="111"/>
      <c r="FM198" s="165"/>
      <c r="FN198" s="109">
        <f t="shared" si="316"/>
        <v>0</v>
      </c>
      <c r="FO198" s="109">
        <f t="shared" si="317"/>
        <v>0</v>
      </c>
      <c r="FP198" s="109"/>
      <c r="FQ198" s="109"/>
      <c r="FR198" s="111"/>
      <c r="FS198" s="111"/>
      <c r="FT198" s="165"/>
      <c r="FU198" s="109">
        <f t="shared" si="318"/>
        <v>0</v>
      </c>
      <c r="FV198" s="109">
        <f t="shared" si="326"/>
        <v>0</v>
      </c>
      <c r="FW198" s="109"/>
      <c r="FX198" s="109"/>
      <c r="FY198" s="111"/>
      <c r="FZ198" s="111"/>
      <c r="GA198" s="165"/>
      <c r="GB198" s="109">
        <f t="shared" si="319"/>
        <v>0</v>
      </c>
      <c r="GC198" s="109">
        <f t="shared" si="327"/>
        <v>0</v>
      </c>
      <c r="GD198" s="109"/>
      <c r="GE198" s="109"/>
      <c r="GF198" s="111"/>
      <c r="GG198" s="111"/>
      <c r="GH198" s="165"/>
      <c r="GI198" s="109">
        <f t="shared" si="320"/>
        <v>0</v>
      </c>
      <c r="GJ198" s="109">
        <f t="shared" si="328"/>
        <v>0</v>
      </c>
      <c r="GK198" s="109"/>
      <c r="GL198" s="109"/>
      <c r="GM198" s="111"/>
      <c r="GN198" s="111"/>
      <c r="GO198" s="165"/>
      <c r="GP198" s="109">
        <f t="shared" si="321"/>
        <v>0</v>
      </c>
      <c r="GQ198" s="109">
        <f t="shared" si="329"/>
        <v>0</v>
      </c>
      <c r="GR198" s="109"/>
      <c r="GS198" s="109"/>
      <c r="GT198" s="111"/>
      <c r="GU198" s="111"/>
      <c r="GV198" s="165"/>
      <c r="GW198" s="168">
        <f t="shared" si="322"/>
        <v>0</v>
      </c>
      <c r="GX198" s="168">
        <f t="shared" si="330"/>
        <v>0</v>
      </c>
      <c r="GY198" s="168"/>
      <c r="GZ198" s="168"/>
      <c r="HA198" s="111"/>
      <c r="HB198" s="111"/>
      <c r="HC198" s="165"/>
      <c r="HD198" s="109">
        <f t="shared" si="323"/>
        <v>0</v>
      </c>
      <c r="HE198" s="109">
        <f t="shared" si="331"/>
        <v>0</v>
      </c>
      <c r="HF198" s="109"/>
      <c r="HG198" s="109"/>
      <c r="HH198" s="111"/>
      <c r="HI198" s="111"/>
      <c r="HJ198" s="165"/>
      <c r="HK198" s="109">
        <f t="shared" si="324"/>
        <v>0</v>
      </c>
      <c r="HL198" s="109">
        <f t="shared" si="332"/>
        <v>0</v>
      </c>
      <c r="HM198" s="109"/>
      <c r="HN198" s="109"/>
      <c r="HO198" s="111"/>
      <c r="HP198" s="111"/>
      <c r="HQ198" s="165"/>
      <c r="HR198" s="109">
        <f t="shared" si="325"/>
        <v>0</v>
      </c>
      <c r="HS198" s="109">
        <f t="shared" si="333"/>
        <v>0</v>
      </c>
      <c r="HT198" s="109"/>
      <c r="HU198" s="109"/>
      <c r="HV198" s="111"/>
      <c r="HW198" s="111"/>
      <c r="HX198" s="105">
        <f t="shared" si="301"/>
        <v>0</v>
      </c>
      <c r="HY198" s="105">
        <f t="shared" si="301"/>
        <v>0</v>
      </c>
      <c r="HZ198" s="105">
        <f t="shared" si="301"/>
        <v>0</v>
      </c>
      <c r="IA198" s="105">
        <f t="shared" si="345"/>
        <v>0</v>
      </c>
      <c r="IB198" s="109">
        <f t="shared" si="346"/>
        <v>0</v>
      </c>
      <c r="IC198" s="109">
        <f t="shared" si="347"/>
        <v>0</v>
      </c>
      <c r="ID198" s="109">
        <f t="shared" si="348"/>
        <v>0</v>
      </c>
      <c r="IE198" s="109">
        <f t="shared" si="349"/>
        <v>0</v>
      </c>
      <c r="IF198" s="197"/>
      <c r="IG198" s="197"/>
      <c r="IH198" s="197"/>
      <c r="II198" s="197"/>
      <c r="IJ198" s="197"/>
      <c r="IK198" s="197"/>
      <c r="IL198" s="197"/>
      <c r="IM198" s="171"/>
      <c r="IN198" s="171"/>
      <c r="IO198" s="171"/>
      <c r="IP198" s="171"/>
    </row>
    <row r="199" spans="1:250" ht="15" customHeight="1" x14ac:dyDescent="0.3">
      <c r="A199" s="110">
        <f t="shared" si="350"/>
        <v>195</v>
      </c>
      <c r="B199" s="111"/>
      <c r="C199" s="111"/>
      <c r="D199" s="111"/>
      <c r="E199" s="111"/>
      <c r="F199" s="111"/>
      <c r="G199" s="111"/>
      <c r="H199" s="111"/>
      <c r="I199" s="194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75"/>
      <c r="AI199" s="111"/>
      <c r="AJ199" s="111"/>
      <c r="AK199" s="111"/>
      <c r="AL199" s="177"/>
      <c r="AM199" s="176"/>
      <c r="AN199" s="177"/>
      <c r="AO199" s="157"/>
      <c r="AP199" s="158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1"/>
      <c r="BC199" s="111"/>
      <c r="BD199" s="111"/>
      <c r="BE199" s="111"/>
      <c r="BF199" s="111"/>
      <c r="BG199" s="111"/>
      <c r="BH199" s="111"/>
      <c r="BI199" s="111"/>
      <c r="BJ199" s="111"/>
      <c r="BK199" s="111"/>
      <c r="BL199" s="175"/>
      <c r="BM199" s="111"/>
      <c r="BN199" s="111"/>
      <c r="BO199" s="111"/>
      <c r="BP199" s="111"/>
      <c r="BQ199" s="111"/>
      <c r="BR199" s="111"/>
      <c r="BS199" s="111"/>
      <c r="BT199" s="111"/>
      <c r="BU199" s="111"/>
      <c r="BV199" s="111"/>
      <c r="BW199" s="111"/>
      <c r="BX199" s="111"/>
      <c r="BY199" s="111"/>
      <c r="BZ199" s="111"/>
      <c r="CA199" s="111"/>
      <c r="CB199" s="111"/>
      <c r="CC199" s="178"/>
      <c r="CD199" s="177">
        <f t="shared" si="334"/>
        <v>0</v>
      </c>
      <c r="CE199" s="148"/>
      <c r="CF199" s="111">
        <f t="shared" si="335"/>
        <v>0</v>
      </c>
      <c r="CG199" s="177"/>
      <c r="CH199" s="204"/>
      <c r="CI199" s="148"/>
      <c r="CJ199" s="165"/>
      <c r="CK199" s="165"/>
      <c r="CL199" s="111"/>
      <c r="CM199" s="111"/>
      <c r="CN199" s="165">
        <f t="shared" si="336"/>
        <v>0</v>
      </c>
      <c r="CO199" s="109">
        <f t="shared" si="337"/>
        <v>0</v>
      </c>
      <c r="CP199" s="109">
        <f t="shared" si="338"/>
        <v>0</v>
      </c>
      <c r="CQ199" s="109"/>
      <c r="CR199" s="109"/>
      <c r="CS199" s="196"/>
      <c r="CT199" s="167"/>
      <c r="CU199" s="165"/>
      <c r="CV199" s="109">
        <f t="shared" si="339"/>
        <v>0</v>
      </c>
      <c r="CW199" s="109">
        <f t="shared" si="340"/>
        <v>0</v>
      </c>
      <c r="CX199" s="109"/>
      <c r="CY199" s="109"/>
      <c r="CZ199" s="111"/>
      <c r="DA199" s="111"/>
      <c r="DB199" s="165"/>
      <c r="DC199" s="109">
        <f t="shared" si="341"/>
        <v>0</v>
      </c>
      <c r="DD199" s="109">
        <f t="shared" si="342"/>
        <v>0</v>
      </c>
      <c r="DE199" s="109"/>
      <c r="DF199" s="109"/>
      <c r="DG199" s="111"/>
      <c r="DH199" s="111"/>
      <c r="DI199" s="165"/>
      <c r="DJ199" s="109">
        <f t="shared" si="343"/>
        <v>0</v>
      </c>
      <c r="DK199" s="109">
        <f t="shared" si="344"/>
        <v>0</v>
      </c>
      <c r="DL199" s="109"/>
      <c r="DM199" s="109"/>
      <c r="DN199" s="111"/>
      <c r="DO199" s="111"/>
      <c r="DP199" s="165"/>
      <c r="DQ199" s="109">
        <f t="shared" si="302"/>
        <v>0</v>
      </c>
      <c r="DR199" s="109">
        <f t="shared" si="303"/>
        <v>0</v>
      </c>
      <c r="DS199" s="109"/>
      <c r="DT199" s="109"/>
      <c r="DU199" s="111"/>
      <c r="DV199" s="111"/>
      <c r="DW199" s="165"/>
      <c r="DX199" s="109">
        <f t="shared" si="304"/>
        <v>0</v>
      </c>
      <c r="DY199" s="109">
        <f t="shared" si="305"/>
        <v>0</v>
      </c>
      <c r="DZ199" s="109"/>
      <c r="EA199" s="109"/>
      <c r="EB199" s="111"/>
      <c r="EC199" s="111"/>
      <c r="ED199" s="165"/>
      <c r="EE199" s="109">
        <f t="shared" si="306"/>
        <v>0</v>
      </c>
      <c r="EF199" s="109">
        <f t="shared" si="307"/>
        <v>0</v>
      </c>
      <c r="EG199" s="109"/>
      <c r="EH199" s="109"/>
      <c r="EI199" s="111"/>
      <c r="EJ199" s="111"/>
      <c r="EK199" s="165"/>
      <c r="EL199" s="109">
        <f t="shared" si="308"/>
        <v>0</v>
      </c>
      <c r="EM199" s="109">
        <f t="shared" si="309"/>
        <v>0</v>
      </c>
      <c r="EN199" s="109"/>
      <c r="EO199" s="109"/>
      <c r="EP199" s="111"/>
      <c r="EQ199" s="111"/>
      <c r="ER199" s="165"/>
      <c r="ES199" s="109">
        <f t="shared" si="310"/>
        <v>0</v>
      </c>
      <c r="ET199" s="109">
        <f t="shared" si="311"/>
        <v>0</v>
      </c>
      <c r="EU199" s="109"/>
      <c r="EV199" s="109"/>
      <c r="EW199" s="111"/>
      <c r="EX199" s="111"/>
      <c r="EY199" s="165"/>
      <c r="EZ199" s="109">
        <f t="shared" si="312"/>
        <v>0</v>
      </c>
      <c r="FA199" s="109">
        <f t="shared" si="313"/>
        <v>0</v>
      </c>
      <c r="FB199" s="109"/>
      <c r="FC199" s="109"/>
      <c r="FD199" s="111"/>
      <c r="FE199" s="111"/>
      <c r="FF199" s="165"/>
      <c r="FG199" s="109">
        <f t="shared" si="314"/>
        <v>0</v>
      </c>
      <c r="FH199" s="109">
        <f t="shared" si="315"/>
        <v>0</v>
      </c>
      <c r="FI199" s="109"/>
      <c r="FJ199" s="109"/>
      <c r="FK199" s="111"/>
      <c r="FL199" s="111"/>
      <c r="FM199" s="165"/>
      <c r="FN199" s="109">
        <f t="shared" si="316"/>
        <v>0</v>
      </c>
      <c r="FO199" s="109">
        <f t="shared" si="317"/>
        <v>0</v>
      </c>
      <c r="FP199" s="109"/>
      <c r="FQ199" s="109"/>
      <c r="FR199" s="111"/>
      <c r="FS199" s="111"/>
      <c r="FT199" s="165"/>
      <c r="FU199" s="109">
        <f t="shared" si="318"/>
        <v>0</v>
      </c>
      <c r="FV199" s="109">
        <f t="shared" si="326"/>
        <v>0</v>
      </c>
      <c r="FW199" s="109"/>
      <c r="FX199" s="109"/>
      <c r="FY199" s="111"/>
      <c r="FZ199" s="111"/>
      <c r="GA199" s="165"/>
      <c r="GB199" s="109">
        <f t="shared" si="319"/>
        <v>0</v>
      </c>
      <c r="GC199" s="109">
        <f t="shared" si="327"/>
        <v>0</v>
      </c>
      <c r="GD199" s="109"/>
      <c r="GE199" s="109"/>
      <c r="GF199" s="111"/>
      <c r="GG199" s="111"/>
      <c r="GH199" s="165"/>
      <c r="GI199" s="109">
        <f t="shared" si="320"/>
        <v>0</v>
      </c>
      <c r="GJ199" s="109">
        <f t="shared" si="328"/>
        <v>0</v>
      </c>
      <c r="GK199" s="109"/>
      <c r="GL199" s="109"/>
      <c r="GM199" s="111"/>
      <c r="GN199" s="111"/>
      <c r="GO199" s="165"/>
      <c r="GP199" s="109">
        <f t="shared" si="321"/>
        <v>0</v>
      </c>
      <c r="GQ199" s="109">
        <f t="shared" si="329"/>
        <v>0</v>
      </c>
      <c r="GR199" s="109"/>
      <c r="GS199" s="109"/>
      <c r="GT199" s="111"/>
      <c r="GU199" s="111"/>
      <c r="GV199" s="165"/>
      <c r="GW199" s="168">
        <f t="shared" si="322"/>
        <v>0</v>
      </c>
      <c r="GX199" s="168">
        <f t="shared" si="330"/>
        <v>0</v>
      </c>
      <c r="GY199" s="168"/>
      <c r="GZ199" s="168"/>
      <c r="HA199" s="111"/>
      <c r="HB199" s="111"/>
      <c r="HC199" s="165"/>
      <c r="HD199" s="109">
        <f t="shared" si="323"/>
        <v>0</v>
      </c>
      <c r="HE199" s="109">
        <f t="shared" si="331"/>
        <v>0</v>
      </c>
      <c r="HF199" s="109"/>
      <c r="HG199" s="109"/>
      <c r="HH199" s="111"/>
      <c r="HI199" s="111"/>
      <c r="HJ199" s="165"/>
      <c r="HK199" s="109">
        <f t="shared" si="324"/>
        <v>0</v>
      </c>
      <c r="HL199" s="109">
        <f t="shared" si="332"/>
        <v>0</v>
      </c>
      <c r="HM199" s="109"/>
      <c r="HN199" s="109"/>
      <c r="HO199" s="111"/>
      <c r="HP199" s="111"/>
      <c r="HQ199" s="165"/>
      <c r="HR199" s="109">
        <f t="shared" si="325"/>
        <v>0</v>
      </c>
      <c r="HS199" s="109">
        <f t="shared" si="333"/>
        <v>0</v>
      </c>
      <c r="HT199" s="109"/>
      <c r="HU199" s="109"/>
      <c r="HV199" s="111"/>
      <c r="HW199" s="111"/>
      <c r="HX199" s="105">
        <f t="shared" si="301"/>
        <v>0</v>
      </c>
      <c r="HY199" s="105">
        <f t="shared" si="301"/>
        <v>0</v>
      </c>
      <c r="HZ199" s="105">
        <f t="shared" si="301"/>
        <v>0</v>
      </c>
      <c r="IA199" s="105">
        <f t="shared" si="345"/>
        <v>0</v>
      </c>
      <c r="IB199" s="109">
        <f t="shared" si="346"/>
        <v>0</v>
      </c>
      <c r="IC199" s="109">
        <f t="shared" si="347"/>
        <v>0</v>
      </c>
      <c r="ID199" s="109">
        <f t="shared" si="348"/>
        <v>0</v>
      </c>
      <c r="IE199" s="109">
        <f t="shared" si="349"/>
        <v>0</v>
      </c>
      <c r="IF199" s="197"/>
      <c r="IG199" s="197"/>
      <c r="IH199" s="197"/>
      <c r="II199" s="197"/>
      <c r="IJ199" s="197"/>
      <c r="IK199" s="197"/>
      <c r="IL199" s="197"/>
      <c r="IM199" s="171"/>
      <c r="IN199" s="171"/>
      <c r="IO199" s="171"/>
      <c r="IP199" s="171"/>
    </row>
    <row r="200" spans="1:250" ht="15" customHeight="1" x14ac:dyDescent="0.3">
      <c r="A200" s="110">
        <f t="shared" si="350"/>
        <v>196</v>
      </c>
      <c r="B200" s="111"/>
      <c r="C200" s="111"/>
      <c r="D200" s="111"/>
      <c r="E200" s="111"/>
      <c r="F200" s="111"/>
      <c r="G200" s="111"/>
      <c r="H200" s="111"/>
      <c r="I200" s="194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75"/>
      <c r="AI200" s="111"/>
      <c r="AJ200" s="111"/>
      <c r="AK200" s="111"/>
      <c r="AL200" s="177"/>
      <c r="AM200" s="176"/>
      <c r="AN200" s="177"/>
      <c r="AO200" s="157"/>
      <c r="AP200" s="158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75"/>
      <c r="BM200" s="111"/>
      <c r="BN200" s="111"/>
      <c r="BO200" s="111"/>
      <c r="BP200" s="111"/>
      <c r="BQ200" s="111"/>
      <c r="BR200" s="111"/>
      <c r="BS200" s="111"/>
      <c r="BT200" s="111"/>
      <c r="BU200" s="111"/>
      <c r="BV200" s="111"/>
      <c r="BW200" s="111"/>
      <c r="BX200" s="111"/>
      <c r="BY200" s="111"/>
      <c r="BZ200" s="111"/>
      <c r="CA200" s="111"/>
      <c r="CB200" s="111"/>
      <c r="CC200" s="178"/>
      <c r="CD200" s="177">
        <f t="shared" si="334"/>
        <v>0</v>
      </c>
      <c r="CE200" s="148"/>
      <c r="CF200" s="111">
        <f t="shared" si="335"/>
        <v>0</v>
      </c>
      <c r="CG200" s="177"/>
      <c r="CH200" s="204"/>
      <c r="CI200" s="148"/>
      <c r="CJ200" s="165"/>
      <c r="CK200" s="165"/>
      <c r="CL200" s="111"/>
      <c r="CM200" s="111"/>
      <c r="CN200" s="165">
        <f t="shared" si="336"/>
        <v>0</v>
      </c>
      <c r="CO200" s="109">
        <f t="shared" si="337"/>
        <v>0</v>
      </c>
      <c r="CP200" s="109">
        <f t="shared" si="338"/>
        <v>0</v>
      </c>
      <c r="CQ200" s="109"/>
      <c r="CR200" s="109"/>
      <c r="CS200" s="196"/>
      <c r="CT200" s="167"/>
      <c r="CU200" s="165"/>
      <c r="CV200" s="109">
        <f t="shared" si="339"/>
        <v>0</v>
      </c>
      <c r="CW200" s="109">
        <f t="shared" si="340"/>
        <v>0</v>
      </c>
      <c r="CX200" s="109"/>
      <c r="CY200" s="109"/>
      <c r="CZ200" s="111"/>
      <c r="DA200" s="111"/>
      <c r="DB200" s="165"/>
      <c r="DC200" s="109">
        <f t="shared" si="341"/>
        <v>0</v>
      </c>
      <c r="DD200" s="109">
        <f t="shared" si="342"/>
        <v>0</v>
      </c>
      <c r="DE200" s="109"/>
      <c r="DF200" s="109"/>
      <c r="DG200" s="111"/>
      <c r="DH200" s="111"/>
      <c r="DI200" s="165"/>
      <c r="DJ200" s="109">
        <f t="shared" si="343"/>
        <v>0</v>
      </c>
      <c r="DK200" s="109">
        <f t="shared" si="344"/>
        <v>0</v>
      </c>
      <c r="DL200" s="109"/>
      <c r="DM200" s="109"/>
      <c r="DN200" s="111"/>
      <c r="DO200" s="111"/>
      <c r="DP200" s="165"/>
      <c r="DQ200" s="109">
        <f t="shared" si="302"/>
        <v>0</v>
      </c>
      <c r="DR200" s="109">
        <f t="shared" si="303"/>
        <v>0</v>
      </c>
      <c r="DS200" s="109"/>
      <c r="DT200" s="109"/>
      <c r="DU200" s="111"/>
      <c r="DV200" s="111"/>
      <c r="DW200" s="165"/>
      <c r="DX200" s="109">
        <f t="shared" si="304"/>
        <v>0</v>
      </c>
      <c r="DY200" s="109">
        <f t="shared" si="305"/>
        <v>0</v>
      </c>
      <c r="DZ200" s="109"/>
      <c r="EA200" s="109"/>
      <c r="EB200" s="111"/>
      <c r="EC200" s="111"/>
      <c r="ED200" s="165"/>
      <c r="EE200" s="109">
        <f t="shared" si="306"/>
        <v>0</v>
      </c>
      <c r="EF200" s="109">
        <f t="shared" si="307"/>
        <v>0</v>
      </c>
      <c r="EG200" s="109"/>
      <c r="EH200" s="109"/>
      <c r="EI200" s="111"/>
      <c r="EJ200" s="111"/>
      <c r="EK200" s="165"/>
      <c r="EL200" s="109">
        <f t="shared" si="308"/>
        <v>0</v>
      </c>
      <c r="EM200" s="109">
        <f t="shared" si="309"/>
        <v>0</v>
      </c>
      <c r="EN200" s="109"/>
      <c r="EO200" s="109"/>
      <c r="EP200" s="111"/>
      <c r="EQ200" s="111"/>
      <c r="ER200" s="165"/>
      <c r="ES200" s="109">
        <f t="shared" si="310"/>
        <v>0</v>
      </c>
      <c r="ET200" s="109">
        <f t="shared" si="311"/>
        <v>0</v>
      </c>
      <c r="EU200" s="109"/>
      <c r="EV200" s="109"/>
      <c r="EW200" s="111"/>
      <c r="EX200" s="111"/>
      <c r="EY200" s="165"/>
      <c r="EZ200" s="109">
        <f t="shared" si="312"/>
        <v>0</v>
      </c>
      <c r="FA200" s="109">
        <f t="shared" si="313"/>
        <v>0</v>
      </c>
      <c r="FB200" s="109"/>
      <c r="FC200" s="109"/>
      <c r="FD200" s="111"/>
      <c r="FE200" s="111"/>
      <c r="FF200" s="165"/>
      <c r="FG200" s="109">
        <f t="shared" si="314"/>
        <v>0</v>
      </c>
      <c r="FH200" s="109">
        <f t="shared" si="315"/>
        <v>0</v>
      </c>
      <c r="FI200" s="109"/>
      <c r="FJ200" s="109"/>
      <c r="FK200" s="111"/>
      <c r="FL200" s="111"/>
      <c r="FM200" s="165"/>
      <c r="FN200" s="109">
        <f t="shared" si="316"/>
        <v>0</v>
      </c>
      <c r="FO200" s="109">
        <f t="shared" si="317"/>
        <v>0</v>
      </c>
      <c r="FP200" s="109"/>
      <c r="FQ200" s="109"/>
      <c r="FR200" s="111"/>
      <c r="FS200" s="111"/>
      <c r="FT200" s="165"/>
      <c r="FU200" s="109">
        <f t="shared" si="318"/>
        <v>0</v>
      </c>
      <c r="FV200" s="109">
        <f t="shared" si="326"/>
        <v>0</v>
      </c>
      <c r="FW200" s="109"/>
      <c r="FX200" s="109"/>
      <c r="FY200" s="111"/>
      <c r="FZ200" s="111"/>
      <c r="GA200" s="165"/>
      <c r="GB200" s="109">
        <f t="shared" si="319"/>
        <v>0</v>
      </c>
      <c r="GC200" s="109">
        <f t="shared" si="327"/>
        <v>0</v>
      </c>
      <c r="GD200" s="109"/>
      <c r="GE200" s="109"/>
      <c r="GF200" s="111"/>
      <c r="GG200" s="111"/>
      <c r="GH200" s="165"/>
      <c r="GI200" s="109">
        <f t="shared" si="320"/>
        <v>0</v>
      </c>
      <c r="GJ200" s="109">
        <f t="shared" si="328"/>
        <v>0</v>
      </c>
      <c r="GK200" s="109"/>
      <c r="GL200" s="109"/>
      <c r="GM200" s="111"/>
      <c r="GN200" s="111"/>
      <c r="GO200" s="165"/>
      <c r="GP200" s="109">
        <f t="shared" si="321"/>
        <v>0</v>
      </c>
      <c r="GQ200" s="109">
        <f t="shared" si="329"/>
        <v>0</v>
      </c>
      <c r="GR200" s="109"/>
      <c r="GS200" s="109"/>
      <c r="GT200" s="111"/>
      <c r="GU200" s="111"/>
      <c r="GV200" s="165"/>
      <c r="GW200" s="168">
        <f t="shared" si="322"/>
        <v>0</v>
      </c>
      <c r="GX200" s="168">
        <f t="shared" si="330"/>
        <v>0</v>
      </c>
      <c r="GY200" s="168"/>
      <c r="GZ200" s="168"/>
      <c r="HA200" s="111"/>
      <c r="HB200" s="111"/>
      <c r="HC200" s="165"/>
      <c r="HD200" s="109">
        <f t="shared" si="323"/>
        <v>0</v>
      </c>
      <c r="HE200" s="109">
        <f t="shared" si="331"/>
        <v>0</v>
      </c>
      <c r="HF200" s="109"/>
      <c r="HG200" s="109"/>
      <c r="HH200" s="111"/>
      <c r="HI200" s="111"/>
      <c r="HJ200" s="165"/>
      <c r="HK200" s="109">
        <f t="shared" si="324"/>
        <v>0</v>
      </c>
      <c r="HL200" s="109">
        <f t="shared" si="332"/>
        <v>0</v>
      </c>
      <c r="HM200" s="109"/>
      <c r="HN200" s="109"/>
      <c r="HO200" s="111"/>
      <c r="HP200" s="111"/>
      <c r="HQ200" s="165"/>
      <c r="HR200" s="109">
        <f t="shared" si="325"/>
        <v>0</v>
      </c>
      <c r="HS200" s="109">
        <f t="shared" si="333"/>
        <v>0</v>
      </c>
      <c r="HT200" s="109"/>
      <c r="HU200" s="109"/>
      <c r="HV200" s="111"/>
      <c r="HW200" s="111"/>
      <c r="HX200" s="105">
        <f t="shared" ref="HX200:HZ263" si="351">CO200+CV200+DC200+DJ200+DQ200+DX200+EE200+EL200+ES200+EZ200+FG200+FN200+FU200+GB200+GI200+GP200+GW200+HD200+HK200+HR200</f>
        <v>0</v>
      </c>
      <c r="HY200" s="105">
        <f t="shared" si="351"/>
        <v>0</v>
      </c>
      <c r="HZ200" s="105">
        <f t="shared" si="351"/>
        <v>0</v>
      </c>
      <c r="IA200" s="105">
        <f t="shared" si="345"/>
        <v>0</v>
      </c>
      <c r="IB200" s="109">
        <f t="shared" si="346"/>
        <v>0</v>
      </c>
      <c r="IC200" s="109">
        <f t="shared" si="347"/>
        <v>0</v>
      </c>
      <c r="ID200" s="109">
        <f t="shared" si="348"/>
        <v>0</v>
      </c>
      <c r="IE200" s="109">
        <f t="shared" si="349"/>
        <v>0</v>
      </c>
      <c r="IF200" s="197"/>
      <c r="IG200" s="197"/>
      <c r="IH200" s="197"/>
      <c r="II200" s="197"/>
      <c r="IJ200" s="197"/>
      <c r="IK200" s="197"/>
      <c r="IL200" s="197"/>
      <c r="IM200" s="171"/>
      <c r="IN200" s="171"/>
      <c r="IO200" s="171"/>
      <c r="IP200" s="171"/>
    </row>
    <row r="201" spans="1:250" ht="15" customHeight="1" x14ac:dyDescent="0.3">
      <c r="A201" s="110">
        <f t="shared" si="350"/>
        <v>197</v>
      </c>
      <c r="B201" s="111"/>
      <c r="C201" s="111"/>
      <c r="D201" s="111"/>
      <c r="E201" s="111"/>
      <c r="F201" s="111"/>
      <c r="G201" s="111"/>
      <c r="H201" s="111"/>
      <c r="I201" s="194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75"/>
      <c r="AI201" s="111"/>
      <c r="AJ201" s="111"/>
      <c r="AK201" s="111"/>
      <c r="AL201" s="177"/>
      <c r="AM201" s="176"/>
      <c r="AN201" s="177"/>
      <c r="AO201" s="157"/>
      <c r="AP201" s="158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75"/>
      <c r="BM201" s="111"/>
      <c r="BN201" s="111"/>
      <c r="BO201" s="111"/>
      <c r="BP201" s="111"/>
      <c r="BQ201" s="111"/>
      <c r="BR201" s="111"/>
      <c r="BS201" s="111"/>
      <c r="BT201" s="111"/>
      <c r="BU201" s="111"/>
      <c r="BV201" s="111"/>
      <c r="BW201" s="111"/>
      <c r="BX201" s="111"/>
      <c r="BY201" s="111"/>
      <c r="BZ201" s="111"/>
      <c r="CA201" s="111"/>
      <c r="CB201" s="111"/>
      <c r="CC201" s="178"/>
      <c r="CD201" s="177">
        <f t="shared" si="334"/>
        <v>0</v>
      </c>
      <c r="CE201" s="148"/>
      <c r="CF201" s="111">
        <f t="shared" si="335"/>
        <v>0</v>
      </c>
      <c r="CG201" s="177"/>
      <c r="CH201" s="204"/>
      <c r="CI201" s="148"/>
      <c r="CJ201" s="165"/>
      <c r="CK201" s="165"/>
      <c r="CL201" s="111"/>
      <c r="CM201" s="111"/>
      <c r="CN201" s="165">
        <f t="shared" si="336"/>
        <v>0</v>
      </c>
      <c r="CO201" s="109">
        <f t="shared" si="337"/>
        <v>0</v>
      </c>
      <c r="CP201" s="109">
        <f t="shared" si="338"/>
        <v>0</v>
      </c>
      <c r="CQ201" s="109"/>
      <c r="CR201" s="109"/>
      <c r="CS201" s="196"/>
      <c r="CT201" s="167"/>
      <c r="CU201" s="165"/>
      <c r="CV201" s="109">
        <f t="shared" si="339"/>
        <v>0</v>
      </c>
      <c r="CW201" s="109">
        <f t="shared" si="340"/>
        <v>0</v>
      </c>
      <c r="CX201" s="109"/>
      <c r="CY201" s="109"/>
      <c r="CZ201" s="111"/>
      <c r="DA201" s="111"/>
      <c r="DB201" s="165"/>
      <c r="DC201" s="109">
        <f t="shared" si="341"/>
        <v>0</v>
      </c>
      <c r="DD201" s="109">
        <f t="shared" si="342"/>
        <v>0</v>
      </c>
      <c r="DE201" s="109"/>
      <c r="DF201" s="109"/>
      <c r="DG201" s="111"/>
      <c r="DH201" s="111"/>
      <c r="DI201" s="165"/>
      <c r="DJ201" s="109">
        <f t="shared" si="343"/>
        <v>0</v>
      </c>
      <c r="DK201" s="109">
        <f t="shared" si="344"/>
        <v>0</v>
      </c>
      <c r="DL201" s="109"/>
      <c r="DM201" s="109"/>
      <c r="DN201" s="111"/>
      <c r="DO201" s="111"/>
      <c r="DP201" s="165"/>
      <c r="DQ201" s="109">
        <f t="shared" si="302"/>
        <v>0</v>
      </c>
      <c r="DR201" s="109">
        <f t="shared" si="303"/>
        <v>0</v>
      </c>
      <c r="DS201" s="109"/>
      <c r="DT201" s="109"/>
      <c r="DU201" s="111"/>
      <c r="DV201" s="111"/>
      <c r="DW201" s="165"/>
      <c r="DX201" s="109">
        <f t="shared" si="304"/>
        <v>0</v>
      </c>
      <c r="DY201" s="109">
        <f t="shared" si="305"/>
        <v>0</v>
      </c>
      <c r="DZ201" s="109"/>
      <c r="EA201" s="109"/>
      <c r="EB201" s="111"/>
      <c r="EC201" s="111"/>
      <c r="ED201" s="165"/>
      <c r="EE201" s="109">
        <f t="shared" si="306"/>
        <v>0</v>
      </c>
      <c r="EF201" s="109">
        <f t="shared" si="307"/>
        <v>0</v>
      </c>
      <c r="EG201" s="109"/>
      <c r="EH201" s="109"/>
      <c r="EI201" s="111"/>
      <c r="EJ201" s="111"/>
      <c r="EK201" s="165"/>
      <c r="EL201" s="109">
        <f t="shared" si="308"/>
        <v>0</v>
      </c>
      <c r="EM201" s="109">
        <f t="shared" si="309"/>
        <v>0</v>
      </c>
      <c r="EN201" s="109"/>
      <c r="EO201" s="109"/>
      <c r="EP201" s="111"/>
      <c r="EQ201" s="111"/>
      <c r="ER201" s="165"/>
      <c r="ES201" s="109">
        <f t="shared" si="310"/>
        <v>0</v>
      </c>
      <c r="ET201" s="109">
        <f t="shared" si="311"/>
        <v>0</v>
      </c>
      <c r="EU201" s="109"/>
      <c r="EV201" s="109"/>
      <c r="EW201" s="111"/>
      <c r="EX201" s="111"/>
      <c r="EY201" s="165"/>
      <c r="EZ201" s="109">
        <f t="shared" si="312"/>
        <v>0</v>
      </c>
      <c r="FA201" s="109">
        <f t="shared" si="313"/>
        <v>0</v>
      </c>
      <c r="FB201" s="109"/>
      <c r="FC201" s="109"/>
      <c r="FD201" s="111"/>
      <c r="FE201" s="111"/>
      <c r="FF201" s="165"/>
      <c r="FG201" s="109">
        <f t="shared" si="314"/>
        <v>0</v>
      </c>
      <c r="FH201" s="109">
        <f t="shared" si="315"/>
        <v>0</v>
      </c>
      <c r="FI201" s="109"/>
      <c r="FJ201" s="109"/>
      <c r="FK201" s="111"/>
      <c r="FL201" s="111"/>
      <c r="FM201" s="165"/>
      <c r="FN201" s="109">
        <f t="shared" si="316"/>
        <v>0</v>
      </c>
      <c r="FO201" s="109">
        <f t="shared" si="317"/>
        <v>0</v>
      </c>
      <c r="FP201" s="109"/>
      <c r="FQ201" s="109"/>
      <c r="FR201" s="111"/>
      <c r="FS201" s="111"/>
      <c r="FT201" s="165"/>
      <c r="FU201" s="109">
        <f t="shared" si="318"/>
        <v>0</v>
      </c>
      <c r="FV201" s="109">
        <f t="shared" si="326"/>
        <v>0</v>
      </c>
      <c r="FW201" s="109"/>
      <c r="FX201" s="109"/>
      <c r="FY201" s="111"/>
      <c r="FZ201" s="111"/>
      <c r="GA201" s="165"/>
      <c r="GB201" s="109">
        <f t="shared" si="319"/>
        <v>0</v>
      </c>
      <c r="GC201" s="109">
        <f t="shared" si="327"/>
        <v>0</v>
      </c>
      <c r="GD201" s="109"/>
      <c r="GE201" s="109"/>
      <c r="GF201" s="111"/>
      <c r="GG201" s="111"/>
      <c r="GH201" s="165"/>
      <c r="GI201" s="109">
        <f t="shared" si="320"/>
        <v>0</v>
      </c>
      <c r="GJ201" s="109">
        <f t="shared" si="328"/>
        <v>0</v>
      </c>
      <c r="GK201" s="109"/>
      <c r="GL201" s="109"/>
      <c r="GM201" s="111"/>
      <c r="GN201" s="111"/>
      <c r="GO201" s="165"/>
      <c r="GP201" s="109">
        <f t="shared" si="321"/>
        <v>0</v>
      </c>
      <c r="GQ201" s="109">
        <f t="shared" si="329"/>
        <v>0</v>
      </c>
      <c r="GR201" s="109"/>
      <c r="GS201" s="109"/>
      <c r="GT201" s="111"/>
      <c r="GU201" s="111"/>
      <c r="GV201" s="165"/>
      <c r="GW201" s="168">
        <f t="shared" si="322"/>
        <v>0</v>
      </c>
      <c r="GX201" s="168">
        <f t="shared" si="330"/>
        <v>0</v>
      </c>
      <c r="GY201" s="168"/>
      <c r="GZ201" s="168"/>
      <c r="HA201" s="111"/>
      <c r="HB201" s="111"/>
      <c r="HC201" s="165"/>
      <c r="HD201" s="109">
        <f t="shared" si="323"/>
        <v>0</v>
      </c>
      <c r="HE201" s="109">
        <f t="shared" si="331"/>
        <v>0</v>
      </c>
      <c r="HF201" s="109"/>
      <c r="HG201" s="109"/>
      <c r="HH201" s="111"/>
      <c r="HI201" s="111"/>
      <c r="HJ201" s="165"/>
      <c r="HK201" s="109">
        <f t="shared" si="324"/>
        <v>0</v>
      </c>
      <c r="HL201" s="109">
        <f t="shared" si="332"/>
        <v>0</v>
      </c>
      <c r="HM201" s="109"/>
      <c r="HN201" s="109"/>
      <c r="HO201" s="111"/>
      <c r="HP201" s="111"/>
      <c r="HQ201" s="165"/>
      <c r="HR201" s="109">
        <f t="shared" si="325"/>
        <v>0</v>
      </c>
      <c r="HS201" s="109">
        <f t="shared" si="333"/>
        <v>0</v>
      </c>
      <c r="HT201" s="109"/>
      <c r="HU201" s="109"/>
      <c r="HV201" s="111"/>
      <c r="HW201" s="111"/>
      <c r="HX201" s="105">
        <f t="shared" si="351"/>
        <v>0</v>
      </c>
      <c r="HY201" s="105">
        <f t="shared" si="351"/>
        <v>0</v>
      </c>
      <c r="HZ201" s="105">
        <f t="shared" si="351"/>
        <v>0</v>
      </c>
      <c r="IA201" s="105">
        <f t="shared" si="345"/>
        <v>0</v>
      </c>
      <c r="IB201" s="109">
        <f t="shared" si="346"/>
        <v>0</v>
      </c>
      <c r="IC201" s="109">
        <f t="shared" si="347"/>
        <v>0</v>
      </c>
      <c r="ID201" s="109">
        <f t="shared" si="348"/>
        <v>0</v>
      </c>
      <c r="IE201" s="109">
        <f t="shared" si="349"/>
        <v>0</v>
      </c>
      <c r="IF201" s="197"/>
      <c r="IG201" s="197"/>
      <c r="IH201" s="197"/>
      <c r="II201" s="197"/>
      <c r="IJ201" s="197"/>
      <c r="IK201" s="197"/>
      <c r="IL201" s="197"/>
      <c r="IM201" s="171"/>
      <c r="IN201" s="171"/>
      <c r="IO201" s="171"/>
      <c r="IP201" s="171"/>
    </row>
    <row r="202" spans="1:250" ht="15" customHeight="1" x14ac:dyDescent="0.3">
      <c r="A202" s="110">
        <f t="shared" si="350"/>
        <v>198</v>
      </c>
      <c r="B202" s="111"/>
      <c r="C202" s="111"/>
      <c r="D202" s="111"/>
      <c r="E202" s="111"/>
      <c r="F202" s="111"/>
      <c r="G202" s="111"/>
      <c r="H202" s="111"/>
      <c r="I202" s="194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75"/>
      <c r="AI202" s="111"/>
      <c r="AJ202" s="111"/>
      <c r="AK202" s="111"/>
      <c r="AL202" s="177"/>
      <c r="AM202" s="176"/>
      <c r="AN202" s="177"/>
      <c r="AO202" s="157"/>
      <c r="AP202" s="158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75"/>
      <c r="BM202" s="111"/>
      <c r="BN202" s="111"/>
      <c r="BO202" s="111"/>
      <c r="BP202" s="111"/>
      <c r="BQ202" s="111"/>
      <c r="BR202" s="111"/>
      <c r="BS202" s="111"/>
      <c r="BT202" s="111"/>
      <c r="BU202" s="111"/>
      <c r="BV202" s="111"/>
      <c r="BW202" s="111"/>
      <c r="BX202" s="111"/>
      <c r="BY202" s="111"/>
      <c r="BZ202" s="111"/>
      <c r="CA202" s="111"/>
      <c r="CB202" s="111"/>
      <c r="CC202" s="178"/>
      <c r="CD202" s="177">
        <f t="shared" si="334"/>
        <v>0</v>
      </c>
      <c r="CE202" s="148"/>
      <c r="CF202" s="111">
        <f t="shared" si="335"/>
        <v>0</v>
      </c>
      <c r="CG202" s="177"/>
      <c r="CH202" s="204"/>
      <c r="CI202" s="148"/>
      <c r="CJ202" s="165"/>
      <c r="CK202" s="165"/>
      <c r="CL202" s="111"/>
      <c r="CM202" s="111"/>
      <c r="CN202" s="165">
        <f t="shared" si="336"/>
        <v>0</v>
      </c>
      <c r="CO202" s="109">
        <f t="shared" si="337"/>
        <v>0</v>
      </c>
      <c r="CP202" s="109">
        <f t="shared" si="338"/>
        <v>0</v>
      </c>
      <c r="CQ202" s="109"/>
      <c r="CR202" s="109"/>
      <c r="CS202" s="196"/>
      <c r="CT202" s="167"/>
      <c r="CU202" s="165"/>
      <c r="CV202" s="109">
        <f t="shared" si="339"/>
        <v>0</v>
      </c>
      <c r="CW202" s="109">
        <f t="shared" si="340"/>
        <v>0</v>
      </c>
      <c r="CX202" s="109"/>
      <c r="CY202" s="109"/>
      <c r="CZ202" s="111"/>
      <c r="DA202" s="111"/>
      <c r="DB202" s="165"/>
      <c r="DC202" s="109">
        <f t="shared" si="341"/>
        <v>0</v>
      </c>
      <c r="DD202" s="109">
        <f t="shared" si="342"/>
        <v>0</v>
      </c>
      <c r="DE202" s="109"/>
      <c r="DF202" s="109"/>
      <c r="DG202" s="111"/>
      <c r="DH202" s="111"/>
      <c r="DI202" s="165"/>
      <c r="DJ202" s="109">
        <f t="shared" si="343"/>
        <v>0</v>
      </c>
      <c r="DK202" s="109">
        <f t="shared" si="344"/>
        <v>0</v>
      </c>
      <c r="DL202" s="109"/>
      <c r="DM202" s="109"/>
      <c r="DN202" s="111"/>
      <c r="DO202" s="111"/>
      <c r="DP202" s="165"/>
      <c r="DQ202" s="109">
        <f t="shared" si="302"/>
        <v>0</v>
      </c>
      <c r="DR202" s="109">
        <f t="shared" si="303"/>
        <v>0</v>
      </c>
      <c r="DS202" s="109"/>
      <c r="DT202" s="109"/>
      <c r="DU202" s="111"/>
      <c r="DV202" s="111"/>
      <c r="DW202" s="165"/>
      <c r="DX202" s="109">
        <f t="shared" si="304"/>
        <v>0</v>
      </c>
      <c r="DY202" s="109">
        <f t="shared" si="305"/>
        <v>0</v>
      </c>
      <c r="DZ202" s="109"/>
      <c r="EA202" s="109"/>
      <c r="EB202" s="111"/>
      <c r="EC202" s="111"/>
      <c r="ED202" s="165"/>
      <c r="EE202" s="109">
        <f t="shared" si="306"/>
        <v>0</v>
      </c>
      <c r="EF202" s="109">
        <f t="shared" si="307"/>
        <v>0</v>
      </c>
      <c r="EG202" s="109"/>
      <c r="EH202" s="109"/>
      <c r="EI202" s="111"/>
      <c r="EJ202" s="111"/>
      <c r="EK202" s="165"/>
      <c r="EL202" s="109">
        <f t="shared" si="308"/>
        <v>0</v>
      </c>
      <c r="EM202" s="109">
        <f t="shared" si="309"/>
        <v>0</v>
      </c>
      <c r="EN202" s="109"/>
      <c r="EO202" s="109"/>
      <c r="EP202" s="111"/>
      <c r="EQ202" s="111"/>
      <c r="ER202" s="165"/>
      <c r="ES202" s="109">
        <f t="shared" si="310"/>
        <v>0</v>
      </c>
      <c r="ET202" s="109">
        <f t="shared" si="311"/>
        <v>0</v>
      </c>
      <c r="EU202" s="109"/>
      <c r="EV202" s="109"/>
      <c r="EW202" s="111"/>
      <c r="EX202" s="111"/>
      <c r="EY202" s="165"/>
      <c r="EZ202" s="109">
        <f t="shared" si="312"/>
        <v>0</v>
      </c>
      <c r="FA202" s="109">
        <f t="shared" si="313"/>
        <v>0</v>
      </c>
      <c r="FB202" s="109"/>
      <c r="FC202" s="109"/>
      <c r="FD202" s="111"/>
      <c r="FE202" s="111"/>
      <c r="FF202" s="165"/>
      <c r="FG202" s="109">
        <f t="shared" si="314"/>
        <v>0</v>
      </c>
      <c r="FH202" s="109">
        <f t="shared" si="315"/>
        <v>0</v>
      </c>
      <c r="FI202" s="109"/>
      <c r="FJ202" s="109"/>
      <c r="FK202" s="111"/>
      <c r="FL202" s="111"/>
      <c r="FM202" s="165"/>
      <c r="FN202" s="109">
        <f t="shared" si="316"/>
        <v>0</v>
      </c>
      <c r="FO202" s="109">
        <f t="shared" si="317"/>
        <v>0</v>
      </c>
      <c r="FP202" s="109"/>
      <c r="FQ202" s="109"/>
      <c r="FR202" s="111"/>
      <c r="FS202" s="111"/>
      <c r="FT202" s="165"/>
      <c r="FU202" s="109">
        <f t="shared" si="318"/>
        <v>0</v>
      </c>
      <c r="FV202" s="109">
        <f t="shared" si="326"/>
        <v>0</v>
      </c>
      <c r="FW202" s="109"/>
      <c r="FX202" s="109"/>
      <c r="FY202" s="111"/>
      <c r="FZ202" s="111"/>
      <c r="GA202" s="165"/>
      <c r="GB202" s="109">
        <f t="shared" si="319"/>
        <v>0</v>
      </c>
      <c r="GC202" s="109">
        <f t="shared" si="327"/>
        <v>0</v>
      </c>
      <c r="GD202" s="109"/>
      <c r="GE202" s="109"/>
      <c r="GF202" s="111"/>
      <c r="GG202" s="111"/>
      <c r="GH202" s="165"/>
      <c r="GI202" s="109">
        <f t="shared" si="320"/>
        <v>0</v>
      </c>
      <c r="GJ202" s="109">
        <f t="shared" si="328"/>
        <v>0</v>
      </c>
      <c r="GK202" s="109"/>
      <c r="GL202" s="109"/>
      <c r="GM202" s="111"/>
      <c r="GN202" s="111"/>
      <c r="GO202" s="165"/>
      <c r="GP202" s="109">
        <f t="shared" si="321"/>
        <v>0</v>
      </c>
      <c r="GQ202" s="109">
        <f t="shared" si="329"/>
        <v>0</v>
      </c>
      <c r="GR202" s="109"/>
      <c r="GS202" s="109"/>
      <c r="GT202" s="111"/>
      <c r="GU202" s="111"/>
      <c r="GV202" s="165"/>
      <c r="GW202" s="168">
        <f t="shared" si="322"/>
        <v>0</v>
      </c>
      <c r="GX202" s="168">
        <f t="shared" si="330"/>
        <v>0</v>
      </c>
      <c r="GY202" s="168"/>
      <c r="GZ202" s="168"/>
      <c r="HA202" s="111"/>
      <c r="HB202" s="111"/>
      <c r="HC202" s="165"/>
      <c r="HD202" s="109">
        <f t="shared" si="323"/>
        <v>0</v>
      </c>
      <c r="HE202" s="109">
        <f t="shared" si="331"/>
        <v>0</v>
      </c>
      <c r="HF202" s="109"/>
      <c r="HG202" s="109"/>
      <c r="HH202" s="111"/>
      <c r="HI202" s="111"/>
      <c r="HJ202" s="165"/>
      <c r="HK202" s="109">
        <f t="shared" si="324"/>
        <v>0</v>
      </c>
      <c r="HL202" s="109">
        <f t="shared" si="332"/>
        <v>0</v>
      </c>
      <c r="HM202" s="109"/>
      <c r="HN202" s="109"/>
      <c r="HO202" s="111"/>
      <c r="HP202" s="111"/>
      <c r="HQ202" s="165"/>
      <c r="HR202" s="109">
        <f t="shared" si="325"/>
        <v>0</v>
      </c>
      <c r="HS202" s="109">
        <f t="shared" si="333"/>
        <v>0</v>
      </c>
      <c r="HT202" s="109"/>
      <c r="HU202" s="109"/>
      <c r="HV202" s="111"/>
      <c r="HW202" s="111"/>
      <c r="HX202" s="105">
        <f t="shared" si="351"/>
        <v>0</v>
      </c>
      <c r="HY202" s="105">
        <f t="shared" si="351"/>
        <v>0</v>
      </c>
      <c r="HZ202" s="105">
        <f t="shared" si="351"/>
        <v>0</v>
      </c>
      <c r="IA202" s="105">
        <f t="shared" si="345"/>
        <v>0</v>
      </c>
      <c r="IB202" s="109">
        <f t="shared" si="346"/>
        <v>0</v>
      </c>
      <c r="IC202" s="109">
        <f t="shared" si="347"/>
        <v>0</v>
      </c>
      <c r="ID202" s="109">
        <f t="shared" si="348"/>
        <v>0</v>
      </c>
      <c r="IE202" s="109">
        <f t="shared" si="349"/>
        <v>0</v>
      </c>
      <c r="IF202" s="197"/>
      <c r="IG202" s="197"/>
      <c r="IH202" s="197"/>
      <c r="II202" s="197"/>
      <c r="IJ202" s="197"/>
      <c r="IK202" s="197"/>
      <c r="IL202" s="197"/>
      <c r="IM202" s="171"/>
      <c r="IN202" s="171"/>
      <c r="IO202" s="171"/>
      <c r="IP202" s="171"/>
    </row>
    <row r="203" spans="1:250" ht="15" customHeight="1" x14ac:dyDescent="0.3">
      <c r="A203" s="110">
        <f t="shared" si="350"/>
        <v>199</v>
      </c>
      <c r="B203" s="111"/>
      <c r="C203" s="111"/>
      <c r="D203" s="111"/>
      <c r="E203" s="111"/>
      <c r="F203" s="111"/>
      <c r="G203" s="111"/>
      <c r="H203" s="111"/>
      <c r="I203" s="194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75"/>
      <c r="AI203" s="111"/>
      <c r="AJ203" s="111"/>
      <c r="AK203" s="111"/>
      <c r="AL203" s="177"/>
      <c r="AM203" s="176"/>
      <c r="AN203" s="177"/>
      <c r="AO203" s="157"/>
      <c r="AP203" s="158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  <c r="BJ203" s="111"/>
      <c r="BK203" s="111"/>
      <c r="BL203" s="175"/>
      <c r="BM203" s="111"/>
      <c r="BN203" s="111"/>
      <c r="BO203" s="111"/>
      <c r="BP203" s="111"/>
      <c r="BQ203" s="111"/>
      <c r="BR203" s="111"/>
      <c r="BS203" s="111"/>
      <c r="BT203" s="111"/>
      <c r="BU203" s="111"/>
      <c r="BV203" s="111"/>
      <c r="BW203" s="111"/>
      <c r="BX203" s="111"/>
      <c r="BY203" s="111"/>
      <c r="BZ203" s="111"/>
      <c r="CA203" s="111"/>
      <c r="CB203" s="111"/>
      <c r="CC203" s="178"/>
      <c r="CD203" s="177">
        <f t="shared" si="334"/>
        <v>0</v>
      </c>
      <c r="CE203" s="148"/>
      <c r="CF203" s="111">
        <f t="shared" si="335"/>
        <v>0</v>
      </c>
      <c r="CG203" s="177"/>
      <c r="CH203" s="204"/>
      <c r="CI203" s="148"/>
      <c r="CJ203" s="165"/>
      <c r="CK203" s="165"/>
      <c r="CL203" s="111"/>
      <c r="CM203" s="111"/>
      <c r="CN203" s="165">
        <f t="shared" si="336"/>
        <v>0</v>
      </c>
      <c r="CO203" s="109">
        <f t="shared" si="337"/>
        <v>0</v>
      </c>
      <c r="CP203" s="109">
        <f t="shared" si="338"/>
        <v>0</v>
      </c>
      <c r="CQ203" s="109"/>
      <c r="CR203" s="109"/>
      <c r="CS203" s="196"/>
      <c r="CT203" s="167"/>
      <c r="CU203" s="165"/>
      <c r="CV203" s="109">
        <f t="shared" si="339"/>
        <v>0</v>
      </c>
      <c r="CW203" s="109">
        <f t="shared" si="340"/>
        <v>0</v>
      </c>
      <c r="CX203" s="109"/>
      <c r="CY203" s="109"/>
      <c r="CZ203" s="111"/>
      <c r="DA203" s="111"/>
      <c r="DB203" s="165"/>
      <c r="DC203" s="109">
        <f t="shared" si="341"/>
        <v>0</v>
      </c>
      <c r="DD203" s="109">
        <f t="shared" si="342"/>
        <v>0</v>
      </c>
      <c r="DE203" s="109"/>
      <c r="DF203" s="109"/>
      <c r="DG203" s="111"/>
      <c r="DH203" s="111"/>
      <c r="DI203" s="165"/>
      <c r="DJ203" s="109">
        <f t="shared" si="343"/>
        <v>0</v>
      </c>
      <c r="DK203" s="109">
        <f t="shared" si="344"/>
        <v>0</v>
      </c>
      <c r="DL203" s="109"/>
      <c r="DM203" s="109"/>
      <c r="DN203" s="111"/>
      <c r="DO203" s="111"/>
      <c r="DP203" s="165"/>
      <c r="DQ203" s="109">
        <f t="shared" si="302"/>
        <v>0</v>
      </c>
      <c r="DR203" s="109">
        <f t="shared" si="303"/>
        <v>0</v>
      </c>
      <c r="DS203" s="109"/>
      <c r="DT203" s="109"/>
      <c r="DU203" s="111"/>
      <c r="DV203" s="111"/>
      <c r="DW203" s="165"/>
      <c r="DX203" s="109">
        <f t="shared" si="304"/>
        <v>0</v>
      </c>
      <c r="DY203" s="109">
        <f t="shared" si="305"/>
        <v>0</v>
      </c>
      <c r="DZ203" s="109"/>
      <c r="EA203" s="109"/>
      <c r="EB203" s="111"/>
      <c r="EC203" s="111"/>
      <c r="ED203" s="165"/>
      <c r="EE203" s="109">
        <f t="shared" si="306"/>
        <v>0</v>
      </c>
      <c r="EF203" s="109">
        <f t="shared" si="307"/>
        <v>0</v>
      </c>
      <c r="EG203" s="109"/>
      <c r="EH203" s="109"/>
      <c r="EI203" s="111"/>
      <c r="EJ203" s="111"/>
      <c r="EK203" s="165"/>
      <c r="EL203" s="109">
        <f t="shared" si="308"/>
        <v>0</v>
      </c>
      <c r="EM203" s="109">
        <f t="shared" si="309"/>
        <v>0</v>
      </c>
      <c r="EN203" s="109"/>
      <c r="EO203" s="109"/>
      <c r="EP203" s="111"/>
      <c r="EQ203" s="111"/>
      <c r="ER203" s="165"/>
      <c r="ES203" s="109">
        <f t="shared" si="310"/>
        <v>0</v>
      </c>
      <c r="ET203" s="109">
        <f t="shared" si="311"/>
        <v>0</v>
      </c>
      <c r="EU203" s="109"/>
      <c r="EV203" s="109"/>
      <c r="EW203" s="111"/>
      <c r="EX203" s="111"/>
      <c r="EY203" s="165"/>
      <c r="EZ203" s="109">
        <f t="shared" si="312"/>
        <v>0</v>
      </c>
      <c r="FA203" s="109">
        <f t="shared" si="313"/>
        <v>0</v>
      </c>
      <c r="FB203" s="109"/>
      <c r="FC203" s="109"/>
      <c r="FD203" s="111"/>
      <c r="FE203" s="111"/>
      <c r="FF203" s="165"/>
      <c r="FG203" s="109">
        <f t="shared" si="314"/>
        <v>0</v>
      </c>
      <c r="FH203" s="109">
        <f t="shared" si="315"/>
        <v>0</v>
      </c>
      <c r="FI203" s="109"/>
      <c r="FJ203" s="109"/>
      <c r="FK203" s="111"/>
      <c r="FL203" s="111"/>
      <c r="FM203" s="165"/>
      <c r="FN203" s="109">
        <f t="shared" si="316"/>
        <v>0</v>
      </c>
      <c r="FO203" s="109">
        <f t="shared" si="317"/>
        <v>0</v>
      </c>
      <c r="FP203" s="109"/>
      <c r="FQ203" s="109"/>
      <c r="FR203" s="111"/>
      <c r="FS203" s="111"/>
      <c r="FT203" s="165"/>
      <c r="FU203" s="109">
        <f t="shared" si="318"/>
        <v>0</v>
      </c>
      <c r="FV203" s="109">
        <f t="shared" si="326"/>
        <v>0</v>
      </c>
      <c r="FW203" s="109"/>
      <c r="FX203" s="109"/>
      <c r="FY203" s="111"/>
      <c r="FZ203" s="111"/>
      <c r="GA203" s="165"/>
      <c r="GB203" s="109">
        <f t="shared" si="319"/>
        <v>0</v>
      </c>
      <c r="GC203" s="109">
        <f t="shared" si="327"/>
        <v>0</v>
      </c>
      <c r="GD203" s="109"/>
      <c r="GE203" s="109"/>
      <c r="GF203" s="111"/>
      <c r="GG203" s="111"/>
      <c r="GH203" s="165"/>
      <c r="GI203" s="109">
        <f t="shared" si="320"/>
        <v>0</v>
      </c>
      <c r="GJ203" s="109">
        <f t="shared" si="328"/>
        <v>0</v>
      </c>
      <c r="GK203" s="109"/>
      <c r="GL203" s="109"/>
      <c r="GM203" s="111"/>
      <c r="GN203" s="111"/>
      <c r="GO203" s="165"/>
      <c r="GP203" s="109">
        <f t="shared" si="321"/>
        <v>0</v>
      </c>
      <c r="GQ203" s="109">
        <f t="shared" si="329"/>
        <v>0</v>
      </c>
      <c r="GR203" s="109"/>
      <c r="GS203" s="109"/>
      <c r="GT203" s="111"/>
      <c r="GU203" s="111"/>
      <c r="GV203" s="165"/>
      <c r="GW203" s="168">
        <f t="shared" si="322"/>
        <v>0</v>
      </c>
      <c r="GX203" s="168">
        <f t="shared" si="330"/>
        <v>0</v>
      </c>
      <c r="GY203" s="168"/>
      <c r="GZ203" s="168"/>
      <c r="HA203" s="111"/>
      <c r="HB203" s="111"/>
      <c r="HC203" s="165"/>
      <c r="HD203" s="109">
        <f t="shared" si="323"/>
        <v>0</v>
      </c>
      <c r="HE203" s="109">
        <f t="shared" si="331"/>
        <v>0</v>
      </c>
      <c r="HF203" s="109"/>
      <c r="HG203" s="109"/>
      <c r="HH203" s="111"/>
      <c r="HI203" s="111"/>
      <c r="HJ203" s="165"/>
      <c r="HK203" s="109">
        <f t="shared" si="324"/>
        <v>0</v>
      </c>
      <c r="HL203" s="109">
        <f t="shared" si="332"/>
        <v>0</v>
      </c>
      <c r="HM203" s="109"/>
      <c r="HN203" s="109"/>
      <c r="HO203" s="111"/>
      <c r="HP203" s="111"/>
      <c r="HQ203" s="165"/>
      <c r="HR203" s="109">
        <f t="shared" si="325"/>
        <v>0</v>
      </c>
      <c r="HS203" s="109">
        <f t="shared" si="333"/>
        <v>0</v>
      </c>
      <c r="HT203" s="109"/>
      <c r="HU203" s="109"/>
      <c r="HV203" s="111"/>
      <c r="HW203" s="111"/>
      <c r="HX203" s="105">
        <f t="shared" si="351"/>
        <v>0</v>
      </c>
      <c r="HY203" s="105">
        <f t="shared" si="351"/>
        <v>0</v>
      </c>
      <c r="HZ203" s="105">
        <f t="shared" si="351"/>
        <v>0</v>
      </c>
      <c r="IA203" s="105">
        <f t="shared" si="345"/>
        <v>0</v>
      </c>
      <c r="IB203" s="109">
        <f t="shared" si="346"/>
        <v>0</v>
      </c>
      <c r="IC203" s="109">
        <f t="shared" si="347"/>
        <v>0</v>
      </c>
      <c r="ID203" s="109">
        <f t="shared" si="348"/>
        <v>0</v>
      </c>
      <c r="IE203" s="109">
        <f t="shared" si="349"/>
        <v>0</v>
      </c>
      <c r="IF203" s="197"/>
      <c r="IG203" s="197"/>
      <c r="IH203" s="197"/>
      <c r="II203" s="197"/>
      <c r="IJ203" s="197"/>
      <c r="IK203" s="197"/>
      <c r="IL203" s="197"/>
      <c r="IM203" s="171"/>
      <c r="IN203" s="171"/>
      <c r="IO203" s="171"/>
      <c r="IP203" s="171"/>
    </row>
    <row r="204" spans="1:250" ht="15" customHeight="1" x14ac:dyDescent="0.3">
      <c r="A204" s="110">
        <f t="shared" si="350"/>
        <v>200</v>
      </c>
      <c r="B204" s="111"/>
      <c r="C204" s="111"/>
      <c r="D204" s="111"/>
      <c r="E204" s="111"/>
      <c r="F204" s="111"/>
      <c r="G204" s="111"/>
      <c r="H204" s="111"/>
      <c r="I204" s="194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75"/>
      <c r="AI204" s="111"/>
      <c r="AJ204" s="111"/>
      <c r="AK204" s="111"/>
      <c r="AL204" s="177"/>
      <c r="AM204" s="176"/>
      <c r="AN204" s="177"/>
      <c r="AO204" s="157"/>
      <c r="AP204" s="158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  <c r="BJ204" s="111"/>
      <c r="BK204" s="111"/>
      <c r="BL204" s="175"/>
      <c r="BM204" s="111"/>
      <c r="BN204" s="111"/>
      <c r="BO204" s="111"/>
      <c r="BP204" s="111"/>
      <c r="BQ204" s="111"/>
      <c r="BR204" s="111"/>
      <c r="BS204" s="111"/>
      <c r="BT204" s="111"/>
      <c r="BU204" s="111"/>
      <c r="BV204" s="111"/>
      <c r="BW204" s="111"/>
      <c r="BX204" s="111"/>
      <c r="BY204" s="111"/>
      <c r="BZ204" s="111"/>
      <c r="CA204" s="111"/>
      <c r="CB204" s="111"/>
      <c r="CC204" s="178"/>
      <c r="CD204" s="177">
        <f t="shared" si="334"/>
        <v>0</v>
      </c>
      <c r="CE204" s="148"/>
      <c r="CF204" s="111">
        <f t="shared" si="335"/>
        <v>0</v>
      </c>
      <c r="CG204" s="177"/>
      <c r="CH204" s="204"/>
      <c r="CI204" s="148"/>
      <c r="CJ204" s="165"/>
      <c r="CK204" s="165"/>
      <c r="CL204" s="111"/>
      <c r="CM204" s="111"/>
      <c r="CN204" s="165">
        <f t="shared" si="336"/>
        <v>0</v>
      </c>
      <c r="CO204" s="109">
        <f t="shared" si="337"/>
        <v>0</v>
      </c>
      <c r="CP204" s="109">
        <f t="shared" si="338"/>
        <v>0</v>
      </c>
      <c r="CQ204" s="109"/>
      <c r="CR204" s="109"/>
      <c r="CS204" s="196"/>
      <c r="CT204" s="167"/>
      <c r="CU204" s="165"/>
      <c r="CV204" s="109">
        <f t="shared" si="339"/>
        <v>0</v>
      </c>
      <c r="CW204" s="109">
        <f t="shared" si="340"/>
        <v>0</v>
      </c>
      <c r="CX204" s="109"/>
      <c r="CY204" s="109"/>
      <c r="CZ204" s="111"/>
      <c r="DA204" s="111"/>
      <c r="DB204" s="165"/>
      <c r="DC204" s="109">
        <f t="shared" si="341"/>
        <v>0</v>
      </c>
      <c r="DD204" s="109">
        <f t="shared" si="342"/>
        <v>0</v>
      </c>
      <c r="DE204" s="109"/>
      <c r="DF204" s="109"/>
      <c r="DG204" s="111"/>
      <c r="DH204" s="111"/>
      <c r="DI204" s="165"/>
      <c r="DJ204" s="109">
        <f t="shared" si="343"/>
        <v>0</v>
      </c>
      <c r="DK204" s="109">
        <f t="shared" si="344"/>
        <v>0</v>
      </c>
      <c r="DL204" s="109"/>
      <c r="DM204" s="109"/>
      <c r="DN204" s="111"/>
      <c r="DO204" s="111"/>
      <c r="DP204" s="165"/>
      <c r="DQ204" s="109">
        <f t="shared" si="302"/>
        <v>0</v>
      </c>
      <c r="DR204" s="109">
        <f t="shared" si="303"/>
        <v>0</v>
      </c>
      <c r="DS204" s="109"/>
      <c r="DT204" s="109"/>
      <c r="DU204" s="111"/>
      <c r="DV204" s="111"/>
      <c r="DW204" s="165"/>
      <c r="DX204" s="109">
        <f t="shared" si="304"/>
        <v>0</v>
      </c>
      <c r="DY204" s="109">
        <f t="shared" si="305"/>
        <v>0</v>
      </c>
      <c r="DZ204" s="109"/>
      <c r="EA204" s="109"/>
      <c r="EB204" s="111"/>
      <c r="EC204" s="111"/>
      <c r="ED204" s="165"/>
      <c r="EE204" s="109">
        <f t="shared" si="306"/>
        <v>0</v>
      </c>
      <c r="EF204" s="109">
        <f t="shared" si="307"/>
        <v>0</v>
      </c>
      <c r="EG204" s="109"/>
      <c r="EH204" s="109"/>
      <c r="EI204" s="111"/>
      <c r="EJ204" s="111"/>
      <c r="EK204" s="165"/>
      <c r="EL204" s="109">
        <f t="shared" si="308"/>
        <v>0</v>
      </c>
      <c r="EM204" s="109">
        <f t="shared" si="309"/>
        <v>0</v>
      </c>
      <c r="EN204" s="109"/>
      <c r="EO204" s="109"/>
      <c r="EP204" s="111"/>
      <c r="EQ204" s="111"/>
      <c r="ER204" s="165"/>
      <c r="ES204" s="109">
        <f t="shared" si="310"/>
        <v>0</v>
      </c>
      <c r="ET204" s="109">
        <f t="shared" si="311"/>
        <v>0</v>
      </c>
      <c r="EU204" s="109"/>
      <c r="EV204" s="109"/>
      <c r="EW204" s="111"/>
      <c r="EX204" s="111"/>
      <c r="EY204" s="165"/>
      <c r="EZ204" s="109">
        <f t="shared" si="312"/>
        <v>0</v>
      </c>
      <c r="FA204" s="109">
        <f t="shared" si="313"/>
        <v>0</v>
      </c>
      <c r="FB204" s="109"/>
      <c r="FC204" s="109"/>
      <c r="FD204" s="111"/>
      <c r="FE204" s="111"/>
      <c r="FF204" s="165"/>
      <c r="FG204" s="109">
        <f t="shared" si="314"/>
        <v>0</v>
      </c>
      <c r="FH204" s="109">
        <f t="shared" si="315"/>
        <v>0</v>
      </c>
      <c r="FI204" s="109"/>
      <c r="FJ204" s="109"/>
      <c r="FK204" s="111"/>
      <c r="FL204" s="111"/>
      <c r="FM204" s="165"/>
      <c r="FN204" s="109">
        <f t="shared" si="316"/>
        <v>0</v>
      </c>
      <c r="FO204" s="109">
        <f t="shared" si="317"/>
        <v>0</v>
      </c>
      <c r="FP204" s="109"/>
      <c r="FQ204" s="109"/>
      <c r="FR204" s="111"/>
      <c r="FS204" s="111"/>
      <c r="FT204" s="165"/>
      <c r="FU204" s="109">
        <f t="shared" si="318"/>
        <v>0</v>
      </c>
      <c r="FV204" s="109">
        <f t="shared" si="326"/>
        <v>0</v>
      </c>
      <c r="FW204" s="109"/>
      <c r="FX204" s="109"/>
      <c r="FY204" s="111"/>
      <c r="FZ204" s="111"/>
      <c r="GA204" s="165"/>
      <c r="GB204" s="109">
        <f t="shared" si="319"/>
        <v>0</v>
      </c>
      <c r="GC204" s="109">
        <f t="shared" si="327"/>
        <v>0</v>
      </c>
      <c r="GD204" s="109"/>
      <c r="GE204" s="109"/>
      <c r="GF204" s="111"/>
      <c r="GG204" s="111"/>
      <c r="GH204" s="165"/>
      <c r="GI204" s="109">
        <f t="shared" si="320"/>
        <v>0</v>
      </c>
      <c r="GJ204" s="109">
        <f t="shared" si="328"/>
        <v>0</v>
      </c>
      <c r="GK204" s="109"/>
      <c r="GL204" s="109"/>
      <c r="GM204" s="111"/>
      <c r="GN204" s="111"/>
      <c r="GO204" s="165"/>
      <c r="GP204" s="109">
        <f t="shared" si="321"/>
        <v>0</v>
      </c>
      <c r="GQ204" s="109">
        <f t="shared" si="329"/>
        <v>0</v>
      </c>
      <c r="GR204" s="109"/>
      <c r="GS204" s="109"/>
      <c r="GT204" s="111"/>
      <c r="GU204" s="111"/>
      <c r="GV204" s="165"/>
      <c r="GW204" s="168">
        <f t="shared" si="322"/>
        <v>0</v>
      </c>
      <c r="GX204" s="168">
        <f t="shared" si="330"/>
        <v>0</v>
      </c>
      <c r="GY204" s="168"/>
      <c r="GZ204" s="168"/>
      <c r="HA204" s="111"/>
      <c r="HB204" s="111"/>
      <c r="HC204" s="165"/>
      <c r="HD204" s="109">
        <f t="shared" si="323"/>
        <v>0</v>
      </c>
      <c r="HE204" s="109">
        <f t="shared" si="331"/>
        <v>0</v>
      </c>
      <c r="HF204" s="109"/>
      <c r="HG204" s="109"/>
      <c r="HH204" s="111"/>
      <c r="HI204" s="111"/>
      <c r="HJ204" s="165"/>
      <c r="HK204" s="109">
        <f t="shared" si="324"/>
        <v>0</v>
      </c>
      <c r="HL204" s="109">
        <f t="shared" si="332"/>
        <v>0</v>
      </c>
      <c r="HM204" s="109"/>
      <c r="HN204" s="109"/>
      <c r="HO204" s="111"/>
      <c r="HP204" s="111"/>
      <c r="HQ204" s="165"/>
      <c r="HR204" s="109">
        <f t="shared" si="325"/>
        <v>0</v>
      </c>
      <c r="HS204" s="109">
        <f t="shared" si="333"/>
        <v>0</v>
      </c>
      <c r="HT204" s="109"/>
      <c r="HU204" s="109"/>
      <c r="HV204" s="111"/>
      <c r="HW204" s="111"/>
      <c r="HX204" s="105">
        <f t="shared" si="351"/>
        <v>0</v>
      </c>
      <c r="HY204" s="105">
        <f t="shared" si="351"/>
        <v>0</v>
      </c>
      <c r="HZ204" s="105">
        <f t="shared" si="351"/>
        <v>0</v>
      </c>
      <c r="IA204" s="105">
        <f t="shared" si="345"/>
        <v>0</v>
      </c>
      <c r="IB204" s="109">
        <f t="shared" si="346"/>
        <v>0</v>
      </c>
      <c r="IC204" s="109">
        <f t="shared" si="347"/>
        <v>0</v>
      </c>
      <c r="ID204" s="109">
        <f t="shared" si="348"/>
        <v>0</v>
      </c>
      <c r="IE204" s="109">
        <f t="shared" si="349"/>
        <v>0</v>
      </c>
      <c r="IF204" s="197"/>
      <c r="IG204" s="197"/>
      <c r="IH204" s="197"/>
      <c r="II204" s="197"/>
      <c r="IJ204" s="197"/>
      <c r="IK204" s="197"/>
      <c r="IL204" s="197"/>
      <c r="IM204" s="171"/>
      <c r="IN204" s="171"/>
      <c r="IO204" s="171"/>
      <c r="IP204" s="171"/>
    </row>
    <row r="205" spans="1:250" ht="15" customHeight="1" x14ac:dyDescent="0.3">
      <c r="A205" s="110">
        <f t="shared" si="350"/>
        <v>201</v>
      </c>
      <c r="B205" s="111"/>
      <c r="C205" s="111"/>
      <c r="D205" s="111"/>
      <c r="E205" s="111"/>
      <c r="F205" s="111"/>
      <c r="G205" s="111"/>
      <c r="H205" s="111"/>
      <c r="I205" s="194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75"/>
      <c r="AI205" s="111"/>
      <c r="AJ205" s="111"/>
      <c r="AK205" s="111"/>
      <c r="AL205" s="177"/>
      <c r="AM205" s="176"/>
      <c r="AN205" s="177"/>
      <c r="AO205" s="157"/>
      <c r="AP205" s="158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  <c r="BJ205" s="111"/>
      <c r="BK205" s="111"/>
      <c r="BL205" s="175"/>
      <c r="BM205" s="111"/>
      <c r="BN205" s="111"/>
      <c r="BO205" s="111"/>
      <c r="BP205" s="111"/>
      <c r="BQ205" s="111"/>
      <c r="BR205" s="111"/>
      <c r="BS205" s="111"/>
      <c r="BT205" s="111"/>
      <c r="BU205" s="111"/>
      <c r="BV205" s="111"/>
      <c r="BW205" s="111"/>
      <c r="BX205" s="111"/>
      <c r="BY205" s="111"/>
      <c r="BZ205" s="111"/>
      <c r="CA205" s="111"/>
      <c r="CB205" s="111"/>
      <c r="CC205" s="178"/>
      <c r="CD205" s="177">
        <f t="shared" si="334"/>
        <v>0</v>
      </c>
      <c r="CE205" s="148"/>
      <c r="CF205" s="111">
        <f t="shared" si="335"/>
        <v>0</v>
      </c>
      <c r="CG205" s="177"/>
      <c r="CH205" s="204"/>
      <c r="CI205" s="148"/>
      <c r="CJ205" s="165"/>
      <c r="CK205" s="165"/>
      <c r="CL205" s="111"/>
      <c r="CM205" s="111"/>
      <c r="CN205" s="165">
        <f t="shared" si="336"/>
        <v>0</v>
      </c>
      <c r="CO205" s="109">
        <f t="shared" si="337"/>
        <v>0</v>
      </c>
      <c r="CP205" s="109">
        <f t="shared" si="338"/>
        <v>0</v>
      </c>
      <c r="CQ205" s="109"/>
      <c r="CR205" s="109"/>
      <c r="CS205" s="196"/>
      <c r="CT205" s="167"/>
      <c r="CU205" s="165"/>
      <c r="CV205" s="109">
        <f t="shared" si="339"/>
        <v>0</v>
      </c>
      <c r="CW205" s="109">
        <f t="shared" si="340"/>
        <v>0</v>
      </c>
      <c r="CX205" s="109"/>
      <c r="CY205" s="109"/>
      <c r="CZ205" s="111"/>
      <c r="DA205" s="111"/>
      <c r="DB205" s="165"/>
      <c r="DC205" s="109">
        <f t="shared" si="341"/>
        <v>0</v>
      </c>
      <c r="DD205" s="109">
        <f t="shared" si="342"/>
        <v>0</v>
      </c>
      <c r="DE205" s="109"/>
      <c r="DF205" s="109"/>
      <c r="DG205" s="111"/>
      <c r="DH205" s="111"/>
      <c r="DI205" s="165"/>
      <c r="DJ205" s="109">
        <f t="shared" si="343"/>
        <v>0</v>
      </c>
      <c r="DK205" s="109">
        <f t="shared" si="344"/>
        <v>0</v>
      </c>
      <c r="DL205" s="109"/>
      <c r="DM205" s="109"/>
      <c r="DN205" s="111"/>
      <c r="DO205" s="111"/>
      <c r="DP205" s="165"/>
      <c r="DQ205" s="109">
        <f t="shared" si="302"/>
        <v>0</v>
      </c>
      <c r="DR205" s="109">
        <f t="shared" si="303"/>
        <v>0</v>
      </c>
      <c r="DS205" s="109"/>
      <c r="DT205" s="109"/>
      <c r="DU205" s="111"/>
      <c r="DV205" s="111"/>
      <c r="DW205" s="165"/>
      <c r="DX205" s="109">
        <f t="shared" si="304"/>
        <v>0</v>
      </c>
      <c r="DY205" s="109">
        <f t="shared" si="305"/>
        <v>0</v>
      </c>
      <c r="DZ205" s="109"/>
      <c r="EA205" s="109"/>
      <c r="EB205" s="111"/>
      <c r="EC205" s="111"/>
      <c r="ED205" s="165"/>
      <c r="EE205" s="109">
        <f t="shared" si="306"/>
        <v>0</v>
      </c>
      <c r="EF205" s="109">
        <f t="shared" si="307"/>
        <v>0</v>
      </c>
      <c r="EG205" s="109"/>
      <c r="EH205" s="109"/>
      <c r="EI205" s="111"/>
      <c r="EJ205" s="111"/>
      <c r="EK205" s="165"/>
      <c r="EL205" s="109">
        <f t="shared" si="308"/>
        <v>0</v>
      </c>
      <c r="EM205" s="109">
        <f t="shared" si="309"/>
        <v>0</v>
      </c>
      <c r="EN205" s="109"/>
      <c r="EO205" s="109"/>
      <c r="EP205" s="111"/>
      <c r="EQ205" s="111"/>
      <c r="ER205" s="165"/>
      <c r="ES205" s="109">
        <f t="shared" si="310"/>
        <v>0</v>
      </c>
      <c r="ET205" s="109">
        <f t="shared" si="311"/>
        <v>0</v>
      </c>
      <c r="EU205" s="109"/>
      <c r="EV205" s="109"/>
      <c r="EW205" s="111"/>
      <c r="EX205" s="111"/>
      <c r="EY205" s="165"/>
      <c r="EZ205" s="109">
        <f t="shared" si="312"/>
        <v>0</v>
      </c>
      <c r="FA205" s="109">
        <f t="shared" si="313"/>
        <v>0</v>
      </c>
      <c r="FB205" s="109"/>
      <c r="FC205" s="109"/>
      <c r="FD205" s="111"/>
      <c r="FE205" s="111"/>
      <c r="FF205" s="165"/>
      <c r="FG205" s="109">
        <f t="shared" si="314"/>
        <v>0</v>
      </c>
      <c r="FH205" s="109">
        <f t="shared" si="315"/>
        <v>0</v>
      </c>
      <c r="FI205" s="109"/>
      <c r="FJ205" s="109"/>
      <c r="FK205" s="111"/>
      <c r="FL205" s="111"/>
      <c r="FM205" s="165"/>
      <c r="FN205" s="109">
        <f t="shared" si="316"/>
        <v>0</v>
      </c>
      <c r="FO205" s="109">
        <f t="shared" si="317"/>
        <v>0</v>
      </c>
      <c r="FP205" s="109"/>
      <c r="FQ205" s="109"/>
      <c r="FR205" s="111"/>
      <c r="FS205" s="111"/>
      <c r="FT205" s="165"/>
      <c r="FU205" s="109">
        <f t="shared" si="318"/>
        <v>0</v>
      </c>
      <c r="FV205" s="109">
        <f t="shared" si="326"/>
        <v>0</v>
      </c>
      <c r="FW205" s="109"/>
      <c r="FX205" s="109"/>
      <c r="FY205" s="111"/>
      <c r="FZ205" s="111"/>
      <c r="GA205" s="165"/>
      <c r="GB205" s="109">
        <f t="shared" si="319"/>
        <v>0</v>
      </c>
      <c r="GC205" s="109">
        <f t="shared" si="327"/>
        <v>0</v>
      </c>
      <c r="GD205" s="109"/>
      <c r="GE205" s="109"/>
      <c r="GF205" s="111"/>
      <c r="GG205" s="111"/>
      <c r="GH205" s="165"/>
      <c r="GI205" s="109">
        <f t="shared" si="320"/>
        <v>0</v>
      </c>
      <c r="GJ205" s="109">
        <f t="shared" si="328"/>
        <v>0</v>
      </c>
      <c r="GK205" s="109"/>
      <c r="GL205" s="109"/>
      <c r="GM205" s="111"/>
      <c r="GN205" s="111"/>
      <c r="GO205" s="165"/>
      <c r="GP205" s="109">
        <f t="shared" si="321"/>
        <v>0</v>
      </c>
      <c r="GQ205" s="109">
        <f t="shared" si="329"/>
        <v>0</v>
      </c>
      <c r="GR205" s="109"/>
      <c r="GS205" s="109"/>
      <c r="GT205" s="111"/>
      <c r="GU205" s="111"/>
      <c r="GV205" s="165"/>
      <c r="GW205" s="168">
        <f t="shared" si="322"/>
        <v>0</v>
      </c>
      <c r="GX205" s="168">
        <f t="shared" si="330"/>
        <v>0</v>
      </c>
      <c r="GY205" s="168"/>
      <c r="GZ205" s="168"/>
      <c r="HA205" s="111"/>
      <c r="HB205" s="111"/>
      <c r="HC205" s="165"/>
      <c r="HD205" s="109">
        <f t="shared" si="323"/>
        <v>0</v>
      </c>
      <c r="HE205" s="109">
        <f t="shared" si="331"/>
        <v>0</v>
      </c>
      <c r="HF205" s="109"/>
      <c r="HG205" s="109"/>
      <c r="HH205" s="111"/>
      <c r="HI205" s="111"/>
      <c r="HJ205" s="165"/>
      <c r="HK205" s="109">
        <f t="shared" si="324"/>
        <v>0</v>
      </c>
      <c r="HL205" s="109">
        <f t="shared" si="332"/>
        <v>0</v>
      </c>
      <c r="HM205" s="109"/>
      <c r="HN205" s="109"/>
      <c r="HO205" s="111"/>
      <c r="HP205" s="111"/>
      <c r="HQ205" s="165"/>
      <c r="HR205" s="109">
        <f t="shared" si="325"/>
        <v>0</v>
      </c>
      <c r="HS205" s="109">
        <f t="shared" si="333"/>
        <v>0</v>
      </c>
      <c r="HT205" s="109"/>
      <c r="HU205" s="109"/>
      <c r="HV205" s="111"/>
      <c r="HW205" s="111"/>
      <c r="HX205" s="105">
        <f t="shared" si="351"/>
        <v>0</v>
      </c>
      <c r="HY205" s="105">
        <f t="shared" si="351"/>
        <v>0</v>
      </c>
      <c r="HZ205" s="105">
        <f t="shared" si="351"/>
        <v>0</v>
      </c>
      <c r="IA205" s="105">
        <f t="shared" si="345"/>
        <v>0</v>
      </c>
      <c r="IB205" s="109">
        <f t="shared" si="346"/>
        <v>0</v>
      </c>
      <c r="IC205" s="109">
        <f t="shared" si="347"/>
        <v>0</v>
      </c>
      <c r="ID205" s="109">
        <f t="shared" si="348"/>
        <v>0</v>
      </c>
      <c r="IE205" s="109">
        <f t="shared" si="349"/>
        <v>0</v>
      </c>
      <c r="IF205" s="197"/>
      <c r="IG205" s="197"/>
      <c r="IH205" s="197"/>
      <c r="II205" s="197"/>
      <c r="IJ205" s="197"/>
      <c r="IK205" s="197"/>
      <c r="IL205" s="197"/>
      <c r="IM205" s="171"/>
      <c r="IN205" s="171"/>
      <c r="IO205" s="171"/>
      <c r="IP205" s="171"/>
    </row>
    <row r="206" spans="1:250" ht="15" customHeight="1" x14ac:dyDescent="0.3">
      <c r="A206" s="110">
        <f t="shared" si="350"/>
        <v>202</v>
      </c>
      <c r="B206" s="111"/>
      <c r="C206" s="111"/>
      <c r="D206" s="111"/>
      <c r="E206" s="111"/>
      <c r="F206" s="111"/>
      <c r="G206" s="111"/>
      <c r="H206" s="111"/>
      <c r="I206" s="194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75"/>
      <c r="AI206" s="111"/>
      <c r="AJ206" s="111"/>
      <c r="AK206" s="111"/>
      <c r="AL206" s="177"/>
      <c r="AM206" s="176"/>
      <c r="AN206" s="177"/>
      <c r="AO206" s="157"/>
      <c r="AP206" s="158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  <c r="BJ206" s="111"/>
      <c r="BK206" s="111"/>
      <c r="BL206" s="175"/>
      <c r="BM206" s="111"/>
      <c r="BN206" s="111"/>
      <c r="BO206" s="111"/>
      <c r="BP206" s="111"/>
      <c r="BQ206" s="111"/>
      <c r="BR206" s="111"/>
      <c r="BS206" s="111"/>
      <c r="BT206" s="111"/>
      <c r="BU206" s="111"/>
      <c r="BV206" s="111"/>
      <c r="BW206" s="111"/>
      <c r="BX206" s="111"/>
      <c r="BY206" s="111"/>
      <c r="BZ206" s="111"/>
      <c r="CA206" s="111"/>
      <c r="CB206" s="111"/>
      <c r="CC206" s="178"/>
      <c r="CD206" s="177">
        <f t="shared" si="334"/>
        <v>0</v>
      </c>
      <c r="CE206" s="148"/>
      <c r="CF206" s="111">
        <f t="shared" si="335"/>
        <v>0</v>
      </c>
      <c r="CG206" s="177"/>
      <c r="CH206" s="204"/>
      <c r="CI206" s="148"/>
      <c r="CJ206" s="165"/>
      <c r="CK206" s="165"/>
      <c r="CL206" s="111"/>
      <c r="CM206" s="111"/>
      <c r="CN206" s="165">
        <f t="shared" si="336"/>
        <v>0</v>
      </c>
      <c r="CO206" s="109">
        <f t="shared" si="337"/>
        <v>0</v>
      </c>
      <c r="CP206" s="109">
        <f t="shared" si="338"/>
        <v>0</v>
      </c>
      <c r="CQ206" s="109"/>
      <c r="CR206" s="109"/>
      <c r="CS206" s="196"/>
      <c r="CT206" s="167"/>
      <c r="CU206" s="165"/>
      <c r="CV206" s="109">
        <f t="shared" si="339"/>
        <v>0</v>
      </c>
      <c r="CW206" s="109">
        <f t="shared" si="340"/>
        <v>0</v>
      </c>
      <c r="CX206" s="109"/>
      <c r="CY206" s="109"/>
      <c r="CZ206" s="111"/>
      <c r="DA206" s="111"/>
      <c r="DB206" s="165"/>
      <c r="DC206" s="109">
        <f t="shared" si="341"/>
        <v>0</v>
      </c>
      <c r="DD206" s="109">
        <f t="shared" si="342"/>
        <v>0</v>
      </c>
      <c r="DE206" s="109"/>
      <c r="DF206" s="109"/>
      <c r="DG206" s="111"/>
      <c r="DH206" s="111"/>
      <c r="DI206" s="165"/>
      <c r="DJ206" s="109">
        <f t="shared" si="343"/>
        <v>0</v>
      </c>
      <c r="DK206" s="109">
        <f t="shared" si="344"/>
        <v>0</v>
      </c>
      <c r="DL206" s="109"/>
      <c r="DM206" s="109"/>
      <c r="DN206" s="111"/>
      <c r="DO206" s="111"/>
      <c r="DP206" s="165"/>
      <c r="DQ206" s="109">
        <f t="shared" si="302"/>
        <v>0</v>
      </c>
      <c r="DR206" s="109">
        <f t="shared" si="303"/>
        <v>0</v>
      </c>
      <c r="DS206" s="109"/>
      <c r="DT206" s="109"/>
      <c r="DU206" s="111"/>
      <c r="DV206" s="111"/>
      <c r="DW206" s="165"/>
      <c r="DX206" s="109">
        <f t="shared" si="304"/>
        <v>0</v>
      </c>
      <c r="DY206" s="109">
        <f t="shared" si="305"/>
        <v>0</v>
      </c>
      <c r="DZ206" s="109"/>
      <c r="EA206" s="109"/>
      <c r="EB206" s="111"/>
      <c r="EC206" s="111"/>
      <c r="ED206" s="165"/>
      <c r="EE206" s="109">
        <f t="shared" si="306"/>
        <v>0</v>
      </c>
      <c r="EF206" s="109">
        <f t="shared" si="307"/>
        <v>0</v>
      </c>
      <c r="EG206" s="109"/>
      <c r="EH206" s="109"/>
      <c r="EI206" s="111"/>
      <c r="EJ206" s="111"/>
      <c r="EK206" s="165"/>
      <c r="EL206" s="109">
        <f t="shared" si="308"/>
        <v>0</v>
      </c>
      <c r="EM206" s="109">
        <f t="shared" si="309"/>
        <v>0</v>
      </c>
      <c r="EN206" s="109"/>
      <c r="EO206" s="109"/>
      <c r="EP206" s="111"/>
      <c r="EQ206" s="111"/>
      <c r="ER206" s="165"/>
      <c r="ES206" s="109">
        <f t="shared" si="310"/>
        <v>0</v>
      </c>
      <c r="ET206" s="109">
        <f t="shared" si="311"/>
        <v>0</v>
      </c>
      <c r="EU206" s="109"/>
      <c r="EV206" s="109"/>
      <c r="EW206" s="111"/>
      <c r="EX206" s="111"/>
      <c r="EY206" s="165"/>
      <c r="EZ206" s="109">
        <f t="shared" si="312"/>
        <v>0</v>
      </c>
      <c r="FA206" s="109">
        <f t="shared" si="313"/>
        <v>0</v>
      </c>
      <c r="FB206" s="109"/>
      <c r="FC206" s="109"/>
      <c r="FD206" s="111"/>
      <c r="FE206" s="111"/>
      <c r="FF206" s="165"/>
      <c r="FG206" s="109">
        <f t="shared" si="314"/>
        <v>0</v>
      </c>
      <c r="FH206" s="109">
        <f t="shared" si="315"/>
        <v>0</v>
      </c>
      <c r="FI206" s="109"/>
      <c r="FJ206" s="109"/>
      <c r="FK206" s="111"/>
      <c r="FL206" s="111"/>
      <c r="FM206" s="165"/>
      <c r="FN206" s="109">
        <f t="shared" si="316"/>
        <v>0</v>
      </c>
      <c r="FO206" s="109">
        <f t="shared" si="317"/>
        <v>0</v>
      </c>
      <c r="FP206" s="109"/>
      <c r="FQ206" s="109"/>
      <c r="FR206" s="111"/>
      <c r="FS206" s="111"/>
      <c r="FT206" s="165"/>
      <c r="FU206" s="109">
        <f t="shared" si="318"/>
        <v>0</v>
      </c>
      <c r="FV206" s="109">
        <f t="shared" si="326"/>
        <v>0</v>
      </c>
      <c r="FW206" s="109"/>
      <c r="FX206" s="109"/>
      <c r="FY206" s="111"/>
      <c r="FZ206" s="111"/>
      <c r="GA206" s="165"/>
      <c r="GB206" s="109">
        <f t="shared" si="319"/>
        <v>0</v>
      </c>
      <c r="GC206" s="109">
        <f t="shared" si="327"/>
        <v>0</v>
      </c>
      <c r="GD206" s="109"/>
      <c r="GE206" s="109"/>
      <c r="GF206" s="111"/>
      <c r="GG206" s="111"/>
      <c r="GH206" s="165"/>
      <c r="GI206" s="109">
        <f t="shared" si="320"/>
        <v>0</v>
      </c>
      <c r="GJ206" s="109">
        <f t="shared" si="328"/>
        <v>0</v>
      </c>
      <c r="GK206" s="109"/>
      <c r="GL206" s="109"/>
      <c r="GM206" s="111"/>
      <c r="GN206" s="111"/>
      <c r="GO206" s="165"/>
      <c r="GP206" s="109">
        <f t="shared" si="321"/>
        <v>0</v>
      </c>
      <c r="GQ206" s="109">
        <f t="shared" si="329"/>
        <v>0</v>
      </c>
      <c r="GR206" s="109"/>
      <c r="GS206" s="109"/>
      <c r="GT206" s="111"/>
      <c r="GU206" s="111"/>
      <c r="GV206" s="165"/>
      <c r="GW206" s="168">
        <f t="shared" si="322"/>
        <v>0</v>
      </c>
      <c r="GX206" s="168">
        <f t="shared" si="330"/>
        <v>0</v>
      </c>
      <c r="GY206" s="168"/>
      <c r="GZ206" s="168"/>
      <c r="HA206" s="111"/>
      <c r="HB206" s="111"/>
      <c r="HC206" s="165"/>
      <c r="HD206" s="109">
        <f t="shared" si="323"/>
        <v>0</v>
      </c>
      <c r="HE206" s="109">
        <f t="shared" si="331"/>
        <v>0</v>
      </c>
      <c r="HF206" s="109"/>
      <c r="HG206" s="109"/>
      <c r="HH206" s="111"/>
      <c r="HI206" s="111"/>
      <c r="HJ206" s="165"/>
      <c r="HK206" s="109">
        <f t="shared" si="324"/>
        <v>0</v>
      </c>
      <c r="HL206" s="109">
        <f t="shared" si="332"/>
        <v>0</v>
      </c>
      <c r="HM206" s="109"/>
      <c r="HN206" s="109"/>
      <c r="HO206" s="111"/>
      <c r="HP206" s="111"/>
      <c r="HQ206" s="165"/>
      <c r="HR206" s="109">
        <f t="shared" si="325"/>
        <v>0</v>
      </c>
      <c r="HS206" s="109">
        <f t="shared" si="333"/>
        <v>0</v>
      </c>
      <c r="HT206" s="109"/>
      <c r="HU206" s="109"/>
      <c r="HV206" s="111"/>
      <c r="HW206" s="111"/>
      <c r="HX206" s="105">
        <f t="shared" si="351"/>
        <v>0</v>
      </c>
      <c r="HY206" s="105">
        <f t="shared" si="351"/>
        <v>0</v>
      </c>
      <c r="HZ206" s="105">
        <f t="shared" si="351"/>
        <v>0</v>
      </c>
      <c r="IA206" s="105">
        <f t="shared" si="345"/>
        <v>0</v>
      </c>
      <c r="IB206" s="109">
        <f t="shared" si="346"/>
        <v>0</v>
      </c>
      <c r="IC206" s="109">
        <f t="shared" si="347"/>
        <v>0</v>
      </c>
      <c r="ID206" s="109">
        <f t="shared" si="348"/>
        <v>0</v>
      </c>
      <c r="IE206" s="109">
        <f t="shared" si="349"/>
        <v>0</v>
      </c>
      <c r="IF206" s="197"/>
      <c r="IG206" s="197"/>
      <c r="IH206" s="197"/>
      <c r="II206" s="197"/>
      <c r="IJ206" s="197"/>
      <c r="IK206" s="197"/>
      <c r="IL206" s="197"/>
      <c r="IM206" s="171"/>
      <c r="IN206" s="171"/>
      <c r="IO206" s="171"/>
      <c r="IP206" s="171"/>
    </row>
    <row r="207" spans="1:250" ht="15" customHeight="1" x14ac:dyDescent="0.3">
      <c r="A207" s="110">
        <f t="shared" si="350"/>
        <v>203</v>
      </c>
      <c r="B207" s="111"/>
      <c r="C207" s="111"/>
      <c r="D207" s="111"/>
      <c r="E207" s="111"/>
      <c r="F207" s="111"/>
      <c r="G207" s="111"/>
      <c r="H207" s="111"/>
      <c r="I207" s="194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75"/>
      <c r="AI207" s="111"/>
      <c r="AJ207" s="111"/>
      <c r="AK207" s="111"/>
      <c r="AL207" s="177"/>
      <c r="AM207" s="176"/>
      <c r="AN207" s="177"/>
      <c r="AO207" s="157"/>
      <c r="AP207" s="158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75"/>
      <c r="BM207" s="111"/>
      <c r="BN207" s="111"/>
      <c r="BO207" s="111"/>
      <c r="BP207" s="111"/>
      <c r="BQ207" s="111"/>
      <c r="BR207" s="111"/>
      <c r="BS207" s="111"/>
      <c r="BT207" s="111"/>
      <c r="BU207" s="111"/>
      <c r="BV207" s="111"/>
      <c r="BW207" s="111"/>
      <c r="BX207" s="111"/>
      <c r="BY207" s="111"/>
      <c r="BZ207" s="111"/>
      <c r="CA207" s="111"/>
      <c r="CB207" s="111"/>
      <c r="CC207" s="178"/>
      <c r="CD207" s="177">
        <f t="shared" si="334"/>
        <v>0</v>
      </c>
      <c r="CE207" s="148"/>
      <c r="CF207" s="111">
        <f t="shared" si="335"/>
        <v>0</v>
      </c>
      <c r="CG207" s="177"/>
      <c r="CH207" s="204"/>
      <c r="CI207" s="148"/>
      <c r="CJ207" s="165"/>
      <c r="CK207" s="165"/>
      <c r="CL207" s="111"/>
      <c r="CM207" s="111"/>
      <c r="CN207" s="165">
        <f t="shared" si="336"/>
        <v>0</v>
      </c>
      <c r="CO207" s="109">
        <f t="shared" si="337"/>
        <v>0</v>
      </c>
      <c r="CP207" s="109">
        <f t="shared" si="338"/>
        <v>0</v>
      </c>
      <c r="CQ207" s="109"/>
      <c r="CR207" s="109"/>
      <c r="CS207" s="196"/>
      <c r="CT207" s="167"/>
      <c r="CU207" s="165"/>
      <c r="CV207" s="109">
        <f t="shared" si="339"/>
        <v>0</v>
      </c>
      <c r="CW207" s="109">
        <f t="shared" si="340"/>
        <v>0</v>
      </c>
      <c r="CX207" s="109"/>
      <c r="CY207" s="109"/>
      <c r="CZ207" s="111"/>
      <c r="DA207" s="111"/>
      <c r="DB207" s="165"/>
      <c r="DC207" s="109">
        <f t="shared" si="341"/>
        <v>0</v>
      </c>
      <c r="DD207" s="109">
        <f t="shared" si="342"/>
        <v>0</v>
      </c>
      <c r="DE207" s="109"/>
      <c r="DF207" s="109"/>
      <c r="DG207" s="111"/>
      <c r="DH207" s="111"/>
      <c r="DI207" s="165"/>
      <c r="DJ207" s="109">
        <f t="shared" si="343"/>
        <v>0</v>
      </c>
      <c r="DK207" s="109">
        <f t="shared" si="344"/>
        <v>0</v>
      </c>
      <c r="DL207" s="109"/>
      <c r="DM207" s="109"/>
      <c r="DN207" s="111"/>
      <c r="DO207" s="111"/>
      <c r="DP207" s="165"/>
      <c r="DQ207" s="109">
        <f t="shared" si="302"/>
        <v>0</v>
      </c>
      <c r="DR207" s="109">
        <f t="shared" si="303"/>
        <v>0</v>
      </c>
      <c r="DS207" s="109"/>
      <c r="DT207" s="109"/>
      <c r="DU207" s="111"/>
      <c r="DV207" s="111"/>
      <c r="DW207" s="165"/>
      <c r="DX207" s="109">
        <f t="shared" si="304"/>
        <v>0</v>
      </c>
      <c r="DY207" s="109">
        <f t="shared" si="305"/>
        <v>0</v>
      </c>
      <c r="DZ207" s="109"/>
      <c r="EA207" s="109"/>
      <c r="EB207" s="111"/>
      <c r="EC207" s="111"/>
      <c r="ED207" s="165"/>
      <c r="EE207" s="109">
        <f t="shared" si="306"/>
        <v>0</v>
      </c>
      <c r="EF207" s="109">
        <f t="shared" si="307"/>
        <v>0</v>
      </c>
      <c r="EG207" s="109"/>
      <c r="EH207" s="109"/>
      <c r="EI207" s="111"/>
      <c r="EJ207" s="111"/>
      <c r="EK207" s="165"/>
      <c r="EL207" s="109">
        <f t="shared" si="308"/>
        <v>0</v>
      </c>
      <c r="EM207" s="109">
        <f t="shared" si="309"/>
        <v>0</v>
      </c>
      <c r="EN207" s="109"/>
      <c r="EO207" s="109"/>
      <c r="EP207" s="111"/>
      <c r="EQ207" s="111"/>
      <c r="ER207" s="165"/>
      <c r="ES207" s="109">
        <f t="shared" si="310"/>
        <v>0</v>
      </c>
      <c r="ET207" s="109">
        <f t="shared" si="311"/>
        <v>0</v>
      </c>
      <c r="EU207" s="109"/>
      <c r="EV207" s="109"/>
      <c r="EW207" s="111"/>
      <c r="EX207" s="111"/>
      <c r="EY207" s="165"/>
      <c r="EZ207" s="109">
        <f t="shared" si="312"/>
        <v>0</v>
      </c>
      <c r="FA207" s="109">
        <f t="shared" si="313"/>
        <v>0</v>
      </c>
      <c r="FB207" s="109"/>
      <c r="FC207" s="109"/>
      <c r="FD207" s="111"/>
      <c r="FE207" s="111"/>
      <c r="FF207" s="165"/>
      <c r="FG207" s="109">
        <f t="shared" si="314"/>
        <v>0</v>
      </c>
      <c r="FH207" s="109">
        <f t="shared" si="315"/>
        <v>0</v>
      </c>
      <c r="FI207" s="109"/>
      <c r="FJ207" s="109"/>
      <c r="FK207" s="111"/>
      <c r="FL207" s="111"/>
      <c r="FM207" s="165"/>
      <c r="FN207" s="109">
        <f t="shared" si="316"/>
        <v>0</v>
      </c>
      <c r="FO207" s="109">
        <f t="shared" si="317"/>
        <v>0</v>
      </c>
      <c r="FP207" s="109"/>
      <c r="FQ207" s="109"/>
      <c r="FR207" s="111"/>
      <c r="FS207" s="111"/>
      <c r="FT207" s="165"/>
      <c r="FU207" s="109">
        <f t="shared" si="318"/>
        <v>0</v>
      </c>
      <c r="FV207" s="109">
        <f t="shared" si="326"/>
        <v>0</v>
      </c>
      <c r="FW207" s="109"/>
      <c r="FX207" s="109"/>
      <c r="FY207" s="111"/>
      <c r="FZ207" s="111"/>
      <c r="GA207" s="165"/>
      <c r="GB207" s="109">
        <f t="shared" si="319"/>
        <v>0</v>
      </c>
      <c r="GC207" s="109">
        <f t="shared" si="327"/>
        <v>0</v>
      </c>
      <c r="GD207" s="109"/>
      <c r="GE207" s="109"/>
      <c r="GF207" s="111"/>
      <c r="GG207" s="111"/>
      <c r="GH207" s="165"/>
      <c r="GI207" s="109">
        <f t="shared" si="320"/>
        <v>0</v>
      </c>
      <c r="GJ207" s="109">
        <f t="shared" si="328"/>
        <v>0</v>
      </c>
      <c r="GK207" s="109"/>
      <c r="GL207" s="109"/>
      <c r="GM207" s="111"/>
      <c r="GN207" s="111"/>
      <c r="GO207" s="165"/>
      <c r="GP207" s="109">
        <f t="shared" si="321"/>
        <v>0</v>
      </c>
      <c r="GQ207" s="109">
        <f t="shared" si="329"/>
        <v>0</v>
      </c>
      <c r="GR207" s="109"/>
      <c r="GS207" s="109"/>
      <c r="GT207" s="111"/>
      <c r="GU207" s="111"/>
      <c r="GV207" s="165"/>
      <c r="GW207" s="168">
        <f t="shared" si="322"/>
        <v>0</v>
      </c>
      <c r="GX207" s="168">
        <f t="shared" si="330"/>
        <v>0</v>
      </c>
      <c r="GY207" s="168"/>
      <c r="GZ207" s="168"/>
      <c r="HA207" s="111"/>
      <c r="HB207" s="111"/>
      <c r="HC207" s="165"/>
      <c r="HD207" s="109">
        <f t="shared" si="323"/>
        <v>0</v>
      </c>
      <c r="HE207" s="109">
        <f t="shared" si="331"/>
        <v>0</v>
      </c>
      <c r="HF207" s="109"/>
      <c r="HG207" s="109"/>
      <c r="HH207" s="111"/>
      <c r="HI207" s="111"/>
      <c r="HJ207" s="165"/>
      <c r="HK207" s="109">
        <f t="shared" si="324"/>
        <v>0</v>
      </c>
      <c r="HL207" s="109">
        <f t="shared" si="332"/>
        <v>0</v>
      </c>
      <c r="HM207" s="109"/>
      <c r="HN207" s="109"/>
      <c r="HO207" s="111"/>
      <c r="HP207" s="111"/>
      <c r="HQ207" s="165"/>
      <c r="HR207" s="109">
        <f t="shared" si="325"/>
        <v>0</v>
      </c>
      <c r="HS207" s="109">
        <f t="shared" si="333"/>
        <v>0</v>
      </c>
      <c r="HT207" s="109"/>
      <c r="HU207" s="109"/>
      <c r="HV207" s="111"/>
      <c r="HW207" s="111"/>
      <c r="HX207" s="105">
        <f t="shared" si="351"/>
        <v>0</v>
      </c>
      <c r="HY207" s="105">
        <f t="shared" si="351"/>
        <v>0</v>
      </c>
      <c r="HZ207" s="105">
        <f t="shared" si="351"/>
        <v>0</v>
      </c>
      <c r="IA207" s="105">
        <f t="shared" si="345"/>
        <v>0</v>
      </c>
      <c r="IB207" s="109">
        <f t="shared" si="346"/>
        <v>0</v>
      </c>
      <c r="IC207" s="109">
        <f t="shared" si="347"/>
        <v>0</v>
      </c>
      <c r="ID207" s="109">
        <f t="shared" si="348"/>
        <v>0</v>
      </c>
      <c r="IE207" s="109">
        <f t="shared" si="349"/>
        <v>0</v>
      </c>
      <c r="IF207" s="197"/>
      <c r="IG207" s="197"/>
      <c r="IH207" s="197"/>
      <c r="II207" s="197"/>
      <c r="IJ207" s="197"/>
      <c r="IK207" s="197"/>
      <c r="IL207" s="197"/>
      <c r="IM207" s="171"/>
      <c r="IN207" s="171"/>
      <c r="IO207" s="171"/>
      <c r="IP207" s="171"/>
    </row>
    <row r="208" spans="1:250" ht="15" customHeight="1" x14ac:dyDescent="0.3">
      <c r="A208" s="110">
        <f t="shared" si="350"/>
        <v>204</v>
      </c>
      <c r="B208" s="111"/>
      <c r="C208" s="111"/>
      <c r="D208" s="111"/>
      <c r="E208" s="111"/>
      <c r="F208" s="111"/>
      <c r="G208" s="111"/>
      <c r="H208" s="111"/>
      <c r="I208" s="194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75"/>
      <c r="AI208" s="111"/>
      <c r="AJ208" s="111"/>
      <c r="AK208" s="111"/>
      <c r="AL208" s="177"/>
      <c r="AM208" s="176"/>
      <c r="AN208" s="177"/>
      <c r="AO208" s="157"/>
      <c r="AP208" s="158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  <c r="BJ208" s="111"/>
      <c r="BK208" s="111"/>
      <c r="BL208" s="175"/>
      <c r="BM208" s="111"/>
      <c r="BN208" s="111"/>
      <c r="BO208" s="111"/>
      <c r="BP208" s="111"/>
      <c r="BQ208" s="111"/>
      <c r="BR208" s="111"/>
      <c r="BS208" s="111"/>
      <c r="BT208" s="111"/>
      <c r="BU208" s="111"/>
      <c r="BV208" s="111"/>
      <c r="BW208" s="111"/>
      <c r="BX208" s="111"/>
      <c r="BY208" s="111"/>
      <c r="BZ208" s="111"/>
      <c r="CA208" s="111"/>
      <c r="CB208" s="111"/>
      <c r="CC208" s="178"/>
      <c r="CD208" s="177">
        <f t="shared" si="334"/>
        <v>0</v>
      </c>
      <c r="CE208" s="148"/>
      <c r="CF208" s="111">
        <f t="shared" si="335"/>
        <v>0</v>
      </c>
      <c r="CG208" s="177"/>
      <c r="CH208" s="204"/>
      <c r="CI208" s="148"/>
      <c r="CJ208" s="165"/>
      <c r="CK208" s="165"/>
      <c r="CL208" s="111"/>
      <c r="CM208" s="111"/>
      <c r="CN208" s="165">
        <f t="shared" si="336"/>
        <v>0</v>
      </c>
      <c r="CO208" s="109">
        <f t="shared" si="337"/>
        <v>0</v>
      </c>
      <c r="CP208" s="109">
        <f t="shared" si="338"/>
        <v>0</v>
      </c>
      <c r="CQ208" s="109"/>
      <c r="CR208" s="109"/>
      <c r="CS208" s="196"/>
      <c r="CT208" s="167"/>
      <c r="CU208" s="165"/>
      <c r="CV208" s="109">
        <f t="shared" si="339"/>
        <v>0</v>
      </c>
      <c r="CW208" s="109">
        <f t="shared" si="340"/>
        <v>0</v>
      </c>
      <c r="CX208" s="109"/>
      <c r="CY208" s="109"/>
      <c r="CZ208" s="111"/>
      <c r="DA208" s="111"/>
      <c r="DB208" s="165"/>
      <c r="DC208" s="109">
        <f t="shared" si="341"/>
        <v>0</v>
      </c>
      <c r="DD208" s="109">
        <f t="shared" si="342"/>
        <v>0</v>
      </c>
      <c r="DE208" s="109"/>
      <c r="DF208" s="109"/>
      <c r="DG208" s="111"/>
      <c r="DH208" s="111"/>
      <c r="DI208" s="165"/>
      <c r="DJ208" s="109">
        <f t="shared" si="343"/>
        <v>0</v>
      </c>
      <c r="DK208" s="109">
        <f t="shared" si="344"/>
        <v>0</v>
      </c>
      <c r="DL208" s="109"/>
      <c r="DM208" s="109"/>
      <c r="DN208" s="111"/>
      <c r="DO208" s="111"/>
      <c r="DP208" s="165"/>
      <c r="DQ208" s="109">
        <f t="shared" si="302"/>
        <v>0</v>
      </c>
      <c r="DR208" s="109">
        <f t="shared" si="303"/>
        <v>0</v>
      </c>
      <c r="DS208" s="109"/>
      <c r="DT208" s="109"/>
      <c r="DU208" s="111"/>
      <c r="DV208" s="111"/>
      <c r="DW208" s="165"/>
      <c r="DX208" s="109">
        <f t="shared" si="304"/>
        <v>0</v>
      </c>
      <c r="DY208" s="109">
        <f t="shared" si="305"/>
        <v>0</v>
      </c>
      <c r="DZ208" s="109"/>
      <c r="EA208" s="109"/>
      <c r="EB208" s="111"/>
      <c r="EC208" s="111"/>
      <c r="ED208" s="165"/>
      <c r="EE208" s="109">
        <f t="shared" si="306"/>
        <v>0</v>
      </c>
      <c r="EF208" s="109">
        <f t="shared" si="307"/>
        <v>0</v>
      </c>
      <c r="EG208" s="109"/>
      <c r="EH208" s="109"/>
      <c r="EI208" s="111"/>
      <c r="EJ208" s="111"/>
      <c r="EK208" s="165"/>
      <c r="EL208" s="109">
        <f t="shared" si="308"/>
        <v>0</v>
      </c>
      <c r="EM208" s="109">
        <f t="shared" si="309"/>
        <v>0</v>
      </c>
      <c r="EN208" s="109"/>
      <c r="EO208" s="109"/>
      <c r="EP208" s="111"/>
      <c r="EQ208" s="111"/>
      <c r="ER208" s="165"/>
      <c r="ES208" s="109">
        <f t="shared" si="310"/>
        <v>0</v>
      </c>
      <c r="ET208" s="109">
        <f t="shared" si="311"/>
        <v>0</v>
      </c>
      <c r="EU208" s="109"/>
      <c r="EV208" s="109"/>
      <c r="EW208" s="111"/>
      <c r="EX208" s="111"/>
      <c r="EY208" s="165"/>
      <c r="EZ208" s="109">
        <f t="shared" si="312"/>
        <v>0</v>
      </c>
      <c r="FA208" s="109">
        <f t="shared" si="313"/>
        <v>0</v>
      </c>
      <c r="FB208" s="109"/>
      <c r="FC208" s="109"/>
      <c r="FD208" s="111"/>
      <c r="FE208" s="111"/>
      <c r="FF208" s="165"/>
      <c r="FG208" s="109">
        <f t="shared" si="314"/>
        <v>0</v>
      </c>
      <c r="FH208" s="109">
        <f t="shared" si="315"/>
        <v>0</v>
      </c>
      <c r="FI208" s="109"/>
      <c r="FJ208" s="109"/>
      <c r="FK208" s="111"/>
      <c r="FL208" s="111"/>
      <c r="FM208" s="165"/>
      <c r="FN208" s="109">
        <f t="shared" si="316"/>
        <v>0</v>
      </c>
      <c r="FO208" s="109">
        <f t="shared" si="317"/>
        <v>0</v>
      </c>
      <c r="FP208" s="109"/>
      <c r="FQ208" s="109"/>
      <c r="FR208" s="111"/>
      <c r="FS208" s="111"/>
      <c r="FT208" s="165"/>
      <c r="FU208" s="109">
        <f t="shared" si="318"/>
        <v>0</v>
      </c>
      <c r="FV208" s="109">
        <f t="shared" si="326"/>
        <v>0</v>
      </c>
      <c r="FW208" s="109"/>
      <c r="FX208" s="109"/>
      <c r="FY208" s="111"/>
      <c r="FZ208" s="111"/>
      <c r="GA208" s="165"/>
      <c r="GB208" s="109">
        <f t="shared" si="319"/>
        <v>0</v>
      </c>
      <c r="GC208" s="109">
        <f t="shared" si="327"/>
        <v>0</v>
      </c>
      <c r="GD208" s="109"/>
      <c r="GE208" s="109"/>
      <c r="GF208" s="111"/>
      <c r="GG208" s="111"/>
      <c r="GH208" s="165"/>
      <c r="GI208" s="109">
        <f t="shared" si="320"/>
        <v>0</v>
      </c>
      <c r="GJ208" s="109">
        <f t="shared" si="328"/>
        <v>0</v>
      </c>
      <c r="GK208" s="109"/>
      <c r="GL208" s="109"/>
      <c r="GM208" s="111"/>
      <c r="GN208" s="111"/>
      <c r="GO208" s="165"/>
      <c r="GP208" s="109">
        <f t="shared" si="321"/>
        <v>0</v>
      </c>
      <c r="GQ208" s="109">
        <f t="shared" si="329"/>
        <v>0</v>
      </c>
      <c r="GR208" s="109"/>
      <c r="GS208" s="109"/>
      <c r="GT208" s="111"/>
      <c r="GU208" s="111"/>
      <c r="GV208" s="165"/>
      <c r="GW208" s="168">
        <f t="shared" si="322"/>
        <v>0</v>
      </c>
      <c r="GX208" s="168">
        <f t="shared" si="330"/>
        <v>0</v>
      </c>
      <c r="GY208" s="168"/>
      <c r="GZ208" s="168"/>
      <c r="HA208" s="111"/>
      <c r="HB208" s="111"/>
      <c r="HC208" s="165"/>
      <c r="HD208" s="109">
        <f t="shared" si="323"/>
        <v>0</v>
      </c>
      <c r="HE208" s="109">
        <f t="shared" si="331"/>
        <v>0</v>
      </c>
      <c r="HF208" s="109"/>
      <c r="HG208" s="109"/>
      <c r="HH208" s="111"/>
      <c r="HI208" s="111"/>
      <c r="HJ208" s="165"/>
      <c r="HK208" s="109">
        <f t="shared" si="324"/>
        <v>0</v>
      </c>
      <c r="HL208" s="109">
        <f t="shared" si="332"/>
        <v>0</v>
      </c>
      <c r="HM208" s="109"/>
      <c r="HN208" s="109"/>
      <c r="HO208" s="111"/>
      <c r="HP208" s="111"/>
      <c r="HQ208" s="165"/>
      <c r="HR208" s="109">
        <f t="shared" si="325"/>
        <v>0</v>
      </c>
      <c r="HS208" s="109">
        <f t="shared" si="333"/>
        <v>0</v>
      </c>
      <c r="HT208" s="109"/>
      <c r="HU208" s="109"/>
      <c r="HV208" s="111"/>
      <c r="HW208" s="111"/>
      <c r="HX208" s="105">
        <f t="shared" si="351"/>
        <v>0</v>
      </c>
      <c r="HY208" s="105">
        <f t="shared" si="351"/>
        <v>0</v>
      </c>
      <c r="HZ208" s="105">
        <f t="shared" si="351"/>
        <v>0</v>
      </c>
      <c r="IA208" s="105">
        <f t="shared" si="345"/>
        <v>0</v>
      </c>
      <c r="IB208" s="109">
        <f t="shared" si="346"/>
        <v>0</v>
      </c>
      <c r="IC208" s="109">
        <f t="shared" si="347"/>
        <v>0</v>
      </c>
      <c r="ID208" s="109">
        <f t="shared" si="348"/>
        <v>0</v>
      </c>
      <c r="IE208" s="109">
        <f t="shared" si="349"/>
        <v>0</v>
      </c>
      <c r="IF208" s="197"/>
      <c r="IG208" s="197"/>
      <c r="IH208" s="197"/>
      <c r="II208" s="197"/>
      <c r="IJ208" s="197"/>
      <c r="IK208" s="197"/>
      <c r="IL208" s="197"/>
      <c r="IM208" s="171"/>
      <c r="IN208" s="171"/>
      <c r="IO208" s="171"/>
      <c r="IP208" s="171"/>
    </row>
    <row r="209" spans="1:250" ht="15" customHeight="1" x14ac:dyDescent="0.3">
      <c r="A209" s="110">
        <f t="shared" si="350"/>
        <v>205</v>
      </c>
      <c r="B209" s="111"/>
      <c r="C209" s="111"/>
      <c r="D209" s="111"/>
      <c r="E209" s="111"/>
      <c r="F209" s="111"/>
      <c r="G209" s="111"/>
      <c r="H209" s="111"/>
      <c r="I209" s="194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75"/>
      <c r="AI209" s="111"/>
      <c r="AJ209" s="111"/>
      <c r="AK209" s="111"/>
      <c r="AL209" s="177"/>
      <c r="AM209" s="176"/>
      <c r="AN209" s="177"/>
      <c r="AO209" s="157"/>
      <c r="AP209" s="158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75"/>
      <c r="BM209" s="111"/>
      <c r="BN209" s="111"/>
      <c r="BO209" s="111"/>
      <c r="BP209" s="111"/>
      <c r="BQ209" s="111"/>
      <c r="BR209" s="111"/>
      <c r="BS209" s="111"/>
      <c r="BT209" s="111"/>
      <c r="BU209" s="111"/>
      <c r="BV209" s="111"/>
      <c r="BW209" s="111"/>
      <c r="BX209" s="111"/>
      <c r="BY209" s="111"/>
      <c r="BZ209" s="111"/>
      <c r="CA209" s="111"/>
      <c r="CB209" s="111"/>
      <c r="CC209" s="178"/>
      <c r="CD209" s="177">
        <f t="shared" si="334"/>
        <v>0</v>
      </c>
      <c r="CE209" s="148"/>
      <c r="CF209" s="111">
        <f t="shared" si="335"/>
        <v>0</v>
      </c>
      <c r="CG209" s="177"/>
      <c r="CH209" s="204"/>
      <c r="CI209" s="148"/>
      <c r="CJ209" s="165"/>
      <c r="CK209" s="165"/>
      <c r="CL209" s="111"/>
      <c r="CM209" s="111"/>
      <c r="CN209" s="165">
        <f t="shared" si="336"/>
        <v>0</v>
      </c>
      <c r="CO209" s="109">
        <f t="shared" si="337"/>
        <v>0</v>
      </c>
      <c r="CP209" s="109">
        <f t="shared" si="338"/>
        <v>0</v>
      </c>
      <c r="CQ209" s="109"/>
      <c r="CR209" s="109"/>
      <c r="CS209" s="196"/>
      <c r="CT209" s="167"/>
      <c r="CU209" s="165"/>
      <c r="CV209" s="109">
        <f t="shared" si="339"/>
        <v>0</v>
      </c>
      <c r="CW209" s="109">
        <f t="shared" si="340"/>
        <v>0</v>
      </c>
      <c r="CX209" s="109"/>
      <c r="CY209" s="109"/>
      <c r="CZ209" s="111"/>
      <c r="DA209" s="111"/>
      <c r="DB209" s="165"/>
      <c r="DC209" s="109">
        <f t="shared" si="341"/>
        <v>0</v>
      </c>
      <c r="DD209" s="109">
        <f t="shared" si="342"/>
        <v>0</v>
      </c>
      <c r="DE209" s="109"/>
      <c r="DF209" s="109"/>
      <c r="DG209" s="111"/>
      <c r="DH209" s="111"/>
      <c r="DI209" s="165"/>
      <c r="DJ209" s="109">
        <f t="shared" si="343"/>
        <v>0</v>
      </c>
      <c r="DK209" s="109">
        <f t="shared" si="344"/>
        <v>0</v>
      </c>
      <c r="DL209" s="109"/>
      <c r="DM209" s="109"/>
      <c r="DN209" s="111"/>
      <c r="DO209" s="111"/>
      <c r="DP209" s="165"/>
      <c r="DQ209" s="109">
        <f t="shared" si="302"/>
        <v>0</v>
      </c>
      <c r="DR209" s="109">
        <f t="shared" si="303"/>
        <v>0</v>
      </c>
      <c r="DS209" s="109"/>
      <c r="DT209" s="109"/>
      <c r="DU209" s="111"/>
      <c r="DV209" s="111"/>
      <c r="DW209" s="165"/>
      <c r="DX209" s="109">
        <f t="shared" si="304"/>
        <v>0</v>
      </c>
      <c r="DY209" s="109">
        <f t="shared" si="305"/>
        <v>0</v>
      </c>
      <c r="DZ209" s="109"/>
      <c r="EA209" s="109"/>
      <c r="EB209" s="111"/>
      <c r="EC209" s="111"/>
      <c r="ED209" s="165"/>
      <c r="EE209" s="109">
        <f t="shared" si="306"/>
        <v>0</v>
      </c>
      <c r="EF209" s="109">
        <f t="shared" si="307"/>
        <v>0</v>
      </c>
      <c r="EG209" s="109"/>
      <c r="EH209" s="109"/>
      <c r="EI209" s="111"/>
      <c r="EJ209" s="111"/>
      <c r="EK209" s="165"/>
      <c r="EL209" s="109">
        <f t="shared" si="308"/>
        <v>0</v>
      </c>
      <c r="EM209" s="109">
        <f t="shared" si="309"/>
        <v>0</v>
      </c>
      <c r="EN209" s="109"/>
      <c r="EO209" s="109"/>
      <c r="EP209" s="111"/>
      <c r="EQ209" s="111"/>
      <c r="ER209" s="165"/>
      <c r="ES209" s="109">
        <f t="shared" si="310"/>
        <v>0</v>
      </c>
      <c r="ET209" s="109">
        <f t="shared" si="311"/>
        <v>0</v>
      </c>
      <c r="EU209" s="109"/>
      <c r="EV209" s="109"/>
      <c r="EW209" s="111"/>
      <c r="EX209" s="111"/>
      <c r="EY209" s="165"/>
      <c r="EZ209" s="109">
        <f t="shared" si="312"/>
        <v>0</v>
      </c>
      <c r="FA209" s="109">
        <f t="shared" si="313"/>
        <v>0</v>
      </c>
      <c r="FB209" s="109"/>
      <c r="FC209" s="109"/>
      <c r="FD209" s="111"/>
      <c r="FE209" s="111"/>
      <c r="FF209" s="165"/>
      <c r="FG209" s="109">
        <f t="shared" si="314"/>
        <v>0</v>
      </c>
      <c r="FH209" s="109">
        <f t="shared" si="315"/>
        <v>0</v>
      </c>
      <c r="FI209" s="109"/>
      <c r="FJ209" s="109"/>
      <c r="FK209" s="111"/>
      <c r="FL209" s="111"/>
      <c r="FM209" s="165"/>
      <c r="FN209" s="109">
        <f t="shared" si="316"/>
        <v>0</v>
      </c>
      <c r="FO209" s="109">
        <f t="shared" si="317"/>
        <v>0</v>
      </c>
      <c r="FP209" s="109"/>
      <c r="FQ209" s="109"/>
      <c r="FR209" s="111"/>
      <c r="FS209" s="111"/>
      <c r="FT209" s="165"/>
      <c r="FU209" s="109">
        <f t="shared" si="318"/>
        <v>0</v>
      </c>
      <c r="FV209" s="109">
        <f t="shared" si="326"/>
        <v>0</v>
      </c>
      <c r="FW209" s="109"/>
      <c r="FX209" s="109"/>
      <c r="FY209" s="111"/>
      <c r="FZ209" s="111"/>
      <c r="GA209" s="165"/>
      <c r="GB209" s="109">
        <f t="shared" si="319"/>
        <v>0</v>
      </c>
      <c r="GC209" s="109">
        <f t="shared" si="327"/>
        <v>0</v>
      </c>
      <c r="GD209" s="109"/>
      <c r="GE209" s="109"/>
      <c r="GF209" s="111"/>
      <c r="GG209" s="111"/>
      <c r="GH209" s="165"/>
      <c r="GI209" s="109">
        <f t="shared" si="320"/>
        <v>0</v>
      </c>
      <c r="GJ209" s="109">
        <f t="shared" si="328"/>
        <v>0</v>
      </c>
      <c r="GK209" s="109"/>
      <c r="GL209" s="109"/>
      <c r="GM209" s="111"/>
      <c r="GN209" s="111"/>
      <c r="GO209" s="165"/>
      <c r="GP209" s="109">
        <f t="shared" si="321"/>
        <v>0</v>
      </c>
      <c r="GQ209" s="109">
        <f t="shared" si="329"/>
        <v>0</v>
      </c>
      <c r="GR209" s="109"/>
      <c r="GS209" s="109"/>
      <c r="GT209" s="111"/>
      <c r="GU209" s="111"/>
      <c r="GV209" s="165"/>
      <c r="GW209" s="168">
        <f t="shared" si="322"/>
        <v>0</v>
      </c>
      <c r="GX209" s="168">
        <f t="shared" si="330"/>
        <v>0</v>
      </c>
      <c r="GY209" s="168"/>
      <c r="GZ209" s="168"/>
      <c r="HA209" s="111"/>
      <c r="HB209" s="111"/>
      <c r="HC209" s="165"/>
      <c r="HD209" s="109">
        <f t="shared" si="323"/>
        <v>0</v>
      </c>
      <c r="HE209" s="109">
        <f t="shared" si="331"/>
        <v>0</v>
      </c>
      <c r="HF209" s="109"/>
      <c r="HG209" s="109"/>
      <c r="HH209" s="111"/>
      <c r="HI209" s="111"/>
      <c r="HJ209" s="165"/>
      <c r="HK209" s="109">
        <f t="shared" si="324"/>
        <v>0</v>
      </c>
      <c r="HL209" s="109">
        <f t="shared" si="332"/>
        <v>0</v>
      </c>
      <c r="HM209" s="109"/>
      <c r="HN209" s="109"/>
      <c r="HO209" s="111"/>
      <c r="HP209" s="111"/>
      <c r="HQ209" s="165"/>
      <c r="HR209" s="109">
        <f t="shared" si="325"/>
        <v>0</v>
      </c>
      <c r="HS209" s="109">
        <f t="shared" si="333"/>
        <v>0</v>
      </c>
      <c r="HT209" s="109"/>
      <c r="HU209" s="109"/>
      <c r="HV209" s="111"/>
      <c r="HW209" s="111"/>
      <c r="HX209" s="105">
        <f t="shared" si="351"/>
        <v>0</v>
      </c>
      <c r="HY209" s="105">
        <f t="shared" si="351"/>
        <v>0</v>
      </c>
      <c r="HZ209" s="105">
        <f t="shared" si="351"/>
        <v>0</v>
      </c>
      <c r="IA209" s="105">
        <f t="shared" si="345"/>
        <v>0</v>
      </c>
      <c r="IB209" s="109">
        <f t="shared" si="346"/>
        <v>0</v>
      </c>
      <c r="IC209" s="109">
        <f t="shared" si="347"/>
        <v>0</v>
      </c>
      <c r="ID209" s="109">
        <f t="shared" si="348"/>
        <v>0</v>
      </c>
      <c r="IE209" s="109">
        <f t="shared" si="349"/>
        <v>0</v>
      </c>
      <c r="IF209" s="197"/>
      <c r="IG209" s="197"/>
      <c r="IH209" s="197"/>
      <c r="II209" s="197"/>
      <c r="IJ209" s="197"/>
      <c r="IK209" s="197"/>
      <c r="IL209" s="197"/>
      <c r="IM209" s="171"/>
      <c r="IN209" s="171"/>
      <c r="IO209" s="171"/>
      <c r="IP209" s="171"/>
    </row>
    <row r="210" spans="1:250" ht="15" customHeight="1" x14ac:dyDescent="0.3">
      <c r="A210" s="110">
        <f t="shared" si="350"/>
        <v>206</v>
      </c>
      <c r="B210" s="111"/>
      <c r="C210" s="111"/>
      <c r="D210" s="111"/>
      <c r="E210" s="111"/>
      <c r="F210" s="111"/>
      <c r="G210" s="111"/>
      <c r="H210" s="111"/>
      <c r="I210" s="194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75"/>
      <c r="AI210" s="111"/>
      <c r="AJ210" s="111"/>
      <c r="AK210" s="111"/>
      <c r="AL210" s="177"/>
      <c r="AM210" s="176"/>
      <c r="AN210" s="177"/>
      <c r="AO210" s="157"/>
      <c r="AP210" s="158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75"/>
      <c r="BM210" s="111"/>
      <c r="BN210" s="111"/>
      <c r="BO210" s="111"/>
      <c r="BP210" s="111"/>
      <c r="BQ210" s="111"/>
      <c r="BR210" s="111"/>
      <c r="BS210" s="111"/>
      <c r="BT210" s="111"/>
      <c r="BU210" s="111"/>
      <c r="BV210" s="111"/>
      <c r="BW210" s="111"/>
      <c r="BX210" s="111"/>
      <c r="BY210" s="111"/>
      <c r="BZ210" s="111"/>
      <c r="CA210" s="111"/>
      <c r="CB210" s="111"/>
      <c r="CC210" s="178"/>
      <c r="CD210" s="177">
        <f t="shared" si="334"/>
        <v>0</v>
      </c>
      <c r="CE210" s="148"/>
      <c r="CF210" s="111">
        <f t="shared" si="335"/>
        <v>0</v>
      </c>
      <c r="CG210" s="177"/>
      <c r="CH210" s="204"/>
      <c r="CI210" s="148"/>
      <c r="CJ210" s="165"/>
      <c r="CK210" s="165"/>
      <c r="CL210" s="111"/>
      <c r="CM210" s="111"/>
      <c r="CN210" s="165">
        <f t="shared" si="336"/>
        <v>0</v>
      </c>
      <c r="CO210" s="109">
        <f t="shared" si="337"/>
        <v>0</v>
      </c>
      <c r="CP210" s="109">
        <f t="shared" si="338"/>
        <v>0</v>
      </c>
      <c r="CQ210" s="109"/>
      <c r="CR210" s="109"/>
      <c r="CS210" s="196"/>
      <c r="CT210" s="167"/>
      <c r="CU210" s="165"/>
      <c r="CV210" s="109">
        <f t="shared" si="339"/>
        <v>0</v>
      </c>
      <c r="CW210" s="109">
        <f t="shared" si="340"/>
        <v>0</v>
      </c>
      <c r="CX210" s="109"/>
      <c r="CY210" s="109"/>
      <c r="CZ210" s="111"/>
      <c r="DA210" s="111"/>
      <c r="DB210" s="165"/>
      <c r="DC210" s="109">
        <f t="shared" si="341"/>
        <v>0</v>
      </c>
      <c r="DD210" s="109">
        <f t="shared" si="342"/>
        <v>0</v>
      </c>
      <c r="DE210" s="109"/>
      <c r="DF210" s="109"/>
      <c r="DG210" s="111"/>
      <c r="DH210" s="111"/>
      <c r="DI210" s="165"/>
      <c r="DJ210" s="109">
        <f t="shared" si="343"/>
        <v>0</v>
      </c>
      <c r="DK210" s="109">
        <f t="shared" si="344"/>
        <v>0</v>
      </c>
      <c r="DL210" s="109"/>
      <c r="DM210" s="109"/>
      <c r="DN210" s="111"/>
      <c r="DO210" s="111"/>
      <c r="DP210" s="165"/>
      <c r="DQ210" s="109">
        <f t="shared" si="302"/>
        <v>0</v>
      </c>
      <c r="DR210" s="109">
        <f t="shared" si="303"/>
        <v>0</v>
      </c>
      <c r="DS210" s="109"/>
      <c r="DT210" s="109"/>
      <c r="DU210" s="111"/>
      <c r="DV210" s="111"/>
      <c r="DW210" s="165"/>
      <c r="DX210" s="109">
        <f t="shared" si="304"/>
        <v>0</v>
      </c>
      <c r="DY210" s="109">
        <f t="shared" si="305"/>
        <v>0</v>
      </c>
      <c r="DZ210" s="109"/>
      <c r="EA210" s="109"/>
      <c r="EB210" s="111"/>
      <c r="EC210" s="111"/>
      <c r="ED210" s="165"/>
      <c r="EE210" s="109">
        <f t="shared" si="306"/>
        <v>0</v>
      </c>
      <c r="EF210" s="109">
        <f t="shared" si="307"/>
        <v>0</v>
      </c>
      <c r="EG210" s="109"/>
      <c r="EH210" s="109"/>
      <c r="EI210" s="111"/>
      <c r="EJ210" s="111"/>
      <c r="EK210" s="165"/>
      <c r="EL210" s="109">
        <f t="shared" si="308"/>
        <v>0</v>
      </c>
      <c r="EM210" s="109">
        <f t="shared" si="309"/>
        <v>0</v>
      </c>
      <c r="EN210" s="109"/>
      <c r="EO210" s="109"/>
      <c r="EP210" s="111"/>
      <c r="EQ210" s="111"/>
      <c r="ER210" s="165"/>
      <c r="ES210" s="109">
        <f t="shared" si="310"/>
        <v>0</v>
      </c>
      <c r="ET210" s="109">
        <f t="shared" si="311"/>
        <v>0</v>
      </c>
      <c r="EU210" s="109"/>
      <c r="EV210" s="109"/>
      <c r="EW210" s="111"/>
      <c r="EX210" s="111"/>
      <c r="EY210" s="165"/>
      <c r="EZ210" s="109">
        <f t="shared" si="312"/>
        <v>0</v>
      </c>
      <c r="FA210" s="109">
        <f t="shared" si="313"/>
        <v>0</v>
      </c>
      <c r="FB210" s="109"/>
      <c r="FC210" s="109"/>
      <c r="FD210" s="111"/>
      <c r="FE210" s="111"/>
      <c r="FF210" s="165"/>
      <c r="FG210" s="109">
        <f t="shared" si="314"/>
        <v>0</v>
      </c>
      <c r="FH210" s="109">
        <f t="shared" si="315"/>
        <v>0</v>
      </c>
      <c r="FI210" s="109"/>
      <c r="FJ210" s="109"/>
      <c r="FK210" s="111"/>
      <c r="FL210" s="111"/>
      <c r="FM210" s="165"/>
      <c r="FN210" s="109">
        <f t="shared" si="316"/>
        <v>0</v>
      </c>
      <c r="FO210" s="109">
        <f t="shared" si="317"/>
        <v>0</v>
      </c>
      <c r="FP210" s="109"/>
      <c r="FQ210" s="109"/>
      <c r="FR210" s="111"/>
      <c r="FS210" s="111"/>
      <c r="FT210" s="165"/>
      <c r="FU210" s="109">
        <f t="shared" si="318"/>
        <v>0</v>
      </c>
      <c r="FV210" s="109">
        <f t="shared" si="326"/>
        <v>0</v>
      </c>
      <c r="FW210" s="109"/>
      <c r="FX210" s="109"/>
      <c r="FY210" s="111"/>
      <c r="FZ210" s="111"/>
      <c r="GA210" s="165"/>
      <c r="GB210" s="109">
        <f t="shared" si="319"/>
        <v>0</v>
      </c>
      <c r="GC210" s="109">
        <f t="shared" si="327"/>
        <v>0</v>
      </c>
      <c r="GD210" s="109"/>
      <c r="GE210" s="109"/>
      <c r="GF210" s="111"/>
      <c r="GG210" s="111"/>
      <c r="GH210" s="165"/>
      <c r="GI210" s="109">
        <f t="shared" si="320"/>
        <v>0</v>
      </c>
      <c r="GJ210" s="109">
        <f t="shared" si="328"/>
        <v>0</v>
      </c>
      <c r="GK210" s="109"/>
      <c r="GL210" s="109"/>
      <c r="GM210" s="111"/>
      <c r="GN210" s="111"/>
      <c r="GO210" s="165"/>
      <c r="GP210" s="109">
        <f t="shared" si="321"/>
        <v>0</v>
      </c>
      <c r="GQ210" s="109">
        <f t="shared" si="329"/>
        <v>0</v>
      </c>
      <c r="GR210" s="109"/>
      <c r="GS210" s="109"/>
      <c r="GT210" s="111"/>
      <c r="GU210" s="111"/>
      <c r="GV210" s="165"/>
      <c r="GW210" s="168">
        <f t="shared" si="322"/>
        <v>0</v>
      </c>
      <c r="GX210" s="168">
        <f t="shared" si="330"/>
        <v>0</v>
      </c>
      <c r="GY210" s="168"/>
      <c r="GZ210" s="168"/>
      <c r="HA210" s="111"/>
      <c r="HB210" s="111"/>
      <c r="HC210" s="165"/>
      <c r="HD210" s="109">
        <f t="shared" si="323"/>
        <v>0</v>
      </c>
      <c r="HE210" s="109">
        <f t="shared" si="331"/>
        <v>0</v>
      </c>
      <c r="HF210" s="109"/>
      <c r="HG210" s="109"/>
      <c r="HH210" s="111"/>
      <c r="HI210" s="111"/>
      <c r="HJ210" s="165"/>
      <c r="HK210" s="109">
        <f t="shared" si="324"/>
        <v>0</v>
      </c>
      <c r="HL210" s="109">
        <f t="shared" si="332"/>
        <v>0</v>
      </c>
      <c r="HM210" s="109"/>
      <c r="HN210" s="109"/>
      <c r="HO210" s="111"/>
      <c r="HP210" s="111"/>
      <c r="HQ210" s="165"/>
      <c r="HR210" s="109">
        <f t="shared" si="325"/>
        <v>0</v>
      </c>
      <c r="HS210" s="109">
        <f t="shared" si="333"/>
        <v>0</v>
      </c>
      <c r="HT210" s="109"/>
      <c r="HU210" s="109"/>
      <c r="HV210" s="111"/>
      <c r="HW210" s="111"/>
      <c r="HX210" s="105">
        <f t="shared" si="351"/>
        <v>0</v>
      </c>
      <c r="HY210" s="105">
        <f t="shared" si="351"/>
        <v>0</v>
      </c>
      <c r="HZ210" s="105">
        <f t="shared" si="351"/>
        <v>0</v>
      </c>
      <c r="IA210" s="105">
        <f t="shared" si="345"/>
        <v>0</v>
      </c>
      <c r="IB210" s="109">
        <f t="shared" si="346"/>
        <v>0</v>
      </c>
      <c r="IC210" s="109">
        <f t="shared" si="347"/>
        <v>0</v>
      </c>
      <c r="ID210" s="109">
        <f t="shared" si="348"/>
        <v>0</v>
      </c>
      <c r="IE210" s="109">
        <f t="shared" si="349"/>
        <v>0</v>
      </c>
      <c r="IF210" s="197"/>
      <c r="IG210" s="197"/>
      <c r="IH210" s="197"/>
      <c r="II210" s="197"/>
      <c r="IJ210" s="197"/>
      <c r="IK210" s="197"/>
      <c r="IL210" s="197"/>
      <c r="IM210" s="171"/>
      <c r="IN210" s="171"/>
      <c r="IO210" s="171"/>
      <c r="IP210" s="171"/>
    </row>
    <row r="211" spans="1:250" ht="15" customHeight="1" x14ac:dyDescent="0.3">
      <c r="A211" s="110">
        <f t="shared" si="350"/>
        <v>207</v>
      </c>
      <c r="B211" s="111"/>
      <c r="C211" s="111"/>
      <c r="D211" s="111"/>
      <c r="E211" s="111"/>
      <c r="F211" s="111"/>
      <c r="G211" s="111"/>
      <c r="H211" s="111"/>
      <c r="I211" s="194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75"/>
      <c r="AI211" s="111"/>
      <c r="AJ211" s="111"/>
      <c r="AK211" s="111"/>
      <c r="AL211" s="177"/>
      <c r="AM211" s="176"/>
      <c r="AN211" s="177"/>
      <c r="AO211" s="157"/>
      <c r="AP211" s="158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75"/>
      <c r="BM211" s="111"/>
      <c r="BN211" s="111"/>
      <c r="BO211" s="111"/>
      <c r="BP211" s="111"/>
      <c r="BQ211" s="111"/>
      <c r="BR211" s="111"/>
      <c r="BS211" s="111"/>
      <c r="BT211" s="111"/>
      <c r="BU211" s="111"/>
      <c r="BV211" s="111"/>
      <c r="BW211" s="111"/>
      <c r="BX211" s="111"/>
      <c r="BY211" s="111"/>
      <c r="BZ211" s="111"/>
      <c r="CA211" s="111"/>
      <c r="CB211" s="111"/>
      <c r="CC211" s="178"/>
      <c r="CD211" s="177">
        <f t="shared" si="334"/>
        <v>0</v>
      </c>
      <c r="CE211" s="148"/>
      <c r="CF211" s="111">
        <f t="shared" si="335"/>
        <v>0</v>
      </c>
      <c r="CG211" s="177"/>
      <c r="CH211" s="204"/>
      <c r="CI211" s="148"/>
      <c r="CJ211" s="165"/>
      <c r="CK211" s="165"/>
      <c r="CL211" s="111"/>
      <c r="CM211" s="111"/>
      <c r="CN211" s="165">
        <f t="shared" si="336"/>
        <v>0</v>
      </c>
      <c r="CO211" s="109">
        <f t="shared" si="337"/>
        <v>0</v>
      </c>
      <c r="CP211" s="109">
        <f t="shared" si="338"/>
        <v>0</v>
      </c>
      <c r="CQ211" s="109"/>
      <c r="CR211" s="109"/>
      <c r="CS211" s="196"/>
      <c r="CT211" s="167"/>
      <c r="CU211" s="165"/>
      <c r="CV211" s="109">
        <f t="shared" si="339"/>
        <v>0</v>
      </c>
      <c r="CW211" s="109">
        <f t="shared" si="340"/>
        <v>0</v>
      </c>
      <c r="CX211" s="109"/>
      <c r="CY211" s="109"/>
      <c r="CZ211" s="111"/>
      <c r="DA211" s="111"/>
      <c r="DB211" s="165"/>
      <c r="DC211" s="109">
        <f t="shared" si="341"/>
        <v>0</v>
      </c>
      <c r="DD211" s="109">
        <f t="shared" si="342"/>
        <v>0</v>
      </c>
      <c r="DE211" s="109"/>
      <c r="DF211" s="109"/>
      <c r="DG211" s="111"/>
      <c r="DH211" s="111"/>
      <c r="DI211" s="165"/>
      <c r="DJ211" s="109">
        <f t="shared" si="343"/>
        <v>0</v>
      </c>
      <c r="DK211" s="109">
        <f t="shared" si="344"/>
        <v>0</v>
      </c>
      <c r="DL211" s="109"/>
      <c r="DM211" s="109"/>
      <c r="DN211" s="111"/>
      <c r="DO211" s="111"/>
      <c r="DP211" s="165"/>
      <c r="DQ211" s="109">
        <f t="shared" si="302"/>
        <v>0</v>
      </c>
      <c r="DR211" s="109">
        <f t="shared" si="303"/>
        <v>0</v>
      </c>
      <c r="DS211" s="109"/>
      <c r="DT211" s="109"/>
      <c r="DU211" s="111"/>
      <c r="DV211" s="111"/>
      <c r="DW211" s="165"/>
      <c r="DX211" s="109">
        <f t="shared" si="304"/>
        <v>0</v>
      </c>
      <c r="DY211" s="109">
        <f t="shared" si="305"/>
        <v>0</v>
      </c>
      <c r="DZ211" s="109"/>
      <c r="EA211" s="109"/>
      <c r="EB211" s="111"/>
      <c r="EC211" s="111"/>
      <c r="ED211" s="165"/>
      <c r="EE211" s="109">
        <f t="shared" si="306"/>
        <v>0</v>
      </c>
      <c r="EF211" s="109">
        <f t="shared" si="307"/>
        <v>0</v>
      </c>
      <c r="EG211" s="109"/>
      <c r="EH211" s="109"/>
      <c r="EI211" s="111"/>
      <c r="EJ211" s="111"/>
      <c r="EK211" s="165"/>
      <c r="EL211" s="109">
        <f t="shared" si="308"/>
        <v>0</v>
      </c>
      <c r="EM211" s="109">
        <f t="shared" si="309"/>
        <v>0</v>
      </c>
      <c r="EN211" s="109"/>
      <c r="EO211" s="109"/>
      <c r="EP211" s="111"/>
      <c r="EQ211" s="111"/>
      <c r="ER211" s="165"/>
      <c r="ES211" s="109">
        <f t="shared" si="310"/>
        <v>0</v>
      </c>
      <c r="ET211" s="109">
        <f t="shared" si="311"/>
        <v>0</v>
      </c>
      <c r="EU211" s="109"/>
      <c r="EV211" s="109"/>
      <c r="EW211" s="111"/>
      <c r="EX211" s="111"/>
      <c r="EY211" s="165"/>
      <c r="EZ211" s="109">
        <f t="shared" si="312"/>
        <v>0</v>
      </c>
      <c r="FA211" s="109">
        <f t="shared" si="313"/>
        <v>0</v>
      </c>
      <c r="FB211" s="109"/>
      <c r="FC211" s="109"/>
      <c r="FD211" s="111"/>
      <c r="FE211" s="111"/>
      <c r="FF211" s="165"/>
      <c r="FG211" s="109">
        <f t="shared" si="314"/>
        <v>0</v>
      </c>
      <c r="FH211" s="109">
        <f t="shared" si="315"/>
        <v>0</v>
      </c>
      <c r="FI211" s="109"/>
      <c r="FJ211" s="109"/>
      <c r="FK211" s="111"/>
      <c r="FL211" s="111"/>
      <c r="FM211" s="165"/>
      <c r="FN211" s="109">
        <f t="shared" si="316"/>
        <v>0</v>
      </c>
      <c r="FO211" s="109">
        <f t="shared" si="317"/>
        <v>0</v>
      </c>
      <c r="FP211" s="109"/>
      <c r="FQ211" s="109"/>
      <c r="FR211" s="111"/>
      <c r="FS211" s="111"/>
      <c r="FT211" s="165"/>
      <c r="FU211" s="109">
        <f t="shared" si="318"/>
        <v>0</v>
      </c>
      <c r="FV211" s="109">
        <f t="shared" si="326"/>
        <v>0</v>
      </c>
      <c r="FW211" s="109"/>
      <c r="FX211" s="109"/>
      <c r="FY211" s="111"/>
      <c r="FZ211" s="111"/>
      <c r="GA211" s="165"/>
      <c r="GB211" s="109">
        <f t="shared" si="319"/>
        <v>0</v>
      </c>
      <c r="GC211" s="109">
        <f t="shared" si="327"/>
        <v>0</v>
      </c>
      <c r="GD211" s="109"/>
      <c r="GE211" s="109"/>
      <c r="GF211" s="111"/>
      <c r="GG211" s="111"/>
      <c r="GH211" s="165"/>
      <c r="GI211" s="109">
        <f t="shared" si="320"/>
        <v>0</v>
      </c>
      <c r="GJ211" s="109">
        <f t="shared" si="328"/>
        <v>0</v>
      </c>
      <c r="GK211" s="109"/>
      <c r="GL211" s="109"/>
      <c r="GM211" s="111"/>
      <c r="GN211" s="111"/>
      <c r="GO211" s="165"/>
      <c r="GP211" s="109">
        <f t="shared" si="321"/>
        <v>0</v>
      </c>
      <c r="GQ211" s="109">
        <f t="shared" si="329"/>
        <v>0</v>
      </c>
      <c r="GR211" s="109"/>
      <c r="GS211" s="109"/>
      <c r="GT211" s="111"/>
      <c r="GU211" s="111"/>
      <c r="GV211" s="165"/>
      <c r="GW211" s="168">
        <f t="shared" si="322"/>
        <v>0</v>
      </c>
      <c r="GX211" s="168">
        <f t="shared" si="330"/>
        <v>0</v>
      </c>
      <c r="GY211" s="168"/>
      <c r="GZ211" s="168"/>
      <c r="HA211" s="111"/>
      <c r="HB211" s="111"/>
      <c r="HC211" s="165"/>
      <c r="HD211" s="109">
        <f t="shared" si="323"/>
        <v>0</v>
      </c>
      <c r="HE211" s="109">
        <f t="shared" si="331"/>
        <v>0</v>
      </c>
      <c r="HF211" s="109"/>
      <c r="HG211" s="109"/>
      <c r="HH211" s="111"/>
      <c r="HI211" s="111"/>
      <c r="HJ211" s="165"/>
      <c r="HK211" s="109">
        <f t="shared" si="324"/>
        <v>0</v>
      </c>
      <c r="HL211" s="109">
        <f t="shared" si="332"/>
        <v>0</v>
      </c>
      <c r="HM211" s="109"/>
      <c r="HN211" s="109"/>
      <c r="HO211" s="111"/>
      <c r="HP211" s="111"/>
      <c r="HQ211" s="165"/>
      <c r="HR211" s="109">
        <f t="shared" si="325"/>
        <v>0</v>
      </c>
      <c r="HS211" s="109">
        <f t="shared" si="333"/>
        <v>0</v>
      </c>
      <c r="HT211" s="109"/>
      <c r="HU211" s="109"/>
      <c r="HV211" s="111"/>
      <c r="HW211" s="111"/>
      <c r="HX211" s="105">
        <f t="shared" si="351"/>
        <v>0</v>
      </c>
      <c r="HY211" s="105">
        <f t="shared" si="351"/>
        <v>0</v>
      </c>
      <c r="HZ211" s="105">
        <f t="shared" si="351"/>
        <v>0</v>
      </c>
      <c r="IA211" s="105">
        <f t="shared" si="345"/>
        <v>0</v>
      </c>
      <c r="IB211" s="109">
        <f t="shared" si="346"/>
        <v>0</v>
      </c>
      <c r="IC211" s="109">
        <f t="shared" si="347"/>
        <v>0</v>
      </c>
      <c r="ID211" s="109">
        <f t="shared" si="348"/>
        <v>0</v>
      </c>
      <c r="IE211" s="109">
        <f t="shared" si="349"/>
        <v>0</v>
      </c>
      <c r="IF211" s="197"/>
      <c r="IG211" s="197"/>
      <c r="IH211" s="197"/>
      <c r="II211" s="197"/>
      <c r="IJ211" s="197"/>
      <c r="IK211" s="197"/>
      <c r="IL211" s="197"/>
      <c r="IM211" s="171"/>
      <c r="IN211" s="171"/>
      <c r="IO211" s="171"/>
      <c r="IP211" s="171"/>
    </row>
    <row r="212" spans="1:250" ht="15" customHeight="1" x14ac:dyDescent="0.3">
      <c r="A212" s="110">
        <f t="shared" si="350"/>
        <v>208</v>
      </c>
      <c r="B212" s="111"/>
      <c r="C212" s="111"/>
      <c r="D212" s="111"/>
      <c r="E212" s="111"/>
      <c r="F212" s="111"/>
      <c r="G212" s="111"/>
      <c r="H212" s="111"/>
      <c r="I212" s="194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75"/>
      <c r="AI212" s="111"/>
      <c r="AJ212" s="111"/>
      <c r="AK212" s="111"/>
      <c r="AL212" s="177"/>
      <c r="AM212" s="176"/>
      <c r="AN212" s="177"/>
      <c r="AO212" s="157"/>
      <c r="AP212" s="158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75"/>
      <c r="BM212" s="111"/>
      <c r="BN212" s="111"/>
      <c r="BO212" s="111"/>
      <c r="BP212" s="111"/>
      <c r="BQ212" s="111"/>
      <c r="BR212" s="111"/>
      <c r="BS212" s="111"/>
      <c r="BT212" s="111"/>
      <c r="BU212" s="111"/>
      <c r="BV212" s="111"/>
      <c r="BW212" s="111"/>
      <c r="BX212" s="111"/>
      <c r="BY212" s="111"/>
      <c r="BZ212" s="111"/>
      <c r="CA212" s="111"/>
      <c r="CB212" s="111"/>
      <c r="CC212" s="178"/>
      <c r="CD212" s="177">
        <f t="shared" si="334"/>
        <v>0</v>
      </c>
      <c r="CE212" s="148"/>
      <c r="CF212" s="111">
        <f t="shared" si="335"/>
        <v>0</v>
      </c>
      <c r="CG212" s="177"/>
      <c r="CH212" s="204"/>
      <c r="CI212" s="148"/>
      <c r="CJ212" s="165"/>
      <c r="CK212" s="165"/>
      <c r="CL212" s="111"/>
      <c r="CM212" s="111"/>
      <c r="CN212" s="165">
        <f t="shared" si="336"/>
        <v>0</v>
      </c>
      <c r="CO212" s="109">
        <f t="shared" si="337"/>
        <v>0</v>
      </c>
      <c r="CP212" s="109">
        <f t="shared" si="338"/>
        <v>0</v>
      </c>
      <c r="CQ212" s="109"/>
      <c r="CR212" s="109"/>
      <c r="CS212" s="196"/>
      <c r="CT212" s="167"/>
      <c r="CU212" s="165"/>
      <c r="CV212" s="109">
        <f t="shared" si="339"/>
        <v>0</v>
      </c>
      <c r="CW212" s="109">
        <f t="shared" si="340"/>
        <v>0</v>
      </c>
      <c r="CX212" s="109"/>
      <c r="CY212" s="109"/>
      <c r="CZ212" s="111"/>
      <c r="DA212" s="111"/>
      <c r="DB212" s="165"/>
      <c r="DC212" s="109">
        <f t="shared" si="341"/>
        <v>0</v>
      </c>
      <c r="DD212" s="109">
        <f t="shared" si="342"/>
        <v>0</v>
      </c>
      <c r="DE212" s="109"/>
      <c r="DF212" s="109"/>
      <c r="DG212" s="111"/>
      <c r="DH212" s="111"/>
      <c r="DI212" s="165"/>
      <c r="DJ212" s="109">
        <f t="shared" si="343"/>
        <v>0</v>
      </c>
      <c r="DK212" s="109">
        <f t="shared" si="344"/>
        <v>0</v>
      </c>
      <c r="DL212" s="109"/>
      <c r="DM212" s="109"/>
      <c r="DN212" s="111"/>
      <c r="DO212" s="111"/>
      <c r="DP212" s="165"/>
      <c r="DQ212" s="109">
        <f t="shared" si="302"/>
        <v>0</v>
      </c>
      <c r="DR212" s="109">
        <f t="shared" si="303"/>
        <v>0</v>
      </c>
      <c r="DS212" s="109"/>
      <c r="DT212" s="109"/>
      <c r="DU212" s="111"/>
      <c r="DV212" s="111"/>
      <c r="DW212" s="165"/>
      <c r="DX212" s="109">
        <f t="shared" si="304"/>
        <v>0</v>
      </c>
      <c r="DY212" s="109">
        <f t="shared" si="305"/>
        <v>0</v>
      </c>
      <c r="DZ212" s="109"/>
      <c r="EA212" s="109"/>
      <c r="EB212" s="111"/>
      <c r="EC212" s="111"/>
      <c r="ED212" s="165"/>
      <c r="EE212" s="109">
        <f t="shared" si="306"/>
        <v>0</v>
      </c>
      <c r="EF212" s="109">
        <f t="shared" si="307"/>
        <v>0</v>
      </c>
      <c r="EG212" s="109"/>
      <c r="EH212" s="109"/>
      <c r="EI212" s="111"/>
      <c r="EJ212" s="111"/>
      <c r="EK212" s="165"/>
      <c r="EL212" s="109">
        <f t="shared" si="308"/>
        <v>0</v>
      </c>
      <c r="EM212" s="109">
        <f t="shared" si="309"/>
        <v>0</v>
      </c>
      <c r="EN212" s="109"/>
      <c r="EO212" s="109"/>
      <c r="EP212" s="111"/>
      <c r="EQ212" s="111"/>
      <c r="ER212" s="165"/>
      <c r="ES212" s="109">
        <f t="shared" si="310"/>
        <v>0</v>
      </c>
      <c r="ET212" s="109">
        <f t="shared" si="311"/>
        <v>0</v>
      </c>
      <c r="EU212" s="109"/>
      <c r="EV212" s="109"/>
      <c r="EW212" s="111"/>
      <c r="EX212" s="111"/>
      <c r="EY212" s="165"/>
      <c r="EZ212" s="109">
        <f t="shared" si="312"/>
        <v>0</v>
      </c>
      <c r="FA212" s="109">
        <f t="shared" si="313"/>
        <v>0</v>
      </c>
      <c r="FB212" s="109"/>
      <c r="FC212" s="109"/>
      <c r="FD212" s="111"/>
      <c r="FE212" s="111"/>
      <c r="FF212" s="165"/>
      <c r="FG212" s="109">
        <f t="shared" si="314"/>
        <v>0</v>
      </c>
      <c r="FH212" s="109">
        <f t="shared" si="315"/>
        <v>0</v>
      </c>
      <c r="FI212" s="109"/>
      <c r="FJ212" s="109"/>
      <c r="FK212" s="111"/>
      <c r="FL212" s="111"/>
      <c r="FM212" s="165"/>
      <c r="FN212" s="109">
        <f t="shared" si="316"/>
        <v>0</v>
      </c>
      <c r="FO212" s="109">
        <f t="shared" si="317"/>
        <v>0</v>
      </c>
      <c r="FP212" s="109"/>
      <c r="FQ212" s="109"/>
      <c r="FR212" s="111"/>
      <c r="FS212" s="111"/>
      <c r="FT212" s="165"/>
      <c r="FU212" s="109">
        <f t="shared" si="318"/>
        <v>0</v>
      </c>
      <c r="FV212" s="109">
        <f t="shared" si="326"/>
        <v>0</v>
      </c>
      <c r="FW212" s="109"/>
      <c r="FX212" s="109"/>
      <c r="FY212" s="111"/>
      <c r="FZ212" s="111"/>
      <c r="GA212" s="165"/>
      <c r="GB212" s="109">
        <f t="shared" si="319"/>
        <v>0</v>
      </c>
      <c r="GC212" s="109">
        <f t="shared" si="327"/>
        <v>0</v>
      </c>
      <c r="GD212" s="109"/>
      <c r="GE212" s="109"/>
      <c r="GF212" s="111"/>
      <c r="GG212" s="111"/>
      <c r="GH212" s="165"/>
      <c r="GI212" s="109">
        <f t="shared" si="320"/>
        <v>0</v>
      </c>
      <c r="GJ212" s="109">
        <f t="shared" si="328"/>
        <v>0</v>
      </c>
      <c r="GK212" s="109"/>
      <c r="GL212" s="109"/>
      <c r="GM212" s="111"/>
      <c r="GN212" s="111"/>
      <c r="GO212" s="165"/>
      <c r="GP212" s="109">
        <f t="shared" si="321"/>
        <v>0</v>
      </c>
      <c r="GQ212" s="109">
        <f t="shared" si="329"/>
        <v>0</v>
      </c>
      <c r="GR212" s="109"/>
      <c r="GS212" s="109"/>
      <c r="GT212" s="111"/>
      <c r="GU212" s="111"/>
      <c r="GV212" s="165"/>
      <c r="GW212" s="168">
        <f t="shared" si="322"/>
        <v>0</v>
      </c>
      <c r="GX212" s="168">
        <f t="shared" si="330"/>
        <v>0</v>
      </c>
      <c r="GY212" s="168"/>
      <c r="GZ212" s="168"/>
      <c r="HA212" s="111"/>
      <c r="HB212" s="111"/>
      <c r="HC212" s="165"/>
      <c r="HD212" s="109">
        <f t="shared" si="323"/>
        <v>0</v>
      </c>
      <c r="HE212" s="109">
        <f t="shared" si="331"/>
        <v>0</v>
      </c>
      <c r="HF212" s="109"/>
      <c r="HG212" s="109"/>
      <c r="HH212" s="111"/>
      <c r="HI212" s="111"/>
      <c r="HJ212" s="165"/>
      <c r="HK212" s="109">
        <f t="shared" si="324"/>
        <v>0</v>
      </c>
      <c r="HL212" s="109">
        <f t="shared" si="332"/>
        <v>0</v>
      </c>
      <c r="HM212" s="109"/>
      <c r="HN212" s="109"/>
      <c r="HO212" s="111"/>
      <c r="HP212" s="111"/>
      <c r="HQ212" s="165"/>
      <c r="HR212" s="109">
        <f t="shared" si="325"/>
        <v>0</v>
      </c>
      <c r="HS212" s="109">
        <f t="shared" si="333"/>
        <v>0</v>
      </c>
      <c r="HT212" s="109"/>
      <c r="HU212" s="109"/>
      <c r="HV212" s="111"/>
      <c r="HW212" s="111"/>
      <c r="HX212" s="105">
        <f t="shared" si="351"/>
        <v>0</v>
      </c>
      <c r="HY212" s="105">
        <f t="shared" si="351"/>
        <v>0</v>
      </c>
      <c r="HZ212" s="105">
        <f t="shared" si="351"/>
        <v>0</v>
      </c>
      <c r="IA212" s="105">
        <f t="shared" si="345"/>
        <v>0</v>
      </c>
      <c r="IB212" s="109">
        <f t="shared" si="346"/>
        <v>0</v>
      </c>
      <c r="IC212" s="109">
        <f t="shared" si="347"/>
        <v>0</v>
      </c>
      <c r="ID212" s="109">
        <f t="shared" si="348"/>
        <v>0</v>
      </c>
      <c r="IE212" s="109">
        <f t="shared" si="349"/>
        <v>0</v>
      </c>
      <c r="IF212" s="197"/>
      <c r="IG212" s="197"/>
      <c r="IH212" s="197"/>
      <c r="II212" s="197"/>
      <c r="IJ212" s="197"/>
      <c r="IK212" s="197"/>
      <c r="IL212" s="197"/>
      <c r="IM212" s="171"/>
      <c r="IN212" s="171"/>
      <c r="IO212" s="171"/>
      <c r="IP212" s="171"/>
    </row>
    <row r="213" spans="1:250" ht="15" customHeight="1" x14ac:dyDescent="0.3">
      <c r="A213" s="110">
        <f t="shared" si="350"/>
        <v>209</v>
      </c>
      <c r="B213" s="111"/>
      <c r="C213" s="111"/>
      <c r="D213" s="111"/>
      <c r="E213" s="111"/>
      <c r="F213" s="111"/>
      <c r="G213" s="111"/>
      <c r="H213" s="111"/>
      <c r="I213" s="194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75"/>
      <c r="AI213" s="111"/>
      <c r="AJ213" s="111"/>
      <c r="AK213" s="111"/>
      <c r="AL213" s="177"/>
      <c r="AM213" s="176"/>
      <c r="AN213" s="177"/>
      <c r="AO213" s="157"/>
      <c r="AP213" s="158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  <c r="BJ213" s="111"/>
      <c r="BK213" s="111"/>
      <c r="BL213" s="175"/>
      <c r="BM213" s="111"/>
      <c r="BN213" s="111"/>
      <c r="BO213" s="111"/>
      <c r="BP213" s="111"/>
      <c r="BQ213" s="111"/>
      <c r="BR213" s="111"/>
      <c r="BS213" s="111"/>
      <c r="BT213" s="111"/>
      <c r="BU213" s="111"/>
      <c r="BV213" s="111"/>
      <c r="BW213" s="111"/>
      <c r="BX213" s="111"/>
      <c r="BY213" s="111"/>
      <c r="BZ213" s="111"/>
      <c r="CA213" s="111"/>
      <c r="CB213" s="111"/>
      <c r="CC213" s="178"/>
      <c r="CD213" s="177">
        <f t="shared" si="334"/>
        <v>0</v>
      </c>
      <c r="CE213" s="148"/>
      <c r="CF213" s="111">
        <f t="shared" si="335"/>
        <v>0</v>
      </c>
      <c r="CG213" s="177"/>
      <c r="CH213" s="204"/>
      <c r="CI213" s="148"/>
      <c r="CJ213" s="165"/>
      <c r="CK213" s="165"/>
      <c r="CL213" s="111"/>
      <c r="CM213" s="111"/>
      <c r="CN213" s="165">
        <f t="shared" si="336"/>
        <v>0</v>
      </c>
      <c r="CO213" s="109">
        <f t="shared" si="337"/>
        <v>0</v>
      </c>
      <c r="CP213" s="109">
        <f t="shared" si="338"/>
        <v>0</v>
      </c>
      <c r="CQ213" s="109"/>
      <c r="CR213" s="109"/>
      <c r="CS213" s="196"/>
      <c r="CT213" s="167"/>
      <c r="CU213" s="165"/>
      <c r="CV213" s="109">
        <f t="shared" si="339"/>
        <v>0</v>
      </c>
      <c r="CW213" s="109">
        <f t="shared" si="340"/>
        <v>0</v>
      </c>
      <c r="CX213" s="109"/>
      <c r="CY213" s="109"/>
      <c r="CZ213" s="111"/>
      <c r="DA213" s="111"/>
      <c r="DB213" s="165"/>
      <c r="DC213" s="109">
        <f t="shared" si="341"/>
        <v>0</v>
      </c>
      <c r="DD213" s="109">
        <f t="shared" si="342"/>
        <v>0</v>
      </c>
      <c r="DE213" s="109"/>
      <c r="DF213" s="109"/>
      <c r="DG213" s="111"/>
      <c r="DH213" s="111"/>
      <c r="DI213" s="165"/>
      <c r="DJ213" s="109">
        <f t="shared" si="343"/>
        <v>0</v>
      </c>
      <c r="DK213" s="109">
        <f t="shared" si="344"/>
        <v>0</v>
      </c>
      <c r="DL213" s="109"/>
      <c r="DM213" s="109"/>
      <c r="DN213" s="111"/>
      <c r="DO213" s="111"/>
      <c r="DP213" s="165"/>
      <c r="DQ213" s="109">
        <f t="shared" si="302"/>
        <v>0</v>
      </c>
      <c r="DR213" s="109">
        <f t="shared" si="303"/>
        <v>0</v>
      </c>
      <c r="DS213" s="109"/>
      <c r="DT213" s="109"/>
      <c r="DU213" s="111"/>
      <c r="DV213" s="111"/>
      <c r="DW213" s="165"/>
      <c r="DX213" s="109">
        <f t="shared" si="304"/>
        <v>0</v>
      </c>
      <c r="DY213" s="109">
        <f t="shared" si="305"/>
        <v>0</v>
      </c>
      <c r="DZ213" s="109"/>
      <c r="EA213" s="109"/>
      <c r="EB213" s="111"/>
      <c r="EC213" s="111"/>
      <c r="ED213" s="165"/>
      <c r="EE213" s="109">
        <f t="shared" si="306"/>
        <v>0</v>
      </c>
      <c r="EF213" s="109">
        <f t="shared" si="307"/>
        <v>0</v>
      </c>
      <c r="EG213" s="109"/>
      <c r="EH213" s="109"/>
      <c r="EI213" s="111"/>
      <c r="EJ213" s="111"/>
      <c r="EK213" s="165"/>
      <c r="EL213" s="109">
        <f t="shared" si="308"/>
        <v>0</v>
      </c>
      <c r="EM213" s="109">
        <f t="shared" si="309"/>
        <v>0</v>
      </c>
      <c r="EN213" s="109"/>
      <c r="EO213" s="109"/>
      <c r="EP213" s="111"/>
      <c r="EQ213" s="111"/>
      <c r="ER213" s="165"/>
      <c r="ES213" s="109">
        <f t="shared" si="310"/>
        <v>0</v>
      </c>
      <c r="ET213" s="109">
        <f t="shared" si="311"/>
        <v>0</v>
      </c>
      <c r="EU213" s="109"/>
      <c r="EV213" s="109"/>
      <c r="EW213" s="111"/>
      <c r="EX213" s="111"/>
      <c r="EY213" s="165"/>
      <c r="EZ213" s="109">
        <f t="shared" si="312"/>
        <v>0</v>
      </c>
      <c r="FA213" s="109">
        <f t="shared" si="313"/>
        <v>0</v>
      </c>
      <c r="FB213" s="109"/>
      <c r="FC213" s="109"/>
      <c r="FD213" s="111"/>
      <c r="FE213" s="111"/>
      <c r="FF213" s="165"/>
      <c r="FG213" s="109">
        <f t="shared" si="314"/>
        <v>0</v>
      </c>
      <c r="FH213" s="109">
        <f t="shared" si="315"/>
        <v>0</v>
      </c>
      <c r="FI213" s="109"/>
      <c r="FJ213" s="109"/>
      <c r="FK213" s="111"/>
      <c r="FL213" s="111"/>
      <c r="FM213" s="165"/>
      <c r="FN213" s="109">
        <f t="shared" si="316"/>
        <v>0</v>
      </c>
      <c r="FO213" s="109">
        <f t="shared" si="317"/>
        <v>0</v>
      </c>
      <c r="FP213" s="109"/>
      <c r="FQ213" s="109"/>
      <c r="FR213" s="111"/>
      <c r="FS213" s="111"/>
      <c r="FT213" s="165"/>
      <c r="FU213" s="109">
        <f t="shared" si="318"/>
        <v>0</v>
      </c>
      <c r="FV213" s="109">
        <f t="shared" si="326"/>
        <v>0</v>
      </c>
      <c r="FW213" s="109"/>
      <c r="FX213" s="109"/>
      <c r="FY213" s="111"/>
      <c r="FZ213" s="111"/>
      <c r="GA213" s="165"/>
      <c r="GB213" s="109">
        <f t="shared" si="319"/>
        <v>0</v>
      </c>
      <c r="GC213" s="109">
        <f t="shared" si="327"/>
        <v>0</v>
      </c>
      <c r="GD213" s="109"/>
      <c r="GE213" s="109"/>
      <c r="GF213" s="111"/>
      <c r="GG213" s="111"/>
      <c r="GH213" s="165"/>
      <c r="GI213" s="109">
        <f t="shared" si="320"/>
        <v>0</v>
      </c>
      <c r="GJ213" s="109">
        <f t="shared" si="328"/>
        <v>0</v>
      </c>
      <c r="GK213" s="109"/>
      <c r="GL213" s="109"/>
      <c r="GM213" s="111"/>
      <c r="GN213" s="111"/>
      <c r="GO213" s="165"/>
      <c r="GP213" s="109">
        <f t="shared" si="321"/>
        <v>0</v>
      </c>
      <c r="GQ213" s="109">
        <f t="shared" si="329"/>
        <v>0</v>
      </c>
      <c r="GR213" s="109"/>
      <c r="GS213" s="109"/>
      <c r="GT213" s="111"/>
      <c r="GU213" s="111"/>
      <c r="GV213" s="165"/>
      <c r="GW213" s="168">
        <f t="shared" si="322"/>
        <v>0</v>
      </c>
      <c r="GX213" s="168">
        <f t="shared" si="330"/>
        <v>0</v>
      </c>
      <c r="GY213" s="168"/>
      <c r="GZ213" s="168"/>
      <c r="HA213" s="111"/>
      <c r="HB213" s="111"/>
      <c r="HC213" s="165"/>
      <c r="HD213" s="109">
        <f t="shared" si="323"/>
        <v>0</v>
      </c>
      <c r="HE213" s="109">
        <f t="shared" si="331"/>
        <v>0</v>
      </c>
      <c r="HF213" s="109"/>
      <c r="HG213" s="109"/>
      <c r="HH213" s="111"/>
      <c r="HI213" s="111"/>
      <c r="HJ213" s="165"/>
      <c r="HK213" s="109">
        <f t="shared" si="324"/>
        <v>0</v>
      </c>
      <c r="HL213" s="109">
        <f t="shared" si="332"/>
        <v>0</v>
      </c>
      <c r="HM213" s="109"/>
      <c r="HN213" s="109"/>
      <c r="HO213" s="111"/>
      <c r="HP213" s="111"/>
      <c r="HQ213" s="165"/>
      <c r="HR213" s="109">
        <f t="shared" si="325"/>
        <v>0</v>
      </c>
      <c r="HS213" s="109">
        <f t="shared" si="333"/>
        <v>0</v>
      </c>
      <c r="HT213" s="109"/>
      <c r="HU213" s="109"/>
      <c r="HV213" s="111"/>
      <c r="HW213" s="111"/>
      <c r="HX213" s="105">
        <f t="shared" si="351"/>
        <v>0</v>
      </c>
      <c r="HY213" s="105">
        <f t="shared" si="351"/>
        <v>0</v>
      </c>
      <c r="HZ213" s="105">
        <f t="shared" si="351"/>
        <v>0</v>
      </c>
      <c r="IA213" s="105">
        <f t="shared" si="345"/>
        <v>0</v>
      </c>
      <c r="IB213" s="109">
        <f t="shared" si="346"/>
        <v>0</v>
      </c>
      <c r="IC213" s="109">
        <f t="shared" si="347"/>
        <v>0</v>
      </c>
      <c r="ID213" s="109">
        <f t="shared" si="348"/>
        <v>0</v>
      </c>
      <c r="IE213" s="109">
        <f t="shared" si="349"/>
        <v>0</v>
      </c>
      <c r="IF213" s="197"/>
      <c r="IG213" s="197"/>
      <c r="IH213" s="197"/>
      <c r="II213" s="197"/>
      <c r="IJ213" s="197"/>
      <c r="IK213" s="197"/>
      <c r="IL213" s="197"/>
      <c r="IM213" s="171"/>
      <c r="IN213" s="171"/>
      <c r="IO213" s="171"/>
      <c r="IP213" s="171"/>
    </row>
    <row r="214" spans="1:250" ht="15" customHeight="1" x14ac:dyDescent="0.3">
      <c r="A214" s="110">
        <f t="shared" si="350"/>
        <v>210</v>
      </c>
      <c r="B214" s="111"/>
      <c r="C214" s="111"/>
      <c r="D214" s="111"/>
      <c r="E214" s="111"/>
      <c r="F214" s="111"/>
      <c r="G214" s="111"/>
      <c r="H214" s="111"/>
      <c r="I214" s="194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75"/>
      <c r="AI214" s="111"/>
      <c r="AJ214" s="111"/>
      <c r="AK214" s="111"/>
      <c r="AL214" s="177"/>
      <c r="AM214" s="176"/>
      <c r="AN214" s="177"/>
      <c r="AO214" s="157"/>
      <c r="AP214" s="158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75"/>
      <c r="BM214" s="111"/>
      <c r="BN214" s="111"/>
      <c r="BO214" s="111"/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1"/>
      <c r="CA214" s="111"/>
      <c r="CB214" s="111"/>
      <c r="CC214" s="178"/>
      <c r="CD214" s="177">
        <f t="shared" si="334"/>
        <v>0</v>
      </c>
      <c r="CE214" s="148"/>
      <c r="CF214" s="111">
        <f t="shared" si="335"/>
        <v>0</v>
      </c>
      <c r="CG214" s="177"/>
      <c r="CH214" s="204"/>
      <c r="CI214" s="148"/>
      <c r="CJ214" s="165"/>
      <c r="CK214" s="165"/>
      <c r="CL214" s="111"/>
      <c r="CM214" s="111"/>
      <c r="CN214" s="165">
        <f t="shared" si="336"/>
        <v>0</v>
      </c>
      <c r="CO214" s="109">
        <f t="shared" si="337"/>
        <v>0</v>
      </c>
      <c r="CP214" s="109">
        <f t="shared" si="338"/>
        <v>0</v>
      </c>
      <c r="CQ214" s="109"/>
      <c r="CR214" s="109"/>
      <c r="CS214" s="196"/>
      <c r="CT214" s="167"/>
      <c r="CU214" s="165"/>
      <c r="CV214" s="109">
        <f t="shared" si="339"/>
        <v>0</v>
      </c>
      <c r="CW214" s="109">
        <f t="shared" si="340"/>
        <v>0</v>
      </c>
      <c r="CX214" s="109"/>
      <c r="CY214" s="109"/>
      <c r="CZ214" s="111"/>
      <c r="DA214" s="111"/>
      <c r="DB214" s="165"/>
      <c r="DC214" s="109">
        <f t="shared" si="341"/>
        <v>0</v>
      </c>
      <c r="DD214" s="109">
        <f t="shared" si="342"/>
        <v>0</v>
      </c>
      <c r="DE214" s="109"/>
      <c r="DF214" s="109"/>
      <c r="DG214" s="111"/>
      <c r="DH214" s="111"/>
      <c r="DI214" s="165"/>
      <c r="DJ214" s="109">
        <f t="shared" si="343"/>
        <v>0</v>
      </c>
      <c r="DK214" s="109">
        <f t="shared" si="344"/>
        <v>0</v>
      </c>
      <c r="DL214" s="109"/>
      <c r="DM214" s="109"/>
      <c r="DN214" s="111"/>
      <c r="DO214" s="111"/>
      <c r="DP214" s="165"/>
      <c r="DQ214" s="109">
        <f t="shared" si="302"/>
        <v>0</v>
      </c>
      <c r="DR214" s="109">
        <f t="shared" si="303"/>
        <v>0</v>
      </c>
      <c r="DS214" s="109"/>
      <c r="DT214" s="109"/>
      <c r="DU214" s="111"/>
      <c r="DV214" s="111"/>
      <c r="DW214" s="165"/>
      <c r="DX214" s="109">
        <f t="shared" si="304"/>
        <v>0</v>
      </c>
      <c r="DY214" s="109">
        <f t="shared" si="305"/>
        <v>0</v>
      </c>
      <c r="DZ214" s="109"/>
      <c r="EA214" s="109"/>
      <c r="EB214" s="111"/>
      <c r="EC214" s="111"/>
      <c r="ED214" s="165"/>
      <c r="EE214" s="109">
        <f t="shared" si="306"/>
        <v>0</v>
      </c>
      <c r="EF214" s="109">
        <f t="shared" si="307"/>
        <v>0</v>
      </c>
      <c r="EG214" s="109"/>
      <c r="EH214" s="109"/>
      <c r="EI214" s="111"/>
      <c r="EJ214" s="111"/>
      <c r="EK214" s="165"/>
      <c r="EL214" s="109">
        <f t="shared" si="308"/>
        <v>0</v>
      </c>
      <c r="EM214" s="109">
        <f t="shared" si="309"/>
        <v>0</v>
      </c>
      <c r="EN214" s="109"/>
      <c r="EO214" s="109"/>
      <c r="EP214" s="111"/>
      <c r="EQ214" s="111"/>
      <c r="ER214" s="165"/>
      <c r="ES214" s="109">
        <f t="shared" si="310"/>
        <v>0</v>
      </c>
      <c r="ET214" s="109">
        <f t="shared" si="311"/>
        <v>0</v>
      </c>
      <c r="EU214" s="109"/>
      <c r="EV214" s="109"/>
      <c r="EW214" s="111"/>
      <c r="EX214" s="111"/>
      <c r="EY214" s="165"/>
      <c r="EZ214" s="109">
        <f t="shared" si="312"/>
        <v>0</v>
      </c>
      <c r="FA214" s="109">
        <f t="shared" si="313"/>
        <v>0</v>
      </c>
      <c r="FB214" s="109"/>
      <c r="FC214" s="109"/>
      <c r="FD214" s="111"/>
      <c r="FE214" s="111"/>
      <c r="FF214" s="165"/>
      <c r="FG214" s="109">
        <f t="shared" si="314"/>
        <v>0</v>
      </c>
      <c r="FH214" s="109">
        <f t="shared" si="315"/>
        <v>0</v>
      </c>
      <c r="FI214" s="109"/>
      <c r="FJ214" s="109"/>
      <c r="FK214" s="111"/>
      <c r="FL214" s="111"/>
      <c r="FM214" s="165"/>
      <c r="FN214" s="109">
        <f t="shared" si="316"/>
        <v>0</v>
      </c>
      <c r="FO214" s="109">
        <f t="shared" si="317"/>
        <v>0</v>
      </c>
      <c r="FP214" s="109"/>
      <c r="FQ214" s="109"/>
      <c r="FR214" s="111"/>
      <c r="FS214" s="111"/>
      <c r="FT214" s="165"/>
      <c r="FU214" s="109">
        <f t="shared" si="318"/>
        <v>0</v>
      </c>
      <c r="FV214" s="109">
        <f t="shared" si="326"/>
        <v>0</v>
      </c>
      <c r="FW214" s="109"/>
      <c r="FX214" s="109"/>
      <c r="FY214" s="111"/>
      <c r="FZ214" s="111"/>
      <c r="GA214" s="165"/>
      <c r="GB214" s="109">
        <f t="shared" si="319"/>
        <v>0</v>
      </c>
      <c r="GC214" s="109">
        <f t="shared" si="327"/>
        <v>0</v>
      </c>
      <c r="GD214" s="109"/>
      <c r="GE214" s="109"/>
      <c r="GF214" s="111"/>
      <c r="GG214" s="111"/>
      <c r="GH214" s="165"/>
      <c r="GI214" s="109">
        <f t="shared" si="320"/>
        <v>0</v>
      </c>
      <c r="GJ214" s="109">
        <f t="shared" si="328"/>
        <v>0</v>
      </c>
      <c r="GK214" s="109"/>
      <c r="GL214" s="109"/>
      <c r="GM214" s="111"/>
      <c r="GN214" s="111"/>
      <c r="GO214" s="165"/>
      <c r="GP214" s="109">
        <f t="shared" si="321"/>
        <v>0</v>
      </c>
      <c r="GQ214" s="109">
        <f t="shared" si="329"/>
        <v>0</v>
      </c>
      <c r="GR214" s="109"/>
      <c r="GS214" s="109"/>
      <c r="GT214" s="111"/>
      <c r="GU214" s="111"/>
      <c r="GV214" s="165"/>
      <c r="GW214" s="168">
        <f t="shared" si="322"/>
        <v>0</v>
      </c>
      <c r="GX214" s="168">
        <f t="shared" si="330"/>
        <v>0</v>
      </c>
      <c r="GY214" s="168"/>
      <c r="GZ214" s="168"/>
      <c r="HA214" s="111"/>
      <c r="HB214" s="111"/>
      <c r="HC214" s="165"/>
      <c r="HD214" s="109">
        <f t="shared" si="323"/>
        <v>0</v>
      </c>
      <c r="HE214" s="109">
        <f t="shared" si="331"/>
        <v>0</v>
      </c>
      <c r="HF214" s="109"/>
      <c r="HG214" s="109"/>
      <c r="HH214" s="111"/>
      <c r="HI214" s="111"/>
      <c r="HJ214" s="165"/>
      <c r="HK214" s="109">
        <f t="shared" si="324"/>
        <v>0</v>
      </c>
      <c r="HL214" s="109">
        <f t="shared" si="332"/>
        <v>0</v>
      </c>
      <c r="HM214" s="109"/>
      <c r="HN214" s="109"/>
      <c r="HO214" s="111"/>
      <c r="HP214" s="111"/>
      <c r="HQ214" s="165"/>
      <c r="HR214" s="109">
        <f t="shared" si="325"/>
        <v>0</v>
      </c>
      <c r="HS214" s="109">
        <f t="shared" si="333"/>
        <v>0</v>
      </c>
      <c r="HT214" s="109"/>
      <c r="HU214" s="109"/>
      <c r="HV214" s="111"/>
      <c r="HW214" s="111"/>
      <c r="HX214" s="105">
        <f t="shared" si="351"/>
        <v>0</v>
      </c>
      <c r="HY214" s="105">
        <f t="shared" si="351"/>
        <v>0</v>
      </c>
      <c r="HZ214" s="105">
        <f t="shared" si="351"/>
        <v>0</v>
      </c>
      <c r="IA214" s="105">
        <f t="shared" si="345"/>
        <v>0</v>
      </c>
      <c r="IB214" s="109">
        <f t="shared" si="346"/>
        <v>0</v>
      </c>
      <c r="IC214" s="109">
        <f t="shared" si="347"/>
        <v>0</v>
      </c>
      <c r="ID214" s="109">
        <f t="shared" si="348"/>
        <v>0</v>
      </c>
      <c r="IE214" s="109">
        <f t="shared" si="349"/>
        <v>0</v>
      </c>
      <c r="IF214" s="197"/>
      <c r="IG214" s="197"/>
      <c r="IH214" s="197"/>
      <c r="II214" s="197"/>
      <c r="IJ214" s="197"/>
      <c r="IK214" s="197"/>
      <c r="IL214" s="197"/>
      <c r="IM214" s="171"/>
      <c r="IN214" s="171"/>
      <c r="IO214" s="171"/>
      <c r="IP214" s="171"/>
    </row>
    <row r="215" spans="1:250" ht="15" customHeight="1" x14ac:dyDescent="0.3">
      <c r="A215" s="110">
        <f t="shared" si="350"/>
        <v>211</v>
      </c>
      <c r="B215" s="111"/>
      <c r="C215" s="111"/>
      <c r="D215" s="111"/>
      <c r="E215" s="111"/>
      <c r="F215" s="111"/>
      <c r="G215" s="111"/>
      <c r="H215" s="111"/>
      <c r="I215" s="194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75"/>
      <c r="AI215" s="111"/>
      <c r="AJ215" s="111"/>
      <c r="AK215" s="111"/>
      <c r="AL215" s="177"/>
      <c r="AM215" s="176"/>
      <c r="AN215" s="177"/>
      <c r="AO215" s="157"/>
      <c r="AP215" s="158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75"/>
      <c r="BM215" s="111"/>
      <c r="BN215" s="111"/>
      <c r="BO215" s="111"/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1"/>
      <c r="CA215" s="111"/>
      <c r="CB215" s="111"/>
      <c r="CC215" s="178"/>
      <c r="CD215" s="177">
        <f t="shared" si="334"/>
        <v>0</v>
      </c>
      <c r="CE215" s="148"/>
      <c r="CF215" s="111">
        <f t="shared" si="335"/>
        <v>0</v>
      </c>
      <c r="CG215" s="177"/>
      <c r="CH215" s="204"/>
      <c r="CI215" s="148"/>
      <c r="CJ215" s="165"/>
      <c r="CK215" s="165"/>
      <c r="CL215" s="111"/>
      <c r="CM215" s="111"/>
      <c r="CN215" s="165">
        <f t="shared" si="336"/>
        <v>0</v>
      </c>
      <c r="CO215" s="109">
        <f t="shared" si="337"/>
        <v>0</v>
      </c>
      <c r="CP215" s="109">
        <f t="shared" si="338"/>
        <v>0</v>
      </c>
      <c r="CQ215" s="109"/>
      <c r="CR215" s="109"/>
      <c r="CS215" s="196"/>
      <c r="CT215" s="167"/>
      <c r="CU215" s="165"/>
      <c r="CV215" s="109">
        <f t="shared" si="339"/>
        <v>0</v>
      </c>
      <c r="CW215" s="109">
        <f t="shared" si="340"/>
        <v>0</v>
      </c>
      <c r="CX215" s="109"/>
      <c r="CY215" s="109"/>
      <c r="CZ215" s="111"/>
      <c r="DA215" s="111"/>
      <c r="DB215" s="165"/>
      <c r="DC215" s="109">
        <f t="shared" si="341"/>
        <v>0</v>
      </c>
      <c r="DD215" s="109">
        <f t="shared" si="342"/>
        <v>0</v>
      </c>
      <c r="DE215" s="109"/>
      <c r="DF215" s="109"/>
      <c r="DG215" s="111"/>
      <c r="DH215" s="111"/>
      <c r="DI215" s="165"/>
      <c r="DJ215" s="109">
        <f t="shared" si="343"/>
        <v>0</v>
      </c>
      <c r="DK215" s="109">
        <f t="shared" si="344"/>
        <v>0</v>
      </c>
      <c r="DL215" s="109"/>
      <c r="DM215" s="109"/>
      <c r="DN215" s="111"/>
      <c r="DO215" s="111"/>
      <c r="DP215" s="165"/>
      <c r="DQ215" s="109">
        <f t="shared" si="302"/>
        <v>0</v>
      </c>
      <c r="DR215" s="109">
        <f t="shared" si="303"/>
        <v>0</v>
      </c>
      <c r="DS215" s="109"/>
      <c r="DT215" s="109"/>
      <c r="DU215" s="111"/>
      <c r="DV215" s="111"/>
      <c r="DW215" s="165"/>
      <c r="DX215" s="109">
        <f t="shared" si="304"/>
        <v>0</v>
      </c>
      <c r="DY215" s="109">
        <f t="shared" si="305"/>
        <v>0</v>
      </c>
      <c r="DZ215" s="109"/>
      <c r="EA215" s="109"/>
      <c r="EB215" s="111"/>
      <c r="EC215" s="111"/>
      <c r="ED215" s="165"/>
      <c r="EE215" s="109">
        <f t="shared" si="306"/>
        <v>0</v>
      </c>
      <c r="EF215" s="109">
        <f t="shared" si="307"/>
        <v>0</v>
      </c>
      <c r="EG215" s="109"/>
      <c r="EH215" s="109"/>
      <c r="EI215" s="111"/>
      <c r="EJ215" s="111"/>
      <c r="EK215" s="165"/>
      <c r="EL215" s="109">
        <f t="shared" si="308"/>
        <v>0</v>
      </c>
      <c r="EM215" s="109">
        <f t="shared" si="309"/>
        <v>0</v>
      </c>
      <c r="EN215" s="109"/>
      <c r="EO215" s="109"/>
      <c r="EP215" s="111"/>
      <c r="EQ215" s="111"/>
      <c r="ER215" s="165"/>
      <c r="ES215" s="109">
        <f t="shared" si="310"/>
        <v>0</v>
      </c>
      <c r="ET215" s="109">
        <f t="shared" si="311"/>
        <v>0</v>
      </c>
      <c r="EU215" s="109"/>
      <c r="EV215" s="109"/>
      <c r="EW215" s="111"/>
      <c r="EX215" s="111"/>
      <c r="EY215" s="165"/>
      <c r="EZ215" s="109">
        <f t="shared" si="312"/>
        <v>0</v>
      </c>
      <c r="FA215" s="109">
        <f t="shared" si="313"/>
        <v>0</v>
      </c>
      <c r="FB215" s="109"/>
      <c r="FC215" s="109"/>
      <c r="FD215" s="111"/>
      <c r="FE215" s="111"/>
      <c r="FF215" s="165"/>
      <c r="FG215" s="109">
        <f t="shared" si="314"/>
        <v>0</v>
      </c>
      <c r="FH215" s="109">
        <f t="shared" si="315"/>
        <v>0</v>
      </c>
      <c r="FI215" s="109"/>
      <c r="FJ215" s="109"/>
      <c r="FK215" s="111"/>
      <c r="FL215" s="111"/>
      <c r="FM215" s="165"/>
      <c r="FN215" s="109">
        <f t="shared" si="316"/>
        <v>0</v>
      </c>
      <c r="FO215" s="109">
        <f t="shared" si="317"/>
        <v>0</v>
      </c>
      <c r="FP215" s="109"/>
      <c r="FQ215" s="109"/>
      <c r="FR215" s="111"/>
      <c r="FS215" s="111"/>
      <c r="FT215" s="165"/>
      <c r="FU215" s="109">
        <f t="shared" si="318"/>
        <v>0</v>
      </c>
      <c r="FV215" s="109">
        <f t="shared" si="326"/>
        <v>0</v>
      </c>
      <c r="FW215" s="109"/>
      <c r="FX215" s="109"/>
      <c r="FY215" s="111"/>
      <c r="FZ215" s="111"/>
      <c r="GA215" s="165"/>
      <c r="GB215" s="109">
        <f t="shared" si="319"/>
        <v>0</v>
      </c>
      <c r="GC215" s="109">
        <f t="shared" si="327"/>
        <v>0</v>
      </c>
      <c r="GD215" s="109"/>
      <c r="GE215" s="109"/>
      <c r="GF215" s="111"/>
      <c r="GG215" s="111"/>
      <c r="GH215" s="165"/>
      <c r="GI215" s="109">
        <f t="shared" si="320"/>
        <v>0</v>
      </c>
      <c r="GJ215" s="109">
        <f t="shared" si="328"/>
        <v>0</v>
      </c>
      <c r="GK215" s="109"/>
      <c r="GL215" s="109"/>
      <c r="GM215" s="111"/>
      <c r="GN215" s="111"/>
      <c r="GO215" s="165"/>
      <c r="GP215" s="109">
        <f t="shared" si="321"/>
        <v>0</v>
      </c>
      <c r="GQ215" s="109">
        <f t="shared" si="329"/>
        <v>0</v>
      </c>
      <c r="GR215" s="109"/>
      <c r="GS215" s="109"/>
      <c r="GT215" s="111"/>
      <c r="GU215" s="111"/>
      <c r="GV215" s="165"/>
      <c r="GW215" s="168">
        <f t="shared" si="322"/>
        <v>0</v>
      </c>
      <c r="GX215" s="168">
        <f t="shared" si="330"/>
        <v>0</v>
      </c>
      <c r="GY215" s="168"/>
      <c r="GZ215" s="168"/>
      <c r="HA215" s="111"/>
      <c r="HB215" s="111"/>
      <c r="HC215" s="165"/>
      <c r="HD215" s="109">
        <f t="shared" si="323"/>
        <v>0</v>
      </c>
      <c r="HE215" s="109">
        <f t="shared" si="331"/>
        <v>0</v>
      </c>
      <c r="HF215" s="109"/>
      <c r="HG215" s="109"/>
      <c r="HH215" s="111"/>
      <c r="HI215" s="111"/>
      <c r="HJ215" s="165"/>
      <c r="HK215" s="109">
        <f t="shared" si="324"/>
        <v>0</v>
      </c>
      <c r="HL215" s="109">
        <f t="shared" si="332"/>
        <v>0</v>
      </c>
      <c r="HM215" s="109"/>
      <c r="HN215" s="109"/>
      <c r="HO215" s="111"/>
      <c r="HP215" s="111"/>
      <c r="HQ215" s="165"/>
      <c r="HR215" s="109">
        <f t="shared" si="325"/>
        <v>0</v>
      </c>
      <c r="HS215" s="109">
        <f t="shared" si="333"/>
        <v>0</v>
      </c>
      <c r="HT215" s="109"/>
      <c r="HU215" s="109"/>
      <c r="HV215" s="111"/>
      <c r="HW215" s="111"/>
      <c r="HX215" s="105">
        <f t="shared" si="351"/>
        <v>0</v>
      </c>
      <c r="HY215" s="105">
        <f t="shared" si="351"/>
        <v>0</v>
      </c>
      <c r="HZ215" s="105">
        <f t="shared" si="351"/>
        <v>0</v>
      </c>
      <c r="IA215" s="105">
        <f t="shared" si="345"/>
        <v>0</v>
      </c>
      <c r="IB215" s="109">
        <f t="shared" si="346"/>
        <v>0</v>
      </c>
      <c r="IC215" s="109">
        <f t="shared" si="347"/>
        <v>0</v>
      </c>
      <c r="ID215" s="109">
        <f t="shared" si="348"/>
        <v>0</v>
      </c>
      <c r="IE215" s="109">
        <f t="shared" si="349"/>
        <v>0</v>
      </c>
      <c r="IF215" s="197"/>
      <c r="IG215" s="197"/>
      <c r="IH215" s="197"/>
      <c r="II215" s="197"/>
      <c r="IJ215" s="197"/>
      <c r="IK215" s="197"/>
      <c r="IL215" s="197"/>
      <c r="IM215" s="171"/>
      <c r="IN215" s="171"/>
      <c r="IO215" s="171"/>
      <c r="IP215" s="171"/>
    </row>
    <row r="216" spans="1:250" ht="15" customHeight="1" x14ac:dyDescent="0.3">
      <c r="A216" s="110">
        <f t="shared" si="350"/>
        <v>212</v>
      </c>
      <c r="B216" s="111"/>
      <c r="C216" s="111"/>
      <c r="D216" s="111"/>
      <c r="E216" s="111"/>
      <c r="F216" s="111"/>
      <c r="G216" s="111"/>
      <c r="H216" s="111"/>
      <c r="I216" s="194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75"/>
      <c r="AI216" s="111"/>
      <c r="AJ216" s="111"/>
      <c r="AK216" s="111"/>
      <c r="AL216" s="177"/>
      <c r="AM216" s="176"/>
      <c r="AN216" s="177"/>
      <c r="AO216" s="157"/>
      <c r="AP216" s="158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75"/>
      <c r="BM216" s="111"/>
      <c r="BN216" s="111"/>
      <c r="BO216" s="111"/>
      <c r="BP216" s="111"/>
      <c r="BQ216" s="111"/>
      <c r="BR216" s="111"/>
      <c r="BS216" s="111"/>
      <c r="BT216" s="111"/>
      <c r="BU216" s="111"/>
      <c r="BV216" s="111"/>
      <c r="BW216" s="111"/>
      <c r="BX216" s="111"/>
      <c r="BY216" s="111"/>
      <c r="BZ216" s="111"/>
      <c r="CA216" s="111"/>
      <c r="CB216" s="111"/>
      <c r="CC216" s="178"/>
      <c r="CD216" s="177">
        <f t="shared" si="334"/>
        <v>0</v>
      </c>
      <c r="CE216" s="148"/>
      <c r="CF216" s="111">
        <f t="shared" si="335"/>
        <v>0</v>
      </c>
      <c r="CG216" s="177"/>
      <c r="CH216" s="204"/>
      <c r="CI216" s="148"/>
      <c r="CJ216" s="165"/>
      <c r="CK216" s="165"/>
      <c r="CL216" s="111"/>
      <c r="CM216" s="111"/>
      <c r="CN216" s="165">
        <f t="shared" si="336"/>
        <v>0</v>
      </c>
      <c r="CO216" s="109">
        <f t="shared" si="337"/>
        <v>0</v>
      </c>
      <c r="CP216" s="109">
        <f t="shared" si="338"/>
        <v>0</v>
      </c>
      <c r="CQ216" s="109"/>
      <c r="CR216" s="109"/>
      <c r="CS216" s="196"/>
      <c r="CT216" s="167"/>
      <c r="CU216" s="165"/>
      <c r="CV216" s="109">
        <f t="shared" si="339"/>
        <v>0</v>
      </c>
      <c r="CW216" s="109">
        <f t="shared" si="340"/>
        <v>0</v>
      </c>
      <c r="CX216" s="109"/>
      <c r="CY216" s="109"/>
      <c r="CZ216" s="111"/>
      <c r="DA216" s="111"/>
      <c r="DB216" s="165"/>
      <c r="DC216" s="109">
        <f t="shared" si="341"/>
        <v>0</v>
      </c>
      <c r="DD216" s="109">
        <f t="shared" si="342"/>
        <v>0</v>
      </c>
      <c r="DE216" s="109"/>
      <c r="DF216" s="109"/>
      <c r="DG216" s="111"/>
      <c r="DH216" s="111"/>
      <c r="DI216" s="165"/>
      <c r="DJ216" s="109">
        <f t="shared" si="343"/>
        <v>0</v>
      </c>
      <c r="DK216" s="109">
        <f t="shared" si="344"/>
        <v>0</v>
      </c>
      <c r="DL216" s="109"/>
      <c r="DM216" s="109"/>
      <c r="DN216" s="111"/>
      <c r="DO216" s="111"/>
      <c r="DP216" s="165"/>
      <c r="DQ216" s="109">
        <f t="shared" ref="DQ216:DQ279" si="352">DS216-DR216</f>
        <v>0</v>
      </c>
      <c r="DR216" s="109">
        <f t="shared" ref="DR216:DR279" si="353">DS216/(1+AM216)*AM216</f>
        <v>0</v>
      </c>
      <c r="DS216" s="109"/>
      <c r="DT216" s="109"/>
      <c r="DU216" s="111"/>
      <c r="DV216" s="111"/>
      <c r="DW216" s="165"/>
      <c r="DX216" s="109">
        <f t="shared" ref="DX216:DX279" si="354">DZ216-DY216</f>
        <v>0</v>
      </c>
      <c r="DY216" s="109">
        <f t="shared" ref="DY216:DY279" si="355">DZ216/(1+AM216)*AM216</f>
        <v>0</v>
      </c>
      <c r="DZ216" s="109"/>
      <c r="EA216" s="109"/>
      <c r="EB216" s="111"/>
      <c r="EC216" s="111"/>
      <c r="ED216" s="165"/>
      <c r="EE216" s="109">
        <f t="shared" ref="EE216:EE279" si="356">EG216-EF216</f>
        <v>0</v>
      </c>
      <c r="EF216" s="109">
        <f t="shared" ref="EF216:EF279" si="357">EG216/(1+AM216)*AM216</f>
        <v>0</v>
      </c>
      <c r="EG216" s="109"/>
      <c r="EH216" s="109"/>
      <c r="EI216" s="111"/>
      <c r="EJ216" s="111"/>
      <c r="EK216" s="165"/>
      <c r="EL216" s="109">
        <f t="shared" ref="EL216:EL279" si="358">EN216-EM216</f>
        <v>0</v>
      </c>
      <c r="EM216" s="109">
        <f t="shared" ref="EM216:EM279" si="359">EN216/(1+AM216)*AM216</f>
        <v>0</v>
      </c>
      <c r="EN216" s="109"/>
      <c r="EO216" s="109"/>
      <c r="EP216" s="111"/>
      <c r="EQ216" s="111"/>
      <c r="ER216" s="165"/>
      <c r="ES216" s="109">
        <f t="shared" ref="ES216:ES279" si="360">EU216-ET216</f>
        <v>0</v>
      </c>
      <c r="ET216" s="109">
        <f t="shared" ref="ET216:ET279" si="361">EU216/(1+AM216)*AM216</f>
        <v>0</v>
      </c>
      <c r="EU216" s="109"/>
      <c r="EV216" s="109"/>
      <c r="EW216" s="111"/>
      <c r="EX216" s="111"/>
      <c r="EY216" s="165"/>
      <c r="EZ216" s="109">
        <f t="shared" ref="EZ216:EZ279" si="362">FB216-FA216</f>
        <v>0</v>
      </c>
      <c r="FA216" s="109">
        <f t="shared" ref="FA216:FA279" si="363">FB216/(1+AM216)*AM216</f>
        <v>0</v>
      </c>
      <c r="FB216" s="109"/>
      <c r="FC216" s="109"/>
      <c r="FD216" s="111"/>
      <c r="FE216" s="111"/>
      <c r="FF216" s="165"/>
      <c r="FG216" s="109">
        <f t="shared" ref="FG216:FG279" si="364">FI216-FH216</f>
        <v>0</v>
      </c>
      <c r="FH216" s="109">
        <f t="shared" ref="FH216:FH279" si="365">FI216/(1+AM216)*AM216</f>
        <v>0</v>
      </c>
      <c r="FI216" s="109"/>
      <c r="FJ216" s="109"/>
      <c r="FK216" s="111"/>
      <c r="FL216" s="111"/>
      <c r="FM216" s="165"/>
      <c r="FN216" s="109">
        <f t="shared" ref="FN216:FN279" si="366">FP216-FO216</f>
        <v>0</v>
      </c>
      <c r="FO216" s="109">
        <f t="shared" ref="FO216:FO279" si="367">FP216/(1+AM216)*AM216</f>
        <v>0</v>
      </c>
      <c r="FP216" s="109"/>
      <c r="FQ216" s="109"/>
      <c r="FR216" s="111"/>
      <c r="FS216" s="111"/>
      <c r="FT216" s="165"/>
      <c r="FU216" s="109">
        <f t="shared" ref="FU216:FU279" si="368">FW216-FV216</f>
        <v>0</v>
      </c>
      <c r="FV216" s="109">
        <f t="shared" si="326"/>
        <v>0</v>
      </c>
      <c r="FW216" s="109"/>
      <c r="FX216" s="109"/>
      <c r="FY216" s="111"/>
      <c r="FZ216" s="111"/>
      <c r="GA216" s="165"/>
      <c r="GB216" s="109">
        <f t="shared" ref="GB216:GB279" si="369">GD216-GC216</f>
        <v>0</v>
      </c>
      <c r="GC216" s="109">
        <f t="shared" si="327"/>
        <v>0</v>
      </c>
      <c r="GD216" s="109"/>
      <c r="GE216" s="109"/>
      <c r="GF216" s="111"/>
      <c r="GG216" s="111"/>
      <c r="GH216" s="165"/>
      <c r="GI216" s="109">
        <f t="shared" ref="GI216:GI279" si="370">GK216-GJ216</f>
        <v>0</v>
      </c>
      <c r="GJ216" s="109">
        <f t="shared" si="328"/>
        <v>0</v>
      </c>
      <c r="GK216" s="109"/>
      <c r="GL216" s="109"/>
      <c r="GM216" s="111"/>
      <c r="GN216" s="111"/>
      <c r="GO216" s="165"/>
      <c r="GP216" s="109">
        <f t="shared" ref="GP216:GP279" si="371">GR216-GQ216</f>
        <v>0</v>
      </c>
      <c r="GQ216" s="109">
        <f t="shared" si="329"/>
        <v>0</v>
      </c>
      <c r="GR216" s="109"/>
      <c r="GS216" s="109"/>
      <c r="GT216" s="111"/>
      <c r="GU216" s="111"/>
      <c r="GV216" s="165"/>
      <c r="GW216" s="168">
        <f t="shared" ref="GW216:GW279" si="372">GY216-GX216</f>
        <v>0</v>
      </c>
      <c r="GX216" s="168">
        <f t="shared" si="330"/>
        <v>0</v>
      </c>
      <c r="GY216" s="168"/>
      <c r="GZ216" s="168"/>
      <c r="HA216" s="111"/>
      <c r="HB216" s="111"/>
      <c r="HC216" s="165"/>
      <c r="HD216" s="109">
        <f t="shared" ref="HD216:HD279" si="373">HF216-HE216</f>
        <v>0</v>
      </c>
      <c r="HE216" s="109">
        <f t="shared" si="331"/>
        <v>0</v>
      </c>
      <c r="HF216" s="109"/>
      <c r="HG216" s="109"/>
      <c r="HH216" s="111"/>
      <c r="HI216" s="111"/>
      <c r="HJ216" s="165"/>
      <c r="HK216" s="109">
        <f t="shared" ref="HK216:HK279" si="374">HM216-HL216</f>
        <v>0</v>
      </c>
      <c r="HL216" s="109">
        <f t="shared" si="332"/>
        <v>0</v>
      </c>
      <c r="HM216" s="109"/>
      <c r="HN216" s="109"/>
      <c r="HO216" s="111"/>
      <c r="HP216" s="111"/>
      <c r="HQ216" s="165"/>
      <c r="HR216" s="109">
        <f t="shared" ref="HR216:HR279" si="375">HT216-HS216</f>
        <v>0</v>
      </c>
      <c r="HS216" s="109">
        <f t="shared" si="333"/>
        <v>0</v>
      </c>
      <c r="HT216" s="109"/>
      <c r="HU216" s="109"/>
      <c r="HV216" s="111"/>
      <c r="HW216" s="111"/>
      <c r="HX216" s="105">
        <f t="shared" si="351"/>
        <v>0</v>
      </c>
      <c r="HY216" s="105">
        <f t="shared" si="351"/>
        <v>0</v>
      </c>
      <c r="HZ216" s="105">
        <f t="shared" si="351"/>
        <v>0</v>
      </c>
      <c r="IA216" s="105">
        <f t="shared" si="345"/>
        <v>0</v>
      </c>
      <c r="IB216" s="109">
        <f t="shared" si="346"/>
        <v>0</v>
      </c>
      <c r="IC216" s="109">
        <f t="shared" si="347"/>
        <v>0</v>
      </c>
      <c r="ID216" s="109">
        <f t="shared" si="348"/>
        <v>0</v>
      </c>
      <c r="IE216" s="109">
        <f t="shared" si="349"/>
        <v>0</v>
      </c>
      <c r="IF216" s="197"/>
      <c r="IG216" s="197"/>
      <c r="IH216" s="197"/>
      <c r="II216" s="197"/>
      <c r="IJ216" s="197"/>
      <c r="IK216" s="197"/>
      <c r="IL216" s="197"/>
      <c r="IM216" s="171"/>
      <c r="IN216" s="171"/>
      <c r="IO216" s="171"/>
      <c r="IP216" s="171"/>
    </row>
    <row r="217" spans="1:250" ht="15" customHeight="1" x14ac:dyDescent="0.3">
      <c r="A217" s="110">
        <f t="shared" si="350"/>
        <v>213</v>
      </c>
      <c r="B217" s="111"/>
      <c r="C217" s="111"/>
      <c r="D217" s="111"/>
      <c r="E217" s="111"/>
      <c r="F217" s="111"/>
      <c r="G217" s="111"/>
      <c r="H217" s="111"/>
      <c r="I217" s="194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75"/>
      <c r="AI217" s="111"/>
      <c r="AJ217" s="111"/>
      <c r="AK217" s="111"/>
      <c r="AL217" s="177"/>
      <c r="AM217" s="176"/>
      <c r="AN217" s="177"/>
      <c r="AO217" s="157"/>
      <c r="AP217" s="158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75"/>
      <c r="BM217" s="111"/>
      <c r="BN217" s="111"/>
      <c r="BO217" s="111"/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1"/>
      <c r="CA217" s="111"/>
      <c r="CB217" s="111"/>
      <c r="CC217" s="178"/>
      <c r="CD217" s="177">
        <f t="shared" si="334"/>
        <v>0</v>
      </c>
      <c r="CE217" s="148"/>
      <c r="CF217" s="111">
        <f t="shared" si="335"/>
        <v>0</v>
      </c>
      <c r="CG217" s="177"/>
      <c r="CH217" s="204"/>
      <c r="CI217" s="148"/>
      <c r="CJ217" s="165"/>
      <c r="CK217" s="165"/>
      <c r="CL217" s="111"/>
      <c r="CM217" s="111"/>
      <c r="CN217" s="165">
        <f t="shared" si="336"/>
        <v>0</v>
      </c>
      <c r="CO217" s="109">
        <f t="shared" si="337"/>
        <v>0</v>
      </c>
      <c r="CP217" s="109">
        <f t="shared" si="338"/>
        <v>0</v>
      </c>
      <c r="CQ217" s="109"/>
      <c r="CR217" s="109"/>
      <c r="CS217" s="196"/>
      <c r="CT217" s="167"/>
      <c r="CU217" s="165"/>
      <c r="CV217" s="109">
        <f t="shared" si="339"/>
        <v>0</v>
      </c>
      <c r="CW217" s="109">
        <f t="shared" si="340"/>
        <v>0</v>
      </c>
      <c r="CX217" s="109"/>
      <c r="CY217" s="109"/>
      <c r="CZ217" s="111"/>
      <c r="DA217" s="111"/>
      <c r="DB217" s="165"/>
      <c r="DC217" s="109">
        <f t="shared" si="341"/>
        <v>0</v>
      </c>
      <c r="DD217" s="109">
        <f t="shared" si="342"/>
        <v>0</v>
      </c>
      <c r="DE217" s="109"/>
      <c r="DF217" s="109"/>
      <c r="DG217" s="111"/>
      <c r="DH217" s="111"/>
      <c r="DI217" s="165"/>
      <c r="DJ217" s="109">
        <f t="shared" si="343"/>
        <v>0</v>
      </c>
      <c r="DK217" s="109">
        <f t="shared" si="344"/>
        <v>0</v>
      </c>
      <c r="DL217" s="109"/>
      <c r="DM217" s="109"/>
      <c r="DN217" s="111"/>
      <c r="DO217" s="111"/>
      <c r="DP217" s="165"/>
      <c r="DQ217" s="109">
        <f t="shared" si="352"/>
        <v>0</v>
      </c>
      <c r="DR217" s="109">
        <f t="shared" si="353"/>
        <v>0</v>
      </c>
      <c r="DS217" s="109"/>
      <c r="DT217" s="109"/>
      <c r="DU217" s="111"/>
      <c r="DV217" s="111"/>
      <c r="DW217" s="165"/>
      <c r="DX217" s="109">
        <f t="shared" si="354"/>
        <v>0</v>
      </c>
      <c r="DY217" s="109">
        <f t="shared" si="355"/>
        <v>0</v>
      </c>
      <c r="DZ217" s="109"/>
      <c r="EA217" s="109"/>
      <c r="EB217" s="111"/>
      <c r="EC217" s="111"/>
      <c r="ED217" s="165"/>
      <c r="EE217" s="109">
        <f t="shared" si="356"/>
        <v>0</v>
      </c>
      <c r="EF217" s="109">
        <f t="shared" si="357"/>
        <v>0</v>
      </c>
      <c r="EG217" s="109"/>
      <c r="EH217" s="109"/>
      <c r="EI217" s="111"/>
      <c r="EJ217" s="111"/>
      <c r="EK217" s="165"/>
      <c r="EL217" s="109">
        <f t="shared" si="358"/>
        <v>0</v>
      </c>
      <c r="EM217" s="109">
        <f t="shared" si="359"/>
        <v>0</v>
      </c>
      <c r="EN217" s="109"/>
      <c r="EO217" s="109"/>
      <c r="EP217" s="111"/>
      <c r="EQ217" s="111"/>
      <c r="ER217" s="165"/>
      <c r="ES217" s="109">
        <f t="shared" si="360"/>
        <v>0</v>
      </c>
      <c r="ET217" s="109">
        <f t="shared" si="361"/>
        <v>0</v>
      </c>
      <c r="EU217" s="109"/>
      <c r="EV217" s="109"/>
      <c r="EW217" s="111"/>
      <c r="EX217" s="111"/>
      <c r="EY217" s="165"/>
      <c r="EZ217" s="109">
        <f t="shared" si="362"/>
        <v>0</v>
      </c>
      <c r="FA217" s="109">
        <f t="shared" si="363"/>
        <v>0</v>
      </c>
      <c r="FB217" s="109"/>
      <c r="FC217" s="109"/>
      <c r="FD217" s="111"/>
      <c r="FE217" s="111"/>
      <c r="FF217" s="165"/>
      <c r="FG217" s="109">
        <f t="shared" si="364"/>
        <v>0</v>
      </c>
      <c r="FH217" s="109">
        <f t="shared" si="365"/>
        <v>0</v>
      </c>
      <c r="FI217" s="109"/>
      <c r="FJ217" s="109"/>
      <c r="FK217" s="111"/>
      <c r="FL217" s="111"/>
      <c r="FM217" s="165"/>
      <c r="FN217" s="109">
        <f t="shared" si="366"/>
        <v>0</v>
      </c>
      <c r="FO217" s="109">
        <f t="shared" si="367"/>
        <v>0</v>
      </c>
      <c r="FP217" s="109"/>
      <c r="FQ217" s="109"/>
      <c r="FR217" s="111"/>
      <c r="FS217" s="111"/>
      <c r="FT217" s="165"/>
      <c r="FU217" s="109">
        <f t="shared" si="368"/>
        <v>0</v>
      </c>
      <c r="FV217" s="109">
        <f t="shared" si="326"/>
        <v>0</v>
      </c>
      <c r="FW217" s="109"/>
      <c r="FX217" s="109"/>
      <c r="FY217" s="111"/>
      <c r="FZ217" s="111"/>
      <c r="GA217" s="165"/>
      <c r="GB217" s="109">
        <f t="shared" si="369"/>
        <v>0</v>
      </c>
      <c r="GC217" s="109">
        <f t="shared" si="327"/>
        <v>0</v>
      </c>
      <c r="GD217" s="109"/>
      <c r="GE217" s="109"/>
      <c r="GF217" s="111"/>
      <c r="GG217" s="111"/>
      <c r="GH217" s="165"/>
      <c r="GI217" s="109">
        <f t="shared" si="370"/>
        <v>0</v>
      </c>
      <c r="GJ217" s="109">
        <f t="shared" si="328"/>
        <v>0</v>
      </c>
      <c r="GK217" s="109"/>
      <c r="GL217" s="109"/>
      <c r="GM217" s="111"/>
      <c r="GN217" s="111"/>
      <c r="GO217" s="165"/>
      <c r="GP217" s="109">
        <f t="shared" si="371"/>
        <v>0</v>
      </c>
      <c r="GQ217" s="109">
        <f t="shared" si="329"/>
        <v>0</v>
      </c>
      <c r="GR217" s="109"/>
      <c r="GS217" s="109"/>
      <c r="GT217" s="111"/>
      <c r="GU217" s="111"/>
      <c r="GV217" s="165"/>
      <c r="GW217" s="168">
        <f t="shared" si="372"/>
        <v>0</v>
      </c>
      <c r="GX217" s="168">
        <f t="shared" si="330"/>
        <v>0</v>
      </c>
      <c r="GY217" s="168"/>
      <c r="GZ217" s="168"/>
      <c r="HA217" s="111"/>
      <c r="HB217" s="111"/>
      <c r="HC217" s="165"/>
      <c r="HD217" s="109">
        <f t="shared" si="373"/>
        <v>0</v>
      </c>
      <c r="HE217" s="109">
        <f t="shared" si="331"/>
        <v>0</v>
      </c>
      <c r="HF217" s="109"/>
      <c r="HG217" s="109"/>
      <c r="HH217" s="111"/>
      <c r="HI217" s="111"/>
      <c r="HJ217" s="165"/>
      <c r="HK217" s="109">
        <f t="shared" si="374"/>
        <v>0</v>
      </c>
      <c r="HL217" s="109">
        <f t="shared" si="332"/>
        <v>0</v>
      </c>
      <c r="HM217" s="109"/>
      <c r="HN217" s="109"/>
      <c r="HO217" s="111"/>
      <c r="HP217" s="111"/>
      <c r="HQ217" s="165"/>
      <c r="HR217" s="109">
        <f t="shared" si="375"/>
        <v>0</v>
      </c>
      <c r="HS217" s="109">
        <f t="shared" si="333"/>
        <v>0</v>
      </c>
      <c r="HT217" s="109"/>
      <c r="HU217" s="109"/>
      <c r="HV217" s="111"/>
      <c r="HW217" s="111"/>
      <c r="HX217" s="105">
        <f t="shared" si="351"/>
        <v>0</v>
      </c>
      <c r="HY217" s="105">
        <f t="shared" si="351"/>
        <v>0</v>
      </c>
      <c r="HZ217" s="105">
        <f t="shared" si="351"/>
        <v>0</v>
      </c>
      <c r="IA217" s="105">
        <f t="shared" si="345"/>
        <v>0</v>
      </c>
      <c r="IB217" s="109">
        <f t="shared" si="346"/>
        <v>0</v>
      </c>
      <c r="IC217" s="109">
        <f t="shared" si="347"/>
        <v>0</v>
      </c>
      <c r="ID217" s="109">
        <f t="shared" si="348"/>
        <v>0</v>
      </c>
      <c r="IE217" s="109">
        <f t="shared" si="349"/>
        <v>0</v>
      </c>
      <c r="IF217" s="197"/>
      <c r="IG217" s="197"/>
      <c r="IH217" s="197"/>
      <c r="II217" s="197"/>
      <c r="IJ217" s="197"/>
      <c r="IK217" s="197"/>
      <c r="IL217" s="197"/>
      <c r="IM217" s="171"/>
      <c r="IN217" s="171"/>
      <c r="IO217" s="171"/>
      <c r="IP217" s="171"/>
    </row>
    <row r="218" spans="1:250" ht="15" customHeight="1" x14ac:dyDescent="0.3">
      <c r="A218" s="110">
        <f t="shared" si="350"/>
        <v>214</v>
      </c>
      <c r="B218" s="111"/>
      <c r="C218" s="111"/>
      <c r="D218" s="111"/>
      <c r="E218" s="111"/>
      <c r="F218" s="111"/>
      <c r="G218" s="111"/>
      <c r="H218" s="111"/>
      <c r="I218" s="194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75"/>
      <c r="AI218" s="111"/>
      <c r="AJ218" s="111"/>
      <c r="AK218" s="111"/>
      <c r="AL218" s="177"/>
      <c r="AM218" s="176"/>
      <c r="AN218" s="177"/>
      <c r="AO218" s="157"/>
      <c r="AP218" s="158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75"/>
      <c r="BM218" s="111"/>
      <c r="BN218" s="111"/>
      <c r="BO218" s="111"/>
      <c r="BP218" s="111"/>
      <c r="BQ218" s="111"/>
      <c r="BR218" s="111"/>
      <c r="BS218" s="111"/>
      <c r="BT218" s="111"/>
      <c r="BU218" s="111"/>
      <c r="BV218" s="111"/>
      <c r="BW218" s="111"/>
      <c r="BX218" s="111"/>
      <c r="BY218" s="111"/>
      <c r="BZ218" s="111"/>
      <c r="CA218" s="111"/>
      <c r="CB218" s="111"/>
      <c r="CC218" s="178"/>
      <c r="CD218" s="177">
        <f t="shared" si="334"/>
        <v>0</v>
      </c>
      <c r="CE218" s="148"/>
      <c r="CF218" s="111">
        <f t="shared" si="335"/>
        <v>0</v>
      </c>
      <c r="CG218" s="177"/>
      <c r="CH218" s="204"/>
      <c r="CI218" s="148"/>
      <c r="CJ218" s="165"/>
      <c r="CK218" s="165"/>
      <c r="CL218" s="111"/>
      <c r="CM218" s="111"/>
      <c r="CN218" s="165">
        <f t="shared" si="336"/>
        <v>0</v>
      </c>
      <c r="CO218" s="109">
        <f t="shared" si="337"/>
        <v>0</v>
      </c>
      <c r="CP218" s="109">
        <f t="shared" si="338"/>
        <v>0</v>
      </c>
      <c r="CQ218" s="109"/>
      <c r="CR218" s="109"/>
      <c r="CS218" s="196"/>
      <c r="CT218" s="167"/>
      <c r="CU218" s="165"/>
      <c r="CV218" s="109">
        <f t="shared" si="339"/>
        <v>0</v>
      </c>
      <c r="CW218" s="109">
        <f t="shared" si="340"/>
        <v>0</v>
      </c>
      <c r="CX218" s="109"/>
      <c r="CY218" s="109"/>
      <c r="CZ218" s="111"/>
      <c r="DA218" s="111"/>
      <c r="DB218" s="165"/>
      <c r="DC218" s="109">
        <f t="shared" si="341"/>
        <v>0</v>
      </c>
      <c r="DD218" s="109">
        <f t="shared" si="342"/>
        <v>0</v>
      </c>
      <c r="DE218" s="109"/>
      <c r="DF218" s="109"/>
      <c r="DG218" s="111"/>
      <c r="DH218" s="111"/>
      <c r="DI218" s="165"/>
      <c r="DJ218" s="109">
        <f t="shared" si="343"/>
        <v>0</v>
      </c>
      <c r="DK218" s="109">
        <f t="shared" si="344"/>
        <v>0</v>
      </c>
      <c r="DL218" s="109"/>
      <c r="DM218" s="109"/>
      <c r="DN218" s="111"/>
      <c r="DO218" s="111"/>
      <c r="DP218" s="165"/>
      <c r="DQ218" s="109">
        <f t="shared" si="352"/>
        <v>0</v>
      </c>
      <c r="DR218" s="109">
        <f t="shared" si="353"/>
        <v>0</v>
      </c>
      <c r="DS218" s="109"/>
      <c r="DT218" s="109"/>
      <c r="DU218" s="111"/>
      <c r="DV218" s="111"/>
      <c r="DW218" s="165"/>
      <c r="DX218" s="109">
        <f t="shared" si="354"/>
        <v>0</v>
      </c>
      <c r="DY218" s="109">
        <f t="shared" si="355"/>
        <v>0</v>
      </c>
      <c r="DZ218" s="109"/>
      <c r="EA218" s="109"/>
      <c r="EB218" s="111"/>
      <c r="EC218" s="111"/>
      <c r="ED218" s="165"/>
      <c r="EE218" s="109">
        <f t="shared" si="356"/>
        <v>0</v>
      </c>
      <c r="EF218" s="109">
        <f t="shared" si="357"/>
        <v>0</v>
      </c>
      <c r="EG218" s="109"/>
      <c r="EH218" s="109"/>
      <c r="EI218" s="111"/>
      <c r="EJ218" s="111"/>
      <c r="EK218" s="165"/>
      <c r="EL218" s="109">
        <f t="shared" si="358"/>
        <v>0</v>
      </c>
      <c r="EM218" s="109">
        <f t="shared" si="359"/>
        <v>0</v>
      </c>
      <c r="EN218" s="109"/>
      <c r="EO218" s="109"/>
      <c r="EP218" s="111"/>
      <c r="EQ218" s="111"/>
      <c r="ER218" s="165"/>
      <c r="ES218" s="109">
        <f t="shared" si="360"/>
        <v>0</v>
      </c>
      <c r="ET218" s="109">
        <f t="shared" si="361"/>
        <v>0</v>
      </c>
      <c r="EU218" s="109"/>
      <c r="EV218" s="109"/>
      <c r="EW218" s="111"/>
      <c r="EX218" s="111"/>
      <c r="EY218" s="165"/>
      <c r="EZ218" s="109">
        <f t="shared" si="362"/>
        <v>0</v>
      </c>
      <c r="FA218" s="109">
        <f t="shared" si="363"/>
        <v>0</v>
      </c>
      <c r="FB218" s="109"/>
      <c r="FC218" s="109"/>
      <c r="FD218" s="111"/>
      <c r="FE218" s="111"/>
      <c r="FF218" s="165"/>
      <c r="FG218" s="109">
        <f t="shared" si="364"/>
        <v>0</v>
      </c>
      <c r="FH218" s="109">
        <f t="shared" si="365"/>
        <v>0</v>
      </c>
      <c r="FI218" s="109"/>
      <c r="FJ218" s="109"/>
      <c r="FK218" s="111"/>
      <c r="FL218" s="111"/>
      <c r="FM218" s="165"/>
      <c r="FN218" s="109">
        <f t="shared" si="366"/>
        <v>0</v>
      </c>
      <c r="FO218" s="109">
        <f t="shared" si="367"/>
        <v>0</v>
      </c>
      <c r="FP218" s="109"/>
      <c r="FQ218" s="109"/>
      <c r="FR218" s="111"/>
      <c r="FS218" s="111"/>
      <c r="FT218" s="165"/>
      <c r="FU218" s="109">
        <f t="shared" si="368"/>
        <v>0</v>
      </c>
      <c r="FV218" s="109">
        <f t="shared" si="326"/>
        <v>0</v>
      </c>
      <c r="FW218" s="109"/>
      <c r="FX218" s="109"/>
      <c r="FY218" s="111"/>
      <c r="FZ218" s="111"/>
      <c r="GA218" s="165"/>
      <c r="GB218" s="109">
        <f t="shared" si="369"/>
        <v>0</v>
      </c>
      <c r="GC218" s="109">
        <f t="shared" si="327"/>
        <v>0</v>
      </c>
      <c r="GD218" s="109"/>
      <c r="GE218" s="109"/>
      <c r="GF218" s="111"/>
      <c r="GG218" s="111"/>
      <c r="GH218" s="165"/>
      <c r="GI218" s="109">
        <f t="shared" si="370"/>
        <v>0</v>
      </c>
      <c r="GJ218" s="109">
        <f t="shared" si="328"/>
        <v>0</v>
      </c>
      <c r="GK218" s="109"/>
      <c r="GL218" s="109"/>
      <c r="GM218" s="111"/>
      <c r="GN218" s="111"/>
      <c r="GO218" s="165"/>
      <c r="GP218" s="109">
        <f t="shared" si="371"/>
        <v>0</v>
      </c>
      <c r="GQ218" s="109">
        <f t="shared" si="329"/>
        <v>0</v>
      </c>
      <c r="GR218" s="109"/>
      <c r="GS218" s="109"/>
      <c r="GT218" s="111"/>
      <c r="GU218" s="111"/>
      <c r="GV218" s="165"/>
      <c r="GW218" s="168">
        <f t="shared" si="372"/>
        <v>0</v>
      </c>
      <c r="GX218" s="168">
        <f t="shared" si="330"/>
        <v>0</v>
      </c>
      <c r="GY218" s="168"/>
      <c r="GZ218" s="168"/>
      <c r="HA218" s="111"/>
      <c r="HB218" s="111"/>
      <c r="HC218" s="165"/>
      <c r="HD218" s="109">
        <f t="shared" si="373"/>
        <v>0</v>
      </c>
      <c r="HE218" s="109">
        <f t="shared" si="331"/>
        <v>0</v>
      </c>
      <c r="HF218" s="109"/>
      <c r="HG218" s="109"/>
      <c r="HH218" s="111"/>
      <c r="HI218" s="111"/>
      <c r="HJ218" s="165"/>
      <c r="HK218" s="109">
        <f t="shared" si="374"/>
        <v>0</v>
      </c>
      <c r="HL218" s="109">
        <f t="shared" si="332"/>
        <v>0</v>
      </c>
      <c r="HM218" s="109"/>
      <c r="HN218" s="109"/>
      <c r="HO218" s="111"/>
      <c r="HP218" s="111"/>
      <c r="HQ218" s="165"/>
      <c r="HR218" s="109">
        <f t="shared" si="375"/>
        <v>0</v>
      </c>
      <c r="HS218" s="109">
        <f t="shared" si="333"/>
        <v>0</v>
      </c>
      <c r="HT218" s="109"/>
      <c r="HU218" s="109"/>
      <c r="HV218" s="111"/>
      <c r="HW218" s="111"/>
      <c r="HX218" s="105">
        <f t="shared" si="351"/>
        <v>0</v>
      </c>
      <c r="HY218" s="105">
        <f t="shared" si="351"/>
        <v>0</v>
      </c>
      <c r="HZ218" s="105">
        <f t="shared" si="351"/>
        <v>0</v>
      </c>
      <c r="IA218" s="105">
        <f t="shared" si="345"/>
        <v>0</v>
      </c>
      <c r="IB218" s="109">
        <f t="shared" si="346"/>
        <v>0</v>
      </c>
      <c r="IC218" s="109">
        <f t="shared" si="347"/>
        <v>0</v>
      </c>
      <c r="ID218" s="109">
        <f t="shared" si="348"/>
        <v>0</v>
      </c>
      <c r="IE218" s="109">
        <f t="shared" si="349"/>
        <v>0</v>
      </c>
      <c r="IF218" s="197"/>
      <c r="IG218" s="197"/>
      <c r="IH218" s="197"/>
      <c r="II218" s="197"/>
      <c r="IJ218" s="197"/>
      <c r="IK218" s="197"/>
      <c r="IL218" s="197"/>
      <c r="IM218" s="171"/>
      <c r="IN218" s="171"/>
      <c r="IO218" s="171"/>
      <c r="IP218" s="171"/>
    </row>
    <row r="219" spans="1:250" ht="15" customHeight="1" x14ac:dyDescent="0.3">
      <c r="A219" s="110">
        <f t="shared" si="350"/>
        <v>215</v>
      </c>
      <c r="B219" s="111"/>
      <c r="C219" s="111"/>
      <c r="D219" s="111"/>
      <c r="E219" s="111"/>
      <c r="F219" s="111"/>
      <c r="G219" s="111"/>
      <c r="H219" s="111"/>
      <c r="I219" s="194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75"/>
      <c r="AI219" s="111"/>
      <c r="AJ219" s="111"/>
      <c r="AK219" s="111"/>
      <c r="AL219" s="177"/>
      <c r="AM219" s="176"/>
      <c r="AN219" s="177"/>
      <c r="AO219" s="157"/>
      <c r="AP219" s="158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11"/>
      <c r="BL219" s="175"/>
      <c r="BM219" s="111"/>
      <c r="BN219" s="111"/>
      <c r="BO219" s="111"/>
      <c r="BP219" s="111"/>
      <c r="BQ219" s="111"/>
      <c r="BR219" s="111"/>
      <c r="BS219" s="111"/>
      <c r="BT219" s="111"/>
      <c r="BU219" s="111"/>
      <c r="BV219" s="111"/>
      <c r="BW219" s="111"/>
      <c r="BX219" s="111"/>
      <c r="BY219" s="111"/>
      <c r="BZ219" s="111"/>
      <c r="CA219" s="111"/>
      <c r="CB219" s="111"/>
      <c r="CC219" s="178"/>
      <c r="CD219" s="177">
        <f t="shared" si="334"/>
        <v>0</v>
      </c>
      <c r="CE219" s="148"/>
      <c r="CF219" s="111">
        <f t="shared" si="335"/>
        <v>0</v>
      </c>
      <c r="CG219" s="177"/>
      <c r="CH219" s="204"/>
      <c r="CI219" s="148"/>
      <c r="CJ219" s="165"/>
      <c r="CK219" s="165"/>
      <c r="CL219" s="111"/>
      <c r="CM219" s="111"/>
      <c r="CN219" s="165">
        <f t="shared" si="336"/>
        <v>0</v>
      </c>
      <c r="CO219" s="109">
        <f t="shared" si="337"/>
        <v>0</v>
      </c>
      <c r="CP219" s="109">
        <f t="shared" si="338"/>
        <v>0</v>
      </c>
      <c r="CQ219" s="109"/>
      <c r="CR219" s="109"/>
      <c r="CS219" s="196"/>
      <c r="CT219" s="167"/>
      <c r="CU219" s="165"/>
      <c r="CV219" s="109">
        <f t="shared" si="339"/>
        <v>0</v>
      </c>
      <c r="CW219" s="109">
        <f t="shared" si="340"/>
        <v>0</v>
      </c>
      <c r="CX219" s="109"/>
      <c r="CY219" s="109"/>
      <c r="CZ219" s="111"/>
      <c r="DA219" s="111"/>
      <c r="DB219" s="165"/>
      <c r="DC219" s="109">
        <f t="shared" si="341"/>
        <v>0</v>
      </c>
      <c r="DD219" s="109">
        <f t="shared" si="342"/>
        <v>0</v>
      </c>
      <c r="DE219" s="109"/>
      <c r="DF219" s="109"/>
      <c r="DG219" s="111"/>
      <c r="DH219" s="111"/>
      <c r="DI219" s="165"/>
      <c r="DJ219" s="109">
        <f t="shared" si="343"/>
        <v>0</v>
      </c>
      <c r="DK219" s="109">
        <f t="shared" si="344"/>
        <v>0</v>
      </c>
      <c r="DL219" s="109"/>
      <c r="DM219" s="109"/>
      <c r="DN219" s="111"/>
      <c r="DO219" s="111"/>
      <c r="DP219" s="165"/>
      <c r="DQ219" s="109">
        <f t="shared" si="352"/>
        <v>0</v>
      </c>
      <c r="DR219" s="109">
        <f t="shared" si="353"/>
        <v>0</v>
      </c>
      <c r="DS219" s="109"/>
      <c r="DT219" s="109"/>
      <c r="DU219" s="111"/>
      <c r="DV219" s="111"/>
      <c r="DW219" s="165"/>
      <c r="DX219" s="109">
        <f t="shared" si="354"/>
        <v>0</v>
      </c>
      <c r="DY219" s="109">
        <f t="shared" si="355"/>
        <v>0</v>
      </c>
      <c r="DZ219" s="109"/>
      <c r="EA219" s="109"/>
      <c r="EB219" s="111"/>
      <c r="EC219" s="111"/>
      <c r="ED219" s="165"/>
      <c r="EE219" s="109">
        <f t="shared" si="356"/>
        <v>0</v>
      </c>
      <c r="EF219" s="109">
        <f t="shared" si="357"/>
        <v>0</v>
      </c>
      <c r="EG219" s="109"/>
      <c r="EH219" s="109"/>
      <c r="EI219" s="111"/>
      <c r="EJ219" s="111"/>
      <c r="EK219" s="165"/>
      <c r="EL219" s="109">
        <f t="shared" si="358"/>
        <v>0</v>
      </c>
      <c r="EM219" s="109">
        <f t="shared" si="359"/>
        <v>0</v>
      </c>
      <c r="EN219" s="109"/>
      <c r="EO219" s="109"/>
      <c r="EP219" s="111"/>
      <c r="EQ219" s="111"/>
      <c r="ER219" s="165"/>
      <c r="ES219" s="109">
        <f t="shared" si="360"/>
        <v>0</v>
      </c>
      <c r="ET219" s="109">
        <f t="shared" si="361"/>
        <v>0</v>
      </c>
      <c r="EU219" s="109"/>
      <c r="EV219" s="109"/>
      <c r="EW219" s="111"/>
      <c r="EX219" s="111"/>
      <c r="EY219" s="165"/>
      <c r="EZ219" s="109">
        <f t="shared" si="362"/>
        <v>0</v>
      </c>
      <c r="FA219" s="109">
        <f t="shared" si="363"/>
        <v>0</v>
      </c>
      <c r="FB219" s="109"/>
      <c r="FC219" s="109"/>
      <c r="FD219" s="111"/>
      <c r="FE219" s="111"/>
      <c r="FF219" s="165"/>
      <c r="FG219" s="109">
        <f t="shared" si="364"/>
        <v>0</v>
      </c>
      <c r="FH219" s="109">
        <f t="shared" si="365"/>
        <v>0</v>
      </c>
      <c r="FI219" s="109"/>
      <c r="FJ219" s="109"/>
      <c r="FK219" s="111"/>
      <c r="FL219" s="111"/>
      <c r="FM219" s="165"/>
      <c r="FN219" s="109">
        <f t="shared" si="366"/>
        <v>0</v>
      </c>
      <c r="FO219" s="109">
        <f t="shared" si="367"/>
        <v>0</v>
      </c>
      <c r="FP219" s="109"/>
      <c r="FQ219" s="109"/>
      <c r="FR219" s="111"/>
      <c r="FS219" s="111"/>
      <c r="FT219" s="165"/>
      <c r="FU219" s="109">
        <f t="shared" si="368"/>
        <v>0</v>
      </c>
      <c r="FV219" s="109">
        <f t="shared" si="326"/>
        <v>0</v>
      </c>
      <c r="FW219" s="109"/>
      <c r="FX219" s="109"/>
      <c r="FY219" s="111"/>
      <c r="FZ219" s="111"/>
      <c r="GA219" s="165"/>
      <c r="GB219" s="109">
        <f t="shared" si="369"/>
        <v>0</v>
      </c>
      <c r="GC219" s="109">
        <f t="shared" si="327"/>
        <v>0</v>
      </c>
      <c r="GD219" s="109"/>
      <c r="GE219" s="109"/>
      <c r="GF219" s="111"/>
      <c r="GG219" s="111"/>
      <c r="GH219" s="165"/>
      <c r="GI219" s="109">
        <f t="shared" si="370"/>
        <v>0</v>
      </c>
      <c r="GJ219" s="109">
        <f t="shared" si="328"/>
        <v>0</v>
      </c>
      <c r="GK219" s="109"/>
      <c r="GL219" s="109"/>
      <c r="GM219" s="111"/>
      <c r="GN219" s="111"/>
      <c r="GO219" s="165"/>
      <c r="GP219" s="109">
        <f t="shared" si="371"/>
        <v>0</v>
      </c>
      <c r="GQ219" s="109">
        <f t="shared" si="329"/>
        <v>0</v>
      </c>
      <c r="GR219" s="109"/>
      <c r="GS219" s="109"/>
      <c r="GT219" s="111"/>
      <c r="GU219" s="111"/>
      <c r="GV219" s="165"/>
      <c r="GW219" s="168">
        <f t="shared" si="372"/>
        <v>0</v>
      </c>
      <c r="GX219" s="168">
        <f t="shared" si="330"/>
        <v>0</v>
      </c>
      <c r="GY219" s="168"/>
      <c r="GZ219" s="168"/>
      <c r="HA219" s="111"/>
      <c r="HB219" s="111"/>
      <c r="HC219" s="165"/>
      <c r="HD219" s="109">
        <f t="shared" si="373"/>
        <v>0</v>
      </c>
      <c r="HE219" s="109">
        <f t="shared" si="331"/>
        <v>0</v>
      </c>
      <c r="HF219" s="109"/>
      <c r="HG219" s="109"/>
      <c r="HH219" s="111"/>
      <c r="HI219" s="111"/>
      <c r="HJ219" s="165"/>
      <c r="HK219" s="109">
        <f t="shared" si="374"/>
        <v>0</v>
      </c>
      <c r="HL219" s="109">
        <f t="shared" si="332"/>
        <v>0</v>
      </c>
      <c r="HM219" s="109"/>
      <c r="HN219" s="109"/>
      <c r="HO219" s="111"/>
      <c r="HP219" s="111"/>
      <c r="HQ219" s="165"/>
      <c r="HR219" s="109">
        <f t="shared" si="375"/>
        <v>0</v>
      </c>
      <c r="HS219" s="109">
        <f t="shared" si="333"/>
        <v>0</v>
      </c>
      <c r="HT219" s="109"/>
      <c r="HU219" s="109"/>
      <c r="HV219" s="111"/>
      <c r="HW219" s="111"/>
      <c r="HX219" s="105">
        <f t="shared" si="351"/>
        <v>0</v>
      </c>
      <c r="HY219" s="105">
        <f t="shared" si="351"/>
        <v>0</v>
      </c>
      <c r="HZ219" s="105">
        <f t="shared" si="351"/>
        <v>0</v>
      </c>
      <c r="IA219" s="105">
        <f t="shared" si="345"/>
        <v>0</v>
      </c>
      <c r="IB219" s="109">
        <f t="shared" si="346"/>
        <v>0</v>
      </c>
      <c r="IC219" s="109">
        <f t="shared" si="347"/>
        <v>0</v>
      </c>
      <c r="ID219" s="109">
        <f t="shared" si="348"/>
        <v>0</v>
      </c>
      <c r="IE219" s="109">
        <f t="shared" si="349"/>
        <v>0</v>
      </c>
      <c r="IF219" s="197"/>
      <c r="IG219" s="197"/>
      <c r="IH219" s="197"/>
      <c r="II219" s="197"/>
      <c r="IJ219" s="197"/>
      <c r="IK219" s="197"/>
      <c r="IL219" s="197"/>
      <c r="IM219" s="171"/>
      <c r="IN219" s="171"/>
      <c r="IO219" s="171"/>
      <c r="IP219" s="171"/>
    </row>
    <row r="220" spans="1:250" ht="15" customHeight="1" x14ac:dyDescent="0.3">
      <c r="A220" s="110">
        <f t="shared" si="350"/>
        <v>216</v>
      </c>
      <c r="B220" s="111"/>
      <c r="C220" s="111"/>
      <c r="D220" s="111"/>
      <c r="E220" s="111"/>
      <c r="F220" s="111"/>
      <c r="G220" s="111"/>
      <c r="H220" s="111"/>
      <c r="I220" s="194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75"/>
      <c r="AI220" s="111"/>
      <c r="AJ220" s="111"/>
      <c r="AK220" s="111"/>
      <c r="AL220" s="177"/>
      <c r="AM220" s="176"/>
      <c r="AN220" s="177"/>
      <c r="AO220" s="157"/>
      <c r="AP220" s="158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  <c r="BJ220" s="111"/>
      <c r="BK220" s="111"/>
      <c r="BL220" s="175"/>
      <c r="BM220" s="111"/>
      <c r="BN220" s="111"/>
      <c r="BO220" s="111"/>
      <c r="BP220" s="111"/>
      <c r="BQ220" s="111"/>
      <c r="BR220" s="111"/>
      <c r="BS220" s="111"/>
      <c r="BT220" s="111"/>
      <c r="BU220" s="111"/>
      <c r="BV220" s="111"/>
      <c r="BW220" s="111"/>
      <c r="BX220" s="111"/>
      <c r="BY220" s="111"/>
      <c r="BZ220" s="111"/>
      <c r="CA220" s="111"/>
      <c r="CB220" s="111"/>
      <c r="CC220" s="178"/>
      <c r="CD220" s="177">
        <f t="shared" si="334"/>
        <v>0</v>
      </c>
      <c r="CE220" s="148"/>
      <c r="CF220" s="111">
        <f t="shared" si="335"/>
        <v>0</v>
      </c>
      <c r="CG220" s="177"/>
      <c r="CH220" s="204"/>
      <c r="CI220" s="148"/>
      <c r="CJ220" s="165"/>
      <c r="CK220" s="165"/>
      <c r="CL220" s="111"/>
      <c r="CM220" s="111"/>
      <c r="CN220" s="165">
        <f t="shared" si="336"/>
        <v>0</v>
      </c>
      <c r="CO220" s="109">
        <f t="shared" si="337"/>
        <v>0</v>
      </c>
      <c r="CP220" s="109">
        <f t="shared" si="338"/>
        <v>0</v>
      </c>
      <c r="CQ220" s="109"/>
      <c r="CR220" s="109"/>
      <c r="CS220" s="196"/>
      <c r="CT220" s="167"/>
      <c r="CU220" s="165"/>
      <c r="CV220" s="109">
        <f t="shared" si="339"/>
        <v>0</v>
      </c>
      <c r="CW220" s="109">
        <f t="shared" si="340"/>
        <v>0</v>
      </c>
      <c r="CX220" s="109"/>
      <c r="CY220" s="109"/>
      <c r="CZ220" s="111"/>
      <c r="DA220" s="111"/>
      <c r="DB220" s="165"/>
      <c r="DC220" s="109">
        <f t="shared" si="341"/>
        <v>0</v>
      </c>
      <c r="DD220" s="109">
        <f t="shared" si="342"/>
        <v>0</v>
      </c>
      <c r="DE220" s="109"/>
      <c r="DF220" s="109"/>
      <c r="DG220" s="111"/>
      <c r="DH220" s="111"/>
      <c r="DI220" s="165"/>
      <c r="DJ220" s="109">
        <f t="shared" si="343"/>
        <v>0</v>
      </c>
      <c r="DK220" s="109">
        <f t="shared" si="344"/>
        <v>0</v>
      </c>
      <c r="DL220" s="109"/>
      <c r="DM220" s="109"/>
      <c r="DN220" s="111"/>
      <c r="DO220" s="111"/>
      <c r="DP220" s="165"/>
      <c r="DQ220" s="109">
        <f t="shared" si="352"/>
        <v>0</v>
      </c>
      <c r="DR220" s="109">
        <f t="shared" si="353"/>
        <v>0</v>
      </c>
      <c r="DS220" s="109"/>
      <c r="DT220" s="109"/>
      <c r="DU220" s="111"/>
      <c r="DV220" s="111"/>
      <c r="DW220" s="165"/>
      <c r="DX220" s="109">
        <f t="shared" si="354"/>
        <v>0</v>
      </c>
      <c r="DY220" s="109">
        <f t="shared" si="355"/>
        <v>0</v>
      </c>
      <c r="DZ220" s="109"/>
      <c r="EA220" s="109"/>
      <c r="EB220" s="111"/>
      <c r="EC220" s="111"/>
      <c r="ED220" s="165"/>
      <c r="EE220" s="109">
        <f t="shared" si="356"/>
        <v>0</v>
      </c>
      <c r="EF220" s="109">
        <f t="shared" si="357"/>
        <v>0</v>
      </c>
      <c r="EG220" s="109"/>
      <c r="EH220" s="109"/>
      <c r="EI220" s="111"/>
      <c r="EJ220" s="111"/>
      <c r="EK220" s="165"/>
      <c r="EL220" s="109">
        <f t="shared" si="358"/>
        <v>0</v>
      </c>
      <c r="EM220" s="109">
        <f t="shared" si="359"/>
        <v>0</v>
      </c>
      <c r="EN220" s="109"/>
      <c r="EO220" s="109"/>
      <c r="EP220" s="111"/>
      <c r="EQ220" s="111"/>
      <c r="ER220" s="165"/>
      <c r="ES220" s="109">
        <f t="shared" si="360"/>
        <v>0</v>
      </c>
      <c r="ET220" s="109">
        <f t="shared" si="361"/>
        <v>0</v>
      </c>
      <c r="EU220" s="109"/>
      <c r="EV220" s="109"/>
      <c r="EW220" s="111"/>
      <c r="EX220" s="111"/>
      <c r="EY220" s="165"/>
      <c r="EZ220" s="109">
        <f t="shared" si="362"/>
        <v>0</v>
      </c>
      <c r="FA220" s="109">
        <f t="shared" si="363"/>
        <v>0</v>
      </c>
      <c r="FB220" s="109"/>
      <c r="FC220" s="109"/>
      <c r="FD220" s="111"/>
      <c r="FE220" s="111"/>
      <c r="FF220" s="165"/>
      <c r="FG220" s="109">
        <f t="shared" si="364"/>
        <v>0</v>
      </c>
      <c r="FH220" s="109">
        <f t="shared" si="365"/>
        <v>0</v>
      </c>
      <c r="FI220" s="109"/>
      <c r="FJ220" s="109"/>
      <c r="FK220" s="111"/>
      <c r="FL220" s="111"/>
      <c r="FM220" s="165"/>
      <c r="FN220" s="109">
        <f t="shared" si="366"/>
        <v>0</v>
      </c>
      <c r="FO220" s="109">
        <f t="shared" si="367"/>
        <v>0</v>
      </c>
      <c r="FP220" s="109"/>
      <c r="FQ220" s="109"/>
      <c r="FR220" s="111"/>
      <c r="FS220" s="111"/>
      <c r="FT220" s="165"/>
      <c r="FU220" s="109">
        <f t="shared" si="368"/>
        <v>0</v>
      </c>
      <c r="FV220" s="109">
        <f t="shared" si="326"/>
        <v>0</v>
      </c>
      <c r="FW220" s="109"/>
      <c r="FX220" s="109"/>
      <c r="FY220" s="111"/>
      <c r="FZ220" s="111"/>
      <c r="GA220" s="165"/>
      <c r="GB220" s="109">
        <f t="shared" si="369"/>
        <v>0</v>
      </c>
      <c r="GC220" s="109">
        <f t="shared" si="327"/>
        <v>0</v>
      </c>
      <c r="GD220" s="109"/>
      <c r="GE220" s="109"/>
      <c r="GF220" s="111"/>
      <c r="GG220" s="111"/>
      <c r="GH220" s="165"/>
      <c r="GI220" s="109">
        <f t="shared" si="370"/>
        <v>0</v>
      </c>
      <c r="GJ220" s="109">
        <f t="shared" si="328"/>
        <v>0</v>
      </c>
      <c r="GK220" s="109"/>
      <c r="GL220" s="109"/>
      <c r="GM220" s="111"/>
      <c r="GN220" s="111"/>
      <c r="GO220" s="165"/>
      <c r="GP220" s="109">
        <f t="shared" si="371"/>
        <v>0</v>
      </c>
      <c r="GQ220" s="109">
        <f t="shared" si="329"/>
        <v>0</v>
      </c>
      <c r="GR220" s="109"/>
      <c r="GS220" s="109"/>
      <c r="GT220" s="111"/>
      <c r="GU220" s="111"/>
      <c r="GV220" s="165"/>
      <c r="GW220" s="168">
        <f t="shared" si="372"/>
        <v>0</v>
      </c>
      <c r="GX220" s="168">
        <f t="shared" si="330"/>
        <v>0</v>
      </c>
      <c r="GY220" s="168"/>
      <c r="GZ220" s="168"/>
      <c r="HA220" s="111"/>
      <c r="HB220" s="111"/>
      <c r="HC220" s="165"/>
      <c r="HD220" s="109">
        <f t="shared" si="373"/>
        <v>0</v>
      </c>
      <c r="HE220" s="109">
        <f t="shared" si="331"/>
        <v>0</v>
      </c>
      <c r="HF220" s="109"/>
      <c r="HG220" s="109"/>
      <c r="HH220" s="111"/>
      <c r="HI220" s="111"/>
      <c r="HJ220" s="165"/>
      <c r="HK220" s="109">
        <f t="shared" si="374"/>
        <v>0</v>
      </c>
      <c r="HL220" s="109">
        <f t="shared" si="332"/>
        <v>0</v>
      </c>
      <c r="HM220" s="109"/>
      <c r="HN220" s="109"/>
      <c r="HO220" s="111"/>
      <c r="HP220" s="111"/>
      <c r="HQ220" s="165"/>
      <c r="HR220" s="109">
        <f t="shared" si="375"/>
        <v>0</v>
      </c>
      <c r="HS220" s="109">
        <f t="shared" si="333"/>
        <v>0</v>
      </c>
      <c r="HT220" s="109"/>
      <c r="HU220" s="109"/>
      <c r="HV220" s="111"/>
      <c r="HW220" s="111"/>
      <c r="HX220" s="105">
        <f t="shared" si="351"/>
        <v>0</v>
      </c>
      <c r="HY220" s="105">
        <f t="shared" si="351"/>
        <v>0</v>
      </c>
      <c r="HZ220" s="105">
        <f t="shared" si="351"/>
        <v>0</v>
      </c>
      <c r="IA220" s="105">
        <f t="shared" si="345"/>
        <v>0</v>
      </c>
      <c r="IB220" s="109">
        <f t="shared" si="346"/>
        <v>0</v>
      </c>
      <c r="IC220" s="109">
        <f t="shared" si="347"/>
        <v>0</v>
      </c>
      <c r="ID220" s="109">
        <f t="shared" si="348"/>
        <v>0</v>
      </c>
      <c r="IE220" s="109">
        <f t="shared" si="349"/>
        <v>0</v>
      </c>
      <c r="IF220" s="197"/>
      <c r="IG220" s="197"/>
      <c r="IH220" s="197"/>
      <c r="II220" s="197"/>
      <c r="IJ220" s="197"/>
      <c r="IK220" s="197"/>
      <c r="IL220" s="197"/>
      <c r="IM220" s="171"/>
      <c r="IN220" s="171"/>
      <c r="IO220" s="171"/>
      <c r="IP220" s="171"/>
    </row>
    <row r="221" spans="1:250" ht="15" customHeight="1" x14ac:dyDescent="0.3">
      <c r="A221" s="110">
        <f t="shared" si="350"/>
        <v>217</v>
      </c>
      <c r="B221" s="111"/>
      <c r="C221" s="111"/>
      <c r="D221" s="111"/>
      <c r="E221" s="111"/>
      <c r="F221" s="111"/>
      <c r="G221" s="111"/>
      <c r="H221" s="111"/>
      <c r="I221" s="194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75"/>
      <c r="AI221" s="111"/>
      <c r="AJ221" s="111"/>
      <c r="AK221" s="111"/>
      <c r="AL221" s="177"/>
      <c r="AM221" s="176"/>
      <c r="AN221" s="177"/>
      <c r="AO221" s="157"/>
      <c r="AP221" s="158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75"/>
      <c r="BM221" s="111"/>
      <c r="BN221" s="111"/>
      <c r="BO221" s="111"/>
      <c r="BP221" s="111"/>
      <c r="BQ221" s="111"/>
      <c r="BR221" s="111"/>
      <c r="BS221" s="111"/>
      <c r="BT221" s="111"/>
      <c r="BU221" s="111"/>
      <c r="BV221" s="111"/>
      <c r="BW221" s="111"/>
      <c r="BX221" s="111"/>
      <c r="BY221" s="111"/>
      <c r="BZ221" s="111"/>
      <c r="CA221" s="111"/>
      <c r="CB221" s="111"/>
      <c r="CC221" s="178"/>
      <c r="CD221" s="177">
        <f t="shared" si="334"/>
        <v>0</v>
      </c>
      <c r="CE221" s="148"/>
      <c r="CF221" s="111">
        <f t="shared" si="335"/>
        <v>0</v>
      </c>
      <c r="CG221" s="177"/>
      <c r="CH221" s="204"/>
      <c r="CI221" s="148"/>
      <c r="CJ221" s="165"/>
      <c r="CK221" s="165"/>
      <c r="CL221" s="111"/>
      <c r="CM221" s="111"/>
      <c r="CN221" s="165">
        <f t="shared" si="336"/>
        <v>0</v>
      </c>
      <c r="CO221" s="109">
        <f t="shared" si="337"/>
        <v>0</v>
      </c>
      <c r="CP221" s="109">
        <f t="shared" si="338"/>
        <v>0</v>
      </c>
      <c r="CQ221" s="109"/>
      <c r="CR221" s="109"/>
      <c r="CS221" s="196"/>
      <c r="CT221" s="167"/>
      <c r="CU221" s="165"/>
      <c r="CV221" s="109">
        <f t="shared" si="339"/>
        <v>0</v>
      </c>
      <c r="CW221" s="109">
        <f t="shared" si="340"/>
        <v>0</v>
      </c>
      <c r="CX221" s="109"/>
      <c r="CY221" s="109"/>
      <c r="CZ221" s="111"/>
      <c r="DA221" s="111"/>
      <c r="DB221" s="165"/>
      <c r="DC221" s="109">
        <f t="shared" si="341"/>
        <v>0</v>
      </c>
      <c r="DD221" s="109">
        <f t="shared" si="342"/>
        <v>0</v>
      </c>
      <c r="DE221" s="109"/>
      <c r="DF221" s="109"/>
      <c r="DG221" s="111"/>
      <c r="DH221" s="111"/>
      <c r="DI221" s="165"/>
      <c r="DJ221" s="109">
        <f t="shared" si="343"/>
        <v>0</v>
      </c>
      <c r="DK221" s="109">
        <f t="shared" si="344"/>
        <v>0</v>
      </c>
      <c r="DL221" s="109"/>
      <c r="DM221" s="109"/>
      <c r="DN221" s="111"/>
      <c r="DO221" s="111"/>
      <c r="DP221" s="165"/>
      <c r="DQ221" s="109">
        <f t="shared" si="352"/>
        <v>0</v>
      </c>
      <c r="DR221" s="109">
        <f t="shared" si="353"/>
        <v>0</v>
      </c>
      <c r="DS221" s="109"/>
      <c r="DT221" s="109"/>
      <c r="DU221" s="111"/>
      <c r="DV221" s="111"/>
      <c r="DW221" s="165"/>
      <c r="DX221" s="109">
        <f t="shared" si="354"/>
        <v>0</v>
      </c>
      <c r="DY221" s="109">
        <f t="shared" si="355"/>
        <v>0</v>
      </c>
      <c r="DZ221" s="109"/>
      <c r="EA221" s="109"/>
      <c r="EB221" s="111"/>
      <c r="EC221" s="111"/>
      <c r="ED221" s="165"/>
      <c r="EE221" s="109">
        <f t="shared" si="356"/>
        <v>0</v>
      </c>
      <c r="EF221" s="109">
        <f t="shared" si="357"/>
        <v>0</v>
      </c>
      <c r="EG221" s="109"/>
      <c r="EH221" s="109"/>
      <c r="EI221" s="111"/>
      <c r="EJ221" s="111"/>
      <c r="EK221" s="165"/>
      <c r="EL221" s="109">
        <f t="shared" si="358"/>
        <v>0</v>
      </c>
      <c r="EM221" s="109">
        <f t="shared" si="359"/>
        <v>0</v>
      </c>
      <c r="EN221" s="109"/>
      <c r="EO221" s="109"/>
      <c r="EP221" s="111"/>
      <c r="EQ221" s="111"/>
      <c r="ER221" s="165"/>
      <c r="ES221" s="109">
        <f t="shared" si="360"/>
        <v>0</v>
      </c>
      <c r="ET221" s="109">
        <f t="shared" si="361"/>
        <v>0</v>
      </c>
      <c r="EU221" s="109"/>
      <c r="EV221" s="109"/>
      <c r="EW221" s="111"/>
      <c r="EX221" s="111"/>
      <c r="EY221" s="165"/>
      <c r="EZ221" s="109">
        <f t="shared" si="362"/>
        <v>0</v>
      </c>
      <c r="FA221" s="109">
        <f t="shared" si="363"/>
        <v>0</v>
      </c>
      <c r="FB221" s="109"/>
      <c r="FC221" s="109"/>
      <c r="FD221" s="111"/>
      <c r="FE221" s="111"/>
      <c r="FF221" s="165"/>
      <c r="FG221" s="109">
        <f t="shared" si="364"/>
        <v>0</v>
      </c>
      <c r="FH221" s="109">
        <f t="shared" si="365"/>
        <v>0</v>
      </c>
      <c r="FI221" s="109"/>
      <c r="FJ221" s="109"/>
      <c r="FK221" s="111"/>
      <c r="FL221" s="111"/>
      <c r="FM221" s="165"/>
      <c r="FN221" s="109">
        <f t="shared" si="366"/>
        <v>0</v>
      </c>
      <c r="FO221" s="109">
        <f t="shared" si="367"/>
        <v>0</v>
      </c>
      <c r="FP221" s="109"/>
      <c r="FQ221" s="109"/>
      <c r="FR221" s="111"/>
      <c r="FS221" s="111"/>
      <c r="FT221" s="165"/>
      <c r="FU221" s="109">
        <f t="shared" si="368"/>
        <v>0</v>
      </c>
      <c r="FV221" s="109">
        <f t="shared" si="326"/>
        <v>0</v>
      </c>
      <c r="FW221" s="109"/>
      <c r="FX221" s="109"/>
      <c r="FY221" s="111"/>
      <c r="FZ221" s="111"/>
      <c r="GA221" s="165"/>
      <c r="GB221" s="109">
        <f t="shared" si="369"/>
        <v>0</v>
      </c>
      <c r="GC221" s="109">
        <f t="shared" si="327"/>
        <v>0</v>
      </c>
      <c r="GD221" s="109"/>
      <c r="GE221" s="109"/>
      <c r="GF221" s="111"/>
      <c r="GG221" s="111"/>
      <c r="GH221" s="165"/>
      <c r="GI221" s="109">
        <f t="shared" si="370"/>
        <v>0</v>
      </c>
      <c r="GJ221" s="109">
        <f t="shared" si="328"/>
        <v>0</v>
      </c>
      <c r="GK221" s="109"/>
      <c r="GL221" s="109"/>
      <c r="GM221" s="111"/>
      <c r="GN221" s="111"/>
      <c r="GO221" s="165"/>
      <c r="GP221" s="109">
        <f t="shared" si="371"/>
        <v>0</v>
      </c>
      <c r="GQ221" s="109">
        <f t="shared" si="329"/>
        <v>0</v>
      </c>
      <c r="GR221" s="109"/>
      <c r="GS221" s="109"/>
      <c r="GT221" s="111"/>
      <c r="GU221" s="111"/>
      <c r="GV221" s="165"/>
      <c r="GW221" s="168">
        <f t="shared" si="372"/>
        <v>0</v>
      </c>
      <c r="GX221" s="168">
        <f t="shared" si="330"/>
        <v>0</v>
      </c>
      <c r="GY221" s="168"/>
      <c r="GZ221" s="168"/>
      <c r="HA221" s="111"/>
      <c r="HB221" s="111"/>
      <c r="HC221" s="165"/>
      <c r="HD221" s="109">
        <f t="shared" si="373"/>
        <v>0</v>
      </c>
      <c r="HE221" s="109">
        <f t="shared" si="331"/>
        <v>0</v>
      </c>
      <c r="HF221" s="109"/>
      <c r="HG221" s="109"/>
      <c r="HH221" s="111"/>
      <c r="HI221" s="111"/>
      <c r="HJ221" s="165"/>
      <c r="HK221" s="109">
        <f t="shared" si="374"/>
        <v>0</v>
      </c>
      <c r="HL221" s="109">
        <f t="shared" si="332"/>
        <v>0</v>
      </c>
      <c r="HM221" s="109"/>
      <c r="HN221" s="109"/>
      <c r="HO221" s="111"/>
      <c r="HP221" s="111"/>
      <c r="HQ221" s="165"/>
      <c r="HR221" s="109">
        <f t="shared" si="375"/>
        <v>0</v>
      </c>
      <c r="HS221" s="109">
        <f t="shared" si="333"/>
        <v>0</v>
      </c>
      <c r="HT221" s="109"/>
      <c r="HU221" s="109"/>
      <c r="HV221" s="111"/>
      <c r="HW221" s="111"/>
      <c r="HX221" s="105">
        <f t="shared" si="351"/>
        <v>0</v>
      </c>
      <c r="HY221" s="105">
        <f t="shared" si="351"/>
        <v>0</v>
      </c>
      <c r="HZ221" s="105">
        <f t="shared" si="351"/>
        <v>0</v>
      </c>
      <c r="IA221" s="105">
        <f t="shared" si="345"/>
        <v>0</v>
      </c>
      <c r="IB221" s="109">
        <f t="shared" si="346"/>
        <v>0</v>
      </c>
      <c r="IC221" s="109">
        <f t="shared" si="347"/>
        <v>0</v>
      </c>
      <c r="ID221" s="109">
        <f t="shared" si="348"/>
        <v>0</v>
      </c>
      <c r="IE221" s="109">
        <f t="shared" si="349"/>
        <v>0</v>
      </c>
      <c r="IF221" s="197"/>
      <c r="IG221" s="197"/>
      <c r="IH221" s="197"/>
      <c r="II221" s="197"/>
      <c r="IJ221" s="197"/>
      <c r="IK221" s="197"/>
      <c r="IL221" s="197"/>
      <c r="IM221" s="171"/>
      <c r="IN221" s="171"/>
      <c r="IO221" s="171"/>
      <c r="IP221" s="171"/>
    </row>
    <row r="222" spans="1:250" ht="15" customHeight="1" x14ac:dyDescent="0.3">
      <c r="A222" s="110">
        <f t="shared" si="350"/>
        <v>218</v>
      </c>
      <c r="B222" s="111"/>
      <c r="C222" s="111"/>
      <c r="D222" s="111"/>
      <c r="E222" s="111"/>
      <c r="F222" s="111"/>
      <c r="G222" s="111"/>
      <c r="H222" s="111"/>
      <c r="I222" s="194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75"/>
      <c r="AI222" s="111"/>
      <c r="AJ222" s="111"/>
      <c r="AK222" s="111"/>
      <c r="AL222" s="177"/>
      <c r="AM222" s="176"/>
      <c r="AN222" s="177"/>
      <c r="AO222" s="157"/>
      <c r="AP222" s="158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  <c r="BJ222" s="111"/>
      <c r="BK222" s="111"/>
      <c r="BL222" s="175"/>
      <c r="BM222" s="111"/>
      <c r="BN222" s="111"/>
      <c r="BO222" s="111"/>
      <c r="BP222" s="111"/>
      <c r="BQ222" s="111"/>
      <c r="BR222" s="111"/>
      <c r="BS222" s="111"/>
      <c r="BT222" s="111"/>
      <c r="BU222" s="111"/>
      <c r="BV222" s="111"/>
      <c r="BW222" s="111"/>
      <c r="BX222" s="111"/>
      <c r="BY222" s="111"/>
      <c r="BZ222" s="111"/>
      <c r="CA222" s="111"/>
      <c r="CB222" s="111"/>
      <c r="CC222" s="178"/>
      <c r="CD222" s="177">
        <f t="shared" si="334"/>
        <v>0</v>
      </c>
      <c r="CE222" s="148"/>
      <c r="CF222" s="111">
        <f t="shared" si="335"/>
        <v>0</v>
      </c>
      <c r="CG222" s="177"/>
      <c r="CH222" s="204"/>
      <c r="CI222" s="148"/>
      <c r="CJ222" s="165"/>
      <c r="CK222" s="165"/>
      <c r="CL222" s="111"/>
      <c r="CM222" s="111"/>
      <c r="CN222" s="165">
        <f t="shared" si="336"/>
        <v>0</v>
      </c>
      <c r="CO222" s="109">
        <f t="shared" si="337"/>
        <v>0</v>
      </c>
      <c r="CP222" s="109">
        <f t="shared" si="338"/>
        <v>0</v>
      </c>
      <c r="CQ222" s="109"/>
      <c r="CR222" s="109"/>
      <c r="CS222" s="196"/>
      <c r="CT222" s="167"/>
      <c r="CU222" s="165"/>
      <c r="CV222" s="109">
        <f t="shared" si="339"/>
        <v>0</v>
      </c>
      <c r="CW222" s="109">
        <f t="shared" si="340"/>
        <v>0</v>
      </c>
      <c r="CX222" s="109"/>
      <c r="CY222" s="109"/>
      <c r="CZ222" s="111"/>
      <c r="DA222" s="111"/>
      <c r="DB222" s="165"/>
      <c r="DC222" s="109">
        <f t="shared" si="341"/>
        <v>0</v>
      </c>
      <c r="DD222" s="109">
        <f t="shared" si="342"/>
        <v>0</v>
      </c>
      <c r="DE222" s="109"/>
      <c r="DF222" s="109"/>
      <c r="DG222" s="111"/>
      <c r="DH222" s="111"/>
      <c r="DI222" s="165"/>
      <c r="DJ222" s="109">
        <f t="shared" si="343"/>
        <v>0</v>
      </c>
      <c r="DK222" s="109">
        <f t="shared" si="344"/>
        <v>0</v>
      </c>
      <c r="DL222" s="109"/>
      <c r="DM222" s="109"/>
      <c r="DN222" s="111"/>
      <c r="DO222" s="111"/>
      <c r="DP222" s="165"/>
      <c r="DQ222" s="109">
        <f t="shared" si="352"/>
        <v>0</v>
      </c>
      <c r="DR222" s="109">
        <f t="shared" si="353"/>
        <v>0</v>
      </c>
      <c r="DS222" s="109"/>
      <c r="DT222" s="109"/>
      <c r="DU222" s="111"/>
      <c r="DV222" s="111"/>
      <c r="DW222" s="165"/>
      <c r="DX222" s="109">
        <f t="shared" si="354"/>
        <v>0</v>
      </c>
      <c r="DY222" s="109">
        <f t="shared" si="355"/>
        <v>0</v>
      </c>
      <c r="DZ222" s="109"/>
      <c r="EA222" s="109"/>
      <c r="EB222" s="111"/>
      <c r="EC222" s="111"/>
      <c r="ED222" s="165"/>
      <c r="EE222" s="109">
        <f t="shared" si="356"/>
        <v>0</v>
      </c>
      <c r="EF222" s="109">
        <f t="shared" si="357"/>
        <v>0</v>
      </c>
      <c r="EG222" s="109"/>
      <c r="EH222" s="109"/>
      <c r="EI222" s="111"/>
      <c r="EJ222" s="111"/>
      <c r="EK222" s="165"/>
      <c r="EL222" s="109">
        <f t="shared" si="358"/>
        <v>0</v>
      </c>
      <c r="EM222" s="109">
        <f t="shared" si="359"/>
        <v>0</v>
      </c>
      <c r="EN222" s="109"/>
      <c r="EO222" s="109"/>
      <c r="EP222" s="111"/>
      <c r="EQ222" s="111"/>
      <c r="ER222" s="165"/>
      <c r="ES222" s="109">
        <f t="shared" si="360"/>
        <v>0</v>
      </c>
      <c r="ET222" s="109">
        <f t="shared" si="361"/>
        <v>0</v>
      </c>
      <c r="EU222" s="109"/>
      <c r="EV222" s="109"/>
      <c r="EW222" s="111"/>
      <c r="EX222" s="111"/>
      <c r="EY222" s="165"/>
      <c r="EZ222" s="109">
        <f t="shared" si="362"/>
        <v>0</v>
      </c>
      <c r="FA222" s="109">
        <f t="shared" si="363"/>
        <v>0</v>
      </c>
      <c r="FB222" s="109"/>
      <c r="FC222" s="109"/>
      <c r="FD222" s="111"/>
      <c r="FE222" s="111"/>
      <c r="FF222" s="165"/>
      <c r="FG222" s="109">
        <f t="shared" si="364"/>
        <v>0</v>
      </c>
      <c r="FH222" s="109">
        <f t="shared" si="365"/>
        <v>0</v>
      </c>
      <c r="FI222" s="109"/>
      <c r="FJ222" s="109"/>
      <c r="FK222" s="111"/>
      <c r="FL222" s="111"/>
      <c r="FM222" s="165"/>
      <c r="FN222" s="109">
        <f t="shared" si="366"/>
        <v>0</v>
      </c>
      <c r="FO222" s="109">
        <f t="shared" si="367"/>
        <v>0</v>
      </c>
      <c r="FP222" s="109"/>
      <c r="FQ222" s="109"/>
      <c r="FR222" s="111"/>
      <c r="FS222" s="111"/>
      <c r="FT222" s="165"/>
      <c r="FU222" s="109">
        <f t="shared" si="368"/>
        <v>0</v>
      </c>
      <c r="FV222" s="109">
        <f t="shared" si="326"/>
        <v>0</v>
      </c>
      <c r="FW222" s="109"/>
      <c r="FX222" s="109"/>
      <c r="FY222" s="111"/>
      <c r="FZ222" s="111"/>
      <c r="GA222" s="165"/>
      <c r="GB222" s="109">
        <f t="shared" si="369"/>
        <v>0</v>
      </c>
      <c r="GC222" s="109">
        <f t="shared" si="327"/>
        <v>0</v>
      </c>
      <c r="GD222" s="109"/>
      <c r="GE222" s="109"/>
      <c r="GF222" s="111"/>
      <c r="GG222" s="111"/>
      <c r="GH222" s="165"/>
      <c r="GI222" s="109">
        <f t="shared" si="370"/>
        <v>0</v>
      </c>
      <c r="GJ222" s="109">
        <f t="shared" si="328"/>
        <v>0</v>
      </c>
      <c r="GK222" s="109"/>
      <c r="GL222" s="109"/>
      <c r="GM222" s="111"/>
      <c r="GN222" s="111"/>
      <c r="GO222" s="165"/>
      <c r="GP222" s="109">
        <f t="shared" si="371"/>
        <v>0</v>
      </c>
      <c r="GQ222" s="109">
        <f t="shared" si="329"/>
        <v>0</v>
      </c>
      <c r="GR222" s="109"/>
      <c r="GS222" s="109"/>
      <c r="GT222" s="111"/>
      <c r="GU222" s="111"/>
      <c r="GV222" s="165"/>
      <c r="GW222" s="168">
        <f t="shared" si="372"/>
        <v>0</v>
      </c>
      <c r="GX222" s="168">
        <f t="shared" si="330"/>
        <v>0</v>
      </c>
      <c r="GY222" s="168"/>
      <c r="GZ222" s="168"/>
      <c r="HA222" s="111"/>
      <c r="HB222" s="111"/>
      <c r="HC222" s="165"/>
      <c r="HD222" s="109">
        <f t="shared" si="373"/>
        <v>0</v>
      </c>
      <c r="HE222" s="109">
        <f t="shared" si="331"/>
        <v>0</v>
      </c>
      <c r="HF222" s="109"/>
      <c r="HG222" s="109"/>
      <c r="HH222" s="111"/>
      <c r="HI222" s="111"/>
      <c r="HJ222" s="165"/>
      <c r="HK222" s="109">
        <f t="shared" si="374"/>
        <v>0</v>
      </c>
      <c r="HL222" s="109">
        <f t="shared" si="332"/>
        <v>0</v>
      </c>
      <c r="HM222" s="109"/>
      <c r="HN222" s="109"/>
      <c r="HO222" s="111"/>
      <c r="HP222" s="111"/>
      <c r="HQ222" s="165"/>
      <c r="HR222" s="109">
        <f t="shared" si="375"/>
        <v>0</v>
      </c>
      <c r="HS222" s="109">
        <f t="shared" si="333"/>
        <v>0</v>
      </c>
      <c r="HT222" s="109"/>
      <c r="HU222" s="109"/>
      <c r="HV222" s="111"/>
      <c r="HW222" s="111"/>
      <c r="HX222" s="105">
        <f t="shared" si="351"/>
        <v>0</v>
      </c>
      <c r="HY222" s="105">
        <f t="shared" si="351"/>
        <v>0</v>
      </c>
      <c r="HZ222" s="105">
        <f t="shared" si="351"/>
        <v>0</v>
      </c>
      <c r="IA222" s="105">
        <f t="shared" si="345"/>
        <v>0</v>
      </c>
      <c r="IB222" s="109">
        <f t="shared" si="346"/>
        <v>0</v>
      </c>
      <c r="IC222" s="109">
        <f t="shared" si="347"/>
        <v>0</v>
      </c>
      <c r="ID222" s="109">
        <f t="shared" si="348"/>
        <v>0</v>
      </c>
      <c r="IE222" s="109">
        <f t="shared" si="349"/>
        <v>0</v>
      </c>
      <c r="IF222" s="197"/>
      <c r="IG222" s="197"/>
      <c r="IH222" s="197"/>
      <c r="II222" s="197"/>
      <c r="IJ222" s="197"/>
      <c r="IK222" s="197"/>
      <c r="IL222" s="197"/>
      <c r="IM222" s="171"/>
      <c r="IN222" s="171"/>
      <c r="IO222" s="171"/>
      <c r="IP222" s="171"/>
    </row>
    <row r="223" spans="1:250" ht="15" customHeight="1" x14ac:dyDescent="0.3">
      <c r="A223" s="110">
        <f t="shared" si="350"/>
        <v>219</v>
      </c>
      <c r="B223" s="111"/>
      <c r="C223" s="111"/>
      <c r="D223" s="111"/>
      <c r="E223" s="111"/>
      <c r="F223" s="111"/>
      <c r="G223" s="111"/>
      <c r="H223" s="111"/>
      <c r="I223" s="194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75"/>
      <c r="AI223" s="111"/>
      <c r="AJ223" s="111"/>
      <c r="AK223" s="111"/>
      <c r="AL223" s="177"/>
      <c r="AM223" s="176"/>
      <c r="AN223" s="177"/>
      <c r="AO223" s="157"/>
      <c r="AP223" s="158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  <c r="BG223" s="111"/>
      <c r="BH223" s="111"/>
      <c r="BI223" s="111"/>
      <c r="BJ223" s="111"/>
      <c r="BK223" s="111"/>
      <c r="BL223" s="175"/>
      <c r="BM223" s="111"/>
      <c r="BN223" s="111"/>
      <c r="BO223" s="111"/>
      <c r="BP223" s="111"/>
      <c r="BQ223" s="111"/>
      <c r="BR223" s="111"/>
      <c r="BS223" s="111"/>
      <c r="BT223" s="111"/>
      <c r="BU223" s="111"/>
      <c r="BV223" s="111"/>
      <c r="BW223" s="111"/>
      <c r="BX223" s="111"/>
      <c r="BY223" s="111"/>
      <c r="BZ223" s="111"/>
      <c r="CA223" s="111"/>
      <c r="CB223" s="111"/>
      <c r="CC223" s="178"/>
      <c r="CD223" s="177">
        <f t="shared" si="334"/>
        <v>0</v>
      </c>
      <c r="CE223" s="148"/>
      <c r="CF223" s="111">
        <f t="shared" si="335"/>
        <v>0</v>
      </c>
      <c r="CG223" s="177"/>
      <c r="CH223" s="204"/>
      <c r="CI223" s="148"/>
      <c r="CJ223" s="165"/>
      <c r="CK223" s="165"/>
      <c r="CL223" s="111"/>
      <c r="CM223" s="111"/>
      <c r="CN223" s="165">
        <f t="shared" si="336"/>
        <v>0</v>
      </c>
      <c r="CO223" s="109">
        <f t="shared" si="337"/>
        <v>0</v>
      </c>
      <c r="CP223" s="109">
        <f t="shared" si="338"/>
        <v>0</v>
      </c>
      <c r="CQ223" s="109"/>
      <c r="CR223" s="109"/>
      <c r="CS223" s="196"/>
      <c r="CT223" s="167"/>
      <c r="CU223" s="165"/>
      <c r="CV223" s="109">
        <f t="shared" si="339"/>
        <v>0</v>
      </c>
      <c r="CW223" s="109">
        <f t="shared" si="340"/>
        <v>0</v>
      </c>
      <c r="CX223" s="109"/>
      <c r="CY223" s="109"/>
      <c r="CZ223" s="111"/>
      <c r="DA223" s="111"/>
      <c r="DB223" s="165"/>
      <c r="DC223" s="109">
        <f t="shared" si="341"/>
        <v>0</v>
      </c>
      <c r="DD223" s="109">
        <f t="shared" si="342"/>
        <v>0</v>
      </c>
      <c r="DE223" s="109"/>
      <c r="DF223" s="109"/>
      <c r="DG223" s="111"/>
      <c r="DH223" s="111"/>
      <c r="DI223" s="165"/>
      <c r="DJ223" s="109">
        <f t="shared" si="343"/>
        <v>0</v>
      </c>
      <c r="DK223" s="109">
        <f t="shared" si="344"/>
        <v>0</v>
      </c>
      <c r="DL223" s="109"/>
      <c r="DM223" s="109"/>
      <c r="DN223" s="111"/>
      <c r="DO223" s="111"/>
      <c r="DP223" s="165"/>
      <c r="DQ223" s="109">
        <f t="shared" si="352"/>
        <v>0</v>
      </c>
      <c r="DR223" s="109">
        <f t="shared" si="353"/>
        <v>0</v>
      </c>
      <c r="DS223" s="109"/>
      <c r="DT223" s="109"/>
      <c r="DU223" s="111"/>
      <c r="DV223" s="111"/>
      <c r="DW223" s="165"/>
      <c r="DX223" s="109">
        <f t="shared" si="354"/>
        <v>0</v>
      </c>
      <c r="DY223" s="109">
        <f t="shared" si="355"/>
        <v>0</v>
      </c>
      <c r="DZ223" s="109"/>
      <c r="EA223" s="109"/>
      <c r="EB223" s="111"/>
      <c r="EC223" s="111"/>
      <c r="ED223" s="165"/>
      <c r="EE223" s="109">
        <f t="shared" si="356"/>
        <v>0</v>
      </c>
      <c r="EF223" s="109">
        <f t="shared" si="357"/>
        <v>0</v>
      </c>
      <c r="EG223" s="109"/>
      <c r="EH223" s="109"/>
      <c r="EI223" s="111"/>
      <c r="EJ223" s="111"/>
      <c r="EK223" s="165"/>
      <c r="EL223" s="109">
        <f t="shared" si="358"/>
        <v>0</v>
      </c>
      <c r="EM223" s="109">
        <f t="shared" si="359"/>
        <v>0</v>
      </c>
      <c r="EN223" s="109"/>
      <c r="EO223" s="109"/>
      <c r="EP223" s="111"/>
      <c r="EQ223" s="111"/>
      <c r="ER223" s="165"/>
      <c r="ES223" s="109">
        <f t="shared" si="360"/>
        <v>0</v>
      </c>
      <c r="ET223" s="109">
        <f t="shared" si="361"/>
        <v>0</v>
      </c>
      <c r="EU223" s="109"/>
      <c r="EV223" s="109"/>
      <c r="EW223" s="111"/>
      <c r="EX223" s="111"/>
      <c r="EY223" s="165"/>
      <c r="EZ223" s="109">
        <f t="shared" si="362"/>
        <v>0</v>
      </c>
      <c r="FA223" s="109">
        <f t="shared" si="363"/>
        <v>0</v>
      </c>
      <c r="FB223" s="109"/>
      <c r="FC223" s="109"/>
      <c r="FD223" s="111"/>
      <c r="FE223" s="111"/>
      <c r="FF223" s="165"/>
      <c r="FG223" s="109">
        <f t="shared" si="364"/>
        <v>0</v>
      </c>
      <c r="FH223" s="109">
        <f t="shared" si="365"/>
        <v>0</v>
      </c>
      <c r="FI223" s="109"/>
      <c r="FJ223" s="109"/>
      <c r="FK223" s="111"/>
      <c r="FL223" s="111"/>
      <c r="FM223" s="165"/>
      <c r="FN223" s="109">
        <f t="shared" si="366"/>
        <v>0</v>
      </c>
      <c r="FO223" s="109">
        <f t="shared" si="367"/>
        <v>0</v>
      </c>
      <c r="FP223" s="109"/>
      <c r="FQ223" s="109"/>
      <c r="FR223" s="111"/>
      <c r="FS223" s="111"/>
      <c r="FT223" s="165"/>
      <c r="FU223" s="109">
        <f t="shared" si="368"/>
        <v>0</v>
      </c>
      <c r="FV223" s="109">
        <f t="shared" si="326"/>
        <v>0</v>
      </c>
      <c r="FW223" s="109"/>
      <c r="FX223" s="109"/>
      <c r="FY223" s="111"/>
      <c r="FZ223" s="111"/>
      <c r="GA223" s="165"/>
      <c r="GB223" s="109">
        <f t="shared" si="369"/>
        <v>0</v>
      </c>
      <c r="GC223" s="109">
        <f t="shared" si="327"/>
        <v>0</v>
      </c>
      <c r="GD223" s="109"/>
      <c r="GE223" s="109"/>
      <c r="GF223" s="111"/>
      <c r="GG223" s="111"/>
      <c r="GH223" s="165"/>
      <c r="GI223" s="109">
        <f t="shared" si="370"/>
        <v>0</v>
      </c>
      <c r="GJ223" s="109">
        <f t="shared" si="328"/>
        <v>0</v>
      </c>
      <c r="GK223" s="109"/>
      <c r="GL223" s="109"/>
      <c r="GM223" s="111"/>
      <c r="GN223" s="111"/>
      <c r="GO223" s="165"/>
      <c r="GP223" s="109">
        <f t="shared" si="371"/>
        <v>0</v>
      </c>
      <c r="GQ223" s="109">
        <f t="shared" si="329"/>
        <v>0</v>
      </c>
      <c r="GR223" s="109"/>
      <c r="GS223" s="109"/>
      <c r="GT223" s="111"/>
      <c r="GU223" s="111"/>
      <c r="GV223" s="165"/>
      <c r="GW223" s="168">
        <f t="shared" si="372"/>
        <v>0</v>
      </c>
      <c r="GX223" s="168">
        <f t="shared" si="330"/>
        <v>0</v>
      </c>
      <c r="GY223" s="168"/>
      <c r="GZ223" s="168"/>
      <c r="HA223" s="111"/>
      <c r="HB223" s="111"/>
      <c r="HC223" s="165"/>
      <c r="HD223" s="109">
        <f t="shared" si="373"/>
        <v>0</v>
      </c>
      <c r="HE223" s="109">
        <f t="shared" si="331"/>
        <v>0</v>
      </c>
      <c r="HF223" s="109"/>
      <c r="HG223" s="109"/>
      <c r="HH223" s="111"/>
      <c r="HI223" s="111"/>
      <c r="HJ223" s="165"/>
      <c r="HK223" s="109">
        <f t="shared" si="374"/>
        <v>0</v>
      </c>
      <c r="HL223" s="109">
        <f t="shared" si="332"/>
        <v>0</v>
      </c>
      <c r="HM223" s="109"/>
      <c r="HN223" s="109"/>
      <c r="HO223" s="111"/>
      <c r="HP223" s="111"/>
      <c r="HQ223" s="165"/>
      <c r="HR223" s="109">
        <f t="shared" si="375"/>
        <v>0</v>
      </c>
      <c r="HS223" s="109">
        <f t="shared" si="333"/>
        <v>0</v>
      </c>
      <c r="HT223" s="109"/>
      <c r="HU223" s="109"/>
      <c r="HV223" s="111"/>
      <c r="HW223" s="111"/>
      <c r="HX223" s="105">
        <f t="shared" si="351"/>
        <v>0</v>
      </c>
      <c r="HY223" s="105">
        <f t="shared" si="351"/>
        <v>0</v>
      </c>
      <c r="HZ223" s="105">
        <f t="shared" si="351"/>
        <v>0</v>
      </c>
      <c r="IA223" s="105">
        <f t="shared" si="345"/>
        <v>0</v>
      </c>
      <c r="IB223" s="109">
        <f t="shared" si="346"/>
        <v>0</v>
      </c>
      <c r="IC223" s="109">
        <f t="shared" si="347"/>
        <v>0</v>
      </c>
      <c r="ID223" s="109">
        <f t="shared" si="348"/>
        <v>0</v>
      </c>
      <c r="IE223" s="109">
        <f t="shared" si="349"/>
        <v>0</v>
      </c>
      <c r="IF223" s="197"/>
      <c r="IG223" s="197"/>
      <c r="IH223" s="197"/>
      <c r="II223" s="197"/>
      <c r="IJ223" s="197"/>
      <c r="IK223" s="197"/>
      <c r="IL223" s="197"/>
      <c r="IM223" s="171"/>
      <c r="IN223" s="171"/>
      <c r="IO223" s="171"/>
      <c r="IP223" s="171"/>
    </row>
    <row r="224" spans="1:250" ht="15" customHeight="1" x14ac:dyDescent="0.3">
      <c r="A224" s="110">
        <f t="shared" si="350"/>
        <v>220</v>
      </c>
      <c r="B224" s="111"/>
      <c r="C224" s="111"/>
      <c r="D224" s="111"/>
      <c r="E224" s="111"/>
      <c r="F224" s="111"/>
      <c r="G224" s="111"/>
      <c r="H224" s="111"/>
      <c r="I224" s="194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75"/>
      <c r="AI224" s="111"/>
      <c r="AJ224" s="111"/>
      <c r="AK224" s="111"/>
      <c r="AL224" s="177"/>
      <c r="AM224" s="176"/>
      <c r="AN224" s="177"/>
      <c r="AO224" s="157"/>
      <c r="AP224" s="158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  <c r="BG224" s="111"/>
      <c r="BH224" s="111"/>
      <c r="BI224" s="111"/>
      <c r="BJ224" s="111"/>
      <c r="BK224" s="111"/>
      <c r="BL224" s="175"/>
      <c r="BM224" s="111"/>
      <c r="BN224" s="111"/>
      <c r="BO224" s="111"/>
      <c r="BP224" s="111"/>
      <c r="BQ224" s="111"/>
      <c r="BR224" s="111"/>
      <c r="BS224" s="111"/>
      <c r="BT224" s="111"/>
      <c r="BU224" s="111"/>
      <c r="BV224" s="111"/>
      <c r="BW224" s="111"/>
      <c r="BX224" s="111"/>
      <c r="BY224" s="111"/>
      <c r="BZ224" s="111"/>
      <c r="CA224" s="111"/>
      <c r="CB224" s="111"/>
      <c r="CC224" s="178"/>
      <c r="CD224" s="177">
        <f t="shared" si="334"/>
        <v>0</v>
      </c>
      <c r="CE224" s="148"/>
      <c r="CF224" s="111">
        <f t="shared" si="335"/>
        <v>0</v>
      </c>
      <c r="CG224" s="177"/>
      <c r="CH224" s="204"/>
      <c r="CI224" s="148"/>
      <c r="CJ224" s="165"/>
      <c r="CK224" s="165"/>
      <c r="CL224" s="111"/>
      <c r="CM224" s="111"/>
      <c r="CN224" s="165">
        <f t="shared" si="336"/>
        <v>0</v>
      </c>
      <c r="CO224" s="109">
        <f t="shared" si="337"/>
        <v>0</v>
      </c>
      <c r="CP224" s="109">
        <f t="shared" si="338"/>
        <v>0</v>
      </c>
      <c r="CQ224" s="109"/>
      <c r="CR224" s="109"/>
      <c r="CS224" s="196"/>
      <c r="CT224" s="167"/>
      <c r="CU224" s="165"/>
      <c r="CV224" s="109">
        <f t="shared" si="339"/>
        <v>0</v>
      </c>
      <c r="CW224" s="109">
        <f t="shared" si="340"/>
        <v>0</v>
      </c>
      <c r="CX224" s="109"/>
      <c r="CY224" s="109"/>
      <c r="CZ224" s="111"/>
      <c r="DA224" s="111"/>
      <c r="DB224" s="165"/>
      <c r="DC224" s="109">
        <f t="shared" si="341"/>
        <v>0</v>
      </c>
      <c r="DD224" s="109">
        <f t="shared" si="342"/>
        <v>0</v>
      </c>
      <c r="DE224" s="109"/>
      <c r="DF224" s="109"/>
      <c r="DG224" s="111"/>
      <c r="DH224" s="111"/>
      <c r="DI224" s="165"/>
      <c r="DJ224" s="109">
        <f t="shared" si="343"/>
        <v>0</v>
      </c>
      <c r="DK224" s="109">
        <f t="shared" si="344"/>
        <v>0</v>
      </c>
      <c r="DL224" s="109"/>
      <c r="DM224" s="109"/>
      <c r="DN224" s="111"/>
      <c r="DO224" s="111"/>
      <c r="DP224" s="165"/>
      <c r="DQ224" s="109">
        <f t="shared" si="352"/>
        <v>0</v>
      </c>
      <c r="DR224" s="109">
        <f t="shared" si="353"/>
        <v>0</v>
      </c>
      <c r="DS224" s="109"/>
      <c r="DT224" s="109"/>
      <c r="DU224" s="111"/>
      <c r="DV224" s="111"/>
      <c r="DW224" s="165"/>
      <c r="DX224" s="109">
        <f t="shared" si="354"/>
        <v>0</v>
      </c>
      <c r="DY224" s="109">
        <f t="shared" si="355"/>
        <v>0</v>
      </c>
      <c r="DZ224" s="109"/>
      <c r="EA224" s="109"/>
      <c r="EB224" s="111"/>
      <c r="EC224" s="111"/>
      <c r="ED224" s="165"/>
      <c r="EE224" s="109">
        <f t="shared" si="356"/>
        <v>0</v>
      </c>
      <c r="EF224" s="109">
        <f t="shared" si="357"/>
        <v>0</v>
      </c>
      <c r="EG224" s="109"/>
      <c r="EH224" s="109"/>
      <c r="EI224" s="111"/>
      <c r="EJ224" s="111"/>
      <c r="EK224" s="165"/>
      <c r="EL224" s="109">
        <f t="shared" si="358"/>
        <v>0</v>
      </c>
      <c r="EM224" s="109">
        <f t="shared" si="359"/>
        <v>0</v>
      </c>
      <c r="EN224" s="109"/>
      <c r="EO224" s="109"/>
      <c r="EP224" s="111"/>
      <c r="EQ224" s="111"/>
      <c r="ER224" s="165"/>
      <c r="ES224" s="109">
        <f t="shared" si="360"/>
        <v>0</v>
      </c>
      <c r="ET224" s="109">
        <f t="shared" si="361"/>
        <v>0</v>
      </c>
      <c r="EU224" s="109"/>
      <c r="EV224" s="109"/>
      <c r="EW224" s="111"/>
      <c r="EX224" s="111"/>
      <c r="EY224" s="165"/>
      <c r="EZ224" s="109">
        <f t="shared" si="362"/>
        <v>0</v>
      </c>
      <c r="FA224" s="109">
        <f t="shared" si="363"/>
        <v>0</v>
      </c>
      <c r="FB224" s="109"/>
      <c r="FC224" s="109"/>
      <c r="FD224" s="111"/>
      <c r="FE224" s="111"/>
      <c r="FF224" s="165"/>
      <c r="FG224" s="109">
        <f t="shared" si="364"/>
        <v>0</v>
      </c>
      <c r="FH224" s="109">
        <f t="shared" si="365"/>
        <v>0</v>
      </c>
      <c r="FI224" s="109"/>
      <c r="FJ224" s="109"/>
      <c r="FK224" s="111"/>
      <c r="FL224" s="111"/>
      <c r="FM224" s="165"/>
      <c r="FN224" s="109">
        <f t="shared" si="366"/>
        <v>0</v>
      </c>
      <c r="FO224" s="109">
        <f t="shared" si="367"/>
        <v>0</v>
      </c>
      <c r="FP224" s="109"/>
      <c r="FQ224" s="109"/>
      <c r="FR224" s="111"/>
      <c r="FS224" s="111"/>
      <c r="FT224" s="165"/>
      <c r="FU224" s="109">
        <f t="shared" si="368"/>
        <v>0</v>
      </c>
      <c r="FV224" s="109">
        <f t="shared" si="326"/>
        <v>0</v>
      </c>
      <c r="FW224" s="109"/>
      <c r="FX224" s="109"/>
      <c r="FY224" s="111"/>
      <c r="FZ224" s="111"/>
      <c r="GA224" s="165"/>
      <c r="GB224" s="109">
        <f t="shared" si="369"/>
        <v>0</v>
      </c>
      <c r="GC224" s="109">
        <f t="shared" si="327"/>
        <v>0</v>
      </c>
      <c r="GD224" s="109"/>
      <c r="GE224" s="109"/>
      <c r="GF224" s="111"/>
      <c r="GG224" s="111"/>
      <c r="GH224" s="165"/>
      <c r="GI224" s="109">
        <f t="shared" si="370"/>
        <v>0</v>
      </c>
      <c r="GJ224" s="109">
        <f t="shared" si="328"/>
        <v>0</v>
      </c>
      <c r="GK224" s="109"/>
      <c r="GL224" s="109"/>
      <c r="GM224" s="111"/>
      <c r="GN224" s="111"/>
      <c r="GO224" s="165"/>
      <c r="GP224" s="109">
        <f t="shared" si="371"/>
        <v>0</v>
      </c>
      <c r="GQ224" s="109">
        <f t="shared" si="329"/>
        <v>0</v>
      </c>
      <c r="GR224" s="109"/>
      <c r="GS224" s="109"/>
      <c r="GT224" s="111"/>
      <c r="GU224" s="111"/>
      <c r="GV224" s="165"/>
      <c r="GW224" s="168">
        <f t="shared" si="372"/>
        <v>0</v>
      </c>
      <c r="GX224" s="168">
        <f t="shared" si="330"/>
        <v>0</v>
      </c>
      <c r="GY224" s="168"/>
      <c r="GZ224" s="168"/>
      <c r="HA224" s="111"/>
      <c r="HB224" s="111"/>
      <c r="HC224" s="165"/>
      <c r="HD224" s="109">
        <f t="shared" si="373"/>
        <v>0</v>
      </c>
      <c r="HE224" s="109">
        <f t="shared" si="331"/>
        <v>0</v>
      </c>
      <c r="HF224" s="109"/>
      <c r="HG224" s="109"/>
      <c r="HH224" s="111"/>
      <c r="HI224" s="111"/>
      <c r="HJ224" s="165"/>
      <c r="HK224" s="109">
        <f t="shared" si="374"/>
        <v>0</v>
      </c>
      <c r="HL224" s="109">
        <f t="shared" si="332"/>
        <v>0</v>
      </c>
      <c r="HM224" s="109"/>
      <c r="HN224" s="109"/>
      <c r="HO224" s="111"/>
      <c r="HP224" s="111"/>
      <c r="HQ224" s="165"/>
      <c r="HR224" s="109">
        <f t="shared" si="375"/>
        <v>0</v>
      </c>
      <c r="HS224" s="109">
        <f t="shared" si="333"/>
        <v>0</v>
      </c>
      <c r="HT224" s="109"/>
      <c r="HU224" s="109"/>
      <c r="HV224" s="111"/>
      <c r="HW224" s="111"/>
      <c r="HX224" s="105">
        <f t="shared" si="351"/>
        <v>0</v>
      </c>
      <c r="HY224" s="105">
        <f t="shared" si="351"/>
        <v>0</v>
      </c>
      <c r="HZ224" s="105">
        <f t="shared" si="351"/>
        <v>0</v>
      </c>
      <c r="IA224" s="105">
        <f t="shared" si="345"/>
        <v>0</v>
      </c>
      <c r="IB224" s="109">
        <f t="shared" si="346"/>
        <v>0</v>
      </c>
      <c r="IC224" s="109">
        <f t="shared" si="347"/>
        <v>0</v>
      </c>
      <c r="ID224" s="109">
        <f t="shared" si="348"/>
        <v>0</v>
      </c>
      <c r="IE224" s="109">
        <f t="shared" si="349"/>
        <v>0</v>
      </c>
      <c r="IF224" s="197"/>
      <c r="IG224" s="197"/>
      <c r="IH224" s="197"/>
      <c r="II224" s="197"/>
      <c r="IJ224" s="197"/>
      <c r="IK224" s="197"/>
      <c r="IL224" s="197"/>
      <c r="IM224" s="171"/>
      <c r="IN224" s="171"/>
      <c r="IO224" s="171"/>
      <c r="IP224" s="171"/>
    </row>
    <row r="225" spans="1:250" ht="15" customHeight="1" x14ac:dyDescent="0.3">
      <c r="A225" s="110">
        <f t="shared" si="350"/>
        <v>221</v>
      </c>
      <c r="B225" s="111"/>
      <c r="C225" s="111"/>
      <c r="D225" s="111"/>
      <c r="E225" s="111"/>
      <c r="F225" s="111"/>
      <c r="G225" s="111"/>
      <c r="H225" s="111"/>
      <c r="I225" s="194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75"/>
      <c r="AI225" s="111"/>
      <c r="AJ225" s="111"/>
      <c r="AK225" s="111"/>
      <c r="AL225" s="177"/>
      <c r="AM225" s="176"/>
      <c r="AN225" s="177"/>
      <c r="AO225" s="157"/>
      <c r="AP225" s="158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  <c r="BG225" s="111"/>
      <c r="BH225" s="111"/>
      <c r="BI225" s="111"/>
      <c r="BJ225" s="111"/>
      <c r="BK225" s="111"/>
      <c r="BL225" s="175"/>
      <c r="BM225" s="111"/>
      <c r="BN225" s="111"/>
      <c r="BO225" s="111"/>
      <c r="BP225" s="111"/>
      <c r="BQ225" s="111"/>
      <c r="BR225" s="111"/>
      <c r="BS225" s="111"/>
      <c r="BT225" s="111"/>
      <c r="BU225" s="111"/>
      <c r="BV225" s="111"/>
      <c r="BW225" s="111"/>
      <c r="BX225" s="111"/>
      <c r="BY225" s="111"/>
      <c r="BZ225" s="111"/>
      <c r="CA225" s="111"/>
      <c r="CB225" s="111"/>
      <c r="CC225" s="178"/>
      <c r="CD225" s="177">
        <f t="shared" si="334"/>
        <v>0</v>
      </c>
      <c r="CE225" s="148"/>
      <c r="CF225" s="111">
        <f t="shared" si="335"/>
        <v>0</v>
      </c>
      <c r="CG225" s="177"/>
      <c r="CH225" s="204"/>
      <c r="CI225" s="148"/>
      <c r="CJ225" s="165"/>
      <c r="CK225" s="165"/>
      <c r="CL225" s="111"/>
      <c r="CM225" s="111"/>
      <c r="CN225" s="165">
        <f t="shared" si="336"/>
        <v>0</v>
      </c>
      <c r="CO225" s="109">
        <f t="shared" si="337"/>
        <v>0</v>
      </c>
      <c r="CP225" s="109">
        <f t="shared" si="338"/>
        <v>0</v>
      </c>
      <c r="CQ225" s="109"/>
      <c r="CR225" s="109"/>
      <c r="CS225" s="196"/>
      <c r="CT225" s="167"/>
      <c r="CU225" s="165"/>
      <c r="CV225" s="109">
        <f t="shared" si="339"/>
        <v>0</v>
      </c>
      <c r="CW225" s="109">
        <f t="shared" si="340"/>
        <v>0</v>
      </c>
      <c r="CX225" s="109"/>
      <c r="CY225" s="109"/>
      <c r="CZ225" s="111"/>
      <c r="DA225" s="111"/>
      <c r="DB225" s="165"/>
      <c r="DC225" s="109">
        <f t="shared" si="341"/>
        <v>0</v>
      </c>
      <c r="DD225" s="109">
        <f t="shared" si="342"/>
        <v>0</v>
      </c>
      <c r="DE225" s="109"/>
      <c r="DF225" s="109"/>
      <c r="DG225" s="111"/>
      <c r="DH225" s="111"/>
      <c r="DI225" s="165"/>
      <c r="DJ225" s="109">
        <f t="shared" si="343"/>
        <v>0</v>
      </c>
      <c r="DK225" s="109">
        <f t="shared" si="344"/>
        <v>0</v>
      </c>
      <c r="DL225" s="109"/>
      <c r="DM225" s="109"/>
      <c r="DN225" s="111"/>
      <c r="DO225" s="111"/>
      <c r="DP225" s="165"/>
      <c r="DQ225" s="109">
        <f t="shared" si="352"/>
        <v>0</v>
      </c>
      <c r="DR225" s="109">
        <f t="shared" si="353"/>
        <v>0</v>
      </c>
      <c r="DS225" s="109"/>
      <c r="DT225" s="109"/>
      <c r="DU225" s="111"/>
      <c r="DV225" s="111"/>
      <c r="DW225" s="165"/>
      <c r="DX225" s="109">
        <f t="shared" si="354"/>
        <v>0</v>
      </c>
      <c r="DY225" s="109">
        <f t="shared" si="355"/>
        <v>0</v>
      </c>
      <c r="DZ225" s="109"/>
      <c r="EA225" s="109"/>
      <c r="EB225" s="111"/>
      <c r="EC225" s="111"/>
      <c r="ED225" s="165"/>
      <c r="EE225" s="109">
        <f t="shared" si="356"/>
        <v>0</v>
      </c>
      <c r="EF225" s="109">
        <f t="shared" si="357"/>
        <v>0</v>
      </c>
      <c r="EG225" s="109"/>
      <c r="EH225" s="109"/>
      <c r="EI225" s="111"/>
      <c r="EJ225" s="111"/>
      <c r="EK225" s="165"/>
      <c r="EL225" s="109">
        <f t="shared" si="358"/>
        <v>0</v>
      </c>
      <c r="EM225" s="109">
        <f t="shared" si="359"/>
        <v>0</v>
      </c>
      <c r="EN225" s="109"/>
      <c r="EO225" s="109"/>
      <c r="EP225" s="111"/>
      <c r="EQ225" s="111"/>
      <c r="ER225" s="165"/>
      <c r="ES225" s="109">
        <f t="shared" si="360"/>
        <v>0</v>
      </c>
      <c r="ET225" s="109">
        <f t="shared" si="361"/>
        <v>0</v>
      </c>
      <c r="EU225" s="109"/>
      <c r="EV225" s="109"/>
      <c r="EW225" s="111"/>
      <c r="EX225" s="111"/>
      <c r="EY225" s="165"/>
      <c r="EZ225" s="109">
        <f t="shared" si="362"/>
        <v>0</v>
      </c>
      <c r="FA225" s="109">
        <f t="shared" si="363"/>
        <v>0</v>
      </c>
      <c r="FB225" s="109"/>
      <c r="FC225" s="109"/>
      <c r="FD225" s="111"/>
      <c r="FE225" s="111"/>
      <c r="FF225" s="165"/>
      <c r="FG225" s="109">
        <f t="shared" si="364"/>
        <v>0</v>
      </c>
      <c r="FH225" s="109">
        <f t="shared" si="365"/>
        <v>0</v>
      </c>
      <c r="FI225" s="109"/>
      <c r="FJ225" s="109"/>
      <c r="FK225" s="111"/>
      <c r="FL225" s="111"/>
      <c r="FM225" s="165"/>
      <c r="FN225" s="109">
        <f t="shared" si="366"/>
        <v>0</v>
      </c>
      <c r="FO225" s="109">
        <f t="shared" si="367"/>
        <v>0</v>
      </c>
      <c r="FP225" s="109"/>
      <c r="FQ225" s="109"/>
      <c r="FR225" s="111"/>
      <c r="FS225" s="111"/>
      <c r="FT225" s="165"/>
      <c r="FU225" s="109">
        <f t="shared" si="368"/>
        <v>0</v>
      </c>
      <c r="FV225" s="109">
        <f t="shared" si="326"/>
        <v>0</v>
      </c>
      <c r="FW225" s="109"/>
      <c r="FX225" s="109"/>
      <c r="FY225" s="111"/>
      <c r="FZ225" s="111"/>
      <c r="GA225" s="165"/>
      <c r="GB225" s="109">
        <f t="shared" si="369"/>
        <v>0</v>
      </c>
      <c r="GC225" s="109">
        <f t="shared" si="327"/>
        <v>0</v>
      </c>
      <c r="GD225" s="109"/>
      <c r="GE225" s="109"/>
      <c r="GF225" s="111"/>
      <c r="GG225" s="111"/>
      <c r="GH225" s="165"/>
      <c r="GI225" s="109">
        <f t="shared" si="370"/>
        <v>0</v>
      </c>
      <c r="GJ225" s="109">
        <f t="shared" si="328"/>
        <v>0</v>
      </c>
      <c r="GK225" s="109"/>
      <c r="GL225" s="109"/>
      <c r="GM225" s="111"/>
      <c r="GN225" s="111"/>
      <c r="GO225" s="165"/>
      <c r="GP225" s="109">
        <f t="shared" si="371"/>
        <v>0</v>
      </c>
      <c r="GQ225" s="109">
        <f t="shared" si="329"/>
        <v>0</v>
      </c>
      <c r="GR225" s="109"/>
      <c r="GS225" s="109"/>
      <c r="GT225" s="111"/>
      <c r="GU225" s="111"/>
      <c r="GV225" s="165"/>
      <c r="GW225" s="168">
        <f t="shared" si="372"/>
        <v>0</v>
      </c>
      <c r="GX225" s="168">
        <f t="shared" si="330"/>
        <v>0</v>
      </c>
      <c r="GY225" s="168"/>
      <c r="GZ225" s="168"/>
      <c r="HA225" s="111"/>
      <c r="HB225" s="111"/>
      <c r="HC225" s="165"/>
      <c r="HD225" s="109">
        <f t="shared" si="373"/>
        <v>0</v>
      </c>
      <c r="HE225" s="109">
        <f t="shared" si="331"/>
        <v>0</v>
      </c>
      <c r="HF225" s="109"/>
      <c r="HG225" s="109"/>
      <c r="HH225" s="111"/>
      <c r="HI225" s="111"/>
      <c r="HJ225" s="165"/>
      <c r="HK225" s="109">
        <f t="shared" si="374"/>
        <v>0</v>
      </c>
      <c r="HL225" s="109">
        <f t="shared" si="332"/>
        <v>0</v>
      </c>
      <c r="HM225" s="109"/>
      <c r="HN225" s="109"/>
      <c r="HO225" s="111"/>
      <c r="HP225" s="111"/>
      <c r="HQ225" s="165"/>
      <c r="HR225" s="109">
        <f t="shared" si="375"/>
        <v>0</v>
      </c>
      <c r="HS225" s="109">
        <f t="shared" si="333"/>
        <v>0</v>
      </c>
      <c r="HT225" s="109"/>
      <c r="HU225" s="109"/>
      <c r="HV225" s="111"/>
      <c r="HW225" s="111"/>
      <c r="HX225" s="105">
        <f t="shared" si="351"/>
        <v>0</v>
      </c>
      <c r="HY225" s="105">
        <f t="shared" si="351"/>
        <v>0</v>
      </c>
      <c r="HZ225" s="105">
        <f t="shared" si="351"/>
        <v>0</v>
      </c>
      <c r="IA225" s="105">
        <f t="shared" si="345"/>
        <v>0</v>
      </c>
      <c r="IB225" s="109">
        <f t="shared" si="346"/>
        <v>0</v>
      </c>
      <c r="IC225" s="109">
        <f t="shared" si="347"/>
        <v>0</v>
      </c>
      <c r="ID225" s="109">
        <f t="shared" si="348"/>
        <v>0</v>
      </c>
      <c r="IE225" s="109">
        <f t="shared" si="349"/>
        <v>0</v>
      </c>
      <c r="IF225" s="197"/>
      <c r="IG225" s="197"/>
      <c r="IH225" s="197"/>
      <c r="II225" s="197"/>
      <c r="IJ225" s="197"/>
      <c r="IK225" s="197"/>
      <c r="IL225" s="197"/>
      <c r="IM225" s="171"/>
      <c r="IN225" s="171"/>
      <c r="IO225" s="171"/>
      <c r="IP225" s="171"/>
    </row>
    <row r="226" spans="1:250" ht="15" customHeight="1" x14ac:dyDescent="0.3">
      <c r="A226" s="110">
        <f t="shared" si="350"/>
        <v>222</v>
      </c>
      <c r="B226" s="111"/>
      <c r="C226" s="111"/>
      <c r="D226" s="111"/>
      <c r="E226" s="111"/>
      <c r="F226" s="111"/>
      <c r="G226" s="111"/>
      <c r="H226" s="111"/>
      <c r="I226" s="194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75"/>
      <c r="AI226" s="111"/>
      <c r="AJ226" s="111"/>
      <c r="AK226" s="111"/>
      <c r="AL226" s="177"/>
      <c r="AM226" s="176"/>
      <c r="AN226" s="177"/>
      <c r="AO226" s="157"/>
      <c r="AP226" s="158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  <c r="BG226" s="111"/>
      <c r="BH226" s="111"/>
      <c r="BI226" s="111"/>
      <c r="BJ226" s="111"/>
      <c r="BK226" s="111"/>
      <c r="BL226" s="175"/>
      <c r="BM226" s="111"/>
      <c r="BN226" s="111"/>
      <c r="BO226" s="111"/>
      <c r="BP226" s="111"/>
      <c r="BQ226" s="111"/>
      <c r="BR226" s="111"/>
      <c r="BS226" s="111"/>
      <c r="BT226" s="111"/>
      <c r="BU226" s="111"/>
      <c r="BV226" s="111"/>
      <c r="BW226" s="111"/>
      <c r="BX226" s="111"/>
      <c r="BY226" s="111"/>
      <c r="BZ226" s="111"/>
      <c r="CA226" s="111"/>
      <c r="CB226" s="111"/>
      <c r="CC226" s="178"/>
      <c r="CD226" s="177">
        <f t="shared" si="334"/>
        <v>0</v>
      </c>
      <c r="CE226" s="148"/>
      <c r="CF226" s="111">
        <f t="shared" si="335"/>
        <v>0</v>
      </c>
      <c r="CG226" s="177"/>
      <c r="CH226" s="204"/>
      <c r="CI226" s="148"/>
      <c r="CJ226" s="165"/>
      <c r="CK226" s="165"/>
      <c r="CL226" s="111"/>
      <c r="CM226" s="111"/>
      <c r="CN226" s="165">
        <f t="shared" si="336"/>
        <v>0</v>
      </c>
      <c r="CO226" s="109">
        <f t="shared" si="337"/>
        <v>0</v>
      </c>
      <c r="CP226" s="109">
        <f t="shared" si="338"/>
        <v>0</v>
      </c>
      <c r="CQ226" s="109"/>
      <c r="CR226" s="109"/>
      <c r="CS226" s="196"/>
      <c r="CT226" s="167"/>
      <c r="CU226" s="165"/>
      <c r="CV226" s="109">
        <f t="shared" si="339"/>
        <v>0</v>
      </c>
      <c r="CW226" s="109">
        <f t="shared" si="340"/>
        <v>0</v>
      </c>
      <c r="CX226" s="109"/>
      <c r="CY226" s="109"/>
      <c r="CZ226" s="111"/>
      <c r="DA226" s="111"/>
      <c r="DB226" s="165"/>
      <c r="DC226" s="109">
        <f t="shared" si="341"/>
        <v>0</v>
      </c>
      <c r="DD226" s="109">
        <f t="shared" si="342"/>
        <v>0</v>
      </c>
      <c r="DE226" s="109"/>
      <c r="DF226" s="109"/>
      <c r="DG226" s="111"/>
      <c r="DH226" s="111"/>
      <c r="DI226" s="165"/>
      <c r="DJ226" s="109">
        <f t="shared" si="343"/>
        <v>0</v>
      </c>
      <c r="DK226" s="109">
        <f t="shared" si="344"/>
        <v>0</v>
      </c>
      <c r="DL226" s="109"/>
      <c r="DM226" s="109"/>
      <c r="DN226" s="111"/>
      <c r="DO226" s="111"/>
      <c r="DP226" s="165"/>
      <c r="DQ226" s="109">
        <f t="shared" si="352"/>
        <v>0</v>
      </c>
      <c r="DR226" s="109">
        <f t="shared" si="353"/>
        <v>0</v>
      </c>
      <c r="DS226" s="109"/>
      <c r="DT226" s="109"/>
      <c r="DU226" s="111"/>
      <c r="DV226" s="111"/>
      <c r="DW226" s="165"/>
      <c r="DX226" s="109">
        <f t="shared" si="354"/>
        <v>0</v>
      </c>
      <c r="DY226" s="109">
        <f t="shared" si="355"/>
        <v>0</v>
      </c>
      <c r="DZ226" s="109"/>
      <c r="EA226" s="109"/>
      <c r="EB226" s="111"/>
      <c r="EC226" s="111"/>
      <c r="ED226" s="165"/>
      <c r="EE226" s="109">
        <f t="shared" si="356"/>
        <v>0</v>
      </c>
      <c r="EF226" s="109">
        <f t="shared" si="357"/>
        <v>0</v>
      </c>
      <c r="EG226" s="109"/>
      <c r="EH226" s="109"/>
      <c r="EI226" s="111"/>
      <c r="EJ226" s="111"/>
      <c r="EK226" s="165"/>
      <c r="EL226" s="109">
        <f t="shared" si="358"/>
        <v>0</v>
      </c>
      <c r="EM226" s="109">
        <f t="shared" si="359"/>
        <v>0</v>
      </c>
      <c r="EN226" s="109"/>
      <c r="EO226" s="109"/>
      <c r="EP226" s="111"/>
      <c r="EQ226" s="111"/>
      <c r="ER226" s="165"/>
      <c r="ES226" s="109">
        <f t="shared" si="360"/>
        <v>0</v>
      </c>
      <c r="ET226" s="109">
        <f t="shared" si="361"/>
        <v>0</v>
      </c>
      <c r="EU226" s="109"/>
      <c r="EV226" s="109"/>
      <c r="EW226" s="111"/>
      <c r="EX226" s="111"/>
      <c r="EY226" s="165"/>
      <c r="EZ226" s="109">
        <f t="shared" si="362"/>
        <v>0</v>
      </c>
      <c r="FA226" s="109">
        <f t="shared" si="363"/>
        <v>0</v>
      </c>
      <c r="FB226" s="109"/>
      <c r="FC226" s="109"/>
      <c r="FD226" s="111"/>
      <c r="FE226" s="111"/>
      <c r="FF226" s="165"/>
      <c r="FG226" s="109">
        <f t="shared" si="364"/>
        <v>0</v>
      </c>
      <c r="FH226" s="109">
        <f t="shared" si="365"/>
        <v>0</v>
      </c>
      <c r="FI226" s="109"/>
      <c r="FJ226" s="109"/>
      <c r="FK226" s="111"/>
      <c r="FL226" s="111"/>
      <c r="FM226" s="165"/>
      <c r="FN226" s="109">
        <f t="shared" si="366"/>
        <v>0</v>
      </c>
      <c r="FO226" s="109">
        <f t="shared" si="367"/>
        <v>0</v>
      </c>
      <c r="FP226" s="109"/>
      <c r="FQ226" s="109"/>
      <c r="FR226" s="111"/>
      <c r="FS226" s="111"/>
      <c r="FT226" s="165"/>
      <c r="FU226" s="109">
        <f t="shared" si="368"/>
        <v>0</v>
      </c>
      <c r="FV226" s="109">
        <f t="shared" si="326"/>
        <v>0</v>
      </c>
      <c r="FW226" s="109"/>
      <c r="FX226" s="109"/>
      <c r="FY226" s="111"/>
      <c r="FZ226" s="111"/>
      <c r="GA226" s="165"/>
      <c r="GB226" s="109">
        <f t="shared" si="369"/>
        <v>0</v>
      </c>
      <c r="GC226" s="109">
        <f t="shared" si="327"/>
        <v>0</v>
      </c>
      <c r="GD226" s="109"/>
      <c r="GE226" s="109"/>
      <c r="GF226" s="111"/>
      <c r="GG226" s="111"/>
      <c r="GH226" s="165"/>
      <c r="GI226" s="109">
        <f t="shared" si="370"/>
        <v>0</v>
      </c>
      <c r="GJ226" s="109">
        <f t="shared" si="328"/>
        <v>0</v>
      </c>
      <c r="GK226" s="109"/>
      <c r="GL226" s="109"/>
      <c r="GM226" s="111"/>
      <c r="GN226" s="111"/>
      <c r="GO226" s="165"/>
      <c r="GP226" s="109">
        <f t="shared" si="371"/>
        <v>0</v>
      </c>
      <c r="GQ226" s="109">
        <f t="shared" si="329"/>
        <v>0</v>
      </c>
      <c r="GR226" s="109"/>
      <c r="GS226" s="109"/>
      <c r="GT226" s="111"/>
      <c r="GU226" s="111"/>
      <c r="GV226" s="165"/>
      <c r="GW226" s="168">
        <f t="shared" si="372"/>
        <v>0</v>
      </c>
      <c r="GX226" s="168">
        <f t="shared" si="330"/>
        <v>0</v>
      </c>
      <c r="GY226" s="168"/>
      <c r="GZ226" s="168"/>
      <c r="HA226" s="111"/>
      <c r="HB226" s="111"/>
      <c r="HC226" s="165"/>
      <c r="HD226" s="109">
        <f t="shared" si="373"/>
        <v>0</v>
      </c>
      <c r="HE226" s="109">
        <f t="shared" si="331"/>
        <v>0</v>
      </c>
      <c r="HF226" s="109"/>
      <c r="HG226" s="109"/>
      <c r="HH226" s="111"/>
      <c r="HI226" s="111"/>
      <c r="HJ226" s="165"/>
      <c r="HK226" s="109">
        <f t="shared" si="374"/>
        <v>0</v>
      </c>
      <c r="HL226" s="109">
        <f t="shared" si="332"/>
        <v>0</v>
      </c>
      <c r="HM226" s="109"/>
      <c r="HN226" s="109"/>
      <c r="HO226" s="111"/>
      <c r="HP226" s="111"/>
      <c r="HQ226" s="165"/>
      <c r="HR226" s="109">
        <f t="shared" si="375"/>
        <v>0</v>
      </c>
      <c r="HS226" s="109">
        <f t="shared" si="333"/>
        <v>0</v>
      </c>
      <c r="HT226" s="109"/>
      <c r="HU226" s="109"/>
      <c r="HV226" s="111"/>
      <c r="HW226" s="111"/>
      <c r="HX226" s="105">
        <f t="shared" si="351"/>
        <v>0</v>
      </c>
      <c r="HY226" s="105">
        <f t="shared" si="351"/>
        <v>0</v>
      </c>
      <c r="HZ226" s="105">
        <f t="shared" si="351"/>
        <v>0</v>
      </c>
      <c r="IA226" s="105">
        <f t="shared" si="345"/>
        <v>0</v>
      </c>
      <c r="IB226" s="109">
        <f t="shared" si="346"/>
        <v>0</v>
      </c>
      <c r="IC226" s="109">
        <f t="shared" si="347"/>
        <v>0</v>
      </c>
      <c r="ID226" s="109">
        <f t="shared" si="348"/>
        <v>0</v>
      </c>
      <c r="IE226" s="109">
        <f t="shared" si="349"/>
        <v>0</v>
      </c>
      <c r="IF226" s="197"/>
      <c r="IG226" s="197"/>
      <c r="IH226" s="197"/>
      <c r="II226" s="197"/>
      <c r="IJ226" s="197"/>
      <c r="IK226" s="197"/>
      <c r="IL226" s="197"/>
      <c r="IM226" s="171"/>
      <c r="IN226" s="171"/>
      <c r="IO226" s="171"/>
      <c r="IP226" s="171"/>
    </row>
    <row r="227" spans="1:250" ht="15" customHeight="1" x14ac:dyDescent="0.3">
      <c r="A227" s="110">
        <f t="shared" si="350"/>
        <v>223</v>
      </c>
      <c r="B227" s="111"/>
      <c r="C227" s="111"/>
      <c r="D227" s="111"/>
      <c r="E227" s="111"/>
      <c r="F227" s="111"/>
      <c r="G227" s="111"/>
      <c r="H227" s="111"/>
      <c r="I227" s="194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75"/>
      <c r="AI227" s="111"/>
      <c r="AJ227" s="111"/>
      <c r="AK227" s="111"/>
      <c r="AL227" s="177"/>
      <c r="AM227" s="176"/>
      <c r="AN227" s="177"/>
      <c r="AO227" s="157"/>
      <c r="AP227" s="158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  <c r="BG227" s="111"/>
      <c r="BH227" s="111"/>
      <c r="BI227" s="111"/>
      <c r="BJ227" s="111"/>
      <c r="BK227" s="111"/>
      <c r="BL227" s="175"/>
      <c r="BM227" s="111"/>
      <c r="BN227" s="111"/>
      <c r="BO227" s="111"/>
      <c r="BP227" s="111"/>
      <c r="BQ227" s="111"/>
      <c r="BR227" s="111"/>
      <c r="BS227" s="111"/>
      <c r="BT227" s="111"/>
      <c r="BU227" s="111"/>
      <c r="BV227" s="111"/>
      <c r="BW227" s="111"/>
      <c r="BX227" s="111"/>
      <c r="BY227" s="111"/>
      <c r="BZ227" s="111"/>
      <c r="CA227" s="111"/>
      <c r="CB227" s="111"/>
      <c r="CC227" s="178"/>
      <c r="CD227" s="177">
        <f t="shared" si="334"/>
        <v>0</v>
      </c>
      <c r="CE227" s="148"/>
      <c r="CF227" s="111">
        <f t="shared" si="335"/>
        <v>0</v>
      </c>
      <c r="CG227" s="177"/>
      <c r="CH227" s="204"/>
      <c r="CI227" s="148"/>
      <c r="CJ227" s="165"/>
      <c r="CK227" s="165"/>
      <c r="CL227" s="111"/>
      <c r="CM227" s="111"/>
      <c r="CN227" s="165">
        <f t="shared" si="336"/>
        <v>0</v>
      </c>
      <c r="CO227" s="109">
        <f t="shared" si="337"/>
        <v>0</v>
      </c>
      <c r="CP227" s="109">
        <f t="shared" si="338"/>
        <v>0</v>
      </c>
      <c r="CQ227" s="109"/>
      <c r="CR227" s="109"/>
      <c r="CS227" s="196"/>
      <c r="CT227" s="167"/>
      <c r="CU227" s="165"/>
      <c r="CV227" s="109">
        <f t="shared" si="339"/>
        <v>0</v>
      </c>
      <c r="CW227" s="109">
        <f t="shared" si="340"/>
        <v>0</v>
      </c>
      <c r="CX227" s="109"/>
      <c r="CY227" s="109"/>
      <c r="CZ227" s="111"/>
      <c r="DA227" s="111"/>
      <c r="DB227" s="165"/>
      <c r="DC227" s="109">
        <f t="shared" si="341"/>
        <v>0</v>
      </c>
      <c r="DD227" s="109">
        <f t="shared" si="342"/>
        <v>0</v>
      </c>
      <c r="DE227" s="109"/>
      <c r="DF227" s="109"/>
      <c r="DG227" s="111"/>
      <c r="DH227" s="111"/>
      <c r="DI227" s="165"/>
      <c r="DJ227" s="109">
        <f t="shared" si="343"/>
        <v>0</v>
      </c>
      <c r="DK227" s="109">
        <f t="shared" si="344"/>
        <v>0</v>
      </c>
      <c r="DL227" s="109"/>
      <c r="DM227" s="109"/>
      <c r="DN227" s="111"/>
      <c r="DO227" s="111"/>
      <c r="DP227" s="165"/>
      <c r="DQ227" s="109">
        <f t="shared" si="352"/>
        <v>0</v>
      </c>
      <c r="DR227" s="109">
        <f t="shared" si="353"/>
        <v>0</v>
      </c>
      <c r="DS227" s="109"/>
      <c r="DT227" s="109"/>
      <c r="DU227" s="111"/>
      <c r="DV227" s="111"/>
      <c r="DW227" s="165"/>
      <c r="DX227" s="109">
        <f t="shared" si="354"/>
        <v>0</v>
      </c>
      <c r="DY227" s="109">
        <f t="shared" si="355"/>
        <v>0</v>
      </c>
      <c r="DZ227" s="109"/>
      <c r="EA227" s="109"/>
      <c r="EB227" s="111"/>
      <c r="EC227" s="111"/>
      <c r="ED227" s="165"/>
      <c r="EE227" s="109">
        <f t="shared" si="356"/>
        <v>0</v>
      </c>
      <c r="EF227" s="109">
        <f t="shared" si="357"/>
        <v>0</v>
      </c>
      <c r="EG227" s="109"/>
      <c r="EH227" s="109"/>
      <c r="EI227" s="111"/>
      <c r="EJ227" s="111"/>
      <c r="EK227" s="165"/>
      <c r="EL227" s="109">
        <f t="shared" si="358"/>
        <v>0</v>
      </c>
      <c r="EM227" s="109">
        <f t="shared" si="359"/>
        <v>0</v>
      </c>
      <c r="EN227" s="109"/>
      <c r="EO227" s="109"/>
      <c r="EP227" s="111"/>
      <c r="EQ227" s="111"/>
      <c r="ER227" s="165"/>
      <c r="ES227" s="109">
        <f t="shared" si="360"/>
        <v>0</v>
      </c>
      <c r="ET227" s="109">
        <f t="shared" si="361"/>
        <v>0</v>
      </c>
      <c r="EU227" s="109"/>
      <c r="EV227" s="109"/>
      <c r="EW227" s="111"/>
      <c r="EX227" s="111"/>
      <c r="EY227" s="165"/>
      <c r="EZ227" s="109">
        <f t="shared" si="362"/>
        <v>0</v>
      </c>
      <c r="FA227" s="109">
        <f t="shared" si="363"/>
        <v>0</v>
      </c>
      <c r="FB227" s="109"/>
      <c r="FC227" s="109"/>
      <c r="FD227" s="111"/>
      <c r="FE227" s="111"/>
      <c r="FF227" s="165"/>
      <c r="FG227" s="109">
        <f t="shared" si="364"/>
        <v>0</v>
      </c>
      <c r="FH227" s="109">
        <f t="shared" si="365"/>
        <v>0</v>
      </c>
      <c r="FI227" s="109"/>
      <c r="FJ227" s="109"/>
      <c r="FK227" s="111"/>
      <c r="FL227" s="111"/>
      <c r="FM227" s="165"/>
      <c r="FN227" s="109">
        <f t="shared" si="366"/>
        <v>0</v>
      </c>
      <c r="FO227" s="109">
        <f t="shared" si="367"/>
        <v>0</v>
      </c>
      <c r="FP227" s="109"/>
      <c r="FQ227" s="109"/>
      <c r="FR227" s="111"/>
      <c r="FS227" s="111"/>
      <c r="FT227" s="165"/>
      <c r="FU227" s="109">
        <f t="shared" si="368"/>
        <v>0</v>
      </c>
      <c r="FV227" s="109">
        <f t="shared" si="326"/>
        <v>0</v>
      </c>
      <c r="FW227" s="109"/>
      <c r="FX227" s="109"/>
      <c r="FY227" s="111"/>
      <c r="FZ227" s="111"/>
      <c r="GA227" s="165"/>
      <c r="GB227" s="109">
        <f t="shared" si="369"/>
        <v>0</v>
      </c>
      <c r="GC227" s="109">
        <f t="shared" si="327"/>
        <v>0</v>
      </c>
      <c r="GD227" s="109"/>
      <c r="GE227" s="109"/>
      <c r="GF227" s="111"/>
      <c r="GG227" s="111"/>
      <c r="GH227" s="165"/>
      <c r="GI227" s="109">
        <f t="shared" si="370"/>
        <v>0</v>
      </c>
      <c r="GJ227" s="109">
        <f t="shared" si="328"/>
        <v>0</v>
      </c>
      <c r="GK227" s="109"/>
      <c r="GL227" s="109"/>
      <c r="GM227" s="111"/>
      <c r="GN227" s="111"/>
      <c r="GO227" s="165"/>
      <c r="GP227" s="109">
        <f t="shared" si="371"/>
        <v>0</v>
      </c>
      <c r="GQ227" s="109">
        <f t="shared" si="329"/>
        <v>0</v>
      </c>
      <c r="GR227" s="109"/>
      <c r="GS227" s="109"/>
      <c r="GT227" s="111"/>
      <c r="GU227" s="111"/>
      <c r="GV227" s="165"/>
      <c r="GW227" s="168">
        <f t="shared" si="372"/>
        <v>0</v>
      </c>
      <c r="GX227" s="168">
        <f t="shared" si="330"/>
        <v>0</v>
      </c>
      <c r="GY227" s="168"/>
      <c r="GZ227" s="168"/>
      <c r="HA227" s="111"/>
      <c r="HB227" s="111"/>
      <c r="HC227" s="165"/>
      <c r="HD227" s="109">
        <f t="shared" si="373"/>
        <v>0</v>
      </c>
      <c r="HE227" s="109">
        <f t="shared" si="331"/>
        <v>0</v>
      </c>
      <c r="HF227" s="109"/>
      <c r="HG227" s="109"/>
      <c r="HH227" s="111"/>
      <c r="HI227" s="111"/>
      <c r="HJ227" s="165"/>
      <c r="HK227" s="109">
        <f t="shared" si="374"/>
        <v>0</v>
      </c>
      <c r="HL227" s="109">
        <f t="shared" si="332"/>
        <v>0</v>
      </c>
      <c r="HM227" s="109"/>
      <c r="HN227" s="109"/>
      <c r="HO227" s="111"/>
      <c r="HP227" s="111"/>
      <c r="HQ227" s="165"/>
      <c r="HR227" s="109">
        <f t="shared" si="375"/>
        <v>0</v>
      </c>
      <c r="HS227" s="109">
        <f t="shared" si="333"/>
        <v>0</v>
      </c>
      <c r="HT227" s="109"/>
      <c r="HU227" s="109"/>
      <c r="HV227" s="111"/>
      <c r="HW227" s="111"/>
      <c r="HX227" s="105">
        <f t="shared" si="351"/>
        <v>0</v>
      </c>
      <c r="HY227" s="105">
        <f t="shared" si="351"/>
        <v>0</v>
      </c>
      <c r="HZ227" s="105">
        <f t="shared" si="351"/>
        <v>0</v>
      </c>
      <c r="IA227" s="105">
        <f t="shared" si="345"/>
        <v>0</v>
      </c>
      <c r="IB227" s="109">
        <f t="shared" si="346"/>
        <v>0</v>
      </c>
      <c r="IC227" s="109">
        <f t="shared" si="347"/>
        <v>0</v>
      </c>
      <c r="ID227" s="109">
        <f t="shared" si="348"/>
        <v>0</v>
      </c>
      <c r="IE227" s="109">
        <f t="shared" si="349"/>
        <v>0</v>
      </c>
      <c r="IF227" s="197"/>
      <c r="IG227" s="197"/>
      <c r="IH227" s="197"/>
      <c r="II227" s="197"/>
      <c r="IJ227" s="197"/>
      <c r="IK227" s="197"/>
      <c r="IL227" s="197"/>
      <c r="IM227" s="171"/>
      <c r="IN227" s="171"/>
      <c r="IO227" s="171"/>
      <c r="IP227" s="171"/>
    </row>
    <row r="228" spans="1:250" ht="15" customHeight="1" x14ac:dyDescent="0.3">
      <c r="A228" s="110">
        <f t="shared" si="350"/>
        <v>224</v>
      </c>
      <c r="B228" s="111"/>
      <c r="C228" s="111"/>
      <c r="D228" s="111"/>
      <c r="E228" s="111"/>
      <c r="F228" s="111"/>
      <c r="G228" s="111"/>
      <c r="H228" s="111"/>
      <c r="I228" s="194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75"/>
      <c r="AI228" s="111"/>
      <c r="AJ228" s="111"/>
      <c r="AK228" s="111"/>
      <c r="AL228" s="177"/>
      <c r="AM228" s="176"/>
      <c r="AN228" s="177"/>
      <c r="AO228" s="157"/>
      <c r="AP228" s="158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  <c r="BJ228" s="111"/>
      <c r="BK228" s="111"/>
      <c r="BL228" s="175"/>
      <c r="BM228" s="111"/>
      <c r="BN228" s="111"/>
      <c r="BO228" s="111"/>
      <c r="BP228" s="111"/>
      <c r="BQ228" s="111"/>
      <c r="BR228" s="111"/>
      <c r="BS228" s="111"/>
      <c r="BT228" s="111"/>
      <c r="BU228" s="111"/>
      <c r="BV228" s="111"/>
      <c r="BW228" s="111"/>
      <c r="BX228" s="111"/>
      <c r="BY228" s="111"/>
      <c r="BZ228" s="111"/>
      <c r="CA228" s="111"/>
      <c r="CB228" s="111"/>
      <c r="CC228" s="178"/>
      <c r="CD228" s="177">
        <f t="shared" si="334"/>
        <v>0</v>
      </c>
      <c r="CE228" s="148"/>
      <c r="CF228" s="111">
        <f t="shared" si="335"/>
        <v>0</v>
      </c>
      <c r="CG228" s="177"/>
      <c r="CH228" s="204"/>
      <c r="CI228" s="148"/>
      <c r="CJ228" s="165"/>
      <c r="CK228" s="165"/>
      <c r="CL228" s="111"/>
      <c r="CM228" s="111"/>
      <c r="CN228" s="165">
        <f t="shared" si="336"/>
        <v>0</v>
      </c>
      <c r="CO228" s="109">
        <f t="shared" si="337"/>
        <v>0</v>
      </c>
      <c r="CP228" s="109">
        <f t="shared" si="338"/>
        <v>0</v>
      </c>
      <c r="CQ228" s="109"/>
      <c r="CR228" s="109"/>
      <c r="CS228" s="196"/>
      <c r="CT228" s="167"/>
      <c r="CU228" s="165"/>
      <c r="CV228" s="109">
        <f t="shared" si="339"/>
        <v>0</v>
      </c>
      <c r="CW228" s="109">
        <f t="shared" si="340"/>
        <v>0</v>
      </c>
      <c r="CX228" s="109"/>
      <c r="CY228" s="109"/>
      <c r="CZ228" s="111"/>
      <c r="DA228" s="111"/>
      <c r="DB228" s="165"/>
      <c r="DC228" s="109">
        <f t="shared" si="341"/>
        <v>0</v>
      </c>
      <c r="DD228" s="109">
        <f t="shared" si="342"/>
        <v>0</v>
      </c>
      <c r="DE228" s="109"/>
      <c r="DF228" s="109"/>
      <c r="DG228" s="111"/>
      <c r="DH228" s="111"/>
      <c r="DI228" s="165"/>
      <c r="DJ228" s="109">
        <f t="shared" si="343"/>
        <v>0</v>
      </c>
      <c r="DK228" s="109">
        <f t="shared" si="344"/>
        <v>0</v>
      </c>
      <c r="DL228" s="109"/>
      <c r="DM228" s="109"/>
      <c r="DN228" s="111"/>
      <c r="DO228" s="111"/>
      <c r="DP228" s="165"/>
      <c r="DQ228" s="109">
        <f t="shared" si="352"/>
        <v>0</v>
      </c>
      <c r="DR228" s="109">
        <f t="shared" si="353"/>
        <v>0</v>
      </c>
      <c r="DS228" s="109"/>
      <c r="DT228" s="109"/>
      <c r="DU228" s="111"/>
      <c r="DV228" s="111"/>
      <c r="DW228" s="165"/>
      <c r="DX228" s="109">
        <f t="shared" si="354"/>
        <v>0</v>
      </c>
      <c r="DY228" s="109">
        <f t="shared" si="355"/>
        <v>0</v>
      </c>
      <c r="DZ228" s="109"/>
      <c r="EA228" s="109"/>
      <c r="EB228" s="111"/>
      <c r="EC228" s="111"/>
      <c r="ED228" s="165"/>
      <c r="EE228" s="109">
        <f t="shared" si="356"/>
        <v>0</v>
      </c>
      <c r="EF228" s="109">
        <f t="shared" si="357"/>
        <v>0</v>
      </c>
      <c r="EG228" s="109"/>
      <c r="EH228" s="109"/>
      <c r="EI228" s="111"/>
      <c r="EJ228" s="111"/>
      <c r="EK228" s="165"/>
      <c r="EL228" s="109">
        <f t="shared" si="358"/>
        <v>0</v>
      </c>
      <c r="EM228" s="109">
        <f t="shared" si="359"/>
        <v>0</v>
      </c>
      <c r="EN228" s="109"/>
      <c r="EO228" s="109"/>
      <c r="EP228" s="111"/>
      <c r="EQ228" s="111"/>
      <c r="ER228" s="165"/>
      <c r="ES228" s="109">
        <f t="shared" si="360"/>
        <v>0</v>
      </c>
      <c r="ET228" s="109">
        <f t="shared" si="361"/>
        <v>0</v>
      </c>
      <c r="EU228" s="109"/>
      <c r="EV228" s="109"/>
      <c r="EW228" s="111"/>
      <c r="EX228" s="111"/>
      <c r="EY228" s="165"/>
      <c r="EZ228" s="109">
        <f t="shared" si="362"/>
        <v>0</v>
      </c>
      <c r="FA228" s="109">
        <f t="shared" si="363"/>
        <v>0</v>
      </c>
      <c r="FB228" s="109"/>
      <c r="FC228" s="109"/>
      <c r="FD228" s="111"/>
      <c r="FE228" s="111"/>
      <c r="FF228" s="165"/>
      <c r="FG228" s="109">
        <f t="shared" si="364"/>
        <v>0</v>
      </c>
      <c r="FH228" s="109">
        <f t="shared" si="365"/>
        <v>0</v>
      </c>
      <c r="FI228" s="109"/>
      <c r="FJ228" s="109"/>
      <c r="FK228" s="111"/>
      <c r="FL228" s="111"/>
      <c r="FM228" s="165"/>
      <c r="FN228" s="109">
        <f t="shared" si="366"/>
        <v>0</v>
      </c>
      <c r="FO228" s="109">
        <f t="shared" si="367"/>
        <v>0</v>
      </c>
      <c r="FP228" s="109"/>
      <c r="FQ228" s="109"/>
      <c r="FR228" s="111"/>
      <c r="FS228" s="111"/>
      <c r="FT228" s="165"/>
      <c r="FU228" s="109">
        <f t="shared" si="368"/>
        <v>0</v>
      </c>
      <c r="FV228" s="109">
        <f t="shared" si="326"/>
        <v>0</v>
      </c>
      <c r="FW228" s="109"/>
      <c r="FX228" s="109"/>
      <c r="FY228" s="111"/>
      <c r="FZ228" s="111"/>
      <c r="GA228" s="165"/>
      <c r="GB228" s="109">
        <f t="shared" si="369"/>
        <v>0</v>
      </c>
      <c r="GC228" s="109">
        <f t="shared" si="327"/>
        <v>0</v>
      </c>
      <c r="GD228" s="109"/>
      <c r="GE228" s="109"/>
      <c r="GF228" s="111"/>
      <c r="GG228" s="111"/>
      <c r="GH228" s="165"/>
      <c r="GI228" s="109">
        <f t="shared" si="370"/>
        <v>0</v>
      </c>
      <c r="GJ228" s="109">
        <f t="shared" si="328"/>
        <v>0</v>
      </c>
      <c r="GK228" s="109"/>
      <c r="GL228" s="109"/>
      <c r="GM228" s="111"/>
      <c r="GN228" s="111"/>
      <c r="GO228" s="165"/>
      <c r="GP228" s="109">
        <f t="shared" si="371"/>
        <v>0</v>
      </c>
      <c r="GQ228" s="109">
        <f t="shared" si="329"/>
        <v>0</v>
      </c>
      <c r="GR228" s="109"/>
      <c r="GS228" s="109"/>
      <c r="GT228" s="111"/>
      <c r="GU228" s="111"/>
      <c r="GV228" s="165"/>
      <c r="GW228" s="168">
        <f t="shared" si="372"/>
        <v>0</v>
      </c>
      <c r="GX228" s="168">
        <f t="shared" si="330"/>
        <v>0</v>
      </c>
      <c r="GY228" s="168"/>
      <c r="GZ228" s="168"/>
      <c r="HA228" s="111"/>
      <c r="HB228" s="111"/>
      <c r="HC228" s="165"/>
      <c r="HD228" s="109">
        <f t="shared" si="373"/>
        <v>0</v>
      </c>
      <c r="HE228" s="109">
        <f t="shared" si="331"/>
        <v>0</v>
      </c>
      <c r="HF228" s="109"/>
      <c r="HG228" s="109"/>
      <c r="HH228" s="111"/>
      <c r="HI228" s="111"/>
      <c r="HJ228" s="165"/>
      <c r="HK228" s="109">
        <f t="shared" si="374"/>
        <v>0</v>
      </c>
      <c r="HL228" s="109">
        <f t="shared" si="332"/>
        <v>0</v>
      </c>
      <c r="HM228" s="109"/>
      <c r="HN228" s="109"/>
      <c r="HO228" s="111"/>
      <c r="HP228" s="111"/>
      <c r="HQ228" s="165"/>
      <c r="HR228" s="109">
        <f t="shared" si="375"/>
        <v>0</v>
      </c>
      <c r="HS228" s="109">
        <f t="shared" si="333"/>
        <v>0</v>
      </c>
      <c r="HT228" s="109"/>
      <c r="HU228" s="109"/>
      <c r="HV228" s="111"/>
      <c r="HW228" s="111"/>
      <c r="HX228" s="105">
        <f t="shared" si="351"/>
        <v>0</v>
      </c>
      <c r="HY228" s="105">
        <f t="shared" si="351"/>
        <v>0</v>
      </c>
      <c r="HZ228" s="105">
        <f t="shared" si="351"/>
        <v>0</v>
      </c>
      <c r="IA228" s="105">
        <f t="shared" si="345"/>
        <v>0</v>
      </c>
      <c r="IB228" s="109">
        <f t="shared" si="346"/>
        <v>0</v>
      </c>
      <c r="IC228" s="109">
        <f t="shared" si="347"/>
        <v>0</v>
      </c>
      <c r="ID228" s="109">
        <f t="shared" si="348"/>
        <v>0</v>
      </c>
      <c r="IE228" s="109">
        <f t="shared" si="349"/>
        <v>0</v>
      </c>
      <c r="IF228" s="197"/>
      <c r="IG228" s="197"/>
      <c r="IH228" s="197"/>
      <c r="II228" s="197"/>
      <c r="IJ228" s="197"/>
      <c r="IK228" s="197"/>
      <c r="IL228" s="197"/>
      <c r="IM228" s="171"/>
      <c r="IN228" s="171"/>
      <c r="IO228" s="171"/>
      <c r="IP228" s="171"/>
    </row>
    <row r="229" spans="1:250" ht="15" customHeight="1" x14ac:dyDescent="0.3">
      <c r="A229" s="110">
        <f t="shared" si="350"/>
        <v>225</v>
      </c>
      <c r="B229" s="111"/>
      <c r="C229" s="111"/>
      <c r="D229" s="111"/>
      <c r="E229" s="111"/>
      <c r="F229" s="111"/>
      <c r="G229" s="111"/>
      <c r="H229" s="111"/>
      <c r="I229" s="194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75"/>
      <c r="AI229" s="111"/>
      <c r="AJ229" s="111"/>
      <c r="AK229" s="111"/>
      <c r="AL229" s="177"/>
      <c r="AM229" s="176"/>
      <c r="AN229" s="177"/>
      <c r="AO229" s="157"/>
      <c r="AP229" s="158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  <c r="BJ229" s="111"/>
      <c r="BK229" s="111"/>
      <c r="BL229" s="175"/>
      <c r="BM229" s="111"/>
      <c r="BN229" s="111"/>
      <c r="BO229" s="111"/>
      <c r="BP229" s="111"/>
      <c r="BQ229" s="111"/>
      <c r="BR229" s="111"/>
      <c r="BS229" s="111"/>
      <c r="BT229" s="111"/>
      <c r="BU229" s="111"/>
      <c r="BV229" s="111"/>
      <c r="BW229" s="111"/>
      <c r="BX229" s="111"/>
      <c r="BY229" s="111"/>
      <c r="BZ229" s="111"/>
      <c r="CA229" s="111"/>
      <c r="CB229" s="111"/>
      <c r="CC229" s="178"/>
      <c r="CD229" s="177">
        <f t="shared" si="334"/>
        <v>0</v>
      </c>
      <c r="CE229" s="148"/>
      <c r="CF229" s="111">
        <f t="shared" si="335"/>
        <v>0</v>
      </c>
      <c r="CG229" s="177"/>
      <c r="CH229" s="204"/>
      <c r="CI229" s="148"/>
      <c r="CJ229" s="165"/>
      <c r="CK229" s="165"/>
      <c r="CL229" s="111"/>
      <c r="CM229" s="111"/>
      <c r="CN229" s="165">
        <f t="shared" si="336"/>
        <v>0</v>
      </c>
      <c r="CO229" s="109">
        <f t="shared" si="337"/>
        <v>0</v>
      </c>
      <c r="CP229" s="109">
        <f t="shared" si="338"/>
        <v>0</v>
      </c>
      <c r="CQ229" s="109"/>
      <c r="CR229" s="109"/>
      <c r="CS229" s="196"/>
      <c r="CT229" s="167"/>
      <c r="CU229" s="165"/>
      <c r="CV229" s="109">
        <f t="shared" si="339"/>
        <v>0</v>
      </c>
      <c r="CW229" s="109">
        <f t="shared" si="340"/>
        <v>0</v>
      </c>
      <c r="CX229" s="109"/>
      <c r="CY229" s="109"/>
      <c r="CZ229" s="111"/>
      <c r="DA229" s="111"/>
      <c r="DB229" s="165"/>
      <c r="DC229" s="109">
        <f t="shared" si="341"/>
        <v>0</v>
      </c>
      <c r="DD229" s="109">
        <f t="shared" si="342"/>
        <v>0</v>
      </c>
      <c r="DE229" s="109"/>
      <c r="DF229" s="109"/>
      <c r="DG229" s="111"/>
      <c r="DH229" s="111"/>
      <c r="DI229" s="165"/>
      <c r="DJ229" s="109">
        <f t="shared" si="343"/>
        <v>0</v>
      </c>
      <c r="DK229" s="109">
        <f t="shared" si="344"/>
        <v>0</v>
      </c>
      <c r="DL229" s="109"/>
      <c r="DM229" s="109"/>
      <c r="DN229" s="111"/>
      <c r="DO229" s="111"/>
      <c r="DP229" s="165"/>
      <c r="DQ229" s="109">
        <f t="shared" si="352"/>
        <v>0</v>
      </c>
      <c r="DR229" s="109">
        <f t="shared" si="353"/>
        <v>0</v>
      </c>
      <c r="DS229" s="109"/>
      <c r="DT229" s="109"/>
      <c r="DU229" s="111"/>
      <c r="DV229" s="111"/>
      <c r="DW229" s="165"/>
      <c r="DX229" s="109">
        <f t="shared" si="354"/>
        <v>0</v>
      </c>
      <c r="DY229" s="109">
        <f t="shared" si="355"/>
        <v>0</v>
      </c>
      <c r="DZ229" s="109"/>
      <c r="EA229" s="109"/>
      <c r="EB229" s="111"/>
      <c r="EC229" s="111"/>
      <c r="ED229" s="165"/>
      <c r="EE229" s="109">
        <f t="shared" si="356"/>
        <v>0</v>
      </c>
      <c r="EF229" s="109">
        <f t="shared" si="357"/>
        <v>0</v>
      </c>
      <c r="EG229" s="109"/>
      <c r="EH229" s="109"/>
      <c r="EI229" s="111"/>
      <c r="EJ229" s="111"/>
      <c r="EK229" s="165"/>
      <c r="EL229" s="109">
        <f t="shared" si="358"/>
        <v>0</v>
      </c>
      <c r="EM229" s="109">
        <f t="shared" si="359"/>
        <v>0</v>
      </c>
      <c r="EN229" s="109"/>
      <c r="EO229" s="109"/>
      <c r="EP229" s="111"/>
      <c r="EQ229" s="111"/>
      <c r="ER229" s="165"/>
      <c r="ES229" s="109">
        <f t="shared" si="360"/>
        <v>0</v>
      </c>
      <c r="ET229" s="109">
        <f t="shared" si="361"/>
        <v>0</v>
      </c>
      <c r="EU229" s="109"/>
      <c r="EV229" s="109"/>
      <c r="EW229" s="111"/>
      <c r="EX229" s="111"/>
      <c r="EY229" s="165"/>
      <c r="EZ229" s="109">
        <f t="shared" si="362"/>
        <v>0</v>
      </c>
      <c r="FA229" s="109">
        <f t="shared" si="363"/>
        <v>0</v>
      </c>
      <c r="FB229" s="109"/>
      <c r="FC229" s="109"/>
      <c r="FD229" s="111"/>
      <c r="FE229" s="111"/>
      <c r="FF229" s="165"/>
      <c r="FG229" s="109">
        <f t="shared" si="364"/>
        <v>0</v>
      </c>
      <c r="FH229" s="109">
        <f t="shared" si="365"/>
        <v>0</v>
      </c>
      <c r="FI229" s="109"/>
      <c r="FJ229" s="109"/>
      <c r="FK229" s="111"/>
      <c r="FL229" s="111"/>
      <c r="FM229" s="165"/>
      <c r="FN229" s="109">
        <f t="shared" si="366"/>
        <v>0</v>
      </c>
      <c r="FO229" s="109">
        <f t="shared" si="367"/>
        <v>0</v>
      </c>
      <c r="FP229" s="109"/>
      <c r="FQ229" s="109"/>
      <c r="FR229" s="111"/>
      <c r="FS229" s="111"/>
      <c r="FT229" s="165"/>
      <c r="FU229" s="109">
        <f t="shared" si="368"/>
        <v>0</v>
      </c>
      <c r="FV229" s="109">
        <f t="shared" si="326"/>
        <v>0</v>
      </c>
      <c r="FW229" s="109"/>
      <c r="FX229" s="109"/>
      <c r="FY229" s="111"/>
      <c r="FZ229" s="111"/>
      <c r="GA229" s="165"/>
      <c r="GB229" s="109">
        <f t="shared" si="369"/>
        <v>0</v>
      </c>
      <c r="GC229" s="109">
        <f t="shared" si="327"/>
        <v>0</v>
      </c>
      <c r="GD229" s="109"/>
      <c r="GE229" s="109"/>
      <c r="GF229" s="111"/>
      <c r="GG229" s="111"/>
      <c r="GH229" s="165"/>
      <c r="GI229" s="109">
        <f t="shared" si="370"/>
        <v>0</v>
      </c>
      <c r="GJ229" s="109">
        <f t="shared" si="328"/>
        <v>0</v>
      </c>
      <c r="GK229" s="109"/>
      <c r="GL229" s="109"/>
      <c r="GM229" s="111"/>
      <c r="GN229" s="111"/>
      <c r="GO229" s="165"/>
      <c r="GP229" s="109">
        <f t="shared" si="371"/>
        <v>0</v>
      </c>
      <c r="GQ229" s="109">
        <f t="shared" si="329"/>
        <v>0</v>
      </c>
      <c r="GR229" s="109"/>
      <c r="GS229" s="109"/>
      <c r="GT229" s="111"/>
      <c r="GU229" s="111"/>
      <c r="GV229" s="165"/>
      <c r="GW229" s="168">
        <f t="shared" si="372"/>
        <v>0</v>
      </c>
      <c r="GX229" s="168">
        <f t="shared" si="330"/>
        <v>0</v>
      </c>
      <c r="GY229" s="168"/>
      <c r="GZ229" s="168"/>
      <c r="HA229" s="111"/>
      <c r="HB229" s="111"/>
      <c r="HC229" s="165"/>
      <c r="HD229" s="109">
        <f t="shared" si="373"/>
        <v>0</v>
      </c>
      <c r="HE229" s="109">
        <f t="shared" si="331"/>
        <v>0</v>
      </c>
      <c r="HF229" s="109"/>
      <c r="HG229" s="109"/>
      <c r="HH229" s="111"/>
      <c r="HI229" s="111"/>
      <c r="HJ229" s="165"/>
      <c r="HK229" s="109">
        <f t="shared" si="374"/>
        <v>0</v>
      </c>
      <c r="HL229" s="109">
        <f t="shared" si="332"/>
        <v>0</v>
      </c>
      <c r="HM229" s="109"/>
      <c r="HN229" s="109"/>
      <c r="HO229" s="111"/>
      <c r="HP229" s="111"/>
      <c r="HQ229" s="165"/>
      <c r="HR229" s="109">
        <f t="shared" si="375"/>
        <v>0</v>
      </c>
      <c r="HS229" s="109">
        <f t="shared" si="333"/>
        <v>0</v>
      </c>
      <c r="HT229" s="109"/>
      <c r="HU229" s="109"/>
      <c r="HV229" s="111"/>
      <c r="HW229" s="111"/>
      <c r="HX229" s="105">
        <f t="shared" si="351"/>
        <v>0</v>
      </c>
      <c r="HY229" s="105">
        <f t="shared" si="351"/>
        <v>0</v>
      </c>
      <c r="HZ229" s="105">
        <f t="shared" si="351"/>
        <v>0</v>
      </c>
      <c r="IA229" s="105">
        <f t="shared" si="345"/>
        <v>0</v>
      </c>
      <c r="IB229" s="109">
        <f t="shared" si="346"/>
        <v>0</v>
      </c>
      <c r="IC229" s="109">
        <f t="shared" si="347"/>
        <v>0</v>
      </c>
      <c r="ID229" s="109">
        <f t="shared" si="348"/>
        <v>0</v>
      </c>
      <c r="IE229" s="109">
        <f t="shared" si="349"/>
        <v>0</v>
      </c>
      <c r="IF229" s="197"/>
      <c r="IG229" s="197"/>
      <c r="IH229" s="197"/>
      <c r="II229" s="197"/>
      <c r="IJ229" s="197"/>
      <c r="IK229" s="197"/>
      <c r="IL229" s="197"/>
      <c r="IM229" s="171"/>
      <c r="IN229" s="171"/>
      <c r="IO229" s="171"/>
      <c r="IP229" s="171"/>
    </row>
    <row r="230" spans="1:250" ht="15" customHeight="1" x14ac:dyDescent="0.3">
      <c r="A230" s="110">
        <f t="shared" si="350"/>
        <v>226</v>
      </c>
      <c r="B230" s="111"/>
      <c r="C230" s="111"/>
      <c r="D230" s="111"/>
      <c r="E230" s="111"/>
      <c r="F230" s="111"/>
      <c r="G230" s="111"/>
      <c r="H230" s="111"/>
      <c r="I230" s="194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75"/>
      <c r="AI230" s="111"/>
      <c r="AJ230" s="111"/>
      <c r="AK230" s="111"/>
      <c r="AL230" s="177"/>
      <c r="AM230" s="176"/>
      <c r="AN230" s="177"/>
      <c r="AO230" s="157"/>
      <c r="AP230" s="158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75"/>
      <c r="BM230" s="111"/>
      <c r="BN230" s="111"/>
      <c r="BO230" s="111"/>
      <c r="BP230" s="111"/>
      <c r="BQ230" s="111"/>
      <c r="BR230" s="111"/>
      <c r="BS230" s="111"/>
      <c r="BT230" s="111"/>
      <c r="BU230" s="111"/>
      <c r="BV230" s="111"/>
      <c r="BW230" s="111"/>
      <c r="BX230" s="111"/>
      <c r="BY230" s="111"/>
      <c r="BZ230" s="111"/>
      <c r="CA230" s="111"/>
      <c r="CB230" s="111"/>
      <c r="CC230" s="178"/>
      <c r="CD230" s="177">
        <f t="shared" si="334"/>
        <v>0</v>
      </c>
      <c r="CE230" s="148"/>
      <c r="CF230" s="111">
        <f t="shared" si="335"/>
        <v>0</v>
      </c>
      <c r="CG230" s="177"/>
      <c r="CH230" s="204"/>
      <c r="CI230" s="148"/>
      <c r="CJ230" s="165"/>
      <c r="CK230" s="165"/>
      <c r="CL230" s="111"/>
      <c r="CM230" s="111"/>
      <c r="CN230" s="165">
        <f t="shared" si="336"/>
        <v>0</v>
      </c>
      <c r="CO230" s="109">
        <f t="shared" si="337"/>
        <v>0</v>
      </c>
      <c r="CP230" s="109">
        <f t="shared" si="338"/>
        <v>0</v>
      </c>
      <c r="CQ230" s="109"/>
      <c r="CR230" s="109"/>
      <c r="CS230" s="196"/>
      <c r="CT230" s="167"/>
      <c r="CU230" s="165"/>
      <c r="CV230" s="109">
        <f t="shared" si="339"/>
        <v>0</v>
      </c>
      <c r="CW230" s="109">
        <f t="shared" si="340"/>
        <v>0</v>
      </c>
      <c r="CX230" s="109"/>
      <c r="CY230" s="109"/>
      <c r="CZ230" s="111"/>
      <c r="DA230" s="111"/>
      <c r="DB230" s="165"/>
      <c r="DC230" s="109">
        <f t="shared" si="341"/>
        <v>0</v>
      </c>
      <c r="DD230" s="109">
        <f t="shared" si="342"/>
        <v>0</v>
      </c>
      <c r="DE230" s="109"/>
      <c r="DF230" s="109"/>
      <c r="DG230" s="111"/>
      <c r="DH230" s="111"/>
      <c r="DI230" s="165"/>
      <c r="DJ230" s="109">
        <f t="shared" si="343"/>
        <v>0</v>
      </c>
      <c r="DK230" s="109">
        <f t="shared" si="344"/>
        <v>0</v>
      </c>
      <c r="DL230" s="109"/>
      <c r="DM230" s="109"/>
      <c r="DN230" s="111"/>
      <c r="DO230" s="111"/>
      <c r="DP230" s="165"/>
      <c r="DQ230" s="109">
        <f t="shared" si="352"/>
        <v>0</v>
      </c>
      <c r="DR230" s="109">
        <f t="shared" si="353"/>
        <v>0</v>
      </c>
      <c r="DS230" s="109"/>
      <c r="DT230" s="109"/>
      <c r="DU230" s="111"/>
      <c r="DV230" s="111"/>
      <c r="DW230" s="165"/>
      <c r="DX230" s="109">
        <f t="shared" si="354"/>
        <v>0</v>
      </c>
      <c r="DY230" s="109">
        <f t="shared" si="355"/>
        <v>0</v>
      </c>
      <c r="DZ230" s="109"/>
      <c r="EA230" s="109"/>
      <c r="EB230" s="111"/>
      <c r="EC230" s="111"/>
      <c r="ED230" s="165"/>
      <c r="EE230" s="109">
        <f t="shared" si="356"/>
        <v>0</v>
      </c>
      <c r="EF230" s="109">
        <f t="shared" si="357"/>
        <v>0</v>
      </c>
      <c r="EG230" s="109"/>
      <c r="EH230" s="109"/>
      <c r="EI230" s="111"/>
      <c r="EJ230" s="111"/>
      <c r="EK230" s="165"/>
      <c r="EL230" s="109">
        <f t="shared" si="358"/>
        <v>0</v>
      </c>
      <c r="EM230" s="109">
        <f t="shared" si="359"/>
        <v>0</v>
      </c>
      <c r="EN230" s="109"/>
      <c r="EO230" s="109"/>
      <c r="EP230" s="111"/>
      <c r="EQ230" s="111"/>
      <c r="ER230" s="165"/>
      <c r="ES230" s="109">
        <f t="shared" si="360"/>
        <v>0</v>
      </c>
      <c r="ET230" s="109">
        <f t="shared" si="361"/>
        <v>0</v>
      </c>
      <c r="EU230" s="109"/>
      <c r="EV230" s="109"/>
      <c r="EW230" s="111"/>
      <c r="EX230" s="111"/>
      <c r="EY230" s="165"/>
      <c r="EZ230" s="109">
        <f t="shared" si="362"/>
        <v>0</v>
      </c>
      <c r="FA230" s="109">
        <f t="shared" si="363"/>
        <v>0</v>
      </c>
      <c r="FB230" s="109"/>
      <c r="FC230" s="109"/>
      <c r="FD230" s="111"/>
      <c r="FE230" s="111"/>
      <c r="FF230" s="165"/>
      <c r="FG230" s="109">
        <f t="shared" si="364"/>
        <v>0</v>
      </c>
      <c r="FH230" s="109">
        <f t="shared" si="365"/>
        <v>0</v>
      </c>
      <c r="FI230" s="109"/>
      <c r="FJ230" s="109"/>
      <c r="FK230" s="111"/>
      <c r="FL230" s="111"/>
      <c r="FM230" s="165"/>
      <c r="FN230" s="109">
        <f t="shared" si="366"/>
        <v>0</v>
      </c>
      <c r="FO230" s="109">
        <f t="shared" si="367"/>
        <v>0</v>
      </c>
      <c r="FP230" s="109"/>
      <c r="FQ230" s="109"/>
      <c r="FR230" s="111"/>
      <c r="FS230" s="111"/>
      <c r="FT230" s="165"/>
      <c r="FU230" s="109">
        <f t="shared" si="368"/>
        <v>0</v>
      </c>
      <c r="FV230" s="109">
        <f t="shared" si="326"/>
        <v>0</v>
      </c>
      <c r="FW230" s="109"/>
      <c r="FX230" s="109"/>
      <c r="FY230" s="111"/>
      <c r="FZ230" s="111"/>
      <c r="GA230" s="165"/>
      <c r="GB230" s="109">
        <f t="shared" si="369"/>
        <v>0</v>
      </c>
      <c r="GC230" s="109">
        <f t="shared" si="327"/>
        <v>0</v>
      </c>
      <c r="GD230" s="109"/>
      <c r="GE230" s="109"/>
      <c r="GF230" s="111"/>
      <c r="GG230" s="111"/>
      <c r="GH230" s="165"/>
      <c r="GI230" s="109">
        <f t="shared" si="370"/>
        <v>0</v>
      </c>
      <c r="GJ230" s="109">
        <f t="shared" si="328"/>
        <v>0</v>
      </c>
      <c r="GK230" s="109"/>
      <c r="GL230" s="109"/>
      <c r="GM230" s="111"/>
      <c r="GN230" s="111"/>
      <c r="GO230" s="165"/>
      <c r="GP230" s="109">
        <f t="shared" si="371"/>
        <v>0</v>
      </c>
      <c r="GQ230" s="109">
        <f t="shared" si="329"/>
        <v>0</v>
      </c>
      <c r="GR230" s="109"/>
      <c r="GS230" s="109"/>
      <c r="GT230" s="111"/>
      <c r="GU230" s="111"/>
      <c r="GV230" s="165"/>
      <c r="GW230" s="168">
        <f t="shared" si="372"/>
        <v>0</v>
      </c>
      <c r="GX230" s="168">
        <f t="shared" si="330"/>
        <v>0</v>
      </c>
      <c r="GY230" s="168"/>
      <c r="GZ230" s="168"/>
      <c r="HA230" s="111"/>
      <c r="HB230" s="111"/>
      <c r="HC230" s="165"/>
      <c r="HD230" s="109">
        <f t="shared" si="373"/>
        <v>0</v>
      </c>
      <c r="HE230" s="109">
        <f t="shared" si="331"/>
        <v>0</v>
      </c>
      <c r="HF230" s="109"/>
      <c r="HG230" s="109"/>
      <c r="HH230" s="111"/>
      <c r="HI230" s="111"/>
      <c r="HJ230" s="165"/>
      <c r="HK230" s="109">
        <f t="shared" si="374"/>
        <v>0</v>
      </c>
      <c r="HL230" s="109">
        <f t="shared" si="332"/>
        <v>0</v>
      </c>
      <c r="HM230" s="109"/>
      <c r="HN230" s="109"/>
      <c r="HO230" s="111"/>
      <c r="HP230" s="111"/>
      <c r="HQ230" s="165"/>
      <c r="HR230" s="109">
        <f t="shared" si="375"/>
        <v>0</v>
      </c>
      <c r="HS230" s="109">
        <f t="shared" si="333"/>
        <v>0</v>
      </c>
      <c r="HT230" s="109"/>
      <c r="HU230" s="109"/>
      <c r="HV230" s="111"/>
      <c r="HW230" s="111"/>
      <c r="HX230" s="105">
        <f t="shared" si="351"/>
        <v>0</v>
      </c>
      <c r="HY230" s="105">
        <f t="shared" si="351"/>
        <v>0</v>
      </c>
      <c r="HZ230" s="105">
        <f t="shared" si="351"/>
        <v>0</v>
      </c>
      <c r="IA230" s="105">
        <f t="shared" si="345"/>
        <v>0</v>
      </c>
      <c r="IB230" s="109">
        <f t="shared" si="346"/>
        <v>0</v>
      </c>
      <c r="IC230" s="109">
        <f t="shared" si="347"/>
        <v>0</v>
      </c>
      <c r="ID230" s="109">
        <f t="shared" si="348"/>
        <v>0</v>
      </c>
      <c r="IE230" s="109">
        <f t="shared" si="349"/>
        <v>0</v>
      </c>
      <c r="IF230" s="197"/>
      <c r="IG230" s="197"/>
      <c r="IH230" s="197"/>
      <c r="II230" s="197"/>
      <c r="IJ230" s="197"/>
      <c r="IK230" s="197"/>
      <c r="IL230" s="197"/>
      <c r="IM230" s="171"/>
      <c r="IN230" s="171"/>
      <c r="IO230" s="171"/>
      <c r="IP230" s="171"/>
    </row>
    <row r="231" spans="1:250" ht="15" customHeight="1" x14ac:dyDescent="0.3">
      <c r="A231" s="110">
        <f t="shared" si="350"/>
        <v>227</v>
      </c>
      <c r="B231" s="111"/>
      <c r="C231" s="111"/>
      <c r="D231" s="111"/>
      <c r="E231" s="111"/>
      <c r="F231" s="111"/>
      <c r="G231" s="111"/>
      <c r="H231" s="111"/>
      <c r="I231" s="194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75"/>
      <c r="AI231" s="111"/>
      <c r="AJ231" s="111"/>
      <c r="AK231" s="111"/>
      <c r="AL231" s="177"/>
      <c r="AM231" s="176"/>
      <c r="AN231" s="177"/>
      <c r="AO231" s="157"/>
      <c r="AP231" s="158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  <c r="BG231" s="111"/>
      <c r="BH231" s="111"/>
      <c r="BI231" s="111"/>
      <c r="BJ231" s="111"/>
      <c r="BK231" s="111"/>
      <c r="BL231" s="175"/>
      <c r="BM231" s="111"/>
      <c r="BN231" s="111"/>
      <c r="BO231" s="111"/>
      <c r="BP231" s="111"/>
      <c r="BQ231" s="111"/>
      <c r="BR231" s="111"/>
      <c r="BS231" s="111"/>
      <c r="BT231" s="111"/>
      <c r="BU231" s="111"/>
      <c r="BV231" s="111"/>
      <c r="BW231" s="111"/>
      <c r="BX231" s="111"/>
      <c r="BY231" s="111"/>
      <c r="BZ231" s="111"/>
      <c r="CA231" s="111"/>
      <c r="CB231" s="111"/>
      <c r="CC231" s="178"/>
      <c r="CD231" s="177">
        <f t="shared" si="334"/>
        <v>0</v>
      </c>
      <c r="CE231" s="148"/>
      <c r="CF231" s="111">
        <f t="shared" si="335"/>
        <v>0</v>
      </c>
      <c r="CG231" s="177"/>
      <c r="CH231" s="204"/>
      <c r="CI231" s="148"/>
      <c r="CJ231" s="165"/>
      <c r="CK231" s="165"/>
      <c r="CL231" s="111"/>
      <c r="CM231" s="111"/>
      <c r="CN231" s="165">
        <f t="shared" si="336"/>
        <v>0</v>
      </c>
      <c r="CO231" s="109">
        <f t="shared" si="337"/>
        <v>0</v>
      </c>
      <c r="CP231" s="109">
        <f t="shared" si="338"/>
        <v>0</v>
      </c>
      <c r="CQ231" s="109"/>
      <c r="CR231" s="109"/>
      <c r="CS231" s="196"/>
      <c r="CT231" s="167"/>
      <c r="CU231" s="165"/>
      <c r="CV231" s="109">
        <f t="shared" si="339"/>
        <v>0</v>
      </c>
      <c r="CW231" s="109">
        <f t="shared" si="340"/>
        <v>0</v>
      </c>
      <c r="CX231" s="109"/>
      <c r="CY231" s="109"/>
      <c r="CZ231" s="111"/>
      <c r="DA231" s="111"/>
      <c r="DB231" s="165"/>
      <c r="DC231" s="109">
        <f t="shared" si="341"/>
        <v>0</v>
      </c>
      <c r="DD231" s="109">
        <f t="shared" si="342"/>
        <v>0</v>
      </c>
      <c r="DE231" s="109"/>
      <c r="DF231" s="109"/>
      <c r="DG231" s="111"/>
      <c r="DH231" s="111"/>
      <c r="DI231" s="165"/>
      <c r="DJ231" s="109">
        <f t="shared" si="343"/>
        <v>0</v>
      </c>
      <c r="DK231" s="109">
        <f t="shared" si="344"/>
        <v>0</v>
      </c>
      <c r="DL231" s="109"/>
      <c r="DM231" s="109"/>
      <c r="DN231" s="111"/>
      <c r="DO231" s="111"/>
      <c r="DP231" s="165"/>
      <c r="DQ231" s="109">
        <f t="shared" si="352"/>
        <v>0</v>
      </c>
      <c r="DR231" s="109">
        <f t="shared" si="353"/>
        <v>0</v>
      </c>
      <c r="DS231" s="109"/>
      <c r="DT231" s="109"/>
      <c r="DU231" s="111"/>
      <c r="DV231" s="111"/>
      <c r="DW231" s="165"/>
      <c r="DX231" s="109">
        <f t="shared" si="354"/>
        <v>0</v>
      </c>
      <c r="DY231" s="109">
        <f t="shared" si="355"/>
        <v>0</v>
      </c>
      <c r="DZ231" s="109"/>
      <c r="EA231" s="109"/>
      <c r="EB231" s="111"/>
      <c r="EC231" s="111"/>
      <c r="ED231" s="165"/>
      <c r="EE231" s="109">
        <f t="shared" si="356"/>
        <v>0</v>
      </c>
      <c r="EF231" s="109">
        <f t="shared" si="357"/>
        <v>0</v>
      </c>
      <c r="EG231" s="109"/>
      <c r="EH231" s="109"/>
      <c r="EI231" s="111"/>
      <c r="EJ231" s="111"/>
      <c r="EK231" s="165"/>
      <c r="EL231" s="109">
        <f t="shared" si="358"/>
        <v>0</v>
      </c>
      <c r="EM231" s="109">
        <f t="shared" si="359"/>
        <v>0</v>
      </c>
      <c r="EN231" s="109"/>
      <c r="EO231" s="109"/>
      <c r="EP231" s="111"/>
      <c r="EQ231" s="111"/>
      <c r="ER231" s="165"/>
      <c r="ES231" s="109">
        <f t="shared" si="360"/>
        <v>0</v>
      </c>
      <c r="ET231" s="109">
        <f t="shared" si="361"/>
        <v>0</v>
      </c>
      <c r="EU231" s="109"/>
      <c r="EV231" s="109"/>
      <c r="EW231" s="111"/>
      <c r="EX231" s="111"/>
      <c r="EY231" s="165"/>
      <c r="EZ231" s="109">
        <f t="shared" si="362"/>
        <v>0</v>
      </c>
      <c r="FA231" s="109">
        <f t="shared" si="363"/>
        <v>0</v>
      </c>
      <c r="FB231" s="109"/>
      <c r="FC231" s="109"/>
      <c r="FD231" s="111"/>
      <c r="FE231" s="111"/>
      <c r="FF231" s="165"/>
      <c r="FG231" s="109">
        <f t="shared" si="364"/>
        <v>0</v>
      </c>
      <c r="FH231" s="109">
        <f t="shared" si="365"/>
        <v>0</v>
      </c>
      <c r="FI231" s="109"/>
      <c r="FJ231" s="109"/>
      <c r="FK231" s="111"/>
      <c r="FL231" s="111"/>
      <c r="FM231" s="165"/>
      <c r="FN231" s="109">
        <f t="shared" si="366"/>
        <v>0</v>
      </c>
      <c r="FO231" s="109">
        <f t="shared" si="367"/>
        <v>0</v>
      </c>
      <c r="FP231" s="109"/>
      <c r="FQ231" s="109"/>
      <c r="FR231" s="111"/>
      <c r="FS231" s="111"/>
      <c r="FT231" s="165"/>
      <c r="FU231" s="109">
        <f t="shared" si="368"/>
        <v>0</v>
      </c>
      <c r="FV231" s="109">
        <f t="shared" si="326"/>
        <v>0</v>
      </c>
      <c r="FW231" s="109"/>
      <c r="FX231" s="109"/>
      <c r="FY231" s="111"/>
      <c r="FZ231" s="111"/>
      <c r="GA231" s="165"/>
      <c r="GB231" s="109">
        <f t="shared" si="369"/>
        <v>0</v>
      </c>
      <c r="GC231" s="109">
        <f t="shared" si="327"/>
        <v>0</v>
      </c>
      <c r="GD231" s="109"/>
      <c r="GE231" s="109"/>
      <c r="GF231" s="111"/>
      <c r="GG231" s="111"/>
      <c r="GH231" s="165"/>
      <c r="GI231" s="109">
        <f t="shared" si="370"/>
        <v>0</v>
      </c>
      <c r="GJ231" s="109">
        <f t="shared" si="328"/>
        <v>0</v>
      </c>
      <c r="GK231" s="109"/>
      <c r="GL231" s="109"/>
      <c r="GM231" s="111"/>
      <c r="GN231" s="111"/>
      <c r="GO231" s="165"/>
      <c r="GP231" s="109">
        <f t="shared" si="371"/>
        <v>0</v>
      </c>
      <c r="GQ231" s="109">
        <f t="shared" si="329"/>
        <v>0</v>
      </c>
      <c r="GR231" s="109"/>
      <c r="GS231" s="109"/>
      <c r="GT231" s="111"/>
      <c r="GU231" s="111"/>
      <c r="GV231" s="165"/>
      <c r="GW231" s="168">
        <f t="shared" si="372"/>
        <v>0</v>
      </c>
      <c r="GX231" s="168">
        <f t="shared" si="330"/>
        <v>0</v>
      </c>
      <c r="GY231" s="168"/>
      <c r="GZ231" s="168"/>
      <c r="HA231" s="111"/>
      <c r="HB231" s="111"/>
      <c r="HC231" s="165"/>
      <c r="HD231" s="109">
        <f t="shared" si="373"/>
        <v>0</v>
      </c>
      <c r="HE231" s="109">
        <f t="shared" si="331"/>
        <v>0</v>
      </c>
      <c r="HF231" s="109"/>
      <c r="HG231" s="109"/>
      <c r="HH231" s="111"/>
      <c r="HI231" s="111"/>
      <c r="HJ231" s="165"/>
      <c r="HK231" s="109">
        <f t="shared" si="374"/>
        <v>0</v>
      </c>
      <c r="HL231" s="109">
        <f t="shared" si="332"/>
        <v>0</v>
      </c>
      <c r="HM231" s="109"/>
      <c r="HN231" s="109"/>
      <c r="HO231" s="111"/>
      <c r="HP231" s="111"/>
      <c r="HQ231" s="165"/>
      <c r="HR231" s="109">
        <f t="shared" si="375"/>
        <v>0</v>
      </c>
      <c r="HS231" s="109">
        <f t="shared" si="333"/>
        <v>0</v>
      </c>
      <c r="HT231" s="109"/>
      <c r="HU231" s="109"/>
      <c r="HV231" s="111"/>
      <c r="HW231" s="111"/>
      <c r="HX231" s="105">
        <f t="shared" si="351"/>
        <v>0</v>
      </c>
      <c r="HY231" s="105">
        <f t="shared" si="351"/>
        <v>0</v>
      </c>
      <c r="HZ231" s="105">
        <f t="shared" si="351"/>
        <v>0</v>
      </c>
      <c r="IA231" s="105">
        <f t="shared" si="345"/>
        <v>0</v>
      </c>
      <c r="IB231" s="109">
        <f t="shared" si="346"/>
        <v>0</v>
      </c>
      <c r="IC231" s="109">
        <f t="shared" si="347"/>
        <v>0</v>
      </c>
      <c r="ID231" s="109">
        <f t="shared" si="348"/>
        <v>0</v>
      </c>
      <c r="IE231" s="109">
        <f t="shared" si="349"/>
        <v>0</v>
      </c>
      <c r="IF231" s="197"/>
      <c r="IG231" s="197"/>
      <c r="IH231" s="197"/>
      <c r="II231" s="197"/>
      <c r="IJ231" s="197"/>
      <c r="IK231" s="197"/>
      <c r="IL231" s="197"/>
      <c r="IM231" s="171"/>
      <c r="IN231" s="171"/>
      <c r="IO231" s="171"/>
      <c r="IP231" s="171"/>
    </row>
    <row r="232" spans="1:250" ht="15" customHeight="1" x14ac:dyDescent="0.3">
      <c r="A232" s="110">
        <f t="shared" si="350"/>
        <v>228</v>
      </c>
      <c r="B232" s="111"/>
      <c r="C232" s="111"/>
      <c r="D232" s="111"/>
      <c r="E232" s="111"/>
      <c r="F232" s="111"/>
      <c r="G232" s="111"/>
      <c r="H232" s="111"/>
      <c r="I232" s="194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75"/>
      <c r="AI232" s="111"/>
      <c r="AJ232" s="111"/>
      <c r="AK232" s="111"/>
      <c r="AL232" s="177"/>
      <c r="AM232" s="176"/>
      <c r="AN232" s="177"/>
      <c r="AO232" s="157"/>
      <c r="AP232" s="158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75"/>
      <c r="BM232" s="111"/>
      <c r="BN232" s="111"/>
      <c r="BO232" s="111"/>
      <c r="BP232" s="111"/>
      <c r="BQ232" s="111"/>
      <c r="BR232" s="111"/>
      <c r="BS232" s="111"/>
      <c r="BT232" s="111"/>
      <c r="BU232" s="111"/>
      <c r="BV232" s="111"/>
      <c r="BW232" s="111"/>
      <c r="BX232" s="111"/>
      <c r="BY232" s="111"/>
      <c r="BZ232" s="111"/>
      <c r="CA232" s="111"/>
      <c r="CB232" s="111"/>
      <c r="CC232" s="178"/>
      <c r="CD232" s="177">
        <f t="shared" si="334"/>
        <v>0</v>
      </c>
      <c r="CE232" s="148"/>
      <c r="CF232" s="111">
        <f t="shared" si="335"/>
        <v>0</v>
      </c>
      <c r="CG232" s="177"/>
      <c r="CH232" s="204"/>
      <c r="CI232" s="148"/>
      <c r="CJ232" s="165"/>
      <c r="CK232" s="165"/>
      <c r="CL232" s="111"/>
      <c r="CM232" s="111"/>
      <c r="CN232" s="165">
        <f t="shared" si="336"/>
        <v>0</v>
      </c>
      <c r="CO232" s="109">
        <f t="shared" si="337"/>
        <v>0</v>
      </c>
      <c r="CP232" s="109">
        <f t="shared" si="338"/>
        <v>0</v>
      </c>
      <c r="CQ232" s="109"/>
      <c r="CR232" s="109"/>
      <c r="CS232" s="196"/>
      <c r="CT232" s="167"/>
      <c r="CU232" s="165"/>
      <c r="CV232" s="109">
        <f t="shared" si="339"/>
        <v>0</v>
      </c>
      <c r="CW232" s="109">
        <f t="shared" si="340"/>
        <v>0</v>
      </c>
      <c r="CX232" s="109"/>
      <c r="CY232" s="109"/>
      <c r="CZ232" s="111"/>
      <c r="DA232" s="111"/>
      <c r="DB232" s="165"/>
      <c r="DC232" s="109">
        <f t="shared" si="341"/>
        <v>0</v>
      </c>
      <c r="DD232" s="109">
        <f t="shared" si="342"/>
        <v>0</v>
      </c>
      <c r="DE232" s="109"/>
      <c r="DF232" s="109"/>
      <c r="DG232" s="111"/>
      <c r="DH232" s="111"/>
      <c r="DI232" s="165"/>
      <c r="DJ232" s="109">
        <f t="shared" si="343"/>
        <v>0</v>
      </c>
      <c r="DK232" s="109">
        <f t="shared" si="344"/>
        <v>0</v>
      </c>
      <c r="DL232" s="109"/>
      <c r="DM232" s="109"/>
      <c r="DN232" s="111"/>
      <c r="DO232" s="111"/>
      <c r="DP232" s="165"/>
      <c r="DQ232" s="109">
        <f t="shared" si="352"/>
        <v>0</v>
      </c>
      <c r="DR232" s="109">
        <f t="shared" si="353"/>
        <v>0</v>
      </c>
      <c r="DS232" s="109"/>
      <c r="DT232" s="109"/>
      <c r="DU232" s="111"/>
      <c r="DV232" s="111"/>
      <c r="DW232" s="165"/>
      <c r="DX232" s="109">
        <f t="shared" si="354"/>
        <v>0</v>
      </c>
      <c r="DY232" s="109">
        <f t="shared" si="355"/>
        <v>0</v>
      </c>
      <c r="DZ232" s="109"/>
      <c r="EA232" s="109"/>
      <c r="EB232" s="111"/>
      <c r="EC232" s="111"/>
      <c r="ED232" s="165"/>
      <c r="EE232" s="109">
        <f t="shared" si="356"/>
        <v>0</v>
      </c>
      <c r="EF232" s="109">
        <f t="shared" si="357"/>
        <v>0</v>
      </c>
      <c r="EG232" s="109"/>
      <c r="EH232" s="109"/>
      <c r="EI232" s="111"/>
      <c r="EJ232" s="111"/>
      <c r="EK232" s="165"/>
      <c r="EL232" s="109">
        <f t="shared" si="358"/>
        <v>0</v>
      </c>
      <c r="EM232" s="109">
        <f t="shared" si="359"/>
        <v>0</v>
      </c>
      <c r="EN232" s="109"/>
      <c r="EO232" s="109"/>
      <c r="EP232" s="111"/>
      <c r="EQ232" s="111"/>
      <c r="ER232" s="165"/>
      <c r="ES232" s="109">
        <f t="shared" si="360"/>
        <v>0</v>
      </c>
      <c r="ET232" s="109">
        <f t="shared" si="361"/>
        <v>0</v>
      </c>
      <c r="EU232" s="109"/>
      <c r="EV232" s="109"/>
      <c r="EW232" s="111"/>
      <c r="EX232" s="111"/>
      <c r="EY232" s="165"/>
      <c r="EZ232" s="109">
        <f t="shared" si="362"/>
        <v>0</v>
      </c>
      <c r="FA232" s="109">
        <f t="shared" si="363"/>
        <v>0</v>
      </c>
      <c r="FB232" s="109"/>
      <c r="FC232" s="109"/>
      <c r="FD232" s="111"/>
      <c r="FE232" s="111"/>
      <c r="FF232" s="165"/>
      <c r="FG232" s="109">
        <f t="shared" si="364"/>
        <v>0</v>
      </c>
      <c r="FH232" s="109">
        <f t="shared" si="365"/>
        <v>0</v>
      </c>
      <c r="FI232" s="109"/>
      <c r="FJ232" s="109"/>
      <c r="FK232" s="111"/>
      <c r="FL232" s="111"/>
      <c r="FM232" s="165"/>
      <c r="FN232" s="109">
        <f t="shared" si="366"/>
        <v>0</v>
      </c>
      <c r="FO232" s="109">
        <f t="shared" si="367"/>
        <v>0</v>
      </c>
      <c r="FP232" s="109"/>
      <c r="FQ232" s="109"/>
      <c r="FR232" s="111"/>
      <c r="FS232" s="111"/>
      <c r="FT232" s="165"/>
      <c r="FU232" s="109">
        <f t="shared" si="368"/>
        <v>0</v>
      </c>
      <c r="FV232" s="109">
        <f t="shared" si="326"/>
        <v>0</v>
      </c>
      <c r="FW232" s="109"/>
      <c r="FX232" s="109"/>
      <c r="FY232" s="111"/>
      <c r="FZ232" s="111"/>
      <c r="GA232" s="165"/>
      <c r="GB232" s="109">
        <f t="shared" si="369"/>
        <v>0</v>
      </c>
      <c r="GC232" s="109">
        <f t="shared" si="327"/>
        <v>0</v>
      </c>
      <c r="GD232" s="109"/>
      <c r="GE232" s="109"/>
      <c r="GF232" s="111"/>
      <c r="GG232" s="111"/>
      <c r="GH232" s="165"/>
      <c r="GI232" s="109">
        <f t="shared" si="370"/>
        <v>0</v>
      </c>
      <c r="GJ232" s="109">
        <f t="shared" si="328"/>
        <v>0</v>
      </c>
      <c r="GK232" s="109"/>
      <c r="GL232" s="109"/>
      <c r="GM232" s="111"/>
      <c r="GN232" s="111"/>
      <c r="GO232" s="165"/>
      <c r="GP232" s="109">
        <f t="shared" si="371"/>
        <v>0</v>
      </c>
      <c r="GQ232" s="109">
        <f t="shared" si="329"/>
        <v>0</v>
      </c>
      <c r="GR232" s="109"/>
      <c r="GS232" s="109"/>
      <c r="GT232" s="111"/>
      <c r="GU232" s="111"/>
      <c r="GV232" s="165"/>
      <c r="GW232" s="168">
        <f t="shared" si="372"/>
        <v>0</v>
      </c>
      <c r="GX232" s="168">
        <f t="shared" si="330"/>
        <v>0</v>
      </c>
      <c r="GY232" s="168"/>
      <c r="GZ232" s="168"/>
      <c r="HA232" s="111"/>
      <c r="HB232" s="111"/>
      <c r="HC232" s="165"/>
      <c r="HD232" s="109">
        <f t="shared" si="373"/>
        <v>0</v>
      </c>
      <c r="HE232" s="109">
        <f t="shared" si="331"/>
        <v>0</v>
      </c>
      <c r="HF232" s="109"/>
      <c r="HG232" s="109"/>
      <c r="HH232" s="111"/>
      <c r="HI232" s="111"/>
      <c r="HJ232" s="165"/>
      <c r="HK232" s="109">
        <f t="shared" si="374"/>
        <v>0</v>
      </c>
      <c r="HL232" s="109">
        <f t="shared" si="332"/>
        <v>0</v>
      </c>
      <c r="HM232" s="109"/>
      <c r="HN232" s="109"/>
      <c r="HO232" s="111"/>
      <c r="HP232" s="111"/>
      <c r="HQ232" s="165"/>
      <c r="HR232" s="109">
        <f t="shared" si="375"/>
        <v>0</v>
      </c>
      <c r="HS232" s="109">
        <f t="shared" si="333"/>
        <v>0</v>
      </c>
      <c r="HT232" s="109"/>
      <c r="HU232" s="109"/>
      <c r="HV232" s="111"/>
      <c r="HW232" s="111"/>
      <c r="HX232" s="105">
        <f t="shared" si="351"/>
        <v>0</v>
      </c>
      <c r="HY232" s="105">
        <f t="shared" si="351"/>
        <v>0</v>
      </c>
      <c r="HZ232" s="105">
        <f t="shared" si="351"/>
        <v>0</v>
      </c>
      <c r="IA232" s="105">
        <f t="shared" si="345"/>
        <v>0</v>
      </c>
      <c r="IB232" s="109">
        <f t="shared" si="346"/>
        <v>0</v>
      </c>
      <c r="IC232" s="109">
        <f t="shared" si="347"/>
        <v>0</v>
      </c>
      <c r="ID232" s="109">
        <f t="shared" si="348"/>
        <v>0</v>
      </c>
      <c r="IE232" s="109">
        <f t="shared" si="349"/>
        <v>0</v>
      </c>
      <c r="IF232" s="197"/>
      <c r="IG232" s="197"/>
      <c r="IH232" s="197"/>
      <c r="II232" s="197"/>
      <c r="IJ232" s="197"/>
      <c r="IK232" s="197"/>
      <c r="IL232" s="197"/>
      <c r="IM232" s="171"/>
      <c r="IN232" s="171"/>
      <c r="IO232" s="171"/>
      <c r="IP232" s="171"/>
    </row>
    <row r="233" spans="1:250" ht="15" customHeight="1" x14ac:dyDescent="0.3">
      <c r="A233" s="110">
        <f t="shared" si="350"/>
        <v>229</v>
      </c>
      <c r="B233" s="111"/>
      <c r="C233" s="111"/>
      <c r="D233" s="111"/>
      <c r="E233" s="111"/>
      <c r="F233" s="111"/>
      <c r="G233" s="111"/>
      <c r="H233" s="111"/>
      <c r="I233" s="194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75"/>
      <c r="AI233" s="111"/>
      <c r="AJ233" s="111"/>
      <c r="AK233" s="111"/>
      <c r="AL233" s="177"/>
      <c r="AM233" s="176"/>
      <c r="AN233" s="177"/>
      <c r="AO233" s="157"/>
      <c r="AP233" s="158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  <c r="BJ233" s="111"/>
      <c r="BK233" s="111"/>
      <c r="BL233" s="175"/>
      <c r="BM233" s="111"/>
      <c r="BN233" s="111"/>
      <c r="BO233" s="111"/>
      <c r="BP233" s="111"/>
      <c r="BQ233" s="111"/>
      <c r="BR233" s="111"/>
      <c r="BS233" s="111"/>
      <c r="BT233" s="111"/>
      <c r="BU233" s="111"/>
      <c r="BV233" s="111"/>
      <c r="BW233" s="111"/>
      <c r="BX233" s="111"/>
      <c r="BY233" s="111"/>
      <c r="BZ233" s="111"/>
      <c r="CA233" s="111"/>
      <c r="CB233" s="111"/>
      <c r="CC233" s="178"/>
      <c r="CD233" s="177">
        <f t="shared" si="334"/>
        <v>0</v>
      </c>
      <c r="CE233" s="148"/>
      <c r="CF233" s="111">
        <f t="shared" si="335"/>
        <v>0</v>
      </c>
      <c r="CG233" s="177"/>
      <c r="CH233" s="204"/>
      <c r="CI233" s="148"/>
      <c r="CJ233" s="165"/>
      <c r="CK233" s="165"/>
      <c r="CL233" s="111"/>
      <c r="CM233" s="111"/>
      <c r="CN233" s="165">
        <f t="shared" si="336"/>
        <v>0</v>
      </c>
      <c r="CO233" s="109">
        <f t="shared" si="337"/>
        <v>0</v>
      </c>
      <c r="CP233" s="109">
        <f t="shared" si="338"/>
        <v>0</v>
      </c>
      <c r="CQ233" s="109"/>
      <c r="CR233" s="109"/>
      <c r="CS233" s="196"/>
      <c r="CT233" s="167"/>
      <c r="CU233" s="165"/>
      <c r="CV233" s="109">
        <f t="shared" si="339"/>
        <v>0</v>
      </c>
      <c r="CW233" s="109">
        <f t="shared" si="340"/>
        <v>0</v>
      </c>
      <c r="CX233" s="109"/>
      <c r="CY233" s="109"/>
      <c r="CZ233" s="111"/>
      <c r="DA233" s="111"/>
      <c r="DB233" s="165"/>
      <c r="DC233" s="109">
        <f t="shared" si="341"/>
        <v>0</v>
      </c>
      <c r="DD233" s="109">
        <f t="shared" si="342"/>
        <v>0</v>
      </c>
      <c r="DE233" s="109"/>
      <c r="DF233" s="109"/>
      <c r="DG233" s="111"/>
      <c r="DH233" s="111"/>
      <c r="DI233" s="165"/>
      <c r="DJ233" s="109">
        <f t="shared" si="343"/>
        <v>0</v>
      </c>
      <c r="DK233" s="109">
        <f t="shared" si="344"/>
        <v>0</v>
      </c>
      <c r="DL233" s="109"/>
      <c r="DM233" s="109"/>
      <c r="DN233" s="111"/>
      <c r="DO233" s="111"/>
      <c r="DP233" s="165"/>
      <c r="DQ233" s="109">
        <f t="shared" si="352"/>
        <v>0</v>
      </c>
      <c r="DR233" s="109">
        <f t="shared" si="353"/>
        <v>0</v>
      </c>
      <c r="DS233" s="109"/>
      <c r="DT233" s="109"/>
      <c r="DU233" s="111"/>
      <c r="DV233" s="111"/>
      <c r="DW233" s="165"/>
      <c r="DX233" s="109">
        <f t="shared" si="354"/>
        <v>0</v>
      </c>
      <c r="DY233" s="109">
        <f t="shared" si="355"/>
        <v>0</v>
      </c>
      <c r="DZ233" s="109"/>
      <c r="EA233" s="109"/>
      <c r="EB233" s="111"/>
      <c r="EC233" s="111"/>
      <c r="ED233" s="165"/>
      <c r="EE233" s="109">
        <f t="shared" si="356"/>
        <v>0</v>
      </c>
      <c r="EF233" s="109">
        <f t="shared" si="357"/>
        <v>0</v>
      </c>
      <c r="EG233" s="109"/>
      <c r="EH233" s="109"/>
      <c r="EI233" s="111"/>
      <c r="EJ233" s="111"/>
      <c r="EK233" s="165"/>
      <c r="EL233" s="109">
        <f t="shared" si="358"/>
        <v>0</v>
      </c>
      <c r="EM233" s="109">
        <f t="shared" si="359"/>
        <v>0</v>
      </c>
      <c r="EN233" s="109"/>
      <c r="EO233" s="109"/>
      <c r="EP233" s="111"/>
      <c r="EQ233" s="111"/>
      <c r="ER233" s="165"/>
      <c r="ES233" s="109">
        <f t="shared" si="360"/>
        <v>0</v>
      </c>
      <c r="ET233" s="109">
        <f t="shared" si="361"/>
        <v>0</v>
      </c>
      <c r="EU233" s="109"/>
      <c r="EV233" s="109"/>
      <c r="EW233" s="111"/>
      <c r="EX233" s="111"/>
      <c r="EY233" s="165"/>
      <c r="EZ233" s="109">
        <f t="shared" si="362"/>
        <v>0</v>
      </c>
      <c r="FA233" s="109">
        <f t="shared" si="363"/>
        <v>0</v>
      </c>
      <c r="FB233" s="109"/>
      <c r="FC233" s="109"/>
      <c r="FD233" s="111"/>
      <c r="FE233" s="111"/>
      <c r="FF233" s="165"/>
      <c r="FG233" s="109">
        <f t="shared" si="364"/>
        <v>0</v>
      </c>
      <c r="FH233" s="109">
        <f t="shared" si="365"/>
        <v>0</v>
      </c>
      <c r="FI233" s="109"/>
      <c r="FJ233" s="109"/>
      <c r="FK233" s="111"/>
      <c r="FL233" s="111"/>
      <c r="FM233" s="165"/>
      <c r="FN233" s="109">
        <f t="shared" si="366"/>
        <v>0</v>
      </c>
      <c r="FO233" s="109">
        <f t="shared" si="367"/>
        <v>0</v>
      </c>
      <c r="FP233" s="109"/>
      <c r="FQ233" s="109"/>
      <c r="FR233" s="111"/>
      <c r="FS233" s="111"/>
      <c r="FT233" s="165"/>
      <c r="FU233" s="109">
        <f t="shared" si="368"/>
        <v>0</v>
      </c>
      <c r="FV233" s="109">
        <f t="shared" si="326"/>
        <v>0</v>
      </c>
      <c r="FW233" s="109"/>
      <c r="FX233" s="109"/>
      <c r="FY233" s="111"/>
      <c r="FZ233" s="111"/>
      <c r="GA233" s="165"/>
      <c r="GB233" s="109">
        <f t="shared" si="369"/>
        <v>0</v>
      </c>
      <c r="GC233" s="109">
        <f t="shared" si="327"/>
        <v>0</v>
      </c>
      <c r="GD233" s="109"/>
      <c r="GE233" s="109"/>
      <c r="GF233" s="111"/>
      <c r="GG233" s="111"/>
      <c r="GH233" s="165"/>
      <c r="GI233" s="109">
        <f t="shared" si="370"/>
        <v>0</v>
      </c>
      <c r="GJ233" s="109">
        <f t="shared" si="328"/>
        <v>0</v>
      </c>
      <c r="GK233" s="109"/>
      <c r="GL233" s="109"/>
      <c r="GM233" s="111"/>
      <c r="GN233" s="111"/>
      <c r="GO233" s="165"/>
      <c r="GP233" s="109">
        <f t="shared" si="371"/>
        <v>0</v>
      </c>
      <c r="GQ233" s="109">
        <f t="shared" si="329"/>
        <v>0</v>
      </c>
      <c r="GR233" s="109"/>
      <c r="GS233" s="109"/>
      <c r="GT233" s="111"/>
      <c r="GU233" s="111"/>
      <c r="GV233" s="165"/>
      <c r="GW233" s="168">
        <f t="shared" si="372"/>
        <v>0</v>
      </c>
      <c r="GX233" s="168">
        <f t="shared" si="330"/>
        <v>0</v>
      </c>
      <c r="GY233" s="168"/>
      <c r="GZ233" s="168"/>
      <c r="HA233" s="111"/>
      <c r="HB233" s="111"/>
      <c r="HC233" s="165"/>
      <c r="HD233" s="109">
        <f t="shared" si="373"/>
        <v>0</v>
      </c>
      <c r="HE233" s="109">
        <f t="shared" si="331"/>
        <v>0</v>
      </c>
      <c r="HF233" s="109"/>
      <c r="HG233" s="109"/>
      <c r="HH233" s="111"/>
      <c r="HI233" s="111"/>
      <c r="HJ233" s="165"/>
      <c r="HK233" s="109">
        <f t="shared" si="374"/>
        <v>0</v>
      </c>
      <c r="HL233" s="109">
        <f t="shared" si="332"/>
        <v>0</v>
      </c>
      <c r="HM233" s="109"/>
      <c r="HN233" s="109"/>
      <c r="HO233" s="111"/>
      <c r="HP233" s="111"/>
      <c r="HQ233" s="165"/>
      <c r="HR233" s="109">
        <f t="shared" si="375"/>
        <v>0</v>
      </c>
      <c r="HS233" s="109">
        <f t="shared" si="333"/>
        <v>0</v>
      </c>
      <c r="HT233" s="109"/>
      <c r="HU233" s="109"/>
      <c r="HV233" s="111"/>
      <c r="HW233" s="111"/>
      <c r="HX233" s="105">
        <f t="shared" si="351"/>
        <v>0</v>
      </c>
      <c r="HY233" s="105">
        <f t="shared" si="351"/>
        <v>0</v>
      </c>
      <c r="HZ233" s="105">
        <f t="shared" si="351"/>
        <v>0</v>
      </c>
      <c r="IA233" s="105">
        <f t="shared" si="345"/>
        <v>0</v>
      </c>
      <c r="IB233" s="109">
        <f t="shared" si="346"/>
        <v>0</v>
      </c>
      <c r="IC233" s="109">
        <f t="shared" si="347"/>
        <v>0</v>
      </c>
      <c r="ID233" s="109">
        <f t="shared" si="348"/>
        <v>0</v>
      </c>
      <c r="IE233" s="109">
        <f t="shared" si="349"/>
        <v>0</v>
      </c>
      <c r="IF233" s="197"/>
      <c r="IG233" s="197"/>
      <c r="IH233" s="197"/>
      <c r="II233" s="197"/>
      <c r="IJ233" s="197"/>
      <c r="IK233" s="197"/>
      <c r="IL233" s="197"/>
      <c r="IM233" s="171"/>
      <c r="IN233" s="171"/>
      <c r="IO233" s="171"/>
      <c r="IP233" s="171"/>
    </row>
    <row r="234" spans="1:250" ht="15" customHeight="1" x14ac:dyDescent="0.3">
      <c r="A234" s="110">
        <f t="shared" si="350"/>
        <v>230</v>
      </c>
      <c r="B234" s="111"/>
      <c r="C234" s="111"/>
      <c r="D234" s="111"/>
      <c r="E234" s="111"/>
      <c r="F234" s="111"/>
      <c r="G234" s="111"/>
      <c r="H234" s="111"/>
      <c r="I234" s="194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75"/>
      <c r="AI234" s="111"/>
      <c r="AJ234" s="111"/>
      <c r="AK234" s="111"/>
      <c r="AL234" s="177"/>
      <c r="AM234" s="176"/>
      <c r="AN234" s="177"/>
      <c r="AO234" s="157"/>
      <c r="AP234" s="158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  <c r="BJ234" s="111"/>
      <c r="BK234" s="111"/>
      <c r="BL234" s="175"/>
      <c r="BM234" s="111"/>
      <c r="BN234" s="111"/>
      <c r="BO234" s="111"/>
      <c r="BP234" s="111"/>
      <c r="BQ234" s="111"/>
      <c r="BR234" s="111"/>
      <c r="BS234" s="111"/>
      <c r="BT234" s="111"/>
      <c r="BU234" s="111"/>
      <c r="BV234" s="111"/>
      <c r="BW234" s="111"/>
      <c r="BX234" s="111"/>
      <c r="BY234" s="111"/>
      <c r="BZ234" s="111"/>
      <c r="CA234" s="111"/>
      <c r="CB234" s="111"/>
      <c r="CC234" s="178"/>
      <c r="CD234" s="177">
        <f t="shared" si="334"/>
        <v>0</v>
      </c>
      <c r="CE234" s="148"/>
      <c r="CF234" s="111">
        <f t="shared" si="335"/>
        <v>0</v>
      </c>
      <c r="CG234" s="177"/>
      <c r="CH234" s="204"/>
      <c r="CI234" s="148"/>
      <c r="CJ234" s="165"/>
      <c r="CK234" s="165"/>
      <c r="CL234" s="111"/>
      <c r="CM234" s="111"/>
      <c r="CN234" s="165">
        <f t="shared" si="336"/>
        <v>0</v>
      </c>
      <c r="CO234" s="109">
        <f t="shared" si="337"/>
        <v>0</v>
      </c>
      <c r="CP234" s="109">
        <f t="shared" si="338"/>
        <v>0</v>
      </c>
      <c r="CQ234" s="109"/>
      <c r="CR234" s="109"/>
      <c r="CS234" s="196"/>
      <c r="CT234" s="167"/>
      <c r="CU234" s="165"/>
      <c r="CV234" s="109">
        <f t="shared" si="339"/>
        <v>0</v>
      </c>
      <c r="CW234" s="109">
        <f t="shared" si="340"/>
        <v>0</v>
      </c>
      <c r="CX234" s="109"/>
      <c r="CY234" s="109"/>
      <c r="CZ234" s="111"/>
      <c r="DA234" s="111"/>
      <c r="DB234" s="165"/>
      <c r="DC234" s="109">
        <f t="shared" si="341"/>
        <v>0</v>
      </c>
      <c r="DD234" s="109">
        <f t="shared" si="342"/>
        <v>0</v>
      </c>
      <c r="DE234" s="109"/>
      <c r="DF234" s="109"/>
      <c r="DG234" s="111"/>
      <c r="DH234" s="111"/>
      <c r="DI234" s="165"/>
      <c r="DJ234" s="109">
        <f t="shared" si="343"/>
        <v>0</v>
      </c>
      <c r="DK234" s="109">
        <f t="shared" si="344"/>
        <v>0</v>
      </c>
      <c r="DL234" s="109"/>
      <c r="DM234" s="109"/>
      <c r="DN234" s="111"/>
      <c r="DO234" s="111"/>
      <c r="DP234" s="165"/>
      <c r="DQ234" s="109">
        <f t="shared" si="352"/>
        <v>0</v>
      </c>
      <c r="DR234" s="109">
        <f t="shared" si="353"/>
        <v>0</v>
      </c>
      <c r="DS234" s="109"/>
      <c r="DT234" s="109"/>
      <c r="DU234" s="111"/>
      <c r="DV234" s="111"/>
      <c r="DW234" s="165"/>
      <c r="DX234" s="109">
        <f t="shared" si="354"/>
        <v>0</v>
      </c>
      <c r="DY234" s="109">
        <f t="shared" si="355"/>
        <v>0</v>
      </c>
      <c r="DZ234" s="109"/>
      <c r="EA234" s="109"/>
      <c r="EB234" s="111"/>
      <c r="EC234" s="111"/>
      <c r="ED234" s="165"/>
      <c r="EE234" s="109">
        <f t="shared" si="356"/>
        <v>0</v>
      </c>
      <c r="EF234" s="109">
        <f t="shared" si="357"/>
        <v>0</v>
      </c>
      <c r="EG234" s="109"/>
      <c r="EH234" s="109"/>
      <c r="EI234" s="111"/>
      <c r="EJ234" s="111"/>
      <c r="EK234" s="165"/>
      <c r="EL234" s="109">
        <f t="shared" si="358"/>
        <v>0</v>
      </c>
      <c r="EM234" s="109">
        <f t="shared" si="359"/>
        <v>0</v>
      </c>
      <c r="EN234" s="109"/>
      <c r="EO234" s="109"/>
      <c r="EP234" s="111"/>
      <c r="EQ234" s="111"/>
      <c r="ER234" s="165"/>
      <c r="ES234" s="109">
        <f t="shared" si="360"/>
        <v>0</v>
      </c>
      <c r="ET234" s="109">
        <f t="shared" si="361"/>
        <v>0</v>
      </c>
      <c r="EU234" s="109"/>
      <c r="EV234" s="109"/>
      <c r="EW234" s="111"/>
      <c r="EX234" s="111"/>
      <c r="EY234" s="165"/>
      <c r="EZ234" s="109">
        <f t="shared" si="362"/>
        <v>0</v>
      </c>
      <c r="FA234" s="109">
        <f t="shared" si="363"/>
        <v>0</v>
      </c>
      <c r="FB234" s="109"/>
      <c r="FC234" s="109"/>
      <c r="FD234" s="111"/>
      <c r="FE234" s="111"/>
      <c r="FF234" s="165"/>
      <c r="FG234" s="109">
        <f t="shared" si="364"/>
        <v>0</v>
      </c>
      <c r="FH234" s="109">
        <f t="shared" si="365"/>
        <v>0</v>
      </c>
      <c r="FI234" s="109"/>
      <c r="FJ234" s="109"/>
      <c r="FK234" s="111"/>
      <c r="FL234" s="111"/>
      <c r="FM234" s="165"/>
      <c r="FN234" s="109">
        <f t="shared" si="366"/>
        <v>0</v>
      </c>
      <c r="FO234" s="109">
        <f t="shared" si="367"/>
        <v>0</v>
      </c>
      <c r="FP234" s="109"/>
      <c r="FQ234" s="109"/>
      <c r="FR234" s="111"/>
      <c r="FS234" s="111"/>
      <c r="FT234" s="165"/>
      <c r="FU234" s="109">
        <f t="shared" si="368"/>
        <v>0</v>
      </c>
      <c r="FV234" s="109">
        <f t="shared" si="326"/>
        <v>0</v>
      </c>
      <c r="FW234" s="109"/>
      <c r="FX234" s="109"/>
      <c r="FY234" s="111"/>
      <c r="FZ234" s="111"/>
      <c r="GA234" s="165"/>
      <c r="GB234" s="109">
        <f t="shared" si="369"/>
        <v>0</v>
      </c>
      <c r="GC234" s="109">
        <f t="shared" si="327"/>
        <v>0</v>
      </c>
      <c r="GD234" s="109"/>
      <c r="GE234" s="109"/>
      <c r="GF234" s="111"/>
      <c r="GG234" s="111"/>
      <c r="GH234" s="165"/>
      <c r="GI234" s="109">
        <f t="shared" si="370"/>
        <v>0</v>
      </c>
      <c r="GJ234" s="109">
        <f t="shared" si="328"/>
        <v>0</v>
      </c>
      <c r="GK234" s="109"/>
      <c r="GL234" s="109"/>
      <c r="GM234" s="111"/>
      <c r="GN234" s="111"/>
      <c r="GO234" s="165"/>
      <c r="GP234" s="109">
        <f t="shared" si="371"/>
        <v>0</v>
      </c>
      <c r="GQ234" s="109">
        <f t="shared" si="329"/>
        <v>0</v>
      </c>
      <c r="GR234" s="109"/>
      <c r="GS234" s="109"/>
      <c r="GT234" s="111"/>
      <c r="GU234" s="111"/>
      <c r="GV234" s="165"/>
      <c r="GW234" s="168">
        <f t="shared" si="372"/>
        <v>0</v>
      </c>
      <c r="GX234" s="168">
        <f t="shared" si="330"/>
        <v>0</v>
      </c>
      <c r="GY234" s="168"/>
      <c r="GZ234" s="168"/>
      <c r="HA234" s="111"/>
      <c r="HB234" s="111"/>
      <c r="HC234" s="165"/>
      <c r="HD234" s="109">
        <f t="shared" si="373"/>
        <v>0</v>
      </c>
      <c r="HE234" s="109">
        <f t="shared" si="331"/>
        <v>0</v>
      </c>
      <c r="HF234" s="109"/>
      <c r="HG234" s="109"/>
      <c r="HH234" s="111"/>
      <c r="HI234" s="111"/>
      <c r="HJ234" s="165"/>
      <c r="HK234" s="109">
        <f t="shared" si="374"/>
        <v>0</v>
      </c>
      <c r="HL234" s="109">
        <f t="shared" si="332"/>
        <v>0</v>
      </c>
      <c r="HM234" s="109"/>
      <c r="HN234" s="109"/>
      <c r="HO234" s="111"/>
      <c r="HP234" s="111"/>
      <c r="HQ234" s="165"/>
      <c r="HR234" s="109">
        <f t="shared" si="375"/>
        <v>0</v>
      </c>
      <c r="HS234" s="109">
        <f t="shared" si="333"/>
        <v>0</v>
      </c>
      <c r="HT234" s="109"/>
      <c r="HU234" s="109"/>
      <c r="HV234" s="111"/>
      <c r="HW234" s="111"/>
      <c r="HX234" s="105">
        <f t="shared" si="351"/>
        <v>0</v>
      </c>
      <c r="HY234" s="105">
        <f t="shared" si="351"/>
        <v>0</v>
      </c>
      <c r="HZ234" s="105">
        <f t="shared" si="351"/>
        <v>0</v>
      </c>
      <c r="IA234" s="105">
        <f t="shared" si="345"/>
        <v>0</v>
      </c>
      <c r="IB234" s="109">
        <f t="shared" si="346"/>
        <v>0</v>
      </c>
      <c r="IC234" s="109">
        <f t="shared" si="347"/>
        <v>0</v>
      </c>
      <c r="ID234" s="109">
        <f t="shared" si="348"/>
        <v>0</v>
      </c>
      <c r="IE234" s="109">
        <f t="shared" si="349"/>
        <v>0</v>
      </c>
      <c r="IF234" s="197"/>
      <c r="IG234" s="197"/>
      <c r="IH234" s="197"/>
      <c r="II234" s="197"/>
      <c r="IJ234" s="197"/>
      <c r="IK234" s="197"/>
      <c r="IL234" s="197"/>
      <c r="IM234" s="171"/>
      <c r="IN234" s="171"/>
      <c r="IO234" s="171"/>
      <c r="IP234" s="171"/>
    </row>
    <row r="235" spans="1:250" ht="15" customHeight="1" x14ac:dyDescent="0.3">
      <c r="A235" s="110">
        <f t="shared" si="350"/>
        <v>231</v>
      </c>
      <c r="B235" s="111"/>
      <c r="C235" s="111"/>
      <c r="D235" s="111"/>
      <c r="E235" s="111"/>
      <c r="F235" s="111"/>
      <c r="G235" s="111"/>
      <c r="H235" s="111"/>
      <c r="I235" s="194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75"/>
      <c r="AI235" s="111"/>
      <c r="AJ235" s="111"/>
      <c r="AK235" s="111"/>
      <c r="AL235" s="177"/>
      <c r="AM235" s="176"/>
      <c r="AN235" s="177"/>
      <c r="AO235" s="157"/>
      <c r="AP235" s="158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  <c r="BJ235" s="111"/>
      <c r="BK235" s="111"/>
      <c r="BL235" s="175"/>
      <c r="BM235" s="111"/>
      <c r="BN235" s="111"/>
      <c r="BO235" s="111"/>
      <c r="BP235" s="111"/>
      <c r="BQ235" s="111"/>
      <c r="BR235" s="111"/>
      <c r="BS235" s="111"/>
      <c r="BT235" s="111"/>
      <c r="BU235" s="111"/>
      <c r="BV235" s="111"/>
      <c r="BW235" s="111"/>
      <c r="BX235" s="111"/>
      <c r="BY235" s="111"/>
      <c r="BZ235" s="111"/>
      <c r="CA235" s="111"/>
      <c r="CB235" s="111"/>
      <c r="CC235" s="178"/>
      <c r="CD235" s="177">
        <f t="shared" si="334"/>
        <v>0</v>
      </c>
      <c r="CE235" s="148"/>
      <c r="CF235" s="111">
        <f t="shared" si="335"/>
        <v>0</v>
      </c>
      <c r="CG235" s="177"/>
      <c r="CH235" s="204"/>
      <c r="CI235" s="148"/>
      <c r="CJ235" s="165"/>
      <c r="CK235" s="165"/>
      <c r="CL235" s="111"/>
      <c r="CM235" s="111"/>
      <c r="CN235" s="165">
        <f t="shared" si="336"/>
        <v>0</v>
      </c>
      <c r="CO235" s="109">
        <f t="shared" si="337"/>
        <v>0</v>
      </c>
      <c r="CP235" s="109">
        <f t="shared" si="338"/>
        <v>0</v>
      </c>
      <c r="CQ235" s="109"/>
      <c r="CR235" s="109"/>
      <c r="CS235" s="196"/>
      <c r="CT235" s="167"/>
      <c r="CU235" s="165"/>
      <c r="CV235" s="109">
        <f t="shared" si="339"/>
        <v>0</v>
      </c>
      <c r="CW235" s="109">
        <f t="shared" si="340"/>
        <v>0</v>
      </c>
      <c r="CX235" s="109"/>
      <c r="CY235" s="109"/>
      <c r="CZ235" s="111"/>
      <c r="DA235" s="111"/>
      <c r="DB235" s="165"/>
      <c r="DC235" s="109">
        <f t="shared" si="341"/>
        <v>0</v>
      </c>
      <c r="DD235" s="109">
        <f t="shared" si="342"/>
        <v>0</v>
      </c>
      <c r="DE235" s="109"/>
      <c r="DF235" s="109"/>
      <c r="DG235" s="111"/>
      <c r="DH235" s="111"/>
      <c r="DI235" s="165"/>
      <c r="DJ235" s="109">
        <f t="shared" si="343"/>
        <v>0</v>
      </c>
      <c r="DK235" s="109">
        <f t="shared" si="344"/>
        <v>0</v>
      </c>
      <c r="DL235" s="109"/>
      <c r="DM235" s="109"/>
      <c r="DN235" s="111"/>
      <c r="DO235" s="111"/>
      <c r="DP235" s="165"/>
      <c r="DQ235" s="109">
        <f t="shared" si="352"/>
        <v>0</v>
      </c>
      <c r="DR235" s="109">
        <f t="shared" si="353"/>
        <v>0</v>
      </c>
      <c r="DS235" s="109"/>
      <c r="DT235" s="109"/>
      <c r="DU235" s="111"/>
      <c r="DV235" s="111"/>
      <c r="DW235" s="165"/>
      <c r="DX235" s="109">
        <f t="shared" si="354"/>
        <v>0</v>
      </c>
      <c r="DY235" s="109">
        <f t="shared" si="355"/>
        <v>0</v>
      </c>
      <c r="DZ235" s="109"/>
      <c r="EA235" s="109"/>
      <c r="EB235" s="111"/>
      <c r="EC235" s="111"/>
      <c r="ED235" s="165"/>
      <c r="EE235" s="109">
        <f t="shared" si="356"/>
        <v>0</v>
      </c>
      <c r="EF235" s="109">
        <f t="shared" si="357"/>
        <v>0</v>
      </c>
      <c r="EG235" s="109"/>
      <c r="EH235" s="109"/>
      <c r="EI235" s="111"/>
      <c r="EJ235" s="111"/>
      <c r="EK235" s="165"/>
      <c r="EL235" s="109">
        <f t="shared" si="358"/>
        <v>0</v>
      </c>
      <c r="EM235" s="109">
        <f t="shared" si="359"/>
        <v>0</v>
      </c>
      <c r="EN235" s="109"/>
      <c r="EO235" s="109"/>
      <c r="EP235" s="111"/>
      <c r="EQ235" s="111"/>
      <c r="ER235" s="165"/>
      <c r="ES235" s="109">
        <f t="shared" si="360"/>
        <v>0</v>
      </c>
      <c r="ET235" s="109">
        <f t="shared" si="361"/>
        <v>0</v>
      </c>
      <c r="EU235" s="109"/>
      <c r="EV235" s="109"/>
      <c r="EW235" s="111"/>
      <c r="EX235" s="111"/>
      <c r="EY235" s="165"/>
      <c r="EZ235" s="109">
        <f t="shared" si="362"/>
        <v>0</v>
      </c>
      <c r="FA235" s="109">
        <f t="shared" si="363"/>
        <v>0</v>
      </c>
      <c r="FB235" s="109"/>
      <c r="FC235" s="109"/>
      <c r="FD235" s="111"/>
      <c r="FE235" s="111"/>
      <c r="FF235" s="165"/>
      <c r="FG235" s="109">
        <f t="shared" si="364"/>
        <v>0</v>
      </c>
      <c r="FH235" s="109">
        <f t="shared" si="365"/>
        <v>0</v>
      </c>
      <c r="FI235" s="109"/>
      <c r="FJ235" s="109"/>
      <c r="FK235" s="111"/>
      <c r="FL235" s="111"/>
      <c r="FM235" s="165"/>
      <c r="FN235" s="109">
        <f t="shared" si="366"/>
        <v>0</v>
      </c>
      <c r="FO235" s="109">
        <f t="shared" si="367"/>
        <v>0</v>
      </c>
      <c r="FP235" s="109"/>
      <c r="FQ235" s="109"/>
      <c r="FR235" s="111"/>
      <c r="FS235" s="111"/>
      <c r="FT235" s="165"/>
      <c r="FU235" s="109">
        <f t="shared" si="368"/>
        <v>0</v>
      </c>
      <c r="FV235" s="109">
        <f t="shared" si="326"/>
        <v>0</v>
      </c>
      <c r="FW235" s="109"/>
      <c r="FX235" s="109"/>
      <c r="FY235" s="111"/>
      <c r="FZ235" s="111"/>
      <c r="GA235" s="165"/>
      <c r="GB235" s="109">
        <f t="shared" si="369"/>
        <v>0</v>
      </c>
      <c r="GC235" s="109">
        <f t="shared" si="327"/>
        <v>0</v>
      </c>
      <c r="GD235" s="109"/>
      <c r="GE235" s="109"/>
      <c r="GF235" s="111"/>
      <c r="GG235" s="111"/>
      <c r="GH235" s="165"/>
      <c r="GI235" s="109">
        <f t="shared" si="370"/>
        <v>0</v>
      </c>
      <c r="GJ235" s="109">
        <f t="shared" si="328"/>
        <v>0</v>
      </c>
      <c r="GK235" s="109"/>
      <c r="GL235" s="109"/>
      <c r="GM235" s="111"/>
      <c r="GN235" s="111"/>
      <c r="GO235" s="165"/>
      <c r="GP235" s="109">
        <f t="shared" si="371"/>
        <v>0</v>
      </c>
      <c r="GQ235" s="109">
        <f t="shared" si="329"/>
        <v>0</v>
      </c>
      <c r="GR235" s="109"/>
      <c r="GS235" s="109"/>
      <c r="GT235" s="111"/>
      <c r="GU235" s="111"/>
      <c r="GV235" s="165"/>
      <c r="GW235" s="168">
        <f t="shared" si="372"/>
        <v>0</v>
      </c>
      <c r="GX235" s="168">
        <f t="shared" si="330"/>
        <v>0</v>
      </c>
      <c r="GY235" s="168"/>
      <c r="GZ235" s="168"/>
      <c r="HA235" s="111"/>
      <c r="HB235" s="111"/>
      <c r="HC235" s="165"/>
      <c r="HD235" s="109">
        <f t="shared" si="373"/>
        <v>0</v>
      </c>
      <c r="HE235" s="109">
        <f t="shared" si="331"/>
        <v>0</v>
      </c>
      <c r="HF235" s="109"/>
      <c r="HG235" s="109"/>
      <c r="HH235" s="111"/>
      <c r="HI235" s="111"/>
      <c r="HJ235" s="165"/>
      <c r="HK235" s="109">
        <f t="shared" si="374"/>
        <v>0</v>
      </c>
      <c r="HL235" s="109">
        <f t="shared" si="332"/>
        <v>0</v>
      </c>
      <c r="HM235" s="109"/>
      <c r="HN235" s="109"/>
      <c r="HO235" s="111"/>
      <c r="HP235" s="111"/>
      <c r="HQ235" s="165"/>
      <c r="HR235" s="109">
        <f t="shared" si="375"/>
        <v>0</v>
      </c>
      <c r="HS235" s="109">
        <f t="shared" si="333"/>
        <v>0</v>
      </c>
      <c r="HT235" s="109"/>
      <c r="HU235" s="109"/>
      <c r="HV235" s="111"/>
      <c r="HW235" s="111"/>
      <c r="HX235" s="105">
        <f t="shared" si="351"/>
        <v>0</v>
      </c>
      <c r="HY235" s="105">
        <f t="shared" si="351"/>
        <v>0</v>
      </c>
      <c r="HZ235" s="105">
        <f t="shared" si="351"/>
        <v>0</v>
      </c>
      <c r="IA235" s="105">
        <f t="shared" si="345"/>
        <v>0</v>
      </c>
      <c r="IB235" s="109">
        <f t="shared" si="346"/>
        <v>0</v>
      </c>
      <c r="IC235" s="109">
        <f t="shared" si="347"/>
        <v>0</v>
      </c>
      <c r="ID235" s="109">
        <f t="shared" si="348"/>
        <v>0</v>
      </c>
      <c r="IE235" s="109">
        <f t="shared" si="349"/>
        <v>0</v>
      </c>
      <c r="IF235" s="197"/>
      <c r="IG235" s="197"/>
      <c r="IH235" s="197"/>
      <c r="II235" s="197"/>
      <c r="IJ235" s="197"/>
      <c r="IK235" s="197"/>
      <c r="IL235" s="197"/>
      <c r="IM235" s="171"/>
      <c r="IN235" s="171"/>
      <c r="IO235" s="171"/>
      <c r="IP235" s="171"/>
    </row>
    <row r="236" spans="1:250" ht="15" customHeight="1" x14ac:dyDescent="0.3">
      <c r="A236" s="110">
        <f t="shared" si="350"/>
        <v>232</v>
      </c>
      <c r="B236" s="111"/>
      <c r="C236" s="111"/>
      <c r="D236" s="111"/>
      <c r="E236" s="111"/>
      <c r="F236" s="111"/>
      <c r="G236" s="111"/>
      <c r="H236" s="111"/>
      <c r="I236" s="194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75"/>
      <c r="AI236" s="111"/>
      <c r="AJ236" s="111"/>
      <c r="AK236" s="111"/>
      <c r="AL236" s="177"/>
      <c r="AM236" s="176"/>
      <c r="AN236" s="177"/>
      <c r="AO236" s="157"/>
      <c r="AP236" s="158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  <c r="BJ236" s="111"/>
      <c r="BK236" s="111"/>
      <c r="BL236" s="175"/>
      <c r="BM236" s="111"/>
      <c r="BN236" s="111"/>
      <c r="BO236" s="111"/>
      <c r="BP236" s="111"/>
      <c r="BQ236" s="111"/>
      <c r="BR236" s="111"/>
      <c r="BS236" s="111"/>
      <c r="BT236" s="111"/>
      <c r="BU236" s="111"/>
      <c r="BV236" s="111"/>
      <c r="BW236" s="111"/>
      <c r="BX236" s="111"/>
      <c r="BY236" s="111"/>
      <c r="BZ236" s="111"/>
      <c r="CA236" s="111"/>
      <c r="CB236" s="111"/>
      <c r="CC236" s="178"/>
      <c r="CD236" s="177">
        <f t="shared" si="334"/>
        <v>0</v>
      </c>
      <c r="CE236" s="148"/>
      <c r="CF236" s="111">
        <f t="shared" si="335"/>
        <v>0</v>
      </c>
      <c r="CG236" s="177"/>
      <c r="CH236" s="204"/>
      <c r="CI236" s="148"/>
      <c r="CJ236" s="165"/>
      <c r="CK236" s="165"/>
      <c r="CL236" s="111"/>
      <c r="CM236" s="111"/>
      <c r="CN236" s="165">
        <f t="shared" si="336"/>
        <v>0</v>
      </c>
      <c r="CO236" s="109">
        <f t="shared" si="337"/>
        <v>0</v>
      </c>
      <c r="CP236" s="109">
        <f t="shared" si="338"/>
        <v>0</v>
      </c>
      <c r="CQ236" s="109"/>
      <c r="CR236" s="109"/>
      <c r="CS236" s="196"/>
      <c r="CT236" s="167"/>
      <c r="CU236" s="165"/>
      <c r="CV236" s="109">
        <f t="shared" si="339"/>
        <v>0</v>
      </c>
      <c r="CW236" s="109">
        <f t="shared" si="340"/>
        <v>0</v>
      </c>
      <c r="CX236" s="109"/>
      <c r="CY236" s="109"/>
      <c r="CZ236" s="111"/>
      <c r="DA236" s="111"/>
      <c r="DB236" s="165"/>
      <c r="DC236" s="109">
        <f t="shared" si="341"/>
        <v>0</v>
      </c>
      <c r="DD236" s="109">
        <f t="shared" si="342"/>
        <v>0</v>
      </c>
      <c r="DE236" s="109"/>
      <c r="DF236" s="109"/>
      <c r="DG236" s="111"/>
      <c r="DH236" s="111"/>
      <c r="DI236" s="165"/>
      <c r="DJ236" s="109">
        <f t="shared" si="343"/>
        <v>0</v>
      </c>
      <c r="DK236" s="109">
        <f t="shared" si="344"/>
        <v>0</v>
      </c>
      <c r="DL236" s="109"/>
      <c r="DM236" s="109"/>
      <c r="DN236" s="111"/>
      <c r="DO236" s="111"/>
      <c r="DP236" s="165"/>
      <c r="DQ236" s="109">
        <f t="shared" si="352"/>
        <v>0</v>
      </c>
      <c r="DR236" s="109">
        <f t="shared" si="353"/>
        <v>0</v>
      </c>
      <c r="DS236" s="109"/>
      <c r="DT236" s="109"/>
      <c r="DU236" s="111"/>
      <c r="DV236" s="111"/>
      <c r="DW236" s="165"/>
      <c r="DX236" s="109">
        <f t="shared" si="354"/>
        <v>0</v>
      </c>
      <c r="DY236" s="109">
        <f t="shared" si="355"/>
        <v>0</v>
      </c>
      <c r="DZ236" s="109"/>
      <c r="EA236" s="109"/>
      <c r="EB236" s="111"/>
      <c r="EC236" s="111"/>
      <c r="ED236" s="165"/>
      <c r="EE236" s="109">
        <f t="shared" si="356"/>
        <v>0</v>
      </c>
      <c r="EF236" s="109">
        <f t="shared" si="357"/>
        <v>0</v>
      </c>
      <c r="EG236" s="109"/>
      <c r="EH236" s="109"/>
      <c r="EI236" s="111"/>
      <c r="EJ236" s="111"/>
      <c r="EK236" s="165"/>
      <c r="EL236" s="109">
        <f t="shared" si="358"/>
        <v>0</v>
      </c>
      <c r="EM236" s="109">
        <f t="shared" si="359"/>
        <v>0</v>
      </c>
      <c r="EN236" s="109"/>
      <c r="EO236" s="109"/>
      <c r="EP236" s="111"/>
      <c r="EQ236" s="111"/>
      <c r="ER236" s="165"/>
      <c r="ES236" s="109">
        <f t="shared" si="360"/>
        <v>0</v>
      </c>
      <c r="ET236" s="109">
        <f t="shared" si="361"/>
        <v>0</v>
      </c>
      <c r="EU236" s="109"/>
      <c r="EV236" s="109"/>
      <c r="EW236" s="111"/>
      <c r="EX236" s="111"/>
      <c r="EY236" s="165"/>
      <c r="EZ236" s="109">
        <f t="shared" si="362"/>
        <v>0</v>
      </c>
      <c r="FA236" s="109">
        <f t="shared" si="363"/>
        <v>0</v>
      </c>
      <c r="FB236" s="109"/>
      <c r="FC236" s="109"/>
      <c r="FD236" s="111"/>
      <c r="FE236" s="111"/>
      <c r="FF236" s="165"/>
      <c r="FG236" s="109">
        <f t="shared" si="364"/>
        <v>0</v>
      </c>
      <c r="FH236" s="109">
        <f t="shared" si="365"/>
        <v>0</v>
      </c>
      <c r="FI236" s="109"/>
      <c r="FJ236" s="109"/>
      <c r="FK236" s="111"/>
      <c r="FL236" s="111"/>
      <c r="FM236" s="165"/>
      <c r="FN236" s="109">
        <f t="shared" si="366"/>
        <v>0</v>
      </c>
      <c r="FO236" s="109">
        <f t="shared" si="367"/>
        <v>0</v>
      </c>
      <c r="FP236" s="109"/>
      <c r="FQ236" s="109"/>
      <c r="FR236" s="111"/>
      <c r="FS236" s="111"/>
      <c r="FT236" s="165"/>
      <c r="FU236" s="109">
        <f t="shared" si="368"/>
        <v>0</v>
      </c>
      <c r="FV236" s="109">
        <f t="shared" si="326"/>
        <v>0</v>
      </c>
      <c r="FW236" s="109"/>
      <c r="FX236" s="109"/>
      <c r="FY236" s="111"/>
      <c r="FZ236" s="111"/>
      <c r="GA236" s="165"/>
      <c r="GB236" s="109">
        <f t="shared" si="369"/>
        <v>0</v>
      </c>
      <c r="GC236" s="109">
        <f t="shared" si="327"/>
        <v>0</v>
      </c>
      <c r="GD236" s="109"/>
      <c r="GE236" s="109"/>
      <c r="GF236" s="111"/>
      <c r="GG236" s="111"/>
      <c r="GH236" s="165"/>
      <c r="GI236" s="109">
        <f t="shared" si="370"/>
        <v>0</v>
      </c>
      <c r="GJ236" s="109">
        <f t="shared" si="328"/>
        <v>0</v>
      </c>
      <c r="GK236" s="109"/>
      <c r="GL236" s="109"/>
      <c r="GM236" s="111"/>
      <c r="GN236" s="111"/>
      <c r="GO236" s="165"/>
      <c r="GP236" s="109">
        <f t="shared" si="371"/>
        <v>0</v>
      </c>
      <c r="GQ236" s="109">
        <f t="shared" si="329"/>
        <v>0</v>
      </c>
      <c r="GR236" s="109"/>
      <c r="GS236" s="109"/>
      <c r="GT236" s="111"/>
      <c r="GU236" s="111"/>
      <c r="GV236" s="165"/>
      <c r="GW236" s="168">
        <f t="shared" si="372"/>
        <v>0</v>
      </c>
      <c r="GX236" s="168">
        <f t="shared" si="330"/>
        <v>0</v>
      </c>
      <c r="GY236" s="168"/>
      <c r="GZ236" s="168"/>
      <c r="HA236" s="111"/>
      <c r="HB236" s="111"/>
      <c r="HC236" s="165"/>
      <c r="HD236" s="109">
        <f t="shared" si="373"/>
        <v>0</v>
      </c>
      <c r="HE236" s="109">
        <f t="shared" si="331"/>
        <v>0</v>
      </c>
      <c r="HF236" s="109"/>
      <c r="HG236" s="109"/>
      <c r="HH236" s="111"/>
      <c r="HI236" s="111"/>
      <c r="HJ236" s="165"/>
      <c r="HK236" s="109">
        <f t="shared" si="374"/>
        <v>0</v>
      </c>
      <c r="HL236" s="109">
        <f t="shared" si="332"/>
        <v>0</v>
      </c>
      <c r="HM236" s="109"/>
      <c r="HN236" s="109"/>
      <c r="HO236" s="111"/>
      <c r="HP236" s="111"/>
      <c r="HQ236" s="165"/>
      <c r="HR236" s="109">
        <f t="shared" si="375"/>
        <v>0</v>
      </c>
      <c r="HS236" s="109">
        <f t="shared" si="333"/>
        <v>0</v>
      </c>
      <c r="HT236" s="109"/>
      <c r="HU236" s="109"/>
      <c r="HV236" s="111"/>
      <c r="HW236" s="111"/>
      <c r="HX236" s="105">
        <f t="shared" si="351"/>
        <v>0</v>
      </c>
      <c r="HY236" s="105">
        <f t="shared" si="351"/>
        <v>0</v>
      </c>
      <c r="HZ236" s="105">
        <f t="shared" si="351"/>
        <v>0</v>
      </c>
      <c r="IA236" s="105">
        <f t="shared" si="345"/>
        <v>0</v>
      </c>
      <c r="IB236" s="109">
        <f t="shared" si="346"/>
        <v>0</v>
      </c>
      <c r="IC236" s="109">
        <f t="shared" si="347"/>
        <v>0</v>
      </c>
      <c r="ID236" s="109">
        <f t="shared" si="348"/>
        <v>0</v>
      </c>
      <c r="IE236" s="109">
        <f t="shared" si="349"/>
        <v>0</v>
      </c>
      <c r="IF236" s="197"/>
      <c r="IG236" s="197"/>
      <c r="IH236" s="197"/>
      <c r="II236" s="197"/>
      <c r="IJ236" s="197"/>
      <c r="IK236" s="197"/>
      <c r="IL236" s="197"/>
      <c r="IM236" s="171"/>
      <c r="IN236" s="171"/>
      <c r="IO236" s="171"/>
      <c r="IP236" s="171"/>
    </row>
    <row r="237" spans="1:250" ht="15" customHeight="1" x14ac:dyDescent="0.3">
      <c r="A237" s="110">
        <f t="shared" si="350"/>
        <v>233</v>
      </c>
      <c r="B237" s="111"/>
      <c r="C237" s="111"/>
      <c r="D237" s="111"/>
      <c r="E237" s="111"/>
      <c r="F237" s="111"/>
      <c r="G237" s="111"/>
      <c r="H237" s="111"/>
      <c r="I237" s="194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75"/>
      <c r="AI237" s="111"/>
      <c r="AJ237" s="111"/>
      <c r="AK237" s="111"/>
      <c r="AL237" s="177"/>
      <c r="AM237" s="176"/>
      <c r="AN237" s="177"/>
      <c r="AO237" s="157"/>
      <c r="AP237" s="158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75"/>
      <c r="BM237" s="111"/>
      <c r="BN237" s="111"/>
      <c r="BO237" s="111"/>
      <c r="BP237" s="111"/>
      <c r="BQ237" s="111"/>
      <c r="BR237" s="111"/>
      <c r="BS237" s="111"/>
      <c r="BT237" s="111"/>
      <c r="BU237" s="111"/>
      <c r="BV237" s="111"/>
      <c r="BW237" s="111"/>
      <c r="BX237" s="111"/>
      <c r="BY237" s="111"/>
      <c r="BZ237" s="111"/>
      <c r="CA237" s="111"/>
      <c r="CB237" s="111"/>
      <c r="CC237" s="178"/>
      <c r="CD237" s="177">
        <f t="shared" si="334"/>
        <v>0</v>
      </c>
      <c r="CE237" s="148"/>
      <c r="CF237" s="111">
        <f t="shared" si="335"/>
        <v>0</v>
      </c>
      <c r="CG237" s="177"/>
      <c r="CH237" s="204"/>
      <c r="CI237" s="148"/>
      <c r="CJ237" s="165"/>
      <c r="CK237" s="165"/>
      <c r="CL237" s="111"/>
      <c r="CM237" s="111"/>
      <c r="CN237" s="165">
        <f t="shared" si="336"/>
        <v>0</v>
      </c>
      <c r="CO237" s="109">
        <f t="shared" si="337"/>
        <v>0</v>
      </c>
      <c r="CP237" s="109">
        <f t="shared" si="338"/>
        <v>0</v>
      </c>
      <c r="CQ237" s="109"/>
      <c r="CR237" s="109"/>
      <c r="CS237" s="196"/>
      <c r="CT237" s="167"/>
      <c r="CU237" s="165"/>
      <c r="CV237" s="109">
        <f t="shared" si="339"/>
        <v>0</v>
      </c>
      <c r="CW237" s="109">
        <f t="shared" si="340"/>
        <v>0</v>
      </c>
      <c r="CX237" s="109"/>
      <c r="CY237" s="109"/>
      <c r="CZ237" s="111"/>
      <c r="DA237" s="111"/>
      <c r="DB237" s="165"/>
      <c r="DC237" s="109">
        <f t="shared" si="341"/>
        <v>0</v>
      </c>
      <c r="DD237" s="109">
        <f t="shared" si="342"/>
        <v>0</v>
      </c>
      <c r="DE237" s="109"/>
      <c r="DF237" s="109"/>
      <c r="DG237" s="111"/>
      <c r="DH237" s="111"/>
      <c r="DI237" s="165"/>
      <c r="DJ237" s="109">
        <f t="shared" si="343"/>
        <v>0</v>
      </c>
      <c r="DK237" s="109">
        <f t="shared" si="344"/>
        <v>0</v>
      </c>
      <c r="DL237" s="109"/>
      <c r="DM237" s="109"/>
      <c r="DN237" s="111"/>
      <c r="DO237" s="111"/>
      <c r="DP237" s="165"/>
      <c r="DQ237" s="109">
        <f t="shared" si="352"/>
        <v>0</v>
      </c>
      <c r="DR237" s="109">
        <f t="shared" si="353"/>
        <v>0</v>
      </c>
      <c r="DS237" s="109"/>
      <c r="DT237" s="109"/>
      <c r="DU237" s="111"/>
      <c r="DV237" s="111"/>
      <c r="DW237" s="165"/>
      <c r="DX237" s="109">
        <f t="shared" si="354"/>
        <v>0</v>
      </c>
      <c r="DY237" s="109">
        <f t="shared" si="355"/>
        <v>0</v>
      </c>
      <c r="DZ237" s="109"/>
      <c r="EA237" s="109"/>
      <c r="EB237" s="111"/>
      <c r="EC237" s="111"/>
      <c r="ED237" s="165"/>
      <c r="EE237" s="109">
        <f t="shared" si="356"/>
        <v>0</v>
      </c>
      <c r="EF237" s="109">
        <f t="shared" si="357"/>
        <v>0</v>
      </c>
      <c r="EG237" s="109"/>
      <c r="EH237" s="109"/>
      <c r="EI237" s="111"/>
      <c r="EJ237" s="111"/>
      <c r="EK237" s="165"/>
      <c r="EL237" s="109">
        <f t="shared" si="358"/>
        <v>0</v>
      </c>
      <c r="EM237" s="109">
        <f t="shared" si="359"/>
        <v>0</v>
      </c>
      <c r="EN237" s="109"/>
      <c r="EO237" s="109"/>
      <c r="EP237" s="111"/>
      <c r="EQ237" s="111"/>
      <c r="ER237" s="165"/>
      <c r="ES237" s="109">
        <f t="shared" si="360"/>
        <v>0</v>
      </c>
      <c r="ET237" s="109">
        <f t="shared" si="361"/>
        <v>0</v>
      </c>
      <c r="EU237" s="109"/>
      <c r="EV237" s="109"/>
      <c r="EW237" s="111"/>
      <c r="EX237" s="111"/>
      <c r="EY237" s="165"/>
      <c r="EZ237" s="109">
        <f t="shared" si="362"/>
        <v>0</v>
      </c>
      <c r="FA237" s="109">
        <f t="shared" si="363"/>
        <v>0</v>
      </c>
      <c r="FB237" s="109"/>
      <c r="FC237" s="109"/>
      <c r="FD237" s="111"/>
      <c r="FE237" s="111"/>
      <c r="FF237" s="165"/>
      <c r="FG237" s="109">
        <f t="shared" si="364"/>
        <v>0</v>
      </c>
      <c r="FH237" s="109">
        <f t="shared" si="365"/>
        <v>0</v>
      </c>
      <c r="FI237" s="109"/>
      <c r="FJ237" s="109"/>
      <c r="FK237" s="111"/>
      <c r="FL237" s="111"/>
      <c r="FM237" s="165"/>
      <c r="FN237" s="109">
        <f t="shared" si="366"/>
        <v>0</v>
      </c>
      <c r="FO237" s="109">
        <f t="shared" si="367"/>
        <v>0</v>
      </c>
      <c r="FP237" s="109"/>
      <c r="FQ237" s="109"/>
      <c r="FR237" s="111"/>
      <c r="FS237" s="111"/>
      <c r="FT237" s="165"/>
      <c r="FU237" s="109">
        <f t="shared" si="368"/>
        <v>0</v>
      </c>
      <c r="FV237" s="109">
        <f t="shared" ref="FV237:FV300" si="376">FW237/(1+AM237)*AM237</f>
        <v>0</v>
      </c>
      <c r="FW237" s="109"/>
      <c r="FX237" s="109"/>
      <c r="FY237" s="111"/>
      <c r="FZ237" s="111"/>
      <c r="GA237" s="165"/>
      <c r="GB237" s="109">
        <f t="shared" si="369"/>
        <v>0</v>
      </c>
      <c r="GC237" s="109">
        <f t="shared" ref="GC237:GC300" si="377">GD237/(1+AM237)*AM237</f>
        <v>0</v>
      </c>
      <c r="GD237" s="109"/>
      <c r="GE237" s="109"/>
      <c r="GF237" s="111"/>
      <c r="GG237" s="111"/>
      <c r="GH237" s="165"/>
      <c r="GI237" s="109">
        <f t="shared" si="370"/>
        <v>0</v>
      </c>
      <c r="GJ237" s="109">
        <f t="shared" ref="GJ237:GJ300" si="378">GK237/(1+AM237)*AM237</f>
        <v>0</v>
      </c>
      <c r="GK237" s="109"/>
      <c r="GL237" s="109"/>
      <c r="GM237" s="111"/>
      <c r="GN237" s="111"/>
      <c r="GO237" s="165"/>
      <c r="GP237" s="109">
        <f t="shared" si="371"/>
        <v>0</v>
      </c>
      <c r="GQ237" s="109">
        <f t="shared" ref="GQ237:GQ300" si="379">GR237/(1+AM237)*AM237</f>
        <v>0</v>
      </c>
      <c r="GR237" s="109"/>
      <c r="GS237" s="109"/>
      <c r="GT237" s="111"/>
      <c r="GU237" s="111"/>
      <c r="GV237" s="165"/>
      <c r="GW237" s="168">
        <f t="shared" si="372"/>
        <v>0</v>
      </c>
      <c r="GX237" s="168">
        <f t="shared" ref="GX237:GX300" si="380">GY237/(1+AM237)*AM237</f>
        <v>0</v>
      </c>
      <c r="GY237" s="168"/>
      <c r="GZ237" s="168"/>
      <c r="HA237" s="111"/>
      <c r="HB237" s="111"/>
      <c r="HC237" s="165"/>
      <c r="HD237" s="109">
        <f t="shared" si="373"/>
        <v>0</v>
      </c>
      <c r="HE237" s="109">
        <f t="shared" ref="HE237:HE300" si="381">HF237/(1+AM237)*AM237</f>
        <v>0</v>
      </c>
      <c r="HF237" s="109"/>
      <c r="HG237" s="109"/>
      <c r="HH237" s="111"/>
      <c r="HI237" s="111"/>
      <c r="HJ237" s="165"/>
      <c r="HK237" s="109">
        <f t="shared" si="374"/>
        <v>0</v>
      </c>
      <c r="HL237" s="109">
        <f t="shared" ref="HL237:HL300" si="382">HM237/(1+AM237)*AM237</f>
        <v>0</v>
      </c>
      <c r="HM237" s="109"/>
      <c r="HN237" s="109"/>
      <c r="HO237" s="111"/>
      <c r="HP237" s="111"/>
      <c r="HQ237" s="165"/>
      <c r="HR237" s="109">
        <f t="shared" si="375"/>
        <v>0</v>
      </c>
      <c r="HS237" s="109">
        <f t="shared" ref="HS237:HS300" si="383">HT237/(1+AM237)*AM237</f>
        <v>0</v>
      </c>
      <c r="HT237" s="109"/>
      <c r="HU237" s="109"/>
      <c r="HV237" s="111"/>
      <c r="HW237" s="111"/>
      <c r="HX237" s="105">
        <f t="shared" si="351"/>
        <v>0</v>
      </c>
      <c r="HY237" s="105">
        <f t="shared" si="351"/>
        <v>0</v>
      </c>
      <c r="HZ237" s="105">
        <f t="shared" si="351"/>
        <v>0</v>
      </c>
      <c r="IA237" s="105">
        <f t="shared" si="345"/>
        <v>0</v>
      </c>
      <c r="IB237" s="109">
        <f t="shared" si="346"/>
        <v>0</v>
      </c>
      <c r="IC237" s="109">
        <f t="shared" si="347"/>
        <v>0</v>
      </c>
      <c r="ID237" s="109">
        <f t="shared" si="348"/>
        <v>0</v>
      </c>
      <c r="IE237" s="109">
        <f t="shared" si="349"/>
        <v>0</v>
      </c>
      <c r="IF237" s="197"/>
      <c r="IG237" s="197"/>
      <c r="IH237" s="197"/>
      <c r="II237" s="197"/>
      <c r="IJ237" s="197"/>
      <c r="IK237" s="197"/>
      <c r="IL237" s="197"/>
      <c r="IM237" s="171"/>
      <c r="IN237" s="171"/>
      <c r="IO237" s="171"/>
      <c r="IP237" s="171"/>
    </row>
    <row r="238" spans="1:250" ht="15" customHeight="1" x14ac:dyDescent="0.3">
      <c r="A238" s="110">
        <f t="shared" si="350"/>
        <v>234</v>
      </c>
      <c r="B238" s="111"/>
      <c r="C238" s="111"/>
      <c r="D238" s="111"/>
      <c r="E238" s="111"/>
      <c r="F238" s="111"/>
      <c r="G238" s="111"/>
      <c r="H238" s="111"/>
      <c r="I238" s="194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75"/>
      <c r="AI238" s="111"/>
      <c r="AJ238" s="111"/>
      <c r="AK238" s="111"/>
      <c r="AL238" s="177"/>
      <c r="AM238" s="176"/>
      <c r="AN238" s="177"/>
      <c r="AO238" s="157"/>
      <c r="AP238" s="158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75"/>
      <c r="BM238" s="111"/>
      <c r="BN238" s="111"/>
      <c r="BO238" s="111"/>
      <c r="BP238" s="111"/>
      <c r="BQ238" s="111"/>
      <c r="BR238" s="111"/>
      <c r="BS238" s="111"/>
      <c r="BT238" s="111"/>
      <c r="BU238" s="111"/>
      <c r="BV238" s="111"/>
      <c r="BW238" s="111"/>
      <c r="BX238" s="111"/>
      <c r="BY238" s="111"/>
      <c r="BZ238" s="111"/>
      <c r="CA238" s="111"/>
      <c r="CB238" s="111"/>
      <c r="CC238" s="178"/>
      <c r="CD238" s="177">
        <f t="shared" si="334"/>
        <v>0</v>
      </c>
      <c r="CE238" s="148"/>
      <c r="CF238" s="111">
        <f t="shared" si="335"/>
        <v>0</v>
      </c>
      <c r="CG238" s="177"/>
      <c r="CH238" s="204"/>
      <c r="CI238" s="148"/>
      <c r="CJ238" s="165"/>
      <c r="CK238" s="165"/>
      <c r="CL238" s="111"/>
      <c r="CM238" s="111"/>
      <c r="CN238" s="165">
        <f t="shared" si="336"/>
        <v>0</v>
      </c>
      <c r="CO238" s="109">
        <f t="shared" si="337"/>
        <v>0</v>
      </c>
      <c r="CP238" s="109">
        <f t="shared" si="338"/>
        <v>0</v>
      </c>
      <c r="CQ238" s="109"/>
      <c r="CR238" s="109"/>
      <c r="CS238" s="196"/>
      <c r="CT238" s="167"/>
      <c r="CU238" s="165"/>
      <c r="CV238" s="109">
        <f t="shared" si="339"/>
        <v>0</v>
      </c>
      <c r="CW238" s="109">
        <f t="shared" si="340"/>
        <v>0</v>
      </c>
      <c r="CX238" s="109"/>
      <c r="CY238" s="109"/>
      <c r="CZ238" s="111"/>
      <c r="DA238" s="111"/>
      <c r="DB238" s="165"/>
      <c r="DC238" s="109">
        <f t="shared" si="341"/>
        <v>0</v>
      </c>
      <c r="DD238" s="109">
        <f t="shared" si="342"/>
        <v>0</v>
      </c>
      <c r="DE238" s="109"/>
      <c r="DF238" s="109"/>
      <c r="DG238" s="111"/>
      <c r="DH238" s="111"/>
      <c r="DI238" s="165"/>
      <c r="DJ238" s="109">
        <f t="shared" si="343"/>
        <v>0</v>
      </c>
      <c r="DK238" s="109">
        <f t="shared" si="344"/>
        <v>0</v>
      </c>
      <c r="DL238" s="109"/>
      <c r="DM238" s="109"/>
      <c r="DN238" s="111"/>
      <c r="DO238" s="111"/>
      <c r="DP238" s="165"/>
      <c r="DQ238" s="109">
        <f t="shared" si="352"/>
        <v>0</v>
      </c>
      <c r="DR238" s="109">
        <f t="shared" si="353"/>
        <v>0</v>
      </c>
      <c r="DS238" s="109"/>
      <c r="DT238" s="109"/>
      <c r="DU238" s="111"/>
      <c r="DV238" s="111"/>
      <c r="DW238" s="165"/>
      <c r="DX238" s="109">
        <f t="shared" si="354"/>
        <v>0</v>
      </c>
      <c r="DY238" s="109">
        <f t="shared" si="355"/>
        <v>0</v>
      </c>
      <c r="DZ238" s="109"/>
      <c r="EA238" s="109"/>
      <c r="EB238" s="111"/>
      <c r="EC238" s="111"/>
      <c r="ED238" s="165"/>
      <c r="EE238" s="109">
        <f t="shared" si="356"/>
        <v>0</v>
      </c>
      <c r="EF238" s="109">
        <f t="shared" si="357"/>
        <v>0</v>
      </c>
      <c r="EG238" s="109"/>
      <c r="EH238" s="109"/>
      <c r="EI238" s="111"/>
      <c r="EJ238" s="111"/>
      <c r="EK238" s="165"/>
      <c r="EL238" s="109">
        <f t="shared" si="358"/>
        <v>0</v>
      </c>
      <c r="EM238" s="109">
        <f t="shared" si="359"/>
        <v>0</v>
      </c>
      <c r="EN238" s="109"/>
      <c r="EO238" s="109"/>
      <c r="EP238" s="111"/>
      <c r="EQ238" s="111"/>
      <c r="ER238" s="165"/>
      <c r="ES238" s="109">
        <f t="shared" si="360"/>
        <v>0</v>
      </c>
      <c r="ET238" s="109">
        <f t="shared" si="361"/>
        <v>0</v>
      </c>
      <c r="EU238" s="109"/>
      <c r="EV238" s="109"/>
      <c r="EW238" s="111"/>
      <c r="EX238" s="111"/>
      <c r="EY238" s="165"/>
      <c r="EZ238" s="109">
        <f t="shared" si="362"/>
        <v>0</v>
      </c>
      <c r="FA238" s="109">
        <f t="shared" si="363"/>
        <v>0</v>
      </c>
      <c r="FB238" s="109"/>
      <c r="FC238" s="109"/>
      <c r="FD238" s="111"/>
      <c r="FE238" s="111"/>
      <c r="FF238" s="165"/>
      <c r="FG238" s="109">
        <f t="shared" si="364"/>
        <v>0</v>
      </c>
      <c r="FH238" s="109">
        <f t="shared" si="365"/>
        <v>0</v>
      </c>
      <c r="FI238" s="109"/>
      <c r="FJ238" s="109"/>
      <c r="FK238" s="111"/>
      <c r="FL238" s="111"/>
      <c r="FM238" s="165"/>
      <c r="FN238" s="109">
        <f t="shared" si="366"/>
        <v>0</v>
      </c>
      <c r="FO238" s="109">
        <f t="shared" si="367"/>
        <v>0</v>
      </c>
      <c r="FP238" s="109"/>
      <c r="FQ238" s="109"/>
      <c r="FR238" s="111"/>
      <c r="FS238" s="111"/>
      <c r="FT238" s="165"/>
      <c r="FU238" s="109">
        <f t="shared" si="368"/>
        <v>0</v>
      </c>
      <c r="FV238" s="109">
        <f t="shared" si="376"/>
        <v>0</v>
      </c>
      <c r="FW238" s="109"/>
      <c r="FX238" s="109"/>
      <c r="FY238" s="111"/>
      <c r="FZ238" s="111"/>
      <c r="GA238" s="165"/>
      <c r="GB238" s="109">
        <f t="shared" si="369"/>
        <v>0</v>
      </c>
      <c r="GC238" s="109">
        <f t="shared" si="377"/>
        <v>0</v>
      </c>
      <c r="GD238" s="109"/>
      <c r="GE238" s="109"/>
      <c r="GF238" s="111"/>
      <c r="GG238" s="111"/>
      <c r="GH238" s="165"/>
      <c r="GI238" s="109">
        <f t="shared" si="370"/>
        <v>0</v>
      </c>
      <c r="GJ238" s="109">
        <f t="shared" si="378"/>
        <v>0</v>
      </c>
      <c r="GK238" s="109"/>
      <c r="GL238" s="109"/>
      <c r="GM238" s="111"/>
      <c r="GN238" s="111"/>
      <c r="GO238" s="165"/>
      <c r="GP238" s="109">
        <f t="shared" si="371"/>
        <v>0</v>
      </c>
      <c r="GQ238" s="109">
        <f t="shared" si="379"/>
        <v>0</v>
      </c>
      <c r="GR238" s="109"/>
      <c r="GS238" s="109"/>
      <c r="GT238" s="111"/>
      <c r="GU238" s="111"/>
      <c r="GV238" s="165"/>
      <c r="GW238" s="168">
        <f t="shared" si="372"/>
        <v>0</v>
      </c>
      <c r="GX238" s="168">
        <f t="shared" si="380"/>
        <v>0</v>
      </c>
      <c r="GY238" s="168"/>
      <c r="GZ238" s="168"/>
      <c r="HA238" s="111"/>
      <c r="HB238" s="111"/>
      <c r="HC238" s="165"/>
      <c r="HD238" s="109">
        <f t="shared" si="373"/>
        <v>0</v>
      </c>
      <c r="HE238" s="109">
        <f t="shared" si="381"/>
        <v>0</v>
      </c>
      <c r="HF238" s="109"/>
      <c r="HG238" s="109"/>
      <c r="HH238" s="111"/>
      <c r="HI238" s="111"/>
      <c r="HJ238" s="165"/>
      <c r="HK238" s="109">
        <f t="shared" si="374"/>
        <v>0</v>
      </c>
      <c r="HL238" s="109">
        <f t="shared" si="382"/>
        <v>0</v>
      </c>
      <c r="HM238" s="109"/>
      <c r="HN238" s="109"/>
      <c r="HO238" s="111"/>
      <c r="HP238" s="111"/>
      <c r="HQ238" s="165"/>
      <c r="HR238" s="109">
        <f t="shared" si="375"/>
        <v>0</v>
      </c>
      <c r="HS238" s="109">
        <f t="shared" si="383"/>
        <v>0</v>
      </c>
      <c r="HT238" s="109"/>
      <c r="HU238" s="109"/>
      <c r="HV238" s="111"/>
      <c r="HW238" s="111"/>
      <c r="HX238" s="105">
        <f t="shared" si="351"/>
        <v>0</v>
      </c>
      <c r="HY238" s="105">
        <f t="shared" si="351"/>
        <v>0</v>
      </c>
      <c r="HZ238" s="105">
        <f t="shared" si="351"/>
        <v>0</v>
      </c>
      <c r="IA238" s="105">
        <f t="shared" si="345"/>
        <v>0</v>
      </c>
      <c r="IB238" s="109">
        <f t="shared" si="346"/>
        <v>0</v>
      </c>
      <c r="IC238" s="109">
        <f t="shared" si="347"/>
        <v>0</v>
      </c>
      <c r="ID238" s="109">
        <f t="shared" si="348"/>
        <v>0</v>
      </c>
      <c r="IE238" s="109">
        <f t="shared" si="349"/>
        <v>0</v>
      </c>
      <c r="IF238" s="197"/>
      <c r="IG238" s="197"/>
      <c r="IH238" s="197"/>
      <c r="II238" s="197"/>
      <c r="IJ238" s="197"/>
      <c r="IK238" s="197"/>
      <c r="IL238" s="197"/>
      <c r="IM238" s="171"/>
      <c r="IN238" s="171"/>
      <c r="IO238" s="171"/>
      <c r="IP238" s="171"/>
    </row>
    <row r="239" spans="1:250" ht="15" customHeight="1" x14ac:dyDescent="0.3">
      <c r="A239" s="110">
        <f t="shared" si="350"/>
        <v>235</v>
      </c>
      <c r="B239" s="111"/>
      <c r="C239" s="111"/>
      <c r="D239" s="111"/>
      <c r="E239" s="111"/>
      <c r="F239" s="111"/>
      <c r="G239" s="111"/>
      <c r="H239" s="111"/>
      <c r="I239" s="194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75"/>
      <c r="AI239" s="111"/>
      <c r="AJ239" s="111"/>
      <c r="AK239" s="111"/>
      <c r="AL239" s="177"/>
      <c r="AM239" s="176"/>
      <c r="AN239" s="177"/>
      <c r="AO239" s="157"/>
      <c r="AP239" s="158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75"/>
      <c r="BM239" s="111"/>
      <c r="BN239" s="111"/>
      <c r="BO239" s="111"/>
      <c r="BP239" s="111"/>
      <c r="BQ239" s="111"/>
      <c r="BR239" s="111"/>
      <c r="BS239" s="111"/>
      <c r="BT239" s="111"/>
      <c r="BU239" s="111"/>
      <c r="BV239" s="111"/>
      <c r="BW239" s="111"/>
      <c r="BX239" s="111"/>
      <c r="BY239" s="111"/>
      <c r="BZ239" s="111"/>
      <c r="CA239" s="111"/>
      <c r="CB239" s="111"/>
      <c r="CC239" s="178"/>
      <c r="CD239" s="177">
        <f t="shared" si="334"/>
        <v>0</v>
      </c>
      <c r="CE239" s="148"/>
      <c r="CF239" s="111">
        <f t="shared" si="335"/>
        <v>0</v>
      </c>
      <c r="CG239" s="177"/>
      <c r="CH239" s="204"/>
      <c r="CI239" s="148"/>
      <c r="CJ239" s="165"/>
      <c r="CK239" s="165"/>
      <c r="CL239" s="111"/>
      <c r="CM239" s="111"/>
      <c r="CN239" s="165">
        <f t="shared" si="336"/>
        <v>0</v>
      </c>
      <c r="CO239" s="109">
        <f t="shared" si="337"/>
        <v>0</v>
      </c>
      <c r="CP239" s="109">
        <f t="shared" si="338"/>
        <v>0</v>
      </c>
      <c r="CQ239" s="109"/>
      <c r="CR239" s="109"/>
      <c r="CS239" s="196"/>
      <c r="CT239" s="167"/>
      <c r="CU239" s="165"/>
      <c r="CV239" s="109">
        <f t="shared" si="339"/>
        <v>0</v>
      </c>
      <c r="CW239" s="109">
        <f t="shared" si="340"/>
        <v>0</v>
      </c>
      <c r="CX239" s="109"/>
      <c r="CY239" s="109"/>
      <c r="CZ239" s="111"/>
      <c r="DA239" s="111"/>
      <c r="DB239" s="165"/>
      <c r="DC239" s="109">
        <f t="shared" si="341"/>
        <v>0</v>
      </c>
      <c r="DD239" s="109">
        <f t="shared" si="342"/>
        <v>0</v>
      </c>
      <c r="DE239" s="109"/>
      <c r="DF239" s="109"/>
      <c r="DG239" s="111"/>
      <c r="DH239" s="111"/>
      <c r="DI239" s="165"/>
      <c r="DJ239" s="109">
        <f t="shared" si="343"/>
        <v>0</v>
      </c>
      <c r="DK239" s="109">
        <f t="shared" si="344"/>
        <v>0</v>
      </c>
      <c r="DL239" s="109"/>
      <c r="DM239" s="109"/>
      <c r="DN239" s="111"/>
      <c r="DO239" s="111"/>
      <c r="DP239" s="165"/>
      <c r="DQ239" s="109">
        <f t="shared" si="352"/>
        <v>0</v>
      </c>
      <c r="DR239" s="109">
        <f t="shared" si="353"/>
        <v>0</v>
      </c>
      <c r="DS239" s="109"/>
      <c r="DT239" s="109"/>
      <c r="DU239" s="111"/>
      <c r="DV239" s="111"/>
      <c r="DW239" s="165"/>
      <c r="DX239" s="109">
        <f t="shared" si="354"/>
        <v>0</v>
      </c>
      <c r="DY239" s="109">
        <f t="shared" si="355"/>
        <v>0</v>
      </c>
      <c r="DZ239" s="109"/>
      <c r="EA239" s="109"/>
      <c r="EB239" s="111"/>
      <c r="EC239" s="111"/>
      <c r="ED239" s="165"/>
      <c r="EE239" s="109">
        <f t="shared" si="356"/>
        <v>0</v>
      </c>
      <c r="EF239" s="109">
        <f t="shared" si="357"/>
        <v>0</v>
      </c>
      <c r="EG239" s="109"/>
      <c r="EH239" s="109"/>
      <c r="EI239" s="111"/>
      <c r="EJ239" s="111"/>
      <c r="EK239" s="165"/>
      <c r="EL239" s="109">
        <f t="shared" si="358"/>
        <v>0</v>
      </c>
      <c r="EM239" s="109">
        <f t="shared" si="359"/>
        <v>0</v>
      </c>
      <c r="EN239" s="109"/>
      <c r="EO239" s="109"/>
      <c r="EP239" s="111"/>
      <c r="EQ239" s="111"/>
      <c r="ER239" s="165"/>
      <c r="ES239" s="109">
        <f t="shared" si="360"/>
        <v>0</v>
      </c>
      <c r="ET239" s="109">
        <f t="shared" si="361"/>
        <v>0</v>
      </c>
      <c r="EU239" s="109"/>
      <c r="EV239" s="109"/>
      <c r="EW239" s="111"/>
      <c r="EX239" s="111"/>
      <c r="EY239" s="165"/>
      <c r="EZ239" s="109">
        <f t="shared" si="362"/>
        <v>0</v>
      </c>
      <c r="FA239" s="109">
        <f t="shared" si="363"/>
        <v>0</v>
      </c>
      <c r="FB239" s="109"/>
      <c r="FC239" s="109"/>
      <c r="FD239" s="111"/>
      <c r="FE239" s="111"/>
      <c r="FF239" s="165"/>
      <c r="FG239" s="109">
        <f t="shared" si="364"/>
        <v>0</v>
      </c>
      <c r="FH239" s="109">
        <f t="shared" si="365"/>
        <v>0</v>
      </c>
      <c r="FI239" s="109"/>
      <c r="FJ239" s="109"/>
      <c r="FK239" s="111"/>
      <c r="FL239" s="111"/>
      <c r="FM239" s="165"/>
      <c r="FN239" s="109">
        <f t="shared" si="366"/>
        <v>0</v>
      </c>
      <c r="FO239" s="109">
        <f t="shared" si="367"/>
        <v>0</v>
      </c>
      <c r="FP239" s="109"/>
      <c r="FQ239" s="109"/>
      <c r="FR239" s="111"/>
      <c r="FS239" s="111"/>
      <c r="FT239" s="165"/>
      <c r="FU239" s="109">
        <f t="shared" si="368"/>
        <v>0</v>
      </c>
      <c r="FV239" s="109">
        <f t="shared" si="376"/>
        <v>0</v>
      </c>
      <c r="FW239" s="109"/>
      <c r="FX239" s="109"/>
      <c r="FY239" s="111"/>
      <c r="FZ239" s="111"/>
      <c r="GA239" s="165"/>
      <c r="GB239" s="109">
        <f t="shared" si="369"/>
        <v>0</v>
      </c>
      <c r="GC239" s="109">
        <f t="shared" si="377"/>
        <v>0</v>
      </c>
      <c r="GD239" s="109"/>
      <c r="GE239" s="109"/>
      <c r="GF239" s="111"/>
      <c r="GG239" s="111"/>
      <c r="GH239" s="165"/>
      <c r="GI239" s="109">
        <f t="shared" si="370"/>
        <v>0</v>
      </c>
      <c r="GJ239" s="109">
        <f t="shared" si="378"/>
        <v>0</v>
      </c>
      <c r="GK239" s="109"/>
      <c r="GL239" s="109"/>
      <c r="GM239" s="111"/>
      <c r="GN239" s="111"/>
      <c r="GO239" s="165"/>
      <c r="GP239" s="109">
        <f t="shared" si="371"/>
        <v>0</v>
      </c>
      <c r="GQ239" s="109">
        <f t="shared" si="379"/>
        <v>0</v>
      </c>
      <c r="GR239" s="109"/>
      <c r="GS239" s="109"/>
      <c r="GT239" s="111"/>
      <c r="GU239" s="111"/>
      <c r="GV239" s="165"/>
      <c r="GW239" s="168">
        <f t="shared" si="372"/>
        <v>0</v>
      </c>
      <c r="GX239" s="168">
        <f t="shared" si="380"/>
        <v>0</v>
      </c>
      <c r="GY239" s="168"/>
      <c r="GZ239" s="168"/>
      <c r="HA239" s="111"/>
      <c r="HB239" s="111"/>
      <c r="HC239" s="165"/>
      <c r="HD239" s="109">
        <f t="shared" si="373"/>
        <v>0</v>
      </c>
      <c r="HE239" s="109">
        <f t="shared" si="381"/>
        <v>0</v>
      </c>
      <c r="HF239" s="109"/>
      <c r="HG239" s="109"/>
      <c r="HH239" s="111"/>
      <c r="HI239" s="111"/>
      <c r="HJ239" s="165"/>
      <c r="HK239" s="109">
        <f t="shared" si="374"/>
        <v>0</v>
      </c>
      <c r="HL239" s="109">
        <f t="shared" si="382"/>
        <v>0</v>
      </c>
      <c r="HM239" s="109"/>
      <c r="HN239" s="109"/>
      <c r="HO239" s="111"/>
      <c r="HP239" s="111"/>
      <c r="HQ239" s="165"/>
      <c r="HR239" s="109">
        <f t="shared" si="375"/>
        <v>0</v>
      </c>
      <c r="HS239" s="109">
        <f t="shared" si="383"/>
        <v>0</v>
      </c>
      <c r="HT239" s="109"/>
      <c r="HU239" s="109"/>
      <c r="HV239" s="111"/>
      <c r="HW239" s="111"/>
      <c r="HX239" s="105">
        <f t="shared" si="351"/>
        <v>0</v>
      </c>
      <c r="HY239" s="105">
        <f t="shared" si="351"/>
        <v>0</v>
      </c>
      <c r="HZ239" s="105">
        <f t="shared" si="351"/>
        <v>0</v>
      </c>
      <c r="IA239" s="105">
        <f t="shared" si="345"/>
        <v>0</v>
      </c>
      <c r="IB239" s="109">
        <f t="shared" si="346"/>
        <v>0</v>
      </c>
      <c r="IC239" s="109">
        <f t="shared" si="347"/>
        <v>0</v>
      </c>
      <c r="ID239" s="109">
        <f t="shared" si="348"/>
        <v>0</v>
      </c>
      <c r="IE239" s="109">
        <f t="shared" si="349"/>
        <v>0</v>
      </c>
      <c r="IF239" s="197"/>
      <c r="IG239" s="197"/>
      <c r="IH239" s="197"/>
      <c r="II239" s="197"/>
      <c r="IJ239" s="197"/>
      <c r="IK239" s="197"/>
      <c r="IL239" s="197"/>
      <c r="IM239" s="171"/>
      <c r="IN239" s="171"/>
      <c r="IO239" s="171"/>
      <c r="IP239" s="171"/>
    </row>
    <row r="240" spans="1:250" ht="15" customHeight="1" x14ac:dyDescent="0.3">
      <c r="A240" s="110">
        <f t="shared" si="350"/>
        <v>236</v>
      </c>
      <c r="B240" s="111"/>
      <c r="C240" s="111"/>
      <c r="D240" s="111"/>
      <c r="E240" s="111"/>
      <c r="F240" s="111"/>
      <c r="G240" s="111"/>
      <c r="H240" s="111"/>
      <c r="I240" s="194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75"/>
      <c r="AI240" s="111"/>
      <c r="AJ240" s="111"/>
      <c r="AK240" s="111"/>
      <c r="AL240" s="177"/>
      <c r="AM240" s="176"/>
      <c r="AN240" s="177"/>
      <c r="AO240" s="157"/>
      <c r="AP240" s="158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75"/>
      <c r="BM240" s="111"/>
      <c r="BN240" s="111"/>
      <c r="BO240" s="111"/>
      <c r="BP240" s="111"/>
      <c r="BQ240" s="111"/>
      <c r="BR240" s="111"/>
      <c r="BS240" s="111"/>
      <c r="BT240" s="111"/>
      <c r="BU240" s="111"/>
      <c r="BV240" s="111"/>
      <c r="BW240" s="111"/>
      <c r="BX240" s="111"/>
      <c r="BY240" s="111"/>
      <c r="BZ240" s="111"/>
      <c r="CA240" s="111"/>
      <c r="CB240" s="111"/>
      <c r="CC240" s="178"/>
      <c r="CD240" s="177">
        <f t="shared" si="334"/>
        <v>0</v>
      </c>
      <c r="CE240" s="148"/>
      <c r="CF240" s="111">
        <f t="shared" si="335"/>
        <v>0</v>
      </c>
      <c r="CG240" s="177"/>
      <c r="CH240" s="204"/>
      <c r="CI240" s="148"/>
      <c r="CJ240" s="165"/>
      <c r="CK240" s="165"/>
      <c r="CL240" s="111"/>
      <c r="CM240" s="111"/>
      <c r="CN240" s="165">
        <f t="shared" si="336"/>
        <v>0</v>
      </c>
      <c r="CO240" s="109">
        <f t="shared" si="337"/>
        <v>0</v>
      </c>
      <c r="CP240" s="109">
        <f t="shared" si="338"/>
        <v>0</v>
      </c>
      <c r="CQ240" s="109"/>
      <c r="CR240" s="109"/>
      <c r="CS240" s="196"/>
      <c r="CT240" s="167"/>
      <c r="CU240" s="165"/>
      <c r="CV240" s="109">
        <f t="shared" si="339"/>
        <v>0</v>
      </c>
      <c r="CW240" s="109">
        <f t="shared" si="340"/>
        <v>0</v>
      </c>
      <c r="CX240" s="109"/>
      <c r="CY240" s="109"/>
      <c r="CZ240" s="111"/>
      <c r="DA240" s="111"/>
      <c r="DB240" s="165"/>
      <c r="DC240" s="109">
        <f t="shared" si="341"/>
        <v>0</v>
      </c>
      <c r="DD240" s="109">
        <f t="shared" si="342"/>
        <v>0</v>
      </c>
      <c r="DE240" s="109"/>
      <c r="DF240" s="109"/>
      <c r="DG240" s="111"/>
      <c r="DH240" s="111"/>
      <c r="DI240" s="165"/>
      <c r="DJ240" s="109">
        <f t="shared" si="343"/>
        <v>0</v>
      </c>
      <c r="DK240" s="109">
        <f t="shared" si="344"/>
        <v>0</v>
      </c>
      <c r="DL240" s="109"/>
      <c r="DM240" s="109"/>
      <c r="DN240" s="111"/>
      <c r="DO240" s="111"/>
      <c r="DP240" s="165"/>
      <c r="DQ240" s="109">
        <f t="shared" si="352"/>
        <v>0</v>
      </c>
      <c r="DR240" s="109">
        <f t="shared" si="353"/>
        <v>0</v>
      </c>
      <c r="DS240" s="109"/>
      <c r="DT240" s="109"/>
      <c r="DU240" s="111"/>
      <c r="DV240" s="111"/>
      <c r="DW240" s="165"/>
      <c r="DX240" s="109">
        <f t="shared" si="354"/>
        <v>0</v>
      </c>
      <c r="DY240" s="109">
        <f t="shared" si="355"/>
        <v>0</v>
      </c>
      <c r="DZ240" s="109"/>
      <c r="EA240" s="109"/>
      <c r="EB240" s="111"/>
      <c r="EC240" s="111"/>
      <c r="ED240" s="165"/>
      <c r="EE240" s="109">
        <f t="shared" si="356"/>
        <v>0</v>
      </c>
      <c r="EF240" s="109">
        <f t="shared" si="357"/>
        <v>0</v>
      </c>
      <c r="EG240" s="109"/>
      <c r="EH240" s="109"/>
      <c r="EI240" s="111"/>
      <c r="EJ240" s="111"/>
      <c r="EK240" s="165"/>
      <c r="EL240" s="109">
        <f t="shared" si="358"/>
        <v>0</v>
      </c>
      <c r="EM240" s="109">
        <f t="shared" si="359"/>
        <v>0</v>
      </c>
      <c r="EN240" s="109"/>
      <c r="EO240" s="109"/>
      <c r="EP240" s="111"/>
      <c r="EQ240" s="111"/>
      <c r="ER240" s="165"/>
      <c r="ES240" s="109">
        <f t="shared" si="360"/>
        <v>0</v>
      </c>
      <c r="ET240" s="109">
        <f t="shared" si="361"/>
        <v>0</v>
      </c>
      <c r="EU240" s="109"/>
      <c r="EV240" s="109"/>
      <c r="EW240" s="111"/>
      <c r="EX240" s="111"/>
      <c r="EY240" s="165"/>
      <c r="EZ240" s="109">
        <f t="shared" si="362"/>
        <v>0</v>
      </c>
      <c r="FA240" s="109">
        <f t="shared" si="363"/>
        <v>0</v>
      </c>
      <c r="FB240" s="109"/>
      <c r="FC240" s="109"/>
      <c r="FD240" s="111"/>
      <c r="FE240" s="111"/>
      <c r="FF240" s="165"/>
      <c r="FG240" s="109">
        <f t="shared" si="364"/>
        <v>0</v>
      </c>
      <c r="FH240" s="109">
        <f t="shared" si="365"/>
        <v>0</v>
      </c>
      <c r="FI240" s="109"/>
      <c r="FJ240" s="109"/>
      <c r="FK240" s="111"/>
      <c r="FL240" s="111"/>
      <c r="FM240" s="165"/>
      <c r="FN240" s="109">
        <f t="shared" si="366"/>
        <v>0</v>
      </c>
      <c r="FO240" s="109">
        <f t="shared" si="367"/>
        <v>0</v>
      </c>
      <c r="FP240" s="109"/>
      <c r="FQ240" s="109"/>
      <c r="FR240" s="111"/>
      <c r="FS240" s="111"/>
      <c r="FT240" s="165"/>
      <c r="FU240" s="109">
        <f t="shared" si="368"/>
        <v>0</v>
      </c>
      <c r="FV240" s="109">
        <f t="shared" si="376"/>
        <v>0</v>
      </c>
      <c r="FW240" s="109"/>
      <c r="FX240" s="109"/>
      <c r="FY240" s="111"/>
      <c r="FZ240" s="111"/>
      <c r="GA240" s="165"/>
      <c r="GB240" s="109">
        <f t="shared" si="369"/>
        <v>0</v>
      </c>
      <c r="GC240" s="109">
        <f t="shared" si="377"/>
        <v>0</v>
      </c>
      <c r="GD240" s="109"/>
      <c r="GE240" s="109"/>
      <c r="GF240" s="111"/>
      <c r="GG240" s="111"/>
      <c r="GH240" s="165"/>
      <c r="GI240" s="109">
        <f t="shared" si="370"/>
        <v>0</v>
      </c>
      <c r="GJ240" s="109">
        <f t="shared" si="378"/>
        <v>0</v>
      </c>
      <c r="GK240" s="109"/>
      <c r="GL240" s="109"/>
      <c r="GM240" s="111"/>
      <c r="GN240" s="111"/>
      <c r="GO240" s="165"/>
      <c r="GP240" s="109">
        <f t="shared" si="371"/>
        <v>0</v>
      </c>
      <c r="GQ240" s="109">
        <f t="shared" si="379"/>
        <v>0</v>
      </c>
      <c r="GR240" s="109"/>
      <c r="GS240" s="109"/>
      <c r="GT240" s="111"/>
      <c r="GU240" s="111"/>
      <c r="GV240" s="165"/>
      <c r="GW240" s="168">
        <f t="shared" si="372"/>
        <v>0</v>
      </c>
      <c r="GX240" s="168">
        <f t="shared" si="380"/>
        <v>0</v>
      </c>
      <c r="GY240" s="168"/>
      <c r="GZ240" s="168"/>
      <c r="HA240" s="111"/>
      <c r="HB240" s="111"/>
      <c r="HC240" s="165"/>
      <c r="HD240" s="109">
        <f t="shared" si="373"/>
        <v>0</v>
      </c>
      <c r="HE240" s="109">
        <f t="shared" si="381"/>
        <v>0</v>
      </c>
      <c r="HF240" s="109"/>
      <c r="HG240" s="109"/>
      <c r="HH240" s="111"/>
      <c r="HI240" s="111"/>
      <c r="HJ240" s="165"/>
      <c r="HK240" s="109">
        <f t="shared" si="374"/>
        <v>0</v>
      </c>
      <c r="HL240" s="109">
        <f t="shared" si="382"/>
        <v>0</v>
      </c>
      <c r="HM240" s="109"/>
      <c r="HN240" s="109"/>
      <c r="HO240" s="111"/>
      <c r="HP240" s="111"/>
      <c r="HQ240" s="165"/>
      <c r="HR240" s="109">
        <f t="shared" si="375"/>
        <v>0</v>
      </c>
      <c r="HS240" s="109">
        <f t="shared" si="383"/>
        <v>0</v>
      </c>
      <c r="HT240" s="109"/>
      <c r="HU240" s="109"/>
      <c r="HV240" s="111"/>
      <c r="HW240" s="111"/>
      <c r="HX240" s="105">
        <f t="shared" si="351"/>
        <v>0</v>
      </c>
      <c r="HY240" s="105">
        <f t="shared" si="351"/>
        <v>0</v>
      </c>
      <c r="HZ240" s="105">
        <f t="shared" si="351"/>
        <v>0</v>
      </c>
      <c r="IA240" s="105">
        <f t="shared" si="345"/>
        <v>0</v>
      </c>
      <c r="IB240" s="109">
        <f t="shared" si="346"/>
        <v>0</v>
      </c>
      <c r="IC240" s="109">
        <f t="shared" si="347"/>
        <v>0</v>
      </c>
      <c r="ID240" s="109">
        <f t="shared" si="348"/>
        <v>0</v>
      </c>
      <c r="IE240" s="109">
        <f t="shared" si="349"/>
        <v>0</v>
      </c>
      <c r="IF240" s="197"/>
      <c r="IG240" s="197"/>
      <c r="IH240" s="197"/>
      <c r="II240" s="197"/>
      <c r="IJ240" s="197"/>
      <c r="IK240" s="197"/>
      <c r="IL240" s="197"/>
      <c r="IM240" s="171"/>
      <c r="IN240" s="171"/>
      <c r="IO240" s="171"/>
      <c r="IP240" s="171"/>
    </row>
    <row r="241" spans="1:250" ht="15" customHeight="1" x14ac:dyDescent="0.3">
      <c r="A241" s="110">
        <f t="shared" si="350"/>
        <v>237</v>
      </c>
      <c r="B241" s="111"/>
      <c r="C241" s="111"/>
      <c r="D241" s="111"/>
      <c r="E241" s="111"/>
      <c r="F241" s="111"/>
      <c r="G241" s="111"/>
      <c r="H241" s="111"/>
      <c r="I241" s="194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75"/>
      <c r="AI241" s="111"/>
      <c r="AJ241" s="111"/>
      <c r="AK241" s="111"/>
      <c r="AL241" s="177"/>
      <c r="AM241" s="176"/>
      <c r="AN241" s="177"/>
      <c r="AO241" s="157"/>
      <c r="AP241" s="158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  <c r="BJ241" s="111"/>
      <c r="BK241" s="111"/>
      <c r="BL241" s="175"/>
      <c r="BM241" s="111"/>
      <c r="BN241" s="111"/>
      <c r="BO241" s="111"/>
      <c r="BP241" s="111"/>
      <c r="BQ241" s="111"/>
      <c r="BR241" s="111"/>
      <c r="BS241" s="111"/>
      <c r="BT241" s="111"/>
      <c r="BU241" s="111"/>
      <c r="BV241" s="111"/>
      <c r="BW241" s="111"/>
      <c r="BX241" s="111"/>
      <c r="BY241" s="111"/>
      <c r="BZ241" s="111"/>
      <c r="CA241" s="111"/>
      <c r="CB241" s="111"/>
      <c r="CC241" s="178"/>
      <c r="CD241" s="177">
        <f t="shared" si="334"/>
        <v>0</v>
      </c>
      <c r="CE241" s="148"/>
      <c r="CF241" s="111">
        <f t="shared" si="335"/>
        <v>0</v>
      </c>
      <c r="CG241" s="177"/>
      <c r="CH241" s="204"/>
      <c r="CI241" s="148"/>
      <c r="CJ241" s="165"/>
      <c r="CK241" s="165"/>
      <c r="CL241" s="111"/>
      <c r="CM241" s="111"/>
      <c r="CN241" s="165">
        <f t="shared" si="336"/>
        <v>0</v>
      </c>
      <c r="CO241" s="109">
        <f t="shared" si="337"/>
        <v>0</v>
      </c>
      <c r="CP241" s="109">
        <f t="shared" si="338"/>
        <v>0</v>
      </c>
      <c r="CQ241" s="109"/>
      <c r="CR241" s="109"/>
      <c r="CS241" s="196"/>
      <c r="CT241" s="167"/>
      <c r="CU241" s="165"/>
      <c r="CV241" s="109">
        <f t="shared" si="339"/>
        <v>0</v>
      </c>
      <c r="CW241" s="109">
        <f t="shared" si="340"/>
        <v>0</v>
      </c>
      <c r="CX241" s="109"/>
      <c r="CY241" s="109"/>
      <c r="CZ241" s="111"/>
      <c r="DA241" s="111"/>
      <c r="DB241" s="165"/>
      <c r="DC241" s="109">
        <f t="shared" si="341"/>
        <v>0</v>
      </c>
      <c r="DD241" s="109">
        <f t="shared" si="342"/>
        <v>0</v>
      </c>
      <c r="DE241" s="109"/>
      <c r="DF241" s="109"/>
      <c r="DG241" s="111"/>
      <c r="DH241" s="111"/>
      <c r="DI241" s="165"/>
      <c r="DJ241" s="109">
        <f t="shared" si="343"/>
        <v>0</v>
      </c>
      <c r="DK241" s="109">
        <f t="shared" si="344"/>
        <v>0</v>
      </c>
      <c r="DL241" s="109"/>
      <c r="DM241" s="109"/>
      <c r="DN241" s="111"/>
      <c r="DO241" s="111"/>
      <c r="DP241" s="165"/>
      <c r="DQ241" s="109">
        <f t="shared" si="352"/>
        <v>0</v>
      </c>
      <c r="DR241" s="109">
        <f t="shared" si="353"/>
        <v>0</v>
      </c>
      <c r="DS241" s="109"/>
      <c r="DT241" s="109"/>
      <c r="DU241" s="111"/>
      <c r="DV241" s="111"/>
      <c r="DW241" s="165"/>
      <c r="DX241" s="109">
        <f t="shared" si="354"/>
        <v>0</v>
      </c>
      <c r="DY241" s="109">
        <f t="shared" si="355"/>
        <v>0</v>
      </c>
      <c r="DZ241" s="109"/>
      <c r="EA241" s="109"/>
      <c r="EB241" s="111"/>
      <c r="EC241" s="111"/>
      <c r="ED241" s="165"/>
      <c r="EE241" s="109">
        <f t="shared" si="356"/>
        <v>0</v>
      </c>
      <c r="EF241" s="109">
        <f t="shared" si="357"/>
        <v>0</v>
      </c>
      <c r="EG241" s="109"/>
      <c r="EH241" s="109"/>
      <c r="EI241" s="111"/>
      <c r="EJ241" s="111"/>
      <c r="EK241" s="165"/>
      <c r="EL241" s="109">
        <f t="shared" si="358"/>
        <v>0</v>
      </c>
      <c r="EM241" s="109">
        <f t="shared" si="359"/>
        <v>0</v>
      </c>
      <c r="EN241" s="109"/>
      <c r="EO241" s="109"/>
      <c r="EP241" s="111"/>
      <c r="EQ241" s="111"/>
      <c r="ER241" s="165"/>
      <c r="ES241" s="109">
        <f t="shared" si="360"/>
        <v>0</v>
      </c>
      <c r="ET241" s="109">
        <f t="shared" si="361"/>
        <v>0</v>
      </c>
      <c r="EU241" s="109"/>
      <c r="EV241" s="109"/>
      <c r="EW241" s="111"/>
      <c r="EX241" s="111"/>
      <c r="EY241" s="165"/>
      <c r="EZ241" s="109">
        <f t="shared" si="362"/>
        <v>0</v>
      </c>
      <c r="FA241" s="109">
        <f t="shared" si="363"/>
        <v>0</v>
      </c>
      <c r="FB241" s="109"/>
      <c r="FC241" s="109"/>
      <c r="FD241" s="111"/>
      <c r="FE241" s="111"/>
      <c r="FF241" s="165"/>
      <c r="FG241" s="109">
        <f t="shared" si="364"/>
        <v>0</v>
      </c>
      <c r="FH241" s="109">
        <f t="shared" si="365"/>
        <v>0</v>
      </c>
      <c r="FI241" s="109"/>
      <c r="FJ241" s="109"/>
      <c r="FK241" s="111"/>
      <c r="FL241" s="111"/>
      <c r="FM241" s="165"/>
      <c r="FN241" s="109">
        <f t="shared" si="366"/>
        <v>0</v>
      </c>
      <c r="FO241" s="109">
        <f t="shared" si="367"/>
        <v>0</v>
      </c>
      <c r="FP241" s="109"/>
      <c r="FQ241" s="109"/>
      <c r="FR241" s="111"/>
      <c r="FS241" s="111"/>
      <c r="FT241" s="165"/>
      <c r="FU241" s="109">
        <f t="shared" si="368"/>
        <v>0</v>
      </c>
      <c r="FV241" s="109">
        <f t="shared" si="376"/>
        <v>0</v>
      </c>
      <c r="FW241" s="109"/>
      <c r="FX241" s="109"/>
      <c r="FY241" s="111"/>
      <c r="FZ241" s="111"/>
      <c r="GA241" s="165"/>
      <c r="GB241" s="109">
        <f t="shared" si="369"/>
        <v>0</v>
      </c>
      <c r="GC241" s="109">
        <f t="shared" si="377"/>
        <v>0</v>
      </c>
      <c r="GD241" s="109"/>
      <c r="GE241" s="109"/>
      <c r="GF241" s="111"/>
      <c r="GG241" s="111"/>
      <c r="GH241" s="165"/>
      <c r="GI241" s="109">
        <f t="shared" si="370"/>
        <v>0</v>
      </c>
      <c r="GJ241" s="109">
        <f t="shared" si="378"/>
        <v>0</v>
      </c>
      <c r="GK241" s="109"/>
      <c r="GL241" s="109"/>
      <c r="GM241" s="111"/>
      <c r="GN241" s="111"/>
      <c r="GO241" s="165"/>
      <c r="GP241" s="109">
        <f t="shared" si="371"/>
        <v>0</v>
      </c>
      <c r="GQ241" s="109">
        <f t="shared" si="379"/>
        <v>0</v>
      </c>
      <c r="GR241" s="109"/>
      <c r="GS241" s="109"/>
      <c r="GT241" s="111"/>
      <c r="GU241" s="111"/>
      <c r="GV241" s="165"/>
      <c r="GW241" s="168">
        <f t="shared" si="372"/>
        <v>0</v>
      </c>
      <c r="GX241" s="168">
        <f t="shared" si="380"/>
        <v>0</v>
      </c>
      <c r="GY241" s="168"/>
      <c r="GZ241" s="168"/>
      <c r="HA241" s="111"/>
      <c r="HB241" s="111"/>
      <c r="HC241" s="165"/>
      <c r="HD241" s="109">
        <f t="shared" si="373"/>
        <v>0</v>
      </c>
      <c r="HE241" s="109">
        <f t="shared" si="381"/>
        <v>0</v>
      </c>
      <c r="HF241" s="109"/>
      <c r="HG241" s="109"/>
      <c r="HH241" s="111"/>
      <c r="HI241" s="111"/>
      <c r="HJ241" s="165"/>
      <c r="HK241" s="109">
        <f t="shared" si="374"/>
        <v>0</v>
      </c>
      <c r="HL241" s="109">
        <f t="shared" si="382"/>
        <v>0</v>
      </c>
      <c r="HM241" s="109"/>
      <c r="HN241" s="109"/>
      <c r="HO241" s="111"/>
      <c r="HP241" s="111"/>
      <c r="HQ241" s="165"/>
      <c r="HR241" s="109">
        <f t="shared" si="375"/>
        <v>0</v>
      </c>
      <c r="HS241" s="109">
        <f t="shared" si="383"/>
        <v>0</v>
      </c>
      <c r="HT241" s="109"/>
      <c r="HU241" s="109"/>
      <c r="HV241" s="111"/>
      <c r="HW241" s="111"/>
      <c r="HX241" s="105">
        <f t="shared" si="351"/>
        <v>0</v>
      </c>
      <c r="HY241" s="105">
        <f t="shared" si="351"/>
        <v>0</v>
      </c>
      <c r="HZ241" s="105">
        <f t="shared" si="351"/>
        <v>0</v>
      </c>
      <c r="IA241" s="105">
        <f t="shared" si="345"/>
        <v>0</v>
      </c>
      <c r="IB241" s="109">
        <f t="shared" si="346"/>
        <v>0</v>
      </c>
      <c r="IC241" s="109">
        <f t="shared" si="347"/>
        <v>0</v>
      </c>
      <c r="ID241" s="109">
        <f t="shared" si="348"/>
        <v>0</v>
      </c>
      <c r="IE241" s="109">
        <f t="shared" si="349"/>
        <v>0</v>
      </c>
      <c r="IF241" s="197"/>
      <c r="IG241" s="197"/>
      <c r="IH241" s="197"/>
      <c r="II241" s="197"/>
      <c r="IJ241" s="197"/>
      <c r="IK241" s="197"/>
      <c r="IL241" s="197"/>
      <c r="IM241" s="171"/>
      <c r="IN241" s="171"/>
      <c r="IO241" s="171"/>
      <c r="IP241" s="171"/>
    </row>
    <row r="242" spans="1:250" ht="15" customHeight="1" x14ac:dyDescent="0.3">
      <c r="A242" s="110">
        <f t="shared" si="350"/>
        <v>238</v>
      </c>
      <c r="B242" s="111"/>
      <c r="C242" s="111"/>
      <c r="D242" s="111"/>
      <c r="E242" s="111"/>
      <c r="F242" s="111"/>
      <c r="G242" s="111"/>
      <c r="H242" s="111"/>
      <c r="I242" s="194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75"/>
      <c r="AI242" s="111"/>
      <c r="AJ242" s="111"/>
      <c r="AK242" s="111"/>
      <c r="AL242" s="177"/>
      <c r="AM242" s="176"/>
      <c r="AN242" s="177"/>
      <c r="AO242" s="157"/>
      <c r="AP242" s="158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  <c r="BJ242" s="111"/>
      <c r="BK242" s="111"/>
      <c r="BL242" s="175"/>
      <c r="BM242" s="111"/>
      <c r="BN242" s="111"/>
      <c r="BO242" s="111"/>
      <c r="BP242" s="111"/>
      <c r="BQ242" s="111"/>
      <c r="BR242" s="111"/>
      <c r="BS242" s="111"/>
      <c r="BT242" s="111"/>
      <c r="BU242" s="111"/>
      <c r="BV242" s="111"/>
      <c r="BW242" s="111"/>
      <c r="BX242" s="111"/>
      <c r="BY242" s="111"/>
      <c r="BZ242" s="111"/>
      <c r="CA242" s="111"/>
      <c r="CB242" s="111"/>
      <c r="CC242" s="178"/>
      <c r="CD242" s="177">
        <f t="shared" si="334"/>
        <v>0</v>
      </c>
      <c r="CE242" s="148"/>
      <c r="CF242" s="111">
        <f t="shared" si="335"/>
        <v>0</v>
      </c>
      <c r="CG242" s="177"/>
      <c r="CH242" s="204"/>
      <c r="CI242" s="148"/>
      <c r="CJ242" s="165"/>
      <c r="CK242" s="165"/>
      <c r="CL242" s="111"/>
      <c r="CM242" s="111"/>
      <c r="CN242" s="165">
        <f t="shared" si="336"/>
        <v>0</v>
      </c>
      <c r="CO242" s="109">
        <f t="shared" si="337"/>
        <v>0</v>
      </c>
      <c r="CP242" s="109">
        <f t="shared" si="338"/>
        <v>0</v>
      </c>
      <c r="CQ242" s="109"/>
      <c r="CR242" s="109"/>
      <c r="CS242" s="196"/>
      <c r="CT242" s="167"/>
      <c r="CU242" s="165"/>
      <c r="CV242" s="109">
        <f t="shared" si="339"/>
        <v>0</v>
      </c>
      <c r="CW242" s="109">
        <f t="shared" si="340"/>
        <v>0</v>
      </c>
      <c r="CX242" s="109"/>
      <c r="CY242" s="109"/>
      <c r="CZ242" s="111"/>
      <c r="DA242" s="111"/>
      <c r="DB242" s="165"/>
      <c r="DC242" s="109">
        <f t="shared" si="341"/>
        <v>0</v>
      </c>
      <c r="DD242" s="109">
        <f t="shared" si="342"/>
        <v>0</v>
      </c>
      <c r="DE242" s="109"/>
      <c r="DF242" s="109"/>
      <c r="DG242" s="111"/>
      <c r="DH242" s="111"/>
      <c r="DI242" s="165"/>
      <c r="DJ242" s="109">
        <f t="shared" si="343"/>
        <v>0</v>
      </c>
      <c r="DK242" s="109">
        <f t="shared" si="344"/>
        <v>0</v>
      </c>
      <c r="DL242" s="109"/>
      <c r="DM242" s="109"/>
      <c r="DN242" s="111"/>
      <c r="DO242" s="111"/>
      <c r="DP242" s="165"/>
      <c r="DQ242" s="109">
        <f t="shared" si="352"/>
        <v>0</v>
      </c>
      <c r="DR242" s="109">
        <f t="shared" si="353"/>
        <v>0</v>
      </c>
      <c r="DS242" s="109"/>
      <c r="DT242" s="109"/>
      <c r="DU242" s="111"/>
      <c r="DV242" s="111"/>
      <c r="DW242" s="165"/>
      <c r="DX242" s="109">
        <f t="shared" si="354"/>
        <v>0</v>
      </c>
      <c r="DY242" s="109">
        <f t="shared" si="355"/>
        <v>0</v>
      </c>
      <c r="DZ242" s="109"/>
      <c r="EA242" s="109"/>
      <c r="EB242" s="111"/>
      <c r="EC242" s="111"/>
      <c r="ED242" s="165"/>
      <c r="EE242" s="109">
        <f t="shared" si="356"/>
        <v>0</v>
      </c>
      <c r="EF242" s="109">
        <f t="shared" si="357"/>
        <v>0</v>
      </c>
      <c r="EG242" s="109"/>
      <c r="EH242" s="109"/>
      <c r="EI242" s="111"/>
      <c r="EJ242" s="111"/>
      <c r="EK242" s="165"/>
      <c r="EL242" s="109">
        <f t="shared" si="358"/>
        <v>0</v>
      </c>
      <c r="EM242" s="109">
        <f t="shared" si="359"/>
        <v>0</v>
      </c>
      <c r="EN242" s="109"/>
      <c r="EO242" s="109"/>
      <c r="EP242" s="111"/>
      <c r="EQ242" s="111"/>
      <c r="ER242" s="165"/>
      <c r="ES242" s="109">
        <f t="shared" si="360"/>
        <v>0</v>
      </c>
      <c r="ET242" s="109">
        <f t="shared" si="361"/>
        <v>0</v>
      </c>
      <c r="EU242" s="109"/>
      <c r="EV242" s="109"/>
      <c r="EW242" s="111"/>
      <c r="EX242" s="111"/>
      <c r="EY242" s="165"/>
      <c r="EZ242" s="109">
        <f t="shared" si="362"/>
        <v>0</v>
      </c>
      <c r="FA242" s="109">
        <f t="shared" si="363"/>
        <v>0</v>
      </c>
      <c r="FB242" s="109"/>
      <c r="FC242" s="109"/>
      <c r="FD242" s="111"/>
      <c r="FE242" s="111"/>
      <c r="FF242" s="165"/>
      <c r="FG242" s="109">
        <f t="shared" si="364"/>
        <v>0</v>
      </c>
      <c r="FH242" s="109">
        <f t="shared" si="365"/>
        <v>0</v>
      </c>
      <c r="FI242" s="109"/>
      <c r="FJ242" s="109"/>
      <c r="FK242" s="111"/>
      <c r="FL242" s="111"/>
      <c r="FM242" s="165"/>
      <c r="FN242" s="109">
        <f t="shared" si="366"/>
        <v>0</v>
      </c>
      <c r="FO242" s="109">
        <f t="shared" si="367"/>
        <v>0</v>
      </c>
      <c r="FP242" s="109"/>
      <c r="FQ242" s="109"/>
      <c r="FR242" s="111"/>
      <c r="FS242" s="111"/>
      <c r="FT242" s="165"/>
      <c r="FU242" s="109">
        <f t="shared" si="368"/>
        <v>0</v>
      </c>
      <c r="FV242" s="109">
        <f t="shared" si="376"/>
        <v>0</v>
      </c>
      <c r="FW242" s="109"/>
      <c r="FX242" s="109"/>
      <c r="FY242" s="111"/>
      <c r="FZ242" s="111"/>
      <c r="GA242" s="165"/>
      <c r="GB242" s="109">
        <f t="shared" si="369"/>
        <v>0</v>
      </c>
      <c r="GC242" s="109">
        <f t="shared" si="377"/>
        <v>0</v>
      </c>
      <c r="GD242" s="109"/>
      <c r="GE242" s="109"/>
      <c r="GF242" s="111"/>
      <c r="GG242" s="111"/>
      <c r="GH242" s="165"/>
      <c r="GI242" s="109">
        <f t="shared" si="370"/>
        <v>0</v>
      </c>
      <c r="GJ242" s="109">
        <f t="shared" si="378"/>
        <v>0</v>
      </c>
      <c r="GK242" s="109"/>
      <c r="GL242" s="109"/>
      <c r="GM242" s="111"/>
      <c r="GN242" s="111"/>
      <c r="GO242" s="165"/>
      <c r="GP242" s="109">
        <f t="shared" si="371"/>
        <v>0</v>
      </c>
      <c r="GQ242" s="109">
        <f t="shared" si="379"/>
        <v>0</v>
      </c>
      <c r="GR242" s="109"/>
      <c r="GS242" s="109"/>
      <c r="GT242" s="111"/>
      <c r="GU242" s="111"/>
      <c r="GV242" s="165"/>
      <c r="GW242" s="168">
        <f t="shared" si="372"/>
        <v>0</v>
      </c>
      <c r="GX242" s="168">
        <f t="shared" si="380"/>
        <v>0</v>
      </c>
      <c r="GY242" s="168"/>
      <c r="GZ242" s="168"/>
      <c r="HA242" s="111"/>
      <c r="HB242" s="111"/>
      <c r="HC242" s="165"/>
      <c r="HD242" s="109">
        <f t="shared" si="373"/>
        <v>0</v>
      </c>
      <c r="HE242" s="109">
        <f t="shared" si="381"/>
        <v>0</v>
      </c>
      <c r="HF242" s="109"/>
      <c r="HG242" s="109"/>
      <c r="HH242" s="111"/>
      <c r="HI242" s="111"/>
      <c r="HJ242" s="165"/>
      <c r="HK242" s="109">
        <f t="shared" si="374"/>
        <v>0</v>
      </c>
      <c r="HL242" s="109">
        <f t="shared" si="382"/>
        <v>0</v>
      </c>
      <c r="HM242" s="109"/>
      <c r="HN242" s="109"/>
      <c r="HO242" s="111"/>
      <c r="HP242" s="111"/>
      <c r="HQ242" s="165"/>
      <c r="HR242" s="109">
        <f t="shared" si="375"/>
        <v>0</v>
      </c>
      <c r="HS242" s="109">
        <f t="shared" si="383"/>
        <v>0</v>
      </c>
      <c r="HT242" s="109"/>
      <c r="HU242" s="109"/>
      <c r="HV242" s="111"/>
      <c r="HW242" s="111"/>
      <c r="HX242" s="105">
        <f t="shared" si="351"/>
        <v>0</v>
      </c>
      <c r="HY242" s="105">
        <f t="shared" si="351"/>
        <v>0</v>
      </c>
      <c r="HZ242" s="105">
        <f t="shared" si="351"/>
        <v>0</v>
      </c>
      <c r="IA242" s="105">
        <f t="shared" si="345"/>
        <v>0</v>
      </c>
      <c r="IB242" s="109">
        <f t="shared" si="346"/>
        <v>0</v>
      </c>
      <c r="IC242" s="109">
        <f t="shared" si="347"/>
        <v>0</v>
      </c>
      <c r="ID242" s="109">
        <f t="shared" si="348"/>
        <v>0</v>
      </c>
      <c r="IE242" s="109">
        <f t="shared" si="349"/>
        <v>0</v>
      </c>
      <c r="IF242" s="197"/>
      <c r="IG242" s="197"/>
      <c r="IH242" s="197"/>
      <c r="II242" s="197"/>
      <c r="IJ242" s="197"/>
      <c r="IK242" s="197"/>
      <c r="IL242" s="197"/>
      <c r="IM242" s="171"/>
      <c r="IN242" s="171"/>
      <c r="IO242" s="171"/>
      <c r="IP242" s="171"/>
    </row>
    <row r="243" spans="1:250" ht="15" customHeight="1" x14ac:dyDescent="0.3">
      <c r="A243" s="110">
        <f t="shared" si="350"/>
        <v>239</v>
      </c>
      <c r="B243" s="111"/>
      <c r="C243" s="111"/>
      <c r="D243" s="111"/>
      <c r="E243" s="111"/>
      <c r="F243" s="111"/>
      <c r="G243" s="111"/>
      <c r="H243" s="111"/>
      <c r="I243" s="194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75"/>
      <c r="AI243" s="111"/>
      <c r="AJ243" s="111"/>
      <c r="AK243" s="111"/>
      <c r="AL243" s="177"/>
      <c r="AM243" s="176"/>
      <c r="AN243" s="177"/>
      <c r="AO243" s="157"/>
      <c r="AP243" s="158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  <c r="BJ243" s="111"/>
      <c r="BK243" s="111"/>
      <c r="BL243" s="175"/>
      <c r="BM243" s="111"/>
      <c r="BN243" s="111"/>
      <c r="BO243" s="111"/>
      <c r="BP243" s="111"/>
      <c r="BQ243" s="111"/>
      <c r="BR243" s="111"/>
      <c r="BS243" s="111"/>
      <c r="BT243" s="111"/>
      <c r="BU243" s="111"/>
      <c r="BV243" s="111"/>
      <c r="BW243" s="111"/>
      <c r="BX243" s="111"/>
      <c r="BY243" s="111"/>
      <c r="BZ243" s="111"/>
      <c r="CA243" s="111"/>
      <c r="CB243" s="111"/>
      <c r="CC243" s="178"/>
      <c r="CD243" s="177">
        <f t="shared" si="334"/>
        <v>0</v>
      </c>
      <c r="CE243" s="148"/>
      <c r="CF243" s="111">
        <f t="shared" si="335"/>
        <v>0</v>
      </c>
      <c r="CG243" s="177"/>
      <c r="CH243" s="204"/>
      <c r="CI243" s="148"/>
      <c r="CJ243" s="165"/>
      <c r="CK243" s="165"/>
      <c r="CL243" s="111"/>
      <c r="CM243" s="111"/>
      <c r="CN243" s="165">
        <f t="shared" si="336"/>
        <v>0</v>
      </c>
      <c r="CO243" s="109">
        <f t="shared" si="337"/>
        <v>0</v>
      </c>
      <c r="CP243" s="109">
        <f t="shared" si="338"/>
        <v>0</v>
      </c>
      <c r="CQ243" s="109"/>
      <c r="CR243" s="109"/>
      <c r="CS243" s="196"/>
      <c r="CT243" s="167"/>
      <c r="CU243" s="165"/>
      <c r="CV243" s="109">
        <f t="shared" si="339"/>
        <v>0</v>
      </c>
      <c r="CW243" s="109">
        <f t="shared" si="340"/>
        <v>0</v>
      </c>
      <c r="CX243" s="109"/>
      <c r="CY243" s="109"/>
      <c r="CZ243" s="111"/>
      <c r="DA243" s="111"/>
      <c r="DB243" s="165"/>
      <c r="DC243" s="109">
        <f t="shared" si="341"/>
        <v>0</v>
      </c>
      <c r="DD243" s="109">
        <f t="shared" si="342"/>
        <v>0</v>
      </c>
      <c r="DE243" s="109"/>
      <c r="DF243" s="109"/>
      <c r="DG243" s="111"/>
      <c r="DH243" s="111"/>
      <c r="DI243" s="165"/>
      <c r="DJ243" s="109">
        <f t="shared" si="343"/>
        <v>0</v>
      </c>
      <c r="DK243" s="109">
        <f t="shared" si="344"/>
        <v>0</v>
      </c>
      <c r="DL243" s="109"/>
      <c r="DM243" s="109"/>
      <c r="DN243" s="111"/>
      <c r="DO243" s="111"/>
      <c r="DP243" s="165"/>
      <c r="DQ243" s="109">
        <f t="shared" si="352"/>
        <v>0</v>
      </c>
      <c r="DR243" s="109">
        <f t="shared" si="353"/>
        <v>0</v>
      </c>
      <c r="DS243" s="109"/>
      <c r="DT243" s="109"/>
      <c r="DU243" s="111"/>
      <c r="DV243" s="111"/>
      <c r="DW243" s="165"/>
      <c r="DX243" s="109">
        <f t="shared" si="354"/>
        <v>0</v>
      </c>
      <c r="DY243" s="109">
        <f t="shared" si="355"/>
        <v>0</v>
      </c>
      <c r="DZ243" s="109"/>
      <c r="EA243" s="109"/>
      <c r="EB243" s="111"/>
      <c r="EC243" s="111"/>
      <c r="ED243" s="165"/>
      <c r="EE243" s="109">
        <f t="shared" si="356"/>
        <v>0</v>
      </c>
      <c r="EF243" s="109">
        <f t="shared" si="357"/>
        <v>0</v>
      </c>
      <c r="EG243" s="109"/>
      <c r="EH243" s="109"/>
      <c r="EI243" s="111"/>
      <c r="EJ243" s="111"/>
      <c r="EK243" s="165"/>
      <c r="EL243" s="109">
        <f t="shared" si="358"/>
        <v>0</v>
      </c>
      <c r="EM243" s="109">
        <f t="shared" si="359"/>
        <v>0</v>
      </c>
      <c r="EN243" s="109"/>
      <c r="EO243" s="109"/>
      <c r="EP243" s="111"/>
      <c r="EQ243" s="111"/>
      <c r="ER243" s="165"/>
      <c r="ES243" s="109">
        <f t="shared" si="360"/>
        <v>0</v>
      </c>
      <c r="ET243" s="109">
        <f t="shared" si="361"/>
        <v>0</v>
      </c>
      <c r="EU243" s="109"/>
      <c r="EV243" s="109"/>
      <c r="EW243" s="111"/>
      <c r="EX243" s="111"/>
      <c r="EY243" s="165"/>
      <c r="EZ243" s="109">
        <f t="shared" si="362"/>
        <v>0</v>
      </c>
      <c r="FA243" s="109">
        <f t="shared" si="363"/>
        <v>0</v>
      </c>
      <c r="FB243" s="109"/>
      <c r="FC243" s="109"/>
      <c r="FD243" s="111"/>
      <c r="FE243" s="111"/>
      <c r="FF243" s="165"/>
      <c r="FG243" s="109">
        <f t="shared" si="364"/>
        <v>0</v>
      </c>
      <c r="FH243" s="109">
        <f t="shared" si="365"/>
        <v>0</v>
      </c>
      <c r="FI243" s="109"/>
      <c r="FJ243" s="109"/>
      <c r="FK243" s="111"/>
      <c r="FL243" s="111"/>
      <c r="FM243" s="165"/>
      <c r="FN243" s="109">
        <f t="shared" si="366"/>
        <v>0</v>
      </c>
      <c r="FO243" s="109">
        <f t="shared" si="367"/>
        <v>0</v>
      </c>
      <c r="FP243" s="109"/>
      <c r="FQ243" s="109"/>
      <c r="FR243" s="111"/>
      <c r="FS243" s="111"/>
      <c r="FT243" s="165"/>
      <c r="FU243" s="109">
        <f t="shared" si="368"/>
        <v>0</v>
      </c>
      <c r="FV243" s="109">
        <f t="shared" si="376"/>
        <v>0</v>
      </c>
      <c r="FW243" s="109"/>
      <c r="FX243" s="109"/>
      <c r="FY243" s="111"/>
      <c r="FZ243" s="111"/>
      <c r="GA243" s="165"/>
      <c r="GB243" s="109">
        <f t="shared" si="369"/>
        <v>0</v>
      </c>
      <c r="GC243" s="109">
        <f t="shared" si="377"/>
        <v>0</v>
      </c>
      <c r="GD243" s="109"/>
      <c r="GE243" s="109"/>
      <c r="GF243" s="111"/>
      <c r="GG243" s="111"/>
      <c r="GH243" s="165"/>
      <c r="GI243" s="109">
        <f t="shared" si="370"/>
        <v>0</v>
      </c>
      <c r="GJ243" s="109">
        <f t="shared" si="378"/>
        <v>0</v>
      </c>
      <c r="GK243" s="109"/>
      <c r="GL243" s="109"/>
      <c r="GM243" s="111"/>
      <c r="GN243" s="111"/>
      <c r="GO243" s="165"/>
      <c r="GP243" s="109">
        <f t="shared" si="371"/>
        <v>0</v>
      </c>
      <c r="GQ243" s="109">
        <f t="shared" si="379"/>
        <v>0</v>
      </c>
      <c r="GR243" s="109"/>
      <c r="GS243" s="109"/>
      <c r="GT243" s="111"/>
      <c r="GU243" s="111"/>
      <c r="GV243" s="165"/>
      <c r="GW243" s="168">
        <f t="shared" si="372"/>
        <v>0</v>
      </c>
      <c r="GX243" s="168">
        <f t="shared" si="380"/>
        <v>0</v>
      </c>
      <c r="GY243" s="168"/>
      <c r="GZ243" s="168"/>
      <c r="HA243" s="111"/>
      <c r="HB243" s="111"/>
      <c r="HC243" s="165"/>
      <c r="HD243" s="109">
        <f t="shared" si="373"/>
        <v>0</v>
      </c>
      <c r="HE243" s="109">
        <f t="shared" si="381"/>
        <v>0</v>
      </c>
      <c r="HF243" s="109"/>
      <c r="HG243" s="109"/>
      <c r="HH243" s="111"/>
      <c r="HI243" s="111"/>
      <c r="HJ243" s="165"/>
      <c r="HK243" s="109">
        <f t="shared" si="374"/>
        <v>0</v>
      </c>
      <c r="HL243" s="109">
        <f t="shared" si="382"/>
        <v>0</v>
      </c>
      <c r="HM243" s="109"/>
      <c r="HN243" s="109"/>
      <c r="HO243" s="111"/>
      <c r="HP243" s="111"/>
      <c r="HQ243" s="165"/>
      <c r="HR243" s="109">
        <f t="shared" si="375"/>
        <v>0</v>
      </c>
      <c r="HS243" s="109">
        <f t="shared" si="383"/>
        <v>0</v>
      </c>
      <c r="HT243" s="109"/>
      <c r="HU243" s="109"/>
      <c r="HV243" s="111"/>
      <c r="HW243" s="111"/>
      <c r="HX243" s="105">
        <f t="shared" si="351"/>
        <v>0</v>
      </c>
      <c r="HY243" s="105">
        <f t="shared" si="351"/>
        <v>0</v>
      </c>
      <c r="HZ243" s="105">
        <f t="shared" si="351"/>
        <v>0</v>
      </c>
      <c r="IA243" s="105">
        <f t="shared" si="345"/>
        <v>0</v>
      </c>
      <c r="IB243" s="109">
        <f t="shared" si="346"/>
        <v>0</v>
      </c>
      <c r="IC243" s="109">
        <f t="shared" si="347"/>
        <v>0</v>
      </c>
      <c r="ID243" s="109">
        <f t="shared" si="348"/>
        <v>0</v>
      </c>
      <c r="IE243" s="109">
        <f t="shared" si="349"/>
        <v>0</v>
      </c>
      <c r="IF243" s="197"/>
      <c r="IG243" s="197"/>
      <c r="IH243" s="197"/>
      <c r="II243" s="197"/>
      <c r="IJ243" s="197"/>
      <c r="IK243" s="197"/>
      <c r="IL243" s="197"/>
      <c r="IM243" s="171"/>
      <c r="IN243" s="171"/>
      <c r="IO243" s="171"/>
      <c r="IP243" s="171"/>
    </row>
    <row r="244" spans="1:250" ht="15" customHeight="1" x14ac:dyDescent="0.3">
      <c r="A244" s="110">
        <f t="shared" si="350"/>
        <v>240</v>
      </c>
      <c r="B244" s="111"/>
      <c r="C244" s="111"/>
      <c r="D244" s="111"/>
      <c r="E244" s="111"/>
      <c r="F244" s="111"/>
      <c r="G244" s="111"/>
      <c r="H244" s="111"/>
      <c r="I244" s="194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75"/>
      <c r="AI244" s="111"/>
      <c r="AJ244" s="111"/>
      <c r="AK244" s="111"/>
      <c r="AL244" s="177"/>
      <c r="AM244" s="176"/>
      <c r="AN244" s="177"/>
      <c r="AO244" s="157"/>
      <c r="AP244" s="158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B244" s="111"/>
      <c r="BC244" s="111"/>
      <c r="BD244" s="111"/>
      <c r="BE244" s="111"/>
      <c r="BF244" s="111"/>
      <c r="BG244" s="111"/>
      <c r="BH244" s="111"/>
      <c r="BI244" s="111"/>
      <c r="BJ244" s="111"/>
      <c r="BK244" s="111"/>
      <c r="BL244" s="175"/>
      <c r="BM244" s="111"/>
      <c r="BN244" s="111"/>
      <c r="BO244" s="111"/>
      <c r="BP244" s="111"/>
      <c r="BQ244" s="111"/>
      <c r="BR244" s="111"/>
      <c r="BS244" s="111"/>
      <c r="BT244" s="111"/>
      <c r="BU244" s="111"/>
      <c r="BV244" s="111"/>
      <c r="BW244" s="111"/>
      <c r="BX244" s="111"/>
      <c r="BY244" s="111"/>
      <c r="BZ244" s="111"/>
      <c r="CA244" s="111"/>
      <c r="CB244" s="111"/>
      <c r="CC244" s="178"/>
      <c r="CD244" s="177">
        <f t="shared" si="334"/>
        <v>0</v>
      </c>
      <c r="CE244" s="148"/>
      <c r="CF244" s="111">
        <f t="shared" si="335"/>
        <v>0</v>
      </c>
      <c r="CG244" s="177"/>
      <c r="CH244" s="204"/>
      <c r="CI244" s="148"/>
      <c r="CJ244" s="165"/>
      <c r="CK244" s="165"/>
      <c r="CL244" s="111"/>
      <c r="CM244" s="111"/>
      <c r="CN244" s="165">
        <f t="shared" si="336"/>
        <v>0</v>
      </c>
      <c r="CO244" s="109">
        <f t="shared" si="337"/>
        <v>0</v>
      </c>
      <c r="CP244" s="109">
        <f t="shared" si="338"/>
        <v>0</v>
      </c>
      <c r="CQ244" s="109"/>
      <c r="CR244" s="109"/>
      <c r="CS244" s="196"/>
      <c r="CT244" s="167"/>
      <c r="CU244" s="165"/>
      <c r="CV244" s="109">
        <f t="shared" si="339"/>
        <v>0</v>
      </c>
      <c r="CW244" s="109">
        <f t="shared" si="340"/>
        <v>0</v>
      </c>
      <c r="CX244" s="109"/>
      <c r="CY244" s="109"/>
      <c r="CZ244" s="111"/>
      <c r="DA244" s="111"/>
      <c r="DB244" s="165"/>
      <c r="DC244" s="109">
        <f t="shared" si="341"/>
        <v>0</v>
      </c>
      <c r="DD244" s="109">
        <f t="shared" si="342"/>
        <v>0</v>
      </c>
      <c r="DE244" s="109"/>
      <c r="DF244" s="109"/>
      <c r="DG244" s="111"/>
      <c r="DH244" s="111"/>
      <c r="DI244" s="165"/>
      <c r="DJ244" s="109">
        <f t="shared" si="343"/>
        <v>0</v>
      </c>
      <c r="DK244" s="109">
        <f t="shared" si="344"/>
        <v>0</v>
      </c>
      <c r="DL244" s="109"/>
      <c r="DM244" s="109"/>
      <c r="DN244" s="111"/>
      <c r="DO244" s="111"/>
      <c r="DP244" s="165"/>
      <c r="DQ244" s="109">
        <f t="shared" si="352"/>
        <v>0</v>
      </c>
      <c r="DR244" s="109">
        <f t="shared" si="353"/>
        <v>0</v>
      </c>
      <c r="DS244" s="109"/>
      <c r="DT244" s="109"/>
      <c r="DU244" s="111"/>
      <c r="DV244" s="111"/>
      <c r="DW244" s="165"/>
      <c r="DX244" s="109">
        <f t="shared" si="354"/>
        <v>0</v>
      </c>
      <c r="DY244" s="109">
        <f t="shared" si="355"/>
        <v>0</v>
      </c>
      <c r="DZ244" s="109"/>
      <c r="EA244" s="109"/>
      <c r="EB244" s="111"/>
      <c r="EC244" s="111"/>
      <c r="ED244" s="165"/>
      <c r="EE244" s="109">
        <f t="shared" si="356"/>
        <v>0</v>
      </c>
      <c r="EF244" s="109">
        <f t="shared" si="357"/>
        <v>0</v>
      </c>
      <c r="EG244" s="109"/>
      <c r="EH244" s="109"/>
      <c r="EI244" s="111"/>
      <c r="EJ244" s="111"/>
      <c r="EK244" s="165"/>
      <c r="EL244" s="109">
        <f t="shared" si="358"/>
        <v>0</v>
      </c>
      <c r="EM244" s="109">
        <f t="shared" si="359"/>
        <v>0</v>
      </c>
      <c r="EN244" s="109"/>
      <c r="EO244" s="109"/>
      <c r="EP244" s="111"/>
      <c r="EQ244" s="111"/>
      <c r="ER244" s="165"/>
      <c r="ES244" s="109">
        <f t="shared" si="360"/>
        <v>0</v>
      </c>
      <c r="ET244" s="109">
        <f t="shared" si="361"/>
        <v>0</v>
      </c>
      <c r="EU244" s="109"/>
      <c r="EV244" s="109"/>
      <c r="EW244" s="111"/>
      <c r="EX244" s="111"/>
      <c r="EY244" s="165"/>
      <c r="EZ244" s="109">
        <f t="shared" si="362"/>
        <v>0</v>
      </c>
      <c r="FA244" s="109">
        <f t="shared" si="363"/>
        <v>0</v>
      </c>
      <c r="FB244" s="109"/>
      <c r="FC244" s="109"/>
      <c r="FD244" s="111"/>
      <c r="FE244" s="111"/>
      <c r="FF244" s="165"/>
      <c r="FG244" s="109">
        <f t="shared" si="364"/>
        <v>0</v>
      </c>
      <c r="FH244" s="109">
        <f t="shared" si="365"/>
        <v>0</v>
      </c>
      <c r="FI244" s="109"/>
      <c r="FJ244" s="109"/>
      <c r="FK244" s="111"/>
      <c r="FL244" s="111"/>
      <c r="FM244" s="165"/>
      <c r="FN244" s="109">
        <f t="shared" si="366"/>
        <v>0</v>
      </c>
      <c r="FO244" s="109">
        <f t="shared" si="367"/>
        <v>0</v>
      </c>
      <c r="FP244" s="109"/>
      <c r="FQ244" s="109"/>
      <c r="FR244" s="111"/>
      <c r="FS244" s="111"/>
      <c r="FT244" s="165"/>
      <c r="FU244" s="109">
        <f t="shared" si="368"/>
        <v>0</v>
      </c>
      <c r="FV244" s="109">
        <f t="shared" si="376"/>
        <v>0</v>
      </c>
      <c r="FW244" s="109"/>
      <c r="FX244" s="109"/>
      <c r="FY244" s="111"/>
      <c r="FZ244" s="111"/>
      <c r="GA244" s="165"/>
      <c r="GB244" s="109">
        <f t="shared" si="369"/>
        <v>0</v>
      </c>
      <c r="GC244" s="109">
        <f t="shared" si="377"/>
        <v>0</v>
      </c>
      <c r="GD244" s="109"/>
      <c r="GE244" s="109"/>
      <c r="GF244" s="111"/>
      <c r="GG244" s="111"/>
      <c r="GH244" s="165"/>
      <c r="GI244" s="109">
        <f t="shared" si="370"/>
        <v>0</v>
      </c>
      <c r="GJ244" s="109">
        <f t="shared" si="378"/>
        <v>0</v>
      </c>
      <c r="GK244" s="109"/>
      <c r="GL244" s="109"/>
      <c r="GM244" s="111"/>
      <c r="GN244" s="111"/>
      <c r="GO244" s="165"/>
      <c r="GP244" s="109">
        <f t="shared" si="371"/>
        <v>0</v>
      </c>
      <c r="GQ244" s="109">
        <f t="shared" si="379"/>
        <v>0</v>
      </c>
      <c r="GR244" s="109"/>
      <c r="GS244" s="109"/>
      <c r="GT244" s="111"/>
      <c r="GU244" s="111"/>
      <c r="GV244" s="165"/>
      <c r="GW244" s="168">
        <f t="shared" si="372"/>
        <v>0</v>
      </c>
      <c r="GX244" s="168">
        <f t="shared" si="380"/>
        <v>0</v>
      </c>
      <c r="GY244" s="168"/>
      <c r="GZ244" s="168"/>
      <c r="HA244" s="111"/>
      <c r="HB244" s="111"/>
      <c r="HC244" s="165"/>
      <c r="HD244" s="109">
        <f t="shared" si="373"/>
        <v>0</v>
      </c>
      <c r="HE244" s="109">
        <f t="shared" si="381"/>
        <v>0</v>
      </c>
      <c r="HF244" s="109"/>
      <c r="HG244" s="109"/>
      <c r="HH244" s="111"/>
      <c r="HI244" s="111"/>
      <c r="HJ244" s="165"/>
      <c r="HK244" s="109">
        <f t="shared" si="374"/>
        <v>0</v>
      </c>
      <c r="HL244" s="109">
        <f t="shared" si="382"/>
        <v>0</v>
      </c>
      <c r="HM244" s="109"/>
      <c r="HN244" s="109"/>
      <c r="HO244" s="111"/>
      <c r="HP244" s="111"/>
      <c r="HQ244" s="165"/>
      <c r="HR244" s="109">
        <f t="shared" si="375"/>
        <v>0</v>
      </c>
      <c r="HS244" s="109">
        <f t="shared" si="383"/>
        <v>0</v>
      </c>
      <c r="HT244" s="109"/>
      <c r="HU244" s="109"/>
      <c r="HV244" s="111"/>
      <c r="HW244" s="111"/>
      <c r="HX244" s="105">
        <f t="shared" si="351"/>
        <v>0</v>
      </c>
      <c r="HY244" s="105">
        <f t="shared" si="351"/>
        <v>0</v>
      </c>
      <c r="HZ244" s="105">
        <f t="shared" si="351"/>
        <v>0</v>
      </c>
      <c r="IA244" s="105">
        <f t="shared" si="345"/>
        <v>0</v>
      </c>
      <c r="IB244" s="109">
        <f t="shared" si="346"/>
        <v>0</v>
      </c>
      <c r="IC244" s="109">
        <f t="shared" si="347"/>
        <v>0</v>
      </c>
      <c r="ID244" s="109">
        <f t="shared" si="348"/>
        <v>0</v>
      </c>
      <c r="IE244" s="109">
        <f t="shared" si="349"/>
        <v>0</v>
      </c>
      <c r="IF244" s="197"/>
      <c r="IG244" s="197"/>
      <c r="IH244" s="197"/>
      <c r="II244" s="197"/>
      <c r="IJ244" s="197"/>
      <c r="IK244" s="197"/>
      <c r="IL244" s="197"/>
      <c r="IM244" s="171"/>
      <c r="IN244" s="171"/>
      <c r="IO244" s="171"/>
      <c r="IP244" s="171"/>
    </row>
    <row r="245" spans="1:250" ht="15" customHeight="1" x14ac:dyDescent="0.3">
      <c r="A245" s="110">
        <f t="shared" si="350"/>
        <v>241</v>
      </c>
      <c r="B245" s="111"/>
      <c r="C245" s="111"/>
      <c r="D245" s="111"/>
      <c r="E245" s="111"/>
      <c r="F245" s="111"/>
      <c r="G245" s="111"/>
      <c r="H245" s="111"/>
      <c r="I245" s="194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75"/>
      <c r="AI245" s="111"/>
      <c r="AJ245" s="111"/>
      <c r="AK245" s="111"/>
      <c r="AL245" s="177"/>
      <c r="AM245" s="176"/>
      <c r="AN245" s="177"/>
      <c r="AO245" s="157"/>
      <c r="AP245" s="158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1"/>
      <c r="BC245" s="111"/>
      <c r="BD245" s="111"/>
      <c r="BE245" s="111"/>
      <c r="BF245" s="111"/>
      <c r="BG245" s="111"/>
      <c r="BH245" s="111"/>
      <c r="BI245" s="111"/>
      <c r="BJ245" s="111"/>
      <c r="BK245" s="111"/>
      <c r="BL245" s="175"/>
      <c r="BM245" s="111"/>
      <c r="BN245" s="111"/>
      <c r="BO245" s="111"/>
      <c r="BP245" s="111"/>
      <c r="BQ245" s="111"/>
      <c r="BR245" s="111"/>
      <c r="BS245" s="111"/>
      <c r="BT245" s="111"/>
      <c r="BU245" s="111"/>
      <c r="BV245" s="111"/>
      <c r="BW245" s="111"/>
      <c r="BX245" s="111"/>
      <c r="BY245" s="111"/>
      <c r="BZ245" s="111"/>
      <c r="CA245" s="111"/>
      <c r="CB245" s="111"/>
      <c r="CC245" s="178"/>
      <c r="CD245" s="177">
        <f t="shared" si="334"/>
        <v>0</v>
      </c>
      <c r="CE245" s="148"/>
      <c r="CF245" s="111">
        <f t="shared" si="335"/>
        <v>0</v>
      </c>
      <c r="CG245" s="177"/>
      <c r="CH245" s="204"/>
      <c r="CI245" s="148"/>
      <c r="CJ245" s="165"/>
      <c r="CK245" s="165"/>
      <c r="CL245" s="111"/>
      <c r="CM245" s="111"/>
      <c r="CN245" s="165">
        <f t="shared" si="336"/>
        <v>0</v>
      </c>
      <c r="CO245" s="109">
        <f t="shared" si="337"/>
        <v>0</v>
      </c>
      <c r="CP245" s="109">
        <f t="shared" si="338"/>
        <v>0</v>
      </c>
      <c r="CQ245" s="109"/>
      <c r="CR245" s="109"/>
      <c r="CS245" s="196"/>
      <c r="CT245" s="167"/>
      <c r="CU245" s="165"/>
      <c r="CV245" s="109">
        <f t="shared" si="339"/>
        <v>0</v>
      </c>
      <c r="CW245" s="109">
        <f t="shared" si="340"/>
        <v>0</v>
      </c>
      <c r="CX245" s="109"/>
      <c r="CY245" s="109"/>
      <c r="CZ245" s="111"/>
      <c r="DA245" s="111"/>
      <c r="DB245" s="165"/>
      <c r="DC245" s="109">
        <f t="shared" si="341"/>
        <v>0</v>
      </c>
      <c r="DD245" s="109">
        <f t="shared" si="342"/>
        <v>0</v>
      </c>
      <c r="DE245" s="109"/>
      <c r="DF245" s="109"/>
      <c r="DG245" s="111"/>
      <c r="DH245" s="111"/>
      <c r="DI245" s="165"/>
      <c r="DJ245" s="109">
        <f t="shared" si="343"/>
        <v>0</v>
      </c>
      <c r="DK245" s="109">
        <f t="shared" si="344"/>
        <v>0</v>
      </c>
      <c r="DL245" s="109"/>
      <c r="DM245" s="109"/>
      <c r="DN245" s="111"/>
      <c r="DO245" s="111"/>
      <c r="DP245" s="165"/>
      <c r="DQ245" s="109">
        <f t="shared" si="352"/>
        <v>0</v>
      </c>
      <c r="DR245" s="109">
        <f t="shared" si="353"/>
        <v>0</v>
      </c>
      <c r="DS245" s="109"/>
      <c r="DT245" s="109"/>
      <c r="DU245" s="111"/>
      <c r="DV245" s="111"/>
      <c r="DW245" s="165"/>
      <c r="DX245" s="109">
        <f t="shared" si="354"/>
        <v>0</v>
      </c>
      <c r="DY245" s="109">
        <f t="shared" si="355"/>
        <v>0</v>
      </c>
      <c r="DZ245" s="109"/>
      <c r="EA245" s="109"/>
      <c r="EB245" s="111"/>
      <c r="EC245" s="111"/>
      <c r="ED245" s="165"/>
      <c r="EE245" s="109">
        <f t="shared" si="356"/>
        <v>0</v>
      </c>
      <c r="EF245" s="109">
        <f t="shared" si="357"/>
        <v>0</v>
      </c>
      <c r="EG245" s="109"/>
      <c r="EH245" s="109"/>
      <c r="EI245" s="111"/>
      <c r="EJ245" s="111"/>
      <c r="EK245" s="165"/>
      <c r="EL245" s="109">
        <f t="shared" si="358"/>
        <v>0</v>
      </c>
      <c r="EM245" s="109">
        <f t="shared" si="359"/>
        <v>0</v>
      </c>
      <c r="EN245" s="109"/>
      <c r="EO245" s="109"/>
      <c r="EP245" s="111"/>
      <c r="EQ245" s="111"/>
      <c r="ER245" s="165"/>
      <c r="ES245" s="109">
        <f t="shared" si="360"/>
        <v>0</v>
      </c>
      <c r="ET245" s="109">
        <f t="shared" si="361"/>
        <v>0</v>
      </c>
      <c r="EU245" s="109"/>
      <c r="EV245" s="109"/>
      <c r="EW245" s="111"/>
      <c r="EX245" s="111"/>
      <c r="EY245" s="165"/>
      <c r="EZ245" s="109">
        <f t="shared" si="362"/>
        <v>0</v>
      </c>
      <c r="FA245" s="109">
        <f t="shared" si="363"/>
        <v>0</v>
      </c>
      <c r="FB245" s="109"/>
      <c r="FC245" s="109"/>
      <c r="FD245" s="111"/>
      <c r="FE245" s="111"/>
      <c r="FF245" s="165"/>
      <c r="FG245" s="109">
        <f t="shared" si="364"/>
        <v>0</v>
      </c>
      <c r="FH245" s="109">
        <f t="shared" si="365"/>
        <v>0</v>
      </c>
      <c r="FI245" s="109"/>
      <c r="FJ245" s="109"/>
      <c r="FK245" s="111"/>
      <c r="FL245" s="111"/>
      <c r="FM245" s="165"/>
      <c r="FN245" s="109">
        <f t="shared" si="366"/>
        <v>0</v>
      </c>
      <c r="FO245" s="109">
        <f t="shared" si="367"/>
        <v>0</v>
      </c>
      <c r="FP245" s="109"/>
      <c r="FQ245" s="109"/>
      <c r="FR245" s="111"/>
      <c r="FS245" s="111"/>
      <c r="FT245" s="165"/>
      <c r="FU245" s="109">
        <f t="shared" si="368"/>
        <v>0</v>
      </c>
      <c r="FV245" s="109">
        <f t="shared" si="376"/>
        <v>0</v>
      </c>
      <c r="FW245" s="109"/>
      <c r="FX245" s="109"/>
      <c r="FY245" s="111"/>
      <c r="FZ245" s="111"/>
      <c r="GA245" s="165"/>
      <c r="GB245" s="109">
        <f t="shared" si="369"/>
        <v>0</v>
      </c>
      <c r="GC245" s="109">
        <f t="shared" si="377"/>
        <v>0</v>
      </c>
      <c r="GD245" s="109"/>
      <c r="GE245" s="109"/>
      <c r="GF245" s="111"/>
      <c r="GG245" s="111"/>
      <c r="GH245" s="165"/>
      <c r="GI245" s="109">
        <f t="shared" si="370"/>
        <v>0</v>
      </c>
      <c r="GJ245" s="109">
        <f t="shared" si="378"/>
        <v>0</v>
      </c>
      <c r="GK245" s="109"/>
      <c r="GL245" s="109"/>
      <c r="GM245" s="111"/>
      <c r="GN245" s="111"/>
      <c r="GO245" s="165"/>
      <c r="GP245" s="109">
        <f t="shared" si="371"/>
        <v>0</v>
      </c>
      <c r="GQ245" s="109">
        <f t="shared" si="379"/>
        <v>0</v>
      </c>
      <c r="GR245" s="109"/>
      <c r="GS245" s="109"/>
      <c r="GT245" s="111"/>
      <c r="GU245" s="111"/>
      <c r="GV245" s="165"/>
      <c r="GW245" s="168">
        <f t="shared" si="372"/>
        <v>0</v>
      </c>
      <c r="GX245" s="168">
        <f t="shared" si="380"/>
        <v>0</v>
      </c>
      <c r="GY245" s="168"/>
      <c r="GZ245" s="168"/>
      <c r="HA245" s="111"/>
      <c r="HB245" s="111"/>
      <c r="HC245" s="165"/>
      <c r="HD245" s="109">
        <f t="shared" si="373"/>
        <v>0</v>
      </c>
      <c r="HE245" s="109">
        <f t="shared" si="381"/>
        <v>0</v>
      </c>
      <c r="HF245" s="109"/>
      <c r="HG245" s="109"/>
      <c r="HH245" s="111"/>
      <c r="HI245" s="111"/>
      <c r="HJ245" s="165"/>
      <c r="HK245" s="109">
        <f t="shared" si="374"/>
        <v>0</v>
      </c>
      <c r="HL245" s="109">
        <f t="shared" si="382"/>
        <v>0</v>
      </c>
      <c r="HM245" s="109"/>
      <c r="HN245" s="109"/>
      <c r="HO245" s="111"/>
      <c r="HP245" s="111"/>
      <c r="HQ245" s="165"/>
      <c r="HR245" s="109">
        <f t="shared" si="375"/>
        <v>0</v>
      </c>
      <c r="HS245" s="109">
        <f t="shared" si="383"/>
        <v>0</v>
      </c>
      <c r="HT245" s="109"/>
      <c r="HU245" s="109"/>
      <c r="HV245" s="111"/>
      <c r="HW245" s="111"/>
      <c r="HX245" s="105">
        <f t="shared" si="351"/>
        <v>0</v>
      </c>
      <c r="HY245" s="105">
        <f t="shared" si="351"/>
        <v>0</v>
      </c>
      <c r="HZ245" s="105">
        <f t="shared" si="351"/>
        <v>0</v>
      </c>
      <c r="IA245" s="105">
        <f t="shared" si="345"/>
        <v>0</v>
      </c>
      <c r="IB245" s="109">
        <f t="shared" si="346"/>
        <v>0</v>
      </c>
      <c r="IC245" s="109">
        <f t="shared" si="347"/>
        <v>0</v>
      </c>
      <c r="ID245" s="109">
        <f t="shared" si="348"/>
        <v>0</v>
      </c>
      <c r="IE245" s="109">
        <f t="shared" si="349"/>
        <v>0</v>
      </c>
      <c r="IF245" s="197"/>
      <c r="IG245" s="197"/>
      <c r="IH245" s="197"/>
      <c r="II245" s="197"/>
      <c r="IJ245" s="197"/>
      <c r="IK245" s="197"/>
      <c r="IL245" s="197"/>
      <c r="IM245" s="171"/>
      <c r="IN245" s="171"/>
      <c r="IO245" s="171"/>
      <c r="IP245" s="171"/>
    </row>
    <row r="246" spans="1:250" ht="15" customHeight="1" x14ac:dyDescent="0.3">
      <c r="A246" s="110">
        <f t="shared" si="350"/>
        <v>242</v>
      </c>
      <c r="B246" s="111"/>
      <c r="C246" s="111"/>
      <c r="D246" s="111"/>
      <c r="E246" s="111"/>
      <c r="F246" s="111"/>
      <c r="G246" s="111"/>
      <c r="H246" s="111"/>
      <c r="I246" s="194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75"/>
      <c r="AI246" s="111"/>
      <c r="AJ246" s="111"/>
      <c r="AK246" s="111"/>
      <c r="AL246" s="177"/>
      <c r="AM246" s="176"/>
      <c r="AN246" s="177"/>
      <c r="AO246" s="157"/>
      <c r="AP246" s="158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1"/>
      <c r="BC246" s="111"/>
      <c r="BD246" s="111"/>
      <c r="BE246" s="111"/>
      <c r="BF246" s="111"/>
      <c r="BG246" s="111"/>
      <c r="BH246" s="111"/>
      <c r="BI246" s="111"/>
      <c r="BJ246" s="111"/>
      <c r="BK246" s="111"/>
      <c r="BL246" s="175"/>
      <c r="BM246" s="111"/>
      <c r="BN246" s="111"/>
      <c r="BO246" s="111"/>
      <c r="BP246" s="111"/>
      <c r="BQ246" s="111"/>
      <c r="BR246" s="111"/>
      <c r="BS246" s="111"/>
      <c r="BT246" s="111"/>
      <c r="BU246" s="111"/>
      <c r="BV246" s="111"/>
      <c r="BW246" s="111"/>
      <c r="BX246" s="111"/>
      <c r="BY246" s="111"/>
      <c r="BZ246" s="111"/>
      <c r="CA246" s="111"/>
      <c r="CB246" s="111"/>
      <c r="CC246" s="178"/>
      <c r="CD246" s="177">
        <f t="shared" si="334"/>
        <v>0</v>
      </c>
      <c r="CE246" s="148"/>
      <c r="CF246" s="111">
        <f t="shared" si="335"/>
        <v>0</v>
      </c>
      <c r="CG246" s="177"/>
      <c r="CH246" s="204"/>
      <c r="CI246" s="148"/>
      <c r="CJ246" s="165"/>
      <c r="CK246" s="165"/>
      <c r="CL246" s="111"/>
      <c r="CM246" s="111"/>
      <c r="CN246" s="165">
        <f t="shared" si="336"/>
        <v>0</v>
      </c>
      <c r="CO246" s="109">
        <f t="shared" si="337"/>
        <v>0</v>
      </c>
      <c r="CP246" s="109">
        <f t="shared" si="338"/>
        <v>0</v>
      </c>
      <c r="CQ246" s="109"/>
      <c r="CR246" s="109"/>
      <c r="CS246" s="196"/>
      <c r="CT246" s="167"/>
      <c r="CU246" s="165"/>
      <c r="CV246" s="109">
        <f t="shared" si="339"/>
        <v>0</v>
      </c>
      <c r="CW246" s="109">
        <f t="shared" si="340"/>
        <v>0</v>
      </c>
      <c r="CX246" s="109"/>
      <c r="CY246" s="109"/>
      <c r="CZ246" s="111"/>
      <c r="DA246" s="111"/>
      <c r="DB246" s="165"/>
      <c r="DC246" s="109">
        <f t="shared" si="341"/>
        <v>0</v>
      </c>
      <c r="DD246" s="109">
        <f t="shared" si="342"/>
        <v>0</v>
      </c>
      <c r="DE246" s="109"/>
      <c r="DF246" s="109"/>
      <c r="DG246" s="111"/>
      <c r="DH246" s="111"/>
      <c r="DI246" s="165"/>
      <c r="DJ246" s="109">
        <f t="shared" si="343"/>
        <v>0</v>
      </c>
      <c r="DK246" s="109">
        <f t="shared" si="344"/>
        <v>0</v>
      </c>
      <c r="DL246" s="109"/>
      <c r="DM246" s="109"/>
      <c r="DN246" s="111"/>
      <c r="DO246" s="111"/>
      <c r="DP246" s="165"/>
      <c r="DQ246" s="109">
        <f t="shared" si="352"/>
        <v>0</v>
      </c>
      <c r="DR246" s="109">
        <f t="shared" si="353"/>
        <v>0</v>
      </c>
      <c r="DS246" s="109"/>
      <c r="DT246" s="109"/>
      <c r="DU246" s="111"/>
      <c r="DV246" s="111"/>
      <c r="DW246" s="165"/>
      <c r="DX246" s="109">
        <f t="shared" si="354"/>
        <v>0</v>
      </c>
      <c r="DY246" s="109">
        <f t="shared" si="355"/>
        <v>0</v>
      </c>
      <c r="DZ246" s="109"/>
      <c r="EA246" s="109"/>
      <c r="EB246" s="111"/>
      <c r="EC246" s="111"/>
      <c r="ED246" s="165"/>
      <c r="EE246" s="109">
        <f t="shared" si="356"/>
        <v>0</v>
      </c>
      <c r="EF246" s="109">
        <f t="shared" si="357"/>
        <v>0</v>
      </c>
      <c r="EG246" s="109"/>
      <c r="EH246" s="109"/>
      <c r="EI246" s="111"/>
      <c r="EJ246" s="111"/>
      <c r="EK246" s="165"/>
      <c r="EL246" s="109">
        <f t="shared" si="358"/>
        <v>0</v>
      </c>
      <c r="EM246" s="109">
        <f t="shared" si="359"/>
        <v>0</v>
      </c>
      <c r="EN246" s="109"/>
      <c r="EO246" s="109"/>
      <c r="EP246" s="111"/>
      <c r="EQ246" s="111"/>
      <c r="ER246" s="165"/>
      <c r="ES246" s="109">
        <f t="shared" si="360"/>
        <v>0</v>
      </c>
      <c r="ET246" s="109">
        <f t="shared" si="361"/>
        <v>0</v>
      </c>
      <c r="EU246" s="109"/>
      <c r="EV246" s="109"/>
      <c r="EW246" s="111"/>
      <c r="EX246" s="111"/>
      <c r="EY246" s="165"/>
      <c r="EZ246" s="109">
        <f t="shared" si="362"/>
        <v>0</v>
      </c>
      <c r="FA246" s="109">
        <f t="shared" si="363"/>
        <v>0</v>
      </c>
      <c r="FB246" s="109"/>
      <c r="FC246" s="109"/>
      <c r="FD246" s="111"/>
      <c r="FE246" s="111"/>
      <c r="FF246" s="165"/>
      <c r="FG246" s="109">
        <f t="shared" si="364"/>
        <v>0</v>
      </c>
      <c r="FH246" s="109">
        <f t="shared" si="365"/>
        <v>0</v>
      </c>
      <c r="FI246" s="109"/>
      <c r="FJ246" s="109"/>
      <c r="FK246" s="111"/>
      <c r="FL246" s="111"/>
      <c r="FM246" s="165"/>
      <c r="FN246" s="109">
        <f t="shared" si="366"/>
        <v>0</v>
      </c>
      <c r="FO246" s="109">
        <f t="shared" si="367"/>
        <v>0</v>
      </c>
      <c r="FP246" s="109"/>
      <c r="FQ246" s="109"/>
      <c r="FR246" s="111"/>
      <c r="FS246" s="111"/>
      <c r="FT246" s="165"/>
      <c r="FU246" s="109">
        <f t="shared" si="368"/>
        <v>0</v>
      </c>
      <c r="FV246" s="109">
        <f t="shared" si="376"/>
        <v>0</v>
      </c>
      <c r="FW246" s="109"/>
      <c r="FX246" s="109"/>
      <c r="FY246" s="111"/>
      <c r="FZ246" s="111"/>
      <c r="GA246" s="165"/>
      <c r="GB246" s="109">
        <f t="shared" si="369"/>
        <v>0</v>
      </c>
      <c r="GC246" s="109">
        <f t="shared" si="377"/>
        <v>0</v>
      </c>
      <c r="GD246" s="109"/>
      <c r="GE246" s="109"/>
      <c r="GF246" s="111"/>
      <c r="GG246" s="111"/>
      <c r="GH246" s="165"/>
      <c r="GI246" s="109">
        <f t="shared" si="370"/>
        <v>0</v>
      </c>
      <c r="GJ246" s="109">
        <f t="shared" si="378"/>
        <v>0</v>
      </c>
      <c r="GK246" s="109"/>
      <c r="GL246" s="109"/>
      <c r="GM246" s="111"/>
      <c r="GN246" s="111"/>
      <c r="GO246" s="165"/>
      <c r="GP246" s="109">
        <f t="shared" si="371"/>
        <v>0</v>
      </c>
      <c r="GQ246" s="109">
        <f t="shared" si="379"/>
        <v>0</v>
      </c>
      <c r="GR246" s="109"/>
      <c r="GS246" s="109"/>
      <c r="GT246" s="111"/>
      <c r="GU246" s="111"/>
      <c r="GV246" s="165"/>
      <c r="GW246" s="168">
        <f t="shared" si="372"/>
        <v>0</v>
      </c>
      <c r="GX246" s="168">
        <f t="shared" si="380"/>
        <v>0</v>
      </c>
      <c r="GY246" s="168"/>
      <c r="GZ246" s="168"/>
      <c r="HA246" s="111"/>
      <c r="HB246" s="111"/>
      <c r="HC246" s="165"/>
      <c r="HD246" s="109">
        <f t="shared" si="373"/>
        <v>0</v>
      </c>
      <c r="HE246" s="109">
        <f t="shared" si="381"/>
        <v>0</v>
      </c>
      <c r="HF246" s="109"/>
      <c r="HG246" s="109"/>
      <c r="HH246" s="111"/>
      <c r="HI246" s="111"/>
      <c r="HJ246" s="165"/>
      <c r="HK246" s="109">
        <f t="shared" si="374"/>
        <v>0</v>
      </c>
      <c r="HL246" s="109">
        <f t="shared" si="382"/>
        <v>0</v>
      </c>
      <c r="HM246" s="109"/>
      <c r="HN246" s="109"/>
      <c r="HO246" s="111"/>
      <c r="HP246" s="111"/>
      <c r="HQ246" s="165"/>
      <c r="HR246" s="109">
        <f t="shared" si="375"/>
        <v>0</v>
      </c>
      <c r="HS246" s="109">
        <f t="shared" si="383"/>
        <v>0</v>
      </c>
      <c r="HT246" s="109"/>
      <c r="HU246" s="109"/>
      <c r="HV246" s="111"/>
      <c r="HW246" s="111"/>
      <c r="HX246" s="105">
        <f t="shared" si="351"/>
        <v>0</v>
      </c>
      <c r="HY246" s="105">
        <f t="shared" si="351"/>
        <v>0</v>
      </c>
      <c r="HZ246" s="105">
        <f t="shared" si="351"/>
        <v>0</v>
      </c>
      <c r="IA246" s="105">
        <f t="shared" si="345"/>
        <v>0</v>
      </c>
      <c r="IB246" s="109">
        <f t="shared" si="346"/>
        <v>0</v>
      </c>
      <c r="IC246" s="109">
        <f t="shared" si="347"/>
        <v>0</v>
      </c>
      <c r="ID246" s="109">
        <f t="shared" si="348"/>
        <v>0</v>
      </c>
      <c r="IE246" s="109">
        <f t="shared" si="349"/>
        <v>0</v>
      </c>
      <c r="IF246" s="197"/>
      <c r="IG246" s="197"/>
      <c r="IH246" s="197"/>
      <c r="II246" s="197"/>
      <c r="IJ246" s="197"/>
      <c r="IK246" s="197"/>
      <c r="IL246" s="197"/>
      <c r="IM246" s="171"/>
      <c r="IN246" s="171"/>
      <c r="IO246" s="171"/>
      <c r="IP246" s="171"/>
    </row>
    <row r="247" spans="1:250" ht="15" customHeight="1" x14ac:dyDescent="0.3">
      <c r="A247" s="110">
        <f t="shared" si="350"/>
        <v>243</v>
      </c>
      <c r="B247" s="111"/>
      <c r="C247" s="111"/>
      <c r="D247" s="111"/>
      <c r="E247" s="111"/>
      <c r="F247" s="111"/>
      <c r="G247" s="111"/>
      <c r="H247" s="111"/>
      <c r="I247" s="194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75"/>
      <c r="AI247" s="111"/>
      <c r="AJ247" s="111"/>
      <c r="AK247" s="111"/>
      <c r="AL247" s="177"/>
      <c r="AM247" s="176"/>
      <c r="AN247" s="177"/>
      <c r="AO247" s="157"/>
      <c r="AP247" s="158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1"/>
      <c r="BC247" s="111"/>
      <c r="BD247" s="111"/>
      <c r="BE247" s="111"/>
      <c r="BF247" s="111"/>
      <c r="BG247" s="111"/>
      <c r="BH247" s="111"/>
      <c r="BI247" s="111"/>
      <c r="BJ247" s="111"/>
      <c r="BK247" s="111"/>
      <c r="BL247" s="175"/>
      <c r="BM247" s="111"/>
      <c r="BN247" s="111"/>
      <c r="BO247" s="111"/>
      <c r="BP247" s="111"/>
      <c r="BQ247" s="111"/>
      <c r="BR247" s="111"/>
      <c r="BS247" s="111"/>
      <c r="BT247" s="111"/>
      <c r="BU247" s="111"/>
      <c r="BV247" s="111"/>
      <c r="BW247" s="111"/>
      <c r="BX247" s="111"/>
      <c r="BY247" s="111"/>
      <c r="BZ247" s="111"/>
      <c r="CA247" s="111"/>
      <c r="CB247" s="111"/>
      <c r="CC247" s="178"/>
      <c r="CD247" s="177">
        <f t="shared" si="334"/>
        <v>0</v>
      </c>
      <c r="CE247" s="148"/>
      <c r="CF247" s="111">
        <f t="shared" si="335"/>
        <v>0</v>
      </c>
      <c r="CG247" s="177"/>
      <c r="CH247" s="204"/>
      <c r="CI247" s="148"/>
      <c r="CJ247" s="165"/>
      <c r="CK247" s="165"/>
      <c r="CL247" s="111"/>
      <c r="CM247" s="111"/>
      <c r="CN247" s="165">
        <f t="shared" si="336"/>
        <v>0</v>
      </c>
      <c r="CO247" s="109">
        <f t="shared" si="337"/>
        <v>0</v>
      </c>
      <c r="CP247" s="109">
        <f t="shared" si="338"/>
        <v>0</v>
      </c>
      <c r="CQ247" s="109"/>
      <c r="CR247" s="109"/>
      <c r="CS247" s="196"/>
      <c r="CT247" s="167"/>
      <c r="CU247" s="165"/>
      <c r="CV247" s="109">
        <f t="shared" si="339"/>
        <v>0</v>
      </c>
      <c r="CW247" s="109">
        <f t="shared" si="340"/>
        <v>0</v>
      </c>
      <c r="CX247" s="109"/>
      <c r="CY247" s="109"/>
      <c r="CZ247" s="111"/>
      <c r="DA247" s="111"/>
      <c r="DB247" s="165"/>
      <c r="DC247" s="109">
        <f t="shared" si="341"/>
        <v>0</v>
      </c>
      <c r="DD247" s="109">
        <f t="shared" si="342"/>
        <v>0</v>
      </c>
      <c r="DE247" s="109"/>
      <c r="DF247" s="109"/>
      <c r="DG247" s="111"/>
      <c r="DH247" s="111"/>
      <c r="DI247" s="165"/>
      <c r="DJ247" s="109">
        <f t="shared" si="343"/>
        <v>0</v>
      </c>
      <c r="DK247" s="109">
        <f t="shared" si="344"/>
        <v>0</v>
      </c>
      <c r="DL247" s="109"/>
      <c r="DM247" s="109"/>
      <c r="DN247" s="111"/>
      <c r="DO247" s="111"/>
      <c r="DP247" s="165"/>
      <c r="DQ247" s="109">
        <f t="shared" si="352"/>
        <v>0</v>
      </c>
      <c r="DR247" s="109">
        <f t="shared" si="353"/>
        <v>0</v>
      </c>
      <c r="DS247" s="109"/>
      <c r="DT247" s="109"/>
      <c r="DU247" s="111"/>
      <c r="DV247" s="111"/>
      <c r="DW247" s="165"/>
      <c r="DX247" s="109">
        <f t="shared" si="354"/>
        <v>0</v>
      </c>
      <c r="DY247" s="109">
        <f t="shared" si="355"/>
        <v>0</v>
      </c>
      <c r="DZ247" s="109"/>
      <c r="EA247" s="109"/>
      <c r="EB247" s="111"/>
      <c r="EC247" s="111"/>
      <c r="ED247" s="165"/>
      <c r="EE247" s="109">
        <f t="shared" si="356"/>
        <v>0</v>
      </c>
      <c r="EF247" s="109">
        <f t="shared" si="357"/>
        <v>0</v>
      </c>
      <c r="EG247" s="109"/>
      <c r="EH247" s="109"/>
      <c r="EI247" s="111"/>
      <c r="EJ247" s="111"/>
      <c r="EK247" s="165"/>
      <c r="EL247" s="109">
        <f t="shared" si="358"/>
        <v>0</v>
      </c>
      <c r="EM247" s="109">
        <f t="shared" si="359"/>
        <v>0</v>
      </c>
      <c r="EN247" s="109"/>
      <c r="EO247" s="109"/>
      <c r="EP247" s="111"/>
      <c r="EQ247" s="111"/>
      <c r="ER247" s="165"/>
      <c r="ES247" s="109">
        <f t="shared" si="360"/>
        <v>0</v>
      </c>
      <c r="ET247" s="109">
        <f t="shared" si="361"/>
        <v>0</v>
      </c>
      <c r="EU247" s="109"/>
      <c r="EV247" s="109"/>
      <c r="EW247" s="111"/>
      <c r="EX247" s="111"/>
      <c r="EY247" s="165"/>
      <c r="EZ247" s="109">
        <f t="shared" si="362"/>
        <v>0</v>
      </c>
      <c r="FA247" s="109">
        <f t="shared" si="363"/>
        <v>0</v>
      </c>
      <c r="FB247" s="109"/>
      <c r="FC247" s="109"/>
      <c r="FD247" s="111"/>
      <c r="FE247" s="111"/>
      <c r="FF247" s="165"/>
      <c r="FG247" s="109">
        <f t="shared" si="364"/>
        <v>0</v>
      </c>
      <c r="FH247" s="109">
        <f t="shared" si="365"/>
        <v>0</v>
      </c>
      <c r="FI247" s="109"/>
      <c r="FJ247" s="109"/>
      <c r="FK247" s="111"/>
      <c r="FL247" s="111"/>
      <c r="FM247" s="165"/>
      <c r="FN247" s="109">
        <f t="shared" si="366"/>
        <v>0</v>
      </c>
      <c r="FO247" s="109">
        <f t="shared" si="367"/>
        <v>0</v>
      </c>
      <c r="FP247" s="109"/>
      <c r="FQ247" s="109"/>
      <c r="FR247" s="111"/>
      <c r="FS247" s="111"/>
      <c r="FT247" s="165"/>
      <c r="FU247" s="109">
        <f t="shared" si="368"/>
        <v>0</v>
      </c>
      <c r="FV247" s="109">
        <f t="shared" si="376"/>
        <v>0</v>
      </c>
      <c r="FW247" s="109"/>
      <c r="FX247" s="109"/>
      <c r="FY247" s="111"/>
      <c r="FZ247" s="111"/>
      <c r="GA247" s="165"/>
      <c r="GB247" s="109">
        <f t="shared" si="369"/>
        <v>0</v>
      </c>
      <c r="GC247" s="109">
        <f t="shared" si="377"/>
        <v>0</v>
      </c>
      <c r="GD247" s="109"/>
      <c r="GE247" s="109"/>
      <c r="GF247" s="111"/>
      <c r="GG247" s="111"/>
      <c r="GH247" s="165"/>
      <c r="GI247" s="109">
        <f t="shared" si="370"/>
        <v>0</v>
      </c>
      <c r="GJ247" s="109">
        <f t="shared" si="378"/>
        <v>0</v>
      </c>
      <c r="GK247" s="109"/>
      <c r="GL247" s="109"/>
      <c r="GM247" s="111"/>
      <c r="GN247" s="111"/>
      <c r="GO247" s="165"/>
      <c r="GP247" s="109">
        <f t="shared" si="371"/>
        <v>0</v>
      </c>
      <c r="GQ247" s="109">
        <f t="shared" si="379"/>
        <v>0</v>
      </c>
      <c r="GR247" s="109"/>
      <c r="GS247" s="109"/>
      <c r="GT247" s="111"/>
      <c r="GU247" s="111"/>
      <c r="GV247" s="165"/>
      <c r="GW247" s="168">
        <f t="shared" si="372"/>
        <v>0</v>
      </c>
      <c r="GX247" s="168">
        <f t="shared" si="380"/>
        <v>0</v>
      </c>
      <c r="GY247" s="168"/>
      <c r="GZ247" s="168"/>
      <c r="HA247" s="111"/>
      <c r="HB247" s="111"/>
      <c r="HC247" s="165"/>
      <c r="HD247" s="109">
        <f t="shared" si="373"/>
        <v>0</v>
      </c>
      <c r="HE247" s="109">
        <f t="shared" si="381"/>
        <v>0</v>
      </c>
      <c r="HF247" s="109"/>
      <c r="HG247" s="109"/>
      <c r="HH247" s="111"/>
      <c r="HI247" s="111"/>
      <c r="HJ247" s="165"/>
      <c r="HK247" s="109">
        <f t="shared" si="374"/>
        <v>0</v>
      </c>
      <c r="HL247" s="109">
        <f t="shared" si="382"/>
        <v>0</v>
      </c>
      <c r="HM247" s="109"/>
      <c r="HN247" s="109"/>
      <c r="HO247" s="111"/>
      <c r="HP247" s="111"/>
      <c r="HQ247" s="165"/>
      <c r="HR247" s="109">
        <f t="shared" si="375"/>
        <v>0</v>
      </c>
      <c r="HS247" s="109">
        <f t="shared" si="383"/>
        <v>0</v>
      </c>
      <c r="HT247" s="109"/>
      <c r="HU247" s="109"/>
      <c r="HV247" s="111"/>
      <c r="HW247" s="111"/>
      <c r="HX247" s="105">
        <f t="shared" si="351"/>
        <v>0</v>
      </c>
      <c r="HY247" s="105">
        <f t="shared" si="351"/>
        <v>0</v>
      </c>
      <c r="HZ247" s="105">
        <f t="shared" si="351"/>
        <v>0</v>
      </c>
      <c r="IA247" s="105">
        <f t="shared" si="345"/>
        <v>0</v>
      </c>
      <c r="IB247" s="109">
        <f t="shared" si="346"/>
        <v>0</v>
      </c>
      <c r="IC247" s="109">
        <f t="shared" si="347"/>
        <v>0</v>
      </c>
      <c r="ID247" s="109">
        <f t="shared" si="348"/>
        <v>0</v>
      </c>
      <c r="IE247" s="109">
        <f t="shared" si="349"/>
        <v>0</v>
      </c>
      <c r="IF247" s="197"/>
      <c r="IG247" s="197"/>
      <c r="IH247" s="197"/>
      <c r="II247" s="197"/>
      <c r="IJ247" s="197"/>
      <c r="IK247" s="197"/>
      <c r="IL247" s="197"/>
      <c r="IM247" s="171"/>
      <c r="IN247" s="171"/>
      <c r="IO247" s="171"/>
      <c r="IP247" s="171"/>
    </row>
    <row r="248" spans="1:250" ht="15" customHeight="1" x14ac:dyDescent="0.3">
      <c r="A248" s="110">
        <f t="shared" si="350"/>
        <v>244</v>
      </c>
      <c r="B248" s="111"/>
      <c r="C248" s="111"/>
      <c r="D248" s="111"/>
      <c r="E248" s="111"/>
      <c r="F248" s="111"/>
      <c r="G248" s="111"/>
      <c r="H248" s="111"/>
      <c r="I248" s="194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75"/>
      <c r="AI248" s="111"/>
      <c r="AJ248" s="111"/>
      <c r="AK248" s="111"/>
      <c r="AL248" s="177"/>
      <c r="AM248" s="176"/>
      <c r="AN248" s="177"/>
      <c r="AO248" s="157"/>
      <c r="AP248" s="158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1"/>
      <c r="BC248" s="111"/>
      <c r="BD248" s="111"/>
      <c r="BE248" s="111"/>
      <c r="BF248" s="111"/>
      <c r="BG248" s="111"/>
      <c r="BH248" s="111"/>
      <c r="BI248" s="111"/>
      <c r="BJ248" s="111"/>
      <c r="BK248" s="111"/>
      <c r="BL248" s="175"/>
      <c r="BM248" s="111"/>
      <c r="BN248" s="111"/>
      <c r="BO248" s="111"/>
      <c r="BP248" s="111"/>
      <c r="BQ248" s="111"/>
      <c r="BR248" s="111"/>
      <c r="BS248" s="111"/>
      <c r="BT248" s="111"/>
      <c r="BU248" s="111"/>
      <c r="BV248" s="111"/>
      <c r="BW248" s="111"/>
      <c r="BX248" s="111"/>
      <c r="BY248" s="111"/>
      <c r="BZ248" s="111"/>
      <c r="CA248" s="111"/>
      <c r="CB248" s="111"/>
      <c r="CC248" s="178"/>
      <c r="CD248" s="177">
        <f t="shared" si="334"/>
        <v>0</v>
      </c>
      <c r="CE248" s="148"/>
      <c r="CF248" s="111">
        <f t="shared" si="335"/>
        <v>0</v>
      </c>
      <c r="CG248" s="177"/>
      <c r="CH248" s="204"/>
      <c r="CI248" s="148"/>
      <c r="CJ248" s="165"/>
      <c r="CK248" s="165"/>
      <c r="CL248" s="111"/>
      <c r="CM248" s="111"/>
      <c r="CN248" s="165">
        <f t="shared" si="336"/>
        <v>0</v>
      </c>
      <c r="CO248" s="109">
        <f t="shared" si="337"/>
        <v>0</v>
      </c>
      <c r="CP248" s="109">
        <f t="shared" si="338"/>
        <v>0</v>
      </c>
      <c r="CQ248" s="109"/>
      <c r="CR248" s="109"/>
      <c r="CS248" s="196"/>
      <c r="CT248" s="167"/>
      <c r="CU248" s="165"/>
      <c r="CV248" s="109">
        <f t="shared" si="339"/>
        <v>0</v>
      </c>
      <c r="CW248" s="109">
        <f t="shared" si="340"/>
        <v>0</v>
      </c>
      <c r="CX248" s="109"/>
      <c r="CY248" s="109"/>
      <c r="CZ248" s="111"/>
      <c r="DA248" s="111"/>
      <c r="DB248" s="165"/>
      <c r="DC248" s="109">
        <f t="shared" si="341"/>
        <v>0</v>
      </c>
      <c r="DD248" s="109">
        <f t="shared" si="342"/>
        <v>0</v>
      </c>
      <c r="DE248" s="109"/>
      <c r="DF248" s="109"/>
      <c r="DG248" s="111"/>
      <c r="DH248" s="111"/>
      <c r="DI248" s="165"/>
      <c r="DJ248" s="109">
        <f t="shared" si="343"/>
        <v>0</v>
      </c>
      <c r="DK248" s="109">
        <f t="shared" si="344"/>
        <v>0</v>
      </c>
      <c r="DL248" s="109"/>
      <c r="DM248" s="109"/>
      <c r="DN248" s="111"/>
      <c r="DO248" s="111"/>
      <c r="DP248" s="165"/>
      <c r="DQ248" s="109">
        <f t="shared" si="352"/>
        <v>0</v>
      </c>
      <c r="DR248" s="109">
        <f t="shared" si="353"/>
        <v>0</v>
      </c>
      <c r="DS248" s="109"/>
      <c r="DT248" s="109"/>
      <c r="DU248" s="111"/>
      <c r="DV248" s="111"/>
      <c r="DW248" s="165"/>
      <c r="DX248" s="109">
        <f t="shared" si="354"/>
        <v>0</v>
      </c>
      <c r="DY248" s="109">
        <f t="shared" si="355"/>
        <v>0</v>
      </c>
      <c r="DZ248" s="109"/>
      <c r="EA248" s="109"/>
      <c r="EB248" s="111"/>
      <c r="EC248" s="111"/>
      <c r="ED248" s="165"/>
      <c r="EE248" s="109">
        <f t="shared" si="356"/>
        <v>0</v>
      </c>
      <c r="EF248" s="109">
        <f t="shared" si="357"/>
        <v>0</v>
      </c>
      <c r="EG248" s="109"/>
      <c r="EH248" s="109"/>
      <c r="EI248" s="111"/>
      <c r="EJ248" s="111"/>
      <c r="EK248" s="165"/>
      <c r="EL248" s="109">
        <f t="shared" si="358"/>
        <v>0</v>
      </c>
      <c r="EM248" s="109">
        <f t="shared" si="359"/>
        <v>0</v>
      </c>
      <c r="EN248" s="109"/>
      <c r="EO248" s="109"/>
      <c r="EP248" s="111"/>
      <c r="EQ248" s="111"/>
      <c r="ER248" s="165"/>
      <c r="ES248" s="109">
        <f t="shared" si="360"/>
        <v>0</v>
      </c>
      <c r="ET248" s="109">
        <f t="shared" si="361"/>
        <v>0</v>
      </c>
      <c r="EU248" s="109"/>
      <c r="EV248" s="109"/>
      <c r="EW248" s="111"/>
      <c r="EX248" s="111"/>
      <c r="EY248" s="165"/>
      <c r="EZ248" s="109">
        <f t="shared" si="362"/>
        <v>0</v>
      </c>
      <c r="FA248" s="109">
        <f t="shared" si="363"/>
        <v>0</v>
      </c>
      <c r="FB248" s="109"/>
      <c r="FC248" s="109"/>
      <c r="FD248" s="111"/>
      <c r="FE248" s="111"/>
      <c r="FF248" s="165"/>
      <c r="FG248" s="109">
        <f t="shared" si="364"/>
        <v>0</v>
      </c>
      <c r="FH248" s="109">
        <f t="shared" si="365"/>
        <v>0</v>
      </c>
      <c r="FI248" s="109"/>
      <c r="FJ248" s="109"/>
      <c r="FK248" s="111"/>
      <c r="FL248" s="111"/>
      <c r="FM248" s="165"/>
      <c r="FN248" s="109">
        <f t="shared" si="366"/>
        <v>0</v>
      </c>
      <c r="FO248" s="109">
        <f t="shared" si="367"/>
        <v>0</v>
      </c>
      <c r="FP248" s="109"/>
      <c r="FQ248" s="109"/>
      <c r="FR248" s="111"/>
      <c r="FS248" s="111"/>
      <c r="FT248" s="165"/>
      <c r="FU248" s="109">
        <f t="shared" si="368"/>
        <v>0</v>
      </c>
      <c r="FV248" s="109">
        <f t="shared" si="376"/>
        <v>0</v>
      </c>
      <c r="FW248" s="109"/>
      <c r="FX248" s="109"/>
      <c r="FY248" s="111"/>
      <c r="FZ248" s="111"/>
      <c r="GA248" s="165"/>
      <c r="GB248" s="109">
        <f t="shared" si="369"/>
        <v>0</v>
      </c>
      <c r="GC248" s="109">
        <f t="shared" si="377"/>
        <v>0</v>
      </c>
      <c r="GD248" s="109"/>
      <c r="GE248" s="109"/>
      <c r="GF248" s="111"/>
      <c r="GG248" s="111"/>
      <c r="GH248" s="165"/>
      <c r="GI248" s="109">
        <f t="shared" si="370"/>
        <v>0</v>
      </c>
      <c r="GJ248" s="109">
        <f t="shared" si="378"/>
        <v>0</v>
      </c>
      <c r="GK248" s="109"/>
      <c r="GL248" s="109"/>
      <c r="GM248" s="111"/>
      <c r="GN248" s="111"/>
      <c r="GO248" s="165"/>
      <c r="GP248" s="109">
        <f t="shared" si="371"/>
        <v>0</v>
      </c>
      <c r="GQ248" s="109">
        <f t="shared" si="379"/>
        <v>0</v>
      </c>
      <c r="GR248" s="109"/>
      <c r="GS248" s="109"/>
      <c r="GT248" s="111"/>
      <c r="GU248" s="111"/>
      <c r="GV248" s="165"/>
      <c r="GW248" s="168">
        <f t="shared" si="372"/>
        <v>0</v>
      </c>
      <c r="GX248" s="168">
        <f t="shared" si="380"/>
        <v>0</v>
      </c>
      <c r="GY248" s="168"/>
      <c r="GZ248" s="168"/>
      <c r="HA248" s="111"/>
      <c r="HB248" s="111"/>
      <c r="HC248" s="165"/>
      <c r="HD248" s="109">
        <f t="shared" si="373"/>
        <v>0</v>
      </c>
      <c r="HE248" s="109">
        <f t="shared" si="381"/>
        <v>0</v>
      </c>
      <c r="HF248" s="109"/>
      <c r="HG248" s="109"/>
      <c r="HH248" s="111"/>
      <c r="HI248" s="111"/>
      <c r="HJ248" s="165"/>
      <c r="HK248" s="109">
        <f t="shared" si="374"/>
        <v>0</v>
      </c>
      <c r="HL248" s="109">
        <f t="shared" si="382"/>
        <v>0</v>
      </c>
      <c r="HM248" s="109"/>
      <c r="HN248" s="109"/>
      <c r="HO248" s="111"/>
      <c r="HP248" s="111"/>
      <c r="HQ248" s="165"/>
      <c r="HR248" s="109">
        <f t="shared" si="375"/>
        <v>0</v>
      </c>
      <c r="HS248" s="109">
        <f t="shared" si="383"/>
        <v>0</v>
      </c>
      <c r="HT248" s="109"/>
      <c r="HU248" s="109"/>
      <c r="HV248" s="111"/>
      <c r="HW248" s="111"/>
      <c r="HX248" s="105">
        <f t="shared" si="351"/>
        <v>0</v>
      </c>
      <c r="HY248" s="105">
        <f t="shared" si="351"/>
        <v>0</v>
      </c>
      <c r="HZ248" s="105">
        <f t="shared" si="351"/>
        <v>0</v>
      </c>
      <c r="IA248" s="105">
        <f t="shared" si="345"/>
        <v>0</v>
      </c>
      <c r="IB248" s="109">
        <f t="shared" si="346"/>
        <v>0</v>
      </c>
      <c r="IC248" s="109">
        <f t="shared" si="347"/>
        <v>0</v>
      </c>
      <c r="ID248" s="109">
        <f t="shared" si="348"/>
        <v>0</v>
      </c>
      <c r="IE248" s="109">
        <f t="shared" si="349"/>
        <v>0</v>
      </c>
      <c r="IF248" s="197"/>
      <c r="IG248" s="197"/>
      <c r="IH248" s="197"/>
      <c r="II248" s="197"/>
      <c r="IJ248" s="197"/>
      <c r="IK248" s="197"/>
      <c r="IL248" s="197"/>
      <c r="IM248" s="171"/>
      <c r="IN248" s="171"/>
      <c r="IO248" s="171"/>
      <c r="IP248" s="171"/>
    </row>
    <row r="249" spans="1:250" ht="15" customHeight="1" x14ac:dyDescent="0.3">
      <c r="A249" s="110">
        <f t="shared" si="350"/>
        <v>245</v>
      </c>
      <c r="B249" s="111"/>
      <c r="C249" s="111"/>
      <c r="D249" s="111"/>
      <c r="E249" s="111"/>
      <c r="F249" s="111"/>
      <c r="G249" s="111"/>
      <c r="H249" s="111"/>
      <c r="I249" s="194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75"/>
      <c r="AI249" s="111"/>
      <c r="AJ249" s="111"/>
      <c r="AK249" s="111"/>
      <c r="AL249" s="177"/>
      <c r="AM249" s="176"/>
      <c r="AN249" s="177"/>
      <c r="AO249" s="157"/>
      <c r="AP249" s="158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  <c r="BK249" s="111"/>
      <c r="BL249" s="175"/>
      <c r="BM249" s="111"/>
      <c r="BN249" s="111"/>
      <c r="BO249" s="111"/>
      <c r="BP249" s="111"/>
      <c r="BQ249" s="111"/>
      <c r="BR249" s="111"/>
      <c r="BS249" s="111"/>
      <c r="BT249" s="111"/>
      <c r="BU249" s="111"/>
      <c r="BV249" s="111"/>
      <c r="BW249" s="111"/>
      <c r="BX249" s="111"/>
      <c r="BY249" s="111"/>
      <c r="BZ249" s="111"/>
      <c r="CA249" s="111"/>
      <c r="CB249" s="111"/>
      <c r="CC249" s="178"/>
      <c r="CD249" s="177">
        <f t="shared" si="334"/>
        <v>0</v>
      </c>
      <c r="CE249" s="148"/>
      <c r="CF249" s="111">
        <f t="shared" si="335"/>
        <v>0</v>
      </c>
      <c r="CG249" s="177"/>
      <c r="CH249" s="204"/>
      <c r="CI249" s="148"/>
      <c r="CJ249" s="165"/>
      <c r="CK249" s="165"/>
      <c r="CL249" s="111"/>
      <c r="CM249" s="111"/>
      <c r="CN249" s="165">
        <f t="shared" si="336"/>
        <v>0</v>
      </c>
      <c r="CO249" s="109">
        <f t="shared" si="337"/>
        <v>0</v>
      </c>
      <c r="CP249" s="109">
        <f t="shared" si="338"/>
        <v>0</v>
      </c>
      <c r="CQ249" s="109"/>
      <c r="CR249" s="109"/>
      <c r="CS249" s="196"/>
      <c r="CT249" s="167"/>
      <c r="CU249" s="165"/>
      <c r="CV249" s="109">
        <f t="shared" si="339"/>
        <v>0</v>
      </c>
      <c r="CW249" s="109">
        <f t="shared" si="340"/>
        <v>0</v>
      </c>
      <c r="CX249" s="109"/>
      <c r="CY249" s="109"/>
      <c r="CZ249" s="111"/>
      <c r="DA249" s="111"/>
      <c r="DB249" s="165"/>
      <c r="DC249" s="109">
        <f t="shared" si="341"/>
        <v>0</v>
      </c>
      <c r="DD249" s="109">
        <f t="shared" si="342"/>
        <v>0</v>
      </c>
      <c r="DE249" s="109"/>
      <c r="DF249" s="109"/>
      <c r="DG249" s="111"/>
      <c r="DH249" s="111"/>
      <c r="DI249" s="165"/>
      <c r="DJ249" s="109">
        <f t="shared" si="343"/>
        <v>0</v>
      </c>
      <c r="DK249" s="109">
        <f t="shared" si="344"/>
        <v>0</v>
      </c>
      <c r="DL249" s="109"/>
      <c r="DM249" s="109"/>
      <c r="DN249" s="111"/>
      <c r="DO249" s="111"/>
      <c r="DP249" s="165"/>
      <c r="DQ249" s="109">
        <f t="shared" si="352"/>
        <v>0</v>
      </c>
      <c r="DR249" s="109">
        <f t="shared" si="353"/>
        <v>0</v>
      </c>
      <c r="DS249" s="109"/>
      <c r="DT249" s="109"/>
      <c r="DU249" s="111"/>
      <c r="DV249" s="111"/>
      <c r="DW249" s="165"/>
      <c r="DX249" s="109">
        <f t="shared" si="354"/>
        <v>0</v>
      </c>
      <c r="DY249" s="109">
        <f t="shared" si="355"/>
        <v>0</v>
      </c>
      <c r="DZ249" s="109"/>
      <c r="EA249" s="109"/>
      <c r="EB249" s="111"/>
      <c r="EC249" s="111"/>
      <c r="ED249" s="165"/>
      <c r="EE249" s="109">
        <f t="shared" si="356"/>
        <v>0</v>
      </c>
      <c r="EF249" s="109">
        <f t="shared" si="357"/>
        <v>0</v>
      </c>
      <c r="EG249" s="109"/>
      <c r="EH249" s="109"/>
      <c r="EI249" s="111"/>
      <c r="EJ249" s="111"/>
      <c r="EK249" s="165"/>
      <c r="EL249" s="109">
        <f t="shared" si="358"/>
        <v>0</v>
      </c>
      <c r="EM249" s="109">
        <f t="shared" si="359"/>
        <v>0</v>
      </c>
      <c r="EN249" s="109"/>
      <c r="EO249" s="109"/>
      <c r="EP249" s="111"/>
      <c r="EQ249" s="111"/>
      <c r="ER249" s="165"/>
      <c r="ES249" s="109">
        <f t="shared" si="360"/>
        <v>0</v>
      </c>
      <c r="ET249" s="109">
        <f t="shared" si="361"/>
        <v>0</v>
      </c>
      <c r="EU249" s="109"/>
      <c r="EV249" s="109"/>
      <c r="EW249" s="111"/>
      <c r="EX249" s="111"/>
      <c r="EY249" s="165"/>
      <c r="EZ249" s="109">
        <f t="shared" si="362"/>
        <v>0</v>
      </c>
      <c r="FA249" s="109">
        <f t="shared" si="363"/>
        <v>0</v>
      </c>
      <c r="FB249" s="109"/>
      <c r="FC249" s="109"/>
      <c r="FD249" s="111"/>
      <c r="FE249" s="111"/>
      <c r="FF249" s="165"/>
      <c r="FG249" s="109">
        <f t="shared" si="364"/>
        <v>0</v>
      </c>
      <c r="FH249" s="109">
        <f t="shared" si="365"/>
        <v>0</v>
      </c>
      <c r="FI249" s="109"/>
      <c r="FJ249" s="109"/>
      <c r="FK249" s="111"/>
      <c r="FL249" s="111"/>
      <c r="FM249" s="165"/>
      <c r="FN249" s="109">
        <f t="shared" si="366"/>
        <v>0</v>
      </c>
      <c r="FO249" s="109">
        <f t="shared" si="367"/>
        <v>0</v>
      </c>
      <c r="FP249" s="109"/>
      <c r="FQ249" s="109"/>
      <c r="FR249" s="111"/>
      <c r="FS249" s="111"/>
      <c r="FT249" s="165"/>
      <c r="FU249" s="109">
        <f t="shared" si="368"/>
        <v>0</v>
      </c>
      <c r="FV249" s="109">
        <f t="shared" si="376"/>
        <v>0</v>
      </c>
      <c r="FW249" s="109"/>
      <c r="FX249" s="109"/>
      <c r="FY249" s="111"/>
      <c r="FZ249" s="111"/>
      <c r="GA249" s="165"/>
      <c r="GB249" s="109">
        <f t="shared" si="369"/>
        <v>0</v>
      </c>
      <c r="GC249" s="109">
        <f t="shared" si="377"/>
        <v>0</v>
      </c>
      <c r="GD249" s="109"/>
      <c r="GE249" s="109"/>
      <c r="GF249" s="111"/>
      <c r="GG249" s="111"/>
      <c r="GH249" s="165"/>
      <c r="GI249" s="109">
        <f t="shared" si="370"/>
        <v>0</v>
      </c>
      <c r="GJ249" s="109">
        <f t="shared" si="378"/>
        <v>0</v>
      </c>
      <c r="GK249" s="109"/>
      <c r="GL249" s="109"/>
      <c r="GM249" s="111"/>
      <c r="GN249" s="111"/>
      <c r="GO249" s="165"/>
      <c r="GP249" s="109">
        <f t="shared" si="371"/>
        <v>0</v>
      </c>
      <c r="GQ249" s="109">
        <f t="shared" si="379"/>
        <v>0</v>
      </c>
      <c r="GR249" s="109"/>
      <c r="GS249" s="109"/>
      <c r="GT249" s="111"/>
      <c r="GU249" s="111"/>
      <c r="GV249" s="165"/>
      <c r="GW249" s="168">
        <f t="shared" si="372"/>
        <v>0</v>
      </c>
      <c r="GX249" s="168">
        <f t="shared" si="380"/>
        <v>0</v>
      </c>
      <c r="GY249" s="168"/>
      <c r="GZ249" s="168"/>
      <c r="HA249" s="111"/>
      <c r="HB249" s="111"/>
      <c r="HC249" s="165"/>
      <c r="HD249" s="109">
        <f t="shared" si="373"/>
        <v>0</v>
      </c>
      <c r="HE249" s="109">
        <f t="shared" si="381"/>
        <v>0</v>
      </c>
      <c r="HF249" s="109"/>
      <c r="HG249" s="109"/>
      <c r="HH249" s="111"/>
      <c r="HI249" s="111"/>
      <c r="HJ249" s="165"/>
      <c r="HK249" s="109">
        <f t="shared" si="374"/>
        <v>0</v>
      </c>
      <c r="HL249" s="109">
        <f t="shared" si="382"/>
        <v>0</v>
      </c>
      <c r="HM249" s="109"/>
      <c r="HN249" s="109"/>
      <c r="HO249" s="111"/>
      <c r="HP249" s="111"/>
      <c r="HQ249" s="165"/>
      <c r="HR249" s="109">
        <f t="shared" si="375"/>
        <v>0</v>
      </c>
      <c r="HS249" s="109">
        <f t="shared" si="383"/>
        <v>0</v>
      </c>
      <c r="HT249" s="109"/>
      <c r="HU249" s="109"/>
      <c r="HV249" s="111"/>
      <c r="HW249" s="111"/>
      <c r="HX249" s="105">
        <f t="shared" si="351"/>
        <v>0</v>
      </c>
      <c r="HY249" s="105">
        <f t="shared" si="351"/>
        <v>0</v>
      </c>
      <c r="HZ249" s="105">
        <f t="shared" si="351"/>
        <v>0</v>
      </c>
      <c r="IA249" s="105">
        <f t="shared" si="345"/>
        <v>0</v>
      </c>
      <c r="IB249" s="109">
        <f t="shared" si="346"/>
        <v>0</v>
      </c>
      <c r="IC249" s="109">
        <f t="shared" si="347"/>
        <v>0</v>
      </c>
      <c r="ID249" s="109">
        <f t="shared" si="348"/>
        <v>0</v>
      </c>
      <c r="IE249" s="109">
        <f t="shared" si="349"/>
        <v>0</v>
      </c>
      <c r="IF249" s="197"/>
      <c r="IG249" s="197"/>
      <c r="IH249" s="197"/>
      <c r="II249" s="197"/>
      <c r="IJ249" s="197"/>
      <c r="IK249" s="197"/>
      <c r="IL249" s="197"/>
      <c r="IM249" s="171"/>
      <c r="IN249" s="171"/>
      <c r="IO249" s="171"/>
      <c r="IP249" s="171"/>
    </row>
    <row r="250" spans="1:250" ht="15" customHeight="1" x14ac:dyDescent="0.3">
      <c r="A250" s="110">
        <f t="shared" si="350"/>
        <v>246</v>
      </c>
      <c r="B250" s="111"/>
      <c r="C250" s="111"/>
      <c r="D250" s="111"/>
      <c r="E250" s="111"/>
      <c r="F250" s="111"/>
      <c r="G250" s="111"/>
      <c r="H250" s="111"/>
      <c r="I250" s="194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75"/>
      <c r="AI250" s="111"/>
      <c r="AJ250" s="111"/>
      <c r="AK250" s="111"/>
      <c r="AL250" s="177"/>
      <c r="AM250" s="176"/>
      <c r="AN250" s="177"/>
      <c r="AO250" s="157"/>
      <c r="AP250" s="158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1"/>
      <c r="BC250" s="111"/>
      <c r="BD250" s="111"/>
      <c r="BE250" s="111"/>
      <c r="BF250" s="111"/>
      <c r="BG250" s="111"/>
      <c r="BH250" s="111"/>
      <c r="BI250" s="111"/>
      <c r="BJ250" s="111"/>
      <c r="BK250" s="111"/>
      <c r="BL250" s="175"/>
      <c r="BM250" s="111"/>
      <c r="BN250" s="111"/>
      <c r="BO250" s="111"/>
      <c r="BP250" s="111"/>
      <c r="BQ250" s="111"/>
      <c r="BR250" s="111"/>
      <c r="BS250" s="111"/>
      <c r="BT250" s="111"/>
      <c r="BU250" s="111"/>
      <c r="BV250" s="111"/>
      <c r="BW250" s="111"/>
      <c r="BX250" s="111"/>
      <c r="BY250" s="111"/>
      <c r="BZ250" s="111"/>
      <c r="CA250" s="111"/>
      <c r="CB250" s="111"/>
      <c r="CC250" s="178"/>
      <c r="CD250" s="177">
        <f t="shared" si="334"/>
        <v>0</v>
      </c>
      <c r="CE250" s="148"/>
      <c r="CF250" s="111">
        <f t="shared" si="335"/>
        <v>0</v>
      </c>
      <c r="CG250" s="177"/>
      <c r="CH250" s="204"/>
      <c r="CI250" s="148"/>
      <c r="CJ250" s="165"/>
      <c r="CK250" s="165"/>
      <c r="CL250" s="111"/>
      <c r="CM250" s="111"/>
      <c r="CN250" s="165">
        <f t="shared" si="336"/>
        <v>0</v>
      </c>
      <c r="CO250" s="109">
        <f t="shared" si="337"/>
        <v>0</v>
      </c>
      <c r="CP250" s="109">
        <f t="shared" si="338"/>
        <v>0</v>
      </c>
      <c r="CQ250" s="109"/>
      <c r="CR250" s="109"/>
      <c r="CS250" s="196"/>
      <c r="CT250" s="167"/>
      <c r="CU250" s="165"/>
      <c r="CV250" s="109">
        <f t="shared" si="339"/>
        <v>0</v>
      </c>
      <c r="CW250" s="109">
        <f t="shared" si="340"/>
        <v>0</v>
      </c>
      <c r="CX250" s="109"/>
      <c r="CY250" s="109"/>
      <c r="CZ250" s="111"/>
      <c r="DA250" s="111"/>
      <c r="DB250" s="165"/>
      <c r="DC250" s="109">
        <f t="shared" si="341"/>
        <v>0</v>
      </c>
      <c r="DD250" s="109">
        <f t="shared" si="342"/>
        <v>0</v>
      </c>
      <c r="DE250" s="109"/>
      <c r="DF250" s="109"/>
      <c r="DG250" s="111"/>
      <c r="DH250" s="111"/>
      <c r="DI250" s="165"/>
      <c r="DJ250" s="109">
        <f t="shared" si="343"/>
        <v>0</v>
      </c>
      <c r="DK250" s="109">
        <f t="shared" si="344"/>
        <v>0</v>
      </c>
      <c r="DL250" s="109"/>
      <c r="DM250" s="109"/>
      <c r="DN250" s="111"/>
      <c r="DO250" s="111"/>
      <c r="DP250" s="165"/>
      <c r="DQ250" s="109">
        <f t="shared" si="352"/>
        <v>0</v>
      </c>
      <c r="DR250" s="109">
        <f t="shared" si="353"/>
        <v>0</v>
      </c>
      <c r="DS250" s="109"/>
      <c r="DT250" s="109"/>
      <c r="DU250" s="111"/>
      <c r="DV250" s="111"/>
      <c r="DW250" s="165"/>
      <c r="DX250" s="109">
        <f t="shared" si="354"/>
        <v>0</v>
      </c>
      <c r="DY250" s="109">
        <f t="shared" si="355"/>
        <v>0</v>
      </c>
      <c r="DZ250" s="109"/>
      <c r="EA250" s="109"/>
      <c r="EB250" s="111"/>
      <c r="EC250" s="111"/>
      <c r="ED250" s="165"/>
      <c r="EE250" s="109">
        <f t="shared" si="356"/>
        <v>0</v>
      </c>
      <c r="EF250" s="109">
        <f t="shared" si="357"/>
        <v>0</v>
      </c>
      <c r="EG250" s="109"/>
      <c r="EH250" s="109"/>
      <c r="EI250" s="111"/>
      <c r="EJ250" s="111"/>
      <c r="EK250" s="165"/>
      <c r="EL250" s="109">
        <f t="shared" si="358"/>
        <v>0</v>
      </c>
      <c r="EM250" s="109">
        <f t="shared" si="359"/>
        <v>0</v>
      </c>
      <c r="EN250" s="109"/>
      <c r="EO250" s="109"/>
      <c r="EP250" s="111"/>
      <c r="EQ250" s="111"/>
      <c r="ER250" s="165"/>
      <c r="ES250" s="109">
        <f t="shared" si="360"/>
        <v>0</v>
      </c>
      <c r="ET250" s="109">
        <f t="shared" si="361"/>
        <v>0</v>
      </c>
      <c r="EU250" s="109"/>
      <c r="EV250" s="109"/>
      <c r="EW250" s="111"/>
      <c r="EX250" s="111"/>
      <c r="EY250" s="165"/>
      <c r="EZ250" s="109">
        <f t="shared" si="362"/>
        <v>0</v>
      </c>
      <c r="FA250" s="109">
        <f t="shared" si="363"/>
        <v>0</v>
      </c>
      <c r="FB250" s="109"/>
      <c r="FC250" s="109"/>
      <c r="FD250" s="111"/>
      <c r="FE250" s="111"/>
      <c r="FF250" s="165"/>
      <c r="FG250" s="109">
        <f t="shared" si="364"/>
        <v>0</v>
      </c>
      <c r="FH250" s="109">
        <f t="shared" si="365"/>
        <v>0</v>
      </c>
      <c r="FI250" s="109"/>
      <c r="FJ250" s="109"/>
      <c r="FK250" s="111"/>
      <c r="FL250" s="111"/>
      <c r="FM250" s="165"/>
      <c r="FN250" s="109">
        <f t="shared" si="366"/>
        <v>0</v>
      </c>
      <c r="FO250" s="109">
        <f t="shared" si="367"/>
        <v>0</v>
      </c>
      <c r="FP250" s="109"/>
      <c r="FQ250" s="109"/>
      <c r="FR250" s="111"/>
      <c r="FS250" s="111"/>
      <c r="FT250" s="165"/>
      <c r="FU250" s="109">
        <f t="shared" si="368"/>
        <v>0</v>
      </c>
      <c r="FV250" s="109">
        <f t="shared" si="376"/>
        <v>0</v>
      </c>
      <c r="FW250" s="109"/>
      <c r="FX250" s="109"/>
      <c r="FY250" s="111"/>
      <c r="FZ250" s="111"/>
      <c r="GA250" s="165"/>
      <c r="GB250" s="109">
        <f t="shared" si="369"/>
        <v>0</v>
      </c>
      <c r="GC250" s="109">
        <f t="shared" si="377"/>
        <v>0</v>
      </c>
      <c r="GD250" s="109"/>
      <c r="GE250" s="109"/>
      <c r="GF250" s="111"/>
      <c r="GG250" s="111"/>
      <c r="GH250" s="165"/>
      <c r="GI250" s="109">
        <f t="shared" si="370"/>
        <v>0</v>
      </c>
      <c r="GJ250" s="109">
        <f t="shared" si="378"/>
        <v>0</v>
      </c>
      <c r="GK250" s="109"/>
      <c r="GL250" s="109"/>
      <c r="GM250" s="111"/>
      <c r="GN250" s="111"/>
      <c r="GO250" s="165"/>
      <c r="GP250" s="109">
        <f t="shared" si="371"/>
        <v>0</v>
      </c>
      <c r="GQ250" s="109">
        <f t="shared" si="379"/>
        <v>0</v>
      </c>
      <c r="GR250" s="109"/>
      <c r="GS250" s="109"/>
      <c r="GT250" s="111"/>
      <c r="GU250" s="111"/>
      <c r="GV250" s="165"/>
      <c r="GW250" s="168">
        <f t="shared" si="372"/>
        <v>0</v>
      </c>
      <c r="GX250" s="168">
        <f t="shared" si="380"/>
        <v>0</v>
      </c>
      <c r="GY250" s="168"/>
      <c r="GZ250" s="168"/>
      <c r="HA250" s="111"/>
      <c r="HB250" s="111"/>
      <c r="HC250" s="165"/>
      <c r="HD250" s="109">
        <f t="shared" si="373"/>
        <v>0</v>
      </c>
      <c r="HE250" s="109">
        <f t="shared" si="381"/>
        <v>0</v>
      </c>
      <c r="HF250" s="109"/>
      <c r="HG250" s="109"/>
      <c r="HH250" s="111"/>
      <c r="HI250" s="111"/>
      <c r="HJ250" s="165"/>
      <c r="HK250" s="109">
        <f t="shared" si="374"/>
        <v>0</v>
      </c>
      <c r="HL250" s="109">
        <f t="shared" si="382"/>
        <v>0</v>
      </c>
      <c r="HM250" s="109"/>
      <c r="HN250" s="109"/>
      <c r="HO250" s="111"/>
      <c r="HP250" s="111"/>
      <c r="HQ250" s="165"/>
      <c r="HR250" s="109">
        <f t="shared" si="375"/>
        <v>0</v>
      </c>
      <c r="HS250" s="109">
        <f t="shared" si="383"/>
        <v>0</v>
      </c>
      <c r="HT250" s="109"/>
      <c r="HU250" s="109"/>
      <c r="HV250" s="111"/>
      <c r="HW250" s="111"/>
      <c r="HX250" s="105">
        <f t="shared" si="351"/>
        <v>0</v>
      </c>
      <c r="HY250" s="105">
        <f t="shared" si="351"/>
        <v>0</v>
      </c>
      <c r="HZ250" s="105">
        <f t="shared" si="351"/>
        <v>0</v>
      </c>
      <c r="IA250" s="105">
        <f t="shared" si="345"/>
        <v>0</v>
      </c>
      <c r="IB250" s="109">
        <f t="shared" si="346"/>
        <v>0</v>
      </c>
      <c r="IC250" s="109">
        <f t="shared" si="347"/>
        <v>0</v>
      </c>
      <c r="ID250" s="109">
        <f t="shared" si="348"/>
        <v>0</v>
      </c>
      <c r="IE250" s="109">
        <f t="shared" si="349"/>
        <v>0</v>
      </c>
      <c r="IF250" s="197"/>
      <c r="IG250" s="197"/>
      <c r="IH250" s="197"/>
      <c r="II250" s="197"/>
      <c r="IJ250" s="197"/>
      <c r="IK250" s="197"/>
      <c r="IL250" s="197"/>
      <c r="IM250" s="171"/>
      <c r="IN250" s="171"/>
      <c r="IO250" s="171"/>
      <c r="IP250" s="171"/>
    </row>
    <row r="251" spans="1:250" ht="15" customHeight="1" x14ac:dyDescent="0.3">
      <c r="A251" s="110">
        <f t="shared" si="350"/>
        <v>247</v>
      </c>
      <c r="B251" s="111"/>
      <c r="C251" s="111"/>
      <c r="D251" s="111"/>
      <c r="E251" s="111"/>
      <c r="F251" s="111"/>
      <c r="G251" s="111"/>
      <c r="H251" s="111"/>
      <c r="I251" s="194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75"/>
      <c r="AI251" s="111"/>
      <c r="AJ251" s="111"/>
      <c r="AK251" s="111"/>
      <c r="AL251" s="177"/>
      <c r="AM251" s="176"/>
      <c r="AN251" s="177"/>
      <c r="AO251" s="157"/>
      <c r="AP251" s="158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B251" s="111"/>
      <c r="BC251" s="111"/>
      <c r="BD251" s="111"/>
      <c r="BE251" s="111"/>
      <c r="BF251" s="111"/>
      <c r="BG251" s="111"/>
      <c r="BH251" s="111"/>
      <c r="BI251" s="111"/>
      <c r="BJ251" s="111"/>
      <c r="BK251" s="111"/>
      <c r="BL251" s="175"/>
      <c r="BM251" s="111"/>
      <c r="BN251" s="111"/>
      <c r="BO251" s="111"/>
      <c r="BP251" s="111"/>
      <c r="BQ251" s="111"/>
      <c r="BR251" s="111"/>
      <c r="BS251" s="111"/>
      <c r="BT251" s="111"/>
      <c r="BU251" s="111"/>
      <c r="BV251" s="111"/>
      <c r="BW251" s="111"/>
      <c r="BX251" s="111"/>
      <c r="BY251" s="111"/>
      <c r="BZ251" s="111"/>
      <c r="CA251" s="111"/>
      <c r="CB251" s="111"/>
      <c r="CC251" s="178"/>
      <c r="CD251" s="177">
        <f t="shared" si="334"/>
        <v>0</v>
      </c>
      <c r="CE251" s="148"/>
      <c r="CF251" s="111">
        <f t="shared" si="335"/>
        <v>0</v>
      </c>
      <c r="CG251" s="177"/>
      <c r="CH251" s="204"/>
      <c r="CI251" s="148"/>
      <c r="CJ251" s="165"/>
      <c r="CK251" s="165"/>
      <c r="CL251" s="111"/>
      <c r="CM251" s="111"/>
      <c r="CN251" s="165">
        <f t="shared" si="336"/>
        <v>0</v>
      </c>
      <c r="CO251" s="109">
        <f t="shared" si="337"/>
        <v>0</v>
      </c>
      <c r="CP251" s="109">
        <f t="shared" si="338"/>
        <v>0</v>
      </c>
      <c r="CQ251" s="109"/>
      <c r="CR251" s="109"/>
      <c r="CS251" s="196"/>
      <c r="CT251" s="167"/>
      <c r="CU251" s="165"/>
      <c r="CV251" s="109">
        <f t="shared" si="339"/>
        <v>0</v>
      </c>
      <c r="CW251" s="109">
        <f t="shared" si="340"/>
        <v>0</v>
      </c>
      <c r="CX251" s="109"/>
      <c r="CY251" s="109"/>
      <c r="CZ251" s="111"/>
      <c r="DA251" s="111"/>
      <c r="DB251" s="165"/>
      <c r="DC251" s="109">
        <f t="shared" si="341"/>
        <v>0</v>
      </c>
      <c r="DD251" s="109">
        <f t="shared" si="342"/>
        <v>0</v>
      </c>
      <c r="DE251" s="109"/>
      <c r="DF251" s="109"/>
      <c r="DG251" s="111"/>
      <c r="DH251" s="111"/>
      <c r="DI251" s="165"/>
      <c r="DJ251" s="109">
        <f t="shared" si="343"/>
        <v>0</v>
      </c>
      <c r="DK251" s="109">
        <f t="shared" si="344"/>
        <v>0</v>
      </c>
      <c r="DL251" s="109"/>
      <c r="DM251" s="109"/>
      <c r="DN251" s="111"/>
      <c r="DO251" s="111"/>
      <c r="DP251" s="165"/>
      <c r="DQ251" s="109">
        <f t="shared" si="352"/>
        <v>0</v>
      </c>
      <c r="DR251" s="109">
        <f t="shared" si="353"/>
        <v>0</v>
      </c>
      <c r="DS251" s="109"/>
      <c r="DT251" s="109"/>
      <c r="DU251" s="111"/>
      <c r="DV251" s="111"/>
      <c r="DW251" s="165"/>
      <c r="DX251" s="109">
        <f t="shared" si="354"/>
        <v>0</v>
      </c>
      <c r="DY251" s="109">
        <f t="shared" si="355"/>
        <v>0</v>
      </c>
      <c r="DZ251" s="109"/>
      <c r="EA251" s="109"/>
      <c r="EB251" s="111"/>
      <c r="EC251" s="111"/>
      <c r="ED251" s="165"/>
      <c r="EE251" s="109">
        <f t="shared" si="356"/>
        <v>0</v>
      </c>
      <c r="EF251" s="109">
        <f t="shared" si="357"/>
        <v>0</v>
      </c>
      <c r="EG251" s="109"/>
      <c r="EH251" s="109"/>
      <c r="EI251" s="111"/>
      <c r="EJ251" s="111"/>
      <c r="EK251" s="165"/>
      <c r="EL251" s="109">
        <f t="shared" si="358"/>
        <v>0</v>
      </c>
      <c r="EM251" s="109">
        <f t="shared" si="359"/>
        <v>0</v>
      </c>
      <c r="EN251" s="109"/>
      <c r="EO251" s="109"/>
      <c r="EP251" s="111"/>
      <c r="EQ251" s="111"/>
      <c r="ER251" s="165"/>
      <c r="ES251" s="109">
        <f t="shared" si="360"/>
        <v>0</v>
      </c>
      <c r="ET251" s="109">
        <f t="shared" si="361"/>
        <v>0</v>
      </c>
      <c r="EU251" s="109"/>
      <c r="EV251" s="109"/>
      <c r="EW251" s="111"/>
      <c r="EX251" s="111"/>
      <c r="EY251" s="165"/>
      <c r="EZ251" s="109">
        <f t="shared" si="362"/>
        <v>0</v>
      </c>
      <c r="FA251" s="109">
        <f t="shared" si="363"/>
        <v>0</v>
      </c>
      <c r="FB251" s="109"/>
      <c r="FC251" s="109"/>
      <c r="FD251" s="111"/>
      <c r="FE251" s="111"/>
      <c r="FF251" s="165"/>
      <c r="FG251" s="109">
        <f t="shared" si="364"/>
        <v>0</v>
      </c>
      <c r="FH251" s="109">
        <f t="shared" si="365"/>
        <v>0</v>
      </c>
      <c r="FI251" s="109"/>
      <c r="FJ251" s="109"/>
      <c r="FK251" s="111"/>
      <c r="FL251" s="111"/>
      <c r="FM251" s="165"/>
      <c r="FN251" s="109">
        <f t="shared" si="366"/>
        <v>0</v>
      </c>
      <c r="FO251" s="109">
        <f t="shared" si="367"/>
        <v>0</v>
      </c>
      <c r="FP251" s="109"/>
      <c r="FQ251" s="109"/>
      <c r="FR251" s="111"/>
      <c r="FS251" s="111"/>
      <c r="FT251" s="165"/>
      <c r="FU251" s="109">
        <f t="shared" si="368"/>
        <v>0</v>
      </c>
      <c r="FV251" s="109">
        <f t="shared" si="376"/>
        <v>0</v>
      </c>
      <c r="FW251" s="109"/>
      <c r="FX251" s="109"/>
      <c r="FY251" s="111"/>
      <c r="FZ251" s="111"/>
      <c r="GA251" s="165"/>
      <c r="GB251" s="109">
        <f t="shared" si="369"/>
        <v>0</v>
      </c>
      <c r="GC251" s="109">
        <f t="shared" si="377"/>
        <v>0</v>
      </c>
      <c r="GD251" s="109"/>
      <c r="GE251" s="109"/>
      <c r="GF251" s="111"/>
      <c r="GG251" s="111"/>
      <c r="GH251" s="165"/>
      <c r="GI251" s="109">
        <f t="shared" si="370"/>
        <v>0</v>
      </c>
      <c r="GJ251" s="109">
        <f t="shared" si="378"/>
        <v>0</v>
      </c>
      <c r="GK251" s="109"/>
      <c r="GL251" s="109"/>
      <c r="GM251" s="111"/>
      <c r="GN251" s="111"/>
      <c r="GO251" s="165"/>
      <c r="GP251" s="109">
        <f t="shared" si="371"/>
        <v>0</v>
      </c>
      <c r="GQ251" s="109">
        <f t="shared" si="379"/>
        <v>0</v>
      </c>
      <c r="GR251" s="109"/>
      <c r="GS251" s="109"/>
      <c r="GT251" s="111"/>
      <c r="GU251" s="111"/>
      <c r="GV251" s="165"/>
      <c r="GW251" s="168">
        <f t="shared" si="372"/>
        <v>0</v>
      </c>
      <c r="GX251" s="168">
        <f t="shared" si="380"/>
        <v>0</v>
      </c>
      <c r="GY251" s="168"/>
      <c r="GZ251" s="168"/>
      <c r="HA251" s="111"/>
      <c r="HB251" s="111"/>
      <c r="HC251" s="165"/>
      <c r="HD251" s="109">
        <f t="shared" si="373"/>
        <v>0</v>
      </c>
      <c r="HE251" s="109">
        <f t="shared" si="381"/>
        <v>0</v>
      </c>
      <c r="HF251" s="109"/>
      <c r="HG251" s="109"/>
      <c r="HH251" s="111"/>
      <c r="HI251" s="111"/>
      <c r="HJ251" s="165"/>
      <c r="HK251" s="109">
        <f t="shared" si="374"/>
        <v>0</v>
      </c>
      <c r="HL251" s="109">
        <f t="shared" si="382"/>
        <v>0</v>
      </c>
      <c r="HM251" s="109"/>
      <c r="HN251" s="109"/>
      <c r="HO251" s="111"/>
      <c r="HP251" s="111"/>
      <c r="HQ251" s="165"/>
      <c r="HR251" s="109">
        <f t="shared" si="375"/>
        <v>0</v>
      </c>
      <c r="HS251" s="109">
        <f t="shared" si="383"/>
        <v>0</v>
      </c>
      <c r="HT251" s="109"/>
      <c r="HU251" s="109"/>
      <c r="HV251" s="111"/>
      <c r="HW251" s="111"/>
      <c r="HX251" s="105">
        <f t="shared" si="351"/>
        <v>0</v>
      </c>
      <c r="HY251" s="105">
        <f t="shared" si="351"/>
        <v>0</v>
      </c>
      <c r="HZ251" s="105">
        <f t="shared" si="351"/>
        <v>0</v>
      </c>
      <c r="IA251" s="105">
        <f t="shared" si="345"/>
        <v>0</v>
      </c>
      <c r="IB251" s="109">
        <f t="shared" si="346"/>
        <v>0</v>
      </c>
      <c r="IC251" s="109">
        <f t="shared" si="347"/>
        <v>0</v>
      </c>
      <c r="ID251" s="109">
        <f t="shared" si="348"/>
        <v>0</v>
      </c>
      <c r="IE251" s="109">
        <f t="shared" si="349"/>
        <v>0</v>
      </c>
      <c r="IF251" s="197"/>
      <c r="IG251" s="197"/>
      <c r="IH251" s="197"/>
      <c r="II251" s="197"/>
      <c r="IJ251" s="197"/>
      <c r="IK251" s="197"/>
      <c r="IL251" s="197"/>
      <c r="IM251" s="171"/>
      <c r="IN251" s="171"/>
      <c r="IO251" s="171"/>
      <c r="IP251" s="171"/>
    </row>
    <row r="252" spans="1:250" ht="15" customHeight="1" x14ac:dyDescent="0.3">
      <c r="A252" s="110">
        <f t="shared" si="350"/>
        <v>248</v>
      </c>
      <c r="B252" s="111"/>
      <c r="C252" s="111"/>
      <c r="D252" s="111"/>
      <c r="E252" s="111"/>
      <c r="F252" s="111"/>
      <c r="G252" s="111"/>
      <c r="H252" s="111"/>
      <c r="I252" s="194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75"/>
      <c r="AI252" s="111"/>
      <c r="AJ252" s="111"/>
      <c r="AK252" s="111"/>
      <c r="AL252" s="177"/>
      <c r="AM252" s="176"/>
      <c r="AN252" s="177"/>
      <c r="AO252" s="157"/>
      <c r="AP252" s="158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75"/>
      <c r="BM252" s="111"/>
      <c r="BN252" s="111"/>
      <c r="BO252" s="111"/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1"/>
      <c r="CA252" s="111"/>
      <c r="CB252" s="111"/>
      <c r="CC252" s="178"/>
      <c r="CD252" s="177">
        <f t="shared" si="334"/>
        <v>0</v>
      </c>
      <c r="CE252" s="148"/>
      <c r="CF252" s="111">
        <f t="shared" si="335"/>
        <v>0</v>
      </c>
      <c r="CG252" s="177"/>
      <c r="CH252" s="204"/>
      <c r="CI252" s="148"/>
      <c r="CJ252" s="165"/>
      <c r="CK252" s="165"/>
      <c r="CL252" s="111"/>
      <c r="CM252" s="111"/>
      <c r="CN252" s="165">
        <f t="shared" si="336"/>
        <v>0</v>
      </c>
      <c r="CO252" s="109">
        <f t="shared" si="337"/>
        <v>0</v>
      </c>
      <c r="CP252" s="109">
        <f t="shared" si="338"/>
        <v>0</v>
      </c>
      <c r="CQ252" s="109"/>
      <c r="CR252" s="109"/>
      <c r="CS252" s="196"/>
      <c r="CT252" s="167"/>
      <c r="CU252" s="165"/>
      <c r="CV252" s="109">
        <f t="shared" si="339"/>
        <v>0</v>
      </c>
      <c r="CW252" s="109">
        <f t="shared" si="340"/>
        <v>0</v>
      </c>
      <c r="CX252" s="109"/>
      <c r="CY252" s="109"/>
      <c r="CZ252" s="111"/>
      <c r="DA252" s="111"/>
      <c r="DB252" s="165"/>
      <c r="DC252" s="109">
        <f t="shared" si="341"/>
        <v>0</v>
      </c>
      <c r="DD252" s="109">
        <f t="shared" si="342"/>
        <v>0</v>
      </c>
      <c r="DE252" s="109"/>
      <c r="DF252" s="109"/>
      <c r="DG252" s="111"/>
      <c r="DH252" s="111"/>
      <c r="DI252" s="165"/>
      <c r="DJ252" s="109">
        <f t="shared" si="343"/>
        <v>0</v>
      </c>
      <c r="DK252" s="109">
        <f t="shared" si="344"/>
        <v>0</v>
      </c>
      <c r="DL252" s="109"/>
      <c r="DM252" s="109"/>
      <c r="DN252" s="111"/>
      <c r="DO252" s="111"/>
      <c r="DP252" s="165"/>
      <c r="DQ252" s="109">
        <f t="shared" si="352"/>
        <v>0</v>
      </c>
      <c r="DR252" s="109">
        <f t="shared" si="353"/>
        <v>0</v>
      </c>
      <c r="DS252" s="109"/>
      <c r="DT252" s="109"/>
      <c r="DU252" s="111"/>
      <c r="DV252" s="111"/>
      <c r="DW252" s="165"/>
      <c r="DX252" s="109">
        <f t="shared" si="354"/>
        <v>0</v>
      </c>
      <c r="DY252" s="109">
        <f t="shared" si="355"/>
        <v>0</v>
      </c>
      <c r="DZ252" s="109"/>
      <c r="EA252" s="109"/>
      <c r="EB252" s="111"/>
      <c r="EC252" s="111"/>
      <c r="ED252" s="165"/>
      <c r="EE252" s="109">
        <f t="shared" si="356"/>
        <v>0</v>
      </c>
      <c r="EF252" s="109">
        <f t="shared" si="357"/>
        <v>0</v>
      </c>
      <c r="EG252" s="109"/>
      <c r="EH252" s="109"/>
      <c r="EI252" s="111"/>
      <c r="EJ252" s="111"/>
      <c r="EK252" s="165"/>
      <c r="EL252" s="109">
        <f t="shared" si="358"/>
        <v>0</v>
      </c>
      <c r="EM252" s="109">
        <f t="shared" si="359"/>
        <v>0</v>
      </c>
      <c r="EN252" s="109"/>
      <c r="EO252" s="109"/>
      <c r="EP252" s="111"/>
      <c r="EQ252" s="111"/>
      <c r="ER252" s="165"/>
      <c r="ES252" s="109">
        <f t="shared" si="360"/>
        <v>0</v>
      </c>
      <c r="ET252" s="109">
        <f t="shared" si="361"/>
        <v>0</v>
      </c>
      <c r="EU252" s="109"/>
      <c r="EV252" s="109"/>
      <c r="EW252" s="111"/>
      <c r="EX252" s="111"/>
      <c r="EY252" s="165"/>
      <c r="EZ252" s="109">
        <f t="shared" si="362"/>
        <v>0</v>
      </c>
      <c r="FA252" s="109">
        <f t="shared" si="363"/>
        <v>0</v>
      </c>
      <c r="FB252" s="109"/>
      <c r="FC252" s="109"/>
      <c r="FD252" s="111"/>
      <c r="FE252" s="111"/>
      <c r="FF252" s="165"/>
      <c r="FG252" s="109">
        <f t="shared" si="364"/>
        <v>0</v>
      </c>
      <c r="FH252" s="109">
        <f t="shared" si="365"/>
        <v>0</v>
      </c>
      <c r="FI252" s="109"/>
      <c r="FJ252" s="109"/>
      <c r="FK252" s="111"/>
      <c r="FL252" s="111"/>
      <c r="FM252" s="165"/>
      <c r="FN252" s="109">
        <f t="shared" si="366"/>
        <v>0</v>
      </c>
      <c r="FO252" s="109">
        <f t="shared" si="367"/>
        <v>0</v>
      </c>
      <c r="FP252" s="109"/>
      <c r="FQ252" s="109"/>
      <c r="FR252" s="111"/>
      <c r="FS252" s="111"/>
      <c r="FT252" s="165"/>
      <c r="FU252" s="109">
        <f t="shared" si="368"/>
        <v>0</v>
      </c>
      <c r="FV252" s="109">
        <f t="shared" si="376"/>
        <v>0</v>
      </c>
      <c r="FW252" s="109"/>
      <c r="FX252" s="109"/>
      <c r="FY252" s="111"/>
      <c r="FZ252" s="111"/>
      <c r="GA252" s="165"/>
      <c r="GB252" s="109">
        <f t="shared" si="369"/>
        <v>0</v>
      </c>
      <c r="GC252" s="109">
        <f t="shared" si="377"/>
        <v>0</v>
      </c>
      <c r="GD252" s="109"/>
      <c r="GE252" s="109"/>
      <c r="GF252" s="111"/>
      <c r="GG252" s="111"/>
      <c r="GH252" s="165"/>
      <c r="GI252" s="109">
        <f t="shared" si="370"/>
        <v>0</v>
      </c>
      <c r="GJ252" s="109">
        <f t="shared" si="378"/>
        <v>0</v>
      </c>
      <c r="GK252" s="109"/>
      <c r="GL252" s="109"/>
      <c r="GM252" s="111"/>
      <c r="GN252" s="111"/>
      <c r="GO252" s="165"/>
      <c r="GP252" s="109">
        <f t="shared" si="371"/>
        <v>0</v>
      </c>
      <c r="GQ252" s="109">
        <f t="shared" si="379"/>
        <v>0</v>
      </c>
      <c r="GR252" s="109"/>
      <c r="GS252" s="109"/>
      <c r="GT252" s="111"/>
      <c r="GU252" s="111"/>
      <c r="GV252" s="165"/>
      <c r="GW252" s="168">
        <f t="shared" si="372"/>
        <v>0</v>
      </c>
      <c r="GX252" s="168">
        <f t="shared" si="380"/>
        <v>0</v>
      </c>
      <c r="GY252" s="168"/>
      <c r="GZ252" s="168"/>
      <c r="HA252" s="111"/>
      <c r="HB252" s="111"/>
      <c r="HC252" s="165"/>
      <c r="HD252" s="109">
        <f t="shared" si="373"/>
        <v>0</v>
      </c>
      <c r="HE252" s="109">
        <f t="shared" si="381"/>
        <v>0</v>
      </c>
      <c r="HF252" s="109"/>
      <c r="HG252" s="109"/>
      <c r="HH252" s="111"/>
      <c r="HI252" s="111"/>
      <c r="HJ252" s="165"/>
      <c r="HK252" s="109">
        <f t="shared" si="374"/>
        <v>0</v>
      </c>
      <c r="HL252" s="109">
        <f t="shared" si="382"/>
        <v>0</v>
      </c>
      <c r="HM252" s="109"/>
      <c r="HN252" s="109"/>
      <c r="HO252" s="111"/>
      <c r="HP252" s="111"/>
      <c r="HQ252" s="165"/>
      <c r="HR252" s="109">
        <f t="shared" si="375"/>
        <v>0</v>
      </c>
      <c r="HS252" s="109">
        <f t="shared" si="383"/>
        <v>0</v>
      </c>
      <c r="HT252" s="109"/>
      <c r="HU252" s="109"/>
      <c r="HV252" s="111"/>
      <c r="HW252" s="111"/>
      <c r="HX252" s="105">
        <f t="shared" si="351"/>
        <v>0</v>
      </c>
      <c r="HY252" s="105">
        <f t="shared" si="351"/>
        <v>0</v>
      </c>
      <c r="HZ252" s="105">
        <f t="shared" si="351"/>
        <v>0</v>
      </c>
      <c r="IA252" s="105">
        <f t="shared" si="345"/>
        <v>0</v>
      </c>
      <c r="IB252" s="109">
        <f t="shared" si="346"/>
        <v>0</v>
      </c>
      <c r="IC252" s="109">
        <f t="shared" si="347"/>
        <v>0</v>
      </c>
      <c r="ID252" s="109">
        <f t="shared" si="348"/>
        <v>0</v>
      </c>
      <c r="IE252" s="109">
        <f t="shared" si="349"/>
        <v>0</v>
      </c>
      <c r="IF252" s="197"/>
      <c r="IG252" s="197"/>
      <c r="IH252" s="197"/>
      <c r="II252" s="197"/>
      <c r="IJ252" s="197"/>
      <c r="IK252" s="197"/>
      <c r="IL252" s="197"/>
      <c r="IM252" s="171"/>
      <c r="IN252" s="171"/>
      <c r="IO252" s="171"/>
      <c r="IP252" s="171"/>
    </row>
    <row r="253" spans="1:250" ht="15" customHeight="1" x14ac:dyDescent="0.3">
      <c r="A253" s="110">
        <f t="shared" si="350"/>
        <v>249</v>
      </c>
      <c r="B253" s="111"/>
      <c r="C253" s="111"/>
      <c r="D253" s="111"/>
      <c r="E253" s="111"/>
      <c r="F253" s="111"/>
      <c r="G253" s="111"/>
      <c r="H253" s="111"/>
      <c r="I253" s="194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75"/>
      <c r="AI253" s="111"/>
      <c r="AJ253" s="111"/>
      <c r="AK253" s="111"/>
      <c r="AL253" s="177"/>
      <c r="AM253" s="176"/>
      <c r="AN253" s="177"/>
      <c r="AO253" s="157"/>
      <c r="AP253" s="158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75"/>
      <c r="BM253" s="111"/>
      <c r="BN253" s="111"/>
      <c r="BO253" s="111"/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1"/>
      <c r="CA253" s="111"/>
      <c r="CB253" s="111"/>
      <c r="CC253" s="178"/>
      <c r="CD253" s="177">
        <f t="shared" si="334"/>
        <v>0</v>
      </c>
      <c r="CE253" s="148"/>
      <c r="CF253" s="111">
        <f t="shared" si="335"/>
        <v>0</v>
      </c>
      <c r="CG253" s="177"/>
      <c r="CH253" s="204"/>
      <c r="CI253" s="148"/>
      <c r="CJ253" s="165"/>
      <c r="CK253" s="165"/>
      <c r="CL253" s="111"/>
      <c r="CM253" s="111"/>
      <c r="CN253" s="165">
        <f t="shared" si="336"/>
        <v>0</v>
      </c>
      <c r="CO253" s="109">
        <f t="shared" si="337"/>
        <v>0</v>
      </c>
      <c r="CP253" s="109">
        <f t="shared" si="338"/>
        <v>0</v>
      </c>
      <c r="CQ253" s="109"/>
      <c r="CR253" s="109"/>
      <c r="CS253" s="196"/>
      <c r="CT253" s="167"/>
      <c r="CU253" s="165"/>
      <c r="CV253" s="109">
        <f t="shared" si="339"/>
        <v>0</v>
      </c>
      <c r="CW253" s="109">
        <f t="shared" si="340"/>
        <v>0</v>
      </c>
      <c r="CX253" s="109"/>
      <c r="CY253" s="109"/>
      <c r="CZ253" s="111"/>
      <c r="DA253" s="111"/>
      <c r="DB253" s="165"/>
      <c r="DC253" s="109">
        <f t="shared" si="341"/>
        <v>0</v>
      </c>
      <c r="DD253" s="109">
        <f t="shared" si="342"/>
        <v>0</v>
      </c>
      <c r="DE253" s="109"/>
      <c r="DF253" s="109"/>
      <c r="DG253" s="111"/>
      <c r="DH253" s="111"/>
      <c r="DI253" s="165"/>
      <c r="DJ253" s="109">
        <f t="shared" si="343"/>
        <v>0</v>
      </c>
      <c r="DK253" s="109">
        <f t="shared" si="344"/>
        <v>0</v>
      </c>
      <c r="DL253" s="109"/>
      <c r="DM253" s="109"/>
      <c r="DN253" s="111"/>
      <c r="DO253" s="111"/>
      <c r="DP253" s="165"/>
      <c r="DQ253" s="109">
        <f t="shared" si="352"/>
        <v>0</v>
      </c>
      <c r="DR253" s="109">
        <f t="shared" si="353"/>
        <v>0</v>
      </c>
      <c r="DS253" s="109"/>
      <c r="DT253" s="109"/>
      <c r="DU253" s="111"/>
      <c r="DV253" s="111"/>
      <c r="DW253" s="165"/>
      <c r="DX253" s="109">
        <f t="shared" si="354"/>
        <v>0</v>
      </c>
      <c r="DY253" s="109">
        <f t="shared" si="355"/>
        <v>0</v>
      </c>
      <c r="DZ253" s="109"/>
      <c r="EA253" s="109"/>
      <c r="EB253" s="111"/>
      <c r="EC253" s="111"/>
      <c r="ED253" s="165"/>
      <c r="EE253" s="109">
        <f t="shared" si="356"/>
        <v>0</v>
      </c>
      <c r="EF253" s="109">
        <f t="shared" si="357"/>
        <v>0</v>
      </c>
      <c r="EG253" s="109"/>
      <c r="EH253" s="109"/>
      <c r="EI253" s="111"/>
      <c r="EJ253" s="111"/>
      <c r="EK253" s="165"/>
      <c r="EL253" s="109">
        <f t="shared" si="358"/>
        <v>0</v>
      </c>
      <c r="EM253" s="109">
        <f t="shared" si="359"/>
        <v>0</v>
      </c>
      <c r="EN253" s="109"/>
      <c r="EO253" s="109"/>
      <c r="EP253" s="111"/>
      <c r="EQ253" s="111"/>
      <c r="ER253" s="165"/>
      <c r="ES253" s="109">
        <f t="shared" si="360"/>
        <v>0</v>
      </c>
      <c r="ET253" s="109">
        <f t="shared" si="361"/>
        <v>0</v>
      </c>
      <c r="EU253" s="109"/>
      <c r="EV253" s="109"/>
      <c r="EW253" s="111"/>
      <c r="EX253" s="111"/>
      <c r="EY253" s="165"/>
      <c r="EZ253" s="109">
        <f t="shared" si="362"/>
        <v>0</v>
      </c>
      <c r="FA253" s="109">
        <f t="shared" si="363"/>
        <v>0</v>
      </c>
      <c r="FB253" s="109"/>
      <c r="FC253" s="109"/>
      <c r="FD253" s="111"/>
      <c r="FE253" s="111"/>
      <c r="FF253" s="165"/>
      <c r="FG253" s="109">
        <f t="shared" si="364"/>
        <v>0</v>
      </c>
      <c r="FH253" s="109">
        <f t="shared" si="365"/>
        <v>0</v>
      </c>
      <c r="FI253" s="109"/>
      <c r="FJ253" s="109"/>
      <c r="FK253" s="111"/>
      <c r="FL253" s="111"/>
      <c r="FM253" s="165"/>
      <c r="FN253" s="109">
        <f t="shared" si="366"/>
        <v>0</v>
      </c>
      <c r="FO253" s="109">
        <f t="shared" si="367"/>
        <v>0</v>
      </c>
      <c r="FP253" s="109"/>
      <c r="FQ253" s="109"/>
      <c r="FR253" s="111"/>
      <c r="FS253" s="111"/>
      <c r="FT253" s="165"/>
      <c r="FU253" s="109">
        <f t="shared" si="368"/>
        <v>0</v>
      </c>
      <c r="FV253" s="109">
        <f t="shared" si="376"/>
        <v>0</v>
      </c>
      <c r="FW253" s="109"/>
      <c r="FX253" s="109"/>
      <c r="FY253" s="111"/>
      <c r="FZ253" s="111"/>
      <c r="GA253" s="165"/>
      <c r="GB253" s="109">
        <f t="shared" si="369"/>
        <v>0</v>
      </c>
      <c r="GC253" s="109">
        <f t="shared" si="377"/>
        <v>0</v>
      </c>
      <c r="GD253" s="109"/>
      <c r="GE253" s="109"/>
      <c r="GF253" s="111"/>
      <c r="GG253" s="111"/>
      <c r="GH253" s="165"/>
      <c r="GI253" s="109">
        <f t="shared" si="370"/>
        <v>0</v>
      </c>
      <c r="GJ253" s="109">
        <f t="shared" si="378"/>
        <v>0</v>
      </c>
      <c r="GK253" s="109"/>
      <c r="GL253" s="109"/>
      <c r="GM253" s="111"/>
      <c r="GN253" s="111"/>
      <c r="GO253" s="165"/>
      <c r="GP253" s="109">
        <f t="shared" si="371"/>
        <v>0</v>
      </c>
      <c r="GQ253" s="109">
        <f t="shared" si="379"/>
        <v>0</v>
      </c>
      <c r="GR253" s="109"/>
      <c r="GS253" s="109"/>
      <c r="GT253" s="111"/>
      <c r="GU253" s="111"/>
      <c r="GV253" s="165"/>
      <c r="GW253" s="168">
        <f t="shared" si="372"/>
        <v>0</v>
      </c>
      <c r="GX253" s="168">
        <f t="shared" si="380"/>
        <v>0</v>
      </c>
      <c r="GY253" s="168"/>
      <c r="GZ253" s="168"/>
      <c r="HA253" s="111"/>
      <c r="HB253" s="111"/>
      <c r="HC253" s="165"/>
      <c r="HD253" s="109">
        <f t="shared" si="373"/>
        <v>0</v>
      </c>
      <c r="HE253" s="109">
        <f t="shared" si="381"/>
        <v>0</v>
      </c>
      <c r="HF253" s="109"/>
      <c r="HG253" s="109"/>
      <c r="HH253" s="111"/>
      <c r="HI253" s="111"/>
      <c r="HJ253" s="165"/>
      <c r="HK253" s="109">
        <f t="shared" si="374"/>
        <v>0</v>
      </c>
      <c r="HL253" s="109">
        <f t="shared" si="382"/>
        <v>0</v>
      </c>
      <c r="HM253" s="109"/>
      <c r="HN253" s="109"/>
      <c r="HO253" s="111"/>
      <c r="HP253" s="111"/>
      <c r="HQ253" s="165"/>
      <c r="HR253" s="109">
        <f t="shared" si="375"/>
        <v>0</v>
      </c>
      <c r="HS253" s="109">
        <f t="shared" si="383"/>
        <v>0</v>
      </c>
      <c r="HT253" s="109"/>
      <c r="HU253" s="109"/>
      <c r="HV253" s="111"/>
      <c r="HW253" s="111"/>
      <c r="HX253" s="105">
        <f t="shared" si="351"/>
        <v>0</v>
      </c>
      <c r="HY253" s="105">
        <f t="shared" si="351"/>
        <v>0</v>
      </c>
      <c r="HZ253" s="105">
        <f t="shared" si="351"/>
        <v>0</v>
      </c>
      <c r="IA253" s="105">
        <f t="shared" si="345"/>
        <v>0</v>
      </c>
      <c r="IB253" s="109">
        <f t="shared" si="346"/>
        <v>0</v>
      </c>
      <c r="IC253" s="109">
        <f t="shared" si="347"/>
        <v>0</v>
      </c>
      <c r="ID253" s="109">
        <f t="shared" si="348"/>
        <v>0</v>
      </c>
      <c r="IE253" s="109">
        <f t="shared" si="349"/>
        <v>0</v>
      </c>
      <c r="IF253" s="197"/>
      <c r="IG253" s="197"/>
      <c r="IH253" s="197"/>
      <c r="II253" s="197"/>
      <c r="IJ253" s="197"/>
      <c r="IK253" s="197"/>
      <c r="IL253" s="197"/>
      <c r="IM253" s="171"/>
      <c r="IN253" s="171"/>
      <c r="IO253" s="171"/>
      <c r="IP253" s="171"/>
    </row>
    <row r="254" spans="1:250" ht="15" customHeight="1" x14ac:dyDescent="0.3">
      <c r="A254" s="110">
        <f t="shared" si="350"/>
        <v>250</v>
      </c>
      <c r="B254" s="111"/>
      <c r="C254" s="111"/>
      <c r="D254" s="111"/>
      <c r="E254" s="111"/>
      <c r="F254" s="111"/>
      <c r="G254" s="111"/>
      <c r="H254" s="111"/>
      <c r="I254" s="194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75"/>
      <c r="AI254" s="111"/>
      <c r="AJ254" s="111"/>
      <c r="AK254" s="111"/>
      <c r="AL254" s="177"/>
      <c r="AM254" s="176"/>
      <c r="AN254" s="177"/>
      <c r="AO254" s="157"/>
      <c r="AP254" s="158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1"/>
      <c r="BC254" s="111"/>
      <c r="BD254" s="111"/>
      <c r="BE254" s="111"/>
      <c r="BF254" s="111"/>
      <c r="BG254" s="111"/>
      <c r="BH254" s="111"/>
      <c r="BI254" s="111"/>
      <c r="BJ254" s="111"/>
      <c r="BK254" s="111"/>
      <c r="BL254" s="175"/>
      <c r="BM254" s="111"/>
      <c r="BN254" s="111"/>
      <c r="BO254" s="111"/>
      <c r="BP254" s="111"/>
      <c r="BQ254" s="111"/>
      <c r="BR254" s="111"/>
      <c r="BS254" s="111"/>
      <c r="BT254" s="111"/>
      <c r="BU254" s="111"/>
      <c r="BV254" s="111"/>
      <c r="BW254" s="111"/>
      <c r="BX254" s="111"/>
      <c r="BY254" s="111"/>
      <c r="BZ254" s="111"/>
      <c r="CA254" s="111"/>
      <c r="CB254" s="111"/>
      <c r="CC254" s="178"/>
      <c r="CD254" s="177">
        <f t="shared" si="334"/>
        <v>0</v>
      </c>
      <c r="CE254" s="148"/>
      <c r="CF254" s="111">
        <f t="shared" si="335"/>
        <v>0</v>
      </c>
      <c r="CG254" s="177"/>
      <c r="CH254" s="204"/>
      <c r="CI254" s="148"/>
      <c r="CJ254" s="165"/>
      <c r="CK254" s="165"/>
      <c r="CL254" s="111"/>
      <c r="CM254" s="111"/>
      <c r="CN254" s="165">
        <f t="shared" si="336"/>
        <v>0</v>
      </c>
      <c r="CO254" s="109">
        <f t="shared" si="337"/>
        <v>0</v>
      </c>
      <c r="CP254" s="109">
        <f t="shared" si="338"/>
        <v>0</v>
      </c>
      <c r="CQ254" s="109"/>
      <c r="CR254" s="109"/>
      <c r="CS254" s="196"/>
      <c r="CT254" s="167"/>
      <c r="CU254" s="165"/>
      <c r="CV254" s="109">
        <f t="shared" si="339"/>
        <v>0</v>
      </c>
      <c r="CW254" s="109">
        <f t="shared" si="340"/>
        <v>0</v>
      </c>
      <c r="CX254" s="109"/>
      <c r="CY254" s="109"/>
      <c r="CZ254" s="111"/>
      <c r="DA254" s="111"/>
      <c r="DB254" s="165"/>
      <c r="DC254" s="109">
        <f t="shared" si="341"/>
        <v>0</v>
      </c>
      <c r="DD254" s="109">
        <f t="shared" si="342"/>
        <v>0</v>
      </c>
      <c r="DE254" s="109"/>
      <c r="DF254" s="109"/>
      <c r="DG254" s="111"/>
      <c r="DH254" s="111"/>
      <c r="DI254" s="165"/>
      <c r="DJ254" s="109">
        <f t="shared" si="343"/>
        <v>0</v>
      </c>
      <c r="DK254" s="109">
        <f t="shared" si="344"/>
        <v>0</v>
      </c>
      <c r="DL254" s="109"/>
      <c r="DM254" s="109"/>
      <c r="DN254" s="111"/>
      <c r="DO254" s="111"/>
      <c r="DP254" s="165"/>
      <c r="DQ254" s="109">
        <f t="shared" si="352"/>
        <v>0</v>
      </c>
      <c r="DR254" s="109">
        <f t="shared" si="353"/>
        <v>0</v>
      </c>
      <c r="DS254" s="109"/>
      <c r="DT254" s="109"/>
      <c r="DU254" s="111"/>
      <c r="DV254" s="111"/>
      <c r="DW254" s="165"/>
      <c r="DX254" s="109">
        <f t="shared" si="354"/>
        <v>0</v>
      </c>
      <c r="DY254" s="109">
        <f t="shared" si="355"/>
        <v>0</v>
      </c>
      <c r="DZ254" s="109"/>
      <c r="EA254" s="109"/>
      <c r="EB254" s="111"/>
      <c r="EC254" s="111"/>
      <c r="ED254" s="165"/>
      <c r="EE254" s="109">
        <f t="shared" si="356"/>
        <v>0</v>
      </c>
      <c r="EF254" s="109">
        <f t="shared" si="357"/>
        <v>0</v>
      </c>
      <c r="EG254" s="109"/>
      <c r="EH254" s="109"/>
      <c r="EI254" s="111"/>
      <c r="EJ254" s="111"/>
      <c r="EK254" s="165"/>
      <c r="EL254" s="109">
        <f t="shared" si="358"/>
        <v>0</v>
      </c>
      <c r="EM254" s="109">
        <f t="shared" si="359"/>
        <v>0</v>
      </c>
      <c r="EN254" s="109"/>
      <c r="EO254" s="109"/>
      <c r="EP254" s="111"/>
      <c r="EQ254" s="111"/>
      <c r="ER254" s="165"/>
      <c r="ES254" s="109">
        <f t="shared" si="360"/>
        <v>0</v>
      </c>
      <c r="ET254" s="109">
        <f t="shared" si="361"/>
        <v>0</v>
      </c>
      <c r="EU254" s="109"/>
      <c r="EV254" s="109"/>
      <c r="EW254" s="111"/>
      <c r="EX254" s="111"/>
      <c r="EY254" s="165"/>
      <c r="EZ254" s="109">
        <f t="shared" si="362"/>
        <v>0</v>
      </c>
      <c r="FA254" s="109">
        <f t="shared" si="363"/>
        <v>0</v>
      </c>
      <c r="FB254" s="109"/>
      <c r="FC254" s="109"/>
      <c r="FD254" s="111"/>
      <c r="FE254" s="111"/>
      <c r="FF254" s="165"/>
      <c r="FG254" s="109">
        <f t="shared" si="364"/>
        <v>0</v>
      </c>
      <c r="FH254" s="109">
        <f t="shared" si="365"/>
        <v>0</v>
      </c>
      <c r="FI254" s="109"/>
      <c r="FJ254" s="109"/>
      <c r="FK254" s="111"/>
      <c r="FL254" s="111"/>
      <c r="FM254" s="165"/>
      <c r="FN254" s="109">
        <f t="shared" si="366"/>
        <v>0</v>
      </c>
      <c r="FO254" s="109">
        <f t="shared" si="367"/>
        <v>0</v>
      </c>
      <c r="FP254" s="109"/>
      <c r="FQ254" s="109"/>
      <c r="FR254" s="111"/>
      <c r="FS254" s="111"/>
      <c r="FT254" s="165"/>
      <c r="FU254" s="109">
        <f t="shared" si="368"/>
        <v>0</v>
      </c>
      <c r="FV254" s="109">
        <f t="shared" si="376"/>
        <v>0</v>
      </c>
      <c r="FW254" s="109"/>
      <c r="FX254" s="109"/>
      <c r="FY254" s="111"/>
      <c r="FZ254" s="111"/>
      <c r="GA254" s="165"/>
      <c r="GB254" s="109">
        <f t="shared" si="369"/>
        <v>0</v>
      </c>
      <c r="GC254" s="109">
        <f t="shared" si="377"/>
        <v>0</v>
      </c>
      <c r="GD254" s="109"/>
      <c r="GE254" s="109"/>
      <c r="GF254" s="111"/>
      <c r="GG254" s="111"/>
      <c r="GH254" s="165"/>
      <c r="GI254" s="109">
        <f t="shared" si="370"/>
        <v>0</v>
      </c>
      <c r="GJ254" s="109">
        <f t="shared" si="378"/>
        <v>0</v>
      </c>
      <c r="GK254" s="109"/>
      <c r="GL254" s="109"/>
      <c r="GM254" s="111"/>
      <c r="GN254" s="111"/>
      <c r="GO254" s="165"/>
      <c r="GP254" s="109">
        <f t="shared" si="371"/>
        <v>0</v>
      </c>
      <c r="GQ254" s="109">
        <f t="shared" si="379"/>
        <v>0</v>
      </c>
      <c r="GR254" s="109"/>
      <c r="GS254" s="109"/>
      <c r="GT254" s="111"/>
      <c r="GU254" s="111"/>
      <c r="GV254" s="165"/>
      <c r="GW254" s="168">
        <f t="shared" si="372"/>
        <v>0</v>
      </c>
      <c r="GX254" s="168">
        <f t="shared" si="380"/>
        <v>0</v>
      </c>
      <c r="GY254" s="168"/>
      <c r="GZ254" s="168"/>
      <c r="HA254" s="111"/>
      <c r="HB254" s="111"/>
      <c r="HC254" s="165"/>
      <c r="HD254" s="109">
        <f t="shared" si="373"/>
        <v>0</v>
      </c>
      <c r="HE254" s="109">
        <f t="shared" si="381"/>
        <v>0</v>
      </c>
      <c r="HF254" s="109"/>
      <c r="HG254" s="109"/>
      <c r="HH254" s="111"/>
      <c r="HI254" s="111"/>
      <c r="HJ254" s="165"/>
      <c r="HK254" s="109">
        <f t="shared" si="374"/>
        <v>0</v>
      </c>
      <c r="HL254" s="109">
        <f t="shared" si="382"/>
        <v>0</v>
      </c>
      <c r="HM254" s="109"/>
      <c r="HN254" s="109"/>
      <c r="HO254" s="111"/>
      <c r="HP254" s="111"/>
      <c r="HQ254" s="165"/>
      <c r="HR254" s="109">
        <f t="shared" si="375"/>
        <v>0</v>
      </c>
      <c r="HS254" s="109">
        <f t="shared" si="383"/>
        <v>0</v>
      </c>
      <c r="HT254" s="109"/>
      <c r="HU254" s="109"/>
      <c r="HV254" s="111"/>
      <c r="HW254" s="111"/>
      <c r="HX254" s="105">
        <f t="shared" si="351"/>
        <v>0</v>
      </c>
      <c r="HY254" s="105">
        <f t="shared" si="351"/>
        <v>0</v>
      </c>
      <c r="HZ254" s="105">
        <f t="shared" si="351"/>
        <v>0</v>
      </c>
      <c r="IA254" s="105">
        <f t="shared" si="345"/>
        <v>0</v>
      </c>
      <c r="IB254" s="109">
        <f t="shared" si="346"/>
        <v>0</v>
      </c>
      <c r="IC254" s="109">
        <f t="shared" si="347"/>
        <v>0</v>
      </c>
      <c r="ID254" s="109">
        <f t="shared" si="348"/>
        <v>0</v>
      </c>
      <c r="IE254" s="109">
        <f t="shared" si="349"/>
        <v>0</v>
      </c>
      <c r="IF254" s="197"/>
      <c r="IG254" s="197"/>
      <c r="IH254" s="197"/>
      <c r="II254" s="197"/>
      <c r="IJ254" s="197"/>
      <c r="IK254" s="197"/>
      <c r="IL254" s="197"/>
      <c r="IM254" s="171"/>
      <c r="IN254" s="171"/>
      <c r="IO254" s="171"/>
      <c r="IP254" s="171"/>
    </row>
    <row r="255" spans="1:250" ht="15" customHeight="1" x14ac:dyDescent="0.3">
      <c r="A255" s="110">
        <f t="shared" si="350"/>
        <v>251</v>
      </c>
      <c r="B255" s="111"/>
      <c r="C255" s="111"/>
      <c r="D255" s="111"/>
      <c r="E255" s="111"/>
      <c r="F255" s="111"/>
      <c r="G255" s="111"/>
      <c r="H255" s="111"/>
      <c r="I255" s="194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75"/>
      <c r="AI255" s="111"/>
      <c r="AJ255" s="111"/>
      <c r="AK255" s="111"/>
      <c r="AL255" s="177"/>
      <c r="AM255" s="176"/>
      <c r="AN255" s="177"/>
      <c r="AO255" s="157"/>
      <c r="AP255" s="158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75"/>
      <c r="BM255" s="111"/>
      <c r="BN255" s="111"/>
      <c r="BO255" s="111"/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1"/>
      <c r="CA255" s="111"/>
      <c r="CB255" s="111"/>
      <c r="CC255" s="178"/>
      <c r="CD255" s="177">
        <f t="shared" si="334"/>
        <v>0</v>
      </c>
      <c r="CE255" s="148"/>
      <c r="CF255" s="111">
        <f t="shared" si="335"/>
        <v>0</v>
      </c>
      <c r="CG255" s="177"/>
      <c r="CH255" s="204"/>
      <c r="CI255" s="148"/>
      <c r="CJ255" s="165"/>
      <c r="CK255" s="165"/>
      <c r="CL255" s="111"/>
      <c r="CM255" s="111"/>
      <c r="CN255" s="165">
        <f t="shared" si="336"/>
        <v>0</v>
      </c>
      <c r="CO255" s="109">
        <f t="shared" si="337"/>
        <v>0</v>
      </c>
      <c r="CP255" s="109">
        <f t="shared" si="338"/>
        <v>0</v>
      </c>
      <c r="CQ255" s="109"/>
      <c r="CR255" s="109"/>
      <c r="CS255" s="196"/>
      <c r="CT255" s="167"/>
      <c r="CU255" s="165"/>
      <c r="CV255" s="109">
        <f t="shared" si="339"/>
        <v>0</v>
      </c>
      <c r="CW255" s="109">
        <f t="shared" si="340"/>
        <v>0</v>
      </c>
      <c r="CX255" s="109"/>
      <c r="CY255" s="109"/>
      <c r="CZ255" s="111"/>
      <c r="DA255" s="111"/>
      <c r="DB255" s="165"/>
      <c r="DC255" s="109">
        <f t="shared" si="341"/>
        <v>0</v>
      </c>
      <c r="DD255" s="109">
        <f t="shared" si="342"/>
        <v>0</v>
      </c>
      <c r="DE255" s="109"/>
      <c r="DF255" s="109"/>
      <c r="DG255" s="111"/>
      <c r="DH255" s="111"/>
      <c r="DI255" s="165"/>
      <c r="DJ255" s="109">
        <f t="shared" si="343"/>
        <v>0</v>
      </c>
      <c r="DK255" s="109">
        <f t="shared" si="344"/>
        <v>0</v>
      </c>
      <c r="DL255" s="109"/>
      <c r="DM255" s="109"/>
      <c r="DN255" s="111"/>
      <c r="DO255" s="111"/>
      <c r="DP255" s="165"/>
      <c r="DQ255" s="109">
        <f t="shared" si="352"/>
        <v>0</v>
      </c>
      <c r="DR255" s="109">
        <f t="shared" si="353"/>
        <v>0</v>
      </c>
      <c r="DS255" s="109"/>
      <c r="DT255" s="109"/>
      <c r="DU255" s="111"/>
      <c r="DV255" s="111"/>
      <c r="DW255" s="165"/>
      <c r="DX255" s="109">
        <f t="shared" si="354"/>
        <v>0</v>
      </c>
      <c r="DY255" s="109">
        <f t="shared" si="355"/>
        <v>0</v>
      </c>
      <c r="DZ255" s="109"/>
      <c r="EA255" s="109"/>
      <c r="EB255" s="111"/>
      <c r="EC255" s="111"/>
      <c r="ED255" s="165"/>
      <c r="EE255" s="109">
        <f t="shared" si="356"/>
        <v>0</v>
      </c>
      <c r="EF255" s="109">
        <f t="shared" si="357"/>
        <v>0</v>
      </c>
      <c r="EG255" s="109"/>
      <c r="EH255" s="109"/>
      <c r="EI255" s="111"/>
      <c r="EJ255" s="111"/>
      <c r="EK255" s="165"/>
      <c r="EL255" s="109">
        <f t="shared" si="358"/>
        <v>0</v>
      </c>
      <c r="EM255" s="109">
        <f t="shared" si="359"/>
        <v>0</v>
      </c>
      <c r="EN255" s="109"/>
      <c r="EO255" s="109"/>
      <c r="EP255" s="111"/>
      <c r="EQ255" s="111"/>
      <c r="ER255" s="165"/>
      <c r="ES255" s="109">
        <f t="shared" si="360"/>
        <v>0</v>
      </c>
      <c r="ET255" s="109">
        <f t="shared" si="361"/>
        <v>0</v>
      </c>
      <c r="EU255" s="109"/>
      <c r="EV255" s="109"/>
      <c r="EW255" s="111"/>
      <c r="EX255" s="111"/>
      <c r="EY255" s="165"/>
      <c r="EZ255" s="109">
        <f t="shared" si="362"/>
        <v>0</v>
      </c>
      <c r="FA255" s="109">
        <f t="shared" si="363"/>
        <v>0</v>
      </c>
      <c r="FB255" s="109"/>
      <c r="FC255" s="109"/>
      <c r="FD255" s="111"/>
      <c r="FE255" s="111"/>
      <c r="FF255" s="165"/>
      <c r="FG255" s="109">
        <f t="shared" si="364"/>
        <v>0</v>
      </c>
      <c r="FH255" s="109">
        <f t="shared" si="365"/>
        <v>0</v>
      </c>
      <c r="FI255" s="109"/>
      <c r="FJ255" s="109"/>
      <c r="FK255" s="111"/>
      <c r="FL255" s="111"/>
      <c r="FM255" s="165"/>
      <c r="FN255" s="109">
        <f t="shared" si="366"/>
        <v>0</v>
      </c>
      <c r="FO255" s="109">
        <f t="shared" si="367"/>
        <v>0</v>
      </c>
      <c r="FP255" s="109"/>
      <c r="FQ255" s="109"/>
      <c r="FR255" s="111"/>
      <c r="FS255" s="111"/>
      <c r="FT255" s="165"/>
      <c r="FU255" s="109">
        <f t="shared" si="368"/>
        <v>0</v>
      </c>
      <c r="FV255" s="109">
        <f t="shared" si="376"/>
        <v>0</v>
      </c>
      <c r="FW255" s="109"/>
      <c r="FX255" s="109"/>
      <c r="FY255" s="111"/>
      <c r="FZ255" s="111"/>
      <c r="GA255" s="165"/>
      <c r="GB255" s="109">
        <f t="shared" si="369"/>
        <v>0</v>
      </c>
      <c r="GC255" s="109">
        <f t="shared" si="377"/>
        <v>0</v>
      </c>
      <c r="GD255" s="109"/>
      <c r="GE255" s="109"/>
      <c r="GF255" s="111"/>
      <c r="GG255" s="111"/>
      <c r="GH255" s="165"/>
      <c r="GI255" s="109">
        <f t="shared" si="370"/>
        <v>0</v>
      </c>
      <c r="GJ255" s="109">
        <f t="shared" si="378"/>
        <v>0</v>
      </c>
      <c r="GK255" s="109"/>
      <c r="GL255" s="109"/>
      <c r="GM255" s="111"/>
      <c r="GN255" s="111"/>
      <c r="GO255" s="165"/>
      <c r="GP255" s="109">
        <f t="shared" si="371"/>
        <v>0</v>
      </c>
      <c r="GQ255" s="109">
        <f t="shared" si="379"/>
        <v>0</v>
      </c>
      <c r="GR255" s="109"/>
      <c r="GS255" s="109"/>
      <c r="GT255" s="111"/>
      <c r="GU255" s="111"/>
      <c r="GV255" s="165"/>
      <c r="GW255" s="168">
        <f t="shared" si="372"/>
        <v>0</v>
      </c>
      <c r="GX255" s="168">
        <f t="shared" si="380"/>
        <v>0</v>
      </c>
      <c r="GY255" s="168"/>
      <c r="GZ255" s="168"/>
      <c r="HA255" s="111"/>
      <c r="HB255" s="111"/>
      <c r="HC255" s="165"/>
      <c r="HD255" s="109">
        <f t="shared" si="373"/>
        <v>0</v>
      </c>
      <c r="HE255" s="109">
        <f t="shared" si="381"/>
        <v>0</v>
      </c>
      <c r="HF255" s="109"/>
      <c r="HG255" s="109"/>
      <c r="HH255" s="111"/>
      <c r="HI255" s="111"/>
      <c r="HJ255" s="165"/>
      <c r="HK255" s="109">
        <f t="shared" si="374"/>
        <v>0</v>
      </c>
      <c r="HL255" s="109">
        <f t="shared" si="382"/>
        <v>0</v>
      </c>
      <c r="HM255" s="109"/>
      <c r="HN255" s="109"/>
      <c r="HO255" s="111"/>
      <c r="HP255" s="111"/>
      <c r="HQ255" s="165"/>
      <c r="HR255" s="109">
        <f t="shared" si="375"/>
        <v>0</v>
      </c>
      <c r="HS255" s="109">
        <f t="shared" si="383"/>
        <v>0</v>
      </c>
      <c r="HT255" s="109"/>
      <c r="HU255" s="109"/>
      <c r="HV255" s="111"/>
      <c r="HW255" s="111"/>
      <c r="HX255" s="105">
        <f t="shared" si="351"/>
        <v>0</v>
      </c>
      <c r="HY255" s="105">
        <f t="shared" si="351"/>
        <v>0</v>
      </c>
      <c r="HZ255" s="105">
        <f t="shared" si="351"/>
        <v>0</v>
      </c>
      <c r="IA255" s="105">
        <f t="shared" si="345"/>
        <v>0</v>
      </c>
      <c r="IB255" s="109">
        <f t="shared" si="346"/>
        <v>0</v>
      </c>
      <c r="IC255" s="109">
        <f t="shared" si="347"/>
        <v>0</v>
      </c>
      <c r="ID255" s="109">
        <f t="shared" si="348"/>
        <v>0</v>
      </c>
      <c r="IE255" s="109">
        <f t="shared" si="349"/>
        <v>0</v>
      </c>
      <c r="IF255" s="197"/>
      <c r="IG255" s="197"/>
      <c r="IH255" s="197"/>
      <c r="II255" s="197"/>
      <c r="IJ255" s="197"/>
      <c r="IK255" s="197"/>
      <c r="IL255" s="197"/>
      <c r="IM255" s="171"/>
      <c r="IN255" s="171"/>
      <c r="IO255" s="171"/>
      <c r="IP255" s="171"/>
    </row>
    <row r="256" spans="1:250" ht="15" customHeight="1" x14ac:dyDescent="0.3">
      <c r="A256" s="110">
        <f t="shared" si="350"/>
        <v>252</v>
      </c>
      <c r="B256" s="111"/>
      <c r="C256" s="111"/>
      <c r="D256" s="111"/>
      <c r="E256" s="111"/>
      <c r="F256" s="111"/>
      <c r="G256" s="111"/>
      <c r="H256" s="111"/>
      <c r="I256" s="194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75"/>
      <c r="AI256" s="111"/>
      <c r="AJ256" s="111"/>
      <c r="AK256" s="111"/>
      <c r="AL256" s="177"/>
      <c r="AM256" s="176"/>
      <c r="AN256" s="177"/>
      <c r="AO256" s="157"/>
      <c r="AP256" s="158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1"/>
      <c r="BC256" s="111"/>
      <c r="BD256" s="111"/>
      <c r="BE256" s="111"/>
      <c r="BF256" s="111"/>
      <c r="BG256" s="111"/>
      <c r="BH256" s="111"/>
      <c r="BI256" s="111"/>
      <c r="BJ256" s="111"/>
      <c r="BK256" s="111"/>
      <c r="BL256" s="175"/>
      <c r="BM256" s="111"/>
      <c r="BN256" s="111"/>
      <c r="BO256" s="111"/>
      <c r="BP256" s="111"/>
      <c r="BQ256" s="111"/>
      <c r="BR256" s="111"/>
      <c r="BS256" s="111"/>
      <c r="BT256" s="111"/>
      <c r="BU256" s="111"/>
      <c r="BV256" s="111"/>
      <c r="BW256" s="111"/>
      <c r="BX256" s="111"/>
      <c r="BY256" s="111"/>
      <c r="BZ256" s="111"/>
      <c r="CA256" s="111"/>
      <c r="CB256" s="111"/>
      <c r="CC256" s="178"/>
      <c r="CD256" s="177">
        <f t="shared" si="334"/>
        <v>0</v>
      </c>
      <c r="CE256" s="148"/>
      <c r="CF256" s="111">
        <f t="shared" si="335"/>
        <v>0</v>
      </c>
      <c r="CG256" s="177"/>
      <c r="CH256" s="204"/>
      <c r="CI256" s="148"/>
      <c r="CJ256" s="165"/>
      <c r="CK256" s="165"/>
      <c r="CL256" s="111"/>
      <c r="CM256" s="111"/>
      <c r="CN256" s="165">
        <f t="shared" si="336"/>
        <v>0</v>
      </c>
      <c r="CO256" s="109">
        <f t="shared" si="337"/>
        <v>0</v>
      </c>
      <c r="CP256" s="109">
        <f t="shared" si="338"/>
        <v>0</v>
      </c>
      <c r="CQ256" s="109"/>
      <c r="CR256" s="109"/>
      <c r="CS256" s="196"/>
      <c r="CT256" s="167"/>
      <c r="CU256" s="165"/>
      <c r="CV256" s="109">
        <f t="shared" si="339"/>
        <v>0</v>
      </c>
      <c r="CW256" s="109">
        <f t="shared" si="340"/>
        <v>0</v>
      </c>
      <c r="CX256" s="109"/>
      <c r="CY256" s="109"/>
      <c r="CZ256" s="111"/>
      <c r="DA256" s="111"/>
      <c r="DB256" s="165"/>
      <c r="DC256" s="109">
        <f t="shared" si="341"/>
        <v>0</v>
      </c>
      <c r="DD256" s="109">
        <f t="shared" si="342"/>
        <v>0</v>
      </c>
      <c r="DE256" s="109"/>
      <c r="DF256" s="109"/>
      <c r="DG256" s="111"/>
      <c r="DH256" s="111"/>
      <c r="DI256" s="165"/>
      <c r="DJ256" s="109">
        <f t="shared" si="343"/>
        <v>0</v>
      </c>
      <c r="DK256" s="109">
        <f t="shared" si="344"/>
        <v>0</v>
      </c>
      <c r="DL256" s="109"/>
      <c r="DM256" s="109"/>
      <c r="DN256" s="111"/>
      <c r="DO256" s="111"/>
      <c r="DP256" s="165"/>
      <c r="DQ256" s="109">
        <f t="shared" si="352"/>
        <v>0</v>
      </c>
      <c r="DR256" s="109">
        <f t="shared" si="353"/>
        <v>0</v>
      </c>
      <c r="DS256" s="109"/>
      <c r="DT256" s="109"/>
      <c r="DU256" s="111"/>
      <c r="DV256" s="111"/>
      <c r="DW256" s="165"/>
      <c r="DX256" s="109">
        <f t="shared" si="354"/>
        <v>0</v>
      </c>
      <c r="DY256" s="109">
        <f t="shared" si="355"/>
        <v>0</v>
      </c>
      <c r="DZ256" s="109"/>
      <c r="EA256" s="109"/>
      <c r="EB256" s="111"/>
      <c r="EC256" s="111"/>
      <c r="ED256" s="165"/>
      <c r="EE256" s="109">
        <f t="shared" si="356"/>
        <v>0</v>
      </c>
      <c r="EF256" s="109">
        <f t="shared" si="357"/>
        <v>0</v>
      </c>
      <c r="EG256" s="109"/>
      <c r="EH256" s="109"/>
      <c r="EI256" s="111"/>
      <c r="EJ256" s="111"/>
      <c r="EK256" s="165"/>
      <c r="EL256" s="109">
        <f t="shared" si="358"/>
        <v>0</v>
      </c>
      <c r="EM256" s="109">
        <f t="shared" si="359"/>
        <v>0</v>
      </c>
      <c r="EN256" s="109"/>
      <c r="EO256" s="109"/>
      <c r="EP256" s="111"/>
      <c r="EQ256" s="111"/>
      <c r="ER256" s="165"/>
      <c r="ES256" s="109">
        <f t="shared" si="360"/>
        <v>0</v>
      </c>
      <c r="ET256" s="109">
        <f t="shared" si="361"/>
        <v>0</v>
      </c>
      <c r="EU256" s="109"/>
      <c r="EV256" s="109"/>
      <c r="EW256" s="111"/>
      <c r="EX256" s="111"/>
      <c r="EY256" s="165"/>
      <c r="EZ256" s="109">
        <f t="shared" si="362"/>
        <v>0</v>
      </c>
      <c r="FA256" s="109">
        <f t="shared" si="363"/>
        <v>0</v>
      </c>
      <c r="FB256" s="109"/>
      <c r="FC256" s="109"/>
      <c r="FD256" s="111"/>
      <c r="FE256" s="111"/>
      <c r="FF256" s="165"/>
      <c r="FG256" s="109">
        <f t="shared" si="364"/>
        <v>0</v>
      </c>
      <c r="FH256" s="109">
        <f t="shared" si="365"/>
        <v>0</v>
      </c>
      <c r="FI256" s="109"/>
      <c r="FJ256" s="109"/>
      <c r="FK256" s="111"/>
      <c r="FL256" s="111"/>
      <c r="FM256" s="165"/>
      <c r="FN256" s="109">
        <f t="shared" si="366"/>
        <v>0</v>
      </c>
      <c r="FO256" s="109">
        <f t="shared" si="367"/>
        <v>0</v>
      </c>
      <c r="FP256" s="109"/>
      <c r="FQ256" s="109"/>
      <c r="FR256" s="111"/>
      <c r="FS256" s="111"/>
      <c r="FT256" s="165"/>
      <c r="FU256" s="109">
        <f t="shared" si="368"/>
        <v>0</v>
      </c>
      <c r="FV256" s="109">
        <f t="shared" si="376"/>
        <v>0</v>
      </c>
      <c r="FW256" s="109"/>
      <c r="FX256" s="109"/>
      <c r="FY256" s="111"/>
      <c r="FZ256" s="111"/>
      <c r="GA256" s="165"/>
      <c r="GB256" s="109">
        <f t="shared" si="369"/>
        <v>0</v>
      </c>
      <c r="GC256" s="109">
        <f t="shared" si="377"/>
        <v>0</v>
      </c>
      <c r="GD256" s="109"/>
      <c r="GE256" s="109"/>
      <c r="GF256" s="111"/>
      <c r="GG256" s="111"/>
      <c r="GH256" s="165"/>
      <c r="GI256" s="109">
        <f t="shared" si="370"/>
        <v>0</v>
      </c>
      <c r="GJ256" s="109">
        <f t="shared" si="378"/>
        <v>0</v>
      </c>
      <c r="GK256" s="109"/>
      <c r="GL256" s="109"/>
      <c r="GM256" s="111"/>
      <c r="GN256" s="111"/>
      <c r="GO256" s="165"/>
      <c r="GP256" s="109">
        <f t="shared" si="371"/>
        <v>0</v>
      </c>
      <c r="GQ256" s="109">
        <f t="shared" si="379"/>
        <v>0</v>
      </c>
      <c r="GR256" s="109"/>
      <c r="GS256" s="109"/>
      <c r="GT256" s="111"/>
      <c r="GU256" s="111"/>
      <c r="GV256" s="165"/>
      <c r="GW256" s="168">
        <f t="shared" si="372"/>
        <v>0</v>
      </c>
      <c r="GX256" s="168">
        <f t="shared" si="380"/>
        <v>0</v>
      </c>
      <c r="GY256" s="168"/>
      <c r="GZ256" s="168"/>
      <c r="HA256" s="111"/>
      <c r="HB256" s="111"/>
      <c r="HC256" s="165"/>
      <c r="HD256" s="109">
        <f t="shared" si="373"/>
        <v>0</v>
      </c>
      <c r="HE256" s="109">
        <f t="shared" si="381"/>
        <v>0</v>
      </c>
      <c r="HF256" s="109"/>
      <c r="HG256" s="109"/>
      <c r="HH256" s="111"/>
      <c r="HI256" s="111"/>
      <c r="HJ256" s="165"/>
      <c r="HK256" s="109">
        <f t="shared" si="374"/>
        <v>0</v>
      </c>
      <c r="HL256" s="109">
        <f t="shared" si="382"/>
        <v>0</v>
      </c>
      <c r="HM256" s="109"/>
      <c r="HN256" s="109"/>
      <c r="HO256" s="111"/>
      <c r="HP256" s="111"/>
      <c r="HQ256" s="165"/>
      <c r="HR256" s="109">
        <f t="shared" si="375"/>
        <v>0</v>
      </c>
      <c r="HS256" s="109">
        <f t="shared" si="383"/>
        <v>0</v>
      </c>
      <c r="HT256" s="109"/>
      <c r="HU256" s="109"/>
      <c r="HV256" s="111"/>
      <c r="HW256" s="111"/>
      <c r="HX256" s="105">
        <f t="shared" si="351"/>
        <v>0</v>
      </c>
      <c r="HY256" s="105">
        <f t="shared" si="351"/>
        <v>0</v>
      </c>
      <c r="HZ256" s="105">
        <f t="shared" si="351"/>
        <v>0</v>
      </c>
      <c r="IA256" s="105">
        <f t="shared" si="345"/>
        <v>0</v>
      </c>
      <c r="IB256" s="109">
        <f t="shared" si="346"/>
        <v>0</v>
      </c>
      <c r="IC256" s="109">
        <f t="shared" si="347"/>
        <v>0</v>
      </c>
      <c r="ID256" s="109">
        <f t="shared" si="348"/>
        <v>0</v>
      </c>
      <c r="IE256" s="109">
        <f t="shared" si="349"/>
        <v>0</v>
      </c>
      <c r="IF256" s="197"/>
      <c r="IG256" s="197"/>
      <c r="IH256" s="197"/>
      <c r="II256" s="197"/>
      <c r="IJ256" s="197"/>
      <c r="IK256" s="197"/>
      <c r="IL256" s="197"/>
      <c r="IM256" s="171"/>
      <c r="IN256" s="171"/>
      <c r="IO256" s="171"/>
      <c r="IP256" s="171"/>
    </row>
    <row r="257" spans="1:250" ht="15" customHeight="1" x14ac:dyDescent="0.3">
      <c r="A257" s="110">
        <f t="shared" si="350"/>
        <v>253</v>
      </c>
      <c r="B257" s="111"/>
      <c r="C257" s="111"/>
      <c r="D257" s="111"/>
      <c r="E257" s="111"/>
      <c r="F257" s="111"/>
      <c r="G257" s="111"/>
      <c r="H257" s="111"/>
      <c r="I257" s="194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75"/>
      <c r="AI257" s="111"/>
      <c r="AJ257" s="111"/>
      <c r="AK257" s="111"/>
      <c r="AL257" s="177"/>
      <c r="AM257" s="176"/>
      <c r="AN257" s="177"/>
      <c r="AO257" s="157"/>
      <c r="AP257" s="158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1"/>
      <c r="BC257" s="111"/>
      <c r="BD257" s="111"/>
      <c r="BE257" s="111"/>
      <c r="BF257" s="111"/>
      <c r="BG257" s="111"/>
      <c r="BH257" s="111"/>
      <c r="BI257" s="111"/>
      <c r="BJ257" s="111"/>
      <c r="BK257" s="111"/>
      <c r="BL257" s="175"/>
      <c r="BM257" s="111"/>
      <c r="BN257" s="111"/>
      <c r="BO257" s="111"/>
      <c r="BP257" s="111"/>
      <c r="BQ257" s="111"/>
      <c r="BR257" s="111"/>
      <c r="BS257" s="111"/>
      <c r="BT257" s="111"/>
      <c r="BU257" s="111"/>
      <c r="BV257" s="111"/>
      <c r="BW257" s="111"/>
      <c r="BX257" s="111"/>
      <c r="BY257" s="111"/>
      <c r="BZ257" s="111"/>
      <c r="CA257" s="111"/>
      <c r="CB257" s="111"/>
      <c r="CC257" s="178"/>
      <c r="CD257" s="177">
        <f t="shared" si="334"/>
        <v>0</v>
      </c>
      <c r="CE257" s="148"/>
      <c r="CF257" s="111">
        <f t="shared" si="335"/>
        <v>0</v>
      </c>
      <c r="CG257" s="177"/>
      <c r="CH257" s="204"/>
      <c r="CI257" s="148"/>
      <c r="CJ257" s="165"/>
      <c r="CK257" s="165"/>
      <c r="CL257" s="111"/>
      <c r="CM257" s="111"/>
      <c r="CN257" s="165">
        <f t="shared" si="336"/>
        <v>0</v>
      </c>
      <c r="CO257" s="109">
        <f t="shared" si="337"/>
        <v>0</v>
      </c>
      <c r="CP257" s="109">
        <f t="shared" si="338"/>
        <v>0</v>
      </c>
      <c r="CQ257" s="109"/>
      <c r="CR257" s="109"/>
      <c r="CS257" s="196"/>
      <c r="CT257" s="167"/>
      <c r="CU257" s="165"/>
      <c r="CV257" s="109">
        <f t="shared" si="339"/>
        <v>0</v>
      </c>
      <c r="CW257" s="109">
        <f t="shared" si="340"/>
        <v>0</v>
      </c>
      <c r="CX257" s="109"/>
      <c r="CY257" s="109"/>
      <c r="CZ257" s="111"/>
      <c r="DA257" s="111"/>
      <c r="DB257" s="165"/>
      <c r="DC257" s="109">
        <f t="shared" si="341"/>
        <v>0</v>
      </c>
      <c r="DD257" s="109">
        <f t="shared" si="342"/>
        <v>0</v>
      </c>
      <c r="DE257" s="109"/>
      <c r="DF257" s="109"/>
      <c r="DG257" s="111"/>
      <c r="DH257" s="111"/>
      <c r="DI257" s="165"/>
      <c r="DJ257" s="109">
        <f t="shared" si="343"/>
        <v>0</v>
      </c>
      <c r="DK257" s="109">
        <f t="shared" si="344"/>
        <v>0</v>
      </c>
      <c r="DL257" s="109"/>
      <c r="DM257" s="109"/>
      <c r="DN257" s="111"/>
      <c r="DO257" s="111"/>
      <c r="DP257" s="165"/>
      <c r="DQ257" s="109">
        <f t="shared" si="352"/>
        <v>0</v>
      </c>
      <c r="DR257" s="109">
        <f t="shared" si="353"/>
        <v>0</v>
      </c>
      <c r="DS257" s="109"/>
      <c r="DT257" s="109"/>
      <c r="DU257" s="111"/>
      <c r="DV257" s="111"/>
      <c r="DW257" s="165"/>
      <c r="DX257" s="109">
        <f t="shared" si="354"/>
        <v>0</v>
      </c>
      <c r="DY257" s="109">
        <f t="shared" si="355"/>
        <v>0</v>
      </c>
      <c r="DZ257" s="109"/>
      <c r="EA257" s="109"/>
      <c r="EB257" s="111"/>
      <c r="EC257" s="111"/>
      <c r="ED257" s="165"/>
      <c r="EE257" s="109">
        <f t="shared" si="356"/>
        <v>0</v>
      </c>
      <c r="EF257" s="109">
        <f t="shared" si="357"/>
        <v>0</v>
      </c>
      <c r="EG257" s="109"/>
      <c r="EH257" s="109"/>
      <c r="EI257" s="111"/>
      <c r="EJ257" s="111"/>
      <c r="EK257" s="165"/>
      <c r="EL257" s="109">
        <f t="shared" si="358"/>
        <v>0</v>
      </c>
      <c r="EM257" s="109">
        <f t="shared" si="359"/>
        <v>0</v>
      </c>
      <c r="EN257" s="109"/>
      <c r="EO257" s="109"/>
      <c r="EP257" s="111"/>
      <c r="EQ257" s="111"/>
      <c r="ER257" s="165"/>
      <c r="ES257" s="109">
        <f t="shared" si="360"/>
        <v>0</v>
      </c>
      <c r="ET257" s="109">
        <f t="shared" si="361"/>
        <v>0</v>
      </c>
      <c r="EU257" s="109"/>
      <c r="EV257" s="109"/>
      <c r="EW257" s="111"/>
      <c r="EX257" s="111"/>
      <c r="EY257" s="165"/>
      <c r="EZ257" s="109">
        <f t="shared" si="362"/>
        <v>0</v>
      </c>
      <c r="FA257" s="109">
        <f t="shared" si="363"/>
        <v>0</v>
      </c>
      <c r="FB257" s="109"/>
      <c r="FC257" s="109"/>
      <c r="FD257" s="111"/>
      <c r="FE257" s="111"/>
      <c r="FF257" s="165"/>
      <c r="FG257" s="109">
        <f t="shared" si="364"/>
        <v>0</v>
      </c>
      <c r="FH257" s="109">
        <f t="shared" si="365"/>
        <v>0</v>
      </c>
      <c r="FI257" s="109"/>
      <c r="FJ257" s="109"/>
      <c r="FK257" s="111"/>
      <c r="FL257" s="111"/>
      <c r="FM257" s="165"/>
      <c r="FN257" s="109">
        <f t="shared" si="366"/>
        <v>0</v>
      </c>
      <c r="FO257" s="109">
        <f t="shared" si="367"/>
        <v>0</v>
      </c>
      <c r="FP257" s="109"/>
      <c r="FQ257" s="109"/>
      <c r="FR257" s="111"/>
      <c r="FS257" s="111"/>
      <c r="FT257" s="165"/>
      <c r="FU257" s="109">
        <f t="shared" si="368"/>
        <v>0</v>
      </c>
      <c r="FV257" s="109">
        <f t="shared" si="376"/>
        <v>0</v>
      </c>
      <c r="FW257" s="109"/>
      <c r="FX257" s="109"/>
      <c r="FY257" s="111"/>
      <c r="FZ257" s="111"/>
      <c r="GA257" s="165"/>
      <c r="GB257" s="109">
        <f t="shared" si="369"/>
        <v>0</v>
      </c>
      <c r="GC257" s="109">
        <f t="shared" si="377"/>
        <v>0</v>
      </c>
      <c r="GD257" s="109"/>
      <c r="GE257" s="109"/>
      <c r="GF257" s="111"/>
      <c r="GG257" s="111"/>
      <c r="GH257" s="165"/>
      <c r="GI257" s="109">
        <f t="shared" si="370"/>
        <v>0</v>
      </c>
      <c r="GJ257" s="109">
        <f t="shared" si="378"/>
        <v>0</v>
      </c>
      <c r="GK257" s="109"/>
      <c r="GL257" s="109"/>
      <c r="GM257" s="111"/>
      <c r="GN257" s="111"/>
      <c r="GO257" s="165"/>
      <c r="GP257" s="109">
        <f t="shared" si="371"/>
        <v>0</v>
      </c>
      <c r="GQ257" s="109">
        <f t="shared" si="379"/>
        <v>0</v>
      </c>
      <c r="GR257" s="109"/>
      <c r="GS257" s="109"/>
      <c r="GT257" s="111"/>
      <c r="GU257" s="111"/>
      <c r="GV257" s="165"/>
      <c r="GW257" s="168">
        <f t="shared" si="372"/>
        <v>0</v>
      </c>
      <c r="GX257" s="168">
        <f t="shared" si="380"/>
        <v>0</v>
      </c>
      <c r="GY257" s="168"/>
      <c r="GZ257" s="168"/>
      <c r="HA257" s="111"/>
      <c r="HB257" s="111"/>
      <c r="HC257" s="165"/>
      <c r="HD257" s="109">
        <f t="shared" si="373"/>
        <v>0</v>
      </c>
      <c r="HE257" s="109">
        <f t="shared" si="381"/>
        <v>0</v>
      </c>
      <c r="HF257" s="109"/>
      <c r="HG257" s="109"/>
      <c r="HH257" s="111"/>
      <c r="HI257" s="111"/>
      <c r="HJ257" s="165"/>
      <c r="HK257" s="109">
        <f t="shared" si="374"/>
        <v>0</v>
      </c>
      <c r="HL257" s="109">
        <f t="shared" si="382"/>
        <v>0</v>
      </c>
      <c r="HM257" s="109"/>
      <c r="HN257" s="109"/>
      <c r="HO257" s="111"/>
      <c r="HP257" s="111"/>
      <c r="HQ257" s="165"/>
      <c r="HR257" s="109">
        <f t="shared" si="375"/>
        <v>0</v>
      </c>
      <c r="HS257" s="109">
        <f t="shared" si="383"/>
        <v>0</v>
      </c>
      <c r="HT257" s="109"/>
      <c r="HU257" s="109"/>
      <c r="HV257" s="111"/>
      <c r="HW257" s="111"/>
      <c r="HX257" s="105">
        <f t="shared" si="351"/>
        <v>0</v>
      </c>
      <c r="HY257" s="105">
        <f t="shared" si="351"/>
        <v>0</v>
      </c>
      <c r="HZ257" s="105">
        <f t="shared" si="351"/>
        <v>0</v>
      </c>
      <c r="IA257" s="105">
        <f t="shared" si="345"/>
        <v>0</v>
      </c>
      <c r="IB257" s="109">
        <f t="shared" si="346"/>
        <v>0</v>
      </c>
      <c r="IC257" s="109">
        <f t="shared" si="347"/>
        <v>0</v>
      </c>
      <c r="ID257" s="109">
        <f t="shared" si="348"/>
        <v>0</v>
      </c>
      <c r="IE257" s="109">
        <f t="shared" si="349"/>
        <v>0</v>
      </c>
      <c r="IF257" s="197"/>
      <c r="IG257" s="197"/>
      <c r="IH257" s="197"/>
      <c r="II257" s="197"/>
      <c r="IJ257" s="197"/>
      <c r="IK257" s="197"/>
      <c r="IL257" s="197"/>
      <c r="IM257" s="171"/>
      <c r="IN257" s="171"/>
      <c r="IO257" s="171"/>
      <c r="IP257" s="171"/>
    </row>
    <row r="258" spans="1:250" ht="15" customHeight="1" x14ac:dyDescent="0.3">
      <c r="A258" s="110">
        <f t="shared" si="350"/>
        <v>254</v>
      </c>
      <c r="B258" s="111"/>
      <c r="C258" s="111"/>
      <c r="D258" s="111"/>
      <c r="E258" s="111"/>
      <c r="F258" s="111"/>
      <c r="G258" s="111"/>
      <c r="H258" s="111"/>
      <c r="I258" s="194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75"/>
      <c r="AI258" s="111"/>
      <c r="AJ258" s="111"/>
      <c r="AK258" s="111"/>
      <c r="AL258" s="177"/>
      <c r="AM258" s="176"/>
      <c r="AN258" s="177"/>
      <c r="AO258" s="157"/>
      <c r="AP258" s="158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1"/>
      <c r="BC258" s="111"/>
      <c r="BD258" s="111"/>
      <c r="BE258" s="111"/>
      <c r="BF258" s="111"/>
      <c r="BG258" s="111"/>
      <c r="BH258" s="111"/>
      <c r="BI258" s="111"/>
      <c r="BJ258" s="111"/>
      <c r="BK258" s="111"/>
      <c r="BL258" s="175"/>
      <c r="BM258" s="111"/>
      <c r="BN258" s="111"/>
      <c r="BO258" s="111"/>
      <c r="BP258" s="111"/>
      <c r="BQ258" s="111"/>
      <c r="BR258" s="111"/>
      <c r="BS258" s="111"/>
      <c r="BT258" s="111"/>
      <c r="BU258" s="111"/>
      <c r="BV258" s="111"/>
      <c r="BW258" s="111"/>
      <c r="BX258" s="111"/>
      <c r="BY258" s="111"/>
      <c r="BZ258" s="111"/>
      <c r="CA258" s="111"/>
      <c r="CB258" s="111"/>
      <c r="CC258" s="178"/>
      <c r="CD258" s="177">
        <f t="shared" si="334"/>
        <v>0</v>
      </c>
      <c r="CE258" s="148"/>
      <c r="CF258" s="111">
        <f t="shared" si="335"/>
        <v>0</v>
      </c>
      <c r="CG258" s="177"/>
      <c r="CH258" s="204"/>
      <c r="CI258" s="148"/>
      <c r="CJ258" s="165"/>
      <c r="CK258" s="165"/>
      <c r="CL258" s="111"/>
      <c r="CM258" s="111"/>
      <c r="CN258" s="165">
        <f t="shared" si="336"/>
        <v>0</v>
      </c>
      <c r="CO258" s="109">
        <f t="shared" si="337"/>
        <v>0</v>
      </c>
      <c r="CP258" s="109">
        <f t="shared" si="338"/>
        <v>0</v>
      </c>
      <c r="CQ258" s="109"/>
      <c r="CR258" s="109"/>
      <c r="CS258" s="196"/>
      <c r="CT258" s="167"/>
      <c r="CU258" s="165"/>
      <c r="CV258" s="109">
        <f t="shared" si="339"/>
        <v>0</v>
      </c>
      <c r="CW258" s="109">
        <f t="shared" si="340"/>
        <v>0</v>
      </c>
      <c r="CX258" s="109"/>
      <c r="CY258" s="109"/>
      <c r="CZ258" s="111"/>
      <c r="DA258" s="111"/>
      <c r="DB258" s="165"/>
      <c r="DC258" s="109">
        <f t="shared" si="341"/>
        <v>0</v>
      </c>
      <c r="DD258" s="109">
        <f t="shared" si="342"/>
        <v>0</v>
      </c>
      <c r="DE258" s="109"/>
      <c r="DF258" s="109"/>
      <c r="DG258" s="111"/>
      <c r="DH258" s="111"/>
      <c r="DI258" s="165"/>
      <c r="DJ258" s="109">
        <f t="shared" si="343"/>
        <v>0</v>
      </c>
      <c r="DK258" s="109">
        <f t="shared" si="344"/>
        <v>0</v>
      </c>
      <c r="DL258" s="109"/>
      <c r="DM258" s="109"/>
      <c r="DN258" s="111"/>
      <c r="DO258" s="111"/>
      <c r="DP258" s="165"/>
      <c r="DQ258" s="109">
        <f t="shared" si="352"/>
        <v>0</v>
      </c>
      <c r="DR258" s="109">
        <f t="shared" si="353"/>
        <v>0</v>
      </c>
      <c r="DS258" s="109"/>
      <c r="DT258" s="109"/>
      <c r="DU258" s="111"/>
      <c r="DV258" s="111"/>
      <c r="DW258" s="165"/>
      <c r="DX258" s="109">
        <f t="shared" si="354"/>
        <v>0</v>
      </c>
      <c r="DY258" s="109">
        <f t="shared" si="355"/>
        <v>0</v>
      </c>
      <c r="DZ258" s="109"/>
      <c r="EA258" s="109"/>
      <c r="EB258" s="111"/>
      <c r="EC258" s="111"/>
      <c r="ED258" s="165"/>
      <c r="EE258" s="109">
        <f t="shared" si="356"/>
        <v>0</v>
      </c>
      <c r="EF258" s="109">
        <f t="shared" si="357"/>
        <v>0</v>
      </c>
      <c r="EG258" s="109"/>
      <c r="EH258" s="109"/>
      <c r="EI258" s="111"/>
      <c r="EJ258" s="111"/>
      <c r="EK258" s="165"/>
      <c r="EL258" s="109">
        <f t="shared" si="358"/>
        <v>0</v>
      </c>
      <c r="EM258" s="109">
        <f t="shared" si="359"/>
        <v>0</v>
      </c>
      <c r="EN258" s="109"/>
      <c r="EO258" s="109"/>
      <c r="EP258" s="111"/>
      <c r="EQ258" s="111"/>
      <c r="ER258" s="165"/>
      <c r="ES258" s="109">
        <f t="shared" si="360"/>
        <v>0</v>
      </c>
      <c r="ET258" s="109">
        <f t="shared" si="361"/>
        <v>0</v>
      </c>
      <c r="EU258" s="109"/>
      <c r="EV258" s="109"/>
      <c r="EW258" s="111"/>
      <c r="EX258" s="111"/>
      <c r="EY258" s="165"/>
      <c r="EZ258" s="109">
        <f t="shared" si="362"/>
        <v>0</v>
      </c>
      <c r="FA258" s="109">
        <f t="shared" si="363"/>
        <v>0</v>
      </c>
      <c r="FB258" s="109"/>
      <c r="FC258" s="109"/>
      <c r="FD258" s="111"/>
      <c r="FE258" s="111"/>
      <c r="FF258" s="165"/>
      <c r="FG258" s="109">
        <f t="shared" si="364"/>
        <v>0</v>
      </c>
      <c r="FH258" s="109">
        <f t="shared" si="365"/>
        <v>0</v>
      </c>
      <c r="FI258" s="109"/>
      <c r="FJ258" s="109"/>
      <c r="FK258" s="111"/>
      <c r="FL258" s="111"/>
      <c r="FM258" s="165"/>
      <c r="FN258" s="109">
        <f t="shared" si="366"/>
        <v>0</v>
      </c>
      <c r="FO258" s="109">
        <f t="shared" si="367"/>
        <v>0</v>
      </c>
      <c r="FP258" s="109"/>
      <c r="FQ258" s="109"/>
      <c r="FR258" s="111"/>
      <c r="FS258" s="111"/>
      <c r="FT258" s="165"/>
      <c r="FU258" s="109">
        <f t="shared" si="368"/>
        <v>0</v>
      </c>
      <c r="FV258" s="109">
        <f t="shared" si="376"/>
        <v>0</v>
      </c>
      <c r="FW258" s="109"/>
      <c r="FX258" s="109"/>
      <c r="FY258" s="111"/>
      <c r="FZ258" s="111"/>
      <c r="GA258" s="165"/>
      <c r="GB258" s="109">
        <f t="shared" si="369"/>
        <v>0</v>
      </c>
      <c r="GC258" s="109">
        <f t="shared" si="377"/>
        <v>0</v>
      </c>
      <c r="GD258" s="109"/>
      <c r="GE258" s="109"/>
      <c r="GF258" s="111"/>
      <c r="GG258" s="111"/>
      <c r="GH258" s="165"/>
      <c r="GI258" s="109">
        <f t="shared" si="370"/>
        <v>0</v>
      </c>
      <c r="GJ258" s="109">
        <f t="shared" si="378"/>
        <v>0</v>
      </c>
      <c r="GK258" s="109"/>
      <c r="GL258" s="109"/>
      <c r="GM258" s="111"/>
      <c r="GN258" s="111"/>
      <c r="GO258" s="165"/>
      <c r="GP258" s="109">
        <f t="shared" si="371"/>
        <v>0</v>
      </c>
      <c r="GQ258" s="109">
        <f t="shared" si="379"/>
        <v>0</v>
      </c>
      <c r="GR258" s="109"/>
      <c r="GS258" s="109"/>
      <c r="GT258" s="111"/>
      <c r="GU258" s="111"/>
      <c r="GV258" s="165"/>
      <c r="GW258" s="168">
        <f t="shared" si="372"/>
        <v>0</v>
      </c>
      <c r="GX258" s="168">
        <f t="shared" si="380"/>
        <v>0</v>
      </c>
      <c r="GY258" s="168"/>
      <c r="GZ258" s="168"/>
      <c r="HA258" s="111"/>
      <c r="HB258" s="111"/>
      <c r="HC258" s="165"/>
      <c r="HD258" s="109">
        <f t="shared" si="373"/>
        <v>0</v>
      </c>
      <c r="HE258" s="109">
        <f t="shared" si="381"/>
        <v>0</v>
      </c>
      <c r="HF258" s="109"/>
      <c r="HG258" s="109"/>
      <c r="HH258" s="111"/>
      <c r="HI258" s="111"/>
      <c r="HJ258" s="165"/>
      <c r="HK258" s="109">
        <f t="shared" si="374"/>
        <v>0</v>
      </c>
      <c r="HL258" s="109">
        <f t="shared" si="382"/>
        <v>0</v>
      </c>
      <c r="HM258" s="109"/>
      <c r="HN258" s="109"/>
      <c r="HO258" s="111"/>
      <c r="HP258" s="111"/>
      <c r="HQ258" s="165"/>
      <c r="HR258" s="109">
        <f t="shared" si="375"/>
        <v>0</v>
      </c>
      <c r="HS258" s="109">
        <f t="shared" si="383"/>
        <v>0</v>
      </c>
      <c r="HT258" s="109"/>
      <c r="HU258" s="109"/>
      <c r="HV258" s="111"/>
      <c r="HW258" s="111"/>
      <c r="HX258" s="105">
        <f t="shared" si="351"/>
        <v>0</v>
      </c>
      <c r="HY258" s="105">
        <f t="shared" si="351"/>
        <v>0</v>
      </c>
      <c r="HZ258" s="105">
        <f t="shared" si="351"/>
        <v>0</v>
      </c>
      <c r="IA258" s="105">
        <f t="shared" si="345"/>
        <v>0</v>
      </c>
      <c r="IB258" s="109">
        <f t="shared" si="346"/>
        <v>0</v>
      </c>
      <c r="IC258" s="109">
        <f t="shared" si="347"/>
        <v>0</v>
      </c>
      <c r="ID258" s="109">
        <f t="shared" si="348"/>
        <v>0</v>
      </c>
      <c r="IE258" s="109">
        <f t="shared" si="349"/>
        <v>0</v>
      </c>
      <c r="IF258" s="197"/>
      <c r="IG258" s="197"/>
      <c r="IH258" s="197"/>
      <c r="II258" s="197"/>
      <c r="IJ258" s="197"/>
      <c r="IK258" s="197"/>
      <c r="IL258" s="197"/>
      <c r="IM258" s="171"/>
      <c r="IN258" s="171"/>
      <c r="IO258" s="171"/>
      <c r="IP258" s="171"/>
    </row>
    <row r="259" spans="1:250" ht="15" customHeight="1" x14ac:dyDescent="0.3">
      <c r="A259" s="110">
        <f t="shared" si="350"/>
        <v>255</v>
      </c>
      <c r="B259" s="111"/>
      <c r="C259" s="111"/>
      <c r="D259" s="111"/>
      <c r="E259" s="111"/>
      <c r="F259" s="111"/>
      <c r="G259" s="111"/>
      <c r="H259" s="111"/>
      <c r="I259" s="194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75"/>
      <c r="AI259" s="111"/>
      <c r="AJ259" s="111"/>
      <c r="AK259" s="111"/>
      <c r="AL259" s="177"/>
      <c r="AM259" s="176"/>
      <c r="AN259" s="177"/>
      <c r="AO259" s="157"/>
      <c r="AP259" s="158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B259" s="111"/>
      <c r="BC259" s="111"/>
      <c r="BD259" s="111"/>
      <c r="BE259" s="111"/>
      <c r="BF259" s="111"/>
      <c r="BG259" s="111"/>
      <c r="BH259" s="111"/>
      <c r="BI259" s="111"/>
      <c r="BJ259" s="111"/>
      <c r="BK259" s="111"/>
      <c r="BL259" s="175"/>
      <c r="BM259" s="111"/>
      <c r="BN259" s="111"/>
      <c r="BO259" s="111"/>
      <c r="BP259" s="111"/>
      <c r="BQ259" s="111"/>
      <c r="BR259" s="111"/>
      <c r="BS259" s="111"/>
      <c r="BT259" s="111"/>
      <c r="BU259" s="111"/>
      <c r="BV259" s="111"/>
      <c r="BW259" s="111"/>
      <c r="BX259" s="111"/>
      <c r="BY259" s="111"/>
      <c r="BZ259" s="111"/>
      <c r="CA259" s="111"/>
      <c r="CB259" s="111"/>
      <c r="CC259" s="178"/>
      <c r="CD259" s="177">
        <f t="shared" si="334"/>
        <v>0</v>
      </c>
      <c r="CE259" s="148"/>
      <c r="CF259" s="111">
        <f t="shared" si="335"/>
        <v>0</v>
      </c>
      <c r="CG259" s="177"/>
      <c r="CH259" s="204"/>
      <c r="CI259" s="148"/>
      <c r="CJ259" s="165"/>
      <c r="CK259" s="165"/>
      <c r="CL259" s="111"/>
      <c r="CM259" s="111"/>
      <c r="CN259" s="165">
        <f t="shared" si="336"/>
        <v>0</v>
      </c>
      <c r="CO259" s="109">
        <f t="shared" si="337"/>
        <v>0</v>
      </c>
      <c r="CP259" s="109">
        <f t="shared" si="338"/>
        <v>0</v>
      </c>
      <c r="CQ259" s="109"/>
      <c r="CR259" s="109"/>
      <c r="CS259" s="196"/>
      <c r="CT259" s="167"/>
      <c r="CU259" s="165"/>
      <c r="CV259" s="109">
        <f t="shared" si="339"/>
        <v>0</v>
      </c>
      <c r="CW259" s="109">
        <f t="shared" si="340"/>
        <v>0</v>
      </c>
      <c r="CX259" s="109"/>
      <c r="CY259" s="109"/>
      <c r="CZ259" s="111"/>
      <c r="DA259" s="111"/>
      <c r="DB259" s="165"/>
      <c r="DC259" s="109">
        <f t="shared" si="341"/>
        <v>0</v>
      </c>
      <c r="DD259" s="109">
        <f t="shared" si="342"/>
        <v>0</v>
      </c>
      <c r="DE259" s="109"/>
      <c r="DF259" s="109"/>
      <c r="DG259" s="111"/>
      <c r="DH259" s="111"/>
      <c r="DI259" s="165"/>
      <c r="DJ259" s="109">
        <f t="shared" si="343"/>
        <v>0</v>
      </c>
      <c r="DK259" s="109">
        <f t="shared" si="344"/>
        <v>0</v>
      </c>
      <c r="DL259" s="109"/>
      <c r="DM259" s="109"/>
      <c r="DN259" s="111"/>
      <c r="DO259" s="111"/>
      <c r="DP259" s="165"/>
      <c r="DQ259" s="109">
        <f t="shared" si="352"/>
        <v>0</v>
      </c>
      <c r="DR259" s="109">
        <f t="shared" si="353"/>
        <v>0</v>
      </c>
      <c r="DS259" s="109"/>
      <c r="DT259" s="109"/>
      <c r="DU259" s="111"/>
      <c r="DV259" s="111"/>
      <c r="DW259" s="165"/>
      <c r="DX259" s="109">
        <f t="shared" si="354"/>
        <v>0</v>
      </c>
      <c r="DY259" s="109">
        <f t="shared" si="355"/>
        <v>0</v>
      </c>
      <c r="DZ259" s="109"/>
      <c r="EA259" s="109"/>
      <c r="EB259" s="111"/>
      <c r="EC259" s="111"/>
      <c r="ED259" s="165"/>
      <c r="EE259" s="109">
        <f t="shared" si="356"/>
        <v>0</v>
      </c>
      <c r="EF259" s="109">
        <f t="shared" si="357"/>
        <v>0</v>
      </c>
      <c r="EG259" s="109"/>
      <c r="EH259" s="109"/>
      <c r="EI259" s="111"/>
      <c r="EJ259" s="111"/>
      <c r="EK259" s="165"/>
      <c r="EL259" s="109">
        <f t="shared" si="358"/>
        <v>0</v>
      </c>
      <c r="EM259" s="109">
        <f t="shared" si="359"/>
        <v>0</v>
      </c>
      <c r="EN259" s="109"/>
      <c r="EO259" s="109"/>
      <c r="EP259" s="111"/>
      <c r="EQ259" s="111"/>
      <c r="ER259" s="165"/>
      <c r="ES259" s="109">
        <f t="shared" si="360"/>
        <v>0</v>
      </c>
      <c r="ET259" s="109">
        <f t="shared" si="361"/>
        <v>0</v>
      </c>
      <c r="EU259" s="109"/>
      <c r="EV259" s="109"/>
      <c r="EW259" s="111"/>
      <c r="EX259" s="111"/>
      <c r="EY259" s="165"/>
      <c r="EZ259" s="109">
        <f t="shared" si="362"/>
        <v>0</v>
      </c>
      <c r="FA259" s="109">
        <f t="shared" si="363"/>
        <v>0</v>
      </c>
      <c r="FB259" s="109"/>
      <c r="FC259" s="109"/>
      <c r="FD259" s="111"/>
      <c r="FE259" s="111"/>
      <c r="FF259" s="165"/>
      <c r="FG259" s="109">
        <f t="shared" si="364"/>
        <v>0</v>
      </c>
      <c r="FH259" s="109">
        <f t="shared" si="365"/>
        <v>0</v>
      </c>
      <c r="FI259" s="109"/>
      <c r="FJ259" s="109"/>
      <c r="FK259" s="111"/>
      <c r="FL259" s="111"/>
      <c r="FM259" s="165"/>
      <c r="FN259" s="109">
        <f t="shared" si="366"/>
        <v>0</v>
      </c>
      <c r="FO259" s="109">
        <f t="shared" si="367"/>
        <v>0</v>
      </c>
      <c r="FP259" s="109"/>
      <c r="FQ259" s="109"/>
      <c r="FR259" s="111"/>
      <c r="FS259" s="111"/>
      <c r="FT259" s="165"/>
      <c r="FU259" s="109">
        <f t="shared" si="368"/>
        <v>0</v>
      </c>
      <c r="FV259" s="109">
        <f t="shared" si="376"/>
        <v>0</v>
      </c>
      <c r="FW259" s="109"/>
      <c r="FX259" s="109"/>
      <c r="FY259" s="111"/>
      <c r="FZ259" s="111"/>
      <c r="GA259" s="165"/>
      <c r="GB259" s="109">
        <f t="shared" si="369"/>
        <v>0</v>
      </c>
      <c r="GC259" s="109">
        <f t="shared" si="377"/>
        <v>0</v>
      </c>
      <c r="GD259" s="109"/>
      <c r="GE259" s="109"/>
      <c r="GF259" s="111"/>
      <c r="GG259" s="111"/>
      <c r="GH259" s="165"/>
      <c r="GI259" s="109">
        <f t="shared" si="370"/>
        <v>0</v>
      </c>
      <c r="GJ259" s="109">
        <f t="shared" si="378"/>
        <v>0</v>
      </c>
      <c r="GK259" s="109"/>
      <c r="GL259" s="109"/>
      <c r="GM259" s="111"/>
      <c r="GN259" s="111"/>
      <c r="GO259" s="165"/>
      <c r="GP259" s="109">
        <f t="shared" si="371"/>
        <v>0</v>
      </c>
      <c r="GQ259" s="109">
        <f t="shared" si="379"/>
        <v>0</v>
      </c>
      <c r="GR259" s="109"/>
      <c r="GS259" s="109"/>
      <c r="GT259" s="111"/>
      <c r="GU259" s="111"/>
      <c r="GV259" s="165"/>
      <c r="GW259" s="168">
        <f t="shared" si="372"/>
        <v>0</v>
      </c>
      <c r="GX259" s="168">
        <f t="shared" si="380"/>
        <v>0</v>
      </c>
      <c r="GY259" s="168"/>
      <c r="GZ259" s="168"/>
      <c r="HA259" s="111"/>
      <c r="HB259" s="111"/>
      <c r="HC259" s="165"/>
      <c r="HD259" s="109">
        <f t="shared" si="373"/>
        <v>0</v>
      </c>
      <c r="HE259" s="109">
        <f t="shared" si="381"/>
        <v>0</v>
      </c>
      <c r="HF259" s="109"/>
      <c r="HG259" s="109"/>
      <c r="HH259" s="111"/>
      <c r="HI259" s="111"/>
      <c r="HJ259" s="165"/>
      <c r="HK259" s="109">
        <f t="shared" si="374"/>
        <v>0</v>
      </c>
      <c r="HL259" s="109">
        <f t="shared" si="382"/>
        <v>0</v>
      </c>
      <c r="HM259" s="109"/>
      <c r="HN259" s="109"/>
      <c r="HO259" s="111"/>
      <c r="HP259" s="111"/>
      <c r="HQ259" s="165"/>
      <c r="HR259" s="109">
        <f t="shared" si="375"/>
        <v>0</v>
      </c>
      <c r="HS259" s="109">
        <f t="shared" si="383"/>
        <v>0</v>
      </c>
      <c r="HT259" s="109"/>
      <c r="HU259" s="109"/>
      <c r="HV259" s="111"/>
      <c r="HW259" s="111"/>
      <c r="HX259" s="105">
        <f t="shared" si="351"/>
        <v>0</v>
      </c>
      <c r="HY259" s="105">
        <f t="shared" si="351"/>
        <v>0</v>
      </c>
      <c r="HZ259" s="105">
        <f t="shared" si="351"/>
        <v>0</v>
      </c>
      <c r="IA259" s="105">
        <f t="shared" si="345"/>
        <v>0</v>
      </c>
      <c r="IB259" s="109">
        <f t="shared" si="346"/>
        <v>0</v>
      </c>
      <c r="IC259" s="109">
        <f t="shared" si="347"/>
        <v>0</v>
      </c>
      <c r="ID259" s="109">
        <f t="shared" si="348"/>
        <v>0</v>
      </c>
      <c r="IE259" s="109">
        <f t="shared" si="349"/>
        <v>0</v>
      </c>
      <c r="IF259" s="197"/>
      <c r="IG259" s="197"/>
      <c r="IH259" s="197"/>
      <c r="II259" s="197"/>
      <c r="IJ259" s="197"/>
      <c r="IK259" s="197"/>
      <c r="IL259" s="197"/>
      <c r="IM259" s="171"/>
      <c r="IN259" s="171"/>
      <c r="IO259" s="171"/>
      <c r="IP259" s="171"/>
    </row>
    <row r="260" spans="1:250" ht="15" customHeight="1" x14ac:dyDescent="0.3">
      <c r="A260" s="110">
        <f t="shared" si="350"/>
        <v>256</v>
      </c>
      <c r="B260" s="111"/>
      <c r="C260" s="111"/>
      <c r="D260" s="111"/>
      <c r="E260" s="111"/>
      <c r="F260" s="111"/>
      <c r="G260" s="111"/>
      <c r="H260" s="111"/>
      <c r="I260" s="194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75"/>
      <c r="AI260" s="111"/>
      <c r="AJ260" s="111"/>
      <c r="AK260" s="111"/>
      <c r="AL260" s="177"/>
      <c r="AM260" s="176"/>
      <c r="AN260" s="177"/>
      <c r="AO260" s="157"/>
      <c r="AP260" s="158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B260" s="111"/>
      <c r="BC260" s="111"/>
      <c r="BD260" s="111"/>
      <c r="BE260" s="111"/>
      <c r="BF260" s="111"/>
      <c r="BG260" s="111"/>
      <c r="BH260" s="111"/>
      <c r="BI260" s="111"/>
      <c r="BJ260" s="111"/>
      <c r="BK260" s="111"/>
      <c r="BL260" s="175"/>
      <c r="BM260" s="111"/>
      <c r="BN260" s="111"/>
      <c r="BO260" s="111"/>
      <c r="BP260" s="111"/>
      <c r="BQ260" s="111"/>
      <c r="BR260" s="111"/>
      <c r="BS260" s="111"/>
      <c r="BT260" s="111"/>
      <c r="BU260" s="111"/>
      <c r="BV260" s="111"/>
      <c r="BW260" s="111"/>
      <c r="BX260" s="111"/>
      <c r="BY260" s="111"/>
      <c r="BZ260" s="111"/>
      <c r="CA260" s="111"/>
      <c r="CB260" s="111"/>
      <c r="CC260" s="178"/>
      <c r="CD260" s="177">
        <f t="shared" si="334"/>
        <v>0</v>
      </c>
      <c r="CE260" s="148"/>
      <c r="CF260" s="111">
        <f t="shared" si="335"/>
        <v>0</v>
      </c>
      <c r="CG260" s="177"/>
      <c r="CH260" s="204"/>
      <c r="CI260" s="148"/>
      <c r="CJ260" s="165"/>
      <c r="CK260" s="165"/>
      <c r="CL260" s="111"/>
      <c r="CM260" s="111"/>
      <c r="CN260" s="165">
        <f t="shared" si="336"/>
        <v>0</v>
      </c>
      <c r="CO260" s="109">
        <f t="shared" si="337"/>
        <v>0</v>
      </c>
      <c r="CP260" s="109">
        <f t="shared" si="338"/>
        <v>0</v>
      </c>
      <c r="CQ260" s="109"/>
      <c r="CR260" s="109"/>
      <c r="CS260" s="196"/>
      <c r="CT260" s="167"/>
      <c r="CU260" s="165"/>
      <c r="CV260" s="109">
        <f t="shared" si="339"/>
        <v>0</v>
      </c>
      <c r="CW260" s="109">
        <f t="shared" si="340"/>
        <v>0</v>
      </c>
      <c r="CX260" s="109"/>
      <c r="CY260" s="109"/>
      <c r="CZ260" s="111"/>
      <c r="DA260" s="111"/>
      <c r="DB260" s="165"/>
      <c r="DC260" s="109">
        <f t="shared" si="341"/>
        <v>0</v>
      </c>
      <c r="DD260" s="109">
        <f t="shared" si="342"/>
        <v>0</v>
      </c>
      <c r="DE260" s="109"/>
      <c r="DF260" s="109"/>
      <c r="DG260" s="111"/>
      <c r="DH260" s="111"/>
      <c r="DI260" s="165"/>
      <c r="DJ260" s="109">
        <f t="shared" si="343"/>
        <v>0</v>
      </c>
      <c r="DK260" s="109">
        <f t="shared" si="344"/>
        <v>0</v>
      </c>
      <c r="DL260" s="109"/>
      <c r="DM260" s="109"/>
      <c r="DN260" s="111"/>
      <c r="DO260" s="111"/>
      <c r="DP260" s="165"/>
      <c r="DQ260" s="109">
        <f t="shared" si="352"/>
        <v>0</v>
      </c>
      <c r="DR260" s="109">
        <f t="shared" si="353"/>
        <v>0</v>
      </c>
      <c r="DS260" s="109"/>
      <c r="DT260" s="109"/>
      <c r="DU260" s="111"/>
      <c r="DV260" s="111"/>
      <c r="DW260" s="165"/>
      <c r="DX260" s="109">
        <f t="shared" si="354"/>
        <v>0</v>
      </c>
      <c r="DY260" s="109">
        <f t="shared" si="355"/>
        <v>0</v>
      </c>
      <c r="DZ260" s="109"/>
      <c r="EA260" s="109"/>
      <c r="EB260" s="111"/>
      <c r="EC260" s="111"/>
      <c r="ED260" s="165"/>
      <c r="EE260" s="109">
        <f t="shared" si="356"/>
        <v>0</v>
      </c>
      <c r="EF260" s="109">
        <f t="shared" si="357"/>
        <v>0</v>
      </c>
      <c r="EG260" s="109"/>
      <c r="EH260" s="109"/>
      <c r="EI260" s="111"/>
      <c r="EJ260" s="111"/>
      <c r="EK260" s="165"/>
      <c r="EL260" s="109">
        <f t="shared" si="358"/>
        <v>0</v>
      </c>
      <c r="EM260" s="109">
        <f t="shared" si="359"/>
        <v>0</v>
      </c>
      <c r="EN260" s="109"/>
      <c r="EO260" s="109"/>
      <c r="EP260" s="111"/>
      <c r="EQ260" s="111"/>
      <c r="ER260" s="165"/>
      <c r="ES260" s="109">
        <f t="shared" si="360"/>
        <v>0</v>
      </c>
      <c r="ET260" s="109">
        <f t="shared" si="361"/>
        <v>0</v>
      </c>
      <c r="EU260" s="109"/>
      <c r="EV260" s="109"/>
      <c r="EW260" s="111"/>
      <c r="EX260" s="111"/>
      <c r="EY260" s="165"/>
      <c r="EZ260" s="109">
        <f t="shared" si="362"/>
        <v>0</v>
      </c>
      <c r="FA260" s="109">
        <f t="shared" si="363"/>
        <v>0</v>
      </c>
      <c r="FB260" s="109"/>
      <c r="FC260" s="109"/>
      <c r="FD260" s="111"/>
      <c r="FE260" s="111"/>
      <c r="FF260" s="165"/>
      <c r="FG260" s="109">
        <f t="shared" si="364"/>
        <v>0</v>
      </c>
      <c r="FH260" s="109">
        <f t="shared" si="365"/>
        <v>0</v>
      </c>
      <c r="FI260" s="109"/>
      <c r="FJ260" s="109"/>
      <c r="FK260" s="111"/>
      <c r="FL260" s="111"/>
      <c r="FM260" s="165"/>
      <c r="FN260" s="109">
        <f t="shared" si="366"/>
        <v>0</v>
      </c>
      <c r="FO260" s="109">
        <f t="shared" si="367"/>
        <v>0</v>
      </c>
      <c r="FP260" s="109"/>
      <c r="FQ260" s="109"/>
      <c r="FR260" s="111"/>
      <c r="FS260" s="111"/>
      <c r="FT260" s="165"/>
      <c r="FU260" s="109">
        <f t="shared" si="368"/>
        <v>0</v>
      </c>
      <c r="FV260" s="109">
        <f t="shared" si="376"/>
        <v>0</v>
      </c>
      <c r="FW260" s="109"/>
      <c r="FX260" s="109"/>
      <c r="FY260" s="111"/>
      <c r="FZ260" s="111"/>
      <c r="GA260" s="165"/>
      <c r="GB260" s="109">
        <f t="shared" si="369"/>
        <v>0</v>
      </c>
      <c r="GC260" s="109">
        <f t="shared" si="377"/>
        <v>0</v>
      </c>
      <c r="GD260" s="109"/>
      <c r="GE260" s="109"/>
      <c r="GF260" s="111"/>
      <c r="GG260" s="111"/>
      <c r="GH260" s="165"/>
      <c r="GI260" s="109">
        <f t="shared" si="370"/>
        <v>0</v>
      </c>
      <c r="GJ260" s="109">
        <f t="shared" si="378"/>
        <v>0</v>
      </c>
      <c r="GK260" s="109"/>
      <c r="GL260" s="109"/>
      <c r="GM260" s="111"/>
      <c r="GN260" s="111"/>
      <c r="GO260" s="165"/>
      <c r="GP260" s="109">
        <f t="shared" si="371"/>
        <v>0</v>
      </c>
      <c r="GQ260" s="109">
        <f t="shared" si="379"/>
        <v>0</v>
      </c>
      <c r="GR260" s="109"/>
      <c r="GS260" s="109"/>
      <c r="GT260" s="111"/>
      <c r="GU260" s="111"/>
      <c r="GV260" s="165"/>
      <c r="GW260" s="168">
        <f t="shared" si="372"/>
        <v>0</v>
      </c>
      <c r="GX260" s="168">
        <f t="shared" si="380"/>
        <v>0</v>
      </c>
      <c r="GY260" s="168"/>
      <c r="GZ260" s="168"/>
      <c r="HA260" s="111"/>
      <c r="HB260" s="111"/>
      <c r="HC260" s="165"/>
      <c r="HD260" s="109">
        <f t="shared" si="373"/>
        <v>0</v>
      </c>
      <c r="HE260" s="109">
        <f t="shared" si="381"/>
        <v>0</v>
      </c>
      <c r="HF260" s="109"/>
      <c r="HG260" s="109"/>
      <c r="HH260" s="111"/>
      <c r="HI260" s="111"/>
      <c r="HJ260" s="165"/>
      <c r="HK260" s="109">
        <f t="shared" si="374"/>
        <v>0</v>
      </c>
      <c r="HL260" s="109">
        <f t="shared" si="382"/>
        <v>0</v>
      </c>
      <c r="HM260" s="109"/>
      <c r="HN260" s="109"/>
      <c r="HO260" s="111"/>
      <c r="HP260" s="111"/>
      <c r="HQ260" s="165"/>
      <c r="HR260" s="109">
        <f t="shared" si="375"/>
        <v>0</v>
      </c>
      <c r="HS260" s="109">
        <f t="shared" si="383"/>
        <v>0</v>
      </c>
      <c r="HT260" s="109"/>
      <c r="HU260" s="109"/>
      <c r="HV260" s="111"/>
      <c r="HW260" s="111"/>
      <c r="HX260" s="105">
        <f t="shared" si="351"/>
        <v>0</v>
      </c>
      <c r="HY260" s="105">
        <f t="shared" si="351"/>
        <v>0</v>
      </c>
      <c r="HZ260" s="105">
        <f t="shared" si="351"/>
        <v>0</v>
      </c>
      <c r="IA260" s="105">
        <f t="shared" si="345"/>
        <v>0</v>
      </c>
      <c r="IB260" s="109">
        <f t="shared" si="346"/>
        <v>0</v>
      </c>
      <c r="IC260" s="109">
        <f t="shared" si="347"/>
        <v>0</v>
      </c>
      <c r="ID260" s="109">
        <f t="shared" si="348"/>
        <v>0</v>
      </c>
      <c r="IE260" s="109">
        <f t="shared" si="349"/>
        <v>0</v>
      </c>
      <c r="IF260" s="197"/>
      <c r="IG260" s="197"/>
      <c r="IH260" s="197"/>
      <c r="II260" s="197"/>
      <c r="IJ260" s="197"/>
      <c r="IK260" s="197"/>
      <c r="IL260" s="197"/>
      <c r="IM260" s="171"/>
      <c r="IN260" s="171"/>
      <c r="IO260" s="171"/>
      <c r="IP260" s="171"/>
    </row>
    <row r="261" spans="1:250" ht="15" customHeight="1" x14ac:dyDescent="0.3">
      <c r="A261" s="110">
        <f t="shared" si="350"/>
        <v>257</v>
      </c>
      <c r="B261" s="111"/>
      <c r="C261" s="111"/>
      <c r="D261" s="111"/>
      <c r="E261" s="111"/>
      <c r="F261" s="111"/>
      <c r="G261" s="111"/>
      <c r="H261" s="111"/>
      <c r="I261" s="194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75"/>
      <c r="AI261" s="111"/>
      <c r="AJ261" s="111"/>
      <c r="AK261" s="111"/>
      <c r="AL261" s="177"/>
      <c r="AM261" s="176"/>
      <c r="AN261" s="177"/>
      <c r="AO261" s="157"/>
      <c r="AP261" s="158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B261" s="111"/>
      <c r="BC261" s="111"/>
      <c r="BD261" s="111"/>
      <c r="BE261" s="111"/>
      <c r="BF261" s="111"/>
      <c r="BG261" s="111"/>
      <c r="BH261" s="111"/>
      <c r="BI261" s="111"/>
      <c r="BJ261" s="111"/>
      <c r="BK261" s="111"/>
      <c r="BL261" s="175"/>
      <c r="BM261" s="111"/>
      <c r="BN261" s="111"/>
      <c r="BO261" s="111"/>
      <c r="BP261" s="111"/>
      <c r="BQ261" s="111"/>
      <c r="BR261" s="111"/>
      <c r="BS261" s="111"/>
      <c r="BT261" s="111"/>
      <c r="BU261" s="111"/>
      <c r="BV261" s="111"/>
      <c r="BW261" s="111"/>
      <c r="BX261" s="111"/>
      <c r="BY261" s="111"/>
      <c r="BZ261" s="111"/>
      <c r="CA261" s="111"/>
      <c r="CB261" s="111"/>
      <c r="CC261" s="178"/>
      <c r="CD261" s="177">
        <f t="shared" ref="CD261:CD324" si="384">AL261</f>
        <v>0</v>
      </c>
      <c r="CE261" s="148"/>
      <c r="CF261" s="111">
        <f t="shared" ref="CF261:CF324" si="385">AI261</f>
        <v>0</v>
      </c>
      <c r="CG261" s="177"/>
      <c r="CH261" s="204"/>
      <c r="CI261" s="148"/>
      <c r="CJ261" s="165"/>
      <c r="CK261" s="165"/>
      <c r="CL261" s="111"/>
      <c r="CM261" s="111"/>
      <c r="CN261" s="165">
        <f t="shared" ref="CN261:CN324" si="386">CJ261</f>
        <v>0</v>
      </c>
      <c r="CO261" s="109">
        <f t="shared" ref="CO261:CO324" si="387">CQ261-CP261</f>
        <v>0</v>
      </c>
      <c r="CP261" s="109">
        <f t="shared" ref="CP261:CP324" si="388">CQ261/(1+AM261)*AM261</f>
        <v>0</v>
      </c>
      <c r="CQ261" s="109"/>
      <c r="CR261" s="109"/>
      <c r="CS261" s="196"/>
      <c r="CT261" s="167"/>
      <c r="CU261" s="165"/>
      <c r="CV261" s="109">
        <f t="shared" ref="CV261:CV324" si="389">CX261-CW261</f>
        <v>0</v>
      </c>
      <c r="CW261" s="109">
        <f t="shared" ref="CW261:CW324" si="390">CX261/(1+AM261)*AM261</f>
        <v>0</v>
      </c>
      <c r="CX261" s="109"/>
      <c r="CY261" s="109"/>
      <c r="CZ261" s="111"/>
      <c r="DA261" s="111"/>
      <c r="DB261" s="165"/>
      <c r="DC261" s="109">
        <f t="shared" ref="DC261:DC324" si="391">DE261-DD261</f>
        <v>0</v>
      </c>
      <c r="DD261" s="109">
        <f t="shared" ref="DD261:DD324" si="392">DE261/(1+AM261)*AM261</f>
        <v>0</v>
      </c>
      <c r="DE261" s="109"/>
      <c r="DF261" s="109"/>
      <c r="DG261" s="111"/>
      <c r="DH261" s="111"/>
      <c r="DI261" s="165"/>
      <c r="DJ261" s="109">
        <f t="shared" ref="DJ261:DJ324" si="393">DL261-DK261</f>
        <v>0</v>
      </c>
      <c r="DK261" s="109">
        <f t="shared" ref="DK261:DK324" si="394">DL261/(1+AM261)*AM261</f>
        <v>0</v>
      </c>
      <c r="DL261" s="109"/>
      <c r="DM261" s="109"/>
      <c r="DN261" s="111"/>
      <c r="DO261" s="111"/>
      <c r="DP261" s="165"/>
      <c r="DQ261" s="109">
        <f t="shared" si="352"/>
        <v>0</v>
      </c>
      <c r="DR261" s="109">
        <f t="shared" si="353"/>
        <v>0</v>
      </c>
      <c r="DS261" s="109"/>
      <c r="DT261" s="109"/>
      <c r="DU261" s="111"/>
      <c r="DV261" s="111"/>
      <c r="DW261" s="165"/>
      <c r="DX261" s="109">
        <f t="shared" si="354"/>
        <v>0</v>
      </c>
      <c r="DY261" s="109">
        <f t="shared" si="355"/>
        <v>0</v>
      </c>
      <c r="DZ261" s="109"/>
      <c r="EA261" s="109"/>
      <c r="EB261" s="111"/>
      <c r="EC261" s="111"/>
      <c r="ED261" s="165"/>
      <c r="EE261" s="109">
        <f t="shared" si="356"/>
        <v>0</v>
      </c>
      <c r="EF261" s="109">
        <f t="shared" si="357"/>
        <v>0</v>
      </c>
      <c r="EG261" s="109"/>
      <c r="EH261" s="109"/>
      <c r="EI261" s="111"/>
      <c r="EJ261" s="111"/>
      <c r="EK261" s="165"/>
      <c r="EL261" s="109">
        <f t="shared" si="358"/>
        <v>0</v>
      </c>
      <c r="EM261" s="109">
        <f t="shared" si="359"/>
        <v>0</v>
      </c>
      <c r="EN261" s="109"/>
      <c r="EO261" s="109"/>
      <c r="EP261" s="111"/>
      <c r="EQ261" s="111"/>
      <c r="ER261" s="165"/>
      <c r="ES261" s="109">
        <f t="shared" si="360"/>
        <v>0</v>
      </c>
      <c r="ET261" s="109">
        <f t="shared" si="361"/>
        <v>0</v>
      </c>
      <c r="EU261" s="109"/>
      <c r="EV261" s="109"/>
      <c r="EW261" s="111"/>
      <c r="EX261" s="111"/>
      <c r="EY261" s="165"/>
      <c r="EZ261" s="109">
        <f t="shared" si="362"/>
        <v>0</v>
      </c>
      <c r="FA261" s="109">
        <f t="shared" si="363"/>
        <v>0</v>
      </c>
      <c r="FB261" s="109"/>
      <c r="FC261" s="109"/>
      <c r="FD261" s="111"/>
      <c r="FE261" s="111"/>
      <c r="FF261" s="165"/>
      <c r="FG261" s="109">
        <f t="shared" si="364"/>
        <v>0</v>
      </c>
      <c r="FH261" s="109">
        <f t="shared" si="365"/>
        <v>0</v>
      </c>
      <c r="FI261" s="109"/>
      <c r="FJ261" s="109"/>
      <c r="FK261" s="111"/>
      <c r="FL261" s="111"/>
      <c r="FM261" s="165"/>
      <c r="FN261" s="109">
        <f t="shared" si="366"/>
        <v>0</v>
      </c>
      <c r="FO261" s="109">
        <f t="shared" si="367"/>
        <v>0</v>
      </c>
      <c r="FP261" s="109"/>
      <c r="FQ261" s="109"/>
      <c r="FR261" s="111"/>
      <c r="FS261" s="111"/>
      <c r="FT261" s="165"/>
      <c r="FU261" s="109">
        <f t="shared" si="368"/>
        <v>0</v>
      </c>
      <c r="FV261" s="109">
        <f t="shared" si="376"/>
        <v>0</v>
      </c>
      <c r="FW261" s="109"/>
      <c r="FX261" s="109"/>
      <c r="FY261" s="111"/>
      <c r="FZ261" s="111"/>
      <c r="GA261" s="165"/>
      <c r="GB261" s="109">
        <f t="shared" si="369"/>
        <v>0</v>
      </c>
      <c r="GC261" s="109">
        <f t="shared" si="377"/>
        <v>0</v>
      </c>
      <c r="GD261" s="109"/>
      <c r="GE261" s="109"/>
      <c r="GF261" s="111"/>
      <c r="GG261" s="111"/>
      <c r="GH261" s="165"/>
      <c r="GI261" s="109">
        <f t="shared" si="370"/>
        <v>0</v>
      </c>
      <c r="GJ261" s="109">
        <f t="shared" si="378"/>
        <v>0</v>
      </c>
      <c r="GK261" s="109"/>
      <c r="GL261" s="109"/>
      <c r="GM261" s="111"/>
      <c r="GN261" s="111"/>
      <c r="GO261" s="165"/>
      <c r="GP261" s="109">
        <f t="shared" si="371"/>
        <v>0</v>
      </c>
      <c r="GQ261" s="109">
        <f t="shared" si="379"/>
        <v>0</v>
      </c>
      <c r="GR261" s="109"/>
      <c r="GS261" s="109"/>
      <c r="GT261" s="111"/>
      <c r="GU261" s="111"/>
      <c r="GV261" s="165"/>
      <c r="GW261" s="168">
        <f t="shared" si="372"/>
        <v>0</v>
      </c>
      <c r="GX261" s="168">
        <f t="shared" si="380"/>
        <v>0</v>
      </c>
      <c r="GY261" s="168"/>
      <c r="GZ261" s="168"/>
      <c r="HA261" s="111"/>
      <c r="HB261" s="111"/>
      <c r="HC261" s="165"/>
      <c r="HD261" s="109">
        <f t="shared" si="373"/>
        <v>0</v>
      </c>
      <c r="HE261" s="109">
        <f t="shared" si="381"/>
        <v>0</v>
      </c>
      <c r="HF261" s="109"/>
      <c r="HG261" s="109"/>
      <c r="HH261" s="111"/>
      <c r="HI261" s="111"/>
      <c r="HJ261" s="165"/>
      <c r="HK261" s="109">
        <f t="shared" si="374"/>
        <v>0</v>
      </c>
      <c r="HL261" s="109">
        <f t="shared" si="382"/>
        <v>0</v>
      </c>
      <c r="HM261" s="109"/>
      <c r="HN261" s="109"/>
      <c r="HO261" s="111"/>
      <c r="HP261" s="111"/>
      <c r="HQ261" s="165"/>
      <c r="HR261" s="109">
        <f t="shared" si="375"/>
        <v>0</v>
      </c>
      <c r="HS261" s="109">
        <f t="shared" si="383"/>
        <v>0</v>
      </c>
      <c r="HT261" s="109"/>
      <c r="HU261" s="109"/>
      <c r="HV261" s="111"/>
      <c r="HW261" s="111"/>
      <c r="HX261" s="105">
        <f t="shared" si="351"/>
        <v>0</v>
      </c>
      <c r="HY261" s="105">
        <f t="shared" si="351"/>
        <v>0</v>
      </c>
      <c r="HZ261" s="105">
        <f t="shared" si="351"/>
        <v>0</v>
      </c>
      <c r="IA261" s="105">
        <f t="shared" ref="IA261:IA324" si="395">HX261+HY261-HZ261</f>
        <v>0</v>
      </c>
      <c r="IB261" s="109">
        <f t="shared" ref="IB261:IB324" si="396">AO261-HZ261</f>
        <v>0</v>
      </c>
      <c r="IC261" s="109">
        <f t="shared" ref="IC261:IC324" si="397">AL261-HX261</f>
        <v>0</v>
      </c>
      <c r="ID261" s="109">
        <f t="shared" ref="ID261:ID324" si="398">(HZ261+IB261)-AO261</f>
        <v>0</v>
      </c>
      <c r="IE261" s="109">
        <f t="shared" ref="IE261:IE324" si="399">CT261+DA261+DH261+DO261+DV261+EC261+EJ261</f>
        <v>0</v>
      </c>
      <c r="IF261" s="197"/>
      <c r="IG261" s="197"/>
      <c r="IH261" s="197"/>
      <c r="II261" s="197"/>
      <c r="IJ261" s="197"/>
      <c r="IK261" s="197"/>
      <c r="IL261" s="197"/>
      <c r="IM261" s="171"/>
      <c r="IN261" s="171"/>
      <c r="IO261" s="171"/>
      <c r="IP261" s="171"/>
    </row>
    <row r="262" spans="1:250" ht="15" customHeight="1" x14ac:dyDescent="0.3">
      <c r="A262" s="110">
        <f t="shared" ref="A262:A325" si="400">A261+1</f>
        <v>258</v>
      </c>
      <c r="B262" s="111"/>
      <c r="C262" s="111"/>
      <c r="D262" s="111"/>
      <c r="E262" s="111"/>
      <c r="F262" s="111"/>
      <c r="G262" s="111"/>
      <c r="H262" s="111"/>
      <c r="I262" s="194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75"/>
      <c r="AI262" s="111"/>
      <c r="AJ262" s="111"/>
      <c r="AK262" s="111"/>
      <c r="AL262" s="177"/>
      <c r="AM262" s="176"/>
      <c r="AN262" s="177"/>
      <c r="AO262" s="157"/>
      <c r="AP262" s="158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75"/>
      <c r="BM262" s="111"/>
      <c r="BN262" s="111"/>
      <c r="BO262" s="111"/>
      <c r="BP262" s="111"/>
      <c r="BQ262" s="111"/>
      <c r="BR262" s="111"/>
      <c r="BS262" s="111"/>
      <c r="BT262" s="111"/>
      <c r="BU262" s="111"/>
      <c r="BV262" s="111"/>
      <c r="BW262" s="111"/>
      <c r="BX262" s="111"/>
      <c r="BY262" s="111"/>
      <c r="BZ262" s="111"/>
      <c r="CA262" s="111"/>
      <c r="CB262" s="111"/>
      <c r="CC262" s="178"/>
      <c r="CD262" s="177">
        <f t="shared" si="384"/>
        <v>0</v>
      </c>
      <c r="CE262" s="148"/>
      <c r="CF262" s="111">
        <f t="shared" si="385"/>
        <v>0</v>
      </c>
      <c r="CG262" s="177"/>
      <c r="CH262" s="204"/>
      <c r="CI262" s="148"/>
      <c r="CJ262" s="165"/>
      <c r="CK262" s="165"/>
      <c r="CL262" s="111"/>
      <c r="CM262" s="111"/>
      <c r="CN262" s="165">
        <f t="shared" si="386"/>
        <v>0</v>
      </c>
      <c r="CO262" s="109">
        <f t="shared" si="387"/>
        <v>0</v>
      </c>
      <c r="CP262" s="109">
        <f t="shared" si="388"/>
        <v>0</v>
      </c>
      <c r="CQ262" s="109"/>
      <c r="CR262" s="109"/>
      <c r="CS262" s="196"/>
      <c r="CT262" s="167"/>
      <c r="CU262" s="165"/>
      <c r="CV262" s="109">
        <f t="shared" si="389"/>
        <v>0</v>
      </c>
      <c r="CW262" s="109">
        <f t="shared" si="390"/>
        <v>0</v>
      </c>
      <c r="CX262" s="109"/>
      <c r="CY262" s="109"/>
      <c r="CZ262" s="111"/>
      <c r="DA262" s="111"/>
      <c r="DB262" s="165"/>
      <c r="DC262" s="109">
        <f t="shared" si="391"/>
        <v>0</v>
      </c>
      <c r="DD262" s="109">
        <f t="shared" si="392"/>
        <v>0</v>
      </c>
      <c r="DE262" s="109"/>
      <c r="DF262" s="109"/>
      <c r="DG262" s="111"/>
      <c r="DH262" s="111"/>
      <c r="DI262" s="165"/>
      <c r="DJ262" s="109">
        <f t="shared" si="393"/>
        <v>0</v>
      </c>
      <c r="DK262" s="109">
        <f t="shared" si="394"/>
        <v>0</v>
      </c>
      <c r="DL262" s="109"/>
      <c r="DM262" s="109"/>
      <c r="DN262" s="111"/>
      <c r="DO262" s="111"/>
      <c r="DP262" s="165"/>
      <c r="DQ262" s="109">
        <f t="shared" si="352"/>
        <v>0</v>
      </c>
      <c r="DR262" s="109">
        <f t="shared" si="353"/>
        <v>0</v>
      </c>
      <c r="DS262" s="109"/>
      <c r="DT262" s="109"/>
      <c r="DU262" s="111"/>
      <c r="DV262" s="111"/>
      <c r="DW262" s="165"/>
      <c r="DX262" s="109">
        <f t="shared" si="354"/>
        <v>0</v>
      </c>
      <c r="DY262" s="109">
        <f t="shared" si="355"/>
        <v>0</v>
      </c>
      <c r="DZ262" s="109"/>
      <c r="EA262" s="109"/>
      <c r="EB262" s="111"/>
      <c r="EC262" s="111"/>
      <c r="ED262" s="165"/>
      <c r="EE262" s="109">
        <f t="shared" si="356"/>
        <v>0</v>
      </c>
      <c r="EF262" s="109">
        <f t="shared" si="357"/>
        <v>0</v>
      </c>
      <c r="EG262" s="109"/>
      <c r="EH262" s="109"/>
      <c r="EI262" s="111"/>
      <c r="EJ262" s="111"/>
      <c r="EK262" s="165"/>
      <c r="EL262" s="109">
        <f t="shared" si="358"/>
        <v>0</v>
      </c>
      <c r="EM262" s="109">
        <f t="shared" si="359"/>
        <v>0</v>
      </c>
      <c r="EN262" s="109"/>
      <c r="EO262" s="109"/>
      <c r="EP262" s="111"/>
      <c r="EQ262" s="111"/>
      <c r="ER262" s="165"/>
      <c r="ES262" s="109">
        <f t="shared" si="360"/>
        <v>0</v>
      </c>
      <c r="ET262" s="109">
        <f t="shared" si="361"/>
        <v>0</v>
      </c>
      <c r="EU262" s="109"/>
      <c r="EV262" s="109"/>
      <c r="EW262" s="111"/>
      <c r="EX262" s="111"/>
      <c r="EY262" s="165"/>
      <c r="EZ262" s="109">
        <f t="shared" si="362"/>
        <v>0</v>
      </c>
      <c r="FA262" s="109">
        <f t="shared" si="363"/>
        <v>0</v>
      </c>
      <c r="FB262" s="109"/>
      <c r="FC262" s="109"/>
      <c r="FD262" s="111"/>
      <c r="FE262" s="111"/>
      <c r="FF262" s="165"/>
      <c r="FG262" s="109">
        <f t="shared" si="364"/>
        <v>0</v>
      </c>
      <c r="FH262" s="109">
        <f t="shared" si="365"/>
        <v>0</v>
      </c>
      <c r="FI262" s="109"/>
      <c r="FJ262" s="109"/>
      <c r="FK262" s="111"/>
      <c r="FL262" s="111"/>
      <c r="FM262" s="165"/>
      <c r="FN262" s="109">
        <f t="shared" si="366"/>
        <v>0</v>
      </c>
      <c r="FO262" s="109">
        <f t="shared" si="367"/>
        <v>0</v>
      </c>
      <c r="FP262" s="109"/>
      <c r="FQ262" s="109"/>
      <c r="FR262" s="111"/>
      <c r="FS262" s="111"/>
      <c r="FT262" s="165"/>
      <c r="FU262" s="109">
        <f t="shared" si="368"/>
        <v>0</v>
      </c>
      <c r="FV262" s="109">
        <f t="shared" si="376"/>
        <v>0</v>
      </c>
      <c r="FW262" s="109"/>
      <c r="FX262" s="109"/>
      <c r="FY262" s="111"/>
      <c r="FZ262" s="111"/>
      <c r="GA262" s="165"/>
      <c r="GB262" s="109">
        <f t="shared" si="369"/>
        <v>0</v>
      </c>
      <c r="GC262" s="109">
        <f t="shared" si="377"/>
        <v>0</v>
      </c>
      <c r="GD262" s="109"/>
      <c r="GE262" s="109"/>
      <c r="GF262" s="111"/>
      <c r="GG262" s="111"/>
      <c r="GH262" s="165"/>
      <c r="GI262" s="109">
        <f t="shared" si="370"/>
        <v>0</v>
      </c>
      <c r="GJ262" s="109">
        <f t="shared" si="378"/>
        <v>0</v>
      </c>
      <c r="GK262" s="109"/>
      <c r="GL262" s="109"/>
      <c r="GM262" s="111"/>
      <c r="GN262" s="111"/>
      <c r="GO262" s="165"/>
      <c r="GP262" s="109">
        <f t="shared" si="371"/>
        <v>0</v>
      </c>
      <c r="GQ262" s="109">
        <f t="shared" si="379"/>
        <v>0</v>
      </c>
      <c r="GR262" s="109"/>
      <c r="GS262" s="109"/>
      <c r="GT262" s="111"/>
      <c r="GU262" s="111"/>
      <c r="GV262" s="165"/>
      <c r="GW262" s="168">
        <f t="shared" si="372"/>
        <v>0</v>
      </c>
      <c r="GX262" s="168">
        <f t="shared" si="380"/>
        <v>0</v>
      </c>
      <c r="GY262" s="168"/>
      <c r="GZ262" s="168"/>
      <c r="HA262" s="111"/>
      <c r="HB262" s="111"/>
      <c r="HC262" s="165"/>
      <c r="HD262" s="109">
        <f t="shared" si="373"/>
        <v>0</v>
      </c>
      <c r="HE262" s="109">
        <f t="shared" si="381"/>
        <v>0</v>
      </c>
      <c r="HF262" s="109"/>
      <c r="HG262" s="109"/>
      <c r="HH262" s="111"/>
      <c r="HI262" s="111"/>
      <c r="HJ262" s="165"/>
      <c r="HK262" s="109">
        <f t="shared" si="374"/>
        <v>0</v>
      </c>
      <c r="HL262" s="109">
        <f t="shared" si="382"/>
        <v>0</v>
      </c>
      <c r="HM262" s="109"/>
      <c r="HN262" s="109"/>
      <c r="HO262" s="111"/>
      <c r="HP262" s="111"/>
      <c r="HQ262" s="165"/>
      <c r="HR262" s="109">
        <f t="shared" si="375"/>
        <v>0</v>
      </c>
      <c r="HS262" s="109">
        <f t="shared" si="383"/>
        <v>0</v>
      </c>
      <c r="HT262" s="109"/>
      <c r="HU262" s="109"/>
      <c r="HV262" s="111"/>
      <c r="HW262" s="111"/>
      <c r="HX262" s="105">
        <f t="shared" si="351"/>
        <v>0</v>
      </c>
      <c r="HY262" s="105">
        <f t="shared" si="351"/>
        <v>0</v>
      </c>
      <c r="HZ262" s="105">
        <f t="shared" si="351"/>
        <v>0</v>
      </c>
      <c r="IA262" s="105">
        <f t="shared" si="395"/>
        <v>0</v>
      </c>
      <c r="IB262" s="109">
        <f t="shared" si="396"/>
        <v>0</v>
      </c>
      <c r="IC262" s="109">
        <f t="shared" si="397"/>
        <v>0</v>
      </c>
      <c r="ID262" s="109">
        <f t="shared" si="398"/>
        <v>0</v>
      </c>
      <c r="IE262" s="109">
        <f t="shared" si="399"/>
        <v>0</v>
      </c>
      <c r="IF262" s="197"/>
      <c r="IG262" s="197"/>
      <c r="IH262" s="197"/>
      <c r="II262" s="197"/>
      <c r="IJ262" s="197"/>
      <c r="IK262" s="197"/>
      <c r="IL262" s="197"/>
      <c r="IM262" s="171"/>
      <c r="IN262" s="171"/>
      <c r="IO262" s="171"/>
      <c r="IP262" s="171"/>
    </row>
    <row r="263" spans="1:250" ht="15" customHeight="1" x14ac:dyDescent="0.3">
      <c r="A263" s="110">
        <f t="shared" si="400"/>
        <v>259</v>
      </c>
      <c r="B263" s="111"/>
      <c r="C263" s="111"/>
      <c r="D263" s="111"/>
      <c r="E263" s="111"/>
      <c r="F263" s="111"/>
      <c r="G263" s="111"/>
      <c r="H263" s="111"/>
      <c r="I263" s="194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75"/>
      <c r="AI263" s="111"/>
      <c r="AJ263" s="111"/>
      <c r="AK263" s="111"/>
      <c r="AL263" s="177"/>
      <c r="AM263" s="176"/>
      <c r="AN263" s="177"/>
      <c r="AO263" s="157"/>
      <c r="AP263" s="158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75"/>
      <c r="BM263" s="111"/>
      <c r="BN263" s="111"/>
      <c r="BO263" s="111"/>
      <c r="BP263" s="111"/>
      <c r="BQ263" s="111"/>
      <c r="BR263" s="111"/>
      <c r="BS263" s="111"/>
      <c r="BT263" s="111"/>
      <c r="BU263" s="111"/>
      <c r="BV263" s="111"/>
      <c r="BW263" s="111"/>
      <c r="BX263" s="111"/>
      <c r="BY263" s="111"/>
      <c r="BZ263" s="111"/>
      <c r="CA263" s="111"/>
      <c r="CB263" s="111"/>
      <c r="CC263" s="178"/>
      <c r="CD263" s="177">
        <f t="shared" si="384"/>
        <v>0</v>
      </c>
      <c r="CE263" s="148"/>
      <c r="CF263" s="111">
        <f t="shared" si="385"/>
        <v>0</v>
      </c>
      <c r="CG263" s="177"/>
      <c r="CH263" s="204"/>
      <c r="CI263" s="148"/>
      <c r="CJ263" s="165"/>
      <c r="CK263" s="165"/>
      <c r="CL263" s="111"/>
      <c r="CM263" s="111"/>
      <c r="CN263" s="165">
        <f t="shared" si="386"/>
        <v>0</v>
      </c>
      <c r="CO263" s="109">
        <f t="shared" si="387"/>
        <v>0</v>
      </c>
      <c r="CP263" s="109">
        <f t="shared" si="388"/>
        <v>0</v>
      </c>
      <c r="CQ263" s="109"/>
      <c r="CR263" s="109"/>
      <c r="CS263" s="196"/>
      <c r="CT263" s="167"/>
      <c r="CU263" s="165"/>
      <c r="CV263" s="109">
        <f t="shared" si="389"/>
        <v>0</v>
      </c>
      <c r="CW263" s="109">
        <f t="shared" si="390"/>
        <v>0</v>
      </c>
      <c r="CX263" s="109"/>
      <c r="CY263" s="109"/>
      <c r="CZ263" s="111"/>
      <c r="DA263" s="111"/>
      <c r="DB263" s="165"/>
      <c r="DC263" s="109">
        <f t="shared" si="391"/>
        <v>0</v>
      </c>
      <c r="DD263" s="109">
        <f t="shared" si="392"/>
        <v>0</v>
      </c>
      <c r="DE263" s="109"/>
      <c r="DF263" s="109"/>
      <c r="DG263" s="111"/>
      <c r="DH263" s="111"/>
      <c r="DI263" s="165"/>
      <c r="DJ263" s="109">
        <f t="shared" si="393"/>
        <v>0</v>
      </c>
      <c r="DK263" s="109">
        <f t="shared" si="394"/>
        <v>0</v>
      </c>
      <c r="DL263" s="109"/>
      <c r="DM263" s="109"/>
      <c r="DN263" s="111"/>
      <c r="DO263" s="111"/>
      <c r="DP263" s="165"/>
      <c r="DQ263" s="109">
        <f t="shared" si="352"/>
        <v>0</v>
      </c>
      <c r="DR263" s="109">
        <f t="shared" si="353"/>
        <v>0</v>
      </c>
      <c r="DS263" s="109"/>
      <c r="DT263" s="109"/>
      <c r="DU263" s="111"/>
      <c r="DV263" s="111"/>
      <c r="DW263" s="165"/>
      <c r="DX263" s="109">
        <f t="shared" si="354"/>
        <v>0</v>
      </c>
      <c r="DY263" s="109">
        <f t="shared" si="355"/>
        <v>0</v>
      </c>
      <c r="DZ263" s="109"/>
      <c r="EA263" s="109"/>
      <c r="EB263" s="111"/>
      <c r="EC263" s="111"/>
      <c r="ED263" s="165"/>
      <c r="EE263" s="109">
        <f t="shared" si="356"/>
        <v>0</v>
      </c>
      <c r="EF263" s="109">
        <f t="shared" si="357"/>
        <v>0</v>
      </c>
      <c r="EG263" s="109"/>
      <c r="EH263" s="109"/>
      <c r="EI263" s="111"/>
      <c r="EJ263" s="111"/>
      <c r="EK263" s="165"/>
      <c r="EL263" s="109">
        <f t="shared" si="358"/>
        <v>0</v>
      </c>
      <c r="EM263" s="109">
        <f t="shared" si="359"/>
        <v>0</v>
      </c>
      <c r="EN263" s="109"/>
      <c r="EO263" s="109"/>
      <c r="EP263" s="111"/>
      <c r="EQ263" s="111"/>
      <c r="ER263" s="165"/>
      <c r="ES263" s="109">
        <f t="shared" si="360"/>
        <v>0</v>
      </c>
      <c r="ET263" s="109">
        <f t="shared" si="361"/>
        <v>0</v>
      </c>
      <c r="EU263" s="109"/>
      <c r="EV263" s="109"/>
      <c r="EW263" s="111"/>
      <c r="EX263" s="111"/>
      <c r="EY263" s="165"/>
      <c r="EZ263" s="109">
        <f t="shared" si="362"/>
        <v>0</v>
      </c>
      <c r="FA263" s="109">
        <f t="shared" si="363"/>
        <v>0</v>
      </c>
      <c r="FB263" s="109"/>
      <c r="FC263" s="109"/>
      <c r="FD263" s="111"/>
      <c r="FE263" s="111"/>
      <c r="FF263" s="165"/>
      <c r="FG263" s="109">
        <f t="shared" si="364"/>
        <v>0</v>
      </c>
      <c r="FH263" s="109">
        <f t="shared" si="365"/>
        <v>0</v>
      </c>
      <c r="FI263" s="109"/>
      <c r="FJ263" s="109"/>
      <c r="FK263" s="111"/>
      <c r="FL263" s="111"/>
      <c r="FM263" s="165"/>
      <c r="FN263" s="109">
        <f t="shared" si="366"/>
        <v>0</v>
      </c>
      <c r="FO263" s="109">
        <f t="shared" si="367"/>
        <v>0</v>
      </c>
      <c r="FP263" s="109"/>
      <c r="FQ263" s="109"/>
      <c r="FR263" s="111"/>
      <c r="FS263" s="111"/>
      <c r="FT263" s="165"/>
      <c r="FU263" s="109">
        <f t="shared" si="368"/>
        <v>0</v>
      </c>
      <c r="FV263" s="109">
        <f t="shared" si="376"/>
        <v>0</v>
      </c>
      <c r="FW263" s="109"/>
      <c r="FX263" s="109"/>
      <c r="FY263" s="111"/>
      <c r="FZ263" s="111"/>
      <c r="GA263" s="165"/>
      <c r="GB263" s="109">
        <f t="shared" si="369"/>
        <v>0</v>
      </c>
      <c r="GC263" s="109">
        <f t="shared" si="377"/>
        <v>0</v>
      </c>
      <c r="GD263" s="109"/>
      <c r="GE263" s="109"/>
      <c r="GF263" s="111"/>
      <c r="GG263" s="111"/>
      <c r="GH263" s="165"/>
      <c r="GI263" s="109">
        <f t="shared" si="370"/>
        <v>0</v>
      </c>
      <c r="GJ263" s="109">
        <f t="shared" si="378"/>
        <v>0</v>
      </c>
      <c r="GK263" s="109"/>
      <c r="GL263" s="109"/>
      <c r="GM263" s="111"/>
      <c r="GN263" s="111"/>
      <c r="GO263" s="165"/>
      <c r="GP263" s="109">
        <f t="shared" si="371"/>
        <v>0</v>
      </c>
      <c r="GQ263" s="109">
        <f t="shared" si="379"/>
        <v>0</v>
      </c>
      <c r="GR263" s="109"/>
      <c r="GS263" s="109"/>
      <c r="GT263" s="111"/>
      <c r="GU263" s="111"/>
      <c r="GV263" s="165"/>
      <c r="GW263" s="168">
        <f t="shared" si="372"/>
        <v>0</v>
      </c>
      <c r="GX263" s="168">
        <f t="shared" si="380"/>
        <v>0</v>
      </c>
      <c r="GY263" s="168"/>
      <c r="GZ263" s="168"/>
      <c r="HA263" s="111"/>
      <c r="HB263" s="111"/>
      <c r="HC263" s="165"/>
      <c r="HD263" s="109">
        <f t="shared" si="373"/>
        <v>0</v>
      </c>
      <c r="HE263" s="109">
        <f t="shared" si="381"/>
        <v>0</v>
      </c>
      <c r="HF263" s="109"/>
      <c r="HG263" s="109"/>
      <c r="HH263" s="111"/>
      <c r="HI263" s="111"/>
      <c r="HJ263" s="165"/>
      <c r="HK263" s="109">
        <f t="shared" si="374"/>
        <v>0</v>
      </c>
      <c r="HL263" s="109">
        <f t="shared" si="382"/>
        <v>0</v>
      </c>
      <c r="HM263" s="109"/>
      <c r="HN263" s="109"/>
      <c r="HO263" s="111"/>
      <c r="HP263" s="111"/>
      <c r="HQ263" s="165"/>
      <c r="HR263" s="109">
        <f t="shared" si="375"/>
        <v>0</v>
      </c>
      <c r="HS263" s="109">
        <f t="shared" si="383"/>
        <v>0</v>
      </c>
      <c r="HT263" s="109"/>
      <c r="HU263" s="109"/>
      <c r="HV263" s="111"/>
      <c r="HW263" s="111"/>
      <c r="HX263" s="105">
        <f t="shared" si="351"/>
        <v>0</v>
      </c>
      <c r="HY263" s="105">
        <f t="shared" si="351"/>
        <v>0</v>
      </c>
      <c r="HZ263" s="105">
        <f t="shared" si="351"/>
        <v>0</v>
      </c>
      <c r="IA263" s="105">
        <f t="shared" si="395"/>
        <v>0</v>
      </c>
      <c r="IB263" s="109">
        <f t="shared" si="396"/>
        <v>0</v>
      </c>
      <c r="IC263" s="109">
        <f t="shared" si="397"/>
        <v>0</v>
      </c>
      <c r="ID263" s="109">
        <f t="shared" si="398"/>
        <v>0</v>
      </c>
      <c r="IE263" s="109">
        <f t="shared" si="399"/>
        <v>0</v>
      </c>
      <c r="IF263" s="197"/>
      <c r="IG263" s="197"/>
      <c r="IH263" s="197"/>
      <c r="II263" s="197"/>
      <c r="IJ263" s="197"/>
      <c r="IK263" s="197"/>
      <c r="IL263" s="197"/>
      <c r="IM263" s="171"/>
      <c r="IN263" s="171"/>
      <c r="IO263" s="171"/>
      <c r="IP263" s="171"/>
    </row>
    <row r="264" spans="1:250" ht="15" customHeight="1" x14ac:dyDescent="0.3">
      <c r="A264" s="110">
        <f t="shared" si="400"/>
        <v>260</v>
      </c>
      <c r="B264" s="111"/>
      <c r="C264" s="111"/>
      <c r="D264" s="111"/>
      <c r="E264" s="111"/>
      <c r="F264" s="111"/>
      <c r="G264" s="111"/>
      <c r="H264" s="111"/>
      <c r="I264" s="194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75"/>
      <c r="AI264" s="111"/>
      <c r="AJ264" s="111"/>
      <c r="AK264" s="111"/>
      <c r="AL264" s="177"/>
      <c r="AM264" s="176"/>
      <c r="AN264" s="177"/>
      <c r="AO264" s="157"/>
      <c r="AP264" s="158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  <c r="BJ264" s="111"/>
      <c r="BK264" s="111"/>
      <c r="BL264" s="175"/>
      <c r="BM264" s="111"/>
      <c r="BN264" s="111"/>
      <c r="BO264" s="111"/>
      <c r="BP264" s="111"/>
      <c r="BQ264" s="111"/>
      <c r="BR264" s="111"/>
      <c r="BS264" s="111"/>
      <c r="BT264" s="111"/>
      <c r="BU264" s="111"/>
      <c r="BV264" s="111"/>
      <c r="BW264" s="111"/>
      <c r="BX264" s="111"/>
      <c r="BY264" s="111"/>
      <c r="BZ264" s="111"/>
      <c r="CA264" s="111"/>
      <c r="CB264" s="111"/>
      <c r="CC264" s="178"/>
      <c r="CD264" s="177">
        <f t="shared" si="384"/>
        <v>0</v>
      </c>
      <c r="CE264" s="148"/>
      <c r="CF264" s="111">
        <f t="shared" si="385"/>
        <v>0</v>
      </c>
      <c r="CG264" s="177"/>
      <c r="CH264" s="204"/>
      <c r="CI264" s="148"/>
      <c r="CJ264" s="165"/>
      <c r="CK264" s="165"/>
      <c r="CL264" s="111"/>
      <c r="CM264" s="111"/>
      <c r="CN264" s="165">
        <f t="shared" si="386"/>
        <v>0</v>
      </c>
      <c r="CO264" s="109">
        <f t="shared" si="387"/>
        <v>0</v>
      </c>
      <c r="CP264" s="109">
        <f t="shared" si="388"/>
        <v>0</v>
      </c>
      <c r="CQ264" s="109"/>
      <c r="CR264" s="109"/>
      <c r="CS264" s="196"/>
      <c r="CT264" s="167"/>
      <c r="CU264" s="165"/>
      <c r="CV264" s="109">
        <f t="shared" si="389"/>
        <v>0</v>
      </c>
      <c r="CW264" s="109">
        <f t="shared" si="390"/>
        <v>0</v>
      </c>
      <c r="CX264" s="109"/>
      <c r="CY264" s="109"/>
      <c r="CZ264" s="111"/>
      <c r="DA264" s="111"/>
      <c r="DB264" s="165"/>
      <c r="DC264" s="109">
        <f t="shared" si="391"/>
        <v>0</v>
      </c>
      <c r="DD264" s="109">
        <f t="shared" si="392"/>
        <v>0</v>
      </c>
      <c r="DE264" s="109"/>
      <c r="DF264" s="109"/>
      <c r="DG264" s="111"/>
      <c r="DH264" s="111"/>
      <c r="DI264" s="165"/>
      <c r="DJ264" s="109">
        <f t="shared" si="393"/>
        <v>0</v>
      </c>
      <c r="DK264" s="109">
        <f t="shared" si="394"/>
        <v>0</v>
      </c>
      <c r="DL264" s="109"/>
      <c r="DM264" s="109"/>
      <c r="DN264" s="111"/>
      <c r="DO264" s="111"/>
      <c r="DP264" s="165"/>
      <c r="DQ264" s="109">
        <f t="shared" si="352"/>
        <v>0</v>
      </c>
      <c r="DR264" s="109">
        <f t="shared" si="353"/>
        <v>0</v>
      </c>
      <c r="DS264" s="109"/>
      <c r="DT264" s="109"/>
      <c r="DU264" s="111"/>
      <c r="DV264" s="111"/>
      <c r="DW264" s="165"/>
      <c r="DX264" s="109">
        <f t="shared" si="354"/>
        <v>0</v>
      </c>
      <c r="DY264" s="109">
        <f t="shared" si="355"/>
        <v>0</v>
      </c>
      <c r="DZ264" s="109"/>
      <c r="EA264" s="109"/>
      <c r="EB264" s="111"/>
      <c r="EC264" s="111"/>
      <c r="ED264" s="165"/>
      <c r="EE264" s="109">
        <f t="shared" si="356"/>
        <v>0</v>
      </c>
      <c r="EF264" s="109">
        <f t="shared" si="357"/>
        <v>0</v>
      </c>
      <c r="EG264" s="109"/>
      <c r="EH264" s="109"/>
      <c r="EI264" s="111"/>
      <c r="EJ264" s="111"/>
      <c r="EK264" s="165"/>
      <c r="EL264" s="109">
        <f t="shared" si="358"/>
        <v>0</v>
      </c>
      <c r="EM264" s="109">
        <f t="shared" si="359"/>
        <v>0</v>
      </c>
      <c r="EN264" s="109"/>
      <c r="EO264" s="109"/>
      <c r="EP264" s="111"/>
      <c r="EQ264" s="111"/>
      <c r="ER264" s="165"/>
      <c r="ES264" s="109">
        <f t="shared" si="360"/>
        <v>0</v>
      </c>
      <c r="ET264" s="109">
        <f t="shared" si="361"/>
        <v>0</v>
      </c>
      <c r="EU264" s="109"/>
      <c r="EV264" s="109"/>
      <c r="EW264" s="111"/>
      <c r="EX264" s="111"/>
      <c r="EY264" s="165"/>
      <c r="EZ264" s="109">
        <f t="shared" si="362"/>
        <v>0</v>
      </c>
      <c r="FA264" s="109">
        <f t="shared" si="363"/>
        <v>0</v>
      </c>
      <c r="FB264" s="109"/>
      <c r="FC264" s="109"/>
      <c r="FD264" s="111"/>
      <c r="FE264" s="111"/>
      <c r="FF264" s="165"/>
      <c r="FG264" s="109">
        <f t="shared" si="364"/>
        <v>0</v>
      </c>
      <c r="FH264" s="109">
        <f t="shared" si="365"/>
        <v>0</v>
      </c>
      <c r="FI264" s="109"/>
      <c r="FJ264" s="109"/>
      <c r="FK264" s="111"/>
      <c r="FL264" s="111"/>
      <c r="FM264" s="165"/>
      <c r="FN264" s="109">
        <f t="shared" si="366"/>
        <v>0</v>
      </c>
      <c r="FO264" s="109">
        <f t="shared" si="367"/>
        <v>0</v>
      </c>
      <c r="FP264" s="109"/>
      <c r="FQ264" s="109"/>
      <c r="FR264" s="111"/>
      <c r="FS264" s="111"/>
      <c r="FT264" s="165"/>
      <c r="FU264" s="109">
        <f t="shared" si="368"/>
        <v>0</v>
      </c>
      <c r="FV264" s="109">
        <f t="shared" si="376"/>
        <v>0</v>
      </c>
      <c r="FW264" s="109"/>
      <c r="FX264" s="109"/>
      <c r="FY264" s="111"/>
      <c r="FZ264" s="111"/>
      <c r="GA264" s="165"/>
      <c r="GB264" s="109">
        <f t="shared" si="369"/>
        <v>0</v>
      </c>
      <c r="GC264" s="109">
        <f t="shared" si="377"/>
        <v>0</v>
      </c>
      <c r="GD264" s="109"/>
      <c r="GE264" s="109"/>
      <c r="GF264" s="111"/>
      <c r="GG264" s="111"/>
      <c r="GH264" s="165"/>
      <c r="GI264" s="109">
        <f t="shared" si="370"/>
        <v>0</v>
      </c>
      <c r="GJ264" s="109">
        <f t="shared" si="378"/>
        <v>0</v>
      </c>
      <c r="GK264" s="109"/>
      <c r="GL264" s="109"/>
      <c r="GM264" s="111"/>
      <c r="GN264" s="111"/>
      <c r="GO264" s="165"/>
      <c r="GP264" s="109">
        <f t="shared" si="371"/>
        <v>0</v>
      </c>
      <c r="GQ264" s="109">
        <f t="shared" si="379"/>
        <v>0</v>
      </c>
      <c r="GR264" s="109"/>
      <c r="GS264" s="109"/>
      <c r="GT264" s="111"/>
      <c r="GU264" s="111"/>
      <c r="GV264" s="165"/>
      <c r="GW264" s="168">
        <f t="shared" si="372"/>
        <v>0</v>
      </c>
      <c r="GX264" s="168">
        <f t="shared" si="380"/>
        <v>0</v>
      </c>
      <c r="GY264" s="168"/>
      <c r="GZ264" s="168"/>
      <c r="HA264" s="111"/>
      <c r="HB264" s="111"/>
      <c r="HC264" s="165"/>
      <c r="HD264" s="109">
        <f t="shared" si="373"/>
        <v>0</v>
      </c>
      <c r="HE264" s="109">
        <f t="shared" si="381"/>
        <v>0</v>
      </c>
      <c r="HF264" s="109"/>
      <c r="HG264" s="109"/>
      <c r="HH264" s="111"/>
      <c r="HI264" s="111"/>
      <c r="HJ264" s="165"/>
      <c r="HK264" s="109">
        <f t="shared" si="374"/>
        <v>0</v>
      </c>
      <c r="HL264" s="109">
        <f t="shared" si="382"/>
        <v>0</v>
      </c>
      <c r="HM264" s="109"/>
      <c r="HN264" s="109"/>
      <c r="HO264" s="111"/>
      <c r="HP264" s="111"/>
      <c r="HQ264" s="165"/>
      <c r="HR264" s="109">
        <f t="shared" si="375"/>
        <v>0</v>
      </c>
      <c r="HS264" s="109">
        <f t="shared" si="383"/>
        <v>0</v>
      </c>
      <c r="HT264" s="109"/>
      <c r="HU264" s="109"/>
      <c r="HV264" s="111"/>
      <c r="HW264" s="111"/>
      <c r="HX264" s="105">
        <f t="shared" ref="HX264:HZ327" si="401">CO264+CV264+DC264+DJ264+DQ264+DX264+EE264+EL264+ES264+EZ264+FG264+FN264+FU264+GB264+GI264+GP264+GW264+HD264+HK264+HR264</f>
        <v>0</v>
      </c>
      <c r="HY264" s="105">
        <f t="shared" si="401"/>
        <v>0</v>
      </c>
      <c r="HZ264" s="105">
        <f t="shared" si="401"/>
        <v>0</v>
      </c>
      <c r="IA264" s="105">
        <f t="shared" si="395"/>
        <v>0</v>
      </c>
      <c r="IB264" s="109">
        <f t="shared" si="396"/>
        <v>0</v>
      </c>
      <c r="IC264" s="109">
        <f t="shared" si="397"/>
        <v>0</v>
      </c>
      <c r="ID264" s="109">
        <f t="shared" si="398"/>
        <v>0</v>
      </c>
      <c r="IE264" s="109">
        <f t="shared" si="399"/>
        <v>0</v>
      </c>
      <c r="IF264" s="197"/>
      <c r="IG264" s="197"/>
      <c r="IH264" s="197"/>
      <c r="II264" s="197"/>
      <c r="IJ264" s="197"/>
      <c r="IK264" s="197"/>
      <c r="IL264" s="197"/>
      <c r="IM264" s="171"/>
      <c r="IN264" s="171"/>
      <c r="IO264" s="171"/>
      <c r="IP264" s="171"/>
    </row>
    <row r="265" spans="1:250" ht="15" customHeight="1" x14ac:dyDescent="0.3">
      <c r="A265" s="110">
        <f t="shared" si="400"/>
        <v>261</v>
      </c>
      <c r="B265" s="111"/>
      <c r="C265" s="111"/>
      <c r="D265" s="111"/>
      <c r="E265" s="111"/>
      <c r="F265" s="111"/>
      <c r="G265" s="111"/>
      <c r="H265" s="111"/>
      <c r="I265" s="194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75"/>
      <c r="AI265" s="111"/>
      <c r="AJ265" s="111"/>
      <c r="AK265" s="111"/>
      <c r="AL265" s="177"/>
      <c r="AM265" s="176"/>
      <c r="AN265" s="177"/>
      <c r="AO265" s="157"/>
      <c r="AP265" s="158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75"/>
      <c r="BM265" s="111"/>
      <c r="BN265" s="111"/>
      <c r="BO265" s="111"/>
      <c r="BP265" s="111"/>
      <c r="BQ265" s="111"/>
      <c r="BR265" s="111"/>
      <c r="BS265" s="111"/>
      <c r="BT265" s="111"/>
      <c r="BU265" s="111"/>
      <c r="BV265" s="111"/>
      <c r="BW265" s="111"/>
      <c r="BX265" s="111"/>
      <c r="BY265" s="111"/>
      <c r="BZ265" s="111"/>
      <c r="CA265" s="111"/>
      <c r="CB265" s="111"/>
      <c r="CC265" s="178"/>
      <c r="CD265" s="177">
        <f t="shared" si="384"/>
        <v>0</v>
      </c>
      <c r="CE265" s="148"/>
      <c r="CF265" s="111">
        <f t="shared" si="385"/>
        <v>0</v>
      </c>
      <c r="CG265" s="177"/>
      <c r="CH265" s="204"/>
      <c r="CI265" s="148"/>
      <c r="CJ265" s="165"/>
      <c r="CK265" s="165"/>
      <c r="CL265" s="111"/>
      <c r="CM265" s="111"/>
      <c r="CN265" s="165">
        <f t="shared" si="386"/>
        <v>0</v>
      </c>
      <c r="CO265" s="109">
        <f t="shared" si="387"/>
        <v>0</v>
      </c>
      <c r="CP265" s="109">
        <f t="shared" si="388"/>
        <v>0</v>
      </c>
      <c r="CQ265" s="109"/>
      <c r="CR265" s="109"/>
      <c r="CS265" s="196"/>
      <c r="CT265" s="167"/>
      <c r="CU265" s="165"/>
      <c r="CV265" s="109">
        <f t="shared" si="389"/>
        <v>0</v>
      </c>
      <c r="CW265" s="109">
        <f t="shared" si="390"/>
        <v>0</v>
      </c>
      <c r="CX265" s="109"/>
      <c r="CY265" s="109"/>
      <c r="CZ265" s="111"/>
      <c r="DA265" s="111"/>
      <c r="DB265" s="165"/>
      <c r="DC265" s="109">
        <f t="shared" si="391"/>
        <v>0</v>
      </c>
      <c r="DD265" s="109">
        <f t="shared" si="392"/>
        <v>0</v>
      </c>
      <c r="DE265" s="109"/>
      <c r="DF265" s="109"/>
      <c r="DG265" s="111"/>
      <c r="DH265" s="111"/>
      <c r="DI265" s="165"/>
      <c r="DJ265" s="109">
        <f t="shared" si="393"/>
        <v>0</v>
      </c>
      <c r="DK265" s="109">
        <f t="shared" si="394"/>
        <v>0</v>
      </c>
      <c r="DL265" s="109"/>
      <c r="DM265" s="109"/>
      <c r="DN265" s="111"/>
      <c r="DO265" s="111"/>
      <c r="DP265" s="165"/>
      <c r="DQ265" s="109">
        <f t="shared" si="352"/>
        <v>0</v>
      </c>
      <c r="DR265" s="109">
        <f t="shared" si="353"/>
        <v>0</v>
      </c>
      <c r="DS265" s="109"/>
      <c r="DT265" s="109"/>
      <c r="DU265" s="111"/>
      <c r="DV265" s="111"/>
      <c r="DW265" s="165"/>
      <c r="DX265" s="109">
        <f t="shared" si="354"/>
        <v>0</v>
      </c>
      <c r="DY265" s="109">
        <f t="shared" si="355"/>
        <v>0</v>
      </c>
      <c r="DZ265" s="109"/>
      <c r="EA265" s="109"/>
      <c r="EB265" s="111"/>
      <c r="EC265" s="111"/>
      <c r="ED265" s="165"/>
      <c r="EE265" s="109">
        <f t="shared" si="356"/>
        <v>0</v>
      </c>
      <c r="EF265" s="109">
        <f t="shared" si="357"/>
        <v>0</v>
      </c>
      <c r="EG265" s="109"/>
      <c r="EH265" s="109"/>
      <c r="EI265" s="111"/>
      <c r="EJ265" s="111"/>
      <c r="EK265" s="165"/>
      <c r="EL265" s="109">
        <f t="shared" si="358"/>
        <v>0</v>
      </c>
      <c r="EM265" s="109">
        <f t="shared" si="359"/>
        <v>0</v>
      </c>
      <c r="EN265" s="109"/>
      <c r="EO265" s="109"/>
      <c r="EP265" s="111"/>
      <c r="EQ265" s="111"/>
      <c r="ER265" s="165"/>
      <c r="ES265" s="109">
        <f t="shared" si="360"/>
        <v>0</v>
      </c>
      <c r="ET265" s="109">
        <f t="shared" si="361"/>
        <v>0</v>
      </c>
      <c r="EU265" s="109"/>
      <c r="EV265" s="109"/>
      <c r="EW265" s="111"/>
      <c r="EX265" s="111"/>
      <c r="EY265" s="165"/>
      <c r="EZ265" s="109">
        <f t="shared" si="362"/>
        <v>0</v>
      </c>
      <c r="FA265" s="109">
        <f t="shared" si="363"/>
        <v>0</v>
      </c>
      <c r="FB265" s="109"/>
      <c r="FC265" s="109"/>
      <c r="FD265" s="111"/>
      <c r="FE265" s="111"/>
      <c r="FF265" s="165"/>
      <c r="FG265" s="109">
        <f t="shared" si="364"/>
        <v>0</v>
      </c>
      <c r="FH265" s="109">
        <f t="shared" si="365"/>
        <v>0</v>
      </c>
      <c r="FI265" s="109"/>
      <c r="FJ265" s="109"/>
      <c r="FK265" s="111"/>
      <c r="FL265" s="111"/>
      <c r="FM265" s="165"/>
      <c r="FN265" s="109">
        <f t="shared" si="366"/>
        <v>0</v>
      </c>
      <c r="FO265" s="109">
        <f t="shared" si="367"/>
        <v>0</v>
      </c>
      <c r="FP265" s="109"/>
      <c r="FQ265" s="109"/>
      <c r="FR265" s="111"/>
      <c r="FS265" s="111"/>
      <c r="FT265" s="165"/>
      <c r="FU265" s="109">
        <f t="shared" si="368"/>
        <v>0</v>
      </c>
      <c r="FV265" s="109">
        <f t="shared" si="376"/>
        <v>0</v>
      </c>
      <c r="FW265" s="109"/>
      <c r="FX265" s="109"/>
      <c r="FY265" s="111"/>
      <c r="FZ265" s="111"/>
      <c r="GA265" s="165"/>
      <c r="GB265" s="109">
        <f t="shared" si="369"/>
        <v>0</v>
      </c>
      <c r="GC265" s="109">
        <f t="shared" si="377"/>
        <v>0</v>
      </c>
      <c r="GD265" s="109"/>
      <c r="GE265" s="109"/>
      <c r="GF265" s="111"/>
      <c r="GG265" s="111"/>
      <c r="GH265" s="165"/>
      <c r="GI265" s="109">
        <f t="shared" si="370"/>
        <v>0</v>
      </c>
      <c r="GJ265" s="109">
        <f t="shared" si="378"/>
        <v>0</v>
      </c>
      <c r="GK265" s="109"/>
      <c r="GL265" s="109"/>
      <c r="GM265" s="111"/>
      <c r="GN265" s="111"/>
      <c r="GO265" s="165"/>
      <c r="GP265" s="109">
        <f t="shared" si="371"/>
        <v>0</v>
      </c>
      <c r="GQ265" s="109">
        <f t="shared" si="379"/>
        <v>0</v>
      </c>
      <c r="GR265" s="109"/>
      <c r="GS265" s="109"/>
      <c r="GT265" s="111"/>
      <c r="GU265" s="111"/>
      <c r="GV265" s="165"/>
      <c r="GW265" s="168">
        <f t="shared" si="372"/>
        <v>0</v>
      </c>
      <c r="GX265" s="168">
        <f t="shared" si="380"/>
        <v>0</v>
      </c>
      <c r="GY265" s="168"/>
      <c r="GZ265" s="168"/>
      <c r="HA265" s="111"/>
      <c r="HB265" s="111"/>
      <c r="HC265" s="165"/>
      <c r="HD265" s="109">
        <f t="shared" si="373"/>
        <v>0</v>
      </c>
      <c r="HE265" s="109">
        <f t="shared" si="381"/>
        <v>0</v>
      </c>
      <c r="HF265" s="109"/>
      <c r="HG265" s="109"/>
      <c r="HH265" s="111"/>
      <c r="HI265" s="111"/>
      <c r="HJ265" s="165"/>
      <c r="HK265" s="109">
        <f t="shared" si="374"/>
        <v>0</v>
      </c>
      <c r="HL265" s="109">
        <f t="shared" si="382"/>
        <v>0</v>
      </c>
      <c r="HM265" s="109"/>
      <c r="HN265" s="109"/>
      <c r="HO265" s="111"/>
      <c r="HP265" s="111"/>
      <c r="HQ265" s="165"/>
      <c r="HR265" s="109">
        <f t="shared" si="375"/>
        <v>0</v>
      </c>
      <c r="HS265" s="109">
        <f t="shared" si="383"/>
        <v>0</v>
      </c>
      <c r="HT265" s="109"/>
      <c r="HU265" s="109"/>
      <c r="HV265" s="111"/>
      <c r="HW265" s="111"/>
      <c r="HX265" s="105">
        <f t="shared" si="401"/>
        <v>0</v>
      </c>
      <c r="HY265" s="105">
        <f t="shared" si="401"/>
        <v>0</v>
      </c>
      <c r="HZ265" s="105">
        <f t="shared" si="401"/>
        <v>0</v>
      </c>
      <c r="IA265" s="105">
        <f t="shared" si="395"/>
        <v>0</v>
      </c>
      <c r="IB265" s="109">
        <f t="shared" si="396"/>
        <v>0</v>
      </c>
      <c r="IC265" s="109">
        <f t="shared" si="397"/>
        <v>0</v>
      </c>
      <c r="ID265" s="109">
        <f t="shared" si="398"/>
        <v>0</v>
      </c>
      <c r="IE265" s="109">
        <f t="shared" si="399"/>
        <v>0</v>
      </c>
      <c r="IF265" s="197"/>
      <c r="IG265" s="197"/>
      <c r="IH265" s="197"/>
      <c r="II265" s="197"/>
      <c r="IJ265" s="197"/>
      <c r="IK265" s="197"/>
      <c r="IL265" s="197"/>
      <c r="IM265" s="171"/>
      <c r="IN265" s="171"/>
      <c r="IO265" s="171"/>
      <c r="IP265" s="171"/>
    </row>
    <row r="266" spans="1:250" ht="15" customHeight="1" x14ac:dyDescent="0.3">
      <c r="A266" s="110">
        <f t="shared" si="400"/>
        <v>262</v>
      </c>
      <c r="B266" s="111"/>
      <c r="C266" s="111"/>
      <c r="D266" s="111"/>
      <c r="E266" s="111"/>
      <c r="F266" s="111"/>
      <c r="G266" s="111"/>
      <c r="H266" s="111"/>
      <c r="I266" s="194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75"/>
      <c r="AI266" s="111"/>
      <c r="AJ266" s="111"/>
      <c r="AK266" s="111"/>
      <c r="AL266" s="177"/>
      <c r="AM266" s="176"/>
      <c r="AN266" s="177"/>
      <c r="AO266" s="157"/>
      <c r="AP266" s="158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  <c r="BG266" s="111"/>
      <c r="BH266" s="111"/>
      <c r="BI266" s="111"/>
      <c r="BJ266" s="111"/>
      <c r="BK266" s="111"/>
      <c r="BL266" s="175"/>
      <c r="BM266" s="111"/>
      <c r="BN266" s="111"/>
      <c r="BO266" s="111"/>
      <c r="BP266" s="111"/>
      <c r="BQ266" s="111"/>
      <c r="BR266" s="111"/>
      <c r="BS266" s="111"/>
      <c r="BT266" s="111"/>
      <c r="BU266" s="111"/>
      <c r="BV266" s="111"/>
      <c r="BW266" s="111"/>
      <c r="BX266" s="111"/>
      <c r="BY266" s="111"/>
      <c r="BZ266" s="111"/>
      <c r="CA266" s="111"/>
      <c r="CB266" s="111"/>
      <c r="CC266" s="178"/>
      <c r="CD266" s="177">
        <f t="shared" si="384"/>
        <v>0</v>
      </c>
      <c r="CE266" s="148"/>
      <c r="CF266" s="111">
        <f t="shared" si="385"/>
        <v>0</v>
      </c>
      <c r="CG266" s="177"/>
      <c r="CH266" s="204"/>
      <c r="CI266" s="148"/>
      <c r="CJ266" s="165"/>
      <c r="CK266" s="165"/>
      <c r="CL266" s="111"/>
      <c r="CM266" s="111"/>
      <c r="CN266" s="165">
        <f t="shared" si="386"/>
        <v>0</v>
      </c>
      <c r="CO266" s="109">
        <f t="shared" si="387"/>
        <v>0</v>
      </c>
      <c r="CP266" s="109">
        <f t="shared" si="388"/>
        <v>0</v>
      </c>
      <c r="CQ266" s="109"/>
      <c r="CR266" s="109"/>
      <c r="CS266" s="196"/>
      <c r="CT266" s="167"/>
      <c r="CU266" s="165"/>
      <c r="CV266" s="109">
        <f t="shared" si="389"/>
        <v>0</v>
      </c>
      <c r="CW266" s="109">
        <f t="shared" si="390"/>
        <v>0</v>
      </c>
      <c r="CX266" s="109"/>
      <c r="CY266" s="109"/>
      <c r="CZ266" s="111"/>
      <c r="DA266" s="111"/>
      <c r="DB266" s="165"/>
      <c r="DC266" s="109">
        <f t="shared" si="391"/>
        <v>0</v>
      </c>
      <c r="DD266" s="109">
        <f t="shared" si="392"/>
        <v>0</v>
      </c>
      <c r="DE266" s="109"/>
      <c r="DF266" s="109"/>
      <c r="DG266" s="111"/>
      <c r="DH266" s="111"/>
      <c r="DI266" s="165"/>
      <c r="DJ266" s="109">
        <f t="shared" si="393"/>
        <v>0</v>
      </c>
      <c r="DK266" s="109">
        <f t="shared" si="394"/>
        <v>0</v>
      </c>
      <c r="DL266" s="109"/>
      <c r="DM266" s="109"/>
      <c r="DN266" s="111"/>
      <c r="DO266" s="111"/>
      <c r="DP266" s="165"/>
      <c r="DQ266" s="109">
        <f t="shared" si="352"/>
        <v>0</v>
      </c>
      <c r="DR266" s="109">
        <f t="shared" si="353"/>
        <v>0</v>
      </c>
      <c r="DS266" s="109"/>
      <c r="DT266" s="109"/>
      <c r="DU266" s="111"/>
      <c r="DV266" s="111"/>
      <c r="DW266" s="165"/>
      <c r="DX266" s="109">
        <f t="shared" si="354"/>
        <v>0</v>
      </c>
      <c r="DY266" s="109">
        <f t="shared" si="355"/>
        <v>0</v>
      </c>
      <c r="DZ266" s="109"/>
      <c r="EA266" s="109"/>
      <c r="EB266" s="111"/>
      <c r="EC266" s="111"/>
      <c r="ED266" s="165"/>
      <c r="EE266" s="109">
        <f t="shared" si="356"/>
        <v>0</v>
      </c>
      <c r="EF266" s="109">
        <f t="shared" si="357"/>
        <v>0</v>
      </c>
      <c r="EG266" s="109"/>
      <c r="EH266" s="109"/>
      <c r="EI266" s="111"/>
      <c r="EJ266" s="111"/>
      <c r="EK266" s="165"/>
      <c r="EL266" s="109">
        <f t="shared" si="358"/>
        <v>0</v>
      </c>
      <c r="EM266" s="109">
        <f t="shared" si="359"/>
        <v>0</v>
      </c>
      <c r="EN266" s="109"/>
      <c r="EO266" s="109"/>
      <c r="EP266" s="111"/>
      <c r="EQ266" s="111"/>
      <c r="ER266" s="165"/>
      <c r="ES266" s="109">
        <f t="shared" si="360"/>
        <v>0</v>
      </c>
      <c r="ET266" s="109">
        <f t="shared" si="361"/>
        <v>0</v>
      </c>
      <c r="EU266" s="109"/>
      <c r="EV266" s="109"/>
      <c r="EW266" s="111"/>
      <c r="EX266" s="111"/>
      <c r="EY266" s="165"/>
      <c r="EZ266" s="109">
        <f t="shared" si="362"/>
        <v>0</v>
      </c>
      <c r="FA266" s="109">
        <f t="shared" si="363"/>
        <v>0</v>
      </c>
      <c r="FB266" s="109"/>
      <c r="FC266" s="109"/>
      <c r="FD266" s="111"/>
      <c r="FE266" s="111"/>
      <c r="FF266" s="165"/>
      <c r="FG266" s="109">
        <f t="shared" si="364"/>
        <v>0</v>
      </c>
      <c r="FH266" s="109">
        <f t="shared" si="365"/>
        <v>0</v>
      </c>
      <c r="FI266" s="109"/>
      <c r="FJ266" s="109"/>
      <c r="FK266" s="111"/>
      <c r="FL266" s="111"/>
      <c r="FM266" s="165"/>
      <c r="FN266" s="109">
        <f t="shared" si="366"/>
        <v>0</v>
      </c>
      <c r="FO266" s="109">
        <f t="shared" si="367"/>
        <v>0</v>
      </c>
      <c r="FP266" s="109"/>
      <c r="FQ266" s="109"/>
      <c r="FR266" s="111"/>
      <c r="FS266" s="111"/>
      <c r="FT266" s="165"/>
      <c r="FU266" s="109">
        <f t="shared" si="368"/>
        <v>0</v>
      </c>
      <c r="FV266" s="109">
        <f t="shared" si="376"/>
        <v>0</v>
      </c>
      <c r="FW266" s="109"/>
      <c r="FX266" s="109"/>
      <c r="FY266" s="111"/>
      <c r="FZ266" s="111"/>
      <c r="GA266" s="165"/>
      <c r="GB266" s="109">
        <f t="shared" si="369"/>
        <v>0</v>
      </c>
      <c r="GC266" s="109">
        <f t="shared" si="377"/>
        <v>0</v>
      </c>
      <c r="GD266" s="109"/>
      <c r="GE266" s="109"/>
      <c r="GF266" s="111"/>
      <c r="GG266" s="111"/>
      <c r="GH266" s="165"/>
      <c r="GI266" s="109">
        <f t="shared" si="370"/>
        <v>0</v>
      </c>
      <c r="GJ266" s="109">
        <f t="shared" si="378"/>
        <v>0</v>
      </c>
      <c r="GK266" s="109"/>
      <c r="GL266" s="109"/>
      <c r="GM266" s="111"/>
      <c r="GN266" s="111"/>
      <c r="GO266" s="165"/>
      <c r="GP266" s="109">
        <f t="shared" si="371"/>
        <v>0</v>
      </c>
      <c r="GQ266" s="109">
        <f t="shared" si="379"/>
        <v>0</v>
      </c>
      <c r="GR266" s="109"/>
      <c r="GS266" s="109"/>
      <c r="GT266" s="111"/>
      <c r="GU266" s="111"/>
      <c r="GV266" s="165"/>
      <c r="GW266" s="168">
        <f t="shared" si="372"/>
        <v>0</v>
      </c>
      <c r="GX266" s="168">
        <f t="shared" si="380"/>
        <v>0</v>
      </c>
      <c r="GY266" s="168"/>
      <c r="GZ266" s="168"/>
      <c r="HA266" s="111"/>
      <c r="HB266" s="111"/>
      <c r="HC266" s="165"/>
      <c r="HD266" s="109">
        <f t="shared" si="373"/>
        <v>0</v>
      </c>
      <c r="HE266" s="109">
        <f t="shared" si="381"/>
        <v>0</v>
      </c>
      <c r="HF266" s="109"/>
      <c r="HG266" s="109"/>
      <c r="HH266" s="111"/>
      <c r="HI266" s="111"/>
      <c r="HJ266" s="165"/>
      <c r="HK266" s="109">
        <f t="shared" si="374"/>
        <v>0</v>
      </c>
      <c r="HL266" s="109">
        <f t="shared" si="382"/>
        <v>0</v>
      </c>
      <c r="HM266" s="109"/>
      <c r="HN266" s="109"/>
      <c r="HO266" s="111"/>
      <c r="HP266" s="111"/>
      <c r="HQ266" s="165"/>
      <c r="HR266" s="109">
        <f t="shared" si="375"/>
        <v>0</v>
      </c>
      <c r="HS266" s="109">
        <f t="shared" si="383"/>
        <v>0</v>
      </c>
      <c r="HT266" s="109"/>
      <c r="HU266" s="109"/>
      <c r="HV266" s="111"/>
      <c r="HW266" s="111"/>
      <c r="HX266" s="105">
        <f t="shared" si="401"/>
        <v>0</v>
      </c>
      <c r="HY266" s="105">
        <f t="shared" si="401"/>
        <v>0</v>
      </c>
      <c r="HZ266" s="105">
        <f t="shared" si="401"/>
        <v>0</v>
      </c>
      <c r="IA266" s="105">
        <f t="shared" si="395"/>
        <v>0</v>
      </c>
      <c r="IB266" s="109">
        <f t="shared" si="396"/>
        <v>0</v>
      </c>
      <c r="IC266" s="109">
        <f t="shared" si="397"/>
        <v>0</v>
      </c>
      <c r="ID266" s="109">
        <f t="shared" si="398"/>
        <v>0</v>
      </c>
      <c r="IE266" s="109">
        <f t="shared" si="399"/>
        <v>0</v>
      </c>
      <c r="IF266" s="197"/>
      <c r="IG266" s="197"/>
      <c r="IH266" s="197"/>
      <c r="II266" s="197"/>
      <c r="IJ266" s="197"/>
      <c r="IK266" s="197"/>
      <c r="IL266" s="197"/>
      <c r="IM266" s="171"/>
      <c r="IN266" s="171"/>
      <c r="IO266" s="171"/>
      <c r="IP266" s="171"/>
    </row>
    <row r="267" spans="1:250" ht="15" customHeight="1" x14ac:dyDescent="0.3">
      <c r="A267" s="110">
        <f t="shared" si="400"/>
        <v>263</v>
      </c>
      <c r="B267" s="111"/>
      <c r="C267" s="111"/>
      <c r="D267" s="111"/>
      <c r="E267" s="111"/>
      <c r="F267" s="111"/>
      <c r="G267" s="111"/>
      <c r="H267" s="111"/>
      <c r="I267" s="194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75"/>
      <c r="AI267" s="111"/>
      <c r="AJ267" s="111"/>
      <c r="AK267" s="111"/>
      <c r="AL267" s="177"/>
      <c r="AM267" s="176"/>
      <c r="AN267" s="177"/>
      <c r="AO267" s="157"/>
      <c r="AP267" s="158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  <c r="BJ267" s="111"/>
      <c r="BK267" s="111"/>
      <c r="BL267" s="175"/>
      <c r="BM267" s="111"/>
      <c r="BN267" s="111"/>
      <c r="BO267" s="111"/>
      <c r="BP267" s="111"/>
      <c r="BQ267" s="111"/>
      <c r="BR267" s="111"/>
      <c r="BS267" s="111"/>
      <c r="BT267" s="111"/>
      <c r="BU267" s="111"/>
      <c r="BV267" s="111"/>
      <c r="BW267" s="111"/>
      <c r="BX267" s="111"/>
      <c r="BY267" s="111"/>
      <c r="BZ267" s="111"/>
      <c r="CA267" s="111"/>
      <c r="CB267" s="111"/>
      <c r="CC267" s="178"/>
      <c r="CD267" s="177">
        <f t="shared" si="384"/>
        <v>0</v>
      </c>
      <c r="CE267" s="148"/>
      <c r="CF267" s="111">
        <f t="shared" si="385"/>
        <v>0</v>
      </c>
      <c r="CG267" s="177"/>
      <c r="CH267" s="204"/>
      <c r="CI267" s="148"/>
      <c r="CJ267" s="165"/>
      <c r="CK267" s="165"/>
      <c r="CL267" s="111"/>
      <c r="CM267" s="111"/>
      <c r="CN267" s="165">
        <f t="shared" si="386"/>
        <v>0</v>
      </c>
      <c r="CO267" s="109">
        <f t="shared" si="387"/>
        <v>0</v>
      </c>
      <c r="CP267" s="109">
        <f t="shared" si="388"/>
        <v>0</v>
      </c>
      <c r="CQ267" s="109"/>
      <c r="CR267" s="109"/>
      <c r="CS267" s="196"/>
      <c r="CT267" s="167"/>
      <c r="CU267" s="165"/>
      <c r="CV267" s="109">
        <f t="shared" si="389"/>
        <v>0</v>
      </c>
      <c r="CW267" s="109">
        <f t="shared" si="390"/>
        <v>0</v>
      </c>
      <c r="CX267" s="109"/>
      <c r="CY267" s="109"/>
      <c r="CZ267" s="111"/>
      <c r="DA267" s="111"/>
      <c r="DB267" s="165"/>
      <c r="DC267" s="109">
        <f t="shared" si="391"/>
        <v>0</v>
      </c>
      <c r="DD267" s="109">
        <f t="shared" si="392"/>
        <v>0</v>
      </c>
      <c r="DE267" s="109"/>
      <c r="DF267" s="109"/>
      <c r="DG267" s="111"/>
      <c r="DH267" s="111"/>
      <c r="DI267" s="165"/>
      <c r="DJ267" s="109">
        <f t="shared" si="393"/>
        <v>0</v>
      </c>
      <c r="DK267" s="109">
        <f t="shared" si="394"/>
        <v>0</v>
      </c>
      <c r="DL267" s="109"/>
      <c r="DM267" s="109"/>
      <c r="DN267" s="111"/>
      <c r="DO267" s="111"/>
      <c r="DP267" s="165"/>
      <c r="DQ267" s="109">
        <f t="shared" si="352"/>
        <v>0</v>
      </c>
      <c r="DR267" s="109">
        <f t="shared" si="353"/>
        <v>0</v>
      </c>
      <c r="DS267" s="109"/>
      <c r="DT267" s="109"/>
      <c r="DU267" s="111"/>
      <c r="DV267" s="111"/>
      <c r="DW267" s="165"/>
      <c r="DX267" s="109">
        <f t="shared" si="354"/>
        <v>0</v>
      </c>
      <c r="DY267" s="109">
        <f t="shared" si="355"/>
        <v>0</v>
      </c>
      <c r="DZ267" s="109"/>
      <c r="EA267" s="109"/>
      <c r="EB267" s="111"/>
      <c r="EC267" s="111"/>
      <c r="ED267" s="165"/>
      <c r="EE267" s="109">
        <f t="shared" si="356"/>
        <v>0</v>
      </c>
      <c r="EF267" s="109">
        <f t="shared" si="357"/>
        <v>0</v>
      </c>
      <c r="EG267" s="109"/>
      <c r="EH267" s="109"/>
      <c r="EI267" s="111"/>
      <c r="EJ267" s="111"/>
      <c r="EK267" s="165"/>
      <c r="EL267" s="109">
        <f t="shared" si="358"/>
        <v>0</v>
      </c>
      <c r="EM267" s="109">
        <f t="shared" si="359"/>
        <v>0</v>
      </c>
      <c r="EN267" s="109"/>
      <c r="EO267" s="109"/>
      <c r="EP267" s="111"/>
      <c r="EQ267" s="111"/>
      <c r="ER267" s="165"/>
      <c r="ES267" s="109">
        <f t="shared" si="360"/>
        <v>0</v>
      </c>
      <c r="ET267" s="109">
        <f t="shared" si="361"/>
        <v>0</v>
      </c>
      <c r="EU267" s="109"/>
      <c r="EV267" s="109"/>
      <c r="EW267" s="111"/>
      <c r="EX267" s="111"/>
      <c r="EY267" s="165"/>
      <c r="EZ267" s="109">
        <f t="shared" si="362"/>
        <v>0</v>
      </c>
      <c r="FA267" s="109">
        <f t="shared" si="363"/>
        <v>0</v>
      </c>
      <c r="FB267" s="109"/>
      <c r="FC267" s="109"/>
      <c r="FD267" s="111"/>
      <c r="FE267" s="111"/>
      <c r="FF267" s="165"/>
      <c r="FG267" s="109">
        <f t="shared" si="364"/>
        <v>0</v>
      </c>
      <c r="FH267" s="109">
        <f t="shared" si="365"/>
        <v>0</v>
      </c>
      <c r="FI267" s="109"/>
      <c r="FJ267" s="109"/>
      <c r="FK267" s="111"/>
      <c r="FL267" s="111"/>
      <c r="FM267" s="165"/>
      <c r="FN267" s="109">
        <f t="shared" si="366"/>
        <v>0</v>
      </c>
      <c r="FO267" s="109">
        <f t="shared" si="367"/>
        <v>0</v>
      </c>
      <c r="FP267" s="109"/>
      <c r="FQ267" s="109"/>
      <c r="FR267" s="111"/>
      <c r="FS267" s="111"/>
      <c r="FT267" s="165"/>
      <c r="FU267" s="109">
        <f t="shared" si="368"/>
        <v>0</v>
      </c>
      <c r="FV267" s="109">
        <f t="shared" si="376"/>
        <v>0</v>
      </c>
      <c r="FW267" s="109"/>
      <c r="FX267" s="109"/>
      <c r="FY267" s="111"/>
      <c r="FZ267" s="111"/>
      <c r="GA267" s="165"/>
      <c r="GB267" s="109">
        <f t="shared" si="369"/>
        <v>0</v>
      </c>
      <c r="GC267" s="109">
        <f t="shared" si="377"/>
        <v>0</v>
      </c>
      <c r="GD267" s="109"/>
      <c r="GE267" s="109"/>
      <c r="GF267" s="111"/>
      <c r="GG267" s="111"/>
      <c r="GH267" s="165"/>
      <c r="GI267" s="109">
        <f t="shared" si="370"/>
        <v>0</v>
      </c>
      <c r="GJ267" s="109">
        <f t="shared" si="378"/>
        <v>0</v>
      </c>
      <c r="GK267" s="109"/>
      <c r="GL267" s="109"/>
      <c r="GM267" s="111"/>
      <c r="GN267" s="111"/>
      <c r="GO267" s="165"/>
      <c r="GP267" s="109">
        <f t="shared" si="371"/>
        <v>0</v>
      </c>
      <c r="GQ267" s="109">
        <f t="shared" si="379"/>
        <v>0</v>
      </c>
      <c r="GR267" s="109"/>
      <c r="GS267" s="109"/>
      <c r="GT267" s="111"/>
      <c r="GU267" s="111"/>
      <c r="GV267" s="165"/>
      <c r="GW267" s="168">
        <f t="shared" si="372"/>
        <v>0</v>
      </c>
      <c r="GX267" s="168">
        <f t="shared" si="380"/>
        <v>0</v>
      </c>
      <c r="GY267" s="168"/>
      <c r="GZ267" s="168"/>
      <c r="HA267" s="111"/>
      <c r="HB267" s="111"/>
      <c r="HC267" s="165"/>
      <c r="HD267" s="109">
        <f t="shared" si="373"/>
        <v>0</v>
      </c>
      <c r="HE267" s="109">
        <f t="shared" si="381"/>
        <v>0</v>
      </c>
      <c r="HF267" s="109"/>
      <c r="HG267" s="109"/>
      <c r="HH267" s="111"/>
      <c r="HI267" s="111"/>
      <c r="HJ267" s="165"/>
      <c r="HK267" s="109">
        <f t="shared" si="374"/>
        <v>0</v>
      </c>
      <c r="HL267" s="109">
        <f t="shared" si="382"/>
        <v>0</v>
      </c>
      <c r="HM267" s="109"/>
      <c r="HN267" s="109"/>
      <c r="HO267" s="111"/>
      <c r="HP267" s="111"/>
      <c r="HQ267" s="165"/>
      <c r="HR267" s="109">
        <f t="shared" si="375"/>
        <v>0</v>
      </c>
      <c r="HS267" s="109">
        <f t="shared" si="383"/>
        <v>0</v>
      </c>
      <c r="HT267" s="109"/>
      <c r="HU267" s="109"/>
      <c r="HV267" s="111"/>
      <c r="HW267" s="111"/>
      <c r="HX267" s="105">
        <f t="shared" si="401"/>
        <v>0</v>
      </c>
      <c r="HY267" s="105">
        <f t="shared" si="401"/>
        <v>0</v>
      </c>
      <c r="HZ267" s="105">
        <f t="shared" si="401"/>
        <v>0</v>
      </c>
      <c r="IA267" s="105">
        <f t="shared" si="395"/>
        <v>0</v>
      </c>
      <c r="IB267" s="109">
        <f t="shared" si="396"/>
        <v>0</v>
      </c>
      <c r="IC267" s="109">
        <f t="shared" si="397"/>
        <v>0</v>
      </c>
      <c r="ID267" s="109">
        <f t="shared" si="398"/>
        <v>0</v>
      </c>
      <c r="IE267" s="109">
        <f t="shared" si="399"/>
        <v>0</v>
      </c>
      <c r="IF267" s="197"/>
      <c r="IG267" s="197"/>
      <c r="IH267" s="197"/>
      <c r="II267" s="197"/>
      <c r="IJ267" s="197"/>
      <c r="IK267" s="197"/>
      <c r="IL267" s="197"/>
      <c r="IM267" s="171"/>
      <c r="IN267" s="171"/>
      <c r="IO267" s="171"/>
      <c r="IP267" s="171"/>
    </row>
    <row r="268" spans="1:250" ht="15" customHeight="1" x14ac:dyDescent="0.3">
      <c r="A268" s="110">
        <f t="shared" si="400"/>
        <v>264</v>
      </c>
      <c r="B268" s="111"/>
      <c r="C268" s="111"/>
      <c r="D268" s="111"/>
      <c r="E268" s="111"/>
      <c r="F268" s="111"/>
      <c r="G268" s="111"/>
      <c r="H268" s="111"/>
      <c r="I268" s="194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75"/>
      <c r="AI268" s="111"/>
      <c r="AJ268" s="111"/>
      <c r="AK268" s="111"/>
      <c r="AL268" s="177"/>
      <c r="AM268" s="176"/>
      <c r="AN268" s="177"/>
      <c r="AO268" s="157"/>
      <c r="AP268" s="158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  <c r="BJ268" s="111"/>
      <c r="BK268" s="111"/>
      <c r="BL268" s="175"/>
      <c r="BM268" s="111"/>
      <c r="BN268" s="111"/>
      <c r="BO268" s="111"/>
      <c r="BP268" s="111"/>
      <c r="BQ268" s="111"/>
      <c r="BR268" s="111"/>
      <c r="BS268" s="111"/>
      <c r="BT268" s="111"/>
      <c r="BU268" s="111"/>
      <c r="BV268" s="111"/>
      <c r="BW268" s="111"/>
      <c r="BX268" s="111"/>
      <c r="BY268" s="111"/>
      <c r="BZ268" s="111"/>
      <c r="CA268" s="111"/>
      <c r="CB268" s="111"/>
      <c r="CC268" s="178"/>
      <c r="CD268" s="177">
        <f t="shared" si="384"/>
        <v>0</v>
      </c>
      <c r="CE268" s="148"/>
      <c r="CF268" s="111">
        <f t="shared" si="385"/>
        <v>0</v>
      </c>
      <c r="CG268" s="177"/>
      <c r="CH268" s="204"/>
      <c r="CI268" s="148"/>
      <c r="CJ268" s="165"/>
      <c r="CK268" s="165"/>
      <c r="CL268" s="111"/>
      <c r="CM268" s="111"/>
      <c r="CN268" s="165">
        <f t="shared" si="386"/>
        <v>0</v>
      </c>
      <c r="CO268" s="109">
        <f t="shared" si="387"/>
        <v>0</v>
      </c>
      <c r="CP268" s="109">
        <f t="shared" si="388"/>
        <v>0</v>
      </c>
      <c r="CQ268" s="109"/>
      <c r="CR268" s="109"/>
      <c r="CS268" s="196"/>
      <c r="CT268" s="167"/>
      <c r="CU268" s="165"/>
      <c r="CV268" s="109">
        <f t="shared" si="389"/>
        <v>0</v>
      </c>
      <c r="CW268" s="109">
        <f t="shared" si="390"/>
        <v>0</v>
      </c>
      <c r="CX268" s="109"/>
      <c r="CY268" s="109"/>
      <c r="CZ268" s="111"/>
      <c r="DA268" s="111"/>
      <c r="DB268" s="165"/>
      <c r="DC268" s="109">
        <f t="shared" si="391"/>
        <v>0</v>
      </c>
      <c r="DD268" s="109">
        <f t="shared" si="392"/>
        <v>0</v>
      </c>
      <c r="DE268" s="109"/>
      <c r="DF268" s="109"/>
      <c r="DG268" s="111"/>
      <c r="DH268" s="111"/>
      <c r="DI268" s="165"/>
      <c r="DJ268" s="109">
        <f t="shared" si="393"/>
        <v>0</v>
      </c>
      <c r="DK268" s="109">
        <f t="shared" si="394"/>
        <v>0</v>
      </c>
      <c r="DL268" s="109"/>
      <c r="DM268" s="109"/>
      <c r="DN268" s="111"/>
      <c r="DO268" s="111"/>
      <c r="DP268" s="165"/>
      <c r="DQ268" s="109">
        <f t="shared" si="352"/>
        <v>0</v>
      </c>
      <c r="DR268" s="109">
        <f t="shared" si="353"/>
        <v>0</v>
      </c>
      <c r="DS268" s="109"/>
      <c r="DT268" s="109"/>
      <c r="DU268" s="111"/>
      <c r="DV268" s="111"/>
      <c r="DW268" s="165"/>
      <c r="DX268" s="109">
        <f t="shared" si="354"/>
        <v>0</v>
      </c>
      <c r="DY268" s="109">
        <f t="shared" si="355"/>
        <v>0</v>
      </c>
      <c r="DZ268" s="109"/>
      <c r="EA268" s="109"/>
      <c r="EB268" s="111"/>
      <c r="EC268" s="111"/>
      <c r="ED268" s="165"/>
      <c r="EE268" s="109">
        <f t="shared" si="356"/>
        <v>0</v>
      </c>
      <c r="EF268" s="109">
        <f t="shared" si="357"/>
        <v>0</v>
      </c>
      <c r="EG268" s="109"/>
      <c r="EH268" s="109"/>
      <c r="EI268" s="111"/>
      <c r="EJ268" s="111"/>
      <c r="EK268" s="165"/>
      <c r="EL268" s="109">
        <f t="shared" si="358"/>
        <v>0</v>
      </c>
      <c r="EM268" s="109">
        <f t="shared" si="359"/>
        <v>0</v>
      </c>
      <c r="EN268" s="109"/>
      <c r="EO268" s="109"/>
      <c r="EP268" s="111"/>
      <c r="EQ268" s="111"/>
      <c r="ER268" s="165"/>
      <c r="ES268" s="109">
        <f t="shared" si="360"/>
        <v>0</v>
      </c>
      <c r="ET268" s="109">
        <f t="shared" si="361"/>
        <v>0</v>
      </c>
      <c r="EU268" s="109"/>
      <c r="EV268" s="109"/>
      <c r="EW268" s="111"/>
      <c r="EX268" s="111"/>
      <c r="EY268" s="165"/>
      <c r="EZ268" s="109">
        <f t="shared" si="362"/>
        <v>0</v>
      </c>
      <c r="FA268" s="109">
        <f t="shared" si="363"/>
        <v>0</v>
      </c>
      <c r="FB268" s="109"/>
      <c r="FC268" s="109"/>
      <c r="FD268" s="111"/>
      <c r="FE268" s="111"/>
      <c r="FF268" s="165"/>
      <c r="FG268" s="109">
        <f t="shared" si="364"/>
        <v>0</v>
      </c>
      <c r="FH268" s="109">
        <f t="shared" si="365"/>
        <v>0</v>
      </c>
      <c r="FI268" s="109"/>
      <c r="FJ268" s="109"/>
      <c r="FK268" s="111"/>
      <c r="FL268" s="111"/>
      <c r="FM268" s="165"/>
      <c r="FN268" s="109">
        <f t="shared" si="366"/>
        <v>0</v>
      </c>
      <c r="FO268" s="109">
        <f t="shared" si="367"/>
        <v>0</v>
      </c>
      <c r="FP268" s="109"/>
      <c r="FQ268" s="109"/>
      <c r="FR268" s="111"/>
      <c r="FS268" s="111"/>
      <c r="FT268" s="165"/>
      <c r="FU268" s="109">
        <f t="shared" si="368"/>
        <v>0</v>
      </c>
      <c r="FV268" s="109">
        <f t="shared" si="376"/>
        <v>0</v>
      </c>
      <c r="FW268" s="109"/>
      <c r="FX268" s="109"/>
      <c r="FY268" s="111"/>
      <c r="FZ268" s="111"/>
      <c r="GA268" s="165"/>
      <c r="GB268" s="109">
        <f t="shared" si="369"/>
        <v>0</v>
      </c>
      <c r="GC268" s="109">
        <f t="shared" si="377"/>
        <v>0</v>
      </c>
      <c r="GD268" s="109"/>
      <c r="GE268" s="109"/>
      <c r="GF268" s="111"/>
      <c r="GG268" s="111"/>
      <c r="GH268" s="165"/>
      <c r="GI268" s="109">
        <f t="shared" si="370"/>
        <v>0</v>
      </c>
      <c r="GJ268" s="109">
        <f t="shared" si="378"/>
        <v>0</v>
      </c>
      <c r="GK268" s="109"/>
      <c r="GL268" s="109"/>
      <c r="GM268" s="111"/>
      <c r="GN268" s="111"/>
      <c r="GO268" s="165"/>
      <c r="GP268" s="109">
        <f t="shared" si="371"/>
        <v>0</v>
      </c>
      <c r="GQ268" s="109">
        <f t="shared" si="379"/>
        <v>0</v>
      </c>
      <c r="GR268" s="109"/>
      <c r="GS268" s="109"/>
      <c r="GT268" s="111"/>
      <c r="GU268" s="111"/>
      <c r="GV268" s="165"/>
      <c r="GW268" s="168">
        <f t="shared" si="372"/>
        <v>0</v>
      </c>
      <c r="GX268" s="168">
        <f t="shared" si="380"/>
        <v>0</v>
      </c>
      <c r="GY268" s="168"/>
      <c r="GZ268" s="168"/>
      <c r="HA268" s="111"/>
      <c r="HB268" s="111"/>
      <c r="HC268" s="165"/>
      <c r="HD268" s="109">
        <f t="shared" si="373"/>
        <v>0</v>
      </c>
      <c r="HE268" s="109">
        <f t="shared" si="381"/>
        <v>0</v>
      </c>
      <c r="HF268" s="109"/>
      <c r="HG268" s="109"/>
      <c r="HH268" s="111"/>
      <c r="HI268" s="111"/>
      <c r="HJ268" s="165"/>
      <c r="HK268" s="109">
        <f t="shared" si="374"/>
        <v>0</v>
      </c>
      <c r="HL268" s="109">
        <f t="shared" si="382"/>
        <v>0</v>
      </c>
      <c r="HM268" s="109"/>
      <c r="HN268" s="109"/>
      <c r="HO268" s="111"/>
      <c r="HP268" s="111"/>
      <c r="HQ268" s="165"/>
      <c r="HR268" s="109">
        <f t="shared" si="375"/>
        <v>0</v>
      </c>
      <c r="HS268" s="109">
        <f t="shared" si="383"/>
        <v>0</v>
      </c>
      <c r="HT268" s="109"/>
      <c r="HU268" s="109"/>
      <c r="HV268" s="111"/>
      <c r="HW268" s="111"/>
      <c r="HX268" s="105">
        <f t="shared" si="401"/>
        <v>0</v>
      </c>
      <c r="HY268" s="105">
        <f t="shared" si="401"/>
        <v>0</v>
      </c>
      <c r="HZ268" s="105">
        <f t="shared" si="401"/>
        <v>0</v>
      </c>
      <c r="IA268" s="105">
        <f t="shared" si="395"/>
        <v>0</v>
      </c>
      <c r="IB268" s="109">
        <f t="shared" si="396"/>
        <v>0</v>
      </c>
      <c r="IC268" s="109">
        <f t="shared" si="397"/>
        <v>0</v>
      </c>
      <c r="ID268" s="109">
        <f t="shared" si="398"/>
        <v>0</v>
      </c>
      <c r="IE268" s="109">
        <f t="shared" si="399"/>
        <v>0</v>
      </c>
      <c r="IF268" s="197"/>
      <c r="IG268" s="197"/>
      <c r="IH268" s="197"/>
      <c r="II268" s="197"/>
      <c r="IJ268" s="197"/>
      <c r="IK268" s="197"/>
      <c r="IL268" s="197"/>
      <c r="IM268" s="171"/>
      <c r="IN268" s="171"/>
      <c r="IO268" s="171"/>
      <c r="IP268" s="171"/>
    </row>
    <row r="269" spans="1:250" ht="15" customHeight="1" x14ac:dyDescent="0.3">
      <c r="A269" s="110">
        <f t="shared" si="400"/>
        <v>265</v>
      </c>
      <c r="B269" s="111"/>
      <c r="C269" s="111"/>
      <c r="D269" s="111"/>
      <c r="E269" s="111"/>
      <c r="F269" s="111"/>
      <c r="G269" s="111"/>
      <c r="H269" s="111"/>
      <c r="I269" s="194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75"/>
      <c r="AI269" s="111"/>
      <c r="AJ269" s="111"/>
      <c r="AK269" s="111"/>
      <c r="AL269" s="177"/>
      <c r="AM269" s="176"/>
      <c r="AN269" s="177"/>
      <c r="AO269" s="157"/>
      <c r="AP269" s="158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  <c r="BG269" s="111"/>
      <c r="BH269" s="111"/>
      <c r="BI269" s="111"/>
      <c r="BJ269" s="111"/>
      <c r="BK269" s="111"/>
      <c r="BL269" s="175"/>
      <c r="BM269" s="111"/>
      <c r="BN269" s="111"/>
      <c r="BO269" s="111"/>
      <c r="BP269" s="111"/>
      <c r="BQ269" s="111"/>
      <c r="BR269" s="111"/>
      <c r="BS269" s="111"/>
      <c r="BT269" s="111"/>
      <c r="BU269" s="111"/>
      <c r="BV269" s="111"/>
      <c r="BW269" s="111"/>
      <c r="BX269" s="111"/>
      <c r="BY269" s="111"/>
      <c r="BZ269" s="111"/>
      <c r="CA269" s="111"/>
      <c r="CB269" s="111"/>
      <c r="CC269" s="178"/>
      <c r="CD269" s="177">
        <f t="shared" si="384"/>
        <v>0</v>
      </c>
      <c r="CE269" s="148"/>
      <c r="CF269" s="111">
        <f t="shared" si="385"/>
        <v>0</v>
      </c>
      <c r="CG269" s="177"/>
      <c r="CH269" s="204"/>
      <c r="CI269" s="148"/>
      <c r="CJ269" s="165"/>
      <c r="CK269" s="165"/>
      <c r="CL269" s="111"/>
      <c r="CM269" s="111"/>
      <c r="CN269" s="165">
        <f t="shared" si="386"/>
        <v>0</v>
      </c>
      <c r="CO269" s="109">
        <f t="shared" si="387"/>
        <v>0</v>
      </c>
      <c r="CP269" s="109">
        <f t="shared" si="388"/>
        <v>0</v>
      </c>
      <c r="CQ269" s="109"/>
      <c r="CR269" s="109"/>
      <c r="CS269" s="196"/>
      <c r="CT269" s="167"/>
      <c r="CU269" s="165"/>
      <c r="CV269" s="109">
        <f t="shared" si="389"/>
        <v>0</v>
      </c>
      <c r="CW269" s="109">
        <f t="shared" si="390"/>
        <v>0</v>
      </c>
      <c r="CX269" s="109"/>
      <c r="CY269" s="109"/>
      <c r="CZ269" s="111"/>
      <c r="DA269" s="111"/>
      <c r="DB269" s="165"/>
      <c r="DC269" s="109">
        <f t="shared" si="391"/>
        <v>0</v>
      </c>
      <c r="DD269" s="109">
        <f t="shared" si="392"/>
        <v>0</v>
      </c>
      <c r="DE269" s="109"/>
      <c r="DF269" s="109"/>
      <c r="DG269" s="111"/>
      <c r="DH269" s="111"/>
      <c r="DI269" s="165"/>
      <c r="DJ269" s="109">
        <f t="shared" si="393"/>
        <v>0</v>
      </c>
      <c r="DK269" s="109">
        <f t="shared" si="394"/>
        <v>0</v>
      </c>
      <c r="DL269" s="109"/>
      <c r="DM269" s="109"/>
      <c r="DN269" s="111"/>
      <c r="DO269" s="111"/>
      <c r="DP269" s="165"/>
      <c r="DQ269" s="109">
        <f t="shared" si="352"/>
        <v>0</v>
      </c>
      <c r="DR269" s="109">
        <f t="shared" si="353"/>
        <v>0</v>
      </c>
      <c r="DS269" s="109"/>
      <c r="DT269" s="109"/>
      <c r="DU269" s="111"/>
      <c r="DV269" s="111"/>
      <c r="DW269" s="165"/>
      <c r="DX269" s="109">
        <f t="shared" si="354"/>
        <v>0</v>
      </c>
      <c r="DY269" s="109">
        <f t="shared" si="355"/>
        <v>0</v>
      </c>
      <c r="DZ269" s="109"/>
      <c r="EA269" s="109"/>
      <c r="EB269" s="111"/>
      <c r="EC269" s="111"/>
      <c r="ED269" s="165"/>
      <c r="EE269" s="109">
        <f t="shared" si="356"/>
        <v>0</v>
      </c>
      <c r="EF269" s="109">
        <f t="shared" si="357"/>
        <v>0</v>
      </c>
      <c r="EG269" s="109"/>
      <c r="EH269" s="109"/>
      <c r="EI269" s="111"/>
      <c r="EJ269" s="111"/>
      <c r="EK269" s="165"/>
      <c r="EL269" s="109">
        <f t="shared" si="358"/>
        <v>0</v>
      </c>
      <c r="EM269" s="109">
        <f t="shared" si="359"/>
        <v>0</v>
      </c>
      <c r="EN269" s="109"/>
      <c r="EO269" s="109"/>
      <c r="EP269" s="111"/>
      <c r="EQ269" s="111"/>
      <c r="ER269" s="165"/>
      <c r="ES269" s="109">
        <f t="shared" si="360"/>
        <v>0</v>
      </c>
      <c r="ET269" s="109">
        <f t="shared" si="361"/>
        <v>0</v>
      </c>
      <c r="EU269" s="109"/>
      <c r="EV269" s="109"/>
      <c r="EW269" s="111"/>
      <c r="EX269" s="111"/>
      <c r="EY269" s="165"/>
      <c r="EZ269" s="109">
        <f t="shared" si="362"/>
        <v>0</v>
      </c>
      <c r="FA269" s="109">
        <f t="shared" si="363"/>
        <v>0</v>
      </c>
      <c r="FB269" s="109"/>
      <c r="FC269" s="109"/>
      <c r="FD269" s="111"/>
      <c r="FE269" s="111"/>
      <c r="FF269" s="165"/>
      <c r="FG269" s="109">
        <f t="shared" si="364"/>
        <v>0</v>
      </c>
      <c r="FH269" s="109">
        <f t="shared" si="365"/>
        <v>0</v>
      </c>
      <c r="FI269" s="109"/>
      <c r="FJ269" s="109"/>
      <c r="FK269" s="111"/>
      <c r="FL269" s="111"/>
      <c r="FM269" s="165"/>
      <c r="FN269" s="109">
        <f t="shared" si="366"/>
        <v>0</v>
      </c>
      <c r="FO269" s="109">
        <f t="shared" si="367"/>
        <v>0</v>
      </c>
      <c r="FP269" s="109"/>
      <c r="FQ269" s="109"/>
      <c r="FR269" s="111"/>
      <c r="FS269" s="111"/>
      <c r="FT269" s="165"/>
      <c r="FU269" s="109">
        <f t="shared" si="368"/>
        <v>0</v>
      </c>
      <c r="FV269" s="109">
        <f t="shared" si="376"/>
        <v>0</v>
      </c>
      <c r="FW269" s="109"/>
      <c r="FX269" s="109"/>
      <c r="FY269" s="111"/>
      <c r="FZ269" s="111"/>
      <c r="GA269" s="165"/>
      <c r="GB269" s="109">
        <f t="shared" si="369"/>
        <v>0</v>
      </c>
      <c r="GC269" s="109">
        <f t="shared" si="377"/>
        <v>0</v>
      </c>
      <c r="GD269" s="109"/>
      <c r="GE269" s="109"/>
      <c r="GF269" s="111"/>
      <c r="GG269" s="111"/>
      <c r="GH269" s="165"/>
      <c r="GI269" s="109">
        <f t="shared" si="370"/>
        <v>0</v>
      </c>
      <c r="GJ269" s="109">
        <f t="shared" si="378"/>
        <v>0</v>
      </c>
      <c r="GK269" s="109"/>
      <c r="GL269" s="109"/>
      <c r="GM269" s="111"/>
      <c r="GN269" s="111"/>
      <c r="GO269" s="165"/>
      <c r="GP269" s="109">
        <f t="shared" si="371"/>
        <v>0</v>
      </c>
      <c r="GQ269" s="109">
        <f t="shared" si="379"/>
        <v>0</v>
      </c>
      <c r="GR269" s="109"/>
      <c r="GS269" s="109"/>
      <c r="GT269" s="111"/>
      <c r="GU269" s="111"/>
      <c r="GV269" s="165"/>
      <c r="GW269" s="168">
        <f t="shared" si="372"/>
        <v>0</v>
      </c>
      <c r="GX269" s="168">
        <f t="shared" si="380"/>
        <v>0</v>
      </c>
      <c r="GY269" s="168"/>
      <c r="GZ269" s="168"/>
      <c r="HA269" s="111"/>
      <c r="HB269" s="111"/>
      <c r="HC269" s="165"/>
      <c r="HD269" s="109">
        <f t="shared" si="373"/>
        <v>0</v>
      </c>
      <c r="HE269" s="109">
        <f t="shared" si="381"/>
        <v>0</v>
      </c>
      <c r="HF269" s="109"/>
      <c r="HG269" s="109"/>
      <c r="HH269" s="111"/>
      <c r="HI269" s="111"/>
      <c r="HJ269" s="165"/>
      <c r="HK269" s="109">
        <f t="shared" si="374"/>
        <v>0</v>
      </c>
      <c r="HL269" s="109">
        <f t="shared" si="382"/>
        <v>0</v>
      </c>
      <c r="HM269" s="109"/>
      <c r="HN269" s="109"/>
      <c r="HO269" s="111"/>
      <c r="HP269" s="111"/>
      <c r="HQ269" s="165"/>
      <c r="HR269" s="109">
        <f t="shared" si="375"/>
        <v>0</v>
      </c>
      <c r="HS269" s="109">
        <f t="shared" si="383"/>
        <v>0</v>
      </c>
      <c r="HT269" s="109"/>
      <c r="HU269" s="109"/>
      <c r="HV269" s="111"/>
      <c r="HW269" s="111"/>
      <c r="HX269" s="105">
        <f t="shared" si="401"/>
        <v>0</v>
      </c>
      <c r="HY269" s="105">
        <f t="shared" si="401"/>
        <v>0</v>
      </c>
      <c r="HZ269" s="105">
        <f t="shared" si="401"/>
        <v>0</v>
      </c>
      <c r="IA269" s="105">
        <f t="shared" si="395"/>
        <v>0</v>
      </c>
      <c r="IB269" s="109">
        <f t="shared" si="396"/>
        <v>0</v>
      </c>
      <c r="IC269" s="109">
        <f t="shared" si="397"/>
        <v>0</v>
      </c>
      <c r="ID269" s="109">
        <f t="shared" si="398"/>
        <v>0</v>
      </c>
      <c r="IE269" s="109">
        <f t="shared" si="399"/>
        <v>0</v>
      </c>
      <c r="IF269" s="197"/>
      <c r="IG269" s="197"/>
      <c r="IH269" s="197"/>
      <c r="II269" s="197"/>
      <c r="IJ269" s="197"/>
      <c r="IK269" s="197"/>
      <c r="IL269" s="197"/>
      <c r="IM269" s="171"/>
      <c r="IN269" s="171"/>
      <c r="IO269" s="171"/>
      <c r="IP269" s="171"/>
    </row>
    <row r="270" spans="1:250" ht="15" customHeight="1" x14ac:dyDescent="0.3">
      <c r="A270" s="110">
        <f t="shared" si="400"/>
        <v>266</v>
      </c>
      <c r="B270" s="111"/>
      <c r="C270" s="111"/>
      <c r="D270" s="111"/>
      <c r="E270" s="111"/>
      <c r="F270" s="111"/>
      <c r="G270" s="111"/>
      <c r="H270" s="111"/>
      <c r="I270" s="194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75"/>
      <c r="AI270" s="111"/>
      <c r="AJ270" s="111"/>
      <c r="AK270" s="111"/>
      <c r="AL270" s="177"/>
      <c r="AM270" s="176"/>
      <c r="AN270" s="177"/>
      <c r="AO270" s="157"/>
      <c r="AP270" s="158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B270" s="111"/>
      <c r="BC270" s="111"/>
      <c r="BD270" s="111"/>
      <c r="BE270" s="111"/>
      <c r="BF270" s="111"/>
      <c r="BG270" s="111"/>
      <c r="BH270" s="111"/>
      <c r="BI270" s="111"/>
      <c r="BJ270" s="111"/>
      <c r="BK270" s="111"/>
      <c r="BL270" s="175"/>
      <c r="BM270" s="111"/>
      <c r="BN270" s="111"/>
      <c r="BO270" s="111"/>
      <c r="BP270" s="111"/>
      <c r="BQ270" s="111"/>
      <c r="BR270" s="111"/>
      <c r="BS270" s="111"/>
      <c r="BT270" s="111"/>
      <c r="BU270" s="111"/>
      <c r="BV270" s="111"/>
      <c r="BW270" s="111"/>
      <c r="BX270" s="111"/>
      <c r="BY270" s="111"/>
      <c r="BZ270" s="111"/>
      <c r="CA270" s="111"/>
      <c r="CB270" s="111"/>
      <c r="CC270" s="178"/>
      <c r="CD270" s="177">
        <f t="shared" si="384"/>
        <v>0</v>
      </c>
      <c r="CE270" s="148"/>
      <c r="CF270" s="111">
        <f t="shared" si="385"/>
        <v>0</v>
      </c>
      <c r="CG270" s="177"/>
      <c r="CH270" s="204"/>
      <c r="CI270" s="148"/>
      <c r="CJ270" s="165"/>
      <c r="CK270" s="165"/>
      <c r="CL270" s="111"/>
      <c r="CM270" s="111"/>
      <c r="CN270" s="165">
        <f t="shared" si="386"/>
        <v>0</v>
      </c>
      <c r="CO270" s="109">
        <f t="shared" si="387"/>
        <v>0</v>
      </c>
      <c r="CP270" s="109">
        <f t="shared" si="388"/>
        <v>0</v>
      </c>
      <c r="CQ270" s="109"/>
      <c r="CR270" s="109"/>
      <c r="CS270" s="196"/>
      <c r="CT270" s="167"/>
      <c r="CU270" s="165"/>
      <c r="CV270" s="109">
        <f t="shared" si="389"/>
        <v>0</v>
      </c>
      <c r="CW270" s="109">
        <f t="shared" si="390"/>
        <v>0</v>
      </c>
      <c r="CX270" s="109"/>
      <c r="CY270" s="109"/>
      <c r="CZ270" s="111"/>
      <c r="DA270" s="111"/>
      <c r="DB270" s="165"/>
      <c r="DC270" s="109">
        <f t="shared" si="391"/>
        <v>0</v>
      </c>
      <c r="DD270" s="109">
        <f t="shared" si="392"/>
        <v>0</v>
      </c>
      <c r="DE270" s="109"/>
      <c r="DF270" s="109"/>
      <c r="DG270" s="111"/>
      <c r="DH270" s="111"/>
      <c r="DI270" s="165"/>
      <c r="DJ270" s="109">
        <f t="shared" si="393"/>
        <v>0</v>
      </c>
      <c r="DK270" s="109">
        <f t="shared" si="394"/>
        <v>0</v>
      </c>
      <c r="DL270" s="109"/>
      <c r="DM270" s="109"/>
      <c r="DN270" s="111"/>
      <c r="DO270" s="111"/>
      <c r="DP270" s="165"/>
      <c r="DQ270" s="109">
        <f t="shared" si="352"/>
        <v>0</v>
      </c>
      <c r="DR270" s="109">
        <f t="shared" si="353"/>
        <v>0</v>
      </c>
      <c r="DS270" s="109"/>
      <c r="DT270" s="109"/>
      <c r="DU270" s="111"/>
      <c r="DV270" s="111"/>
      <c r="DW270" s="165"/>
      <c r="DX270" s="109">
        <f t="shared" si="354"/>
        <v>0</v>
      </c>
      <c r="DY270" s="109">
        <f t="shared" si="355"/>
        <v>0</v>
      </c>
      <c r="DZ270" s="109"/>
      <c r="EA270" s="109"/>
      <c r="EB270" s="111"/>
      <c r="EC270" s="111"/>
      <c r="ED270" s="165"/>
      <c r="EE270" s="109">
        <f t="shared" si="356"/>
        <v>0</v>
      </c>
      <c r="EF270" s="109">
        <f t="shared" si="357"/>
        <v>0</v>
      </c>
      <c r="EG270" s="109"/>
      <c r="EH270" s="109"/>
      <c r="EI270" s="111"/>
      <c r="EJ270" s="111"/>
      <c r="EK270" s="165"/>
      <c r="EL270" s="109">
        <f t="shared" si="358"/>
        <v>0</v>
      </c>
      <c r="EM270" s="109">
        <f t="shared" si="359"/>
        <v>0</v>
      </c>
      <c r="EN270" s="109"/>
      <c r="EO270" s="109"/>
      <c r="EP270" s="111"/>
      <c r="EQ270" s="111"/>
      <c r="ER270" s="165"/>
      <c r="ES270" s="109">
        <f t="shared" si="360"/>
        <v>0</v>
      </c>
      <c r="ET270" s="109">
        <f t="shared" si="361"/>
        <v>0</v>
      </c>
      <c r="EU270" s="109"/>
      <c r="EV270" s="109"/>
      <c r="EW270" s="111"/>
      <c r="EX270" s="111"/>
      <c r="EY270" s="165"/>
      <c r="EZ270" s="109">
        <f t="shared" si="362"/>
        <v>0</v>
      </c>
      <c r="FA270" s="109">
        <f t="shared" si="363"/>
        <v>0</v>
      </c>
      <c r="FB270" s="109"/>
      <c r="FC270" s="109"/>
      <c r="FD270" s="111"/>
      <c r="FE270" s="111"/>
      <c r="FF270" s="165"/>
      <c r="FG270" s="109">
        <f t="shared" si="364"/>
        <v>0</v>
      </c>
      <c r="FH270" s="109">
        <f t="shared" si="365"/>
        <v>0</v>
      </c>
      <c r="FI270" s="109"/>
      <c r="FJ270" s="109"/>
      <c r="FK270" s="111"/>
      <c r="FL270" s="111"/>
      <c r="FM270" s="165"/>
      <c r="FN270" s="109">
        <f t="shared" si="366"/>
        <v>0</v>
      </c>
      <c r="FO270" s="109">
        <f t="shared" si="367"/>
        <v>0</v>
      </c>
      <c r="FP270" s="109"/>
      <c r="FQ270" s="109"/>
      <c r="FR270" s="111"/>
      <c r="FS270" s="111"/>
      <c r="FT270" s="165"/>
      <c r="FU270" s="109">
        <f t="shared" si="368"/>
        <v>0</v>
      </c>
      <c r="FV270" s="109">
        <f t="shared" si="376"/>
        <v>0</v>
      </c>
      <c r="FW270" s="109"/>
      <c r="FX270" s="109"/>
      <c r="FY270" s="111"/>
      <c r="FZ270" s="111"/>
      <c r="GA270" s="165"/>
      <c r="GB270" s="109">
        <f t="shared" si="369"/>
        <v>0</v>
      </c>
      <c r="GC270" s="109">
        <f t="shared" si="377"/>
        <v>0</v>
      </c>
      <c r="GD270" s="109"/>
      <c r="GE270" s="109"/>
      <c r="GF270" s="111"/>
      <c r="GG270" s="111"/>
      <c r="GH270" s="165"/>
      <c r="GI270" s="109">
        <f t="shared" si="370"/>
        <v>0</v>
      </c>
      <c r="GJ270" s="109">
        <f t="shared" si="378"/>
        <v>0</v>
      </c>
      <c r="GK270" s="109"/>
      <c r="GL270" s="109"/>
      <c r="GM270" s="111"/>
      <c r="GN270" s="111"/>
      <c r="GO270" s="165"/>
      <c r="GP270" s="109">
        <f t="shared" si="371"/>
        <v>0</v>
      </c>
      <c r="GQ270" s="109">
        <f t="shared" si="379"/>
        <v>0</v>
      </c>
      <c r="GR270" s="109"/>
      <c r="GS270" s="109"/>
      <c r="GT270" s="111"/>
      <c r="GU270" s="111"/>
      <c r="GV270" s="165"/>
      <c r="GW270" s="168">
        <f t="shared" si="372"/>
        <v>0</v>
      </c>
      <c r="GX270" s="168">
        <f t="shared" si="380"/>
        <v>0</v>
      </c>
      <c r="GY270" s="168"/>
      <c r="GZ270" s="168"/>
      <c r="HA270" s="111"/>
      <c r="HB270" s="111"/>
      <c r="HC270" s="165"/>
      <c r="HD270" s="109">
        <f t="shared" si="373"/>
        <v>0</v>
      </c>
      <c r="HE270" s="109">
        <f t="shared" si="381"/>
        <v>0</v>
      </c>
      <c r="HF270" s="109"/>
      <c r="HG270" s="109"/>
      <c r="HH270" s="111"/>
      <c r="HI270" s="111"/>
      <c r="HJ270" s="165"/>
      <c r="HK270" s="109">
        <f t="shared" si="374"/>
        <v>0</v>
      </c>
      <c r="HL270" s="109">
        <f t="shared" si="382"/>
        <v>0</v>
      </c>
      <c r="HM270" s="109"/>
      <c r="HN270" s="109"/>
      <c r="HO270" s="111"/>
      <c r="HP270" s="111"/>
      <c r="HQ270" s="165"/>
      <c r="HR270" s="109">
        <f t="shared" si="375"/>
        <v>0</v>
      </c>
      <c r="HS270" s="109">
        <f t="shared" si="383"/>
        <v>0</v>
      </c>
      <c r="HT270" s="109"/>
      <c r="HU270" s="109"/>
      <c r="HV270" s="111"/>
      <c r="HW270" s="111"/>
      <c r="HX270" s="105">
        <f t="shared" si="401"/>
        <v>0</v>
      </c>
      <c r="HY270" s="105">
        <f t="shared" si="401"/>
        <v>0</v>
      </c>
      <c r="HZ270" s="105">
        <f t="shared" si="401"/>
        <v>0</v>
      </c>
      <c r="IA270" s="105">
        <f t="shared" si="395"/>
        <v>0</v>
      </c>
      <c r="IB270" s="109">
        <f t="shared" si="396"/>
        <v>0</v>
      </c>
      <c r="IC270" s="109">
        <f t="shared" si="397"/>
        <v>0</v>
      </c>
      <c r="ID270" s="109">
        <f t="shared" si="398"/>
        <v>0</v>
      </c>
      <c r="IE270" s="109">
        <f t="shared" si="399"/>
        <v>0</v>
      </c>
      <c r="IF270" s="197"/>
      <c r="IG270" s="197"/>
      <c r="IH270" s="197"/>
      <c r="II270" s="197"/>
      <c r="IJ270" s="197"/>
      <c r="IK270" s="197"/>
      <c r="IL270" s="197"/>
      <c r="IM270" s="171"/>
      <c r="IN270" s="171"/>
      <c r="IO270" s="171"/>
      <c r="IP270" s="171"/>
    </row>
    <row r="271" spans="1:250" ht="15" customHeight="1" x14ac:dyDescent="0.3">
      <c r="A271" s="110">
        <f t="shared" si="400"/>
        <v>267</v>
      </c>
      <c r="B271" s="111"/>
      <c r="C271" s="111"/>
      <c r="D271" s="111"/>
      <c r="E271" s="111"/>
      <c r="F271" s="111"/>
      <c r="G271" s="111"/>
      <c r="H271" s="111"/>
      <c r="I271" s="194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75"/>
      <c r="AI271" s="111"/>
      <c r="AJ271" s="111"/>
      <c r="AK271" s="111"/>
      <c r="AL271" s="177"/>
      <c r="AM271" s="176"/>
      <c r="AN271" s="177"/>
      <c r="AO271" s="157"/>
      <c r="AP271" s="158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B271" s="111"/>
      <c r="BC271" s="111"/>
      <c r="BD271" s="111"/>
      <c r="BE271" s="111"/>
      <c r="BF271" s="111"/>
      <c r="BG271" s="111"/>
      <c r="BH271" s="111"/>
      <c r="BI271" s="111"/>
      <c r="BJ271" s="111"/>
      <c r="BK271" s="111"/>
      <c r="BL271" s="175"/>
      <c r="BM271" s="111"/>
      <c r="BN271" s="111"/>
      <c r="BO271" s="111"/>
      <c r="BP271" s="111"/>
      <c r="BQ271" s="111"/>
      <c r="BR271" s="111"/>
      <c r="BS271" s="111"/>
      <c r="BT271" s="111"/>
      <c r="BU271" s="111"/>
      <c r="BV271" s="111"/>
      <c r="BW271" s="111"/>
      <c r="BX271" s="111"/>
      <c r="BY271" s="111"/>
      <c r="BZ271" s="111"/>
      <c r="CA271" s="111"/>
      <c r="CB271" s="111"/>
      <c r="CC271" s="178"/>
      <c r="CD271" s="177">
        <f t="shared" si="384"/>
        <v>0</v>
      </c>
      <c r="CE271" s="148"/>
      <c r="CF271" s="111">
        <f t="shared" si="385"/>
        <v>0</v>
      </c>
      <c r="CG271" s="177"/>
      <c r="CH271" s="204"/>
      <c r="CI271" s="148"/>
      <c r="CJ271" s="165"/>
      <c r="CK271" s="165"/>
      <c r="CL271" s="111"/>
      <c r="CM271" s="111"/>
      <c r="CN271" s="165">
        <f t="shared" si="386"/>
        <v>0</v>
      </c>
      <c r="CO271" s="109">
        <f t="shared" si="387"/>
        <v>0</v>
      </c>
      <c r="CP271" s="109">
        <f t="shared" si="388"/>
        <v>0</v>
      </c>
      <c r="CQ271" s="109"/>
      <c r="CR271" s="109"/>
      <c r="CS271" s="196"/>
      <c r="CT271" s="167"/>
      <c r="CU271" s="165"/>
      <c r="CV271" s="109">
        <f t="shared" si="389"/>
        <v>0</v>
      </c>
      <c r="CW271" s="109">
        <f t="shared" si="390"/>
        <v>0</v>
      </c>
      <c r="CX271" s="109"/>
      <c r="CY271" s="109"/>
      <c r="CZ271" s="111"/>
      <c r="DA271" s="111"/>
      <c r="DB271" s="165"/>
      <c r="DC271" s="109">
        <f t="shared" si="391"/>
        <v>0</v>
      </c>
      <c r="DD271" s="109">
        <f t="shared" si="392"/>
        <v>0</v>
      </c>
      <c r="DE271" s="109"/>
      <c r="DF271" s="109"/>
      <c r="DG271" s="111"/>
      <c r="DH271" s="111"/>
      <c r="DI271" s="165"/>
      <c r="DJ271" s="109">
        <f t="shared" si="393"/>
        <v>0</v>
      </c>
      <c r="DK271" s="109">
        <f t="shared" si="394"/>
        <v>0</v>
      </c>
      <c r="DL271" s="109"/>
      <c r="DM271" s="109"/>
      <c r="DN271" s="111"/>
      <c r="DO271" s="111"/>
      <c r="DP271" s="165"/>
      <c r="DQ271" s="109">
        <f t="shared" si="352"/>
        <v>0</v>
      </c>
      <c r="DR271" s="109">
        <f t="shared" si="353"/>
        <v>0</v>
      </c>
      <c r="DS271" s="109"/>
      <c r="DT271" s="109"/>
      <c r="DU271" s="111"/>
      <c r="DV271" s="111"/>
      <c r="DW271" s="165"/>
      <c r="DX271" s="109">
        <f t="shared" si="354"/>
        <v>0</v>
      </c>
      <c r="DY271" s="109">
        <f t="shared" si="355"/>
        <v>0</v>
      </c>
      <c r="DZ271" s="109"/>
      <c r="EA271" s="109"/>
      <c r="EB271" s="111"/>
      <c r="EC271" s="111"/>
      <c r="ED271" s="165"/>
      <c r="EE271" s="109">
        <f t="shared" si="356"/>
        <v>0</v>
      </c>
      <c r="EF271" s="109">
        <f t="shared" si="357"/>
        <v>0</v>
      </c>
      <c r="EG271" s="109"/>
      <c r="EH271" s="109"/>
      <c r="EI271" s="111"/>
      <c r="EJ271" s="111"/>
      <c r="EK271" s="165"/>
      <c r="EL271" s="109">
        <f t="shared" si="358"/>
        <v>0</v>
      </c>
      <c r="EM271" s="109">
        <f t="shared" si="359"/>
        <v>0</v>
      </c>
      <c r="EN271" s="109"/>
      <c r="EO271" s="109"/>
      <c r="EP271" s="111"/>
      <c r="EQ271" s="111"/>
      <c r="ER271" s="165"/>
      <c r="ES271" s="109">
        <f t="shared" si="360"/>
        <v>0</v>
      </c>
      <c r="ET271" s="109">
        <f t="shared" si="361"/>
        <v>0</v>
      </c>
      <c r="EU271" s="109"/>
      <c r="EV271" s="109"/>
      <c r="EW271" s="111"/>
      <c r="EX271" s="111"/>
      <c r="EY271" s="165"/>
      <c r="EZ271" s="109">
        <f t="shared" si="362"/>
        <v>0</v>
      </c>
      <c r="FA271" s="109">
        <f t="shared" si="363"/>
        <v>0</v>
      </c>
      <c r="FB271" s="109"/>
      <c r="FC271" s="109"/>
      <c r="FD271" s="111"/>
      <c r="FE271" s="111"/>
      <c r="FF271" s="165"/>
      <c r="FG271" s="109">
        <f t="shared" si="364"/>
        <v>0</v>
      </c>
      <c r="FH271" s="109">
        <f t="shared" si="365"/>
        <v>0</v>
      </c>
      <c r="FI271" s="109"/>
      <c r="FJ271" s="109"/>
      <c r="FK271" s="111"/>
      <c r="FL271" s="111"/>
      <c r="FM271" s="165"/>
      <c r="FN271" s="109">
        <f t="shared" si="366"/>
        <v>0</v>
      </c>
      <c r="FO271" s="109">
        <f t="shared" si="367"/>
        <v>0</v>
      </c>
      <c r="FP271" s="109"/>
      <c r="FQ271" s="109"/>
      <c r="FR271" s="111"/>
      <c r="FS271" s="111"/>
      <c r="FT271" s="165"/>
      <c r="FU271" s="109">
        <f t="shared" si="368"/>
        <v>0</v>
      </c>
      <c r="FV271" s="109">
        <f t="shared" si="376"/>
        <v>0</v>
      </c>
      <c r="FW271" s="109"/>
      <c r="FX271" s="109"/>
      <c r="FY271" s="111"/>
      <c r="FZ271" s="111"/>
      <c r="GA271" s="165"/>
      <c r="GB271" s="109">
        <f t="shared" si="369"/>
        <v>0</v>
      </c>
      <c r="GC271" s="109">
        <f t="shared" si="377"/>
        <v>0</v>
      </c>
      <c r="GD271" s="109"/>
      <c r="GE271" s="109"/>
      <c r="GF271" s="111"/>
      <c r="GG271" s="111"/>
      <c r="GH271" s="165"/>
      <c r="GI271" s="109">
        <f t="shared" si="370"/>
        <v>0</v>
      </c>
      <c r="GJ271" s="109">
        <f t="shared" si="378"/>
        <v>0</v>
      </c>
      <c r="GK271" s="109"/>
      <c r="GL271" s="109"/>
      <c r="GM271" s="111"/>
      <c r="GN271" s="111"/>
      <c r="GO271" s="165"/>
      <c r="GP271" s="109">
        <f t="shared" si="371"/>
        <v>0</v>
      </c>
      <c r="GQ271" s="109">
        <f t="shared" si="379"/>
        <v>0</v>
      </c>
      <c r="GR271" s="109"/>
      <c r="GS271" s="109"/>
      <c r="GT271" s="111"/>
      <c r="GU271" s="111"/>
      <c r="GV271" s="165"/>
      <c r="GW271" s="168">
        <f t="shared" si="372"/>
        <v>0</v>
      </c>
      <c r="GX271" s="168">
        <f t="shared" si="380"/>
        <v>0</v>
      </c>
      <c r="GY271" s="168"/>
      <c r="GZ271" s="168"/>
      <c r="HA271" s="111"/>
      <c r="HB271" s="111"/>
      <c r="HC271" s="165"/>
      <c r="HD271" s="109">
        <f t="shared" si="373"/>
        <v>0</v>
      </c>
      <c r="HE271" s="109">
        <f t="shared" si="381"/>
        <v>0</v>
      </c>
      <c r="HF271" s="109"/>
      <c r="HG271" s="109"/>
      <c r="HH271" s="111"/>
      <c r="HI271" s="111"/>
      <c r="HJ271" s="165"/>
      <c r="HK271" s="109">
        <f t="shared" si="374"/>
        <v>0</v>
      </c>
      <c r="HL271" s="109">
        <f t="shared" si="382"/>
        <v>0</v>
      </c>
      <c r="HM271" s="109"/>
      <c r="HN271" s="109"/>
      <c r="HO271" s="111"/>
      <c r="HP271" s="111"/>
      <c r="HQ271" s="165"/>
      <c r="HR271" s="109">
        <f t="shared" si="375"/>
        <v>0</v>
      </c>
      <c r="HS271" s="109">
        <f t="shared" si="383"/>
        <v>0</v>
      </c>
      <c r="HT271" s="109"/>
      <c r="HU271" s="109"/>
      <c r="HV271" s="111"/>
      <c r="HW271" s="111"/>
      <c r="HX271" s="105">
        <f t="shared" si="401"/>
        <v>0</v>
      </c>
      <c r="HY271" s="105">
        <f t="shared" si="401"/>
        <v>0</v>
      </c>
      <c r="HZ271" s="105">
        <f t="shared" si="401"/>
        <v>0</v>
      </c>
      <c r="IA271" s="105">
        <f t="shared" si="395"/>
        <v>0</v>
      </c>
      <c r="IB271" s="109">
        <f t="shared" si="396"/>
        <v>0</v>
      </c>
      <c r="IC271" s="109">
        <f t="shared" si="397"/>
        <v>0</v>
      </c>
      <c r="ID271" s="109">
        <f t="shared" si="398"/>
        <v>0</v>
      </c>
      <c r="IE271" s="109">
        <f t="shared" si="399"/>
        <v>0</v>
      </c>
      <c r="IF271" s="197"/>
      <c r="IG271" s="197"/>
      <c r="IH271" s="197"/>
      <c r="II271" s="197"/>
      <c r="IJ271" s="197"/>
      <c r="IK271" s="197"/>
      <c r="IL271" s="197"/>
      <c r="IM271" s="171"/>
      <c r="IN271" s="171"/>
      <c r="IO271" s="171"/>
      <c r="IP271" s="171"/>
    </row>
    <row r="272" spans="1:250" ht="15" customHeight="1" x14ac:dyDescent="0.3">
      <c r="A272" s="110">
        <f t="shared" si="400"/>
        <v>268</v>
      </c>
      <c r="B272" s="111"/>
      <c r="C272" s="111"/>
      <c r="D272" s="111"/>
      <c r="E272" s="111"/>
      <c r="F272" s="111"/>
      <c r="G272" s="111"/>
      <c r="H272" s="111"/>
      <c r="I272" s="194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75"/>
      <c r="AI272" s="111"/>
      <c r="AJ272" s="111"/>
      <c r="AK272" s="111"/>
      <c r="AL272" s="177"/>
      <c r="AM272" s="176"/>
      <c r="AN272" s="177"/>
      <c r="AO272" s="157"/>
      <c r="AP272" s="158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1"/>
      <c r="BC272" s="111"/>
      <c r="BD272" s="111"/>
      <c r="BE272" s="111"/>
      <c r="BF272" s="111"/>
      <c r="BG272" s="111"/>
      <c r="BH272" s="111"/>
      <c r="BI272" s="111"/>
      <c r="BJ272" s="111"/>
      <c r="BK272" s="111"/>
      <c r="BL272" s="175"/>
      <c r="BM272" s="111"/>
      <c r="BN272" s="111"/>
      <c r="BO272" s="111"/>
      <c r="BP272" s="111"/>
      <c r="BQ272" s="111"/>
      <c r="BR272" s="111"/>
      <c r="BS272" s="111"/>
      <c r="BT272" s="111"/>
      <c r="BU272" s="111"/>
      <c r="BV272" s="111"/>
      <c r="BW272" s="111"/>
      <c r="BX272" s="111"/>
      <c r="BY272" s="111"/>
      <c r="BZ272" s="111"/>
      <c r="CA272" s="111"/>
      <c r="CB272" s="111"/>
      <c r="CC272" s="178"/>
      <c r="CD272" s="177">
        <f t="shared" si="384"/>
        <v>0</v>
      </c>
      <c r="CE272" s="148"/>
      <c r="CF272" s="111">
        <f t="shared" si="385"/>
        <v>0</v>
      </c>
      <c r="CG272" s="177"/>
      <c r="CH272" s="204"/>
      <c r="CI272" s="148"/>
      <c r="CJ272" s="165"/>
      <c r="CK272" s="165"/>
      <c r="CL272" s="111"/>
      <c r="CM272" s="111"/>
      <c r="CN272" s="165">
        <f t="shared" si="386"/>
        <v>0</v>
      </c>
      <c r="CO272" s="109">
        <f t="shared" si="387"/>
        <v>0</v>
      </c>
      <c r="CP272" s="109">
        <f t="shared" si="388"/>
        <v>0</v>
      </c>
      <c r="CQ272" s="109"/>
      <c r="CR272" s="109"/>
      <c r="CS272" s="196"/>
      <c r="CT272" s="167"/>
      <c r="CU272" s="165"/>
      <c r="CV272" s="109">
        <f t="shared" si="389"/>
        <v>0</v>
      </c>
      <c r="CW272" s="109">
        <f t="shared" si="390"/>
        <v>0</v>
      </c>
      <c r="CX272" s="109"/>
      <c r="CY272" s="109"/>
      <c r="CZ272" s="111"/>
      <c r="DA272" s="111"/>
      <c r="DB272" s="165"/>
      <c r="DC272" s="109">
        <f t="shared" si="391"/>
        <v>0</v>
      </c>
      <c r="DD272" s="109">
        <f t="shared" si="392"/>
        <v>0</v>
      </c>
      <c r="DE272" s="109"/>
      <c r="DF272" s="109"/>
      <c r="DG272" s="111"/>
      <c r="DH272" s="111"/>
      <c r="DI272" s="165"/>
      <c r="DJ272" s="109">
        <f t="shared" si="393"/>
        <v>0</v>
      </c>
      <c r="DK272" s="109">
        <f t="shared" si="394"/>
        <v>0</v>
      </c>
      <c r="DL272" s="109"/>
      <c r="DM272" s="109"/>
      <c r="DN272" s="111"/>
      <c r="DO272" s="111"/>
      <c r="DP272" s="165"/>
      <c r="DQ272" s="109">
        <f t="shared" si="352"/>
        <v>0</v>
      </c>
      <c r="DR272" s="109">
        <f t="shared" si="353"/>
        <v>0</v>
      </c>
      <c r="DS272" s="109"/>
      <c r="DT272" s="109"/>
      <c r="DU272" s="111"/>
      <c r="DV272" s="111"/>
      <c r="DW272" s="165"/>
      <c r="DX272" s="109">
        <f t="shared" si="354"/>
        <v>0</v>
      </c>
      <c r="DY272" s="109">
        <f t="shared" si="355"/>
        <v>0</v>
      </c>
      <c r="DZ272" s="109"/>
      <c r="EA272" s="109"/>
      <c r="EB272" s="111"/>
      <c r="EC272" s="111"/>
      <c r="ED272" s="165"/>
      <c r="EE272" s="109">
        <f t="shared" si="356"/>
        <v>0</v>
      </c>
      <c r="EF272" s="109">
        <f t="shared" si="357"/>
        <v>0</v>
      </c>
      <c r="EG272" s="109"/>
      <c r="EH272" s="109"/>
      <c r="EI272" s="111"/>
      <c r="EJ272" s="111"/>
      <c r="EK272" s="165"/>
      <c r="EL272" s="109">
        <f t="shared" si="358"/>
        <v>0</v>
      </c>
      <c r="EM272" s="109">
        <f t="shared" si="359"/>
        <v>0</v>
      </c>
      <c r="EN272" s="109"/>
      <c r="EO272" s="109"/>
      <c r="EP272" s="111"/>
      <c r="EQ272" s="111"/>
      <c r="ER272" s="165"/>
      <c r="ES272" s="109">
        <f t="shared" si="360"/>
        <v>0</v>
      </c>
      <c r="ET272" s="109">
        <f t="shared" si="361"/>
        <v>0</v>
      </c>
      <c r="EU272" s="109"/>
      <c r="EV272" s="109"/>
      <c r="EW272" s="111"/>
      <c r="EX272" s="111"/>
      <c r="EY272" s="165"/>
      <c r="EZ272" s="109">
        <f t="shared" si="362"/>
        <v>0</v>
      </c>
      <c r="FA272" s="109">
        <f t="shared" si="363"/>
        <v>0</v>
      </c>
      <c r="FB272" s="109"/>
      <c r="FC272" s="109"/>
      <c r="FD272" s="111"/>
      <c r="FE272" s="111"/>
      <c r="FF272" s="165"/>
      <c r="FG272" s="109">
        <f t="shared" si="364"/>
        <v>0</v>
      </c>
      <c r="FH272" s="109">
        <f t="shared" si="365"/>
        <v>0</v>
      </c>
      <c r="FI272" s="109"/>
      <c r="FJ272" s="109"/>
      <c r="FK272" s="111"/>
      <c r="FL272" s="111"/>
      <c r="FM272" s="165"/>
      <c r="FN272" s="109">
        <f t="shared" si="366"/>
        <v>0</v>
      </c>
      <c r="FO272" s="109">
        <f t="shared" si="367"/>
        <v>0</v>
      </c>
      <c r="FP272" s="109"/>
      <c r="FQ272" s="109"/>
      <c r="FR272" s="111"/>
      <c r="FS272" s="111"/>
      <c r="FT272" s="165"/>
      <c r="FU272" s="109">
        <f t="shared" si="368"/>
        <v>0</v>
      </c>
      <c r="FV272" s="109">
        <f t="shared" si="376"/>
        <v>0</v>
      </c>
      <c r="FW272" s="109"/>
      <c r="FX272" s="109"/>
      <c r="FY272" s="111"/>
      <c r="FZ272" s="111"/>
      <c r="GA272" s="165"/>
      <c r="GB272" s="109">
        <f t="shared" si="369"/>
        <v>0</v>
      </c>
      <c r="GC272" s="109">
        <f t="shared" si="377"/>
        <v>0</v>
      </c>
      <c r="GD272" s="109"/>
      <c r="GE272" s="109"/>
      <c r="GF272" s="111"/>
      <c r="GG272" s="111"/>
      <c r="GH272" s="165"/>
      <c r="GI272" s="109">
        <f t="shared" si="370"/>
        <v>0</v>
      </c>
      <c r="GJ272" s="109">
        <f t="shared" si="378"/>
        <v>0</v>
      </c>
      <c r="GK272" s="109"/>
      <c r="GL272" s="109"/>
      <c r="GM272" s="111"/>
      <c r="GN272" s="111"/>
      <c r="GO272" s="165"/>
      <c r="GP272" s="109">
        <f t="shared" si="371"/>
        <v>0</v>
      </c>
      <c r="GQ272" s="109">
        <f t="shared" si="379"/>
        <v>0</v>
      </c>
      <c r="GR272" s="109"/>
      <c r="GS272" s="109"/>
      <c r="GT272" s="111"/>
      <c r="GU272" s="111"/>
      <c r="GV272" s="165"/>
      <c r="GW272" s="168">
        <f t="shared" si="372"/>
        <v>0</v>
      </c>
      <c r="GX272" s="168">
        <f t="shared" si="380"/>
        <v>0</v>
      </c>
      <c r="GY272" s="168"/>
      <c r="GZ272" s="168"/>
      <c r="HA272" s="111"/>
      <c r="HB272" s="111"/>
      <c r="HC272" s="165"/>
      <c r="HD272" s="109">
        <f t="shared" si="373"/>
        <v>0</v>
      </c>
      <c r="HE272" s="109">
        <f t="shared" si="381"/>
        <v>0</v>
      </c>
      <c r="HF272" s="109"/>
      <c r="HG272" s="109"/>
      <c r="HH272" s="111"/>
      <c r="HI272" s="111"/>
      <c r="HJ272" s="165"/>
      <c r="HK272" s="109">
        <f t="shared" si="374"/>
        <v>0</v>
      </c>
      <c r="HL272" s="109">
        <f t="shared" si="382"/>
        <v>0</v>
      </c>
      <c r="HM272" s="109"/>
      <c r="HN272" s="109"/>
      <c r="HO272" s="111"/>
      <c r="HP272" s="111"/>
      <c r="HQ272" s="165"/>
      <c r="HR272" s="109">
        <f t="shared" si="375"/>
        <v>0</v>
      </c>
      <c r="HS272" s="109">
        <f t="shared" si="383"/>
        <v>0</v>
      </c>
      <c r="HT272" s="109"/>
      <c r="HU272" s="109"/>
      <c r="HV272" s="111"/>
      <c r="HW272" s="111"/>
      <c r="HX272" s="105">
        <f t="shared" si="401"/>
        <v>0</v>
      </c>
      <c r="HY272" s="105">
        <f t="shared" si="401"/>
        <v>0</v>
      </c>
      <c r="HZ272" s="105">
        <f t="shared" si="401"/>
        <v>0</v>
      </c>
      <c r="IA272" s="105">
        <f t="shared" si="395"/>
        <v>0</v>
      </c>
      <c r="IB272" s="109">
        <f t="shared" si="396"/>
        <v>0</v>
      </c>
      <c r="IC272" s="109">
        <f t="shared" si="397"/>
        <v>0</v>
      </c>
      <c r="ID272" s="109">
        <f t="shared" si="398"/>
        <v>0</v>
      </c>
      <c r="IE272" s="109">
        <f t="shared" si="399"/>
        <v>0</v>
      </c>
      <c r="IF272" s="197"/>
      <c r="IG272" s="197"/>
      <c r="IH272" s="197"/>
      <c r="II272" s="197"/>
      <c r="IJ272" s="197"/>
      <c r="IK272" s="197"/>
      <c r="IL272" s="197"/>
      <c r="IM272" s="171"/>
      <c r="IN272" s="171"/>
      <c r="IO272" s="171"/>
      <c r="IP272" s="171"/>
    </row>
    <row r="273" spans="1:250" ht="15" customHeight="1" x14ac:dyDescent="0.3">
      <c r="A273" s="110">
        <f t="shared" si="400"/>
        <v>269</v>
      </c>
      <c r="B273" s="111"/>
      <c r="C273" s="111"/>
      <c r="D273" s="111"/>
      <c r="E273" s="111"/>
      <c r="F273" s="111"/>
      <c r="G273" s="111"/>
      <c r="H273" s="111"/>
      <c r="I273" s="194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75"/>
      <c r="AI273" s="111"/>
      <c r="AJ273" s="111"/>
      <c r="AK273" s="111"/>
      <c r="AL273" s="177"/>
      <c r="AM273" s="176"/>
      <c r="AN273" s="177"/>
      <c r="AO273" s="157"/>
      <c r="AP273" s="158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  <c r="BJ273" s="111"/>
      <c r="BK273" s="111"/>
      <c r="BL273" s="175"/>
      <c r="BM273" s="111"/>
      <c r="BN273" s="111"/>
      <c r="BO273" s="111"/>
      <c r="BP273" s="111"/>
      <c r="BQ273" s="111"/>
      <c r="BR273" s="111"/>
      <c r="BS273" s="111"/>
      <c r="BT273" s="111"/>
      <c r="BU273" s="111"/>
      <c r="BV273" s="111"/>
      <c r="BW273" s="111"/>
      <c r="BX273" s="111"/>
      <c r="BY273" s="111"/>
      <c r="BZ273" s="111"/>
      <c r="CA273" s="111"/>
      <c r="CB273" s="111"/>
      <c r="CC273" s="178"/>
      <c r="CD273" s="177">
        <f t="shared" si="384"/>
        <v>0</v>
      </c>
      <c r="CE273" s="148"/>
      <c r="CF273" s="111">
        <f t="shared" si="385"/>
        <v>0</v>
      </c>
      <c r="CG273" s="177"/>
      <c r="CH273" s="204"/>
      <c r="CI273" s="148"/>
      <c r="CJ273" s="165"/>
      <c r="CK273" s="165"/>
      <c r="CL273" s="111"/>
      <c r="CM273" s="111"/>
      <c r="CN273" s="165">
        <f t="shared" si="386"/>
        <v>0</v>
      </c>
      <c r="CO273" s="109">
        <f t="shared" si="387"/>
        <v>0</v>
      </c>
      <c r="CP273" s="109">
        <f t="shared" si="388"/>
        <v>0</v>
      </c>
      <c r="CQ273" s="109"/>
      <c r="CR273" s="109"/>
      <c r="CS273" s="196"/>
      <c r="CT273" s="167"/>
      <c r="CU273" s="165"/>
      <c r="CV273" s="109">
        <f t="shared" si="389"/>
        <v>0</v>
      </c>
      <c r="CW273" s="109">
        <f t="shared" si="390"/>
        <v>0</v>
      </c>
      <c r="CX273" s="109"/>
      <c r="CY273" s="109"/>
      <c r="CZ273" s="111"/>
      <c r="DA273" s="111"/>
      <c r="DB273" s="165"/>
      <c r="DC273" s="109">
        <f t="shared" si="391"/>
        <v>0</v>
      </c>
      <c r="DD273" s="109">
        <f t="shared" si="392"/>
        <v>0</v>
      </c>
      <c r="DE273" s="109"/>
      <c r="DF273" s="109"/>
      <c r="DG273" s="111"/>
      <c r="DH273" s="111"/>
      <c r="DI273" s="165"/>
      <c r="DJ273" s="109">
        <f t="shared" si="393"/>
        <v>0</v>
      </c>
      <c r="DK273" s="109">
        <f t="shared" si="394"/>
        <v>0</v>
      </c>
      <c r="DL273" s="109"/>
      <c r="DM273" s="109"/>
      <c r="DN273" s="111"/>
      <c r="DO273" s="111"/>
      <c r="DP273" s="165"/>
      <c r="DQ273" s="109">
        <f t="shared" si="352"/>
        <v>0</v>
      </c>
      <c r="DR273" s="109">
        <f t="shared" si="353"/>
        <v>0</v>
      </c>
      <c r="DS273" s="109"/>
      <c r="DT273" s="109"/>
      <c r="DU273" s="111"/>
      <c r="DV273" s="111"/>
      <c r="DW273" s="165"/>
      <c r="DX273" s="109">
        <f t="shared" si="354"/>
        <v>0</v>
      </c>
      <c r="DY273" s="109">
        <f t="shared" si="355"/>
        <v>0</v>
      </c>
      <c r="DZ273" s="109"/>
      <c r="EA273" s="109"/>
      <c r="EB273" s="111"/>
      <c r="EC273" s="111"/>
      <c r="ED273" s="165"/>
      <c r="EE273" s="109">
        <f t="shared" si="356"/>
        <v>0</v>
      </c>
      <c r="EF273" s="109">
        <f t="shared" si="357"/>
        <v>0</v>
      </c>
      <c r="EG273" s="109"/>
      <c r="EH273" s="109"/>
      <c r="EI273" s="111"/>
      <c r="EJ273" s="111"/>
      <c r="EK273" s="165"/>
      <c r="EL273" s="109">
        <f t="shared" si="358"/>
        <v>0</v>
      </c>
      <c r="EM273" s="109">
        <f t="shared" si="359"/>
        <v>0</v>
      </c>
      <c r="EN273" s="109"/>
      <c r="EO273" s="109"/>
      <c r="EP273" s="111"/>
      <c r="EQ273" s="111"/>
      <c r="ER273" s="165"/>
      <c r="ES273" s="109">
        <f t="shared" si="360"/>
        <v>0</v>
      </c>
      <c r="ET273" s="109">
        <f t="shared" si="361"/>
        <v>0</v>
      </c>
      <c r="EU273" s="109"/>
      <c r="EV273" s="109"/>
      <c r="EW273" s="111"/>
      <c r="EX273" s="111"/>
      <c r="EY273" s="165"/>
      <c r="EZ273" s="109">
        <f t="shared" si="362"/>
        <v>0</v>
      </c>
      <c r="FA273" s="109">
        <f t="shared" si="363"/>
        <v>0</v>
      </c>
      <c r="FB273" s="109"/>
      <c r="FC273" s="109"/>
      <c r="FD273" s="111"/>
      <c r="FE273" s="111"/>
      <c r="FF273" s="165"/>
      <c r="FG273" s="109">
        <f t="shared" si="364"/>
        <v>0</v>
      </c>
      <c r="FH273" s="109">
        <f t="shared" si="365"/>
        <v>0</v>
      </c>
      <c r="FI273" s="109"/>
      <c r="FJ273" s="109"/>
      <c r="FK273" s="111"/>
      <c r="FL273" s="111"/>
      <c r="FM273" s="165"/>
      <c r="FN273" s="109">
        <f t="shared" si="366"/>
        <v>0</v>
      </c>
      <c r="FO273" s="109">
        <f t="shared" si="367"/>
        <v>0</v>
      </c>
      <c r="FP273" s="109"/>
      <c r="FQ273" s="109"/>
      <c r="FR273" s="111"/>
      <c r="FS273" s="111"/>
      <c r="FT273" s="165"/>
      <c r="FU273" s="109">
        <f t="shared" si="368"/>
        <v>0</v>
      </c>
      <c r="FV273" s="109">
        <f t="shared" si="376"/>
        <v>0</v>
      </c>
      <c r="FW273" s="109"/>
      <c r="FX273" s="109"/>
      <c r="FY273" s="111"/>
      <c r="FZ273" s="111"/>
      <c r="GA273" s="165"/>
      <c r="GB273" s="109">
        <f t="shared" si="369"/>
        <v>0</v>
      </c>
      <c r="GC273" s="109">
        <f t="shared" si="377"/>
        <v>0</v>
      </c>
      <c r="GD273" s="109"/>
      <c r="GE273" s="109"/>
      <c r="GF273" s="111"/>
      <c r="GG273" s="111"/>
      <c r="GH273" s="165"/>
      <c r="GI273" s="109">
        <f t="shared" si="370"/>
        <v>0</v>
      </c>
      <c r="GJ273" s="109">
        <f t="shared" si="378"/>
        <v>0</v>
      </c>
      <c r="GK273" s="109"/>
      <c r="GL273" s="109"/>
      <c r="GM273" s="111"/>
      <c r="GN273" s="111"/>
      <c r="GO273" s="165"/>
      <c r="GP273" s="109">
        <f t="shared" si="371"/>
        <v>0</v>
      </c>
      <c r="GQ273" s="109">
        <f t="shared" si="379"/>
        <v>0</v>
      </c>
      <c r="GR273" s="109"/>
      <c r="GS273" s="109"/>
      <c r="GT273" s="111"/>
      <c r="GU273" s="111"/>
      <c r="GV273" s="165"/>
      <c r="GW273" s="168">
        <f t="shared" si="372"/>
        <v>0</v>
      </c>
      <c r="GX273" s="168">
        <f t="shared" si="380"/>
        <v>0</v>
      </c>
      <c r="GY273" s="168"/>
      <c r="GZ273" s="168"/>
      <c r="HA273" s="111"/>
      <c r="HB273" s="111"/>
      <c r="HC273" s="165"/>
      <c r="HD273" s="109">
        <f t="shared" si="373"/>
        <v>0</v>
      </c>
      <c r="HE273" s="109">
        <f t="shared" si="381"/>
        <v>0</v>
      </c>
      <c r="HF273" s="109"/>
      <c r="HG273" s="109"/>
      <c r="HH273" s="111"/>
      <c r="HI273" s="111"/>
      <c r="HJ273" s="165"/>
      <c r="HK273" s="109">
        <f t="shared" si="374"/>
        <v>0</v>
      </c>
      <c r="HL273" s="109">
        <f t="shared" si="382"/>
        <v>0</v>
      </c>
      <c r="HM273" s="109"/>
      <c r="HN273" s="109"/>
      <c r="HO273" s="111"/>
      <c r="HP273" s="111"/>
      <c r="HQ273" s="165"/>
      <c r="HR273" s="109">
        <f t="shared" si="375"/>
        <v>0</v>
      </c>
      <c r="HS273" s="109">
        <f t="shared" si="383"/>
        <v>0</v>
      </c>
      <c r="HT273" s="109"/>
      <c r="HU273" s="109"/>
      <c r="HV273" s="111"/>
      <c r="HW273" s="111"/>
      <c r="HX273" s="105">
        <f t="shared" si="401"/>
        <v>0</v>
      </c>
      <c r="HY273" s="105">
        <f t="shared" si="401"/>
        <v>0</v>
      </c>
      <c r="HZ273" s="105">
        <f t="shared" si="401"/>
        <v>0</v>
      </c>
      <c r="IA273" s="105">
        <f t="shared" si="395"/>
        <v>0</v>
      </c>
      <c r="IB273" s="109">
        <f t="shared" si="396"/>
        <v>0</v>
      </c>
      <c r="IC273" s="109">
        <f t="shared" si="397"/>
        <v>0</v>
      </c>
      <c r="ID273" s="109">
        <f t="shared" si="398"/>
        <v>0</v>
      </c>
      <c r="IE273" s="109">
        <f t="shared" si="399"/>
        <v>0</v>
      </c>
      <c r="IF273" s="197"/>
      <c r="IG273" s="197"/>
      <c r="IH273" s="197"/>
      <c r="II273" s="197"/>
      <c r="IJ273" s="197"/>
      <c r="IK273" s="197"/>
      <c r="IL273" s="197"/>
      <c r="IM273" s="171"/>
      <c r="IN273" s="171"/>
      <c r="IO273" s="171"/>
      <c r="IP273" s="171"/>
    </row>
    <row r="274" spans="1:250" ht="15" customHeight="1" x14ac:dyDescent="0.3">
      <c r="A274" s="110">
        <f t="shared" si="400"/>
        <v>270</v>
      </c>
      <c r="B274" s="111"/>
      <c r="C274" s="111"/>
      <c r="D274" s="111"/>
      <c r="E274" s="111"/>
      <c r="F274" s="111"/>
      <c r="G274" s="111"/>
      <c r="H274" s="111"/>
      <c r="I274" s="194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75"/>
      <c r="AI274" s="111"/>
      <c r="AJ274" s="111"/>
      <c r="AK274" s="111"/>
      <c r="AL274" s="177"/>
      <c r="AM274" s="176"/>
      <c r="AN274" s="177"/>
      <c r="AO274" s="157"/>
      <c r="AP274" s="158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  <c r="BG274" s="111"/>
      <c r="BH274" s="111"/>
      <c r="BI274" s="111"/>
      <c r="BJ274" s="111"/>
      <c r="BK274" s="111"/>
      <c r="BL274" s="175"/>
      <c r="BM274" s="111"/>
      <c r="BN274" s="111"/>
      <c r="BO274" s="111"/>
      <c r="BP274" s="111"/>
      <c r="BQ274" s="111"/>
      <c r="BR274" s="111"/>
      <c r="BS274" s="111"/>
      <c r="BT274" s="111"/>
      <c r="BU274" s="111"/>
      <c r="BV274" s="111"/>
      <c r="BW274" s="111"/>
      <c r="BX274" s="111"/>
      <c r="BY274" s="111"/>
      <c r="BZ274" s="111"/>
      <c r="CA274" s="111"/>
      <c r="CB274" s="111"/>
      <c r="CC274" s="178"/>
      <c r="CD274" s="177">
        <f t="shared" si="384"/>
        <v>0</v>
      </c>
      <c r="CE274" s="148"/>
      <c r="CF274" s="111">
        <f t="shared" si="385"/>
        <v>0</v>
      </c>
      <c r="CG274" s="177"/>
      <c r="CH274" s="204"/>
      <c r="CI274" s="148"/>
      <c r="CJ274" s="165"/>
      <c r="CK274" s="165"/>
      <c r="CL274" s="111"/>
      <c r="CM274" s="111"/>
      <c r="CN274" s="165">
        <f t="shared" si="386"/>
        <v>0</v>
      </c>
      <c r="CO274" s="109">
        <f t="shared" si="387"/>
        <v>0</v>
      </c>
      <c r="CP274" s="109">
        <f t="shared" si="388"/>
        <v>0</v>
      </c>
      <c r="CQ274" s="109"/>
      <c r="CR274" s="109"/>
      <c r="CS274" s="196"/>
      <c r="CT274" s="167"/>
      <c r="CU274" s="165"/>
      <c r="CV274" s="109">
        <f t="shared" si="389"/>
        <v>0</v>
      </c>
      <c r="CW274" s="109">
        <f t="shared" si="390"/>
        <v>0</v>
      </c>
      <c r="CX274" s="109"/>
      <c r="CY274" s="109"/>
      <c r="CZ274" s="111"/>
      <c r="DA274" s="111"/>
      <c r="DB274" s="165"/>
      <c r="DC274" s="109">
        <f t="shared" si="391"/>
        <v>0</v>
      </c>
      <c r="DD274" s="109">
        <f t="shared" si="392"/>
        <v>0</v>
      </c>
      <c r="DE274" s="109"/>
      <c r="DF274" s="109"/>
      <c r="DG274" s="111"/>
      <c r="DH274" s="111"/>
      <c r="DI274" s="165"/>
      <c r="DJ274" s="109">
        <f t="shared" si="393"/>
        <v>0</v>
      </c>
      <c r="DK274" s="109">
        <f t="shared" si="394"/>
        <v>0</v>
      </c>
      <c r="DL274" s="109"/>
      <c r="DM274" s="109"/>
      <c r="DN274" s="111"/>
      <c r="DO274" s="111"/>
      <c r="DP274" s="165"/>
      <c r="DQ274" s="109">
        <f t="shared" si="352"/>
        <v>0</v>
      </c>
      <c r="DR274" s="109">
        <f t="shared" si="353"/>
        <v>0</v>
      </c>
      <c r="DS274" s="109"/>
      <c r="DT274" s="109"/>
      <c r="DU274" s="111"/>
      <c r="DV274" s="111"/>
      <c r="DW274" s="165"/>
      <c r="DX274" s="109">
        <f t="shared" si="354"/>
        <v>0</v>
      </c>
      <c r="DY274" s="109">
        <f t="shared" si="355"/>
        <v>0</v>
      </c>
      <c r="DZ274" s="109"/>
      <c r="EA274" s="109"/>
      <c r="EB274" s="111"/>
      <c r="EC274" s="111"/>
      <c r="ED274" s="165"/>
      <c r="EE274" s="109">
        <f t="shared" si="356"/>
        <v>0</v>
      </c>
      <c r="EF274" s="109">
        <f t="shared" si="357"/>
        <v>0</v>
      </c>
      <c r="EG274" s="109"/>
      <c r="EH274" s="109"/>
      <c r="EI274" s="111"/>
      <c r="EJ274" s="111"/>
      <c r="EK274" s="165"/>
      <c r="EL274" s="109">
        <f t="shared" si="358"/>
        <v>0</v>
      </c>
      <c r="EM274" s="109">
        <f t="shared" si="359"/>
        <v>0</v>
      </c>
      <c r="EN274" s="109"/>
      <c r="EO274" s="109"/>
      <c r="EP274" s="111"/>
      <c r="EQ274" s="111"/>
      <c r="ER274" s="165"/>
      <c r="ES274" s="109">
        <f t="shared" si="360"/>
        <v>0</v>
      </c>
      <c r="ET274" s="109">
        <f t="shared" si="361"/>
        <v>0</v>
      </c>
      <c r="EU274" s="109"/>
      <c r="EV274" s="109"/>
      <c r="EW274" s="111"/>
      <c r="EX274" s="111"/>
      <c r="EY274" s="165"/>
      <c r="EZ274" s="109">
        <f t="shared" si="362"/>
        <v>0</v>
      </c>
      <c r="FA274" s="109">
        <f t="shared" si="363"/>
        <v>0</v>
      </c>
      <c r="FB274" s="109"/>
      <c r="FC274" s="109"/>
      <c r="FD274" s="111"/>
      <c r="FE274" s="111"/>
      <c r="FF274" s="165"/>
      <c r="FG274" s="109">
        <f t="shared" si="364"/>
        <v>0</v>
      </c>
      <c r="FH274" s="109">
        <f t="shared" si="365"/>
        <v>0</v>
      </c>
      <c r="FI274" s="109"/>
      <c r="FJ274" s="109"/>
      <c r="FK274" s="111"/>
      <c r="FL274" s="111"/>
      <c r="FM274" s="165"/>
      <c r="FN274" s="109">
        <f t="shared" si="366"/>
        <v>0</v>
      </c>
      <c r="FO274" s="109">
        <f t="shared" si="367"/>
        <v>0</v>
      </c>
      <c r="FP274" s="109"/>
      <c r="FQ274" s="109"/>
      <c r="FR274" s="111"/>
      <c r="FS274" s="111"/>
      <c r="FT274" s="165"/>
      <c r="FU274" s="109">
        <f t="shared" si="368"/>
        <v>0</v>
      </c>
      <c r="FV274" s="109">
        <f t="shared" si="376"/>
        <v>0</v>
      </c>
      <c r="FW274" s="109"/>
      <c r="FX274" s="109"/>
      <c r="FY274" s="111"/>
      <c r="FZ274" s="111"/>
      <c r="GA274" s="165"/>
      <c r="GB274" s="109">
        <f t="shared" si="369"/>
        <v>0</v>
      </c>
      <c r="GC274" s="109">
        <f t="shared" si="377"/>
        <v>0</v>
      </c>
      <c r="GD274" s="109"/>
      <c r="GE274" s="109"/>
      <c r="GF274" s="111"/>
      <c r="GG274" s="111"/>
      <c r="GH274" s="165"/>
      <c r="GI274" s="109">
        <f t="shared" si="370"/>
        <v>0</v>
      </c>
      <c r="GJ274" s="109">
        <f t="shared" si="378"/>
        <v>0</v>
      </c>
      <c r="GK274" s="109"/>
      <c r="GL274" s="109"/>
      <c r="GM274" s="111"/>
      <c r="GN274" s="111"/>
      <c r="GO274" s="165"/>
      <c r="GP274" s="109">
        <f t="shared" si="371"/>
        <v>0</v>
      </c>
      <c r="GQ274" s="109">
        <f t="shared" si="379"/>
        <v>0</v>
      </c>
      <c r="GR274" s="109"/>
      <c r="GS274" s="109"/>
      <c r="GT274" s="111"/>
      <c r="GU274" s="111"/>
      <c r="GV274" s="165"/>
      <c r="GW274" s="168">
        <f t="shared" si="372"/>
        <v>0</v>
      </c>
      <c r="GX274" s="168">
        <f t="shared" si="380"/>
        <v>0</v>
      </c>
      <c r="GY274" s="168"/>
      <c r="GZ274" s="168"/>
      <c r="HA274" s="111"/>
      <c r="HB274" s="111"/>
      <c r="HC274" s="165"/>
      <c r="HD274" s="109">
        <f t="shared" si="373"/>
        <v>0</v>
      </c>
      <c r="HE274" s="109">
        <f t="shared" si="381"/>
        <v>0</v>
      </c>
      <c r="HF274" s="109"/>
      <c r="HG274" s="109"/>
      <c r="HH274" s="111"/>
      <c r="HI274" s="111"/>
      <c r="HJ274" s="165"/>
      <c r="HK274" s="109">
        <f t="shared" si="374"/>
        <v>0</v>
      </c>
      <c r="HL274" s="109">
        <f t="shared" si="382"/>
        <v>0</v>
      </c>
      <c r="HM274" s="109"/>
      <c r="HN274" s="109"/>
      <c r="HO274" s="111"/>
      <c r="HP274" s="111"/>
      <c r="HQ274" s="165"/>
      <c r="HR274" s="109">
        <f t="shared" si="375"/>
        <v>0</v>
      </c>
      <c r="HS274" s="109">
        <f t="shared" si="383"/>
        <v>0</v>
      </c>
      <c r="HT274" s="109"/>
      <c r="HU274" s="109"/>
      <c r="HV274" s="111"/>
      <c r="HW274" s="111"/>
      <c r="HX274" s="105">
        <f t="shared" si="401"/>
        <v>0</v>
      </c>
      <c r="HY274" s="105">
        <f t="shared" si="401"/>
        <v>0</v>
      </c>
      <c r="HZ274" s="105">
        <f t="shared" si="401"/>
        <v>0</v>
      </c>
      <c r="IA274" s="105">
        <f t="shared" si="395"/>
        <v>0</v>
      </c>
      <c r="IB274" s="109">
        <f t="shared" si="396"/>
        <v>0</v>
      </c>
      <c r="IC274" s="109">
        <f t="shared" si="397"/>
        <v>0</v>
      </c>
      <c r="ID274" s="109">
        <f t="shared" si="398"/>
        <v>0</v>
      </c>
      <c r="IE274" s="109">
        <f t="shared" si="399"/>
        <v>0</v>
      </c>
      <c r="IF274" s="197"/>
      <c r="IG274" s="197"/>
      <c r="IH274" s="197"/>
      <c r="II274" s="197"/>
      <c r="IJ274" s="197"/>
      <c r="IK274" s="197"/>
      <c r="IL274" s="197"/>
      <c r="IM274" s="171"/>
      <c r="IN274" s="171"/>
      <c r="IO274" s="171"/>
      <c r="IP274" s="171"/>
    </row>
    <row r="275" spans="1:250" ht="15" customHeight="1" x14ac:dyDescent="0.3">
      <c r="A275" s="110">
        <f t="shared" si="400"/>
        <v>271</v>
      </c>
      <c r="B275" s="111"/>
      <c r="C275" s="111"/>
      <c r="D275" s="111"/>
      <c r="E275" s="111"/>
      <c r="F275" s="111"/>
      <c r="G275" s="111"/>
      <c r="H275" s="111"/>
      <c r="I275" s="194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75"/>
      <c r="AI275" s="111"/>
      <c r="AJ275" s="111"/>
      <c r="AK275" s="111"/>
      <c r="AL275" s="177"/>
      <c r="AM275" s="176"/>
      <c r="AN275" s="177"/>
      <c r="AO275" s="157"/>
      <c r="AP275" s="158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B275" s="111"/>
      <c r="BC275" s="111"/>
      <c r="BD275" s="111"/>
      <c r="BE275" s="111"/>
      <c r="BF275" s="111"/>
      <c r="BG275" s="111"/>
      <c r="BH275" s="111"/>
      <c r="BI275" s="111"/>
      <c r="BJ275" s="111"/>
      <c r="BK275" s="111"/>
      <c r="BL275" s="175"/>
      <c r="BM275" s="111"/>
      <c r="BN275" s="111"/>
      <c r="BO275" s="111"/>
      <c r="BP275" s="111"/>
      <c r="BQ275" s="111"/>
      <c r="BR275" s="111"/>
      <c r="BS275" s="111"/>
      <c r="BT275" s="111"/>
      <c r="BU275" s="111"/>
      <c r="BV275" s="111"/>
      <c r="BW275" s="111"/>
      <c r="BX275" s="111"/>
      <c r="BY275" s="111"/>
      <c r="BZ275" s="111"/>
      <c r="CA275" s="111"/>
      <c r="CB275" s="111"/>
      <c r="CC275" s="178"/>
      <c r="CD275" s="177">
        <f t="shared" si="384"/>
        <v>0</v>
      </c>
      <c r="CE275" s="148"/>
      <c r="CF275" s="111">
        <f t="shared" si="385"/>
        <v>0</v>
      </c>
      <c r="CG275" s="177"/>
      <c r="CH275" s="204"/>
      <c r="CI275" s="148"/>
      <c r="CJ275" s="165"/>
      <c r="CK275" s="165"/>
      <c r="CL275" s="111"/>
      <c r="CM275" s="111"/>
      <c r="CN275" s="165">
        <f t="shared" si="386"/>
        <v>0</v>
      </c>
      <c r="CO275" s="109">
        <f t="shared" si="387"/>
        <v>0</v>
      </c>
      <c r="CP275" s="109">
        <f t="shared" si="388"/>
        <v>0</v>
      </c>
      <c r="CQ275" s="109"/>
      <c r="CR275" s="109"/>
      <c r="CS275" s="196"/>
      <c r="CT275" s="167"/>
      <c r="CU275" s="165"/>
      <c r="CV275" s="109">
        <f t="shared" si="389"/>
        <v>0</v>
      </c>
      <c r="CW275" s="109">
        <f t="shared" si="390"/>
        <v>0</v>
      </c>
      <c r="CX275" s="109"/>
      <c r="CY275" s="109"/>
      <c r="CZ275" s="111"/>
      <c r="DA275" s="111"/>
      <c r="DB275" s="165"/>
      <c r="DC275" s="109">
        <f t="shared" si="391"/>
        <v>0</v>
      </c>
      <c r="DD275" s="109">
        <f t="shared" si="392"/>
        <v>0</v>
      </c>
      <c r="DE275" s="109"/>
      <c r="DF275" s="109"/>
      <c r="DG275" s="111"/>
      <c r="DH275" s="111"/>
      <c r="DI275" s="165"/>
      <c r="DJ275" s="109">
        <f t="shared" si="393"/>
        <v>0</v>
      </c>
      <c r="DK275" s="109">
        <f t="shared" si="394"/>
        <v>0</v>
      </c>
      <c r="DL275" s="109"/>
      <c r="DM275" s="109"/>
      <c r="DN275" s="111"/>
      <c r="DO275" s="111"/>
      <c r="DP275" s="165"/>
      <c r="DQ275" s="109">
        <f t="shared" si="352"/>
        <v>0</v>
      </c>
      <c r="DR275" s="109">
        <f t="shared" si="353"/>
        <v>0</v>
      </c>
      <c r="DS275" s="109"/>
      <c r="DT275" s="109"/>
      <c r="DU275" s="111"/>
      <c r="DV275" s="111"/>
      <c r="DW275" s="165"/>
      <c r="DX275" s="109">
        <f t="shared" si="354"/>
        <v>0</v>
      </c>
      <c r="DY275" s="109">
        <f t="shared" si="355"/>
        <v>0</v>
      </c>
      <c r="DZ275" s="109"/>
      <c r="EA275" s="109"/>
      <c r="EB275" s="111"/>
      <c r="EC275" s="111"/>
      <c r="ED275" s="165"/>
      <c r="EE275" s="109">
        <f t="shared" si="356"/>
        <v>0</v>
      </c>
      <c r="EF275" s="109">
        <f t="shared" si="357"/>
        <v>0</v>
      </c>
      <c r="EG275" s="109"/>
      <c r="EH275" s="109"/>
      <c r="EI275" s="111"/>
      <c r="EJ275" s="111"/>
      <c r="EK275" s="165"/>
      <c r="EL275" s="109">
        <f t="shared" si="358"/>
        <v>0</v>
      </c>
      <c r="EM275" s="109">
        <f t="shared" si="359"/>
        <v>0</v>
      </c>
      <c r="EN275" s="109"/>
      <c r="EO275" s="109"/>
      <c r="EP275" s="111"/>
      <c r="EQ275" s="111"/>
      <c r="ER275" s="165"/>
      <c r="ES275" s="109">
        <f t="shared" si="360"/>
        <v>0</v>
      </c>
      <c r="ET275" s="109">
        <f t="shared" si="361"/>
        <v>0</v>
      </c>
      <c r="EU275" s="109"/>
      <c r="EV275" s="109"/>
      <c r="EW275" s="111"/>
      <c r="EX275" s="111"/>
      <c r="EY275" s="165"/>
      <c r="EZ275" s="109">
        <f t="shared" si="362"/>
        <v>0</v>
      </c>
      <c r="FA275" s="109">
        <f t="shared" si="363"/>
        <v>0</v>
      </c>
      <c r="FB275" s="109"/>
      <c r="FC275" s="109"/>
      <c r="FD275" s="111"/>
      <c r="FE275" s="111"/>
      <c r="FF275" s="165"/>
      <c r="FG275" s="109">
        <f t="shared" si="364"/>
        <v>0</v>
      </c>
      <c r="FH275" s="109">
        <f t="shared" si="365"/>
        <v>0</v>
      </c>
      <c r="FI275" s="109"/>
      <c r="FJ275" s="109"/>
      <c r="FK275" s="111"/>
      <c r="FL275" s="111"/>
      <c r="FM275" s="165"/>
      <c r="FN275" s="109">
        <f t="shared" si="366"/>
        <v>0</v>
      </c>
      <c r="FO275" s="109">
        <f t="shared" si="367"/>
        <v>0</v>
      </c>
      <c r="FP275" s="109"/>
      <c r="FQ275" s="109"/>
      <c r="FR275" s="111"/>
      <c r="FS275" s="111"/>
      <c r="FT275" s="165"/>
      <c r="FU275" s="109">
        <f t="shared" si="368"/>
        <v>0</v>
      </c>
      <c r="FV275" s="109">
        <f t="shared" si="376"/>
        <v>0</v>
      </c>
      <c r="FW275" s="109"/>
      <c r="FX275" s="109"/>
      <c r="FY275" s="111"/>
      <c r="FZ275" s="111"/>
      <c r="GA275" s="165"/>
      <c r="GB275" s="109">
        <f t="shared" si="369"/>
        <v>0</v>
      </c>
      <c r="GC275" s="109">
        <f t="shared" si="377"/>
        <v>0</v>
      </c>
      <c r="GD275" s="109"/>
      <c r="GE275" s="109"/>
      <c r="GF275" s="111"/>
      <c r="GG275" s="111"/>
      <c r="GH275" s="165"/>
      <c r="GI275" s="109">
        <f t="shared" si="370"/>
        <v>0</v>
      </c>
      <c r="GJ275" s="109">
        <f t="shared" si="378"/>
        <v>0</v>
      </c>
      <c r="GK275" s="109"/>
      <c r="GL275" s="109"/>
      <c r="GM275" s="111"/>
      <c r="GN275" s="111"/>
      <c r="GO275" s="165"/>
      <c r="GP275" s="109">
        <f t="shared" si="371"/>
        <v>0</v>
      </c>
      <c r="GQ275" s="109">
        <f t="shared" si="379"/>
        <v>0</v>
      </c>
      <c r="GR275" s="109"/>
      <c r="GS275" s="109"/>
      <c r="GT275" s="111"/>
      <c r="GU275" s="111"/>
      <c r="GV275" s="165"/>
      <c r="GW275" s="168">
        <f t="shared" si="372"/>
        <v>0</v>
      </c>
      <c r="GX275" s="168">
        <f t="shared" si="380"/>
        <v>0</v>
      </c>
      <c r="GY275" s="168"/>
      <c r="GZ275" s="168"/>
      <c r="HA275" s="111"/>
      <c r="HB275" s="111"/>
      <c r="HC275" s="165"/>
      <c r="HD275" s="109">
        <f t="shared" si="373"/>
        <v>0</v>
      </c>
      <c r="HE275" s="109">
        <f t="shared" si="381"/>
        <v>0</v>
      </c>
      <c r="HF275" s="109"/>
      <c r="HG275" s="109"/>
      <c r="HH275" s="111"/>
      <c r="HI275" s="111"/>
      <c r="HJ275" s="165"/>
      <c r="HK275" s="109">
        <f t="shared" si="374"/>
        <v>0</v>
      </c>
      <c r="HL275" s="109">
        <f t="shared" si="382"/>
        <v>0</v>
      </c>
      <c r="HM275" s="109"/>
      <c r="HN275" s="109"/>
      <c r="HO275" s="111"/>
      <c r="HP275" s="111"/>
      <c r="HQ275" s="165"/>
      <c r="HR275" s="109">
        <f t="shared" si="375"/>
        <v>0</v>
      </c>
      <c r="HS275" s="109">
        <f t="shared" si="383"/>
        <v>0</v>
      </c>
      <c r="HT275" s="109"/>
      <c r="HU275" s="109"/>
      <c r="HV275" s="111"/>
      <c r="HW275" s="111"/>
      <c r="HX275" s="105">
        <f t="shared" si="401"/>
        <v>0</v>
      </c>
      <c r="HY275" s="105">
        <f t="shared" si="401"/>
        <v>0</v>
      </c>
      <c r="HZ275" s="105">
        <f t="shared" si="401"/>
        <v>0</v>
      </c>
      <c r="IA275" s="105">
        <f t="shared" si="395"/>
        <v>0</v>
      </c>
      <c r="IB275" s="109">
        <f t="shared" si="396"/>
        <v>0</v>
      </c>
      <c r="IC275" s="109">
        <f t="shared" si="397"/>
        <v>0</v>
      </c>
      <c r="ID275" s="109">
        <f t="shared" si="398"/>
        <v>0</v>
      </c>
      <c r="IE275" s="109">
        <f t="shared" si="399"/>
        <v>0</v>
      </c>
      <c r="IF275" s="197"/>
      <c r="IG275" s="197"/>
      <c r="IH275" s="197"/>
      <c r="II275" s="197"/>
      <c r="IJ275" s="197"/>
      <c r="IK275" s="197"/>
      <c r="IL275" s="197"/>
      <c r="IM275" s="171"/>
      <c r="IN275" s="171"/>
      <c r="IO275" s="171"/>
      <c r="IP275" s="171"/>
    </row>
    <row r="276" spans="1:250" ht="15" customHeight="1" x14ac:dyDescent="0.3">
      <c r="A276" s="110">
        <f t="shared" si="400"/>
        <v>272</v>
      </c>
      <c r="B276" s="111"/>
      <c r="C276" s="111"/>
      <c r="D276" s="111"/>
      <c r="E276" s="111"/>
      <c r="F276" s="111"/>
      <c r="G276" s="111"/>
      <c r="H276" s="111"/>
      <c r="I276" s="194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75"/>
      <c r="AI276" s="111"/>
      <c r="AJ276" s="111"/>
      <c r="AK276" s="111"/>
      <c r="AL276" s="177"/>
      <c r="AM276" s="176"/>
      <c r="AN276" s="177"/>
      <c r="AO276" s="157"/>
      <c r="AP276" s="158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B276" s="111"/>
      <c r="BC276" s="111"/>
      <c r="BD276" s="111"/>
      <c r="BE276" s="111"/>
      <c r="BF276" s="111"/>
      <c r="BG276" s="111"/>
      <c r="BH276" s="111"/>
      <c r="BI276" s="111"/>
      <c r="BJ276" s="111"/>
      <c r="BK276" s="111"/>
      <c r="BL276" s="175"/>
      <c r="BM276" s="111"/>
      <c r="BN276" s="111"/>
      <c r="BO276" s="111"/>
      <c r="BP276" s="111"/>
      <c r="BQ276" s="111"/>
      <c r="BR276" s="111"/>
      <c r="BS276" s="111"/>
      <c r="BT276" s="111"/>
      <c r="BU276" s="111"/>
      <c r="BV276" s="111"/>
      <c r="BW276" s="111"/>
      <c r="BX276" s="111"/>
      <c r="BY276" s="111"/>
      <c r="BZ276" s="111"/>
      <c r="CA276" s="111"/>
      <c r="CB276" s="111"/>
      <c r="CC276" s="178"/>
      <c r="CD276" s="177">
        <f t="shared" si="384"/>
        <v>0</v>
      </c>
      <c r="CE276" s="148"/>
      <c r="CF276" s="111">
        <f t="shared" si="385"/>
        <v>0</v>
      </c>
      <c r="CG276" s="177"/>
      <c r="CH276" s="204"/>
      <c r="CI276" s="148"/>
      <c r="CJ276" s="165"/>
      <c r="CK276" s="165"/>
      <c r="CL276" s="111"/>
      <c r="CM276" s="111"/>
      <c r="CN276" s="165">
        <f t="shared" si="386"/>
        <v>0</v>
      </c>
      <c r="CO276" s="109">
        <f t="shared" si="387"/>
        <v>0</v>
      </c>
      <c r="CP276" s="109">
        <f t="shared" si="388"/>
        <v>0</v>
      </c>
      <c r="CQ276" s="109"/>
      <c r="CR276" s="109"/>
      <c r="CS276" s="196"/>
      <c r="CT276" s="167"/>
      <c r="CU276" s="165"/>
      <c r="CV276" s="109">
        <f t="shared" si="389"/>
        <v>0</v>
      </c>
      <c r="CW276" s="109">
        <f t="shared" si="390"/>
        <v>0</v>
      </c>
      <c r="CX276" s="109"/>
      <c r="CY276" s="109"/>
      <c r="CZ276" s="111"/>
      <c r="DA276" s="111"/>
      <c r="DB276" s="165"/>
      <c r="DC276" s="109">
        <f t="shared" si="391"/>
        <v>0</v>
      </c>
      <c r="DD276" s="109">
        <f t="shared" si="392"/>
        <v>0</v>
      </c>
      <c r="DE276" s="109"/>
      <c r="DF276" s="109"/>
      <c r="DG276" s="111"/>
      <c r="DH276" s="111"/>
      <c r="DI276" s="165"/>
      <c r="DJ276" s="109">
        <f t="shared" si="393"/>
        <v>0</v>
      </c>
      <c r="DK276" s="109">
        <f t="shared" si="394"/>
        <v>0</v>
      </c>
      <c r="DL276" s="109"/>
      <c r="DM276" s="109"/>
      <c r="DN276" s="111"/>
      <c r="DO276" s="111"/>
      <c r="DP276" s="165"/>
      <c r="DQ276" s="109">
        <f t="shared" si="352"/>
        <v>0</v>
      </c>
      <c r="DR276" s="109">
        <f t="shared" si="353"/>
        <v>0</v>
      </c>
      <c r="DS276" s="109"/>
      <c r="DT276" s="109"/>
      <c r="DU276" s="111"/>
      <c r="DV276" s="111"/>
      <c r="DW276" s="165"/>
      <c r="DX276" s="109">
        <f t="shared" si="354"/>
        <v>0</v>
      </c>
      <c r="DY276" s="109">
        <f t="shared" si="355"/>
        <v>0</v>
      </c>
      <c r="DZ276" s="109"/>
      <c r="EA276" s="109"/>
      <c r="EB276" s="111"/>
      <c r="EC276" s="111"/>
      <c r="ED276" s="165"/>
      <c r="EE276" s="109">
        <f t="shared" si="356"/>
        <v>0</v>
      </c>
      <c r="EF276" s="109">
        <f t="shared" si="357"/>
        <v>0</v>
      </c>
      <c r="EG276" s="109"/>
      <c r="EH276" s="109"/>
      <c r="EI276" s="111"/>
      <c r="EJ276" s="111"/>
      <c r="EK276" s="165"/>
      <c r="EL276" s="109">
        <f t="shared" si="358"/>
        <v>0</v>
      </c>
      <c r="EM276" s="109">
        <f t="shared" si="359"/>
        <v>0</v>
      </c>
      <c r="EN276" s="109"/>
      <c r="EO276" s="109"/>
      <c r="EP276" s="111"/>
      <c r="EQ276" s="111"/>
      <c r="ER276" s="165"/>
      <c r="ES276" s="109">
        <f t="shared" si="360"/>
        <v>0</v>
      </c>
      <c r="ET276" s="109">
        <f t="shared" si="361"/>
        <v>0</v>
      </c>
      <c r="EU276" s="109"/>
      <c r="EV276" s="109"/>
      <c r="EW276" s="111"/>
      <c r="EX276" s="111"/>
      <c r="EY276" s="165"/>
      <c r="EZ276" s="109">
        <f t="shared" si="362"/>
        <v>0</v>
      </c>
      <c r="FA276" s="109">
        <f t="shared" si="363"/>
        <v>0</v>
      </c>
      <c r="FB276" s="109"/>
      <c r="FC276" s="109"/>
      <c r="FD276" s="111"/>
      <c r="FE276" s="111"/>
      <c r="FF276" s="165"/>
      <c r="FG276" s="109">
        <f t="shared" si="364"/>
        <v>0</v>
      </c>
      <c r="FH276" s="109">
        <f t="shared" si="365"/>
        <v>0</v>
      </c>
      <c r="FI276" s="109"/>
      <c r="FJ276" s="109"/>
      <c r="FK276" s="111"/>
      <c r="FL276" s="111"/>
      <c r="FM276" s="165"/>
      <c r="FN276" s="109">
        <f t="shared" si="366"/>
        <v>0</v>
      </c>
      <c r="FO276" s="109">
        <f t="shared" si="367"/>
        <v>0</v>
      </c>
      <c r="FP276" s="109"/>
      <c r="FQ276" s="109"/>
      <c r="FR276" s="111"/>
      <c r="FS276" s="111"/>
      <c r="FT276" s="165"/>
      <c r="FU276" s="109">
        <f t="shared" si="368"/>
        <v>0</v>
      </c>
      <c r="FV276" s="109">
        <f t="shared" si="376"/>
        <v>0</v>
      </c>
      <c r="FW276" s="109"/>
      <c r="FX276" s="109"/>
      <c r="FY276" s="111"/>
      <c r="FZ276" s="111"/>
      <c r="GA276" s="165"/>
      <c r="GB276" s="109">
        <f t="shared" si="369"/>
        <v>0</v>
      </c>
      <c r="GC276" s="109">
        <f t="shared" si="377"/>
        <v>0</v>
      </c>
      <c r="GD276" s="109"/>
      <c r="GE276" s="109"/>
      <c r="GF276" s="111"/>
      <c r="GG276" s="111"/>
      <c r="GH276" s="165"/>
      <c r="GI276" s="109">
        <f t="shared" si="370"/>
        <v>0</v>
      </c>
      <c r="GJ276" s="109">
        <f t="shared" si="378"/>
        <v>0</v>
      </c>
      <c r="GK276" s="109"/>
      <c r="GL276" s="109"/>
      <c r="GM276" s="111"/>
      <c r="GN276" s="111"/>
      <c r="GO276" s="165"/>
      <c r="GP276" s="109">
        <f t="shared" si="371"/>
        <v>0</v>
      </c>
      <c r="GQ276" s="109">
        <f t="shared" si="379"/>
        <v>0</v>
      </c>
      <c r="GR276" s="109"/>
      <c r="GS276" s="109"/>
      <c r="GT276" s="111"/>
      <c r="GU276" s="111"/>
      <c r="GV276" s="165"/>
      <c r="GW276" s="168">
        <f t="shared" si="372"/>
        <v>0</v>
      </c>
      <c r="GX276" s="168">
        <f t="shared" si="380"/>
        <v>0</v>
      </c>
      <c r="GY276" s="168"/>
      <c r="GZ276" s="168"/>
      <c r="HA276" s="111"/>
      <c r="HB276" s="111"/>
      <c r="HC276" s="165"/>
      <c r="HD276" s="109">
        <f t="shared" si="373"/>
        <v>0</v>
      </c>
      <c r="HE276" s="109">
        <f t="shared" si="381"/>
        <v>0</v>
      </c>
      <c r="HF276" s="109"/>
      <c r="HG276" s="109"/>
      <c r="HH276" s="111"/>
      <c r="HI276" s="111"/>
      <c r="HJ276" s="165"/>
      <c r="HK276" s="109">
        <f t="shared" si="374"/>
        <v>0</v>
      </c>
      <c r="HL276" s="109">
        <f t="shared" si="382"/>
        <v>0</v>
      </c>
      <c r="HM276" s="109"/>
      <c r="HN276" s="109"/>
      <c r="HO276" s="111"/>
      <c r="HP276" s="111"/>
      <c r="HQ276" s="165"/>
      <c r="HR276" s="109">
        <f t="shared" si="375"/>
        <v>0</v>
      </c>
      <c r="HS276" s="109">
        <f t="shared" si="383"/>
        <v>0</v>
      </c>
      <c r="HT276" s="109"/>
      <c r="HU276" s="109"/>
      <c r="HV276" s="111"/>
      <c r="HW276" s="111"/>
      <c r="HX276" s="105">
        <f t="shared" si="401"/>
        <v>0</v>
      </c>
      <c r="HY276" s="105">
        <f t="shared" si="401"/>
        <v>0</v>
      </c>
      <c r="HZ276" s="105">
        <f t="shared" si="401"/>
        <v>0</v>
      </c>
      <c r="IA276" s="105">
        <f t="shared" si="395"/>
        <v>0</v>
      </c>
      <c r="IB276" s="109">
        <f t="shared" si="396"/>
        <v>0</v>
      </c>
      <c r="IC276" s="109">
        <f t="shared" si="397"/>
        <v>0</v>
      </c>
      <c r="ID276" s="109">
        <f t="shared" si="398"/>
        <v>0</v>
      </c>
      <c r="IE276" s="109">
        <f t="shared" si="399"/>
        <v>0</v>
      </c>
      <c r="IF276" s="197"/>
      <c r="IG276" s="197"/>
      <c r="IH276" s="197"/>
      <c r="II276" s="197"/>
      <c r="IJ276" s="197"/>
      <c r="IK276" s="197"/>
      <c r="IL276" s="197"/>
      <c r="IM276" s="171"/>
      <c r="IN276" s="171"/>
      <c r="IO276" s="171"/>
      <c r="IP276" s="171"/>
    </row>
    <row r="277" spans="1:250" ht="15" customHeight="1" x14ac:dyDescent="0.3">
      <c r="A277" s="110">
        <f t="shared" si="400"/>
        <v>273</v>
      </c>
      <c r="B277" s="111"/>
      <c r="C277" s="111"/>
      <c r="D277" s="111"/>
      <c r="E277" s="111"/>
      <c r="F277" s="111"/>
      <c r="G277" s="111"/>
      <c r="H277" s="111"/>
      <c r="I277" s="194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75"/>
      <c r="AI277" s="111"/>
      <c r="AJ277" s="111"/>
      <c r="AK277" s="111"/>
      <c r="AL277" s="177"/>
      <c r="AM277" s="176"/>
      <c r="AN277" s="177"/>
      <c r="AO277" s="157"/>
      <c r="AP277" s="158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B277" s="111"/>
      <c r="BC277" s="111"/>
      <c r="BD277" s="111"/>
      <c r="BE277" s="111"/>
      <c r="BF277" s="111"/>
      <c r="BG277" s="111"/>
      <c r="BH277" s="111"/>
      <c r="BI277" s="111"/>
      <c r="BJ277" s="111"/>
      <c r="BK277" s="111"/>
      <c r="BL277" s="175"/>
      <c r="BM277" s="111"/>
      <c r="BN277" s="111"/>
      <c r="BO277" s="111"/>
      <c r="BP277" s="111"/>
      <c r="BQ277" s="111"/>
      <c r="BR277" s="111"/>
      <c r="BS277" s="111"/>
      <c r="BT277" s="111"/>
      <c r="BU277" s="111"/>
      <c r="BV277" s="111"/>
      <c r="BW277" s="111"/>
      <c r="BX277" s="111"/>
      <c r="BY277" s="111"/>
      <c r="BZ277" s="111"/>
      <c r="CA277" s="111"/>
      <c r="CB277" s="111"/>
      <c r="CC277" s="178"/>
      <c r="CD277" s="177">
        <f t="shared" si="384"/>
        <v>0</v>
      </c>
      <c r="CE277" s="148"/>
      <c r="CF277" s="111">
        <f t="shared" si="385"/>
        <v>0</v>
      </c>
      <c r="CG277" s="177"/>
      <c r="CH277" s="204"/>
      <c r="CI277" s="148"/>
      <c r="CJ277" s="165"/>
      <c r="CK277" s="165"/>
      <c r="CL277" s="111"/>
      <c r="CM277" s="111"/>
      <c r="CN277" s="165">
        <f t="shared" si="386"/>
        <v>0</v>
      </c>
      <c r="CO277" s="109">
        <f t="shared" si="387"/>
        <v>0</v>
      </c>
      <c r="CP277" s="109">
        <f t="shared" si="388"/>
        <v>0</v>
      </c>
      <c r="CQ277" s="109"/>
      <c r="CR277" s="109"/>
      <c r="CS277" s="196"/>
      <c r="CT277" s="167"/>
      <c r="CU277" s="165"/>
      <c r="CV277" s="109">
        <f t="shared" si="389"/>
        <v>0</v>
      </c>
      <c r="CW277" s="109">
        <f t="shared" si="390"/>
        <v>0</v>
      </c>
      <c r="CX277" s="109"/>
      <c r="CY277" s="109"/>
      <c r="CZ277" s="111"/>
      <c r="DA277" s="111"/>
      <c r="DB277" s="165"/>
      <c r="DC277" s="109">
        <f t="shared" si="391"/>
        <v>0</v>
      </c>
      <c r="DD277" s="109">
        <f t="shared" si="392"/>
        <v>0</v>
      </c>
      <c r="DE277" s="109"/>
      <c r="DF277" s="109"/>
      <c r="DG277" s="111"/>
      <c r="DH277" s="111"/>
      <c r="DI277" s="165"/>
      <c r="DJ277" s="109">
        <f t="shared" si="393"/>
        <v>0</v>
      </c>
      <c r="DK277" s="109">
        <f t="shared" si="394"/>
        <v>0</v>
      </c>
      <c r="DL277" s="109"/>
      <c r="DM277" s="109"/>
      <c r="DN277" s="111"/>
      <c r="DO277" s="111"/>
      <c r="DP277" s="165"/>
      <c r="DQ277" s="109">
        <f t="shared" si="352"/>
        <v>0</v>
      </c>
      <c r="DR277" s="109">
        <f t="shared" si="353"/>
        <v>0</v>
      </c>
      <c r="DS277" s="109"/>
      <c r="DT277" s="109"/>
      <c r="DU277" s="111"/>
      <c r="DV277" s="111"/>
      <c r="DW277" s="165"/>
      <c r="DX277" s="109">
        <f t="shared" si="354"/>
        <v>0</v>
      </c>
      <c r="DY277" s="109">
        <f t="shared" si="355"/>
        <v>0</v>
      </c>
      <c r="DZ277" s="109"/>
      <c r="EA277" s="109"/>
      <c r="EB277" s="111"/>
      <c r="EC277" s="111"/>
      <c r="ED277" s="165"/>
      <c r="EE277" s="109">
        <f t="shared" si="356"/>
        <v>0</v>
      </c>
      <c r="EF277" s="109">
        <f t="shared" si="357"/>
        <v>0</v>
      </c>
      <c r="EG277" s="109"/>
      <c r="EH277" s="109"/>
      <c r="EI277" s="111"/>
      <c r="EJ277" s="111"/>
      <c r="EK277" s="165"/>
      <c r="EL277" s="109">
        <f t="shared" si="358"/>
        <v>0</v>
      </c>
      <c r="EM277" s="109">
        <f t="shared" si="359"/>
        <v>0</v>
      </c>
      <c r="EN277" s="109"/>
      <c r="EO277" s="109"/>
      <c r="EP277" s="111"/>
      <c r="EQ277" s="111"/>
      <c r="ER277" s="165"/>
      <c r="ES277" s="109">
        <f t="shared" si="360"/>
        <v>0</v>
      </c>
      <c r="ET277" s="109">
        <f t="shared" si="361"/>
        <v>0</v>
      </c>
      <c r="EU277" s="109"/>
      <c r="EV277" s="109"/>
      <c r="EW277" s="111"/>
      <c r="EX277" s="111"/>
      <c r="EY277" s="165"/>
      <c r="EZ277" s="109">
        <f t="shared" si="362"/>
        <v>0</v>
      </c>
      <c r="FA277" s="109">
        <f t="shared" si="363"/>
        <v>0</v>
      </c>
      <c r="FB277" s="109"/>
      <c r="FC277" s="109"/>
      <c r="FD277" s="111"/>
      <c r="FE277" s="111"/>
      <c r="FF277" s="165"/>
      <c r="FG277" s="109">
        <f t="shared" si="364"/>
        <v>0</v>
      </c>
      <c r="FH277" s="109">
        <f t="shared" si="365"/>
        <v>0</v>
      </c>
      <c r="FI277" s="109"/>
      <c r="FJ277" s="109"/>
      <c r="FK277" s="111"/>
      <c r="FL277" s="111"/>
      <c r="FM277" s="165"/>
      <c r="FN277" s="109">
        <f t="shared" si="366"/>
        <v>0</v>
      </c>
      <c r="FO277" s="109">
        <f t="shared" si="367"/>
        <v>0</v>
      </c>
      <c r="FP277" s="109"/>
      <c r="FQ277" s="109"/>
      <c r="FR277" s="111"/>
      <c r="FS277" s="111"/>
      <c r="FT277" s="165"/>
      <c r="FU277" s="109">
        <f t="shared" si="368"/>
        <v>0</v>
      </c>
      <c r="FV277" s="109">
        <f t="shared" si="376"/>
        <v>0</v>
      </c>
      <c r="FW277" s="109"/>
      <c r="FX277" s="109"/>
      <c r="FY277" s="111"/>
      <c r="FZ277" s="111"/>
      <c r="GA277" s="165"/>
      <c r="GB277" s="109">
        <f t="shared" si="369"/>
        <v>0</v>
      </c>
      <c r="GC277" s="109">
        <f t="shared" si="377"/>
        <v>0</v>
      </c>
      <c r="GD277" s="109"/>
      <c r="GE277" s="109"/>
      <c r="GF277" s="111"/>
      <c r="GG277" s="111"/>
      <c r="GH277" s="165"/>
      <c r="GI277" s="109">
        <f t="shared" si="370"/>
        <v>0</v>
      </c>
      <c r="GJ277" s="109">
        <f t="shared" si="378"/>
        <v>0</v>
      </c>
      <c r="GK277" s="109"/>
      <c r="GL277" s="109"/>
      <c r="GM277" s="111"/>
      <c r="GN277" s="111"/>
      <c r="GO277" s="165"/>
      <c r="GP277" s="109">
        <f t="shared" si="371"/>
        <v>0</v>
      </c>
      <c r="GQ277" s="109">
        <f t="shared" si="379"/>
        <v>0</v>
      </c>
      <c r="GR277" s="109"/>
      <c r="GS277" s="109"/>
      <c r="GT277" s="111"/>
      <c r="GU277" s="111"/>
      <c r="GV277" s="165"/>
      <c r="GW277" s="168">
        <f t="shared" si="372"/>
        <v>0</v>
      </c>
      <c r="GX277" s="168">
        <f t="shared" si="380"/>
        <v>0</v>
      </c>
      <c r="GY277" s="168"/>
      <c r="GZ277" s="168"/>
      <c r="HA277" s="111"/>
      <c r="HB277" s="111"/>
      <c r="HC277" s="165"/>
      <c r="HD277" s="109">
        <f t="shared" si="373"/>
        <v>0</v>
      </c>
      <c r="HE277" s="109">
        <f t="shared" si="381"/>
        <v>0</v>
      </c>
      <c r="HF277" s="109"/>
      <c r="HG277" s="109"/>
      <c r="HH277" s="111"/>
      <c r="HI277" s="111"/>
      <c r="HJ277" s="165"/>
      <c r="HK277" s="109">
        <f t="shared" si="374"/>
        <v>0</v>
      </c>
      <c r="HL277" s="109">
        <f t="shared" si="382"/>
        <v>0</v>
      </c>
      <c r="HM277" s="109"/>
      <c r="HN277" s="109"/>
      <c r="HO277" s="111"/>
      <c r="HP277" s="111"/>
      <c r="HQ277" s="165"/>
      <c r="HR277" s="109">
        <f t="shared" si="375"/>
        <v>0</v>
      </c>
      <c r="HS277" s="109">
        <f t="shared" si="383"/>
        <v>0</v>
      </c>
      <c r="HT277" s="109"/>
      <c r="HU277" s="109"/>
      <c r="HV277" s="111"/>
      <c r="HW277" s="111"/>
      <c r="HX277" s="105">
        <f t="shared" si="401"/>
        <v>0</v>
      </c>
      <c r="HY277" s="105">
        <f t="shared" si="401"/>
        <v>0</v>
      </c>
      <c r="HZ277" s="105">
        <f t="shared" si="401"/>
        <v>0</v>
      </c>
      <c r="IA277" s="105">
        <f t="shared" si="395"/>
        <v>0</v>
      </c>
      <c r="IB277" s="109">
        <f t="shared" si="396"/>
        <v>0</v>
      </c>
      <c r="IC277" s="109">
        <f t="shared" si="397"/>
        <v>0</v>
      </c>
      <c r="ID277" s="109">
        <f t="shared" si="398"/>
        <v>0</v>
      </c>
      <c r="IE277" s="109">
        <f t="shared" si="399"/>
        <v>0</v>
      </c>
      <c r="IF277" s="197"/>
      <c r="IG277" s="197"/>
      <c r="IH277" s="197"/>
      <c r="II277" s="197"/>
      <c r="IJ277" s="197"/>
      <c r="IK277" s="197"/>
      <c r="IL277" s="197"/>
      <c r="IM277" s="171"/>
      <c r="IN277" s="171"/>
      <c r="IO277" s="171"/>
      <c r="IP277" s="171"/>
    </row>
    <row r="278" spans="1:250" ht="15" customHeight="1" x14ac:dyDescent="0.3">
      <c r="A278" s="110">
        <f t="shared" si="400"/>
        <v>274</v>
      </c>
      <c r="B278" s="111"/>
      <c r="C278" s="111"/>
      <c r="D278" s="111"/>
      <c r="E278" s="111"/>
      <c r="F278" s="111"/>
      <c r="G278" s="111"/>
      <c r="H278" s="111"/>
      <c r="I278" s="194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75"/>
      <c r="AI278" s="111"/>
      <c r="AJ278" s="111"/>
      <c r="AK278" s="111"/>
      <c r="AL278" s="177"/>
      <c r="AM278" s="176"/>
      <c r="AN278" s="177"/>
      <c r="AO278" s="157"/>
      <c r="AP278" s="158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B278" s="111"/>
      <c r="BC278" s="111"/>
      <c r="BD278" s="111"/>
      <c r="BE278" s="111"/>
      <c r="BF278" s="111"/>
      <c r="BG278" s="111"/>
      <c r="BH278" s="111"/>
      <c r="BI278" s="111"/>
      <c r="BJ278" s="111"/>
      <c r="BK278" s="111"/>
      <c r="BL278" s="175"/>
      <c r="BM278" s="111"/>
      <c r="BN278" s="111"/>
      <c r="BO278" s="111"/>
      <c r="BP278" s="111"/>
      <c r="BQ278" s="111"/>
      <c r="BR278" s="111"/>
      <c r="BS278" s="111"/>
      <c r="BT278" s="111"/>
      <c r="BU278" s="111"/>
      <c r="BV278" s="111"/>
      <c r="BW278" s="111"/>
      <c r="BX278" s="111"/>
      <c r="BY278" s="111"/>
      <c r="BZ278" s="111"/>
      <c r="CA278" s="111"/>
      <c r="CB278" s="111"/>
      <c r="CC278" s="178"/>
      <c r="CD278" s="177">
        <f t="shared" si="384"/>
        <v>0</v>
      </c>
      <c r="CE278" s="148"/>
      <c r="CF278" s="111">
        <f t="shared" si="385"/>
        <v>0</v>
      </c>
      <c r="CG278" s="177"/>
      <c r="CH278" s="204"/>
      <c r="CI278" s="148"/>
      <c r="CJ278" s="165"/>
      <c r="CK278" s="165"/>
      <c r="CL278" s="111"/>
      <c r="CM278" s="111"/>
      <c r="CN278" s="165">
        <f t="shared" si="386"/>
        <v>0</v>
      </c>
      <c r="CO278" s="109">
        <f t="shared" si="387"/>
        <v>0</v>
      </c>
      <c r="CP278" s="109">
        <f t="shared" si="388"/>
        <v>0</v>
      </c>
      <c r="CQ278" s="109"/>
      <c r="CR278" s="109"/>
      <c r="CS278" s="196"/>
      <c r="CT278" s="167"/>
      <c r="CU278" s="165"/>
      <c r="CV278" s="109">
        <f t="shared" si="389"/>
        <v>0</v>
      </c>
      <c r="CW278" s="109">
        <f t="shared" si="390"/>
        <v>0</v>
      </c>
      <c r="CX278" s="109"/>
      <c r="CY278" s="109"/>
      <c r="CZ278" s="111"/>
      <c r="DA278" s="111"/>
      <c r="DB278" s="165"/>
      <c r="DC278" s="109">
        <f t="shared" si="391"/>
        <v>0</v>
      </c>
      <c r="DD278" s="109">
        <f t="shared" si="392"/>
        <v>0</v>
      </c>
      <c r="DE278" s="109"/>
      <c r="DF278" s="109"/>
      <c r="DG278" s="111"/>
      <c r="DH278" s="111"/>
      <c r="DI278" s="165"/>
      <c r="DJ278" s="109">
        <f t="shared" si="393"/>
        <v>0</v>
      </c>
      <c r="DK278" s="109">
        <f t="shared" si="394"/>
        <v>0</v>
      </c>
      <c r="DL278" s="109"/>
      <c r="DM278" s="109"/>
      <c r="DN278" s="111"/>
      <c r="DO278" s="111"/>
      <c r="DP278" s="165"/>
      <c r="DQ278" s="109">
        <f t="shared" si="352"/>
        <v>0</v>
      </c>
      <c r="DR278" s="109">
        <f t="shared" si="353"/>
        <v>0</v>
      </c>
      <c r="DS278" s="109"/>
      <c r="DT278" s="109"/>
      <c r="DU278" s="111"/>
      <c r="DV278" s="111"/>
      <c r="DW278" s="165"/>
      <c r="DX278" s="109">
        <f t="shared" si="354"/>
        <v>0</v>
      </c>
      <c r="DY278" s="109">
        <f t="shared" si="355"/>
        <v>0</v>
      </c>
      <c r="DZ278" s="109"/>
      <c r="EA278" s="109"/>
      <c r="EB278" s="111"/>
      <c r="EC278" s="111"/>
      <c r="ED278" s="165"/>
      <c r="EE278" s="109">
        <f t="shared" si="356"/>
        <v>0</v>
      </c>
      <c r="EF278" s="109">
        <f t="shared" si="357"/>
        <v>0</v>
      </c>
      <c r="EG278" s="109"/>
      <c r="EH278" s="109"/>
      <c r="EI278" s="111"/>
      <c r="EJ278" s="111"/>
      <c r="EK278" s="165"/>
      <c r="EL278" s="109">
        <f t="shared" si="358"/>
        <v>0</v>
      </c>
      <c r="EM278" s="109">
        <f t="shared" si="359"/>
        <v>0</v>
      </c>
      <c r="EN278" s="109"/>
      <c r="EO278" s="109"/>
      <c r="EP278" s="111"/>
      <c r="EQ278" s="111"/>
      <c r="ER278" s="165"/>
      <c r="ES278" s="109">
        <f t="shared" si="360"/>
        <v>0</v>
      </c>
      <c r="ET278" s="109">
        <f t="shared" si="361"/>
        <v>0</v>
      </c>
      <c r="EU278" s="109"/>
      <c r="EV278" s="109"/>
      <c r="EW278" s="111"/>
      <c r="EX278" s="111"/>
      <c r="EY278" s="165"/>
      <c r="EZ278" s="109">
        <f t="shared" si="362"/>
        <v>0</v>
      </c>
      <c r="FA278" s="109">
        <f t="shared" si="363"/>
        <v>0</v>
      </c>
      <c r="FB278" s="109"/>
      <c r="FC278" s="109"/>
      <c r="FD278" s="111"/>
      <c r="FE278" s="111"/>
      <c r="FF278" s="165"/>
      <c r="FG278" s="109">
        <f t="shared" si="364"/>
        <v>0</v>
      </c>
      <c r="FH278" s="109">
        <f t="shared" si="365"/>
        <v>0</v>
      </c>
      <c r="FI278" s="109"/>
      <c r="FJ278" s="109"/>
      <c r="FK278" s="111"/>
      <c r="FL278" s="111"/>
      <c r="FM278" s="165"/>
      <c r="FN278" s="109">
        <f t="shared" si="366"/>
        <v>0</v>
      </c>
      <c r="FO278" s="109">
        <f t="shared" si="367"/>
        <v>0</v>
      </c>
      <c r="FP278" s="109"/>
      <c r="FQ278" s="109"/>
      <c r="FR278" s="111"/>
      <c r="FS278" s="111"/>
      <c r="FT278" s="165"/>
      <c r="FU278" s="109">
        <f t="shared" si="368"/>
        <v>0</v>
      </c>
      <c r="FV278" s="109">
        <f t="shared" si="376"/>
        <v>0</v>
      </c>
      <c r="FW278" s="109"/>
      <c r="FX278" s="109"/>
      <c r="FY278" s="111"/>
      <c r="FZ278" s="111"/>
      <c r="GA278" s="165"/>
      <c r="GB278" s="109">
        <f t="shared" si="369"/>
        <v>0</v>
      </c>
      <c r="GC278" s="109">
        <f t="shared" si="377"/>
        <v>0</v>
      </c>
      <c r="GD278" s="109"/>
      <c r="GE278" s="109"/>
      <c r="GF278" s="111"/>
      <c r="GG278" s="111"/>
      <c r="GH278" s="165"/>
      <c r="GI278" s="109">
        <f t="shared" si="370"/>
        <v>0</v>
      </c>
      <c r="GJ278" s="109">
        <f t="shared" si="378"/>
        <v>0</v>
      </c>
      <c r="GK278" s="109"/>
      <c r="GL278" s="109"/>
      <c r="GM278" s="111"/>
      <c r="GN278" s="111"/>
      <c r="GO278" s="165"/>
      <c r="GP278" s="109">
        <f t="shared" si="371"/>
        <v>0</v>
      </c>
      <c r="GQ278" s="109">
        <f t="shared" si="379"/>
        <v>0</v>
      </c>
      <c r="GR278" s="109"/>
      <c r="GS278" s="109"/>
      <c r="GT278" s="111"/>
      <c r="GU278" s="111"/>
      <c r="GV278" s="165"/>
      <c r="GW278" s="168">
        <f t="shared" si="372"/>
        <v>0</v>
      </c>
      <c r="GX278" s="168">
        <f t="shared" si="380"/>
        <v>0</v>
      </c>
      <c r="GY278" s="168"/>
      <c r="GZ278" s="168"/>
      <c r="HA278" s="111"/>
      <c r="HB278" s="111"/>
      <c r="HC278" s="165"/>
      <c r="HD278" s="109">
        <f t="shared" si="373"/>
        <v>0</v>
      </c>
      <c r="HE278" s="109">
        <f t="shared" si="381"/>
        <v>0</v>
      </c>
      <c r="HF278" s="109"/>
      <c r="HG278" s="109"/>
      <c r="HH278" s="111"/>
      <c r="HI278" s="111"/>
      <c r="HJ278" s="165"/>
      <c r="HK278" s="109">
        <f t="shared" si="374"/>
        <v>0</v>
      </c>
      <c r="HL278" s="109">
        <f t="shared" si="382"/>
        <v>0</v>
      </c>
      <c r="HM278" s="109"/>
      <c r="HN278" s="109"/>
      <c r="HO278" s="111"/>
      <c r="HP278" s="111"/>
      <c r="HQ278" s="165"/>
      <c r="HR278" s="109">
        <f t="shared" si="375"/>
        <v>0</v>
      </c>
      <c r="HS278" s="109">
        <f t="shared" si="383"/>
        <v>0</v>
      </c>
      <c r="HT278" s="109"/>
      <c r="HU278" s="109"/>
      <c r="HV278" s="111"/>
      <c r="HW278" s="111"/>
      <c r="HX278" s="105">
        <f t="shared" si="401"/>
        <v>0</v>
      </c>
      <c r="HY278" s="105">
        <f t="shared" si="401"/>
        <v>0</v>
      </c>
      <c r="HZ278" s="105">
        <f t="shared" si="401"/>
        <v>0</v>
      </c>
      <c r="IA278" s="105">
        <f t="shared" si="395"/>
        <v>0</v>
      </c>
      <c r="IB278" s="109">
        <f t="shared" si="396"/>
        <v>0</v>
      </c>
      <c r="IC278" s="109">
        <f t="shared" si="397"/>
        <v>0</v>
      </c>
      <c r="ID278" s="109">
        <f t="shared" si="398"/>
        <v>0</v>
      </c>
      <c r="IE278" s="109">
        <f t="shared" si="399"/>
        <v>0</v>
      </c>
      <c r="IF278" s="197"/>
      <c r="IG278" s="197"/>
      <c r="IH278" s="197"/>
      <c r="II278" s="197"/>
      <c r="IJ278" s="197"/>
      <c r="IK278" s="197"/>
      <c r="IL278" s="197"/>
      <c r="IM278" s="171"/>
      <c r="IN278" s="171"/>
      <c r="IO278" s="171"/>
      <c r="IP278" s="171"/>
    </row>
    <row r="279" spans="1:250" ht="15" customHeight="1" x14ac:dyDescent="0.3">
      <c r="A279" s="110">
        <f t="shared" si="400"/>
        <v>275</v>
      </c>
      <c r="B279" s="111"/>
      <c r="C279" s="111"/>
      <c r="D279" s="111"/>
      <c r="E279" s="111"/>
      <c r="F279" s="111"/>
      <c r="G279" s="111"/>
      <c r="H279" s="111"/>
      <c r="I279" s="194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75"/>
      <c r="AI279" s="111"/>
      <c r="AJ279" s="111"/>
      <c r="AK279" s="111"/>
      <c r="AL279" s="177"/>
      <c r="AM279" s="176"/>
      <c r="AN279" s="177"/>
      <c r="AO279" s="157"/>
      <c r="AP279" s="158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11"/>
      <c r="BL279" s="175"/>
      <c r="BM279" s="111"/>
      <c r="BN279" s="111"/>
      <c r="BO279" s="111"/>
      <c r="BP279" s="111"/>
      <c r="BQ279" s="111"/>
      <c r="BR279" s="111"/>
      <c r="BS279" s="111"/>
      <c r="BT279" s="111"/>
      <c r="BU279" s="111"/>
      <c r="BV279" s="111"/>
      <c r="BW279" s="111"/>
      <c r="BX279" s="111"/>
      <c r="BY279" s="111"/>
      <c r="BZ279" s="111"/>
      <c r="CA279" s="111"/>
      <c r="CB279" s="111"/>
      <c r="CC279" s="178"/>
      <c r="CD279" s="177">
        <f t="shared" si="384"/>
        <v>0</v>
      </c>
      <c r="CE279" s="148"/>
      <c r="CF279" s="111">
        <f t="shared" si="385"/>
        <v>0</v>
      </c>
      <c r="CG279" s="177"/>
      <c r="CH279" s="204"/>
      <c r="CI279" s="148"/>
      <c r="CJ279" s="165"/>
      <c r="CK279" s="165"/>
      <c r="CL279" s="111"/>
      <c r="CM279" s="111"/>
      <c r="CN279" s="165">
        <f t="shared" si="386"/>
        <v>0</v>
      </c>
      <c r="CO279" s="109">
        <f t="shared" si="387"/>
        <v>0</v>
      </c>
      <c r="CP279" s="109">
        <f t="shared" si="388"/>
        <v>0</v>
      </c>
      <c r="CQ279" s="109"/>
      <c r="CR279" s="109"/>
      <c r="CS279" s="196"/>
      <c r="CT279" s="167"/>
      <c r="CU279" s="165"/>
      <c r="CV279" s="109">
        <f t="shared" si="389"/>
        <v>0</v>
      </c>
      <c r="CW279" s="109">
        <f t="shared" si="390"/>
        <v>0</v>
      </c>
      <c r="CX279" s="109"/>
      <c r="CY279" s="109"/>
      <c r="CZ279" s="111"/>
      <c r="DA279" s="111"/>
      <c r="DB279" s="165"/>
      <c r="DC279" s="109">
        <f t="shared" si="391"/>
        <v>0</v>
      </c>
      <c r="DD279" s="109">
        <f t="shared" si="392"/>
        <v>0</v>
      </c>
      <c r="DE279" s="109"/>
      <c r="DF279" s="109"/>
      <c r="DG279" s="111"/>
      <c r="DH279" s="111"/>
      <c r="DI279" s="165"/>
      <c r="DJ279" s="109">
        <f t="shared" si="393"/>
        <v>0</v>
      </c>
      <c r="DK279" s="109">
        <f t="shared" si="394"/>
        <v>0</v>
      </c>
      <c r="DL279" s="109"/>
      <c r="DM279" s="109"/>
      <c r="DN279" s="111"/>
      <c r="DO279" s="111"/>
      <c r="DP279" s="165"/>
      <c r="DQ279" s="109">
        <f t="shared" si="352"/>
        <v>0</v>
      </c>
      <c r="DR279" s="109">
        <f t="shared" si="353"/>
        <v>0</v>
      </c>
      <c r="DS279" s="109"/>
      <c r="DT279" s="109"/>
      <c r="DU279" s="111"/>
      <c r="DV279" s="111"/>
      <c r="DW279" s="165"/>
      <c r="DX279" s="109">
        <f t="shared" si="354"/>
        <v>0</v>
      </c>
      <c r="DY279" s="109">
        <f t="shared" si="355"/>
        <v>0</v>
      </c>
      <c r="DZ279" s="109"/>
      <c r="EA279" s="109"/>
      <c r="EB279" s="111"/>
      <c r="EC279" s="111"/>
      <c r="ED279" s="165"/>
      <c r="EE279" s="109">
        <f t="shared" si="356"/>
        <v>0</v>
      </c>
      <c r="EF279" s="109">
        <f t="shared" si="357"/>
        <v>0</v>
      </c>
      <c r="EG279" s="109"/>
      <c r="EH279" s="109"/>
      <c r="EI279" s="111"/>
      <c r="EJ279" s="111"/>
      <c r="EK279" s="165"/>
      <c r="EL279" s="109">
        <f t="shared" si="358"/>
        <v>0</v>
      </c>
      <c r="EM279" s="109">
        <f t="shared" si="359"/>
        <v>0</v>
      </c>
      <c r="EN279" s="109"/>
      <c r="EO279" s="109"/>
      <c r="EP279" s="111"/>
      <c r="EQ279" s="111"/>
      <c r="ER279" s="165"/>
      <c r="ES279" s="109">
        <f t="shared" si="360"/>
        <v>0</v>
      </c>
      <c r="ET279" s="109">
        <f t="shared" si="361"/>
        <v>0</v>
      </c>
      <c r="EU279" s="109"/>
      <c r="EV279" s="109"/>
      <c r="EW279" s="111"/>
      <c r="EX279" s="111"/>
      <c r="EY279" s="165"/>
      <c r="EZ279" s="109">
        <f t="shared" si="362"/>
        <v>0</v>
      </c>
      <c r="FA279" s="109">
        <f t="shared" si="363"/>
        <v>0</v>
      </c>
      <c r="FB279" s="109"/>
      <c r="FC279" s="109"/>
      <c r="FD279" s="111"/>
      <c r="FE279" s="111"/>
      <c r="FF279" s="165"/>
      <c r="FG279" s="109">
        <f t="shared" si="364"/>
        <v>0</v>
      </c>
      <c r="FH279" s="109">
        <f t="shared" si="365"/>
        <v>0</v>
      </c>
      <c r="FI279" s="109"/>
      <c r="FJ279" s="109"/>
      <c r="FK279" s="111"/>
      <c r="FL279" s="111"/>
      <c r="FM279" s="165"/>
      <c r="FN279" s="109">
        <f t="shared" si="366"/>
        <v>0</v>
      </c>
      <c r="FO279" s="109">
        <f t="shared" si="367"/>
        <v>0</v>
      </c>
      <c r="FP279" s="109"/>
      <c r="FQ279" s="109"/>
      <c r="FR279" s="111"/>
      <c r="FS279" s="111"/>
      <c r="FT279" s="165"/>
      <c r="FU279" s="109">
        <f t="shared" si="368"/>
        <v>0</v>
      </c>
      <c r="FV279" s="109">
        <f t="shared" si="376"/>
        <v>0</v>
      </c>
      <c r="FW279" s="109"/>
      <c r="FX279" s="109"/>
      <c r="FY279" s="111"/>
      <c r="FZ279" s="111"/>
      <c r="GA279" s="165"/>
      <c r="GB279" s="109">
        <f t="shared" si="369"/>
        <v>0</v>
      </c>
      <c r="GC279" s="109">
        <f t="shared" si="377"/>
        <v>0</v>
      </c>
      <c r="GD279" s="109"/>
      <c r="GE279" s="109"/>
      <c r="GF279" s="111"/>
      <c r="GG279" s="111"/>
      <c r="GH279" s="165"/>
      <c r="GI279" s="109">
        <f t="shared" si="370"/>
        <v>0</v>
      </c>
      <c r="GJ279" s="109">
        <f t="shared" si="378"/>
        <v>0</v>
      </c>
      <c r="GK279" s="109"/>
      <c r="GL279" s="109"/>
      <c r="GM279" s="111"/>
      <c r="GN279" s="111"/>
      <c r="GO279" s="165"/>
      <c r="GP279" s="109">
        <f t="shared" si="371"/>
        <v>0</v>
      </c>
      <c r="GQ279" s="109">
        <f t="shared" si="379"/>
        <v>0</v>
      </c>
      <c r="GR279" s="109"/>
      <c r="GS279" s="109"/>
      <c r="GT279" s="111"/>
      <c r="GU279" s="111"/>
      <c r="GV279" s="165"/>
      <c r="GW279" s="168">
        <f t="shared" si="372"/>
        <v>0</v>
      </c>
      <c r="GX279" s="168">
        <f t="shared" si="380"/>
        <v>0</v>
      </c>
      <c r="GY279" s="168"/>
      <c r="GZ279" s="168"/>
      <c r="HA279" s="111"/>
      <c r="HB279" s="111"/>
      <c r="HC279" s="165"/>
      <c r="HD279" s="109">
        <f t="shared" si="373"/>
        <v>0</v>
      </c>
      <c r="HE279" s="109">
        <f t="shared" si="381"/>
        <v>0</v>
      </c>
      <c r="HF279" s="109"/>
      <c r="HG279" s="109"/>
      <c r="HH279" s="111"/>
      <c r="HI279" s="111"/>
      <c r="HJ279" s="165"/>
      <c r="HK279" s="109">
        <f t="shared" si="374"/>
        <v>0</v>
      </c>
      <c r="HL279" s="109">
        <f t="shared" si="382"/>
        <v>0</v>
      </c>
      <c r="HM279" s="109"/>
      <c r="HN279" s="109"/>
      <c r="HO279" s="111"/>
      <c r="HP279" s="111"/>
      <c r="HQ279" s="165"/>
      <c r="HR279" s="109">
        <f t="shared" si="375"/>
        <v>0</v>
      </c>
      <c r="HS279" s="109">
        <f t="shared" si="383"/>
        <v>0</v>
      </c>
      <c r="HT279" s="109"/>
      <c r="HU279" s="109"/>
      <c r="HV279" s="111"/>
      <c r="HW279" s="111"/>
      <c r="HX279" s="105">
        <f t="shared" si="401"/>
        <v>0</v>
      </c>
      <c r="HY279" s="105">
        <f t="shared" si="401"/>
        <v>0</v>
      </c>
      <c r="HZ279" s="105">
        <f t="shared" si="401"/>
        <v>0</v>
      </c>
      <c r="IA279" s="105">
        <f t="shared" si="395"/>
        <v>0</v>
      </c>
      <c r="IB279" s="109">
        <f t="shared" si="396"/>
        <v>0</v>
      </c>
      <c r="IC279" s="109">
        <f t="shared" si="397"/>
        <v>0</v>
      </c>
      <c r="ID279" s="109">
        <f t="shared" si="398"/>
        <v>0</v>
      </c>
      <c r="IE279" s="109">
        <f t="shared" si="399"/>
        <v>0</v>
      </c>
      <c r="IF279" s="197"/>
      <c r="IG279" s="197"/>
      <c r="IH279" s="197"/>
      <c r="II279" s="197"/>
      <c r="IJ279" s="197"/>
      <c r="IK279" s="197"/>
      <c r="IL279" s="197"/>
      <c r="IM279" s="171"/>
      <c r="IN279" s="171"/>
      <c r="IO279" s="171"/>
      <c r="IP279" s="171"/>
    </row>
    <row r="280" spans="1:250" ht="15" customHeight="1" x14ac:dyDescent="0.3">
      <c r="A280" s="110">
        <f t="shared" si="400"/>
        <v>276</v>
      </c>
      <c r="B280" s="111"/>
      <c r="C280" s="111"/>
      <c r="D280" s="111"/>
      <c r="E280" s="111"/>
      <c r="F280" s="111"/>
      <c r="G280" s="111"/>
      <c r="H280" s="111"/>
      <c r="I280" s="194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75"/>
      <c r="AI280" s="111"/>
      <c r="AJ280" s="111"/>
      <c r="AK280" s="111"/>
      <c r="AL280" s="177"/>
      <c r="AM280" s="176"/>
      <c r="AN280" s="177"/>
      <c r="AO280" s="157"/>
      <c r="AP280" s="158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  <c r="BJ280" s="111"/>
      <c r="BK280" s="111"/>
      <c r="BL280" s="175"/>
      <c r="BM280" s="111"/>
      <c r="BN280" s="111"/>
      <c r="BO280" s="111"/>
      <c r="BP280" s="111"/>
      <c r="BQ280" s="111"/>
      <c r="BR280" s="111"/>
      <c r="BS280" s="111"/>
      <c r="BT280" s="111"/>
      <c r="BU280" s="111"/>
      <c r="BV280" s="111"/>
      <c r="BW280" s="111"/>
      <c r="BX280" s="111"/>
      <c r="BY280" s="111"/>
      <c r="BZ280" s="111"/>
      <c r="CA280" s="111"/>
      <c r="CB280" s="111"/>
      <c r="CC280" s="178"/>
      <c r="CD280" s="177">
        <f t="shared" si="384"/>
        <v>0</v>
      </c>
      <c r="CE280" s="148"/>
      <c r="CF280" s="111">
        <f t="shared" si="385"/>
        <v>0</v>
      </c>
      <c r="CG280" s="177"/>
      <c r="CH280" s="204"/>
      <c r="CI280" s="148"/>
      <c r="CJ280" s="165"/>
      <c r="CK280" s="165"/>
      <c r="CL280" s="111"/>
      <c r="CM280" s="111"/>
      <c r="CN280" s="165">
        <f t="shared" si="386"/>
        <v>0</v>
      </c>
      <c r="CO280" s="109">
        <f t="shared" si="387"/>
        <v>0</v>
      </c>
      <c r="CP280" s="109">
        <f t="shared" si="388"/>
        <v>0</v>
      </c>
      <c r="CQ280" s="109"/>
      <c r="CR280" s="109"/>
      <c r="CS280" s="196"/>
      <c r="CT280" s="167"/>
      <c r="CU280" s="165"/>
      <c r="CV280" s="109">
        <f t="shared" si="389"/>
        <v>0</v>
      </c>
      <c r="CW280" s="109">
        <f t="shared" si="390"/>
        <v>0</v>
      </c>
      <c r="CX280" s="109"/>
      <c r="CY280" s="109"/>
      <c r="CZ280" s="111"/>
      <c r="DA280" s="111"/>
      <c r="DB280" s="165"/>
      <c r="DC280" s="109">
        <f t="shared" si="391"/>
        <v>0</v>
      </c>
      <c r="DD280" s="109">
        <f t="shared" si="392"/>
        <v>0</v>
      </c>
      <c r="DE280" s="109"/>
      <c r="DF280" s="109"/>
      <c r="DG280" s="111"/>
      <c r="DH280" s="111"/>
      <c r="DI280" s="165"/>
      <c r="DJ280" s="109">
        <f t="shared" si="393"/>
        <v>0</v>
      </c>
      <c r="DK280" s="109">
        <f t="shared" si="394"/>
        <v>0</v>
      </c>
      <c r="DL280" s="109"/>
      <c r="DM280" s="109"/>
      <c r="DN280" s="111"/>
      <c r="DO280" s="111"/>
      <c r="DP280" s="165"/>
      <c r="DQ280" s="109">
        <f t="shared" ref="DQ280:DQ343" si="402">DS280-DR280</f>
        <v>0</v>
      </c>
      <c r="DR280" s="109">
        <f t="shared" ref="DR280:DR343" si="403">DS280/(1+AM280)*AM280</f>
        <v>0</v>
      </c>
      <c r="DS280" s="109"/>
      <c r="DT280" s="109"/>
      <c r="DU280" s="111"/>
      <c r="DV280" s="111"/>
      <c r="DW280" s="165"/>
      <c r="DX280" s="109">
        <f t="shared" ref="DX280:DX343" si="404">DZ280-DY280</f>
        <v>0</v>
      </c>
      <c r="DY280" s="109">
        <f t="shared" ref="DY280:DY343" si="405">DZ280/(1+AM280)*AM280</f>
        <v>0</v>
      </c>
      <c r="DZ280" s="109"/>
      <c r="EA280" s="109"/>
      <c r="EB280" s="111"/>
      <c r="EC280" s="111"/>
      <c r="ED280" s="165"/>
      <c r="EE280" s="109">
        <f t="shared" ref="EE280:EE343" si="406">EG280-EF280</f>
        <v>0</v>
      </c>
      <c r="EF280" s="109">
        <f t="shared" ref="EF280:EF343" si="407">EG280/(1+AM280)*AM280</f>
        <v>0</v>
      </c>
      <c r="EG280" s="109"/>
      <c r="EH280" s="109"/>
      <c r="EI280" s="111"/>
      <c r="EJ280" s="111"/>
      <c r="EK280" s="165"/>
      <c r="EL280" s="109">
        <f t="shared" ref="EL280:EL343" si="408">EN280-EM280</f>
        <v>0</v>
      </c>
      <c r="EM280" s="109">
        <f t="shared" ref="EM280:EM343" si="409">EN280/(1+AM280)*AM280</f>
        <v>0</v>
      </c>
      <c r="EN280" s="109"/>
      <c r="EO280" s="109"/>
      <c r="EP280" s="111"/>
      <c r="EQ280" s="111"/>
      <c r="ER280" s="165"/>
      <c r="ES280" s="109">
        <f t="shared" ref="ES280:ES343" si="410">EU280-ET280</f>
        <v>0</v>
      </c>
      <c r="ET280" s="109">
        <f t="shared" ref="ET280:ET343" si="411">EU280/(1+AM280)*AM280</f>
        <v>0</v>
      </c>
      <c r="EU280" s="109"/>
      <c r="EV280" s="109"/>
      <c r="EW280" s="111"/>
      <c r="EX280" s="111"/>
      <c r="EY280" s="165"/>
      <c r="EZ280" s="109">
        <f t="shared" ref="EZ280:EZ343" si="412">FB280-FA280</f>
        <v>0</v>
      </c>
      <c r="FA280" s="109">
        <f t="shared" ref="FA280:FA343" si="413">FB280/(1+AM280)*AM280</f>
        <v>0</v>
      </c>
      <c r="FB280" s="109"/>
      <c r="FC280" s="109"/>
      <c r="FD280" s="111"/>
      <c r="FE280" s="111"/>
      <c r="FF280" s="165"/>
      <c r="FG280" s="109">
        <f t="shared" ref="FG280:FG343" si="414">FI280-FH280</f>
        <v>0</v>
      </c>
      <c r="FH280" s="109">
        <f t="shared" ref="FH280:FH343" si="415">FI280/(1+AM280)*AM280</f>
        <v>0</v>
      </c>
      <c r="FI280" s="109"/>
      <c r="FJ280" s="109"/>
      <c r="FK280" s="111"/>
      <c r="FL280" s="111"/>
      <c r="FM280" s="165"/>
      <c r="FN280" s="109">
        <f t="shared" ref="FN280:FN343" si="416">FP280-FO280</f>
        <v>0</v>
      </c>
      <c r="FO280" s="109">
        <f t="shared" ref="FO280:FO343" si="417">FP280/(1+AM280)*AM280</f>
        <v>0</v>
      </c>
      <c r="FP280" s="109"/>
      <c r="FQ280" s="109"/>
      <c r="FR280" s="111"/>
      <c r="FS280" s="111"/>
      <c r="FT280" s="165"/>
      <c r="FU280" s="109">
        <f t="shared" ref="FU280:FU343" si="418">FW280-FV280</f>
        <v>0</v>
      </c>
      <c r="FV280" s="109">
        <f t="shared" si="376"/>
        <v>0</v>
      </c>
      <c r="FW280" s="109"/>
      <c r="FX280" s="109"/>
      <c r="FY280" s="111"/>
      <c r="FZ280" s="111"/>
      <c r="GA280" s="165"/>
      <c r="GB280" s="109">
        <f t="shared" ref="GB280:GB343" si="419">GD280-GC280</f>
        <v>0</v>
      </c>
      <c r="GC280" s="109">
        <f t="shared" si="377"/>
        <v>0</v>
      </c>
      <c r="GD280" s="109"/>
      <c r="GE280" s="109"/>
      <c r="GF280" s="111"/>
      <c r="GG280" s="111"/>
      <c r="GH280" s="165"/>
      <c r="GI280" s="109">
        <f t="shared" ref="GI280:GI343" si="420">GK280-GJ280</f>
        <v>0</v>
      </c>
      <c r="GJ280" s="109">
        <f t="shared" si="378"/>
        <v>0</v>
      </c>
      <c r="GK280" s="109"/>
      <c r="GL280" s="109"/>
      <c r="GM280" s="111"/>
      <c r="GN280" s="111"/>
      <c r="GO280" s="165"/>
      <c r="GP280" s="109">
        <f t="shared" ref="GP280:GP343" si="421">GR280-GQ280</f>
        <v>0</v>
      </c>
      <c r="GQ280" s="109">
        <f t="shared" si="379"/>
        <v>0</v>
      </c>
      <c r="GR280" s="109"/>
      <c r="GS280" s="109"/>
      <c r="GT280" s="111"/>
      <c r="GU280" s="111"/>
      <c r="GV280" s="165"/>
      <c r="GW280" s="168">
        <f t="shared" ref="GW280:GW343" si="422">GY280-GX280</f>
        <v>0</v>
      </c>
      <c r="GX280" s="168">
        <f t="shared" si="380"/>
        <v>0</v>
      </c>
      <c r="GY280" s="168"/>
      <c r="GZ280" s="168"/>
      <c r="HA280" s="111"/>
      <c r="HB280" s="111"/>
      <c r="HC280" s="165"/>
      <c r="HD280" s="109">
        <f t="shared" ref="HD280:HD343" si="423">HF280-HE280</f>
        <v>0</v>
      </c>
      <c r="HE280" s="109">
        <f t="shared" si="381"/>
        <v>0</v>
      </c>
      <c r="HF280" s="109"/>
      <c r="HG280" s="109"/>
      <c r="HH280" s="111"/>
      <c r="HI280" s="111"/>
      <c r="HJ280" s="165"/>
      <c r="HK280" s="109">
        <f t="shared" ref="HK280:HK343" si="424">HM280-HL280</f>
        <v>0</v>
      </c>
      <c r="HL280" s="109">
        <f t="shared" si="382"/>
        <v>0</v>
      </c>
      <c r="HM280" s="109"/>
      <c r="HN280" s="109"/>
      <c r="HO280" s="111"/>
      <c r="HP280" s="111"/>
      <c r="HQ280" s="165"/>
      <c r="HR280" s="109">
        <f t="shared" ref="HR280:HR343" si="425">HT280-HS280</f>
        <v>0</v>
      </c>
      <c r="HS280" s="109">
        <f t="shared" si="383"/>
        <v>0</v>
      </c>
      <c r="HT280" s="109"/>
      <c r="HU280" s="109"/>
      <c r="HV280" s="111"/>
      <c r="HW280" s="111"/>
      <c r="HX280" s="105">
        <f t="shared" si="401"/>
        <v>0</v>
      </c>
      <c r="HY280" s="105">
        <f t="shared" si="401"/>
        <v>0</v>
      </c>
      <c r="HZ280" s="105">
        <f t="shared" si="401"/>
        <v>0</v>
      </c>
      <c r="IA280" s="105">
        <f t="shared" si="395"/>
        <v>0</v>
      </c>
      <c r="IB280" s="109">
        <f t="shared" si="396"/>
        <v>0</v>
      </c>
      <c r="IC280" s="109">
        <f t="shared" si="397"/>
        <v>0</v>
      </c>
      <c r="ID280" s="109">
        <f t="shared" si="398"/>
        <v>0</v>
      </c>
      <c r="IE280" s="109">
        <f t="shared" si="399"/>
        <v>0</v>
      </c>
      <c r="IF280" s="197"/>
      <c r="IG280" s="197"/>
      <c r="IH280" s="197"/>
      <c r="II280" s="197"/>
      <c r="IJ280" s="197"/>
      <c r="IK280" s="197"/>
      <c r="IL280" s="197"/>
      <c r="IM280" s="171"/>
      <c r="IN280" s="171"/>
      <c r="IO280" s="171"/>
      <c r="IP280" s="171"/>
    </row>
    <row r="281" spans="1:250" ht="15" customHeight="1" x14ac:dyDescent="0.3">
      <c r="A281" s="110">
        <f t="shared" si="400"/>
        <v>277</v>
      </c>
      <c r="B281" s="111"/>
      <c r="C281" s="111"/>
      <c r="D281" s="111"/>
      <c r="E281" s="111"/>
      <c r="F281" s="111"/>
      <c r="G281" s="111"/>
      <c r="H281" s="111"/>
      <c r="I281" s="194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75"/>
      <c r="AI281" s="111"/>
      <c r="AJ281" s="111"/>
      <c r="AK281" s="111"/>
      <c r="AL281" s="177"/>
      <c r="AM281" s="176"/>
      <c r="AN281" s="177"/>
      <c r="AO281" s="157"/>
      <c r="AP281" s="158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75"/>
      <c r="BM281" s="111"/>
      <c r="BN281" s="111"/>
      <c r="BO281" s="111"/>
      <c r="BP281" s="111"/>
      <c r="BQ281" s="111"/>
      <c r="BR281" s="111"/>
      <c r="BS281" s="111"/>
      <c r="BT281" s="111"/>
      <c r="BU281" s="111"/>
      <c r="BV281" s="111"/>
      <c r="BW281" s="111"/>
      <c r="BX281" s="111"/>
      <c r="BY281" s="111"/>
      <c r="BZ281" s="111"/>
      <c r="CA281" s="111"/>
      <c r="CB281" s="111"/>
      <c r="CC281" s="178"/>
      <c r="CD281" s="177">
        <f t="shared" si="384"/>
        <v>0</v>
      </c>
      <c r="CE281" s="148"/>
      <c r="CF281" s="111">
        <f t="shared" si="385"/>
        <v>0</v>
      </c>
      <c r="CG281" s="177"/>
      <c r="CH281" s="204"/>
      <c r="CI281" s="148"/>
      <c r="CJ281" s="165"/>
      <c r="CK281" s="165"/>
      <c r="CL281" s="111"/>
      <c r="CM281" s="111"/>
      <c r="CN281" s="165">
        <f t="shared" si="386"/>
        <v>0</v>
      </c>
      <c r="CO281" s="109">
        <f t="shared" si="387"/>
        <v>0</v>
      </c>
      <c r="CP281" s="109">
        <f t="shared" si="388"/>
        <v>0</v>
      </c>
      <c r="CQ281" s="109"/>
      <c r="CR281" s="109"/>
      <c r="CS281" s="196"/>
      <c r="CT281" s="167"/>
      <c r="CU281" s="165"/>
      <c r="CV281" s="109">
        <f t="shared" si="389"/>
        <v>0</v>
      </c>
      <c r="CW281" s="109">
        <f t="shared" si="390"/>
        <v>0</v>
      </c>
      <c r="CX281" s="109"/>
      <c r="CY281" s="109"/>
      <c r="CZ281" s="111"/>
      <c r="DA281" s="111"/>
      <c r="DB281" s="165"/>
      <c r="DC281" s="109">
        <f t="shared" si="391"/>
        <v>0</v>
      </c>
      <c r="DD281" s="109">
        <f t="shared" si="392"/>
        <v>0</v>
      </c>
      <c r="DE281" s="109"/>
      <c r="DF281" s="109"/>
      <c r="DG281" s="111"/>
      <c r="DH281" s="111"/>
      <c r="DI281" s="165"/>
      <c r="DJ281" s="109">
        <f t="shared" si="393"/>
        <v>0</v>
      </c>
      <c r="DK281" s="109">
        <f t="shared" si="394"/>
        <v>0</v>
      </c>
      <c r="DL281" s="109"/>
      <c r="DM281" s="109"/>
      <c r="DN281" s="111"/>
      <c r="DO281" s="111"/>
      <c r="DP281" s="165"/>
      <c r="DQ281" s="109">
        <f t="shared" si="402"/>
        <v>0</v>
      </c>
      <c r="DR281" s="109">
        <f t="shared" si="403"/>
        <v>0</v>
      </c>
      <c r="DS281" s="109"/>
      <c r="DT281" s="109"/>
      <c r="DU281" s="111"/>
      <c r="DV281" s="111"/>
      <c r="DW281" s="165"/>
      <c r="DX281" s="109">
        <f t="shared" si="404"/>
        <v>0</v>
      </c>
      <c r="DY281" s="109">
        <f t="shared" si="405"/>
        <v>0</v>
      </c>
      <c r="DZ281" s="109"/>
      <c r="EA281" s="109"/>
      <c r="EB281" s="111"/>
      <c r="EC281" s="111"/>
      <c r="ED281" s="165"/>
      <c r="EE281" s="109">
        <f t="shared" si="406"/>
        <v>0</v>
      </c>
      <c r="EF281" s="109">
        <f t="shared" si="407"/>
        <v>0</v>
      </c>
      <c r="EG281" s="109"/>
      <c r="EH281" s="109"/>
      <c r="EI281" s="111"/>
      <c r="EJ281" s="111"/>
      <c r="EK281" s="165"/>
      <c r="EL281" s="109">
        <f t="shared" si="408"/>
        <v>0</v>
      </c>
      <c r="EM281" s="109">
        <f t="shared" si="409"/>
        <v>0</v>
      </c>
      <c r="EN281" s="109"/>
      <c r="EO281" s="109"/>
      <c r="EP281" s="111"/>
      <c r="EQ281" s="111"/>
      <c r="ER281" s="165"/>
      <c r="ES281" s="109">
        <f t="shared" si="410"/>
        <v>0</v>
      </c>
      <c r="ET281" s="109">
        <f t="shared" si="411"/>
        <v>0</v>
      </c>
      <c r="EU281" s="109"/>
      <c r="EV281" s="109"/>
      <c r="EW281" s="111"/>
      <c r="EX281" s="111"/>
      <c r="EY281" s="165"/>
      <c r="EZ281" s="109">
        <f t="shared" si="412"/>
        <v>0</v>
      </c>
      <c r="FA281" s="109">
        <f t="shared" si="413"/>
        <v>0</v>
      </c>
      <c r="FB281" s="109"/>
      <c r="FC281" s="109"/>
      <c r="FD281" s="111"/>
      <c r="FE281" s="111"/>
      <c r="FF281" s="165"/>
      <c r="FG281" s="109">
        <f t="shared" si="414"/>
        <v>0</v>
      </c>
      <c r="FH281" s="109">
        <f t="shared" si="415"/>
        <v>0</v>
      </c>
      <c r="FI281" s="109"/>
      <c r="FJ281" s="109"/>
      <c r="FK281" s="111"/>
      <c r="FL281" s="111"/>
      <c r="FM281" s="165"/>
      <c r="FN281" s="109">
        <f t="shared" si="416"/>
        <v>0</v>
      </c>
      <c r="FO281" s="109">
        <f t="shared" si="417"/>
        <v>0</v>
      </c>
      <c r="FP281" s="109"/>
      <c r="FQ281" s="109"/>
      <c r="FR281" s="111"/>
      <c r="FS281" s="111"/>
      <c r="FT281" s="165"/>
      <c r="FU281" s="109">
        <f t="shared" si="418"/>
        <v>0</v>
      </c>
      <c r="FV281" s="109">
        <f t="shared" si="376"/>
        <v>0</v>
      </c>
      <c r="FW281" s="109"/>
      <c r="FX281" s="109"/>
      <c r="FY281" s="111"/>
      <c r="FZ281" s="111"/>
      <c r="GA281" s="165"/>
      <c r="GB281" s="109">
        <f t="shared" si="419"/>
        <v>0</v>
      </c>
      <c r="GC281" s="109">
        <f t="shared" si="377"/>
        <v>0</v>
      </c>
      <c r="GD281" s="109"/>
      <c r="GE281" s="109"/>
      <c r="GF281" s="111"/>
      <c r="GG281" s="111"/>
      <c r="GH281" s="165"/>
      <c r="GI281" s="109">
        <f t="shared" si="420"/>
        <v>0</v>
      </c>
      <c r="GJ281" s="109">
        <f t="shared" si="378"/>
        <v>0</v>
      </c>
      <c r="GK281" s="109"/>
      <c r="GL281" s="109"/>
      <c r="GM281" s="111"/>
      <c r="GN281" s="111"/>
      <c r="GO281" s="165"/>
      <c r="GP281" s="109">
        <f t="shared" si="421"/>
        <v>0</v>
      </c>
      <c r="GQ281" s="109">
        <f t="shared" si="379"/>
        <v>0</v>
      </c>
      <c r="GR281" s="109"/>
      <c r="GS281" s="109"/>
      <c r="GT281" s="111"/>
      <c r="GU281" s="111"/>
      <c r="GV281" s="165"/>
      <c r="GW281" s="168">
        <f t="shared" si="422"/>
        <v>0</v>
      </c>
      <c r="GX281" s="168">
        <f t="shared" si="380"/>
        <v>0</v>
      </c>
      <c r="GY281" s="168"/>
      <c r="GZ281" s="168"/>
      <c r="HA281" s="111"/>
      <c r="HB281" s="111"/>
      <c r="HC281" s="165"/>
      <c r="HD281" s="109">
        <f t="shared" si="423"/>
        <v>0</v>
      </c>
      <c r="HE281" s="109">
        <f t="shared" si="381"/>
        <v>0</v>
      </c>
      <c r="HF281" s="109"/>
      <c r="HG281" s="109"/>
      <c r="HH281" s="111"/>
      <c r="HI281" s="111"/>
      <c r="HJ281" s="165"/>
      <c r="HK281" s="109">
        <f t="shared" si="424"/>
        <v>0</v>
      </c>
      <c r="HL281" s="109">
        <f t="shared" si="382"/>
        <v>0</v>
      </c>
      <c r="HM281" s="109"/>
      <c r="HN281" s="109"/>
      <c r="HO281" s="111"/>
      <c r="HP281" s="111"/>
      <c r="HQ281" s="165"/>
      <c r="HR281" s="109">
        <f t="shared" si="425"/>
        <v>0</v>
      </c>
      <c r="HS281" s="109">
        <f t="shared" si="383"/>
        <v>0</v>
      </c>
      <c r="HT281" s="109"/>
      <c r="HU281" s="109"/>
      <c r="HV281" s="111"/>
      <c r="HW281" s="111"/>
      <c r="HX281" s="105">
        <f t="shared" si="401"/>
        <v>0</v>
      </c>
      <c r="HY281" s="105">
        <f t="shared" si="401"/>
        <v>0</v>
      </c>
      <c r="HZ281" s="105">
        <f t="shared" si="401"/>
        <v>0</v>
      </c>
      <c r="IA281" s="105">
        <f t="shared" si="395"/>
        <v>0</v>
      </c>
      <c r="IB281" s="109">
        <f t="shared" si="396"/>
        <v>0</v>
      </c>
      <c r="IC281" s="109">
        <f t="shared" si="397"/>
        <v>0</v>
      </c>
      <c r="ID281" s="109">
        <f t="shared" si="398"/>
        <v>0</v>
      </c>
      <c r="IE281" s="109">
        <f t="shared" si="399"/>
        <v>0</v>
      </c>
      <c r="IF281" s="197"/>
      <c r="IG281" s="197"/>
      <c r="IH281" s="197"/>
      <c r="II281" s="197"/>
      <c r="IJ281" s="197"/>
      <c r="IK281" s="197"/>
      <c r="IL281" s="197"/>
      <c r="IM281" s="171"/>
      <c r="IN281" s="171"/>
      <c r="IO281" s="171"/>
      <c r="IP281" s="171"/>
    </row>
    <row r="282" spans="1:250" ht="15" customHeight="1" x14ac:dyDescent="0.3">
      <c r="A282" s="110">
        <f t="shared" si="400"/>
        <v>278</v>
      </c>
      <c r="B282" s="111"/>
      <c r="C282" s="111"/>
      <c r="D282" s="111"/>
      <c r="E282" s="111"/>
      <c r="F282" s="111"/>
      <c r="G282" s="111"/>
      <c r="H282" s="111"/>
      <c r="I282" s="194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75"/>
      <c r="AI282" s="111"/>
      <c r="AJ282" s="111"/>
      <c r="AK282" s="111"/>
      <c r="AL282" s="177"/>
      <c r="AM282" s="176"/>
      <c r="AN282" s="177"/>
      <c r="AO282" s="157"/>
      <c r="AP282" s="158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  <c r="BJ282" s="111"/>
      <c r="BK282" s="111"/>
      <c r="BL282" s="175"/>
      <c r="BM282" s="111"/>
      <c r="BN282" s="111"/>
      <c r="BO282" s="111"/>
      <c r="BP282" s="111"/>
      <c r="BQ282" s="111"/>
      <c r="BR282" s="111"/>
      <c r="BS282" s="111"/>
      <c r="BT282" s="111"/>
      <c r="BU282" s="111"/>
      <c r="BV282" s="111"/>
      <c r="BW282" s="111"/>
      <c r="BX282" s="111"/>
      <c r="BY282" s="111"/>
      <c r="BZ282" s="111"/>
      <c r="CA282" s="111"/>
      <c r="CB282" s="111"/>
      <c r="CC282" s="178"/>
      <c r="CD282" s="177">
        <f t="shared" si="384"/>
        <v>0</v>
      </c>
      <c r="CE282" s="148"/>
      <c r="CF282" s="111">
        <f t="shared" si="385"/>
        <v>0</v>
      </c>
      <c r="CG282" s="177"/>
      <c r="CH282" s="204"/>
      <c r="CI282" s="148"/>
      <c r="CJ282" s="165"/>
      <c r="CK282" s="165"/>
      <c r="CL282" s="111"/>
      <c r="CM282" s="111"/>
      <c r="CN282" s="165">
        <f t="shared" si="386"/>
        <v>0</v>
      </c>
      <c r="CO282" s="109">
        <f t="shared" si="387"/>
        <v>0</v>
      </c>
      <c r="CP282" s="109">
        <f t="shared" si="388"/>
        <v>0</v>
      </c>
      <c r="CQ282" s="109"/>
      <c r="CR282" s="109"/>
      <c r="CS282" s="196"/>
      <c r="CT282" s="167"/>
      <c r="CU282" s="165"/>
      <c r="CV282" s="109">
        <f t="shared" si="389"/>
        <v>0</v>
      </c>
      <c r="CW282" s="109">
        <f t="shared" si="390"/>
        <v>0</v>
      </c>
      <c r="CX282" s="109"/>
      <c r="CY282" s="109"/>
      <c r="CZ282" s="111"/>
      <c r="DA282" s="111"/>
      <c r="DB282" s="165"/>
      <c r="DC282" s="109">
        <f t="shared" si="391"/>
        <v>0</v>
      </c>
      <c r="DD282" s="109">
        <f t="shared" si="392"/>
        <v>0</v>
      </c>
      <c r="DE282" s="109"/>
      <c r="DF282" s="109"/>
      <c r="DG282" s="111"/>
      <c r="DH282" s="111"/>
      <c r="DI282" s="165"/>
      <c r="DJ282" s="109">
        <f t="shared" si="393"/>
        <v>0</v>
      </c>
      <c r="DK282" s="109">
        <f t="shared" si="394"/>
        <v>0</v>
      </c>
      <c r="DL282" s="109"/>
      <c r="DM282" s="109"/>
      <c r="DN282" s="111"/>
      <c r="DO282" s="111"/>
      <c r="DP282" s="165"/>
      <c r="DQ282" s="109">
        <f t="shared" si="402"/>
        <v>0</v>
      </c>
      <c r="DR282" s="109">
        <f t="shared" si="403"/>
        <v>0</v>
      </c>
      <c r="DS282" s="109"/>
      <c r="DT282" s="109"/>
      <c r="DU282" s="111"/>
      <c r="DV282" s="111"/>
      <c r="DW282" s="165"/>
      <c r="DX282" s="109">
        <f t="shared" si="404"/>
        <v>0</v>
      </c>
      <c r="DY282" s="109">
        <f t="shared" si="405"/>
        <v>0</v>
      </c>
      <c r="DZ282" s="109"/>
      <c r="EA282" s="109"/>
      <c r="EB282" s="111"/>
      <c r="EC282" s="111"/>
      <c r="ED282" s="165"/>
      <c r="EE282" s="109">
        <f t="shared" si="406"/>
        <v>0</v>
      </c>
      <c r="EF282" s="109">
        <f t="shared" si="407"/>
        <v>0</v>
      </c>
      <c r="EG282" s="109"/>
      <c r="EH282" s="109"/>
      <c r="EI282" s="111"/>
      <c r="EJ282" s="111"/>
      <c r="EK282" s="165"/>
      <c r="EL282" s="109">
        <f t="shared" si="408"/>
        <v>0</v>
      </c>
      <c r="EM282" s="109">
        <f t="shared" si="409"/>
        <v>0</v>
      </c>
      <c r="EN282" s="109"/>
      <c r="EO282" s="109"/>
      <c r="EP282" s="111"/>
      <c r="EQ282" s="111"/>
      <c r="ER282" s="165"/>
      <c r="ES282" s="109">
        <f t="shared" si="410"/>
        <v>0</v>
      </c>
      <c r="ET282" s="109">
        <f t="shared" si="411"/>
        <v>0</v>
      </c>
      <c r="EU282" s="109"/>
      <c r="EV282" s="109"/>
      <c r="EW282" s="111"/>
      <c r="EX282" s="111"/>
      <c r="EY282" s="165"/>
      <c r="EZ282" s="109">
        <f t="shared" si="412"/>
        <v>0</v>
      </c>
      <c r="FA282" s="109">
        <f t="shared" si="413"/>
        <v>0</v>
      </c>
      <c r="FB282" s="109"/>
      <c r="FC282" s="109"/>
      <c r="FD282" s="111"/>
      <c r="FE282" s="111"/>
      <c r="FF282" s="165"/>
      <c r="FG282" s="109">
        <f t="shared" si="414"/>
        <v>0</v>
      </c>
      <c r="FH282" s="109">
        <f t="shared" si="415"/>
        <v>0</v>
      </c>
      <c r="FI282" s="109"/>
      <c r="FJ282" s="109"/>
      <c r="FK282" s="111"/>
      <c r="FL282" s="111"/>
      <c r="FM282" s="165"/>
      <c r="FN282" s="109">
        <f t="shared" si="416"/>
        <v>0</v>
      </c>
      <c r="FO282" s="109">
        <f t="shared" si="417"/>
        <v>0</v>
      </c>
      <c r="FP282" s="109"/>
      <c r="FQ282" s="109"/>
      <c r="FR282" s="111"/>
      <c r="FS282" s="111"/>
      <c r="FT282" s="165"/>
      <c r="FU282" s="109">
        <f t="shared" si="418"/>
        <v>0</v>
      </c>
      <c r="FV282" s="109">
        <f t="shared" si="376"/>
        <v>0</v>
      </c>
      <c r="FW282" s="109"/>
      <c r="FX282" s="109"/>
      <c r="FY282" s="111"/>
      <c r="FZ282" s="111"/>
      <c r="GA282" s="165"/>
      <c r="GB282" s="109">
        <f t="shared" si="419"/>
        <v>0</v>
      </c>
      <c r="GC282" s="109">
        <f t="shared" si="377"/>
        <v>0</v>
      </c>
      <c r="GD282" s="109"/>
      <c r="GE282" s="109"/>
      <c r="GF282" s="111"/>
      <c r="GG282" s="111"/>
      <c r="GH282" s="165"/>
      <c r="GI282" s="109">
        <f t="shared" si="420"/>
        <v>0</v>
      </c>
      <c r="GJ282" s="109">
        <f t="shared" si="378"/>
        <v>0</v>
      </c>
      <c r="GK282" s="109"/>
      <c r="GL282" s="109"/>
      <c r="GM282" s="111"/>
      <c r="GN282" s="111"/>
      <c r="GO282" s="165"/>
      <c r="GP282" s="109">
        <f t="shared" si="421"/>
        <v>0</v>
      </c>
      <c r="GQ282" s="109">
        <f t="shared" si="379"/>
        <v>0</v>
      </c>
      <c r="GR282" s="109"/>
      <c r="GS282" s="109"/>
      <c r="GT282" s="111"/>
      <c r="GU282" s="111"/>
      <c r="GV282" s="165"/>
      <c r="GW282" s="168">
        <f t="shared" si="422"/>
        <v>0</v>
      </c>
      <c r="GX282" s="168">
        <f t="shared" si="380"/>
        <v>0</v>
      </c>
      <c r="GY282" s="168"/>
      <c r="GZ282" s="168"/>
      <c r="HA282" s="111"/>
      <c r="HB282" s="111"/>
      <c r="HC282" s="165"/>
      <c r="HD282" s="109">
        <f t="shared" si="423"/>
        <v>0</v>
      </c>
      <c r="HE282" s="109">
        <f t="shared" si="381"/>
        <v>0</v>
      </c>
      <c r="HF282" s="109"/>
      <c r="HG282" s="109"/>
      <c r="HH282" s="111"/>
      <c r="HI282" s="111"/>
      <c r="HJ282" s="165"/>
      <c r="HK282" s="109">
        <f t="shared" si="424"/>
        <v>0</v>
      </c>
      <c r="HL282" s="109">
        <f t="shared" si="382"/>
        <v>0</v>
      </c>
      <c r="HM282" s="109"/>
      <c r="HN282" s="109"/>
      <c r="HO282" s="111"/>
      <c r="HP282" s="111"/>
      <c r="HQ282" s="165"/>
      <c r="HR282" s="109">
        <f t="shared" si="425"/>
        <v>0</v>
      </c>
      <c r="HS282" s="109">
        <f t="shared" si="383"/>
        <v>0</v>
      </c>
      <c r="HT282" s="109"/>
      <c r="HU282" s="109"/>
      <c r="HV282" s="111"/>
      <c r="HW282" s="111"/>
      <c r="HX282" s="105">
        <f t="shared" si="401"/>
        <v>0</v>
      </c>
      <c r="HY282" s="105">
        <f t="shared" si="401"/>
        <v>0</v>
      </c>
      <c r="HZ282" s="105">
        <f t="shared" si="401"/>
        <v>0</v>
      </c>
      <c r="IA282" s="105">
        <f t="shared" si="395"/>
        <v>0</v>
      </c>
      <c r="IB282" s="109">
        <f t="shared" si="396"/>
        <v>0</v>
      </c>
      <c r="IC282" s="109">
        <f t="shared" si="397"/>
        <v>0</v>
      </c>
      <c r="ID282" s="109">
        <f t="shared" si="398"/>
        <v>0</v>
      </c>
      <c r="IE282" s="109">
        <f t="shared" si="399"/>
        <v>0</v>
      </c>
      <c r="IF282" s="197"/>
      <c r="IG282" s="197"/>
      <c r="IH282" s="197"/>
      <c r="II282" s="197"/>
      <c r="IJ282" s="197"/>
      <c r="IK282" s="197"/>
      <c r="IL282" s="197"/>
      <c r="IM282" s="171"/>
      <c r="IN282" s="171"/>
      <c r="IO282" s="171"/>
      <c r="IP282" s="171"/>
    </row>
    <row r="283" spans="1:250" ht="15" customHeight="1" x14ac:dyDescent="0.3">
      <c r="A283" s="110">
        <f t="shared" si="400"/>
        <v>279</v>
      </c>
      <c r="B283" s="111"/>
      <c r="C283" s="111"/>
      <c r="D283" s="111"/>
      <c r="E283" s="111"/>
      <c r="F283" s="111"/>
      <c r="G283" s="111"/>
      <c r="H283" s="111"/>
      <c r="I283" s="194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75"/>
      <c r="AI283" s="111"/>
      <c r="AJ283" s="111"/>
      <c r="AK283" s="111"/>
      <c r="AL283" s="177"/>
      <c r="AM283" s="176"/>
      <c r="AN283" s="177"/>
      <c r="AO283" s="157"/>
      <c r="AP283" s="158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75"/>
      <c r="BM283" s="111"/>
      <c r="BN283" s="111"/>
      <c r="BO283" s="111"/>
      <c r="BP283" s="111"/>
      <c r="BQ283" s="111"/>
      <c r="BR283" s="111"/>
      <c r="BS283" s="111"/>
      <c r="BT283" s="111"/>
      <c r="BU283" s="111"/>
      <c r="BV283" s="111"/>
      <c r="BW283" s="111"/>
      <c r="BX283" s="111"/>
      <c r="BY283" s="111"/>
      <c r="BZ283" s="111"/>
      <c r="CA283" s="111"/>
      <c r="CB283" s="111"/>
      <c r="CC283" s="178"/>
      <c r="CD283" s="177">
        <f t="shared" si="384"/>
        <v>0</v>
      </c>
      <c r="CE283" s="148"/>
      <c r="CF283" s="111">
        <f t="shared" si="385"/>
        <v>0</v>
      </c>
      <c r="CG283" s="177"/>
      <c r="CH283" s="204"/>
      <c r="CI283" s="148"/>
      <c r="CJ283" s="165"/>
      <c r="CK283" s="165"/>
      <c r="CL283" s="111"/>
      <c r="CM283" s="111"/>
      <c r="CN283" s="165">
        <f t="shared" si="386"/>
        <v>0</v>
      </c>
      <c r="CO283" s="109">
        <f t="shared" si="387"/>
        <v>0</v>
      </c>
      <c r="CP283" s="109">
        <f t="shared" si="388"/>
        <v>0</v>
      </c>
      <c r="CQ283" s="109"/>
      <c r="CR283" s="109"/>
      <c r="CS283" s="196"/>
      <c r="CT283" s="167"/>
      <c r="CU283" s="165"/>
      <c r="CV283" s="109">
        <f t="shared" si="389"/>
        <v>0</v>
      </c>
      <c r="CW283" s="109">
        <f t="shared" si="390"/>
        <v>0</v>
      </c>
      <c r="CX283" s="109"/>
      <c r="CY283" s="109"/>
      <c r="CZ283" s="111"/>
      <c r="DA283" s="111"/>
      <c r="DB283" s="165"/>
      <c r="DC283" s="109">
        <f t="shared" si="391"/>
        <v>0</v>
      </c>
      <c r="DD283" s="109">
        <f t="shared" si="392"/>
        <v>0</v>
      </c>
      <c r="DE283" s="109"/>
      <c r="DF283" s="109"/>
      <c r="DG283" s="111"/>
      <c r="DH283" s="111"/>
      <c r="DI283" s="165"/>
      <c r="DJ283" s="109">
        <f t="shared" si="393"/>
        <v>0</v>
      </c>
      <c r="DK283" s="109">
        <f t="shared" si="394"/>
        <v>0</v>
      </c>
      <c r="DL283" s="109"/>
      <c r="DM283" s="109"/>
      <c r="DN283" s="111"/>
      <c r="DO283" s="111"/>
      <c r="DP283" s="165"/>
      <c r="DQ283" s="109">
        <f t="shared" si="402"/>
        <v>0</v>
      </c>
      <c r="DR283" s="109">
        <f t="shared" si="403"/>
        <v>0</v>
      </c>
      <c r="DS283" s="109"/>
      <c r="DT283" s="109"/>
      <c r="DU283" s="111"/>
      <c r="DV283" s="111"/>
      <c r="DW283" s="165"/>
      <c r="DX283" s="109">
        <f t="shared" si="404"/>
        <v>0</v>
      </c>
      <c r="DY283" s="109">
        <f t="shared" si="405"/>
        <v>0</v>
      </c>
      <c r="DZ283" s="109"/>
      <c r="EA283" s="109"/>
      <c r="EB283" s="111"/>
      <c r="EC283" s="111"/>
      <c r="ED283" s="165"/>
      <c r="EE283" s="109">
        <f t="shared" si="406"/>
        <v>0</v>
      </c>
      <c r="EF283" s="109">
        <f t="shared" si="407"/>
        <v>0</v>
      </c>
      <c r="EG283" s="109"/>
      <c r="EH283" s="109"/>
      <c r="EI283" s="111"/>
      <c r="EJ283" s="111"/>
      <c r="EK283" s="165"/>
      <c r="EL283" s="109">
        <f t="shared" si="408"/>
        <v>0</v>
      </c>
      <c r="EM283" s="109">
        <f t="shared" si="409"/>
        <v>0</v>
      </c>
      <c r="EN283" s="109"/>
      <c r="EO283" s="109"/>
      <c r="EP283" s="111"/>
      <c r="EQ283" s="111"/>
      <c r="ER283" s="165"/>
      <c r="ES283" s="109">
        <f t="shared" si="410"/>
        <v>0</v>
      </c>
      <c r="ET283" s="109">
        <f t="shared" si="411"/>
        <v>0</v>
      </c>
      <c r="EU283" s="109"/>
      <c r="EV283" s="109"/>
      <c r="EW283" s="111"/>
      <c r="EX283" s="111"/>
      <c r="EY283" s="165"/>
      <c r="EZ283" s="109">
        <f t="shared" si="412"/>
        <v>0</v>
      </c>
      <c r="FA283" s="109">
        <f t="shared" si="413"/>
        <v>0</v>
      </c>
      <c r="FB283" s="109"/>
      <c r="FC283" s="109"/>
      <c r="FD283" s="111"/>
      <c r="FE283" s="111"/>
      <c r="FF283" s="165"/>
      <c r="FG283" s="109">
        <f t="shared" si="414"/>
        <v>0</v>
      </c>
      <c r="FH283" s="109">
        <f t="shared" si="415"/>
        <v>0</v>
      </c>
      <c r="FI283" s="109"/>
      <c r="FJ283" s="109"/>
      <c r="FK283" s="111"/>
      <c r="FL283" s="111"/>
      <c r="FM283" s="165"/>
      <c r="FN283" s="109">
        <f t="shared" si="416"/>
        <v>0</v>
      </c>
      <c r="FO283" s="109">
        <f t="shared" si="417"/>
        <v>0</v>
      </c>
      <c r="FP283" s="109"/>
      <c r="FQ283" s="109"/>
      <c r="FR283" s="111"/>
      <c r="FS283" s="111"/>
      <c r="FT283" s="165"/>
      <c r="FU283" s="109">
        <f t="shared" si="418"/>
        <v>0</v>
      </c>
      <c r="FV283" s="109">
        <f t="shared" si="376"/>
        <v>0</v>
      </c>
      <c r="FW283" s="109"/>
      <c r="FX283" s="109"/>
      <c r="FY283" s="111"/>
      <c r="FZ283" s="111"/>
      <c r="GA283" s="165"/>
      <c r="GB283" s="109">
        <f t="shared" si="419"/>
        <v>0</v>
      </c>
      <c r="GC283" s="109">
        <f t="shared" si="377"/>
        <v>0</v>
      </c>
      <c r="GD283" s="109"/>
      <c r="GE283" s="109"/>
      <c r="GF283" s="111"/>
      <c r="GG283" s="111"/>
      <c r="GH283" s="165"/>
      <c r="GI283" s="109">
        <f t="shared" si="420"/>
        <v>0</v>
      </c>
      <c r="GJ283" s="109">
        <f t="shared" si="378"/>
        <v>0</v>
      </c>
      <c r="GK283" s="109"/>
      <c r="GL283" s="109"/>
      <c r="GM283" s="111"/>
      <c r="GN283" s="111"/>
      <c r="GO283" s="165"/>
      <c r="GP283" s="109">
        <f t="shared" si="421"/>
        <v>0</v>
      </c>
      <c r="GQ283" s="109">
        <f t="shared" si="379"/>
        <v>0</v>
      </c>
      <c r="GR283" s="109"/>
      <c r="GS283" s="109"/>
      <c r="GT283" s="111"/>
      <c r="GU283" s="111"/>
      <c r="GV283" s="165"/>
      <c r="GW283" s="168">
        <f t="shared" si="422"/>
        <v>0</v>
      </c>
      <c r="GX283" s="168">
        <f t="shared" si="380"/>
        <v>0</v>
      </c>
      <c r="GY283" s="168"/>
      <c r="GZ283" s="168"/>
      <c r="HA283" s="111"/>
      <c r="HB283" s="111"/>
      <c r="HC283" s="165"/>
      <c r="HD283" s="109">
        <f t="shared" si="423"/>
        <v>0</v>
      </c>
      <c r="HE283" s="109">
        <f t="shared" si="381"/>
        <v>0</v>
      </c>
      <c r="HF283" s="109"/>
      <c r="HG283" s="109"/>
      <c r="HH283" s="111"/>
      <c r="HI283" s="111"/>
      <c r="HJ283" s="165"/>
      <c r="HK283" s="109">
        <f t="shared" si="424"/>
        <v>0</v>
      </c>
      <c r="HL283" s="109">
        <f t="shared" si="382"/>
        <v>0</v>
      </c>
      <c r="HM283" s="109"/>
      <c r="HN283" s="109"/>
      <c r="HO283" s="111"/>
      <c r="HP283" s="111"/>
      <c r="HQ283" s="165"/>
      <c r="HR283" s="109">
        <f t="shared" si="425"/>
        <v>0</v>
      </c>
      <c r="HS283" s="109">
        <f t="shared" si="383"/>
        <v>0</v>
      </c>
      <c r="HT283" s="109"/>
      <c r="HU283" s="109"/>
      <c r="HV283" s="111"/>
      <c r="HW283" s="111"/>
      <c r="HX283" s="105">
        <f t="shared" si="401"/>
        <v>0</v>
      </c>
      <c r="HY283" s="105">
        <f t="shared" si="401"/>
        <v>0</v>
      </c>
      <c r="HZ283" s="105">
        <f t="shared" si="401"/>
        <v>0</v>
      </c>
      <c r="IA283" s="105">
        <f t="shared" si="395"/>
        <v>0</v>
      </c>
      <c r="IB283" s="109">
        <f t="shared" si="396"/>
        <v>0</v>
      </c>
      <c r="IC283" s="109">
        <f t="shared" si="397"/>
        <v>0</v>
      </c>
      <c r="ID283" s="109">
        <f t="shared" si="398"/>
        <v>0</v>
      </c>
      <c r="IE283" s="109">
        <f t="shared" si="399"/>
        <v>0</v>
      </c>
      <c r="IF283" s="197"/>
      <c r="IG283" s="197"/>
      <c r="IH283" s="197"/>
      <c r="II283" s="197"/>
      <c r="IJ283" s="197"/>
      <c r="IK283" s="197"/>
      <c r="IL283" s="197"/>
      <c r="IM283" s="171"/>
      <c r="IN283" s="171"/>
      <c r="IO283" s="171"/>
      <c r="IP283" s="171"/>
    </row>
    <row r="284" spans="1:250" ht="15" customHeight="1" x14ac:dyDescent="0.3">
      <c r="A284" s="110">
        <f t="shared" si="400"/>
        <v>280</v>
      </c>
      <c r="B284" s="111"/>
      <c r="C284" s="111"/>
      <c r="D284" s="111"/>
      <c r="E284" s="111"/>
      <c r="F284" s="111"/>
      <c r="G284" s="111"/>
      <c r="H284" s="111"/>
      <c r="I284" s="194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75"/>
      <c r="AI284" s="111"/>
      <c r="AJ284" s="111"/>
      <c r="AK284" s="111"/>
      <c r="AL284" s="177"/>
      <c r="AM284" s="176"/>
      <c r="AN284" s="177"/>
      <c r="AO284" s="157"/>
      <c r="AP284" s="158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75"/>
      <c r="BM284" s="111"/>
      <c r="BN284" s="111"/>
      <c r="BO284" s="111"/>
      <c r="BP284" s="111"/>
      <c r="BQ284" s="111"/>
      <c r="BR284" s="111"/>
      <c r="BS284" s="111"/>
      <c r="BT284" s="111"/>
      <c r="BU284" s="111"/>
      <c r="BV284" s="111"/>
      <c r="BW284" s="111"/>
      <c r="BX284" s="111"/>
      <c r="BY284" s="111"/>
      <c r="BZ284" s="111"/>
      <c r="CA284" s="111"/>
      <c r="CB284" s="111"/>
      <c r="CC284" s="178"/>
      <c r="CD284" s="177">
        <f t="shared" si="384"/>
        <v>0</v>
      </c>
      <c r="CE284" s="148"/>
      <c r="CF284" s="111">
        <f t="shared" si="385"/>
        <v>0</v>
      </c>
      <c r="CG284" s="177"/>
      <c r="CH284" s="204"/>
      <c r="CI284" s="148"/>
      <c r="CJ284" s="165"/>
      <c r="CK284" s="165"/>
      <c r="CL284" s="111"/>
      <c r="CM284" s="111"/>
      <c r="CN284" s="165">
        <f t="shared" si="386"/>
        <v>0</v>
      </c>
      <c r="CO284" s="109">
        <f t="shared" si="387"/>
        <v>0</v>
      </c>
      <c r="CP284" s="109">
        <f t="shared" si="388"/>
        <v>0</v>
      </c>
      <c r="CQ284" s="109"/>
      <c r="CR284" s="109"/>
      <c r="CS284" s="196"/>
      <c r="CT284" s="167"/>
      <c r="CU284" s="165"/>
      <c r="CV284" s="109">
        <f t="shared" si="389"/>
        <v>0</v>
      </c>
      <c r="CW284" s="109">
        <f t="shared" si="390"/>
        <v>0</v>
      </c>
      <c r="CX284" s="109"/>
      <c r="CY284" s="109"/>
      <c r="CZ284" s="111"/>
      <c r="DA284" s="111"/>
      <c r="DB284" s="165"/>
      <c r="DC284" s="109">
        <f t="shared" si="391"/>
        <v>0</v>
      </c>
      <c r="DD284" s="109">
        <f t="shared" si="392"/>
        <v>0</v>
      </c>
      <c r="DE284" s="109"/>
      <c r="DF284" s="109"/>
      <c r="DG284" s="111"/>
      <c r="DH284" s="111"/>
      <c r="DI284" s="165"/>
      <c r="DJ284" s="109">
        <f t="shared" si="393"/>
        <v>0</v>
      </c>
      <c r="DK284" s="109">
        <f t="shared" si="394"/>
        <v>0</v>
      </c>
      <c r="DL284" s="109"/>
      <c r="DM284" s="109"/>
      <c r="DN284" s="111"/>
      <c r="DO284" s="111"/>
      <c r="DP284" s="165"/>
      <c r="DQ284" s="109">
        <f t="shared" si="402"/>
        <v>0</v>
      </c>
      <c r="DR284" s="109">
        <f t="shared" si="403"/>
        <v>0</v>
      </c>
      <c r="DS284" s="109"/>
      <c r="DT284" s="109"/>
      <c r="DU284" s="111"/>
      <c r="DV284" s="111"/>
      <c r="DW284" s="165"/>
      <c r="DX284" s="109">
        <f t="shared" si="404"/>
        <v>0</v>
      </c>
      <c r="DY284" s="109">
        <f t="shared" si="405"/>
        <v>0</v>
      </c>
      <c r="DZ284" s="109"/>
      <c r="EA284" s="109"/>
      <c r="EB284" s="111"/>
      <c r="EC284" s="111"/>
      <c r="ED284" s="165"/>
      <c r="EE284" s="109">
        <f t="shared" si="406"/>
        <v>0</v>
      </c>
      <c r="EF284" s="109">
        <f t="shared" si="407"/>
        <v>0</v>
      </c>
      <c r="EG284" s="109"/>
      <c r="EH284" s="109"/>
      <c r="EI284" s="111"/>
      <c r="EJ284" s="111"/>
      <c r="EK284" s="165"/>
      <c r="EL284" s="109">
        <f t="shared" si="408"/>
        <v>0</v>
      </c>
      <c r="EM284" s="109">
        <f t="shared" si="409"/>
        <v>0</v>
      </c>
      <c r="EN284" s="109"/>
      <c r="EO284" s="109"/>
      <c r="EP284" s="111"/>
      <c r="EQ284" s="111"/>
      <c r="ER284" s="165"/>
      <c r="ES284" s="109">
        <f t="shared" si="410"/>
        <v>0</v>
      </c>
      <c r="ET284" s="109">
        <f t="shared" si="411"/>
        <v>0</v>
      </c>
      <c r="EU284" s="109"/>
      <c r="EV284" s="109"/>
      <c r="EW284" s="111"/>
      <c r="EX284" s="111"/>
      <c r="EY284" s="165"/>
      <c r="EZ284" s="109">
        <f t="shared" si="412"/>
        <v>0</v>
      </c>
      <c r="FA284" s="109">
        <f t="shared" si="413"/>
        <v>0</v>
      </c>
      <c r="FB284" s="109"/>
      <c r="FC284" s="109"/>
      <c r="FD284" s="111"/>
      <c r="FE284" s="111"/>
      <c r="FF284" s="165"/>
      <c r="FG284" s="109">
        <f t="shared" si="414"/>
        <v>0</v>
      </c>
      <c r="FH284" s="109">
        <f t="shared" si="415"/>
        <v>0</v>
      </c>
      <c r="FI284" s="109"/>
      <c r="FJ284" s="109"/>
      <c r="FK284" s="111"/>
      <c r="FL284" s="111"/>
      <c r="FM284" s="165"/>
      <c r="FN284" s="109">
        <f t="shared" si="416"/>
        <v>0</v>
      </c>
      <c r="FO284" s="109">
        <f t="shared" si="417"/>
        <v>0</v>
      </c>
      <c r="FP284" s="109"/>
      <c r="FQ284" s="109"/>
      <c r="FR284" s="111"/>
      <c r="FS284" s="111"/>
      <c r="FT284" s="165"/>
      <c r="FU284" s="109">
        <f t="shared" si="418"/>
        <v>0</v>
      </c>
      <c r="FV284" s="109">
        <f t="shared" si="376"/>
        <v>0</v>
      </c>
      <c r="FW284" s="109"/>
      <c r="FX284" s="109"/>
      <c r="FY284" s="111"/>
      <c r="FZ284" s="111"/>
      <c r="GA284" s="165"/>
      <c r="GB284" s="109">
        <f t="shared" si="419"/>
        <v>0</v>
      </c>
      <c r="GC284" s="109">
        <f t="shared" si="377"/>
        <v>0</v>
      </c>
      <c r="GD284" s="109"/>
      <c r="GE284" s="109"/>
      <c r="GF284" s="111"/>
      <c r="GG284" s="111"/>
      <c r="GH284" s="165"/>
      <c r="GI284" s="109">
        <f t="shared" si="420"/>
        <v>0</v>
      </c>
      <c r="GJ284" s="109">
        <f t="shared" si="378"/>
        <v>0</v>
      </c>
      <c r="GK284" s="109"/>
      <c r="GL284" s="109"/>
      <c r="GM284" s="111"/>
      <c r="GN284" s="111"/>
      <c r="GO284" s="165"/>
      <c r="GP284" s="109">
        <f t="shared" si="421"/>
        <v>0</v>
      </c>
      <c r="GQ284" s="109">
        <f t="shared" si="379"/>
        <v>0</v>
      </c>
      <c r="GR284" s="109"/>
      <c r="GS284" s="109"/>
      <c r="GT284" s="111"/>
      <c r="GU284" s="111"/>
      <c r="GV284" s="165"/>
      <c r="GW284" s="168">
        <f t="shared" si="422"/>
        <v>0</v>
      </c>
      <c r="GX284" s="168">
        <f t="shared" si="380"/>
        <v>0</v>
      </c>
      <c r="GY284" s="168"/>
      <c r="GZ284" s="168"/>
      <c r="HA284" s="111"/>
      <c r="HB284" s="111"/>
      <c r="HC284" s="165"/>
      <c r="HD284" s="109">
        <f t="shared" si="423"/>
        <v>0</v>
      </c>
      <c r="HE284" s="109">
        <f t="shared" si="381"/>
        <v>0</v>
      </c>
      <c r="HF284" s="109"/>
      <c r="HG284" s="109"/>
      <c r="HH284" s="111"/>
      <c r="HI284" s="111"/>
      <c r="HJ284" s="165"/>
      <c r="HK284" s="109">
        <f t="shared" si="424"/>
        <v>0</v>
      </c>
      <c r="HL284" s="109">
        <f t="shared" si="382"/>
        <v>0</v>
      </c>
      <c r="HM284" s="109"/>
      <c r="HN284" s="109"/>
      <c r="HO284" s="111"/>
      <c r="HP284" s="111"/>
      <c r="HQ284" s="165"/>
      <c r="HR284" s="109">
        <f t="shared" si="425"/>
        <v>0</v>
      </c>
      <c r="HS284" s="109">
        <f t="shared" si="383"/>
        <v>0</v>
      </c>
      <c r="HT284" s="109"/>
      <c r="HU284" s="109"/>
      <c r="HV284" s="111"/>
      <c r="HW284" s="111"/>
      <c r="HX284" s="105">
        <f t="shared" si="401"/>
        <v>0</v>
      </c>
      <c r="HY284" s="105">
        <f t="shared" si="401"/>
        <v>0</v>
      </c>
      <c r="HZ284" s="105">
        <f t="shared" si="401"/>
        <v>0</v>
      </c>
      <c r="IA284" s="105">
        <f t="shared" si="395"/>
        <v>0</v>
      </c>
      <c r="IB284" s="109">
        <f t="shared" si="396"/>
        <v>0</v>
      </c>
      <c r="IC284" s="109">
        <f t="shared" si="397"/>
        <v>0</v>
      </c>
      <c r="ID284" s="109">
        <f t="shared" si="398"/>
        <v>0</v>
      </c>
      <c r="IE284" s="109">
        <f t="shared" si="399"/>
        <v>0</v>
      </c>
      <c r="IF284" s="197"/>
      <c r="IG284" s="197"/>
      <c r="IH284" s="197"/>
      <c r="II284" s="197"/>
      <c r="IJ284" s="197"/>
      <c r="IK284" s="197"/>
      <c r="IL284" s="197"/>
      <c r="IM284" s="171"/>
      <c r="IN284" s="171"/>
      <c r="IO284" s="171"/>
      <c r="IP284" s="171"/>
    </row>
    <row r="285" spans="1:250" ht="15" customHeight="1" x14ac:dyDescent="0.3">
      <c r="A285" s="110">
        <f t="shared" si="400"/>
        <v>281</v>
      </c>
      <c r="B285" s="111"/>
      <c r="C285" s="111"/>
      <c r="D285" s="111"/>
      <c r="E285" s="111"/>
      <c r="F285" s="111"/>
      <c r="G285" s="111"/>
      <c r="H285" s="111"/>
      <c r="I285" s="194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75"/>
      <c r="AI285" s="111"/>
      <c r="AJ285" s="111"/>
      <c r="AK285" s="111"/>
      <c r="AL285" s="177"/>
      <c r="AM285" s="176"/>
      <c r="AN285" s="177"/>
      <c r="AO285" s="157"/>
      <c r="AP285" s="158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75"/>
      <c r="BM285" s="111"/>
      <c r="BN285" s="111"/>
      <c r="BO285" s="111"/>
      <c r="BP285" s="111"/>
      <c r="BQ285" s="111"/>
      <c r="BR285" s="111"/>
      <c r="BS285" s="111"/>
      <c r="BT285" s="111"/>
      <c r="BU285" s="111"/>
      <c r="BV285" s="111"/>
      <c r="BW285" s="111"/>
      <c r="BX285" s="111"/>
      <c r="BY285" s="111"/>
      <c r="BZ285" s="111"/>
      <c r="CA285" s="111"/>
      <c r="CB285" s="111"/>
      <c r="CC285" s="178"/>
      <c r="CD285" s="177">
        <f t="shared" si="384"/>
        <v>0</v>
      </c>
      <c r="CE285" s="148"/>
      <c r="CF285" s="111">
        <f t="shared" si="385"/>
        <v>0</v>
      </c>
      <c r="CG285" s="177"/>
      <c r="CH285" s="204"/>
      <c r="CI285" s="148"/>
      <c r="CJ285" s="165"/>
      <c r="CK285" s="165"/>
      <c r="CL285" s="111"/>
      <c r="CM285" s="111"/>
      <c r="CN285" s="165">
        <f t="shared" si="386"/>
        <v>0</v>
      </c>
      <c r="CO285" s="109">
        <f t="shared" si="387"/>
        <v>0</v>
      </c>
      <c r="CP285" s="109">
        <f t="shared" si="388"/>
        <v>0</v>
      </c>
      <c r="CQ285" s="109"/>
      <c r="CR285" s="109"/>
      <c r="CS285" s="196"/>
      <c r="CT285" s="167"/>
      <c r="CU285" s="165"/>
      <c r="CV285" s="109">
        <f t="shared" si="389"/>
        <v>0</v>
      </c>
      <c r="CW285" s="109">
        <f t="shared" si="390"/>
        <v>0</v>
      </c>
      <c r="CX285" s="109"/>
      <c r="CY285" s="109"/>
      <c r="CZ285" s="111"/>
      <c r="DA285" s="111"/>
      <c r="DB285" s="165"/>
      <c r="DC285" s="109">
        <f t="shared" si="391"/>
        <v>0</v>
      </c>
      <c r="DD285" s="109">
        <f t="shared" si="392"/>
        <v>0</v>
      </c>
      <c r="DE285" s="109"/>
      <c r="DF285" s="109"/>
      <c r="DG285" s="111"/>
      <c r="DH285" s="111"/>
      <c r="DI285" s="165"/>
      <c r="DJ285" s="109">
        <f t="shared" si="393"/>
        <v>0</v>
      </c>
      <c r="DK285" s="109">
        <f t="shared" si="394"/>
        <v>0</v>
      </c>
      <c r="DL285" s="109"/>
      <c r="DM285" s="109"/>
      <c r="DN285" s="111"/>
      <c r="DO285" s="111"/>
      <c r="DP285" s="165"/>
      <c r="DQ285" s="109">
        <f t="shared" si="402"/>
        <v>0</v>
      </c>
      <c r="DR285" s="109">
        <f t="shared" si="403"/>
        <v>0</v>
      </c>
      <c r="DS285" s="109"/>
      <c r="DT285" s="109"/>
      <c r="DU285" s="111"/>
      <c r="DV285" s="111"/>
      <c r="DW285" s="165"/>
      <c r="DX285" s="109">
        <f t="shared" si="404"/>
        <v>0</v>
      </c>
      <c r="DY285" s="109">
        <f t="shared" si="405"/>
        <v>0</v>
      </c>
      <c r="DZ285" s="109"/>
      <c r="EA285" s="109"/>
      <c r="EB285" s="111"/>
      <c r="EC285" s="111"/>
      <c r="ED285" s="165"/>
      <c r="EE285" s="109">
        <f t="shared" si="406"/>
        <v>0</v>
      </c>
      <c r="EF285" s="109">
        <f t="shared" si="407"/>
        <v>0</v>
      </c>
      <c r="EG285" s="109"/>
      <c r="EH285" s="109"/>
      <c r="EI285" s="111"/>
      <c r="EJ285" s="111"/>
      <c r="EK285" s="165"/>
      <c r="EL285" s="109">
        <f t="shared" si="408"/>
        <v>0</v>
      </c>
      <c r="EM285" s="109">
        <f t="shared" si="409"/>
        <v>0</v>
      </c>
      <c r="EN285" s="109"/>
      <c r="EO285" s="109"/>
      <c r="EP285" s="111"/>
      <c r="EQ285" s="111"/>
      <c r="ER285" s="165"/>
      <c r="ES285" s="109">
        <f t="shared" si="410"/>
        <v>0</v>
      </c>
      <c r="ET285" s="109">
        <f t="shared" si="411"/>
        <v>0</v>
      </c>
      <c r="EU285" s="109"/>
      <c r="EV285" s="109"/>
      <c r="EW285" s="111"/>
      <c r="EX285" s="111"/>
      <c r="EY285" s="165"/>
      <c r="EZ285" s="109">
        <f t="shared" si="412"/>
        <v>0</v>
      </c>
      <c r="FA285" s="109">
        <f t="shared" si="413"/>
        <v>0</v>
      </c>
      <c r="FB285" s="109"/>
      <c r="FC285" s="109"/>
      <c r="FD285" s="111"/>
      <c r="FE285" s="111"/>
      <c r="FF285" s="165"/>
      <c r="FG285" s="109">
        <f t="shared" si="414"/>
        <v>0</v>
      </c>
      <c r="FH285" s="109">
        <f t="shared" si="415"/>
        <v>0</v>
      </c>
      <c r="FI285" s="109"/>
      <c r="FJ285" s="109"/>
      <c r="FK285" s="111"/>
      <c r="FL285" s="111"/>
      <c r="FM285" s="165"/>
      <c r="FN285" s="109">
        <f t="shared" si="416"/>
        <v>0</v>
      </c>
      <c r="FO285" s="109">
        <f t="shared" si="417"/>
        <v>0</v>
      </c>
      <c r="FP285" s="109"/>
      <c r="FQ285" s="109"/>
      <c r="FR285" s="111"/>
      <c r="FS285" s="111"/>
      <c r="FT285" s="165"/>
      <c r="FU285" s="109">
        <f t="shared" si="418"/>
        <v>0</v>
      </c>
      <c r="FV285" s="109">
        <f t="shared" si="376"/>
        <v>0</v>
      </c>
      <c r="FW285" s="109"/>
      <c r="FX285" s="109"/>
      <c r="FY285" s="111"/>
      <c r="FZ285" s="111"/>
      <c r="GA285" s="165"/>
      <c r="GB285" s="109">
        <f t="shared" si="419"/>
        <v>0</v>
      </c>
      <c r="GC285" s="109">
        <f t="shared" si="377"/>
        <v>0</v>
      </c>
      <c r="GD285" s="109"/>
      <c r="GE285" s="109"/>
      <c r="GF285" s="111"/>
      <c r="GG285" s="111"/>
      <c r="GH285" s="165"/>
      <c r="GI285" s="109">
        <f t="shared" si="420"/>
        <v>0</v>
      </c>
      <c r="GJ285" s="109">
        <f t="shared" si="378"/>
        <v>0</v>
      </c>
      <c r="GK285" s="109"/>
      <c r="GL285" s="109"/>
      <c r="GM285" s="111"/>
      <c r="GN285" s="111"/>
      <c r="GO285" s="165"/>
      <c r="GP285" s="109">
        <f t="shared" si="421"/>
        <v>0</v>
      </c>
      <c r="GQ285" s="109">
        <f t="shared" si="379"/>
        <v>0</v>
      </c>
      <c r="GR285" s="109"/>
      <c r="GS285" s="109"/>
      <c r="GT285" s="111"/>
      <c r="GU285" s="111"/>
      <c r="GV285" s="165"/>
      <c r="GW285" s="168">
        <f t="shared" si="422"/>
        <v>0</v>
      </c>
      <c r="GX285" s="168">
        <f t="shared" si="380"/>
        <v>0</v>
      </c>
      <c r="GY285" s="168"/>
      <c r="GZ285" s="168"/>
      <c r="HA285" s="111"/>
      <c r="HB285" s="111"/>
      <c r="HC285" s="165"/>
      <c r="HD285" s="109">
        <f t="shared" si="423"/>
        <v>0</v>
      </c>
      <c r="HE285" s="109">
        <f t="shared" si="381"/>
        <v>0</v>
      </c>
      <c r="HF285" s="109"/>
      <c r="HG285" s="109"/>
      <c r="HH285" s="111"/>
      <c r="HI285" s="111"/>
      <c r="HJ285" s="165"/>
      <c r="HK285" s="109">
        <f t="shared" si="424"/>
        <v>0</v>
      </c>
      <c r="HL285" s="109">
        <f t="shared" si="382"/>
        <v>0</v>
      </c>
      <c r="HM285" s="109"/>
      <c r="HN285" s="109"/>
      <c r="HO285" s="111"/>
      <c r="HP285" s="111"/>
      <c r="HQ285" s="165"/>
      <c r="HR285" s="109">
        <f t="shared" si="425"/>
        <v>0</v>
      </c>
      <c r="HS285" s="109">
        <f t="shared" si="383"/>
        <v>0</v>
      </c>
      <c r="HT285" s="109"/>
      <c r="HU285" s="109"/>
      <c r="HV285" s="111"/>
      <c r="HW285" s="111"/>
      <c r="HX285" s="105">
        <f t="shared" si="401"/>
        <v>0</v>
      </c>
      <c r="HY285" s="105">
        <f t="shared" si="401"/>
        <v>0</v>
      </c>
      <c r="HZ285" s="105">
        <f t="shared" si="401"/>
        <v>0</v>
      </c>
      <c r="IA285" s="105">
        <f t="shared" si="395"/>
        <v>0</v>
      </c>
      <c r="IB285" s="109">
        <f t="shared" si="396"/>
        <v>0</v>
      </c>
      <c r="IC285" s="109">
        <f t="shared" si="397"/>
        <v>0</v>
      </c>
      <c r="ID285" s="109">
        <f t="shared" si="398"/>
        <v>0</v>
      </c>
      <c r="IE285" s="109">
        <f t="shared" si="399"/>
        <v>0</v>
      </c>
      <c r="IF285" s="197"/>
      <c r="IG285" s="197"/>
      <c r="IH285" s="197"/>
      <c r="II285" s="197"/>
      <c r="IJ285" s="197"/>
      <c r="IK285" s="197"/>
      <c r="IL285" s="197"/>
      <c r="IM285" s="171"/>
      <c r="IN285" s="171"/>
      <c r="IO285" s="171"/>
      <c r="IP285" s="171"/>
    </row>
    <row r="286" spans="1:250" ht="15" customHeight="1" x14ac:dyDescent="0.3">
      <c r="A286" s="110">
        <f t="shared" si="400"/>
        <v>282</v>
      </c>
      <c r="B286" s="111"/>
      <c r="C286" s="111"/>
      <c r="D286" s="111"/>
      <c r="E286" s="111"/>
      <c r="F286" s="111"/>
      <c r="G286" s="111"/>
      <c r="H286" s="111"/>
      <c r="I286" s="194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75"/>
      <c r="AI286" s="111"/>
      <c r="AJ286" s="111"/>
      <c r="AK286" s="111"/>
      <c r="AL286" s="177"/>
      <c r="AM286" s="176"/>
      <c r="AN286" s="177"/>
      <c r="AO286" s="157"/>
      <c r="AP286" s="158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75"/>
      <c r="BM286" s="111"/>
      <c r="BN286" s="111"/>
      <c r="BO286" s="111"/>
      <c r="BP286" s="111"/>
      <c r="BQ286" s="111"/>
      <c r="BR286" s="111"/>
      <c r="BS286" s="111"/>
      <c r="BT286" s="111"/>
      <c r="BU286" s="111"/>
      <c r="BV286" s="111"/>
      <c r="BW286" s="111"/>
      <c r="BX286" s="111"/>
      <c r="BY286" s="111"/>
      <c r="BZ286" s="111"/>
      <c r="CA286" s="111"/>
      <c r="CB286" s="111"/>
      <c r="CC286" s="178"/>
      <c r="CD286" s="177">
        <f t="shared" si="384"/>
        <v>0</v>
      </c>
      <c r="CE286" s="148"/>
      <c r="CF286" s="111">
        <f t="shared" si="385"/>
        <v>0</v>
      </c>
      <c r="CG286" s="177"/>
      <c r="CH286" s="204"/>
      <c r="CI286" s="148"/>
      <c r="CJ286" s="165"/>
      <c r="CK286" s="165"/>
      <c r="CL286" s="111"/>
      <c r="CM286" s="111"/>
      <c r="CN286" s="165">
        <f t="shared" si="386"/>
        <v>0</v>
      </c>
      <c r="CO286" s="109">
        <f t="shared" si="387"/>
        <v>0</v>
      </c>
      <c r="CP286" s="109">
        <f t="shared" si="388"/>
        <v>0</v>
      </c>
      <c r="CQ286" s="109"/>
      <c r="CR286" s="109"/>
      <c r="CS286" s="196"/>
      <c r="CT286" s="167"/>
      <c r="CU286" s="165"/>
      <c r="CV286" s="109">
        <f t="shared" si="389"/>
        <v>0</v>
      </c>
      <c r="CW286" s="109">
        <f t="shared" si="390"/>
        <v>0</v>
      </c>
      <c r="CX286" s="109"/>
      <c r="CY286" s="109"/>
      <c r="CZ286" s="111"/>
      <c r="DA286" s="111"/>
      <c r="DB286" s="165"/>
      <c r="DC286" s="109">
        <f t="shared" si="391"/>
        <v>0</v>
      </c>
      <c r="DD286" s="109">
        <f t="shared" si="392"/>
        <v>0</v>
      </c>
      <c r="DE286" s="109"/>
      <c r="DF286" s="109"/>
      <c r="DG286" s="111"/>
      <c r="DH286" s="111"/>
      <c r="DI286" s="165"/>
      <c r="DJ286" s="109">
        <f t="shared" si="393"/>
        <v>0</v>
      </c>
      <c r="DK286" s="109">
        <f t="shared" si="394"/>
        <v>0</v>
      </c>
      <c r="DL286" s="109"/>
      <c r="DM286" s="109"/>
      <c r="DN286" s="111"/>
      <c r="DO286" s="111"/>
      <c r="DP286" s="165"/>
      <c r="DQ286" s="109">
        <f t="shared" si="402"/>
        <v>0</v>
      </c>
      <c r="DR286" s="109">
        <f t="shared" si="403"/>
        <v>0</v>
      </c>
      <c r="DS286" s="109"/>
      <c r="DT286" s="109"/>
      <c r="DU286" s="111"/>
      <c r="DV286" s="111"/>
      <c r="DW286" s="165"/>
      <c r="DX286" s="109">
        <f t="shared" si="404"/>
        <v>0</v>
      </c>
      <c r="DY286" s="109">
        <f t="shared" si="405"/>
        <v>0</v>
      </c>
      <c r="DZ286" s="109"/>
      <c r="EA286" s="109"/>
      <c r="EB286" s="111"/>
      <c r="EC286" s="111"/>
      <c r="ED286" s="165"/>
      <c r="EE286" s="109">
        <f t="shared" si="406"/>
        <v>0</v>
      </c>
      <c r="EF286" s="109">
        <f t="shared" si="407"/>
        <v>0</v>
      </c>
      <c r="EG286" s="109"/>
      <c r="EH286" s="109"/>
      <c r="EI286" s="111"/>
      <c r="EJ286" s="111"/>
      <c r="EK286" s="165"/>
      <c r="EL286" s="109">
        <f t="shared" si="408"/>
        <v>0</v>
      </c>
      <c r="EM286" s="109">
        <f t="shared" si="409"/>
        <v>0</v>
      </c>
      <c r="EN286" s="109"/>
      <c r="EO286" s="109"/>
      <c r="EP286" s="111"/>
      <c r="EQ286" s="111"/>
      <c r="ER286" s="165"/>
      <c r="ES286" s="109">
        <f t="shared" si="410"/>
        <v>0</v>
      </c>
      <c r="ET286" s="109">
        <f t="shared" si="411"/>
        <v>0</v>
      </c>
      <c r="EU286" s="109"/>
      <c r="EV286" s="109"/>
      <c r="EW286" s="111"/>
      <c r="EX286" s="111"/>
      <c r="EY286" s="165"/>
      <c r="EZ286" s="109">
        <f t="shared" si="412"/>
        <v>0</v>
      </c>
      <c r="FA286" s="109">
        <f t="shared" si="413"/>
        <v>0</v>
      </c>
      <c r="FB286" s="109"/>
      <c r="FC286" s="109"/>
      <c r="FD286" s="111"/>
      <c r="FE286" s="111"/>
      <c r="FF286" s="165"/>
      <c r="FG286" s="109">
        <f t="shared" si="414"/>
        <v>0</v>
      </c>
      <c r="FH286" s="109">
        <f t="shared" si="415"/>
        <v>0</v>
      </c>
      <c r="FI286" s="109"/>
      <c r="FJ286" s="109"/>
      <c r="FK286" s="111"/>
      <c r="FL286" s="111"/>
      <c r="FM286" s="165"/>
      <c r="FN286" s="109">
        <f t="shared" si="416"/>
        <v>0</v>
      </c>
      <c r="FO286" s="109">
        <f t="shared" si="417"/>
        <v>0</v>
      </c>
      <c r="FP286" s="109"/>
      <c r="FQ286" s="109"/>
      <c r="FR286" s="111"/>
      <c r="FS286" s="111"/>
      <c r="FT286" s="165"/>
      <c r="FU286" s="109">
        <f t="shared" si="418"/>
        <v>0</v>
      </c>
      <c r="FV286" s="109">
        <f t="shared" si="376"/>
        <v>0</v>
      </c>
      <c r="FW286" s="109"/>
      <c r="FX286" s="109"/>
      <c r="FY286" s="111"/>
      <c r="FZ286" s="111"/>
      <c r="GA286" s="165"/>
      <c r="GB286" s="109">
        <f t="shared" si="419"/>
        <v>0</v>
      </c>
      <c r="GC286" s="109">
        <f t="shared" si="377"/>
        <v>0</v>
      </c>
      <c r="GD286" s="109"/>
      <c r="GE286" s="109"/>
      <c r="GF286" s="111"/>
      <c r="GG286" s="111"/>
      <c r="GH286" s="165"/>
      <c r="GI286" s="109">
        <f t="shared" si="420"/>
        <v>0</v>
      </c>
      <c r="GJ286" s="109">
        <f t="shared" si="378"/>
        <v>0</v>
      </c>
      <c r="GK286" s="109"/>
      <c r="GL286" s="109"/>
      <c r="GM286" s="111"/>
      <c r="GN286" s="111"/>
      <c r="GO286" s="165"/>
      <c r="GP286" s="109">
        <f t="shared" si="421"/>
        <v>0</v>
      </c>
      <c r="GQ286" s="109">
        <f t="shared" si="379"/>
        <v>0</v>
      </c>
      <c r="GR286" s="109"/>
      <c r="GS286" s="109"/>
      <c r="GT286" s="111"/>
      <c r="GU286" s="111"/>
      <c r="GV286" s="165"/>
      <c r="GW286" s="168">
        <f t="shared" si="422"/>
        <v>0</v>
      </c>
      <c r="GX286" s="168">
        <f t="shared" si="380"/>
        <v>0</v>
      </c>
      <c r="GY286" s="168"/>
      <c r="GZ286" s="168"/>
      <c r="HA286" s="111"/>
      <c r="HB286" s="111"/>
      <c r="HC286" s="165"/>
      <c r="HD286" s="109">
        <f t="shared" si="423"/>
        <v>0</v>
      </c>
      <c r="HE286" s="109">
        <f t="shared" si="381"/>
        <v>0</v>
      </c>
      <c r="HF286" s="109"/>
      <c r="HG286" s="109"/>
      <c r="HH286" s="111"/>
      <c r="HI286" s="111"/>
      <c r="HJ286" s="165"/>
      <c r="HK286" s="109">
        <f t="shared" si="424"/>
        <v>0</v>
      </c>
      <c r="HL286" s="109">
        <f t="shared" si="382"/>
        <v>0</v>
      </c>
      <c r="HM286" s="109"/>
      <c r="HN286" s="109"/>
      <c r="HO286" s="111"/>
      <c r="HP286" s="111"/>
      <c r="HQ286" s="165"/>
      <c r="HR286" s="109">
        <f t="shared" si="425"/>
        <v>0</v>
      </c>
      <c r="HS286" s="109">
        <f t="shared" si="383"/>
        <v>0</v>
      </c>
      <c r="HT286" s="109"/>
      <c r="HU286" s="109"/>
      <c r="HV286" s="111"/>
      <c r="HW286" s="111"/>
      <c r="HX286" s="105">
        <f t="shared" si="401"/>
        <v>0</v>
      </c>
      <c r="HY286" s="105">
        <f t="shared" si="401"/>
        <v>0</v>
      </c>
      <c r="HZ286" s="105">
        <f t="shared" si="401"/>
        <v>0</v>
      </c>
      <c r="IA286" s="105">
        <f t="shared" si="395"/>
        <v>0</v>
      </c>
      <c r="IB286" s="109">
        <f t="shared" si="396"/>
        <v>0</v>
      </c>
      <c r="IC286" s="109">
        <f t="shared" si="397"/>
        <v>0</v>
      </c>
      <c r="ID286" s="109">
        <f t="shared" si="398"/>
        <v>0</v>
      </c>
      <c r="IE286" s="109">
        <f t="shared" si="399"/>
        <v>0</v>
      </c>
      <c r="IF286" s="197"/>
      <c r="IG286" s="197"/>
      <c r="IH286" s="197"/>
      <c r="II286" s="197"/>
      <c r="IJ286" s="197"/>
      <c r="IK286" s="197"/>
      <c r="IL286" s="197"/>
      <c r="IM286" s="171"/>
      <c r="IN286" s="171"/>
      <c r="IO286" s="171"/>
      <c r="IP286" s="171"/>
    </row>
    <row r="287" spans="1:250" ht="15" customHeight="1" x14ac:dyDescent="0.3">
      <c r="A287" s="110">
        <f t="shared" si="400"/>
        <v>283</v>
      </c>
      <c r="B287" s="111"/>
      <c r="C287" s="111"/>
      <c r="D287" s="111"/>
      <c r="E287" s="111"/>
      <c r="F287" s="111"/>
      <c r="G287" s="111"/>
      <c r="H287" s="111"/>
      <c r="I287" s="194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75"/>
      <c r="AI287" s="111"/>
      <c r="AJ287" s="111"/>
      <c r="AK287" s="111"/>
      <c r="AL287" s="177"/>
      <c r="AM287" s="176"/>
      <c r="AN287" s="177"/>
      <c r="AO287" s="157"/>
      <c r="AP287" s="158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75"/>
      <c r="BM287" s="111"/>
      <c r="BN287" s="111"/>
      <c r="BO287" s="111"/>
      <c r="BP287" s="111"/>
      <c r="BQ287" s="111"/>
      <c r="BR287" s="111"/>
      <c r="BS287" s="111"/>
      <c r="BT287" s="111"/>
      <c r="BU287" s="111"/>
      <c r="BV287" s="111"/>
      <c r="BW287" s="111"/>
      <c r="BX287" s="111"/>
      <c r="BY287" s="111"/>
      <c r="BZ287" s="111"/>
      <c r="CA287" s="111"/>
      <c r="CB287" s="111"/>
      <c r="CC287" s="178"/>
      <c r="CD287" s="177">
        <f t="shared" si="384"/>
        <v>0</v>
      </c>
      <c r="CE287" s="148"/>
      <c r="CF287" s="111">
        <f t="shared" si="385"/>
        <v>0</v>
      </c>
      <c r="CG287" s="177"/>
      <c r="CH287" s="204"/>
      <c r="CI287" s="148"/>
      <c r="CJ287" s="165"/>
      <c r="CK287" s="165"/>
      <c r="CL287" s="111"/>
      <c r="CM287" s="111"/>
      <c r="CN287" s="165">
        <f t="shared" si="386"/>
        <v>0</v>
      </c>
      <c r="CO287" s="109">
        <f t="shared" si="387"/>
        <v>0</v>
      </c>
      <c r="CP287" s="109">
        <f t="shared" si="388"/>
        <v>0</v>
      </c>
      <c r="CQ287" s="109"/>
      <c r="CR287" s="109"/>
      <c r="CS287" s="196"/>
      <c r="CT287" s="167"/>
      <c r="CU287" s="165"/>
      <c r="CV287" s="109">
        <f t="shared" si="389"/>
        <v>0</v>
      </c>
      <c r="CW287" s="109">
        <f t="shared" si="390"/>
        <v>0</v>
      </c>
      <c r="CX287" s="109"/>
      <c r="CY287" s="109"/>
      <c r="CZ287" s="111"/>
      <c r="DA287" s="111"/>
      <c r="DB287" s="165"/>
      <c r="DC287" s="109">
        <f t="shared" si="391"/>
        <v>0</v>
      </c>
      <c r="DD287" s="109">
        <f t="shared" si="392"/>
        <v>0</v>
      </c>
      <c r="DE287" s="109"/>
      <c r="DF287" s="109"/>
      <c r="DG287" s="111"/>
      <c r="DH287" s="111"/>
      <c r="DI287" s="165"/>
      <c r="DJ287" s="109">
        <f t="shared" si="393"/>
        <v>0</v>
      </c>
      <c r="DK287" s="109">
        <f t="shared" si="394"/>
        <v>0</v>
      </c>
      <c r="DL287" s="109"/>
      <c r="DM287" s="109"/>
      <c r="DN287" s="111"/>
      <c r="DO287" s="111"/>
      <c r="DP287" s="165"/>
      <c r="DQ287" s="109">
        <f t="shared" si="402"/>
        <v>0</v>
      </c>
      <c r="DR287" s="109">
        <f t="shared" si="403"/>
        <v>0</v>
      </c>
      <c r="DS287" s="109"/>
      <c r="DT287" s="109"/>
      <c r="DU287" s="111"/>
      <c r="DV287" s="111"/>
      <c r="DW287" s="165"/>
      <c r="DX287" s="109">
        <f t="shared" si="404"/>
        <v>0</v>
      </c>
      <c r="DY287" s="109">
        <f t="shared" si="405"/>
        <v>0</v>
      </c>
      <c r="DZ287" s="109"/>
      <c r="EA287" s="109"/>
      <c r="EB287" s="111"/>
      <c r="EC287" s="111"/>
      <c r="ED287" s="165"/>
      <c r="EE287" s="109">
        <f t="shared" si="406"/>
        <v>0</v>
      </c>
      <c r="EF287" s="109">
        <f t="shared" si="407"/>
        <v>0</v>
      </c>
      <c r="EG287" s="109"/>
      <c r="EH287" s="109"/>
      <c r="EI287" s="111"/>
      <c r="EJ287" s="111"/>
      <c r="EK287" s="165"/>
      <c r="EL287" s="109">
        <f t="shared" si="408"/>
        <v>0</v>
      </c>
      <c r="EM287" s="109">
        <f t="shared" si="409"/>
        <v>0</v>
      </c>
      <c r="EN287" s="109"/>
      <c r="EO287" s="109"/>
      <c r="EP287" s="111"/>
      <c r="EQ287" s="111"/>
      <c r="ER287" s="165"/>
      <c r="ES287" s="109">
        <f t="shared" si="410"/>
        <v>0</v>
      </c>
      <c r="ET287" s="109">
        <f t="shared" si="411"/>
        <v>0</v>
      </c>
      <c r="EU287" s="109"/>
      <c r="EV287" s="109"/>
      <c r="EW287" s="111"/>
      <c r="EX287" s="111"/>
      <c r="EY287" s="165"/>
      <c r="EZ287" s="109">
        <f t="shared" si="412"/>
        <v>0</v>
      </c>
      <c r="FA287" s="109">
        <f t="shared" si="413"/>
        <v>0</v>
      </c>
      <c r="FB287" s="109"/>
      <c r="FC287" s="109"/>
      <c r="FD287" s="111"/>
      <c r="FE287" s="111"/>
      <c r="FF287" s="165"/>
      <c r="FG287" s="109">
        <f t="shared" si="414"/>
        <v>0</v>
      </c>
      <c r="FH287" s="109">
        <f t="shared" si="415"/>
        <v>0</v>
      </c>
      <c r="FI287" s="109"/>
      <c r="FJ287" s="109"/>
      <c r="FK287" s="111"/>
      <c r="FL287" s="111"/>
      <c r="FM287" s="165"/>
      <c r="FN287" s="109">
        <f t="shared" si="416"/>
        <v>0</v>
      </c>
      <c r="FO287" s="109">
        <f t="shared" si="417"/>
        <v>0</v>
      </c>
      <c r="FP287" s="109"/>
      <c r="FQ287" s="109"/>
      <c r="FR287" s="111"/>
      <c r="FS287" s="111"/>
      <c r="FT287" s="165"/>
      <c r="FU287" s="109">
        <f t="shared" si="418"/>
        <v>0</v>
      </c>
      <c r="FV287" s="109">
        <f t="shared" si="376"/>
        <v>0</v>
      </c>
      <c r="FW287" s="109"/>
      <c r="FX287" s="109"/>
      <c r="FY287" s="111"/>
      <c r="FZ287" s="111"/>
      <c r="GA287" s="165"/>
      <c r="GB287" s="109">
        <f t="shared" si="419"/>
        <v>0</v>
      </c>
      <c r="GC287" s="109">
        <f t="shared" si="377"/>
        <v>0</v>
      </c>
      <c r="GD287" s="109"/>
      <c r="GE287" s="109"/>
      <c r="GF287" s="111"/>
      <c r="GG287" s="111"/>
      <c r="GH287" s="165"/>
      <c r="GI287" s="109">
        <f t="shared" si="420"/>
        <v>0</v>
      </c>
      <c r="GJ287" s="109">
        <f t="shared" si="378"/>
        <v>0</v>
      </c>
      <c r="GK287" s="109"/>
      <c r="GL287" s="109"/>
      <c r="GM287" s="111"/>
      <c r="GN287" s="111"/>
      <c r="GO287" s="165"/>
      <c r="GP287" s="109">
        <f t="shared" si="421"/>
        <v>0</v>
      </c>
      <c r="GQ287" s="109">
        <f t="shared" si="379"/>
        <v>0</v>
      </c>
      <c r="GR287" s="109"/>
      <c r="GS287" s="109"/>
      <c r="GT287" s="111"/>
      <c r="GU287" s="111"/>
      <c r="GV287" s="165"/>
      <c r="GW287" s="168">
        <f t="shared" si="422"/>
        <v>0</v>
      </c>
      <c r="GX287" s="168">
        <f t="shared" si="380"/>
        <v>0</v>
      </c>
      <c r="GY287" s="168"/>
      <c r="GZ287" s="168"/>
      <c r="HA287" s="111"/>
      <c r="HB287" s="111"/>
      <c r="HC287" s="165"/>
      <c r="HD287" s="109">
        <f t="shared" si="423"/>
        <v>0</v>
      </c>
      <c r="HE287" s="109">
        <f t="shared" si="381"/>
        <v>0</v>
      </c>
      <c r="HF287" s="109"/>
      <c r="HG287" s="109"/>
      <c r="HH287" s="111"/>
      <c r="HI287" s="111"/>
      <c r="HJ287" s="165"/>
      <c r="HK287" s="109">
        <f t="shared" si="424"/>
        <v>0</v>
      </c>
      <c r="HL287" s="109">
        <f t="shared" si="382"/>
        <v>0</v>
      </c>
      <c r="HM287" s="109"/>
      <c r="HN287" s="109"/>
      <c r="HO287" s="111"/>
      <c r="HP287" s="111"/>
      <c r="HQ287" s="165"/>
      <c r="HR287" s="109">
        <f t="shared" si="425"/>
        <v>0</v>
      </c>
      <c r="HS287" s="109">
        <f t="shared" si="383"/>
        <v>0</v>
      </c>
      <c r="HT287" s="109"/>
      <c r="HU287" s="109"/>
      <c r="HV287" s="111"/>
      <c r="HW287" s="111"/>
      <c r="HX287" s="105">
        <f t="shared" si="401"/>
        <v>0</v>
      </c>
      <c r="HY287" s="105">
        <f t="shared" si="401"/>
        <v>0</v>
      </c>
      <c r="HZ287" s="105">
        <f t="shared" si="401"/>
        <v>0</v>
      </c>
      <c r="IA287" s="105">
        <f t="shared" si="395"/>
        <v>0</v>
      </c>
      <c r="IB287" s="109">
        <f t="shared" si="396"/>
        <v>0</v>
      </c>
      <c r="IC287" s="109">
        <f t="shared" si="397"/>
        <v>0</v>
      </c>
      <c r="ID287" s="109">
        <f t="shared" si="398"/>
        <v>0</v>
      </c>
      <c r="IE287" s="109">
        <f t="shared" si="399"/>
        <v>0</v>
      </c>
      <c r="IF287" s="197"/>
      <c r="IG287" s="197"/>
      <c r="IH287" s="197"/>
      <c r="II287" s="197"/>
      <c r="IJ287" s="197"/>
      <c r="IK287" s="197"/>
      <c r="IL287" s="197"/>
      <c r="IM287" s="171"/>
      <c r="IN287" s="171"/>
      <c r="IO287" s="171"/>
      <c r="IP287" s="171"/>
    </row>
    <row r="288" spans="1:250" ht="15" customHeight="1" x14ac:dyDescent="0.3">
      <c r="A288" s="110">
        <f t="shared" si="400"/>
        <v>284</v>
      </c>
      <c r="B288" s="111"/>
      <c r="C288" s="111"/>
      <c r="D288" s="111"/>
      <c r="E288" s="111"/>
      <c r="F288" s="111"/>
      <c r="G288" s="111"/>
      <c r="H288" s="111"/>
      <c r="I288" s="194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75"/>
      <c r="AI288" s="111"/>
      <c r="AJ288" s="111"/>
      <c r="AK288" s="111"/>
      <c r="AL288" s="177"/>
      <c r="AM288" s="176"/>
      <c r="AN288" s="177"/>
      <c r="AO288" s="157"/>
      <c r="AP288" s="158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  <c r="BG288" s="111"/>
      <c r="BH288" s="111"/>
      <c r="BI288" s="111"/>
      <c r="BJ288" s="111"/>
      <c r="BK288" s="111"/>
      <c r="BL288" s="175"/>
      <c r="BM288" s="111"/>
      <c r="BN288" s="111"/>
      <c r="BO288" s="111"/>
      <c r="BP288" s="111"/>
      <c r="BQ288" s="111"/>
      <c r="BR288" s="111"/>
      <c r="BS288" s="111"/>
      <c r="BT288" s="111"/>
      <c r="BU288" s="111"/>
      <c r="BV288" s="111"/>
      <c r="BW288" s="111"/>
      <c r="BX288" s="111"/>
      <c r="BY288" s="111"/>
      <c r="BZ288" s="111"/>
      <c r="CA288" s="111"/>
      <c r="CB288" s="111"/>
      <c r="CC288" s="178"/>
      <c r="CD288" s="177">
        <f t="shared" si="384"/>
        <v>0</v>
      </c>
      <c r="CE288" s="148"/>
      <c r="CF288" s="111">
        <f t="shared" si="385"/>
        <v>0</v>
      </c>
      <c r="CG288" s="177"/>
      <c r="CH288" s="204"/>
      <c r="CI288" s="148"/>
      <c r="CJ288" s="165"/>
      <c r="CK288" s="165"/>
      <c r="CL288" s="111"/>
      <c r="CM288" s="111"/>
      <c r="CN288" s="165">
        <f t="shared" si="386"/>
        <v>0</v>
      </c>
      <c r="CO288" s="109">
        <f t="shared" si="387"/>
        <v>0</v>
      </c>
      <c r="CP288" s="109">
        <f t="shared" si="388"/>
        <v>0</v>
      </c>
      <c r="CQ288" s="109"/>
      <c r="CR288" s="109"/>
      <c r="CS288" s="196"/>
      <c r="CT288" s="167"/>
      <c r="CU288" s="165"/>
      <c r="CV288" s="109">
        <f t="shared" si="389"/>
        <v>0</v>
      </c>
      <c r="CW288" s="109">
        <f t="shared" si="390"/>
        <v>0</v>
      </c>
      <c r="CX288" s="109"/>
      <c r="CY288" s="109"/>
      <c r="CZ288" s="111"/>
      <c r="DA288" s="111"/>
      <c r="DB288" s="165"/>
      <c r="DC288" s="109">
        <f t="shared" si="391"/>
        <v>0</v>
      </c>
      <c r="DD288" s="109">
        <f t="shared" si="392"/>
        <v>0</v>
      </c>
      <c r="DE288" s="109"/>
      <c r="DF288" s="109"/>
      <c r="DG288" s="111"/>
      <c r="DH288" s="111"/>
      <c r="DI288" s="165"/>
      <c r="DJ288" s="109">
        <f t="shared" si="393"/>
        <v>0</v>
      </c>
      <c r="DK288" s="109">
        <f t="shared" si="394"/>
        <v>0</v>
      </c>
      <c r="DL288" s="109"/>
      <c r="DM288" s="109"/>
      <c r="DN288" s="111"/>
      <c r="DO288" s="111"/>
      <c r="DP288" s="165"/>
      <c r="DQ288" s="109">
        <f t="shared" si="402"/>
        <v>0</v>
      </c>
      <c r="DR288" s="109">
        <f t="shared" si="403"/>
        <v>0</v>
      </c>
      <c r="DS288" s="109"/>
      <c r="DT288" s="109"/>
      <c r="DU288" s="111"/>
      <c r="DV288" s="111"/>
      <c r="DW288" s="165"/>
      <c r="DX288" s="109">
        <f t="shared" si="404"/>
        <v>0</v>
      </c>
      <c r="DY288" s="109">
        <f t="shared" si="405"/>
        <v>0</v>
      </c>
      <c r="DZ288" s="109"/>
      <c r="EA288" s="109"/>
      <c r="EB288" s="111"/>
      <c r="EC288" s="111"/>
      <c r="ED288" s="165"/>
      <c r="EE288" s="109">
        <f t="shared" si="406"/>
        <v>0</v>
      </c>
      <c r="EF288" s="109">
        <f t="shared" si="407"/>
        <v>0</v>
      </c>
      <c r="EG288" s="109"/>
      <c r="EH288" s="109"/>
      <c r="EI288" s="111"/>
      <c r="EJ288" s="111"/>
      <c r="EK288" s="165"/>
      <c r="EL288" s="109">
        <f t="shared" si="408"/>
        <v>0</v>
      </c>
      <c r="EM288" s="109">
        <f t="shared" si="409"/>
        <v>0</v>
      </c>
      <c r="EN288" s="109"/>
      <c r="EO288" s="109"/>
      <c r="EP288" s="111"/>
      <c r="EQ288" s="111"/>
      <c r="ER288" s="165"/>
      <c r="ES288" s="109">
        <f t="shared" si="410"/>
        <v>0</v>
      </c>
      <c r="ET288" s="109">
        <f t="shared" si="411"/>
        <v>0</v>
      </c>
      <c r="EU288" s="109"/>
      <c r="EV288" s="109"/>
      <c r="EW288" s="111"/>
      <c r="EX288" s="111"/>
      <c r="EY288" s="165"/>
      <c r="EZ288" s="109">
        <f t="shared" si="412"/>
        <v>0</v>
      </c>
      <c r="FA288" s="109">
        <f t="shared" si="413"/>
        <v>0</v>
      </c>
      <c r="FB288" s="109"/>
      <c r="FC288" s="109"/>
      <c r="FD288" s="111"/>
      <c r="FE288" s="111"/>
      <c r="FF288" s="165"/>
      <c r="FG288" s="109">
        <f t="shared" si="414"/>
        <v>0</v>
      </c>
      <c r="FH288" s="109">
        <f t="shared" si="415"/>
        <v>0</v>
      </c>
      <c r="FI288" s="109"/>
      <c r="FJ288" s="109"/>
      <c r="FK288" s="111"/>
      <c r="FL288" s="111"/>
      <c r="FM288" s="165"/>
      <c r="FN288" s="109">
        <f t="shared" si="416"/>
        <v>0</v>
      </c>
      <c r="FO288" s="109">
        <f t="shared" si="417"/>
        <v>0</v>
      </c>
      <c r="FP288" s="109"/>
      <c r="FQ288" s="109"/>
      <c r="FR288" s="111"/>
      <c r="FS288" s="111"/>
      <c r="FT288" s="165"/>
      <c r="FU288" s="109">
        <f t="shared" si="418"/>
        <v>0</v>
      </c>
      <c r="FV288" s="109">
        <f t="shared" si="376"/>
        <v>0</v>
      </c>
      <c r="FW288" s="109"/>
      <c r="FX288" s="109"/>
      <c r="FY288" s="111"/>
      <c r="FZ288" s="111"/>
      <c r="GA288" s="165"/>
      <c r="GB288" s="109">
        <f t="shared" si="419"/>
        <v>0</v>
      </c>
      <c r="GC288" s="109">
        <f t="shared" si="377"/>
        <v>0</v>
      </c>
      <c r="GD288" s="109"/>
      <c r="GE288" s="109"/>
      <c r="GF288" s="111"/>
      <c r="GG288" s="111"/>
      <c r="GH288" s="165"/>
      <c r="GI288" s="109">
        <f t="shared" si="420"/>
        <v>0</v>
      </c>
      <c r="GJ288" s="109">
        <f t="shared" si="378"/>
        <v>0</v>
      </c>
      <c r="GK288" s="109"/>
      <c r="GL288" s="109"/>
      <c r="GM288" s="111"/>
      <c r="GN288" s="111"/>
      <c r="GO288" s="165"/>
      <c r="GP288" s="109">
        <f t="shared" si="421"/>
        <v>0</v>
      </c>
      <c r="GQ288" s="109">
        <f t="shared" si="379"/>
        <v>0</v>
      </c>
      <c r="GR288" s="109"/>
      <c r="GS288" s="109"/>
      <c r="GT288" s="111"/>
      <c r="GU288" s="111"/>
      <c r="GV288" s="165"/>
      <c r="GW288" s="168">
        <f t="shared" si="422"/>
        <v>0</v>
      </c>
      <c r="GX288" s="168">
        <f t="shared" si="380"/>
        <v>0</v>
      </c>
      <c r="GY288" s="168"/>
      <c r="GZ288" s="168"/>
      <c r="HA288" s="111"/>
      <c r="HB288" s="111"/>
      <c r="HC288" s="165"/>
      <c r="HD288" s="109">
        <f t="shared" si="423"/>
        <v>0</v>
      </c>
      <c r="HE288" s="109">
        <f t="shared" si="381"/>
        <v>0</v>
      </c>
      <c r="HF288" s="109"/>
      <c r="HG288" s="109"/>
      <c r="HH288" s="111"/>
      <c r="HI288" s="111"/>
      <c r="HJ288" s="165"/>
      <c r="HK288" s="109">
        <f t="shared" si="424"/>
        <v>0</v>
      </c>
      <c r="HL288" s="109">
        <f t="shared" si="382"/>
        <v>0</v>
      </c>
      <c r="HM288" s="109"/>
      <c r="HN288" s="109"/>
      <c r="HO288" s="111"/>
      <c r="HP288" s="111"/>
      <c r="HQ288" s="165"/>
      <c r="HR288" s="109">
        <f t="shared" si="425"/>
        <v>0</v>
      </c>
      <c r="HS288" s="109">
        <f t="shared" si="383"/>
        <v>0</v>
      </c>
      <c r="HT288" s="109"/>
      <c r="HU288" s="109"/>
      <c r="HV288" s="111"/>
      <c r="HW288" s="111"/>
      <c r="HX288" s="105">
        <f t="shared" si="401"/>
        <v>0</v>
      </c>
      <c r="HY288" s="105">
        <f t="shared" si="401"/>
        <v>0</v>
      </c>
      <c r="HZ288" s="105">
        <f t="shared" si="401"/>
        <v>0</v>
      </c>
      <c r="IA288" s="105">
        <f t="shared" si="395"/>
        <v>0</v>
      </c>
      <c r="IB288" s="109">
        <f t="shared" si="396"/>
        <v>0</v>
      </c>
      <c r="IC288" s="109">
        <f t="shared" si="397"/>
        <v>0</v>
      </c>
      <c r="ID288" s="109">
        <f t="shared" si="398"/>
        <v>0</v>
      </c>
      <c r="IE288" s="109">
        <f t="shared" si="399"/>
        <v>0</v>
      </c>
      <c r="IF288" s="197"/>
      <c r="IG288" s="197"/>
      <c r="IH288" s="197"/>
      <c r="II288" s="197"/>
      <c r="IJ288" s="197"/>
      <c r="IK288" s="197"/>
      <c r="IL288" s="197"/>
      <c r="IM288" s="171"/>
      <c r="IN288" s="171"/>
      <c r="IO288" s="171"/>
      <c r="IP288" s="171"/>
    </row>
    <row r="289" spans="1:250" ht="15" customHeight="1" x14ac:dyDescent="0.3">
      <c r="A289" s="110">
        <f t="shared" si="400"/>
        <v>285</v>
      </c>
      <c r="B289" s="111"/>
      <c r="C289" s="111"/>
      <c r="D289" s="111"/>
      <c r="E289" s="111"/>
      <c r="F289" s="111"/>
      <c r="G289" s="111"/>
      <c r="H289" s="111"/>
      <c r="I289" s="194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75"/>
      <c r="AI289" s="111"/>
      <c r="AJ289" s="111"/>
      <c r="AK289" s="111"/>
      <c r="AL289" s="177"/>
      <c r="AM289" s="176"/>
      <c r="AN289" s="177"/>
      <c r="AO289" s="157"/>
      <c r="AP289" s="158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  <c r="BG289" s="111"/>
      <c r="BH289" s="111"/>
      <c r="BI289" s="111"/>
      <c r="BJ289" s="111"/>
      <c r="BK289" s="111"/>
      <c r="BL289" s="175"/>
      <c r="BM289" s="111"/>
      <c r="BN289" s="111"/>
      <c r="BO289" s="111"/>
      <c r="BP289" s="111"/>
      <c r="BQ289" s="111"/>
      <c r="BR289" s="111"/>
      <c r="BS289" s="111"/>
      <c r="BT289" s="111"/>
      <c r="BU289" s="111"/>
      <c r="BV289" s="111"/>
      <c r="BW289" s="111"/>
      <c r="BX289" s="111"/>
      <c r="BY289" s="111"/>
      <c r="BZ289" s="111"/>
      <c r="CA289" s="111"/>
      <c r="CB289" s="111"/>
      <c r="CC289" s="178"/>
      <c r="CD289" s="177">
        <f t="shared" si="384"/>
        <v>0</v>
      </c>
      <c r="CE289" s="148"/>
      <c r="CF289" s="111">
        <f t="shared" si="385"/>
        <v>0</v>
      </c>
      <c r="CG289" s="177"/>
      <c r="CH289" s="204"/>
      <c r="CI289" s="148"/>
      <c r="CJ289" s="165"/>
      <c r="CK289" s="165"/>
      <c r="CL289" s="111"/>
      <c r="CM289" s="111"/>
      <c r="CN289" s="165">
        <f t="shared" si="386"/>
        <v>0</v>
      </c>
      <c r="CO289" s="109">
        <f t="shared" si="387"/>
        <v>0</v>
      </c>
      <c r="CP289" s="109">
        <f t="shared" si="388"/>
        <v>0</v>
      </c>
      <c r="CQ289" s="109"/>
      <c r="CR289" s="109"/>
      <c r="CS289" s="196"/>
      <c r="CT289" s="167"/>
      <c r="CU289" s="165"/>
      <c r="CV289" s="109">
        <f t="shared" si="389"/>
        <v>0</v>
      </c>
      <c r="CW289" s="109">
        <f t="shared" si="390"/>
        <v>0</v>
      </c>
      <c r="CX289" s="109"/>
      <c r="CY289" s="109"/>
      <c r="CZ289" s="111"/>
      <c r="DA289" s="111"/>
      <c r="DB289" s="165"/>
      <c r="DC289" s="109">
        <f t="shared" si="391"/>
        <v>0</v>
      </c>
      <c r="DD289" s="109">
        <f t="shared" si="392"/>
        <v>0</v>
      </c>
      <c r="DE289" s="109"/>
      <c r="DF289" s="109"/>
      <c r="DG289" s="111"/>
      <c r="DH289" s="111"/>
      <c r="DI289" s="165"/>
      <c r="DJ289" s="109">
        <f t="shared" si="393"/>
        <v>0</v>
      </c>
      <c r="DK289" s="109">
        <f t="shared" si="394"/>
        <v>0</v>
      </c>
      <c r="DL289" s="109"/>
      <c r="DM289" s="109"/>
      <c r="DN289" s="111"/>
      <c r="DO289" s="111"/>
      <c r="DP289" s="165"/>
      <c r="DQ289" s="109">
        <f t="shared" si="402"/>
        <v>0</v>
      </c>
      <c r="DR289" s="109">
        <f t="shared" si="403"/>
        <v>0</v>
      </c>
      <c r="DS289" s="109"/>
      <c r="DT289" s="109"/>
      <c r="DU289" s="111"/>
      <c r="DV289" s="111"/>
      <c r="DW289" s="165"/>
      <c r="DX289" s="109">
        <f t="shared" si="404"/>
        <v>0</v>
      </c>
      <c r="DY289" s="109">
        <f t="shared" si="405"/>
        <v>0</v>
      </c>
      <c r="DZ289" s="109"/>
      <c r="EA289" s="109"/>
      <c r="EB289" s="111"/>
      <c r="EC289" s="111"/>
      <c r="ED289" s="165"/>
      <c r="EE289" s="109">
        <f t="shared" si="406"/>
        <v>0</v>
      </c>
      <c r="EF289" s="109">
        <f t="shared" si="407"/>
        <v>0</v>
      </c>
      <c r="EG289" s="109"/>
      <c r="EH289" s="109"/>
      <c r="EI289" s="111"/>
      <c r="EJ289" s="111"/>
      <c r="EK289" s="165"/>
      <c r="EL289" s="109">
        <f t="shared" si="408"/>
        <v>0</v>
      </c>
      <c r="EM289" s="109">
        <f t="shared" si="409"/>
        <v>0</v>
      </c>
      <c r="EN289" s="109"/>
      <c r="EO289" s="109"/>
      <c r="EP289" s="111"/>
      <c r="EQ289" s="111"/>
      <c r="ER289" s="165"/>
      <c r="ES289" s="109">
        <f t="shared" si="410"/>
        <v>0</v>
      </c>
      <c r="ET289" s="109">
        <f t="shared" si="411"/>
        <v>0</v>
      </c>
      <c r="EU289" s="109"/>
      <c r="EV289" s="109"/>
      <c r="EW289" s="111"/>
      <c r="EX289" s="111"/>
      <c r="EY289" s="165"/>
      <c r="EZ289" s="109">
        <f t="shared" si="412"/>
        <v>0</v>
      </c>
      <c r="FA289" s="109">
        <f t="shared" si="413"/>
        <v>0</v>
      </c>
      <c r="FB289" s="109"/>
      <c r="FC289" s="109"/>
      <c r="FD289" s="111"/>
      <c r="FE289" s="111"/>
      <c r="FF289" s="165"/>
      <c r="FG289" s="109">
        <f t="shared" si="414"/>
        <v>0</v>
      </c>
      <c r="FH289" s="109">
        <f t="shared" si="415"/>
        <v>0</v>
      </c>
      <c r="FI289" s="109"/>
      <c r="FJ289" s="109"/>
      <c r="FK289" s="111"/>
      <c r="FL289" s="111"/>
      <c r="FM289" s="165"/>
      <c r="FN289" s="109">
        <f t="shared" si="416"/>
        <v>0</v>
      </c>
      <c r="FO289" s="109">
        <f t="shared" si="417"/>
        <v>0</v>
      </c>
      <c r="FP289" s="109"/>
      <c r="FQ289" s="109"/>
      <c r="FR289" s="111"/>
      <c r="FS289" s="111"/>
      <c r="FT289" s="165"/>
      <c r="FU289" s="109">
        <f t="shared" si="418"/>
        <v>0</v>
      </c>
      <c r="FV289" s="109">
        <f t="shared" si="376"/>
        <v>0</v>
      </c>
      <c r="FW289" s="109"/>
      <c r="FX289" s="109"/>
      <c r="FY289" s="111"/>
      <c r="FZ289" s="111"/>
      <c r="GA289" s="165"/>
      <c r="GB289" s="109">
        <f t="shared" si="419"/>
        <v>0</v>
      </c>
      <c r="GC289" s="109">
        <f t="shared" si="377"/>
        <v>0</v>
      </c>
      <c r="GD289" s="109"/>
      <c r="GE289" s="109"/>
      <c r="GF289" s="111"/>
      <c r="GG289" s="111"/>
      <c r="GH289" s="165"/>
      <c r="GI289" s="109">
        <f t="shared" si="420"/>
        <v>0</v>
      </c>
      <c r="GJ289" s="109">
        <f t="shared" si="378"/>
        <v>0</v>
      </c>
      <c r="GK289" s="109"/>
      <c r="GL289" s="109"/>
      <c r="GM289" s="111"/>
      <c r="GN289" s="111"/>
      <c r="GO289" s="165"/>
      <c r="GP289" s="109">
        <f t="shared" si="421"/>
        <v>0</v>
      </c>
      <c r="GQ289" s="109">
        <f t="shared" si="379"/>
        <v>0</v>
      </c>
      <c r="GR289" s="109"/>
      <c r="GS289" s="109"/>
      <c r="GT289" s="111"/>
      <c r="GU289" s="111"/>
      <c r="GV289" s="165"/>
      <c r="GW289" s="168">
        <f t="shared" si="422"/>
        <v>0</v>
      </c>
      <c r="GX289" s="168">
        <f t="shared" si="380"/>
        <v>0</v>
      </c>
      <c r="GY289" s="168"/>
      <c r="GZ289" s="168"/>
      <c r="HA289" s="111"/>
      <c r="HB289" s="111"/>
      <c r="HC289" s="165"/>
      <c r="HD289" s="109">
        <f t="shared" si="423"/>
        <v>0</v>
      </c>
      <c r="HE289" s="109">
        <f t="shared" si="381"/>
        <v>0</v>
      </c>
      <c r="HF289" s="109"/>
      <c r="HG289" s="109"/>
      <c r="HH289" s="111"/>
      <c r="HI289" s="111"/>
      <c r="HJ289" s="165"/>
      <c r="HK289" s="109">
        <f t="shared" si="424"/>
        <v>0</v>
      </c>
      <c r="HL289" s="109">
        <f t="shared" si="382"/>
        <v>0</v>
      </c>
      <c r="HM289" s="109"/>
      <c r="HN289" s="109"/>
      <c r="HO289" s="111"/>
      <c r="HP289" s="111"/>
      <c r="HQ289" s="165"/>
      <c r="HR289" s="109">
        <f t="shared" si="425"/>
        <v>0</v>
      </c>
      <c r="HS289" s="109">
        <f t="shared" si="383"/>
        <v>0</v>
      </c>
      <c r="HT289" s="109"/>
      <c r="HU289" s="109"/>
      <c r="HV289" s="111"/>
      <c r="HW289" s="111"/>
      <c r="HX289" s="105">
        <f t="shared" si="401"/>
        <v>0</v>
      </c>
      <c r="HY289" s="105">
        <f t="shared" si="401"/>
        <v>0</v>
      </c>
      <c r="HZ289" s="105">
        <f t="shared" si="401"/>
        <v>0</v>
      </c>
      <c r="IA289" s="105">
        <f t="shared" si="395"/>
        <v>0</v>
      </c>
      <c r="IB289" s="109">
        <f t="shared" si="396"/>
        <v>0</v>
      </c>
      <c r="IC289" s="109">
        <f t="shared" si="397"/>
        <v>0</v>
      </c>
      <c r="ID289" s="109">
        <f t="shared" si="398"/>
        <v>0</v>
      </c>
      <c r="IE289" s="109">
        <f t="shared" si="399"/>
        <v>0</v>
      </c>
      <c r="IF289" s="197"/>
      <c r="IG289" s="197"/>
      <c r="IH289" s="197"/>
      <c r="II289" s="197"/>
      <c r="IJ289" s="197"/>
      <c r="IK289" s="197"/>
      <c r="IL289" s="197"/>
      <c r="IM289" s="171"/>
      <c r="IN289" s="171"/>
      <c r="IO289" s="171"/>
      <c r="IP289" s="171"/>
    </row>
    <row r="290" spans="1:250" ht="15" customHeight="1" x14ac:dyDescent="0.3">
      <c r="A290" s="110">
        <f t="shared" si="400"/>
        <v>286</v>
      </c>
      <c r="B290" s="111"/>
      <c r="C290" s="111"/>
      <c r="D290" s="111"/>
      <c r="E290" s="111"/>
      <c r="F290" s="111"/>
      <c r="G290" s="111"/>
      <c r="H290" s="111"/>
      <c r="I290" s="194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75"/>
      <c r="AI290" s="111"/>
      <c r="AJ290" s="111"/>
      <c r="AK290" s="111"/>
      <c r="AL290" s="177"/>
      <c r="AM290" s="176"/>
      <c r="AN290" s="177"/>
      <c r="AO290" s="157"/>
      <c r="AP290" s="158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75"/>
      <c r="BM290" s="111"/>
      <c r="BN290" s="111"/>
      <c r="BO290" s="111"/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1"/>
      <c r="CA290" s="111"/>
      <c r="CB290" s="111"/>
      <c r="CC290" s="178"/>
      <c r="CD290" s="177">
        <f t="shared" si="384"/>
        <v>0</v>
      </c>
      <c r="CE290" s="148"/>
      <c r="CF290" s="111">
        <f t="shared" si="385"/>
        <v>0</v>
      </c>
      <c r="CG290" s="177"/>
      <c r="CH290" s="204"/>
      <c r="CI290" s="148"/>
      <c r="CJ290" s="165"/>
      <c r="CK290" s="165"/>
      <c r="CL290" s="111"/>
      <c r="CM290" s="111"/>
      <c r="CN290" s="165">
        <f t="shared" si="386"/>
        <v>0</v>
      </c>
      <c r="CO290" s="109">
        <f t="shared" si="387"/>
        <v>0</v>
      </c>
      <c r="CP290" s="109">
        <f t="shared" si="388"/>
        <v>0</v>
      </c>
      <c r="CQ290" s="109"/>
      <c r="CR290" s="109"/>
      <c r="CS290" s="196"/>
      <c r="CT290" s="167"/>
      <c r="CU290" s="165"/>
      <c r="CV290" s="109">
        <f t="shared" si="389"/>
        <v>0</v>
      </c>
      <c r="CW290" s="109">
        <f t="shared" si="390"/>
        <v>0</v>
      </c>
      <c r="CX290" s="109"/>
      <c r="CY290" s="109"/>
      <c r="CZ290" s="111"/>
      <c r="DA290" s="111"/>
      <c r="DB290" s="165"/>
      <c r="DC290" s="109">
        <f t="shared" si="391"/>
        <v>0</v>
      </c>
      <c r="DD290" s="109">
        <f t="shared" si="392"/>
        <v>0</v>
      </c>
      <c r="DE290" s="109"/>
      <c r="DF290" s="109"/>
      <c r="DG290" s="111"/>
      <c r="DH290" s="111"/>
      <c r="DI290" s="165"/>
      <c r="DJ290" s="109">
        <f t="shared" si="393"/>
        <v>0</v>
      </c>
      <c r="DK290" s="109">
        <f t="shared" si="394"/>
        <v>0</v>
      </c>
      <c r="DL290" s="109"/>
      <c r="DM290" s="109"/>
      <c r="DN290" s="111"/>
      <c r="DO290" s="111"/>
      <c r="DP290" s="165"/>
      <c r="DQ290" s="109">
        <f t="shared" si="402"/>
        <v>0</v>
      </c>
      <c r="DR290" s="109">
        <f t="shared" si="403"/>
        <v>0</v>
      </c>
      <c r="DS290" s="109"/>
      <c r="DT290" s="109"/>
      <c r="DU290" s="111"/>
      <c r="DV290" s="111"/>
      <c r="DW290" s="165"/>
      <c r="DX290" s="109">
        <f t="shared" si="404"/>
        <v>0</v>
      </c>
      <c r="DY290" s="109">
        <f t="shared" si="405"/>
        <v>0</v>
      </c>
      <c r="DZ290" s="109"/>
      <c r="EA290" s="109"/>
      <c r="EB290" s="111"/>
      <c r="EC290" s="111"/>
      <c r="ED290" s="165"/>
      <c r="EE290" s="109">
        <f t="shared" si="406"/>
        <v>0</v>
      </c>
      <c r="EF290" s="109">
        <f t="shared" si="407"/>
        <v>0</v>
      </c>
      <c r="EG290" s="109"/>
      <c r="EH290" s="109"/>
      <c r="EI290" s="111"/>
      <c r="EJ290" s="111"/>
      <c r="EK290" s="165"/>
      <c r="EL290" s="109">
        <f t="shared" si="408"/>
        <v>0</v>
      </c>
      <c r="EM290" s="109">
        <f t="shared" si="409"/>
        <v>0</v>
      </c>
      <c r="EN290" s="109"/>
      <c r="EO290" s="109"/>
      <c r="EP290" s="111"/>
      <c r="EQ290" s="111"/>
      <c r="ER290" s="165"/>
      <c r="ES290" s="109">
        <f t="shared" si="410"/>
        <v>0</v>
      </c>
      <c r="ET290" s="109">
        <f t="shared" si="411"/>
        <v>0</v>
      </c>
      <c r="EU290" s="109"/>
      <c r="EV290" s="109"/>
      <c r="EW290" s="111"/>
      <c r="EX290" s="111"/>
      <c r="EY290" s="165"/>
      <c r="EZ290" s="109">
        <f t="shared" si="412"/>
        <v>0</v>
      </c>
      <c r="FA290" s="109">
        <f t="shared" si="413"/>
        <v>0</v>
      </c>
      <c r="FB290" s="109"/>
      <c r="FC290" s="109"/>
      <c r="FD290" s="111"/>
      <c r="FE290" s="111"/>
      <c r="FF290" s="165"/>
      <c r="FG290" s="109">
        <f t="shared" si="414"/>
        <v>0</v>
      </c>
      <c r="FH290" s="109">
        <f t="shared" si="415"/>
        <v>0</v>
      </c>
      <c r="FI290" s="109"/>
      <c r="FJ290" s="109"/>
      <c r="FK290" s="111"/>
      <c r="FL290" s="111"/>
      <c r="FM290" s="165"/>
      <c r="FN290" s="109">
        <f t="shared" si="416"/>
        <v>0</v>
      </c>
      <c r="FO290" s="109">
        <f t="shared" si="417"/>
        <v>0</v>
      </c>
      <c r="FP290" s="109"/>
      <c r="FQ290" s="109"/>
      <c r="FR290" s="111"/>
      <c r="FS290" s="111"/>
      <c r="FT290" s="165"/>
      <c r="FU290" s="109">
        <f t="shared" si="418"/>
        <v>0</v>
      </c>
      <c r="FV290" s="109">
        <f t="shared" si="376"/>
        <v>0</v>
      </c>
      <c r="FW290" s="109"/>
      <c r="FX290" s="109"/>
      <c r="FY290" s="111"/>
      <c r="FZ290" s="111"/>
      <c r="GA290" s="165"/>
      <c r="GB290" s="109">
        <f t="shared" si="419"/>
        <v>0</v>
      </c>
      <c r="GC290" s="109">
        <f t="shared" si="377"/>
        <v>0</v>
      </c>
      <c r="GD290" s="109"/>
      <c r="GE290" s="109"/>
      <c r="GF290" s="111"/>
      <c r="GG290" s="111"/>
      <c r="GH290" s="165"/>
      <c r="GI290" s="109">
        <f t="shared" si="420"/>
        <v>0</v>
      </c>
      <c r="GJ290" s="109">
        <f t="shared" si="378"/>
        <v>0</v>
      </c>
      <c r="GK290" s="109"/>
      <c r="GL290" s="109"/>
      <c r="GM290" s="111"/>
      <c r="GN290" s="111"/>
      <c r="GO290" s="165"/>
      <c r="GP290" s="109">
        <f t="shared" si="421"/>
        <v>0</v>
      </c>
      <c r="GQ290" s="109">
        <f t="shared" si="379"/>
        <v>0</v>
      </c>
      <c r="GR290" s="109"/>
      <c r="GS290" s="109"/>
      <c r="GT290" s="111"/>
      <c r="GU290" s="111"/>
      <c r="GV290" s="165"/>
      <c r="GW290" s="168">
        <f t="shared" si="422"/>
        <v>0</v>
      </c>
      <c r="GX290" s="168">
        <f t="shared" si="380"/>
        <v>0</v>
      </c>
      <c r="GY290" s="168"/>
      <c r="GZ290" s="168"/>
      <c r="HA290" s="111"/>
      <c r="HB290" s="111"/>
      <c r="HC290" s="165"/>
      <c r="HD290" s="109">
        <f t="shared" si="423"/>
        <v>0</v>
      </c>
      <c r="HE290" s="109">
        <f t="shared" si="381"/>
        <v>0</v>
      </c>
      <c r="HF290" s="109"/>
      <c r="HG290" s="109"/>
      <c r="HH290" s="111"/>
      <c r="HI290" s="111"/>
      <c r="HJ290" s="165"/>
      <c r="HK290" s="109">
        <f t="shared" si="424"/>
        <v>0</v>
      </c>
      <c r="HL290" s="109">
        <f t="shared" si="382"/>
        <v>0</v>
      </c>
      <c r="HM290" s="109"/>
      <c r="HN290" s="109"/>
      <c r="HO290" s="111"/>
      <c r="HP290" s="111"/>
      <c r="HQ290" s="165"/>
      <c r="HR290" s="109">
        <f t="shared" si="425"/>
        <v>0</v>
      </c>
      <c r="HS290" s="109">
        <f t="shared" si="383"/>
        <v>0</v>
      </c>
      <c r="HT290" s="109"/>
      <c r="HU290" s="109"/>
      <c r="HV290" s="111"/>
      <c r="HW290" s="111"/>
      <c r="HX290" s="105">
        <f t="shared" si="401"/>
        <v>0</v>
      </c>
      <c r="HY290" s="105">
        <f t="shared" si="401"/>
        <v>0</v>
      </c>
      <c r="HZ290" s="105">
        <f t="shared" si="401"/>
        <v>0</v>
      </c>
      <c r="IA290" s="105">
        <f t="shared" si="395"/>
        <v>0</v>
      </c>
      <c r="IB290" s="109">
        <f t="shared" si="396"/>
        <v>0</v>
      </c>
      <c r="IC290" s="109">
        <f t="shared" si="397"/>
        <v>0</v>
      </c>
      <c r="ID290" s="109">
        <f t="shared" si="398"/>
        <v>0</v>
      </c>
      <c r="IE290" s="109">
        <f t="shared" si="399"/>
        <v>0</v>
      </c>
      <c r="IF290" s="197"/>
      <c r="IG290" s="197"/>
      <c r="IH290" s="197"/>
      <c r="II290" s="197"/>
      <c r="IJ290" s="197"/>
      <c r="IK290" s="197"/>
      <c r="IL290" s="197"/>
      <c r="IM290" s="171"/>
      <c r="IN290" s="171"/>
      <c r="IO290" s="171"/>
      <c r="IP290" s="171"/>
    </row>
    <row r="291" spans="1:250" ht="15" customHeight="1" x14ac:dyDescent="0.3">
      <c r="A291" s="110">
        <f t="shared" si="400"/>
        <v>287</v>
      </c>
      <c r="B291" s="111"/>
      <c r="C291" s="111"/>
      <c r="D291" s="111"/>
      <c r="E291" s="111"/>
      <c r="F291" s="111"/>
      <c r="G291" s="111"/>
      <c r="H291" s="111"/>
      <c r="I291" s="194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75"/>
      <c r="AI291" s="111"/>
      <c r="AJ291" s="111"/>
      <c r="AK291" s="111"/>
      <c r="AL291" s="177"/>
      <c r="AM291" s="176"/>
      <c r="AN291" s="177"/>
      <c r="AO291" s="157"/>
      <c r="AP291" s="158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75"/>
      <c r="BM291" s="111"/>
      <c r="BN291" s="111"/>
      <c r="BO291" s="111"/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1"/>
      <c r="CA291" s="111"/>
      <c r="CB291" s="111"/>
      <c r="CC291" s="178"/>
      <c r="CD291" s="177">
        <f t="shared" si="384"/>
        <v>0</v>
      </c>
      <c r="CE291" s="148"/>
      <c r="CF291" s="111">
        <f t="shared" si="385"/>
        <v>0</v>
      </c>
      <c r="CG291" s="177"/>
      <c r="CH291" s="204"/>
      <c r="CI291" s="148"/>
      <c r="CJ291" s="165"/>
      <c r="CK291" s="165"/>
      <c r="CL291" s="111"/>
      <c r="CM291" s="111"/>
      <c r="CN291" s="165">
        <f t="shared" si="386"/>
        <v>0</v>
      </c>
      <c r="CO291" s="109">
        <f t="shared" si="387"/>
        <v>0</v>
      </c>
      <c r="CP291" s="109">
        <f t="shared" si="388"/>
        <v>0</v>
      </c>
      <c r="CQ291" s="109"/>
      <c r="CR291" s="109"/>
      <c r="CS291" s="196"/>
      <c r="CT291" s="167"/>
      <c r="CU291" s="165"/>
      <c r="CV291" s="109">
        <f t="shared" si="389"/>
        <v>0</v>
      </c>
      <c r="CW291" s="109">
        <f t="shared" si="390"/>
        <v>0</v>
      </c>
      <c r="CX291" s="109"/>
      <c r="CY291" s="109"/>
      <c r="CZ291" s="111"/>
      <c r="DA291" s="111"/>
      <c r="DB291" s="165"/>
      <c r="DC291" s="109">
        <f t="shared" si="391"/>
        <v>0</v>
      </c>
      <c r="DD291" s="109">
        <f t="shared" si="392"/>
        <v>0</v>
      </c>
      <c r="DE291" s="109"/>
      <c r="DF291" s="109"/>
      <c r="DG291" s="111"/>
      <c r="DH291" s="111"/>
      <c r="DI291" s="165"/>
      <c r="DJ291" s="109">
        <f t="shared" si="393"/>
        <v>0</v>
      </c>
      <c r="DK291" s="109">
        <f t="shared" si="394"/>
        <v>0</v>
      </c>
      <c r="DL291" s="109"/>
      <c r="DM291" s="109"/>
      <c r="DN291" s="111"/>
      <c r="DO291" s="111"/>
      <c r="DP291" s="165"/>
      <c r="DQ291" s="109">
        <f t="shared" si="402"/>
        <v>0</v>
      </c>
      <c r="DR291" s="109">
        <f t="shared" si="403"/>
        <v>0</v>
      </c>
      <c r="DS291" s="109"/>
      <c r="DT291" s="109"/>
      <c r="DU291" s="111"/>
      <c r="DV291" s="111"/>
      <c r="DW291" s="165"/>
      <c r="DX291" s="109">
        <f t="shared" si="404"/>
        <v>0</v>
      </c>
      <c r="DY291" s="109">
        <f t="shared" si="405"/>
        <v>0</v>
      </c>
      <c r="DZ291" s="109"/>
      <c r="EA291" s="109"/>
      <c r="EB291" s="111"/>
      <c r="EC291" s="111"/>
      <c r="ED291" s="165"/>
      <c r="EE291" s="109">
        <f t="shared" si="406"/>
        <v>0</v>
      </c>
      <c r="EF291" s="109">
        <f t="shared" si="407"/>
        <v>0</v>
      </c>
      <c r="EG291" s="109"/>
      <c r="EH291" s="109"/>
      <c r="EI291" s="111"/>
      <c r="EJ291" s="111"/>
      <c r="EK291" s="165"/>
      <c r="EL291" s="109">
        <f t="shared" si="408"/>
        <v>0</v>
      </c>
      <c r="EM291" s="109">
        <f t="shared" si="409"/>
        <v>0</v>
      </c>
      <c r="EN291" s="109"/>
      <c r="EO291" s="109"/>
      <c r="EP291" s="111"/>
      <c r="EQ291" s="111"/>
      <c r="ER291" s="165"/>
      <c r="ES291" s="109">
        <f t="shared" si="410"/>
        <v>0</v>
      </c>
      <c r="ET291" s="109">
        <f t="shared" si="411"/>
        <v>0</v>
      </c>
      <c r="EU291" s="109"/>
      <c r="EV291" s="109"/>
      <c r="EW291" s="111"/>
      <c r="EX291" s="111"/>
      <c r="EY291" s="165"/>
      <c r="EZ291" s="109">
        <f t="shared" si="412"/>
        <v>0</v>
      </c>
      <c r="FA291" s="109">
        <f t="shared" si="413"/>
        <v>0</v>
      </c>
      <c r="FB291" s="109"/>
      <c r="FC291" s="109"/>
      <c r="FD291" s="111"/>
      <c r="FE291" s="111"/>
      <c r="FF291" s="165"/>
      <c r="FG291" s="109">
        <f t="shared" si="414"/>
        <v>0</v>
      </c>
      <c r="FH291" s="109">
        <f t="shared" si="415"/>
        <v>0</v>
      </c>
      <c r="FI291" s="109"/>
      <c r="FJ291" s="109"/>
      <c r="FK291" s="111"/>
      <c r="FL291" s="111"/>
      <c r="FM291" s="165"/>
      <c r="FN291" s="109">
        <f t="shared" si="416"/>
        <v>0</v>
      </c>
      <c r="FO291" s="109">
        <f t="shared" si="417"/>
        <v>0</v>
      </c>
      <c r="FP291" s="109"/>
      <c r="FQ291" s="109"/>
      <c r="FR291" s="111"/>
      <c r="FS291" s="111"/>
      <c r="FT291" s="165"/>
      <c r="FU291" s="109">
        <f t="shared" si="418"/>
        <v>0</v>
      </c>
      <c r="FV291" s="109">
        <f t="shared" si="376"/>
        <v>0</v>
      </c>
      <c r="FW291" s="109"/>
      <c r="FX291" s="109"/>
      <c r="FY291" s="111"/>
      <c r="FZ291" s="111"/>
      <c r="GA291" s="165"/>
      <c r="GB291" s="109">
        <f t="shared" si="419"/>
        <v>0</v>
      </c>
      <c r="GC291" s="109">
        <f t="shared" si="377"/>
        <v>0</v>
      </c>
      <c r="GD291" s="109"/>
      <c r="GE291" s="109"/>
      <c r="GF291" s="111"/>
      <c r="GG291" s="111"/>
      <c r="GH291" s="165"/>
      <c r="GI291" s="109">
        <f t="shared" si="420"/>
        <v>0</v>
      </c>
      <c r="GJ291" s="109">
        <f t="shared" si="378"/>
        <v>0</v>
      </c>
      <c r="GK291" s="109"/>
      <c r="GL291" s="109"/>
      <c r="GM291" s="111"/>
      <c r="GN291" s="111"/>
      <c r="GO291" s="165"/>
      <c r="GP291" s="109">
        <f t="shared" si="421"/>
        <v>0</v>
      </c>
      <c r="GQ291" s="109">
        <f t="shared" si="379"/>
        <v>0</v>
      </c>
      <c r="GR291" s="109"/>
      <c r="GS291" s="109"/>
      <c r="GT291" s="111"/>
      <c r="GU291" s="111"/>
      <c r="GV291" s="165"/>
      <c r="GW291" s="168">
        <f t="shared" si="422"/>
        <v>0</v>
      </c>
      <c r="GX291" s="168">
        <f t="shared" si="380"/>
        <v>0</v>
      </c>
      <c r="GY291" s="168"/>
      <c r="GZ291" s="168"/>
      <c r="HA291" s="111"/>
      <c r="HB291" s="111"/>
      <c r="HC291" s="165"/>
      <c r="HD291" s="109">
        <f t="shared" si="423"/>
        <v>0</v>
      </c>
      <c r="HE291" s="109">
        <f t="shared" si="381"/>
        <v>0</v>
      </c>
      <c r="HF291" s="109"/>
      <c r="HG291" s="109"/>
      <c r="HH291" s="111"/>
      <c r="HI291" s="111"/>
      <c r="HJ291" s="165"/>
      <c r="HK291" s="109">
        <f t="shared" si="424"/>
        <v>0</v>
      </c>
      <c r="HL291" s="109">
        <f t="shared" si="382"/>
        <v>0</v>
      </c>
      <c r="HM291" s="109"/>
      <c r="HN291" s="109"/>
      <c r="HO291" s="111"/>
      <c r="HP291" s="111"/>
      <c r="HQ291" s="165"/>
      <c r="HR291" s="109">
        <f t="shared" si="425"/>
        <v>0</v>
      </c>
      <c r="HS291" s="109">
        <f t="shared" si="383"/>
        <v>0</v>
      </c>
      <c r="HT291" s="109"/>
      <c r="HU291" s="109"/>
      <c r="HV291" s="111"/>
      <c r="HW291" s="111"/>
      <c r="HX291" s="105">
        <f t="shared" si="401"/>
        <v>0</v>
      </c>
      <c r="HY291" s="105">
        <f t="shared" si="401"/>
        <v>0</v>
      </c>
      <c r="HZ291" s="105">
        <f t="shared" si="401"/>
        <v>0</v>
      </c>
      <c r="IA291" s="105">
        <f t="shared" si="395"/>
        <v>0</v>
      </c>
      <c r="IB291" s="109">
        <f t="shared" si="396"/>
        <v>0</v>
      </c>
      <c r="IC291" s="109">
        <f t="shared" si="397"/>
        <v>0</v>
      </c>
      <c r="ID291" s="109">
        <f t="shared" si="398"/>
        <v>0</v>
      </c>
      <c r="IE291" s="109">
        <f t="shared" si="399"/>
        <v>0</v>
      </c>
      <c r="IF291" s="197"/>
      <c r="IG291" s="197"/>
      <c r="IH291" s="197"/>
      <c r="II291" s="197"/>
      <c r="IJ291" s="197"/>
      <c r="IK291" s="197"/>
      <c r="IL291" s="197"/>
      <c r="IM291" s="171"/>
      <c r="IN291" s="171"/>
      <c r="IO291" s="171"/>
      <c r="IP291" s="171"/>
    </row>
    <row r="292" spans="1:250" ht="15" customHeight="1" x14ac:dyDescent="0.3">
      <c r="A292" s="110">
        <f t="shared" si="400"/>
        <v>288</v>
      </c>
      <c r="B292" s="111"/>
      <c r="C292" s="111"/>
      <c r="D292" s="111"/>
      <c r="E292" s="111"/>
      <c r="F292" s="111"/>
      <c r="G292" s="111"/>
      <c r="H292" s="111"/>
      <c r="I292" s="194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75"/>
      <c r="AI292" s="111"/>
      <c r="AJ292" s="111"/>
      <c r="AK292" s="111"/>
      <c r="AL292" s="177"/>
      <c r="AM292" s="176"/>
      <c r="AN292" s="177"/>
      <c r="AO292" s="157"/>
      <c r="AP292" s="158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  <c r="BG292" s="111"/>
      <c r="BH292" s="111"/>
      <c r="BI292" s="111"/>
      <c r="BJ292" s="111"/>
      <c r="BK292" s="111"/>
      <c r="BL292" s="175"/>
      <c r="BM292" s="111"/>
      <c r="BN292" s="111"/>
      <c r="BO292" s="111"/>
      <c r="BP292" s="111"/>
      <c r="BQ292" s="111"/>
      <c r="BR292" s="111"/>
      <c r="BS292" s="111"/>
      <c r="BT292" s="111"/>
      <c r="BU292" s="111"/>
      <c r="BV292" s="111"/>
      <c r="BW292" s="111"/>
      <c r="BX292" s="111"/>
      <c r="BY292" s="111"/>
      <c r="BZ292" s="111"/>
      <c r="CA292" s="111"/>
      <c r="CB292" s="111"/>
      <c r="CC292" s="178"/>
      <c r="CD292" s="177">
        <f t="shared" si="384"/>
        <v>0</v>
      </c>
      <c r="CE292" s="148"/>
      <c r="CF292" s="111">
        <f t="shared" si="385"/>
        <v>0</v>
      </c>
      <c r="CG292" s="177"/>
      <c r="CH292" s="204"/>
      <c r="CI292" s="148"/>
      <c r="CJ292" s="165"/>
      <c r="CK292" s="165"/>
      <c r="CL292" s="111"/>
      <c r="CM292" s="111"/>
      <c r="CN292" s="165">
        <f t="shared" si="386"/>
        <v>0</v>
      </c>
      <c r="CO292" s="109">
        <f t="shared" si="387"/>
        <v>0</v>
      </c>
      <c r="CP292" s="109">
        <f t="shared" si="388"/>
        <v>0</v>
      </c>
      <c r="CQ292" s="109"/>
      <c r="CR292" s="109"/>
      <c r="CS292" s="196"/>
      <c r="CT292" s="167"/>
      <c r="CU292" s="165"/>
      <c r="CV292" s="109">
        <f t="shared" si="389"/>
        <v>0</v>
      </c>
      <c r="CW292" s="109">
        <f t="shared" si="390"/>
        <v>0</v>
      </c>
      <c r="CX292" s="109"/>
      <c r="CY292" s="109"/>
      <c r="CZ292" s="111"/>
      <c r="DA292" s="111"/>
      <c r="DB292" s="165"/>
      <c r="DC292" s="109">
        <f t="shared" si="391"/>
        <v>0</v>
      </c>
      <c r="DD292" s="109">
        <f t="shared" si="392"/>
        <v>0</v>
      </c>
      <c r="DE292" s="109"/>
      <c r="DF292" s="109"/>
      <c r="DG292" s="111"/>
      <c r="DH292" s="111"/>
      <c r="DI292" s="165"/>
      <c r="DJ292" s="109">
        <f t="shared" si="393"/>
        <v>0</v>
      </c>
      <c r="DK292" s="109">
        <f t="shared" si="394"/>
        <v>0</v>
      </c>
      <c r="DL292" s="109"/>
      <c r="DM292" s="109"/>
      <c r="DN292" s="111"/>
      <c r="DO292" s="111"/>
      <c r="DP292" s="165"/>
      <c r="DQ292" s="109">
        <f t="shared" si="402"/>
        <v>0</v>
      </c>
      <c r="DR292" s="109">
        <f t="shared" si="403"/>
        <v>0</v>
      </c>
      <c r="DS292" s="109"/>
      <c r="DT292" s="109"/>
      <c r="DU292" s="111"/>
      <c r="DV292" s="111"/>
      <c r="DW292" s="165"/>
      <c r="DX292" s="109">
        <f t="shared" si="404"/>
        <v>0</v>
      </c>
      <c r="DY292" s="109">
        <f t="shared" si="405"/>
        <v>0</v>
      </c>
      <c r="DZ292" s="109"/>
      <c r="EA292" s="109"/>
      <c r="EB292" s="111"/>
      <c r="EC292" s="111"/>
      <c r="ED292" s="165"/>
      <c r="EE292" s="109">
        <f t="shared" si="406"/>
        <v>0</v>
      </c>
      <c r="EF292" s="109">
        <f t="shared" si="407"/>
        <v>0</v>
      </c>
      <c r="EG292" s="109"/>
      <c r="EH292" s="109"/>
      <c r="EI292" s="111"/>
      <c r="EJ292" s="111"/>
      <c r="EK292" s="165"/>
      <c r="EL292" s="109">
        <f t="shared" si="408"/>
        <v>0</v>
      </c>
      <c r="EM292" s="109">
        <f t="shared" si="409"/>
        <v>0</v>
      </c>
      <c r="EN292" s="109"/>
      <c r="EO292" s="109"/>
      <c r="EP292" s="111"/>
      <c r="EQ292" s="111"/>
      <c r="ER292" s="165"/>
      <c r="ES292" s="109">
        <f t="shared" si="410"/>
        <v>0</v>
      </c>
      <c r="ET292" s="109">
        <f t="shared" si="411"/>
        <v>0</v>
      </c>
      <c r="EU292" s="109"/>
      <c r="EV292" s="109"/>
      <c r="EW292" s="111"/>
      <c r="EX292" s="111"/>
      <c r="EY292" s="165"/>
      <c r="EZ292" s="109">
        <f t="shared" si="412"/>
        <v>0</v>
      </c>
      <c r="FA292" s="109">
        <f t="shared" si="413"/>
        <v>0</v>
      </c>
      <c r="FB292" s="109"/>
      <c r="FC292" s="109"/>
      <c r="FD292" s="111"/>
      <c r="FE292" s="111"/>
      <c r="FF292" s="165"/>
      <c r="FG292" s="109">
        <f t="shared" si="414"/>
        <v>0</v>
      </c>
      <c r="FH292" s="109">
        <f t="shared" si="415"/>
        <v>0</v>
      </c>
      <c r="FI292" s="109"/>
      <c r="FJ292" s="109"/>
      <c r="FK292" s="111"/>
      <c r="FL292" s="111"/>
      <c r="FM292" s="165"/>
      <c r="FN292" s="109">
        <f t="shared" si="416"/>
        <v>0</v>
      </c>
      <c r="FO292" s="109">
        <f t="shared" si="417"/>
        <v>0</v>
      </c>
      <c r="FP292" s="109"/>
      <c r="FQ292" s="109"/>
      <c r="FR292" s="111"/>
      <c r="FS292" s="111"/>
      <c r="FT292" s="165"/>
      <c r="FU292" s="109">
        <f t="shared" si="418"/>
        <v>0</v>
      </c>
      <c r="FV292" s="109">
        <f t="shared" si="376"/>
        <v>0</v>
      </c>
      <c r="FW292" s="109"/>
      <c r="FX292" s="109"/>
      <c r="FY292" s="111"/>
      <c r="FZ292" s="111"/>
      <c r="GA292" s="165"/>
      <c r="GB292" s="109">
        <f t="shared" si="419"/>
        <v>0</v>
      </c>
      <c r="GC292" s="109">
        <f t="shared" si="377"/>
        <v>0</v>
      </c>
      <c r="GD292" s="109"/>
      <c r="GE292" s="109"/>
      <c r="GF292" s="111"/>
      <c r="GG292" s="111"/>
      <c r="GH292" s="165"/>
      <c r="GI292" s="109">
        <f t="shared" si="420"/>
        <v>0</v>
      </c>
      <c r="GJ292" s="109">
        <f t="shared" si="378"/>
        <v>0</v>
      </c>
      <c r="GK292" s="109"/>
      <c r="GL292" s="109"/>
      <c r="GM292" s="111"/>
      <c r="GN292" s="111"/>
      <c r="GO292" s="165"/>
      <c r="GP292" s="109">
        <f t="shared" si="421"/>
        <v>0</v>
      </c>
      <c r="GQ292" s="109">
        <f t="shared" si="379"/>
        <v>0</v>
      </c>
      <c r="GR292" s="109"/>
      <c r="GS292" s="109"/>
      <c r="GT292" s="111"/>
      <c r="GU292" s="111"/>
      <c r="GV292" s="165"/>
      <c r="GW292" s="168">
        <f t="shared" si="422"/>
        <v>0</v>
      </c>
      <c r="GX292" s="168">
        <f t="shared" si="380"/>
        <v>0</v>
      </c>
      <c r="GY292" s="168"/>
      <c r="GZ292" s="168"/>
      <c r="HA292" s="111"/>
      <c r="HB292" s="111"/>
      <c r="HC292" s="165"/>
      <c r="HD292" s="109">
        <f t="shared" si="423"/>
        <v>0</v>
      </c>
      <c r="HE292" s="109">
        <f t="shared" si="381"/>
        <v>0</v>
      </c>
      <c r="HF292" s="109"/>
      <c r="HG292" s="109"/>
      <c r="HH292" s="111"/>
      <c r="HI292" s="111"/>
      <c r="HJ292" s="165"/>
      <c r="HK292" s="109">
        <f t="shared" si="424"/>
        <v>0</v>
      </c>
      <c r="HL292" s="109">
        <f t="shared" si="382"/>
        <v>0</v>
      </c>
      <c r="HM292" s="109"/>
      <c r="HN292" s="109"/>
      <c r="HO292" s="111"/>
      <c r="HP292" s="111"/>
      <c r="HQ292" s="165"/>
      <c r="HR292" s="109">
        <f t="shared" si="425"/>
        <v>0</v>
      </c>
      <c r="HS292" s="109">
        <f t="shared" si="383"/>
        <v>0</v>
      </c>
      <c r="HT292" s="109"/>
      <c r="HU292" s="109"/>
      <c r="HV292" s="111"/>
      <c r="HW292" s="111"/>
      <c r="HX292" s="105">
        <f t="shared" si="401"/>
        <v>0</v>
      </c>
      <c r="HY292" s="105">
        <f t="shared" si="401"/>
        <v>0</v>
      </c>
      <c r="HZ292" s="105">
        <f t="shared" si="401"/>
        <v>0</v>
      </c>
      <c r="IA292" s="105">
        <f t="shared" si="395"/>
        <v>0</v>
      </c>
      <c r="IB292" s="109">
        <f t="shared" si="396"/>
        <v>0</v>
      </c>
      <c r="IC292" s="109">
        <f t="shared" si="397"/>
        <v>0</v>
      </c>
      <c r="ID292" s="109">
        <f t="shared" si="398"/>
        <v>0</v>
      </c>
      <c r="IE292" s="109">
        <f t="shared" si="399"/>
        <v>0</v>
      </c>
      <c r="IF292" s="197"/>
      <c r="IG292" s="197"/>
      <c r="IH292" s="197"/>
      <c r="II292" s="197"/>
      <c r="IJ292" s="197"/>
      <c r="IK292" s="197"/>
      <c r="IL292" s="197"/>
      <c r="IM292" s="171"/>
      <c r="IN292" s="171"/>
      <c r="IO292" s="171"/>
      <c r="IP292" s="171"/>
    </row>
    <row r="293" spans="1:250" ht="15" customHeight="1" x14ac:dyDescent="0.3">
      <c r="A293" s="110">
        <f t="shared" si="400"/>
        <v>289</v>
      </c>
      <c r="B293" s="111"/>
      <c r="C293" s="111"/>
      <c r="D293" s="111"/>
      <c r="E293" s="111"/>
      <c r="F293" s="111"/>
      <c r="G293" s="111"/>
      <c r="H293" s="111"/>
      <c r="I293" s="194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75"/>
      <c r="AI293" s="111"/>
      <c r="AJ293" s="111"/>
      <c r="AK293" s="111"/>
      <c r="AL293" s="177"/>
      <c r="AM293" s="176"/>
      <c r="AN293" s="177"/>
      <c r="AO293" s="157"/>
      <c r="AP293" s="158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75"/>
      <c r="BM293" s="111"/>
      <c r="BN293" s="111"/>
      <c r="BO293" s="111"/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1"/>
      <c r="CA293" s="111"/>
      <c r="CB293" s="111"/>
      <c r="CC293" s="178"/>
      <c r="CD293" s="177">
        <f t="shared" si="384"/>
        <v>0</v>
      </c>
      <c r="CE293" s="148"/>
      <c r="CF293" s="111">
        <f t="shared" si="385"/>
        <v>0</v>
      </c>
      <c r="CG293" s="177"/>
      <c r="CH293" s="204"/>
      <c r="CI293" s="148"/>
      <c r="CJ293" s="165"/>
      <c r="CK293" s="165"/>
      <c r="CL293" s="111"/>
      <c r="CM293" s="111"/>
      <c r="CN293" s="165">
        <f t="shared" si="386"/>
        <v>0</v>
      </c>
      <c r="CO293" s="109">
        <f t="shared" si="387"/>
        <v>0</v>
      </c>
      <c r="CP293" s="109">
        <f t="shared" si="388"/>
        <v>0</v>
      </c>
      <c r="CQ293" s="109"/>
      <c r="CR293" s="109"/>
      <c r="CS293" s="196"/>
      <c r="CT293" s="167"/>
      <c r="CU293" s="165"/>
      <c r="CV293" s="109">
        <f t="shared" si="389"/>
        <v>0</v>
      </c>
      <c r="CW293" s="109">
        <f t="shared" si="390"/>
        <v>0</v>
      </c>
      <c r="CX293" s="109"/>
      <c r="CY293" s="109"/>
      <c r="CZ293" s="111"/>
      <c r="DA293" s="111"/>
      <c r="DB293" s="165"/>
      <c r="DC293" s="109">
        <f t="shared" si="391"/>
        <v>0</v>
      </c>
      <c r="DD293" s="109">
        <f t="shared" si="392"/>
        <v>0</v>
      </c>
      <c r="DE293" s="109"/>
      <c r="DF293" s="109"/>
      <c r="DG293" s="111"/>
      <c r="DH293" s="111"/>
      <c r="DI293" s="165"/>
      <c r="DJ293" s="109">
        <f t="shared" si="393"/>
        <v>0</v>
      </c>
      <c r="DK293" s="109">
        <f t="shared" si="394"/>
        <v>0</v>
      </c>
      <c r="DL293" s="109"/>
      <c r="DM293" s="109"/>
      <c r="DN293" s="111"/>
      <c r="DO293" s="111"/>
      <c r="DP293" s="165"/>
      <c r="DQ293" s="109">
        <f t="shared" si="402"/>
        <v>0</v>
      </c>
      <c r="DR293" s="109">
        <f t="shared" si="403"/>
        <v>0</v>
      </c>
      <c r="DS293" s="109"/>
      <c r="DT293" s="109"/>
      <c r="DU293" s="111"/>
      <c r="DV293" s="111"/>
      <c r="DW293" s="165"/>
      <c r="DX293" s="109">
        <f t="shared" si="404"/>
        <v>0</v>
      </c>
      <c r="DY293" s="109">
        <f t="shared" si="405"/>
        <v>0</v>
      </c>
      <c r="DZ293" s="109"/>
      <c r="EA293" s="109"/>
      <c r="EB293" s="111"/>
      <c r="EC293" s="111"/>
      <c r="ED293" s="165"/>
      <c r="EE293" s="109">
        <f t="shared" si="406"/>
        <v>0</v>
      </c>
      <c r="EF293" s="109">
        <f t="shared" si="407"/>
        <v>0</v>
      </c>
      <c r="EG293" s="109"/>
      <c r="EH293" s="109"/>
      <c r="EI293" s="111"/>
      <c r="EJ293" s="111"/>
      <c r="EK293" s="165"/>
      <c r="EL293" s="109">
        <f t="shared" si="408"/>
        <v>0</v>
      </c>
      <c r="EM293" s="109">
        <f t="shared" si="409"/>
        <v>0</v>
      </c>
      <c r="EN293" s="109"/>
      <c r="EO293" s="109"/>
      <c r="EP293" s="111"/>
      <c r="EQ293" s="111"/>
      <c r="ER293" s="165"/>
      <c r="ES293" s="109">
        <f t="shared" si="410"/>
        <v>0</v>
      </c>
      <c r="ET293" s="109">
        <f t="shared" si="411"/>
        <v>0</v>
      </c>
      <c r="EU293" s="109"/>
      <c r="EV293" s="109"/>
      <c r="EW293" s="111"/>
      <c r="EX293" s="111"/>
      <c r="EY293" s="165"/>
      <c r="EZ293" s="109">
        <f t="shared" si="412"/>
        <v>0</v>
      </c>
      <c r="FA293" s="109">
        <f t="shared" si="413"/>
        <v>0</v>
      </c>
      <c r="FB293" s="109"/>
      <c r="FC293" s="109"/>
      <c r="FD293" s="111"/>
      <c r="FE293" s="111"/>
      <c r="FF293" s="165"/>
      <c r="FG293" s="109">
        <f t="shared" si="414"/>
        <v>0</v>
      </c>
      <c r="FH293" s="109">
        <f t="shared" si="415"/>
        <v>0</v>
      </c>
      <c r="FI293" s="109"/>
      <c r="FJ293" s="109"/>
      <c r="FK293" s="111"/>
      <c r="FL293" s="111"/>
      <c r="FM293" s="165"/>
      <c r="FN293" s="109">
        <f t="shared" si="416"/>
        <v>0</v>
      </c>
      <c r="FO293" s="109">
        <f t="shared" si="417"/>
        <v>0</v>
      </c>
      <c r="FP293" s="109"/>
      <c r="FQ293" s="109"/>
      <c r="FR293" s="111"/>
      <c r="FS293" s="111"/>
      <c r="FT293" s="165"/>
      <c r="FU293" s="109">
        <f t="shared" si="418"/>
        <v>0</v>
      </c>
      <c r="FV293" s="109">
        <f t="shared" si="376"/>
        <v>0</v>
      </c>
      <c r="FW293" s="109"/>
      <c r="FX293" s="109"/>
      <c r="FY293" s="111"/>
      <c r="FZ293" s="111"/>
      <c r="GA293" s="165"/>
      <c r="GB293" s="109">
        <f t="shared" si="419"/>
        <v>0</v>
      </c>
      <c r="GC293" s="109">
        <f t="shared" si="377"/>
        <v>0</v>
      </c>
      <c r="GD293" s="109"/>
      <c r="GE293" s="109"/>
      <c r="GF293" s="111"/>
      <c r="GG293" s="111"/>
      <c r="GH293" s="165"/>
      <c r="GI293" s="109">
        <f t="shared" si="420"/>
        <v>0</v>
      </c>
      <c r="GJ293" s="109">
        <f t="shared" si="378"/>
        <v>0</v>
      </c>
      <c r="GK293" s="109"/>
      <c r="GL293" s="109"/>
      <c r="GM293" s="111"/>
      <c r="GN293" s="111"/>
      <c r="GO293" s="165"/>
      <c r="GP293" s="109">
        <f t="shared" si="421"/>
        <v>0</v>
      </c>
      <c r="GQ293" s="109">
        <f t="shared" si="379"/>
        <v>0</v>
      </c>
      <c r="GR293" s="109"/>
      <c r="GS293" s="109"/>
      <c r="GT293" s="111"/>
      <c r="GU293" s="111"/>
      <c r="GV293" s="165"/>
      <c r="GW293" s="168">
        <f t="shared" si="422"/>
        <v>0</v>
      </c>
      <c r="GX293" s="168">
        <f t="shared" si="380"/>
        <v>0</v>
      </c>
      <c r="GY293" s="168"/>
      <c r="GZ293" s="168"/>
      <c r="HA293" s="111"/>
      <c r="HB293" s="111"/>
      <c r="HC293" s="165"/>
      <c r="HD293" s="109">
        <f t="shared" si="423"/>
        <v>0</v>
      </c>
      <c r="HE293" s="109">
        <f t="shared" si="381"/>
        <v>0</v>
      </c>
      <c r="HF293" s="109"/>
      <c r="HG293" s="109"/>
      <c r="HH293" s="111"/>
      <c r="HI293" s="111"/>
      <c r="HJ293" s="165"/>
      <c r="HK293" s="109">
        <f t="shared" si="424"/>
        <v>0</v>
      </c>
      <c r="HL293" s="109">
        <f t="shared" si="382"/>
        <v>0</v>
      </c>
      <c r="HM293" s="109"/>
      <c r="HN293" s="109"/>
      <c r="HO293" s="111"/>
      <c r="HP293" s="111"/>
      <c r="HQ293" s="165"/>
      <c r="HR293" s="109">
        <f t="shared" si="425"/>
        <v>0</v>
      </c>
      <c r="HS293" s="109">
        <f t="shared" si="383"/>
        <v>0</v>
      </c>
      <c r="HT293" s="109"/>
      <c r="HU293" s="109"/>
      <c r="HV293" s="111"/>
      <c r="HW293" s="111"/>
      <c r="HX293" s="105">
        <f t="shared" si="401"/>
        <v>0</v>
      </c>
      <c r="HY293" s="105">
        <f t="shared" si="401"/>
        <v>0</v>
      </c>
      <c r="HZ293" s="105">
        <f t="shared" si="401"/>
        <v>0</v>
      </c>
      <c r="IA293" s="105">
        <f t="shared" si="395"/>
        <v>0</v>
      </c>
      <c r="IB293" s="109">
        <f t="shared" si="396"/>
        <v>0</v>
      </c>
      <c r="IC293" s="109">
        <f t="shared" si="397"/>
        <v>0</v>
      </c>
      <c r="ID293" s="109">
        <f t="shared" si="398"/>
        <v>0</v>
      </c>
      <c r="IE293" s="109">
        <f t="shared" si="399"/>
        <v>0</v>
      </c>
      <c r="IF293" s="197"/>
      <c r="IG293" s="197"/>
      <c r="IH293" s="197"/>
      <c r="II293" s="197"/>
      <c r="IJ293" s="197"/>
      <c r="IK293" s="197"/>
      <c r="IL293" s="197"/>
      <c r="IM293" s="171"/>
      <c r="IN293" s="171"/>
      <c r="IO293" s="171"/>
      <c r="IP293" s="171"/>
    </row>
    <row r="294" spans="1:250" ht="15" customHeight="1" x14ac:dyDescent="0.3">
      <c r="A294" s="110">
        <f t="shared" si="400"/>
        <v>290</v>
      </c>
      <c r="B294" s="111"/>
      <c r="C294" s="111"/>
      <c r="D294" s="111"/>
      <c r="E294" s="111"/>
      <c r="F294" s="111"/>
      <c r="G294" s="111"/>
      <c r="H294" s="111"/>
      <c r="I294" s="194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75"/>
      <c r="AI294" s="111"/>
      <c r="AJ294" s="111"/>
      <c r="AK294" s="111"/>
      <c r="AL294" s="177"/>
      <c r="AM294" s="176"/>
      <c r="AN294" s="177"/>
      <c r="AO294" s="157"/>
      <c r="AP294" s="158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B294" s="111"/>
      <c r="BC294" s="111"/>
      <c r="BD294" s="111"/>
      <c r="BE294" s="111"/>
      <c r="BF294" s="111"/>
      <c r="BG294" s="111"/>
      <c r="BH294" s="111"/>
      <c r="BI294" s="111"/>
      <c r="BJ294" s="111"/>
      <c r="BK294" s="111"/>
      <c r="BL294" s="175"/>
      <c r="BM294" s="111"/>
      <c r="BN294" s="111"/>
      <c r="BO294" s="111"/>
      <c r="BP294" s="111"/>
      <c r="BQ294" s="111"/>
      <c r="BR294" s="111"/>
      <c r="BS294" s="111"/>
      <c r="BT294" s="111"/>
      <c r="BU294" s="111"/>
      <c r="BV294" s="111"/>
      <c r="BW294" s="111"/>
      <c r="BX294" s="111"/>
      <c r="BY294" s="111"/>
      <c r="BZ294" s="111"/>
      <c r="CA294" s="111"/>
      <c r="CB294" s="111"/>
      <c r="CC294" s="178"/>
      <c r="CD294" s="177">
        <f t="shared" si="384"/>
        <v>0</v>
      </c>
      <c r="CE294" s="148"/>
      <c r="CF294" s="111">
        <f t="shared" si="385"/>
        <v>0</v>
      </c>
      <c r="CG294" s="177"/>
      <c r="CH294" s="204"/>
      <c r="CI294" s="148"/>
      <c r="CJ294" s="165"/>
      <c r="CK294" s="165"/>
      <c r="CL294" s="111"/>
      <c r="CM294" s="111"/>
      <c r="CN294" s="165">
        <f t="shared" si="386"/>
        <v>0</v>
      </c>
      <c r="CO294" s="109">
        <f t="shared" si="387"/>
        <v>0</v>
      </c>
      <c r="CP294" s="109">
        <f t="shared" si="388"/>
        <v>0</v>
      </c>
      <c r="CQ294" s="109"/>
      <c r="CR294" s="109"/>
      <c r="CS294" s="196"/>
      <c r="CT294" s="167"/>
      <c r="CU294" s="165"/>
      <c r="CV294" s="109">
        <f t="shared" si="389"/>
        <v>0</v>
      </c>
      <c r="CW294" s="109">
        <f t="shared" si="390"/>
        <v>0</v>
      </c>
      <c r="CX294" s="109"/>
      <c r="CY294" s="109"/>
      <c r="CZ294" s="111"/>
      <c r="DA294" s="111"/>
      <c r="DB294" s="165"/>
      <c r="DC294" s="109">
        <f t="shared" si="391"/>
        <v>0</v>
      </c>
      <c r="DD294" s="109">
        <f t="shared" si="392"/>
        <v>0</v>
      </c>
      <c r="DE294" s="109"/>
      <c r="DF294" s="109"/>
      <c r="DG294" s="111"/>
      <c r="DH294" s="111"/>
      <c r="DI294" s="165"/>
      <c r="DJ294" s="109">
        <f t="shared" si="393"/>
        <v>0</v>
      </c>
      <c r="DK294" s="109">
        <f t="shared" si="394"/>
        <v>0</v>
      </c>
      <c r="DL294" s="109"/>
      <c r="DM294" s="109"/>
      <c r="DN294" s="111"/>
      <c r="DO294" s="111"/>
      <c r="DP294" s="165"/>
      <c r="DQ294" s="109">
        <f t="shared" si="402"/>
        <v>0</v>
      </c>
      <c r="DR294" s="109">
        <f t="shared" si="403"/>
        <v>0</v>
      </c>
      <c r="DS294" s="109"/>
      <c r="DT294" s="109"/>
      <c r="DU294" s="111"/>
      <c r="DV294" s="111"/>
      <c r="DW294" s="165"/>
      <c r="DX294" s="109">
        <f t="shared" si="404"/>
        <v>0</v>
      </c>
      <c r="DY294" s="109">
        <f t="shared" si="405"/>
        <v>0</v>
      </c>
      <c r="DZ294" s="109"/>
      <c r="EA294" s="109"/>
      <c r="EB294" s="111"/>
      <c r="EC294" s="111"/>
      <c r="ED294" s="165"/>
      <c r="EE294" s="109">
        <f t="shared" si="406"/>
        <v>0</v>
      </c>
      <c r="EF294" s="109">
        <f t="shared" si="407"/>
        <v>0</v>
      </c>
      <c r="EG294" s="109"/>
      <c r="EH294" s="109"/>
      <c r="EI294" s="111"/>
      <c r="EJ294" s="111"/>
      <c r="EK294" s="165"/>
      <c r="EL294" s="109">
        <f t="shared" si="408"/>
        <v>0</v>
      </c>
      <c r="EM294" s="109">
        <f t="shared" si="409"/>
        <v>0</v>
      </c>
      <c r="EN294" s="109"/>
      <c r="EO294" s="109"/>
      <c r="EP294" s="111"/>
      <c r="EQ294" s="111"/>
      <c r="ER294" s="165"/>
      <c r="ES294" s="109">
        <f t="shared" si="410"/>
        <v>0</v>
      </c>
      <c r="ET294" s="109">
        <f t="shared" si="411"/>
        <v>0</v>
      </c>
      <c r="EU294" s="109"/>
      <c r="EV294" s="109"/>
      <c r="EW294" s="111"/>
      <c r="EX294" s="111"/>
      <c r="EY294" s="165"/>
      <c r="EZ294" s="109">
        <f t="shared" si="412"/>
        <v>0</v>
      </c>
      <c r="FA294" s="109">
        <f t="shared" si="413"/>
        <v>0</v>
      </c>
      <c r="FB294" s="109"/>
      <c r="FC294" s="109"/>
      <c r="FD294" s="111"/>
      <c r="FE294" s="111"/>
      <c r="FF294" s="165"/>
      <c r="FG294" s="109">
        <f t="shared" si="414"/>
        <v>0</v>
      </c>
      <c r="FH294" s="109">
        <f t="shared" si="415"/>
        <v>0</v>
      </c>
      <c r="FI294" s="109"/>
      <c r="FJ294" s="109"/>
      <c r="FK294" s="111"/>
      <c r="FL294" s="111"/>
      <c r="FM294" s="165"/>
      <c r="FN294" s="109">
        <f t="shared" si="416"/>
        <v>0</v>
      </c>
      <c r="FO294" s="109">
        <f t="shared" si="417"/>
        <v>0</v>
      </c>
      <c r="FP294" s="109"/>
      <c r="FQ294" s="109"/>
      <c r="FR294" s="111"/>
      <c r="FS294" s="111"/>
      <c r="FT294" s="165"/>
      <c r="FU294" s="109">
        <f t="shared" si="418"/>
        <v>0</v>
      </c>
      <c r="FV294" s="109">
        <f t="shared" si="376"/>
        <v>0</v>
      </c>
      <c r="FW294" s="109"/>
      <c r="FX294" s="109"/>
      <c r="FY294" s="111"/>
      <c r="FZ294" s="111"/>
      <c r="GA294" s="165"/>
      <c r="GB294" s="109">
        <f t="shared" si="419"/>
        <v>0</v>
      </c>
      <c r="GC294" s="109">
        <f t="shared" si="377"/>
        <v>0</v>
      </c>
      <c r="GD294" s="109"/>
      <c r="GE294" s="109"/>
      <c r="GF294" s="111"/>
      <c r="GG294" s="111"/>
      <c r="GH294" s="165"/>
      <c r="GI294" s="109">
        <f t="shared" si="420"/>
        <v>0</v>
      </c>
      <c r="GJ294" s="109">
        <f t="shared" si="378"/>
        <v>0</v>
      </c>
      <c r="GK294" s="109"/>
      <c r="GL294" s="109"/>
      <c r="GM294" s="111"/>
      <c r="GN294" s="111"/>
      <c r="GO294" s="165"/>
      <c r="GP294" s="109">
        <f t="shared" si="421"/>
        <v>0</v>
      </c>
      <c r="GQ294" s="109">
        <f t="shared" si="379"/>
        <v>0</v>
      </c>
      <c r="GR294" s="109"/>
      <c r="GS294" s="109"/>
      <c r="GT294" s="111"/>
      <c r="GU294" s="111"/>
      <c r="GV294" s="165"/>
      <c r="GW294" s="168">
        <f t="shared" si="422"/>
        <v>0</v>
      </c>
      <c r="GX294" s="168">
        <f t="shared" si="380"/>
        <v>0</v>
      </c>
      <c r="GY294" s="168"/>
      <c r="GZ294" s="168"/>
      <c r="HA294" s="111"/>
      <c r="HB294" s="111"/>
      <c r="HC294" s="165"/>
      <c r="HD294" s="109">
        <f t="shared" si="423"/>
        <v>0</v>
      </c>
      <c r="HE294" s="109">
        <f t="shared" si="381"/>
        <v>0</v>
      </c>
      <c r="HF294" s="109"/>
      <c r="HG294" s="109"/>
      <c r="HH294" s="111"/>
      <c r="HI294" s="111"/>
      <c r="HJ294" s="165"/>
      <c r="HK294" s="109">
        <f t="shared" si="424"/>
        <v>0</v>
      </c>
      <c r="HL294" s="109">
        <f t="shared" si="382"/>
        <v>0</v>
      </c>
      <c r="HM294" s="109"/>
      <c r="HN294" s="109"/>
      <c r="HO294" s="111"/>
      <c r="HP294" s="111"/>
      <c r="HQ294" s="165"/>
      <c r="HR294" s="109">
        <f t="shared" si="425"/>
        <v>0</v>
      </c>
      <c r="HS294" s="109">
        <f t="shared" si="383"/>
        <v>0</v>
      </c>
      <c r="HT294" s="109"/>
      <c r="HU294" s="109"/>
      <c r="HV294" s="111"/>
      <c r="HW294" s="111"/>
      <c r="HX294" s="105">
        <f t="shared" si="401"/>
        <v>0</v>
      </c>
      <c r="HY294" s="105">
        <f t="shared" si="401"/>
        <v>0</v>
      </c>
      <c r="HZ294" s="105">
        <f t="shared" si="401"/>
        <v>0</v>
      </c>
      <c r="IA294" s="105">
        <f t="shared" si="395"/>
        <v>0</v>
      </c>
      <c r="IB294" s="109">
        <f t="shared" si="396"/>
        <v>0</v>
      </c>
      <c r="IC294" s="109">
        <f t="shared" si="397"/>
        <v>0</v>
      </c>
      <c r="ID294" s="109">
        <f t="shared" si="398"/>
        <v>0</v>
      </c>
      <c r="IE294" s="109">
        <f t="shared" si="399"/>
        <v>0</v>
      </c>
      <c r="IF294" s="197"/>
      <c r="IG294" s="197"/>
      <c r="IH294" s="197"/>
      <c r="II294" s="197"/>
      <c r="IJ294" s="197"/>
      <c r="IK294" s="197"/>
      <c r="IL294" s="197"/>
      <c r="IM294" s="171"/>
      <c r="IN294" s="171"/>
      <c r="IO294" s="171"/>
      <c r="IP294" s="171"/>
    </row>
    <row r="295" spans="1:250" ht="15" customHeight="1" x14ac:dyDescent="0.3">
      <c r="A295" s="110">
        <f t="shared" si="400"/>
        <v>291</v>
      </c>
      <c r="B295" s="111"/>
      <c r="C295" s="111"/>
      <c r="D295" s="111"/>
      <c r="E295" s="111"/>
      <c r="F295" s="111"/>
      <c r="G295" s="111"/>
      <c r="H295" s="111"/>
      <c r="I295" s="194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75"/>
      <c r="AI295" s="111"/>
      <c r="AJ295" s="111"/>
      <c r="AK295" s="111"/>
      <c r="AL295" s="177"/>
      <c r="AM295" s="176"/>
      <c r="AN295" s="177"/>
      <c r="AO295" s="157"/>
      <c r="AP295" s="158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  <c r="BJ295" s="111"/>
      <c r="BK295" s="111"/>
      <c r="BL295" s="175"/>
      <c r="BM295" s="111"/>
      <c r="BN295" s="111"/>
      <c r="BO295" s="111"/>
      <c r="BP295" s="111"/>
      <c r="BQ295" s="111"/>
      <c r="BR295" s="111"/>
      <c r="BS295" s="111"/>
      <c r="BT295" s="111"/>
      <c r="BU295" s="111"/>
      <c r="BV295" s="111"/>
      <c r="BW295" s="111"/>
      <c r="BX295" s="111"/>
      <c r="BY295" s="111"/>
      <c r="BZ295" s="111"/>
      <c r="CA295" s="111"/>
      <c r="CB295" s="111"/>
      <c r="CC295" s="178"/>
      <c r="CD295" s="177">
        <f t="shared" si="384"/>
        <v>0</v>
      </c>
      <c r="CE295" s="148"/>
      <c r="CF295" s="111">
        <f t="shared" si="385"/>
        <v>0</v>
      </c>
      <c r="CG295" s="177"/>
      <c r="CH295" s="204"/>
      <c r="CI295" s="148"/>
      <c r="CJ295" s="165"/>
      <c r="CK295" s="165"/>
      <c r="CL295" s="111"/>
      <c r="CM295" s="111"/>
      <c r="CN295" s="165">
        <f t="shared" si="386"/>
        <v>0</v>
      </c>
      <c r="CO295" s="109">
        <f t="shared" si="387"/>
        <v>0</v>
      </c>
      <c r="CP295" s="109">
        <f t="shared" si="388"/>
        <v>0</v>
      </c>
      <c r="CQ295" s="109"/>
      <c r="CR295" s="109"/>
      <c r="CS295" s="196"/>
      <c r="CT295" s="167"/>
      <c r="CU295" s="165"/>
      <c r="CV295" s="109">
        <f t="shared" si="389"/>
        <v>0</v>
      </c>
      <c r="CW295" s="109">
        <f t="shared" si="390"/>
        <v>0</v>
      </c>
      <c r="CX295" s="109"/>
      <c r="CY295" s="109"/>
      <c r="CZ295" s="111"/>
      <c r="DA295" s="111"/>
      <c r="DB295" s="165"/>
      <c r="DC295" s="109">
        <f t="shared" si="391"/>
        <v>0</v>
      </c>
      <c r="DD295" s="109">
        <f t="shared" si="392"/>
        <v>0</v>
      </c>
      <c r="DE295" s="109"/>
      <c r="DF295" s="109"/>
      <c r="DG295" s="111"/>
      <c r="DH295" s="111"/>
      <c r="DI295" s="165"/>
      <c r="DJ295" s="109">
        <f t="shared" si="393"/>
        <v>0</v>
      </c>
      <c r="DK295" s="109">
        <f t="shared" si="394"/>
        <v>0</v>
      </c>
      <c r="DL295" s="109"/>
      <c r="DM295" s="109"/>
      <c r="DN295" s="111"/>
      <c r="DO295" s="111"/>
      <c r="DP295" s="165"/>
      <c r="DQ295" s="109">
        <f t="shared" si="402"/>
        <v>0</v>
      </c>
      <c r="DR295" s="109">
        <f t="shared" si="403"/>
        <v>0</v>
      </c>
      <c r="DS295" s="109"/>
      <c r="DT295" s="109"/>
      <c r="DU295" s="111"/>
      <c r="DV295" s="111"/>
      <c r="DW295" s="165"/>
      <c r="DX295" s="109">
        <f t="shared" si="404"/>
        <v>0</v>
      </c>
      <c r="DY295" s="109">
        <f t="shared" si="405"/>
        <v>0</v>
      </c>
      <c r="DZ295" s="109"/>
      <c r="EA295" s="109"/>
      <c r="EB295" s="111"/>
      <c r="EC295" s="111"/>
      <c r="ED295" s="165"/>
      <c r="EE295" s="109">
        <f t="shared" si="406"/>
        <v>0</v>
      </c>
      <c r="EF295" s="109">
        <f t="shared" si="407"/>
        <v>0</v>
      </c>
      <c r="EG295" s="109"/>
      <c r="EH295" s="109"/>
      <c r="EI295" s="111"/>
      <c r="EJ295" s="111"/>
      <c r="EK295" s="165"/>
      <c r="EL295" s="109">
        <f t="shared" si="408"/>
        <v>0</v>
      </c>
      <c r="EM295" s="109">
        <f t="shared" si="409"/>
        <v>0</v>
      </c>
      <c r="EN295" s="109"/>
      <c r="EO295" s="109"/>
      <c r="EP295" s="111"/>
      <c r="EQ295" s="111"/>
      <c r="ER295" s="165"/>
      <c r="ES295" s="109">
        <f t="shared" si="410"/>
        <v>0</v>
      </c>
      <c r="ET295" s="109">
        <f t="shared" si="411"/>
        <v>0</v>
      </c>
      <c r="EU295" s="109"/>
      <c r="EV295" s="109"/>
      <c r="EW295" s="111"/>
      <c r="EX295" s="111"/>
      <c r="EY295" s="165"/>
      <c r="EZ295" s="109">
        <f t="shared" si="412"/>
        <v>0</v>
      </c>
      <c r="FA295" s="109">
        <f t="shared" si="413"/>
        <v>0</v>
      </c>
      <c r="FB295" s="109"/>
      <c r="FC295" s="109"/>
      <c r="FD295" s="111"/>
      <c r="FE295" s="111"/>
      <c r="FF295" s="165"/>
      <c r="FG295" s="109">
        <f t="shared" si="414"/>
        <v>0</v>
      </c>
      <c r="FH295" s="109">
        <f t="shared" si="415"/>
        <v>0</v>
      </c>
      <c r="FI295" s="109"/>
      <c r="FJ295" s="109"/>
      <c r="FK295" s="111"/>
      <c r="FL295" s="111"/>
      <c r="FM295" s="165"/>
      <c r="FN295" s="109">
        <f t="shared" si="416"/>
        <v>0</v>
      </c>
      <c r="FO295" s="109">
        <f t="shared" si="417"/>
        <v>0</v>
      </c>
      <c r="FP295" s="109"/>
      <c r="FQ295" s="109"/>
      <c r="FR295" s="111"/>
      <c r="FS295" s="111"/>
      <c r="FT295" s="165"/>
      <c r="FU295" s="109">
        <f t="shared" si="418"/>
        <v>0</v>
      </c>
      <c r="FV295" s="109">
        <f t="shared" si="376"/>
        <v>0</v>
      </c>
      <c r="FW295" s="109"/>
      <c r="FX295" s="109"/>
      <c r="FY295" s="111"/>
      <c r="FZ295" s="111"/>
      <c r="GA295" s="165"/>
      <c r="GB295" s="109">
        <f t="shared" si="419"/>
        <v>0</v>
      </c>
      <c r="GC295" s="109">
        <f t="shared" si="377"/>
        <v>0</v>
      </c>
      <c r="GD295" s="109"/>
      <c r="GE295" s="109"/>
      <c r="GF295" s="111"/>
      <c r="GG295" s="111"/>
      <c r="GH295" s="165"/>
      <c r="GI295" s="109">
        <f t="shared" si="420"/>
        <v>0</v>
      </c>
      <c r="GJ295" s="109">
        <f t="shared" si="378"/>
        <v>0</v>
      </c>
      <c r="GK295" s="109"/>
      <c r="GL295" s="109"/>
      <c r="GM295" s="111"/>
      <c r="GN295" s="111"/>
      <c r="GO295" s="165"/>
      <c r="GP295" s="109">
        <f t="shared" si="421"/>
        <v>0</v>
      </c>
      <c r="GQ295" s="109">
        <f t="shared" si="379"/>
        <v>0</v>
      </c>
      <c r="GR295" s="109"/>
      <c r="GS295" s="109"/>
      <c r="GT295" s="111"/>
      <c r="GU295" s="111"/>
      <c r="GV295" s="165"/>
      <c r="GW295" s="168">
        <f t="shared" si="422"/>
        <v>0</v>
      </c>
      <c r="GX295" s="168">
        <f t="shared" si="380"/>
        <v>0</v>
      </c>
      <c r="GY295" s="168"/>
      <c r="GZ295" s="168"/>
      <c r="HA295" s="111"/>
      <c r="HB295" s="111"/>
      <c r="HC295" s="165"/>
      <c r="HD295" s="109">
        <f t="shared" si="423"/>
        <v>0</v>
      </c>
      <c r="HE295" s="109">
        <f t="shared" si="381"/>
        <v>0</v>
      </c>
      <c r="HF295" s="109"/>
      <c r="HG295" s="109"/>
      <c r="HH295" s="111"/>
      <c r="HI295" s="111"/>
      <c r="HJ295" s="165"/>
      <c r="HK295" s="109">
        <f t="shared" si="424"/>
        <v>0</v>
      </c>
      <c r="HL295" s="109">
        <f t="shared" si="382"/>
        <v>0</v>
      </c>
      <c r="HM295" s="109"/>
      <c r="HN295" s="109"/>
      <c r="HO295" s="111"/>
      <c r="HP295" s="111"/>
      <c r="HQ295" s="165"/>
      <c r="HR295" s="109">
        <f t="shared" si="425"/>
        <v>0</v>
      </c>
      <c r="HS295" s="109">
        <f t="shared" si="383"/>
        <v>0</v>
      </c>
      <c r="HT295" s="109"/>
      <c r="HU295" s="109"/>
      <c r="HV295" s="111"/>
      <c r="HW295" s="111"/>
      <c r="HX295" s="105">
        <f t="shared" si="401"/>
        <v>0</v>
      </c>
      <c r="HY295" s="105">
        <f t="shared" si="401"/>
        <v>0</v>
      </c>
      <c r="HZ295" s="105">
        <f t="shared" si="401"/>
        <v>0</v>
      </c>
      <c r="IA295" s="105">
        <f t="shared" si="395"/>
        <v>0</v>
      </c>
      <c r="IB295" s="109">
        <f t="shared" si="396"/>
        <v>0</v>
      </c>
      <c r="IC295" s="109">
        <f t="shared" si="397"/>
        <v>0</v>
      </c>
      <c r="ID295" s="109">
        <f t="shared" si="398"/>
        <v>0</v>
      </c>
      <c r="IE295" s="109">
        <f t="shared" si="399"/>
        <v>0</v>
      </c>
      <c r="IF295" s="197"/>
      <c r="IG295" s="197"/>
      <c r="IH295" s="197"/>
      <c r="II295" s="197"/>
      <c r="IJ295" s="197"/>
      <c r="IK295" s="197"/>
      <c r="IL295" s="197"/>
      <c r="IM295" s="171"/>
      <c r="IN295" s="171"/>
      <c r="IO295" s="171"/>
      <c r="IP295" s="171"/>
    </row>
    <row r="296" spans="1:250" ht="15" customHeight="1" x14ac:dyDescent="0.3">
      <c r="A296" s="110">
        <f t="shared" si="400"/>
        <v>292</v>
      </c>
      <c r="B296" s="111"/>
      <c r="C296" s="111"/>
      <c r="D296" s="111"/>
      <c r="E296" s="111"/>
      <c r="F296" s="111"/>
      <c r="G296" s="111"/>
      <c r="H296" s="111"/>
      <c r="I296" s="194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75"/>
      <c r="AI296" s="111"/>
      <c r="AJ296" s="111"/>
      <c r="AK296" s="111"/>
      <c r="AL296" s="177"/>
      <c r="AM296" s="176"/>
      <c r="AN296" s="177"/>
      <c r="AO296" s="157"/>
      <c r="AP296" s="158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B296" s="111"/>
      <c r="BC296" s="111"/>
      <c r="BD296" s="111"/>
      <c r="BE296" s="111"/>
      <c r="BF296" s="111"/>
      <c r="BG296" s="111"/>
      <c r="BH296" s="111"/>
      <c r="BI296" s="111"/>
      <c r="BJ296" s="111"/>
      <c r="BK296" s="111"/>
      <c r="BL296" s="175"/>
      <c r="BM296" s="111"/>
      <c r="BN296" s="111"/>
      <c r="BO296" s="111"/>
      <c r="BP296" s="111"/>
      <c r="BQ296" s="111"/>
      <c r="BR296" s="111"/>
      <c r="BS296" s="111"/>
      <c r="BT296" s="111"/>
      <c r="BU296" s="111"/>
      <c r="BV296" s="111"/>
      <c r="BW296" s="111"/>
      <c r="BX296" s="111"/>
      <c r="BY296" s="111"/>
      <c r="BZ296" s="111"/>
      <c r="CA296" s="111"/>
      <c r="CB296" s="111"/>
      <c r="CC296" s="178"/>
      <c r="CD296" s="177">
        <f t="shared" si="384"/>
        <v>0</v>
      </c>
      <c r="CE296" s="148"/>
      <c r="CF296" s="111">
        <f t="shared" si="385"/>
        <v>0</v>
      </c>
      <c r="CG296" s="177"/>
      <c r="CH296" s="204"/>
      <c r="CI296" s="148"/>
      <c r="CJ296" s="165"/>
      <c r="CK296" s="165"/>
      <c r="CL296" s="111"/>
      <c r="CM296" s="111"/>
      <c r="CN296" s="165">
        <f t="shared" si="386"/>
        <v>0</v>
      </c>
      <c r="CO296" s="109">
        <f t="shared" si="387"/>
        <v>0</v>
      </c>
      <c r="CP296" s="109">
        <f t="shared" si="388"/>
        <v>0</v>
      </c>
      <c r="CQ296" s="109"/>
      <c r="CR296" s="109"/>
      <c r="CS296" s="196"/>
      <c r="CT296" s="167"/>
      <c r="CU296" s="165"/>
      <c r="CV296" s="109">
        <f t="shared" si="389"/>
        <v>0</v>
      </c>
      <c r="CW296" s="109">
        <f t="shared" si="390"/>
        <v>0</v>
      </c>
      <c r="CX296" s="109"/>
      <c r="CY296" s="109"/>
      <c r="CZ296" s="111"/>
      <c r="DA296" s="111"/>
      <c r="DB296" s="165"/>
      <c r="DC296" s="109">
        <f t="shared" si="391"/>
        <v>0</v>
      </c>
      <c r="DD296" s="109">
        <f t="shared" si="392"/>
        <v>0</v>
      </c>
      <c r="DE296" s="109"/>
      <c r="DF296" s="109"/>
      <c r="DG296" s="111"/>
      <c r="DH296" s="111"/>
      <c r="DI296" s="165"/>
      <c r="DJ296" s="109">
        <f t="shared" si="393"/>
        <v>0</v>
      </c>
      <c r="DK296" s="109">
        <f t="shared" si="394"/>
        <v>0</v>
      </c>
      <c r="DL296" s="109"/>
      <c r="DM296" s="109"/>
      <c r="DN296" s="111"/>
      <c r="DO296" s="111"/>
      <c r="DP296" s="165"/>
      <c r="DQ296" s="109">
        <f t="shared" si="402"/>
        <v>0</v>
      </c>
      <c r="DR296" s="109">
        <f t="shared" si="403"/>
        <v>0</v>
      </c>
      <c r="DS296" s="109"/>
      <c r="DT296" s="109"/>
      <c r="DU296" s="111"/>
      <c r="DV296" s="111"/>
      <c r="DW296" s="165"/>
      <c r="DX296" s="109">
        <f t="shared" si="404"/>
        <v>0</v>
      </c>
      <c r="DY296" s="109">
        <f t="shared" si="405"/>
        <v>0</v>
      </c>
      <c r="DZ296" s="109"/>
      <c r="EA296" s="109"/>
      <c r="EB296" s="111"/>
      <c r="EC296" s="111"/>
      <c r="ED296" s="165"/>
      <c r="EE296" s="109">
        <f t="shared" si="406"/>
        <v>0</v>
      </c>
      <c r="EF296" s="109">
        <f t="shared" si="407"/>
        <v>0</v>
      </c>
      <c r="EG296" s="109"/>
      <c r="EH296" s="109"/>
      <c r="EI296" s="111"/>
      <c r="EJ296" s="111"/>
      <c r="EK296" s="165"/>
      <c r="EL296" s="109">
        <f t="shared" si="408"/>
        <v>0</v>
      </c>
      <c r="EM296" s="109">
        <f t="shared" si="409"/>
        <v>0</v>
      </c>
      <c r="EN296" s="109"/>
      <c r="EO296" s="109"/>
      <c r="EP296" s="111"/>
      <c r="EQ296" s="111"/>
      <c r="ER296" s="165"/>
      <c r="ES296" s="109">
        <f t="shared" si="410"/>
        <v>0</v>
      </c>
      <c r="ET296" s="109">
        <f t="shared" si="411"/>
        <v>0</v>
      </c>
      <c r="EU296" s="109"/>
      <c r="EV296" s="109"/>
      <c r="EW296" s="111"/>
      <c r="EX296" s="111"/>
      <c r="EY296" s="165"/>
      <c r="EZ296" s="109">
        <f t="shared" si="412"/>
        <v>0</v>
      </c>
      <c r="FA296" s="109">
        <f t="shared" si="413"/>
        <v>0</v>
      </c>
      <c r="FB296" s="109"/>
      <c r="FC296" s="109"/>
      <c r="FD296" s="111"/>
      <c r="FE296" s="111"/>
      <c r="FF296" s="165"/>
      <c r="FG296" s="109">
        <f t="shared" si="414"/>
        <v>0</v>
      </c>
      <c r="FH296" s="109">
        <f t="shared" si="415"/>
        <v>0</v>
      </c>
      <c r="FI296" s="109"/>
      <c r="FJ296" s="109"/>
      <c r="FK296" s="111"/>
      <c r="FL296" s="111"/>
      <c r="FM296" s="165"/>
      <c r="FN296" s="109">
        <f t="shared" si="416"/>
        <v>0</v>
      </c>
      <c r="FO296" s="109">
        <f t="shared" si="417"/>
        <v>0</v>
      </c>
      <c r="FP296" s="109"/>
      <c r="FQ296" s="109"/>
      <c r="FR296" s="111"/>
      <c r="FS296" s="111"/>
      <c r="FT296" s="165"/>
      <c r="FU296" s="109">
        <f t="shared" si="418"/>
        <v>0</v>
      </c>
      <c r="FV296" s="109">
        <f t="shared" si="376"/>
        <v>0</v>
      </c>
      <c r="FW296" s="109"/>
      <c r="FX296" s="109"/>
      <c r="FY296" s="111"/>
      <c r="FZ296" s="111"/>
      <c r="GA296" s="165"/>
      <c r="GB296" s="109">
        <f t="shared" si="419"/>
        <v>0</v>
      </c>
      <c r="GC296" s="109">
        <f t="shared" si="377"/>
        <v>0</v>
      </c>
      <c r="GD296" s="109"/>
      <c r="GE296" s="109"/>
      <c r="GF296" s="111"/>
      <c r="GG296" s="111"/>
      <c r="GH296" s="165"/>
      <c r="GI296" s="109">
        <f t="shared" si="420"/>
        <v>0</v>
      </c>
      <c r="GJ296" s="109">
        <f t="shared" si="378"/>
        <v>0</v>
      </c>
      <c r="GK296" s="109"/>
      <c r="GL296" s="109"/>
      <c r="GM296" s="111"/>
      <c r="GN296" s="111"/>
      <c r="GO296" s="165"/>
      <c r="GP296" s="109">
        <f t="shared" si="421"/>
        <v>0</v>
      </c>
      <c r="GQ296" s="109">
        <f t="shared" si="379"/>
        <v>0</v>
      </c>
      <c r="GR296" s="109"/>
      <c r="GS296" s="109"/>
      <c r="GT296" s="111"/>
      <c r="GU296" s="111"/>
      <c r="GV296" s="165"/>
      <c r="GW296" s="168">
        <f t="shared" si="422"/>
        <v>0</v>
      </c>
      <c r="GX296" s="168">
        <f t="shared" si="380"/>
        <v>0</v>
      </c>
      <c r="GY296" s="168"/>
      <c r="GZ296" s="168"/>
      <c r="HA296" s="111"/>
      <c r="HB296" s="111"/>
      <c r="HC296" s="165"/>
      <c r="HD296" s="109">
        <f t="shared" si="423"/>
        <v>0</v>
      </c>
      <c r="HE296" s="109">
        <f t="shared" si="381"/>
        <v>0</v>
      </c>
      <c r="HF296" s="109"/>
      <c r="HG296" s="109"/>
      <c r="HH296" s="111"/>
      <c r="HI296" s="111"/>
      <c r="HJ296" s="165"/>
      <c r="HK296" s="109">
        <f t="shared" si="424"/>
        <v>0</v>
      </c>
      <c r="HL296" s="109">
        <f t="shared" si="382"/>
        <v>0</v>
      </c>
      <c r="HM296" s="109"/>
      <c r="HN296" s="109"/>
      <c r="HO296" s="111"/>
      <c r="HP296" s="111"/>
      <c r="HQ296" s="165"/>
      <c r="HR296" s="109">
        <f t="shared" si="425"/>
        <v>0</v>
      </c>
      <c r="HS296" s="109">
        <f t="shared" si="383"/>
        <v>0</v>
      </c>
      <c r="HT296" s="109"/>
      <c r="HU296" s="109"/>
      <c r="HV296" s="111"/>
      <c r="HW296" s="111"/>
      <c r="HX296" s="105">
        <f t="shared" si="401"/>
        <v>0</v>
      </c>
      <c r="HY296" s="105">
        <f t="shared" si="401"/>
        <v>0</v>
      </c>
      <c r="HZ296" s="105">
        <f t="shared" si="401"/>
        <v>0</v>
      </c>
      <c r="IA296" s="105">
        <f t="shared" si="395"/>
        <v>0</v>
      </c>
      <c r="IB296" s="109">
        <f t="shared" si="396"/>
        <v>0</v>
      </c>
      <c r="IC296" s="109">
        <f t="shared" si="397"/>
        <v>0</v>
      </c>
      <c r="ID296" s="109">
        <f t="shared" si="398"/>
        <v>0</v>
      </c>
      <c r="IE296" s="109">
        <f t="shared" si="399"/>
        <v>0</v>
      </c>
      <c r="IF296" s="197"/>
      <c r="IG296" s="197"/>
      <c r="IH296" s="197"/>
      <c r="II296" s="197"/>
      <c r="IJ296" s="197"/>
      <c r="IK296" s="197"/>
      <c r="IL296" s="197"/>
      <c r="IM296" s="171"/>
      <c r="IN296" s="171"/>
      <c r="IO296" s="171"/>
      <c r="IP296" s="171"/>
    </row>
    <row r="297" spans="1:250" ht="15" customHeight="1" x14ac:dyDescent="0.3">
      <c r="A297" s="110">
        <f t="shared" si="400"/>
        <v>293</v>
      </c>
      <c r="B297" s="111"/>
      <c r="C297" s="111"/>
      <c r="D297" s="111"/>
      <c r="E297" s="111"/>
      <c r="F297" s="111"/>
      <c r="G297" s="111"/>
      <c r="H297" s="111"/>
      <c r="I297" s="194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75"/>
      <c r="AI297" s="111"/>
      <c r="AJ297" s="111"/>
      <c r="AK297" s="111"/>
      <c r="AL297" s="177"/>
      <c r="AM297" s="176"/>
      <c r="AN297" s="177"/>
      <c r="AO297" s="157"/>
      <c r="AP297" s="158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  <c r="BJ297" s="111"/>
      <c r="BK297" s="111"/>
      <c r="BL297" s="175"/>
      <c r="BM297" s="111"/>
      <c r="BN297" s="111"/>
      <c r="BO297" s="111"/>
      <c r="BP297" s="111"/>
      <c r="BQ297" s="111"/>
      <c r="BR297" s="111"/>
      <c r="BS297" s="111"/>
      <c r="BT297" s="111"/>
      <c r="BU297" s="111"/>
      <c r="BV297" s="111"/>
      <c r="BW297" s="111"/>
      <c r="BX297" s="111"/>
      <c r="BY297" s="111"/>
      <c r="BZ297" s="111"/>
      <c r="CA297" s="111"/>
      <c r="CB297" s="111"/>
      <c r="CC297" s="178"/>
      <c r="CD297" s="177">
        <f t="shared" si="384"/>
        <v>0</v>
      </c>
      <c r="CE297" s="148"/>
      <c r="CF297" s="111">
        <f t="shared" si="385"/>
        <v>0</v>
      </c>
      <c r="CG297" s="177"/>
      <c r="CH297" s="204"/>
      <c r="CI297" s="148"/>
      <c r="CJ297" s="165"/>
      <c r="CK297" s="165"/>
      <c r="CL297" s="111"/>
      <c r="CM297" s="111"/>
      <c r="CN297" s="165">
        <f t="shared" si="386"/>
        <v>0</v>
      </c>
      <c r="CO297" s="109">
        <f t="shared" si="387"/>
        <v>0</v>
      </c>
      <c r="CP297" s="109">
        <f t="shared" si="388"/>
        <v>0</v>
      </c>
      <c r="CQ297" s="109"/>
      <c r="CR297" s="109"/>
      <c r="CS297" s="196"/>
      <c r="CT297" s="167"/>
      <c r="CU297" s="165"/>
      <c r="CV297" s="109">
        <f t="shared" si="389"/>
        <v>0</v>
      </c>
      <c r="CW297" s="109">
        <f t="shared" si="390"/>
        <v>0</v>
      </c>
      <c r="CX297" s="109"/>
      <c r="CY297" s="109"/>
      <c r="CZ297" s="111"/>
      <c r="DA297" s="111"/>
      <c r="DB297" s="165"/>
      <c r="DC297" s="109">
        <f t="shared" si="391"/>
        <v>0</v>
      </c>
      <c r="DD297" s="109">
        <f t="shared" si="392"/>
        <v>0</v>
      </c>
      <c r="DE297" s="109"/>
      <c r="DF297" s="109"/>
      <c r="DG297" s="111"/>
      <c r="DH297" s="111"/>
      <c r="DI297" s="165"/>
      <c r="DJ297" s="109">
        <f t="shared" si="393"/>
        <v>0</v>
      </c>
      <c r="DK297" s="109">
        <f t="shared" si="394"/>
        <v>0</v>
      </c>
      <c r="DL297" s="109"/>
      <c r="DM297" s="109"/>
      <c r="DN297" s="111"/>
      <c r="DO297" s="111"/>
      <c r="DP297" s="165"/>
      <c r="DQ297" s="109">
        <f t="shared" si="402"/>
        <v>0</v>
      </c>
      <c r="DR297" s="109">
        <f t="shared" si="403"/>
        <v>0</v>
      </c>
      <c r="DS297" s="109"/>
      <c r="DT297" s="109"/>
      <c r="DU297" s="111"/>
      <c r="DV297" s="111"/>
      <c r="DW297" s="165"/>
      <c r="DX297" s="109">
        <f t="shared" si="404"/>
        <v>0</v>
      </c>
      <c r="DY297" s="109">
        <f t="shared" si="405"/>
        <v>0</v>
      </c>
      <c r="DZ297" s="109"/>
      <c r="EA297" s="109"/>
      <c r="EB297" s="111"/>
      <c r="EC297" s="111"/>
      <c r="ED297" s="165"/>
      <c r="EE297" s="109">
        <f t="shared" si="406"/>
        <v>0</v>
      </c>
      <c r="EF297" s="109">
        <f t="shared" si="407"/>
        <v>0</v>
      </c>
      <c r="EG297" s="109"/>
      <c r="EH297" s="109"/>
      <c r="EI297" s="111"/>
      <c r="EJ297" s="111"/>
      <c r="EK297" s="165"/>
      <c r="EL297" s="109">
        <f t="shared" si="408"/>
        <v>0</v>
      </c>
      <c r="EM297" s="109">
        <f t="shared" si="409"/>
        <v>0</v>
      </c>
      <c r="EN297" s="109"/>
      <c r="EO297" s="109"/>
      <c r="EP297" s="111"/>
      <c r="EQ297" s="111"/>
      <c r="ER297" s="165"/>
      <c r="ES297" s="109">
        <f t="shared" si="410"/>
        <v>0</v>
      </c>
      <c r="ET297" s="109">
        <f t="shared" si="411"/>
        <v>0</v>
      </c>
      <c r="EU297" s="109"/>
      <c r="EV297" s="109"/>
      <c r="EW297" s="111"/>
      <c r="EX297" s="111"/>
      <c r="EY297" s="165"/>
      <c r="EZ297" s="109">
        <f t="shared" si="412"/>
        <v>0</v>
      </c>
      <c r="FA297" s="109">
        <f t="shared" si="413"/>
        <v>0</v>
      </c>
      <c r="FB297" s="109"/>
      <c r="FC297" s="109"/>
      <c r="FD297" s="111"/>
      <c r="FE297" s="111"/>
      <c r="FF297" s="165"/>
      <c r="FG297" s="109">
        <f t="shared" si="414"/>
        <v>0</v>
      </c>
      <c r="FH297" s="109">
        <f t="shared" si="415"/>
        <v>0</v>
      </c>
      <c r="FI297" s="109"/>
      <c r="FJ297" s="109"/>
      <c r="FK297" s="111"/>
      <c r="FL297" s="111"/>
      <c r="FM297" s="165"/>
      <c r="FN297" s="109">
        <f t="shared" si="416"/>
        <v>0</v>
      </c>
      <c r="FO297" s="109">
        <f t="shared" si="417"/>
        <v>0</v>
      </c>
      <c r="FP297" s="109"/>
      <c r="FQ297" s="109"/>
      <c r="FR297" s="111"/>
      <c r="FS297" s="111"/>
      <c r="FT297" s="165"/>
      <c r="FU297" s="109">
        <f t="shared" si="418"/>
        <v>0</v>
      </c>
      <c r="FV297" s="109">
        <f t="shared" si="376"/>
        <v>0</v>
      </c>
      <c r="FW297" s="109"/>
      <c r="FX297" s="109"/>
      <c r="FY297" s="111"/>
      <c r="FZ297" s="111"/>
      <c r="GA297" s="165"/>
      <c r="GB297" s="109">
        <f t="shared" si="419"/>
        <v>0</v>
      </c>
      <c r="GC297" s="109">
        <f t="shared" si="377"/>
        <v>0</v>
      </c>
      <c r="GD297" s="109"/>
      <c r="GE297" s="109"/>
      <c r="GF297" s="111"/>
      <c r="GG297" s="111"/>
      <c r="GH297" s="165"/>
      <c r="GI297" s="109">
        <f t="shared" si="420"/>
        <v>0</v>
      </c>
      <c r="GJ297" s="109">
        <f t="shared" si="378"/>
        <v>0</v>
      </c>
      <c r="GK297" s="109"/>
      <c r="GL297" s="109"/>
      <c r="GM297" s="111"/>
      <c r="GN297" s="111"/>
      <c r="GO297" s="165"/>
      <c r="GP297" s="109">
        <f t="shared" si="421"/>
        <v>0</v>
      </c>
      <c r="GQ297" s="109">
        <f t="shared" si="379"/>
        <v>0</v>
      </c>
      <c r="GR297" s="109"/>
      <c r="GS297" s="109"/>
      <c r="GT297" s="111"/>
      <c r="GU297" s="111"/>
      <c r="GV297" s="165"/>
      <c r="GW297" s="168">
        <f t="shared" si="422"/>
        <v>0</v>
      </c>
      <c r="GX297" s="168">
        <f t="shared" si="380"/>
        <v>0</v>
      </c>
      <c r="GY297" s="168"/>
      <c r="GZ297" s="168"/>
      <c r="HA297" s="111"/>
      <c r="HB297" s="111"/>
      <c r="HC297" s="165"/>
      <c r="HD297" s="109">
        <f t="shared" si="423"/>
        <v>0</v>
      </c>
      <c r="HE297" s="109">
        <f t="shared" si="381"/>
        <v>0</v>
      </c>
      <c r="HF297" s="109"/>
      <c r="HG297" s="109"/>
      <c r="HH297" s="111"/>
      <c r="HI297" s="111"/>
      <c r="HJ297" s="165"/>
      <c r="HK297" s="109">
        <f t="shared" si="424"/>
        <v>0</v>
      </c>
      <c r="HL297" s="109">
        <f t="shared" si="382"/>
        <v>0</v>
      </c>
      <c r="HM297" s="109"/>
      <c r="HN297" s="109"/>
      <c r="HO297" s="111"/>
      <c r="HP297" s="111"/>
      <c r="HQ297" s="165"/>
      <c r="HR297" s="109">
        <f t="shared" si="425"/>
        <v>0</v>
      </c>
      <c r="HS297" s="109">
        <f t="shared" si="383"/>
        <v>0</v>
      </c>
      <c r="HT297" s="109"/>
      <c r="HU297" s="109"/>
      <c r="HV297" s="111"/>
      <c r="HW297" s="111"/>
      <c r="HX297" s="105">
        <f t="shared" si="401"/>
        <v>0</v>
      </c>
      <c r="HY297" s="105">
        <f t="shared" si="401"/>
        <v>0</v>
      </c>
      <c r="HZ297" s="105">
        <f t="shared" si="401"/>
        <v>0</v>
      </c>
      <c r="IA297" s="105">
        <f t="shared" si="395"/>
        <v>0</v>
      </c>
      <c r="IB297" s="109">
        <f t="shared" si="396"/>
        <v>0</v>
      </c>
      <c r="IC297" s="109">
        <f t="shared" si="397"/>
        <v>0</v>
      </c>
      <c r="ID297" s="109">
        <f t="shared" si="398"/>
        <v>0</v>
      </c>
      <c r="IE297" s="109">
        <f t="shared" si="399"/>
        <v>0</v>
      </c>
      <c r="IF297" s="197"/>
      <c r="IG297" s="197"/>
      <c r="IH297" s="197"/>
      <c r="II297" s="197"/>
      <c r="IJ297" s="197"/>
      <c r="IK297" s="197"/>
      <c r="IL297" s="197"/>
      <c r="IM297" s="171"/>
      <c r="IN297" s="171"/>
      <c r="IO297" s="171"/>
      <c r="IP297" s="171"/>
    </row>
    <row r="298" spans="1:250" ht="15" customHeight="1" x14ac:dyDescent="0.3">
      <c r="A298" s="110">
        <f t="shared" si="400"/>
        <v>294</v>
      </c>
      <c r="B298" s="111"/>
      <c r="C298" s="111"/>
      <c r="D298" s="111"/>
      <c r="E298" s="111"/>
      <c r="F298" s="111"/>
      <c r="G298" s="111"/>
      <c r="H298" s="111"/>
      <c r="I298" s="194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75"/>
      <c r="AI298" s="111"/>
      <c r="AJ298" s="111"/>
      <c r="AK298" s="111"/>
      <c r="AL298" s="177"/>
      <c r="AM298" s="176"/>
      <c r="AN298" s="177"/>
      <c r="AO298" s="157"/>
      <c r="AP298" s="158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  <c r="BJ298" s="111"/>
      <c r="BK298" s="111"/>
      <c r="BL298" s="175"/>
      <c r="BM298" s="111"/>
      <c r="BN298" s="111"/>
      <c r="BO298" s="111"/>
      <c r="BP298" s="111"/>
      <c r="BQ298" s="111"/>
      <c r="BR298" s="111"/>
      <c r="BS298" s="111"/>
      <c r="BT298" s="111"/>
      <c r="BU298" s="111"/>
      <c r="BV298" s="111"/>
      <c r="BW298" s="111"/>
      <c r="BX298" s="111"/>
      <c r="BY298" s="111"/>
      <c r="BZ298" s="111"/>
      <c r="CA298" s="111"/>
      <c r="CB298" s="111"/>
      <c r="CC298" s="178"/>
      <c r="CD298" s="177">
        <f t="shared" si="384"/>
        <v>0</v>
      </c>
      <c r="CE298" s="148"/>
      <c r="CF298" s="111">
        <f t="shared" si="385"/>
        <v>0</v>
      </c>
      <c r="CG298" s="177"/>
      <c r="CH298" s="204"/>
      <c r="CI298" s="148"/>
      <c r="CJ298" s="165"/>
      <c r="CK298" s="165"/>
      <c r="CL298" s="111"/>
      <c r="CM298" s="111"/>
      <c r="CN298" s="165">
        <f t="shared" si="386"/>
        <v>0</v>
      </c>
      <c r="CO298" s="109">
        <f t="shared" si="387"/>
        <v>0</v>
      </c>
      <c r="CP298" s="109">
        <f t="shared" si="388"/>
        <v>0</v>
      </c>
      <c r="CQ298" s="109"/>
      <c r="CR298" s="109"/>
      <c r="CS298" s="196"/>
      <c r="CT298" s="167"/>
      <c r="CU298" s="165"/>
      <c r="CV298" s="109">
        <f t="shared" si="389"/>
        <v>0</v>
      </c>
      <c r="CW298" s="109">
        <f t="shared" si="390"/>
        <v>0</v>
      </c>
      <c r="CX298" s="109"/>
      <c r="CY298" s="109"/>
      <c r="CZ298" s="111"/>
      <c r="DA298" s="111"/>
      <c r="DB298" s="165"/>
      <c r="DC298" s="109">
        <f t="shared" si="391"/>
        <v>0</v>
      </c>
      <c r="DD298" s="109">
        <f t="shared" si="392"/>
        <v>0</v>
      </c>
      <c r="DE298" s="109"/>
      <c r="DF298" s="109"/>
      <c r="DG298" s="111"/>
      <c r="DH298" s="111"/>
      <c r="DI298" s="165"/>
      <c r="DJ298" s="109">
        <f t="shared" si="393"/>
        <v>0</v>
      </c>
      <c r="DK298" s="109">
        <f t="shared" si="394"/>
        <v>0</v>
      </c>
      <c r="DL298" s="109"/>
      <c r="DM298" s="109"/>
      <c r="DN298" s="111"/>
      <c r="DO298" s="111"/>
      <c r="DP298" s="165"/>
      <c r="DQ298" s="109">
        <f t="shared" si="402"/>
        <v>0</v>
      </c>
      <c r="DR298" s="109">
        <f t="shared" si="403"/>
        <v>0</v>
      </c>
      <c r="DS298" s="109"/>
      <c r="DT298" s="109"/>
      <c r="DU298" s="111"/>
      <c r="DV298" s="111"/>
      <c r="DW298" s="165"/>
      <c r="DX298" s="109">
        <f t="shared" si="404"/>
        <v>0</v>
      </c>
      <c r="DY298" s="109">
        <f t="shared" si="405"/>
        <v>0</v>
      </c>
      <c r="DZ298" s="109"/>
      <c r="EA298" s="109"/>
      <c r="EB298" s="111"/>
      <c r="EC298" s="111"/>
      <c r="ED298" s="165"/>
      <c r="EE298" s="109">
        <f t="shared" si="406"/>
        <v>0</v>
      </c>
      <c r="EF298" s="109">
        <f t="shared" si="407"/>
        <v>0</v>
      </c>
      <c r="EG298" s="109"/>
      <c r="EH298" s="109"/>
      <c r="EI298" s="111"/>
      <c r="EJ298" s="111"/>
      <c r="EK298" s="165"/>
      <c r="EL298" s="109">
        <f t="shared" si="408"/>
        <v>0</v>
      </c>
      <c r="EM298" s="109">
        <f t="shared" si="409"/>
        <v>0</v>
      </c>
      <c r="EN298" s="109"/>
      <c r="EO298" s="109"/>
      <c r="EP298" s="111"/>
      <c r="EQ298" s="111"/>
      <c r="ER298" s="165"/>
      <c r="ES298" s="109">
        <f t="shared" si="410"/>
        <v>0</v>
      </c>
      <c r="ET298" s="109">
        <f t="shared" si="411"/>
        <v>0</v>
      </c>
      <c r="EU298" s="109"/>
      <c r="EV298" s="109"/>
      <c r="EW298" s="111"/>
      <c r="EX298" s="111"/>
      <c r="EY298" s="165"/>
      <c r="EZ298" s="109">
        <f t="shared" si="412"/>
        <v>0</v>
      </c>
      <c r="FA298" s="109">
        <f t="shared" si="413"/>
        <v>0</v>
      </c>
      <c r="FB298" s="109"/>
      <c r="FC298" s="109"/>
      <c r="FD298" s="111"/>
      <c r="FE298" s="111"/>
      <c r="FF298" s="165"/>
      <c r="FG298" s="109">
        <f t="shared" si="414"/>
        <v>0</v>
      </c>
      <c r="FH298" s="109">
        <f t="shared" si="415"/>
        <v>0</v>
      </c>
      <c r="FI298" s="109"/>
      <c r="FJ298" s="109"/>
      <c r="FK298" s="111"/>
      <c r="FL298" s="111"/>
      <c r="FM298" s="165"/>
      <c r="FN298" s="109">
        <f t="shared" si="416"/>
        <v>0</v>
      </c>
      <c r="FO298" s="109">
        <f t="shared" si="417"/>
        <v>0</v>
      </c>
      <c r="FP298" s="109"/>
      <c r="FQ298" s="109"/>
      <c r="FR298" s="111"/>
      <c r="FS298" s="111"/>
      <c r="FT298" s="165"/>
      <c r="FU298" s="109">
        <f t="shared" si="418"/>
        <v>0</v>
      </c>
      <c r="FV298" s="109">
        <f t="shared" si="376"/>
        <v>0</v>
      </c>
      <c r="FW298" s="109"/>
      <c r="FX298" s="109"/>
      <c r="FY298" s="111"/>
      <c r="FZ298" s="111"/>
      <c r="GA298" s="165"/>
      <c r="GB298" s="109">
        <f t="shared" si="419"/>
        <v>0</v>
      </c>
      <c r="GC298" s="109">
        <f t="shared" si="377"/>
        <v>0</v>
      </c>
      <c r="GD298" s="109"/>
      <c r="GE298" s="109"/>
      <c r="GF298" s="111"/>
      <c r="GG298" s="111"/>
      <c r="GH298" s="165"/>
      <c r="GI298" s="109">
        <f t="shared" si="420"/>
        <v>0</v>
      </c>
      <c r="GJ298" s="109">
        <f t="shared" si="378"/>
        <v>0</v>
      </c>
      <c r="GK298" s="109"/>
      <c r="GL298" s="109"/>
      <c r="GM298" s="111"/>
      <c r="GN298" s="111"/>
      <c r="GO298" s="165"/>
      <c r="GP298" s="109">
        <f t="shared" si="421"/>
        <v>0</v>
      </c>
      <c r="GQ298" s="109">
        <f t="shared" si="379"/>
        <v>0</v>
      </c>
      <c r="GR298" s="109"/>
      <c r="GS298" s="109"/>
      <c r="GT298" s="111"/>
      <c r="GU298" s="111"/>
      <c r="GV298" s="165"/>
      <c r="GW298" s="168">
        <f t="shared" si="422"/>
        <v>0</v>
      </c>
      <c r="GX298" s="168">
        <f t="shared" si="380"/>
        <v>0</v>
      </c>
      <c r="GY298" s="168"/>
      <c r="GZ298" s="168"/>
      <c r="HA298" s="111"/>
      <c r="HB298" s="111"/>
      <c r="HC298" s="165"/>
      <c r="HD298" s="109">
        <f t="shared" si="423"/>
        <v>0</v>
      </c>
      <c r="HE298" s="109">
        <f t="shared" si="381"/>
        <v>0</v>
      </c>
      <c r="HF298" s="109"/>
      <c r="HG298" s="109"/>
      <c r="HH298" s="111"/>
      <c r="HI298" s="111"/>
      <c r="HJ298" s="165"/>
      <c r="HK298" s="109">
        <f t="shared" si="424"/>
        <v>0</v>
      </c>
      <c r="HL298" s="109">
        <f t="shared" si="382"/>
        <v>0</v>
      </c>
      <c r="HM298" s="109"/>
      <c r="HN298" s="109"/>
      <c r="HO298" s="111"/>
      <c r="HP298" s="111"/>
      <c r="HQ298" s="165"/>
      <c r="HR298" s="109">
        <f t="shared" si="425"/>
        <v>0</v>
      </c>
      <c r="HS298" s="109">
        <f t="shared" si="383"/>
        <v>0</v>
      </c>
      <c r="HT298" s="109"/>
      <c r="HU298" s="109"/>
      <c r="HV298" s="111"/>
      <c r="HW298" s="111"/>
      <c r="HX298" s="105">
        <f t="shared" si="401"/>
        <v>0</v>
      </c>
      <c r="HY298" s="105">
        <f t="shared" si="401"/>
        <v>0</v>
      </c>
      <c r="HZ298" s="105">
        <f t="shared" si="401"/>
        <v>0</v>
      </c>
      <c r="IA298" s="105">
        <f t="shared" si="395"/>
        <v>0</v>
      </c>
      <c r="IB298" s="109">
        <f t="shared" si="396"/>
        <v>0</v>
      </c>
      <c r="IC298" s="109">
        <f t="shared" si="397"/>
        <v>0</v>
      </c>
      <c r="ID298" s="109">
        <f t="shared" si="398"/>
        <v>0</v>
      </c>
      <c r="IE298" s="109">
        <f t="shared" si="399"/>
        <v>0</v>
      </c>
      <c r="IF298" s="197"/>
      <c r="IG298" s="197"/>
      <c r="IH298" s="197"/>
      <c r="II298" s="197"/>
      <c r="IJ298" s="197"/>
      <c r="IK298" s="197"/>
      <c r="IL298" s="197"/>
      <c r="IM298" s="171"/>
      <c r="IN298" s="171"/>
      <c r="IO298" s="171"/>
      <c r="IP298" s="171"/>
    </row>
    <row r="299" spans="1:250" ht="15" customHeight="1" x14ac:dyDescent="0.3">
      <c r="A299" s="110">
        <f t="shared" si="400"/>
        <v>295</v>
      </c>
      <c r="B299" s="111"/>
      <c r="C299" s="111"/>
      <c r="D299" s="111"/>
      <c r="E299" s="111"/>
      <c r="F299" s="111"/>
      <c r="G299" s="111"/>
      <c r="H299" s="111"/>
      <c r="I299" s="194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75"/>
      <c r="AI299" s="111"/>
      <c r="AJ299" s="111"/>
      <c r="AK299" s="111"/>
      <c r="AL299" s="177"/>
      <c r="AM299" s="176"/>
      <c r="AN299" s="177"/>
      <c r="AO299" s="157"/>
      <c r="AP299" s="158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  <c r="BJ299" s="111"/>
      <c r="BK299" s="111"/>
      <c r="BL299" s="175"/>
      <c r="BM299" s="111"/>
      <c r="BN299" s="111"/>
      <c r="BO299" s="111"/>
      <c r="BP299" s="111"/>
      <c r="BQ299" s="111"/>
      <c r="BR299" s="111"/>
      <c r="BS299" s="111"/>
      <c r="BT299" s="111"/>
      <c r="BU299" s="111"/>
      <c r="BV299" s="111"/>
      <c r="BW299" s="111"/>
      <c r="BX299" s="111"/>
      <c r="BY299" s="111"/>
      <c r="BZ299" s="111"/>
      <c r="CA299" s="111"/>
      <c r="CB299" s="111"/>
      <c r="CC299" s="178"/>
      <c r="CD299" s="177">
        <f t="shared" si="384"/>
        <v>0</v>
      </c>
      <c r="CE299" s="148"/>
      <c r="CF299" s="111">
        <f t="shared" si="385"/>
        <v>0</v>
      </c>
      <c r="CG299" s="177"/>
      <c r="CH299" s="204"/>
      <c r="CI299" s="148"/>
      <c r="CJ299" s="165"/>
      <c r="CK299" s="165"/>
      <c r="CL299" s="111"/>
      <c r="CM299" s="111"/>
      <c r="CN299" s="165">
        <f t="shared" si="386"/>
        <v>0</v>
      </c>
      <c r="CO299" s="109">
        <f t="shared" si="387"/>
        <v>0</v>
      </c>
      <c r="CP299" s="109">
        <f t="shared" si="388"/>
        <v>0</v>
      </c>
      <c r="CQ299" s="109"/>
      <c r="CR299" s="109"/>
      <c r="CS299" s="196"/>
      <c r="CT299" s="167"/>
      <c r="CU299" s="165"/>
      <c r="CV299" s="109">
        <f t="shared" si="389"/>
        <v>0</v>
      </c>
      <c r="CW299" s="109">
        <f t="shared" si="390"/>
        <v>0</v>
      </c>
      <c r="CX299" s="109"/>
      <c r="CY299" s="109"/>
      <c r="CZ299" s="111"/>
      <c r="DA299" s="111"/>
      <c r="DB299" s="165"/>
      <c r="DC299" s="109">
        <f t="shared" si="391"/>
        <v>0</v>
      </c>
      <c r="DD299" s="109">
        <f t="shared" si="392"/>
        <v>0</v>
      </c>
      <c r="DE299" s="109"/>
      <c r="DF299" s="109"/>
      <c r="DG299" s="111"/>
      <c r="DH299" s="111"/>
      <c r="DI299" s="165"/>
      <c r="DJ299" s="109">
        <f t="shared" si="393"/>
        <v>0</v>
      </c>
      <c r="DK299" s="109">
        <f t="shared" si="394"/>
        <v>0</v>
      </c>
      <c r="DL299" s="109"/>
      <c r="DM299" s="109"/>
      <c r="DN299" s="111"/>
      <c r="DO299" s="111"/>
      <c r="DP299" s="165"/>
      <c r="DQ299" s="109">
        <f t="shared" si="402"/>
        <v>0</v>
      </c>
      <c r="DR299" s="109">
        <f t="shared" si="403"/>
        <v>0</v>
      </c>
      <c r="DS299" s="109"/>
      <c r="DT299" s="109"/>
      <c r="DU299" s="111"/>
      <c r="DV299" s="111"/>
      <c r="DW299" s="165"/>
      <c r="DX299" s="109">
        <f t="shared" si="404"/>
        <v>0</v>
      </c>
      <c r="DY299" s="109">
        <f t="shared" si="405"/>
        <v>0</v>
      </c>
      <c r="DZ299" s="109"/>
      <c r="EA299" s="109"/>
      <c r="EB299" s="111"/>
      <c r="EC299" s="111"/>
      <c r="ED299" s="165"/>
      <c r="EE299" s="109">
        <f t="shared" si="406"/>
        <v>0</v>
      </c>
      <c r="EF299" s="109">
        <f t="shared" si="407"/>
        <v>0</v>
      </c>
      <c r="EG299" s="109"/>
      <c r="EH299" s="109"/>
      <c r="EI299" s="111"/>
      <c r="EJ299" s="111"/>
      <c r="EK299" s="165"/>
      <c r="EL299" s="109">
        <f t="shared" si="408"/>
        <v>0</v>
      </c>
      <c r="EM299" s="109">
        <f t="shared" si="409"/>
        <v>0</v>
      </c>
      <c r="EN299" s="109"/>
      <c r="EO299" s="109"/>
      <c r="EP299" s="111"/>
      <c r="EQ299" s="111"/>
      <c r="ER299" s="165"/>
      <c r="ES299" s="109">
        <f t="shared" si="410"/>
        <v>0</v>
      </c>
      <c r="ET299" s="109">
        <f t="shared" si="411"/>
        <v>0</v>
      </c>
      <c r="EU299" s="109"/>
      <c r="EV299" s="109"/>
      <c r="EW299" s="111"/>
      <c r="EX299" s="111"/>
      <c r="EY299" s="165"/>
      <c r="EZ299" s="109">
        <f t="shared" si="412"/>
        <v>0</v>
      </c>
      <c r="FA299" s="109">
        <f t="shared" si="413"/>
        <v>0</v>
      </c>
      <c r="FB299" s="109"/>
      <c r="FC299" s="109"/>
      <c r="FD299" s="111"/>
      <c r="FE299" s="111"/>
      <c r="FF299" s="165"/>
      <c r="FG299" s="109">
        <f t="shared" si="414"/>
        <v>0</v>
      </c>
      <c r="FH299" s="109">
        <f t="shared" si="415"/>
        <v>0</v>
      </c>
      <c r="FI299" s="109"/>
      <c r="FJ299" s="109"/>
      <c r="FK299" s="111"/>
      <c r="FL299" s="111"/>
      <c r="FM299" s="165"/>
      <c r="FN299" s="109">
        <f t="shared" si="416"/>
        <v>0</v>
      </c>
      <c r="FO299" s="109">
        <f t="shared" si="417"/>
        <v>0</v>
      </c>
      <c r="FP299" s="109"/>
      <c r="FQ299" s="109"/>
      <c r="FR299" s="111"/>
      <c r="FS299" s="111"/>
      <c r="FT299" s="165"/>
      <c r="FU299" s="109">
        <f t="shared" si="418"/>
        <v>0</v>
      </c>
      <c r="FV299" s="109">
        <f t="shared" si="376"/>
        <v>0</v>
      </c>
      <c r="FW299" s="109"/>
      <c r="FX299" s="109"/>
      <c r="FY299" s="111"/>
      <c r="FZ299" s="111"/>
      <c r="GA299" s="165"/>
      <c r="GB299" s="109">
        <f t="shared" si="419"/>
        <v>0</v>
      </c>
      <c r="GC299" s="109">
        <f t="shared" si="377"/>
        <v>0</v>
      </c>
      <c r="GD299" s="109"/>
      <c r="GE299" s="109"/>
      <c r="GF299" s="111"/>
      <c r="GG299" s="111"/>
      <c r="GH299" s="165"/>
      <c r="GI299" s="109">
        <f t="shared" si="420"/>
        <v>0</v>
      </c>
      <c r="GJ299" s="109">
        <f t="shared" si="378"/>
        <v>0</v>
      </c>
      <c r="GK299" s="109"/>
      <c r="GL299" s="109"/>
      <c r="GM299" s="111"/>
      <c r="GN299" s="111"/>
      <c r="GO299" s="165"/>
      <c r="GP299" s="109">
        <f t="shared" si="421"/>
        <v>0</v>
      </c>
      <c r="GQ299" s="109">
        <f t="shared" si="379"/>
        <v>0</v>
      </c>
      <c r="GR299" s="109"/>
      <c r="GS299" s="109"/>
      <c r="GT299" s="111"/>
      <c r="GU299" s="111"/>
      <c r="GV299" s="165"/>
      <c r="GW299" s="168">
        <f t="shared" si="422"/>
        <v>0</v>
      </c>
      <c r="GX299" s="168">
        <f t="shared" si="380"/>
        <v>0</v>
      </c>
      <c r="GY299" s="168"/>
      <c r="GZ299" s="168"/>
      <c r="HA299" s="111"/>
      <c r="HB299" s="111"/>
      <c r="HC299" s="165"/>
      <c r="HD299" s="109">
        <f t="shared" si="423"/>
        <v>0</v>
      </c>
      <c r="HE299" s="109">
        <f t="shared" si="381"/>
        <v>0</v>
      </c>
      <c r="HF299" s="109"/>
      <c r="HG299" s="109"/>
      <c r="HH299" s="111"/>
      <c r="HI299" s="111"/>
      <c r="HJ299" s="165"/>
      <c r="HK299" s="109">
        <f t="shared" si="424"/>
        <v>0</v>
      </c>
      <c r="HL299" s="109">
        <f t="shared" si="382"/>
        <v>0</v>
      </c>
      <c r="HM299" s="109"/>
      <c r="HN299" s="109"/>
      <c r="HO299" s="111"/>
      <c r="HP299" s="111"/>
      <c r="HQ299" s="165"/>
      <c r="HR299" s="109">
        <f t="shared" si="425"/>
        <v>0</v>
      </c>
      <c r="HS299" s="109">
        <f t="shared" si="383"/>
        <v>0</v>
      </c>
      <c r="HT299" s="109"/>
      <c r="HU299" s="109"/>
      <c r="HV299" s="111"/>
      <c r="HW299" s="111"/>
      <c r="HX299" s="105">
        <f t="shared" si="401"/>
        <v>0</v>
      </c>
      <c r="HY299" s="105">
        <f t="shared" si="401"/>
        <v>0</v>
      </c>
      <c r="HZ299" s="105">
        <f t="shared" si="401"/>
        <v>0</v>
      </c>
      <c r="IA299" s="105">
        <f t="shared" si="395"/>
        <v>0</v>
      </c>
      <c r="IB299" s="109">
        <f t="shared" si="396"/>
        <v>0</v>
      </c>
      <c r="IC299" s="109">
        <f t="shared" si="397"/>
        <v>0</v>
      </c>
      <c r="ID299" s="109">
        <f t="shared" si="398"/>
        <v>0</v>
      </c>
      <c r="IE299" s="109">
        <f t="shared" si="399"/>
        <v>0</v>
      </c>
      <c r="IF299" s="197"/>
      <c r="IG299" s="197"/>
      <c r="IH299" s="197"/>
      <c r="II299" s="197"/>
      <c r="IJ299" s="197"/>
      <c r="IK299" s="197"/>
      <c r="IL299" s="197"/>
      <c r="IM299" s="171"/>
      <c r="IN299" s="171"/>
      <c r="IO299" s="171"/>
      <c r="IP299" s="171"/>
    </row>
    <row r="300" spans="1:250" ht="15" customHeight="1" x14ac:dyDescent="0.3">
      <c r="A300" s="110">
        <f t="shared" si="400"/>
        <v>296</v>
      </c>
      <c r="B300" s="111"/>
      <c r="C300" s="111"/>
      <c r="D300" s="111"/>
      <c r="E300" s="111"/>
      <c r="F300" s="111"/>
      <c r="G300" s="111"/>
      <c r="H300" s="111"/>
      <c r="I300" s="194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75"/>
      <c r="AI300" s="111"/>
      <c r="AJ300" s="111"/>
      <c r="AK300" s="111"/>
      <c r="AL300" s="177"/>
      <c r="AM300" s="176"/>
      <c r="AN300" s="177"/>
      <c r="AO300" s="157"/>
      <c r="AP300" s="158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  <c r="BJ300" s="111"/>
      <c r="BK300" s="111"/>
      <c r="BL300" s="175"/>
      <c r="BM300" s="111"/>
      <c r="BN300" s="111"/>
      <c r="BO300" s="111"/>
      <c r="BP300" s="111"/>
      <c r="BQ300" s="111"/>
      <c r="BR300" s="111"/>
      <c r="BS300" s="111"/>
      <c r="BT300" s="111"/>
      <c r="BU300" s="111"/>
      <c r="BV300" s="111"/>
      <c r="BW300" s="111"/>
      <c r="BX300" s="111"/>
      <c r="BY300" s="111"/>
      <c r="BZ300" s="111"/>
      <c r="CA300" s="111"/>
      <c r="CB300" s="111"/>
      <c r="CC300" s="178"/>
      <c r="CD300" s="177">
        <f t="shared" si="384"/>
        <v>0</v>
      </c>
      <c r="CE300" s="148"/>
      <c r="CF300" s="111">
        <f t="shared" si="385"/>
        <v>0</v>
      </c>
      <c r="CG300" s="177"/>
      <c r="CH300" s="204"/>
      <c r="CI300" s="148"/>
      <c r="CJ300" s="165"/>
      <c r="CK300" s="165"/>
      <c r="CL300" s="111"/>
      <c r="CM300" s="111"/>
      <c r="CN300" s="165">
        <f t="shared" si="386"/>
        <v>0</v>
      </c>
      <c r="CO300" s="109">
        <f t="shared" si="387"/>
        <v>0</v>
      </c>
      <c r="CP300" s="109">
        <f t="shared" si="388"/>
        <v>0</v>
      </c>
      <c r="CQ300" s="109"/>
      <c r="CR300" s="109"/>
      <c r="CS300" s="196"/>
      <c r="CT300" s="167"/>
      <c r="CU300" s="165"/>
      <c r="CV300" s="109">
        <f t="shared" si="389"/>
        <v>0</v>
      </c>
      <c r="CW300" s="109">
        <f t="shared" si="390"/>
        <v>0</v>
      </c>
      <c r="CX300" s="109"/>
      <c r="CY300" s="109"/>
      <c r="CZ300" s="111"/>
      <c r="DA300" s="111"/>
      <c r="DB300" s="165"/>
      <c r="DC300" s="109">
        <f t="shared" si="391"/>
        <v>0</v>
      </c>
      <c r="DD300" s="109">
        <f t="shared" si="392"/>
        <v>0</v>
      </c>
      <c r="DE300" s="109"/>
      <c r="DF300" s="109"/>
      <c r="DG300" s="111"/>
      <c r="DH300" s="111"/>
      <c r="DI300" s="165"/>
      <c r="DJ300" s="109">
        <f t="shared" si="393"/>
        <v>0</v>
      </c>
      <c r="DK300" s="109">
        <f t="shared" si="394"/>
        <v>0</v>
      </c>
      <c r="DL300" s="109"/>
      <c r="DM300" s="109"/>
      <c r="DN300" s="111"/>
      <c r="DO300" s="111"/>
      <c r="DP300" s="165"/>
      <c r="DQ300" s="109">
        <f t="shared" si="402"/>
        <v>0</v>
      </c>
      <c r="DR300" s="109">
        <f t="shared" si="403"/>
        <v>0</v>
      </c>
      <c r="DS300" s="109"/>
      <c r="DT300" s="109"/>
      <c r="DU300" s="111"/>
      <c r="DV300" s="111"/>
      <c r="DW300" s="165"/>
      <c r="DX300" s="109">
        <f t="shared" si="404"/>
        <v>0</v>
      </c>
      <c r="DY300" s="109">
        <f t="shared" si="405"/>
        <v>0</v>
      </c>
      <c r="DZ300" s="109"/>
      <c r="EA300" s="109"/>
      <c r="EB300" s="111"/>
      <c r="EC300" s="111"/>
      <c r="ED300" s="165"/>
      <c r="EE300" s="109">
        <f t="shared" si="406"/>
        <v>0</v>
      </c>
      <c r="EF300" s="109">
        <f t="shared" si="407"/>
        <v>0</v>
      </c>
      <c r="EG300" s="109"/>
      <c r="EH300" s="109"/>
      <c r="EI300" s="111"/>
      <c r="EJ300" s="111"/>
      <c r="EK300" s="165"/>
      <c r="EL300" s="109">
        <f t="shared" si="408"/>
        <v>0</v>
      </c>
      <c r="EM300" s="109">
        <f t="shared" si="409"/>
        <v>0</v>
      </c>
      <c r="EN300" s="109"/>
      <c r="EO300" s="109"/>
      <c r="EP300" s="111"/>
      <c r="EQ300" s="111"/>
      <c r="ER300" s="165"/>
      <c r="ES300" s="109">
        <f t="shared" si="410"/>
        <v>0</v>
      </c>
      <c r="ET300" s="109">
        <f t="shared" si="411"/>
        <v>0</v>
      </c>
      <c r="EU300" s="109"/>
      <c r="EV300" s="109"/>
      <c r="EW300" s="111"/>
      <c r="EX300" s="111"/>
      <c r="EY300" s="165"/>
      <c r="EZ300" s="109">
        <f t="shared" si="412"/>
        <v>0</v>
      </c>
      <c r="FA300" s="109">
        <f t="shared" si="413"/>
        <v>0</v>
      </c>
      <c r="FB300" s="109"/>
      <c r="FC300" s="109"/>
      <c r="FD300" s="111"/>
      <c r="FE300" s="111"/>
      <c r="FF300" s="165"/>
      <c r="FG300" s="109">
        <f t="shared" si="414"/>
        <v>0</v>
      </c>
      <c r="FH300" s="109">
        <f t="shared" si="415"/>
        <v>0</v>
      </c>
      <c r="FI300" s="109"/>
      <c r="FJ300" s="109"/>
      <c r="FK300" s="111"/>
      <c r="FL300" s="111"/>
      <c r="FM300" s="165"/>
      <c r="FN300" s="109">
        <f t="shared" si="416"/>
        <v>0</v>
      </c>
      <c r="FO300" s="109">
        <f t="shared" si="417"/>
        <v>0</v>
      </c>
      <c r="FP300" s="109"/>
      <c r="FQ300" s="109"/>
      <c r="FR300" s="111"/>
      <c r="FS300" s="111"/>
      <c r="FT300" s="165"/>
      <c r="FU300" s="109">
        <f t="shared" si="418"/>
        <v>0</v>
      </c>
      <c r="FV300" s="109">
        <f t="shared" si="376"/>
        <v>0</v>
      </c>
      <c r="FW300" s="109"/>
      <c r="FX300" s="109"/>
      <c r="FY300" s="111"/>
      <c r="FZ300" s="111"/>
      <c r="GA300" s="165"/>
      <c r="GB300" s="109">
        <f t="shared" si="419"/>
        <v>0</v>
      </c>
      <c r="GC300" s="109">
        <f t="shared" si="377"/>
        <v>0</v>
      </c>
      <c r="GD300" s="109"/>
      <c r="GE300" s="109"/>
      <c r="GF300" s="111"/>
      <c r="GG300" s="111"/>
      <c r="GH300" s="165"/>
      <c r="GI300" s="109">
        <f t="shared" si="420"/>
        <v>0</v>
      </c>
      <c r="GJ300" s="109">
        <f t="shared" si="378"/>
        <v>0</v>
      </c>
      <c r="GK300" s="109"/>
      <c r="GL300" s="109"/>
      <c r="GM300" s="111"/>
      <c r="GN300" s="111"/>
      <c r="GO300" s="165"/>
      <c r="GP300" s="109">
        <f t="shared" si="421"/>
        <v>0</v>
      </c>
      <c r="GQ300" s="109">
        <f t="shared" si="379"/>
        <v>0</v>
      </c>
      <c r="GR300" s="109"/>
      <c r="GS300" s="109"/>
      <c r="GT300" s="111"/>
      <c r="GU300" s="111"/>
      <c r="GV300" s="165"/>
      <c r="GW300" s="168">
        <f t="shared" si="422"/>
        <v>0</v>
      </c>
      <c r="GX300" s="168">
        <f t="shared" si="380"/>
        <v>0</v>
      </c>
      <c r="GY300" s="168"/>
      <c r="GZ300" s="168"/>
      <c r="HA300" s="111"/>
      <c r="HB300" s="111"/>
      <c r="HC300" s="165"/>
      <c r="HD300" s="109">
        <f t="shared" si="423"/>
        <v>0</v>
      </c>
      <c r="HE300" s="109">
        <f t="shared" si="381"/>
        <v>0</v>
      </c>
      <c r="HF300" s="109"/>
      <c r="HG300" s="109"/>
      <c r="HH300" s="111"/>
      <c r="HI300" s="111"/>
      <c r="HJ300" s="165"/>
      <c r="HK300" s="109">
        <f t="shared" si="424"/>
        <v>0</v>
      </c>
      <c r="HL300" s="109">
        <f t="shared" si="382"/>
        <v>0</v>
      </c>
      <c r="HM300" s="109"/>
      <c r="HN300" s="109"/>
      <c r="HO300" s="111"/>
      <c r="HP300" s="111"/>
      <c r="HQ300" s="165"/>
      <c r="HR300" s="109">
        <f t="shared" si="425"/>
        <v>0</v>
      </c>
      <c r="HS300" s="109">
        <f t="shared" si="383"/>
        <v>0</v>
      </c>
      <c r="HT300" s="109"/>
      <c r="HU300" s="109"/>
      <c r="HV300" s="111"/>
      <c r="HW300" s="111"/>
      <c r="HX300" s="105">
        <f t="shared" si="401"/>
        <v>0</v>
      </c>
      <c r="HY300" s="105">
        <f t="shared" si="401"/>
        <v>0</v>
      </c>
      <c r="HZ300" s="105">
        <f t="shared" si="401"/>
        <v>0</v>
      </c>
      <c r="IA300" s="105">
        <f t="shared" si="395"/>
        <v>0</v>
      </c>
      <c r="IB300" s="109">
        <f t="shared" si="396"/>
        <v>0</v>
      </c>
      <c r="IC300" s="109">
        <f t="shared" si="397"/>
        <v>0</v>
      </c>
      <c r="ID300" s="109">
        <f t="shared" si="398"/>
        <v>0</v>
      </c>
      <c r="IE300" s="109">
        <f t="shared" si="399"/>
        <v>0</v>
      </c>
      <c r="IF300" s="197"/>
      <c r="IG300" s="197"/>
      <c r="IH300" s="197"/>
      <c r="II300" s="197"/>
      <c r="IJ300" s="197"/>
      <c r="IK300" s="197"/>
      <c r="IL300" s="197"/>
      <c r="IM300" s="171"/>
      <c r="IN300" s="171"/>
      <c r="IO300" s="171"/>
      <c r="IP300" s="171"/>
    </row>
    <row r="301" spans="1:250" ht="15" customHeight="1" x14ac:dyDescent="0.3">
      <c r="A301" s="110">
        <f t="shared" si="400"/>
        <v>297</v>
      </c>
      <c r="B301" s="111"/>
      <c r="C301" s="111"/>
      <c r="D301" s="111"/>
      <c r="E301" s="111"/>
      <c r="F301" s="111"/>
      <c r="G301" s="111"/>
      <c r="H301" s="111"/>
      <c r="I301" s="194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75"/>
      <c r="AI301" s="111"/>
      <c r="AJ301" s="111"/>
      <c r="AK301" s="111"/>
      <c r="AL301" s="177"/>
      <c r="AM301" s="176"/>
      <c r="AN301" s="177"/>
      <c r="AO301" s="157"/>
      <c r="AP301" s="158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1"/>
      <c r="BC301" s="111"/>
      <c r="BD301" s="111"/>
      <c r="BE301" s="111"/>
      <c r="BF301" s="111"/>
      <c r="BG301" s="111"/>
      <c r="BH301" s="111"/>
      <c r="BI301" s="111"/>
      <c r="BJ301" s="111"/>
      <c r="BK301" s="111"/>
      <c r="BL301" s="175"/>
      <c r="BM301" s="111"/>
      <c r="BN301" s="111"/>
      <c r="BO301" s="111"/>
      <c r="BP301" s="111"/>
      <c r="BQ301" s="111"/>
      <c r="BR301" s="111"/>
      <c r="BS301" s="111"/>
      <c r="BT301" s="111"/>
      <c r="BU301" s="111"/>
      <c r="BV301" s="111"/>
      <c r="BW301" s="111"/>
      <c r="BX301" s="111"/>
      <c r="BY301" s="111"/>
      <c r="BZ301" s="111"/>
      <c r="CA301" s="111"/>
      <c r="CB301" s="111"/>
      <c r="CC301" s="178"/>
      <c r="CD301" s="177">
        <f t="shared" si="384"/>
        <v>0</v>
      </c>
      <c r="CE301" s="148"/>
      <c r="CF301" s="111">
        <f t="shared" si="385"/>
        <v>0</v>
      </c>
      <c r="CG301" s="177"/>
      <c r="CH301" s="204"/>
      <c r="CI301" s="148"/>
      <c r="CJ301" s="165"/>
      <c r="CK301" s="165"/>
      <c r="CL301" s="111"/>
      <c r="CM301" s="111"/>
      <c r="CN301" s="165">
        <f t="shared" si="386"/>
        <v>0</v>
      </c>
      <c r="CO301" s="109">
        <f t="shared" si="387"/>
        <v>0</v>
      </c>
      <c r="CP301" s="109">
        <f t="shared" si="388"/>
        <v>0</v>
      </c>
      <c r="CQ301" s="109"/>
      <c r="CR301" s="109"/>
      <c r="CS301" s="196"/>
      <c r="CT301" s="167"/>
      <c r="CU301" s="165"/>
      <c r="CV301" s="109">
        <f t="shared" si="389"/>
        <v>0</v>
      </c>
      <c r="CW301" s="109">
        <f t="shared" si="390"/>
        <v>0</v>
      </c>
      <c r="CX301" s="109"/>
      <c r="CY301" s="109"/>
      <c r="CZ301" s="111"/>
      <c r="DA301" s="111"/>
      <c r="DB301" s="165"/>
      <c r="DC301" s="109">
        <f t="shared" si="391"/>
        <v>0</v>
      </c>
      <c r="DD301" s="109">
        <f t="shared" si="392"/>
        <v>0</v>
      </c>
      <c r="DE301" s="109"/>
      <c r="DF301" s="109"/>
      <c r="DG301" s="111"/>
      <c r="DH301" s="111"/>
      <c r="DI301" s="165"/>
      <c r="DJ301" s="109">
        <f t="shared" si="393"/>
        <v>0</v>
      </c>
      <c r="DK301" s="109">
        <f t="shared" si="394"/>
        <v>0</v>
      </c>
      <c r="DL301" s="109"/>
      <c r="DM301" s="109"/>
      <c r="DN301" s="111"/>
      <c r="DO301" s="111"/>
      <c r="DP301" s="165"/>
      <c r="DQ301" s="109">
        <f t="shared" si="402"/>
        <v>0</v>
      </c>
      <c r="DR301" s="109">
        <f t="shared" si="403"/>
        <v>0</v>
      </c>
      <c r="DS301" s="109"/>
      <c r="DT301" s="109"/>
      <c r="DU301" s="111"/>
      <c r="DV301" s="111"/>
      <c r="DW301" s="165"/>
      <c r="DX301" s="109">
        <f t="shared" si="404"/>
        <v>0</v>
      </c>
      <c r="DY301" s="109">
        <f t="shared" si="405"/>
        <v>0</v>
      </c>
      <c r="DZ301" s="109"/>
      <c r="EA301" s="109"/>
      <c r="EB301" s="111"/>
      <c r="EC301" s="111"/>
      <c r="ED301" s="165"/>
      <c r="EE301" s="109">
        <f t="shared" si="406"/>
        <v>0</v>
      </c>
      <c r="EF301" s="109">
        <f t="shared" si="407"/>
        <v>0</v>
      </c>
      <c r="EG301" s="109"/>
      <c r="EH301" s="109"/>
      <c r="EI301" s="111"/>
      <c r="EJ301" s="111"/>
      <c r="EK301" s="165"/>
      <c r="EL301" s="109">
        <f t="shared" si="408"/>
        <v>0</v>
      </c>
      <c r="EM301" s="109">
        <f t="shared" si="409"/>
        <v>0</v>
      </c>
      <c r="EN301" s="109"/>
      <c r="EO301" s="109"/>
      <c r="EP301" s="111"/>
      <c r="EQ301" s="111"/>
      <c r="ER301" s="165"/>
      <c r="ES301" s="109">
        <f t="shared" si="410"/>
        <v>0</v>
      </c>
      <c r="ET301" s="109">
        <f t="shared" si="411"/>
        <v>0</v>
      </c>
      <c r="EU301" s="109"/>
      <c r="EV301" s="109"/>
      <c r="EW301" s="111"/>
      <c r="EX301" s="111"/>
      <c r="EY301" s="165"/>
      <c r="EZ301" s="109">
        <f t="shared" si="412"/>
        <v>0</v>
      </c>
      <c r="FA301" s="109">
        <f t="shared" si="413"/>
        <v>0</v>
      </c>
      <c r="FB301" s="109"/>
      <c r="FC301" s="109"/>
      <c r="FD301" s="111"/>
      <c r="FE301" s="111"/>
      <c r="FF301" s="165"/>
      <c r="FG301" s="109">
        <f t="shared" si="414"/>
        <v>0</v>
      </c>
      <c r="FH301" s="109">
        <f t="shared" si="415"/>
        <v>0</v>
      </c>
      <c r="FI301" s="109"/>
      <c r="FJ301" s="109"/>
      <c r="FK301" s="111"/>
      <c r="FL301" s="111"/>
      <c r="FM301" s="165"/>
      <c r="FN301" s="109">
        <f t="shared" si="416"/>
        <v>0</v>
      </c>
      <c r="FO301" s="109">
        <f t="shared" si="417"/>
        <v>0</v>
      </c>
      <c r="FP301" s="109"/>
      <c r="FQ301" s="109"/>
      <c r="FR301" s="111"/>
      <c r="FS301" s="111"/>
      <c r="FT301" s="165"/>
      <c r="FU301" s="109">
        <f t="shared" si="418"/>
        <v>0</v>
      </c>
      <c r="FV301" s="109">
        <f t="shared" ref="FV301:FV364" si="426">FW301/(1+AM301)*AM301</f>
        <v>0</v>
      </c>
      <c r="FW301" s="109"/>
      <c r="FX301" s="109"/>
      <c r="FY301" s="111"/>
      <c r="FZ301" s="111"/>
      <c r="GA301" s="165"/>
      <c r="GB301" s="109">
        <f t="shared" si="419"/>
        <v>0</v>
      </c>
      <c r="GC301" s="109">
        <f t="shared" ref="GC301:GC364" si="427">GD301/(1+AM301)*AM301</f>
        <v>0</v>
      </c>
      <c r="GD301" s="109"/>
      <c r="GE301" s="109"/>
      <c r="GF301" s="111"/>
      <c r="GG301" s="111"/>
      <c r="GH301" s="165"/>
      <c r="GI301" s="109">
        <f t="shared" si="420"/>
        <v>0</v>
      </c>
      <c r="GJ301" s="109">
        <f t="shared" ref="GJ301:GJ364" si="428">GK301/(1+AM301)*AM301</f>
        <v>0</v>
      </c>
      <c r="GK301" s="109"/>
      <c r="GL301" s="109"/>
      <c r="GM301" s="111"/>
      <c r="GN301" s="111"/>
      <c r="GO301" s="165"/>
      <c r="GP301" s="109">
        <f t="shared" si="421"/>
        <v>0</v>
      </c>
      <c r="GQ301" s="109">
        <f t="shared" ref="GQ301:GQ364" si="429">GR301/(1+AM301)*AM301</f>
        <v>0</v>
      </c>
      <c r="GR301" s="109"/>
      <c r="GS301" s="109"/>
      <c r="GT301" s="111"/>
      <c r="GU301" s="111"/>
      <c r="GV301" s="165"/>
      <c r="GW301" s="168">
        <f t="shared" si="422"/>
        <v>0</v>
      </c>
      <c r="GX301" s="168">
        <f t="shared" ref="GX301:GX364" si="430">GY301/(1+AM301)*AM301</f>
        <v>0</v>
      </c>
      <c r="GY301" s="168"/>
      <c r="GZ301" s="168"/>
      <c r="HA301" s="111"/>
      <c r="HB301" s="111"/>
      <c r="HC301" s="165"/>
      <c r="HD301" s="109">
        <f t="shared" si="423"/>
        <v>0</v>
      </c>
      <c r="HE301" s="109">
        <f t="shared" ref="HE301:HE364" si="431">HF301/(1+AM301)*AM301</f>
        <v>0</v>
      </c>
      <c r="HF301" s="109"/>
      <c r="HG301" s="109"/>
      <c r="HH301" s="111"/>
      <c r="HI301" s="111"/>
      <c r="HJ301" s="165"/>
      <c r="HK301" s="109">
        <f t="shared" si="424"/>
        <v>0</v>
      </c>
      <c r="HL301" s="109">
        <f t="shared" ref="HL301:HL364" si="432">HM301/(1+AM301)*AM301</f>
        <v>0</v>
      </c>
      <c r="HM301" s="109"/>
      <c r="HN301" s="109"/>
      <c r="HO301" s="111"/>
      <c r="HP301" s="111"/>
      <c r="HQ301" s="165"/>
      <c r="HR301" s="109">
        <f t="shared" si="425"/>
        <v>0</v>
      </c>
      <c r="HS301" s="109">
        <f t="shared" ref="HS301:HS364" si="433">HT301/(1+AM301)*AM301</f>
        <v>0</v>
      </c>
      <c r="HT301" s="109"/>
      <c r="HU301" s="109"/>
      <c r="HV301" s="111"/>
      <c r="HW301" s="111"/>
      <c r="HX301" s="105">
        <f t="shared" si="401"/>
        <v>0</v>
      </c>
      <c r="HY301" s="105">
        <f t="shared" si="401"/>
        <v>0</v>
      </c>
      <c r="HZ301" s="105">
        <f t="shared" si="401"/>
        <v>0</v>
      </c>
      <c r="IA301" s="105">
        <f t="shared" si="395"/>
        <v>0</v>
      </c>
      <c r="IB301" s="109">
        <f t="shared" si="396"/>
        <v>0</v>
      </c>
      <c r="IC301" s="109">
        <f t="shared" si="397"/>
        <v>0</v>
      </c>
      <c r="ID301" s="109">
        <f t="shared" si="398"/>
        <v>0</v>
      </c>
      <c r="IE301" s="109">
        <f t="shared" si="399"/>
        <v>0</v>
      </c>
      <c r="IF301" s="197"/>
      <c r="IG301" s="197"/>
      <c r="IH301" s="197"/>
      <c r="II301" s="197"/>
      <c r="IJ301" s="197"/>
      <c r="IK301" s="197"/>
      <c r="IL301" s="197"/>
      <c r="IM301" s="171"/>
      <c r="IN301" s="171"/>
      <c r="IO301" s="171"/>
      <c r="IP301" s="171"/>
    </row>
    <row r="302" spans="1:250" ht="15" customHeight="1" x14ac:dyDescent="0.3">
      <c r="A302" s="110">
        <f t="shared" si="400"/>
        <v>298</v>
      </c>
      <c r="B302" s="111"/>
      <c r="C302" s="111"/>
      <c r="D302" s="111"/>
      <c r="E302" s="111"/>
      <c r="F302" s="111"/>
      <c r="G302" s="111"/>
      <c r="H302" s="111"/>
      <c r="I302" s="194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75"/>
      <c r="AI302" s="111"/>
      <c r="AJ302" s="111"/>
      <c r="AK302" s="111"/>
      <c r="AL302" s="177"/>
      <c r="AM302" s="176"/>
      <c r="AN302" s="177"/>
      <c r="AO302" s="157"/>
      <c r="AP302" s="158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  <c r="BG302" s="111"/>
      <c r="BH302" s="111"/>
      <c r="BI302" s="111"/>
      <c r="BJ302" s="111"/>
      <c r="BK302" s="111"/>
      <c r="BL302" s="175"/>
      <c r="BM302" s="111"/>
      <c r="BN302" s="111"/>
      <c r="BO302" s="111"/>
      <c r="BP302" s="111"/>
      <c r="BQ302" s="111"/>
      <c r="BR302" s="111"/>
      <c r="BS302" s="111"/>
      <c r="BT302" s="111"/>
      <c r="BU302" s="111"/>
      <c r="BV302" s="111"/>
      <c r="BW302" s="111"/>
      <c r="BX302" s="111"/>
      <c r="BY302" s="111"/>
      <c r="BZ302" s="111"/>
      <c r="CA302" s="111"/>
      <c r="CB302" s="111"/>
      <c r="CC302" s="178"/>
      <c r="CD302" s="177">
        <f t="shared" si="384"/>
        <v>0</v>
      </c>
      <c r="CE302" s="148"/>
      <c r="CF302" s="111">
        <f t="shared" si="385"/>
        <v>0</v>
      </c>
      <c r="CG302" s="177"/>
      <c r="CH302" s="204"/>
      <c r="CI302" s="148"/>
      <c r="CJ302" s="165"/>
      <c r="CK302" s="165"/>
      <c r="CL302" s="111"/>
      <c r="CM302" s="111"/>
      <c r="CN302" s="165">
        <f t="shared" si="386"/>
        <v>0</v>
      </c>
      <c r="CO302" s="109">
        <f t="shared" si="387"/>
        <v>0</v>
      </c>
      <c r="CP302" s="109">
        <f t="shared" si="388"/>
        <v>0</v>
      </c>
      <c r="CQ302" s="109"/>
      <c r="CR302" s="109"/>
      <c r="CS302" s="196"/>
      <c r="CT302" s="167"/>
      <c r="CU302" s="165"/>
      <c r="CV302" s="109">
        <f t="shared" si="389"/>
        <v>0</v>
      </c>
      <c r="CW302" s="109">
        <f t="shared" si="390"/>
        <v>0</v>
      </c>
      <c r="CX302" s="109"/>
      <c r="CY302" s="109"/>
      <c r="CZ302" s="111"/>
      <c r="DA302" s="111"/>
      <c r="DB302" s="165"/>
      <c r="DC302" s="109">
        <f t="shared" si="391"/>
        <v>0</v>
      </c>
      <c r="DD302" s="109">
        <f t="shared" si="392"/>
        <v>0</v>
      </c>
      <c r="DE302" s="109"/>
      <c r="DF302" s="109"/>
      <c r="DG302" s="111"/>
      <c r="DH302" s="111"/>
      <c r="DI302" s="165"/>
      <c r="DJ302" s="109">
        <f t="shared" si="393"/>
        <v>0</v>
      </c>
      <c r="DK302" s="109">
        <f t="shared" si="394"/>
        <v>0</v>
      </c>
      <c r="DL302" s="109"/>
      <c r="DM302" s="109"/>
      <c r="DN302" s="111"/>
      <c r="DO302" s="111"/>
      <c r="DP302" s="165"/>
      <c r="DQ302" s="109">
        <f t="shared" si="402"/>
        <v>0</v>
      </c>
      <c r="DR302" s="109">
        <f t="shared" si="403"/>
        <v>0</v>
      </c>
      <c r="DS302" s="109"/>
      <c r="DT302" s="109"/>
      <c r="DU302" s="111"/>
      <c r="DV302" s="111"/>
      <c r="DW302" s="165"/>
      <c r="DX302" s="109">
        <f t="shared" si="404"/>
        <v>0</v>
      </c>
      <c r="DY302" s="109">
        <f t="shared" si="405"/>
        <v>0</v>
      </c>
      <c r="DZ302" s="109"/>
      <c r="EA302" s="109"/>
      <c r="EB302" s="111"/>
      <c r="EC302" s="111"/>
      <c r="ED302" s="165"/>
      <c r="EE302" s="109">
        <f t="shared" si="406"/>
        <v>0</v>
      </c>
      <c r="EF302" s="109">
        <f t="shared" si="407"/>
        <v>0</v>
      </c>
      <c r="EG302" s="109"/>
      <c r="EH302" s="109"/>
      <c r="EI302" s="111"/>
      <c r="EJ302" s="111"/>
      <c r="EK302" s="165"/>
      <c r="EL302" s="109">
        <f t="shared" si="408"/>
        <v>0</v>
      </c>
      <c r="EM302" s="109">
        <f t="shared" si="409"/>
        <v>0</v>
      </c>
      <c r="EN302" s="109"/>
      <c r="EO302" s="109"/>
      <c r="EP302" s="111"/>
      <c r="EQ302" s="111"/>
      <c r="ER302" s="165"/>
      <c r="ES302" s="109">
        <f t="shared" si="410"/>
        <v>0</v>
      </c>
      <c r="ET302" s="109">
        <f t="shared" si="411"/>
        <v>0</v>
      </c>
      <c r="EU302" s="109"/>
      <c r="EV302" s="109"/>
      <c r="EW302" s="111"/>
      <c r="EX302" s="111"/>
      <c r="EY302" s="165"/>
      <c r="EZ302" s="109">
        <f t="shared" si="412"/>
        <v>0</v>
      </c>
      <c r="FA302" s="109">
        <f t="shared" si="413"/>
        <v>0</v>
      </c>
      <c r="FB302" s="109"/>
      <c r="FC302" s="109"/>
      <c r="FD302" s="111"/>
      <c r="FE302" s="111"/>
      <c r="FF302" s="165"/>
      <c r="FG302" s="109">
        <f t="shared" si="414"/>
        <v>0</v>
      </c>
      <c r="FH302" s="109">
        <f t="shared" si="415"/>
        <v>0</v>
      </c>
      <c r="FI302" s="109"/>
      <c r="FJ302" s="109"/>
      <c r="FK302" s="111"/>
      <c r="FL302" s="111"/>
      <c r="FM302" s="165"/>
      <c r="FN302" s="109">
        <f t="shared" si="416"/>
        <v>0</v>
      </c>
      <c r="FO302" s="109">
        <f t="shared" si="417"/>
        <v>0</v>
      </c>
      <c r="FP302" s="109"/>
      <c r="FQ302" s="109"/>
      <c r="FR302" s="111"/>
      <c r="FS302" s="111"/>
      <c r="FT302" s="165"/>
      <c r="FU302" s="109">
        <f t="shared" si="418"/>
        <v>0</v>
      </c>
      <c r="FV302" s="109">
        <f t="shared" si="426"/>
        <v>0</v>
      </c>
      <c r="FW302" s="109"/>
      <c r="FX302" s="109"/>
      <c r="FY302" s="111"/>
      <c r="FZ302" s="111"/>
      <c r="GA302" s="165"/>
      <c r="GB302" s="109">
        <f t="shared" si="419"/>
        <v>0</v>
      </c>
      <c r="GC302" s="109">
        <f t="shared" si="427"/>
        <v>0</v>
      </c>
      <c r="GD302" s="109"/>
      <c r="GE302" s="109"/>
      <c r="GF302" s="111"/>
      <c r="GG302" s="111"/>
      <c r="GH302" s="165"/>
      <c r="GI302" s="109">
        <f t="shared" si="420"/>
        <v>0</v>
      </c>
      <c r="GJ302" s="109">
        <f t="shared" si="428"/>
        <v>0</v>
      </c>
      <c r="GK302" s="109"/>
      <c r="GL302" s="109"/>
      <c r="GM302" s="111"/>
      <c r="GN302" s="111"/>
      <c r="GO302" s="165"/>
      <c r="GP302" s="109">
        <f t="shared" si="421"/>
        <v>0</v>
      </c>
      <c r="GQ302" s="109">
        <f t="shared" si="429"/>
        <v>0</v>
      </c>
      <c r="GR302" s="109"/>
      <c r="GS302" s="109"/>
      <c r="GT302" s="111"/>
      <c r="GU302" s="111"/>
      <c r="GV302" s="165"/>
      <c r="GW302" s="168">
        <f t="shared" si="422"/>
        <v>0</v>
      </c>
      <c r="GX302" s="168">
        <f t="shared" si="430"/>
        <v>0</v>
      </c>
      <c r="GY302" s="168"/>
      <c r="GZ302" s="168"/>
      <c r="HA302" s="111"/>
      <c r="HB302" s="111"/>
      <c r="HC302" s="165"/>
      <c r="HD302" s="109">
        <f t="shared" si="423"/>
        <v>0</v>
      </c>
      <c r="HE302" s="109">
        <f t="shared" si="431"/>
        <v>0</v>
      </c>
      <c r="HF302" s="109"/>
      <c r="HG302" s="109"/>
      <c r="HH302" s="111"/>
      <c r="HI302" s="111"/>
      <c r="HJ302" s="165"/>
      <c r="HK302" s="109">
        <f t="shared" si="424"/>
        <v>0</v>
      </c>
      <c r="HL302" s="109">
        <f t="shared" si="432"/>
        <v>0</v>
      </c>
      <c r="HM302" s="109"/>
      <c r="HN302" s="109"/>
      <c r="HO302" s="111"/>
      <c r="HP302" s="111"/>
      <c r="HQ302" s="165"/>
      <c r="HR302" s="109">
        <f t="shared" si="425"/>
        <v>0</v>
      </c>
      <c r="HS302" s="109">
        <f t="shared" si="433"/>
        <v>0</v>
      </c>
      <c r="HT302" s="109"/>
      <c r="HU302" s="109"/>
      <c r="HV302" s="111"/>
      <c r="HW302" s="111"/>
      <c r="HX302" s="105">
        <f t="shared" si="401"/>
        <v>0</v>
      </c>
      <c r="HY302" s="105">
        <f t="shared" si="401"/>
        <v>0</v>
      </c>
      <c r="HZ302" s="105">
        <f t="shared" si="401"/>
        <v>0</v>
      </c>
      <c r="IA302" s="105">
        <f t="shared" si="395"/>
        <v>0</v>
      </c>
      <c r="IB302" s="109">
        <f t="shared" si="396"/>
        <v>0</v>
      </c>
      <c r="IC302" s="109">
        <f t="shared" si="397"/>
        <v>0</v>
      </c>
      <c r="ID302" s="109">
        <f t="shared" si="398"/>
        <v>0</v>
      </c>
      <c r="IE302" s="109">
        <f t="shared" si="399"/>
        <v>0</v>
      </c>
      <c r="IF302" s="197"/>
      <c r="IG302" s="197"/>
      <c r="IH302" s="197"/>
      <c r="II302" s="197"/>
      <c r="IJ302" s="197"/>
      <c r="IK302" s="197"/>
      <c r="IL302" s="197"/>
      <c r="IM302" s="171"/>
      <c r="IN302" s="171"/>
      <c r="IO302" s="171"/>
      <c r="IP302" s="171"/>
    </row>
    <row r="303" spans="1:250" ht="15" customHeight="1" x14ac:dyDescent="0.3">
      <c r="A303" s="110">
        <f t="shared" si="400"/>
        <v>299</v>
      </c>
      <c r="B303" s="111"/>
      <c r="C303" s="111"/>
      <c r="D303" s="111"/>
      <c r="E303" s="111"/>
      <c r="F303" s="111"/>
      <c r="G303" s="111"/>
      <c r="H303" s="111"/>
      <c r="I303" s="194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75"/>
      <c r="AI303" s="111"/>
      <c r="AJ303" s="111"/>
      <c r="AK303" s="111"/>
      <c r="AL303" s="177"/>
      <c r="AM303" s="176"/>
      <c r="AN303" s="177"/>
      <c r="AO303" s="157"/>
      <c r="AP303" s="158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  <c r="BG303" s="111"/>
      <c r="BH303" s="111"/>
      <c r="BI303" s="111"/>
      <c r="BJ303" s="111"/>
      <c r="BK303" s="111"/>
      <c r="BL303" s="175"/>
      <c r="BM303" s="111"/>
      <c r="BN303" s="111"/>
      <c r="BO303" s="111"/>
      <c r="BP303" s="111"/>
      <c r="BQ303" s="111"/>
      <c r="BR303" s="111"/>
      <c r="BS303" s="111"/>
      <c r="BT303" s="111"/>
      <c r="BU303" s="111"/>
      <c r="BV303" s="111"/>
      <c r="BW303" s="111"/>
      <c r="BX303" s="111"/>
      <c r="BY303" s="111"/>
      <c r="BZ303" s="111"/>
      <c r="CA303" s="111"/>
      <c r="CB303" s="111"/>
      <c r="CC303" s="178"/>
      <c r="CD303" s="177">
        <f t="shared" si="384"/>
        <v>0</v>
      </c>
      <c r="CE303" s="148"/>
      <c r="CF303" s="111">
        <f t="shared" si="385"/>
        <v>0</v>
      </c>
      <c r="CG303" s="177"/>
      <c r="CH303" s="204"/>
      <c r="CI303" s="148"/>
      <c r="CJ303" s="165"/>
      <c r="CK303" s="165"/>
      <c r="CL303" s="111"/>
      <c r="CM303" s="111"/>
      <c r="CN303" s="165">
        <f t="shared" si="386"/>
        <v>0</v>
      </c>
      <c r="CO303" s="109">
        <f t="shared" si="387"/>
        <v>0</v>
      </c>
      <c r="CP303" s="109">
        <f t="shared" si="388"/>
        <v>0</v>
      </c>
      <c r="CQ303" s="109"/>
      <c r="CR303" s="109"/>
      <c r="CS303" s="196"/>
      <c r="CT303" s="167"/>
      <c r="CU303" s="165"/>
      <c r="CV303" s="109">
        <f t="shared" si="389"/>
        <v>0</v>
      </c>
      <c r="CW303" s="109">
        <f t="shared" si="390"/>
        <v>0</v>
      </c>
      <c r="CX303" s="109"/>
      <c r="CY303" s="109"/>
      <c r="CZ303" s="111"/>
      <c r="DA303" s="111"/>
      <c r="DB303" s="165"/>
      <c r="DC303" s="109">
        <f t="shared" si="391"/>
        <v>0</v>
      </c>
      <c r="DD303" s="109">
        <f t="shared" si="392"/>
        <v>0</v>
      </c>
      <c r="DE303" s="109"/>
      <c r="DF303" s="109"/>
      <c r="DG303" s="111"/>
      <c r="DH303" s="111"/>
      <c r="DI303" s="165"/>
      <c r="DJ303" s="109">
        <f t="shared" si="393"/>
        <v>0</v>
      </c>
      <c r="DK303" s="109">
        <f t="shared" si="394"/>
        <v>0</v>
      </c>
      <c r="DL303" s="109"/>
      <c r="DM303" s="109"/>
      <c r="DN303" s="111"/>
      <c r="DO303" s="111"/>
      <c r="DP303" s="165"/>
      <c r="DQ303" s="109">
        <f t="shared" si="402"/>
        <v>0</v>
      </c>
      <c r="DR303" s="109">
        <f t="shared" si="403"/>
        <v>0</v>
      </c>
      <c r="DS303" s="109"/>
      <c r="DT303" s="109"/>
      <c r="DU303" s="111"/>
      <c r="DV303" s="111"/>
      <c r="DW303" s="165"/>
      <c r="DX303" s="109">
        <f t="shared" si="404"/>
        <v>0</v>
      </c>
      <c r="DY303" s="109">
        <f t="shared" si="405"/>
        <v>0</v>
      </c>
      <c r="DZ303" s="109"/>
      <c r="EA303" s="109"/>
      <c r="EB303" s="111"/>
      <c r="EC303" s="111"/>
      <c r="ED303" s="165"/>
      <c r="EE303" s="109">
        <f t="shared" si="406"/>
        <v>0</v>
      </c>
      <c r="EF303" s="109">
        <f t="shared" si="407"/>
        <v>0</v>
      </c>
      <c r="EG303" s="109"/>
      <c r="EH303" s="109"/>
      <c r="EI303" s="111"/>
      <c r="EJ303" s="111"/>
      <c r="EK303" s="165"/>
      <c r="EL303" s="109">
        <f t="shared" si="408"/>
        <v>0</v>
      </c>
      <c r="EM303" s="109">
        <f t="shared" si="409"/>
        <v>0</v>
      </c>
      <c r="EN303" s="109"/>
      <c r="EO303" s="109"/>
      <c r="EP303" s="111"/>
      <c r="EQ303" s="111"/>
      <c r="ER303" s="165"/>
      <c r="ES303" s="109">
        <f t="shared" si="410"/>
        <v>0</v>
      </c>
      <c r="ET303" s="109">
        <f t="shared" si="411"/>
        <v>0</v>
      </c>
      <c r="EU303" s="109"/>
      <c r="EV303" s="109"/>
      <c r="EW303" s="111"/>
      <c r="EX303" s="111"/>
      <c r="EY303" s="165"/>
      <c r="EZ303" s="109">
        <f t="shared" si="412"/>
        <v>0</v>
      </c>
      <c r="FA303" s="109">
        <f t="shared" si="413"/>
        <v>0</v>
      </c>
      <c r="FB303" s="109"/>
      <c r="FC303" s="109"/>
      <c r="FD303" s="111"/>
      <c r="FE303" s="111"/>
      <c r="FF303" s="165"/>
      <c r="FG303" s="109">
        <f t="shared" si="414"/>
        <v>0</v>
      </c>
      <c r="FH303" s="109">
        <f t="shared" si="415"/>
        <v>0</v>
      </c>
      <c r="FI303" s="109"/>
      <c r="FJ303" s="109"/>
      <c r="FK303" s="111"/>
      <c r="FL303" s="111"/>
      <c r="FM303" s="165"/>
      <c r="FN303" s="109">
        <f t="shared" si="416"/>
        <v>0</v>
      </c>
      <c r="FO303" s="109">
        <f t="shared" si="417"/>
        <v>0</v>
      </c>
      <c r="FP303" s="109"/>
      <c r="FQ303" s="109"/>
      <c r="FR303" s="111"/>
      <c r="FS303" s="111"/>
      <c r="FT303" s="165"/>
      <c r="FU303" s="109">
        <f t="shared" si="418"/>
        <v>0</v>
      </c>
      <c r="FV303" s="109">
        <f t="shared" si="426"/>
        <v>0</v>
      </c>
      <c r="FW303" s="109"/>
      <c r="FX303" s="109"/>
      <c r="FY303" s="111"/>
      <c r="FZ303" s="111"/>
      <c r="GA303" s="165"/>
      <c r="GB303" s="109">
        <f t="shared" si="419"/>
        <v>0</v>
      </c>
      <c r="GC303" s="109">
        <f t="shared" si="427"/>
        <v>0</v>
      </c>
      <c r="GD303" s="109"/>
      <c r="GE303" s="109"/>
      <c r="GF303" s="111"/>
      <c r="GG303" s="111"/>
      <c r="GH303" s="165"/>
      <c r="GI303" s="109">
        <f t="shared" si="420"/>
        <v>0</v>
      </c>
      <c r="GJ303" s="109">
        <f t="shared" si="428"/>
        <v>0</v>
      </c>
      <c r="GK303" s="109"/>
      <c r="GL303" s="109"/>
      <c r="GM303" s="111"/>
      <c r="GN303" s="111"/>
      <c r="GO303" s="165"/>
      <c r="GP303" s="109">
        <f t="shared" si="421"/>
        <v>0</v>
      </c>
      <c r="GQ303" s="109">
        <f t="shared" si="429"/>
        <v>0</v>
      </c>
      <c r="GR303" s="109"/>
      <c r="GS303" s="109"/>
      <c r="GT303" s="111"/>
      <c r="GU303" s="111"/>
      <c r="GV303" s="165"/>
      <c r="GW303" s="168">
        <f t="shared" si="422"/>
        <v>0</v>
      </c>
      <c r="GX303" s="168">
        <f t="shared" si="430"/>
        <v>0</v>
      </c>
      <c r="GY303" s="168"/>
      <c r="GZ303" s="168"/>
      <c r="HA303" s="111"/>
      <c r="HB303" s="111"/>
      <c r="HC303" s="165"/>
      <c r="HD303" s="109">
        <f t="shared" si="423"/>
        <v>0</v>
      </c>
      <c r="HE303" s="109">
        <f t="shared" si="431"/>
        <v>0</v>
      </c>
      <c r="HF303" s="109"/>
      <c r="HG303" s="109"/>
      <c r="HH303" s="111"/>
      <c r="HI303" s="111"/>
      <c r="HJ303" s="165"/>
      <c r="HK303" s="109">
        <f t="shared" si="424"/>
        <v>0</v>
      </c>
      <c r="HL303" s="109">
        <f t="shared" si="432"/>
        <v>0</v>
      </c>
      <c r="HM303" s="109"/>
      <c r="HN303" s="109"/>
      <c r="HO303" s="111"/>
      <c r="HP303" s="111"/>
      <c r="HQ303" s="165"/>
      <c r="HR303" s="109">
        <f t="shared" si="425"/>
        <v>0</v>
      </c>
      <c r="HS303" s="109">
        <f t="shared" si="433"/>
        <v>0</v>
      </c>
      <c r="HT303" s="109"/>
      <c r="HU303" s="109"/>
      <c r="HV303" s="111"/>
      <c r="HW303" s="111"/>
      <c r="HX303" s="105">
        <f t="shared" si="401"/>
        <v>0</v>
      </c>
      <c r="HY303" s="105">
        <f t="shared" si="401"/>
        <v>0</v>
      </c>
      <c r="HZ303" s="105">
        <f t="shared" si="401"/>
        <v>0</v>
      </c>
      <c r="IA303" s="105">
        <f t="shared" si="395"/>
        <v>0</v>
      </c>
      <c r="IB303" s="109">
        <f t="shared" si="396"/>
        <v>0</v>
      </c>
      <c r="IC303" s="109">
        <f t="shared" si="397"/>
        <v>0</v>
      </c>
      <c r="ID303" s="109">
        <f t="shared" si="398"/>
        <v>0</v>
      </c>
      <c r="IE303" s="109">
        <f t="shared" si="399"/>
        <v>0</v>
      </c>
      <c r="IF303" s="197"/>
      <c r="IG303" s="197"/>
      <c r="IH303" s="197"/>
      <c r="II303" s="197"/>
      <c r="IJ303" s="197"/>
      <c r="IK303" s="197"/>
      <c r="IL303" s="197"/>
      <c r="IM303" s="171"/>
      <c r="IN303" s="171"/>
      <c r="IO303" s="171"/>
      <c r="IP303" s="171"/>
    </row>
    <row r="304" spans="1:250" ht="15" customHeight="1" x14ac:dyDescent="0.3">
      <c r="A304" s="110">
        <f t="shared" si="400"/>
        <v>300</v>
      </c>
      <c r="B304" s="111"/>
      <c r="C304" s="111"/>
      <c r="D304" s="111"/>
      <c r="E304" s="111"/>
      <c r="F304" s="111"/>
      <c r="G304" s="111"/>
      <c r="H304" s="111"/>
      <c r="I304" s="194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75"/>
      <c r="AI304" s="111"/>
      <c r="AJ304" s="111"/>
      <c r="AK304" s="111"/>
      <c r="AL304" s="177"/>
      <c r="AM304" s="176"/>
      <c r="AN304" s="177"/>
      <c r="AO304" s="157"/>
      <c r="AP304" s="158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  <c r="BJ304" s="111"/>
      <c r="BK304" s="111"/>
      <c r="BL304" s="175"/>
      <c r="BM304" s="111"/>
      <c r="BN304" s="111"/>
      <c r="BO304" s="111"/>
      <c r="BP304" s="111"/>
      <c r="BQ304" s="111"/>
      <c r="BR304" s="111"/>
      <c r="BS304" s="111"/>
      <c r="BT304" s="111"/>
      <c r="BU304" s="111"/>
      <c r="BV304" s="111"/>
      <c r="BW304" s="111"/>
      <c r="BX304" s="111"/>
      <c r="BY304" s="111"/>
      <c r="BZ304" s="111"/>
      <c r="CA304" s="111"/>
      <c r="CB304" s="111"/>
      <c r="CC304" s="178"/>
      <c r="CD304" s="177">
        <f t="shared" si="384"/>
        <v>0</v>
      </c>
      <c r="CE304" s="148"/>
      <c r="CF304" s="111">
        <f t="shared" si="385"/>
        <v>0</v>
      </c>
      <c r="CG304" s="177"/>
      <c r="CH304" s="204"/>
      <c r="CI304" s="148"/>
      <c r="CJ304" s="165"/>
      <c r="CK304" s="165"/>
      <c r="CL304" s="111"/>
      <c r="CM304" s="111"/>
      <c r="CN304" s="165">
        <f t="shared" si="386"/>
        <v>0</v>
      </c>
      <c r="CO304" s="109">
        <f t="shared" si="387"/>
        <v>0</v>
      </c>
      <c r="CP304" s="109">
        <f t="shared" si="388"/>
        <v>0</v>
      </c>
      <c r="CQ304" s="109"/>
      <c r="CR304" s="109"/>
      <c r="CS304" s="196"/>
      <c r="CT304" s="167"/>
      <c r="CU304" s="165"/>
      <c r="CV304" s="109">
        <f t="shared" si="389"/>
        <v>0</v>
      </c>
      <c r="CW304" s="109">
        <f t="shared" si="390"/>
        <v>0</v>
      </c>
      <c r="CX304" s="109"/>
      <c r="CY304" s="109"/>
      <c r="CZ304" s="111"/>
      <c r="DA304" s="111"/>
      <c r="DB304" s="165"/>
      <c r="DC304" s="109">
        <f t="shared" si="391"/>
        <v>0</v>
      </c>
      <c r="DD304" s="109">
        <f t="shared" si="392"/>
        <v>0</v>
      </c>
      <c r="DE304" s="109"/>
      <c r="DF304" s="109"/>
      <c r="DG304" s="111"/>
      <c r="DH304" s="111"/>
      <c r="DI304" s="165"/>
      <c r="DJ304" s="109">
        <f t="shared" si="393"/>
        <v>0</v>
      </c>
      <c r="DK304" s="109">
        <f t="shared" si="394"/>
        <v>0</v>
      </c>
      <c r="DL304" s="109"/>
      <c r="DM304" s="109"/>
      <c r="DN304" s="111"/>
      <c r="DO304" s="111"/>
      <c r="DP304" s="165"/>
      <c r="DQ304" s="109">
        <f t="shared" si="402"/>
        <v>0</v>
      </c>
      <c r="DR304" s="109">
        <f t="shared" si="403"/>
        <v>0</v>
      </c>
      <c r="DS304" s="109"/>
      <c r="DT304" s="109"/>
      <c r="DU304" s="111"/>
      <c r="DV304" s="111"/>
      <c r="DW304" s="165"/>
      <c r="DX304" s="109">
        <f t="shared" si="404"/>
        <v>0</v>
      </c>
      <c r="DY304" s="109">
        <f t="shared" si="405"/>
        <v>0</v>
      </c>
      <c r="DZ304" s="109"/>
      <c r="EA304" s="109"/>
      <c r="EB304" s="111"/>
      <c r="EC304" s="111"/>
      <c r="ED304" s="165"/>
      <c r="EE304" s="109">
        <f t="shared" si="406"/>
        <v>0</v>
      </c>
      <c r="EF304" s="109">
        <f t="shared" si="407"/>
        <v>0</v>
      </c>
      <c r="EG304" s="109"/>
      <c r="EH304" s="109"/>
      <c r="EI304" s="111"/>
      <c r="EJ304" s="111"/>
      <c r="EK304" s="165"/>
      <c r="EL304" s="109">
        <f t="shared" si="408"/>
        <v>0</v>
      </c>
      <c r="EM304" s="109">
        <f t="shared" si="409"/>
        <v>0</v>
      </c>
      <c r="EN304" s="109"/>
      <c r="EO304" s="109"/>
      <c r="EP304" s="111"/>
      <c r="EQ304" s="111"/>
      <c r="ER304" s="165"/>
      <c r="ES304" s="109">
        <f t="shared" si="410"/>
        <v>0</v>
      </c>
      <c r="ET304" s="109">
        <f t="shared" si="411"/>
        <v>0</v>
      </c>
      <c r="EU304" s="109"/>
      <c r="EV304" s="109"/>
      <c r="EW304" s="111"/>
      <c r="EX304" s="111"/>
      <c r="EY304" s="165"/>
      <c r="EZ304" s="109">
        <f t="shared" si="412"/>
        <v>0</v>
      </c>
      <c r="FA304" s="109">
        <f t="shared" si="413"/>
        <v>0</v>
      </c>
      <c r="FB304" s="109"/>
      <c r="FC304" s="109"/>
      <c r="FD304" s="111"/>
      <c r="FE304" s="111"/>
      <c r="FF304" s="165"/>
      <c r="FG304" s="109">
        <f t="shared" si="414"/>
        <v>0</v>
      </c>
      <c r="FH304" s="109">
        <f t="shared" si="415"/>
        <v>0</v>
      </c>
      <c r="FI304" s="109"/>
      <c r="FJ304" s="109"/>
      <c r="FK304" s="111"/>
      <c r="FL304" s="111"/>
      <c r="FM304" s="165"/>
      <c r="FN304" s="109">
        <f t="shared" si="416"/>
        <v>0</v>
      </c>
      <c r="FO304" s="109">
        <f t="shared" si="417"/>
        <v>0</v>
      </c>
      <c r="FP304" s="109"/>
      <c r="FQ304" s="109"/>
      <c r="FR304" s="111"/>
      <c r="FS304" s="111"/>
      <c r="FT304" s="165"/>
      <c r="FU304" s="109">
        <f t="shared" si="418"/>
        <v>0</v>
      </c>
      <c r="FV304" s="109">
        <f t="shared" si="426"/>
        <v>0</v>
      </c>
      <c r="FW304" s="109"/>
      <c r="FX304" s="109"/>
      <c r="FY304" s="111"/>
      <c r="FZ304" s="111"/>
      <c r="GA304" s="165"/>
      <c r="GB304" s="109">
        <f t="shared" si="419"/>
        <v>0</v>
      </c>
      <c r="GC304" s="109">
        <f t="shared" si="427"/>
        <v>0</v>
      </c>
      <c r="GD304" s="109"/>
      <c r="GE304" s="109"/>
      <c r="GF304" s="111"/>
      <c r="GG304" s="111"/>
      <c r="GH304" s="165"/>
      <c r="GI304" s="109">
        <f t="shared" si="420"/>
        <v>0</v>
      </c>
      <c r="GJ304" s="109">
        <f t="shared" si="428"/>
        <v>0</v>
      </c>
      <c r="GK304" s="109"/>
      <c r="GL304" s="109"/>
      <c r="GM304" s="111"/>
      <c r="GN304" s="111"/>
      <c r="GO304" s="165"/>
      <c r="GP304" s="109">
        <f t="shared" si="421"/>
        <v>0</v>
      </c>
      <c r="GQ304" s="109">
        <f t="shared" si="429"/>
        <v>0</v>
      </c>
      <c r="GR304" s="109"/>
      <c r="GS304" s="109"/>
      <c r="GT304" s="111"/>
      <c r="GU304" s="111"/>
      <c r="GV304" s="165"/>
      <c r="GW304" s="168">
        <f t="shared" si="422"/>
        <v>0</v>
      </c>
      <c r="GX304" s="168">
        <f t="shared" si="430"/>
        <v>0</v>
      </c>
      <c r="GY304" s="168"/>
      <c r="GZ304" s="168"/>
      <c r="HA304" s="111"/>
      <c r="HB304" s="111"/>
      <c r="HC304" s="165"/>
      <c r="HD304" s="109">
        <f t="shared" si="423"/>
        <v>0</v>
      </c>
      <c r="HE304" s="109">
        <f t="shared" si="431"/>
        <v>0</v>
      </c>
      <c r="HF304" s="109"/>
      <c r="HG304" s="109"/>
      <c r="HH304" s="111"/>
      <c r="HI304" s="111"/>
      <c r="HJ304" s="165"/>
      <c r="HK304" s="109">
        <f t="shared" si="424"/>
        <v>0</v>
      </c>
      <c r="HL304" s="109">
        <f t="shared" si="432"/>
        <v>0</v>
      </c>
      <c r="HM304" s="109"/>
      <c r="HN304" s="109"/>
      <c r="HO304" s="111"/>
      <c r="HP304" s="111"/>
      <c r="HQ304" s="165"/>
      <c r="HR304" s="109">
        <f t="shared" si="425"/>
        <v>0</v>
      </c>
      <c r="HS304" s="109">
        <f t="shared" si="433"/>
        <v>0</v>
      </c>
      <c r="HT304" s="109"/>
      <c r="HU304" s="109"/>
      <c r="HV304" s="111"/>
      <c r="HW304" s="111"/>
      <c r="HX304" s="105">
        <f t="shared" si="401"/>
        <v>0</v>
      </c>
      <c r="HY304" s="105">
        <f t="shared" si="401"/>
        <v>0</v>
      </c>
      <c r="HZ304" s="105">
        <f t="shared" si="401"/>
        <v>0</v>
      </c>
      <c r="IA304" s="105">
        <f t="shared" si="395"/>
        <v>0</v>
      </c>
      <c r="IB304" s="109">
        <f t="shared" si="396"/>
        <v>0</v>
      </c>
      <c r="IC304" s="109">
        <f t="shared" si="397"/>
        <v>0</v>
      </c>
      <c r="ID304" s="109">
        <f t="shared" si="398"/>
        <v>0</v>
      </c>
      <c r="IE304" s="109">
        <f t="shared" si="399"/>
        <v>0</v>
      </c>
      <c r="IF304" s="197"/>
      <c r="IG304" s="197"/>
      <c r="IH304" s="197"/>
      <c r="II304" s="197"/>
      <c r="IJ304" s="197"/>
      <c r="IK304" s="197"/>
      <c r="IL304" s="197"/>
      <c r="IM304" s="171"/>
      <c r="IN304" s="171"/>
      <c r="IO304" s="171"/>
      <c r="IP304" s="171"/>
    </row>
    <row r="305" spans="1:250" ht="15" customHeight="1" x14ac:dyDescent="0.3">
      <c r="A305" s="110">
        <f t="shared" si="400"/>
        <v>301</v>
      </c>
      <c r="B305" s="111"/>
      <c r="C305" s="111"/>
      <c r="D305" s="111"/>
      <c r="E305" s="111"/>
      <c r="F305" s="111"/>
      <c r="G305" s="111"/>
      <c r="H305" s="111"/>
      <c r="I305" s="194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75"/>
      <c r="AI305" s="111"/>
      <c r="AJ305" s="111"/>
      <c r="AK305" s="111"/>
      <c r="AL305" s="177"/>
      <c r="AM305" s="176"/>
      <c r="AN305" s="177"/>
      <c r="AO305" s="157"/>
      <c r="AP305" s="158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  <c r="BJ305" s="111"/>
      <c r="BK305" s="111"/>
      <c r="BL305" s="175"/>
      <c r="BM305" s="111"/>
      <c r="BN305" s="111"/>
      <c r="BO305" s="111"/>
      <c r="BP305" s="111"/>
      <c r="BQ305" s="111"/>
      <c r="BR305" s="111"/>
      <c r="BS305" s="111"/>
      <c r="BT305" s="111"/>
      <c r="BU305" s="111"/>
      <c r="BV305" s="111"/>
      <c r="BW305" s="111"/>
      <c r="BX305" s="111"/>
      <c r="BY305" s="111"/>
      <c r="BZ305" s="111"/>
      <c r="CA305" s="111"/>
      <c r="CB305" s="111"/>
      <c r="CC305" s="178"/>
      <c r="CD305" s="177">
        <f t="shared" si="384"/>
        <v>0</v>
      </c>
      <c r="CE305" s="148"/>
      <c r="CF305" s="111">
        <f t="shared" si="385"/>
        <v>0</v>
      </c>
      <c r="CG305" s="177"/>
      <c r="CH305" s="204"/>
      <c r="CI305" s="148"/>
      <c r="CJ305" s="165"/>
      <c r="CK305" s="165"/>
      <c r="CL305" s="111"/>
      <c r="CM305" s="111"/>
      <c r="CN305" s="165">
        <f t="shared" si="386"/>
        <v>0</v>
      </c>
      <c r="CO305" s="109">
        <f t="shared" si="387"/>
        <v>0</v>
      </c>
      <c r="CP305" s="109">
        <f t="shared" si="388"/>
        <v>0</v>
      </c>
      <c r="CQ305" s="109"/>
      <c r="CR305" s="109"/>
      <c r="CS305" s="196"/>
      <c r="CT305" s="167"/>
      <c r="CU305" s="165"/>
      <c r="CV305" s="109">
        <f t="shared" si="389"/>
        <v>0</v>
      </c>
      <c r="CW305" s="109">
        <f t="shared" si="390"/>
        <v>0</v>
      </c>
      <c r="CX305" s="109"/>
      <c r="CY305" s="109"/>
      <c r="CZ305" s="111"/>
      <c r="DA305" s="111"/>
      <c r="DB305" s="165"/>
      <c r="DC305" s="109">
        <f t="shared" si="391"/>
        <v>0</v>
      </c>
      <c r="DD305" s="109">
        <f t="shared" si="392"/>
        <v>0</v>
      </c>
      <c r="DE305" s="109"/>
      <c r="DF305" s="109"/>
      <c r="DG305" s="111"/>
      <c r="DH305" s="111"/>
      <c r="DI305" s="165"/>
      <c r="DJ305" s="109">
        <f t="shared" si="393"/>
        <v>0</v>
      </c>
      <c r="DK305" s="109">
        <f t="shared" si="394"/>
        <v>0</v>
      </c>
      <c r="DL305" s="109"/>
      <c r="DM305" s="109"/>
      <c r="DN305" s="111"/>
      <c r="DO305" s="111"/>
      <c r="DP305" s="165"/>
      <c r="DQ305" s="109">
        <f t="shared" si="402"/>
        <v>0</v>
      </c>
      <c r="DR305" s="109">
        <f t="shared" si="403"/>
        <v>0</v>
      </c>
      <c r="DS305" s="109"/>
      <c r="DT305" s="109"/>
      <c r="DU305" s="111"/>
      <c r="DV305" s="111"/>
      <c r="DW305" s="165"/>
      <c r="DX305" s="109">
        <f t="shared" si="404"/>
        <v>0</v>
      </c>
      <c r="DY305" s="109">
        <f t="shared" si="405"/>
        <v>0</v>
      </c>
      <c r="DZ305" s="109"/>
      <c r="EA305" s="109"/>
      <c r="EB305" s="111"/>
      <c r="EC305" s="111"/>
      <c r="ED305" s="165"/>
      <c r="EE305" s="109">
        <f t="shared" si="406"/>
        <v>0</v>
      </c>
      <c r="EF305" s="109">
        <f t="shared" si="407"/>
        <v>0</v>
      </c>
      <c r="EG305" s="109"/>
      <c r="EH305" s="109"/>
      <c r="EI305" s="111"/>
      <c r="EJ305" s="111"/>
      <c r="EK305" s="165"/>
      <c r="EL305" s="109">
        <f t="shared" si="408"/>
        <v>0</v>
      </c>
      <c r="EM305" s="109">
        <f t="shared" si="409"/>
        <v>0</v>
      </c>
      <c r="EN305" s="109"/>
      <c r="EO305" s="109"/>
      <c r="EP305" s="111"/>
      <c r="EQ305" s="111"/>
      <c r="ER305" s="165"/>
      <c r="ES305" s="109">
        <f t="shared" si="410"/>
        <v>0</v>
      </c>
      <c r="ET305" s="109">
        <f t="shared" si="411"/>
        <v>0</v>
      </c>
      <c r="EU305" s="109"/>
      <c r="EV305" s="109"/>
      <c r="EW305" s="111"/>
      <c r="EX305" s="111"/>
      <c r="EY305" s="165"/>
      <c r="EZ305" s="109">
        <f t="shared" si="412"/>
        <v>0</v>
      </c>
      <c r="FA305" s="109">
        <f t="shared" si="413"/>
        <v>0</v>
      </c>
      <c r="FB305" s="109"/>
      <c r="FC305" s="109"/>
      <c r="FD305" s="111"/>
      <c r="FE305" s="111"/>
      <c r="FF305" s="165"/>
      <c r="FG305" s="109">
        <f t="shared" si="414"/>
        <v>0</v>
      </c>
      <c r="FH305" s="109">
        <f t="shared" si="415"/>
        <v>0</v>
      </c>
      <c r="FI305" s="109"/>
      <c r="FJ305" s="109"/>
      <c r="FK305" s="111"/>
      <c r="FL305" s="111"/>
      <c r="FM305" s="165"/>
      <c r="FN305" s="109">
        <f t="shared" si="416"/>
        <v>0</v>
      </c>
      <c r="FO305" s="109">
        <f t="shared" si="417"/>
        <v>0</v>
      </c>
      <c r="FP305" s="109"/>
      <c r="FQ305" s="109"/>
      <c r="FR305" s="111"/>
      <c r="FS305" s="111"/>
      <c r="FT305" s="165"/>
      <c r="FU305" s="109">
        <f t="shared" si="418"/>
        <v>0</v>
      </c>
      <c r="FV305" s="109">
        <f t="shared" si="426"/>
        <v>0</v>
      </c>
      <c r="FW305" s="109"/>
      <c r="FX305" s="109"/>
      <c r="FY305" s="111"/>
      <c r="FZ305" s="111"/>
      <c r="GA305" s="165"/>
      <c r="GB305" s="109">
        <f t="shared" si="419"/>
        <v>0</v>
      </c>
      <c r="GC305" s="109">
        <f t="shared" si="427"/>
        <v>0</v>
      </c>
      <c r="GD305" s="109"/>
      <c r="GE305" s="109"/>
      <c r="GF305" s="111"/>
      <c r="GG305" s="111"/>
      <c r="GH305" s="165"/>
      <c r="GI305" s="109">
        <f t="shared" si="420"/>
        <v>0</v>
      </c>
      <c r="GJ305" s="109">
        <f t="shared" si="428"/>
        <v>0</v>
      </c>
      <c r="GK305" s="109"/>
      <c r="GL305" s="109"/>
      <c r="GM305" s="111"/>
      <c r="GN305" s="111"/>
      <c r="GO305" s="165"/>
      <c r="GP305" s="109">
        <f t="shared" si="421"/>
        <v>0</v>
      </c>
      <c r="GQ305" s="109">
        <f t="shared" si="429"/>
        <v>0</v>
      </c>
      <c r="GR305" s="109"/>
      <c r="GS305" s="109"/>
      <c r="GT305" s="111"/>
      <c r="GU305" s="111"/>
      <c r="GV305" s="165"/>
      <c r="GW305" s="168">
        <f t="shared" si="422"/>
        <v>0</v>
      </c>
      <c r="GX305" s="168">
        <f t="shared" si="430"/>
        <v>0</v>
      </c>
      <c r="GY305" s="168"/>
      <c r="GZ305" s="168"/>
      <c r="HA305" s="111"/>
      <c r="HB305" s="111"/>
      <c r="HC305" s="165"/>
      <c r="HD305" s="109">
        <f t="shared" si="423"/>
        <v>0</v>
      </c>
      <c r="HE305" s="109">
        <f t="shared" si="431"/>
        <v>0</v>
      </c>
      <c r="HF305" s="109"/>
      <c r="HG305" s="109"/>
      <c r="HH305" s="111"/>
      <c r="HI305" s="111"/>
      <c r="HJ305" s="165"/>
      <c r="HK305" s="109">
        <f t="shared" si="424"/>
        <v>0</v>
      </c>
      <c r="HL305" s="109">
        <f t="shared" si="432"/>
        <v>0</v>
      </c>
      <c r="HM305" s="109"/>
      <c r="HN305" s="109"/>
      <c r="HO305" s="111"/>
      <c r="HP305" s="111"/>
      <c r="HQ305" s="165"/>
      <c r="HR305" s="109">
        <f t="shared" si="425"/>
        <v>0</v>
      </c>
      <c r="HS305" s="109">
        <f t="shared" si="433"/>
        <v>0</v>
      </c>
      <c r="HT305" s="109"/>
      <c r="HU305" s="109"/>
      <c r="HV305" s="111"/>
      <c r="HW305" s="111"/>
      <c r="HX305" s="105">
        <f t="shared" si="401"/>
        <v>0</v>
      </c>
      <c r="HY305" s="105">
        <f t="shared" si="401"/>
        <v>0</v>
      </c>
      <c r="HZ305" s="105">
        <f t="shared" si="401"/>
        <v>0</v>
      </c>
      <c r="IA305" s="105">
        <f t="shared" si="395"/>
        <v>0</v>
      </c>
      <c r="IB305" s="109">
        <f t="shared" si="396"/>
        <v>0</v>
      </c>
      <c r="IC305" s="109">
        <f t="shared" si="397"/>
        <v>0</v>
      </c>
      <c r="ID305" s="109">
        <f t="shared" si="398"/>
        <v>0</v>
      </c>
      <c r="IE305" s="109">
        <f t="shared" si="399"/>
        <v>0</v>
      </c>
      <c r="IF305" s="197"/>
      <c r="IG305" s="197"/>
      <c r="IH305" s="197"/>
      <c r="II305" s="197"/>
      <c r="IJ305" s="197"/>
      <c r="IK305" s="197"/>
      <c r="IL305" s="197"/>
      <c r="IM305" s="171"/>
      <c r="IN305" s="171"/>
      <c r="IO305" s="171"/>
      <c r="IP305" s="171"/>
    </row>
    <row r="306" spans="1:250" ht="15" customHeight="1" x14ac:dyDescent="0.3">
      <c r="A306" s="110">
        <f t="shared" si="400"/>
        <v>302</v>
      </c>
      <c r="B306" s="111"/>
      <c r="C306" s="111"/>
      <c r="D306" s="111"/>
      <c r="E306" s="111"/>
      <c r="F306" s="111"/>
      <c r="G306" s="111"/>
      <c r="H306" s="111"/>
      <c r="I306" s="194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75"/>
      <c r="AI306" s="111"/>
      <c r="AJ306" s="111"/>
      <c r="AK306" s="111"/>
      <c r="AL306" s="177"/>
      <c r="AM306" s="176"/>
      <c r="AN306" s="177"/>
      <c r="AO306" s="157"/>
      <c r="AP306" s="158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1"/>
      <c r="BC306" s="111"/>
      <c r="BD306" s="111"/>
      <c r="BE306" s="111"/>
      <c r="BF306" s="111"/>
      <c r="BG306" s="111"/>
      <c r="BH306" s="111"/>
      <c r="BI306" s="111"/>
      <c r="BJ306" s="111"/>
      <c r="BK306" s="111"/>
      <c r="BL306" s="175"/>
      <c r="BM306" s="111"/>
      <c r="BN306" s="111"/>
      <c r="BO306" s="111"/>
      <c r="BP306" s="111"/>
      <c r="BQ306" s="111"/>
      <c r="BR306" s="111"/>
      <c r="BS306" s="111"/>
      <c r="BT306" s="111"/>
      <c r="BU306" s="111"/>
      <c r="BV306" s="111"/>
      <c r="BW306" s="111"/>
      <c r="BX306" s="111"/>
      <c r="BY306" s="111"/>
      <c r="BZ306" s="111"/>
      <c r="CA306" s="111"/>
      <c r="CB306" s="111"/>
      <c r="CC306" s="178"/>
      <c r="CD306" s="177">
        <f t="shared" si="384"/>
        <v>0</v>
      </c>
      <c r="CE306" s="148"/>
      <c r="CF306" s="111">
        <f t="shared" si="385"/>
        <v>0</v>
      </c>
      <c r="CG306" s="177"/>
      <c r="CH306" s="204"/>
      <c r="CI306" s="148"/>
      <c r="CJ306" s="165"/>
      <c r="CK306" s="165"/>
      <c r="CL306" s="111"/>
      <c r="CM306" s="111"/>
      <c r="CN306" s="165">
        <f t="shared" si="386"/>
        <v>0</v>
      </c>
      <c r="CO306" s="109">
        <f t="shared" si="387"/>
        <v>0</v>
      </c>
      <c r="CP306" s="109">
        <f t="shared" si="388"/>
        <v>0</v>
      </c>
      <c r="CQ306" s="109"/>
      <c r="CR306" s="109"/>
      <c r="CS306" s="196"/>
      <c r="CT306" s="167"/>
      <c r="CU306" s="165"/>
      <c r="CV306" s="109">
        <f t="shared" si="389"/>
        <v>0</v>
      </c>
      <c r="CW306" s="109">
        <f t="shared" si="390"/>
        <v>0</v>
      </c>
      <c r="CX306" s="109"/>
      <c r="CY306" s="109"/>
      <c r="CZ306" s="111"/>
      <c r="DA306" s="111"/>
      <c r="DB306" s="165"/>
      <c r="DC306" s="109">
        <f t="shared" si="391"/>
        <v>0</v>
      </c>
      <c r="DD306" s="109">
        <f t="shared" si="392"/>
        <v>0</v>
      </c>
      <c r="DE306" s="109"/>
      <c r="DF306" s="109"/>
      <c r="DG306" s="111"/>
      <c r="DH306" s="111"/>
      <c r="DI306" s="165"/>
      <c r="DJ306" s="109">
        <f t="shared" si="393"/>
        <v>0</v>
      </c>
      <c r="DK306" s="109">
        <f t="shared" si="394"/>
        <v>0</v>
      </c>
      <c r="DL306" s="109"/>
      <c r="DM306" s="109"/>
      <c r="DN306" s="111"/>
      <c r="DO306" s="111"/>
      <c r="DP306" s="165"/>
      <c r="DQ306" s="109">
        <f t="shared" si="402"/>
        <v>0</v>
      </c>
      <c r="DR306" s="109">
        <f t="shared" si="403"/>
        <v>0</v>
      </c>
      <c r="DS306" s="109"/>
      <c r="DT306" s="109"/>
      <c r="DU306" s="111"/>
      <c r="DV306" s="111"/>
      <c r="DW306" s="165"/>
      <c r="DX306" s="109">
        <f t="shared" si="404"/>
        <v>0</v>
      </c>
      <c r="DY306" s="109">
        <f t="shared" si="405"/>
        <v>0</v>
      </c>
      <c r="DZ306" s="109"/>
      <c r="EA306" s="109"/>
      <c r="EB306" s="111"/>
      <c r="EC306" s="111"/>
      <c r="ED306" s="165"/>
      <c r="EE306" s="109">
        <f t="shared" si="406"/>
        <v>0</v>
      </c>
      <c r="EF306" s="109">
        <f t="shared" si="407"/>
        <v>0</v>
      </c>
      <c r="EG306" s="109"/>
      <c r="EH306" s="109"/>
      <c r="EI306" s="111"/>
      <c r="EJ306" s="111"/>
      <c r="EK306" s="165"/>
      <c r="EL306" s="109">
        <f t="shared" si="408"/>
        <v>0</v>
      </c>
      <c r="EM306" s="109">
        <f t="shared" si="409"/>
        <v>0</v>
      </c>
      <c r="EN306" s="109"/>
      <c r="EO306" s="109"/>
      <c r="EP306" s="111"/>
      <c r="EQ306" s="111"/>
      <c r="ER306" s="165"/>
      <c r="ES306" s="109">
        <f t="shared" si="410"/>
        <v>0</v>
      </c>
      <c r="ET306" s="109">
        <f t="shared" si="411"/>
        <v>0</v>
      </c>
      <c r="EU306" s="109"/>
      <c r="EV306" s="109"/>
      <c r="EW306" s="111"/>
      <c r="EX306" s="111"/>
      <c r="EY306" s="165"/>
      <c r="EZ306" s="109">
        <f t="shared" si="412"/>
        <v>0</v>
      </c>
      <c r="FA306" s="109">
        <f t="shared" si="413"/>
        <v>0</v>
      </c>
      <c r="FB306" s="109"/>
      <c r="FC306" s="109"/>
      <c r="FD306" s="111"/>
      <c r="FE306" s="111"/>
      <c r="FF306" s="165"/>
      <c r="FG306" s="109">
        <f t="shared" si="414"/>
        <v>0</v>
      </c>
      <c r="FH306" s="109">
        <f t="shared" si="415"/>
        <v>0</v>
      </c>
      <c r="FI306" s="109"/>
      <c r="FJ306" s="109"/>
      <c r="FK306" s="111"/>
      <c r="FL306" s="111"/>
      <c r="FM306" s="165"/>
      <c r="FN306" s="109">
        <f t="shared" si="416"/>
        <v>0</v>
      </c>
      <c r="FO306" s="109">
        <f t="shared" si="417"/>
        <v>0</v>
      </c>
      <c r="FP306" s="109"/>
      <c r="FQ306" s="109"/>
      <c r="FR306" s="111"/>
      <c r="FS306" s="111"/>
      <c r="FT306" s="165"/>
      <c r="FU306" s="109">
        <f t="shared" si="418"/>
        <v>0</v>
      </c>
      <c r="FV306" s="109">
        <f t="shared" si="426"/>
        <v>0</v>
      </c>
      <c r="FW306" s="109"/>
      <c r="FX306" s="109"/>
      <c r="FY306" s="111"/>
      <c r="FZ306" s="111"/>
      <c r="GA306" s="165"/>
      <c r="GB306" s="109">
        <f t="shared" si="419"/>
        <v>0</v>
      </c>
      <c r="GC306" s="109">
        <f t="shared" si="427"/>
        <v>0</v>
      </c>
      <c r="GD306" s="109"/>
      <c r="GE306" s="109"/>
      <c r="GF306" s="111"/>
      <c r="GG306" s="111"/>
      <c r="GH306" s="165"/>
      <c r="GI306" s="109">
        <f t="shared" si="420"/>
        <v>0</v>
      </c>
      <c r="GJ306" s="109">
        <f t="shared" si="428"/>
        <v>0</v>
      </c>
      <c r="GK306" s="109"/>
      <c r="GL306" s="109"/>
      <c r="GM306" s="111"/>
      <c r="GN306" s="111"/>
      <c r="GO306" s="165"/>
      <c r="GP306" s="109">
        <f t="shared" si="421"/>
        <v>0</v>
      </c>
      <c r="GQ306" s="109">
        <f t="shared" si="429"/>
        <v>0</v>
      </c>
      <c r="GR306" s="109"/>
      <c r="GS306" s="109"/>
      <c r="GT306" s="111"/>
      <c r="GU306" s="111"/>
      <c r="GV306" s="165"/>
      <c r="GW306" s="168">
        <f t="shared" si="422"/>
        <v>0</v>
      </c>
      <c r="GX306" s="168">
        <f t="shared" si="430"/>
        <v>0</v>
      </c>
      <c r="GY306" s="168"/>
      <c r="GZ306" s="168"/>
      <c r="HA306" s="111"/>
      <c r="HB306" s="111"/>
      <c r="HC306" s="165"/>
      <c r="HD306" s="109">
        <f t="shared" si="423"/>
        <v>0</v>
      </c>
      <c r="HE306" s="109">
        <f t="shared" si="431"/>
        <v>0</v>
      </c>
      <c r="HF306" s="109"/>
      <c r="HG306" s="109"/>
      <c r="HH306" s="111"/>
      <c r="HI306" s="111"/>
      <c r="HJ306" s="165"/>
      <c r="HK306" s="109">
        <f t="shared" si="424"/>
        <v>0</v>
      </c>
      <c r="HL306" s="109">
        <f t="shared" si="432"/>
        <v>0</v>
      </c>
      <c r="HM306" s="109"/>
      <c r="HN306" s="109"/>
      <c r="HO306" s="111"/>
      <c r="HP306" s="111"/>
      <c r="HQ306" s="165"/>
      <c r="HR306" s="109">
        <f t="shared" si="425"/>
        <v>0</v>
      </c>
      <c r="HS306" s="109">
        <f t="shared" si="433"/>
        <v>0</v>
      </c>
      <c r="HT306" s="109"/>
      <c r="HU306" s="109"/>
      <c r="HV306" s="111"/>
      <c r="HW306" s="111"/>
      <c r="HX306" s="105">
        <f t="shared" si="401"/>
        <v>0</v>
      </c>
      <c r="HY306" s="105">
        <f t="shared" si="401"/>
        <v>0</v>
      </c>
      <c r="HZ306" s="105">
        <f t="shared" si="401"/>
        <v>0</v>
      </c>
      <c r="IA306" s="105">
        <f t="shared" si="395"/>
        <v>0</v>
      </c>
      <c r="IB306" s="109">
        <f t="shared" si="396"/>
        <v>0</v>
      </c>
      <c r="IC306" s="109">
        <f t="shared" si="397"/>
        <v>0</v>
      </c>
      <c r="ID306" s="109">
        <f t="shared" si="398"/>
        <v>0</v>
      </c>
      <c r="IE306" s="109">
        <f t="shared" si="399"/>
        <v>0</v>
      </c>
      <c r="IF306" s="197"/>
      <c r="IG306" s="197"/>
      <c r="IH306" s="197"/>
      <c r="II306" s="197"/>
      <c r="IJ306" s="197"/>
      <c r="IK306" s="197"/>
      <c r="IL306" s="197"/>
      <c r="IM306" s="171"/>
      <c r="IN306" s="171"/>
      <c r="IO306" s="171"/>
      <c r="IP306" s="171"/>
    </row>
    <row r="307" spans="1:250" ht="15" customHeight="1" x14ac:dyDescent="0.3">
      <c r="A307" s="110">
        <f t="shared" si="400"/>
        <v>303</v>
      </c>
      <c r="B307" s="111"/>
      <c r="C307" s="111"/>
      <c r="D307" s="111"/>
      <c r="E307" s="111"/>
      <c r="F307" s="111"/>
      <c r="G307" s="111"/>
      <c r="H307" s="111"/>
      <c r="I307" s="194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75"/>
      <c r="AI307" s="111"/>
      <c r="AJ307" s="111"/>
      <c r="AK307" s="111"/>
      <c r="AL307" s="177"/>
      <c r="AM307" s="176"/>
      <c r="AN307" s="177"/>
      <c r="AO307" s="157"/>
      <c r="AP307" s="158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  <c r="BJ307" s="111"/>
      <c r="BK307" s="111"/>
      <c r="BL307" s="175"/>
      <c r="BM307" s="111"/>
      <c r="BN307" s="111"/>
      <c r="BO307" s="111"/>
      <c r="BP307" s="111"/>
      <c r="BQ307" s="111"/>
      <c r="BR307" s="111"/>
      <c r="BS307" s="111"/>
      <c r="BT307" s="111"/>
      <c r="BU307" s="111"/>
      <c r="BV307" s="111"/>
      <c r="BW307" s="111"/>
      <c r="BX307" s="111"/>
      <c r="BY307" s="111"/>
      <c r="BZ307" s="111"/>
      <c r="CA307" s="111"/>
      <c r="CB307" s="111"/>
      <c r="CC307" s="178"/>
      <c r="CD307" s="177">
        <f t="shared" si="384"/>
        <v>0</v>
      </c>
      <c r="CE307" s="148"/>
      <c r="CF307" s="111">
        <f t="shared" si="385"/>
        <v>0</v>
      </c>
      <c r="CG307" s="177"/>
      <c r="CH307" s="204"/>
      <c r="CI307" s="148"/>
      <c r="CJ307" s="165"/>
      <c r="CK307" s="165"/>
      <c r="CL307" s="111"/>
      <c r="CM307" s="111"/>
      <c r="CN307" s="165">
        <f t="shared" si="386"/>
        <v>0</v>
      </c>
      <c r="CO307" s="109">
        <f t="shared" si="387"/>
        <v>0</v>
      </c>
      <c r="CP307" s="109">
        <f t="shared" si="388"/>
        <v>0</v>
      </c>
      <c r="CQ307" s="109"/>
      <c r="CR307" s="109"/>
      <c r="CS307" s="196"/>
      <c r="CT307" s="167"/>
      <c r="CU307" s="165"/>
      <c r="CV307" s="109">
        <f t="shared" si="389"/>
        <v>0</v>
      </c>
      <c r="CW307" s="109">
        <f t="shared" si="390"/>
        <v>0</v>
      </c>
      <c r="CX307" s="109"/>
      <c r="CY307" s="109"/>
      <c r="CZ307" s="111"/>
      <c r="DA307" s="111"/>
      <c r="DB307" s="165"/>
      <c r="DC307" s="109">
        <f t="shared" si="391"/>
        <v>0</v>
      </c>
      <c r="DD307" s="109">
        <f t="shared" si="392"/>
        <v>0</v>
      </c>
      <c r="DE307" s="109"/>
      <c r="DF307" s="109"/>
      <c r="DG307" s="111"/>
      <c r="DH307" s="111"/>
      <c r="DI307" s="165"/>
      <c r="DJ307" s="109">
        <f t="shared" si="393"/>
        <v>0</v>
      </c>
      <c r="DK307" s="109">
        <f t="shared" si="394"/>
        <v>0</v>
      </c>
      <c r="DL307" s="109"/>
      <c r="DM307" s="109"/>
      <c r="DN307" s="111"/>
      <c r="DO307" s="111"/>
      <c r="DP307" s="165"/>
      <c r="DQ307" s="109">
        <f t="shared" si="402"/>
        <v>0</v>
      </c>
      <c r="DR307" s="109">
        <f t="shared" si="403"/>
        <v>0</v>
      </c>
      <c r="DS307" s="109"/>
      <c r="DT307" s="109"/>
      <c r="DU307" s="111"/>
      <c r="DV307" s="111"/>
      <c r="DW307" s="165"/>
      <c r="DX307" s="109">
        <f t="shared" si="404"/>
        <v>0</v>
      </c>
      <c r="DY307" s="109">
        <f t="shared" si="405"/>
        <v>0</v>
      </c>
      <c r="DZ307" s="109"/>
      <c r="EA307" s="109"/>
      <c r="EB307" s="111"/>
      <c r="EC307" s="111"/>
      <c r="ED307" s="165"/>
      <c r="EE307" s="109">
        <f t="shared" si="406"/>
        <v>0</v>
      </c>
      <c r="EF307" s="109">
        <f t="shared" si="407"/>
        <v>0</v>
      </c>
      <c r="EG307" s="109"/>
      <c r="EH307" s="109"/>
      <c r="EI307" s="111"/>
      <c r="EJ307" s="111"/>
      <c r="EK307" s="165"/>
      <c r="EL307" s="109">
        <f t="shared" si="408"/>
        <v>0</v>
      </c>
      <c r="EM307" s="109">
        <f t="shared" si="409"/>
        <v>0</v>
      </c>
      <c r="EN307" s="109"/>
      <c r="EO307" s="109"/>
      <c r="EP307" s="111"/>
      <c r="EQ307" s="111"/>
      <c r="ER307" s="165"/>
      <c r="ES307" s="109">
        <f t="shared" si="410"/>
        <v>0</v>
      </c>
      <c r="ET307" s="109">
        <f t="shared" si="411"/>
        <v>0</v>
      </c>
      <c r="EU307" s="109"/>
      <c r="EV307" s="109"/>
      <c r="EW307" s="111"/>
      <c r="EX307" s="111"/>
      <c r="EY307" s="165"/>
      <c r="EZ307" s="109">
        <f t="shared" si="412"/>
        <v>0</v>
      </c>
      <c r="FA307" s="109">
        <f t="shared" si="413"/>
        <v>0</v>
      </c>
      <c r="FB307" s="109"/>
      <c r="FC307" s="109"/>
      <c r="FD307" s="111"/>
      <c r="FE307" s="111"/>
      <c r="FF307" s="165"/>
      <c r="FG307" s="109">
        <f t="shared" si="414"/>
        <v>0</v>
      </c>
      <c r="FH307" s="109">
        <f t="shared" si="415"/>
        <v>0</v>
      </c>
      <c r="FI307" s="109"/>
      <c r="FJ307" s="109"/>
      <c r="FK307" s="111"/>
      <c r="FL307" s="111"/>
      <c r="FM307" s="165"/>
      <c r="FN307" s="109">
        <f t="shared" si="416"/>
        <v>0</v>
      </c>
      <c r="FO307" s="109">
        <f t="shared" si="417"/>
        <v>0</v>
      </c>
      <c r="FP307" s="109"/>
      <c r="FQ307" s="109"/>
      <c r="FR307" s="111"/>
      <c r="FS307" s="111"/>
      <c r="FT307" s="165"/>
      <c r="FU307" s="109">
        <f t="shared" si="418"/>
        <v>0</v>
      </c>
      <c r="FV307" s="109">
        <f t="shared" si="426"/>
        <v>0</v>
      </c>
      <c r="FW307" s="109"/>
      <c r="FX307" s="109"/>
      <c r="FY307" s="111"/>
      <c r="FZ307" s="111"/>
      <c r="GA307" s="165"/>
      <c r="GB307" s="109">
        <f t="shared" si="419"/>
        <v>0</v>
      </c>
      <c r="GC307" s="109">
        <f t="shared" si="427"/>
        <v>0</v>
      </c>
      <c r="GD307" s="109"/>
      <c r="GE307" s="109"/>
      <c r="GF307" s="111"/>
      <c r="GG307" s="111"/>
      <c r="GH307" s="165"/>
      <c r="GI307" s="109">
        <f t="shared" si="420"/>
        <v>0</v>
      </c>
      <c r="GJ307" s="109">
        <f t="shared" si="428"/>
        <v>0</v>
      </c>
      <c r="GK307" s="109"/>
      <c r="GL307" s="109"/>
      <c r="GM307" s="111"/>
      <c r="GN307" s="111"/>
      <c r="GO307" s="165"/>
      <c r="GP307" s="109">
        <f t="shared" si="421"/>
        <v>0</v>
      </c>
      <c r="GQ307" s="109">
        <f t="shared" si="429"/>
        <v>0</v>
      </c>
      <c r="GR307" s="109"/>
      <c r="GS307" s="109"/>
      <c r="GT307" s="111"/>
      <c r="GU307" s="111"/>
      <c r="GV307" s="165"/>
      <c r="GW307" s="168">
        <f t="shared" si="422"/>
        <v>0</v>
      </c>
      <c r="GX307" s="168">
        <f t="shared" si="430"/>
        <v>0</v>
      </c>
      <c r="GY307" s="168"/>
      <c r="GZ307" s="168"/>
      <c r="HA307" s="111"/>
      <c r="HB307" s="111"/>
      <c r="HC307" s="165"/>
      <c r="HD307" s="109">
        <f t="shared" si="423"/>
        <v>0</v>
      </c>
      <c r="HE307" s="109">
        <f t="shared" si="431"/>
        <v>0</v>
      </c>
      <c r="HF307" s="109"/>
      <c r="HG307" s="109"/>
      <c r="HH307" s="111"/>
      <c r="HI307" s="111"/>
      <c r="HJ307" s="165"/>
      <c r="HK307" s="109">
        <f t="shared" si="424"/>
        <v>0</v>
      </c>
      <c r="HL307" s="109">
        <f t="shared" si="432"/>
        <v>0</v>
      </c>
      <c r="HM307" s="109"/>
      <c r="HN307" s="109"/>
      <c r="HO307" s="111"/>
      <c r="HP307" s="111"/>
      <c r="HQ307" s="165"/>
      <c r="HR307" s="109">
        <f t="shared" si="425"/>
        <v>0</v>
      </c>
      <c r="HS307" s="109">
        <f t="shared" si="433"/>
        <v>0</v>
      </c>
      <c r="HT307" s="109"/>
      <c r="HU307" s="109"/>
      <c r="HV307" s="111"/>
      <c r="HW307" s="111"/>
      <c r="HX307" s="105">
        <f t="shared" si="401"/>
        <v>0</v>
      </c>
      <c r="HY307" s="105">
        <f t="shared" si="401"/>
        <v>0</v>
      </c>
      <c r="HZ307" s="105">
        <f t="shared" si="401"/>
        <v>0</v>
      </c>
      <c r="IA307" s="105">
        <f t="shared" si="395"/>
        <v>0</v>
      </c>
      <c r="IB307" s="109">
        <f t="shared" si="396"/>
        <v>0</v>
      </c>
      <c r="IC307" s="109">
        <f t="shared" si="397"/>
        <v>0</v>
      </c>
      <c r="ID307" s="109">
        <f t="shared" si="398"/>
        <v>0</v>
      </c>
      <c r="IE307" s="109">
        <f t="shared" si="399"/>
        <v>0</v>
      </c>
      <c r="IF307" s="197"/>
      <c r="IG307" s="197"/>
      <c r="IH307" s="197"/>
      <c r="II307" s="197"/>
      <c r="IJ307" s="197"/>
      <c r="IK307" s="197"/>
      <c r="IL307" s="197"/>
      <c r="IM307" s="171"/>
      <c r="IN307" s="171"/>
      <c r="IO307" s="171"/>
      <c r="IP307" s="171"/>
    </row>
    <row r="308" spans="1:250" ht="15" customHeight="1" x14ac:dyDescent="0.3">
      <c r="A308" s="110">
        <f t="shared" si="400"/>
        <v>304</v>
      </c>
      <c r="B308" s="111"/>
      <c r="C308" s="111"/>
      <c r="D308" s="111"/>
      <c r="E308" s="111"/>
      <c r="F308" s="111"/>
      <c r="G308" s="111"/>
      <c r="H308" s="111"/>
      <c r="I308" s="194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75"/>
      <c r="AI308" s="111"/>
      <c r="AJ308" s="111"/>
      <c r="AK308" s="111"/>
      <c r="AL308" s="177"/>
      <c r="AM308" s="176"/>
      <c r="AN308" s="177"/>
      <c r="AO308" s="157"/>
      <c r="AP308" s="158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  <c r="BJ308" s="111"/>
      <c r="BK308" s="111"/>
      <c r="BL308" s="175"/>
      <c r="BM308" s="111"/>
      <c r="BN308" s="111"/>
      <c r="BO308" s="111"/>
      <c r="BP308" s="111"/>
      <c r="BQ308" s="111"/>
      <c r="BR308" s="111"/>
      <c r="BS308" s="111"/>
      <c r="BT308" s="111"/>
      <c r="BU308" s="111"/>
      <c r="BV308" s="111"/>
      <c r="BW308" s="111"/>
      <c r="BX308" s="111"/>
      <c r="BY308" s="111"/>
      <c r="BZ308" s="111"/>
      <c r="CA308" s="111"/>
      <c r="CB308" s="111"/>
      <c r="CC308" s="178"/>
      <c r="CD308" s="177">
        <f t="shared" si="384"/>
        <v>0</v>
      </c>
      <c r="CE308" s="148"/>
      <c r="CF308" s="111">
        <f t="shared" si="385"/>
        <v>0</v>
      </c>
      <c r="CG308" s="177"/>
      <c r="CH308" s="204"/>
      <c r="CI308" s="148"/>
      <c r="CJ308" s="165"/>
      <c r="CK308" s="165"/>
      <c r="CL308" s="111"/>
      <c r="CM308" s="111"/>
      <c r="CN308" s="165">
        <f t="shared" si="386"/>
        <v>0</v>
      </c>
      <c r="CO308" s="109">
        <f t="shared" si="387"/>
        <v>0</v>
      </c>
      <c r="CP308" s="109">
        <f t="shared" si="388"/>
        <v>0</v>
      </c>
      <c r="CQ308" s="109"/>
      <c r="CR308" s="109"/>
      <c r="CS308" s="196"/>
      <c r="CT308" s="167"/>
      <c r="CU308" s="165"/>
      <c r="CV308" s="109">
        <f t="shared" si="389"/>
        <v>0</v>
      </c>
      <c r="CW308" s="109">
        <f t="shared" si="390"/>
        <v>0</v>
      </c>
      <c r="CX308" s="109"/>
      <c r="CY308" s="109"/>
      <c r="CZ308" s="111"/>
      <c r="DA308" s="111"/>
      <c r="DB308" s="165"/>
      <c r="DC308" s="109">
        <f t="shared" si="391"/>
        <v>0</v>
      </c>
      <c r="DD308" s="109">
        <f t="shared" si="392"/>
        <v>0</v>
      </c>
      <c r="DE308" s="109"/>
      <c r="DF308" s="109"/>
      <c r="DG308" s="111"/>
      <c r="DH308" s="111"/>
      <c r="DI308" s="165"/>
      <c r="DJ308" s="109">
        <f t="shared" si="393"/>
        <v>0</v>
      </c>
      <c r="DK308" s="109">
        <f t="shared" si="394"/>
        <v>0</v>
      </c>
      <c r="DL308" s="109"/>
      <c r="DM308" s="109"/>
      <c r="DN308" s="111"/>
      <c r="DO308" s="111"/>
      <c r="DP308" s="165"/>
      <c r="DQ308" s="109">
        <f t="shared" si="402"/>
        <v>0</v>
      </c>
      <c r="DR308" s="109">
        <f t="shared" si="403"/>
        <v>0</v>
      </c>
      <c r="DS308" s="109"/>
      <c r="DT308" s="109"/>
      <c r="DU308" s="111"/>
      <c r="DV308" s="111"/>
      <c r="DW308" s="165"/>
      <c r="DX308" s="109">
        <f t="shared" si="404"/>
        <v>0</v>
      </c>
      <c r="DY308" s="109">
        <f t="shared" si="405"/>
        <v>0</v>
      </c>
      <c r="DZ308" s="109"/>
      <c r="EA308" s="109"/>
      <c r="EB308" s="111"/>
      <c r="EC308" s="111"/>
      <c r="ED308" s="165"/>
      <c r="EE308" s="109">
        <f t="shared" si="406"/>
        <v>0</v>
      </c>
      <c r="EF308" s="109">
        <f t="shared" si="407"/>
        <v>0</v>
      </c>
      <c r="EG308" s="109"/>
      <c r="EH308" s="109"/>
      <c r="EI308" s="111"/>
      <c r="EJ308" s="111"/>
      <c r="EK308" s="165"/>
      <c r="EL308" s="109">
        <f t="shared" si="408"/>
        <v>0</v>
      </c>
      <c r="EM308" s="109">
        <f t="shared" si="409"/>
        <v>0</v>
      </c>
      <c r="EN308" s="109"/>
      <c r="EO308" s="109"/>
      <c r="EP308" s="111"/>
      <c r="EQ308" s="111"/>
      <c r="ER308" s="165"/>
      <c r="ES308" s="109">
        <f t="shared" si="410"/>
        <v>0</v>
      </c>
      <c r="ET308" s="109">
        <f t="shared" si="411"/>
        <v>0</v>
      </c>
      <c r="EU308" s="109"/>
      <c r="EV308" s="109"/>
      <c r="EW308" s="111"/>
      <c r="EX308" s="111"/>
      <c r="EY308" s="165"/>
      <c r="EZ308" s="109">
        <f t="shared" si="412"/>
        <v>0</v>
      </c>
      <c r="FA308" s="109">
        <f t="shared" si="413"/>
        <v>0</v>
      </c>
      <c r="FB308" s="109"/>
      <c r="FC308" s="109"/>
      <c r="FD308" s="111"/>
      <c r="FE308" s="111"/>
      <c r="FF308" s="165"/>
      <c r="FG308" s="109">
        <f t="shared" si="414"/>
        <v>0</v>
      </c>
      <c r="FH308" s="109">
        <f t="shared" si="415"/>
        <v>0</v>
      </c>
      <c r="FI308" s="109"/>
      <c r="FJ308" s="109"/>
      <c r="FK308" s="111"/>
      <c r="FL308" s="111"/>
      <c r="FM308" s="165"/>
      <c r="FN308" s="109">
        <f t="shared" si="416"/>
        <v>0</v>
      </c>
      <c r="FO308" s="109">
        <f t="shared" si="417"/>
        <v>0</v>
      </c>
      <c r="FP308" s="109"/>
      <c r="FQ308" s="109"/>
      <c r="FR308" s="111"/>
      <c r="FS308" s="111"/>
      <c r="FT308" s="165"/>
      <c r="FU308" s="109">
        <f t="shared" si="418"/>
        <v>0</v>
      </c>
      <c r="FV308" s="109">
        <f t="shared" si="426"/>
        <v>0</v>
      </c>
      <c r="FW308" s="109"/>
      <c r="FX308" s="109"/>
      <c r="FY308" s="111"/>
      <c r="FZ308" s="111"/>
      <c r="GA308" s="165"/>
      <c r="GB308" s="109">
        <f t="shared" si="419"/>
        <v>0</v>
      </c>
      <c r="GC308" s="109">
        <f t="shared" si="427"/>
        <v>0</v>
      </c>
      <c r="GD308" s="109"/>
      <c r="GE308" s="109"/>
      <c r="GF308" s="111"/>
      <c r="GG308" s="111"/>
      <c r="GH308" s="165"/>
      <c r="GI308" s="109">
        <f t="shared" si="420"/>
        <v>0</v>
      </c>
      <c r="GJ308" s="109">
        <f t="shared" si="428"/>
        <v>0</v>
      </c>
      <c r="GK308" s="109"/>
      <c r="GL308" s="109"/>
      <c r="GM308" s="111"/>
      <c r="GN308" s="111"/>
      <c r="GO308" s="165"/>
      <c r="GP308" s="109">
        <f t="shared" si="421"/>
        <v>0</v>
      </c>
      <c r="GQ308" s="109">
        <f t="shared" si="429"/>
        <v>0</v>
      </c>
      <c r="GR308" s="109"/>
      <c r="GS308" s="109"/>
      <c r="GT308" s="111"/>
      <c r="GU308" s="111"/>
      <c r="GV308" s="165"/>
      <c r="GW308" s="168">
        <f t="shared" si="422"/>
        <v>0</v>
      </c>
      <c r="GX308" s="168">
        <f t="shared" si="430"/>
        <v>0</v>
      </c>
      <c r="GY308" s="168"/>
      <c r="GZ308" s="168"/>
      <c r="HA308" s="111"/>
      <c r="HB308" s="111"/>
      <c r="HC308" s="165"/>
      <c r="HD308" s="109">
        <f t="shared" si="423"/>
        <v>0</v>
      </c>
      <c r="HE308" s="109">
        <f t="shared" si="431"/>
        <v>0</v>
      </c>
      <c r="HF308" s="109"/>
      <c r="HG308" s="109"/>
      <c r="HH308" s="111"/>
      <c r="HI308" s="111"/>
      <c r="HJ308" s="165"/>
      <c r="HK308" s="109">
        <f t="shared" si="424"/>
        <v>0</v>
      </c>
      <c r="HL308" s="109">
        <f t="shared" si="432"/>
        <v>0</v>
      </c>
      <c r="HM308" s="109"/>
      <c r="HN308" s="109"/>
      <c r="HO308" s="111"/>
      <c r="HP308" s="111"/>
      <c r="HQ308" s="165"/>
      <c r="HR308" s="109">
        <f t="shared" si="425"/>
        <v>0</v>
      </c>
      <c r="HS308" s="109">
        <f t="shared" si="433"/>
        <v>0</v>
      </c>
      <c r="HT308" s="109"/>
      <c r="HU308" s="109"/>
      <c r="HV308" s="111"/>
      <c r="HW308" s="111"/>
      <c r="HX308" s="105">
        <f t="shared" si="401"/>
        <v>0</v>
      </c>
      <c r="HY308" s="105">
        <f t="shared" si="401"/>
        <v>0</v>
      </c>
      <c r="HZ308" s="105">
        <f t="shared" si="401"/>
        <v>0</v>
      </c>
      <c r="IA308" s="105">
        <f t="shared" si="395"/>
        <v>0</v>
      </c>
      <c r="IB308" s="109">
        <f t="shared" si="396"/>
        <v>0</v>
      </c>
      <c r="IC308" s="109">
        <f t="shared" si="397"/>
        <v>0</v>
      </c>
      <c r="ID308" s="109">
        <f t="shared" si="398"/>
        <v>0</v>
      </c>
      <c r="IE308" s="109">
        <f t="shared" si="399"/>
        <v>0</v>
      </c>
      <c r="IF308" s="197"/>
      <c r="IG308" s="197"/>
      <c r="IH308" s="197"/>
      <c r="II308" s="197"/>
      <c r="IJ308" s="197"/>
      <c r="IK308" s="197"/>
      <c r="IL308" s="197"/>
      <c r="IM308" s="171"/>
      <c r="IN308" s="171"/>
      <c r="IO308" s="171"/>
      <c r="IP308" s="171"/>
    </row>
    <row r="309" spans="1:250" ht="15" customHeight="1" x14ac:dyDescent="0.3">
      <c r="A309" s="110">
        <f t="shared" si="400"/>
        <v>305</v>
      </c>
      <c r="B309" s="111"/>
      <c r="C309" s="111"/>
      <c r="D309" s="111"/>
      <c r="E309" s="111"/>
      <c r="F309" s="111"/>
      <c r="G309" s="111"/>
      <c r="H309" s="111"/>
      <c r="I309" s="194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75"/>
      <c r="AI309" s="111"/>
      <c r="AJ309" s="111"/>
      <c r="AK309" s="111"/>
      <c r="AL309" s="177"/>
      <c r="AM309" s="176"/>
      <c r="AN309" s="177"/>
      <c r="AO309" s="157"/>
      <c r="AP309" s="158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  <c r="BJ309" s="111"/>
      <c r="BK309" s="111"/>
      <c r="BL309" s="175"/>
      <c r="BM309" s="111"/>
      <c r="BN309" s="111"/>
      <c r="BO309" s="111"/>
      <c r="BP309" s="111"/>
      <c r="BQ309" s="111"/>
      <c r="BR309" s="111"/>
      <c r="BS309" s="111"/>
      <c r="BT309" s="111"/>
      <c r="BU309" s="111"/>
      <c r="BV309" s="111"/>
      <c r="BW309" s="111"/>
      <c r="BX309" s="111"/>
      <c r="BY309" s="111"/>
      <c r="BZ309" s="111"/>
      <c r="CA309" s="111"/>
      <c r="CB309" s="111"/>
      <c r="CC309" s="178"/>
      <c r="CD309" s="177">
        <f t="shared" si="384"/>
        <v>0</v>
      </c>
      <c r="CE309" s="148"/>
      <c r="CF309" s="111">
        <f t="shared" si="385"/>
        <v>0</v>
      </c>
      <c r="CG309" s="177"/>
      <c r="CH309" s="204"/>
      <c r="CI309" s="148"/>
      <c r="CJ309" s="165"/>
      <c r="CK309" s="165"/>
      <c r="CL309" s="111"/>
      <c r="CM309" s="111"/>
      <c r="CN309" s="165">
        <f t="shared" si="386"/>
        <v>0</v>
      </c>
      <c r="CO309" s="109">
        <f t="shared" si="387"/>
        <v>0</v>
      </c>
      <c r="CP309" s="109">
        <f t="shared" si="388"/>
        <v>0</v>
      </c>
      <c r="CQ309" s="109"/>
      <c r="CR309" s="109"/>
      <c r="CS309" s="196"/>
      <c r="CT309" s="167"/>
      <c r="CU309" s="165"/>
      <c r="CV309" s="109">
        <f t="shared" si="389"/>
        <v>0</v>
      </c>
      <c r="CW309" s="109">
        <f t="shared" si="390"/>
        <v>0</v>
      </c>
      <c r="CX309" s="109"/>
      <c r="CY309" s="109"/>
      <c r="CZ309" s="111"/>
      <c r="DA309" s="111"/>
      <c r="DB309" s="165"/>
      <c r="DC309" s="109">
        <f t="shared" si="391"/>
        <v>0</v>
      </c>
      <c r="DD309" s="109">
        <f t="shared" si="392"/>
        <v>0</v>
      </c>
      <c r="DE309" s="109"/>
      <c r="DF309" s="109"/>
      <c r="DG309" s="111"/>
      <c r="DH309" s="111"/>
      <c r="DI309" s="165"/>
      <c r="DJ309" s="109">
        <f t="shared" si="393"/>
        <v>0</v>
      </c>
      <c r="DK309" s="109">
        <f t="shared" si="394"/>
        <v>0</v>
      </c>
      <c r="DL309" s="109"/>
      <c r="DM309" s="109"/>
      <c r="DN309" s="111"/>
      <c r="DO309" s="111"/>
      <c r="DP309" s="165"/>
      <c r="DQ309" s="109">
        <f t="shared" si="402"/>
        <v>0</v>
      </c>
      <c r="DR309" s="109">
        <f t="shared" si="403"/>
        <v>0</v>
      </c>
      <c r="DS309" s="109"/>
      <c r="DT309" s="109"/>
      <c r="DU309" s="111"/>
      <c r="DV309" s="111"/>
      <c r="DW309" s="165"/>
      <c r="DX309" s="109">
        <f t="shared" si="404"/>
        <v>0</v>
      </c>
      <c r="DY309" s="109">
        <f t="shared" si="405"/>
        <v>0</v>
      </c>
      <c r="DZ309" s="109"/>
      <c r="EA309" s="109"/>
      <c r="EB309" s="111"/>
      <c r="EC309" s="111"/>
      <c r="ED309" s="165"/>
      <c r="EE309" s="109">
        <f t="shared" si="406"/>
        <v>0</v>
      </c>
      <c r="EF309" s="109">
        <f t="shared" si="407"/>
        <v>0</v>
      </c>
      <c r="EG309" s="109"/>
      <c r="EH309" s="109"/>
      <c r="EI309" s="111"/>
      <c r="EJ309" s="111"/>
      <c r="EK309" s="165"/>
      <c r="EL309" s="109">
        <f t="shared" si="408"/>
        <v>0</v>
      </c>
      <c r="EM309" s="109">
        <f t="shared" si="409"/>
        <v>0</v>
      </c>
      <c r="EN309" s="109"/>
      <c r="EO309" s="109"/>
      <c r="EP309" s="111"/>
      <c r="EQ309" s="111"/>
      <c r="ER309" s="165"/>
      <c r="ES309" s="109">
        <f t="shared" si="410"/>
        <v>0</v>
      </c>
      <c r="ET309" s="109">
        <f t="shared" si="411"/>
        <v>0</v>
      </c>
      <c r="EU309" s="109"/>
      <c r="EV309" s="109"/>
      <c r="EW309" s="111"/>
      <c r="EX309" s="111"/>
      <c r="EY309" s="165"/>
      <c r="EZ309" s="109">
        <f t="shared" si="412"/>
        <v>0</v>
      </c>
      <c r="FA309" s="109">
        <f t="shared" si="413"/>
        <v>0</v>
      </c>
      <c r="FB309" s="109"/>
      <c r="FC309" s="109"/>
      <c r="FD309" s="111"/>
      <c r="FE309" s="111"/>
      <c r="FF309" s="165"/>
      <c r="FG309" s="109">
        <f t="shared" si="414"/>
        <v>0</v>
      </c>
      <c r="FH309" s="109">
        <f t="shared" si="415"/>
        <v>0</v>
      </c>
      <c r="FI309" s="109"/>
      <c r="FJ309" s="109"/>
      <c r="FK309" s="111"/>
      <c r="FL309" s="111"/>
      <c r="FM309" s="165"/>
      <c r="FN309" s="109">
        <f t="shared" si="416"/>
        <v>0</v>
      </c>
      <c r="FO309" s="109">
        <f t="shared" si="417"/>
        <v>0</v>
      </c>
      <c r="FP309" s="109"/>
      <c r="FQ309" s="109"/>
      <c r="FR309" s="111"/>
      <c r="FS309" s="111"/>
      <c r="FT309" s="165"/>
      <c r="FU309" s="109">
        <f t="shared" si="418"/>
        <v>0</v>
      </c>
      <c r="FV309" s="109">
        <f t="shared" si="426"/>
        <v>0</v>
      </c>
      <c r="FW309" s="109"/>
      <c r="FX309" s="109"/>
      <c r="FY309" s="111"/>
      <c r="FZ309" s="111"/>
      <c r="GA309" s="165"/>
      <c r="GB309" s="109">
        <f t="shared" si="419"/>
        <v>0</v>
      </c>
      <c r="GC309" s="109">
        <f t="shared" si="427"/>
        <v>0</v>
      </c>
      <c r="GD309" s="109"/>
      <c r="GE309" s="109"/>
      <c r="GF309" s="111"/>
      <c r="GG309" s="111"/>
      <c r="GH309" s="165"/>
      <c r="GI309" s="109">
        <f t="shared" si="420"/>
        <v>0</v>
      </c>
      <c r="GJ309" s="109">
        <f t="shared" si="428"/>
        <v>0</v>
      </c>
      <c r="GK309" s="109"/>
      <c r="GL309" s="109"/>
      <c r="GM309" s="111"/>
      <c r="GN309" s="111"/>
      <c r="GO309" s="165"/>
      <c r="GP309" s="109">
        <f t="shared" si="421"/>
        <v>0</v>
      </c>
      <c r="GQ309" s="109">
        <f t="shared" si="429"/>
        <v>0</v>
      </c>
      <c r="GR309" s="109"/>
      <c r="GS309" s="109"/>
      <c r="GT309" s="111"/>
      <c r="GU309" s="111"/>
      <c r="GV309" s="165"/>
      <c r="GW309" s="168">
        <f t="shared" si="422"/>
        <v>0</v>
      </c>
      <c r="GX309" s="168">
        <f t="shared" si="430"/>
        <v>0</v>
      </c>
      <c r="GY309" s="168"/>
      <c r="GZ309" s="168"/>
      <c r="HA309" s="111"/>
      <c r="HB309" s="111"/>
      <c r="HC309" s="165"/>
      <c r="HD309" s="109">
        <f t="shared" si="423"/>
        <v>0</v>
      </c>
      <c r="HE309" s="109">
        <f t="shared" si="431"/>
        <v>0</v>
      </c>
      <c r="HF309" s="109"/>
      <c r="HG309" s="109"/>
      <c r="HH309" s="111"/>
      <c r="HI309" s="111"/>
      <c r="HJ309" s="165"/>
      <c r="HK309" s="109">
        <f t="shared" si="424"/>
        <v>0</v>
      </c>
      <c r="HL309" s="109">
        <f t="shared" si="432"/>
        <v>0</v>
      </c>
      <c r="HM309" s="109"/>
      <c r="HN309" s="109"/>
      <c r="HO309" s="111"/>
      <c r="HP309" s="111"/>
      <c r="HQ309" s="165"/>
      <c r="HR309" s="109">
        <f t="shared" si="425"/>
        <v>0</v>
      </c>
      <c r="HS309" s="109">
        <f t="shared" si="433"/>
        <v>0</v>
      </c>
      <c r="HT309" s="109"/>
      <c r="HU309" s="109"/>
      <c r="HV309" s="111"/>
      <c r="HW309" s="111"/>
      <c r="HX309" s="105">
        <f t="shared" si="401"/>
        <v>0</v>
      </c>
      <c r="HY309" s="105">
        <f t="shared" si="401"/>
        <v>0</v>
      </c>
      <c r="HZ309" s="105">
        <f t="shared" si="401"/>
        <v>0</v>
      </c>
      <c r="IA309" s="105">
        <f t="shared" si="395"/>
        <v>0</v>
      </c>
      <c r="IB309" s="109">
        <f t="shared" si="396"/>
        <v>0</v>
      </c>
      <c r="IC309" s="109">
        <f t="shared" si="397"/>
        <v>0</v>
      </c>
      <c r="ID309" s="109">
        <f t="shared" si="398"/>
        <v>0</v>
      </c>
      <c r="IE309" s="109">
        <f t="shared" si="399"/>
        <v>0</v>
      </c>
      <c r="IF309" s="197"/>
      <c r="IG309" s="197"/>
      <c r="IH309" s="197"/>
      <c r="II309" s="197"/>
      <c r="IJ309" s="197"/>
      <c r="IK309" s="197"/>
      <c r="IL309" s="197"/>
      <c r="IM309" s="171"/>
      <c r="IN309" s="171"/>
      <c r="IO309" s="171"/>
      <c r="IP309" s="171"/>
    </row>
    <row r="310" spans="1:250" ht="15" customHeight="1" x14ac:dyDescent="0.3">
      <c r="A310" s="110">
        <f t="shared" si="400"/>
        <v>306</v>
      </c>
      <c r="B310" s="111"/>
      <c r="C310" s="111"/>
      <c r="D310" s="111"/>
      <c r="E310" s="111"/>
      <c r="F310" s="111"/>
      <c r="G310" s="111"/>
      <c r="H310" s="111"/>
      <c r="I310" s="194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75"/>
      <c r="AI310" s="111"/>
      <c r="AJ310" s="111"/>
      <c r="AK310" s="111"/>
      <c r="AL310" s="177"/>
      <c r="AM310" s="176"/>
      <c r="AN310" s="177"/>
      <c r="AO310" s="157"/>
      <c r="AP310" s="158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  <c r="BJ310" s="111"/>
      <c r="BK310" s="111"/>
      <c r="BL310" s="175"/>
      <c r="BM310" s="111"/>
      <c r="BN310" s="111"/>
      <c r="BO310" s="111"/>
      <c r="BP310" s="111"/>
      <c r="BQ310" s="111"/>
      <c r="BR310" s="111"/>
      <c r="BS310" s="111"/>
      <c r="BT310" s="111"/>
      <c r="BU310" s="111"/>
      <c r="BV310" s="111"/>
      <c r="BW310" s="111"/>
      <c r="BX310" s="111"/>
      <c r="BY310" s="111"/>
      <c r="BZ310" s="111"/>
      <c r="CA310" s="111"/>
      <c r="CB310" s="111"/>
      <c r="CC310" s="178"/>
      <c r="CD310" s="177">
        <f t="shared" si="384"/>
        <v>0</v>
      </c>
      <c r="CE310" s="148"/>
      <c r="CF310" s="111">
        <f t="shared" si="385"/>
        <v>0</v>
      </c>
      <c r="CG310" s="177"/>
      <c r="CH310" s="204"/>
      <c r="CI310" s="148"/>
      <c r="CJ310" s="165"/>
      <c r="CK310" s="165"/>
      <c r="CL310" s="111"/>
      <c r="CM310" s="111"/>
      <c r="CN310" s="165">
        <f t="shared" si="386"/>
        <v>0</v>
      </c>
      <c r="CO310" s="109">
        <f t="shared" si="387"/>
        <v>0</v>
      </c>
      <c r="CP310" s="109">
        <f t="shared" si="388"/>
        <v>0</v>
      </c>
      <c r="CQ310" s="109"/>
      <c r="CR310" s="109"/>
      <c r="CS310" s="196"/>
      <c r="CT310" s="167"/>
      <c r="CU310" s="165"/>
      <c r="CV310" s="109">
        <f t="shared" si="389"/>
        <v>0</v>
      </c>
      <c r="CW310" s="109">
        <f t="shared" si="390"/>
        <v>0</v>
      </c>
      <c r="CX310" s="109"/>
      <c r="CY310" s="109"/>
      <c r="CZ310" s="111"/>
      <c r="DA310" s="111"/>
      <c r="DB310" s="165"/>
      <c r="DC310" s="109">
        <f t="shared" si="391"/>
        <v>0</v>
      </c>
      <c r="DD310" s="109">
        <f t="shared" si="392"/>
        <v>0</v>
      </c>
      <c r="DE310" s="109"/>
      <c r="DF310" s="109"/>
      <c r="DG310" s="111"/>
      <c r="DH310" s="111"/>
      <c r="DI310" s="165"/>
      <c r="DJ310" s="109">
        <f t="shared" si="393"/>
        <v>0</v>
      </c>
      <c r="DK310" s="109">
        <f t="shared" si="394"/>
        <v>0</v>
      </c>
      <c r="DL310" s="109"/>
      <c r="DM310" s="109"/>
      <c r="DN310" s="111"/>
      <c r="DO310" s="111"/>
      <c r="DP310" s="165"/>
      <c r="DQ310" s="109">
        <f t="shared" si="402"/>
        <v>0</v>
      </c>
      <c r="DR310" s="109">
        <f t="shared" si="403"/>
        <v>0</v>
      </c>
      <c r="DS310" s="109"/>
      <c r="DT310" s="109"/>
      <c r="DU310" s="111"/>
      <c r="DV310" s="111"/>
      <c r="DW310" s="165"/>
      <c r="DX310" s="109">
        <f t="shared" si="404"/>
        <v>0</v>
      </c>
      <c r="DY310" s="109">
        <f t="shared" si="405"/>
        <v>0</v>
      </c>
      <c r="DZ310" s="109"/>
      <c r="EA310" s="109"/>
      <c r="EB310" s="111"/>
      <c r="EC310" s="111"/>
      <c r="ED310" s="165"/>
      <c r="EE310" s="109">
        <f t="shared" si="406"/>
        <v>0</v>
      </c>
      <c r="EF310" s="109">
        <f t="shared" si="407"/>
        <v>0</v>
      </c>
      <c r="EG310" s="109"/>
      <c r="EH310" s="109"/>
      <c r="EI310" s="111"/>
      <c r="EJ310" s="111"/>
      <c r="EK310" s="165"/>
      <c r="EL310" s="109">
        <f t="shared" si="408"/>
        <v>0</v>
      </c>
      <c r="EM310" s="109">
        <f t="shared" si="409"/>
        <v>0</v>
      </c>
      <c r="EN310" s="109"/>
      <c r="EO310" s="109"/>
      <c r="EP310" s="111"/>
      <c r="EQ310" s="111"/>
      <c r="ER310" s="165"/>
      <c r="ES310" s="109">
        <f t="shared" si="410"/>
        <v>0</v>
      </c>
      <c r="ET310" s="109">
        <f t="shared" si="411"/>
        <v>0</v>
      </c>
      <c r="EU310" s="109"/>
      <c r="EV310" s="109"/>
      <c r="EW310" s="111"/>
      <c r="EX310" s="111"/>
      <c r="EY310" s="165"/>
      <c r="EZ310" s="109">
        <f t="shared" si="412"/>
        <v>0</v>
      </c>
      <c r="FA310" s="109">
        <f t="shared" si="413"/>
        <v>0</v>
      </c>
      <c r="FB310" s="109"/>
      <c r="FC310" s="109"/>
      <c r="FD310" s="111"/>
      <c r="FE310" s="111"/>
      <c r="FF310" s="165"/>
      <c r="FG310" s="109">
        <f t="shared" si="414"/>
        <v>0</v>
      </c>
      <c r="FH310" s="109">
        <f t="shared" si="415"/>
        <v>0</v>
      </c>
      <c r="FI310" s="109"/>
      <c r="FJ310" s="109"/>
      <c r="FK310" s="111"/>
      <c r="FL310" s="111"/>
      <c r="FM310" s="165"/>
      <c r="FN310" s="109">
        <f t="shared" si="416"/>
        <v>0</v>
      </c>
      <c r="FO310" s="109">
        <f t="shared" si="417"/>
        <v>0</v>
      </c>
      <c r="FP310" s="109"/>
      <c r="FQ310" s="109"/>
      <c r="FR310" s="111"/>
      <c r="FS310" s="111"/>
      <c r="FT310" s="165"/>
      <c r="FU310" s="109">
        <f t="shared" si="418"/>
        <v>0</v>
      </c>
      <c r="FV310" s="109">
        <f t="shared" si="426"/>
        <v>0</v>
      </c>
      <c r="FW310" s="109"/>
      <c r="FX310" s="109"/>
      <c r="FY310" s="111"/>
      <c r="FZ310" s="111"/>
      <c r="GA310" s="165"/>
      <c r="GB310" s="109">
        <f t="shared" si="419"/>
        <v>0</v>
      </c>
      <c r="GC310" s="109">
        <f t="shared" si="427"/>
        <v>0</v>
      </c>
      <c r="GD310" s="109"/>
      <c r="GE310" s="109"/>
      <c r="GF310" s="111"/>
      <c r="GG310" s="111"/>
      <c r="GH310" s="165"/>
      <c r="GI310" s="109">
        <f t="shared" si="420"/>
        <v>0</v>
      </c>
      <c r="GJ310" s="109">
        <f t="shared" si="428"/>
        <v>0</v>
      </c>
      <c r="GK310" s="109"/>
      <c r="GL310" s="109"/>
      <c r="GM310" s="111"/>
      <c r="GN310" s="111"/>
      <c r="GO310" s="165"/>
      <c r="GP310" s="109">
        <f t="shared" si="421"/>
        <v>0</v>
      </c>
      <c r="GQ310" s="109">
        <f t="shared" si="429"/>
        <v>0</v>
      </c>
      <c r="GR310" s="109"/>
      <c r="GS310" s="109"/>
      <c r="GT310" s="111"/>
      <c r="GU310" s="111"/>
      <c r="GV310" s="165"/>
      <c r="GW310" s="168">
        <f t="shared" si="422"/>
        <v>0</v>
      </c>
      <c r="GX310" s="168">
        <f t="shared" si="430"/>
        <v>0</v>
      </c>
      <c r="GY310" s="168"/>
      <c r="GZ310" s="168"/>
      <c r="HA310" s="111"/>
      <c r="HB310" s="111"/>
      <c r="HC310" s="165"/>
      <c r="HD310" s="109">
        <f t="shared" si="423"/>
        <v>0</v>
      </c>
      <c r="HE310" s="109">
        <f t="shared" si="431"/>
        <v>0</v>
      </c>
      <c r="HF310" s="109"/>
      <c r="HG310" s="109"/>
      <c r="HH310" s="111"/>
      <c r="HI310" s="111"/>
      <c r="HJ310" s="165"/>
      <c r="HK310" s="109">
        <f t="shared" si="424"/>
        <v>0</v>
      </c>
      <c r="HL310" s="109">
        <f t="shared" si="432"/>
        <v>0</v>
      </c>
      <c r="HM310" s="109"/>
      <c r="HN310" s="109"/>
      <c r="HO310" s="111"/>
      <c r="HP310" s="111"/>
      <c r="HQ310" s="165"/>
      <c r="HR310" s="109">
        <f t="shared" si="425"/>
        <v>0</v>
      </c>
      <c r="HS310" s="109">
        <f t="shared" si="433"/>
        <v>0</v>
      </c>
      <c r="HT310" s="109"/>
      <c r="HU310" s="109"/>
      <c r="HV310" s="111"/>
      <c r="HW310" s="111"/>
      <c r="HX310" s="105">
        <f t="shared" si="401"/>
        <v>0</v>
      </c>
      <c r="HY310" s="105">
        <f t="shared" si="401"/>
        <v>0</v>
      </c>
      <c r="HZ310" s="105">
        <f t="shared" si="401"/>
        <v>0</v>
      </c>
      <c r="IA310" s="105">
        <f t="shared" si="395"/>
        <v>0</v>
      </c>
      <c r="IB310" s="109">
        <f t="shared" si="396"/>
        <v>0</v>
      </c>
      <c r="IC310" s="109">
        <f t="shared" si="397"/>
        <v>0</v>
      </c>
      <c r="ID310" s="109">
        <f t="shared" si="398"/>
        <v>0</v>
      </c>
      <c r="IE310" s="109">
        <f t="shared" si="399"/>
        <v>0</v>
      </c>
      <c r="IF310" s="197"/>
      <c r="IG310" s="197"/>
      <c r="IH310" s="197"/>
      <c r="II310" s="197"/>
      <c r="IJ310" s="197"/>
      <c r="IK310" s="197"/>
      <c r="IL310" s="197"/>
      <c r="IM310" s="171"/>
      <c r="IN310" s="171"/>
      <c r="IO310" s="171"/>
      <c r="IP310" s="171"/>
    </row>
    <row r="311" spans="1:250" ht="15" customHeight="1" x14ac:dyDescent="0.3">
      <c r="A311" s="110">
        <f t="shared" si="400"/>
        <v>307</v>
      </c>
      <c r="B311" s="111"/>
      <c r="C311" s="111"/>
      <c r="D311" s="111"/>
      <c r="E311" s="111"/>
      <c r="F311" s="111"/>
      <c r="G311" s="111"/>
      <c r="H311" s="111"/>
      <c r="I311" s="194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75"/>
      <c r="AI311" s="111"/>
      <c r="AJ311" s="111"/>
      <c r="AK311" s="111"/>
      <c r="AL311" s="177"/>
      <c r="AM311" s="176"/>
      <c r="AN311" s="177"/>
      <c r="AO311" s="157"/>
      <c r="AP311" s="158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  <c r="BJ311" s="111"/>
      <c r="BK311" s="111"/>
      <c r="BL311" s="175"/>
      <c r="BM311" s="111"/>
      <c r="BN311" s="111"/>
      <c r="BO311" s="111"/>
      <c r="BP311" s="111"/>
      <c r="BQ311" s="111"/>
      <c r="BR311" s="111"/>
      <c r="BS311" s="111"/>
      <c r="BT311" s="111"/>
      <c r="BU311" s="111"/>
      <c r="BV311" s="111"/>
      <c r="BW311" s="111"/>
      <c r="BX311" s="111"/>
      <c r="BY311" s="111"/>
      <c r="BZ311" s="111"/>
      <c r="CA311" s="111"/>
      <c r="CB311" s="111"/>
      <c r="CC311" s="178"/>
      <c r="CD311" s="177">
        <f t="shared" si="384"/>
        <v>0</v>
      </c>
      <c r="CE311" s="148"/>
      <c r="CF311" s="111">
        <f t="shared" si="385"/>
        <v>0</v>
      </c>
      <c r="CG311" s="177"/>
      <c r="CH311" s="204"/>
      <c r="CI311" s="148"/>
      <c r="CJ311" s="165"/>
      <c r="CK311" s="165"/>
      <c r="CL311" s="111"/>
      <c r="CM311" s="111"/>
      <c r="CN311" s="165">
        <f t="shared" si="386"/>
        <v>0</v>
      </c>
      <c r="CO311" s="109">
        <f t="shared" si="387"/>
        <v>0</v>
      </c>
      <c r="CP311" s="109">
        <f t="shared" si="388"/>
        <v>0</v>
      </c>
      <c r="CQ311" s="109"/>
      <c r="CR311" s="109"/>
      <c r="CS311" s="196"/>
      <c r="CT311" s="167"/>
      <c r="CU311" s="165"/>
      <c r="CV311" s="109">
        <f t="shared" si="389"/>
        <v>0</v>
      </c>
      <c r="CW311" s="109">
        <f t="shared" si="390"/>
        <v>0</v>
      </c>
      <c r="CX311" s="109"/>
      <c r="CY311" s="109"/>
      <c r="CZ311" s="111"/>
      <c r="DA311" s="111"/>
      <c r="DB311" s="165"/>
      <c r="DC311" s="109">
        <f t="shared" si="391"/>
        <v>0</v>
      </c>
      <c r="DD311" s="109">
        <f t="shared" si="392"/>
        <v>0</v>
      </c>
      <c r="DE311" s="109"/>
      <c r="DF311" s="109"/>
      <c r="DG311" s="111"/>
      <c r="DH311" s="111"/>
      <c r="DI311" s="165"/>
      <c r="DJ311" s="109">
        <f t="shared" si="393"/>
        <v>0</v>
      </c>
      <c r="DK311" s="109">
        <f t="shared" si="394"/>
        <v>0</v>
      </c>
      <c r="DL311" s="109"/>
      <c r="DM311" s="109"/>
      <c r="DN311" s="111"/>
      <c r="DO311" s="111"/>
      <c r="DP311" s="165"/>
      <c r="DQ311" s="109">
        <f t="shared" si="402"/>
        <v>0</v>
      </c>
      <c r="DR311" s="109">
        <f t="shared" si="403"/>
        <v>0</v>
      </c>
      <c r="DS311" s="109"/>
      <c r="DT311" s="109"/>
      <c r="DU311" s="111"/>
      <c r="DV311" s="111"/>
      <c r="DW311" s="165"/>
      <c r="DX311" s="109">
        <f t="shared" si="404"/>
        <v>0</v>
      </c>
      <c r="DY311" s="109">
        <f t="shared" si="405"/>
        <v>0</v>
      </c>
      <c r="DZ311" s="109"/>
      <c r="EA311" s="109"/>
      <c r="EB311" s="111"/>
      <c r="EC311" s="111"/>
      <c r="ED311" s="165"/>
      <c r="EE311" s="109">
        <f t="shared" si="406"/>
        <v>0</v>
      </c>
      <c r="EF311" s="109">
        <f t="shared" si="407"/>
        <v>0</v>
      </c>
      <c r="EG311" s="109"/>
      <c r="EH311" s="109"/>
      <c r="EI311" s="111"/>
      <c r="EJ311" s="111"/>
      <c r="EK311" s="165"/>
      <c r="EL311" s="109">
        <f t="shared" si="408"/>
        <v>0</v>
      </c>
      <c r="EM311" s="109">
        <f t="shared" si="409"/>
        <v>0</v>
      </c>
      <c r="EN311" s="109"/>
      <c r="EO311" s="109"/>
      <c r="EP311" s="111"/>
      <c r="EQ311" s="111"/>
      <c r="ER311" s="165"/>
      <c r="ES311" s="109">
        <f t="shared" si="410"/>
        <v>0</v>
      </c>
      <c r="ET311" s="109">
        <f t="shared" si="411"/>
        <v>0</v>
      </c>
      <c r="EU311" s="109"/>
      <c r="EV311" s="109"/>
      <c r="EW311" s="111"/>
      <c r="EX311" s="111"/>
      <c r="EY311" s="165"/>
      <c r="EZ311" s="109">
        <f t="shared" si="412"/>
        <v>0</v>
      </c>
      <c r="FA311" s="109">
        <f t="shared" si="413"/>
        <v>0</v>
      </c>
      <c r="FB311" s="109"/>
      <c r="FC311" s="109"/>
      <c r="FD311" s="111"/>
      <c r="FE311" s="111"/>
      <c r="FF311" s="165"/>
      <c r="FG311" s="109">
        <f t="shared" si="414"/>
        <v>0</v>
      </c>
      <c r="FH311" s="109">
        <f t="shared" si="415"/>
        <v>0</v>
      </c>
      <c r="FI311" s="109"/>
      <c r="FJ311" s="109"/>
      <c r="FK311" s="111"/>
      <c r="FL311" s="111"/>
      <c r="FM311" s="165"/>
      <c r="FN311" s="109">
        <f t="shared" si="416"/>
        <v>0</v>
      </c>
      <c r="FO311" s="109">
        <f t="shared" si="417"/>
        <v>0</v>
      </c>
      <c r="FP311" s="109"/>
      <c r="FQ311" s="109"/>
      <c r="FR311" s="111"/>
      <c r="FS311" s="111"/>
      <c r="FT311" s="165"/>
      <c r="FU311" s="109">
        <f t="shared" si="418"/>
        <v>0</v>
      </c>
      <c r="FV311" s="109">
        <f t="shared" si="426"/>
        <v>0</v>
      </c>
      <c r="FW311" s="109"/>
      <c r="FX311" s="109"/>
      <c r="FY311" s="111"/>
      <c r="FZ311" s="111"/>
      <c r="GA311" s="165"/>
      <c r="GB311" s="109">
        <f t="shared" si="419"/>
        <v>0</v>
      </c>
      <c r="GC311" s="109">
        <f t="shared" si="427"/>
        <v>0</v>
      </c>
      <c r="GD311" s="109"/>
      <c r="GE311" s="109"/>
      <c r="GF311" s="111"/>
      <c r="GG311" s="111"/>
      <c r="GH311" s="165"/>
      <c r="GI311" s="109">
        <f t="shared" si="420"/>
        <v>0</v>
      </c>
      <c r="GJ311" s="109">
        <f t="shared" si="428"/>
        <v>0</v>
      </c>
      <c r="GK311" s="109"/>
      <c r="GL311" s="109"/>
      <c r="GM311" s="111"/>
      <c r="GN311" s="111"/>
      <c r="GO311" s="165"/>
      <c r="GP311" s="109">
        <f t="shared" si="421"/>
        <v>0</v>
      </c>
      <c r="GQ311" s="109">
        <f t="shared" si="429"/>
        <v>0</v>
      </c>
      <c r="GR311" s="109"/>
      <c r="GS311" s="109"/>
      <c r="GT311" s="111"/>
      <c r="GU311" s="111"/>
      <c r="GV311" s="165"/>
      <c r="GW311" s="168">
        <f t="shared" si="422"/>
        <v>0</v>
      </c>
      <c r="GX311" s="168">
        <f t="shared" si="430"/>
        <v>0</v>
      </c>
      <c r="GY311" s="168"/>
      <c r="GZ311" s="168"/>
      <c r="HA311" s="111"/>
      <c r="HB311" s="111"/>
      <c r="HC311" s="165"/>
      <c r="HD311" s="109">
        <f t="shared" si="423"/>
        <v>0</v>
      </c>
      <c r="HE311" s="109">
        <f t="shared" si="431"/>
        <v>0</v>
      </c>
      <c r="HF311" s="109"/>
      <c r="HG311" s="109"/>
      <c r="HH311" s="111"/>
      <c r="HI311" s="111"/>
      <c r="HJ311" s="165"/>
      <c r="HK311" s="109">
        <f t="shared" si="424"/>
        <v>0</v>
      </c>
      <c r="HL311" s="109">
        <f t="shared" si="432"/>
        <v>0</v>
      </c>
      <c r="HM311" s="109"/>
      <c r="HN311" s="109"/>
      <c r="HO311" s="111"/>
      <c r="HP311" s="111"/>
      <c r="HQ311" s="165"/>
      <c r="HR311" s="109">
        <f t="shared" si="425"/>
        <v>0</v>
      </c>
      <c r="HS311" s="109">
        <f t="shared" si="433"/>
        <v>0</v>
      </c>
      <c r="HT311" s="109"/>
      <c r="HU311" s="109"/>
      <c r="HV311" s="111"/>
      <c r="HW311" s="111"/>
      <c r="HX311" s="105">
        <f t="shared" si="401"/>
        <v>0</v>
      </c>
      <c r="HY311" s="105">
        <f t="shared" si="401"/>
        <v>0</v>
      </c>
      <c r="HZ311" s="105">
        <f t="shared" si="401"/>
        <v>0</v>
      </c>
      <c r="IA311" s="105">
        <f t="shared" si="395"/>
        <v>0</v>
      </c>
      <c r="IB311" s="109">
        <f t="shared" si="396"/>
        <v>0</v>
      </c>
      <c r="IC311" s="109">
        <f t="shared" si="397"/>
        <v>0</v>
      </c>
      <c r="ID311" s="109">
        <f t="shared" si="398"/>
        <v>0</v>
      </c>
      <c r="IE311" s="109">
        <f t="shared" si="399"/>
        <v>0</v>
      </c>
      <c r="IF311" s="197"/>
      <c r="IG311" s="197"/>
      <c r="IH311" s="197"/>
      <c r="II311" s="197"/>
      <c r="IJ311" s="197"/>
      <c r="IK311" s="197"/>
      <c r="IL311" s="197"/>
      <c r="IM311" s="171"/>
      <c r="IN311" s="171"/>
      <c r="IO311" s="171"/>
      <c r="IP311" s="171"/>
    </row>
    <row r="312" spans="1:250" ht="15" customHeight="1" x14ac:dyDescent="0.3">
      <c r="A312" s="110">
        <f t="shared" si="400"/>
        <v>308</v>
      </c>
      <c r="B312" s="111"/>
      <c r="C312" s="111"/>
      <c r="D312" s="111"/>
      <c r="E312" s="111"/>
      <c r="F312" s="111"/>
      <c r="G312" s="111"/>
      <c r="H312" s="111"/>
      <c r="I312" s="194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75"/>
      <c r="AI312" s="111"/>
      <c r="AJ312" s="111"/>
      <c r="AK312" s="111"/>
      <c r="AL312" s="177"/>
      <c r="AM312" s="176"/>
      <c r="AN312" s="177"/>
      <c r="AO312" s="157"/>
      <c r="AP312" s="158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  <c r="BJ312" s="111"/>
      <c r="BK312" s="111"/>
      <c r="BL312" s="175"/>
      <c r="BM312" s="111"/>
      <c r="BN312" s="111"/>
      <c r="BO312" s="111"/>
      <c r="BP312" s="111"/>
      <c r="BQ312" s="111"/>
      <c r="BR312" s="111"/>
      <c r="BS312" s="111"/>
      <c r="BT312" s="111"/>
      <c r="BU312" s="111"/>
      <c r="BV312" s="111"/>
      <c r="BW312" s="111"/>
      <c r="BX312" s="111"/>
      <c r="BY312" s="111"/>
      <c r="BZ312" s="111"/>
      <c r="CA312" s="111"/>
      <c r="CB312" s="111"/>
      <c r="CC312" s="178"/>
      <c r="CD312" s="177">
        <f t="shared" si="384"/>
        <v>0</v>
      </c>
      <c r="CE312" s="148"/>
      <c r="CF312" s="111">
        <f t="shared" si="385"/>
        <v>0</v>
      </c>
      <c r="CG312" s="177"/>
      <c r="CH312" s="204"/>
      <c r="CI312" s="148"/>
      <c r="CJ312" s="165"/>
      <c r="CK312" s="165"/>
      <c r="CL312" s="111"/>
      <c r="CM312" s="111"/>
      <c r="CN312" s="165">
        <f t="shared" si="386"/>
        <v>0</v>
      </c>
      <c r="CO312" s="109">
        <f t="shared" si="387"/>
        <v>0</v>
      </c>
      <c r="CP312" s="109">
        <f t="shared" si="388"/>
        <v>0</v>
      </c>
      <c r="CQ312" s="109"/>
      <c r="CR312" s="109"/>
      <c r="CS312" s="196"/>
      <c r="CT312" s="167"/>
      <c r="CU312" s="165"/>
      <c r="CV312" s="109">
        <f t="shared" si="389"/>
        <v>0</v>
      </c>
      <c r="CW312" s="109">
        <f t="shared" si="390"/>
        <v>0</v>
      </c>
      <c r="CX312" s="109"/>
      <c r="CY312" s="109"/>
      <c r="CZ312" s="111"/>
      <c r="DA312" s="111"/>
      <c r="DB312" s="165"/>
      <c r="DC312" s="109">
        <f t="shared" si="391"/>
        <v>0</v>
      </c>
      <c r="DD312" s="109">
        <f t="shared" si="392"/>
        <v>0</v>
      </c>
      <c r="DE312" s="109"/>
      <c r="DF312" s="109"/>
      <c r="DG312" s="111"/>
      <c r="DH312" s="111"/>
      <c r="DI312" s="165"/>
      <c r="DJ312" s="109">
        <f t="shared" si="393"/>
        <v>0</v>
      </c>
      <c r="DK312" s="109">
        <f t="shared" si="394"/>
        <v>0</v>
      </c>
      <c r="DL312" s="109"/>
      <c r="DM312" s="109"/>
      <c r="DN312" s="111"/>
      <c r="DO312" s="111"/>
      <c r="DP312" s="165"/>
      <c r="DQ312" s="109">
        <f t="shared" si="402"/>
        <v>0</v>
      </c>
      <c r="DR312" s="109">
        <f t="shared" si="403"/>
        <v>0</v>
      </c>
      <c r="DS312" s="109"/>
      <c r="DT312" s="109"/>
      <c r="DU312" s="111"/>
      <c r="DV312" s="111"/>
      <c r="DW312" s="165"/>
      <c r="DX312" s="109">
        <f t="shared" si="404"/>
        <v>0</v>
      </c>
      <c r="DY312" s="109">
        <f t="shared" si="405"/>
        <v>0</v>
      </c>
      <c r="DZ312" s="109"/>
      <c r="EA312" s="109"/>
      <c r="EB312" s="111"/>
      <c r="EC312" s="111"/>
      <c r="ED312" s="165"/>
      <c r="EE312" s="109">
        <f t="shared" si="406"/>
        <v>0</v>
      </c>
      <c r="EF312" s="109">
        <f t="shared" si="407"/>
        <v>0</v>
      </c>
      <c r="EG312" s="109"/>
      <c r="EH312" s="109"/>
      <c r="EI312" s="111"/>
      <c r="EJ312" s="111"/>
      <c r="EK312" s="165"/>
      <c r="EL312" s="109">
        <f t="shared" si="408"/>
        <v>0</v>
      </c>
      <c r="EM312" s="109">
        <f t="shared" si="409"/>
        <v>0</v>
      </c>
      <c r="EN312" s="109"/>
      <c r="EO312" s="109"/>
      <c r="EP312" s="111"/>
      <c r="EQ312" s="111"/>
      <c r="ER312" s="165"/>
      <c r="ES312" s="109">
        <f t="shared" si="410"/>
        <v>0</v>
      </c>
      <c r="ET312" s="109">
        <f t="shared" si="411"/>
        <v>0</v>
      </c>
      <c r="EU312" s="109"/>
      <c r="EV312" s="109"/>
      <c r="EW312" s="111"/>
      <c r="EX312" s="111"/>
      <c r="EY312" s="165"/>
      <c r="EZ312" s="109">
        <f t="shared" si="412"/>
        <v>0</v>
      </c>
      <c r="FA312" s="109">
        <f t="shared" si="413"/>
        <v>0</v>
      </c>
      <c r="FB312" s="109"/>
      <c r="FC312" s="109"/>
      <c r="FD312" s="111"/>
      <c r="FE312" s="111"/>
      <c r="FF312" s="165"/>
      <c r="FG312" s="109">
        <f t="shared" si="414"/>
        <v>0</v>
      </c>
      <c r="FH312" s="109">
        <f t="shared" si="415"/>
        <v>0</v>
      </c>
      <c r="FI312" s="109"/>
      <c r="FJ312" s="109"/>
      <c r="FK312" s="111"/>
      <c r="FL312" s="111"/>
      <c r="FM312" s="165"/>
      <c r="FN312" s="109">
        <f t="shared" si="416"/>
        <v>0</v>
      </c>
      <c r="FO312" s="109">
        <f t="shared" si="417"/>
        <v>0</v>
      </c>
      <c r="FP312" s="109"/>
      <c r="FQ312" s="109"/>
      <c r="FR312" s="111"/>
      <c r="FS312" s="111"/>
      <c r="FT312" s="165"/>
      <c r="FU312" s="109">
        <f t="shared" si="418"/>
        <v>0</v>
      </c>
      <c r="FV312" s="109">
        <f t="shared" si="426"/>
        <v>0</v>
      </c>
      <c r="FW312" s="109"/>
      <c r="FX312" s="109"/>
      <c r="FY312" s="111"/>
      <c r="FZ312" s="111"/>
      <c r="GA312" s="165"/>
      <c r="GB312" s="109">
        <f t="shared" si="419"/>
        <v>0</v>
      </c>
      <c r="GC312" s="109">
        <f t="shared" si="427"/>
        <v>0</v>
      </c>
      <c r="GD312" s="109"/>
      <c r="GE312" s="109"/>
      <c r="GF312" s="111"/>
      <c r="GG312" s="111"/>
      <c r="GH312" s="165"/>
      <c r="GI312" s="109">
        <f t="shared" si="420"/>
        <v>0</v>
      </c>
      <c r="GJ312" s="109">
        <f t="shared" si="428"/>
        <v>0</v>
      </c>
      <c r="GK312" s="109"/>
      <c r="GL312" s="109"/>
      <c r="GM312" s="111"/>
      <c r="GN312" s="111"/>
      <c r="GO312" s="165"/>
      <c r="GP312" s="109">
        <f t="shared" si="421"/>
        <v>0</v>
      </c>
      <c r="GQ312" s="109">
        <f t="shared" si="429"/>
        <v>0</v>
      </c>
      <c r="GR312" s="109"/>
      <c r="GS312" s="109"/>
      <c r="GT312" s="111"/>
      <c r="GU312" s="111"/>
      <c r="GV312" s="165"/>
      <c r="GW312" s="168">
        <f t="shared" si="422"/>
        <v>0</v>
      </c>
      <c r="GX312" s="168">
        <f t="shared" si="430"/>
        <v>0</v>
      </c>
      <c r="GY312" s="168"/>
      <c r="GZ312" s="168"/>
      <c r="HA312" s="111"/>
      <c r="HB312" s="111"/>
      <c r="HC312" s="165"/>
      <c r="HD312" s="109">
        <f t="shared" si="423"/>
        <v>0</v>
      </c>
      <c r="HE312" s="109">
        <f t="shared" si="431"/>
        <v>0</v>
      </c>
      <c r="HF312" s="109"/>
      <c r="HG312" s="109"/>
      <c r="HH312" s="111"/>
      <c r="HI312" s="111"/>
      <c r="HJ312" s="165"/>
      <c r="HK312" s="109">
        <f t="shared" si="424"/>
        <v>0</v>
      </c>
      <c r="HL312" s="109">
        <f t="shared" si="432"/>
        <v>0</v>
      </c>
      <c r="HM312" s="109"/>
      <c r="HN312" s="109"/>
      <c r="HO312" s="111"/>
      <c r="HP312" s="111"/>
      <c r="HQ312" s="165"/>
      <c r="HR312" s="109">
        <f t="shared" si="425"/>
        <v>0</v>
      </c>
      <c r="HS312" s="109">
        <f t="shared" si="433"/>
        <v>0</v>
      </c>
      <c r="HT312" s="109"/>
      <c r="HU312" s="109"/>
      <c r="HV312" s="111"/>
      <c r="HW312" s="111"/>
      <c r="HX312" s="105">
        <f t="shared" si="401"/>
        <v>0</v>
      </c>
      <c r="HY312" s="105">
        <f t="shared" si="401"/>
        <v>0</v>
      </c>
      <c r="HZ312" s="105">
        <f t="shared" si="401"/>
        <v>0</v>
      </c>
      <c r="IA312" s="105">
        <f t="shared" si="395"/>
        <v>0</v>
      </c>
      <c r="IB312" s="109">
        <f t="shared" si="396"/>
        <v>0</v>
      </c>
      <c r="IC312" s="109">
        <f t="shared" si="397"/>
        <v>0</v>
      </c>
      <c r="ID312" s="109">
        <f t="shared" si="398"/>
        <v>0</v>
      </c>
      <c r="IE312" s="109">
        <f t="shared" si="399"/>
        <v>0</v>
      </c>
      <c r="IF312" s="197"/>
      <c r="IG312" s="197"/>
      <c r="IH312" s="197"/>
      <c r="II312" s="197"/>
      <c r="IJ312" s="197"/>
      <c r="IK312" s="197"/>
      <c r="IL312" s="197"/>
      <c r="IM312" s="171"/>
      <c r="IN312" s="171"/>
      <c r="IO312" s="171"/>
      <c r="IP312" s="171"/>
    </row>
    <row r="313" spans="1:250" ht="15" customHeight="1" x14ac:dyDescent="0.3">
      <c r="A313" s="110">
        <f t="shared" si="400"/>
        <v>309</v>
      </c>
      <c r="B313" s="111"/>
      <c r="C313" s="111"/>
      <c r="D313" s="111"/>
      <c r="E313" s="111"/>
      <c r="F313" s="111"/>
      <c r="G313" s="111"/>
      <c r="H313" s="111"/>
      <c r="I313" s="194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75"/>
      <c r="AI313" s="111"/>
      <c r="AJ313" s="111"/>
      <c r="AK313" s="111"/>
      <c r="AL313" s="177"/>
      <c r="AM313" s="176"/>
      <c r="AN313" s="177"/>
      <c r="AO313" s="157"/>
      <c r="AP313" s="158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  <c r="BJ313" s="111"/>
      <c r="BK313" s="111"/>
      <c r="BL313" s="175"/>
      <c r="BM313" s="111"/>
      <c r="BN313" s="111"/>
      <c r="BO313" s="111"/>
      <c r="BP313" s="111"/>
      <c r="BQ313" s="111"/>
      <c r="BR313" s="111"/>
      <c r="BS313" s="111"/>
      <c r="BT313" s="111"/>
      <c r="BU313" s="111"/>
      <c r="BV313" s="111"/>
      <c r="BW313" s="111"/>
      <c r="BX313" s="111"/>
      <c r="BY313" s="111"/>
      <c r="BZ313" s="111"/>
      <c r="CA313" s="111"/>
      <c r="CB313" s="111"/>
      <c r="CC313" s="178"/>
      <c r="CD313" s="177">
        <f t="shared" si="384"/>
        <v>0</v>
      </c>
      <c r="CE313" s="148"/>
      <c r="CF313" s="111">
        <f t="shared" si="385"/>
        <v>0</v>
      </c>
      <c r="CG313" s="177"/>
      <c r="CH313" s="204"/>
      <c r="CI313" s="148"/>
      <c r="CJ313" s="165"/>
      <c r="CK313" s="165"/>
      <c r="CL313" s="111"/>
      <c r="CM313" s="111"/>
      <c r="CN313" s="165">
        <f t="shared" si="386"/>
        <v>0</v>
      </c>
      <c r="CO313" s="109">
        <f t="shared" si="387"/>
        <v>0</v>
      </c>
      <c r="CP313" s="109">
        <f t="shared" si="388"/>
        <v>0</v>
      </c>
      <c r="CQ313" s="109"/>
      <c r="CR313" s="109"/>
      <c r="CS313" s="196"/>
      <c r="CT313" s="167"/>
      <c r="CU313" s="165"/>
      <c r="CV313" s="109">
        <f t="shared" si="389"/>
        <v>0</v>
      </c>
      <c r="CW313" s="109">
        <f t="shared" si="390"/>
        <v>0</v>
      </c>
      <c r="CX313" s="109"/>
      <c r="CY313" s="109"/>
      <c r="CZ313" s="111"/>
      <c r="DA313" s="111"/>
      <c r="DB313" s="165"/>
      <c r="DC313" s="109">
        <f t="shared" si="391"/>
        <v>0</v>
      </c>
      <c r="DD313" s="109">
        <f t="shared" si="392"/>
        <v>0</v>
      </c>
      <c r="DE313" s="109"/>
      <c r="DF313" s="109"/>
      <c r="DG313" s="111"/>
      <c r="DH313" s="111"/>
      <c r="DI313" s="165"/>
      <c r="DJ313" s="109">
        <f t="shared" si="393"/>
        <v>0</v>
      </c>
      <c r="DK313" s="109">
        <f t="shared" si="394"/>
        <v>0</v>
      </c>
      <c r="DL313" s="109"/>
      <c r="DM313" s="109"/>
      <c r="DN313" s="111"/>
      <c r="DO313" s="111"/>
      <c r="DP313" s="165"/>
      <c r="DQ313" s="109">
        <f t="shared" si="402"/>
        <v>0</v>
      </c>
      <c r="DR313" s="109">
        <f t="shared" si="403"/>
        <v>0</v>
      </c>
      <c r="DS313" s="109"/>
      <c r="DT313" s="109"/>
      <c r="DU313" s="111"/>
      <c r="DV313" s="111"/>
      <c r="DW313" s="165"/>
      <c r="DX313" s="109">
        <f t="shared" si="404"/>
        <v>0</v>
      </c>
      <c r="DY313" s="109">
        <f t="shared" si="405"/>
        <v>0</v>
      </c>
      <c r="DZ313" s="109"/>
      <c r="EA313" s="109"/>
      <c r="EB313" s="111"/>
      <c r="EC313" s="111"/>
      <c r="ED313" s="165"/>
      <c r="EE313" s="109">
        <f t="shared" si="406"/>
        <v>0</v>
      </c>
      <c r="EF313" s="109">
        <f t="shared" si="407"/>
        <v>0</v>
      </c>
      <c r="EG313" s="109"/>
      <c r="EH313" s="109"/>
      <c r="EI313" s="111"/>
      <c r="EJ313" s="111"/>
      <c r="EK313" s="165"/>
      <c r="EL313" s="109">
        <f t="shared" si="408"/>
        <v>0</v>
      </c>
      <c r="EM313" s="109">
        <f t="shared" si="409"/>
        <v>0</v>
      </c>
      <c r="EN313" s="109"/>
      <c r="EO313" s="109"/>
      <c r="EP313" s="111"/>
      <c r="EQ313" s="111"/>
      <c r="ER313" s="165"/>
      <c r="ES313" s="109">
        <f t="shared" si="410"/>
        <v>0</v>
      </c>
      <c r="ET313" s="109">
        <f t="shared" si="411"/>
        <v>0</v>
      </c>
      <c r="EU313" s="109"/>
      <c r="EV313" s="109"/>
      <c r="EW313" s="111"/>
      <c r="EX313" s="111"/>
      <c r="EY313" s="165"/>
      <c r="EZ313" s="109">
        <f t="shared" si="412"/>
        <v>0</v>
      </c>
      <c r="FA313" s="109">
        <f t="shared" si="413"/>
        <v>0</v>
      </c>
      <c r="FB313" s="109"/>
      <c r="FC313" s="109"/>
      <c r="FD313" s="111"/>
      <c r="FE313" s="111"/>
      <c r="FF313" s="165"/>
      <c r="FG313" s="109">
        <f t="shared" si="414"/>
        <v>0</v>
      </c>
      <c r="FH313" s="109">
        <f t="shared" si="415"/>
        <v>0</v>
      </c>
      <c r="FI313" s="109"/>
      <c r="FJ313" s="109"/>
      <c r="FK313" s="111"/>
      <c r="FL313" s="111"/>
      <c r="FM313" s="165"/>
      <c r="FN313" s="109">
        <f t="shared" si="416"/>
        <v>0</v>
      </c>
      <c r="FO313" s="109">
        <f t="shared" si="417"/>
        <v>0</v>
      </c>
      <c r="FP313" s="109"/>
      <c r="FQ313" s="109"/>
      <c r="FR313" s="111"/>
      <c r="FS313" s="111"/>
      <c r="FT313" s="165"/>
      <c r="FU313" s="109">
        <f t="shared" si="418"/>
        <v>0</v>
      </c>
      <c r="FV313" s="109">
        <f t="shared" si="426"/>
        <v>0</v>
      </c>
      <c r="FW313" s="109"/>
      <c r="FX313" s="109"/>
      <c r="FY313" s="111"/>
      <c r="FZ313" s="111"/>
      <c r="GA313" s="165"/>
      <c r="GB313" s="109">
        <f t="shared" si="419"/>
        <v>0</v>
      </c>
      <c r="GC313" s="109">
        <f t="shared" si="427"/>
        <v>0</v>
      </c>
      <c r="GD313" s="109"/>
      <c r="GE313" s="109"/>
      <c r="GF313" s="111"/>
      <c r="GG313" s="111"/>
      <c r="GH313" s="165"/>
      <c r="GI313" s="109">
        <f t="shared" si="420"/>
        <v>0</v>
      </c>
      <c r="GJ313" s="109">
        <f t="shared" si="428"/>
        <v>0</v>
      </c>
      <c r="GK313" s="109"/>
      <c r="GL313" s="109"/>
      <c r="GM313" s="111"/>
      <c r="GN313" s="111"/>
      <c r="GO313" s="165"/>
      <c r="GP313" s="109">
        <f t="shared" si="421"/>
        <v>0</v>
      </c>
      <c r="GQ313" s="109">
        <f t="shared" si="429"/>
        <v>0</v>
      </c>
      <c r="GR313" s="109"/>
      <c r="GS313" s="109"/>
      <c r="GT313" s="111"/>
      <c r="GU313" s="111"/>
      <c r="GV313" s="165"/>
      <c r="GW313" s="168">
        <f t="shared" si="422"/>
        <v>0</v>
      </c>
      <c r="GX313" s="168">
        <f t="shared" si="430"/>
        <v>0</v>
      </c>
      <c r="GY313" s="168"/>
      <c r="GZ313" s="168"/>
      <c r="HA313" s="111"/>
      <c r="HB313" s="111"/>
      <c r="HC313" s="165"/>
      <c r="HD313" s="109">
        <f t="shared" si="423"/>
        <v>0</v>
      </c>
      <c r="HE313" s="109">
        <f t="shared" si="431"/>
        <v>0</v>
      </c>
      <c r="HF313" s="109"/>
      <c r="HG313" s="109"/>
      <c r="HH313" s="111"/>
      <c r="HI313" s="111"/>
      <c r="HJ313" s="165"/>
      <c r="HK313" s="109">
        <f t="shared" si="424"/>
        <v>0</v>
      </c>
      <c r="HL313" s="109">
        <f t="shared" si="432"/>
        <v>0</v>
      </c>
      <c r="HM313" s="109"/>
      <c r="HN313" s="109"/>
      <c r="HO313" s="111"/>
      <c r="HP313" s="111"/>
      <c r="HQ313" s="165"/>
      <c r="HR313" s="109">
        <f t="shared" si="425"/>
        <v>0</v>
      </c>
      <c r="HS313" s="109">
        <f t="shared" si="433"/>
        <v>0</v>
      </c>
      <c r="HT313" s="109"/>
      <c r="HU313" s="109"/>
      <c r="HV313" s="111"/>
      <c r="HW313" s="111"/>
      <c r="HX313" s="105">
        <f t="shared" si="401"/>
        <v>0</v>
      </c>
      <c r="HY313" s="105">
        <f t="shared" si="401"/>
        <v>0</v>
      </c>
      <c r="HZ313" s="105">
        <f t="shared" si="401"/>
        <v>0</v>
      </c>
      <c r="IA313" s="105">
        <f t="shared" si="395"/>
        <v>0</v>
      </c>
      <c r="IB313" s="109">
        <f t="shared" si="396"/>
        <v>0</v>
      </c>
      <c r="IC313" s="109">
        <f t="shared" si="397"/>
        <v>0</v>
      </c>
      <c r="ID313" s="109">
        <f t="shared" si="398"/>
        <v>0</v>
      </c>
      <c r="IE313" s="109">
        <f t="shared" si="399"/>
        <v>0</v>
      </c>
      <c r="IF313" s="197"/>
      <c r="IG313" s="197"/>
      <c r="IH313" s="197"/>
      <c r="II313" s="197"/>
      <c r="IJ313" s="197"/>
      <c r="IK313" s="197"/>
      <c r="IL313" s="197"/>
      <c r="IM313" s="171"/>
      <c r="IN313" s="171"/>
      <c r="IO313" s="171"/>
      <c r="IP313" s="171"/>
    </row>
    <row r="314" spans="1:250" ht="15" customHeight="1" x14ac:dyDescent="0.3">
      <c r="A314" s="110">
        <f t="shared" si="400"/>
        <v>310</v>
      </c>
      <c r="B314" s="111"/>
      <c r="C314" s="111"/>
      <c r="D314" s="111"/>
      <c r="E314" s="111"/>
      <c r="F314" s="111"/>
      <c r="G314" s="111"/>
      <c r="H314" s="111"/>
      <c r="I314" s="194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75"/>
      <c r="AI314" s="111"/>
      <c r="AJ314" s="111"/>
      <c r="AK314" s="111"/>
      <c r="AL314" s="177"/>
      <c r="AM314" s="176"/>
      <c r="AN314" s="177"/>
      <c r="AO314" s="157"/>
      <c r="AP314" s="158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  <c r="BJ314" s="111"/>
      <c r="BK314" s="111"/>
      <c r="BL314" s="175"/>
      <c r="BM314" s="111"/>
      <c r="BN314" s="111"/>
      <c r="BO314" s="111"/>
      <c r="BP314" s="111"/>
      <c r="BQ314" s="111"/>
      <c r="BR314" s="111"/>
      <c r="BS314" s="111"/>
      <c r="BT314" s="111"/>
      <c r="BU314" s="111"/>
      <c r="BV314" s="111"/>
      <c r="BW314" s="111"/>
      <c r="BX314" s="111"/>
      <c r="BY314" s="111"/>
      <c r="BZ314" s="111"/>
      <c r="CA314" s="111"/>
      <c r="CB314" s="111"/>
      <c r="CC314" s="178"/>
      <c r="CD314" s="177">
        <f t="shared" si="384"/>
        <v>0</v>
      </c>
      <c r="CE314" s="148"/>
      <c r="CF314" s="111">
        <f t="shared" si="385"/>
        <v>0</v>
      </c>
      <c r="CG314" s="177"/>
      <c r="CH314" s="204"/>
      <c r="CI314" s="148"/>
      <c r="CJ314" s="165"/>
      <c r="CK314" s="165"/>
      <c r="CL314" s="111"/>
      <c r="CM314" s="111"/>
      <c r="CN314" s="165">
        <f t="shared" si="386"/>
        <v>0</v>
      </c>
      <c r="CO314" s="109">
        <f t="shared" si="387"/>
        <v>0</v>
      </c>
      <c r="CP314" s="109">
        <f t="shared" si="388"/>
        <v>0</v>
      </c>
      <c r="CQ314" s="109"/>
      <c r="CR314" s="109"/>
      <c r="CS314" s="196"/>
      <c r="CT314" s="167"/>
      <c r="CU314" s="165"/>
      <c r="CV314" s="109">
        <f t="shared" si="389"/>
        <v>0</v>
      </c>
      <c r="CW314" s="109">
        <f t="shared" si="390"/>
        <v>0</v>
      </c>
      <c r="CX314" s="109"/>
      <c r="CY314" s="109"/>
      <c r="CZ314" s="111"/>
      <c r="DA314" s="111"/>
      <c r="DB314" s="165"/>
      <c r="DC314" s="109">
        <f t="shared" si="391"/>
        <v>0</v>
      </c>
      <c r="DD314" s="109">
        <f t="shared" si="392"/>
        <v>0</v>
      </c>
      <c r="DE314" s="109"/>
      <c r="DF314" s="109"/>
      <c r="DG314" s="111"/>
      <c r="DH314" s="111"/>
      <c r="DI314" s="165"/>
      <c r="DJ314" s="109">
        <f t="shared" si="393"/>
        <v>0</v>
      </c>
      <c r="DK314" s="109">
        <f t="shared" si="394"/>
        <v>0</v>
      </c>
      <c r="DL314" s="109"/>
      <c r="DM314" s="109"/>
      <c r="DN314" s="111"/>
      <c r="DO314" s="111"/>
      <c r="DP314" s="165"/>
      <c r="DQ314" s="109">
        <f t="shared" si="402"/>
        <v>0</v>
      </c>
      <c r="DR314" s="109">
        <f t="shared" si="403"/>
        <v>0</v>
      </c>
      <c r="DS314" s="109"/>
      <c r="DT314" s="109"/>
      <c r="DU314" s="111"/>
      <c r="DV314" s="111"/>
      <c r="DW314" s="165"/>
      <c r="DX314" s="109">
        <f t="shared" si="404"/>
        <v>0</v>
      </c>
      <c r="DY314" s="109">
        <f t="shared" si="405"/>
        <v>0</v>
      </c>
      <c r="DZ314" s="109"/>
      <c r="EA314" s="109"/>
      <c r="EB314" s="111"/>
      <c r="EC314" s="111"/>
      <c r="ED314" s="165"/>
      <c r="EE314" s="109">
        <f t="shared" si="406"/>
        <v>0</v>
      </c>
      <c r="EF314" s="109">
        <f t="shared" si="407"/>
        <v>0</v>
      </c>
      <c r="EG314" s="109"/>
      <c r="EH314" s="109"/>
      <c r="EI314" s="111"/>
      <c r="EJ314" s="111"/>
      <c r="EK314" s="165"/>
      <c r="EL314" s="109">
        <f t="shared" si="408"/>
        <v>0</v>
      </c>
      <c r="EM314" s="109">
        <f t="shared" si="409"/>
        <v>0</v>
      </c>
      <c r="EN314" s="109"/>
      <c r="EO314" s="109"/>
      <c r="EP314" s="111"/>
      <c r="EQ314" s="111"/>
      <c r="ER314" s="165"/>
      <c r="ES314" s="109">
        <f t="shared" si="410"/>
        <v>0</v>
      </c>
      <c r="ET314" s="109">
        <f t="shared" si="411"/>
        <v>0</v>
      </c>
      <c r="EU314" s="109"/>
      <c r="EV314" s="109"/>
      <c r="EW314" s="111"/>
      <c r="EX314" s="111"/>
      <c r="EY314" s="165"/>
      <c r="EZ314" s="109">
        <f t="shared" si="412"/>
        <v>0</v>
      </c>
      <c r="FA314" s="109">
        <f t="shared" si="413"/>
        <v>0</v>
      </c>
      <c r="FB314" s="109"/>
      <c r="FC314" s="109"/>
      <c r="FD314" s="111"/>
      <c r="FE314" s="111"/>
      <c r="FF314" s="165"/>
      <c r="FG314" s="109">
        <f t="shared" si="414"/>
        <v>0</v>
      </c>
      <c r="FH314" s="109">
        <f t="shared" si="415"/>
        <v>0</v>
      </c>
      <c r="FI314" s="109"/>
      <c r="FJ314" s="109"/>
      <c r="FK314" s="111"/>
      <c r="FL314" s="111"/>
      <c r="FM314" s="165"/>
      <c r="FN314" s="109">
        <f t="shared" si="416"/>
        <v>0</v>
      </c>
      <c r="FO314" s="109">
        <f t="shared" si="417"/>
        <v>0</v>
      </c>
      <c r="FP314" s="109"/>
      <c r="FQ314" s="109"/>
      <c r="FR314" s="111"/>
      <c r="FS314" s="111"/>
      <c r="FT314" s="165"/>
      <c r="FU314" s="109">
        <f t="shared" si="418"/>
        <v>0</v>
      </c>
      <c r="FV314" s="109">
        <f t="shared" si="426"/>
        <v>0</v>
      </c>
      <c r="FW314" s="109"/>
      <c r="FX314" s="109"/>
      <c r="FY314" s="111"/>
      <c r="FZ314" s="111"/>
      <c r="GA314" s="165"/>
      <c r="GB314" s="109">
        <f t="shared" si="419"/>
        <v>0</v>
      </c>
      <c r="GC314" s="109">
        <f t="shared" si="427"/>
        <v>0</v>
      </c>
      <c r="GD314" s="109"/>
      <c r="GE314" s="109"/>
      <c r="GF314" s="111"/>
      <c r="GG314" s="111"/>
      <c r="GH314" s="165"/>
      <c r="GI314" s="109">
        <f t="shared" si="420"/>
        <v>0</v>
      </c>
      <c r="GJ314" s="109">
        <f t="shared" si="428"/>
        <v>0</v>
      </c>
      <c r="GK314" s="109"/>
      <c r="GL314" s="109"/>
      <c r="GM314" s="111"/>
      <c r="GN314" s="111"/>
      <c r="GO314" s="165"/>
      <c r="GP314" s="109">
        <f t="shared" si="421"/>
        <v>0</v>
      </c>
      <c r="GQ314" s="109">
        <f t="shared" si="429"/>
        <v>0</v>
      </c>
      <c r="GR314" s="109"/>
      <c r="GS314" s="109"/>
      <c r="GT314" s="111"/>
      <c r="GU314" s="111"/>
      <c r="GV314" s="165"/>
      <c r="GW314" s="168">
        <f t="shared" si="422"/>
        <v>0</v>
      </c>
      <c r="GX314" s="168">
        <f t="shared" si="430"/>
        <v>0</v>
      </c>
      <c r="GY314" s="168"/>
      <c r="GZ314" s="168"/>
      <c r="HA314" s="111"/>
      <c r="HB314" s="111"/>
      <c r="HC314" s="165"/>
      <c r="HD314" s="109">
        <f t="shared" si="423"/>
        <v>0</v>
      </c>
      <c r="HE314" s="109">
        <f t="shared" si="431"/>
        <v>0</v>
      </c>
      <c r="HF314" s="109"/>
      <c r="HG314" s="109"/>
      <c r="HH314" s="111"/>
      <c r="HI314" s="111"/>
      <c r="HJ314" s="165"/>
      <c r="HK314" s="109">
        <f t="shared" si="424"/>
        <v>0</v>
      </c>
      <c r="HL314" s="109">
        <f t="shared" si="432"/>
        <v>0</v>
      </c>
      <c r="HM314" s="109"/>
      <c r="HN314" s="109"/>
      <c r="HO314" s="111"/>
      <c r="HP314" s="111"/>
      <c r="HQ314" s="165"/>
      <c r="HR314" s="109">
        <f t="shared" si="425"/>
        <v>0</v>
      </c>
      <c r="HS314" s="109">
        <f t="shared" si="433"/>
        <v>0</v>
      </c>
      <c r="HT314" s="109"/>
      <c r="HU314" s="109"/>
      <c r="HV314" s="111"/>
      <c r="HW314" s="111"/>
      <c r="HX314" s="105">
        <f t="shared" si="401"/>
        <v>0</v>
      </c>
      <c r="HY314" s="105">
        <f t="shared" si="401"/>
        <v>0</v>
      </c>
      <c r="HZ314" s="105">
        <f t="shared" si="401"/>
        <v>0</v>
      </c>
      <c r="IA314" s="105">
        <f t="shared" si="395"/>
        <v>0</v>
      </c>
      <c r="IB314" s="109">
        <f t="shared" si="396"/>
        <v>0</v>
      </c>
      <c r="IC314" s="109">
        <f t="shared" si="397"/>
        <v>0</v>
      </c>
      <c r="ID314" s="109">
        <f t="shared" si="398"/>
        <v>0</v>
      </c>
      <c r="IE314" s="109">
        <f t="shared" si="399"/>
        <v>0</v>
      </c>
      <c r="IF314" s="197"/>
      <c r="IG314" s="197"/>
      <c r="IH314" s="197"/>
      <c r="II314" s="197"/>
      <c r="IJ314" s="197"/>
      <c r="IK314" s="197"/>
      <c r="IL314" s="197"/>
      <c r="IM314" s="171"/>
      <c r="IN314" s="171"/>
      <c r="IO314" s="171"/>
      <c r="IP314" s="171"/>
    </row>
    <row r="315" spans="1:250" ht="15" customHeight="1" x14ac:dyDescent="0.3">
      <c r="A315" s="110">
        <f t="shared" si="400"/>
        <v>311</v>
      </c>
      <c r="B315" s="111"/>
      <c r="C315" s="111"/>
      <c r="D315" s="111"/>
      <c r="E315" s="111"/>
      <c r="F315" s="111"/>
      <c r="G315" s="111"/>
      <c r="H315" s="111"/>
      <c r="I315" s="194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75"/>
      <c r="AI315" s="111"/>
      <c r="AJ315" s="111"/>
      <c r="AK315" s="111"/>
      <c r="AL315" s="177"/>
      <c r="AM315" s="176"/>
      <c r="AN315" s="177"/>
      <c r="AO315" s="157"/>
      <c r="AP315" s="158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  <c r="BJ315" s="111"/>
      <c r="BK315" s="111"/>
      <c r="BL315" s="175"/>
      <c r="BM315" s="111"/>
      <c r="BN315" s="111"/>
      <c r="BO315" s="111"/>
      <c r="BP315" s="111"/>
      <c r="BQ315" s="111"/>
      <c r="BR315" s="111"/>
      <c r="BS315" s="111"/>
      <c r="BT315" s="111"/>
      <c r="BU315" s="111"/>
      <c r="BV315" s="111"/>
      <c r="BW315" s="111"/>
      <c r="BX315" s="111"/>
      <c r="BY315" s="111"/>
      <c r="BZ315" s="111"/>
      <c r="CA315" s="111"/>
      <c r="CB315" s="111"/>
      <c r="CC315" s="178"/>
      <c r="CD315" s="177">
        <f t="shared" si="384"/>
        <v>0</v>
      </c>
      <c r="CE315" s="148"/>
      <c r="CF315" s="111">
        <f t="shared" si="385"/>
        <v>0</v>
      </c>
      <c r="CG315" s="177"/>
      <c r="CH315" s="204"/>
      <c r="CI315" s="148"/>
      <c r="CJ315" s="165"/>
      <c r="CK315" s="165"/>
      <c r="CL315" s="111"/>
      <c r="CM315" s="111"/>
      <c r="CN315" s="165">
        <f t="shared" si="386"/>
        <v>0</v>
      </c>
      <c r="CO315" s="109">
        <f t="shared" si="387"/>
        <v>0</v>
      </c>
      <c r="CP315" s="109">
        <f t="shared" si="388"/>
        <v>0</v>
      </c>
      <c r="CQ315" s="109"/>
      <c r="CR315" s="109"/>
      <c r="CS315" s="196"/>
      <c r="CT315" s="167"/>
      <c r="CU315" s="165"/>
      <c r="CV315" s="109">
        <f t="shared" si="389"/>
        <v>0</v>
      </c>
      <c r="CW315" s="109">
        <f t="shared" si="390"/>
        <v>0</v>
      </c>
      <c r="CX315" s="109"/>
      <c r="CY315" s="109"/>
      <c r="CZ315" s="111"/>
      <c r="DA315" s="111"/>
      <c r="DB315" s="165"/>
      <c r="DC315" s="109">
        <f t="shared" si="391"/>
        <v>0</v>
      </c>
      <c r="DD315" s="109">
        <f t="shared" si="392"/>
        <v>0</v>
      </c>
      <c r="DE315" s="109"/>
      <c r="DF315" s="109"/>
      <c r="DG315" s="111"/>
      <c r="DH315" s="111"/>
      <c r="DI315" s="165"/>
      <c r="DJ315" s="109">
        <f t="shared" si="393"/>
        <v>0</v>
      </c>
      <c r="DK315" s="109">
        <f t="shared" si="394"/>
        <v>0</v>
      </c>
      <c r="DL315" s="109"/>
      <c r="DM315" s="109"/>
      <c r="DN315" s="111"/>
      <c r="DO315" s="111"/>
      <c r="DP315" s="165"/>
      <c r="DQ315" s="109">
        <f t="shared" si="402"/>
        <v>0</v>
      </c>
      <c r="DR315" s="109">
        <f t="shared" si="403"/>
        <v>0</v>
      </c>
      <c r="DS315" s="109"/>
      <c r="DT315" s="109"/>
      <c r="DU315" s="111"/>
      <c r="DV315" s="111"/>
      <c r="DW315" s="165"/>
      <c r="DX315" s="109">
        <f t="shared" si="404"/>
        <v>0</v>
      </c>
      <c r="DY315" s="109">
        <f t="shared" si="405"/>
        <v>0</v>
      </c>
      <c r="DZ315" s="109"/>
      <c r="EA315" s="109"/>
      <c r="EB315" s="111"/>
      <c r="EC315" s="111"/>
      <c r="ED315" s="165"/>
      <c r="EE315" s="109">
        <f t="shared" si="406"/>
        <v>0</v>
      </c>
      <c r="EF315" s="109">
        <f t="shared" si="407"/>
        <v>0</v>
      </c>
      <c r="EG315" s="109"/>
      <c r="EH315" s="109"/>
      <c r="EI315" s="111"/>
      <c r="EJ315" s="111"/>
      <c r="EK315" s="165"/>
      <c r="EL315" s="109">
        <f t="shared" si="408"/>
        <v>0</v>
      </c>
      <c r="EM315" s="109">
        <f t="shared" si="409"/>
        <v>0</v>
      </c>
      <c r="EN315" s="109"/>
      <c r="EO315" s="109"/>
      <c r="EP315" s="111"/>
      <c r="EQ315" s="111"/>
      <c r="ER315" s="165"/>
      <c r="ES315" s="109">
        <f t="shared" si="410"/>
        <v>0</v>
      </c>
      <c r="ET315" s="109">
        <f t="shared" si="411"/>
        <v>0</v>
      </c>
      <c r="EU315" s="109"/>
      <c r="EV315" s="109"/>
      <c r="EW315" s="111"/>
      <c r="EX315" s="111"/>
      <c r="EY315" s="165"/>
      <c r="EZ315" s="109">
        <f t="shared" si="412"/>
        <v>0</v>
      </c>
      <c r="FA315" s="109">
        <f t="shared" si="413"/>
        <v>0</v>
      </c>
      <c r="FB315" s="109"/>
      <c r="FC315" s="109"/>
      <c r="FD315" s="111"/>
      <c r="FE315" s="111"/>
      <c r="FF315" s="165"/>
      <c r="FG315" s="109">
        <f t="shared" si="414"/>
        <v>0</v>
      </c>
      <c r="FH315" s="109">
        <f t="shared" si="415"/>
        <v>0</v>
      </c>
      <c r="FI315" s="109"/>
      <c r="FJ315" s="109"/>
      <c r="FK315" s="111"/>
      <c r="FL315" s="111"/>
      <c r="FM315" s="165"/>
      <c r="FN315" s="109">
        <f t="shared" si="416"/>
        <v>0</v>
      </c>
      <c r="FO315" s="109">
        <f t="shared" si="417"/>
        <v>0</v>
      </c>
      <c r="FP315" s="109"/>
      <c r="FQ315" s="109"/>
      <c r="FR315" s="111"/>
      <c r="FS315" s="111"/>
      <c r="FT315" s="165"/>
      <c r="FU315" s="109">
        <f t="shared" si="418"/>
        <v>0</v>
      </c>
      <c r="FV315" s="109">
        <f t="shared" si="426"/>
        <v>0</v>
      </c>
      <c r="FW315" s="109"/>
      <c r="FX315" s="109"/>
      <c r="FY315" s="111"/>
      <c r="FZ315" s="111"/>
      <c r="GA315" s="165"/>
      <c r="GB315" s="109">
        <f t="shared" si="419"/>
        <v>0</v>
      </c>
      <c r="GC315" s="109">
        <f t="shared" si="427"/>
        <v>0</v>
      </c>
      <c r="GD315" s="109"/>
      <c r="GE315" s="109"/>
      <c r="GF315" s="111"/>
      <c r="GG315" s="111"/>
      <c r="GH315" s="165"/>
      <c r="GI315" s="109">
        <f t="shared" si="420"/>
        <v>0</v>
      </c>
      <c r="GJ315" s="109">
        <f t="shared" si="428"/>
        <v>0</v>
      </c>
      <c r="GK315" s="109"/>
      <c r="GL315" s="109"/>
      <c r="GM315" s="111"/>
      <c r="GN315" s="111"/>
      <c r="GO315" s="165"/>
      <c r="GP315" s="109">
        <f t="shared" si="421"/>
        <v>0</v>
      </c>
      <c r="GQ315" s="109">
        <f t="shared" si="429"/>
        <v>0</v>
      </c>
      <c r="GR315" s="109"/>
      <c r="GS315" s="109"/>
      <c r="GT315" s="111"/>
      <c r="GU315" s="111"/>
      <c r="GV315" s="165"/>
      <c r="GW315" s="168">
        <f t="shared" si="422"/>
        <v>0</v>
      </c>
      <c r="GX315" s="168">
        <f t="shared" si="430"/>
        <v>0</v>
      </c>
      <c r="GY315" s="168"/>
      <c r="GZ315" s="168"/>
      <c r="HA315" s="111"/>
      <c r="HB315" s="111"/>
      <c r="HC315" s="165"/>
      <c r="HD315" s="109">
        <f t="shared" si="423"/>
        <v>0</v>
      </c>
      <c r="HE315" s="109">
        <f t="shared" si="431"/>
        <v>0</v>
      </c>
      <c r="HF315" s="109"/>
      <c r="HG315" s="109"/>
      <c r="HH315" s="111"/>
      <c r="HI315" s="111"/>
      <c r="HJ315" s="165"/>
      <c r="HK315" s="109">
        <f t="shared" si="424"/>
        <v>0</v>
      </c>
      <c r="HL315" s="109">
        <f t="shared" si="432"/>
        <v>0</v>
      </c>
      <c r="HM315" s="109"/>
      <c r="HN315" s="109"/>
      <c r="HO315" s="111"/>
      <c r="HP315" s="111"/>
      <c r="HQ315" s="165"/>
      <c r="HR315" s="109">
        <f t="shared" si="425"/>
        <v>0</v>
      </c>
      <c r="HS315" s="109">
        <f t="shared" si="433"/>
        <v>0</v>
      </c>
      <c r="HT315" s="109"/>
      <c r="HU315" s="109"/>
      <c r="HV315" s="111"/>
      <c r="HW315" s="111"/>
      <c r="HX315" s="105">
        <f t="shared" si="401"/>
        <v>0</v>
      </c>
      <c r="HY315" s="105">
        <f t="shared" si="401"/>
        <v>0</v>
      </c>
      <c r="HZ315" s="105">
        <f t="shared" si="401"/>
        <v>0</v>
      </c>
      <c r="IA315" s="105">
        <f t="shared" si="395"/>
        <v>0</v>
      </c>
      <c r="IB315" s="109">
        <f t="shared" si="396"/>
        <v>0</v>
      </c>
      <c r="IC315" s="109">
        <f t="shared" si="397"/>
        <v>0</v>
      </c>
      <c r="ID315" s="109">
        <f t="shared" si="398"/>
        <v>0</v>
      </c>
      <c r="IE315" s="109">
        <f t="shared" si="399"/>
        <v>0</v>
      </c>
      <c r="IF315" s="197"/>
      <c r="IG315" s="197"/>
      <c r="IH315" s="197"/>
      <c r="II315" s="197"/>
      <c r="IJ315" s="197"/>
      <c r="IK315" s="197"/>
      <c r="IL315" s="197"/>
      <c r="IM315" s="171"/>
      <c r="IN315" s="171"/>
      <c r="IO315" s="171"/>
      <c r="IP315" s="171"/>
    </row>
    <row r="316" spans="1:250" ht="15" customHeight="1" x14ac:dyDescent="0.3">
      <c r="A316" s="110">
        <f t="shared" si="400"/>
        <v>312</v>
      </c>
      <c r="B316" s="111"/>
      <c r="C316" s="111"/>
      <c r="D316" s="111"/>
      <c r="E316" s="111"/>
      <c r="F316" s="111"/>
      <c r="G316" s="111"/>
      <c r="H316" s="111"/>
      <c r="I316" s="194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75"/>
      <c r="AI316" s="111"/>
      <c r="AJ316" s="111"/>
      <c r="AK316" s="111"/>
      <c r="AL316" s="177"/>
      <c r="AM316" s="176"/>
      <c r="AN316" s="177"/>
      <c r="AO316" s="157"/>
      <c r="AP316" s="158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  <c r="BG316" s="111"/>
      <c r="BH316" s="111"/>
      <c r="BI316" s="111"/>
      <c r="BJ316" s="111"/>
      <c r="BK316" s="111"/>
      <c r="BL316" s="175"/>
      <c r="BM316" s="111"/>
      <c r="BN316" s="111"/>
      <c r="BO316" s="111"/>
      <c r="BP316" s="111"/>
      <c r="BQ316" s="111"/>
      <c r="BR316" s="111"/>
      <c r="BS316" s="111"/>
      <c r="BT316" s="111"/>
      <c r="BU316" s="111"/>
      <c r="BV316" s="111"/>
      <c r="BW316" s="111"/>
      <c r="BX316" s="111"/>
      <c r="BY316" s="111"/>
      <c r="BZ316" s="111"/>
      <c r="CA316" s="111"/>
      <c r="CB316" s="111"/>
      <c r="CC316" s="178"/>
      <c r="CD316" s="177">
        <f t="shared" si="384"/>
        <v>0</v>
      </c>
      <c r="CE316" s="148"/>
      <c r="CF316" s="111">
        <f t="shared" si="385"/>
        <v>0</v>
      </c>
      <c r="CG316" s="177"/>
      <c r="CH316" s="204"/>
      <c r="CI316" s="148"/>
      <c r="CJ316" s="165"/>
      <c r="CK316" s="165"/>
      <c r="CL316" s="111"/>
      <c r="CM316" s="111"/>
      <c r="CN316" s="165">
        <f t="shared" si="386"/>
        <v>0</v>
      </c>
      <c r="CO316" s="109">
        <f t="shared" si="387"/>
        <v>0</v>
      </c>
      <c r="CP316" s="109">
        <f t="shared" si="388"/>
        <v>0</v>
      </c>
      <c r="CQ316" s="109"/>
      <c r="CR316" s="109"/>
      <c r="CS316" s="196"/>
      <c r="CT316" s="167"/>
      <c r="CU316" s="165"/>
      <c r="CV316" s="109">
        <f t="shared" si="389"/>
        <v>0</v>
      </c>
      <c r="CW316" s="109">
        <f t="shared" si="390"/>
        <v>0</v>
      </c>
      <c r="CX316" s="109"/>
      <c r="CY316" s="109"/>
      <c r="CZ316" s="111"/>
      <c r="DA316" s="111"/>
      <c r="DB316" s="165"/>
      <c r="DC316" s="109">
        <f t="shared" si="391"/>
        <v>0</v>
      </c>
      <c r="DD316" s="109">
        <f t="shared" si="392"/>
        <v>0</v>
      </c>
      <c r="DE316" s="109"/>
      <c r="DF316" s="109"/>
      <c r="DG316" s="111"/>
      <c r="DH316" s="111"/>
      <c r="DI316" s="165"/>
      <c r="DJ316" s="109">
        <f t="shared" si="393"/>
        <v>0</v>
      </c>
      <c r="DK316" s="109">
        <f t="shared" si="394"/>
        <v>0</v>
      </c>
      <c r="DL316" s="109"/>
      <c r="DM316" s="109"/>
      <c r="DN316" s="111"/>
      <c r="DO316" s="111"/>
      <c r="DP316" s="165"/>
      <c r="DQ316" s="109">
        <f t="shared" si="402"/>
        <v>0</v>
      </c>
      <c r="DR316" s="109">
        <f t="shared" si="403"/>
        <v>0</v>
      </c>
      <c r="DS316" s="109"/>
      <c r="DT316" s="109"/>
      <c r="DU316" s="111"/>
      <c r="DV316" s="111"/>
      <c r="DW316" s="165"/>
      <c r="DX316" s="109">
        <f t="shared" si="404"/>
        <v>0</v>
      </c>
      <c r="DY316" s="109">
        <f t="shared" si="405"/>
        <v>0</v>
      </c>
      <c r="DZ316" s="109"/>
      <c r="EA316" s="109"/>
      <c r="EB316" s="111"/>
      <c r="EC316" s="111"/>
      <c r="ED316" s="165"/>
      <c r="EE316" s="109">
        <f t="shared" si="406"/>
        <v>0</v>
      </c>
      <c r="EF316" s="109">
        <f t="shared" si="407"/>
        <v>0</v>
      </c>
      <c r="EG316" s="109"/>
      <c r="EH316" s="109"/>
      <c r="EI316" s="111"/>
      <c r="EJ316" s="111"/>
      <c r="EK316" s="165"/>
      <c r="EL316" s="109">
        <f t="shared" si="408"/>
        <v>0</v>
      </c>
      <c r="EM316" s="109">
        <f t="shared" si="409"/>
        <v>0</v>
      </c>
      <c r="EN316" s="109"/>
      <c r="EO316" s="109"/>
      <c r="EP316" s="111"/>
      <c r="EQ316" s="111"/>
      <c r="ER316" s="165"/>
      <c r="ES316" s="109">
        <f t="shared" si="410"/>
        <v>0</v>
      </c>
      <c r="ET316" s="109">
        <f t="shared" si="411"/>
        <v>0</v>
      </c>
      <c r="EU316" s="109"/>
      <c r="EV316" s="109"/>
      <c r="EW316" s="111"/>
      <c r="EX316" s="111"/>
      <c r="EY316" s="165"/>
      <c r="EZ316" s="109">
        <f t="shared" si="412"/>
        <v>0</v>
      </c>
      <c r="FA316" s="109">
        <f t="shared" si="413"/>
        <v>0</v>
      </c>
      <c r="FB316" s="109"/>
      <c r="FC316" s="109"/>
      <c r="FD316" s="111"/>
      <c r="FE316" s="111"/>
      <c r="FF316" s="165"/>
      <c r="FG316" s="109">
        <f t="shared" si="414"/>
        <v>0</v>
      </c>
      <c r="FH316" s="109">
        <f t="shared" si="415"/>
        <v>0</v>
      </c>
      <c r="FI316" s="109"/>
      <c r="FJ316" s="109"/>
      <c r="FK316" s="111"/>
      <c r="FL316" s="111"/>
      <c r="FM316" s="165"/>
      <c r="FN316" s="109">
        <f t="shared" si="416"/>
        <v>0</v>
      </c>
      <c r="FO316" s="109">
        <f t="shared" si="417"/>
        <v>0</v>
      </c>
      <c r="FP316" s="109"/>
      <c r="FQ316" s="109"/>
      <c r="FR316" s="111"/>
      <c r="FS316" s="111"/>
      <c r="FT316" s="165"/>
      <c r="FU316" s="109">
        <f t="shared" si="418"/>
        <v>0</v>
      </c>
      <c r="FV316" s="109">
        <f t="shared" si="426"/>
        <v>0</v>
      </c>
      <c r="FW316" s="109"/>
      <c r="FX316" s="109"/>
      <c r="FY316" s="111"/>
      <c r="FZ316" s="111"/>
      <c r="GA316" s="165"/>
      <c r="GB316" s="109">
        <f t="shared" si="419"/>
        <v>0</v>
      </c>
      <c r="GC316" s="109">
        <f t="shared" si="427"/>
        <v>0</v>
      </c>
      <c r="GD316" s="109"/>
      <c r="GE316" s="109"/>
      <c r="GF316" s="111"/>
      <c r="GG316" s="111"/>
      <c r="GH316" s="165"/>
      <c r="GI316" s="109">
        <f t="shared" si="420"/>
        <v>0</v>
      </c>
      <c r="GJ316" s="109">
        <f t="shared" si="428"/>
        <v>0</v>
      </c>
      <c r="GK316" s="109"/>
      <c r="GL316" s="109"/>
      <c r="GM316" s="111"/>
      <c r="GN316" s="111"/>
      <c r="GO316" s="165"/>
      <c r="GP316" s="109">
        <f t="shared" si="421"/>
        <v>0</v>
      </c>
      <c r="GQ316" s="109">
        <f t="shared" si="429"/>
        <v>0</v>
      </c>
      <c r="GR316" s="109"/>
      <c r="GS316" s="109"/>
      <c r="GT316" s="111"/>
      <c r="GU316" s="111"/>
      <c r="GV316" s="165"/>
      <c r="GW316" s="168">
        <f t="shared" si="422"/>
        <v>0</v>
      </c>
      <c r="GX316" s="168">
        <f t="shared" si="430"/>
        <v>0</v>
      </c>
      <c r="GY316" s="168"/>
      <c r="GZ316" s="168"/>
      <c r="HA316" s="111"/>
      <c r="HB316" s="111"/>
      <c r="HC316" s="165"/>
      <c r="HD316" s="109">
        <f t="shared" si="423"/>
        <v>0</v>
      </c>
      <c r="HE316" s="109">
        <f t="shared" si="431"/>
        <v>0</v>
      </c>
      <c r="HF316" s="109"/>
      <c r="HG316" s="109"/>
      <c r="HH316" s="111"/>
      <c r="HI316" s="111"/>
      <c r="HJ316" s="165"/>
      <c r="HK316" s="109">
        <f t="shared" si="424"/>
        <v>0</v>
      </c>
      <c r="HL316" s="109">
        <f t="shared" si="432"/>
        <v>0</v>
      </c>
      <c r="HM316" s="109"/>
      <c r="HN316" s="109"/>
      <c r="HO316" s="111"/>
      <c r="HP316" s="111"/>
      <c r="HQ316" s="165"/>
      <c r="HR316" s="109">
        <f t="shared" si="425"/>
        <v>0</v>
      </c>
      <c r="HS316" s="109">
        <f t="shared" si="433"/>
        <v>0</v>
      </c>
      <c r="HT316" s="109"/>
      <c r="HU316" s="109"/>
      <c r="HV316" s="111"/>
      <c r="HW316" s="111"/>
      <c r="HX316" s="105">
        <f t="shared" si="401"/>
        <v>0</v>
      </c>
      <c r="HY316" s="105">
        <f t="shared" si="401"/>
        <v>0</v>
      </c>
      <c r="HZ316" s="105">
        <f t="shared" si="401"/>
        <v>0</v>
      </c>
      <c r="IA316" s="105">
        <f t="shared" si="395"/>
        <v>0</v>
      </c>
      <c r="IB316" s="109">
        <f t="shared" si="396"/>
        <v>0</v>
      </c>
      <c r="IC316" s="109">
        <f t="shared" si="397"/>
        <v>0</v>
      </c>
      <c r="ID316" s="109">
        <f t="shared" si="398"/>
        <v>0</v>
      </c>
      <c r="IE316" s="109">
        <f t="shared" si="399"/>
        <v>0</v>
      </c>
      <c r="IF316" s="197"/>
      <c r="IG316" s="197"/>
      <c r="IH316" s="197"/>
      <c r="II316" s="197"/>
      <c r="IJ316" s="197"/>
      <c r="IK316" s="197"/>
      <c r="IL316" s="197"/>
      <c r="IM316" s="171"/>
      <c r="IN316" s="171"/>
      <c r="IO316" s="171"/>
      <c r="IP316" s="171"/>
    </row>
    <row r="317" spans="1:250" ht="15" customHeight="1" x14ac:dyDescent="0.3">
      <c r="A317" s="110">
        <f t="shared" si="400"/>
        <v>313</v>
      </c>
      <c r="B317" s="111"/>
      <c r="C317" s="111"/>
      <c r="D317" s="111"/>
      <c r="E317" s="111"/>
      <c r="F317" s="111"/>
      <c r="G317" s="111"/>
      <c r="H317" s="111"/>
      <c r="I317" s="194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75"/>
      <c r="AI317" s="111"/>
      <c r="AJ317" s="111"/>
      <c r="AK317" s="111"/>
      <c r="AL317" s="177"/>
      <c r="AM317" s="176"/>
      <c r="AN317" s="177"/>
      <c r="AO317" s="157"/>
      <c r="AP317" s="158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  <c r="BJ317" s="111"/>
      <c r="BK317" s="111"/>
      <c r="BL317" s="175"/>
      <c r="BM317" s="111"/>
      <c r="BN317" s="111"/>
      <c r="BO317" s="111"/>
      <c r="BP317" s="111"/>
      <c r="BQ317" s="111"/>
      <c r="BR317" s="111"/>
      <c r="BS317" s="111"/>
      <c r="BT317" s="111"/>
      <c r="BU317" s="111"/>
      <c r="BV317" s="111"/>
      <c r="BW317" s="111"/>
      <c r="BX317" s="111"/>
      <c r="BY317" s="111"/>
      <c r="BZ317" s="111"/>
      <c r="CA317" s="111"/>
      <c r="CB317" s="111"/>
      <c r="CC317" s="178"/>
      <c r="CD317" s="177">
        <f t="shared" si="384"/>
        <v>0</v>
      </c>
      <c r="CE317" s="148"/>
      <c r="CF317" s="111">
        <f t="shared" si="385"/>
        <v>0</v>
      </c>
      <c r="CG317" s="177"/>
      <c r="CH317" s="204"/>
      <c r="CI317" s="148"/>
      <c r="CJ317" s="165"/>
      <c r="CK317" s="165"/>
      <c r="CL317" s="111"/>
      <c r="CM317" s="111"/>
      <c r="CN317" s="165">
        <f t="shared" si="386"/>
        <v>0</v>
      </c>
      <c r="CO317" s="109">
        <f t="shared" si="387"/>
        <v>0</v>
      </c>
      <c r="CP317" s="109">
        <f t="shared" si="388"/>
        <v>0</v>
      </c>
      <c r="CQ317" s="109"/>
      <c r="CR317" s="109"/>
      <c r="CS317" s="196"/>
      <c r="CT317" s="167"/>
      <c r="CU317" s="165"/>
      <c r="CV317" s="109">
        <f t="shared" si="389"/>
        <v>0</v>
      </c>
      <c r="CW317" s="109">
        <f t="shared" si="390"/>
        <v>0</v>
      </c>
      <c r="CX317" s="109"/>
      <c r="CY317" s="109"/>
      <c r="CZ317" s="111"/>
      <c r="DA317" s="111"/>
      <c r="DB317" s="165"/>
      <c r="DC317" s="109">
        <f t="shared" si="391"/>
        <v>0</v>
      </c>
      <c r="DD317" s="109">
        <f t="shared" si="392"/>
        <v>0</v>
      </c>
      <c r="DE317" s="109"/>
      <c r="DF317" s="109"/>
      <c r="DG317" s="111"/>
      <c r="DH317" s="111"/>
      <c r="DI317" s="165"/>
      <c r="DJ317" s="109">
        <f t="shared" si="393"/>
        <v>0</v>
      </c>
      <c r="DK317" s="109">
        <f t="shared" si="394"/>
        <v>0</v>
      </c>
      <c r="DL317" s="109"/>
      <c r="DM317" s="109"/>
      <c r="DN317" s="111"/>
      <c r="DO317" s="111"/>
      <c r="DP317" s="165"/>
      <c r="DQ317" s="109">
        <f t="shared" si="402"/>
        <v>0</v>
      </c>
      <c r="DR317" s="109">
        <f t="shared" si="403"/>
        <v>0</v>
      </c>
      <c r="DS317" s="109"/>
      <c r="DT317" s="109"/>
      <c r="DU317" s="111"/>
      <c r="DV317" s="111"/>
      <c r="DW317" s="165"/>
      <c r="DX317" s="109">
        <f t="shared" si="404"/>
        <v>0</v>
      </c>
      <c r="DY317" s="109">
        <f t="shared" si="405"/>
        <v>0</v>
      </c>
      <c r="DZ317" s="109"/>
      <c r="EA317" s="109"/>
      <c r="EB317" s="111"/>
      <c r="EC317" s="111"/>
      <c r="ED317" s="165"/>
      <c r="EE317" s="109">
        <f t="shared" si="406"/>
        <v>0</v>
      </c>
      <c r="EF317" s="109">
        <f t="shared" si="407"/>
        <v>0</v>
      </c>
      <c r="EG317" s="109"/>
      <c r="EH317" s="109"/>
      <c r="EI317" s="111"/>
      <c r="EJ317" s="111"/>
      <c r="EK317" s="165"/>
      <c r="EL317" s="109">
        <f t="shared" si="408"/>
        <v>0</v>
      </c>
      <c r="EM317" s="109">
        <f t="shared" si="409"/>
        <v>0</v>
      </c>
      <c r="EN317" s="109"/>
      <c r="EO317" s="109"/>
      <c r="EP317" s="111"/>
      <c r="EQ317" s="111"/>
      <c r="ER317" s="165"/>
      <c r="ES317" s="109">
        <f t="shared" si="410"/>
        <v>0</v>
      </c>
      <c r="ET317" s="109">
        <f t="shared" si="411"/>
        <v>0</v>
      </c>
      <c r="EU317" s="109"/>
      <c r="EV317" s="109"/>
      <c r="EW317" s="111"/>
      <c r="EX317" s="111"/>
      <c r="EY317" s="165"/>
      <c r="EZ317" s="109">
        <f t="shared" si="412"/>
        <v>0</v>
      </c>
      <c r="FA317" s="109">
        <f t="shared" si="413"/>
        <v>0</v>
      </c>
      <c r="FB317" s="109"/>
      <c r="FC317" s="109"/>
      <c r="FD317" s="111"/>
      <c r="FE317" s="111"/>
      <c r="FF317" s="165"/>
      <c r="FG317" s="109">
        <f t="shared" si="414"/>
        <v>0</v>
      </c>
      <c r="FH317" s="109">
        <f t="shared" si="415"/>
        <v>0</v>
      </c>
      <c r="FI317" s="109"/>
      <c r="FJ317" s="109"/>
      <c r="FK317" s="111"/>
      <c r="FL317" s="111"/>
      <c r="FM317" s="165"/>
      <c r="FN317" s="109">
        <f t="shared" si="416"/>
        <v>0</v>
      </c>
      <c r="FO317" s="109">
        <f t="shared" si="417"/>
        <v>0</v>
      </c>
      <c r="FP317" s="109"/>
      <c r="FQ317" s="109"/>
      <c r="FR317" s="111"/>
      <c r="FS317" s="111"/>
      <c r="FT317" s="165"/>
      <c r="FU317" s="109">
        <f t="shared" si="418"/>
        <v>0</v>
      </c>
      <c r="FV317" s="109">
        <f t="shared" si="426"/>
        <v>0</v>
      </c>
      <c r="FW317" s="109"/>
      <c r="FX317" s="109"/>
      <c r="FY317" s="111"/>
      <c r="FZ317" s="111"/>
      <c r="GA317" s="165"/>
      <c r="GB317" s="109">
        <f t="shared" si="419"/>
        <v>0</v>
      </c>
      <c r="GC317" s="109">
        <f t="shared" si="427"/>
        <v>0</v>
      </c>
      <c r="GD317" s="109"/>
      <c r="GE317" s="109"/>
      <c r="GF317" s="111"/>
      <c r="GG317" s="111"/>
      <c r="GH317" s="165"/>
      <c r="GI317" s="109">
        <f t="shared" si="420"/>
        <v>0</v>
      </c>
      <c r="GJ317" s="109">
        <f t="shared" si="428"/>
        <v>0</v>
      </c>
      <c r="GK317" s="109"/>
      <c r="GL317" s="109"/>
      <c r="GM317" s="111"/>
      <c r="GN317" s="111"/>
      <c r="GO317" s="165"/>
      <c r="GP317" s="109">
        <f t="shared" si="421"/>
        <v>0</v>
      </c>
      <c r="GQ317" s="109">
        <f t="shared" si="429"/>
        <v>0</v>
      </c>
      <c r="GR317" s="109"/>
      <c r="GS317" s="109"/>
      <c r="GT317" s="111"/>
      <c r="GU317" s="111"/>
      <c r="GV317" s="165"/>
      <c r="GW317" s="168">
        <f t="shared" si="422"/>
        <v>0</v>
      </c>
      <c r="GX317" s="168">
        <f t="shared" si="430"/>
        <v>0</v>
      </c>
      <c r="GY317" s="168"/>
      <c r="GZ317" s="168"/>
      <c r="HA317" s="111"/>
      <c r="HB317" s="111"/>
      <c r="HC317" s="165"/>
      <c r="HD317" s="109">
        <f t="shared" si="423"/>
        <v>0</v>
      </c>
      <c r="HE317" s="109">
        <f t="shared" si="431"/>
        <v>0</v>
      </c>
      <c r="HF317" s="109"/>
      <c r="HG317" s="109"/>
      <c r="HH317" s="111"/>
      <c r="HI317" s="111"/>
      <c r="HJ317" s="165"/>
      <c r="HK317" s="109">
        <f t="shared" si="424"/>
        <v>0</v>
      </c>
      <c r="HL317" s="109">
        <f t="shared" si="432"/>
        <v>0</v>
      </c>
      <c r="HM317" s="109"/>
      <c r="HN317" s="109"/>
      <c r="HO317" s="111"/>
      <c r="HP317" s="111"/>
      <c r="HQ317" s="165"/>
      <c r="HR317" s="109">
        <f t="shared" si="425"/>
        <v>0</v>
      </c>
      <c r="HS317" s="109">
        <f t="shared" si="433"/>
        <v>0</v>
      </c>
      <c r="HT317" s="109"/>
      <c r="HU317" s="109"/>
      <c r="HV317" s="111"/>
      <c r="HW317" s="111"/>
      <c r="HX317" s="105">
        <f t="shared" si="401"/>
        <v>0</v>
      </c>
      <c r="HY317" s="105">
        <f t="shared" si="401"/>
        <v>0</v>
      </c>
      <c r="HZ317" s="105">
        <f t="shared" si="401"/>
        <v>0</v>
      </c>
      <c r="IA317" s="105">
        <f t="shared" si="395"/>
        <v>0</v>
      </c>
      <c r="IB317" s="109">
        <f t="shared" si="396"/>
        <v>0</v>
      </c>
      <c r="IC317" s="109">
        <f t="shared" si="397"/>
        <v>0</v>
      </c>
      <c r="ID317" s="109">
        <f t="shared" si="398"/>
        <v>0</v>
      </c>
      <c r="IE317" s="109">
        <f t="shared" si="399"/>
        <v>0</v>
      </c>
      <c r="IF317" s="197"/>
      <c r="IG317" s="197"/>
      <c r="IH317" s="197"/>
      <c r="II317" s="197"/>
      <c r="IJ317" s="197"/>
      <c r="IK317" s="197"/>
      <c r="IL317" s="197"/>
      <c r="IM317" s="171"/>
      <c r="IN317" s="171"/>
      <c r="IO317" s="171"/>
      <c r="IP317" s="171"/>
    </row>
    <row r="318" spans="1:250" ht="15" customHeight="1" x14ac:dyDescent="0.3">
      <c r="A318" s="110">
        <f t="shared" si="400"/>
        <v>314</v>
      </c>
      <c r="B318" s="111"/>
      <c r="C318" s="111"/>
      <c r="D318" s="111"/>
      <c r="E318" s="111"/>
      <c r="F318" s="111"/>
      <c r="G318" s="111"/>
      <c r="H318" s="111"/>
      <c r="I318" s="194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75"/>
      <c r="AI318" s="111"/>
      <c r="AJ318" s="111"/>
      <c r="AK318" s="111"/>
      <c r="AL318" s="177"/>
      <c r="AM318" s="176"/>
      <c r="AN318" s="177"/>
      <c r="AO318" s="157"/>
      <c r="AP318" s="158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  <c r="BJ318" s="111"/>
      <c r="BK318" s="111"/>
      <c r="BL318" s="175"/>
      <c r="BM318" s="111"/>
      <c r="BN318" s="111"/>
      <c r="BO318" s="111"/>
      <c r="BP318" s="111"/>
      <c r="BQ318" s="111"/>
      <c r="BR318" s="111"/>
      <c r="BS318" s="111"/>
      <c r="BT318" s="111"/>
      <c r="BU318" s="111"/>
      <c r="BV318" s="111"/>
      <c r="BW318" s="111"/>
      <c r="BX318" s="111"/>
      <c r="BY318" s="111"/>
      <c r="BZ318" s="111"/>
      <c r="CA318" s="111"/>
      <c r="CB318" s="111"/>
      <c r="CC318" s="178"/>
      <c r="CD318" s="177">
        <f t="shared" si="384"/>
        <v>0</v>
      </c>
      <c r="CE318" s="148"/>
      <c r="CF318" s="111">
        <f t="shared" si="385"/>
        <v>0</v>
      </c>
      <c r="CG318" s="177"/>
      <c r="CH318" s="204"/>
      <c r="CI318" s="148"/>
      <c r="CJ318" s="165"/>
      <c r="CK318" s="165"/>
      <c r="CL318" s="111"/>
      <c r="CM318" s="111"/>
      <c r="CN318" s="165">
        <f t="shared" si="386"/>
        <v>0</v>
      </c>
      <c r="CO318" s="109">
        <f t="shared" si="387"/>
        <v>0</v>
      </c>
      <c r="CP318" s="109">
        <f t="shared" si="388"/>
        <v>0</v>
      </c>
      <c r="CQ318" s="109"/>
      <c r="CR318" s="109"/>
      <c r="CS318" s="196"/>
      <c r="CT318" s="167"/>
      <c r="CU318" s="165"/>
      <c r="CV318" s="109">
        <f t="shared" si="389"/>
        <v>0</v>
      </c>
      <c r="CW318" s="109">
        <f t="shared" si="390"/>
        <v>0</v>
      </c>
      <c r="CX318" s="109"/>
      <c r="CY318" s="109"/>
      <c r="CZ318" s="111"/>
      <c r="DA318" s="111"/>
      <c r="DB318" s="165"/>
      <c r="DC318" s="109">
        <f t="shared" si="391"/>
        <v>0</v>
      </c>
      <c r="DD318" s="109">
        <f t="shared" si="392"/>
        <v>0</v>
      </c>
      <c r="DE318" s="109"/>
      <c r="DF318" s="109"/>
      <c r="DG318" s="111"/>
      <c r="DH318" s="111"/>
      <c r="DI318" s="165"/>
      <c r="DJ318" s="109">
        <f t="shared" si="393"/>
        <v>0</v>
      </c>
      <c r="DK318" s="109">
        <f t="shared" si="394"/>
        <v>0</v>
      </c>
      <c r="DL318" s="109"/>
      <c r="DM318" s="109"/>
      <c r="DN318" s="111"/>
      <c r="DO318" s="111"/>
      <c r="DP318" s="165"/>
      <c r="DQ318" s="109">
        <f t="shared" si="402"/>
        <v>0</v>
      </c>
      <c r="DR318" s="109">
        <f t="shared" si="403"/>
        <v>0</v>
      </c>
      <c r="DS318" s="109"/>
      <c r="DT318" s="109"/>
      <c r="DU318" s="111"/>
      <c r="DV318" s="111"/>
      <c r="DW318" s="165"/>
      <c r="DX318" s="109">
        <f t="shared" si="404"/>
        <v>0</v>
      </c>
      <c r="DY318" s="109">
        <f t="shared" si="405"/>
        <v>0</v>
      </c>
      <c r="DZ318" s="109"/>
      <c r="EA318" s="109"/>
      <c r="EB318" s="111"/>
      <c r="EC318" s="111"/>
      <c r="ED318" s="165"/>
      <c r="EE318" s="109">
        <f t="shared" si="406"/>
        <v>0</v>
      </c>
      <c r="EF318" s="109">
        <f t="shared" si="407"/>
        <v>0</v>
      </c>
      <c r="EG318" s="109"/>
      <c r="EH318" s="109"/>
      <c r="EI318" s="111"/>
      <c r="EJ318" s="111"/>
      <c r="EK318" s="165"/>
      <c r="EL318" s="109">
        <f t="shared" si="408"/>
        <v>0</v>
      </c>
      <c r="EM318" s="109">
        <f t="shared" si="409"/>
        <v>0</v>
      </c>
      <c r="EN318" s="109"/>
      <c r="EO318" s="109"/>
      <c r="EP318" s="111"/>
      <c r="EQ318" s="111"/>
      <c r="ER318" s="165"/>
      <c r="ES318" s="109">
        <f t="shared" si="410"/>
        <v>0</v>
      </c>
      <c r="ET318" s="109">
        <f t="shared" si="411"/>
        <v>0</v>
      </c>
      <c r="EU318" s="109"/>
      <c r="EV318" s="109"/>
      <c r="EW318" s="111"/>
      <c r="EX318" s="111"/>
      <c r="EY318" s="165"/>
      <c r="EZ318" s="109">
        <f t="shared" si="412"/>
        <v>0</v>
      </c>
      <c r="FA318" s="109">
        <f t="shared" si="413"/>
        <v>0</v>
      </c>
      <c r="FB318" s="109"/>
      <c r="FC318" s="109"/>
      <c r="FD318" s="111"/>
      <c r="FE318" s="111"/>
      <c r="FF318" s="165"/>
      <c r="FG318" s="109">
        <f t="shared" si="414"/>
        <v>0</v>
      </c>
      <c r="FH318" s="109">
        <f t="shared" si="415"/>
        <v>0</v>
      </c>
      <c r="FI318" s="109"/>
      <c r="FJ318" s="109"/>
      <c r="FK318" s="111"/>
      <c r="FL318" s="111"/>
      <c r="FM318" s="165"/>
      <c r="FN318" s="109">
        <f t="shared" si="416"/>
        <v>0</v>
      </c>
      <c r="FO318" s="109">
        <f t="shared" si="417"/>
        <v>0</v>
      </c>
      <c r="FP318" s="109"/>
      <c r="FQ318" s="109"/>
      <c r="FR318" s="111"/>
      <c r="FS318" s="111"/>
      <c r="FT318" s="165"/>
      <c r="FU318" s="109">
        <f t="shared" si="418"/>
        <v>0</v>
      </c>
      <c r="FV318" s="109">
        <f t="shared" si="426"/>
        <v>0</v>
      </c>
      <c r="FW318" s="109"/>
      <c r="FX318" s="109"/>
      <c r="FY318" s="111"/>
      <c r="FZ318" s="111"/>
      <c r="GA318" s="165"/>
      <c r="GB318" s="109">
        <f t="shared" si="419"/>
        <v>0</v>
      </c>
      <c r="GC318" s="109">
        <f t="shared" si="427"/>
        <v>0</v>
      </c>
      <c r="GD318" s="109"/>
      <c r="GE318" s="109"/>
      <c r="GF318" s="111"/>
      <c r="GG318" s="111"/>
      <c r="GH318" s="165"/>
      <c r="GI318" s="109">
        <f t="shared" si="420"/>
        <v>0</v>
      </c>
      <c r="GJ318" s="109">
        <f t="shared" si="428"/>
        <v>0</v>
      </c>
      <c r="GK318" s="109"/>
      <c r="GL318" s="109"/>
      <c r="GM318" s="111"/>
      <c r="GN318" s="111"/>
      <c r="GO318" s="165"/>
      <c r="GP318" s="109">
        <f t="shared" si="421"/>
        <v>0</v>
      </c>
      <c r="GQ318" s="109">
        <f t="shared" si="429"/>
        <v>0</v>
      </c>
      <c r="GR318" s="109"/>
      <c r="GS318" s="109"/>
      <c r="GT318" s="111"/>
      <c r="GU318" s="111"/>
      <c r="GV318" s="165"/>
      <c r="GW318" s="168">
        <f t="shared" si="422"/>
        <v>0</v>
      </c>
      <c r="GX318" s="168">
        <f t="shared" si="430"/>
        <v>0</v>
      </c>
      <c r="GY318" s="168"/>
      <c r="GZ318" s="168"/>
      <c r="HA318" s="111"/>
      <c r="HB318" s="111"/>
      <c r="HC318" s="165"/>
      <c r="HD318" s="109">
        <f t="shared" si="423"/>
        <v>0</v>
      </c>
      <c r="HE318" s="109">
        <f t="shared" si="431"/>
        <v>0</v>
      </c>
      <c r="HF318" s="109"/>
      <c r="HG318" s="109"/>
      <c r="HH318" s="111"/>
      <c r="HI318" s="111"/>
      <c r="HJ318" s="165"/>
      <c r="HK318" s="109">
        <f t="shared" si="424"/>
        <v>0</v>
      </c>
      <c r="HL318" s="109">
        <f t="shared" si="432"/>
        <v>0</v>
      </c>
      <c r="HM318" s="109"/>
      <c r="HN318" s="109"/>
      <c r="HO318" s="111"/>
      <c r="HP318" s="111"/>
      <c r="HQ318" s="165"/>
      <c r="HR318" s="109">
        <f t="shared" si="425"/>
        <v>0</v>
      </c>
      <c r="HS318" s="109">
        <f t="shared" si="433"/>
        <v>0</v>
      </c>
      <c r="HT318" s="109"/>
      <c r="HU318" s="109"/>
      <c r="HV318" s="111"/>
      <c r="HW318" s="111"/>
      <c r="HX318" s="105">
        <f t="shared" si="401"/>
        <v>0</v>
      </c>
      <c r="HY318" s="105">
        <f t="shared" si="401"/>
        <v>0</v>
      </c>
      <c r="HZ318" s="105">
        <f t="shared" si="401"/>
        <v>0</v>
      </c>
      <c r="IA318" s="105">
        <f t="shared" si="395"/>
        <v>0</v>
      </c>
      <c r="IB318" s="109">
        <f t="shared" si="396"/>
        <v>0</v>
      </c>
      <c r="IC318" s="109">
        <f t="shared" si="397"/>
        <v>0</v>
      </c>
      <c r="ID318" s="109">
        <f t="shared" si="398"/>
        <v>0</v>
      </c>
      <c r="IE318" s="109">
        <f t="shared" si="399"/>
        <v>0</v>
      </c>
      <c r="IF318" s="197"/>
      <c r="IG318" s="197"/>
      <c r="IH318" s="197"/>
      <c r="II318" s="197"/>
      <c r="IJ318" s="197"/>
      <c r="IK318" s="197"/>
      <c r="IL318" s="197"/>
      <c r="IM318" s="171"/>
      <c r="IN318" s="171"/>
      <c r="IO318" s="171"/>
      <c r="IP318" s="171"/>
    </row>
    <row r="319" spans="1:250" ht="15" customHeight="1" x14ac:dyDescent="0.3">
      <c r="A319" s="110">
        <f t="shared" si="400"/>
        <v>315</v>
      </c>
      <c r="B319" s="111"/>
      <c r="C319" s="111"/>
      <c r="D319" s="111"/>
      <c r="E319" s="111"/>
      <c r="F319" s="111"/>
      <c r="G319" s="111"/>
      <c r="H319" s="111"/>
      <c r="I319" s="194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75"/>
      <c r="AI319" s="111"/>
      <c r="AJ319" s="111"/>
      <c r="AK319" s="111"/>
      <c r="AL319" s="177"/>
      <c r="AM319" s="176"/>
      <c r="AN319" s="177"/>
      <c r="AO319" s="157"/>
      <c r="AP319" s="158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  <c r="BG319" s="111"/>
      <c r="BH319" s="111"/>
      <c r="BI319" s="111"/>
      <c r="BJ319" s="111"/>
      <c r="BK319" s="111"/>
      <c r="BL319" s="175"/>
      <c r="BM319" s="111"/>
      <c r="BN319" s="111"/>
      <c r="BO319" s="111"/>
      <c r="BP319" s="111"/>
      <c r="BQ319" s="111"/>
      <c r="BR319" s="111"/>
      <c r="BS319" s="111"/>
      <c r="BT319" s="111"/>
      <c r="BU319" s="111"/>
      <c r="BV319" s="111"/>
      <c r="BW319" s="111"/>
      <c r="BX319" s="111"/>
      <c r="BY319" s="111"/>
      <c r="BZ319" s="111"/>
      <c r="CA319" s="111"/>
      <c r="CB319" s="111"/>
      <c r="CC319" s="178"/>
      <c r="CD319" s="177">
        <f t="shared" si="384"/>
        <v>0</v>
      </c>
      <c r="CE319" s="148"/>
      <c r="CF319" s="111">
        <f t="shared" si="385"/>
        <v>0</v>
      </c>
      <c r="CG319" s="177"/>
      <c r="CH319" s="204"/>
      <c r="CI319" s="148"/>
      <c r="CJ319" s="165"/>
      <c r="CK319" s="165"/>
      <c r="CL319" s="111"/>
      <c r="CM319" s="111"/>
      <c r="CN319" s="165">
        <f t="shared" si="386"/>
        <v>0</v>
      </c>
      <c r="CO319" s="109">
        <f t="shared" si="387"/>
        <v>0</v>
      </c>
      <c r="CP319" s="109">
        <f t="shared" si="388"/>
        <v>0</v>
      </c>
      <c r="CQ319" s="109"/>
      <c r="CR319" s="109"/>
      <c r="CS319" s="196"/>
      <c r="CT319" s="167"/>
      <c r="CU319" s="165"/>
      <c r="CV319" s="109">
        <f t="shared" si="389"/>
        <v>0</v>
      </c>
      <c r="CW319" s="109">
        <f t="shared" si="390"/>
        <v>0</v>
      </c>
      <c r="CX319" s="109"/>
      <c r="CY319" s="109"/>
      <c r="CZ319" s="111"/>
      <c r="DA319" s="111"/>
      <c r="DB319" s="165"/>
      <c r="DC319" s="109">
        <f t="shared" si="391"/>
        <v>0</v>
      </c>
      <c r="DD319" s="109">
        <f t="shared" si="392"/>
        <v>0</v>
      </c>
      <c r="DE319" s="109"/>
      <c r="DF319" s="109"/>
      <c r="DG319" s="111"/>
      <c r="DH319" s="111"/>
      <c r="DI319" s="165"/>
      <c r="DJ319" s="109">
        <f t="shared" si="393"/>
        <v>0</v>
      </c>
      <c r="DK319" s="109">
        <f t="shared" si="394"/>
        <v>0</v>
      </c>
      <c r="DL319" s="109"/>
      <c r="DM319" s="109"/>
      <c r="DN319" s="111"/>
      <c r="DO319" s="111"/>
      <c r="DP319" s="165"/>
      <c r="DQ319" s="109">
        <f t="shared" si="402"/>
        <v>0</v>
      </c>
      <c r="DR319" s="109">
        <f t="shared" si="403"/>
        <v>0</v>
      </c>
      <c r="DS319" s="109"/>
      <c r="DT319" s="109"/>
      <c r="DU319" s="111"/>
      <c r="DV319" s="111"/>
      <c r="DW319" s="165"/>
      <c r="DX319" s="109">
        <f t="shared" si="404"/>
        <v>0</v>
      </c>
      <c r="DY319" s="109">
        <f t="shared" si="405"/>
        <v>0</v>
      </c>
      <c r="DZ319" s="109"/>
      <c r="EA319" s="109"/>
      <c r="EB319" s="111"/>
      <c r="EC319" s="111"/>
      <c r="ED319" s="165"/>
      <c r="EE319" s="109">
        <f t="shared" si="406"/>
        <v>0</v>
      </c>
      <c r="EF319" s="109">
        <f t="shared" si="407"/>
        <v>0</v>
      </c>
      <c r="EG319" s="109"/>
      <c r="EH319" s="109"/>
      <c r="EI319" s="111"/>
      <c r="EJ319" s="111"/>
      <c r="EK319" s="165"/>
      <c r="EL319" s="109">
        <f t="shared" si="408"/>
        <v>0</v>
      </c>
      <c r="EM319" s="109">
        <f t="shared" si="409"/>
        <v>0</v>
      </c>
      <c r="EN319" s="109"/>
      <c r="EO319" s="109"/>
      <c r="EP319" s="111"/>
      <c r="EQ319" s="111"/>
      <c r="ER319" s="165"/>
      <c r="ES319" s="109">
        <f t="shared" si="410"/>
        <v>0</v>
      </c>
      <c r="ET319" s="109">
        <f t="shared" si="411"/>
        <v>0</v>
      </c>
      <c r="EU319" s="109"/>
      <c r="EV319" s="109"/>
      <c r="EW319" s="111"/>
      <c r="EX319" s="111"/>
      <c r="EY319" s="165"/>
      <c r="EZ319" s="109">
        <f t="shared" si="412"/>
        <v>0</v>
      </c>
      <c r="FA319" s="109">
        <f t="shared" si="413"/>
        <v>0</v>
      </c>
      <c r="FB319" s="109"/>
      <c r="FC319" s="109"/>
      <c r="FD319" s="111"/>
      <c r="FE319" s="111"/>
      <c r="FF319" s="165"/>
      <c r="FG319" s="109">
        <f t="shared" si="414"/>
        <v>0</v>
      </c>
      <c r="FH319" s="109">
        <f t="shared" si="415"/>
        <v>0</v>
      </c>
      <c r="FI319" s="109"/>
      <c r="FJ319" s="109"/>
      <c r="FK319" s="111"/>
      <c r="FL319" s="111"/>
      <c r="FM319" s="165"/>
      <c r="FN319" s="109">
        <f t="shared" si="416"/>
        <v>0</v>
      </c>
      <c r="FO319" s="109">
        <f t="shared" si="417"/>
        <v>0</v>
      </c>
      <c r="FP319" s="109"/>
      <c r="FQ319" s="109"/>
      <c r="FR319" s="111"/>
      <c r="FS319" s="111"/>
      <c r="FT319" s="165"/>
      <c r="FU319" s="109">
        <f t="shared" si="418"/>
        <v>0</v>
      </c>
      <c r="FV319" s="109">
        <f t="shared" si="426"/>
        <v>0</v>
      </c>
      <c r="FW319" s="109"/>
      <c r="FX319" s="109"/>
      <c r="FY319" s="111"/>
      <c r="FZ319" s="111"/>
      <c r="GA319" s="165"/>
      <c r="GB319" s="109">
        <f t="shared" si="419"/>
        <v>0</v>
      </c>
      <c r="GC319" s="109">
        <f t="shared" si="427"/>
        <v>0</v>
      </c>
      <c r="GD319" s="109"/>
      <c r="GE319" s="109"/>
      <c r="GF319" s="111"/>
      <c r="GG319" s="111"/>
      <c r="GH319" s="165"/>
      <c r="GI319" s="109">
        <f t="shared" si="420"/>
        <v>0</v>
      </c>
      <c r="GJ319" s="109">
        <f t="shared" si="428"/>
        <v>0</v>
      </c>
      <c r="GK319" s="109"/>
      <c r="GL319" s="109"/>
      <c r="GM319" s="111"/>
      <c r="GN319" s="111"/>
      <c r="GO319" s="165"/>
      <c r="GP319" s="109">
        <f t="shared" si="421"/>
        <v>0</v>
      </c>
      <c r="GQ319" s="109">
        <f t="shared" si="429"/>
        <v>0</v>
      </c>
      <c r="GR319" s="109"/>
      <c r="GS319" s="109"/>
      <c r="GT319" s="111"/>
      <c r="GU319" s="111"/>
      <c r="GV319" s="165"/>
      <c r="GW319" s="168">
        <f t="shared" si="422"/>
        <v>0</v>
      </c>
      <c r="GX319" s="168">
        <f t="shared" si="430"/>
        <v>0</v>
      </c>
      <c r="GY319" s="168"/>
      <c r="GZ319" s="168"/>
      <c r="HA319" s="111"/>
      <c r="HB319" s="111"/>
      <c r="HC319" s="165"/>
      <c r="HD319" s="109">
        <f t="shared" si="423"/>
        <v>0</v>
      </c>
      <c r="HE319" s="109">
        <f t="shared" si="431"/>
        <v>0</v>
      </c>
      <c r="HF319" s="109"/>
      <c r="HG319" s="109"/>
      <c r="HH319" s="111"/>
      <c r="HI319" s="111"/>
      <c r="HJ319" s="165"/>
      <c r="HK319" s="109">
        <f t="shared" si="424"/>
        <v>0</v>
      </c>
      <c r="HL319" s="109">
        <f t="shared" si="432"/>
        <v>0</v>
      </c>
      <c r="HM319" s="109"/>
      <c r="HN319" s="109"/>
      <c r="HO319" s="111"/>
      <c r="HP319" s="111"/>
      <c r="HQ319" s="165"/>
      <c r="HR319" s="109">
        <f t="shared" si="425"/>
        <v>0</v>
      </c>
      <c r="HS319" s="109">
        <f t="shared" si="433"/>
        <v>0</v>
      </c>
      <c r="HT319" s="109"/>
      <c r="HU319" s="109"/>
      <c r="HV319" s="111"/>
      <c r="HW319" s="111"/>
      <c r="HX319" s="105">
        <f t="shared" si="401"/>
        <v>0</v>
      </c>
      <c r="HY319" s="105">
        <f t="shared" si="401"/>
        <v>0</v>
      </c>
      <c r="HZ319" s="105">
        <f t="shared" si="401"/>
        <v>0</v>
      </c>
      <c r="IA319" s="105">
        <f t="shared" si="395"/>
        <v>0</v>
      </c>
      <c r="IB319" s="109">
        <f t="shared" si="396"/>
        <v>0</v>
      </c>
      <c r="IC319" s="109">
        <f t="shared" si="397"/>
        <v>0</v>
      </c>
      <c r="ID319" s="109">
        <f t="shared" si="398"/>
        <v>0</v>
      </c>
      <c r="IE319" s="109">
        <f t="shared" si="399"/>
        <v>0</v>
      </c>
      <c r="IF319" s="197"/>
      <c r="IG319" s="197"/>
      <c r="IH319" s="197"/>
      <c r="II319" s="197"/>
      <c r="IJ319" s="197"/>
      <c r="IK319" s="197"/>
      <c r="IL319" s="197"/>
      <c r="IM319" s="171"/>
      <c r="IN319" s="171"/>
      <c r="IO319" s="171"/>
      <c r="IP319" s="171"/>
    </row>
    <row r="320" spans="1:250" ht="15" customHeight="1" x14ac:dyDescent="0.3">
      <c r="A320" s="110">
        <f t="shared" si="400"/>
        <v>316</v>
      </c>
      <c r="B320" s="111"/>
      <c r="C320" s="111"/>
      <c r="D320" s="111"/>
      <c r="E320" s="111"/>
      <c r="F320" s="111"/>
      <c r="G320" s="111"/>
      <c r="H320" s="111"/>
      <c r="I320" s="194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75"/>
      <c r="AI320" s="111"/>
      <c r="AJ320" s="111"/>
      <c r="AK320" s="111"/>
      <c r="AL320" s="177"/>
      <c r="AM320" s="176"/>
      <c r="AN320" s="177"/>
      <c r="AO320" s="157"/>
      <c r="AP320" s="158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11"/>
      <c r="BF320" s="111"/>
      <c r="BG320" s="111"/>
      <c r="BH320" s="111"/>
      <c r="BI320" s="111"/>
      <c r="BJ320" s="111"/>
      <c r="BK320" s="111"/>
      <c r="BL320" s="175"/>
      <c r="BM320" s="111"/>
      <c r="BN320" s="111"/>
      <c r="BO320" s="111"/>
      <c r="BP320" s="111"/>
      <c r="BQ320" s="111"/>
      <c r="BR320" s="111"/>
      <c r="BS320" s="111"/>
      <c r="BT320" s="111"/>
      <c r="BU320" s="111"/>
      <c r="BV320" s="111"/>
      <c r="BW320" s="111"/>
      <c r="BX320" s="111"/>
      <c r="BY320" s="111"/>
      <c r="BZ320" s="111"/>
      <c r="CA320" s="111"/>
      <c r="CB320" s="111"/>
      <c r="CC320" s="178"/>
      <c r="CD320" s="177">
        <f t="shared" si="384"/>
        <v>0</v>
      </c>
      <c r="CE320" s="148"/>
      <c r="CF320" s="111">
        <f t="shared" si="385"/>
        <v>0</v>
      </c>
      <c r="CG320" s="177"/>
      <c r="CH320" s="204"/>
      <c r="CI320" s="148"/>
      <c r="CJ320" s="165"/>
      <c r="CK320" s="165"/>
      <c r="CL320" s="111"/>
      <c r="CM320" s="111"/>
      <c r="CN320" s="165">
        <f t="shared" si="386"/>
        <v>0</v>
      </c>
      <c r="CO320" s="109">
        <f t="shared" si="387"/>
        <v>0</v>
      </c>
      <c r="CP320" s="109">
        <f t="shared" si="388"/>
        <v>0</v>
      </c>
      <c r="CQ320" s="109"/>
      <c r="CR320" s="109"/>
      <c r="CS320" s="196"/>
      <c r="CT320" s="167"/>
      <c r="CU320" s="165"/>
      <c r="CV320" s="109">
        <f t="shared" si="389"/>
        <v>0</v>
      </c>
      <c r="CW320" s="109">
        <f t="shared" si="390"/>
        <v>0</v>
      </c>
      <c r="CX320" s="109"/>
      <c r="CY320" s="109"/>
      <c r="CZ320" s="111"/>
      <c r="DA320" s="111"/>
      <c r="DB320" s="165"/>
      <c r="DC320" s="109">
        <f t="shared" si="391"/>
        <v>0</v>
      </c>
      <c r="DD320" s="109">
        <f t="shared" si="392"/>
        <v>0</v>
      </c>
      <c r="DE320" s="109"/>
      <c r="DF320" s="109"/>
      <c r="DG320" s="111"/>
      <c r="DH320" s="111"/>
      <c r="DI320" s="165"/>
      <c r="DJ320" s="109">
        <f t="shared" si="393"/>
        <v>0</v>
      </c>
      <c r="DK320" s="109">
        <f t="shared" si="394"/>
        <v>0</v>
      </c>
      <c r="DL320" s="109"/>
      <c r="DM320" s="109"/>
      <c r="DN320" s="111"/>
      <c r="DO320" s="111"/>
      <c r="DP320" s="165"/>
      <c r="DQ320" s="109">
        <f t="shared" si="402"/>
        <v>0</v>
      </c>
      <c r="DR320" s="109">
        <f t="shared" si="403"/>
        <v>0</v>
      </c>
      <c r="DS320" s="109"/>
      <c r="DT320" s="109"/>
      <c r="DU320" s="111"/>
      <c r="DV320" s="111"/>
      <c r="DW320" s="165"/>
      <c r="DX320" s="109">
        <f t="shared" si="404"/>
        <v>0</v>
      </c>
      <c r="DY320" s="109">
        <f t="shared" si="405"/>
        <v>0</v>
      </c>
      <c r="DZ320" s="109"/>
      <c r="EA320" s="109"/>
      <c r="EB320" s="111"/>
      <c r="EC320" s="111"/>
      <c r="ED320" s="165"/>
      <c r="EE320" s="109">
        <f t="shared" si="406"/>
        <v>0</v>
      </c>
      <c r="EF320" s="109">
        <f t="shared" si="407"/>
        <v>0</v>
      </c>
      <c r="EG320" s="109"/>
      <c r="EH320" s="109"/>
      <c r="EI320" s="111"/>
      <c r="EJ320" s="111"/>
      <c r="EK320" s="165"/>
      <c r="EL320" s="109">
        <f t="shared" si="408"/>
        <v>0</v>
      </c>
      <c r="EM320" s="109">
        <f t="shared" si="409"/>
        <v>0</v>
      </c>
      <c r="EN320" s="109"/>
      <c r="EO320" s="109"/>
      <c r="EP320" s="111"/>
      <c r="EQ320" s="111"/>
      <c r="ER320" s="165"/>
      <c r="ES320" s="109">
        <f t="shared" si="410"/>
        <v>0</v>
      </c>
      <c r="ET320" s="109">
        <f t="shared" si="411"/>
        <v>0</v>
      </c>
      <c r="EU320" s="109"/>
      <c r="EV320" s="109"/>
      <c r="EW320" s="111"/>
      <c r="EX320" s="111"/>
      <c r="EY320" s="165"/>
      <c r="EZ320" s="109">
        <f t="shared" si="412"/>
        <v>0</v>
      </c>
      <c r="FA320" s="109">
        <f t="shared" si="413"/>
        <v>0</v>
      </c>
      <c r="FB320" s="109"/>
      <c r="FC320" s="109"/>
      <c r="FD320" s="111"/>
      <c r="FE320" s="111"/>
      <c r="FF320" s="165"/>
      <c r="FG320" s="109">
        <f t="shared" si="414"/>
        <v>0</v>
      </c>
      <c r="FH320" s="109">
        <f t="shared" si="415"/>
        <v>0</v>
      </c>
      <c r="FI320" s="109"/>
      <c r="FJ320" s="109"/>
      <c r="FK320" s="111"/>
      <c r="FL320" s="111"/>
      <c r="FM320" s="165"/>
      <c r="FN320" s="109">
        <f t="shared" si="416"/>
        <v>0</v>
      </c>
      <c r="FO320" s="109">
        <f t="shared" si="417"/>
        <v>0</v>
      </c>
      <c r="FP320" s="109"/>
      <c r="FQ320" s="109"/>
      <c r="FR320" s="111"/>
      <c r="FS320" s="111"/>
      <c r="FT320" s="165"/>
      <c r="FU320" s="109">
        <f t="shared" si="418"/>
        <v>0</v>
      </c>
      <c r="FV320" s="109">
        <f t="shared" si="426"/>
        <v>0</v>
      </c>
      <c r="FW320" s="109"/>
      <c r="FX320" s="109"/>
      <c r="FY320" s="111"/>
      <c r="FZ320" s="111"/>
      <c r="GA320" s="165"/>
      <c r="GB320" s="109">
        <f t="shared" si="419"/>
        <v>0</v>
      </c>
      <c r="GC320" s="109">
        <f t="shared" si="427"/>
        <v>0</v>
      </c>
      <c r="GD320" s="109"/>
      <c r="GE320" s="109"/>
      <c r="GF320" s="111"/>
      <c r="GG320" s="111"/>
      <c r="GH320" s="165"/>
      <c r="GI320" s="109">
        <f t="shared" si="420"/>
        <v>0</v>
      </c>
      <c r="GJ320" s="109">
        <f t="shared" si="428"/>
        <v>0</v>
      </c>
      <c r="GK320" s="109"/>
      <c r="GL320" s="109"/>
      <c r="GM320" s="111"/>
      <c r="GN320" s="111"/>
      <c r="GO320" s="165"/>
      <c r="GP320" s="109">
        <f t="shared" si="421"/>
        <v>0</v>
      </c>
      <c r="GQ320" s="109">
        <f t="shared" si="429"/>
        <v>0</v>
      </c>
      <c r="GR320" s="109"/>
      <c r="GS320" s="109"/>
      <c r="GT320" s="111"/>
      <c r="GU320" s="111"/>
      <c r="GV320" s="165"/>
      <c r="GW320" s="168">
        <f t="shared" si="422"/>
        <v>0</v>
      </c>
      <c r="GX320" s="168">
        <f t="shared" si="430"/>
        <v>0</v>
      </c>
      <c r="GY320" s="168"/>
      <c r="GZ320" s="168"/>
      <c r="HA320" s="111"/>
      <c r="HB320" s="111"/>
      <c r="HC320" s="165"/>
      <c r="HD320" s="109">
        <f t="shared" si="423"/>
        <v>0</v>
      </c>
      <c r="HE320" s="109">
        <f t="shared" si="431"/>
        <v>0</v>
      </c>
      <c r="HF320" s="109"/>
      <c r="HG320" s="109"/>
      <c r="HH320" s="111"/>
      <c r="HI320" s="111"/>
      <c r="HJ320" s="165"/>
      <c r="HK320" s="109">
        <f t="shared" si="424"/>
        <v>0</v>
      </c>
      <c r="HL320" s="109">
        <f t="shared" si="432"/>
        <v>0</v>
      </c>
      <c r="HM320" s="109"/>
      <c r="HN320" s="109"/>
      <c r="HO320" s="111"/>
      <c r="HP320" s="111"/>
      <c r="HQ320" s="165"/>
      <c r="HR320" s="109">
        <f t="shared" si="425"/>
        <v>0</v>
      </c>
      <c r="HS320" s="109">
        <f t="shared" si="433"/>
        <v>0</v>
      </c>
      <c r="HT320" s="109"/>
      <c r="HU320" s="109"/>
      <c r="HV320" s="111"/>
      <c r="HW320" s="111"/>
      <c r="HX320" s="105">
        <f t="shared" si="401"/>
        <v>0</v>
      </c>
      <c r="HY320" s="105">
        <f t="shared" si="401"/>
        <v>0</v>
      </c>
      <c r="HZ320" s="105">
        <f t="shared" si="401"/>
        <v>0</v>
      </c>
      <c r="IA320" s="105">
        <f t="shared" si="395"/>
        <v>0</v>
      </c>
      <c r="IB320" s="109">
        <f t="shared" si="396"/>
        <v>0</v>
      </c>
      <c r="IC320" s="109">
        <f t="shared" si="397"/>
        <v>0</v>
      </c>
      <c r="ID320" s="109">
        <f t="shared" si="398"/>
        <v>0</v>
      </c>
      <c r="IE320" s="109">
        <f t="shared" si="399"/>
        <v>0</v>
      </c>
      <c r="IF320" s="197"/>
      <c r="IG320" s="197"/>
      <c r="IH320" s="197"/>
      <c r="II320" s="197"/>
      <c r="IJ320" s="197"/>
      <c r="IK320" s="197"/>
      <c r="IL320" s="197"/>
      <c r="IM320" s="171"/>
      <c r="IN320" s="171"/>
      <c r="IO320" s="171"/>
      <c r="IP320" s="171"/>
    </row>
    <row r="321" spans="1:250" ht="15" customHeight="1" x14ac:dyDescent="0.3">
      <c r="A321" s="110">
        <f t="shared" si="400"/>
        <v>317</v>
      </c>
      <c r="B321" s="111"/>
      <c r="C321" s="111"/>
      <c r="D321" s="111"/>
      <c r="E321" s="111"/>
      <c r="F321" s="111"/>
      <c r="G321" s="111"/>
      <c r="H321" s="111"/>
      <c r="I321" s="194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75"/>
      <c r="AI321" s="111"/>
      <c r="AJ321" s="111"/>
      <c r="AK321" s="111"/>
      <c r="AL321" s="177"/>
      <c r="AM321" s="176"/>
      <c r="AN321" s="177"/>
      <c r="AO321" s="157"/>
      <c r="AP321" s="158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  <c r="BJ321" s="111"/>
      <c r="BK321" s="111"/>
      <c r="BL321" s="175"/>
      <c r="BM321" s="111"/>
      <c r="BN321" s="111"/>
      <c r="BO321" s="111"/>
      <c r="BP321" s="111"/>
      <c r="BQ321" s="111"/>
      <c r="BR321" s="111"/>
      <c r="BS321" s="111"/>
      <c r="BT321" s="111"/>
      <c r="BU321" s="111"/>
      <c r="BV321" s="111"/>
      <c r="BW321" s="111"/>
      <c r="BX321" s="111"/>
      <c r="BY321" s="111"/>
      <c r="BZ321" s="111"/>
      <c r="CA321" s="111"/>
      <c r="CB321" s="111"/>
      <c r="CC321" s="178"/>
      <c r="CD321" s="177">
        <f t="shared" si="384"/>
        <v>0</v>
      </c>
      <c r="CE321" s="148"/>
      <c r="CF321" s="111">
        <f t="shared" si="385"/>
        <v>0</v>
      </c>
      <c r="CG321" s="177"/>
      <c r="CH321" s="204"/>
      <c r="CI321" s="148"/>
      <c r="CJ321" s="165"/>
      <c r="CK321" s="165"/>
      <c r="CL321" s="111"/>
      <c r="CM321" s="111"/>
      <c r="CN321" s="165">
        <f t="shared" si="386"/>
        <v>0</v>
      </c>
      <c r="CO321" s="109">
        <f t="shared" si="387"/>
        <v>0</v>
      </c>
      <c r="CP321" s="109">
        <f t="shared" si="388"/>
        <v>0</v>
      </c>
      <c r="CQ321" s="109"/>
      <c r="CR321" s="109"/>
      <c r="CS321" s="196"/>
      <c r="CT321" s="167"/>
      <c r="CU321" s="165"/>
      <c r="CV321" s="109">
        <f t="shared" si="389"/>
        <v>0</v>
      </c>
      <c r="CW321" s="109">
        <f t="shared" si="390"/>
        <v>0</v>
      </c>
      <c r="CX321" s="109"/>
      <c r="CY321" s="109"/>
      <c r="CZ321" s="111"/>
      <c r="DA321" s="111"/>
      <c r="DB321" s="165"/>
      <c r="DC321" s="109">
        <f t="shared" si="391"/>
        <v>0</v>
      </c>
      <c r="DD321" s="109">
        <f t="shared" si="392"/>
        <v>0</v>
      </c>
      <c r="DE321" s="109"/>
      <c r="DF321" s="109"/>
      <c r="DG321" s="111"/>
      <c r="DH321" s="111"/>
      <c r="DI321" s="165"/>
      <c r="DJ321" s="109">
        <f t="shared" si="393"/>
        <v>0</v>
      </c>
      <c r="DK321" s="109">
        <f t="shared" si="394"/>
        <v>0</v>
      </c>
      <c r="DL321" s="109"/>
      <c r="DM321" s="109"/>
      <c r="DN321" s="111"/>
      <c r="DO321" s="111"/>
      <c r="DP321" s="165"/>
      <c r="DQ321" s="109">
        <f t="shared" si="402"/>
        <v>0</v>
      </c>
      <c r="DR321" s="109">
        <f t="shared" si="403"/>
        <v>0</v>
      </c>
      <c r="DS321" s="109"/>
      <c r="DT321" s="109"/>
      <c r="DU321" s="111"/>
      <c r="DV321" s="111"/>
      <c r="DW321" s="165"/>
      <c r="DX321" s="109">
        <f t="shared" si="404"/>
        <v>0</v>
      </c>
      <c r="DY321" s="109">
        <f t="shared" si="405"/>
        <v>0</v>
      </c>
      <c r="DZ321" s="109"/>
      <c r="EA321" s="109"/>
      <c r="EB321" s="111"/>
      <c r="EC321" s="111"/>
      <c r="ED321" s="165"/>
      <c r="EE321" s="109">
        <f t="shared" si="406"/>
        <v>0</v>
      </c>
      <c r="EF321" s="109">
        <f t="shared" si="407"/>
        <v>0</v>
      </c>
      <c r="EG321" s="109"/>
      <c r="EH321" s="109"/>
      <c r="EI321" s="111"/>
      <c r="EJ321" s="111"/>
      <c r="EK321" s="165"/>
      <c r="EL321" s="109">
        <f t="shared" si="408"/>
        <v>0</v>
      </c>
      <c r="EM321" s="109">
        <f t="shared" si="409"/>
        <v>0</v>
      </c>
      <c r="EN321" s="109"/>
      <c r="EO321" s="109"/>
      <c r="EP321" s="111"/>
      <c r="EQ321" s="111"/>
      <c r="ER321" s="165"/>
      <c r="ES321" s="109">
        <f t="shared" si="410"/>
        <v>0</v>
      </c>
      <c r="ET321" s="109">
        <f t="shared" si="411"/>
        <v>0</v>
      </c>
      <c r="EU321" s="109"/>
      <c r="EV321" s="109"/>
      <c r="EW321" s="111"/>
      <c r="EX321" s="111"/>
      <c r="EY321" s="165"/>
      <c r="EZ321" s="109">
        <f t="shared" si="412"/>
        <v>0</v>
      </c>
      <c r="FA321" s="109">
        <f t="shared" si="413"/>
        <v>0</v>
      </c>
      <c r="FB321" s="109"/>
      <c r="FC321" s="109"/>
      <c r="FD321" s="111"/>
      <c r="FE321" s="111"/>
      <c r="FF321" s="165"/>
      <c r="FG321" s="109">
        <f t="shared" si="414"/>
        <v>0</v>
      </c>
      <c r="FH321" s="109">
        <f t="shared" si="415"/>
        <v>0</v>
      </c>
      <c r="FI321" s="109"/>
      <c r="FJ321" s="109"/>
      <c r="FK321" s="111"/>
      <c r="FL321" s="111"/>
      <c r="FM321" s="165"/>
      <c r="FN321" s="109">
        <f t="shared" si="416"/>
        <v>0</v>
      </c>
      <c r="FO321" s="109">
        <f t="shared" si="417"/>
        <v>0</v>
      </c>
      <c r="FP321" s="109"/>
      <c r="FQ321" s="109"/>
      <c r="FR321" s="111"/>
      <c r="FS321" s="111"/>
      <c r="FT321" s="165"/>
      <c r="FU321" s="109">
        <f t="shared" si="418"/>
        <v>0</v>
      </c>
      <c r="FV321" s="109">
        <f t="shared" si="426"/>
        <v>0</v>
      </c>
      <c r="FW321" s="109"/>
      <c r="FX321" s="109"/>
      <c r="FY321" s="111"/>
      <c r="FZ321" s="111"/>
      <c r="GA321" s="165"/>
      <c r="GB321" s="109">
        <f t="shared" si="419"/>
        <v>0</v>
      </c>
      <c r="GC321" s="109">
        <f t="shared" si="427"/>
        <v>0</v>
      </c>
      <c r="GD321" s="109"/>
      <c r="GE321" s="109"/>
      <c r="GF321" s="111"/>
      <c r="GG321" s="111"/>
      <c r="GH321" s="165"/>
      <c r="GI321" s="109">
        <f t="shared" si="420"/>
        <v>0</v>
      </c>
      <c r="GJ321" s="109">
        <f t="shared" si="428"/>
        <v>0</v>
      </c>
      <c r="GK321" s="109"/>
      <c r="GL321" s="109"/>
      <c r="GM321" s="111"/>
      <c r="GN321" s="111"/>
      <c r="GO321" s="165"/>
      <c r="GP321" s="109">
        <f t="shared" si="421"/>
        <v>0</v>
      </c>
      <c r="GQ321" s="109">
        <f t="shared" si="429"/>
        <v>0</v>
      </c>
      <c r="GR321" s="109"/>
      <c r="GS321" s="109"/>
      <c r="GT321" s="111"/>
      <c r="GU321" s="111"/>
      <c r="GV321" s="165"/>
      <c r="GW321" s="168">
        <f t="shared" si="422"/>
        <v>0</v>
      </c>
      <c r="GX321" s="168">
        <f t="shared" si="430"/>
        <v>0</v>
      </c>
      <c r="GY321" s="168"/>
      <c r="GZ321" s="168"/>
      <c r="HA321" s="111"/>
      <c r="HB321" s="111"/>
      <c r="HC321" s="165"/>
      <c r="HD321" s="109">
        <f t="shared" si="423"/>
        <v>0</v>
      </c>
      <c r="HE321" s="109">
        <f t="shared" si="431"/>
        <v>0</v>
      </c>
      <c r="HF321" s="109"/>
      <c r="HG321" s="109"/>
      <c r="HH321" s="111"/>
      <c r="HI321" s="111"/>
      <c r="HJ321" s="165"/>
      <c r="HK321" s="109">
        <f t="shared" si="424"/>
        <v>0</v>
      </c>
      <c r="HL321" s="109">
        <f t="shared" si="432"/>
        <v>0</v>
      </c>
      <c r="HM321" s="109"/>
      <c r="HN321" s="109"/>
      <c r="HO321" s="111"/>
      <c r="HP321" s="111"/>
      <c r="HQ321" s="165"/>
      <c r="HR321" s="109">
        <f t="shared" si="425"/>
        <v>0</v>
      </c>
      <c r="HS321" s="109">
        <f t="shared" si="433"/>
        <v>0</v>
      </c>
      <c r="HT321" s="109"/>
      <c r="HU321" s="109"/>
      <c r="HV321" s="111"/>
      <c r="HW321" s="111"/>
      <c r="HX321" s="105">
        <f t="shared" si="401"/>
        <v>0</v>
      </c>
      <c r="HY321" s="105">
        <f t="shared" si="401"/>
        <v>0</v>
      </c>
      <c r="HZ321" s="105">
        <f t="shared" si="401"/>
        <v>0</v>
      </c>
      <c r="IA321" s="105">
        <f t="shared" si="395"/>
        <v>0</v>
      </c>
      <c r="IB321" s="109">
        <f t="shared" si="396"/>
        <v>0</v>
      </c>
      <c r="IC321" s="109">
        <f t="shared" si="397"/>
        <v>0</v>
      </c>
      <c r="ID321" s="109">
        <f t="shared" si="398"/>
        <v>0</v>
      </c>
      <c r="IE321" s="109">
        <f t="shared" si="399"/>
        <v>0</v>
      </c>
      <c r="IF321" s="197"/>
      <c r="IG321" s="197"/>
      <c r="IH321" s="197"/>
      <c r="II321" s="197"/>
      <c r="IJ321" s="197"/>
      <c r="IK321" s="197"/>
      <c r="IL321" s="197"/>
      <c r="IM321" s="171"/>
      <c r="IN321" s="171"/>
      <c r="IO321" s="171"/>
      <c r="IP321" s="171"/>
    </row>
    <row r="322" spans="1:250" ht="15" customHeight="1" x14ac:dyDescent="0.3">
      <c r="A322" s="110">
        <f t="shared" si="400"/>
        <v>318</v>
      </c>
      <c r="B322" s="111"/>
      <c r="C322" s="111"/>
      <c r="D322" s="111"/>
      <c r="E322" s="111"/>
      <c r="F322" s="111"/>
      <c r="G322" s="111"/>
      <c r="H322" s="111"/>
      <c r="I322" s="194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75"/>
      <c r="AI322" s="111"/>
      <c r="AJ322" s="111"/>
      <c r="AK322" s="111"/>
      <c r="AL322" s="177"/>
      <c r="AM322" s="176"/>
      <c r="AN322" s="177"/>
      <c r="AO322" s="157"/>
      <c r="AP322" s="158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  <c r="BG322" s="111"/>
      <c r="BH322" s="111"/>
      <c r="BI322" s="111"/>
      <c r="BJ322" s="111"/>
      <c r="BK322" s="111"/>
      <c r="BL322" s="175"/>
      <c r="BM322" s="111"/>
      <c r="BN322" s="111"/>
      <c r="BO322" s="111"/>
      <c r="BP322" s="111"/>
      <c r="BQ322" s="111"/>
      <c r="BR322" s="111"/>
      <c r="BS322" s="111"/>
      <c r="BT322" s="111"/>
      <c r="BU322" s="111"/>
      <c r="BV322" s="111"/>
      <c r="BW322" s="111"/>
      <c r="BX322" s="111"/>
      <c r="BY322" s="111"/>
      <c r="BZ322" s="111"/>
      <c r="CA322" s="111"/>
      <c r="CB322" s="111"/>
      <c r="CC322" s="178"/>
      <c r="CD322" s="177">
        <f t="shared" si="384"/>
        <v>0</v>
      </c>
      <c r="CE322" s="148"/>
      <c r="CF322" s="111">
        <f t="shared" si="385"/>
        <v>0</v>
      </c>
      <c r="CG322" s="177"/>
      <c r="CH322" s="204"/>
      <c r="CI322" s="148"/>
      <c r="CJ322" s="165"/>
      <c r="CK322" s="165"/>
      <c r="CL322" s="111"/>
      <c r="CM322" s="111"/>
      <c r="CN322" s="165">
        <f t="shared" si="386"/>
        <v>0</v>
      </c>
      <c r="CO322" s="109">
        <f t="shared" si="387"/>
        <v>0</v>
      </c>
      <c r="CP322" s="109">
        <f t="shared" si="388"/>
        <v>0</v>
      </c>
      <c r="CQ322" s="109"/>
      <c r="CR322" s="109"/>
      <c r="CS322" s="196"/>
      <c r="CT322" s="167"/>
      <c r="CU322" s="165"/>
      <c r="CV322" s="109">
        <f t="shared" si="389"/>
        <v>0</v>
      </c>
      <c r="CW322" s="109">
        <f t="shared" si="390"/>
        <v>0</v>
      </c>
      <c r="CX322" s="109"/>
      <c r="CY322" s="109"/>
      <c r="CZ322" s="111"/>
      <c r="DA322" s="111"/>
      <c r="DB322" s="165"/>
      <c r="DC322" s="109">
        <f t="shared" si="391"/>
        <v>0</v>
      </c>
      <c r="DD322" s="109">
        <f t="shared" si="392"/>
        <v>0</v>
      </c>
      <c r="DE322" s="109"/>
      <c r="DF322" s="109"/>
      <c r="DG322" s="111"/>
      <c r="DH322" s="111"/>
      <c r="DI322" s="165"/>
      <c r="DJ322" s="109">
        <f t="shared" si="393"/>
        <v>0</v>
      </c>
      <c r="DK322" s="109">
        <f t="shared" si="394"/>
        <v>0</v>
      </c>
      <c r="DL322" s="109"/>
      <c r="DM322" s="109"/>
      <c r="DN322" s="111"/>
      <c r="DO322" s="111"/>
      <c r="DP322" s="165"/>
      <c r="DQ322" s="109">
        <f t="shared" si="402"/>
        <v>0</v>
      </c>
      <c r="DR322" s="109">
        <f t="shared" si="403"/>
        <v>0</v>
      </c>
      <c r="DS322" s="109"/>
      <c r="DT322" s="109"/>
      <c r="DU322" s="111"/>
      <c r="DV322" s="111"/>
      <c r="DW322" s="165"/>
      <c r="DX322" s="109">
        <f t="shared" si="404"/>
        <v>0</v>
      </c>
      <c r="DY322" s="109">
        <f t="shared" si="405"/>
        <v>0</v>
      </c>
      <c r="DZ322" s="109"/>
      <c r="EA322" s="109"/>
      <c r="EB322" s="111"/>
      <c r="EC322" s="111"/>
      <c r="ED322" s="165"/>
      <c r="EE322" s="109">
        <f t="shared" si="406"/>
        <v>0</v>
      </c>
      <c r="EF322" s="109">
        <f t="shared" si="407"/>
        <v>0</v>
      </c>
      <c r="EG322" s="109"/>
      <c r="EH322" s="109"/>
      <c r="EI322" s="111"/>
      <c r="EJ322" s="111"/>
      <c r="EK322" s="165"/>
      <c r="EL322" s="109">
        <f t="shared" si="408"/>
        <v>0</v>
      </c>
      <c r="EM322" s="109">
        <f t="shared" si="409"/>
        <v>0</v>
      </c>
      <c r="EN322" s="109"/>
      <c r="EO322" s="109"/>
      <c r="EP322" s="111"/>
      <c r="EQ322" s="111"/>
      <c r="ER322" s="165"/>
      <c r="ES322" s="109">
        <f t="shared" si="410"/>
        <v>0</v>
      </c>
      <c r="ET322" s="109">
        <f t="shared" si="411"/>
        <v>0</v>
      </c>
      <c r="EU322" s="109"/>
      <c r="EV322" s="109"/>
      <c r="EW322" s="111"/>
      <c r="EX322" s="111"/>
      <c r="EY322" s="165"/>
      <c r="EZ322" s="109">
        <f t="shared" si="412"/>
        <v>0</v>
      </c>
      <c r="FA322" s="109">
        <f t="shared" si="413"/>
        <v>0</v>
      </c>
      <c r="FB322" s="109"/>
      <c r="FC322" s="109"/>
      <c r="FD322" s="111"/>
      <c r="FE322" s="111"/>
      <c r="FF322" s="165"/>
      <c r="FG322" s="109">
        <f t="shared" si="414"/>
        <v>0</v>
      </c>
      <c r="FH322" s="109">
        <f t="shared" si="415"/>
        <v>0</v>
      </c>
      <c r="FI322" s="109"/>
      <c r="FJ322" s="109"/>
      <c r="FK322" s="111"/>
      <c r="FL322" s="111"/>
      <c r="FM322" s="165"/>
      <c r="FN322" s="109">
        <f t="shared" si="416"/>
        <v>0</v>
      </c>
      <c r="FO322" s="109">
        <f t="shared" si="417"/>
        <v>0</v>
      </c>
      <c r="FP322" s="109"/>
      <c r="FQ322" s="109"/>
      <c r="FR322" s="111"/>
      <c r="FS322" s="111"/>
      <c r="FT322" s="165"/>
      <c r="FU322" s="109">
        <f t="shared" si="418"/>
        <v>0</v>
      </c>
      <c r="FV322" s="109">
        <f t="shared" si="426"/>
        <v>0</v>
      </c>
      <c r="FW322" s="109"/>
      <c r="FX322" s="109"/>
      <c r="FY322" s="111"/>
      <c r="FZ322" s="111"/>
      <c r="GA322" s="165"/>
      <c r="GB322" s="109">
        <f t="shared" si="419"/>
        <v>0</v>
      </c>
      <c r="GC322" s="109">
        <f t="shared" si="427"/>
        <v>0</v>
      </c>
      <c r="GD322" s="109"/>
      <c r="GE322" s="109"/>
      <c r="GF322" s="111"/>
      <c r="GG322" s="111"/>
      <c r="GH322" s="165"/>
      <c r="GI322" s="109">
        <f t="shared" si="420"/>
        <v>0</v>
      </c>
      <c r="GJ322" s="109">
        <f t="shared" si="428"/>
        <v>0</v>
      </c>
      <c r="GK322" s="109"/>
      <c r="GL322" s="109"/>
      <c r="GM322" s="111"/>
      <c r="GN322" s="111"/>
      <c r="GO322" s="165"/>
      <c r="GP322" s="109">
        <f t="shared" si="421"/>
        <v>0</v>
      </c>
      <c r="GQ322" s="109">
        <f t="shared" si="429"/>
        <v>0</v>
      </c>
      <c r="GR322" s="109"/>
      <c r="GS322" s="109"/>
      <c r="GT322" s="111"/>
      <c r="GU322" s="111"/>
      <c r="GV322" s="165"/>
      <c r="GW322" s="168">
        <f t="shared" si="422"/>
        <v>0</v>
      </c>
      <c r="GX322" s="168">
        <f t="shared" si="430"/>
        <v>0</v>
      </c>
      <c r="GY322" s="168"/>
      <c r="GZ322" s="168"/>
      <c r="HA322" s="111"/>
      <c r="HB322" s="111"/>
      <c r="HC322" s="165"/>
      <c r="HD322" s="109">
        <f t="shared" si="423"/>
        <v>0</v>
      </c>
      <c r="HE322" s="109">
        <f t="shared" si="431"/>
        <v>0</v>
      </c>
      <c r="HF322" s="109"/>
      <c r="HG322" s="109"/>
      <c r="HH322" s="111"/>
      <c r="HI322" s="111"/>
      <c r="HJ322" s="165"/>
      <c r="HK322" s="109">
        <f t="shared" si="424"/>
        <v>0</v>
      </c>
      <c r="HL322" s="109">
        <f t="shared" si="432"/>
        <v>0</v>
      </c>
      <c r="HM322" s="109"/>
      <c r="HN322" s="109"/>
      <c r="HO322" s="111"/>
      <c r="HP322" s="111"/>
      <c r="HQ322" s="165"/>
      <c r="HR322" s="109">
        <f t="shared" si="425"/>
        <v>0</v>
      </c>
      <c r="HS322" s="109">
        <f t="shared" si="433"/>
        <v>0</v>
      </c>
      <c r="HT322" s="109"/>
      <c r="HU322" s="109"/>
      <c r="HV322" s="111"/>
      <c r="HW322" s="111"/>
      <c r="HX322" s="105">
        <f t="shared" si="401"/>
        <v>0</v>
      </c>
      <c r="HY322" s="105">
        <f t="shared" si="401"/>
        <v>0</v>
      </c>
      <c r="HZ322" s="105">
        <f t="shared" si="401"/>
        <v>0</v>
      </c>
      <c r="IA322" s="105">
        <f t="shared" si="395"/>
        <v>0</v>
      </c>
      <c r="IB322" s="109">
        <f t="shared" si="396"/>
        <v>0</v>
      </c>
      <c r="IC322" s="109">
        <f t="shared" si="397"/>
        <v>0</v>
      </c>
      <c r="ID322" s="109">
        <f t="shared" si="398"/>
        <v>0</v>
      </c>
      <c r="IE322" s="109">
        <f t="shared" si="399"/>
        <v>0</v>
      </c>
      <c r="IF322" s="197"/>
      <c r="IG322" s="197"/>
      <c r="IH322" s="197"/>
      <c r="II322" s="197"/>
      <c r="IJ322" s="197"/>
      <c r="IK322" s="197"/>
      <c r="IL322" s="197"/>
      <c r="IM322" s="171"/>
      <c r="IN322" s="171"/>
      <c r="IO322" s="171"/>
      <c r="IP322" s="171"/>
    </row>
    <row r="323" spans="1:250" ht="15" customHeight="1" x14ac:dyDescent="0.3">
      <c r="A323" s="110">
        <f t="shared" si="400"/>
        <v>319</v>
      </c>
      <c r="B323" s="111"/>
      <c r="C323" s="111"/>
      <c r="D323" s="111"/>
      <c r="E323" s="111"/>
      <c r="F323" s="111"/>
      <c r="G323" s="111"/>
      <c r="H323" s="111"/>
      <c r="I323" s="194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75"/>
      <c r="AI323" s="111"/>
      <c r="AJ323" s="111"/>
      <c r="AK323" s="111"/>
      <c r="AL323" s="177"/>
      <c r="AM323" s="176"/>
      <c r="AN323" s="177"/>
      <c r="AO323" s="157"/>
      <c r="AP323" s="158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B323" s="111"/>
      <c r="BC323" s="111"/>
      <c r="BD323" s="111"/>
      <c r="BE323" s="111"/>
      <c r="BF323" s="111"/>
      <c r="BG323" s="111"/>
      <c r="BH323" s="111"/>
      <c r="BI323" s="111"/>
      <c r="BJ323" s="111"/>
      <c r="BK323" s="111"/>
      <c r="BL323" s="175"/>
      <c r="BM323" s="111"/>
      <c r="BN323" s="111"/>
      <c r="BO323" s="111"/>
      <c r="BP323" s="111"/>
      <c r="BQ323" s="111"/>
      <c r="BR323" s="111"/>
      <c r="BS323" s="111"/>
      <c r="BT323" s="111"/>
      <c r="BU323" s="111"/>
      <c r="BV323" s="111"/>
      <c r="BW323" s="111"/>
      <c r="BX323" s="111"/>
      <c r="BY323" s="111"/>
      <c r="BZ323" s="111"/>
      <c r="CA323" s="111"/>
      <c r="CB323" s="111"/>
      <c r="CC323" s="178"/>
      <c r="CD323" s="177">
        <f t="shared" si="384"/>
        <v>0</v>
      </c>
      <c r="CE323" s="148"/>
      <c r="CF323" s="111">
        <f t="shared" si="385"/>
        <v>0</v>
      </c>
      <c r="CG323" s="177"/>
      <c r="CH323" s="204"/>
      <c r="CI323" s="148"/>
      <c r="CJ323" s="165"/>
      <c r="CK323" s="165"/>
      <c r="CL323" s="111"/>
      <c r="CM323" s="111"/>
      <c r="CN323" s="165">
        <f t="shared" si="386"/>
        <v>0</v>
      </c>
      <c r="CO323" s="109">
        <f t="shared" si="387"/>
        <v>0</v>
      </c>
      <c r="CP323" s="109">
        <f t="shared" si="388"/>
        <v>0</v>
      </c>
      <c r="CQ323" s="109"/>
      <c r="CR323" s="109"/>
      <c r="CS323" s="196"/>
      <c r="CT323" s="167"/>
      <c r="CU323" s="165"/>
      <c r="CV323" s="109">
        <f t="shared" si="389"/>
        <v>0</v>
      </c>
      <c r="CW323" s="109">
        <f t="shared" si="390"/>
        <v>0</v>
      </c>
      <c r="CX323" s="109"/>
      <c r="CY323" s="109"/>
      <c r="CZ323" s="111"/>
      <c r="DA323" s="111"/>
      <c r="DB323" s="165"/>
      <c r="DC323" s="109">
        <f t="shared" si="391"/>
        <v>0</v>
      </c>
      <c r="DD323" s="109">
        <f t="shared" si="392"/>
        <v>0</v>
      </c>
      <c r="DE323" s="109"/>
      <c r="DF323" s="109"/>
      <c r="DG323" s="111"/>
      <c r="DH323" s="111"/>
      <c r="DI323" s="165"/>
      <c r="DJ323" s="109">
        <f t="shared" si="393"/>
        <v>0</v>
      </c>
      <c r="DK323" s="109">
        <f t="shared" si="394"/>
        <v>0</v>
      </c>
      <c r="DL323" s="109"/>
      <c r="DM323" s="109"/>
      <c r="DN323" s="111"/>
      <c r="DO323" s="111"/>
      <c r="DP323" s="165"/>
      <c r="DQ323" s="109">
        <f t="shared" si="402"/>
        <v>0</v>
      </c>
      <c r="DR323" s="109">
        <f t="shared" si="403"/>
        <v>0</v>
      </c>
      <c r="DS323" s="109"/>
      <c r="DT323" s="109"/>
      <c r="DU323" s="111"/>
      <c r="DV323" s="111"/>
      <c r="DW323" s="165"/>
      <c r="DX323" s="109">
        <f t="shared" si="404"/>
        <v>0</v>
      </c>
      <c r="DY323" s="109">
        <f t="shared" si="405"/>
        <v>0</v>
      </c>
      <c r="DZ323" s="109"/>
      <c r="EA323" s="109"/>
      <c r="EB323" s="111"/>
      <c r="EC323" s="111"/>
      <c r="ED323" s="165"/>
      <c r="EE323" s="109">
        <f t="shared" si="406"/>
        <v>0</v>
      </c>
      <c r="EF323" s="109">
        <f t="shared" si="407"/>
        <v>0</v>
      </c>
      <c r="EG323" s="109"/>
      <c r="EH323" s="109"/>
      <c r="EI323" s="111"/>
      <c r="EJ323" s="111"/>
      <c r="EK323" s="165"/>
      <c r="EL323" s="109">
        <f t="shared" si="408"/>
        <v>0</v>
      </c>
      <c r="EM323" s="109">
        <f t="shared" si="409"/>
        <v>0</v>
      </c>
      <c r="EN323" s="109"/>
      <c r="EO323" s="109"/>
      <c r="EP323" s="111"/>
      <c r="EQ323" s="111"/>
      <c r="ER323" s="165"/>
      <c r="ES323" s="109">
        <f t="shared" si="410"/>
        <v>0</v>
      </c>
      <c r="ET323" s="109">
        <f t="shared" si="411"/>
        <v>0</v>
      </c>
      <c r="EU323" s="109"/>
      <c r="EV323" s="109"/>
      <c r="EW323" s="111"/>
      <c r="EX323" s="111"/>
      <c r="EY323" s="165"/>
      <c r="EZ323" s="109">
        <f t="shared" si="412"/>
        <v>0</v>
      </c>
      <c r="FA323" s="109">
        <f t="shared" si="413"/>
        <v>0</v>
      </c>
      <c r="FB323" s="109"/>
      <c r="FC323" s="109"/>
      <c r="FD323" s="111"/>
      <c r="FE323" s="111"/>
      <c r="FF323" s="165"/>
      <c r="FG323" s="109">
        <f t="shared" si="414"/>
        <v>0</v>
      </c>
      <c r="FH323" s="109">
        <f t="shared" si="415"/>
        <v>0</v>
      </c>
      <c r="FI323" s="109"/>
      <c r="FJ323" s="109"/>
      <c r="FK323" s="111"/>
      <c r="FL323" s="111"/>
      <c r="FM323" s="165"/>
      <c r="FN323" s="109">
        <f t="shared" si="416"/>
        <v>0</v>
      </c>
      <c r="FO323" s="109">
        <f t="shared" si="417"/>
        <v>0</v>
      </c>
      <c r="FP323" s="109"/>
      <c r="FQ323" s="109"/>
      <c r="FR323" s="111"/>
      <c r="FS323" s="111"/>
      <c r="FT323" s="165"/>
      <c r="FU323" s="109">
        <f t="shared" si="418"/>
        <v>0</v>
      </c>
      <c r="FV323" s="109">
        <f t="shared" si="426"/>
        <v>0</v>
      </c>
      <c r="FW323" s="109"/>
      <c r="FX323" s="109"/>
      <c r="FY323" s="111"/>
      <c r="FZ323" s="111"/>
      <c r="GA323" s="165"/>
      <c r="GB323" s="109">
        <f t="shared" si="419"/>
        <v>0</v>
      </c>
      <c r="GC323" s="109">
        <f t="shared" si="427"/>
        <v>0</v>
      </c>
      <c r="GD323" s="109"/>
      <c r="GE323" s="109"/>
      <c r="GF323" s="111"/>
      <c r="GG323" s="111"/>
      <c r="GH323" s="165"/>
      <c r="GI323" s="109">
        <f t="shared" si="420"/>
        <v>0</v>
      </c>
      <c r="GJ323" s="109">
        <f t="shared" si="428"/>
        <v>0</v>
      </c>
      <c r="GK323" s="109"/>
      <c r="GL323" s="109"/>
      <c r="GM323" s="111"/>
      <c r="GN323" s="111"/>
      <c r="GO323" s="165"/>
      <c r="GP323" s="109">
        <f t="shared" si="421"/>
        <v>0</v>
      </c>
      <c r="GQ323" s="109">
        <f t="shared" si="429"/>
        <v>0</v>
      </c>
      <c r="GR323" s="109"/>
      <c r="GS323" s="109"/>
      <c r="GT323" s="111"/>
      <c r="GU323" s="111"/>
      <c r="GV323" s="165"/>
      <c r="GW323" s="168">
        <f t="shared" si="422"/>
        <v>0</v>
      </c>
      <c r="GX323" s="168">
        <f t="shared" si="430"/>
        <v>0</v>
      </c>
      <c r="GY323" s="168"/>
      <c r="GZ323" s="168"/>
      <c r="HA323" s="111"/>
      <c r="HB323" s="111"/>
      <c r="HC323" s="165"/>
      <c r="HD323" s="109">
        <f t="shared" si="423"/>
        <v>0</v>
      </c>
      <c r="HE323" s="109">
        <f t="shared" si="431"/>
        <v>0</v>
      </c>
      <c r="HF323" s="109"/>
      <c r="HG323" s="109"/>
      <c r="HH323" s="111"/>
      <c r="HI323" s="111"/>
      <c r="HJ323" s="165"/>
      <c r="HK323" s="109">
        <f t="shared" si="424"/>
        <v>0</v>
      </c>
      <c r="HL323" s="109">
        <f t="shared" si="432"/>
        <v>0</v>
      </c>
      <c r="HM323" s="109"/>
      <c r="HN323" s="109"/>
      <c r="HO323" s="111"/>
      <c r="HP323" s="111"/>
      <c r="HQ323" s="165"/>
      <c r="HR323" s="109">
        <f t="shared" si="425"/>
        <v>0</v>
      </c>
      <c r="HS323" s="109">
        <f t="shared" si="433"/>
        <v>0</v>
      </c>
      <c r="HT323" s="109"/>
      <c r="HU323" s="109"/>
      <c r="HV323" s="111"/>
      <c r="HW323" s="111"/>
      <c r="HX323" s="105">
        <f t="shared" si="401"/>
        <v>0</v>
      </c>
      <c r="HY323" s="105">
        <f t="shared" si="401"/>
        <v>0</v>
      </c>
      <c r="HZ323" s="105">
        <f t="shared" si="401"/>
        <v>0</v>
      </c>
      <c r="IA323" s="105">
        <f t="shared" si="395"/>
        <v>0</v>
      </c>
      <c r="IB323" s="109">
        <f t="shared" si="396"/>
        <v>0</v>
      </c>
      <c r="IC323" s="109">
        <f t="shared" si="397"/>
        <v>0</v>
      </c>
      <c r="ID323" s="109">
        <f t="shared" si="398"/>
        <v>0</v>
      </c>
      <c r="IE323" s="109">
        <f t="shared" si="399"/>
        <v>0</v>
      </c>
      <c r="IF323" s="197"/>
      <c r="IG323" s="197"/>
      <c r="IH323" s="197"/>
      <c r="II323" s="197"/>
      <c r="IJ323" s="197"/>
      <c r="IK323" s="197"/>
      <c r="IL323" s="197"/>
      <c r="IM323" s="171"/>
      <c r="IN323" s="171"/>
      <c r="IO323" s="171"/>
      <c r="IP323" s="171"/>
    </row>
    <row r="324" spans="1:250" ht="15" customHeight="1" x14ac:dyDescent="0.3">
      <c r="A324" s="110">
        <f t="shared" si="400"/>
        <v>320</v>
      </c>
      <c r="B324" s="111"/>
      <c r="C324" s="111"/>
      <c r="D324" s="111"/>
      <c r="E324" s="111"/>
      <c r="F324" s="111"/>
      <c r="G324" s="111"/>
      <c r="H324" s="111"/>
      <c r="I324" s="194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75"/>
      <c r="AI324" s="111"/>
      <c r="AJ324" s="111"/>
      <c r="AK324" s="111"/>
      <c r="AL324" s="177"/>
      <c r="AM324" s="176"/>
      <c r="AN324" s="177"/>
      <c r="AO324" s="157"/>
      <c r="AP324" s="158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  <c r="BJ324" s="111"/>
      <c r="BK324" s="111"/>
      <c r="BL324" s="175"/>
      <c r="BM324" s="111"/>
      <c r="BN324" s="111"/>
      <c r="BO324" s="111"/>
      <c r="BP324" s="111"/>
      <c r="BQ324" s="111"/>
      <c r="BR324" s="111"/>
      <c r="BS324" s="111"/>
      <c r="BT324" s="111"/>
      <c r="BU324" s="111"/>
      <c r="BV324" s="111"/>
      <c r="BW324" s="111"/>
      <c r="BX324" s="111"/>
      <c r="BY324" s="111"/>
      <c r="BZ324" s="111"/>
      <c r="CA324" s="111"/>
      <c r="CB324" s="111"/>
      <c r="CC324" s="178"/>
      <c r="CD324" s="177">
        <f t="shared" si="384"/>
        <v>0</v>
      </c>
      <c r="CE324" s="148"/>
      <c r="CF324" s="111">
        <f t="shared" si="385"/>
        <v>0</v>
      </c>
      <c r="CG324" s="177"/>
      <c r="CH324" s="204"/>
      <c r="CI324" s="148"/>
      <c r="CJ324" s="165"/>
      <c r="CK324" s="165"/>
      <c r="CL324" s="111"/>
      <c r="CM324" s="111"/>
      <c r="CN324" s="165">
        <f t="shared" si="386"/>
        <v>0</v>
      </c>
      <c r="CO324" s="109">
        <f t="shared" si="387"/>
        <v>0</v>
      </c>
      <c r="CP324" s="109">
        <f t="shared" si="388"/>
        <v>0</v>
      </c>
      <c r="CQ324" s="109"/>
      <c r="CR324" s="109"/>
      <c r="CS324" s="196"/>
      <c r="CT324" s="167"/>
      <c r="CU324" s="165"/>
      <c r="CV324" s="109">
        <f t="shared" si="389"/>
        <v>0</v>
      </c>
      <c r="CW324" s="109">
        <f t="shared" si="390"/>
        <v>0</v>
      </c>
      <c r="CX324" s="109"/>
      <c r="CY324" s="109"/>
      <c r="CZ324" s="111"/>
      <c r="DA324" s="111"/>
      <c r="DB324" s="165"/>
      <c r="DC324" s="109">
        <f t="shared" si="391"/>
        <v>0</v>
      </c>
      <c r="DD324" s="109">
        <f t="shared" si="392"/>
        <v>0</v>
      </c>
      <c r="DE324" s="109"/>
      <c r="DF324" s="109"/>
      <c r="DG324" s="111"/>
      <c r="DH324" s="111"/>
      <c r="DI324" s="165"/>
      <c r="DJ324" s="109">
        <f t="shared" si="393"/>
        <v>0</v>
      </c>
      <c r="DK324" s="109">
        <f t="shared" si="394"/>
        <v>0</v>
      </c>
      <c r="DL324" s="109"/>
      <c r="DM324" s="109"/>
      <c r="DN324" s="111"/>
      <c r="DO324" s="111"/>
      <c r="DP324" s="165"/>
      <c r="DQ324" s="109">
        <f t="shared" si="402"/>
        <v>0</v>
      </c>
      <c r="DR324" s="109">
        <f t="shared" si="403"/>
        <v>0</v>
      </c>
      <c r="DS324" s="109"/>
      <c r="DT324" s="109"/>
      <c r="DU324" s="111"/>
      <c r="DV324" s="111"/>
      <c r="DW324" s="165"/>
      <c r="DX324" s="109">
        <f t="shared" si="404"/>
        <v>0</v>
      </c>
      <c r="DY324" s="109">
        <f t="shared" si="405"/>
        <v>0</v>
      </c>
      <c r="DZ324" s="109"/>
      <c r="EA324" s="109"/>
      <c r="EB324" s="111"/>
      <c r="EC324" s="111"/>
      <c r="ED324" s="165"/>
      <c r="EE324" s="109">
        <f t="shared" si="406"/>
        <v>0</v>
      </c>
      <c r="EF324" s="109">
        <f t="shared" si="407"/>
        <v>0</v>
      </c>
      <c r="EG324" s="109"/>
      <c r="EH324" s="109"/>
      <c r="EI324" s="111"/>
      <c r="EJ324" s="111"/>
      <c r="EK324" s="165"/>
      <c r="EL324" s="109">
        <f t="shared" si="408"/>
        <v>0</v>
      </c>
      <c r="EM324" s="109">
        <f t="shared" si="409"/>
        <v>0</v>
      </c>
      <c r="EN324" s="109"/>
      <c r="EO324" s="109"/>
      <c r="EP324" s="111"/>
      <c r="EQ324" s="111"/>
      <c r="ER324" s="165"/>
      <c r="ES324" s="109">
        <f t="shared" si="410"/>
        <v>0</v>
      </c>
      <c r="ET324" s="109">
        <f t="shared" si="411"/>
        <v>0</v>
      </c>
      <c r="EU324" s="109"/>
      <c r="EV324" s="109"/>
      <c r="EW324" s="111"/>
      <c r="EX324" s="111"/>
      <c r="EY324" s="165"/>
      <c r="EZ324" s="109">
        <f t="shared" si="412"/>
        <v>0</v>
      </c>
      <c r="FA324" s="109">
        <f t="shared" si="413"/>
        <v>0</v>
      </c>
      <c r="FB324" s="109"/>
      <c r="FC324" s="109"/>
      <c r="FD324" s="111"/>
      <c r="FE324" s="111"/>
      <c r="FF324" s="165"/>
      <c r="FG324" s="109">
        <f t="shared" si="414"/>
        <v>0</v>
      </c>
      <c r="FH324" s="109">
        <f t="shared" si="415"/>
        <v>0</v>
      </c>
      <c r="FI324" s="109"/>
      <c r="FJ324" s="109"/>
      <c r="FK324" s="111"/>
      <c r="FL324" s="111"/>
      <c r="FM324" s="165"/>
      <c r="FN324" s="109">
        <f t="shared" si="416"/>
        <v>0</v>
      </c>
      <c r="FO324" s="109">
        <f t="shared" si="417"/>
        <v>0</v>
      </c>
      <c r="FP324" s="109"/>
      <c r="FQ324" s="109"/>
      <c r="FR324" s="111"/>
      <c r="FS324" s="111"/>
      <c r="FT324" s="165"/>
      <c r="FU324" s="109">
        <f t="shared" si="418"/>
        <v>0</v>
      </c>
      <c r="FV324" s="109">
        <f t="shared" si="426"/>
        <v>0</v>
      </c>
      <c r="FW324" s="109"/>
      <c r="FX324" s="109"/>
      <c r="FY324" s="111"/>
      <c r="FZ324" s="111"/>
      <c r="GA324" s="165"/>
      <c r="GB324" s="109">
        <f t="shared" si="419"/>
        <v>0</v>
      </c>
      <c r="GC324" s="109">
        <f t="shared" si="427"/>
        <v>0</v>
      </c>
      <c r="GD324" s="109"/>
      <c r="GE324" s="109"/>
      <c r="GF324" s="111"/>
      <c r="GG324" s="111"/>
      <c r="GH324" s="165"/>
      <c r="GI324" s="109">
        <f t="shared" si="420"/>
        <v>0</v>
      </c>
      <c r="GJ324" s="109">
        <f t="shared" si="428"/>
        <v>0</v>
      </c>
      <c r="GK324" s="109"/>
      <c r="GL324" s="109"/>
      <c r="GM324" s="111"/>
      <c r="GN324" s="111"/>
      <c r="GO324" s="165"/>
      <c r="GP324" s="109">
        <f t="shared" si="421"/>
        <v>0</v>
      </c>
      <c r="GQ324" s="109">
        <f t="shared" si="429"/>
        <v>0</v>
      </c>
      <c r="GR324" s="109"/>
      <c r="GS324" s="109"/>
      <c r="GT324" s="111"/>
      <c r="GU324" s="111"/>
      <c r="GV324" s="165"/>
      <c r="GW324" s="168">
        <f t="shared" si="422"/>
        <v>0</v>
      </c>
      <c r="GX324" s="168">
        <f t="shared" si="430"/>
        <v>0</v>
      </c>
      <c r="GY324" s="168"/>
      <c r="GZ324" s="168"/>
      <c r="HA324" s="111"/>
      <c r="HB324" s="111"/>
      <c r="HC324" s="165"/>
      <c r="HD324" s="109">
        <f t="shared" si="423"/>
        <v>0</v>
      </c>
      <c r="HE324" s="109">
        <f t="shared" si="431"/>
        <v>0</v>
      </c>
      <c r="HF324" s="109"/>
      <c r="HG324" s="109"/>
      <c r="HH324" s="111"/>
      <c r="HI324" s="111"/>
      <c r="HJ324" s="165"/>
      <c r="HK324" s="109">
        <f t="shared" si="424"/>
        <v>0</v>
      </c>
      <c r="HL324" s="109">
        <f t="shared" si="432"/>
        <v>0</v>
      </c>
      <c r="HM324" s="109"/>
      <c r="HN324" s="109"/>
      <c r="HO324" s="111"/>
      <c r="HP324" s="111"/>
      <c r="HQ324" s="165"/>
      <c r="HR324" s="109">
        <f t="shared" si="425"/>
        <v>0</v>
      </c>
      <c r="HS324" s="109">
        <f t="shared" si="433"/>
        <v>0</v>
      </c>
      <c r="HT324" s="109"/>
      <c r="HU324" s="109"/>
      <c r="HV324" s="111"/>
      <c r="HW324" s="111"/>
      <c r="HX324" s="105">
        <f t="shared" si="401"/>
        <v>0</v>
      </c>
      <c r="HY324" s="105">
        <f t="shared" si="401"/>
        <v>0</v>
      </c>
      <c r="HZ324" s="105">
        <f t="shared" si="401"/>
        <v>0</v>
      </c>
      <c r="IA324" s="105">
        <f t="shared" si="395"/>
        <v>0</v>
      </c>
      <c r="IB324" s="109">
        <f t="shared" si="396"/>
        <v>0</v>
      </c>
      <c r="IC324" s="109">
        <f t="shared" si="397"/>
        <v>0</v>
      </c>
      <c r="ID324" s="109">
        <f t="shared" si="398"/>
        <v>0</v>
      </c>
      <c r="IE324" s="109">
        <f t="shared" si="399"/>
        <v>0</v>
      </c>
      <c r="IF324" s="197"/>
      <c r="IG324" s="197"/>
      <c r="IH324" s="197"/>
      <c r="II324" s="197"/>
      <c r="IJ324" s="197"/>
      <c r="IK324" s="197"/>
      <c r="IL324" s="197"/>
      <c r="IM324" s="171"/>
      <c r="IN324" s="171"/>
      <c r="IO324" s="171"/>
      <c r="IP324" s="171"/>
    </row>
    <row r="325" spans="1:250" ht="15" customHeight="1" x14ac:dyDescent="0.3">
      <c r="A325" s="110">
        <f t="shared" si="400"/>
        <v>321</v>
      </c>
      <c r="B325" s="111"/>
      <c r="C325" s="111"/>
      <c r="D325" s="111"/>
      <c r="E325" s="111"/>
      <c r="F325" s="111"/>
      <c r="G325" s="111"/>
      <c r="H325" s="111"/>
      <c r="I325" s="194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75"/>
      <c r="AI325" s="111"/>
      <c r="AJ325" s="111"/>
      <c r="AK325" s="111"/>
      <c r="AL325" s="177"/>
      <c r="AM325" s="176"/>
      <c r="AN325" s="177"/>
      <c r="AO325" s="157"/>
      <c r="AP325" s="158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  <c r="BJ325" s="111"/>
      <c r="BK325" s="111"/>
      <c r="BL325" s="175"/>
      <c r="BM325" s="111"/>
      <c r="BN325" s="111"/>
      <c r="BO325" s="111"/>
      <c r="BP325" s="111"/>
      <c r="BQ325" s="111"/>
      <c r="BR325" s="111"/>
      <c r="BS325" s="111"/>
      <c r="BT325" s="111"/>
      <c r="BU325" s="111"/>
      <c r="BV325" s="111"/>
      <c r="BW325" s="111"/>
      <c r="BX325" s="111"/>
      <c r="BY325" s="111"/>
      <c r="BZ325" s="111"/>
      <c r="CA325" s="111"/>
      <c r="CB325" s="111"/>
      <c r="CC325" s="178"/>
      <c r="CD325" s="177">
        <f t="shared" ref="CD325:CD388" si="434">AL325</f>
        <v>0</v>
      </c>
      <c r="CE325" s="148"/>
      <c r="CF325" s="111">
        <f t="shared" ref="CF325:CF388" si="435">AI325</f>
        <v>0</v>
      </c>
      <c r="CG325" s="177"/>
      <c r="CH325" s="204"/>
      <c r="CI325" s="148"/>
      <c r="CJ325" s="165"/>
      <c r="CK325" s="165"/>
      <c r="CL325" s="111"/>
      <c r="CM325" s="111"/>
      <c r="CN325" s="165">
        <f t="shared" ref="CN325:CN388" si="436">CJ325</f>
        <v>0</v>
      </c>
      <c r="CO325" s="109">
        <f t="shared" ref="CO325:CO388" si="437">CQ325-CP325</f>
        <v>0</v>
      </c>
      <c r="CP325" s="109">
        <f t="shared" ref="CP325:CP388" si="438">CQ325/(1+AM325)*AM325</f>
        <v>0</v>
      </c>
      <c r="CQ325" s="109"/>
      <c r="CR325" s="109"/>
      <c r="CS325" s="196"/>
      <c r="CT325" s="167"/>
      <c r="CU325" s="165"/>
      <c r="CV325" s="109">
        <f t="shared" ref="CV325:CV388" si="439">CX325-CW325</f>
        <v>0</v>
      </c>
      <c r="CW325" s="109">
        <f t="shared" ref="CW325:CW388" si="440">CX325/(1+AM325)*AM325</f>
        <v>0</v>
      </c>
      <c r="CX325" s="109"/>
      <c r="CY325" s="109"/>
      <c r="CZ325" s="111"/>
      <c r="DA325" s="111"/>
      <c r="DB325" s="165"/>
      <c r="DC325" s="109">
        <f t="shared" ref="DC325:DC388" si="441">DE325-DD325</f>
        <v>0</v>
      </c>
      <c r="DD325" s="109">
        <f t="shared" ref="DD325:DD388" si="442">DE325/(1+AM325)*AM325</f>
        <v>0</v>
      </c>
      <c r="DE325" s="109"/>
      <c r="DF325" s="109"/>
      <c r="DG325" s="111"/>
      <c r="DH325" s="111"/>
      <c r="DI325" s="165"/>
      <c r="DJ325" s="109">
        <f t="shared" ref="DJ325:DJ388" si="443">DL325-DK325</f>
        <v>0</v>
      </c>
      <c r="DK325" s="109">
        <f t="shared" ref="DK325:DK388" si="444">DL325/(1+AM325)*AM325</f>
        <v>0</v>
      </c>
      <c r="DL325" s="109"/>
      <c r="DM325" s="109"/>
      <c r="DN325" s="111"/>
      <c r="DO325" s="111"/>
      <c r="DP325" s="165"/>
      <c r="DQ325" s="109">
        <f t="shared" si="402"/>
        <v>0</v>
      </c>
      <c r="DR325" s="109">
        <f t="shared" si="403"/>
        <v>0</v>
      </c>
      <c r="DS325" s="109"/>
      <c r="DT325" s="109"/>
      <c r="DU325" s="111"/>
      <c r="DV325" s="111"/>
      <c r="DW325" s="165"/>
      <c r="DX325" s="109">
        <f t="shared" si="404"/>
        <v>0</v>
      </c>
      <c r="DY325" s="109">
        <f t="shared" si="405"/>
        <v>0</v>
      </c>
      <c r="DZ325" s="109"/>
      <c r="EA325" s="109"/>
      <c r="EB325" s="111"/>
      <c r="EC325" s="111"/>
      <c r="ED325" s="165"/>
      <c r="EE325" s="109">
        <f t="shared" si="406"/>
        <v>0</v>
      </c>
      <c r="EF325" s="109">
        <f t="shared" si="407"/>
        <v>0</v>
      </c>
      <c r="EG325" s="109"/>
      <c r="EH325" s="109"/>
      <c r="EI325" s="111"/>
      <c r="EJ325" s="111"/>
      <c r="EK325" s="165"/>
      <c r="EL325" s="109">
        <f t="shared" si="408"/>
        <v>0</v>
      </c>
      <c r="EM325" s="109">
        <f t="shared" si="409"/>
        <v>0</v>
      </c>
      <c r="EN325" s="109"/>
      <c r="EO325" s="109"/>
      <c r="EP325" s="111"/>
      <c r="EQ325" s="111"/>
      <c r="ER325" s="165"/>
      <c r="ES325" s="109">
        <f t="shared" si="410"/>
        <v>0</v>
      </c>
      <c r="ET325" s="109">
        <f t="shared" si="411"/>
        <v>0</v>
      </c>
      <c r="EU325" s="109"/>
      <c r="EV325" s="109"/>
      <c r="EW325" s="111"/>
      <c r="EX325" s="111"/>
      <c r="EY325" s="165"/>
      <c r="EZ325" s="109">
        <f t="shared" si="412"/>
        <v>0</v>
      </c>
      <c r="FA325" s="109">
        <f t="shared" si="413"/>
        <v>0</v>
      </c>
      <c r="FB325" s="109"/>
      <c r="FC325" s="109"/>
      <c r="FD325" s="111"/>
      <c r="FE325" s="111"/>
      <c r="FF325" s="165"/>
      <c r="FG325" s="109">
        <f t="shared" si="414"/>
        <v>0</v>
      </c>
      <c r="FH325" s="109">
        <f t="shared" si="415"/>
        <v>0</v>
      </c>
      <c r="FI325" s="109"/>
      <c r="FJ325" s="109"/>
      <c r="FK325" s="111"/>
      <c r="FL325" s="111"/>
      <c r="FM325" s="165"/>
      <c r="FN325" s="109">
        <f t="shared" si="416"/>
        <v>0</v>
      </c>
      <c r="FO325" s="109">
        <f t="shared" si="417"/>
        <v>0</v>
      </c>
      <c r="FP325" s="109"/>
      <c r="FQ325" s="109"/>
      <c r="FR325" s="111"/>
      <c r="FS325" s="111"/>
      <c r="FT325" s="165"/>
      <c r="FU325" s="109">
        <f t="shared" si="418"/>
        <v>0</v>
      </c>
      <c r="FV325" s="109">
        <f t="shared" si="426"/>
        <v>0</v>
      </c>
      <c r="FW325" s="109"/>
      <c r="FX325" s="109"/>
      <c r="FY325" s="111"/>
      <c r="FZ325" s="111"/>
      <c r="GA325" s="165"/>
      <c r="GB325" s="109">
        <f t="shared" si="419"/>
        <v>0</v>
      </c>
      <c r="GC325" s="109">
        <f t="shared" si="427"/>
        <v>0</v>
      </c>
      <c r="GD325" s="109"/>
      <c r="GE325" s="109"/>
      <c r="GF325" s="111"/>
      <c r="GG325" s="111"/>
      <c r="GH325" s="165"/>
      <c r="GI325" s="109">
        <f t="shared" si="420"/>
        <v>0</v>
      </c>
      <c r="GJ325" s="109">
        <f t="shared" si="428"/>
        <v>0</v>
      </c>
      <c r="GK325" s="109"/>
      <c r="GL325" s="109"/>
      <c r="GM325" s="111"/>
      <c r="GN325" s="111"/>
      <c r="GO325" s="165"/>
      <c r="GP325" s="109">
        <f t="shared" si="421"/>
        <v>0</v>
      </c>
      <c r="GQ325" s="109">
        <f t="shared" si="429"/>
        <v>0</v>
      </c>
      <c r="GR325" s="109"/>
      <c r="GS325" s="109"/>
      <c r="GT325" s="111"/>
      <c r="GU325" s="111"/>
      <c r="GV325" s="165"/>
      <c r="GW325" s="168">
        <f t="shared" si="422"/>
        <v>0</v>
      </c>
      <c r="GX325" s="168">
        <f t="shared" si="430"/>
        <v>0</v>
      </c>
      <c r="GY325" s="168"/>
      <c r="GZ325" s="168"/>
      <c r="HA325" s="111"/>
      <c r="HB325" s="111"/>
      <c r="HC325" s="165"/>
      <c r="HD325" s="109">
        <f t="shared" si="423"/>
        <v>0</v>
      </c>
      <c r="HE325" s="109">
        <f t="shared" si="431"/>
        <v>0</v>
      </c>
      <c r="HF325" s="109"/>
      <c r="HG325" s="109"/>
      <c r="HH325" s="111"/>
      <c r="HI325" s="111"/>
      <c r="HJ325" s="165"/>
      <c r="HK325" s="109">
        <f t="shared" si="424"/>
        <v>0</v>
      </c>
      <c r="HL325" s="109">
        <f t="shared" si="432"/>
        <v>0</v>
      </c>
      <c r="HM325" s="109"/>
      <c r="HN325" s="109"/>
      <c r="HO325" s="111"/>
      <c r="HP325" s="111"/>
      <c r="HQ325" s="165"/>
      <c r="HR325" s="109">
        <f t="shared" si="425"/>
        <v>0</v>
      </c>
      <c r="HS325" s="109">
        <f t="shared" si="433"/>
        <v>0</v>
      </c>
      <c r="HT325" s="109"/>
      <c r="HU325" s="109"/>
      <c r="HV325" s="111"/>
      <c r="HW325" s="111"/>
      <c r="HX325" s="105">
        <f t="shared" si="401"/>
        <v>0</v>
      </c>
      <c r="HY325" s="105">
        <f t="shared" si="401"/>
        <v>0</v>
      </c>
      <c r="HZ325" s="105">
        <f t="shared" si="401"/>
        <v>0</v>
      </c>
      <c r="IA325" s="105">
        <f t="shared" ref="IA325:IA388" si="445">HX325+HY325-HZ325</f>
        <v>0</v>
      </c>
      <c r="IB325" s="109">
        <f t="shared" ref="IB325:IB388" si="446">AO325-HZ325</f>
        <v>0</v>
      </c>
      <c r="IC325" s="109">
        <f t="shared" ref="IC325:IC388" si="447">AL325-HX325</f>
        <v>0</v>
      </c>
      <c r="ID325" s="109">
        <f t="shared" ref="ID325:ID388" si="448">(HZ325+IB325)-AO325</f>
        <v>0</v>
      </c>
      <c r="IE325" s="109">
        <f t="shared" ref="IE325:IE388" si="449">CT325+DA325+DH325+DO325+DV325+EC325+EJ325</f>
        <v>0</v>
      </c>
      <c r="IF325" s="197"/>
      <c r="IG325" s="197"/>
      <c r="IH325" s="197"/>
      <c r="II325" s="197"/>
      <c r="IJ325" s="197"/>
      <c r="IK325" s="197"/>
      <c r="IL325" s="197"/>
      <c r="IM325" s="171"/>
      <c r="IN325" s="171"/>
      <c r="IO325" s="171"/>
      <c r="IP325" s="171"/>
    </row>
    <row r="326" spans="1:250" ht="15" customHeight="1" x14ac:dyDescent="0.3">
      <c r="A326" s="110">
        <f t="shared" ref="A326:A389" si="450">A325+1</f>
        <v>322</v>
      </c>
      <c r="B326" s="111"/>
      <c r="C326" s="111"/>
      <c r="D326" s="111"/>
      <c r="E326" s="111"/>
      <c r="F326" s="111"/>
      <c r="G326" s="111"/>
      <c r="H326" s="111"/>
      <c r="I326" s="194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75"/>
      <c r="AI326" s="111"/>
      <c r="AJ326" s="111"/>
      <c r="AK326" s="111"/>
      <c r="AL326" s="177"/>
      <c r="AM326" s="176"/>
      <c r="AN326" s="177"/>
      <c r="AO326" s="157"/>
      <c r="AP326" s="158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  <c r="BJ326" s="111"/>
      <c r="BK326" s="111"/>
      <c r="BL326" s="175"/>
      <c r="BM326" s="111"/>
      <c r="BN326" s="111"/>
      <c r="BO326" s="111"/>
      <c r="BP326" s="111"/>
      <c r="BQ326" s="111"/>
      <c r="BR326" s="111"/>
      <c r="BS326" s="111"/>
      <c r="BT326" s="111"/>
      <c r="BU326" s="111"/>
      <c r="BV326" s="111"/>
      <c r="BW326" s="111"/>
      <c r="BX326" s="111"/>
      <c r="BY326" s="111"/>
      <c r="BZ326" s="111"/>
      <c r="CA326" s="111"/>
      <c r="CB326" s="111"/>
      <c r="CC326" s="178"/>
      <c r="CD326" s="177">
        <f t="shared" si="434"/>
        <v>0</v>
      </c>
      <c r="CE326" s="148"/>
      <c r="CF326" s="111">
        <f t="shared" si="435"/>
        <v>0</v>
      </c>
      <c r="CG326" s="177"/>
      <c r="CH326" s="204"/>
      <c r="CI326" s="148"/>
      <c r="CJ326" s="165"/>
      <c r="CK326" s="165"/>
      <c r="CL326" s="111"/>
      <c r="CM326" s="111"/>
      <c r="CN326" s="165">
        <f t="shared" si="436"/>
        <v>0</v>
      </c>
      <c r="CO326" s="109">
        <f t="shared" si="437"/>
        <v>0</v>
      </c>
      <c r="CP326" s="109">
        <f t="shared" si="438"/>
        <v>0</v>
      </c>
      <c r="CQ326" s="109"/>
      <c r="CR326" s="109"/>
      <c r="CS326" s="196"/>
      <c r="CT326" s="167"/>
      <c r="CU326" s="165"/>
      <c r="CV326" s="109">
        <f t="shared" si="439"/>
        <v>0</v>
      </c>
      <c r="CW326" s="109">
        <f t="shared" si="440"/>
        <v>0</v>
      </c>
      <c r="CX326" s="109"/>
      <c r="CY326" s="109"/>
      <c r="CZ326" s="111"/>
      <c r="DA326" s="111"/>
      <c r="DB326" s="165"/>
      <c r="DC326" s="109">
        <f t="shared" si="441"/>
        <v>0</v>
      </c>
      <c r="DD326" s="109">
        <f t="shared" si="442"/>
        <v>0</v>
      </c>
      <c r="DE326" s="109"/>
      <c r="DF326" s="109"/>
      <c r="DG326" s="111"/>
      <c r="DH326" s="111"/>
      <c r="DI326" s="165"/>
      <c r="DJ326" s="109">
        <f t="shared" si="443"/>
        <v>0</v>
      </c>
      <c r="DK326" s="109">
        <f t="shared" si="444"/>
        <v>0</v>
      </c>
      <c r="DL326" s="109"/>
      <c r="DM326" s="109"/>
      <c r="DN326" s="111"/>
      <c r="DO326" s="111"/>
      <c r="DP326" s="165"/>
      <c r="DQ326" s="109">
        <f t="shared" si="402"/>
        <v>0</v>
      </c>
      <c r="DR326" s="109">
        <f t="shared" si="403"/>
        <v>0</v>
      </c>
      <c r="DS326" s="109"/>
      <c r="DT326" s="109"/>
      <c r="DU326" s="111"/>
      <c r="DV326" s="111"/>
      <c r="DW326" s="165"/>
      <c r="DX326" s="109">
        <f t="shared" si="404"/>
        <v>0</v>
      </c>
      <c r="DY326" s="109">
        <f t="shared" si="405"/>
        <v>0</v>
      </c>
      <c r="DZ326" s="109"/>
      <c r="EA326" s="109"/>
      <c r="EB326" s="111"/>
      <c r="EC326" s="111"/>
      <c r="ED326" s="165"/>
      <c r="EE326" s="109">
        <f t="shared" si="406"/>
        <v>0</v>
      </c>
      <c r="EF326" s="109">
        <f t="shared" si="407"/>
        <v>0</v>
      </c>
      <c r="EG326" s="109"/>
      <c r="EH326" s="109"/>
      <c r="EI326" s="111"/>
      <c r="EJ326" s="111"/>
      <c r="EK326" s="165"/>
      <c r="EL326" s="109">
        <f t="shared" si="408"/>
        <v>0</v>
      </c>
      <c r="EM326" s="109">
        <f t="shared" si="409"/>
        <v>0</v>
      </c>
      <c r="EN326" s="109"/>
      <c r="EO326" s="109"/>
      <c r="EP326" s="111"/>
      <c r="EQ326" s="111"/>
      <c r="ER326" s="165"/>
      <c r="ES326" s="109">
        <f t="shared" si="410"/>
        <v>0</v>
      </c>
      <c r="ET326" s="109">
        <f t="shared" si="411"/>
        <v>0</v>
      </c>
      <c r="EU326" s="109"/>
      <c r="EV326" s="109"/>
      <c r="EW326" s="111"/>
      <c r="EX326" s="111"/>
      <c r="EY326" s="165"/>
      <c r="EZ326" s="109">
        <f t="shared" si="412"/>
        <v>0</v>
      </c>
      <c r="FA326" s="109">
        <f t="shared" si="413"/>
        <v>0</v>
      </c>
      <c r="FB326" s="109"/>
      <c r="FC326" s="109"/>
      <c r="FD326" s="111"/>
      <c r="FE326" s="111"/>
      <c r="FF326" s="165"/>
      <c r="FG326" s="109">
        <f t="shared" si="414"/>
        <v>0</v>
      </c>
      <c r="FH326" s="109">
        <f t="shared" si="415"/>
        <v>0</v>
      </c>
      <c r="FI326" s="109"/>
      <c r="FJ326" s="109"/>
      <c r="FK326" s="111"/>
      <c r="FL326" s="111"/>
      <c r="FM326" s="165"/>
      <c r="FN326" s="109">
        <f t="shared" si="416"/>
        <v>0</v>
      </c>
      <c r="FO326" s="109">
        <f t="shared" si="417"/>
        <v>0</v>
      </c>
      <c r="FP326" s="109"/>
      <c r="FQ326" s="109"/>
      <c r="FR326" s="111"/>
      <c r="FS326" s="111"/>
      <c r="FT326" s="165"/>
      <c r="FU326" s="109">
        <f t="shared" si="418"/>
        <v>0</v>
      </c>
      <c r="FV326" s="109">
        <f t="shared" si="426"/>
        <v>0</v>
      </c>
      <c r="FW326" s="109"/>
      <c r="FX326" s="109"/>
      <c r="FY326" s="111"/>
      <c r="FZ326" s="111"/>
      <c r="GA326" s="165"/>
      <c r="GB326" s="109">
        <f t="shared" si="419"/>
        <v>0</v>
      </c>
      <c r="GC326" s="109">
        <f t="shared" si="427"/>
        <v>0</v>
      </c>
      <c r="GD326" s="109"/>
      <c r="GE326" s="109"/>
      <c r="GF326" s="111"/>
      <c r="GG326" s="111"/>
      <c r="GH326" s="165"/>
      <c r="GI326" s="109">
        <f t="shared" si="420"/>
        <v>0</v>
      </c>
      <c r="GJ326" s="109">
        <f t="shared" si="428"/>
        <v>0</v>
      </c>
      <c r="GK326" s="109"/>
      <c r="GL326" s="109"/>
      <c r="GM326" s="111"/>
      <c r="GN326" s="111"/>
      <c r="GO326" s="165"/>
      <c r="GP326" s="109">
        <f t="shared" si="421"/>
        <v>0</v>
      </c>
      <c r="GQ326" s="109">
        <f t="shared" si="429"/>
        <v>0</v>
      </c>
      <c r="GR326" s="109"/>
      <c r="GS326" s="109"/>
      <c r="GT326" s="111"/>
      <c r="GU326" s="111"/>
      <c r="GV326" s="165"/>
      <c r="GW326" s="168">
        <f t="shared" si="422"/>
        <v>0</v>
      </c>
      <c r="GX326" s="168">
        <f t="shared" si="430"/>
        <v>0</v>
      </c>
      <c r="GY326" s="168"/>
      <c r="GZ326" s="168"/>
      <c r="HA326" s="111"/>
      <c r="HB326" s="111"/>
      <c r="HC326" s="165"/>
      <c r="HD326" s="109">
        <f t="shared" si="423"/>
        <v>0</v>
      </c>
      <c r="HE326" s="109">
        <f t="shared" si="431"/>
        <v>0</v>
      </c>
      <c r="HF326" s="109"/>
      <c r="HG326" s="109"/>
      <c r="HH326" s="111"/>
      <c r="HI326" s="111"/>
      <c r="HJ326" s="165"/>
      <c r="HK326" s="109">
        <f t="shared" si="424"/>
        <v>0</v>
      </c>
      <c r="HL326" s="109">
        <f t="shared" si="432"/>
        <v>0</v>
      </c>
      <c r="HM326" s="109"/>
      <c r="HN326" s="109"/>
      <c r="HO326" s="111"/>
      <c r="HP326" s="111"/>
      <c r="HQ326" s="165"/>
      <c r="HR326" s="109">
        <f t="shared" si="425"/>
        <v>0</v>
      </c>
      <c r="HS326" s="109">
        <f t="shared" si="433"/>
        <v>0</v>
      </c>
      <c r="HT326" s="109"/>
      <c r="HU326" s="109"/>
      <c r="HV326" s="111"/>
      <c r="HW326" s="111"/>
      <c r="HX326" s="105">
        <f t="shared" si="401"/>
        <v>0</v>
      </c>
      <c r="HY326" s="105">
        <f t="shared" si="401"/>
        <v>0</v>
      </c>
      <c r="HZ326" s="105">
        <f t="shared" si="401"/>
        <v>0</v>
      </c>
      <c r="IA326" s="105">
        <f t="shared" si="445"/>
        <v>0</v>
      </c>
      <c r="IB326" s="109">
        <f t="shared" si="446"/>
        <v>0</v>
      </c>
      <c r="IC326" s="109">
        <f t="shared" si="447"/>
        <v>0</v>
      </c>
      <c r="ID326" s="109">
        <f t="shared" si="448"/>
        <v>0</v>
      </c>
      <c r="IE326" s="109">
        <f t="shared" si="449"/>
        <v>0</v>
      </c>
      <c r="IF326" s="197"/>
      <c r="IG326" s="197"/>
      <c r="IH326" s="197"/>
      <c r="II326" s="197"/>
      <c r="IJ326" s="197"/>
      <c r="IK326" s="197"/>
      <c r="IL326" s="197"/>
      <c r="IM326" s="171"/>
      <c r="IN326" s="171"/>
      <c r="IO326" s="171"/>
      <c r="IP326" s="171"/>
    </row>
    <row r="327" spans="1:250" ht="15" customHeight="1" x14ac:dyDescent="0.3">
      <c r="A327" s="110">
        <f t="shared" si="450"/>
        <v>323</v>
      </c>
      <c r="B327" s="111"/>
      <c r="C327" s="111"/>
      <c r="D327" s="111"/>
      <c r="E327" s="111"/>
      <c r="F327" s="111"/>
      <c r="G327" s="111"/>
      <c r="H327" s="111"/>
      <c r="I327" s="194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75"/>
      <c r="AI327" s="111"/>
      <c r="AJ327" s="111"/>
      <c r="AK327" s="111"/>
      <c r="AL327" s="177"/>
      <c r="AM327" s="176"/>
      <c r="AN327" s="177"/>
      <c r="AO327" s="157"/>
      <c r="AP327" s="158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  <c r="BJ327" s="111"/>
      <c r="BK327" s="111"/>
      <c r="BL327" s="175"/>
      <c r="BM327" s="111"/>
      <c r="BN327" s="111"/>
      <c r="BO327" s="111"/>
      <c r="BP327" s="111"/>
      <c r="BQ327" s="111"/>
      <c r="BR327" s="111"/>
      <c r="BS327" s="111"/>
      <c r="BT327" s="111"/>
      <c r="BU327" s="111"/>
      <c r="BV327" s="111"/>
      <c r="BW327" s="111"/>
      <c r="BX327" s="111"/>
      <c r="BY327" s="111"/>
      <c r="BZ327" s="111"/>
      <c r="CA327" s="111"/>
      <c r="CB327" s="111"/>
      <c r="CC327" s="178"/>
      <c r="CD327" s="177">
        <f t="shared" si="434"/>
        <v>0</v>
      </c>
      <c r="CE327" s="148"/>
      <c r="CF327" s="111">
        <f t="shared" si="435"/>
        <v>0</v>
      </c>
      <c r="CG327" s="177"/>
      <c r="CH327" s="204"/>
      <c r="CI327" s="148"/>
      <c r="CJ327" s="165"/>
      <c r="CK327" s="165"/>
      <c r="CL327" s="111"/>
      <c r="CM327" s="111"/>
      <c r="CN327" s="165">
        <f t="shared" si="436"/>
        <v>0</v>
      </c>
      <c r="CO327" s="109">
        <f t="shared" si="437"/>
        <v>0</v>
      </c>
      <c r="CP327" s="109">
        <f t="shared" si="438"/>
        <v>0</v>
      </c>
      <c r="CQ327" s="109"/>
      <c r="CR327" s="109"/>
      <c r="CS327" s="196"/>
      <c r="CT327" s="167"/>
      <c r="CU327" s="165"/>
      <c r="CV327" s="109">
        <f t="shared" si="439"/>
        <v>0</v>
      </c>
      <c r="CW327" s="109">
        <f t="shared" si="440"/>
        <v>0</v>
      </c>
      <c r="CX327" s="109"/>
      <c r="CY327" s="109"/>
      <c r="CZ327" s="111"/>
      <c r="DA327" s="111"/>
      <c r="DB327" s="165"/>
      <c r="DC327" s="109">
        <f t="shared" si="441"/>
        <v>0</v>
      </c>
      <c r="DD327" s="109">
        <f t="shared" si="442"/>
        <v>0</v>
      </c>
      <c r="DE327" s="109"/>
      <c r="DF327" s="109"/>
      <c r="DG327" s="111"/>
      <c r="DH327" s="111"/>
      <c r="DI327" s="165"/>
      <c r="DJ327" s="109">
        <f t="shared" si="443"/>
        <v>0</v>
      </c>
      <c r="DK327" s="109">
        <f t="shared" si="444"/>
        <v>0</v>
      </c>
      <c r="DL327" s="109"/>
      <c r="DM327" s="109"/>
      <c r="DN327" s="111"/>
      <c r="DO327" s="111"/>
      <c r="DP327" s="165"/>
      <c r="DQ327" s="109">
        <f t="shared" si="402"/>
        <v>0</v>
      </c>
      <c r="DR327" s="109">
        <f t="shared" si="403"/>
        <v>0</v>
      </c>
      <c r="DS327" s="109"/>
      <c r="DT327" s="109"/>
      <c r="DU327" s="111"/>
      <c r="DV327" s="111"/>
      <c r="DW327" s="165"/>
      <c r="DX327" s="109">
        <f t="shared" si="404"/>
        <v>0</v>
      </c>
      <c r="DY327" s="109">
        <f t="shared" si="405"/>
        <v>0</v>
      </c>
      <c r="DZ327" s="109"/>
      <c r="EA327" s="109"/>
      <c r="EB327" s="111"/>
      <c r="EC327" s="111"/>
      <c r="ED327" s="165"/>
      <c r="EE327" s="109">
        <f t="shared" si="406"/>
        <v>0</v>
      </c>
      <c r="EF327" s="109">
        <f t="shared" si="407"/>
        <v>0</v>
      </c>
      <c r="EG327" s="109"/>
      <c r="EH327" s="109"/>
      <c r="EI327" s="111"/>
      <c r="EJ327" s="111"/>
      <c r="EK327" s="165"/>
      <c r="EL327" s="109">
        <f t="shared" si="408"/>
        <v>0</v>
      </c>
      <c r="EM327" s="109">
        <f t="shared" si="409"/>
        <v>0</v>
      </c>
      <c r="EN327" s="109"/>
      <c r="EO327" s="109"/>
      <c r="EP327" s="111"/>
      <c r="EQ327" s="111"/>
      <c r="ER327" s="165"/>
      <c r="ES327" s="109">
        <f t="shared" si="410"/>
        <v>0</v>
      </c>
      <c r="ET327" s="109">
        <f t="shared" si="411"/>
        <v>0</v>
      </c>
      <c r="EU327" s="109"/>
      <c r="EV327" s="109"/>
      <c r="EW327" s="111"/>
      <c r="EX327" s="111"/>
      <c r="EY327" s="165"/>
      <c r="EZ327" s="109">
        <f t="shared" si="412"/>
        <v>0</v>
      </c>
      <c r="FA327" s="109">
        <f t="shared" si="413"/>
        <v>0</v>
      </c>
      <c r="FB327" s="109"/>
      <c r="FC327" s="109"/>
      <c r="FD327" s="111"/>
      <c r="FE327" s="111"/>
      <c r="FF327" s="165"/>
      <c r="FG327" s="109">
        <f t="shared" si="414"/>
        <v>0</v>
      </c>
      <c r="FH327" s="109">
        <f t="shared" si="415"/>
        <v>0</v>
      </c>
      <c r="FI327" s="109"/>
      <c r="FJ327" s="109"/>
      <c r="FK327" s="111"/>
      <c r="FL327" s="111"/>
      <c r="FM327" s="165"/>
      <c r="FN327" s="109">
        <f t="shared" si="416"/>
        <v>0</v>
      </c>
      <c r="FO327" s="109">
        <f t="shared" si="417"/>
        <v>0</v>
      </c>
      <c r="FP327" s="109"/>
      <c r="FQ327" s="109"/>
      <c r="FR327" s="111"/>
      <c r="FS327" s="111"/>
      <c r="FT327" s="165"/>
      <c r="FU327" s="109">
        <f t="shared" si="418"/>
        <v>0</v>
      </c>
      <c r="FV327" s="109">
        <f t="shared" si="426"/>
        <v>0</v>
      </c>
      <c r="FW327" s="109"/>
      <c r="FX327" s="109"/>
      <c r="FY327" s="111"/>
      <c r="FZ327" s="111"/>
      <c r="GA327" s="165"/>
      <c r="GB327" s="109">
        <f t="shared" si="419"/>
        <v>0</v>
      </c>
      <c r="GC327" s="109">
        <f t="shared" si="427"/>
        <v>0</v>
      </c>
      <c r="GD327" s="109"/>
      <c r="GE327" s="109"/>
      <c r="GF327" s="111"/>
      <c r="GG327" s="111"/>
      <c r="GH327" s="165"/>
      <c r="GI327" s="109">
        <f t="shared" si="420"/>
        <v>0</v>
      </c>
      <c r="GJ327" s="109">
        <f t="shared" si="428"/>
        <v>0</v>
      </c>
      <c r="GK327" s="109"/>
      <c r="GL327" s="109"/>
      <c r="GM327" s="111"/>
      <c r="GN327" s="111"/>
      <c r="GO327" s="165"/>
      <c r="GP327" s="109">
        <f t="shared" si="421"/>
        <v>0</v>
      </c>
      <c r="GQ327" s="109">
        <f t="shared" si="429"/>
        <v>0</v>
      </c>
      <c r="GR327" s="109"/>
      <c r="GS327" s="109"/>
      <c r="GT327" s="111"/>
      <c r="GU327" s="111"/>
      <c r="GV327" s="165"/>
      <c r="GW327" s="168">
        <f t="shared" si="422"/>
        <v>0</v>
      </c>
      <c r="GX327" s="168">
        <f t="shared" si="430"/>
        <v>0</v>
      </c>
      <c r="GY327" s="168"/>
      <c r="GZ327" s="168"/>
      <c r="HA327" s="111"/>
      <c r="HB327" s="111"/>
      <c r="HC327" s="165"/>
      <c r="HD327" s="109">
        <f t="shared" si="423"/>
        <v>0</v>
      </c>
      <c r="HE327" s="109">
        <f t="shared" si="431"/>
        <v>0</v>
      </c>
      <c r="HF327" s="109"/>
      <c r="HG327" s="109"/>
      <c r="HH327" s="111"/>
      <c r="HI327" s="111"/>
      <c r="HJ327" s="165"/>
      <c r="HK327" s="109">
        <f t="shared" si="424"/>
        <v>0</v>
      </c>
      <c r="HL327" s="109">
        <f t="shared" si="432"/>
        <v>0</v>
      </c>
      <c r="HM327" s="109"/>
      <c r="HN327" s="109"/>
      <c r="HO327" s="111"/>
      <c r="HP327" s="111"/>
      <c r="HQ327" s="165"/>
      <c r="HR327" s="109">
        <f t="shared" si="425"/>
        <v>0</v>
      </c>
      <c r="HS327" s="109">
        <f t="shared" si="433"/>
        <v>0</v>
      </c>
      <c r="HT327" s="109"/>
      <c r="HU327" s="109"/>
      <c r="HV327" s="111"/>
      <c r="HW327" s="111"/>
      <c r="HX327" s="105">
        <f t="shared" si="401"/>
        <v>0</v>
      </c>
      <c r="HY327" s="105">
        <f t="shared" si="401"/>
        <v>0</v>
      </c>
      <c r="HZ327" s="105">
        <f t="shared" si="401"/>
        <v>0</v>
      </c>
      <c r="IA327" s="105">
        <f t="shared" si="445"/>
        <v>0</v>
      </c>
      <c r="IB327" s="109">
        <f t="shared" si="446"/>
        <v>0</v>
      </c>
      <c r="IC327" s="109">
        <f t="shared" si="447"/>
        <v>0</v>
      </c>
      <c r="ID327" s="109">
        <f t="shared" si="448"/>
        <v>0</v>
      </c>
      <c r="IE327" s="109">
        <f t="shared" si="449"/>
        <v>0</v>
      </c>
      <c r="IF327" s="197"/>
      <c r="IG327" s="197"/>
      <c r="IH327" s="197"/>
      <c r="II327" s="197"/>
      <c r="IJ327" s="197"/>
      <c r="IK327" s="197"/>
      <c r="IL327" s="197"/>
      <c r="IM327" s="171"/>
      <c r="IN327" s="171"/>
      <c r="IO327" s="171"/>
      <c r="IP327" s="171"/>
    </row>
    <row r="328" spans="1:250" ht="15" customHeight="1" x14ac:dyDescent="0.3">
      <c r="A328" s="110">
        <f t="shared" si="450"/>
        <v>324</v>
      </c>
      <c r="B328" s="111"/>
      <c r="C328" s="111"/>
      <c r="D328" s="111"/>
      <c r="E328" s="111"/>
      <c r="F328" s="111"/>
      <c r="G328" s="111"/>
      <c r="H328" s="111"/>
      <c r="I328" s="194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75"/>
      <c r="AI328" s="111"/>
      <c r="AJ328" s="111"/>
      <c r="AK328" s="111"/>
      <c r="AL328" s="177"/>
      <c r="AM328" s="176"/>
      <c r="AN328" s="177"/>
      <c r="AO328" s="157"/>
      <c r="AP328" s="158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75"/>
      <c r="BM328" s="111"/>
      <c r="BN328" s="111"/>
      <c r="BO328" s="111"/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1"/>
      <c r="CA328" s="111"/>
      <c r="CB328" s="111"/>
      <c r="CC328" s="178"/>
      <c r="CD328" s="177">
        <f t="shared" si="434"/>
        <v>0</v>
      </c>
      <c r="CE328" s="148"/>
      <c r="CF328" s="111">
        <f t="shared" si="435"/>
        <v>0</v>
      </c>
      <c r="CG328" s="177"/>
      <c r="CH328" s="204"/>
      <c r="CI328" s="148"/>
      <c r="CJ328" s="165"/>
      <c r="CK328" s="165"/>
      <c r="CL328" s="111"/>
      <c r="CM328" s="111"/>
      <c r="CN328" s="165">
        <f t="shared" si="436"/>
        <v>0</v>
      </c>
      <c r="CO328" s="109">
        <f t="shared" si="437"/>
        <v>0</v>
      </c>
      <c r="CP328" s="109">
        <f t="shared" si="438"/>
        <v>0</v>
      </c>
      <c r="CQ328" s="109"/>
      <c r="CR328" s="109"/>
      <c r="CS328" s="196"/>
      <c r="CT328" s="167"/>
      <c r="CU328" s="165"/>
      <c r="CV328" s="109">
        <f t="shared" si="439"/>
        <v>0</v>
      </c>
      <c r="CW328" s="109">
        <f t="shared" si="440"/>
        <v>0</v>
      </c>
      <c r="CX328" s="109"/>
      <c r="CY328" s="109"/>
      <c r="CZ328" s="111"/>
      <c r="DA328" s="111"/>
      <c r="DB328" s="165"/>
      <c r="DC328" s="109">
        <f t="shared" si="441"/>
        <v>0</v>
      </c>
      <c r="DD328" s="109">
        <f t="shared" si="442"/>
        <v>0</v>
      </c>
      <c r="DE328" s="109"/>
      <c r="DF328" s="109"/>
      <c r="DG328" s="111"/>
      <c r="DH328" s="111"/>
      <c r="DI328" s="165"/>
      <c r="DJ328" s="109">
        <f t="shared" si="443"/>
        <v>0</v>
      </c>
      <c r="DK328" s="109">
        <f t="shared" si="444"/>
        <v>0</v>
      </c>
      <c r="DL328" s="109"/>
      <c r="DM328" s="109"/>
      <c r="DN328" s="111"/>
      <c r="DO328" s="111"/>
      <c r="DP328" s="165"/>
      <c r="DQ328" s="109">
        <f t="shared" si="402"/>
        <v>0</v>
      </c>
      <c r="DR328" s="109">
        <f t="shared" si="403"/>
        <v>0</v>
      </c>
      <c r="DS328" s="109"/>
      <c r="DT328" s="109"/>
      <c r="DU328" s="111"/>
      <c r="DV328" s="111"/>
      <c r="DW328" s="165"/>
      <c r="DX328" s="109">
        <f t="shared" si="404"/>
        <v>0</v>
      </c>
      <c r="DY328" s="109">
        <f t="shared" si="405"/>
        <v>0</v>
      </c>
      <c r="DZ328" s="109"/>
      <c r="EA328" s="109"/>
      <c r="EB328" s="111"/>
      <c r="EC328" s="111"/>
      <c r="ED328" s="165"/>
      <c r="EE328" s="109">
        <f t="shared" si="406"/>
        <v>0</v>
      </c>
      <c r="EF328" s="109">
        <f t="shared" si="407"/>
        <v>0</v>
      </c>
      <c r="EG328" s="109"/>
      <c r="EH328" s="109"/>
      <c r="EI328" s="111"/>
      <c r="EJ328" s="111"/>
      <c r="EK328" s="165"/>
      <c r="EL328" s="109">
        <f t="shared" si="408"/>
        <v>0</v>
      </c>
      <c r="EM328" s="109">
        <f t="shared" si="409"/>
        <v>0</v>
      </c>
      <c r="EN328" s="109"/>
      <c r="EO328" s="109"/>
      <c r="EP328" s="111"/>
      <c r="EQ328" s="111"/>
      <c r="ER328" s="165"/>
      <c r="ES328" s="109">
        <f t="shared" si="410"/>
        <v>0</v>
      </c>
      <c r="ET328" s="109">
        <f t="shared" si="411"/>
        <v>0</v>
      </c>
      <c r="EU328" s="109"/>
      <c r="EV328" s="109"/>
      <c r="EW328" s="111"/>
      <c r="EX328" s="111"/>
      <c r="EY328" s="165"/>
      <c r="EZ328" s="109">
        <f t="shared" si="412"/>
        <v>0</v>
      </c>
      <c r="FA328" s="109">
        <f t="shared" si="413"/>
        <v>0</v>
      </c>
      <c r="FB328" s="109"/>
      <c r="FC328" s="109"/>
      <c r="FD328" s="111"/>
      <c r="FE328" s="111"/>
      <c r="FF328" s="165"/>
      <c r="FG328" s="109">
        <f t="shared" si="414"/>
        <v>0</v>
      </c>
      <c r="FH328" s="109">
        <f t="shared" si="415"/>
        <v>0</v>
      </c>
      <c r="FI328" s="109"/>
      <c r="FJ328" s="109"/>
      <c r="FK328" s="111"/>
      <c r="FL328" s="111"/>
      <c r="FM328" s="165"/>
      <c r="FN328" s="109">
        <f t="shared" si="416"/>
        <v>0</v>
      </c>
      <c r="FO328" s="109">
        <f t="shared" si="417"/>
        <v>0</v>
      </c>
      <c r="FP328" s="109"/>
      <c r="FQ328" s="109"/>
      <c r="FR328" s="111"/>
      <c r="FS328" s="111"/>
      <c r="FT328" s="165"/>
      <c r="FU328" s="109">
        <f t="shared" si="418"/>
        <v>0</v>
      </c>
      <c r="FV328" s="109">
        <f t="shared" si="426"/>
        <v>0</v>
      </c>
      <c r="FW328" s="109"/>
      <c r="FX328" s="109"/>
      <c r="FY328" s="111"/>
      <c r="FZ328" s="111"/>
      <c r="GA328" s="165"/>
      <c r="GB328" s="109">
        <f t="shared" si="419"/>
        <v>0</v>
      </c>
      <c r="GC328" s="109">
        <f t="shared" si="427"/>
        <v>0</v>
      </c>
      <c r="GD328" s="109"/>
      <c r="GE328" s="109"/>
      <c r="GF328" s="111"/>
      <c r="GG328" s="111"/>
      <c r="GH328" s="165"/>
      <c r="GI328" s="109">
        <f t="shared" si="420"/>
        <v>0</v>
      </c>
      <c r="GJ328" s="109">
        <f t="shared" si="428"/>
        <v>0</v>
      </c>
      <c r="GK328" s="109"/>
      <c r="GL328" s="109"/>
      <c r="GM328" s="111"/>
      <c r="GN328" s="111"/>
      <c r="GO328" s="165"/>
      <c r="GP328" s="109">
        <f t="shared" si="421"/>
        <v>0</v>
      </c>
      <c r="GQ328" s="109">
        <f t="shared" si="429"/>
        <v>0</v>
      </c>
      <c r="GR328" s="109"/>
      <c r="GS328" s="109"/>
      <c r="GT328" s="111"/>
      <c r="GU328" s="111"/>
      <c r="GV328" s="165"/>
      <c r="GW328" s="168">
        <f t="shared" si="422"/>
        <v>0</v>
      </c>
      <c r="GX328" s="168">
        <f t="shared" si="430"/>
        <v>0</v>
      </c>
      <c r="GY328" s="168"/>
      <c r="GZ328" s="168"/>
      <c r="HA328" s="111"/>
      <c r="HB328" s="111"/>
      <c r="HC328" s="165"/>
      <c r="HD328" s="109">
        <f t="shared" si="423"/>
        <v>0</v>
      </c>
      <c r="HE328" s="109">
        <f t="shared" si="431"/>
        <v>0</v>
      </c>
      <c r="HF328" s="109"/>
      <c r="HG328" s="109"/>
      <c r="HH328" s="111"/>
      <c r="HI328" s="111"/>
      <c r="HJ328" s="165"/>
      <c r="HK328" s="109">
        <f t="shared" si="424"/>
        <v>0</v>
      </c>
      <c r="HL328" s="109">
        <f t="shared" si="432"/>
        <v>0</v>
      </c>
      <c r="HM328" s="109"/>
      <c r="HN328" s="109"/>
      <c r="HO328" s="111"/>
      <c r="HP328" s="111"/>
      <c r="HQ328" s="165"/>
      <c r="HR328" s="109">
        <f t="shared" si="425"/>
        <v>0</v>
      </c>
      <c r="HS328" s="109">
        <f t="shared" si="433"/>
        <v>0</v>
      </c>
      <c r="HT328" s="109"/>
      <c r="HU328" s="109"/>
      <c r="HV328" s="111"/>
      <c r="HW328" s="111"/>
      <c r="HX328" s="105">
        <f t="shared" ref="HX328:HZ391" si="451">CO328+CV328+DC328+DJ328+DQ328+DX328+EE328+EL328+ES328+EZ328+FG328+FN328+FU328+GB328+GI328+GP328+GW328+HD328+HK328+HR328</f>
        <v>0</v>
      </c>
      <c r="HY328" s="105">
        <f t="shared" si="451"/>
        <v>0</v>
      </c>
      <c r="HZ328" s="105">
        <f t="shared" si="451"/>
        <v>0</v>
      </c>
      <c r="IA328" s="105">
        <f t="shared" si="445"/>
        <v>0</v>
      </c>
      <c r="IB328" s="109">
        <f t="shared" si="446"/>
        <v>0</v>
      </c>
      <c r="IC328" s="109">
        <f t="shared" si="447"/>
        <v>0</v>
      </c>
      <c r="ID328" s="109">
        <f t="shared" si="448"/>
        <v>0</v>
      </c>
      <c r="IE328" s="109">
        <f t="shared" si="449"/>
        <v>0</v>
      </c>
      <c r="IF328" s="197"/>
      <c r="IG328" s="197"/>
      <c r="IH328" s="197"/>
      <c r="II328" s="197"/>
      <c r="IJ328" s="197"/>
      <c r="IK328" s="197"/>
      <c r="IL328" s="197"/>
      <c r="IM328" s="171"/>
      <c r="IN328" s="171"/>
      <c r="IO328" s="171"/>
      <c r="IP328" s="171"/>
    </row>
    <row r="329" spans="1:250" ht="15" customHeight="1" x14ac:dyDescent="0.3">
      <c r="A329" s="110">
        <f t="shared" si="450"/>
        <v>325</v>
      </c>
      <c r="B329" s="111"/>
      <c r="C329" s="111"/>
      <c r="D329" s="111"/>
      <c r="E329" s="111"/>
      <c r="F329" s="111"/>
      <c r="G329" s="111"/>
      <c r="H329" s="111"/>
      <c r="I329" s="194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75"/>
      <c r="AI329" s="111"/>
      <c r="AJ329" s="111"/>
      <c r="AK329" s="111"/>
      <c r="AL329" s="177"/>
      <c r="AM329" s="176"/>
      <c r="AN329" s="177"/>
      <c r="AO329" s="157"/>
      <c r="AP329" s="158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75"/>
      <c r="BM329" s="111"/>
      <c r="BN329" s="111"/>
      <c r="BO329" s="111"/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1"/>
      <c r="CA329" s="111"/>
      <c r="CB329" s="111"/>
      <c r="CC329" s="178"/>
      <c r="CD329" s="177">
        <f t="shared" si="434"/>
        <v>0</v>
      </c>
      <c r="CE329" s="148"/>
      <c r="CF329" s="111">
        <f t="shared" si="435"/>
        <v>0</v>
      </c>
      <c r="CG329" s="177"/>
      <c r="CH329" s="204"/>
      <c r="CI329" s="148"/>
      <c r="CJ329" s="165"/>
      <c r="CK329" s="165"/>
      <c r="CL329" s="111"/>
      <c r="CM329" s="111"/>
      <c r="CN329" s="165">
        <f t="shared" si="436"/>
        <v>0</v>
      </c>
      <c r="CO329" s="109">
        <f t="shared" si="437"/>
        <v>0</v>
      </c>
      <c r="CP329" s="109">
        <f t="shared" si="438"/>
        <v>0</v>
      </c>
      <c r="CQ329" s="109"/>
      <c r="CR329" s="109"/>
      <c r="CS329" s="196"/>
      <c r="CT329" s="167"/>
      <c r="CU329" s="165"/>
      <c r="CV329" s="109">
        <f t="shared" si="439"/>
        <v>0</v>
      </c>
      <c r="CW329" s="109">
        <f t="shared" si="440"/>
        <v>0</v>
      </c>
      <c r="CX329" s="109"/>
      <c r="CY329" s="109"/>
      <c r="CZ329" s="111"/>
      <c r="DA329" s="111"/>
      <c r="DB329" s="165"/>
      <c r="DC329" s="109">
        <f t="shared" si="441"/>
        <v>0</v>
      </c>
      <c r="DD329" s="109">
        <f t="shared" si="442"/>
        <v>0</v>
      </c>
      <c r="DE329" s="109"/>
      <c r="DF329" s="109"/>
      <c r="DG329" s="111"/>
      <c r="DH329" s="111"/>
      <c r="DI329" s="165"/>
      <c r="DJ329" s="109">
        <f t="shared" si="443"/>
        <v>0</v>
      </c>
      <c r="DK329" s="109">
        <f t="shared" si="444"/>
        <v>0</v>
      </c>
      <c r="DL329" s="109"/>
      <c r="DM329" s="109"/>
      <c r="DN329" s="111"/>
      <c r="DO329" s="111"/>
      <c r="DP329" s="165"/>
      <c r="DQ329" s="109">
        <f t="shared" si="402"/>
        <v>0</v>
      </c>
      <c r="DR329" s="109">
        <f t="shared" si="403"/>
        <v>0</v>
      </c>
      <c r="DS329" s="109"/>
      <c r="DT329" s="109"/>
      <c r="DU329" s="111"/>
      <c r="DV329" s="111"/>
      <c r="DW329" s="165"/>
      <c r="DX329" s="109">
        <f t="shared" si="404"/>
        <v>0</v>
      </c>
      <c r="DY329" s="109">
        <f t="shared" si="405"/>
        <v>0</v>
      </c>
      <c r="DZ329" s="109"/>
      <c r="EA329" s="109"/>
      <c r="EB329" s="111"/>
      <c r="EC329" s="111"/>
      <c r="ED329" s="165"/>
      <c r="EE329" s="109">
        <f t="shared" si="406"/>
        <v>0</v>
      </c>
      <c r="EF329" s="109">
        <f t="shared" si="407"/>
        <v>0</v>
      </c>
      <c r="EG329" s="109"/>
      <c r="EH329" s="109"/>
      <c r="EI329" s="111"/>
      <c r="EJ329" s="111"/>
      <c r="EK329" s="165"/>
      <c r="EL329" s="109">
        <f t="shared" si="408"/>
        <v>0</v>
      </c>
      <c r="EM329" s="109">
        <f t="shared" si="409"/>
        <v>0</v>
      </c>
      <c r="EN329" s="109"/>
      <c r="EO329" s="109"/>
      <c r="EP329" s="111"/>
      <c r="EQ329" s="111"/>
      <c r="ER329" s="165"/>
      <c r="ES329" s="109">
        <f t="shared" si="410"/>
        <v>0</v>
      </c>
      <c r="ET329" s="109">
        <f t="shared" si="411"/>
        <v>0</v>
      </c>
      <c r="EU329" s="109"/>
      <c r="EV329" s="109"/>
      <c r="EW329" s="111"/>
      <c r="EX329" s="111"/>
      <c r="EY329" s="165"/>
      <c r="EZ329" s="109">
        <f t="shared" si="412"/>
        <v>0</v>
      </c>
      <c r="FA329" s="109">
        <f t="shared" si="413"/>
        <v>0</v>
      </c>
      <c r="FB329" s="109"/>
      <c r="FC329" s="109"/>
      <c r="FD329" s="111"/>
      <c r="FE329" s="111"/>
      <c r="FF329" s="165"/>
      <c r="FG329" s="109">
        <f t="shared" si="414"/>
        <v>0</v>
      </c>
      <c r="FH329" s="109">
        <f t="shared" si="415"/>
        <v>0</v>
      </c>
      <c r="FI329" s="109"/>
      <c r="FJ329" s="109"/>
      <c r="FK329" s="111"/>
      <c r="FL329" s="111"/>
      <c r="FM329" s="165"/>
      <c r="FN329" s="109">
        <f t="shared" si="416"/>
        <v>0</v>
      </c>
      <c r="FO329" s="109">
        <f t="shared" si="417"/>
        <v>0</v>
      </c>
      <c r="FP329" s="109"/>
      <c r="FQ329" s="109"/>
      <c r="FR329" s="111"/>
      <c r="FS329" s="111"/>
      <c r="FT329" s="165"/>
      <c r="FU329" s="109">
        <f t="shared" si="418"/>
        <v>0</v>
      </c>
      <c r="FV329" s="109">
        <f t="shared" si="426"/>
        <v>0</v>
      </c>
      <c r="FW329" s="109"/>
      <c r="FX329" s="109"/>
      <c r="FY329" s="111"/>
      <c r="FZ329" s="111"/>
      <c r="GA329" s="165"/>
      <c r="GB329" s="109">
        <f t="shared" si="419"/>
        <v>0</v>
      </c>
      <c r="GC329" s="109">
        <f t="shared" si="427"/>
        <v>0</v>
      </c>
      <c r="GD329" s="109"/>
      <c r="GE329" s="109"/>
      <c r="GF329" s="111"/>
      <c r="GG329" s="111"/>
      <c r="GH329" s="165"/>
      <c r="GI329" s="109">
        <f t="shared" si="420"/>
        <v>0</v>
      </c>
      <c r="GJ329" s="109">
        <f t="shared" si="428"/>
        <v>0</v>
      </c>
      <c r="GK329" s="109"/>
      <c r="GL329" s="109"/>
      <c r="GM329" s="111"/>
      <c r="GN329" s="111"/>
      <c r="GO329" s="165"/>
      <c r="GP329" s="109">
        <f t="shared" si="421"/>
        <v>0</v>
      </c>
      <c r="GQ329" s="109">
        <f t="shared" si="429"/>
        <v>0</v>
      </c>
      <c r="GR329" s="109"/>
      <c r="GS329" s="109"/>
      <c r="GT329" s="111"/>
      <c r="GU329" s="111"/>
      <c r="GV329" s="165"/>
      <c r="GW329" s="168">
        <f t="shared" si="422"/>
        <v>0</v>
      </c>
      <c r="GX329" s="168">
        <f t="shared" si="430"/>
        <v>0</v>
      </c>
      <c r="GY329" s="168"/>
      <c r="GZ329" s="168"/>
      <c r="HA329" s="111"/>
      <c r="HB329" s="111"/>
      <c r="HC329" s="165"/>
      <c r="HD329" s="109">
        <f t="shared" si="423"/>
        <v>0</v>
      </c>
      <c r="HE329" s="109">
        <f t="shared" si="431"/>
        <v>0</v>
      </c>
      <c r="HF329" s="109"/>
      <c r="HG329" s="109"/>
      <c r="HH329" s="111"/>
      <c r="HI329" s="111"/>
      <c r="HJ329" s="165"/>
      <c r="HK329" s="109">
        <f t="shared" si="424"/>
        <v>0</v>
      </c>
      <c r="HL329" s="109">
        <f t="shared" si="432"/>
        <v>0</v>
      </c>
      <c r="HM329" s="109"/>
      <c r="HN329" s="109"/>
      <c r="HO329" s="111"/>
      <c r="HP329" s="111"/>
      <c r="HQ329" s="165"/>
      <c r="HR329" s="109">
        <f t="shared" si="425"/>
        <v>0</v>
      </c>
      <c r="HS329" s="109">
        <f t="shared" si="433"/>
        <v>0</v>
      </c>
      <c r="HT329" s="109"/>
      <c r="HU329" s="109"/>
      <c r="HV329" s="111"/>
      <c r="HW329" s="111"/>
      <c r="HX329" s="105">
        <f t="shared" si="451"/>
        <v>0</v>
      </c>
      <c r="HY329" s="105">
        <f t="shared" si="451"/>
        <v>0</v>
      </c>
      <c r="HZ329" s="105">
        <f t="shared" si="451"/>
        <v>0</v>
      </c>
      <c r="IA329" s="105">
        <f t="shared" si="445"/>
        <v>0</v>
      </c>
      <c r="IB329" s="109">
        <f t="shared" si="446"/>
        <v>0</v>
      </c>
      <c r="IC329" s="109">
        <f t="shared" si="447"/>
        <v>0</v>
      </c>
      <c r="ID329" s="109">
        <f t="shared" si="448"/>
        <v>0</v>
      </c>
      <c r="IE329" s="109">
        <f t="shared" si="449"/>
        <v>0</v>
      </c>
      <c r="IF329" s="197"/>
      <c r="IG329" s="197"/>
      <c r="IH329" s="197"/>
      <c r="II329" s="197"/>
      <c r="IJ329" s="197"/>
      <c r="IK329" s="197"/>
      <c r="IL329" s="197"/>
      <c r="IM329" s="171"/>
      <c r="IN329" s="171"/>
      <c r="IO329" s="171"/>
      <c r="IP329" s="171"/>
    </row>
    <row r="330" spans="1:250" ht="15" customHeight="1" x14ac:dyDescent="0.3">
      <c r="A330" s="110">
        <f t="shared" si="450"/>
        <v>326</v>
      </c>
      <c r="B330" s="111"/>
      <c r="C330" s="111"/>
      <c r="D330" s="111"/>
      <c r="E330" s="111"/>
      <c r="F330" s="111"/>
      <c r="G330" s="111"/>
      <c r="H330" s="111"/>
      <c r="I330" s="194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75"/>
      <c r="AI330" s="111"/>
      <c r="AJ330" s="111"/>
      <c r="AK330" s="111"/>
      <c r="AL330" s="177"/>
      <c r="AM330" s="176"/>
      <c r="AN330" s="177"/>
      <c r="AO330" s="157"/>
      <c r="AP330" s="158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  <c r="BB330" s="111"/>
      <c r="BC330" s="111"/>
      <c r="BD330" s="111"/>
      <c r="BE330" s="111"/>
      <c r="BF330" s="111"/>
      <c r="BG330" s="111"/>
      <c r="BH330" s="111"/>
      <c r="BI330" s="111"/>
      <c r="BJ330" s="111"/>
      <c r="BK330" s="111"/>
      <c r="BL330" s="175"/>
      <c r="BM330" s="111"/>
      <c r="BN330" s="111"/>
      <c r="BO330" s="111"/>
      <c r="BP330" s="111"/>
      <c r="BQ330" s="111"/>
      <c r="BR330" s="111"/>
      <c r="BS330" s="111"/>
      <c r="BT330" s="111"/>
      <c r="BU330" s="111"/>
      <c r="BV330" s="111"/>
      <c r="BW330" s="111"/>
      <c r="BX330" s="111"/>
      <c r="BY330" s="111"/>
      <c r="BZ330" s="111"/>
      <c r="CA330" s="111"/>
      <c r="CB330" s="111"/>
      <c r="CC330" s="178"/>
      <c r="CD330" s="177">
        <f t="shared" si="434"/>
        <v>0</v>
      </c>
      <c r="CE330" s="148"/>
      <c r="CF330" s="111">
        <f t="shared" si="435"/>
        <v>0</v>
      </c>
      <c r="CG330" s="177"/>
      <c r="CH330" s="204"/>
      <c r="CI330" s="148"/>
      <c r="CJ330" s="165"/>
      <c r="CK330" s="165"/>
      <c r="CL330" s="111"/>
      <c r="CM330" s="111"/>
      <c r="CN330" s="165">
        <f t="shared" si="436"/>
        <v>0</v>
      </c>
      <c r="CO330" s="109">
        <f t="shared" si="437"/>
        <v>0</v>
      </c>
      <c r="CP330" s="109">
        <f t="shared" si="438"/>
        <v>0</v>
      </c>
      <c r="CQ330" s="109"/>
      <c r="CR330" s="109"/>
      <c r="CS330" s="196"/>
      <c r="CT330" s="167"/>
      <c r="CU330" s="165"/>
      <c r="CV330" s="109">
        <f t="shared" si="439"/>
        <v>0</v>
      </c>
      <c r="CW330" s="109">
        <f t="shared" si="440"/>
        <v>0</v>
      </c>
      <c r="CX330" s="109"/>
      <c r="CY330" s="109"/>
      <c r="CZ330" s="111"/>
      <c r="DA330" s="111"/>
      <c r="DB330" s="165"/>
      <c r="DC330" s="109">
        <f t="shared" si="441"/>
        <v>0</v>
      </c>
      <c r="DD330" s="109">
        <f t="shared" si="442"/>
        <v>0</v>
      </c>
      <c r="DE330" s="109"/>
      <c r="DF330" s="109"/>
      <c r="DG330" s="111"/>
      <c r="DH330" s="111"/>
      <c r="DI330" s="165"/>
      <c r="DJ330" s="109">
        <f t="shared" si="443"/>
        <v>0</v>
      </c>
      <c r="DK330" s="109">
        <f t="shared" si="444"/>
        <v>0</v>
      </c>
      <c r="DL330" s="109"/>
      <c r="DM330" s="109"/>
      <c r="DN330" s="111"/>
      <c r="DO330" s="111"/>
      <c r="DP330" s="165"/>
      <c r="DQ330" s="109">
        <f t="shared" si="402"/>
        <v>0</v>
      </c>
      <c r="DR330" s="109">
        <f t="shared" si="403"/>
        <v>0</v>
      </c>
      <c r="DS330" s="109"/>
      <c r="DT330" s="109"/>
      <c r="DU330" s="111"/>
      <c r="DV330" s="111"/>
      <c r="DW330" s="165"/>
      <c r="DX330" s="109">
        <f t="shared" si="404"/>
        <v>0</v>
      </c>
      <c r="DY330" s="109">
        <f t="shared" si="405"/>
        <v>0</v>
      </c>
      <c r="DZ330" s="109"/>
      <c r="EA330" s="109"/>
      <c r="EB330" s="111"/>
      <c r="EC330" s="111"/>
      <c r="ED330" s="165"/>
      <c r="EE330" s="109">
        <f t="shared" si="406"/>
        <v>0</v>
      </c>
      <c r="EF330" s="109">
        <f t="shared" si="407"/>
        <v>0</v>
      </c>
      <c r="EG330" s="109"/>
      <c r="EH330" s="109"/>
      <c r="EI330" s="111"/>
      <c r="EJ330" s="111"/>
      <c r="EK330" s="165"/>
      <c r="EL330" s="109">
        <f t="shared" si="408"/>
        <v>0</v>
      </c>
      <c r="EM330" s="109">
        <f t="shared" si="409"/>
        <v>0</v>
      </c>
      <c r="EN330" s="109"/>
      <c r="EO330" s="109"/>
      <c r="EP330" s="111"/>
      <c r="EQ330" s="111"/>
      <c r="ER330" s="165"/>
      <c r="ES330" s="109">
        <f t="shared" si="410"/>
        <v>0</v>
      </c>
      <c r="ET330" s="109">
        <f t="shared" si="411"/>
        <v>0</v>
      </c>
      <c r="EU330" s="109"/>
      <c r="EV330" s="109"/>
      <c r="EW330" s="111"/>
      <c r="EX330" s="111"/>
      <c r="EY330" s="165"/>
      <c r="EZ330" s="109">
        <f t="shared" si="412"/>
        <v>0</v>
      </c>
      <c r="FA330" s="109">
        <f t="shared" si="413"/>
        <v>0</v>
      </c>
      <c r="FB330" s="109"/>
      <c r="FC330" s="109"/>
      <c r="FD330" s="111"/>
      <c r="FE330" s="111"/>
      <c r="FF330" s="165"/>
      <c r="FG330" s="109">
        <f t="shared" si="414"/>
        <v>0</v>
      </c>
      <c r="FH330" s="109">
        <f t="shared" si="415"/>
        <v>0</v>
      </c>
      <c r="FI330" s="109"/>
      <c r="FJ330" s="109"/>
      <c r="FK330" s="111"/>
      <c r="FL330" s="111"/>
      <c r="FM330" s="165"/>
      <c r="FN330" s="109">
        <f t="shared" si="416"/>
        <v>0</v>
      </c>
      <c r="FO330" s="109">
        <f t="shared" si="417"/>
        <v>0</v>
      </c>
      <c r="FP330" s="109"/>
      <c r="FQ330" s="109"/>
      <c r="FR330" s="111"/>
      <c r="FS330" s="111"/>
      <c r="FT330" s="165"/>
      <c r="FU330" s="109">
        <f t="shared" si="418"/>
        <v>0</v>
      </c>
      <c r="FV330" s="109">
        <f t="shared" si="426"/>
        <v>0</v>
      </c>
      <c r="FW330" s="109"/>
      <c r="FX330" s="109"/>
      <c r="FY330" s="111"/>
      <c r="FZ330" s="111"/>
      <c r="GA330" s="165"/>
      <c r="GB330" s="109">
        <f t="shared" si="419"/>
        <v>0</v>
      </c>
      <c r="GC330" s="109">
        <f t="shared" si="427"/>
        <v>0</v>
      </c>
      <c r="GD330" s="109"/>
      <c r="GE330" s="109"/>
      <c r="GF330" s="111"/>
      <c r="GG330" s="111"/>
      <c r="GH330" s="165"/>
      <c r="GI330" s="109">
        <f t="shared" si="420"/>
        <v>0</v>
      </c>
      <c r="GJ330" s="109">
        <f t="shared" si="428"/>
        <v>0</v>
      </c>
      <c r="GK330" s="109"/>
      <c r="GL330" s="109"/>
      <c r="GM330" s="111"/>
      <c r="GN330" s="111"/>
      <c r="GO330" s="165"/>
      <c r="GP330" s="109">
        <f t="shared" si="421"/>
        <v>0</v>
      </c>
      <c r="GQ330" s="109">
        <f t="shared" si="429"/>
        <v>0</v>
      </c>
      <c r="GR330" s="109"/>
      <c r="GS330" s="109"/>
      <c r="GT330" s="111"/>
      <c r="GU330" s="111"/>
      <c r="GV330" s="165"/>
      <c r="GW330" s="168">
        <f t="shared" si="422"/>
        <v>0</v>
      </c>
      <c r="GX330" s="168">
        <f t="shared" si="430"/>
        <v>0</v>
      </c>
      <c r="GY330" s="168"/>
      <c r="GZ330" s="168"/>
      <c r="HA330" s="111"/>
      <c r="HB330" s="111"/>
      <c r="HC330" s="165"/>
      <c r="HD330" s="109">
        <f t="shared" si="423"/>
        <v>0</v>
      </c>
      <c r="HE330" s="109">
        <f t="shared" si="431"/>
        <v>0</v>
      </c>
      <c r="HF330" s="109"/>
      <c r="HG330" s="109"/>
      <c r="HH330" s="111"/>
      <c r="HI330" s="111"/>
      <c r="HJ330" s="165"/>
      <c r="HK330" s="109">
        <f t="shared" si="424"/>
        <v>0</v>
      </c>
      <c r="HL330" s="109">
        <f t="shared" si="432"/>
        <v>0</v>
      </c>
      <c r="HM330" s="109"/>
      <c r="HN330" s="109"/>
      <c r="HO330" s="111"/>
      <c r="HP330" s="111"/>
      <c r="HQ330" s="165"/>
      <c r="HR330" s="109">
        <f t="shared" si="425"/>
        <v>0</v>
      </c>
      <c r="HS330" s="109">
        <f t="shared" si="433"/>
        <v>0</v>
      </c>
      <c r="HT330" s="109"/>
      <c r="HU330" s="109"/>
      <c r="HV330" s="111"/>
      <c r="HW330" s="111"/>
      <c r="HX330" s="105">
        <f t="shared" si="451"/>
        <v>0</v>
      </c>
      <c r="HY330" s="105">
        <f t="shared" si="451"/>
        <v>0</v>
      </c>
      <c r="HZ330" s="105">
        <f t="shared" si="451"/>
        <v>0</v>
      </c>
      <c r="IA330" s="105">
        <f t="shared" si="445"/>
        <v>0</v>
      </c>
      <c r="IB330" s="109">
        <f t="shared" si="446"/>
        <v>0</v>
      </c>
      <c r="IC330" s="109">
        <f t="shared" si="447"/>
        <v>0</v>
      </c>
      <c r="ID330" s="109">
        <f t="shared" si="448"/>
        <v>0</v>
      </c>
      <c r="IE330" s="109">
        <f t="shared" si="449"/>
        <v>0</v>
      </c>
      <c r="IF330" s="197"/>
      <c r="IG330" s="197"/>
      <c r="IH330" s="197"/>
      <c r="II330" s="197"/>
      <c r="IJ330" s="197"/>
      <c r="IK330" s="197"/>
      <c r="IL330" s="197"/>
      <c r="IM330" s="171"/>
      <c r="IN330" s="171"/>
      <c r="IO330" s="171"/>
      <c r="IP330" s="171"/>
    </row>
    <row r="331" spans="1:250" ht="15" customHeight="1" x14ac:dyDescent="0.3">
      <c r="A331" s="110">
        <f t="shared" si="450"/>
        <v>327</v>
      </c>
      <c r="B331" s="111"/>
      <c r="C331" s="111"/>
      <c r="D331" s="111"/>
      <c r="E331" s="111"/>
      <c r="F331" s="111"/>
      <c r="G331" s="111"/>
      <c r="H331" s="111"/>
      <c r="I331" s="194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75"/>
      <c r="AI331" s="111"/>
      <c r="AJ331" s="111"/>
      <c r="AK331" s="111"/>
      <c r="AL331" s="177"/>
      <c r="AM331" s="176"/>
      <c r="AN331" s="177"/>
      <c r="AO331" s="157"/>
      <c r="AP331" s="158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75"/>
      <c r="BM331" s="111"/>
      <c r="BN331" s="111"/>
      <c r="BO331" s="111"/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1"/>
      <c r="CA331" s="111"/>
      <c r="CB331" s="111"/>
      <c r="CC331" s="178"/>
      <c r="CD331" s="177">
        <f t="shared" si="434"/>
        <v>0</v>
      </c>
      <c r="CE331" s="148"/>
      <c r="CF331" s="111">
        <f t="shared" si="435"/>
        <v>0</v>
      </c>
      <c r="CG331" s="177"/>
      <c r="CH331" s="204"/>
      <c r="CI331" s="148"/>
      <c r="CJ331" s="165"/>
      <c r="CK331" s="165"/>
      <c r="CL331" s="111"/>
      <c r="CM331" s="111"/>
      <c r="CN331" s="165">
        <f t="shared" si="436"/>
        <v>0</v>
      </c>
      <c r="CO331" s="109">
        <f t="shared" si="437"/>
        <v>0</v>
      </c>
      <c r="CP331" s="109">
        <f t="shared" si="438"/>
        <v>0</v>
      </c>
      <c r="CQ331" s="109"/>
      <c r="CR331" s="109"/>
      <c r="CS331" s="196"/>
      <c r="CT331" s="167"/>
      <c r="CU331" s="165"/>
      <c r="CV331" s="109">
        <f t="shared" si="439"/>
        <v>0</v>
      </c>
      <c r="CW331" s="109">
        <f t="shared" si="440"/>
        <v>0</v>
      </c>
      <c r="CX331" s="109"/>
      <c r="CY331" s="109"/>
      <c r="CZ331" s="111"/>
      <c r="DA331" s="111"/>
      <c r="DB331" s="165"/>
      <c r="DC331" s="109">
        <f t="shared" si="441"/>
        <v>0</v>
      </c>
      <c r="DD331" s="109">
        <f t="shared" si="442"/>
        <v>0</v>
      </c>
      <c r="DE331" s="109"/>
      <c r="DF331" s="109"/>
      <c r="DG331" s="111"/>
      <c r="DH331" s="111"/>
      <c r="DI331" s="165"/>
      <c r="DJ331" s="109">
        <f t="shared" si="443"/>
        <v>0</v>
      </c>
      <c r="DK331" s="109">
        <f t="shared" si="444"/>
        <v>0</v>
      </c>
      <c r="DL331" s="109"/>
      <c r="DM331" s="109"/>
      <c r="DN331" s="111"/>
      <c r="DO331" s="111"/>
      <c r="DP331" s="165"/>
      <c r="DQ331" s="109">
        <f t="shared" si="402"/>
        <v>0</v>
      </c>
      <c r="DR331" s="109">
        <f t="shared" si="403"/>
        <v>0</v>
      </c>
      <c r="DS331" s="109"/>
      <c r="DT331" s="109"/>
      <c r="DU331" s="111"/>
      <c r="DV331" s="111"/>
      <c r="DW331" s="165"/>
      <c r="DX331" s="109">
        <f t="shared" si="404"/>
        <v>0</v>
      </c>
      <c r="DY331" s="109">
        <f t="shared" si="405"/>
        <v>0</v>
      </c>
      <c r="DZ331" s="109"/>
      <c r="EA331" s="109"/>
      <c r="EB331" s="111"/>
      <c r="EC331" s="111"/>
      <c r="ED331" s="165"/>
      <c r="EE331" s="109">
        <f t="shared" si="406"/>
        <v>0</v>
      </c>
      <c r="EF331" s="109">
        <f t="shared" si="407"/>
        <v>0</v>
      </c>
      <c r="EG331" s="109"/>
      <c r="EH331" s="109"/>
      <c r="EI331" s="111"/>
      <c r="EJ331" s="111"/>
      <c r="EK331" s="165"/>
      <c r="EL331" s="109">
        <f t="shared" si="408"/>
        <v>0</v>
      </c>
      <c r="EM331" s="109">
        <f t="shared" si="409"/>
        <v>0</v>
      </c>
      <c r="EN331" s="109"/>
      <c r="EO331" s="109"/>
      <c r="EP331" s="111"/>
      <c r="EQ331" s="111"/>
      <c r="ER331" s="165"/>
      <c r="ES331" s="109">
        <f t="shared" si="410"/>
        <v>0</v>
      </c>
      <c r="ET331" s="109">
        <f t="shared" si="411"/>
        <v>0</v>
      </c>
      <c r="EU331" s="109"/>
      <c r="EV331" s="109"/>
      <c r="EW331" s="111"/>
      <c r="EX331" s="111"/>
      <c r="EY331" s="165"/>
      <c r="EZ331" s="109">
        <f t="shared" si="412"/>
        <v>0</v>
      </c>
      <c r="FA331" s="109">
        <f t="shared" si="413"/>
        <v>0</v>
      </c>
      <c r="FB331" s="109"/>
      <c r="FC331" s="109"/>
      <c r="FD331" s="111"/>
      <c r="FE331" s="111"/>
      <c r="FF331" s="165"/>
      <c r="FG331" s="109">
        <f t="shared" si="414"/>
        <v>0</v>
      </c>
      <c r="FH331" s="109">
        <f t="shared" si="415"/>
        <v>0</v>
      </c>
      <c r="FI331" s="109"/>
      <c r="FJ331" s="109"/>
      <c r="FK331" s="111"/>
      <c r="FL331" s="111"/>
      <c r="FM331" s="165"/>
      <c r="FN331" s="109">
        <f t="shared" si="416"/>
        <v>0</v>
      </c>
      <c r="FO331" s="109">
        <f t="shared" si="417"/>
        <v>0</v>
      </c>
      <c r="FP331" s="109"/>
      <c r="FQ331" s="109"/>
      <c r="FR331" s="111"/>
      <c r="FS331" s="111"/>
      <c r="FT331" s="165"/>
      <c r="FU331" s="109">
        <f t="shared" si="418"/>
        <v>0</v>
      </c>
      <c r="FV331" s="109">
        <f t="shared" si="426"/>
        <v>0</v>
      </c>
      <c r="FW331" s="109"/>
      <c r="FX331" s="109"/>
      <c r="FY331" s="111"/>
      <c r="FZ331" s="111"/>
      <c r="GA331" s="165"/>
      <c r="GB331" s="109">
        <f t="shared" si="419"/>
        <v>0</v>
      </c>
      <c r="GC331" s="109">
        <f t="shared" si="427"/>
        <v>0</v>
      </c>
      <c r="GD331" s="109"/>
      <c r="GE331" s="109"/>
      <c r="GF331" s="111"/>
      <c r="GG331" s="111"/>
      <c r="GH331" s="165"/>
      <c r="GI331" s="109">
        <f t="shared" si="420"/>
        <v>0</v>
      </c>
      <c r="GJ331" s="109">
        <f t="shared" si="428"/>
        <v>0</v>
      </c>
      <c r="GK331" s="109"/>
      <c r="GL331" s="109"/>
      <c r="GM331" s="111"/>
      <c r="GN331" s="111"/>
      <c r="GO331" s="165"/>
      <c r="GP331" s="109">
        <f t="shared" si="421"/>
        <v>0</v>
      </c>
      <c r="GQ331" s="109">
        <f t="shared" si="429"/>
        <v>0</v>
      </c>
      <c r="GR331" s="109"/>
      <c r="GS331" s="109"/>
      <c r="GT331" s="111"/>
      <c r="GU331" s="111"/>
      <c r="GV331" s="165"/>
      <c r="GW331" s="168">
        <f t="shared" si="422"/>
        <v>0</v>
      </c>
      <c r="GX331" s="168">
        <f t="shared" si="430"/>
        <v>0</v>
      </c>
      <c r="GY331" s="168"/>
      <c r="GZ331" s="168"/>
      <c r="HA331" s="111"/>
      <c r="HB331" s="111"/>
      <c r="HC331" s="165"/>
      <c r="HD331" s="109">
        <f t="shared" si="423"/>
        <v>0</v>
      </c>
      <c r="HE331" s="109">
        <f t="shared" si="431"/>
        <v>0</v>
      </c>
      <c r="HF331" s="109"/>
      <c r="HG331" s="109"/>
      <c r="HH331" s="111"/>
      <c r="HI331" s="111"/>
      <c r="HJ331" s="165"/>
      <c r="HK331" s="109">
        <f t="shared" si="424"/>
        <v>0</v>
      </c>
      <c r="HL331" s="109">
        <f t="shared" si="432"/>
        <v>0</v>
      </c>
      <c r="HM331" s="109"/>
      <c r="HN331" s="109"/>
      <c r="HO331" s="111"/>
      <c r="HP331" s="111"/>
      <c r="HQ331" s="165"/>
      <c r="HR331" s="109">
        <f t="shared" si="425"/>
        <v>0</v>
      </c>
      <c r="HS331" s="109">
        <f t="shared" si="433"/>
        <v>0</v>
      </c>
      <c r="HT331" s="109"/>
      <c r="HU331" s="109"/>
      <c r="HV331" s="111"/>
      <c r="HW331" s="111"/>
      <c r="HX331" s="105">
        <f t="shared" si="451"/>
        <v>0</v>
      </c>
      <c r="HY331" s="105">
        <f t="shared" si="451"/>
        <v>0</v>
      </c>
      <c r="HZ331" s="105">
        <f t="shared" si="451"/>
        <v>0</v>
      </c>
      <c r="IA331" s="105">
        <f t="shared" si="445"/>
        <v>0</v>
      </c>
      <c r="IB331" s="109">
        <f t="shared" si="446"/>
        <v>0</v>
      </c>
      <c r="IC331" s="109">
        <f t="shared" si="447"/>
        <v>0</v>
      </c>
      <c r="ID331" s="109">
        <f t="shared" si="448"/>
        <v>0</v>
      </c>
      <c r="IE331" s="109">
        <f t="shared" si="449"/>
        <v>0</v>
      </c>
      <c r="IF331" s="197"/>
      <c r="IG331" s="197"/>
      <c r="IH331" s="197"/>
      <c r="II331" s="197"/>
      <c r="IJ331" s="197"/>
      <c r="IK331" s="197"/>
      <c r="IL331" s="197"/>
      <c r="IM331" s="171"/>
      <c r="IN331" s="171"/>
      <c r="IO331" s="171"/>
      <c r="IP331" s="171"/>
    </row>
    <row r="332" spans="1:250" ht="15" customHeight="1" x14ac:dyDescent="0.3">
      <c r="A332" s="110">
        <f t="shared" si="450"/>
        <v>328</v>
      </c>
      <c r="B332" s="111"/>
      <c r="C332" s="111"/>
      <c r="D332" s="111"/>
      <c r="E332" s="111"/>
      <c r="F332" s="111"/>
      <c r="G332" s="111"/>
      <c r="H332" s="111"/>
      <c r="I332" s="194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75"/>
      <c r="AI332" s="111"/>
      <c r="AJ332" s="111"/>
      <c r="AK332" s="111"/>
      <c r="AL332" s="177"/>
      <c r="AM332" s="176"/>
      <c r="AN332" s="177"/>
      <c r="AO332" s="157"/>
      <c r="AP332" s="158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  <c r="BG332" s="111"/>
      <c r="BH332" s="111"/>
      <c r="BI332" s="111"/>
      <c r="BJ332" s="111"/>
      <c r="BK332" s="111"/>
      <c r="BL332" s="175"/>
      <c r="BM332" s="111"/>
      <c r="BN332" s="111"/>
      <c r="BO332" s="111"/>
      <c r="BP332" s="111"/>
      <c r="BQ332" s="111"/>
      <c r="BR332" s="111"/>
      <c r="BS332" s="111"/>
      <c r="BT332" s="111"/>
      <c r="BU332" s="111"/>
      <c r="BV332" s="111"/>
      <c r="BW332" s="111"/>
      <c r="BX332" s="111"/>
      <c r="BY332" s="111"/>
      <c r="BZ332" s="111"/>
      <c r="CA332" s="111"/>
      <c r="CB332" s="111"/>
      <c r="CC332" s="178"/>
      <c r="CD332" s="177">
        <f t="shared" si="434"/>
        <v>0</v>
      </c>
      <c r="CE332" s="148"/>
      <c r="CF332" s="111">
        <f t="shared" si="435"/>
        <v>0</v>
      </c>
      <c r="CG332" s="177"/>
      <c r="CH332" s="204"/>
      <c r="CI332" s="148"/>
      <c r="CJ332" s="165"/>
      <c r="CK332" s="165"/>
      <c r="CL332" s="111"/>
      <c r="CM332" s="111"/>
      <c r="CN332" s="165">
        <f t="shared" si="436"/>
        <v>0</v>
      </c>
      <c r="CO332" s="109">
        <f t="shared" si="437"/>
        <v>0</v>
      </c>
      <c r="CP332" s="109">
        <f t="shared" si="438"/>
        <v>0</v>
      </c>
      <c r="CQ332" s="109"/>
      <c r="CR332" s="109"/>
      <c r="CS332" s="196"/>
      <c r="CT332" s="167"/>
      <c r="CU332" s="165"/>
      <c r="CV332" s="109">
        <f t="shared" si="439"/>
        <v>0</v>
      </c>
      <c r="CW332" s="109">
        <f t="shared" si="440"/>
        <v>0</v>
      </c>
      <c r="CX332" s="109"/>
      <c r="CY332" s="109"/>
      <c r="CZ332" s="111"/>
      <c r="DA332" s="111"/>
      <c r="DB332" s="165"/>
      <c r="DC332" s="109">
        <f t="shared" si="441"/>
        <v>0</v>
      </c>
      <c r="DD332" s="109">
        <f t="shared" si="442"/>
        <v>0</v>
      </c>
      <c r="DE332" s="109"/>
      <c r="DF332" s="109"/>
      <c r="DG332" s="111"/>
      <c r="DH332" s="111"/>
      <c r="DI332" s="165"/>
      <c r="DJ332" s="109">
        <f t="shared" si="443"/>
        <v>0</v>
      </c>
      <c r="DK332" s="109">
        <f t="shared" si="444"/>
        <v>0</v>
      </c>
      <c r="DL332" s="109"/>
      <c r="DM332" s="109"/>
      <c r="DN332" s="111"/>
      <c r="DO332" s="111"/>
      <c r="DP332" s="165"/>
      <c r="DQ332" s="109">
        <f t="shared" si="402"/>
        <v>0</v>
      </c>
      <c r="DR332" s="109">
        <f t="shared" si="403"/>
        <v>0</v>
      </c>
      <c r="DS332" s="109"/>
      <c r="DT332" s="109"/>
      <c r="DU332" s="111"/>
      <c r="DV332" s="111"/>
      <c r="DW332" s="165"/>
      <c r="DX332" s="109">
        <f t="shared" si="404"/>
        <v>0</v>
      </c>
      <c r="DY332" s="109">
        <f t="shared" si="405"/>
        <v>0</v>
      </c>
      <c r="DZ332" s="109"/>
      <c r="EA332" s="109"/>
      <c r="EB332" s="111"/>
      <c r="EC332" s="111"/>
      <c r="ED332" s="165"/>
      <c r="EE332" s="109">
        <f t="shared" si="406"/>
        <v>0</v>
      </c>
      <c r="EF332" s="109">
        <f t="shared" si="407"/>
        <v>0</v>
      </c>
      <c r="EG332" s="109"/>
      <c r="EH332" s="109"/>
      <c r="EI332" s="111"/>
      <c r="EJ332" s="111"/>
      <c r="EK332" s="165"/>
      <c r="EL332" s="109">
        <f t="shared" si="408"/>
        <v>0</v>
      </c>
      <c r="EM332" s="109">
        <f t="shared" si="409"/>
        <v>0</v>
      </c>
      <c r="EN332" s="109"/>
      <c r="EO332" s="109"/>
      <c r="EP332" s="111"/>
      <c r="EQ332" s="111"/>
      <c r="ER332" s="165"/>
      <c r="ES332" s="109">
        <f t="shared" si="410"/>
        <v>0</v>
      </c>
      <c r="ET332" s="109">
        <f t="shared" si="411"/>
        <v>0</v>
      </c>
      <c r="EU332" s="109"/>
      <c r="EV332" s="109"/>
      <c r="EW332" s="111"/>
      <c r="EX332" s="111"/>
      <c r="EY332" s="165"/>
      <c r="EZ332" s="109">
        <f t="shared" si="412"/>
        <v>0</v>
      </c>
      <c r="FA332" s="109">
        <f t="shared" si="413"/>
        <v>0</v>
      </c>
      <c r="FB332" s="109"/>
      <c r="FC332" s="109"/>
      <c r="FD332" s="111"/>
      <c r="FE332" s="111"/>
      <c r="FF332" s="165"/>
      <c r="FG332" s="109">
        <f t="shared" si="414"/>
        <v>0</v>
      </c>
      <c r="FH332" s="109">
        <f t="shared" si="415"/>
        <v>0</v>
      </c>
      <c r="FI332" s="109"/>
      <c r="FJ332" s="109"/>
      <c r="FK332" s="111"/>
      <c r="FL332" s="111"/>
      <c r="FM332" s="165"/>
      <c r="FN332" s="109">
        <f t="shared" si="416"/>
        <v>0</v>
      </c>
      <c r="FO332" s="109">
        <f t="shared" si="417"/>
        <v>0</v>
      </c>
      <c r="FP332" s="109"/>
      <c r="FQ332" s="109"/>
      <c r="FR332" s="111"/>
      <c r="FS332" s="111"/>
      <c r="FT332" s="165"/>
      <c r="FU332" s="109">
        <f t="shared" si="418"/>
        <v>0</v>
      </c>
      <c r="FV332" s="109">
        <f t="shared" si="426"/>
        <v>0</v>
      </c>
      <c r="FW332" s="109"/>
      <c r="FX332" s="109"/>
      <c r="FY332" s="111"/>
      <c r="FZ332" s="111"/>
      <c r="GA332" s="165"/>
      <c r="GB332" s="109">
        <f t="shared" si="419"/>
        <v>0</v>
      </c>
      <c r="GC332" s="109">
        <f t="shared" si="427"/>
        <v>0</v>
      </c>
      <c r="GD332" s="109"/>
      <c r="GE332" s="109"/>
      <c r="GF332" s="111"/>
      <c r="GG332" s="111"/>
      <c r="GH332" s="165"/>
      <c r="GI332" s="109">
        <f t="shared" si="420"/>
        <v>0</v>
      </c>
      <c r="GJ332" s="109">
        <f t="shared" si="428"/>
        <v>0</v>
      </c>
      <c r="GK332" s="109"/>
      <c r="GL332" s="109"/>
      <c r="GM332" s="111"/>
      <c r="GN332" s="111"/>
      <c r="GO332" s="165"/>
      <c r="GP332" s="109">
        <f t="shared" si="421"/>
        <v>0</v>
      </c>
      <c r="GQ332" s="109">
        <f t="shared" si="429"/>
        <v>0</v>
      </c>
      <c r="GR332" s="109"/>
      <c r="GS332" s="109"/>
      <c r="GT332" s="111"/>
      <c r="GU332" s="111"/>
      <c r="GV332" s="165"/>
      <c r="GW332" s="168">
        <f t="shared" si="422"/>
        <v>0</v>
      </c>
      <c r="GX332" s="168">
        <f t="shared" si="430"/>
        <v>0</v>
      </c>
      <c r="GY332" s="168"/>
      <c r="GZ332" s="168"/>
      <c r="HA332" s="111"/>
      <c r="HB332" s="111"/>
      <c r="HC332" s="165"/>
      <c r="HD332" s="109">
        <f t="shared" si="423"/>
        <v>0</v>
      </c>
      <c r="HE332" s="109">
        <f t="shared" si="431"/>
        <v>0</v>
      </c>
      <c r="HF332" s="109"/>
      <c r="HG332" s="109"/>
      <c r="HH332" s="111"/>
      <c r="HI332" s="111"/>
      <c r="HJ332" s="165"/>
      <c r="HK332" s="109">
        <f t="shared" si="424"/>
        <v>0</v>
      </c>
      <c r="HL332" s="109">
        <f t="shared" si="432"/>
        <v>0</v>
      </c>
      <c r="HM332" s="109"/>
      <c r="HN332" s="109"/>
      <c r="HO332" s="111"/>
      <c r="HP332" s="111"/>
      <c r="HQ332" s="165"/>
      <c r="HR332" s="109">
        <f t="shared" si="425"/>
        <v>0</v>
      </c>
      <c r="HS332" s="109">
        <f t="shared" si="433"/>
        <v>0</v>
      </c>
      <c r="HT332" s="109"/>
      <c r="HU332" s="109"/>
      <c r="HV332" s="111"/>
      <c r="HW332" s="111"/>
      <c r="HX332" s="105">
        <f t="shared" si="451"/>
        <v>0</v>
      </c>
      <c r="HY332" s="105">
        <f t="shared" si="451"/>
        <v>0</v>
      </c>
      <c r="HZ332" s="105">
        <f t="shared" si="451"/>
        <v>0</v>
      </c>
      <c r="IA332" s="105">
        <f t="shared" si="445"/>
        <v>0</v>
      </c>
      <c r="IB332" s="109">
        <f t="shared" si="446"/>
        <v>0</v>
      </c>
      <c r="IC332" s="109">
        <f t="shared" si="447"/>
        <v>0</v>
      </c>
      <c r="ID332" s="109">
        <f t="shared" si="448"/>
        <v>0</v>
      </c>
      <c r="IE332" s="109">
        <f t="shared" si="449"/>
        <v>0</v>
      </c>
      <c r="IF332" s="197"/>
      <c r="IG332" s="197"/>
      <c r="IH332" s="197"/>
      <c r="II332" s="197"/>
      <c r="IJ332" s="197"/>
      <c r="IK332" s="197"/>
      <c r="IL332" s="197"/>
      <c r="IM332" s="171"/>
      <c r="IN332" s="171"/>
      <c r="IO332" s="171"/>
      <c r="IP332" s="171"/>
    </row>
    <row r="333" spans="1:250" ht="15" customHeight="1" x14ac:dyDescent="0.3">
      <c r="A333" s="110">
        <f t="shared" si="450"/>
        <v>329</v>
      </c>
      <c r="B333" s="111"/>
      <c r="C333" s="111"/>
      <c r="D333" s="111"/>
      <c r="E333" s="111"/>
      <c r="F333" s="111"/>
      <c r="G333" s="111"/>
      <c r="H333" s="111"/>
      <c r="I333" s="194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75"/>
      <c r="AI333" s="111"/>
      <c r="AJ333" s="111"/>
      <c r="AK333" s="111"/>
      <c r="AL333" s="177"/>
      <c r="AM333" s="176"/>
      <c r="AN333" s="177"/>
      <c r="AO333" s="157"/>
      <c r="AP333" s="158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  <c r="BG333" s="111"/>
      <c r="BH333" s="111"/>
      <c r="BI333" s="111"/>
      <c r="BJ333" s="111"/>
      <c r="BK333" s="111"/>
      <c r="BL333" s="175"/>
      <c r="BM333" s="111"/>
      <c r="BN333" s="111"/>
      <c r="BO333" s="111"/>
      <c r="BP333" s="111"/>
      <c r="BQ333" s="111"/>
      <c r="BR333" s="111"/>
      <c r="BS333" s="111"/>
      <c r="BT333" s="111"/>
      <c r="BU333" s="111"/>
      <c r="BV333" s="111"/>
      <c r="BW333" s="111"/>
      <c r="BX333" s="111"/>
      <c r="BY333" s="111"/>
      <c r="BZ333" s="111"/>
      <c r="CA333" s="111"/>
      <c r="CB333" s="111"/>
      <c r="CC333" s="178"/>
      <c r="CD333" s="177">
        <f t="shared" si="434"/>
        <v>0</v>
      </c>
      <c r="CE333" s="148"/>
      <c r="CF333" s="111">
        <f t="shared" si="435"/>
        <v>0</v>
      </c>
      <c r="CG333" s="177"/>
      <c r="CH333" s="204"/>
      <c r="CI333" s="148"/>
      <c r="CJ333" s="165"/>
      <c r="CK333" s="165"/>
      <c r="CL333" s="111"/>
      <c r="CM333" s="111"/>
      <c r="CN333" s="165">
        <f t="shared" si="436"/>
        <v>0</v>
      </c>
      <c r="CO333" s="109">
        <f t="shared" si="437"/>
        <v>0</v>
      </c>
      <c r="CP333" s="109">
        <f t="shared" si="438"/>
        <v>0</v>
      </c>
      <c r="CQ333" s="109"/>
      <c r="CR333" s="109"/>
      <c r="CS333" s="196"/>
      <c r="CT333" s="167"/>
      <c r="CU333" s="165"/>
      <c r="CV333" s="109">
        <f t="shared" si="439"/>
        <v>0</v>
      </c>
      <c r="CW333" s="109">
        <f t="shared" si="440"/>
        <v>0</v>
      </c>
      <c r="CX333" s="109"/>
      <c r="CY333" s="109"/>
      <c r="CZ333" s="111"/>
      <c r="DA333" s="111"/>
      <c r="DB333" s="165"/>
      <c r="DC333" s="109">
        <f t="shared" si="441"/>
        <v>0</v>
      </c>
      <c r="DD333" s="109">
        <f t="shared" si="442"/>
        <v>0</v>
      </c>
      <c r="DE333" s="109"/>
      <c r="DF333" s="109"/>
      <c r="DG333" s="111"/>
      <c r="DH333" s="111"/>
      <c r="DI333" s="165"/>
      <c r="DJ333" s="109">
        <f t="shared" si="443"/>
        <v>0</v>
      </c>
      <c r="DK333" s="109">
        <f t="shared" si="444"/>
        <v>0</v>
      </c>
      <c r="DL333" s="109"/>
      <c r="DM333" s="109"/>
      <c r="DN333" s="111"/>
      <c r="DO333" s="111"/>
      <c r="DP333" s="165"/>
      <c r="DQ333" s="109">
        <f t="shared" si="402"/>
        <v>0</v>
      </c>
      <c r="DR333" s="109">
        <f t="shared" si="403"/>
        <v>0</v>
      </c>
      <c r="DS333" s="109"/>
      <c r="DT333" s="109"/>
      <c r="DU333" s="111"/>
      <c r="DV333" s="111"/>
      <c r="DW333" s="165"/>
      <c r="DX333" s="109">
        <f t="shared" si="404"/>
        <v>0</v>
      </c>
      <c r="DY333" s="109">
        <f t="shared" si="405"/>
        <v>0</v>
      </c>
      <c r="DZ333" s="109"/>
      <c r="EA333" s="109"/>
      <c r="EB333" s="111"/>
      <c r="EC333" s="111"/>
      <c r="ED333" s="165"/>
      <c r="EE333" s="109">
        <f t="shared" si="406"/>
        <v>0</v>
      </c>
      <c r="EF333" s="109">
        <f t="shared" si="407"/>
        <v>0</v>
      </c>
      <c r="EG333" s="109"/>
      <c r="EH333" s="109"/>
      <c r="EI333" s="111"/>
      <c r="EJ333" s="111"/>
      <c r="EK333" s="165"/>
      <c r="EL333" s="109">
        <f t="shared" si="408"/>
        <v>0</v>
      </c>
      <c r="EM333" s="109">
        <f t="shared" si="409"/>
        <v>0</v>
      </c>
      <c r="EN333" s="109"/>
      <c r="EO333" s="109"/>
      <c r="EP333" s="111"/>
      <c r="EQ333" s="111"/>
      <c r="ER333" s="165"/>
      <c r="ES333" s="109">
        <f t="shared" si="410"/>
        <v>0</v>
      </c>
      <c r="ET333" s="109">
        <f t="shared" si="411"/>
        <v>0</v>
      </c>
      <c r="EU333" s="109"/>
      <c r="EV333" s="109"/>
      <c r="EW333" s="111"/>
      <c r="EX333" s="111"/>
      <c r="EY333" s="165"/>
      <c r="EZ333" s="109">
        <f t="shared" si="412"/>
        <v>0</v>
      </c>
      <c r="FA333" s="109">
        <f t="shared" si="413"/>
        <v>0</v>
      </c>
      <c r="FB333" s="109"/>
      <c r="FC333" s="109"/>
      <c r="FD333" s="111"/>
      <c r="FE333" s="111"/>
      <c r="FF333" s="165"/>
      <c r="FG333" s="109">
        <f t="shared" si="414"/>
        <v>0</v>
      </c>
      <c r="FH333" s="109">
        <f t="shared" si="415"/>
        <v>0</v>
      </c>
      <c r="FI333" s="109"/>
      <c r="FJ333" s="109"/>
      <c r="FK333" s="111"/>
      <c r="FL333" s="111"/>
      <c r="FM333" s="165"/>
      <c r="FN333" s="109">
        <f t="shared" si="416"/>
        <v>0</v>
      </c>
      <c r="FO333" s="109">
        <f t="shared" si="417"/>
        <v>0</v>
      </c>
      <c r="FP333" s="109"/>
      <c r="FQ333" s="109"/>
      <c r="FR333" s="111"/>
      <c r="FS333" s="111"/>
      <c r="FT333" s="165"/>
      <c r="FU333" s="109">
        <f t="shared" si="418"/>
        <v>0</v>
      </c>
      <c r="FV333" s="109">
        <f t="shared" si="426"/>
        <v>0</v>
      </c>
      <c r="FW333" s="109"/>
      <c r="FX333" s="109"/>
      <c r="FY333" s="111"/>
      <c r="FZ333" s="111"/>
      <c r="GA333" s="165"/>
      <c r="GB333" s="109">
        <f t="shared" si="419"/>
        <v>0</v>
      </c>
      <c r="GC333" s="109">
        <f t="shared" si="427"/>
        <v>0</v>
      </c>
      <c r="GD333" s="109"/>
      <c r="GE333" s="109"/>
      <c r="GF333" s="111"/>
      <c r="GG333" s="111"/>
      <c r="GH333" s="165"/>
      <c r="GI333" s="109">
        <f t="shared" si="420"/>
        <v>0</v>
      </c>
      <c r="GJ333" s="109">
        <f t="shared" si="428"/>
        <v>0</v>
      </c>
      <c r="GK333" s="109"/>
      <c r="GL333" s="109"/>
      <c r="GM333" s="111"/>
      <c r="GN333" s="111"/>
      <c r="GO333" s="165"/>
      <c r="GP333" s="109">
        <f t="shared" si="421"/>
        <v>0</v>
      </c>
      <c r="GQ333" s="109">
        <f t="shared" si="429"/>
        <v>0</v>
      </c>
      <c r="GR333" s="109"/>
      <c r="GS333" s="109"/>
      <c r="GT333" s="111"/>
      <c r="GU333" s="111"/>
      <c r="GV333" s="165"/>
      <c r="GW333" s="168">
        <f t="shared" si="422"/>
        <v>0</v>
      </c>
      <c r="GX333" s="168">
        <f t="shared" si="430"/>
        <v>0</v>
      </c>
      <c r="GY333" s="168"/>
      <c r="GZ333" s="168"/>
      <c r="HA333" s="111"/>
      <c r="HB333" s="111"/>
      <c r="HC333" s="165"/>
      <c r="HD333" s="109">
        <f t="shared" si="423"/>
        <v>0</v>
      </c>
      <c r="HE333" s="109">
        <f t="shared" si="431"/>
        <v>0</v>
      </c>
      <c r="HF333" s="109"/>
      <c r="HG333" s="109"/>
      <c r="HH333" s="111"/>
      <c r="HI333" s="111"/>
      <c r="HJ333" s="165"/>
      <c r="HK333" s="109">
        <f t="shared" si="424"/>
        <v>0</v>
      </c>
      <c r="HL333" s="109">
        <f t="shared" si="432"/>
        <v>0</v>
      </c>
      <c r="HM333" s="109"/>
      <c r="HN333" s="109"/>
      <c r="HO333" s="111"/>
      <c r="HP333" s="111"/>
      <c r="HQ333" s="165"/>
      <c r="HR333" s="109">
        <f t="shared" si="425"/>
        <v>0</v>
      </c>
      <c r="HS333" s="109">
        <f t="shared" si="433"/>
        <v>0</v>
      </c>
      <c r="HT333" s="109"/>
      <c r="HU333" s="109"/>
      <c r="HV333" s="111"/>
      <c r="HW333" s="111"/>
      <c r="HX333" s="105">
        <f t="shared" si="451"/>
        <v>0</v>
      </c>
      <c r="HY333" s="105">
        <f t="shared" si="451"/>
        <v>0</v>
      </c>
      <c r="HZ333" s="105">
        <f t="shared" si="451"/>
        <v>0</v>
      </c>
      <c r="IA333" s="105">
        <f t="shared" si="445"/>
        <v>0</v>
      </c>
      <c r="IB333" s="109">
        <f t="shared" si="446"/>
        <v>0</v>
      </c>
      <c r="IC333" s="109">
        <f t="shared" si="447"/>
        <v>0</v>
      </c>
      <c r="ID333" s="109">
        <f t="shared" si="448"/>
        <v>0</v>
      </c>
      <c r="IE333" s="109">
        <f t="shared" si="449"/>
        <v>0</v>
      </c>
      <c r="IF333" s="197"/>
      <c r="IG333" s="197"/>
      <c r="IH333" s="197"/>
      <c r="II333" s="197"/>
      <c r="IJ333" s="197"/>
      <c r="IK333" s="197"/>
      <c r="IL333" s="197"/>
      <c r="IM333" s="171"/>
      <c r="IN333" s="171"/>
      <c r="IO333" s="171"/>
      <c r="IP333" s="171"/>
    </row>
    <row r="334" spans="1:250" ht="15" customHeight="1" x14ac:dyDescent="0.3">
      <c r="A334" s="110">
        <f t="shared" si="450"/>
        <v>330</v>
      </c>
      <c r="B334" s="111"/>
      <c r="C334" s="111"/>
      <c r="D334" s="111"/>
      <c r="E334" s="111"/>
      <c r="F334" s="111"/>
      <c r="G334" s="111"/>
      <c r="H334" s="111"/>
      <c r="I334" s="194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75"/>
      <c r="AI334" s="111"/>
      <c r="AJ334" s="111"/>
      <c r="AK334" s="111"/>
      <c r="AL334" s="177"/>
      <c r="AM334" s="176"/>
      <c r="AN334" s="177"/>
      <c r="AO334" s="157"/>
      <c r="AP334" s="158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111"/>
      <c r="BG334" s="111"/>
      <c r="BH334" s="111"/>
      <c r="BI334" s="111"/>
      <c r="BJ334" s="111"/>
      <c r="BK334" s="111"/>
      <c r="BL334" s="175"/>
      <c r="BM334" s="111"/>
      <c r="BN334" s="111"/>
      <c r="BO334" s="111"/>
      <c r="BP334" s="111"/>
      <c r="BQ334" s="111"/>
      <c r="BR334" s="111"/>
      <c r="BS334" s="111"/>
      <c r="BT334" s="111"/>
      <c r="BU334" s="111"/>
      <c r="BV334" s="111"/>
      <c r="BW334" s="111"/>
      <c r="BX334" s="111"/>
      <c r="BY334" s="111"/>
      <c r="BZ334" s="111"/>
      <c r="CA334" s="111"/>
      <c r="CB334" s="111"/>
      <c r="CC334" s="178"/>
      <c r="CD334" s="177">
        <f t="shared" si="434"/>
        <v>0</v>
      </c>
      <c r="CE334" s="148"/>
      <c r="CF334" s="111">
        <f t="shared" si="435"/>
        <v>0</v>
      </c>
      <c r="CG334" s="177"/>
      <c r="CH334" s="204"/>
      <c r="CI334" s="148"/>
      <c r="CJ334" s="165"/>
      <c r="CK334" s="165"/>
      <c r="CL334" s="111"/>
      <c r="CM334" s="111"/>
      <c r="CN334" s="165">
        <f t="shared" si="436"/>
        <v>0</v>
      </c>
      <c r="CO334" s="109">
        <f t="shared" si="437"/>
        <v>0</v>
      </c>
      <c r="CP334" s="109">
        <f t="shared" si="438"/>
        <v>0</v>
      </c>
      <c r="CQ334" s="109"/>
      <c r="CR334" s="109"/>
      <c r="CS334" s="196"/>
      <c r="CT334" s="167"/>
      <c r="CU334" s="165"/>
      <c r="CV334" s="109">
        <f t="shared" si="439"/>
        <v>0</v>
      </c>
      <c r="CW334" s="109">
        <f t="shared" si="440"/>
        <v>0</v>
      </c>
      <c r="CX334" s="109"/>
      <c r="CY334" s="109"/>
      <c r="CZ334" s="111"/>
      <c r="DA334" s="111"/>
      <c r="DB334" s="165"/>
      <c r="DC334" s="109">
        <f t="shared" si="441"/>
        <v>0</v>
      </c>
      <c r="DD334" s="109">
        <f t="shared" si="442"/>
        <v>0</v>
      </c>
      <c r="DE334" s="109"/>
      <c r="DF334" s="109"/>
      <c r="DG334" s="111"/>
      <c r="DH334" s="111"/>
      <c r="DI334" s="165"/>
      <c r="DJ334" s="109">
        <f t="shared" si="443"/>
        <v>0</v>
      </c>
      <c r="DK334" s="109">
        <f t="shared" si="444"/>
        <v>0</v>
      </c>
      <c r="DL334" s="109"/>
      <c r="DM334" s="109"/>
      <c r="DN334" s="111"/>
      <c r="DO334" s="111"/>
      <c r="DP334" s="165"/>
      <c r="DQ334" s="109">
        <f t="shared" si="402"/>
        <v>0</v>
      </c>
      <c r="DR334" s="109">
        <f t="shared" si="403"/>
        <v>0</v>
      </c>
      <c r="DS334" s="109"/>
      <c r="DT334" s="109"/>
      <c r="DU334" s="111"/>
      <c r="DV334" s="111"/>
      <c r="DW334" s="165"/>
      <c r="DX334" s="109">
        <f t="shared" si="404"/>
        <v>0</v>
      </c>
      <c r="DY334" s="109">
        <f t="shared" si="405"/>
        <v>0</v>
      </c>
      <c r="DZ334" s="109"/>
      <c r="EA334" s="109"/>
      <c r="EB334" s="111"/>
      <c r="EC334" s="111"/>
      <c r="ED334" s="165"/>
      <c r="EE334" s="109">
        <f t="shared" si="406"/>
        <v>0</v>
      </c>
      <c r="EF334" s="109">
        <f t="shared" si="407"/>
        <v>0</v>
      </c>
      <c r="EG334" s="109"/>
      <c r="EH334" s="109"/>
      <c r="EI334" s="111"/>
      <c r="EJ334" s="111"/>
      <c r="EK334" s="165"/>
      <c r="EL334" s="109">
        <f t="shared" si="408"/>
        <v>0</v>
      </c>
      <c r="EM334" s="109">
        <f t="shared" si="409"/>
        <v>0</v>
      </c>
      <c r="EN334" s="109"/>
      <c r="EO334" s="109"/>
      <c r="EP334" s="111"/>
      <c r="EQ334" s="111"/>
      <c r="ER334" s="165"/>
      <c r="ES334" s="109">
        <f t="shared" si="410"/>
        <v>0</v>
      </c>
      <c r="ET334" s="109">
        <f t="shared" si="411"/>
        <v>0</v>
      </c>
      <c r="EU334" s="109"/>
      <c r="EV334" s="109"/>
      <c r="EW334" s="111"/>
      <c r="EX334" s="111"/>
      <c r="EY334" s="165"/>
      <c r="EZ334" s="109">
        <f t="shared" si="412"/>
        <v>0</v>
      </c>
      <c r="FA334" s="109">
        <f t="shared" si="413"/>
        <v>0</v>
      </c>
      <c r="FB334" s="109"/>
      <c r="FC334" s="109"/>
      <c r="FD334" s="111"/>
      <c r="FE334" s="111"/>
      <c r="FF334" s="165"/>
      <c r="FG334" s="109">
        <f t="shared" si="414"/>
        <v>0</v>
      </c>
      <c r="FH334" s="109">
        <f t="shared" si="415"/>
        <v>0</v>
      </c>
      <c r="FI334" s="109"/>
      <c r="FJ334" s="109"/>
      <c r="FK334" s="111"/>
      <c r="FL334" s="111"/>
      <c r="FM334" s="165"/>
      <c r="FN334" s="109">
        <f t="shared" si="416"/>
        <v>0</v>
      </c>
      <c r="FO334" s="109">
        <f t="shared" si="417"/>
        <v>0</v>
      </c>
      <c r="FP334" s="109"/>
      <c r="FQ334" s="109"/>
      <c r="FR334" s="111"/>
      <c r="FS334" s="111"/>
      <c r="FT334" s="165"/>
      <c r="FU334" s="109">
        <f t="shared" si="418"/>
        <v>0</v>
      </c>
      <c r="FV334" s="109">
        <f t="shared" si="426"/>
        <v>0</v>
      </c>
      <c r="FW334" s="109"/>
      <c r="FX334" s="109"/>
      <c r="FY334" s="111"/>
      <c r="FZ334" s="111"/>
      <c r="GA334" s="165"/>
      <c r="GB334" s="109">
        <f t="shared" si="419"/>
        <v>0</v>
      </c>
      <c r="GC334" s="109">
        <f t="shared" si="427"/>
        <v>0</v>
      </c>
      <c r="GD334" s="109"/>
      <c r="GE334" s="109"/>
      <c r="GF334" s="111"/>
      <c r="GG334" s="111"/>
      <c r="GH334" s="165"/>
      <c r="GI334" s="109">
        <f t="shared" si="420"/>
        <v>0</v>
      </c>
      <c r="GJ334" s="109">
        <f t="shared" si="428"/>
        <v>0</v>
      </c>
      <c r="GK334" s="109"/>
      <c r="GL334" s="109"/>
      <c r="GM334" s="111"/>
      <c r="GN334" s="111"/>
      <c r="GO334" s="165"/>
      <c r="GP334" s="109">
        <f t="shared" si="421"/>
        <v>0</v>
      </c>
      <c r="GQ334" s="109">
        <f t="shared" si="429"/>
        <v>0</v>
      </c>
      <c r="GR334" s="109"/>
      <c r="GS334" s="109"/>
      <c r="GT334" s="111"/>
      <c r="GU334" s="111"/>
      <c r="GV334" s="165"/>
      <c r="GW334" s="168">
        <f t="shared" si="422"/>
        <v>0</v>
      </c>
      <c r="GX334" s="168">
        <f t="shared" si="430"/>
        <v>0</v>
      </c>
      <c r="GY334" s="168"/>
      <c r="GZ334" s="168"/>
      <c r="HA334" s="111"/>
      <c r="HB334" s="111"/>
      <c r="HC334" s="165"/>
      <c r="HD334" s="109">
        <f t="shared" si="423"/>
        <v>0</v>
      </c>
      <c r="HE334" s="109">
        <f t="shared" si="431"/>
        <v>0</v>
      </c>
      <c r="HF334" s="109"/>
      <c r="HG334" s="109"/>
      <c r="HH334" s="111"/>
      <c r="HI334" s="111"/>
      <c r="HJ334" s="165"/>
      <c r="HK334" s="109">
        <f t="shared" si="424"/>
        <v>0</v>
      </c>
      <c r="HL334" s="109">
        <f t="shared" si="432"/>
        <v>0</v>
      </c>
      <c r="HM334" s="109"/>
      <c r="HN334" s="109"/>
      <c r="HO334" s="111"/>
      <c r="HP334" s="111"/>
      <c r="HQ334" s="165"/>
      <c r="HR334" s="109">
        <f t="shared" si="425"/>
        <v>0</v>
      </c>
      <c r="HS334" s="109">
        <f t="shared" si="433"/>
        <v>0</v>
      </c>
      <c r="HT334" s="109"/>
      <c r="HU334" s="109"/>
      <c r="HV334" s="111"/>
      <c r="HW334" s="111"/>
      <c r="HX334" s="105">
        <f t="shared" si="451"/>
        <v>0</v>
      </c>
      <c r="HY334" s="105">
        <f t="shared" si="451"/>
        <v>0</v>
      </c>
      <c r="HZ334" s="105">
        <f t="shared" si="451"/>
        <v>0</v>
      </c>
      <c r="IA334" s="105">
        <f t="shared" si="445"/>
        <v>0</v>
      </c>
      <c r="IB334" s="109">
        <f t="shared" si="446"/>
        <v>0</v>
      </c>
      <c r="IC334" s="109">
        <f t="shared" si="447"/>
        <v>0</v>
      </c>
      <c r="ID334" s="109">
        <f t="shared" si="448"/>
        <v>0</v>
      </c>
      <c r="IE334" s="109">
        <f t="shared" si="449"/>
        <v>0</v>
      </c>
      <c r="IF334" s="197"/>
      <c r="IG334" s="197"/>
      <c r="IH334" s="197"/>
      <c r="II334" s="197"/>
      <c r="IJ334" s="197"/>
      <c r="IK334" s="197"/>
      <c r="IL334" s="197"/>
      <c r="IM334" s="171"/>
      <c r="IN334" s="171"/>
      <c r="IO334" s="171"/>
      <c r="IP334" s="171"/>
    </row>
    <row r="335" spans="1:250" ht="15" customHeight="1" x14ac:dyDescent="0.3">
      <c r="A335" s="110">
        <f t="shared" si="450"/>
        <v>331</v>
      </c>
      <c r="B335" s="111"/>
      <c r="C335" s="111"/>
      <c r="D335" s="111"/>
      <c r="E335" s="111"/>
      <c r="F335" s="111"/>
      <c r="G335" s="111"/>
      <c r="H335" s="111"/>
      <c r="I335" s="194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75"/>
      <c r="AI335" s="111"/>
      <c r="AJ335" s="111"/>
      <c r="AK335" s="111"/>
      <c r="AL335" s="177"/>
      <c r="AM335" s="176"/>
      <c r="AN335" s="177"/>
      <c r="AO335" s="157"/>
      <c r="AP335" s="158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  <c r="BB335" s="111"/>
      <c r="BC335" s="111"/>
      <c r="BD335" s="111"/>
      <c r="BE335" s="111"/>
      <c r="BF335" s="111"/>
      <c r="BG335" s="111"/>
      <c r="BH335" s="111"/>
      <c r="BI335" s="111"/>
      <c r="BJ335" s="111"/>
      <c r="BK335" s="111"/>
      <c r="BL335" s="175"/>
      <c r="BM335" s="111"/>
      <c r="BN335" s="111"/>
      <c r="BO335" s="111"/>
      <c r="BP335" s="111"/>
      <c r="BQ335" s="111"/>
      <c r="BR335" s="111"/>
      <c r="BS335" s="111"/>
      <c r="BT335" s="111"/>
      <c r="BU335" s="111"/>
      <c r="BV335" s="111"/>
      <c r="BW335" s="111"/>
      <c r="BX335" s="111"/>
      <c r="BY335" s="111"/>
      <c r="BZ335" s="111"/>
      <c r="CA335" s="111"/>
      <c r="CB335" s="111"/>
      <c r="CC335" s="178"/>
      <c r="CD335" s="177">
        <f t="shared" si="434"/>
        <v>0</v>
      </c>
      <c r="CE335" s="148"/>
      <c r="CF335" s="111">
        <f t="shared" si="435"/>
        <v>0</v>
      </c>
      <c r="CG335" s="177"/>
      <c r="CH335" s="204"/>
      <c r="CI335" s="148"/>
      <c r="CJ335" s="165"/>
      <c r="CK335" s="165"/>
      <c r="CL335" s="111"/>
      <c r="CM335" s="111"/>
      <c r="CN335" s="165">
        <f t="shared" si="436"/>
        <v>0</v>
      </c>
      <c r="CO335" s="109">
        <f t="shared" si="437"/>
        <v>0</v>
      </c>
      <c r="CP335" s="109">
        <f t="shared" si="438"/>
        <v>0</v>
      </c>
      <c r="CQ335" s="109"/>
      <c r="CR335" s="109"/>
      <c r="CS335" s="196"/>
      <c r="CT335" s="167"/>
      <c r="CU335" s="165"/>
      <c r="CV335" s="109">
        <f t="shared" si="439"/>
        <v>0</v>
      </c>
      <c r="CW335" s="109">
        <f t="shared" si="440"/>
        <v>0</v>
      </c>
      <c r="CX335" s="109"/>
      <c r="CY335" s="109"/>
      <c r="CZ335" s="111"/>
      <c r="DA335" s="111"/>
      <c r="DB335" s="165"/>
      <c r="DC335" s="109">
        <f t="shared" si="441"/>
        <v>0</v>
      </c>
      <c r="DD335" s="109">
        <f t="shared" si="442"/>
        <v>0</v>
      </c>
      <c r="DE335" s="109"/>
      <c r="DF335" s="109"/>
      <c r="DG335" s="111"/>
      <c r="DH335" s="111"/>
      <c r="DI335" s="165"/>
      <c r="DJ335" s="109">
        <f t="shared" si="443"/>
        <v>0</v>
      </c>
      <c r="DK335" s="109">
        <f t="shared" si="444"/>
        <v>0</v>
      </c>
      <c r="DL335" s="109"/>
      <c r="DM335" s="109"/>
      <c r="DN335" s="111"/>
      <c r="DO335" s="111"/>
      <c r="DP335" s="165"/>
      <c r="DQ335" s="109">
        <f t="shared" si="402"/>
        <v>0</v>
      </c>
      <c r="DR335" s="109">
        <f t="shared" si="403"/>
        <v>0</v>
      </c>
      <c r="DS335" s="109"/>
      <c r="DT335" s="109"/>
      <c r="DU335" s="111"/>
      <c r="DV335" s="111"/>
      <c r="DW335" s="165"/>
      <c r="DX335" s="109">
        <f t="shared" si="404"/>
        <v>0</v>
      </c>
      <c r="DY335" s="109">
        <f t="shared" si="405"/>
        <v>0</v>
      </c>
      <c r="DZ335" s="109"/>
      <c r="EA335" s="109"/>
      <c r="EB335" s="111"/>
      <c r="EC335" s="111"/>
      <c r="ED335" s="165"/>
      <c r="EE335" s="109">
        <f t="shared" si="406"/>
        <v>0</v>
      </c>
      <c r="EF335" s="109">
        <f t="shared" si="407"/>
        <v>0</v>
      </c>
      <c r="EG335" s="109"/>
      <c r="EH335" s="109"/>
      <c r="EI335" s="111"/>
      <c r="EJ335" s="111"/>
      <c r="EK335" s="165"/>
      <c r="EL335" s="109">
        <f t="shared" si="408"/>
        <v>0</v>
      </c>
      <c r="EM335" s="109">
        <f t="shared" si="409"/>
        <v>0</v>
      </c>
      <c r="EN335" s="109"/>
      <c r="EO335" s="109"/>
      <c r="EP335" s="111"/>
      <c r="EQ335" s="111"/>
      <c r="ER335" s="165"/>
      <c r="ES335" s="109">
        <f t="shared" si="410"/>
        <v>0</v>
      </c>
      <c r="ET335" s="109">
        <f t="shared" si="411"/>
        <v>0</v>
      </c>
      <c r="EU335" s="109"/>
      <c r="EV335" s="109"/>
      <c r="EW335" s="111"/>
      <c r="EX335" s="111"/>
      <c r="EY335" s="165"/>
      <c r="EZ335" s="109">
        <f t="shared" si="412"/>
        <v>0</v>
      </c>
      <c r="FA335" s="109">
        <f t="shared" si="413"/>
        <v>0</v>
      </c>
      <c r="FB335" s="109"/>
      <c r="FC335" s="109"/>
      <c r="FD335" s="111"/>
      <c r="FE335" s="111"/>
      <c r="FF335" s="165"/>
      <c r="FG335" s="109">
        <f t="shared" si="414"/>
        <v>0</v>
      </c>
      <c r="FH335" s="109">
        <f t="shared" si="415"/>
        <v>0</v>
      </c>
      <c r="FI335" s="109"/>
      <c r="FJ335" s="109"/>
      <c r="FK335" s="111"/>
      <c r="FL335" s="111"/>
      <c r="FM335" s="165"/>
      <c r="FN335" s="109">
        <f t="shared" si="416"/>
        <v>0</v>
      </c>
      <c r="FO335" s="109">
        <f t="shared" si="417"/>
        <v>0</v>
      </c>
      <c r="FP335" s="109"/>
      <c r="FQ335" s="109"/>
      <c r="FR335" s="111"/>
      <c r="FS335" s="111"/>
      <c r="FT335" s="165"/>
      <c r="FU335" s="109">
        <f t="shared" si="418"/>
        <v>0</v>
      </c>
      <c r="FV335" s="109">
        <f t="shared" si="426"/>
        <v>0</v>
      </c>
      <c r="FW335" s="109"/>
      <c r="FX335" s="109"/>
      <c r="FY335" s="111"/>
      <c r="FZ335" s="111"/>
      <c r="GA335" s="165"/>
      <c r="GB335" s="109">
        <f t="shared" si="419"/>
        <v>0</v>
      </c>
      <c r="GC335" s="109">
        <f t="shared" si="427"/>
        <v>0</v>
      </c>
      <c r="GD335" s="109"/>
      <c r="GE335" s="109"/>
      <c r="GF335" s="111"/>
      <c r="GG335" s="111"/>
      <c r="GH335" s="165"/>
      <c r="GI335" s="109">
        <f t="shared" si="420"/>
        <v>0</v>
      </c>
      <c r="GJ335" s="109">
        <f t="shared" si="428"/>
        <v>0</v>
      </c>
      <c r="GK335" s="109"/>
      <c r="GL335" s="109"/>
      <c r="GM335" s="111"/>
      <c r="GN335" s="111"/>
      <c r="GO335" s="165"/>
      <c r="GP335" s="109">
        <f t="shared" si="421"/>
        <v>0</v>
      </c>
      <c r="GQ335" s="109">
        <f t="shared" si="429"/>
        <v>0</v>
      </c>
      <c r="GR335" s="109"/>
      <c r="GS335" s="109"/>
      <c r="GT335" s="111"/>
      <c r="GU335" s="111"/>
      <c r="GV335" s="165"/>
      <c r="GW335" s="168">
        <f t="shared" si="422"/>
        <v>0</v>
      </c>
      <c r="GX335" s="168">
        <f t="shared" si="430"/>
        <v>0</v>
      </c>
      <c r="GY335" s="168"/>
      <c r="GZ335" s="168"/>
      <c r="HA335" s="111"/>
      <c r="HB335" s="111"/>
      <c r="HC335" s="165"/>
      <c r="HD335" s="109">
        <f t="shared" si="423"/>
        <v>0</v>
      </c>
      <c r="HE335" s="109">
        <f t="shared" si="431"/>
        <v>0</v>
      </c>
      <c r="HF335" s="109"/>
      <c r="HG335" s="109"/>
      <c r="HH335" s="111"/>
      <c r="HI335" s="111"/>
      <c r="HJ335" s="165"/>
      <c r="HK335" s="109">
        <f t="shared" si="424"/>
        <v>0</v>
      </c>
      <c r="HL335" s="109">
        <f t="shared" si="432"/>
        <v>0</v>
      </c>
      <c r="HM335" s="109"/>
      <c r="HN335" s="109"/>
      <c r="HO335" s="111"/>
      <c r="HP335" s="111"/>
      <c r="HQ335" s="165"/>
      <c r="HR335" s="109">
        <f t="shared" si="425"/>
        <v>0</v>
      </c>
      <c r="HS335" s="109">
        <f t="shared" si="433"/>
        <v>0</v>
      </c>
      <c r="HT335" s="109"/>
      <c r="HU335" s="109"/>
      <c r="HV335" s="111"/>
      <c r="HW335" s="111"/>
      <c r="HX335" s="105">
        <f t="shared" si="451"/>
        <v>0</v>
      </c>
      <c r="HY335" s="105">
        <f t="shared" si="451"/>
        <v>0</v>
      </c>
      <c r="HZ335" s="105">
        <f t="shared" si="451"/>
        <v>0</v>
      </c>
      <c r="IA335" s="105">
        <f t="shared" si="445"/>
        <v>0</v>
      </c>
      <c r="IB335" s="109">
        <f t="shared" si="446"/>
        <v>0</v>
      </c>
      <c r="IC335" s="109">
        <f t="shared" si="447"/>
        <v>0</v>
      </c>
      <c r="ID335" s="109">
        <f t="shared" si="448"/>
        <v>0</v>
      </c>
      <c r="IE335" s="109">
        <f t="shared" si="449"/>
        <v>0</v>
      </c>
      <c r="IF335" s="197"/>
      <c r="IG335" s="197"/>
      <c r="IH335" s="197"/>
      <c r="II335" s="197"/>
      <c r="IJ335" s="197"/>
      <c r="IK335" s="197"/>
      <c r="IL335" s="197"/>
      <c r="IM335" s="171"/>
      <c r="IN335" s="171"/>
      <c r="IO335" s="171"/>
      <c r="IP335" s="171"/>
    </row>
    <row r="336" spans="1:250" ht="15" customHeight="1" x14ac:dyDescent="0.3">
      <c r="A336" s="110">
        <f t="shared" si="450"/>
        <v>332</v>
      </c>
      <c r="B336" s="111"/>
      <c r="C336" s="111"/>
      <c r="D336" s="111"/>
      <c r="E336" s="111"/>
      <c r="F336" s="111"/>
      <c r="G336" s="111"/>
      <c r="H336" s="111"/>
      <c r="I336" s="194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75"/>
      <c r="AI336" s="111"/>
      <c r="AJ336" s="111"/>
      <c r="AK336" s="111"/>
      <c r="AL336" s="177"/>
      <c r="AM336" s="176"/>
      <c r="AN336" s="177"/>
      <c r="AO336" s="157"/>
      <c r="AP336" s="158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  <c r="BG336" s="111"/>
      <c r="BH336" s="111"/>
      <c r="BI336" s="111"/>
      <c r="BJ336" s="111"/>
      <c r="BK336" s="111"/>
      <c r="BL336" s="175"/>
      <c r="BM336" s="111"/>
      <c r="BN336" s="111"/>
      <c r="BO336" s="111"/>
      <c r="BP336" s="111"/>
      <c r="BQ336" s="111"/>
      <c r="BR336" s="111"/>
      <c r="BS336" s="111"/>
      <c r="BT336" s="111"/>
      <c r="BU336" s="111"/>
      <c r="BV336" s="111"/>
      <c r="BW336" s="111"/>
      <c r="BX336" s="111"/>
      <c r="BY336" s="111"/>
      <c r="BZ336" s="111"/>
      <c r="CA336" s="111"/>
      <c r="CB336" s="111"/>
      <c r="CC336" s="178"/>
      <c r="CD336" s="177">
        <f t="shared" si="434"/>
        <v>0</v>
      </c>
      <c r="CE336" s="148"/>
      <c r="CF336" s="111">
        <f t="shared" si="435"/>
        <v>0</v>
      </c>
      <c r="CG336" s="177"/>
      <c r="CH336" s="204"/>
      <c r="CI336" s="148"/>
      <c r="CJ336" s="165"/>
      <c r="CK336" s="165"/>
      <c r="CL336" s="111"/>
      <c r="CM336" s="111"/>
      <c r="CN336" s="165">
        <f t="shared" si="436"/>
        <v>0</v>
      </c>
      <c r="CO336" s="109">
        <f t="shared" si="437"/>
        <v>0</v>
      </c>
      <c r="CP336" s="109">
        <f t="shared" si="438"/>
        <v>0</v>
      </c>
      <c r="CQ336" s="109"/>
      <c r="CR336" s="109"/>
      <c r="CS336" s="196"/>
      <c r="CT336" s="167"/>
      <c r="CU336" s="165"/>
      <c r="CV336" s="109">
        <f t="shared" si="439"/>
        <v>0</v>
      </c>
      <c r="CW336" s="109">
        <f t="shared" si="440"/>
        <v>0</v>
      </c>
      <c r="CX336" s="109"/>
      <c r="CY336" s="109"/>
      <c r="CZ336" s="111"/>
      <c r="DA336" s="111"/>
      <c r="DB336" s="165"/>
      <c r="DC336" s="109">
        <f t="shared" si="441"/>
        <v>0</v>
      </c>
      <c r="DD336" s="109">
        <f t="shared" si="442"/>
        <v>0</v>
      </c>
      <c r="DE336" s="109"/>
      <c r="DF336" s="109"/>
      <c r="DG336" s="111"/>
      <c r="DH336" s="111"/>
      <c r="DI336" s="165"/>
      <c r="DJ336" s="109">
        <f t="shared" si="443"/>
        <v>0</v>
      </c>
      <c r="DK336" s="109">
        <f t="shared" si="444"/>
        <v>0</v>
      </c>
      <c r="DL336" s="109"/>
      <c r="DM336" s="109"/>
      <c r="DN336" s="111"/>
      <c r="DO336" s="111"/>
      <c r="DP336" s="165"/>
      <c r="DQ336" s="109">
        <f t="shared" si="402"/>
        <v>0</v>
      </c>
      <c r="DR336" s="109">
        <f t="shared" si="403"/>
        <v>0</v>
      </c>
      <c r="DS336" s="109"/>
      <c r="DT336" s="109"/>
      <c r="DU336" s="111"/>
      <c r="DV336" s="111"/>
      <c r="DW336" s="165"/>
      <c r="DX336" s="109">
        <f t="shared" si="404"/>
        <v>0</v>
      </c>
      <c r="DY336" s="109">
        <f t="shared" si="405"/>
        <v>0</v>
      </c>
      <c r="DZ336" s="109"/>
      <c r="EA336" s="109"/>
      <c r="EB336" s="111"/>
      <c r="EC336" s="111"/>
      <c r="ED336" s="165"/>
      <c r="EE336" s="109">
        <f t="shared" si="406"/>
        <v>0</v>
      </c>
      <c r="EF336" s="109">
        <f t="shared" si="407"/>
        <v>0</v>
      </c>
      <c r="EG336" s="109"/>
      <c r="EH336" s="109"/>
      <c r="EI336" s="111"/>
      <c r="EJ336" s="111"/>
      <c r="EK336" s="165"/>
      <c r="EL336" s="109">
        <f t="shared" si="408"/>
        <v>0</v>
      </c>
      <c r="EM336" s="109">
        <f t="shared" si="409"/>
        <v>0</v>
      </c>
      <c r="EN336" s="109"/>
      <c r="EO336" s="109"/>
      <c r="EP336" s="111"/>
      <c r="EQ336" s="111"/>
      <c r="ER336" s="165"/>
      <c r="ES336" s="109">
        <f t="shared" si="410"/>
        <v>0</v>
      </c>
      <c r="ET336" s="109">
        <f t="shared" si="411"/>
        <v>0</v>
      </c>
      <c r="EU336" s="109"/>
      <c r="EV336" s="109"/>
      <c r="EW336" s="111"/>
      <c r="EX336" s="111"/>
      <c r="EY336" s="165"/>
      <c r="EZ336" s="109">
        <f t="shared" si="412"/>
        <v>0</v>
      </c>
      <c r="FA336" s="109">
        <f t="shared" si="413"/>
        <v>0</v>
      </c>
      <c r="FB336" s="109"/>
      <c r="FC336" s="109"/>
      <c r="FD336" s="111"/>
      <c r="FE336" s="111"/>
      <c r="FF336" s="165"/>
      <c r="FG336" s="109">
        <f t="shared" si="414"/>
        <v>0</v>
      </c>
      <c r="FH336" s="109">
        <f t="shared" si="415"/>
        <v>0</v>
      </c>
      <c r="FI336" s="109"/>
      <c r="FJ336" s="109"/>
      <c r="FK336" s="111"/>
      <c r="FL336" s="111"/>
      <c r="FM336" s="165"/>
      <c r="FN336" s="109">
        <f t="shared" si="416"/>
        <v>0</v>
      </c>
      <c r="FO336" s="109">
        <f t="shared" si="417"/>
        <v>0</v>
      </c>
      <c r="FP336" s="109"/>
      <c r="FQ336" s="109"/>
      <c r="FR336" s="111"/>
      <c r="FS336" s="111"/>
      <c r="FT336" s="165"/>
      <c r="FU336" s="109">
        <f t="shared" si="418"/>
        <v>0</v>
      </c>
      <c r="FV336" s="109">
        <f t="shared" si="426"/>
        <v>0</v>
      </c>
      <c r="FW336" s="109"/>
      <c r="FX336" s="109"/>
      <c r="FY336" s="111"/>
      <c r="FZ336" s="111"/>
      <c r="GA336" s="165"/>
      <c r="GB336" s="109">
        <f t="shared" si="419"/>
        <v>0</v>
      </c>
      <c r="GC336" s="109">
        <f t="shared" si="427"/>
        <v>0</v>
      </c>
      <c r="GD336" s="109"/>
      <c r="GE336" s="109"/>
      <c r="GF336" s="111"/>
      <c r="GG336" s="111"/>
      <c r="GH336" s="165"/>
      <c r="GI336" s="109">
        <f t="shared" si="420"/>
        <v>0</v>
      </c>
      <c r="GJ336" s="109">
        <f t="shared" si="428"/>
        <v>0</v>
      </c>
      <c r="GK336" s="109"/>
      <c r="GL336" s="109"/>
      <c r="GM336" s="111"/>
      <c r="GN336" s="111"/>
      <c r="GO336" s="165"/>
      <c r="GP336" s="109">
        <f t="shared" si="421"/>
        <v>0</v>
      </c>
      <c r="GQ336" s="109">
        <f t="shared" si="429"/>
        <v>0</v>
      </c>
      <c r="GR336" s="109"/>
      <c r="GS336" s="109"/>
      <c r="GT336" s="111"/>
      <c r="GU336" s="111"/>
      <c r="GV336" s="165"/>
      <c r="GW336" s="168">
        <f t="shared" si="422"/>
        <v>0</v>
      </c>
      <c r="GX336" s="168">
        <f t="shared" si="430"/>
        <v>0</v>
      </c>
      <c r="GY336" s="168"/>
      <c r="GZ336" s="168"/>
      <c r="HA336" s="111"/>
      <c r="HB336" s="111"/>
      <c r="HC336" s="165"/>
      <c r="HD336" s="109">
        <f t="shared" si="423"/>
        <v>0</v>
      </c>
      <c r="HE336" s="109">
        <f t="shared" si="431"/>
        <v>0</v>
      </c>
      <c r="HF336" s="109"/>
      <c r="HG336" s="109"/>
      <c r="HH336" s="111"/>
      <c r="HI336" s="111"/>
      <c r="HJ336" s="165"/>
      <c r="HK336" s="109">
        <f t="shared" si="424"/>
        <v>0</v>
      </c>
      <c r="HL336" s="109">
        <f t="shared" si="432"/>
        <v>0</v>
      </c>
      <c r="HM336" s="109"/>
      <c r="HN336" s="109"/>
      <c r="HO336" s="111"/>
      <c r="HP336" s="111"/>
      <c r="HQ336" s="165"/>
      <c r="HR336" s="109">
        <f t="shared" si="425"/>
        <v>0</v>
      </c>
      <c r="HS336" s="109">
        <f t="shared" si="433"/>
        <v>0</v>
      </c>
      <c r="HT336" s="109"/>
      <c r="HU336" s="109"/>
      <c r="HV336" s="111"/>
      <c r="HW336" s="111"/>
      <c r="HX336" s="105">
        <f t="shared" si="451"/>
        <v>0</v>
      </c>
      <c r="HY336" s="105">
        <f t="shared" si="451"/>
        <v>0</v>
      </c>
      <c r="HZ336" s="105">
        <f t="shared" si="451"/>
        <v>0</v>
      </c>
      <c r="IA336" s="105">
        <f t="shared" si="445"/>
        <v>0</v>
      </c>
      <c r="IB336" s="109">
        <f t="shared" si="446"/>
        <v>0</v>
      </c>
      <c r="IC336" s="109">
        <f t="shared" si="447"/>
        <v>0</v>
      </c>
      <c r="ID336" s="109">
        <f t="shared" si="448"/>
        <v>0</v>
      </c>
      <c r="IE336" s="109">
        <f t="shared" si="449"/>
        <v>0</v>
      </c>
      <c r="IF336" s="197"/>
      <c r="IG336" s="197"/>
      <c r="IH336" s="197"/>
      <c r="II336" s="197"/>
      <c r="IJ336" s="197"/>
      <c r="IK336" s="197"/>
      <c r="IL336" s="197"/>
      <c r="IM336" s="171"/>
      <c r="IN336" s="171"/>
      <c r="IO336" s="171"/>
      <c r="IP336" s="171"/>
    </row>
    <row r="337" spans="1:250" ht="15" customHeight="1" x14ac:dyDescent="0.3">
      <c r="A337" s="110">
        <f t="shared" si="450"/>
        <v>333</v>
      </c>
      <c r="B337" s="111"/>
      <c r="C337" s="111"/>
      <c r="D337" s="111"/>
      <c r="E337" s="111"/>
      <c r="F337" s="111"/>
      <c r="G337" s="111"/>
      <c r="H337" s="111"/>
      <c r="I337" s="194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75"/>
      <c r="AI337" s="111"/>
      <c r="AJ337" s="111"/>
      <c r="AK337" s="111"/>
      <c r="AL337" s="177"/>
      <c r="AM337" s="176"/>
      <c r="AN337" s="177"/>
      <c r="AO337" s="157"/>
      <c r="AP337" s="158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  <c r="BB337" s="111"/>
      <c r="BC337" s="111"/>
      <c r="BD337" s="111"/>
      <c r="BE337" s="111"/>
      <c r="BF337" s="111"/>
      <c r="BG337" s="111"/>
      <c r="BH337" s="111"/>
      <c r="BI337" s="111"/>
      <c r="BJ337" s="111"/>
      <c r="BK337" s="111"/>
      <c r="BL337" s="175"/>
      <c r="BM337" s="111"/>
      <c r="BN337" s="111"/>
      <c r="BO337" s="111"/>
      <c r="BP337" s="111"/>
      <c r="BQ337" s="111"/>
      <c r="BR337" s="111"/>
      <c r="BS337" s="111"/>
      <c r="BT337" s="111"/>
      <c r="BU337" s="111"/>
      <c r="BV337" s="111"/>
      <c r="BW337" s="111"/>
      <c r="BX337" s="111"/>
      <c r="BY337" s="111"/>
      <c r="BZ337" s="111"/>
      <c r="CA337" s="111"/>
      <c r="CB337" s="111"/>
      <c r="CC337" s="178"/>
      <c r="CD337" s="177">
        <f t="shared" si="434"/>
        <v>0</v>
      </c>
      <c r="CE337" s="148"/>
      <c r="CF337" s="111">
        <f t="shared" si="435"/>
        <v>0</v>
      </c>
      <c r="CG337" s="177"/>
      <c r="CH337" s="204"/>
      <c r="CI337" s="148"/>
      <c r="CJ337" s="165"/>
      <c r="CK337" s="165"/>
      <c r="CL337" s="111"/>
      <c r="CM337" s="111"/>
      <c r="CN337" s="165">
        <f t="shared" si="436"/>
        <v>0</v>
      </c>
      <c r="CO337" s="109">
        <f t="shared" si="437"/>
        <v>0</v>
      </c>
      <c r="CP337" s="109">
        <f t="shared" si="438"/>
        <v>0</v>
      </c>
      <c r="CQ337" s="109"/>
      <c r="CR337" s="109"/>
      <c r="CS337" s="196"/>
      <c r="CT337" s="167"/>
      <c r="CU337" s="165"/>
      <c r="CV337" s="109">
        <f t="shared" si="439"/>
        <v>0</v>
      </c>
      <c r="CW337" s="109">
        <f t="shared" si="440"/>
        <v>0</v>
      </c>
      <c r="CX337" s="109"/>
      <c r="CY337" s="109"/>
      <c r="CZ337" s="111"/>
      <c r="DA337" s="111"/>
      <c r="DB337" s="165"/>
      <c r="DC337" s="109">
        <f t="shared" si="441"/>
        <v>0</v>
      </c>
      <c r="DD337" s="109">
        <f t="shared" si="442"/>
        <v>0</v>
      </c>
      <c r="DE337" s="109"/>
      <c r="DF337" s="109"/>
      <c r="DG337" s="111"/>
      <c r="DH337" s="111"/>
      <c r="DI337" s="165"/>
      <c r="DJ337" s="109">
        <f t="shared" si="443"/>
        <v>0</v>
      </c>
      <c r="DK337" s="109">
        <f t="shared" si="444"/>
        <v>0</v>
      </c>
      <c r="DL337" s="109"/>
      <c r="DM337" s="109"/>
      <c r="DN337" s="111"/>
      <c r="DO337" s="111"/>
      <c r="DP337" s="165"/>
      <c r="DQ337" s="109">
        <f t="shared" si="402"/>
        <v>0</v>
      </c>
      <c r="DR337" s="109">
        <f t="shared" si="403"/>
        <v>0</v>
      </c>
      <c r="DS337" s="109"/>
      <c r="DT337" s="109"/>
      <c r="DU337" s="111"/>
      <c r="DV337" s="111"/>
      <c r="DW337" s="165"/>
      <c r="DX337" s="109">
        <f t="shared" si="404"/>
        <v>0</v>
      </c>
      <c r="DY337" s="109">
        <f t="shared" si="405"/>
        <v>0</v>
      </c>
      <c r="DZ337" s="109"/>
      <c r="EA337" s="109"/>
      <c r="EB337" s="111"/>
      <c r="EC337" s="111"/>
      <c r="ED337" s="165"/>
      <c r="EE337" s="109">
        <f t="shared" si="406"/>
        <v>0</v>
      </c>
      <c r="EF337" s="109">
        <f t="shared" si="407"/>
        <v>0</v>
      </c>
      <c r="EG337" s="109"/>
      <c r="EH337" s="109"/>
      <c r="EI337" s="111"/>
      <c r="EJ337" s="111"/>
      <c r="EK337" s="165"/>
      <c r="EL337" s="109">
        <f t="shared" si="408"/>
        <v>0</v>
      </c>
      <c r="EM337" s="109">
        <f t="shared" si="409"/>
        <v>0</v>
      </c>
      <c r="EN337" s="109"/>
      <c r="EO337" s="109"/>
      <c r="EP337" s="111"/>
      <c r="EQ337" s="111"/>
      <c r="ER337" s="165"/>
      <c r="ES337" s="109">
        <f t="shared" si="410"/>
        <v>0</v>
      </c>
      <c r="ET337" s="109">
        <f t="shared" si="411"/>
        <v>0</v>
      </c>
      <c r="EU337" s="109"/>
      <c r="EV337" s="109"/>
      <c r="EW337" s="111"/>
      <c r="EX337" s="111"/>
      <c r="EY337" s="165"/>
      <c r="EZ337" s="109">
        <f t="shared" si="412"/>
        <v>0</v>
      </c>
      <c r="FA337" s="109">
        <f t="shared" si="413"/>
        <v>0</v>
      </c>
      <c r="FB337" s="109"/>
      <c r="FC337" s="109"/>
      <c r="FD337" s="111"/>
      <c r="FE337" s="111"/>
      <c r="FF337" s="165"/>
      <c r="FG337" s="109">
        <f t="shared" si="414"/>
        <v>0</v>
      </c>
      <c r="FH337" s="109">
        <f t="shared" si="415"/>
        <v>0</v>
      </c>
      <c r="FI337" s="109"/>
      <c r="FJ337" s="109"/>
      <c r="FK337" s="111"/>
      <c r="FL337" s="111"/>
      <c r="FM337" s="165"/>
      <c r="FN337" s="109">
        <f t="shared" si="416"/>
        <v>0</v>
      </c>
      <c r="FO337" s="109">
        <f t="shared" si="417"/>
        <v>0</v>
      </c>
      <c r="FP337" s="109"/>
      <c r="FQ337" s="109"/>
      <c r="FR337" s="111"/>
      <c r="FS337" s="111"/>
      <c r="FT337" s="165"/>
      <c r="FU337" s="109">
        <f t="shared" si="418"/>
        <v>0</v>
      </c>
      <c r="FV337" s="109">
        <f t="shared" si="426"/>
        <v>0</v>
      </c>
      <c r="FW337" s="109"/>
      <c r="FX337" s="109"/>
      <c r="FY337" s="111"/>
      <c r="FZ337" s="111"/>
      <c r="GA337" s="165"/>
      <c r="GB337" s="109">
        <f t="shared" si="419"/>
        <v>0</v>
      </c>
      <c r="GC337" s="109">
        <f t="shared" si="427"/>
        <v>0</v>
      </c>
      <c r="GD337" s="109"/>
      <c r="GE337" s="109"/>
      <c r="GF337" s="111"/>
      <c r="GG337" s="111"/>
      <c r="GH337" s="165"/>
      <c r="GI337" s="109">
        <f t="shared" si="420"/>
        <v>0</v>
      </c>
      <c r="GJ337" s="109">
        <f t="shared" si="428"/>
        <v>0</v>
      </c>
      <c r="GK337" s="109"/>
      <c r="GL337" s="109"/>
      <c r="GM337" s="111"/>
      <c r="GN337" s="111"/>
      <c r="GO337" s="165"/>
      <c r="GP337" s="109">
        <f t="shared" si="421"/>
        <v>0</v>
      </c>
      <c r="GQ337" s="109">
        <f t="shared" si="429"/>
        <v>0</v>
      </c>
      <c r="GR337" s="109"/>
      <c r="GS337" s="109"/>
      <c r="GT337" s="111"/>
      <c r="GU337" s="111"/>
      <c r="GV337" s="165"/>
      <c r="GW337" s="168">
        <f t="shared" si="422"/>
        <v>0</v>
      </c>
      <c r="GX337" s="168">
        <f t="shared" si="430"/>
        <v>0</v>
      </c>
      <c r="GY337" s="168"/>
      <c r="GZ337" s="168"/>
      <c r="HA337" s="111"/>
      <c r="HB337" s="111"/>
      <c r="HC337" s="165"/>
      <c r="HD337" s="109">
        <f t="shared" si="423"/>
        <v>0</v>
      </c>
      <c r="HE337" s="109">
        <f t="shared" si="431"/>
        <v>0</v>
      </c>
      <c r="HF337" s="109"/>
      <c r="HG337" s="109"/>
      <c r="HH337" s="111"/>
      <c r="HI337" s="111"/>
      <c r="HJ337" s="165"/>
      <c r="HK337" s="109">
        <f t="shared" si="424"/>
        <v>0</v>
      </c>
      <c r="HL337" s="109">
        <f t="shared" si="432"/>
        <v>0</v>
      </c>
      <c r="HM337" s="109"/>
      <c r="HN337" s="109"/>
      <c r="HO337" s="111"/>
      <c r="HP337" s="111"/>
      <c r="HQ337" s="165"/>
      <c r="HR337" s="109">
        <f t="shared" si="425"/>
        <v>0</v>
      </c>
      <c r="HS337" s="109">
        <f t="shared" si="433"/>
        <v>0</v>
      </c>
      <c r="HT337" s="109"/>
      <c r="HU337" s="109"/>
      <c r="HV337" s="111"/>
      <c r="HW337" s="111"/>
      <c r="HX337" s="105">
        <f t="shared" si="451"/>
        <v>0</v>
      </c>
      <c r="HY337" s="105">
        <f t="shared" si="451"/>
        <v>0</v>
      </c>
      <c r="HZ337" s="105">
        <f t="shared" si="451"/>
        <v>0</v>
      </c>
      <c r="IA337" s="105">
        <f t="shared" si="445"/>
        <v>0</v>
      </c>
      <c r="IB337" s="109">
        <f t="shared" si="446"/>
        <v>0</v>
      </c>
      <c r="IC337" s="109">
        <f t="shared" si="447"/>
        <v>0</v>
      </c>
      <c r="ID337" s="109">
        <f t="shared" si="448"/>
        <v>0</v>
      </c>
      <c r="IE337" s="109">
        <f t="shared" si="449"/>
        <v>0</v>
      </c>
      <c r="IF337" s="197"/>
      <c r="IG337" s="197"/>
      <c r="IH337" s="197"/>
      <c r="II337" s="197"/>
      <c r="IJ337" s="197"/>
      <c r="IK337" s="197"/>
      <c r="IL337" s="197"/>
      <c r="IM337" s="171"/>
      <c r="IN337" s="171"/>
      <c r="IO337" s="171"/>
      <c r="IP337" s="171"/>
    </row>
    <row r="338" spans="1:250" ht="15" customHeight="1" x14ac:dyDescent="0.3">
      <c r="A338" s="110">
        <f t="shared" si="450"/>
        <v>334</v>
      </c>
      <c r="B338" s="111"/>
      <c r="C338" s="111"/>
      <c r="D338" s="111"/>
      <c r="E338" s="111"/>
      <c r="F338" s="111"/>
      <c r="G338" s="111"/>
      <c r="H338" s="111"/>
      <c r="I338" s="194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75"/>
      <c r="AI338" s="111"/>
      <c r="AJ338" s="111"/>
      <c r="AK338" s="111"/>
      <c r="AL338" s="177"/>
      <c r="AM338" s="176"/>
      <c r="AN338" s="177"/>
      <c r="AO338" s="157"/>
      <c r="AP338" s="158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  <c r="BB338" s="111"/>
      <c r="BC338" s="111"/>
      <c r="BD338" s="111"/>
      <c r="BE338" s="111"/>
      <c r="BF338" s="111"/>
      <c r="BG338" s="111"/>
      <c r="BH338" s="111"/>
      <c r="BI338" s="111"/>
      <c r="BJ338" s="111"/>
      <c r="BK338" s="111"/>
      <c r="BL338" s="175"/>
      <c r="BM338" s="111"/>
      <c r="BN338" s="111"/>
      <c r="BO338" s="111"/>
      <c r="BP338" s="111"/>
      <c r="BQ338" s="111"/>
      <c r="BR338" s="111"/>
      <c r="BS338" s="111"/>
      <c r="BT338" s="111"/>
      <c r="BU338" s="111"/>
      <c r="BV338" s="111"/>
      <c r="BW338" s="111"/>
      <c r="BX338" s="111"/>
      <c r="BY338" s="111"/>
      <c r="BZ338" s="111"/>
      <c r="CA338" s="111"/>
      <c r="CB338" s="111"/>
      <c r="CC338" s="178"/>
      <c r="CD338" s="177">
        <f t="shared" si="434"/>
        <v>0</v>
      </c>
      <c r="CE338" s="148"/>
      <c r="CF338" s="111">
        <f t="shared" si="435"/>
        <v>0</v>
      </c>
      <c r="CG338" s="177"/>
      <c r="CH338" s="204"/>
      <c r="CI338" s="148"/>
      <c r="CJ338" s="165"/>
      <c r="CK338" s="165"/>
      <c r="CL338" s="111"/>
      <c r="CM338" s="111"/>
      <c r="CN338" s="165">
        <f t="shared" si="436"/>
        <v>0</v>
      </c>
      <c r="CO338" s="109">
        <f t="shared" si="437"/>
        <v>0</v>
      </c>
      <c r="CP338" s="109">
        <f t="shared" si="438"/>
        <v>0</v>
      </c>
      <c r="CQ338" s="109"/>
      <c r="CR338" s="109"/>
      <c r="CS338" s="196"/>
      <c r="CT338" s="167"/>
      <c r="CU338" s="165"/>
      <c r="CV338" s="109">
        <f t="shared" si="439"/>
        <v>0</v>
      </c>
      <c r="CW338" s="109">
        <f t="shared" si="440"/>
        <v>0</v>
      </c>
      <c r="CX338" s="109"/>
      <c r="CY338" s="109"/>
      <c r="CZ338" s="111"/>
      <c r="DA338" s="111"/>
      <c r="DB338" s="165"/>
      <c r="DC338" s="109">
        <f t="shared" si="441"/>
        <v>0</v>
      </c>
      <c r="DD338" s="109">
        <f t="shared" si="442"/>
        <v>0</v>
      </c>
      <c r="DE338" s="109"/>
      <c r="DF338" s="109"/>
      <c r="DG338" s="111"/>
      <c r="DH338" s="111"/>
      <c r="DI338" s="165"/>
      <c r="DJ338" s="109">
        <f t="shared" si="443"/>
        <v>0</v>
      </c>
      <c r="DK338" s="109">
        <f t="shared" si="444"/>
        <v>0</v>
      </c>
      <c r="DL338" s="109"/>
      <c r="DM338" s="109"/>
      <c r="DN338" s="111"/>
      <c r="DO338" s="111"/>
      <c r="DP338" s="165"/>
      <c r="DQ338" s="109">
        <f t="shared" si="402"/>
        <v>0</v>
      </c>
      <c r="DR338" s="109">
        <f t="shared" si="403"/>
        <v>0</v>
      </c>
      <c r="DS338" s="109"/>
      <c r="DT338" s="109"/>
      <c r="DU338" s="111"/>
      <c r="DV338" s="111"/>
      <c r="DW338" s="165"/>
      <c r="DX338" s="109">
        <f t="shared" si="404"/>
        <v>0</v>
      </c>
      <c r="DY338" s="109">
        <f t="shared" si="405"/>
        <v>0</v>
      </c>
      <c r="DZ338" s="109"/>
      <c r="EA338" s="109"/>
      <c r="EB338" s="111"/>
      <c r="EC338" s="111"/>
      <c r="ED338" s="165"/>
      <c r="EE338" s="109">
        <f t="shared" si="406"/>
        <v>0</v>
      </c>
      <c r="EF338" s="109">
        <f t="shared" si="407"/>
        <v>0</v>
      </c>
      <c r="EG338" s="109"/>
      <c r="EH338" s="109"/>
      <c r="EI338" s="111"/>
      <c r="EJ338" s="111"/>
      <c r="EK338" s="165"/>
      <c r="EL338" s="109">
        <f t="shared" si="408"/>
        <v>0</v>
      </c>
      <c r="EM338" s="109">
        <f t="shared" si="409"/>
        <v>0</v>
      </c>
      <c r="EN338" s="109"/>
      <c r="EO338" s="109"/>
      <c r="EP338" s="111"/>
      <c r="EQ338" s="111"/>
      <c r="ER338" s="165"/>
      <c r="ES338" s="109">
        <f t="shared" si="410"/>
        <v>0</v>
      </c>
      <c r="ET338" s="109">
        <f t="shared" si="411"/>
        <v>0</v>
      </c>
      <c r="EU338" s="109"/>
      <c r="EV338" s="109"/>
      <c r="EW338" s="111"/>
      <c r="EX338" s="111"/>
      <c r="EY338" s="165"/>
      <c r="EZ338" s="109">
        <f t="shared" si="412"/>
        <v>0</v>
      </c>
      <c r="FA338" s="109">
        <f t="shared" si="413"/>
        <v>0</v>
      </c>
      <c r="FB338" s="109"/>
      <c r="FC338" s="109"/>
      <c r="FD338" s="111"/>
      <c r="FE338" s="111"/>
      <c r="FF338" s="165"/>
      <c r="FG338" s="109">
        <f t="shared" si="414"/>
        <v>0</v>
      </c>
      <c r="FH338" s="109">
        <f t="shared" si="415"/>
        <v>0</v>
      </c>
      <c r="FI338" s="109"/>
      <c r="FJ338" s="109"/>
      <c r="FK338" s="111"/>
      <c r="FL338" s="111"/>
      <c r="FM338" s="165"/>
      <c r="FN338" s="109">
        <f t="shared" si="416"/>
        <v>0</v>
      </c>
      <c r="FO338" s="109">
        <f t="shared" si="417"/>
        <v>0</v>
      </c>
      <c r="FP338" s="109"/>
      <c r="FQ338" s="109"/>
      <c r="FR338" s="111"/>
      <c r="FS338" s="111"/>
      <c r="FT338" s="165"/>
      <c r="FU338" s="109">
        <f t="shared" si="418"/>
        <v>0</v>
      </c>
      <c r="FV338" s="109">
        <f t="shared" si="426"/>
        <v>0</v>
      </c>
      <c r="FW338" s="109"/>
      <c r="FX338" s="109"/>
      <c r="FY338" s="111"/>
      <c r="FZ338" s="111"/>
      <c r="GA338" s="165"/>
      <c r="GB338" s="109">
        <f t="shared" si="419"/>
        <v>0</v>
      </c>
      <c r="GC338" s="109">
        <f t="shared" si="427"/>
        <v>0</v>
      </c>
      <c r="GD338" s="109"/>
      <c r="GE338" s="109"/>
      <c r="GF338" s="111"/>
      <c r="GG338" s="111"/>
      <c r="GH338" s="165"/>
      <c r="GI338" s="109">
        <f t="shared" si="420"/>
        <v>0</v>
      </c>
      <c r="GJ338" s="109">
        <f t="shared" si="428"/>
        <v>0</v>
      </c>
      <c r="GK338" s="109"/>
      <c r="GL338" s="109"/>
      <c r="GM338" s="111"/>
      <c r="GN338" s="111"/>
      <c r="GO338" s="165"/>
      <c r="GP338" s="109">
        <f t="shared" si="421"/>
        <v>0</v>
      </c>
      <c r="GQ338" s="109">
        <f t="shared" si="429"/>
        <v>0</v>
      </c>
      <c r="GR338" s="109"/>
      <c r="GS338" s="109"/>
      <c r="GT338" s="111"/>
      <c r="GU338" s="111"/>
      <c r="GV338" s="165"/>
      <c r="GW338" s="168">
        <f t="shared" si="422"/>
        <v>0</v>
      </c>
      <c r="GX338" s="168">
        <f t="shared" si="430"/>
        <v>0</v>
      </c>
      <c r="GY338" s="168"/>
      <c r="GZ338" s="168"/>
      <c r="HA338" s="111"/>
      <c r="HB338" s="111"/>
      <c r="HC338" s="165"/>
      <c r="HD338" s="109">
        <f t="shared" si="423"/>
        <v>0</v>
      </c>
      <c r="HE338" s="109">
        <f t="shared" si="431"/>
        <v>0</v>
      </c>
      <c r="HF338" s="109"/>
      <c r="HG338" s="109"/>
      <c r="HH338" s="111"/>
      <c r="HI338" s="111"/>
      <c r="HJ338" s="165"/>
      <c r="HK338" s="109">
        <f t="shared" si="424"/>
        <v>0</v>
      </c>
      <c r="HL338" s="109">
        <f t="shared" si="432"/>
        <v>0</v>
      </c>
      <c r="HM338" s="109"/>
      <c r="HN338" s="109"/>
      <c r="HO338" s="111"/>
      <c r="HP338" s="111"/>
      <c r="HQ338" s="165"/>
      <c r="HR338" s="109">
        <f t="shared" si="425"/>
        <v>0</v>
      </c>
      <c r="HS338" s="109">
        <f t="shared" si="433"/>
        <v>0</v>
      </c>
      <c r="HT338" s="109"/>
      <c r="HU338" s="109"/>
      <c r="HV338" s="111"/>
      <c r="HW338" s="111"/>
      <c r="HX338" s="105">
        <f t="shared" si="451"/>
        <v>0</v>
      </c>
      <c r="HY338" s="105">
        <f t="shared" si="451"/>
        <v>0</v>
      </c>
      <c r="HZ338" s="105">
        <f t="shared" si="451"/>
        <v>0</v>
      </c>
      <c r="IA338" s="105">
        <f t="shared" si="445"/>
        <v>0</v>
      </c>
      <c r="IB338" s="109">
        <f t="shared" si="446"/>
        <v>0</v>
      </c>
      <c r="IC338" s="109">
        <f t="shared" si="447"/>
        <v>0</v>
      </c>
      <c r="ID338" s="109">
        <f t="shared" si="448"/>
        <v>0</v>
      </c>
      <c r="IE338" s="109">
        <f t="shared" si="449"/>
        <v>0</v>
      </c>
      <c r="IF338" s="197"/>
      <c r="IG338" s="197"/>
      <c r="IH338" s="197"/>
      <c r="II338" s="197"/>
      <c r="IJ338" s="197"/>
      <c r="IK338" s="197"/>
      <c r="IL338" s="197"/>
      <c r="IM338" s="171"/>
      <c r="IN338" s="171"/>
      <c r="IO338" s="171"/>
      <c r="IP338" s="171"/>
    </row>
    <row r="339" spans="1:250" ht="15" customHeight="1" x14ac:dyDescent="0.3">
      <c r="A339" s="110">
        <f t="shared" si="450"/>
        <v>335</v>
      </c>
      <c r="B339" s="111"/>
      <c r="C339" s="111"/>
      <c r="D339" s="111"/>
      <c r="E339" s="111"/>
      <c r="F339" s="111"/>
      <c r="G339" s="111"/>
      <c r="H339" s="111"/>
      <c r="I339" s="194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75"/>
      <c r="AI339" s="111"/>
      <c r="AJ339" s="111"/>
      <c r="AK339" s="111"/>
      <c r="AL339" s="177"/>
      <c r="AM339" s="176"/>
      <c r="AN339" s="177"/>
      <c r="AO339" s="157"/>
      <c r="AP339" s="158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  <c r="BB339" s="111"/>
      <c r="BC339" s="111"/>
      <c r="BD339" s="111"/>
      <c r="BE339" s="111"/>
      <c r="BF339" s="111"/>
      <c r="BG339" s="111"/>
      <c r="BH339" s="111"/>
      <c r="BI339" s="111"/>
      <c r="BJ339" s="111"/>
      <c r="BK339" s="111"/>
      <c r="BL339" s="175"/>
      <c r="BM339" s="111"/>
      <c r="BN339" s="111"/>
      <c r="BO339" s="111"/>
      <c r="BP339" s="111"/>
      <c r="BQ339" s="111"/>
      <c r="BR339" s="111"/>
      <c r="BS339" s="111"/>
      <c r="BT339" s="111"/>
      <c r="BU339" s="111"/>
      <c r="BV339" s="111"/>
      <c r="BW339" s="111"/>
      <c r="BX339" s="111"/>
      <c r="BY339" s="111"/>
      <c r="BZ339" s="111"/>
      <c r="CA339" s="111"/>
      <c r="CB339" s="111"/>
      <c r="CC339" s="178"/>
      <c r="CD339" s="177">
        <f t="shared" si="434"/>
        <v>0</v>
      </c>
      <c r="CE339" s="148"/>
      <c r="CF339" s="111">
        <f t="shared" si="435"/>
        <v>0</v>
      </c>
      <c r="CG339" s="177"/>
      <c r="CH339" s="204"/>
      <c r="CI339" s="148"/>
      <c r="CJ339" s="165"/>
      <c r="CK339" s="165"/>
      <c r="CL339" s="111"/>
      <c r="CM339" s="111"/>
      <c r="CN339" s="165">
        <f t="shared" si="436"/>
        <v>0</v>
      </c>
      <c r="CO339" s="109">
        <f t="shared" si="437"/>
        <v>0</v>
      </c>
      <c r="CP339" s="109">
        <f t="shared" si="438"/>
        <v>0</v>
      </c>
      <c r="CQ339" s="109"/>
      <c r="CR339" s="109"/>
      <c r="CS339" s="196"/>
      <c r="CT339" s="167"/>
      <c r="CU339" s="165"/>
      <c r="CV339" s="109">
        <f t="shared" si="439"/>
        <v>0</v>
      </c>
      <c r="CW339" s="109">
        <f t="shared" si="440"/>
        <v>0</v>
      </c>
      <c r="CX339" s="109"/>
      <c r="CY339" s="109"/>
      <c r="CZ339" s="111"/>
      <c r="DA339" s="111"/>
      <c r="DB339" s="165"/>
      <c r="DC339" s="109">
        <f t="shared" si="441"/>
        <v>0</v>
      </c>
      <c r="DD339" s="109">
        <f t="shared" si="442"/>
        <v>0</v>
      </c>
      <c r="DE339" s="109"/>
      <c r="DF339" s="109"/>
      <c r="DG339" s="111"/>
      <c r="DH339" s="111"/>
      <c r="DI339" s="165"/>
      <c r="DJ339" s="109">
        <f t="shared" si="443"/>
        <v>0</v>
      </c>
      <c r="DK339" s="109">
        <f t="shared" si="444"/>
        <v>0</v>
      </c>
      <c r="DL339" s="109"/>
      <c r="DM339" s="109"/>
      <c r="DN339" s="111"/>
      <c r="DO339" s="111"/>
      <c r="DP339" s="165"/>
      <c r="DQ339" s="109">
        <f t="shared" si="402"/>
        <v>0</v>
      </c>
      <c r="DR339" s="109">
        <f t="shared" si="403"/>
        <v>0</v>
      </c>
      <c r="DS339" s="109"/>
      <c r="DT339" s="109"/>
      <c r="DU339" s="111"/>
      <c r="DV339" s="111"/>
      <c r="DW339" s="165"/>
      <c r="DX339" s="109">
        <f t="shared" si="404"/>
        <v>0</v>
      </c>
      <c r="DY339" s="109">
        <f t="shared" si="405"/>
        <v>0</v>
      </c>
      <c r="DZ339" s="109"/>
      <c r="EA339" s="109"/>
      <c r="EB339" s="111"/>
      <c r="EC339" s="111"/>
      <c r="ED339" s="165"/>
      <c r="EE339" s="109">
        <f t="shared" si="406"/>
        <v>0</v>
      </c>
      <c r="EF339" s="109">
        <f t="shared" si="407"/>
        <v>0</v>
      </c>
      <c r="EG339" s="109"/>
      <c r="EH339" s="109"/>
      <c r="EI339" s="111"/>
      <c r="EJ339" s="111"/>
      <c r="EK339" s="165"/>
      <c r="EL339" s="109">
        <f t="shared" si="408"/>
        <v>0</v>
      </c>
      <c r="EM339" s="109">
        <f t="shared" si="409"/>
        <v>0</v>
      </c>
      <c r="EN339" s="109"/>
      <c r="EO339" s="109"/>
      <c r="EP339" s="111"/>
      <c r="EQ339" s="111"/>
      <c r="ER339" s="165"/>
      <c r="ES339" s="109">
        <f t="shared" si="410"/>
        <v>0</v>
      </c>
      <c r="ET339" s="109">
        <f t="shared" si="411"/>
        <v>0</v>
      </c>
      <c r="EU339" s="109"/>
      <c r="EV339" s="109"/>
      <c r="EW339" s="111"/>
      <c r="EX339" s="111"/>
      <c r="EY339" s="165"/>
      <c r="EZ339" s="109">
        <f t="shared" si="412"/>
        <v>0</v>
      </c>
      <c r="FA339" s="109">
        <f t="shared" si="413"/>
        <v>0</v>
      </c>
      <c r="FB339" s="109"/>
      <c r="FC339" s="109"/>
      <c r="FD339" s="111"/>
      <c r="FE339" s="111"/>
      <c r="FF339" s="165"/>
      <c r="FG339" s="109">
        <f t="shared" si="414"/>
        <v>0</v>
      </c>
      <c r="FH339" s="109">
        <f t="shared" si="415"/>
        <v>0</v>
      </c>
      <c r="FI339" s="109"/>
      <c r="FJ339" s="109"/>
      <c r="FK339" s="111"/>
      <c r="FL339" s="111"/>
      <c r="FM339" s="165"/>
      <c r="FN339" s="109">
        <f t="shared" si="416"/>
        <v>0</v>
      </c>
      <c r="FO339" s="109">
        <f t="shared" si="417"/>
        <v>0</v>
      </c>
      <c r="FP339" s="109"/>
      <c r="FQ339" s="109"/>
      <c r="FR339" s="111"/>
      <c r="FS339" s="111"/>
      <c r="FT339" s="165"/>
      <c r="FU339" s="109">
        <f t="shared" si="418"/>
        <v>0</v>
      </c>
      <c r="FV339" s="109">
        <f t="shared" si="426"/>
        <v>0</v>
      </c>
      <c r="FW339" s="109"/>
      <c r="FX339" s="109"/>
      <c r="FY339" s="111"/>
      <c r="FZ339" s="111"/>
      <c r="GA339" s="165"/>
      <c r="GB339" s="109">
        <f t="shared" si="419"/>
        <v>0</v>
      </c>
      <c r="GC339" s="109">
        <f t="shared" si="427"/>
        <v>0</v>
      </c>
      <c r="GD339" s="109"/>
      <c r="GE339" s="109"/>
      <c r="GF339" s="111"/>
      <c r="GG339" s="111"/>
      <c r="GH339" s="165"/>
      <c r="GI339" s="109">
        <f t="shared" si="420"/>
        <v>0</v>
      </c>
      <c r="GJ339" s="109">
        <f t="shared" si="428"/>
        <v>0</v>
      </c>
      <c r="GK339" s="109"/>
      <c r="GL339" s="109"/>
      <c r="GM339" s="111"/>
      <c r="GN339" s="111"/>
      <c r="GO339" s="165"/>
      <c r="GP339" s="109">
        <f t="shared" si="421"/>
        <v>0</v>
      </c>
      <c r="GQ339" s="109">
        <f t="shared" si="429"/>
        <v>0</v>
      </c>
      <c r="GR339" s="109"/>
      <c r="GS339" s="109"/>
      <c r="GT339" s="111"/>
      <c r="GU339" s="111"/>
      <c r="GV339" s="165"/>
      <c r="GW339" s="168">
        <f t="shared" si="422"/>
        <v>0</v>
      </c>
      <c r="GX339" s="168">
        <f t="shared" si="430"/>
        <v>0</v>
      </c>
      <c r="GY339" s="168"/>
      <c r="GZ339" s="168"/>
      <c r="HA339" s="111"/>
      <c r="HB339" s="111"/>
      <c r="HC339" s="165"/>
      <c r="HD339" s="109">
        <f t="shared" si="423"/>
        <v>0</v>
      </c>
      <c r="HE339" s="109">
        <f t="shared" si="431"/>
        <v>0</v>
      </c>
      <c r="HF339" s="109"/>
      <c r="HG339" s="109"/>
      <c r="HH339" s="111"/>
      <c r="HI339" s="111"/>
      <c r="HJ339" s="165"/>
      <c r="HK339" s="109">
        <f t="shared" si="424"/>
        <v>0</v>
      </c>
      <c r="HL339" s="109">
        <f t="shared" si="432"/>
        <v>0</v>
      </c>
      <c r="HM339" s="109"/>
      <c r="HN339" s="109"/>
      <c r="HO339" s="111"/>
      <c r="HP339" s="111"/>
      <c r="HQ339" s="165"/>
      <c r="HR339" s="109">
        <f t="shared" si="425"/>
        <v>0</v>
      </c>
      <c r="HS339" s="109">
        <f t="shared" si="433"/>
        <v>0</v>
      </c>
      <c r="HT339" s="109"/>
      <c r="HU339" s="109"/>
      <c r="HV339" s="111"/>
      <c r="HW339" s="111"/>
      <c r="HX339" s="105">
        <f t="shared" si="451"/>
        <v>0</v>
      </c>
      <c r="HY339" s="105">
        <f t="shared" si="451"/>
        <v>0</v>
      </c>
      <c r="HZ339" s="105">
        <f t="shared" si="451"/>
        <v>0</v>
      </c>
      <c r="IA339" s="105">
        <f t="shared" si="445"/>
        <v>0</v>
      </c>
      <c r="IB339" s="109">
        <f t="shared" si="446"/>
        <v>0</v>
      </c>
      <c r="IC339" s="109">
        <f t="shared" si="447"/>
        <v>0</v>
      </c>
      <c r="ID339" s="109">
        <f t="shared" si="448"/>
        <v>0</v>
      </c>
      <c r="IE339" s="109">
        <f t="shared" si="449"/>
        <v>0</v>
      </c>
      <c r="IF339" s="197"/>
      <c r="IG339" s="197"/>
      <c r="IH339" s="197"/>
      <c r="II339" s="197"/>
      <c r="IJ339" s="197"/>
      <c r="IK339" s="197"/>
      <c r="IL339" s="197"/>
      <c r="IM339" s="171"/>
      <c r="IN339" s="171"/>
      <c r="IO339" s="171"/>
      <c r="IP339" s="171"/>
    </row>
    <row r="340" spans="1:250" ht="15" customHeight="1" x14ac:dyDescent="0.3">
      <c r="A340" s="110">
        <f t="shared" si="450"/>
        <v>336</v>
      </c>
      <c r="B340" s="111"/>
      <c r="C340" s="111"/>
      <c r="D340" s="111"/>
      <c r="E340" s="111"/>
      <c r="F340" s="111"/>
      <c r="G340" s="111"/>
      <c r="H340" s="111"/>
      <c r="I340" s="194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75"/>
      <c r="AI340" s="111"/>
      <c r="AJ340" s="111"/>
      <c r="AK340" s="111"/>
      <c r="AL340" s="177"/>
      <c r="AM340" s="176"/>
      <c r="AN340" s="177"/>
      <c r="AO340" s="157"/>
      <c r="AP340" s="158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  <c r="BB340" s="111"/>
      <c r="BC340" s="111"/>
      <c r="BD340" s="111"/>
      <c r="BE340" s="111"/>
      <c r="BF340" s="111"/>
      <c r="BG340" s="111"/>
      <c r="BH340" s="111"/>
      <c r="BI340" s="111"/>
      <c r="BJ340" s="111"/>
      <c r="BK340" s="111"/>
      <c r="BL340" s="175"/>
      <c r="BM340" s="111"/>
      <c r="BN340" s="111"/>
      <c r="BO340" s="111"/>
      <c r="BP340" s="111"/>
      <c r="BQ340" s="111"/>
      <c r="BR340" s="111"/>
      <c r="BS340" s="111"/>
      <c r="BT340" s="111"/>
      <c r="BU340" s="111"/>
      <c r="BV340" s="111"/>
      <c r="BW340" s="111"/>
      <c r="BX340" s="111"/>
      <c r="BY340" s="111"/>
      <c r="BZ340" s="111"/>
      <c r="CA340" s="111"/>
      <c r="CB340" s="111"/>
      <c r="CC340" s="178"/>
      <c r="CD340" s="177">
        <f t="shared" si="434"/>
        <v>0</v>
      </c>
      <c r="CE340" s="148"/>
      <c r="CF340" s="111">
        <f t="shared" si="435"/>
        <v>0</v>
      </c>
      <c r="CG340" s="177"/>
      <c r="CH340" s="204"/>
      <c r="CI340" s="148"/>
      <c r="CJ340" s="165"/>
      <c r="CK340" s="165"/>
      <c r="CL340" s="111"/>
      <c r="CM340" s="111"/>
      <c r="CN340" s="165">
        <f t="shared" si="436"/>
        <v>0</v>
      </c>
      <c r="CO340" s="109">
        <f t="shared" si="437"/>
        <v>0</v>
      </c>
      <c r="CP340" s="109">
        <f t="shared" si="438"/>
        <v>0</v>
      </c>
      <c r="CQ340" s="109"/>
      <c r="CR340" s="109"/>
      <c r="CS340" s="196"/>
      <c r="CT340" s="167"/>
      <c r="CU340" s="165"/>
      <c r="CV340" s="109">
        <f t="shared" si="439"/>
        <v>0</v>
      </c>
      <c r="CW340" s="109">
        <f t="shared" si="440"/>
        <v>0</v>
      </c>
      <c r="CX340" s="109"/>
      <c r="CY340" s="109"/>
      <c r="CZ340" s="111"/>
      <c r="DA340" s="111"/>
      <c r="DB340" s="165"/>
      <c r="DC340" s="109">
        <f t="shared" si="441"/>
        <v>0</v>
      </c>
      <c r="DD340" s="109">
        <f t="shared" si="442"/>
        <v>0</v>
      </c>
      <c r="DE340" s="109"/>
      <c r="DF340" s="109"/>
      <c r="DG340" s="111"/>
      <c r="DH340" s="111"/>
      <c r="DI340" s="165"/>
      <c r="DJ340" s="109">
        <f t="shared" si="443"/>
        <v>0</v>
      </c>
      <c r="DK340" s="109">
        <f t="shared" si="444"/>
        <v>0</v>
      </c>
      <c r="DL340" s="109"/>
      <c r="DM340" s="109"/>
      <c r="DN340" s="111"/>
      <c r="DO340" s="111"/>
      <c r="DP340" s="165"/>
      <c r="DQ340" s="109">
        <f t="shared" si="402"/>
        <v>0</v>
      </c>
      <c r="DR340" s="109">
        <f t="shared" si="403"/>
        <v>0</v>
      </c>
      <c r="DS340" s="109"/>
      <c r="DT340" s="109"/>
      <c r="DU340" s="111"/>
      <c r="DV340" s="111"/>
      <c r="DW340" s="165"/>
      <c r="DX340" s="109">
        <f t="shared" si="404"/>
        <v>0</v>
      </c>
      <c r="DY340" s="109">
        <f t="shared" si="405"/>
        <v>0</v>
      </c>
      <c r="DZ340" s="109"/>
      <c r="EA340" s="109"/>
      <c r="EB340" s="111"/>
      <c r="EC340" s="111"/>
      <c r="ED340" s="165"/>
      <c r="EE340" s="109">
        <f t="shared" si="406"/>
        <v>0</v>
      </c>
      <c r="EF340" s="109">
        <f t="shared" si="407"/>
        <v>0</v>
      </c>
      <c r="EG340" s="109"/>
      <c r="EH340" s="109"/>
      <c r="EI340" s="111"/>
      <c r="EJ340" s="111"/>
      <c r="EK340" s="165"/>
      <c r="EL340" s="109">
        <f t="shared" si="408"/>
        <v>0</v>
      </c>
      <c r="EM340" s="109">
        <f t="shared" si="409"/>
        <v>0</v>
      </c>
      <c r="EN340" s="109"/>
      <c r="EO340" s="109"/>
      <c r="EP340" s="111"/>
      <c r="EQ340" s="111"/>
      <c r="ER340" s="165"/>
      <c r="ES340" s="109">
        <f t="shared" si="410"/>
        <v>0</v>
      </c>
      <c r="ET340" s="109">
        <f t="shared" si="411"/>
        <v>0</v>
      </c>
      <c r="EU340" s="109"/>
      <c r="EV340" s="109"/>
      <c r="EW340" s="111"/>
      <c r="EX340" s="111"/>
      <c r="EY340" s="165"/>
      <c r="EZ340" s="109">
        <f t="shared" si="412"/>
        <v>0</v>
      </c>
      <c r="FA340" s="109">
        <f t="shared" si="413"/>
        <v>0</v>
      </c>
      <c r="FB340" s="109"/>
      <c r="FC340" s="109"/>
      <c r="FD340" s="111"/>
      <c r="FE340" s="111"/>
      <c r="FF340" s="165"/>
      <c r="FG340" s="109">
        <f t="shared" si="414"/>
        <v>0</v>
      </c>
      <c r="FH340" s="109">
        <f t="shared" si="415"/>
        <v>0</v>
      </c>
      <c r="FI340" s="109"/>
      <c r="FJ340" s="109"/>
      <c r="FK340" s="111"/>
      <c r="FL340" s="111"/>
      <c r="FM340" s="165"/>
      <c r="FN340" s="109">
        <f t="shared" si="416"/>
        <v>0</v>
      </c>
      <c r="FO340" s="109">
        <f t="shared" si="417"/>
        <v>0</v>
      </c>
      <c r="FP340" s="109"/>
      <c r="FQ340" s="109"/>
      <c r="FR340" s="111"/>
      <c r="FS340" s="111"/>
      <c r="FT340" s="165"/>
      <c r="FU340" s="109">
        <f t="shared" si="418"/>
        <v>0</v>
      </c>
      <c r="FV340" s="109">
        <f t="shared" si="426"/>
        <v>0</v>
      </c>
      <c r="FW340" s="109"/>
      <c r="FX340" s="109"/>
      <c r="FY340" s="111"/>
      <c r="FZ340" s="111"/>
      <c r="GA340" s="165"/>
      <c r="GB340" s="109">
        <f t="shared" si="419"/>
        <v>0</v>
      </c>
      <c r="GC340" s="109">
        <f t="shared" si="427"/>
        <v>0</v>
      </c>
      <c r="GD340" s="109"/>
      <c r="GE340" s="109"/>
      <c r="GF340" s="111"/>
      <c r="GG340" s="111"/>
      <c r="GH340" s="165"/>
      <c r="GI340" s="109">
        <f t="shared" si="420"/>
        <v>0</v>
      </c>
      <c r="GJ340" s="109">
        <f t="shared" si="428"/>
        <v>0</v>
      </c>
      <c r="GK340" s="109"/>
      <c r="GL340" s="109"/>
      <c r="GM340" s="111"/>
      <c r="GN340" s="111"/>
      <c r="GO340" s="165"/>
      <c r="GP340" s="109">
        <f t="shared" si="421"/>
        <v>0</v>
      </c>
      <c r="GQ340" s="109">
        <f t="shared" si="429"/>
        <v>0</v>
      </c>
      <c r="GR340" s="109"/>
      <c r="GS340" s="109"/>
      <c r="GT340" s="111"/>
      <c r="GU340" s="111"/>
      <c r="GV340" s="165"/>
      <c r="GW340" s="168">
        <f t="shared" si="422"/>
        <v>0</v>
      </c>
      <c r="GX340" s="168">
        <f t="shared" si="430"/>
        <v>0</v>
      </c>
      <c r="GY340" s="168"/>
      <c r="GZ340" s="168"/>
      <c r="HA340" s="111"/>
      <c r="HB340" s="111"/>
      <c r="HC340" s="165"/>
      <c r="HD340" s="109">
        <f t="shared" si="423"/>
        <v>0</v>
      </c>
      <c r="HE340" s="109">
        <f t="shared" si="431"/>
        <v>0</v>
      </c>
      <c r="HF340" s="109"/>
      <c r="HG340" s="109"/>
      <c r="HH340" s="111"/>
      <c r="HI340" s="111"/>
      <c r="HJ340" s="165"/>
      <c r="HK340" s="109">
        <f t="shared" si="424"/>
        <v>0</v>
      </c>
      <c r="HL340" s="109">
        <f t="shared" si="432"/>
        <v>0</v>
      </c>
      <c r="HM340" s="109"/>
      <c r="HN340" s="109"/>
      <c r="HO340" s="111"/>
      <c r="HP340" s="111"/>
      <c r="HQ340" s="165"/>
      <c r="HR340" s="109">
        <f t="shared" si="425"/>
        <v>0</v>
      </c>
      <c r="HS340" s="109">
        <f t="shared" si="433"/>
        <v>0</v>
      </c>
      <c r="HT340" s="109"/>
      <c r="HU340" s="109"/>
      <c r="HV340" s="111"/>
      <c r="HW340" s="111"/>
      <c r="HX340" s="105">
        <f t="shared" si="451"/>
        <v>0</v>
      </c>
      <c r="HY340" s="105">
        <f t="shared" si="451"/>
        <v>0</v>
      </c>
      <c r="HZ340" s="105">
        <f t="shared" si="451"/>
        <v>0</v>
      </c>
      <c r="IA340" s="105">
        <f t="shared" si="445"/>
        <v>0</v>
      </c>
      <c r="IB340" s="109">
        <f t="shared" si="446"/>
        <v>0</v>
      </c>
      <c r="IC340" s="109">
        <f t="shared" si="447"/>
        <v>0</v>
      </c>
      <c r="ID340" s="109">
        <f t="shared" si="448"/>
        <v>0</v>
      </c>
      <c r="IE340" s="109">
        <f t="shared" si="449"/>
        <v>0</v>
      </c>
      <c r="IF340" s="197"/>
      <c r="IG340" s="197"/>
      <c r="IH340" s="197"/>
      <c r="II340" s="197"/>
      <c r="IJ340" s="197"/>
      <c r="IK340" s="197"/>
      <c r="IL340" s="197"/>
      <c r="IM340" s="171"/>
      <c r="IN340" s="171"/>
      <c r="IO340" s="171"/>
      <c r="IP340" s="171"/>
    </row>
    <row r="341" spans="1:250" ht="15" customHeight="1" x14ac:dyDescent="0.3">
      <c r="A341" s="110">
        <f t="shared" si="450"/>
        <v>337</v>
      </c>
      <c r="B341" s="111"/>
      <c r="C341" s="111"/>
      <c r="D341" s="111"/>
      <c r="E341" s="111"/>
      <c r="F341" s="111"/>
      <c r="G341" s="111"/>
      <c r="H341" s="111"/>
      <c r="I341" s="194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75"/>
      <c r="AI341" s="111"/>
      <c r="AJ341" s="111"/>
      <c r="AK341" s="111"/>
      <c r="AL341" s="177"/>
      <c r="AM341" s="176"/>
      <c r="AN341" s="177"/>
      <c r="AO341" s="157"/>
      <c r="AP341" s="158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  <c r="BB341" s="111"/>
      <c r="BC341" s="111"/>
      <c r="BD341" s="111"/>
      <c r="BE341" s="111"/>
      <c r="BF341" s="111"/>
      <c r="BG341" s="111"/>
      <c r="BH341" s="111"/>
      <c r="BI341" s="111"/>
      <c r="BJ341" s="111"/>
      <c r="BK341" s="111"/>
      <c r="BL341" s="175"/>
      <c r="BM341" s="111"/>
      <c r="BN341" s="111"/>
      <c r="BO341" s="111"/>
      <c r="BP341" s="111"/>
      <c r="BQ341" s="111"/>
      <c r="BR341" s="111"/>
      <c r="BS341" s="111"/>
      <c r="BT341" s="111"/>
      <c r="BU341" s="111"/>
      <c r="BV341" s="111"/>
      <c r="BW341" s="111"/>
      <c r="BX341" s="111"/>
      <c r="BY341" s="111"/>
      <c r="BZ341" s="111"/>
      <c r="CA341" s="111"/>
      <c r="CB341" s="111"/>
      <c r="CC341" s="178"/>
      <c r="CD341" s="177">
        <f t="shared" si="434"/>
        <v>0</v>
      </c>
      <c r="CE341" s="148"/>
      <c r="CF341" s="111">
        <f t="shared" si="435"/>
        <v>0</v>
      </c>
      <c r="CG341" s="177"/>
      <c r="CH341" s="204"/>
      <c r="CI341" s="148"/>
      <c r="CJ341" s="165"/>
      <c r="CK341" s="165"/>
      <c r="CL341" s="111"/>
      <c r="CM341" s="111"/>
      <c r="CN341" s="165">
        <f t="shared" si="436"/>
        <v>0</v>
      </c>
      <c r="CO341" s="109">
        <f t="shared" si="437"/>
        <v>0</v>
      </c>
      <c r="CP341" s="109">
        <f t="shared" si="438"/>
        <v>0</v>
      </c>
      <c r="CQ341" s="109"/>
      <c r="CR341" s="109"/>
      <c r="CS341" s="196"/>
      <c r="CT341" s="167"/>
      <c r="CU341" s="165"/>
      <c r="CV341" s="109">
        <f t="shared" si="439"/>
        <v>0</v>
      </c>
      <c r="CW341" s="109">
        <f t="shared" si="440"/>
        <v>0</v>
      </c>
      <c r="CX341" s="109"/>
      <c r="CY341" s="109"/>
      <c r="CZ341" s="111"/>
      <c r="DA341" s="111"/>
      <c r="DB341" s="165"/>
      <c r="DC341" s="109">
        <f t="shared" si="441"/>
        <v>0</v>
      </c>
      <c r="DD341" s="109">
        <f t="shared" si="442"/>
        <v>0</v>
      </c>
      <c r="DE341" s="109"/>
      <c r="DF341" s="109"/>
      <c r="DG341" s="111"/>
      <c r="DH341" s="111"/>
      <c r="DI341" s="165"/>
      <c r="DJ341" s="109">
        <f t="shared" si="443"/>
        <v>0</v>
      </c>
      <c r="DK341" s="109">
        <f t="shared" si="444"/>
        <v>0</v>
      </c>
      <c r="DL341" s="109"/>
      <c r="DM341" s="109"/>
      <c r="DN341" s="111"/>
      <c r="DO341" s="111"/>
      <c r="DP341" s="165"/>
      <c r="DQ341" s="109">
        <f t="shared" si="402"/>
        <v>0</v>
      </c>
      <c r="DR341" s="109">
        <f t="shared" si="403"/>
        <v>0</v>
      </c>
      <c r="DS341" s="109"/>
      <c r="DT341" s="109"/>
      <c r="DU341" s="111"/>
      <c r="DV341" s="111"/>
      <c r="DW341" s="165"/>
      <c r="DX341" s="109">
        <f t="shared" si="404"/>
        <v>0</v>
      </c>
      <c r="DY341" s="109">
        <f t="shared" si="405"/>
        <v>0</v>
      </c>
      <c r="DZ341" s="109"/>
      <c r="EA341" s="109"/>
      <c r="EB341" s="111"/>
      <c r="EC341" s="111"/>
      <c r="ED341" s="165"/>
      <c r="EE341" s="109">
        <f t="shared" si="406"/>
        <v>0</v>
      </c>
      <c r="EF341" s="109">
        <f t="shared" si="407"/>
        <v>0</v>
      </c>
      <c r="EG341" s="109"/>
      <c r="EH341" s="109"/>
      <c r="EI341" s="111"/>
      <c r="EJ341" s="111"/>
      <c r="EK341" s="165"/>
      <c r="EL341" s="109">
        <f t="shared" si="408"/>
        <v>0</v>
      </c>
      <c r="EM341" s="109">
        <f t="shared" si="409"/>
        <v>0</v>
      </c>
      <c r="EN341" s="109"/>
      <c r="EO341" s="109"/>
      <c r="EP341" s="111"/>
      <c r="EQ341" s="111"/>
      <c r="ER341" s="165"/>
      <c r="ES341" s="109">
        <f t="shared" si="410"/>
        <v>0</v>
      </c>
      <c r="ET341" s="109">
        <f t="shared" si="411"/>
        <v>0</v>
      </c>
      <c r="EU341" s="109"/>
      <c r="EV341" s="109"/>
      <c r="EW341" s="111"/>
      <c r="EX341" s="111"/>
      <c r="EY341" s="165"/>
      <c r="EZ341" s="109">
        <f t="shared" si="412"/>
        <v>0</v>
      </c>
      <c r="FA341" s="109">
        <f t="shared" si="413"/>
        <v>0</v>
      </c>
      <c r="FB341" s="109"/>
      <c r="FC341" s="109"/>
      <c r="FD341" s="111"/>
      <c r="FE341" s="111"/>
      <c r="FF341" s="165"/>
      <c r="FG341" s="109">
        <f t="shared" si="414"/>
        <v>0</v>
      </c>
      <c r="FH341" s="109">
        <f t="shared" si="415"/>
        <v>0</v>
      </c>
      <c r="FI341" s="109"/>
      <c r="FJ341" s="109"/>
      <c r="FK341" s="111"/>
      <c r="FL341" s="111"/>
      <c r="FM341" s="165"/>
      <c r="FN341" s="109">
        <f t="shared" si="416"/>
        <v>0</v>
      </c>
      <c r="FO341" s="109">
        <f t="shared" si="417"/>
        <v>0</v>
      </c>
      <c r="FP341" s="109"/>
      <c r="FQ341" s="109"/>
      <c r="FR341" s="111"/>
      <c r="FS341" s="111"/>
      <c r="FT341" s="165"/>
      <c r="FU341" s="109">
        <f t="shared" si="418"/>
        <v>0</v>
      </c>
      <c r="FV341" s="109">
        <f t="shared" si="426"/>
        <v>0</v>
      </c>
      <c r="FW341" s="109"/>
      <c r="FX341" s="109"/>
      <c r="FY341" s="111"/>
      <c r="FZ341" s="111"/>
      <c r="GA341" s="165"/>
      <c r="GB341" s="109">
        <f t="shared" si="419"/>
        <v>0</v>
      </c>
      <c r="GC341" s="109">
        <f t="shared" si="427"/>
        <v>0</v>
      </c>
      <c r="GD341" s="109"/>
      <c r="GE341" s="109"/>
      <c r="GF341" s="111"/>
      <c r="GG341" s="111"/>
      <c r="GH341" s="165"/>
      <c r="GI341" s="109">
        <f t="shared" si="420"/>
        <v>0</v>
      </c>
      <c r="GJ341" s="109">
        <f t="shared" si="428"/>
        <v>0</v>
      </c>
      <c r="GK341" s="109"/>
      <c r="GL341" s="109"/>
      <c r="GM341" s="111"/>
      <c r="GN341" s="111"/>
      <c r="GO341" s="165"/>
      <c r="GP341" s="109">
        <f t="shared" si="421"/>
        <v>0</v>
      </c>
      <c r="GQ341" s="109">
        <f t="shared" si="429"/>
        <v>0</v>
      </c>
      <c r="GR341" s="109"/>
      <c r="GS341" s="109"/>
      <c r="GT341" s="111"/>
      <c r="GU341" s="111"/>
      <c r="GV341" s="165"/>
      <c r="GW341" s="168">
        <f t="shared" si="422"/>
        <v>0</v>
      </c>
      <c r="GX341" s="168">
        <f t="shared" si="430"/>
        <v>0</v>
      </c>
      <c r="GY341" s="168"/>
      <c r="GZ341" s="168"/>
      <c r="HA341" s="111"/>
      <c r="HB341" s="111"/>
      <c r="HC341" s="165"/>
      <c r="HD341" s="109">
        <f t="shared" si="423"/>
        <v>0</v>
      </c>
      <c r="HE341" s="109">
        <f t="shared" si="431"/>
        <v>0</v>
      </c>
      <c r="HF341" s="109"/>
      <c r="HG341" s="109"/>
      <c r="HH341" s="111"/>
      <c r="HI341" s="111"/>
      <c r="HJ341" s="165"/>
      <c r="HK341" s="109">
        <f t="shared" si="424"/>
        <v>0</v>
      </c>
      <c r="HL341" s="109">
        <f t="shared" si="432"/>
        <v>0</v>
      </c>
      <c r="HM341" s="109"/>
      <c r="HN341" s="109"/>
      <c r="HO341" s="111"/>
      <c r="HP341" s="111"/>
      <c r="HQ341" s="165"/>
      <c r="HR341" s="109">
        <f t="shared" si="425"/>
        <v>0</v>
      </c>
      <c r="HS341" s="109">
        <f t="shared" si="433"/>
        <v>0</v>
      </c>
      <c r="HT341" s="109"/>
      <c r="HU341" s="109"/>
      <c r="HV341" s="111"/>
      <c r="HW341" s="111"/>
      <c r="HX341" s="105">
        <f t="shared" si="451"/>
        <v>0</v>
      </c>
      <c r="HY341" s="105">
        <f t="shared" si="451"/>
        <v>0</v>
      </c>
      <c r="HZ341" s="105">
        <f t="shared" si="451"/>
        <v>0</v>
      </c>
      <c r="IA341" s="105">
        <f t="shared" si="445"/>
        <v>0</v>
      </c>
      <c r="IB341" s="109">
        <f t="shared" si="446"/>
        <v>0</v>
      </c>
      <c r="IC341" s="109">
        <f t="shared" si="447"/>
        <v>0</v>
      </c>
      <c r="ID341" s="109">
        <f t="shared" si="448"/>
        <v>0</v>
      </c>
      <c r="IE341" s="109">
        <f t="shared" si="449"/>
        <v>0</v>
      </c>
      <c r="IF341" s="197"/>
      <c r="IG341" s="197"/>
      <c r="IH341" s="197"/>
      <c r="II341" s="197"/>
      <c r="IJ341" s="197"/>
      <c r="IK341" s="197"/>
      <c r="IL341" s="197"/>
      <c r="IM341" s="171"/>
      <c r="IN341" s="171"/>
      <c r="IO341" s="171"/>
      <c r="IP341" s="171"/>
    </row>
    <row r="342" spans="1:250" ht="15" customHeight="1" x14ac:dyDescent="0.3">
      <c r="A342" s="110">
        <f t="shared" si="450"/>
        <v>338</v>
      </c>
      <c r="B342" s="111"/>
      <c r="C342" s="111"/>
      <c r="D342" s="111"/>
      <c r="E342" s="111"/>
      <c r="F342" s="111"/>
      <c r="G342" s="111"/>
      <c r="H342" s="111"/>
      <c r="I342" s="194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75"/>
      <c r="AI342" s="111"/>
      <c r="AJ342" s="111"/>
      <c r="AK342" s="111"/>
      <c r="AL342" s="177"/>
      <c r="AM342" s="176"/>
      <c r="AN342" s="177"/>
      <c r="AO342" s="157"/>
      <c r="AP342" s="158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  <c r="BB342" s="111"/>
      <c r="BC342" s="111"/>
      <c r="BD342" s="111"/>
      <c r="BE342" s="111"/>
      <c r="BF342" s="111"/>
      <c r="BG342" s="111"/>
      <c r="BH342" s="111"/>
      <c r="BI342" s="111"/>
      <c r="BJ342" s="111"/>
      <c r="BK342" s="111"/>
      <c r="BL342" s="175"/>
      <c r="BM342" s="111"/>
      <c r="BN342" s="111"/>
      <c r="BO342" s="111"/>
      <c r="BP342" s="111"/>
      <c r="BQ342" s="111"/>
      <c r="BR342" s="111"/>
      <c r="BS342" s="111"/>
      <c r="BT342" s="111"/>
      <c r="BU342" s="111"/>
      <c r="BV342" s="111"/>
      <c r="BW342" s="111"/>
      <c r="BX342" s="111"/>
      <c r="BY342" s="111"/>
      <c r="BZ342" s="111"/>
      <c r="CA342" s="111"/>
      <c r="CB342" s="111"/>
      <c r="CC342" s="178"/>
      <c r="CD342" s="177">
        <f t="shared" si="434"/>
        <v>0</v>
      </c>
      <c r="CE342" s="148"/>
      <c r="CF342" s="111">
        <f t="shared" si="435"/>
        <v>0</v>
      </c>
      <c r="CG342" s="177"/>
      <c r="CH342" s="204"/>
      <c r="CI342" s="148"/>
      <c r="CJ342" s="165"/>
      <c r="CK342" s="165"/>
      <c r="CL342" s="111"/>
      <c r="CM342" s="111"/>
      <c r="CN342" s="165">
        <f t="shared" si="436"/>
        <v>0</v>
      </c>
      <c r="CO342" s="109">
        <f t="shared" si="437"/>
        <v>0</v>
      </c>
      <c r="CP342" s="109">
        <f t="shared" si="438"/>
        <v>0</v>
      </c>
      <c r="CQ342" s="109"/>
      <c r="CR342" s="109"/>
      <c r="CS342" s="196"/>
      <c r="CT342" s="167"/>
      <c r="CU342" s="165"/>
      <c r="CV342" s="109">
        <f t="shared" si="439"/>
        <v>0</v>
      </c>
      <c r="CW342" s="109">
        <f t="shared" si="440"/>
        <v>0</v>
      </c>
      <c r="CX342" s="109"/>
      <c r="CY342" s="109"/>
      <c r="CZ342" s="111"/>
      <c r="DA342" s="111"/>
      <c r="DB342" s="165"/>
      <c r="DC342" s="109">
        <f t="shared" si="441"/>
        <v>0</v>
      </c>
      <c r="DD342" s="109">
        <f t="shared" si="442"/>
        <v>0</v>
      </c>
      <c r="DE342" s="109"/>
      <c r="DF342" s="109"/>
      <c r="DG342" s="111"/>
      <c r="DH342" s="111"/>
      <c r="DI342" s="165"/>
      <c r="DJ342" s="109">
        <f t="shared" si="443"/>
        <v>0</v>
      </c>
      <c r="DK342" s="109">
        <f t="shared" si="444"/>
        <v>0</v>
      </c>
      <c r="DL342" s="109"/>
      <c r="DM342" s="109"/>
      <c r="DN342" s="111"/>
      <c r="DO342" s="111"/>
      <c r="DP342" s="165"/>
      <c r="DQ342" s="109">
        <f t="shared" si="402"/>
        <v>0</v>
      </c>
      <c r="DR342" s="109">
        <f t="shared" si="403"/>
        <v>0</v>
      </c>
      <c r="DS342" s="109"/>
      <c r="DT342" s="109"/>
      <c r="DU342" s="111"/>
      <c r="DV342" s="111"/>
      <c r="DW342" s="165"/>
      <c r="DX342" s="109">
        <f t="shared" si="404"/>
        <v>0</v>
      </c>
      <c r="DY342" s="109">
        <f t="shared" si="405"/>
        <v>0</v>
      </c>
      <c r="DZ342" s="109"/>
      <c r="EA342" s="109"/>
      <c r="EB342" s="111"/>
      <c r="EC342" s="111"/>
      <c r="ED342" s="165"/>
      <c r="EE342" s="109">
        <f t="shared" si="406"/>
        <v>0</v>
      </c>
      <c r="EF342" s="109">
        <f t="shared" si="407"/>
        <v>0</v>
      </c>
      <c r="EG342" s="109"/>
      <c r="EH342" s="109"/>
      <c r="EI342" s="111"/>
      <c r="EJ342" s="111"/>
      <c r="EK342" s="165"/>
      <c r="EL342" s="109">
        <f t="shared" si="408"/>
        <v>0</v>
      </c>
      <c r="EM342" s="109">
        <f t="shared" si="409"/>
        <v>0</v>
      </c>
      <c r="EN342" s="109"/>
      <c r="EO342" s="109"/>
      <c r="EP342" s="111"/>
      <c r="EQ342" s="111"/>
      <c r="ER342" s="165"/>
      <c r="ES342" s="109">
        <f t="shared" si="410"/>
        <v>0</v>
      </c>
      <c r="ET342" s="109">
        <f t="shared" si="411"/>
        <v>0</v>
      </c>
      <c r="EU342" s="109"/>
      <c r="EV342" s="109"/>
      <c r="EW342" s="111"/>
      <c r="EX342" s="111"/>
      <c r="EY342" s="165"/>
      <c r="EZ342" s="109">
        <f t="shared" si="412"/>
        <v>0</v>
      </c>
      <c r="FA342" s="109">
        <f t="shared" si="413"/>
        <v>0</v>
      </c>
      <c r="FB342" s="109"/>
      <c r="FC342" s="109"/>
      <c r="FD342" s="111"/>
      <c r="FE342" s="111"/>
      <c r="FF342" s="165"/>
      <c r="FG342" s="109">
        <f t="shared" si="414"/>
        <v>0</v>
      </c>
      <c r="FH342" s="109">
        <f t="shared" si="415"/>
        <v>0</v>
      </c>
      <c r="FI342" s="109"/>
      <c r="FJ342" s="109"/>
      <c r="FK342" s="111"/>
      <c r="FL342" s="111"/>
      <c r="FM342" s="165"/>
      <c r="FN342" s="109">
        <f t="shared" si="416"/>
        <v>0</v>
      </c>
      <c r="FO342" s="109">
        <f t="shared" si="417"/>
        <v>0</v>
      </c>
      <c r="FP342" s="109"/>
      <c r="FQ342" s="109"/>
      <c r="FR342" s="111"/>
      <c r="FS342" s="111"/>
      <c r="FT342" s="165"/>
      <c r="FU342" s="109">
        <f t="shared" si="418"/>
        <v>0</v>
      </c>
      <c r="FV342" s="109">
        <f t="shared" si="426"/>
        <v>0</v>
      </c>
      <c r="FW342" s="109"/>
      <c r="FX342" s="109"/>
      <c r="FY342" s="111"/>
      <c r="FZ342" s="111"/>
      <c r="GA342" s="165"/>
      <c r="GB342" s="109">
        <f t="shared" si="419"/>
        <v>0</v>
      </c>
      <c r="GC342" s="109">
        <f t="shared" si="427"/>
        <v>0</v>
      </c>
      <c r="GD342" s="109"/>
      <c r="GE342" s="109"/>
      <c r="GF342" s="111"/>
      <c r="GG342" s="111"/>
      <c r="GH342" s="165"/>
      <c r="GI342" s="109">
        <f t="shared" si="420"/>
        <v>0</v>
      </c>
      <c r="GJ342" s="109">
        <f t="shared" si="428"/>
        <v>0</v>
      </c>
      <c r="GK342" s="109"/>
      <c r="GL342" s="109"/>
      <c r="GM342" s="111"/>
      <c r="GN342" s="111"/>
      <c r="GO342" s="165"/>
      <c r="GP342" s="109">
        <f t="shared" si="421"/>
        <v>0</v>
      </c>
      <c r="GQ342" s="109">
        <f t="shared" si="429"/>
        <v>0</v>
      </c>
      <c r="GR342" s="109"/>
      <c r="GS342" s="109"/>
      <c r="GT342" s="111"/>
      <c r="GU342" s="111"/>
      <c r="GV342" s="165"/>
      <c r="GW342" s="168">
        <f t="shared" si="422"/>
        <v>0</v>
      </c>
      <c r="GX342" s="168">
        <f t="shared" si="430"/>
        <v>0</v>
      </c>
      <c r="GY342" s="168"/>
      <c r="GZ342" s="168"/>
      <c r="HA342" s="111"/>
      <c r="HB342" s="111"/>
      <c r="HC342" s="165"/>
      <c r="HD342" s="109">
        <f t="shared" si="423"/>
        <v>0</v>
      </c>
      <c r="HE342" s="109">
        <f t="shared" si="431"/>
        <v>0</v>
      </c>
      <c r="HF342" s="109"/>
      <c r="HG342" s="109"/>
      <c r="HH342" s="111"/>
      <c r="HI342" s="111"/>
      <c r="HJ342" s="165"/>
      <c r="HK342" s="109">
        <f t="shared" si="424"/>
        <v>0</v>
      </c>
      <c r="HL342" s="109">
        <f t="shared" si="432"/>
        <v>0</v>
      </c>
      <c r="HM342" s="109"/>
      <c r="HN342" s="109"/>
      <c r="HO342" s="111"/>
      <c r="HP342" s="111"/>
      <c r="HQ342" s="165"/>
      <c r="HR342" s="109">
        <f t="shared" si="425"/>
        <v>0</v>
      </c>
      <c r="HS342" s="109">
        <f t="shared" si="433"/>
        <v>0</v>
      </c>
      <c r="HT342" s="109"/>
      <c r="HU342" s="109"/>
      <c r="HV342" s="111"/>
      <c r="HW342" s="111"/>
      <c r="HX342" s="105">
        <f t="shared" si="451"/>
        <v>0</v>
      </c>
      <c r="HY342" s="105">
        <f t="shared" si="451"/>
        <v>0</v>
      </c>
      <c r="HZ342" s="105">
        <f t="shared" si="451"/>
        <v>0</v>
      </c>
      <c r="IA342" s="105">
        <f t="shared" si="445"/>
        <v>0</v>
      </c>
      <c r="IB342" s="109">
        <f t="shared" si="446"/>
        <v>0</v>
      </c>
      <c r="IC342" s="109">
        <f t="shared" si="447"/>
        <v>0</v>
      </c>
      <c r="ID342" s="109">
        <f t="shared" si="448"/>
        <v>0</v>
      </c>
      <c r="IE342" s="109">
        <f t="shared" si="449"/>
        <v>0</v>
      </c>
      <c r="IF342" s="197"/>
      <c r="IG342" s="197"/>
      <c r="IH342" s="197"/>
      <c r="II342" s="197"/>
      <c r="IJ342" s="197"/>
      <c r="IK342" s="197"/>
      <c r="IL342" s="197"/>
      <c r="IM342" s="171"/>
      <c r="IN342" s="171"/>
      <c r="IO342" s="171"/>
      <c r="IP342" s="171"/>
    </row>
    <row r="343" spans="1:250" ht="15" customHeight="1" x14ac:dyDescent="0.3">
      <c r="A343" s="110">
        <f t="shared" si="450"/>
        <v>339</v>
      </c>
      <c r="B343" s="111"/>
      <c r="C343" s="111"/>
      <c r="D343" s="111"/>
      <c r="E343" s="111"/>
      <c r="F343" s="111"/>
      <c r="G343" s="111"/>
      <c r="H343" s="111"/>
      <c r="I343" s="194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75"/>
      <c r="AI343" s="111"/>
      <c r="AJ343" s="111"/>
      <c r="AK343" s="111"/>
      <c r="AL343" s="177"/>
      <c r="AM343" s="176"/>
      <c r="AN343" s="177"/>
      <c r="AO343" s="157"/>
      <c r="AP343" s="158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  <c r="BB343" s="111"/>
      <c r="BC343" s="111"/>
      <c r="BD343" s="111"/>
      <c r="BE343" s="111"/>
      <c r="BF343" s="111"/>
      <c r="BG343" s="111"/>
      <c r="BH343" s="111"/>
      <c r="BI343" s="111"/>
      <c r="BJ343" s="111"/>
      <c r="BK343" s="111"/>
      <c r="BL343" s="175"/>
      <c r="BM343" s="111"/>
      <c r="BN343" s="111"/>
      <c r="BO343" s="111"/>
      <c r="BP343" s="111"/>
      <c r="BQ343" s="111"/>
      <c r="BR343" s="111"/>
      <c r="BS343" s="111"/>
      <c r="BT343" s="111"/>
      <c r="BU343" s="111"/>
      <c r="BV343" s="111"/>
      <c r="BW343" s="111"/>
      <c r="BX343" s="111"/>
      <c r="BY343" s="111"/>
      <c r="BZ343" s="111"/>
      <c r="CA343" s="111"/>
      <c r="CB343" s="111"/>
      <c r="CC343" s="178"/>
      <c r="CD343" s="177">
        <f t="shared" si="434"/>
        <v>0</v>
      </c>
      <c r="CE343" s="148"/>
      <c r="CF343" s="111">
        <f t="shared" si="435"/>
        <v>0</v>
      </c>
      <c r="CG343" s="177"/>
      <c r="CH343" s="204"/>
      <c r="CI343" s="148"/>
      <c r="CJ343" s="165"/>
      <c r="CK343" s="165"/>
      <c r="CL343" s="111"/>
      <c r="CM343" s="111"/>
      <c r="CN343" s="165">
        <f t="shared" si="436"/>
        <v>0</v>
      </c>
      <c r="CO343" s="109">
        <f t="shared" si="437"/>
        <v>0</v>
      </c>
      <c r="CP343" s="109">
        <f t="shared" si="438"/>
        <v>0</v>
      </c>
      <c r="CQ343" s="109"/>
      <c r="CR343" s="109"/>
      <c r="CS343" s="196"/>
      <c r="CT343" s="167"/>
      <c r="CU343" s="165"/>
      <c r="CV343" s="109">
        <f t="shared" si="439"/>
        <v>0</v>
      </c>
      <c r="CW343" s="109">
        <f t="shared" si="440"/>
        <v>0</v>
      </c>
      <c r="CX343" s="109"/>
      <c r="CY343" s="109"/>
      <c r="CZ343" s="111"/>
      <c r="DA343" s="111"/>
      <c r="DB343" s="165"/>
      <c r="DC343" s="109">
        <f t="shared" si="441"/>
        <v>0</v>
      </c>
      <c r="DD343" s="109">
        <f t="shared" si="442"/>
        <v>0</v>
      </c>
      <c r="DE343" s="109"/>
      <c r="DF343" s="109"/>
      <c r="DG343" s="111"/>
      <c r="DH343" s="111"/>
      <c r="DI343" s="165"/>
      <c r="DJ343" s="109">
        <f t="shared" si="443"/>
        <v>0</v>
      </c>
      <c r="DK343" s="109">
        <f t="shared" si="444"/>
        <v>0</v>
      </c>
      <c r="DL343" s="109"/>
      <c r="DM343" s="109"/>
      <c r="DN343" s="111"/>
      <c r="DO343" s="111"/>
      <c r="DP343" s="165"/>
      <c r="DQ343" s="109">
        <f t="shared" si="402"/>
        <v>0</v>
      </c>
      <c r="DR343" s="109">
        <f t="shared" si="403"/>
        <v>0</v>
      </c>
      <c r="DS343" s="109"/>
      <c r="DT343" s="109"/>
      <c r="DU343" s="111"/>
      <c r="DV343" s="111"/>
      <c r="DW343" s="165"/>
      <c r="DX343" s="109">
        <f t="shared" si="404"/>
        <v>0</v>
      </c>
      <c r="DY343" s="109">
        <f t="shared" si="405"/>
        <v>0</v>
      </c>
      <c r="DZ343" s="109"/>
      <c r="EA343" s="109"/>
      <c r="EB343" s="111"/>
      <c r="EC343" s="111"/>
      <c r="ED343" s="165"/>
      <c r="EE343" s="109">
        <f t="shared" si="406"/>
        <v>0</v>
      </c>
      <c r="EF343" s="109">
        <f t="shared" si="407"/>
        <v>0</v>
      </c>
      <c r="EG343" s="109"/>
      <c r="EH343" s="109"/>
      <c r="EI343" s="111"/>
      <c r="EJ343" s="111"/>
      <c r="EK343" s="165"/>
      <c r="EL343" s="109">
        <f t="shared" si="408"/>
        <v>0</v>
      </c>
      <c r="EM343" s="109">
        <f t="shared" si="409"/>
        <v>0</v>
      </c>
      <c r="EN343" s="109"/>
      <c r="EO343" s="109"/>
      <c r="EP343" s="111"/>
      <c r="EQ343" s="111"/>
      <c r="ER343" s="165"/>
      <c r="ES343" s="109">
        <f t="shared" si="410"/>
        <v>0</v>
      </c>
      <c r="ET343" s="109">
        <f t="shared" si="411"/>
        <v>0</v>
      </c>
      <c r="EU343" s="109"/>
      <c r="EV343" s="109"/>
      <c r="EW343" s="111"/>
      <c r="EX343" s="111"/>
      <c r="EY343" s="165"/>
      <c r="EZ343" s="109">
        <f t="shared" si="412"/>
        <v>0</v>
      </c>
      <c r="FA343" s="109">
        <f t="shared" si="413"/>
        <v>0</v>
      </c>
      <c r="FB343" s="109"/>
      <c r="FC343" s="109"/>
      <c r="FD343" s="111"/>
      <c r="FE343" s="111"/>
      <c r="FF343" s="165"/>
      <c r="FG343" s="109">
        <f t="shared" si="414"/>
        <v>0</v>
      </c>
      <c r="FH343" s="109">
        <f t="shared" si="415"/>
        <v>0</v>
      </c>
      <c r="FI343" s="109"/>
      <c r="FJ343" s="109"/>
      <c r="FK343" s="111"/>
      <c r="FL343" s="111"/>
      <c r="FM343" s="165"/>
      <c r="FN343" s="109">
        <f t="shared" si="416"/>
        <v>0</v>
      </c>
      <c r="FO343" s="109">
        <f t="shared" si="417"/>
        <v>0</v>
      </c>
      <c r="FP343" s="109"/>
      <c r="FQ343" s="109"/>
      <c r="FR343" s="111"/>
      <c r="FS343" s="111"/>
      <c r="FT343" s="165"/>
      <c r="FU343" s="109">
        <f t="shared" si="418"/>
        <v>0</v>
      </c>
      <c r="FV343" s="109">
        <f t="shared" si="426"/>
        <v>0</v>
      </c>
      <c r="FW343" s="109"/>
      <c r="FX343" s="109"/>
      <c r="FY343" s="111"/>
      <c r="FZ343" s="111"/>
      <c r="GA343" s="165"/>
      <c r="GB343" s="109">
        <f t="shared" si="419"/>
        <v>0</v>
      </c>
      <c r="GC343" s="109">
        <f t="shared" si="427"/>
        <v>0</v>
      </c>
      <c r="GD343" s="109"/>
      <c r="GE343" s="109"/>
      <c r="GF343" s="111"/>
      <c r="GG343" s="111"/>
      <c r="GH343" s="165"/>
      <c r="GI343" s="109">
        <f t="shared" si="420"/>
        <v>0</v>
      </c>
      <c r="GJ343" s="109">
        <f t="shared" si="428"/>
        <v>0</v>
      </c>
      <c r="GK343" s="109"/>
      <c r="GL343" s="109"/>
      <c r="GM343" s="111"/>
      <c r="GN343" s="111"/>
      <c r="GO343" s="165"/>
      <c r="GP343" s="109">
        <f t="shared" si="421"/>
        <v>0</v>
      </c>
      <c r="GQ343" s="109">
        <f t="shared" si="429"/>
        <v>0</v>
      </c>
      <c r="GR343" s="109"/>
      <c r="GS343" s="109"/>
      <c r="GT343" s="111"/>
      <c r="GU343" s="111"/>
      <c r="GV343" s="165"/>
      <c r="GW343" s="168">
        <f t="shared" si="422"/>
        <v>0</v>
      </c>
      <c r="GX343" s="168">
        <f t="shared" si="430"/>
        <v>0</v>
      </c>
      <c r="GY343" s="168"/>
      <c r="GZ343" s="168"/>
      <c r="HA343" s="111"/>
      <c r="HB343" s="111"/>
      <c r="HC343" s="165"/>
      <c r="HD343" s="109">
        <f t="shared" si="423"/>
        <v>0</v>
      </c>
      <c r="HE343" s="109">
        <f t="shared" si="431"/>
        <v>0</v>
      </c>
      <c r="HF343" s="109"/>
      <c r="HG343" s="109"/>
      <c r="HH343" s="111"/>
      <c r="HI343" s="111"/>
      <c r="HJ343" s="165"/>
      <c r="HK343" s="109">
        <f t="shared" si="424"/>
        <v>0</v>
      </c>
      <c r="HL343" s="109">
        <f t="shared" si="432"/>
        <v>0</v>
      </c>
      <c r="HM343" s="109"/>
      <c r="HN343" s="109"/>
      <c r="HO343" s="111"/>
      <c r="HP343" s="111"/>
      <c r="HQ343" s="165"/>
      <c r="HR343" s="109">
        <f t="shared" si="425"/>
        <v>0</v>
      </c>
      <c r="HS343" s="109">
        <f t="shared" si="433"/>
        <v>0</v>
      </c>
      <c r="HT343" s="109"/>
      <c r="HU343" s="109"/>
      <c r="HV343" s="111"/>
      <c r="HW343" s="111"/>
      <c r="HX343" s="105">
        <f t="shared" si="451"/>
        <v>0</v>
      </c>
      <c r="HY343" s="105">
        <f t="shared" si="451"/>
        <v>0</v>
      </c>
      <c r="HZ343" s="105">
        <f t="shared" si="451"/>
        <v>0</v>
      </c>
      <c r="IA343" s="105">
        <f t="shared" si="445"/>
        <v>0</v>
      </c>
      <c r="IB343" s="109">
        <f t="shared" si="446"/>
        <v>0</v>
      </c>
      <c r="IC343" s="109">
        <f t="shared" si="447"/>
        <v>0</v>
      </c>
      <c r="ID343" s="109">
        <f t="shared" si="448"/>
        <v>0</v>
      </c>
      <c r="IE343" s="109">
        <f t="shared" si="449"/>
        <v>0</v>
      </c>
      <c r="IF343" s="197"/>
      <c r="IG343" s="197"/>
      <c r="IH343" s="197"/>
      <c r="II343" s="197"/>
      <c r="IJ343" s="197"/>
      <c r="IK343" s="197"/>
      <c r="IL343" s="197"/>
      <c r="IM343" s="171"/>
      <c r="IN343" s="171"/>
      <c r="IO343" s="171"/>
      <c r="IP343" s="171"/>
    </row>
    <row r="344" spans="1:250" ht="15" customHeight="1" x14ac:dyDescent="0.3">
      <c r="A344" s="110">
        <f t="shared" si="450"/>
        <v>340</v>
      </c>
      <c r="B344" s="111"/>
      <c r="C344" s="111"/>
      <c r="D344" s="111"/>
      <c r="E344" s="111"/>
      <c r="F344" s="111"/>
      <c r="G344" s="111"/>
      <c r="H344" s="111"/>
      <c r="I344" s="194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75"/>
      <c r="AI344" s="111"/>
      <c r="AJ344" s="111"/>
      <c r="AK344" s="111"/>
      <c r="AL344" s="177"/>
      <c r="AM344" s="176"/>
      <c r="AN344" s="177"/>
      <c r="AO344" s="157"/>
      <c r="AP344" s="158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  <c r="BB344" s="111"/>
      <c r="BC344" s="111"/>
      <c r="BD344" s="111"/>
      <c r="BE344" s="111"/>
      <c r="BF344" s="111"/>
      <c r="BG344" s="111"/>
      <c r="BH344" s="111"/>
      <c r="BI344" s="111"/>
      <c r="BJ344" s="111"/>
      <c r="BK344" s="111"/>
      <c r="BL344" s="175"/>
      <c r="BM344" s="111"/>
      <c r="BN344" s="111"/>
      <c r="BO344" s="111"/>
      <c r="BP344" s="111"/>
      <c r="BQ344" s="111"/>
      <c r="BR344" s="111"/>
      <c r="BS344" s="111"/>
      <c r="BT344" s="111"/>
      <c r="BU344" s="111"/>
      <c r="BV344" s="111"/>
      <c r="BW344" s="111"/>
      <c r="BX344" s="111"/>
      <c r="BY344" s="111"/>
      <c r="BZ344" s="111"/>
      <c r="CA344" s="111"/>
      <c r="CB344" s="111"/>
      <c r="CC344" s="178"/>
      <c r="CD344" s="177">
        <f t="shared" si="434"/>
        <v>0</v>
      </c>
      <c r="CE344" s="148"/>
      <c r="CF344" s="111">
        <f t="shared" si="435"/>
        <v>0</v>
      </c>
      <c r="CG344" s="177"/>
      <c r="CH344" s="204"/>
      <c r="CI344" s="148"/>
      <c r="CJ344" s="165"/>
      <c r="CK344" s="165"/>
      <c r="CL344" s="111"/>
      <c r="CM344" s="111"/>
      <c r="CN344" s="165">
        <f t="shared" si="436"/>
        <v>0</v>
      </c>
      <c r="CO344" s="109">
        <f t="shared" si="437"/>
        <v>0</v>
      </c>
      <c r="CP344" s="109">
        <f t="shared" si="438"/>
        <v>0</v>
      </c>
      <c r="CQ344" s="109"/>
      <c r="CR344" s="109"/>
      <c r="CS344" s="196"/>
      <c r="CT344" s="167"/>
      <c r="CU344" s="165"/>
      <c r="CV344" s="109">
        <f t="shared" si="439"/>
        <v>0</v>
      </c>
      <c r="CW344" s="109">
        <f t="shared" si="440"/>
        <v>0</v>
      </c>
      <c r="CX344" s="109"/>
      <c r="CY344" s="109"/>
      <c r="CZ344" s="111"/>
      <c r="DA344" s="111"/>
      <c r="DB344" s="165"/>
      <c r="DC344" s="109">
        <f t="shared" si="441"/>
        <v>0</v>
      </c>
      <c r="DD344" s="109">
        <f t="shared" si="442"/>
        <v>0</v>
      </c>
      <c r="DE344" s="109"/>
      <c r="DF344" s="109"/>
      <c r="DG344" s="111"/>
      <c r="DH344" s="111"/>
      <c r="DI344" s="165"/>
      <c r="DJ344" s="109">
        <f t="shared" si="443"/>
        <v>0</v>
      </c>
      <c r="DK344" s="109">
        <f t="shared" si="444"/>
        <v>0</v>
      </c>
      <c r="DL344" s="109"/>
      <c r="DM344" s="109"/>
      <c r="DN344" s="111"/>
      <c r="DO344" s="111"/>
      <c r="DP344" s="165"/>
      <c r="DQ344" s="109">
        <f t="shared" ref="DQ344:DQ407" si="452">DS344-DR344</f>
        <v>0</v>
      </c>
      <c r="DR344" s="109">
        <f t="shared" ref="DR344:DR407" si="453">DS344/(1+AM344)*AM344</f>
        <v>0</v>
      </c>
      <c r="DS344" s="109"/>
      <c r="DT344" s="109"/>
      <c r="DU344" s="111"/>
      <c r="DV344" s="111"/>
      <c r="DW344" s="165"/>
      <c r="DX344" s="109">
        <f t="shared" ref="DX344:DX407" si="454">DZ344-DY344</f>
        <v>0</v>
      </c>
      <c r="DY344" s="109">
        <f t="shared" ref="DY344:DY407" si="455">DZ344/(1+AM344)*AM344</f>
        <v>0</v>
      </c>
      <c r="DZ344" s="109"/>
      <c r="EA344" s="109"/>
      <c r="EB344" s="111"/>
      <c r="EC344" s="111"/>
      <c r="ED344" s="165"/>
      <c r="EE344" s="109">
        <f t="shared" ref="EE344:EE407" si="456">EG344-EF344</f>
        <v>0</v>
      </c>
      <c r="EF344" s="109">
        <f t="shared" ref="EF344:EF407" si="457">EG344/(1+AM344)*AM344</f>
        <v>0</v>
      </c>
      <c r="EG344" s="109"/>
      <c r="EH344" s="109"/>
      <c r="EI344" s="111"/>
      <c r="EJ344" s="111"/>
      <c r="EK344" s="165"/>
      <c r="EL344" s="109">
        <f t="shared" ref="EL344:EL407" si="458">EN344-EM344</f>
        <v>0</v>
      </c>
      <c r="EM344" s="109">
        <f t="shared" ref="EM344:EM407" si="459">EN344/(1+AM344)*AM344</f>
        <v>0</v>
      </c>
      <c r="EN344" s="109"/>
      <c r="EO344" s="109"/>
      <c r="EP344" s="111"/>
      <c r="EQ344" s="111"/>
      <c r="ER344" s="165"/>
      <c r="ES344" s="109">
        <f t="shared" ref="ES344:ES407" si="460">EU344-ET344</f>
        <v>0</v>
      </c>
      <c r="ET344" s="109">
        <f t="shared" ref="ET344:ET407" si="461">EU344/(1+AM344)*AM344</f>
        <v>0</v>
      </c>
      <c r="EU344" s="109"/>
      <c r="EV344" s="109"/>
      <c r="EW344" s="111"/>
      <c r="EX344" s="111"/>
      <c r="EY344" s="165"/>
      <c r="EZ344" s="109">
        <f t="shared" ref="EZ344:EZ407" si="462">FB344-FA344</f>
        <v>0</v>
      </c>
      <c r="FA344" s="109">
        <f t="shared" ref="FA344:FA407" si="463">FB344/(1+AM344)*AM344</f>
        <v>0</v>
      </c>
      <c r="FB344" s="109"/>
      <c r="FC344" s="109"/>
      <c r="FD344" s="111"/>
      <c r="FE344" s="111"/>
      <c r="FF344" s="165"/>
      <c r="FG344" s="109">
        <f t="shared" ref="FG344:FG407" si="464">FI344-FH344</f>
        <v>0</v>
      </c>
      <c r="FH344" s="109">
        <f t="shared" ref="FH344:FH407" si="465">FI344/(1+AM344)*AM344</f>
        <v>0</v>
      </c>
      <c r="FI344" s="109"/>
      <c r="FJ344" s="109"/>
      <c r="FK344" s="111"/>
      <c r="FL344" s="111"/>
      <c r="FM344" s="165"/>
      <c r="FN344" s="109">
        <f t="shared" ref="FN344:FN407" si="466">FP344-FO344</f>
        <v>0</v>
      </c>
      <c r="FO344" s="109">
        <f t="shared" ref="FO344:FO407" si="467">FP344/(1+AM344)*AM344</f>
        <v>0</v>
      </c>
      <c r="FP344" s="109"/>
      <c r="FQ344" s="109"/>
      <c r="FR344" s="111"/>
      <c r="FS344" s="111"/>
      <c r="FT344" s="165"/>
      <c r="FU344" s="109">
        <f t="shared" ref="FU344:FU407" si="468">FW344-FV344</f>
        <v>0</v>
      </c>
      <c r="FV344" s="109">
        <f t="shared" si="426"/>
        <v>0</v>
      </c>
      <c r="FW344" s="109"/>
      <c r="FX344" s="109"/>
      <c r="FY344" s="111"/>
      <c r="FZ344" s="111"/>
      <c r="GA344" s="165"/>
      <c r="GB344" s="109">
        <f t="shared" ref="GB344:GB407" si="469">GD344-GC344</f>
        <v>0</v>
      </c>
      <c r="GC344" s="109">
        <f t="shared" si="427"/>
        <v>0</v>
      </c>
      <c r="GD344" s="109"/>
      <c r="GE344" s="109"/>
      <c r="GF344" s="111"/>
      <c r="GG344" s="111"/>
      <c r="GH344" s="165"/>
      <c r="GI344" s="109">
        <f t="shared" ref="GI344:GI407" si="470">GK344-GJ344</f>
        <v>0</v>
      </c>
      <c r="GJ344" s="109">
        <f t="shared" si="428"/>
        <v>0</v>
      </c>
      <c r="GK344" s="109"/>
      <c r="GL344" s="109"/>
      <c r="GM344" s="111"/>
      <c r="GN344" s="111"/>
      <c r="GO344" s="165"/>
      <c r="GP344" s="109">
        <f t="shared" ref="GP344:GP407" si="471">GR344-GQ344</f>
        <v>0</v>
      </c>
      <c r="GQ344" s="109">
        <f t="shared" si="429"/>
        <v>0</v>
      </c>
      <c r="GR344" s="109"/>
      <c r="GS344" s="109"/>
      <c r="GT344" s="111"/>
      <c r="GU344" s="111"/>
      <c r="GV344" s="165"/>
      <c r="GW344" s="168">
        <f t="shared" ref="GW344:GW407" si="472">GY344-GX344</f>
        <v>0</v>
      </c>
      <c r="GX344" s="168">
        <f t="shared" si="430"/>
        <v>0</v>
      </c>
      <c r="GY344" s="168"/>
      <c r="GZ344" s="168"/>
      <c r="HA344" s="111"/>
      <c r="HB344" s="111"/>
      <c r="HC344" s="165"/>
      <c r="HD344" s="109">
        <f t="shared" ref="HD344:HD407" si="473">HF344-HE344</f>
        <v>0</v>
      </c>
      <c r="HE344" s="109">
        <f t="shared" si="431"/>
        <v>0</v>
      </c>
      <c r="HF344" s="109"/>
      <c r="HG344" s="109"/>
      <c r="HH344" s="111"/>
      <c r="HI344" s="111"/>
      <c r="HJ344" s="165"/>
      <c r="HK344" s="109">
        <f t="shared" ref="HK344:HK407" si="474">HM344-HL344</f>
        <v>0</v>
      </c>
      <c r="HL344" s="109">
        <f t="shared" si="432"/>
        <v>0</v>
      </c>
      <c r="HM344" s="109"/>
      <c r="HN344" s="109"/>
      <c r="HO344" s="111"/>
      <c r="HP344" s="111"/>
      <c r="HQ344" s="165"/>
      <c r="HR344" s="109">
        <f t="shared" ref="HR344:HR407" si="475">HT344-HS344</f>
        <v>0</v>
      </c>
      <c r="HS344" s="109">
        <f t="shared" si="433"/>
        <v>0</v>
      </c>
      <c r="HT344" s="109"/>
      <c r="HU344" s="109"/>
      <c r="HV344" s="111"/>
      <c r="HW344" s="111"/>
      <c r="HX344" s="105">
        <f t="shared" si="451"/>
        <v>0</v>
      </c>
      <c r="HY344" s="105">
        <f t="shared" si="451"/>
        <v>0</v>
      </c>
      <c r="HZ344" s="105">
        <f t="shared" si="451"/>
        <v>0</v>
      </c>
      <c r="IA344" s="105">
        <f t="shared" si="445"/>
        <v>0</v>
      </c>
      <c r="IB344" s="109">
        <f t="shared" si="446"/>
        <v>0</v>
      </c>
      <c r="IC344" s="109">
        <f t="shared" si="447"/>
        <v>0</v>
      </c>
      <c r="ID344" s="109">
        <f t="shared" si="448"/>
        <v>0</v>
      </c>
      <c r="IE344" s="109">
        <f t="shared" si="449"/>
        <v>0</v>
      </c>
      <c r="IF344" s="197"/>
      <c r="IG344" s="197"/>
      <c r="IH344" s="197"/>
      <c r="II344" s="197"/>
      <c r="IJ344" s="197"/>
      <c r="IK344" s="197"/>
      <c r="IL344" s="197"/>
      <c r="IM344" s="171"/>
      <c r="IN344" s="171"/>
      <c r="IO344" s="171"/>
      <c r="IP344" s="171"/>
    </row>
    <row r="345" spans="1:250" ht="15" customHeight="1" x14ac:dyDescent="0.3">
      <c r="A345" s="110">
        <f t="shared" si="450"/>
        <v>341</v>
      </c>
      <c r="B345" s="111"/>
      <c r="C345" s="111"/>
      <c r="D345" s="111"/>
      <c r="E345" s="111"/>
      <c r="F345" s="111"/>
      <c r="G345" s="111"/>
      <c r="H345" s="111"/>
      <c r="I345" s="194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75"/>
      <c r="AI345" s="111"/>
      <c r="AJ345" s="111"/>
      <c r="AK345" s="111"/>
      <c r="AL345" s="177"/>
      <c r="AM345" s="176"/>
      <c r="AN345" s="177"/>
      <c r="AO345" s="157"/>
      <c r="AP345" s="158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  <c r="BB345" s="111"/>
      <c r="BC345" s="111"/>
      <c r="BD345" s="111"/>
      <c r="BE345" s="111"/>
      <c r="BF345" s="111"/>
      <c r="BG345" s="111"/>
      <c r="BH345" s="111"/>
      <c r="BI345" s="111"/>
      <c r="BJ345" s="111"/>
      <c r="BK345" s="111"/>
      <c r="BL345" s="175"/>
      <c r="BM345" s="111"/>
      <c r="BN345" s="111"/>
      <c r="BO345" s="111"/>
      <c r="BP345" s="111"/>
      <c r="BQ345" s="111"/>
      <c r="BR345" s="111"/>
      <c r="BS345" s="111"/>
      <c r="BT345" s="111"/>
      <c r="BU345" s="111"/>
      <c r="BV345" s="111"/>
      <c r="BW345" s="111"/>
      <c r="BX345" s="111"/>
      <c r="BY345" s="111"/>
      <c r="BZ345" s="111"/>
      <c r="CA345" s="111"/>
      <c r="CB345" s="111"/>
      <c r="CC345" s="178"/>
      <c r="CD345" s="177">
        <f t="shared" si="434"/>
        <v>0</v>
      </c>
      <c r="CE345" s="148"/>
      <c r="CF345" s="111">
        <f t="shared" si="435"/>
        <v>0</v>
      </c>
      <c r="CG345" s="177"/>
      <c r="CH345" s="204"/>
      <c r="CI345" s="148"/>
      <c r="CJ345" s="165"/>
      <c r="CK345" s="165"/>
      <c r="CL345" s="111"/>
      <c r="CM345" s="111"/>
      <c r="CN345" s="165">
        <f t="shared" si="436"/>
        <v>0</v>
      </c>
      <c r="CO345" s="109">
        <f t="shared" si="437"/>
        <v>0</v>
      </c>
      <c r="CP345" s="109">
        <f t="shared" si="438"/>
        <v>0</v>
      </c>
      <c r="CQ345" s="109"/>
      <c r="CR345" s="109"/>
      <c r="CS345" s="196"/>
      <c r="CT345" s="167"/>
      <c r="CU345" s="165"/>
      <c r="CV345" s="109">
        <f t="shared" si="439"/>
        <v>0</v>
      </c>
      <c r="CW345" s="109">
        <f t="shared" si="440"/>
        <v>0</v>
      </c>
      <c r="CX345" s="109"/>
      <c r="CY345" s="109"/>
      <c r="CZ345" s="111"/>
      <c r="DA345" s="111"/>
      <c r="DB345" s="165"/>
      <c r="DC345" s="109">
        <f t="shared" si="441"/>
        <v>0</v>
      </c>
      <c r="DD345" s="109">
        <f t="shared" si="442"/>
        <v>0</v>
      </c>
      <c r="DE345" s="109"/>
      <c r="DF345" s="109"/>
      <c r="DG345" s="111"/>
      <c r="DH345" s="111"/>
      <c r="DI345" s="165"/>
      <c r="DJ345" s="109">
        <f t="shared" si="443"/>
        <v>0</v>
      </c>
      <c r="DK345" s="109">
        <f t="shared" si="444"/>
        <v>0</v>
      </c>
      <c r="DL345" s="109"/>
      <c r="DM345" s="109"/>
      <c r="DN345" s="111"/>
      <c r="DO345" s="111"/>
      <c r="DP345" s="165"/>
      <c r="DQ345" s="109">
        <f t="shared" si="452"/>
        <v>0</v>
      </c>
      <c r="DR345" s="109">
        <f t="shared" si="453"/>
        <v>0</v>
      </c>
      <c r="DS345" s="109"/>
      <c r="DT345" s="109"/>
      <c r="DU345" s="111"/>
      <c r="DV345" s="111"/>
      <c r="DW345" s="165"/>
      <c r="DX345" s="109">
        <f t="shared" si="454"/>
        <v>0</v>
      </c>
      <c r="DY345" s="109">
        <f t="shared" si="455"/>
        <v>0</v>
      </c>
      <c r="DZ345" s="109"/>
      <c r="EA345" s="109"/>
      <c r="EB345" s="111"/>
      <c r="EC345" s="111"/>
      <c r="ED345" s="165"/>
      <c r="EE345" s="109">
        <f t="shared" si="456"/>
        <v>0</v>
      </c>
      <c r="EF345" s="109">
        <f t="shared" si="457"/>
        <v>0</v>
      </c>
      <c r="EG345" s="109"/>
      <c r="EH345" s="109"/>
      <c r="EI345" s="111"/>
      <c r="EJ345" s="111"/>
      <c r="EK345" s="165"/>
      <c r="EL345" s="109">
        <f t="shared" si="458"/>
        <v>0</v>
      </c>
      <c r="EM345" s="109">
        <f t="shared" si="459"/>
        <v>0</v>
      </c>
      <c r="EN345" s="109"/>
      <c r="EO345" s="109"/>
      <c r="EP345" s="111"/>
      <c r="EQ345" s="111"/>
      <c r="ER345" s="165"/>
      <c r="ES345" s="109">
        <f t="shared" si="460"/>
        <v>0</v>
      </c>
      <c r="ET345" s="109">
        <f t="shared" si="461"/>
        <v>0</v>
      </c>
      <c r="EU345" s="109"/>
      <c r="EV345" s="109"/>
      <c r="EW345" s="111"/>
      <c r="EX345" s="111"/>
      <c r="EY345" s="165"/>
      <c r="EZ345" s="109">
        <f t="shared" si="462"/>
        <v>0</v>
      </c>
      <c r="FA345" s="109">
        <f t="shared" si="463"/>
        <v>0</v>
      </c>
      <c r="FB345" s="109"/>
      <c r="FC345" s="109"/>
      <c r="FD345" s="111"/>
      <c r="FE345" s="111"/>
      <c r="FF345" s="165"/>
      <c r="FG345" s="109">
        <f t="shared" si="464"/>
        <v>0</v>
      </c>
      <c r="FH345" s="109">
        <f t="shared" si="465"/>
        <v>0</v>
      </c>
      <c r="FI345" s="109"/>
      <c r="FJ345" s="109"/>
      <c r="FK345" s="111"/>
      <c r="FL345" s="111"/>
      <c r="FM345" s="165"/>
      <c r="FN345" s="109">
        <f t="shared" si="466"/>
        <v>0</v>
      </c>
      <c r="FO345" s="109">
        <f t="shared" si="467"/>
        <v>0</v>
      </c>
      <c r="FP345" s="109"/>
      <c r="FQ345" s="109"/>
      <c r="FR345" s="111"/>
      <c r="FS345" s="111"/>
      <c r="FT345" s="165"/>
      <c r="FU345" s="109">
        <f t="shared" si="468"/>
        <v>0</v>
      </c>
      <c r="FV345" s="109">
        <f t="shared" si="426"/>
        <v>0</v>
      </c>
      <c r="FW345" s="109"/>
      <c r="FX345" s="109"/>
      <c r="FY345" s="111"/>
      <c r="FZ345" s="111"/>
      <c r="GA345" s="165"/>
      <c r="GB345" s="109">
        <f t="shared" si="469"/>
        <v>0</v>
      </c>
      <c r="GC345" s="109">
        <f t="shared" si="427"/>
        <v>0</v>
      </c>
      <c r="GD345" s="109"/>
      <c r="GE345" s="109"/>
      <c r="GF345" s="111"/>
      <c r="GG345" s="111"/>
      <c r="GH345" s="165"/>
      <c r="GI345" s="109">
        <f t="shared" si="470"/>
        <v>0</v>
      </c>
      <c r="GJ345" s="109">
        <f t="shared" si="428"/>
        <v>0</v>
      </c>
      <c r="GK345" s="109"/>
      <c r="GL345" s="109"/>
      <c r="GM345" s="111"/>
      <c r="GN345" s="111"/>
      <c r="GO345" s="165"/>
      <c r="GP345" s="109">
        <f t="shared" si="471"/>
        <v>0</v>
      </c>
      <c r="GQ345" s="109">
        <f t="shared" si="429"/>
        <v>0</v>
      </c>
      <c r="GR345" s="109"/>
      <c r="GS345" s="109"/>
      <c r="GT345" s="111"/>
      <c r="GU345" s="111"/>
      <c r="GV345" s="165"/>
      <c r="GW345" s="168">
        <f t="shared" si="472"/>
        <v>0</v>
      </c>
      <c r="GX345" s="168">
        <f t="shared" si="430"/>
        <v>0</v>
      </c>
      <c r="GY345" s="168"/>
      <c r="GZ345" s="168"/>
      <c r="HA345" s="111"/>
      <c r="HB345" s="111"/>
      <c r="HC345" s="165"/>
      <c r="HD345" s="109">
        <f t="shared" si="473"/>
        <v>0</v>
      </c>
      <c r="HE345" s="109">
        <f t="shared" si="431"/>
        <v>0</v>
      </c>
      <c r="HF345" s="109"/>
      <c r="HG345" s="109"/>
      <c r="HH345" s="111"/>
      <c r="HI345" s="111"/>
      <c r="HJ345" s="165"/>
      <c r="HK345" s="109">
        <f t="shared" si="474"/>
        <v>0</v>
      </c>
      <c r="HL345" s="109">
        <f t="shared" si="432"/>
        <v>0</v>
      </c>
      <c r="HM345" s="109"/>
      <c r="HN345" s="109"/>
      <c r="HO345" s="111"/>
      <c r="HP345" s="111"/>
      <c r="HQ345" s="165"/>
      <c r="HR345" s="109">
        <f t="shared" si="475"/>
        <v>0</v>
      </c>
      <c r="HS345" s="109">
        <f t="shared" si="433"/>
        <v>0</v>
      </c>
      <c r="HT345" s="109"/>
      <c r="HU345" s="109"/>
      <c r="HV345" s="111"/>
      <c r="HW345" s="111"/>
      <c r="HX345" s="105">
        <f t="shared" si="451"/>
        <v>0</v>
      </c>
      <c r="HY345" s="105">
        <f t="shared" si="451"/>
        <v>0</v>
      </c>
      <c r="HZ345" s="105">
        <f t="shared" si="451"/>
        <v>0</v>
      </c>
      <c r="IA345" s="105">
        <f t="shared" si="445"/>
        <v>0</v>
      </c>
      <c r="IB345" s="109">
        <f t="shared" si="446"/>
        <v>0</v>
      </c>
      <c r="IC345" s="109">
        <f t="shared" si="447"/>
        <v>0</v>
      </c>
      <c r="ID345" s="109">
        <f t="shared" si="448"/>
        <v>0</v>
      </c>
      <c r="IE345" s="109">
        <f t="shared" si="449"/>
        <v>0</v>
      </c>
      <c r="IF345" s="197"/>
      <c r="IG345" s="197"/>
      <c r="IH345" s="197"/>
      <c r="II345" s="197"/>
      <c r="IJ345" s="197"/>
      <c r="IK345" s="197"/>
      <c r="IL345" s="197"/>
      <c r="IM345" s="171"/>
      <c r="IN345" s="171"/>
      <c r="IO345" s="171"/>
      <c r="IP345" s="171"/>
    </row>
    <row r="346" spans="1:250" ht="15" customHeight="1" x14ac:dyDescent="0.3">
      <c r="A346" s="110">
        <f t="shared" si="450"/>
        <v>342</v>
      </c>
      <c r="B346" s="111"/>
      <c r="C346" s="111"/>
      <c r="D346" s="111"/>
      <c r="E346" s="111"/>
      <c r="F346" s="111"/>
      <c r="G346" s="111"/>
      <c r="H346" s="111"/>
      <c r="I346" s="194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75"/>
      <c r="AI346" s="111"/>
      <c r="AJ346" s="111"/>
      <c r="AK346" s="111"/>
      <c r="AL346" s="177"/>
      <c r="AM346" s="176"/>
      <c r="AN346" s="177"/>
      <c r="AO346" s="157"/>
      <c r="AP346" s="158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  <c r="BG346" s="111"/>
      <c r="BH346" s="111"/>
      <c r="BI346" s="111"/>
      <c r="BJ346" s="111"/>
      <c r="BK346" s="111"/>
      <c r="BL346" s="175"/>
      <c r="BM346" s="111"/>
      <c r="BN346" s="111"/>
      <c r="BO346" s="111"/>
      <c r="BP346" s="111"/>
      <c r="BQ346" s="111"/>
      <c r="BR346" s="111"/>
      <c r="BS346" s="111"/>
      <c r="BT346" s="111"/>
      <c r="BU346" s="111"/>
      <c r="BV346" s="111"/>
      <c r="BW346" s="111"/>
      <c r="BX346" s="111"/>
      <c r="BY346" s="111"/>
      <c r="BZ346" s="111"/>
      <c r="CA346" s="111"/>
      <c r="CB346" s="111"/>
      <c r="CC346" s="178"/>
      <c r="CD346" s="177">
        <f t="shared" si="434"/>
        <v>0</v>
      </c>
      <c r="CE346" s="148"/>
      <c r="CF346" s="111">
        <f t="shared" si="435"/>
        <v>0</v>
      </c>
      <c r="CG346" s="177"/>
      <c r="CH346" s="204"/>
      <c r="CI346" s="148"/>
      <c r="CJ346" s="165"/>
      <c r="CK346" s="165"/>
      <c r="CL346" s="111"/>
      <c r="CM346" s="111"/>
      <c r="CN346" s="165">
        <f t="shared" si="436"/>
        <v>0</v>
      </c>
      <c r="CO346" s="109">
        <f t="shared" si="437"/>
        <v>0</v>
      </c>
      <c r="CP346" s="109">
        <f t="shared" si="438"/>
        <v>0</v>
      </c>
      <c r="CQ346" s="109"/>
      <c r="CR346" s="109"/>
      <c r="CS346" s="196"/>
      <c r="CT346" s="167"/>
      <c r="CU346" s="165"/>
      <c r="CV346" s="109">
        <f t="shared" si="439"/>
        <v>0</v>
      </c>
      <c r="CW346" s="109">
        <f t="shared" si="440"/>
        <v>0</v>
      </c>
      <c r="CX346" s="109"/>
      <c r="CY346" s="109"/>
      <c r="CZ346" s="111"/>
      <c r="DA346" s="111"/>
      <c r="DB346" s="165"/>
      <c r="DC346" s="109">
        <f t="shared" si="441"/>
        <v>0</v>
      </c>
      <c r="DD346" s="109">
        <f t="shared" si="442"/>
        <v>0</v>
      </c>
      <c r="DE346" s="109"/>
      <c r="DF346" s="109"/>
      <c r="DG346" s="111"/>
      <c r="DH346" s="111"/>
      <c r="DI346" s="165"/>
      <c r="DJ346" s="109">
        <f t="shared" si="443"/>
        <v>0</v>
      </c>
      <c r="DK346" s="109">
        <f t="shared" si="444"/>
        <v>0</v>
      </c>
      <c r="DL346" s="109"/>
      <c r="DM346" s="109"/>
      <c r="DN346" s="111"/>
      <c r="DO346" s="111"/>
      <c r="DP346" s="165"/>
      <c r="DQ346" s="109">
        <f t="shared" si="452"/>
        <v>0</v>
      </c>
      <c r="DR346" s="109">
        <f t="shared" si="453"/>
        <v>0</v>
      </c>
      <c r="DS346" s="109"/>
      <c r="DT346" s="109"/>
      <c r="DU346" s="111"/>
      <c r="DV346" s="111"/>
      <c r="DW346" s="165"/>
      <c r="DX346" s="109">
        <f t="shared" si="454"/>
        <v>0</v>
      </c>
      <c r="DY346" s="109">
        <f t="shared" si="455"/>
        <v>0</v>
      </c>
      <c r="DZ346" s="109"/>
      <c r="EA346" s="109"/>
      <c r="EB346" s="111"/>
      <c r="EC346" s="111"/>
      <c r="ED346" s="165"/>
      <c r="EE346" s="109">
        <f t="shared" si="456"/>
        <v>0</v>
      </c>
      <c r="EF346" s="109">
        <f t="shared" si="457"/>
        <v>0</v>
      </c>
      <c r="EG346" s="109"/>
      <c r="EH346" s="109"/>
      <c r="EI346" s="111"/>
      <c r="EJ346" s="111"/>
      <c r="EK346" s="165"/>
      <c r="EL346" s="109">
        <f t="shared" si="458"/>
        <v>0</v>
      </c>
      <c r="EM346" s="109">
        <f t="shared" si="459"/>
        <v>0</v>
      </c>
      <c r="EN346" s="109"/>
      <c r="EO346" s="109"/>
      <c r="EP346" s="111"/>
      <c r="EQ346" s="111"/>
      <c r="ER346" s="165"/>
      <c r="ES346" s="109">
        <f t="shared" si="460"/>
        <v>0</v>
      </c>
      <c r="ET346" s="109">
        <f t="shared" si="461"/>
        <v>0</v>
      </c>
      <c r="EU346" s="109"/>
      <c r="EV346" s="109"/>
      <c r="EW346" s="111"/>
      <c r="EX346" s="111"/>
      <c r="EY346" s="165"/>
      <c r="EZ346" s="109">
        <f t="shared" si="462"/>
        <v>0</v>
      </c>
      <c r="FA346" s="109">
        <f t="shared" si="463"/>
        <v>0</v>
      </c>
      <c r="FB346" s="109"/>
      <c r="FC346" s="109"/>
      <c r="FD346" s="111"/>
      <c r="FE346" s="111"/>
      <c r="FF346" s="165"/>
      <c r="FG346" s="109">
        <f t="shared" si="464"/>
        <v>0</v>
      </c>
      <c r="FH346" s="109">
        <f t="shared" si="465"/>
        <v>0</v>
      </c>
      <c r="FI346" s="109"/>
      <c r="FJ346" s="109"/>
      <c r="FK346" s="111"/>
      <c r="FL346" s="111"/>
      <c r="FM346" s="165"/>
      <c r="FN346" s="109">
        <f t="shared" si="466"/>
        <v>0</v>
      </c>
      <c r="FO346" s="109">
        <f t="shared" si="467"/>
        <v>0</v>
      </c>
      <c r="FP346" s="109"/>
      <c r="FQ346" s="109"/>
      <c r="FR346" s="111"/>
      <c r="FS346" s="111"/>
      <c r="FT346" s="165"/>
      <c r="FU346" s="109">
        <f t="shared" si="468"/>
        <v>0</v>
      </c>
      <c r="FV346" s="109">
        <f t="shared" si="426"/>
        <v>0</v>
      </c>
      <c r="FW346" s="109"/>
      <c r="FX346" s="109"/>
      <c r="FY346" s="111"/>
      <c r="FZ346" s="111"/>
      <c r="GA346" s="165"/>
      <c r="GB346" s="109">
        <f t="shared" si="469"/>
        <v>0</v>
      </c>
      <c r="GC346" s="109">
        <f t="shared" si="427"/>
        <v>0</v>
      </c>
      <c r="GD346" s="109"/>
      <c r="GE346" s="109"/>
      <c r="GF346" s="111"/>
      <c r="GG346" s="111"/>
      <c r="GH346" s="165"/>
      <c r="GI346" s="109">
        <f t="shared" si="470"/>
        <v>0</v>
      </c>
      <c r="GJ346" s="109">
        <f t="shared" si="428"/>
        <v>0</v>
      </c>
      <c r="GK346" s="109"/>
      <c r="GL346" s="109"/>
      <c r="GM346" s="111"/>
      <c r="GN346" s="111"/>
      <c r="GO346" s="165"/>
      <c r="GP346" s="109">
        <f t="shared" si="471"/>
        <v>0</v>
      </c>
      <c r="GQ346" s="109">
        <f t="shared" si="429"/>
        <v>0</v>
      </c>
      <c r="GR346" s="109"/>
      <c r="GS346" s="109"/>
      <c r="GT346" s="111"/>
      <c r="GU346" s="111"/>
      <c r="GV346" s="165"/>
      <c r="GW346" s="168">
        <f t="shared" si="472"/>
        <v>0</v>
      </c>
      <c r="GX346" s="168">
        <f t="shared" si="430"/>
        <v>0</v>
      </c>
      <c r="GY346" s="168"/>
      <c r="GZ346" s="168"/>
      <c r="HA346" s="111"/>
      <c r="HB346" s="111"/>
      <c r="HC346" s="165"/>
      <c r="HD346" s="109">
        <f t="shared" si="473"/>
        <v>0</v>
      </c>
      <c r="HE346" s="109">
        <f t="shared" si="431"/>
        <v>0</v>
      </c>
      <c r="HF346" s="109"/>
      <c r="HG346" s="109"/>
      <c r="HH346" s="111"/>
      <c r="HI346" s="111"/>
      <c r="HJ346" s="165"/>
      <c r="HK346" s="109">
        <f t="shared" si="474"/>
        <v>0</v>
      </c>
      <c r="HL346" s="109">
        <f t="shared" si="432"/>
        <v>0</v>
      </c>
      <c r="HM346" s="109"/>
      <c r="HN346" s="109"/>
      <c r="HO346" s="111"/>
      <c r="HP346" s="111"/>
      <c r="HQ346" s="165"/>
      <c r="HR346" s="109">
        <f t="shared" si="475"/>
        <v>0</v>
      </c>
      <c r="HS346" s="109">
        <f t="shared" si="433"/>
        <v>0</v>
      </c>
      <c r="HT346" s="109"/>
      <c r="HU346" s="109"/>
      <c r="HV346" s="111"/>
      <c r="HW346" s="111"/>
      <c r="HX346" s="105">
        <f t="shared" si="451"/>
        <v>0</v>
      </c>
      <c r="HY346" s="105">
        <f t="shared" si="451"/>
        <v>0</v>
      </c>
      <c r="HZ346" s="105">
        <f t="shared" si="451"/>
        <v>0</v>
      </c>
      <c r="IA346" s="105">
        <f t="shared" si="445"/>
        <v>0</v>
      </c>
      <c r="IB346" s="109">
        <f t="shared" si="446"/>
        <v>0</v>
      </c>
      <c r="IC346" s="109">
        <f t="shared" si="447"/>
        <v>0</v>
      </c>
      <c r="ID346" s="109">
        <f t="shared" si="448"/>
        <v>0</v>
      </c>
      <c r="IE346" s="109">
        <f t="shared" si="449"/>
        <v>0</v>
      </c>
      <c r="IF346" s="197"/>
      <c r="IG346" s="197"/>
      <c r="IH346" s="197"/>
      <c r="II346" s="197"/>
      <c r="IJ346" s="197"/>
      <c r="IK346" s="197"/>
      <c r="IL346" s="197"/>
      <c r="IM346" s="171"/>
      <c r="IN346" s="171"/>
      <c r="IO346" s="171"/>
      <c r="IP346" s="171"/>
    </row>
    <row r="347" spans="1:250" ht="15" customHeight="1" x14ac:dyDescent="0.3">
      <c r="A347" s="110">
        <f t="shared" si="450"/>
        <v>343</v>
      </c>
      <c r="B347" s="111"/>
      <c r="C347" s="111"/>
      <c r="D347" s="111"/>
      <c r="E347" s="111"/>
      <c r="F347" s="111"/>
      <c r="G347" s="111"/>
      <c r="H347" s="111"/>
      <c r="I347" s="194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75"/>
      <c r="AI347" s="111"/>
      <c r="AJ347" s="111"/>
      <c r="AK347" s="111"/>
      <c r="AL347" s="177"/>
      <c r="AM347" s="176"/>
      <c r="AN347" s="177"/>
      <c r="AO347" s="157"/>
      <c r="AP347" s="158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  <c r="BK347" s="111"/>
      <c r="BL347" s="175"/>
      <c r="BM347" s="111"/>
      <c r="BN347" s="111"/>
      <c r="BO347" s="111"/>
      <c r="BP347" s="111"/>
      <c r="BQ347" s="111"/>
      <c r="BR347" s="111"/>
      <c r="BS347" s="111"/>
      <c r="BT347" s="111"/>
      <c r="BU347" s="111"/>
      <c r="BV347" s="111"/>
      <c r="BW347" s="111"/>
      <c r="BX347" s="111"/>
      <c r="BY347" s="111"/>
      <c r="BZ347" s="111"/>
      <c r="CA347" s="111"/>
      <c r="CB347" s="111"/>
      <c r="CC347" s="178"/>
      <c r="CD347" s="177">
        <f t="shared" si="434"/>
        <v>0</v>
      </c>
      <c r="CE347" s="148"/>
      <c r="CF347" s="111">
        <f t="shared" si="435"/>
        <v>0</v>
      </c>
      <c r="CG347" s="177"/>
      <c r="CH347" s="204"/>
      <c r="CI347" s="148"/>
      <c r="CJ347" s="165"/>
      <c r="CK347" s="165"/>
      <c r="CL347" s="111"/>
      <c r="CM347" s="111"/>
      <c r="CN347" s="165">
        <f t="shared" si="436"/>
        <v>0</v>
      </c>
      <c r="CO347" s="109">
        <f t="shared" si="437"/>
        <v>0</v>
      </c>
      <c r="CP347" s="109">
        <f t="shared" si="438"/>
        <v>0</v>
      </c>
      <c r="CQ347" s="109"/>
      <c r="CR347" s="109"/>
      <c r="CS347" s="196"/>
      <c r="CT347" s="167"/>
      <c r="CU347" s="165"/>
      <c r="CV347" s="109">
        <f t="shared" si="439"/>
        <v>0</v>
      </c>
      <c r="CW347" s="109">
        <f t="shared" si="440"/>
        <v>0</v>
      </c>
      <c r="CX347" s="109"/>
      <c r="CY347" s="109"/>
      <c r="CZ347" s="111"/>
      <c r="DA347" s="111"/>
      <c r="DB347" s="165"/>
      <c r="DC347" s="109">
        <f t="shared" si="441"/>
        <v>0</v>
      </c>
      <c r="DD347" s="109">
        <f t="shared" si="442"/>
        <v>0</v>
      </c>
      <c r="DE347" s="109"/>
      <c r="DF347" s="109"/>
      <c r="DG347" s="111"/>
      <c r="DH347" s="111"/>
      <c r="DI347" s="165"/>
      <c r="DJ347" s="109">
        <f t="shared" si="443"/>
        <v>0</v>
      </c>
      <c r="DK347" s="109">
        <f t="shared" si="444"/>
        <v>0</v>
      </c>
      <c r="DL347" s="109"/>
      <c r="DM347" s="109"/>
      <c r="DN347" s="111"/>
      <c r="DO347" s="111"/>
      <c r="DP347" s="165"/>
      <c r="DQ347" s="109">
        <f t="shared" si="452"/>
        <v>0</v>
      </c>
      <c r="DR347" s="109">
        <f t="shared" si="453"/>
        <v>0</v>
      </c>
      <c r="DS347" s="109"/>
      <c r="DT347" s="109"/>
      <c r="DU347" s="111"/>
      <c r="DV347" s="111"/>
      <c r="DW347" s="165"/>
      <c r="DX347" s="109">
        <f t="shared" si="454"/>
        <v>0</v>
      </c>
      <c r="DY347" s="109">
        <f t="shared" si="455"/>
        <v>0</v>
      </c>
      <c r="DZ347" s="109"/>
      <c r="EA347" s="109"/>
      <c r="EB347" s="111"/>
      <c r="EC347" s="111"/>
      <c r="ED347" s="165"/>
      <c r="EE347" s="109">
        <f t="shared" si="456"/>
        <v>0</v>
      </c>
      <c r="EF347" s="109">
        <f t="shared" si="457"/>
        <v>0</v>
      </c>
      <c r="EG347" s="109"/>
      <c r="EH347" s="109"/>
      <c r="EI347" s="111"/>
      <c r="EJ347" s="111"/>
      <c r="EK347" s="165"/>
      <c r="EL347" s="109">
        <f t="shared" si="458"/>
        <v>0</v>
      </c>
      <c r="EM347" s="109">
        <f t="shared" si="459"/>
        <v>0</v>
      </c>
      <c r="EN347" s="109"/>
      <c r="EO347" s="109"/>
      <c r="EP347" s="111"/>
      <c r="EQ347" s="111"/>
      <c r="ER347" s="165"/>
      <c r="ES347" s="109">
        <f t="shared" si="460"/>
        <v>0</v>
      </c>
      <c r="ET347" s="109">
        <f t="shared" si="461"/>
        <v>0</v>
      </c>
      <c r="EU347" s="109"/>
      <c r="EV347" s="109"/>
      <c r="EW347" s="111"/>
      <c r="EX347" s="111"/>
      <c r="EY347" s="165"/>
      <c r="EZ347" s="109">
        <f t="shared" si="462"/>
        <v>0</v>
      </c>
      <c r="FA347" s="109">
        <f t="shared" si="463"/>
        <v>0</v>
      </c>
      <c r="FB347" s="109"/>
      <c r="FC347" s="109"/>
      <c r="FD347" s="111"/>
      <c r="FE347" s="111"/>
      <c r="FF347" s="165"/>
      <c r="FG347" s="109">
        <f t="shared" si="464"/>
        <v>0</v>
      </c>
      <c r="FH347" s="109">
        <f t="shared" si="465"/>
        <v>0</v>
      </c>
      <c r="FI347" s="109"/>
      <c r="FJ347" s="109"/>
      <c r="FK347" s="111"/>
      <c r="FL347" s="111"/>
      <c r="FM347" s="165"/>
      <c r="FN347" s="109">
        <f t="shared" si="466"/>
        <v>0</v>
      </c>
      <c r="FO347" s="109">
        <f t="shared" si="467"/>
        <v>0</v>
      </c>
      <c r="FP347" s="109"/>
      <c r="FQ347" s="109"/>
      <c r="FR347" s="111"/>
      <c r="FS347" s="111"/>
      <c r="FT347" s="165"/>
      <c r="FU347" s="109">
        <f t="shared" si="468"/>
        <v>0</v>
      </c>
      <c r="FV347" s="109">
        <f t="shared" si="426"/>
        <v>0</v>
      </c>
      <c r="FW347" s="109"/>
      <c r="FX347" s="109"/>
      <c r="FY347" s="111"/>
      <c r="FZ347" s="111"/>
      <c r="GA347" s="165"/>
      <c r="GB347" s="109">
        <f t="shared" si="469"/>
        <v>0</v>
      </c>
      <c r="GC347" s="109">
        <f t="shared" si="427"/>
        <v>0</v>
      </c>
      <c r="GD347" s="109"/>
      <c r="GE347" s="109"/>
      <c r="GF347" s="111"/>
      <c r="GG347" s="111"/>
      <c r="GH347" s="165"/>
      <c r="GI347" s="109">
        <f t="shared" si="470"/>
        <v>0</v>
      </c>
      <c r="GJ347" s="109">
        <f t="shared" si="428"/>
        <v>0</v>
      </c>
      <c r="GK347" s="109"/>
      <c r="GL347" s="109"/>
      <c r="GM347" s="111"/>
      <c r="GN347" s="111"/>
      <c r="GO347" s="165"/>
      <c r="GP347" s="109">
        <f t="shared" si="471"/>
        <v>0</v>
      </c>
      <c r="GQ347" s="109">
        <f t="shared" si="429"/>
        <v>0</v>
      </c>
      <c r="GR347" s="109"/>
      <c r="GS347" s="109"/>
      <c r="GT347" s="111"/>
      <c r="GU347" s="111"/>
      <c r="GV347" s="165"/>
      <c r="GW347" s="168">
        <f t="shared" si="472"/>
        <v>0</v>
      </c>
      <c r="GX347" s="168">
        <f t="shared" si="430"/>
        <v>0</v>
      </c>
      <c r="GY347" s="168"/>
      <c r="GZ347" s="168"/>
      <c r="HA347" s="111"/>
      <c r="HB347" s="111"/>
      <c r="HC347" s="165"/>
      <c r="HD347" s="109">
        <f t="shared" si="473"/>
        <v>0</v>
      </c>
      <c r="HE347" s="109">
        <f t="shared" si="431"/>
        <v>0</v>
      </c>
      <c r="HF347" s="109"/>
      <c r="HG347" s="109"/>
      <c r="HH347" s="111"/>
      <c r="HI347" s="111"/>
      <c r="HJ347" s="165"/>
      <c r="HK347" s="109">
        <f t="shared" si="474"/>
        <v>0</v>
      </c>
      <c r="HL347" s="109">
        <f t="shared" si="432"/>
        <v>0</v>
      </c>
      <c r="HM347" s="109"/>
      <c r="HN347" s="109"/>
      <c r="HO347" s="111"/>
      <c r="HP347" s="111"/>
      <c r="HQ347" s="165"/>
      <c r="HR347" s="109">
        <f t="shared" si="475"/>
        <v>0</v>
      </c>
      <c r="HS347" s="109">
        <f t="shared" si="433"/>
        <v>0</v>
      </c>
      <c r="HT347" s="109"/>
      <c r="HU347" s="109"/>
      <c r="HV347" s="111"/>
      <c r="HW347" s="111"/>
      <c r="HX347" s="105">
        <f t="shared" si="451"/>
        <v>0</v>
      </c>
      <c r="HY347" s="105">
        <f t="shared" si="451"/>
        <v>0</v>
      </c>
      <c r="HZ347" s="105">
        <f t="shared" si="451"/>
        <v>0</v>
      </c>
      <c r="IA347" s="105">
        <f t="shared" si="445"/>
        <v>0</v>
      </c>
      <c r="IB347" s="109">
        <f t="shared" si="446"/>
        <v>0</v>
      </c>
      <c r="IC347" s="109">
        <f t="shared" si="447"/>
        <v>0</v>
      </c>
      <c r="ID347" s="109">
        <f t="shared" si="448"/>
        <v>0</v>
      </c>
      <c r="IE347" s="109">
        <f t="shared" si="449"/>
        <v>0</v>
      </c>
      <c r="IF347" s="197"/>
      <c r="IG347" s="197"/>
      <c r="IH347" s="197"/>
      <c r="II347" s="197"/>
      <c r="IJ347" s="197"/>
      <c r="IK347" s="197"/>
      <c r="IL347" s="197"/>
      <c r="IM347" s="171"/>
      <c r="IN347" s="171"/>
      <c r="IO347" s="171"/>
      <c r="IP347" s="171"/>
    </row>
    <row r="348" spans="1:250" ht="15" customHeight="1" x14ac:dyDescent="0.3">
      <c r="A348" s="110">
        <f t="shared" si="450"/>
        <v>344</v>
      </c>
      <c r="B348" s="111"/>
      <c r="C348" s="111"/>
      <c r="D348" s="111"/>
      <c r="E348" s="111"/>
      <c r="F348" s="111"/>
      <c r="G348" s="111"/>
      <c r="H348" s="111"/>
      <c r="I348" s="194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75"/>
      <c r="AI348" s="111"/>
      <c r="AJ348" s="111"/>
      <c r="AK348" s="111"/>
      <c r="AL348" s="177"/>
      <c r="AM348" s="176"/>
      <c r="AN348" s="177"/>
      <c r="AO348" s="157"/>
      <c r="AP348" s="158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1"/>
      <c r="BC348" s="111"/>
      <c r="BD348" s="111"/>
      <c r="BE348" s="111"/>
      <c r="BF348" s="111"/>
      <c r="BG348" s="111"/>
      <c r="BH348" s="111"/>
      <c r="BI348" s="111"/>
      <c r="BJ348" s="111"/>
      <c r="BK348" s="111"/>
      <c r="BL348" s="175"/>
      <c r="BM348" s="111"/>
      <c r="BN348" s="111"/>
      <c r="BO348" s="111"/>
      <c r="BP348" s="111"/>
      <c r="BQ348" s="111"/>
      <c r="BR348" s="111"/>
      <c r="BS348" s="111"/>
      <c r="BT348" s="111"/>
      <c r="BU348" s="111"/>
      <c r="BV348" s="111"/>
      <c r="BW348" s="111"/>
      <c r="BX348" s="111"/>
      <c r="BY348" s="111"/>
      <c r="BZ348" s="111"/>
      <c r="CA348" s="111"/>
      <c r="CB348" s="111"/>
      <c r="CC348" s="178"/>
      <c r="CD348" s="177">
        <f t="shared" si="434"/>
        <v>0</v>
      </c>
      <c r="CE348" s="148"/>
      <c r="CF348" s="111">
        <f t="shared" si="435"/>
        <v>0</v>
      </c>
      <c r="CG348" s="177"/>
      <c r="CH348" s="204"/>
      <c r="CI348" s="148"/>
      <c r="CJ348" s="165"/>
      <c r="CK348" s="165"/>
      <c r="CL348" s="111"/>
      <c r="CM348" s="111"/>
      <c r="CN348" s="165">
        <f t="shared" si="436"/>
        <v>0</v>
      </c>
      <c r="CO348" s="109">
        <f t="shared" si="437"/>
        <v>0</v>
      </c>
      <c r="CP348" s="109">
        <f t="shared" si="438"/>
        <v>0</v>
      </c>
      <c r="CQ348" s="109"/>
      <c r="CR348" s="109"/>
      <c r="CS348" s="196"/>
      <c r="CT348" s="167"/>
      <c r="CU348" s="165"/>
      <c r="CV348" s="109">
        <f t="shared" si="439"/>
        <v>0</v>
      </c>
      <c r="CW348" s="109">
        <f t="shared" si="440"/>
        <v>0</v>
      </c>
      <c r="CX348" s="109"/>
      <c r="CY348" s="109"/>
      <c r="CZ348" s="111"/>
      <c r="DA348" s="111"/>
      <c r="DB348" s="165"/>
      <c r="DC348" s="109">
        <f t="shared" si="441"/>
        <v>0</v>
      </c>
      <c r="DD348" s="109">
        <f t="shared" si="442"/>
        <v>0</v>
      </c>
      <c r="DE348" s="109"/>
      <c r="DF348" s="109"/>
      <c r="DG348" s="111"/>
      <c r="DH348" s="111"/>
      <c r="DI348" s="165"/>
      <c r="DJ348" s="109">
        <f t="shared" si="443"/>
        <v>0</v>
      </c>
      <c r="DK348" s="109">
        <f t="shared" si="444"/>
        <v>0</v>
      </c>
      <c r="DL348" s="109"/>
      <c r="DM348" s="109"/>
      <c r="DN348" s="111"/>
      <c r="DO348" s="111"/>
      <c r="DP348" s="165"/>
      <c r="DQ348" s="109">
        <f t="shared" si="452"/>
        <v>0</v>
      </c>
      <c r="DR348" s="109">
        <f t="shared" si="453"/>
        <v>0</v>
      </c>
      <c r="DS348" s="109"/>
      <c r="DT348" s="109"/>
      <c r="DU348" s="111"/>
      <c r="DV348" s="111"/>
      <c r="DW348" s="165"/>
      <c r="DX348" s="109">
        <f t="shared" si="454"/>
        <v>0</v>
      </c>
      <c r="DY348" s="109">
        <f t="shared" si="455"/>
        <v>0</v>
      </c>
      <c r="DZ348" s="109"/>
      <c r="EA348" s="109"/>
      <c r="EB348" s="111"/>
      <c r="EC348" s="111"/>
      <c r="ED348" s="165"/>
      <c r="EE348" s="109">
        <f t="shared" si="456"/>
        <v>0</v>
      </c>
      <c r="EF348" s="109">
        <f t="shared" si="457"/>
        <v>0</v>
      </c>
      <c r="EG348" s="109"/>
      <c r="EH348" s="109"/>
      <c r="EI348" s="111"/>
      <c r="EJ348" s="111"/>
      <c r="EK348" s="165"/>
      <c r="EL348" s="109">
        <f t="shared" si="458"/>
        <v>0</v>
      </c>
      <c r="EM348" s="109">
        <f t="shared" si="459"/>
        <v>0</v>
      </c>
      <c r="EN348" s="109"/>
      <c r="EO348" s="109"/>
      <c r="EP348" s="111"/>
      <c r="EQ348" s="111"/>
      <c r="ER348" s="165"/>
      <c r="ES348" s="109">
        <f t="shared" si="460"/>
        <v>0</v>
      </c>
      <c r="ET348" s="109">
        <f t="shared" si="461"/>
        <v>0</v>
      </c>
      <c r="EU348" s="109"/>
      <c r="EV348" s="109"/>
      <c r="EW348" s="111"/>
      <c r="EX348" s="111"/>
      <c r="EY348" s="165"/>
      <c r="EZ348" s="109">
        <f t="shared" si="462"/>
        <v>0</v>
      </c>
      <c r="FA348" s="109">
        <f t="shared" si="463"/>
        <v>0</v>
      </c>
      <c r="FB348" s="109"/>
      <c r="FC348" s="109"/>
      <c r="FD348" s="111"/>
      <c r="FE348" s="111"/>
      <c r="FF348" s="165"/>
      <c r="FG348" s="109">
        <f t="shared" si="464"/>
        <v>0</v>
      </c>
      <c r="FH348" s="109">
        <f t="shared" si="465"/>
        <v>0</v>
      </c>
      <c r="FI348" s="109"/>
      <c r="FJ348" s="109"/>
      <c r="FK348" s="111"/>
      <c r="FL348" s="111"/>
      <c r="FM348" s="165"/>
      <c r="FN348" s="109">
        <f t="shared" si="466"/>
        <v>0</v>
      </c>
      <c r="FO348" s="109">
        <f t="shared" si="467"/>
        <v>0</v>
      </c>
      <c r="FP348" s="109"/>
      <c r="FQ348" s="109"/>
      <c r="FR348" s="111"/>
      <c r="FS348" s="111"/>
      <c r="FT348" s="165"/>
      <c r="FU348" s="109">
        <f t="shared" si="468"/>
        <v>0</v>
      </c>
      <c r="FV348" s="109">
        <f t="shared" si="426"/>
        <v>0</v>
      </c>
      <c r="FW348" s="109"/>
      <c r="FX348" s="109"/>
      <c r="FY348" s="111"/>
      <c r="FZ348" s="111"/>
      <c r="GA348" s="165"/>
      <c r="GB348" s="109">
        <f t="shared" si="469"/>
        <v>0</v>
      </c>
      <c r="GC348" s="109">
        <f t="shared" si="427"/>
        <v>0</v>
      </c>
      <c r="GD348" s="109"/>
      <c r="GE348" s="109"/>
      <c r="GF348" s="111"/>
      <c r="GG348" s="111"/>
      <c r="GH348" s="165"/>
      <c r="GI348" s="109">
        <f t="shared" si="470"/>
        <v>0</v>
      </c>
      <c r="GJ348" s="109">
        <f t="shared" si="428"/>
        <v>0</v>
      </c>
      <c r="GK348" s="109"/>
      <c r="GL348" s="109"/>
      <c r="GM348" s="111"/>
      <c r="GN348" s="111"/>
      <c r="GO348" s="165"/>
      <c r="GP348" s="109">
        <f t="shared" si="471"/>
        <v>0</v>
      </c>
      <c r="GQ348" s="109">
        <f t="shared" si="429"/>
        <v>0</v>
      </c>
      <c r="GR348" s="109"/>
      <c r="GS348" s="109"/>
      <c r="GT348" s="111"/>
      <c r="GU348" s="111"/>
      <c r="GV348" s="165"/>
      <c r="GW348" s="168">
        <f t="shared" si="472"/>
        <v>0</v>
      </c>
      <c r="GX348" s="168">
        <f t="shared" si="430"/>
        <v>0</v>
      </c>
      <c r="GY348" s="168"/>
      <c r="GZ348" s="168"/>
      <c r="HA348" s="111"/>
      <c r="HB348" s="111"/>
      <c r="HC348" s="165"/>
      <c r="HD348" s="109">
        <f t="shared" si="473"/>
        <v>0</v>
      </c>
      <c r="HE348" s="109">
        <f t="shared" si="431"/>
        <v>0</v>
      </c>
      <c r="HF348" s="109"/>
      <c r="HG348" s="109"/>
      <c r="HH348" s="111"/>
      <c r="HI348" s="111"/>
      <c r="HJ348" s="165"/>
      <c r="HK348" s="109">
        <f t="shared" si="474"/>
        <v>0</v>
      </c>
      <c r="HL348" s="109">
        <f t="shared" si="432"/>
        <v>0</v>
      </c>
      <c r="HM348" s="109"/>
      <c r="HN348" s="109"/>
      <c r="HO348" s="111"/>
      <c r="HP348" s="111"/>
      <c r="HQ348" s="165"/>
      <c r="HR348" s="109">
        <f t="shared" si="475"/>
        <v>0</v>
      </c>
      <c r="HS348" s="109">
        <f t="shared" si="433"/>
        <v>0</v>
      </c>
      <c r="HT348" s="109"/>
      <c r="HU348" s="109"/>
      <c r="HV348" s="111"/>
      <c r="HW348" s="111"/>
      <c r="HX348" s="105">
        <f t="shared" si="451"/>
        <v>0</v>
      </c>
      <c r="HY348" s="105">
        <f t="shared" si="451"/>
        <v>0</v>
      </c>
      <c r="HZ348" s="105">
        <f t="shared" si="451"/>
        <v>0</v>
      </c>
      <c r="IA348" s="105">
        <f t="shared" si="445"/>
        <v>0</v>
      </c>
      <c r="IB348" s="109">
        <f t="shared" si="446"/>
        <v>0</v>
      </c>
      <c r="IC348" s="109">
        <f t="shared" si="447"/>
        <v>0</v>
      </c>
      <c r="ID348" s="109">
        <f t="shared" si="448"/>
        <v>0</v>
      </c>
      <c r="IE348" s="109">
        <f t="shared" si="449"/>
        <v>0</v>
      </c>
      <c r="IF348" s="197"/>
      <c r="IG348" s="197"/>
      <c r="IH348" s="197"/>
      <c r="II348" s="197"/>
      <c r="IJ348" s="197"/>
      <c r="IK348" s="197"/>
      <c r="IL348" s="197"/>
      <c r="IM348" s="171"/>
      <c r="IN348" s="171"/>
      <c r="IO348" s="171"/>
      <c r="IP348" s="171"/>
    </row>
    <row r="349" spans="1:250" ht="15" customHeight="1" x14ac:dyDescent="0.3">
      <c r="A349" s="110">
        <f t="shared" si="450"/>
        <v>345</v>
      </c>
      <c r="B349" s="111"/>
      <c r="C349" s="111"/>
      <c r="D349" s="111"/>
      <c r="E349" s="111"/>
      <c r="F349" s="111"/>
      <c r="G349" s="111"/>
      <c r="H349" s="111"/>
      <c r="I349" s="194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75"/>
      <c r="AI349" s="111"/>
      <c r="AJ349" s="111"/>
      <c r="AK349" s="111"/>
      <c r="AL349" s="177"/>
      <c r="AM349" s="176"/>
      <c r="AN349" s="177"/>
      <c r="AO349" s="157"/>
      <c r="AP349" s="158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1"/>
      <c r="BC349" s="111"/>
      <c r="BD349" s="111"/>
      <c r="BE349" s="111"/>
      <c r="BF349" s="111"/>
      <c r="BG349" s="111"/>
      <c r="BH349" s="111"/>
      <c r="BI349" s="111"/>
      <c r="BJ349" s="111"/>
      <c r="BK349" s="111"/>
      <c r="BL349" s="175"/>
      <c r="BM349" s="111"/>
      <c r="BN349" s="111"/>
      <c r="BO349" s="111"/>
      <c r="BP349" s="111"/>
      <c r="BQ349" s="111"/>
      <c r="BR349" s="111"/>
      <c r="BS349" s="111"/>
      <c r="BT349" s="111"/>
      <c r="BU349" s="111"/>
      <c r="BV349" s="111"/>
      <c r="BW349" s="111"/>
      <c r="BX349" s="111"/>
      <c r="BY349" s="111"/>
      <c r="BZ349" s="111"/>
      <c r="CA349" s="111"/>
      <c r="CB349" s="111"/>
      <c r="CC349" s="178"/>
      <c r="CD349" s="177">
        <f t="shared" si="434"/>
        <v>0</v>
      </c>
      <c r="CE349" s="148"/>
      <c r="CF349" s="111">
        <f t="shared" si="435"/>
        <v>0</v>
      </c>
      <c r="CG349" s="177"/>
      <c r="CH349" s="204"/>
      <c r="CI349" s="148"/>
      <c r="CJ349" s="165"/>
      <c r="CK349" s="165"/>
      <c r="CL349" s="111"/>
      <c r="CM349" s="111"/>
      <c r="CN349" s="165">
        <f t="shared" si="436"/>
        <v>0</v>
      </c>
      <c r="CO349" s="109">
        <f t="shared" si="437"/>
        <v>0</v>
      </c>
      <c r="CP349" s="109">
        <f t="shared" si="438"/>
        <v>0</v>
      </c>
      <c r="CQ349" s="109"/>
      <c r="CR349" s="109"/>
      <c r="CS349" s="196"/>
      <c r="CT349" s="167"/>
      <c r="CU349" s="165"/>
      <c r="CV349" s="109">
        <f t="shared" si="439"/>
        <v>0</v>
      </c>
      <c r="CW349" s="109">
        <f t="shared" si="440"/>
        <v>0</v>
      </c>
      <c r="CX349" s="109"/>
      <c r="CY349" s="109"/>
      <c r="CZ349" s="111"/>
      <c r="DA349" s="111"/>
      <c r="DB349" s="165"/>
      <c r="DC349" s="109">
        <f t="shared" si="441"/>
        <v>0</v>
      </c>
      <c r="DD349" s="109">
        <f t="shared" si="442"/>
        <v>0</v>
      </c>
      <c r="DE349" s="109"/>
      <c r="DF349" s="109"/>
      <c r="DG349" s="111"/>
      <c r="DH349" s="111"/>
      <c r="DI349" s="165"/>
      <c r="DJ349" s="109">
        <f t="shared" si="443"/>
        <v>0</v>
      </c>
      <c r="DK349" s="109">
        <f t="shared" si="444"/>
        <v>0</v>
      </c>
      <c r="DL349" s="109"/>
      <c r="DM349" s="109"/>
      <c r="DN349" s="111"/>
      <c r="DO349" s="111"/>
      <c r="DP349" s="165"/>
      <c r="DQ349" s="109">
        <f t="shared" si="452"/>
        <v>0</v>
      </c>
      <c r="DR349" s="109">
        <f t="shared" si="453"/>
        <v>0</v>
      </c>
      <c r="DS349" s="109"/>
      <c r="DT349" s="109"/>
      <c r="DU349" s="111"/>
      <c r="DV349" s="111"/>
      <c r="DW349" s="165"/>
      <c r="DX349" s="109">
        <f t="shared" si="454"/>
        <v>0</v>
      </c>
      <c r="DY349" s="109">
        <f t="shared" si="455"/>
        <v>0</v>
      </c>
      <c r="DZ349" s="109"/>
      <c r="EA349" s="109"/>
      <c r="EB349" s="111"/>
      <c r="EC349" s="111"/>
      <c r="ED349" s="165"/>
      <c r="EE349" s="109">
        <f t="shared" si="456"/>
        <v>0</v>
      </c>
      <c r="EF349" s="109">
        <f t="shared" si="457"/>
        <v>0</v>
      </c>
      <c r="EG349" s="109"/>
      <c r="EH349" s="109"/>
      <c r="EI349" s="111"/>
      <c r="EJ349" s="111"/>
      <c r="EK349" s="165"/>
      <c r="EL349" s="109">
        <f t="shared" si="458"/>
        <v>0</v>
      </c>
      <c r="EM349" s="109">
        <f t="shared" si="459"/>
        <v>0</v>
      </c>
      <c r="EN349" s="109"/>
      <c r="EO349" s="109"/>
      <c r="EP349" s="111"/>
      <c r="EQ349" s="111"/>
      <c r="ER349" s="165"/>
      <c r="ES349" s="109">
        <f t="shared" si="460"/>
        <v>0</v>
      </c>
      <c r="ET349" s="109">
        <f t="shared" si="461"/>
        <v>0</v>
      </c>
      <c r="EU349" s="109"/>
      <c r="EV349" s="109"/>
      <c r="EW349" s="111"/>
      <c r="EX349" s="111"/>
      <c r="EY349" s="165"/>
      <c r="EZ349" s="109">
        <f t="shared" si="462"/>
        <v>0</v>
      </c>
      <c r="FA349" s="109">
        <f t="shared" si="463"/>
        <v>0</v>
      </c>
      <c r="FB349" s="109"/>
      <c r="FC349" s="109"/>
      <c r="FD349" s="111"/>
      <c r="FE349" s="111"/>
      <c r="FF349" s="165"/>
      <c r="FG349" s="109">
        <f t="shared" si="464"/>
        <v>0</v>
      </c>
      <c r="FH349" s="109">
        <f t="shared" si="465"/>
        <v>0</v>
      </c>
      <c r="FI349" s="109"/>
      <c r="FJ349" s="109"/>
      <c r="FK349" s="111"/>
      <c r="FL349" s="111"/>
      <c r="FM349" s="165"/>
      <c r="FN349" s="109">
        <f t="shared" si="466"/>
        <v>0</v>
      </c>
      <c r="FO349" s="109">
        <f t="shared" si="467"/>
        <v>0</v>
      </c>
      <c r="FP349" s="109"/>
      <c r="FQ349" s="109"/>
      <c r="FR349" s="111"/>
      <c r="FS349" s="111"/>
      <c r="FT349" s="165"/>
      <c r="FU349" s="109">
        <f t="shared" si="468"/>
        <v>0</v>
      </c>
      <c r="FV349" s="109">
        <f t="shared" si="426"/>
        <v>0</v>
      </c>
      <c r="FW349" s="109"/>
      <c r="FX349" s="109"/>
      <c r="FY349" s="111"/>
      <c r="FZ349" s="111"/>
      <c r="GA349" s="165"/>
      <c r="GB349" s="109">
        <f t="shared" si="469"/>
        <v>0</v>
      </c>
      <c r="GC349" s="109">
        <f t="shared" si="427"/>
        <v>0</v>
      </c>
      <c r="GD349" s="109"/>
      <c r="GE349" s="109"/>
      <c r="GF349" s="111"/>
      <c r="GG349" s="111"/>
      <c r="GH349" s="165"/>
      <c r="GI349" s="109">
        <f t="shared" si="470"/>
        <v>0</v>
      </c>
      <c r="GJ349" s="109">
        <f t="shared" si="428"/>
        <v>0</v>
      </c>
      <c r="GK349" s="109"/>
      <c r="GL349" s="109"/>
      <c r="GM349" s="111"/>
      <c r="GN349" s="111"/>
      <c r="GO349" s="165"/>
      <c r="GP349" s="109">
        <f t="shared" si="471"/>
        <v>0</v>
      </c>
      <c r="GQ349" s="109">
        <f t="shared" si="429"/>
        <v>0</v>
      </c>
      <c r="GR349" s="109"/>
      <c r="GS349" s="109"/>
      <c r="GT349" s="111"/>
      <c r="GU349" s="111"/>
      <c r="GV349" s="165"/>
      <c r="GW349" s="168">
        <f t="shared" si="472"/>
        <v>0</v>
      </c>
      <c r="GX349" s="168">
        <f t="shared" si="430"/>
        <v>0</v>
      </c>
      <c r="GY349" s="168"/>
      <c r="GZ349" s="168"/>
      <c r="HA349" s="111"/>
      <c r="HB349" s="111"/>
      <c r="HC349" s="165"/>
      <c r="HD349" s="109">
        <f t="shared" si="473"/>
        <v>0</v>
      </c>
      <c r="HE349" s="109">
        <f t="shared" si="431"/>
        <v>0</v>
      </c>
      <c r="HF349" s="109"/>
      <c r="HG349" s="109"/>
      <c r="HH349" s="111"/>
      <c r="HI349" s="111"/>
      <c r="HJ349" s="165"/>
      <c r="HK349" s="109">
        <f t="shared" si="474"/>
        <v>0</v>
      </c>
      <c r="HL349" s="109">
        <f t="shared" si="432"/>
        <v>0</v>
      </c>
      <c r="HM349" s="109"/>
      <c r="HN349" s="109"/>
      <c r="HO349" s="111"/>
      <c r="HP349" s="111"/>
      <c r="HQ349" s="165"/>
      <c r="HR349" s="109">
        <f t="shared" si="475"/>
        <v>0</v>
      </c>
      <c r="HS349" s="109">
        <f t="shared" si="433"/>
        <v>0</v>
      </c>
      <c r="HT349" s="109"/>
      <c r="HU349" s="109"/>
      <c r="HV349" s="111"/>
      <c r="HW349" s="111"/>
      <c r="HX349" s="105">
        <f t="shared" si="451"/>
        <v>0</v>
      </c>
      <c r="HY349" s="105">
        <f t="shared" si="451"/>
        <v>0</v>
      </c>
      <c r="HZ349" s="105">
        <f t="shared" si="451"/>
        <v>0</v>
      </c>
      <c r="IA349" s="105">
        <f t="shared" si="445"/>
        <v>0</v>
      </c>
      <c r="IB349" s="109">
        <f t="shared" si="446"/>
        <v>0</v>
      </c>
      <c r="IC349" s="109">
        <f t="shared" si="447"/>
        <v>0</v>
      </c>
      <c r="ID349" s="109">
        <f t="shared" si="448"/>
        <v>0</v>
      </c>
      <c r="IE349" s="109">
        <f t="shared" si="449"/>
        <v>0</v>
      </c>
      <c r="IF349" s="197"/>
      <c r="IG349" s="197"/>
      <c r="IH349" s="197"/>
      <c r="II349" s="197"/>
      <c r="IJ349" s="197"/>
      <c r="IK349" s="197"/>
      <c r="IL349" s="197"/>
      <c r="IM349" s="171"/>
      <c r="IN349" s="171"/>
      <c r="IO349" s="171"/>
      <c r="IP349" s="171"/>
    </row>
    <row r="350" spans="1:250" ht="15" customHeight="1" x14ac:dyDescent="0.3">
      <c r="A350" s="110">
        <f t="shared" si="450"/>
        <v>346</v>
      </c>
      <c r="B350" s="111"/>
      <c r="C350" s="111"/>
      <c r="D350" s="111"/>
      <c r="E350" s="111"/>
      <c r="F350" s="111"/>
      <c r="G350" s="111"/>
      <c r="H350" s="111"/>
      <c r="I350" s="194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75"/>
      <c r="AI350" s="111"/>
      <c r="AJ350" s="111"/>
      <c r="AK350" s="111"/>
      <c r="AL350" s="177"/>
      <c r="AM350" s="176"/>
      <c r="AN350" s="177"/>
      <c r="AO350" s="157"/>
      <c r="AP350" s="158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  <c r="BG350" s="111"/>
      <c r="BH350" s="111"/>
      <c r="BI350" s="111"/>
      <c r="BJ350" s="111"/>
      <c r="BK350" s="111"/>
      <c r="BL350" s="175"/>
      <c r="BM350" s="111"/>
      <c r="BN350" s="111"/>
      <c r="BO350" s="111"/>
      <c r="BP350" s="111"/>
      <c r="BQ350" s="111"/>
      <c r="BR350" s="111"/>
      <c r="BS350" s="111"/>
      <c r="BT350" s="111"/>
      <c r="BU350" s="111"/>
      <c r="BV350" s="111"/>
      <c r="BW350" s="111"/>
      <c r="BX350" s="111"/>
      <c r="BY350" s="111"/>
      <c r="BZ350" s="111"/>
      <c r="CA350" s="111"/>
      <c r="CB350" s="111"/>
      <c r="CC350" s="178"/>
      <c r="CD350" s="177">
        <f t="shared" si="434"/>
        <v>0</v>
      </c>
      <c r="CE350" s="148"/>
      <c r="CF350" s="111">
        <f t="shared" si="435"/>
        <v>0</v>
      </c>
      <c r="CG350" s="177"/>
      <c r="CH350" s="204"/>
      <c r="CI350" s="148"/>
      <c r="CJ350" s="165"/>
      <c r="CK350" s="165"/>
      <c r="CL350" s="111"/>
      <c r="CM350" s="111"/>
      <c r="CN350" s="165">
        <f t="shared" si="436"/>
        <v>0</v>
      </c>
      <c r="CO350" s="109">
        <f t="shared" si="437"/>
        <v>0</v>
      </c>
      <c r="CP350" s="109">
        <f t="shared" si="438"/>
        <v>0</v>
      </c>
      <c r="CQ350" s="109"/>
      <c r="CR350" s="109"/>
      <c r="CS350" s="196"/>
      <c r="CT350" s="167"/>
      <c r="CU350" s="165"/>
      <c r="CV350" s="109">
        <f t="shared" si="439"/>
        <v>0</v>
      </c>
      <c r="CW350" s="109">
        <f t="shared" si="440"/>
        <v>0</v>
      </c>
      <c r="CX350" s="109"/>
      <c r="CY350" s="109"/>
      <c r="CZ350" s="111"/>
      <c r="DA350" s="111"/>
      <c r="DB350" s="165"/>
      <c r="DC350" s="109">
        <f t="shared" si="441"/>
        <v>0</v>
      </c>
      <c r="DD350" s="109">
        <f t="shared" si="442"/>
        <v>0</v>
      </c>
      <c r="DE350" s="109"/>
      <c r="DF350" s="109"/>
      <c r="DG350" s="111"/>
      <c r="DH350" s="111"/>
      <c r="DI350" s="165"/>
      <c r="DJ350" s="109">
        <f t="shared" si="443"/>
        <v>0</v>
      </c>
      <c r="DK350" s="109">
        <f t="shared" si="444"/>
        <v>0</v>
      </c>
      <c r="DL350" s="109"/>
      <c r="DM350" s="109"/>
      <c r="DN350" s="111"/>
      <c r="DO350" s="111"/>
      <c r="DP350" s="165"/>
      <c r="DQ350" s="109">
        <f t="shared" si="452"/>
        <v>0</v>
      </c>
      <c r="DR350" s="109">
        <f t="shared" si="453"/>
        <v>0</v>
      </c>
      <c r="DS350" s="109"/>
      <c r="DT350" s="109"/>
      <c r="DU350" s="111"/>
      <c r="DV350" s="111"/>
      <c r="DW350" s="165"/>
      <c r="DX350" s="109">
        <f t="shared" si="454"/>
        <v>0</v>
      </c>
      <c r="DY350" s="109">
        <f t="shared" si="455"/>
        <v>0</v>
      </c>
      <c r="DZ350" s="109"/>
      <c r="EA350" s="109"/>
      <c r="EB350" s="111"/>
      <c r="EC350" s="111"/>
      <c r="ED350" s="165"/>
      <c r="EE350" s="109">
        <f t="shared" si="456"/>
        <v>0</v>
      </c>
      <c r="EF350" s="109">
        <f t="shared" si="457"/>
        <v>0</v>
      </c>
      <c r="EG350" s="109"/>
      <c r="EH350" s="109"/>
      <c r="EI350" s="111"/>
      <c r="EJ350" s="111"/>
      <c r="EK350" s="165"/>
      <c r="EL350" s="109">
        <f t="shared" si="458"/>
        <v>0</v>
      </c>
      <c r="EM350" s="109">
        <f t="shared" si="459"/>
        <v>0</v>
      </c>
      <c r="EN350" s="109"/>
      <c r="EO350" s="109"/>
      <c r="EP350" s="111"/>
      <c r="EQ350" s="111"/>
      <c r="ER350" s="165"/>
      <c r="ES350" s="109">
        <f t="shared" si="460"/>
        <v>0</v>
      </c>
      <c r="ET350" s="109">
        <f t="shared" si="461"/>
        <v>0</v>
      </c>
      <c r="EU350" s="109"/>
      <c r="EV350" s="109"/>
      <c r="EW350" s="111"/>
      <c r="EX350" s="111"/>
      <c r="EY350" s="165"/>
      <c r="EZ350" s="109">
        <f t="shared" si="462"/>
        <v>0</v>
      </c>
      <c r="FA350" s="109">
        <f t="shared" si="463"/>
        <v>0</v>
      </c>
      <c r="FB350" s="109"/>
      <c r="FC350" s="109"/>
      <c r="FD350" s="111"/>
      <c r="FE350" s="111"/>
      <c r="FF350" s="165"/>
      <c r="FG350" s="109">
        <f t="shared" si="464"/>
        <v>0</v>
      </c>
      <c r="FH350" s="109">
        <f t="shared" si="465"/>
        <v>0</v>
      </c>
      <c r="FI350" s="109"/>
      <c r="FJ350" s="109"/>
      <c r="FK350" s="111"/>
      <c r="FL350" s="111"/>
      <c r="FM350" s="165"/>
      <c r="FN350" s="109">
        <f t="shared" si="466"/>
        <v>0</v>
      </c>
      <c r="FO350" s="109">
        <f t="shared" si="467"/>
        <v>0</v>
      </c>
      <c r="FP350" s="109"/>
      <c r="FQ350" s="109"/>
      <c r="FR350" s="111"/>
      <c r="FS350" s="111"/>
      <c r="FT350" s="165"/>
      <c r="FU350" s="109">
        <f t="shared" si="468"/>
        <v>0</v>
      </c>
      <c r="FV350" s="109">
        <f t="shared" si="426"/>
        <v>0</v>
      </c>
      <c r="FW350" s="109"/>
      <c r="FX350" s="109"/>
      <c r="FY350" s="111"/>
      <c r="FZ350" s="111"/>
      <c r="GA350" s="165"/>
      <c r="GB350" s="109">
        <f t="shared" si="469"/>
        <v>0</v>
      </c>
      <c r="GC350" s="109">
        <f t="shared" si="427"/>
        <v>0</v>
      </c>
      <c r="GD350" s="109"/>
      <c r="GE350" s="109"/>
      <c r="GF350" s="111"/>
      <c r="GG350" s="111"/>
      <c r="GH350" s="165"/>
      <c r="GI350" s="109">
        <f t="shared" si="470"/>
        <v>0</v>
      </c>
      <c r="GJ350" s="109">
        <f t="shared" si="428"/>
        <v>0</v>
      </c>
      <c r="GK350" s="109"/>
      <c r="GL350" s="109"/>
      <c r="GM350" s="111"/>
      <c r="GN350" s="111"/>
      <c r="GO350" s="165"/>
      <c r="GP350" s="109">
        <f t="shared" si="471"/>
        <v>0</v>
      </c>
      <c r="GQ350" s="109">
        <f t="shared" si="429"/>
        <v>0</v>
      </c>
      <c r="GR350" s="109"/>
      <c r="GS350" s="109"/>
      <c r="GT350" s="111"/>
      <c r="GU350" s="111"/>
      <c r="GV350" s="165"/>
      <c r="GW350" s="168">
        <f t="shared" si="472"/>
        <v>0</v>
      </c>
      <c r="GX350" s="168">
        <f t="shared" si="430"/>
        <v>0</v>
      </c>
      <c r="GY350" s="168"/>
      <c r="GZ350" s="168"/>
      <c r="HA350" s="111"/>
      <c r="HB350" s="111"/>
      <c r="HC350" s="165"/>
      <c r="HD350" s="109">
        <f t="shared" si="473"/>
        <v>0</v>
      </c>
      <c r="HE350" s="109">
        <f t="shared" si="431"/>
        <v>0</v>
      </c>
      <c r="HF350" s="109"/>
      <c r="HG350" s="109"/>
      <c r="HH350" s="111"/>
      <c r="HI350" s="111"/>
      <c r="HJ350" s="165"/>
      <c r="HK350" s="109">
        <f t="shared" si="474"/>
        <v>0</v>
      </c>
      <c r="HL350" s="109">
        <f t="shared" si="432"/>
        <v>0</v>
      </c>
      <c r="HM350" s="109"/>
      <c r="HN350" s="109"/>
      <c r="HO350" s="111"/>
      <c r="HP350" s="111"/>
      <c r="HQ350" s="165"/>
      <c r="HR350" s="109">
        <f t="shared" si="475"/>
        <v>0</v>
      </c>
      <c r="HS350" s="109">
        <f t="shared" si="433"/>
        <v>0</v>
      </c>
      <c r="HT350" s="109"/>
      <c r="HU350" s="109"/>
      <c r="HV350" s="111"/>
      <c r="HW350" s="111"/>
      <c r="HX350" s="105">
        <f t="shared" si="451"/>
        <v>0</v>
      </c>
      <c r="HY350" s="105">
        <f t="shared" si="451"/>
        <v>0</v>
      </c>
      <c r="HZ350" s="105">
        <f t="shared" si="451"/>
        <v>0</v>
      </c>
      <c r="IA350" s="105">
        <f t="shared" si="445"/>
        <v>0</v>
      </c>
      <c r="IB350" s="109">
        <f t="shared" si="446"/>
        <v>0</v>
      </c>
      <c r="IC350" s="109">
        <f t="shared" si="447"/>
        <v>0</v>
      </c>
      <c r="ID350" s="109">
        <f t="shared" si="448"/>
        <v>0</v>
      </c>
      <c r="IE350" s="109">
        <f t="shared" si="449"/>
        <v>0</v>
      </c>
      <c r="IF350" s="197"/>
      <c r="IG350" s="197"/>
      <c r="IH350" s="197"/>
      <c r="II350" s="197"/>
      <c r="IJ350" s="197"/>
      <c r="IK350" s="197"/>
      <c r="IL350" s="197"/>
      <c r="IM350" s="171"/>
      <c r="IN350" s="171"/>
      <c r="IO350" s="171"/>
      <c r="IP350" s="171"/>
    </row>
    <row r="351" spans="1:250" ht="15" customHeight="1" x14ac:dyDescent="0.3">
      <c r="A351" s="110">
        <f t="shared" si="450"/>
        <v>347</v>
      </c>
      <c r="B351" s="111"/>
      <c r="C351" s="111"/>
      <c r="D351" s="111"/>
      <c r="E351" s="111"/>
      <c r="F351" s="111"/>
      <c r="G351" s="111"/>
      <c r="H351" s="111"/>
      <c r="I351" s="194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75"/>
      <c r="AI351" s="111"/>
      <c r="AJ351" s="111"/>
      <c r="AK351" s="111"/>
      <c r="AL351" s="177"/>
      <c r="AM351" s="176"/>
      <c r="AN351" s="177"/>
      <c r="AO351" s="157"/>
      <c r="AP351" s="158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  <c r="BG351" s="111"/>
      <c r="BH351" s="111"/>
      <c r="BI351" s="111"/>
      <c r="BJ351" s="111"/>
      <c r="BK351" s="111"/>
      <c r="BL351" s="175"/>
      <c r="BM351" s="111"/>
      <c r="BN351" s="111"/>
      <c r="BO351" s="111"/>
      <c r="BP351" s="111"/>
      <c r="BQ351" s="111"/>
      <c r="BR351" s="111"/>
      <c r="BS351" s="111"/>
      <c r="BT351" s="111"/>
      <c r="BU351" s="111"/>
      <c r="BV351" s="111"/>
      <c r="BW351" s="111"/>
      <c r="BX351" s="111"/>
      <c r="BY351" s="111"/>
      <c r="BZ351" s="111"/>
      <c r="CA351" s="111"/>
      <c r="CB351" s="111"/>
      <c r="CC351" s="178"/>
      <c r="CD351" s="177">
        <f t="shared" si="434"/>
        <v>0</v>
      </c>
      <c r="CE351" s="148"/>
      <c r="CF351" s="111">
        <f t="shared" si="435"/>
        <v>0</v>
      </c>
      <c r="CG351" s="177"/>
      <c r="CH351" s="204"/>
      <c r="CI351" s="148"/>
      <c r="CJ351" s="165"/>
      <c r="CK351" s="165"/>
      <c r="CL351" s="111"/>
      <c r="CM351" s="111"/>
      <c r="CN351" s="165">
        <f t="shared" si="436"/>
        <v>0</v>
      </c>
      <c r="CO351" s="109">
        <f t="shared" si="437"/>
        <v>0</v>
      </c>
      <c r="CP351" s="109">
        <f t="shared" si="438"/>
        <v>0</v>
      </c>
      <c r="CQ351" s="109"/>
      <c r="CR351" s="109"/>
      <c r="CS351" s="196"/>
      <c r="CT351" s="167"/>
      <c r="CU351" s="165"/>
      <c r="CV351" s="109">
        <f t="shared" si="439"/>
        <v>0</v>
      </c>
      <c r="CW351" s="109">
        <f t="shared" si="440"/>
        <v>0</v>
      </c>
      <c r="CX351" s="109"/>
      <c r="CY351" s="109"/>
      <c r="CZ351" s="111"/>
      <c r="DA351" s="111"/>
      <c r="DB351" s="165"/>
      <c r="DC351" s="109">
        <f t="shared" si="441"/>
        <v>0</v>
      </c>
      <c r="DD351" s="109">
        <f t="shared" si="442"/>
        <v>0</v>
      </c>
      <c r="DE351" s="109"/>
      <c r="DF351" s="109"/>
      <c r="DG351" s="111"/>
      <c r="DH351" s="111"/>
      <c r="DI351" s="165"/>
      <c r="DJ351" s="109">
        <f t="shared" si="443"/>
        <v>0</v>
      </c>
      <c r="DK351" s="109">
        <f t="shared" si="444"/>
        <v>0</v>
      </c>
      <c r="DL351" s="109"/>
      <c r="DM351" s="109"/>
      <c r="DN351" s="111"/>
      <c r="DO351" s="111"/>
      <c r="DP351" s="165"/>
      <c r="DQ351" s="109">
        <f t="shared" si="452"/>
        <v>0</v>
      </c>
      <c r="DR351" s="109">
        <f t="shared" si="453"/>
        <v>0</v>
      </c>
      <c r="DS351" s="109"/>
      <c r="DT351" s="109"/>
      <c r="DU351" s="111"/>
      <c r="DV351" s="111"/>
      <c r="DW351" s="165"/>
      <c r="DX351" s="109">
        <f t="shared" si="454"/>
        <v>0</v>
      </c>
      <c r="DY351" s="109">
        <f t="shared" si="455"/>
        <v>0</v>
      </c>
      <c r="DZ351" s="109"/>
      <c r="EA351" s="109"/>
      <c r="EB351" s="111"/>
      <c r="EC351" s="111"/>
      <c r="ED351" s="165"/>
      <c r="EE351" s="109">
        <f t="shared" si="456"/>
        <v>0</v>
      </c>
      <c r="EF351" s="109">
        <f t="shared" si="457"/>
        <v>0</v>
      </c>
      <c r="EG351" s="109"/>
      <c r="EH351" s="109"/>
      <c r="EI351" s="111"/>
      <c r="EJ351" s="111"/>
      <c r="EK351" s="165"/>
      <c r="EL351" s="109">
        <f t="shared" si="458"/>
        <v>0</v>
      </c>
      <c r="EM351" s="109">
        <f t="shared" si="459"/>
        <v>0</v>
      </c>
      <c r="EN351" s="109"/>
      <c r="EO351" s="109"/>
      <c r="EP351" s="111"/>
      <c r="EQ351" s="111"/>
      <c r="ER351" s="165"/>
      <c r="ES351" s="109">
        <f t="shared" si="460"/>
        <v>0</v>
      </c>
      <c r="ET351" s="109">
        <f t="shared" si="461"/>
        <v>0</v>
      </c>
      <c r="EU351" s="109"/>
      <c r="EV351" s="109"/>
      <c r="EW351" s="111"/>
      <c r="EX351" s="111"/>
      <c r="EY351" s="165"/>
      <c r="EZ351" s="109">
        <f t="shared" si="462"/>
        <v>0</v>
      </c>
      <c r="FA351" s="109">
        <f t="shared" si="463"/>
        <v>0</v>
      </c>
      <c r="FB351" s="109"/>
      <c r="FC351" s="109"/>
      <c r="FD351" s="111"/>
      <c r="FE351" s="111"/>
      <c r="FF351" s="165"/>
      <c r="FG351" s="109">
        <f t="shared" si="464"/>
        <v>0</v>
      </c>
      <c r="FH351" s="109">
        <f t="shared" si="465"/>
        <v>0</v>
      </c>
      <c r="FI351" s="109"/>
      <c r="FJ351" s="109"/>
      <c r="FK351" s="111"/>
      <c r="FL351" s="111"/>
      <c r="FM351" s="165"/>
      <c r="FN351" s="109">
        <f t="shared" si="466"/>
        <v>0</v>
      </c>
      <c r="FO351" s="109">
        <f t="shared" si="467"/>
        <v>0</v>
      </c>
      <c r="FP351" s="109"/>
      <c r="FQ351" s="109"/>
      <c r="FR351" s="111"/>
      <c r="FS351" s="111"/>
      <c r="FT351" s="165"/>
      <c r="FU351" s="109">
        <f t="shared" si="468"/>
        <v>0</v>
      </c>
      <c r="FV351" s="109">
        <f t="shared" si="426"/>
        <v>0</v>
      </c>
      <c r="FW351" s="109"/>
      <c r="FX351" s="109"/>
      <c r="FY351" s="111"/>
      <c r="FZ351" s="111"/>
      <c r="GA351" s="165"/>
      <c r="GB351" s="109">
        <f t="shared" si="469"/>
        <v>0</v>
      </c>
      <c r="GC351" s="109">
        <f t="shared" si="427"/>
        <v>0</v>
      </c>
      <c r="GD351" s="109"/>
      <c r="GE351" s="109"/>
      <c r="GF351" s="111"/>
      <c r="GG351" s="111"/>
      <c r="GH351" s="165"/>
      <c r="GI351" s="109">
        <f t="shared" si="470"/>
        <v>0</v>
      </c>
      <c r="GJ351" s="109">
        <f t="shared" si="428"/>
        <v>0</v>
      </c>
      <c r="GK351" s="109"/>
      <c r="GL351" s="109"/>
      <c r="GM351" s="111"/>
      <c r="GN351" s="111"/>
      <c r="GO351" s="165"/>
      <c r="GP351" s="109">
        <f t="shared" si="471"/>
        <v>0</v>
      </c>
      <c r="GQ351" s="109">
        <f t="shared" si="429"/>
        <v>0</v>
      </c>
      <c r="GR351" s="109"/>
      <c r="GS351" s="109"/>
      <c r="GT351" s="111"/>
      <c r="GU351" s="111"/>
      <c r="GV351" s="165"/>
      <c r="GW351" s="168">
        <f t="shared" si="472"/>
        <v>0</v>
      </c>
      <c r="GX351" s="168">
        <f t="shared" si="430"/>
        <v>0</v>
      </c>
      <c r="GY351" s="168"/>
      <c r="GZ351" s="168"/>
      <c r="HA351" s="111"/>
      <c r="HB351" s="111"/>
      <c r="HC351" s="165"/>
      <c r="HD351" s="109">
        <f t="shared" si="473"/>
        <v>0</v>
      </c>
      <c r="HE351" s="109">
        <f t="shared" si="431"/>
        <v>0</v>
      </c>
      <c r="HF351" s="109"/>
      <c r="HG351" s="109"/>
      <c r="HH351" s="111"/>
      <c r="HI351" s="111"/>
      <c r="HJ351" s="165"/>
      <c r="HK351" s="109">
        <f t="shared" si="474"/>
        <v>0</v>
      </c>
      <c r="HL351" s="109">
        <f t="shared" si="432"/>
        <v>0</v>
      </c>
      <c r="HM351" s="109"/>
      <c r="HN351" s="109"/>
      <c r="HO351" s="111"/>
      <c r="HP351" s="111"/>
      <c r="HQ351" s="165"/>
      <c r="HR351" s="109">
        <f t="shared" si="475"/>
        <v>0</v>
      </c>
      <c r="HS351" s="109">
        <f t="shared" si="433"/>
        <v>0</v>
      </c>
      <c r="HT351" s="109"/>
      <c r="HU351" s="109"/>
      <c r="HV351" s="111"/>
      <c r="HW351" s="111"/>
      <c r="HX351" s="105">
        <f t="shared" si="451"/>
        <v>0</v>
      </c>
      <c r="HY351" s="105">
        <f t="shared" si="451"/>
        <v>0</v>
      </c>
      <c r="HZ351" s="105">
        <f t="shared" si="451"/>
        <v>0</v>
      </c>
      <c r="IA351" s="105">
        <f t="shared" si="445"/>
        <v>0</v>
      </c>
      <c r="IB351" s="109">
        <f t="shared" si="446"/>
        <v>0</v>
      </c>
      <c r="IC351" s="109">
        <f t="shared" si="447"/>
        <v>0</v>
      </c>
      <c r="ID351" s="109">
        <f t="shared" si="448"/>
        <v>0</v>
      </c>
      <c r="IE351" s="109">
        <f t="shared" si="449"/>
        <v>0</v>
      </c>
      <c r="IF351" s="197"/>
      <c r="IG351" s="197"/>
      <c r="IH351" s="197"/>
      <c r="II351" s="197"/>
      <c r="IJ351" s="197"/>
      <c r="IK351" s="197"/>
      <c r="IL351" s="197"/>
      <c r="IM351" s="171"/>
      <c r="IN351" s="171"/>
      <c r="IO351" s="171"/>
      <c r="IP351" s="171"/>
    </row>
    <row r="352" spans="1:250" ht="15" customHeight="1" x14ac:dyDescent="0.3">
      <c r="A352" s="110">
        <f t="shared" si="450"/>
        <v>348</v>
      </c>
      <c r="B352" s="111"/>
      <c r="C352" s="111"/>
      <c r="D352" s="111"/>
      <c r="E352" s="111"/>
      <c r="F352" s="111"/>
      <c r="G352" s="111"/>
      <c r="H352" s="111"/>
      <c r="I352" s="194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75"/>
      <c r="AI352" s="111"/>
      <c r="AJ352" s="111"/>
      <c r="AK352" s="111"/>
      <c r="AL352" s="177"/>
      <c r="AM352" s="176"/>
      <c r="AN352" s="177"/>
      <c r="AO352" s="157"/>
      <c r="AP352" s="158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  <c r="BJ352" s="111"/>
      <c r="BK352" s="111"/>
      <c r="BL352" s="175"/>
      <c r="BM352" s="111"/>
      <c r="BN352" s="111"/>
      <c r="BO352" s="111"/>
      <c r="BP352" s="111"/>
      <c r="BQ352" s="111"/>
      <c r="BR352" s="111"/>
      <c r="BS352" s="111"/>
      <c r="BT352" s="111"/>
      <c r="BU352" s="111"/>
      <c r="BV352" s="111"/>
      <c r="BW352" s="111"/>
      <c r="BX352" s="111"/>
      <c r="BY352" s="111"/>
      <c r="BZ352" s="111"/>
      <c r="CA352" s="111"/>
      <c r="CB352" s="111"/>
      <c r="CC352" s="178"/>
      <c r="CD352" s="177">
        <f t="shared" si="434"/>
        <v>0</v>
      </c>
      <c r="CE352" s="148"/>
      <c r="CF352" s="111">
        <f t="shared" si="435"/>
        <v>0</v>
      </c>
      <c r="CG352" s="177"/>
      <c r="CH352" s="204"/>
      <c r="CI352" s="148"/>
      <c r="CJ352" s="165"/>
      <c r="CK352" s="165"/>
      <c r="CL352" s="111"/>
      <c r="CM352" s="111"/>
      <c r="CN352" s="165">
        <f t="shared" si="436"/>
        <v>0</v>
      </c>
      <c r="CO352" s="109">
        <f t="shared" si="437"/>
        <v>0</v>
      </c>
      <c r="CP352" s="109">
        <f t="shared" si="438"/>
        <v>0</v>
      </c>
      <c r="CQ352" s="109"/>
      <c r="CR352" s="109"/>
      <c r="CS352" s="196"/>
      <c r="CT352" s="167"/>
      <c r="CU352" s="165"/>
      <c r="CV352" s="109">
        <f t="shared" si="439"/>
        <v>0</v>
      </c>
      <c r="CW352" s="109">
        <f t="shared" si="440"/>
        <v>0</v>
      </c>
      <c r="CX352" s="109"/>
      <c r="CY352" s="109"/>
      <c r="CZ352" s="111"/>
      <c r="DA352" s="111"/>
      <c r="DB352" s="165"/>
      <c r="DC352" s="109">
        <f t="shared" si="441"/>
        <v>0</v>
      </c>
      <c r="DD352" s="109">
        <f t="shared" si="442"/>
        <v>0</v>
      </c>
      <c r="DE352" s="109"/>
      <c r="DF352" s="109"/>
      <c r="DG352" s="111"/>
      <c r="DH352" s="111"/>
      <c r="DI352" s="165"/>
      <c r="DJ352" s="109">
        <f t="shared" si="443"/>
        <v>0</v>
      </c>
      <c r="DK352" s="109">
        <f t="shared" si="444"/>
        <v>0</v>
      </c>
      <c r="DL352" s="109"/>
      <c r="DM352" s="109"/>
      <c r="DN352" s="111"/>
      <c r="DO352" s="111"/>
      <c r="DP352" s="165"/>
      <c r="DQ352" s="109">
        <f t="shared" si="452"/>
        <v>0</v>
      </c>
      <c r="DR352" s="109">
        <f t="shared" si="453"/>
        <v>0</v>
      </c>
      <c r="DS352" s="109"/>
      <c r="DT352" s="109"/>
      <c r="DU352" s="111"/>
      <c r="DV352" s="111"/>
      <c r="DW352" s="165"/>
      <c r="DX352" s="109">
        <f t="shared" si="454"/>
        <v>0</v>
      </c>
      <c r="DY352" s="109">
        <f t="shared" si="455"/>
        <v>0</v>
      </c>
      <c r="DZ352" s="109"/>
      <c r="EA352" s="109"/>
      <c r="EB352" s="111"/>
      <c r="EC352" s="111"/>
      <c r="ED352" s="165"/>
      <c r="EE352" s="109">
        <f t="shared" si="456"/>
        <v>0</v>
      </c>
      <c r="EF352" s="109">
        <f t="shared" si="457"/>
        <v>0</v>
      </c>
      <c r="EG352" s="109"/>
      <c r="EH352" s="109"/>
      <c r="EI352" s="111"/>
      <c r="EJ352" s="111"/>
      <c r="EK352" s="165"/>
      <c r="EL352" s="109">
        <f t="shared" si="458"/>
        <v>0</v>
      </c>
      <c r="EM352" s="109">
        <f t="shared" si="459"/>
        <v>0</v>
      </c>
      <c r="EN352" s="109"/>
      <c r="EO352" s="109"/>
      <c r="EP352" s="111"/>
      <c r="EQ352" s="111"/>
      <c r="ER352" s="165"/>
      <c r="ES352" s="109">
        <f t="shared" si="460"/>
        <v>0</v>
      </c>
      <c r="ET352" s="109">
        <f t="shared" si="461"/>
        <v>0</v>
      </c>
      <c r="EU352" s="109"/>
      <c r="EV352" s="109"/>
      <c r="EW352" s="111"/>
      <c r="EX352" s="111"/>
      <c r="EY352" s="165"/>
      <c r="EZ352" s="109">
        <f t="shared" si="462"/>
        <v>0</v>
      </c>
      <c r="FA352" s="109">
        <f t="shared" si="463"/>
        <v>0</v>
      </c>
      <c r="FB352" s="109"/>
      <c r="FC352" s="109"/>
      <c r="FD352" s="111"/>
      <c r="FE352" s="111"/>
      <c r="FF352" s="165"/>
      <c r="FG352" s="109">
        <f t="shared" si="464"/>
        <v>0</v>
      </c>
      <c r="FH352" s="109">
        <f t="shared" si="465"/>
        <v>0</v>
      </c>
      <c r="FI352" s="109"/>
      <c r="FJ352" s="109"/>
      <c r="FK352" s="111"/>
      <c r="FL352" s="111"/>
      <c r="FM352" s="165"/>
      <c r="FN352" s="109">
        <f t="shared" si="466"/>
        <v>0</v>
      </c>
      <c r="FO352" s="109">
        <f t="shared" si="467"/>
        <v>0</v>
      </c>
      <c r="FP352" s="109"/>
      <c r="FQ352" s="109"/>
      <c r="FR352" s="111"/>
      <c r="FS352" s="111"/>
      <c r="FT352" s="165"/>
      <c r="FU352" s="109">
        <f t="shared" si="468"/>
        <v>0</v>
      </c>
      <c r="FV352" s="109">
        <f t="shared" si="426"/>
        <v>0</v>
      </c>
      <c r="FW352" s="109"/>
      <c r="FX352" s="109"/>
      <c r="FY352" s="111"/>
      <c r="FZ352" s="111"/>
      <c r="GA352" s="165"/>
      <c r="GB352" s="109">
        <f t="shared" si="469"/>
        <v>0</v>
      </c>
      <c r="GC352" s="109">
        <f t="shared" si="427"/>
        <v>0</v>
      </c>
      <c r="GD352" s="109"/>
      <c r="GE352" s="109"/>
      <c r="GF352" s="111"/>
      <c r="GG352" s="111"/>
      <c r="GH352" s="165"/>
      <c r="GI352" s="109">
        <f t="shared" si="470"/>
        <v>0</v>
      </c>
      <c r="GJ352" s="109">
        <f t="shared" si="428"/>
        <v>0</v>
      </c>
      <c r="GK352" s="109"/>
      <c r="GL352" s="109"/>
      <c r="GM352" s="111"/>
      <c r="GN352" s="111"/>
      <c r="GO352" s="165"/>
      <c r="GP352" s="109">
        <f t="shared" si="471"/>
        <v>0</v>
      </c>
      <c r="GQ352" s="109">
        <f t="shared" si="429"/>
        <v>0</v>
      </c>
      <c r="GR352" s="109"/>
      <c r="GS352" s="109"/>
      <c r="GT352" s="111"/>
      <c r="GU352" s="111"/>
      <c r="GV352" s="165"/>
      <c r="GW352" s="168">
        <f t="shared" si="472"/>
        <v>0</v>
      </c>
      <c r="GX352" s="168">
        <f t="shared" si="430"/>
        <v>0</v>
      </c>
      <c r="GY352" s="168"/>
      <c r="GZ352" s="168"/>
      <c r="HA352" s="111"/>
      <c r="HB352" s="111"/>
      <c r="HC352" s="165"/>
      <c r="HD352" s="109">
        <f t="shared" si="473"/>
        <v>0</v>
      </c>
      <c r="HE352" s="109">
        <f t="shared" si="431"/>
        <v>0</v>
      </c>
      <c r="HF352" s="109"/>
      <c r="HG352" s="109"/>
      <c r="HH352" s="111"/>
      <c r="HI352" s="111"/>
      <c r="HJ352" s="165"/>
      <c r="HK352" s="109">
        <f t="shared" si="474"/>
        <v>0</v>
      </c>
      <c r="HL352" s="109">
        <f t="shared" si="432"/>
        <v>0</v>
      </c>
      <c r="HM352" s="109"/>
      <c r="HN352" s="109"/>
      <c r="HO352" s="111"/>
      <c r="HP352" s="111"/>
      <c r="HQ352" s="165"/>
      <c r="HR352" s="109">
        <f t="shared" si="475"/>
        <v>0</v>
      </c>
      <c r="HS352" s="109">
        <f t="shared" si="433"/>
        <v>0</v>
      </c>
      <c r="HT352" s="109"/>
      <c r="HU352" s="109"/>
      <c r="HV352" s="111"/>
      <c r="HW352" s="111"/>
      <c r="HX352" s="105">
        <f t="shared" si="451"/>
        <v>0</v>
      </c>
      <c r="HY352" s="105">
        <f t="shared" si="451"/>
        <v>0</v>
      </c>
      <c r="HZ352" s="105">
        <f t="shared" si="451"/>
        <v>0</v>
      </c>
      <c r="IA352" s="105">
        <f t="shared" si="445"/>
        <v>0</v>
      </c>
      <c r="IB352" s="109">
        <f t="shared" si="446"/>
        <v>0</v>
      </c>
      <c r="IC352" s="109">
        <f t="shared" si="447"/>
        <v>0</v>
      </c>
      <c r="ID352" s="109">
        <f t="shared" si="448"/>
        <v>0</v>
      </c>
      <c r="IE352" s="109">
        <f t="shared" si="449"/>
        <v>0</v>
      </c>
      <c r="IF352" s="197"/>
      <c r="IG352" s="197"/>
      <c r="IH352" s="197"/>
      <c r="II352" s="197"/>
      <c r="IJ352" s="197"/>
      <c r="IK352" s="197"/>
      <c r="IL352" s="197"/>
      <c r="IM352" s="171"/>
      <c r="IN352" s="171"/>
      <c r="IO352" s="171"/>
      <c r="IP352" s="171"/>
    </row>
    <row r="353" spans="1:250" ht="15" customHeight="1" x14ac:dyDescent="0.3">
      <c r="A353" s="110">
        <f t="shared" si="450"/>
        <v>349</v>
      </c>
      <c r="B353" s="111"/>
      <c r="C353" s="111"/>
      <c r="D353" s="111"/>
      <c r="E353" s="111"/>
      <c r="F353" s="111"/>
      <c r="G353" s="111"/>
      <c r="H353" s="111"/>
      <c r="I353" s="194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75"/>
      <c r="AI353" s="111"/>
      <c r="AJ353" s="111"/>
      <c r="AK353" s="111"/>
      <c r="AL353" s="177"/>
      <c r="AM353" s="176"/>
      <c r="AN353" s="177"/>
      <c r="AO353" s="157"/>
      <c r="AP353" s="158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  <c r="BG353" s="111"/>
      <c r="BH353" s="111"/>
      <c r="BI353" s="111"/>
      <c r="BJ353" s="111"/>
      <c r="BK353" s="111"/>
      <c r="BL353" s="175"/>
      <c r="BM353" s="111"/>
      <c r="BN353" s="111"/>
      <c r="BO353" s="111"/>
      <c r="BP353" s="111"/>
      <c r="BQ353" s="111"/>
      <c r="BR353" s="111"/>
      <c r="BS353" s="111"/>
      <c r="BT353" s="111"/>
      <c r="BU353" s="111"/>
      <c r="BV353" s="111"/>
      <c r="BW353" s="111"/>
      <c r="BX353" s="111"/>
      <c r="BY353" s="111"/>
      <c r="BZ353" s="111"/>
      <c r="CA353" s="111"/>
      <c r="CB353" s="111"/>
      <c r="CC353" s="178"/>
      <c r="CD353" s="177">
        <f t="shared" si="434"/>
        <v>0</v>
      </c>
      <c r="CE353" s="148"/>
      <c r="CF353" s="111">
        <f t="shared" si="435"/>
        <v>0</v>
      </c>
      <c r="CG353" s="177"/>
      <c r="CH353" s="204"/>
      <c r="CI353" s="148"/>
      <c r="CJ353" s="165"/>
      <c r="CK353" s="165"/>
      <c r="CL353" s="111"/>
      <c r="CM353" s="111"/>
      <c r="CN353" s="165">
        <f t="shared" si="436"/>
        <v>0</v>
      </c>
      <c r="CO353" s="109">
        <f t="shared" si="437"/>
        <v>0</v>
      </c>
      <c r="CP353" s="109">
        <f t="shared" si="438"/>
        <v>0</v>
      </c>
      <c r="CQ353" s="109"/>
      <c r="CR353" s="109"/>
      <c r="CS353" s="196"/>
      <c r="CT353" s="167"/>
      <c r="CU353" s="165"/>
      <c r="CV353" s="109">
        <f t="shared" si="439"/>
        <v>0</v>
      </c>
      <c r="CW353" s="109">
        <f t="shared" si="440"/>
        <v>0</v>
      </c>
      <c r="CX353" s="109"/>
      <c r="CY353" s="109"/>
      <c r="CZ353" s="111"/>
      <c r="DA353" s="111"/>
      <c r="DB353" s="165"/>
      <c r="DC353" s="109">
        <f t="shared" si="441"/>
        <v>0</v>
      </c>
      <c r="DD353" s="109">
        <f t="shared" si="442"/>
        <v>0</v>
      </c>
      <c r="DE353" s="109"/>
      <c r="DF353" s="109"/>
      <c r="DG353" s="111"/>
      <c r="DH353" s="111"/>
      <c r="DI353" s="165"/>
      <c r="DJ353" s="109">
        <f t="shared" si="443"/>
        <v>0</v>
      </c>
      <c r="DK353" s="109">
        <f t="shared" si="444"/>
        <v>0</v>
      </c>
      <c r="DL353" s="109"/>
      <c r="DM353" s="109"/>
      <c r="DN353" s="111"/>
      <c r="DO353" s="111"/>
      <c r="DP353" s="165"/>
      <c r="DQ353" s="109">
        <f t="shared" si="452"/>
        <v>0</v>
      </c>
      <c r="DR353" s="109">
        <f t="shared" si="453"/>
        <v>0</v>
      </c>
      <c r="DS353" s="109"/>
      <c r="DT353" s="109"/>
      <c r="DU353" s="111"/>
      <c r="DV353" s="111"/>
      <c r="DW353" s="165"/>
      <c r="DX353" s="109">
        <f t="shared" si="454"/>
        <v>0</v>
      </c>
      <c r="DY353" s="109">
        <f t="shared" si="455"/>
        <v>0</v>
      </c>
      <c r="DZ353" s="109"/>
      <c r="EA353" s="109"/>
      <c r="EB353" s="111"/>
      <c r="EC353" s="111"/>
      <c r="ED353" s="165"/>
      <c r="EE353" s="109">
        <f t="shared" si="456"/>
        <v>0</v>
      </c>
      <c r="EF353" s="109">
        <f t="shared" si="457"/>
        <v>0</v>
      </c>
      <c r="EG353" s="109"/>
      <c r="EH353" s="109"/>
      <c r="EI353" s="111"/>
      <c r="EJ353" s="111"/>
      <c r="EK353" s="165"/>
      <c r="EL353" s="109">
        <f t="shared" si="458"/>
        <v>0</v>
      </c>
      <c r="EM353" s="109">
        <f t="shared" si="459"/>
        <v>0</v>
      </c>
      <c r="EN353" s="109"/>
      <c r="EO353" s="109"/>
      <c r="EP353" s="111"/>
      <c r="EQ353" s="111"/>
      <c r="ER353" s="165"/>
      <c r="ES353" s="109">
        <f t="shared" si="460"/>
        <v>0</v>
      </c>
      <c r="ET353" s="109">
        <f t="shared" si="461"/>
        <v>0</v>
      </c>
      <c r="EU353" s="109"/>
      <c r="EV353" s="109"/>
      <c r="EW353" s="111"/>
      <c r="EX353" s="111"/>
      <c r="EY353" s="165"/>
      <c r="EZ353" s="109">
        <f t="shared" si="462"/>
        <v>0</v>
      </c>
      <c r="FA353" s="109">
        <f t="shared" si="463"/>
        <v>0</v>
      </c>
      <c r="FB353" s="109"/>
      <c r="FC353" s="109"/>
      <c r="FD353" s="111"/>
      <c r="FE353" s="111"/>
      <c r="FF353" s="165"/>
      <c r="FG353" s="109">
        <f t="shared" si="464"/>
        <v>0</v>
      </c>
      <c r="FH353" s="109">
        <f t="shared" si="465"/>
        <v>0</v>
      </c>
      <c r="FI353" s="109"/>
      <c r="FJ353" s="109"/>
      <c r="FK353" s="111"/>
      <c r="FL353" s="111"/>
      <c r="FM353" s="165"/>
      <c r="FN353" s="109">
        <f t="shared" si="466"/>
        <v>0</v>
      </c>
      <c r="FO353" s="109">
        <f t="shared" si="467"/>
        <v>0</v>
      </c>
      <c r="FP353" s="109"/>
      <c r="FQ353" s="109"/>
      <c r="FR353" s="111"/>
      <c r="FS353" s="111"/>
      <c r="FT353" s="165"/>
      <c r="FU353" s="109">
        <f t="shared" si="468"/>
        <v>0</v>
      </c>
      <c r="FV353" s="109">
        <f t="shared" si="426"/>
        <v>0</v>
      </c>
      <c r="FW353" s="109"/>
      <c r="FX353" s="109"/>
      <c r="FY353" s="111"/>
      <c r="FZ353" s="111"/>
      <c r="GA353" s="165"/>
      <c r="GB353" s="109">
        <f t="shared" si="469"/>
        <v>0</v>
      </c>
      <c r="GC353" s="109">
        <f t="shared" si="427"/>
        <v>0</v>
      </c>
      <c r="GD353" s="109"/>
      <c r="GE353" s="109"/>
      <c r="GF353" s="111"/>
      <c r="GG353" s="111"/>
      <c r="GH353" s="165"/>
      <c r="GI353" s="109">
        <f t="shared" si="470"/>
        <v>0</v>
      </c>
      <c r="GJ353" s="109">
        <f t="shared" si="428"/>
        <v>0</v>
      </c>
      <c r="GK353" s="109"/>
      <c r="GL353" s="109"/>
      <c r="GM353" s="111"/>
      <c r="GN353" s="111"/>
      <c r="GO353" s="165"/>
      <c r="GP353" s="109">
        <f t="shared" si="471"/>
        <v>0</v>
      </c>
      <c r="GQ353" s="109">
        <f t="shared" si="429"/>
        <v>0</v>
      </c>
      <c r="GR353" s="109"/>
      <c r="GS353" s="109"/>
      <c r="GT353" s="111"/>
      <c r="GU353" s="111"/>
      <c r="GV353" s="165"/>
      <c r="GW353" s="168">
        <f t="shared" si="472"/>
        <v>0</v>
      </c>
      <c r="GX353" s="168">
        <f t="shared" si="430"/>
        <v>0</v>
      </c>
      <c r="GY353" s="168"/>
      <c r="GZ353" s="168"/>
      <c r="HA353" s="111"/>
      <c r="HB353" s="111"/>
      <c r="HC353" s="165"/>
      <c r="HD353" s="109">
        <f t="shared" si="473"/>
        <v>0</v>
      </c>
      <c r="HE353" s="109">
        <f t="shared" si="431"/>
        <v>0</v>
      </c>
      <c r="HF353" s="109"/>
      <c r="HG353" s="109"/>
      <c r="HH353" s="111"/>
      <c r="HI353" s="111"/>
      <c r="HJ353" s="165"/>
      <c r="HK353" s="109">
        <f t="shared" si="474"/>
        <v>0</v>
      </c>
      <c r="HL353" s="109">
        <f t="shared" si="432"/>
        <v>0</v>
      </c>
      <c r="HM353" s="109"/>
      <c r="HN353" s="109"/>
      <c r="HO353" s="111"/>
      <c r="HP353" s="111"/>
      <c r="HQ353" s="165"/>
      <c r="HR353" s="109">
        <f t="shared" si="475"/>
        <v>0</v>
      </c>
      <c r="HS353" s="109">
        <f t="shared" si="433"/>
        <v>0</v>
      </c>
      <c r="HT353" s="109"/>
      <c r="HU353" s="109"/>
      <c r="HV353" s="111"/>
      <c r="HW353" s="111"/>
      <c r="HX353" s="105">
        <f t="shared" si="451"/>
        <v>0</v>
      </c>
      <c r="HY353" s="105">
        <f t="shared" si="451"/>
        <v>0</v>
      </c>
      <c r="HZ353" s="105">
        <f t="shared" si="451"/>
        <v>0</v>
      </c>
      <c r="IA353" s="105">
        <f t="shared" si="445"/>
        <v>0</v>
      </c>
      <c r="IB353" s="109">
        <f t="shared" si="446"/>
        <v>0</v>
      </c>
      <c r="IC353" s="109">
        <f t="shared" si="447"/>
        <v>0</v>
      </c>
      <c r="ID353" s="109">
        <f t="shared" si="448"/>
        <v>0</v>
      </c>
      <c r="IE353" s="109">
        <f t="shared" si="449"/>
        <v>0</v>
      </c>
      <c r="IF353" s="197"/>
      <c r="IG353" s="197"/>
      <c r="IH353" s="197"/>
      <c r="II353" s="197"/>
      <c r="IJ353" s="197"/>
      <c r="IK353" s="197"/>
      <c r="IL353" s="197"/>
      <c r="IM353" s="171"/>
      <c r="IN353" s="171"/>
      <c r="IO353" s="171"/>
      <c r="IP353" s="171"/>
    </row>
    <row r="354" spans="1:250" ht="15" customHeight="1" x14ac:dyDescent="0.3">
      <c r="A354" s="110">
        <f t="shared" si="450"/>
        <v>350</v>
      </c>
      <c r="B354" s="111"/>
      <c r="C354" s="111"/>
      <c r="D354" s="111"/>
      <c r="E354" s="111"/>
      <c r="F354" s="111"/>
      <c r="G354" s="111"/>
      <c r="H354" s="111"/>
      <c r="I354" s="194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75"/>
      <c r="AI354" s="111"/>
      <c r="AJ354" s="111"/>
      <c r="AK354" s="111"/>
      <c r="AL354" s="177"/>
      <c r="AM354" s="176"/>
      <c r="AN354" s="177"/>
      <c r="AO354" s="157"/>
      <c r="AP354" s="158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1"/>
      <c r="BC354" s="111"/>
      <c r="BD354" s="111"/>
      <c r="BE354" s="111"/>
      <c r="BF354" s="111"/>
      <c r="BG354" s="111"/>
      <c r="BH354" s="111"/>
      <c r="BI354" s="111"/>
      <c r="BJ354" s="111"/>
      <c r="BK354" s="111"/>
      <c r="BL354" s="175"/>
      <c r="BM354" s="111"/>
      <c r="BN354" s="111"/>
      <c r="BO354" s="111"/>
      <c r="BP354" s="111"/>
      <c r="BQ354" s="111"/>
      <c r="BR354" s="111"/>
      <c r="BS354" s="111"/>
      <c r="BT354" s="111"/>
      <c r="BU354" s="111"/>
      <c r="BV354" s="111"/>
      <c r="BW354" s="111"/>
      <c r="BX354" s="111"/>
      <c r="BY354" s="111"/>
      <c r="BZ354" s="111"/>
      <c r="CA354" s="111"/>
      <c r="CB354" s="111"/>
      <c r="CC354" s="178"/>
      <c r="CD354" s="177">
        <f t="shared" si="434"/>
        <v>0</v>
      </c>
      <c r="CE354" s="148"/>
      <c r="CF354" s="111">
        <f t="shared" si="435"/>
        <v>0</v>
      </c>
      <c r="CG354" s="177"/>
      <c r="CH354" s="204"/>
      <c r="CI354" s="148"/>
      <c r="CJ354" s="165"/>
      <c r="CK354" s="165"/>
      <c r="CL354" s="111"/>
      <c r="CM354" s="111"/>
      <c r="CN354" s="165">
        <f t="shared" si="436"/>
        <v>0</v>
      </c>
      <c r="CO354" s="109">
        <f t="shared" si="437"/>
        <v>0</v>
      </c>
      <c r="CP354" s="109">
        <f t="shared" si="438"/>
        <v>0</v>
      </c>
      <c r="CQ354" s="109"/>
      <c r="CR354" s="109"/>
      <c r="CS354" s="196"/>
      <c r="CT354" s="167"/>
      <c r="CU354" s="165"/>
      <c r="CV354" s="109">
        <f t="shared" si="439"/>
        <v>0</v>
      </c>
      <c r="CW354" s="109">
        <f t="shared" si="440"/>
        <v>0</v>
      </c>
      <c r="CX354" s="109"/>
      <c r="CY354" s="109"/>
      <c r="CZ354" s="111"/>
      <c r="DA354" s="111"/>
      <c r="DB354" s="165"/>
      <c r="DC354" s="109">
        <f t="shared" si="441"/>
        <v>0</v>
      </c>
      <c r="DD354" s="109">
        <f t="shared" si="442"/>
        <v>0</v>
      </c>
      <c r="DE354" s="109"/>
      <c r="DF354" s="109"/>
      <c r="DG354" s="111"/>
      <c r="DH354" s="111"/>
      <c r="DI354" s="165"/>
      <c r="DJ354" s="109">
        <f t="shared" si="443"/>
        <v>0</v>
      </c>
      <c r="DK354" s="109">
        <f t="shared" si="444"/>
        <v>0</v>
      </c>
      <c r="DL354" s="109"/>
      <c r="DM354" s="109"/>
      <c r="DN354" s="111"/>
      <c r="DO354" s="111"/>
      <c r="DP354" s="165"/>
      <c r="DQ354" s="109">
        <f t="shared" si="452"/>
        <v>0</v>
      </c>
      <c r="DR354" s="109">
        <f t="shared" si="453"/>
        <v>0</v>
      </c>
      <c r="DS354" s="109"/>
      <c r="DT354" s="109"/>
      <c r="DU354" s="111"/>
      <c r="DV354" s="111"/>
      <c r="DW354" s="165"/>
      <c r="DX354" s="109">
        <f t="shared" si="454"/>
        <v>0</v>
      </c>
      <c r="DY354" s="109">
        <f t="shared" si="455"/>
        <v>0</v>
      </c>
      <c r="DZ354" s="109"/>
      <c r="EA354" s="109"/>
      <c r="EB354" s="111"/>
      <c r="EC354" s="111"/>
      <c r="ED354" s="165"/>
      <c r="EE354" s="109">
        <f t="shared" si="456"/>
        <v>0</v>
      </c>
      <c r="EF354" s="109">
        <f t="shared" si="457"/>
        <v>0</v>
      </c>
      <c r="EG354" s="109"/>
      <c r="EH354" s="109"/>
      <c r="EI354" s="111"/>
      <c r="EJ354" s="111"/>
      <c r="EK354" s="165"/>
      <c r="EL354" s="109">
        <f t="shared" si="458"/>
        <v>0</v>
      </c>
      <c r="EM354" s="109">
        <f t="shared" si="459"/>
        <v>0</v>
      </c>
      <c r="EN354" s="109"/>
      <c r="EO354" s="109"/>
      <c r="EP354" s="111"/>
      <c r="EQ354" s="111"/>
      <c r="ER354" s="165"/>
      <c r="ES354" s="109">
        <f t="shared" si="460"/>
        <v>0</v>
      </c>
      <c r="ET354" s="109">
        <f t="shared" si="461"/>
        <v>0</v>
      </c>
      <c r="EU354" s="109"/>
      <c r="EV354" s="109"/>
      <c r="EW354" s="111"/>
      <c r="EX354" s="111"/>
      <c r="EY354" s="165"/>
      <c r="EZ354" s="109">
        <f t="shared" si="462"/>
        <v>0</v>
      </c>
      <c r="FA354" s="109">
        <f t="shared" si="463"/>
        <v>0</v>
      </c>
      <c r="FB354" s="109"/>
      <c r="FC354" s="109"/>
      <c r="FD354" s="111"/>
      <c r="FE354" s="111"/>
      <c r="FF354" s="165"/>
      <c r="FG354" s="109">
        <f t="shared" si="464"/>
        <v>0</v>
      </c>
      <c r="FH354" s="109">
        <f t="shared" si="465"/>
        <v>0</v>
      </c>
      <c r="FI354" s="109"/>
      <c r="FJ354" s="109"/>
      <c r="FK354" s="111"/>
      <c r="FL354" s="111"/>
      <c r="FM354" s="165"/>
      <c r="FN354" s="109">
        <f t="shared" si="466"/>
        <v>0</v>
      </c>
      <c r="FO354" s="109">
        <f t="shared" si="467"/>
        <v>0</v>
      </c>
      <c r="FP354" s="109"/>
      <c r="FQ354" s="109"/>
      <c r="FR354" s="111"/>
      <c r="FS354" s="111"/>
      <c r="FT354" s="165"/>
      <c r="FU354" s="109">
        <f t="shared" si="468"/>
        <v>0</v>
      </c>
      <c r="FV354" s="109">
        <f t="shared" si="426"/>
        <v>0</v>
      </c>
      <c r="FW354" s="109"/>
      <c r="FX354" s="109"/>
      <c r="FY354" s="111"/>
      <c r="FZ354" s="111"/>
      <c r="GA354" s="165"/>
      <c r="GB354" s="109">
        <f t="shared" si="469"/>
        <v>0</v>
      </c>
      <c r="GC354" s="109">
        <f t="shared" si="427"/>
        <v>0</v>
      </c>
      <c r="GD354" s="109"/>
      <c r="GE354" s="109"/>
      <c r="GF354" s="111"/>
      <c r="GG354" s="111"/>
      <c r="GH354" s="165"/>
      <c r="GI354" s="109">
        <f t="shared" si="470"/>
        <v>0</v>
      </c>
      <c r="GJ354" s="109">
        <f t="shared" si="428"/>
        <v>0</v>
      </c>
      <c r="GK354" s="109"/>
      <c r="GL354" s="109"/>
      <c r="GM354" s="111"/>
      <c r="GN354" s="111"/>
      <c r="GO354" s="165"/>
      <c r="GP354" s="109">
        <f t="shared" si="471"/>
        <v>0</v>
      </c>
      <c r="GQ354" s="109">
        <f t="shared" si="429"/>
        <v>0</v>
      </c>
      <c r="GR354" s="109"/>
      <c r="GS354" s="109"/>
      <c r="GT354" s="111"/>
      <c r="GU354" s="111"/>
      <c r="GV354" s="165"/>
      <c r="GW354" s="168">
        <f t="shared" si="472"/>
        <v>0</v>
      </c>
      <c r="GX354" s="168">
        <f t="shared" si="430"/>
        <v>0</v>
      </c>
      <c r="GY354" s="168"/>
      <c r="GZ354" s="168"/>
      <c r="HA354" s="111"/>
      <c r="HB354" s="111"/>
      <c r="HC354" s="165"/>
      <c r="HD354" s="109">
        <f t="shared" si="473"/>
        <v>0</v>
      </c>
      <c r="HE354" s="109">
        <f t="shared" si="431"/>
        <v>0</v>
      </c>
      <c r="HF354" s="109"/>
      <c r="HG354" s="109"/>
      <c r="HH354" s="111"/>
      <c r="HI354" s="111"/>
      <c r="HJ354" s="165"/>
      <c r="HK354" s="109">
        <f t="shared" si="474"/>
        <v>0</v>
      </c>
      <c r="HL354" s="109">
        <f t="shared" si="432"/>
        <v>0</v>
      </c>
      <c r="HM354" s="109"/>
      <c r="HN354" s="109"/>
      <c r="HO354" s="111"/>
      <c r="HP354" s="111"/>
      <c r="HQ354" s="165"/>
      <c r="HR354" s="109">
        <f t="shared" si="475"/>
        <v>0</v>
      </c>
      <c r="HS354" s="109">
        <f t="shared" si="433"/>
        <v>0</v>
      </c>
      <c r="HT354" s="109"/>
      <c r="HU354" s="109"/>
      <c r="HV354" s="111"/>
      <c r="HW354" s="111"/>
      <c r="HX354" s="105">
        <f t="shared" si="451"/>
        <v>0</v>
      </c>
      <c r="HY354" s="105">
        <f t="shared" si="451"/>
        <v>0</v>
      </c>
      <c r="HZ354" s="105">
        <f t="shared" si="451"/>
        <v>0</v>
      </c>
      <c r="IA354" s="105">
        <f t="shared" si="445"/>
        <v>0</v>
      </c>
      <c r="IB354" s="109">
        <f t="shared" si="446"/>
        <v>0</v>
      </c>
      <c r="IC354" s="109">
        <f t="shared" si="447"/>
        <v>0</v>
      </c>
      <c r="ID354" s="109">
        <f t="shared" si="448"/>
        <v>0</v>
      </c>
      <c r="IE354" s="109">
        <f t="shared" si="449"/>
        <v>0</v>
      </c>
      <c r="IF354" s="197"/>
      <c r="IG354" s="197"/>
      <c r="IH354" s="197"/>
      <c r="II354" s="197"/>
      <c r="IJ354" s="197"/>
      <c r="IK354" s="197"/>
      <c r="IL354" s="197"/>
      <c r="IM354" s="171"/>
      <c r="IN354" s="171"/>
      <c r="IO354" s="171"/>
      <c r="IP354" s="171"/>
    </row>
    <row r="355" spans="1:250" ht="15" customHeight="1" x14ac:dyDescent="0.3">
      <c r="A355" s="110">
        <f t="shared" si="450"/>
        <v>351</v>
      </c>
      <c r="B355" s="111"/>
      <c r="C355" s="111"/>
      <c r="D355" s="111"/>
      <c r="E355" s="111"/>
      <c r="F355" s="111"/>
      <c r="G355" s="111"/>
      <c r="H355" s="111"/>
      <c r="I355" s="194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75"/>
      <c r="AI355" s="111"/>
      <c r="AJ355" s="111"/>
      <c r="AK355" s="111"/>
      <c r="AL355" s="177"/>
      <c r="AM355" s="176"/>
      <c r="AN355" s="177"/>
      <c r="AO355" s="157"/>
      <c r="AP355" s="158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  <c r="BB355" s="111"/>
      <c r="BC355" s="111"/>
      <c r="BD355" s="111"/>
      <c r="BE355" s="111"/>
      <c r="BF355" s="111"/>
      <c r="BG355" s="111"/>
      <c r="BH355" s="111"/>
      <c r="BI355" s="111"/>
      <c r="BJ355" s="111"/>
      <c r="BK355" s="111"/>
      <c r="BL355" s="175"/>
      <c r="BM355" s="111"/>
      <c r="BN355" s="111"/>
      <c r="BO355" s="111"/>
      <c r="BP355" s="111"/>
      <c r="BQ355" s="111"/>
      <c r="BR355" s="111"/>
      <c r="BS355" s="111"/>
      <c r="BT355" s="111"/>
      <c r="BU355" s="111"/>
      <c r="BV355" s="111"/>
      <c r="BW355" s="111"/>
      <c r="BX355" s="111"/>
      <c r="BY355" s="111"/>
      <c r="BZ355" s="111"/>
      <c r="CA355" s="111"/>
      <c r="CB355" s="111"/>
      <c r="CC355" s="178"/>
      <c r="CD355" s="177">
        <f t="shared" si="434"/>
        <v>0</v>
      </c>
      <c r="CE355" s="148"/>
      <c r="CF355" s="111">
        <f t="shared" si="435"/>
        <v>0</v>
      </c>
      <c r="CG355" s="177"/>
      <c r="CH355" s="204"/>
      <c r="CI355" s="148"/>
      <c r="CJ355" s="165"/>
      <c r="CK355" s="165"/>
      <c r="CL355" s="111"/>
      <c r="CM355" s="111"/>
      <c r="CN355" s="165">
        <f t="shared" si="436"/>
        <v>0</v>
      </c>
      <c r="CO355" s="109">
        <f t="shared" si="437"/>
        <v>0</v>
      </c>
      <c r="CP355" s="109">
        <f t="shared" si="438"/>
        <v>0</v>
      </c>
      <c r="CQ355" s="109"/>
      <c r="CR355" s="109"/>
      <c r="CS355" s="196"/>
      <c r="CT355" s="167"/>
      <c r="CU355" s="165"/>
      <c r="CV355" s="109">
        <f t="shared" si="439"/>
        <v>0</v>
      </c>
      <c r="CW355" s="109">
        <f t="shared" si="440"/>
        <v>0</v>
      </c>
      <c r="CX355" s="109"/>
      <c r="CY355" s="109"/>
      <c r="CZ355" s="111"/>
      <c r="DA355" s="111"/>
      <c r="DB355" s="165"/>
      <c r="DC355" s="109">
        <f t="shared" si="441"/>
        <v>0</v>
      </c>
      <c r="DD355" s="109">
        <f t="shared" si="442"/>
        <v>0</v>
      </c>
      <c r="DE355" s="109"/>
      <c r="DF355" s="109"/>
      <c r="DG355" s="111"/>
      <c r="DH355" s="111"/>
      <c r="DI355" s="165"/>
      <c r="DJ355" s="109">
        <f t="shared" si="443"/>
        <v>0</v>
      </c>
      <c r="DK355" s="109">
        <f t="shared" si="444"/>
        <v>0</v>
      </c>
      <c r="DL355" s="109"/>
      <c r="DM355" s="109"/>
      <c r="DN355" s="111"/>
      <c r="DO355" s="111"/>
      <c r="DP355" s="165"/>
      <c r="DQ355" s="109">
        <f t="shared" si="452"/>
        <v>0</v>
      </c>
      <c r="DR355" s="109">
        <f t="shared" si="453"/>
        <v>0</v>
      </c>
      <c r="DS355" s="109"/>
      <c r="DT355" s="109"/>
      <c r="DU355" s="111"/>
      <c r="DV355" s="111"/>
      <c r="DW355" s="165"/>
      <c r="DX355" s="109">
        <f t="shared" si="454"/>
        <v>0</v>
      </c>
      <c r="DY355" s="109">
        <f t="shared" si="455"/>
        <v>0</v>
      </c>
      <c r="DZ355" s="109"/>
      <c r="EA355" s="109"/>
      <c r="EB355" s="111"/>
      <c r="EC355" s="111"/>
      <c r="ED355" s="165"/>
      <c r="EE355" s="109">
        <f t="shared" si="456"/>
        <v>0</v>
      </c>
      <c r="EF355" s="109">
        <f t="shared" si="457"/>
        <v>0</v>
      </c>
      <c r="EG355" s="109"/>
      <c r="EH355" s="109"/>
      <c r="EI355" s="111"/>
      <c r="EJ355" s="111"/>
      <c r="EK355" s="165"/>
      <c r="EL355" s="109">
        <f t="shared" si="458"/>
        <v>0</v>
      </c>
      <c r="EM355" s="109">
        <f t="shared" si="459"/>
        <v>0</v>
      </c>
      <c r="EN355" s="109"/>
      <c r="EO355" s="109"/>
      <c r="EP355" s="111"/>
      <c r="EQ355" s="111"/>
      <c r="ER355" s="165"/>
      <c r="ES355" s="109">
        <f t="shared" si="460"/>
        <v>0</v>
      </c>
      <c r="ET355" s="109">
        <f t="shared" si="461"/>
        <v>0</v>
      </c>
      <c r="EU355" s="109"/>
      <c r="EV355" s="109"/>
      <c r="EW355" s="111"/>
      <c r="EX355" s="111"/>
      <c r="EY355" s="165"/>
      <c r="EZ355" s="109">
        <f t="shared" si="462"/>
        <v>0</v>
      </c>
      <c r="FA355" s="109">
        <f t="shared" si="463"/>
        <v>0</v>
      </c>
      <c r="FB355" s="109"/>
      <c r="FC355" s="109"/>
      <c r="FD355" s="111"/>
      <c r="FE355" s="111"/>
      <c r="FF355" s="165"/>
      <c r="FG355" s="109">
        <f t="shared" si="464"/>
        <v>0</v>
      </c>
      <c r="FH355" s="109">
        <f t="shared" si="465"/>
        <v>0</v>
      </c>
      <c r="FI355" s="109"/>
      <c r="FJ355" s="109"/>
      <c r="FK355" s="111"/>
      <c r="FL355" s="111"/>
      <c r="FM355" s="165"/>
      <c r="FN355" s="109">
        <f t="shared" si="466"/>
        <v>0</v>
      </c>
      <c r="FO355" s="109">
        <f t="shared" si="467"/>
        <v>0</v>
      </c>
      <c r="FP355" s="109"/>
      <c r="FQ355" s="109"/>
      <c r="FR355" s="111"/>
      <c r="FS355" s="111"/>
      <c r="FT355" s="165"/>
      <c r="FU355" s="109">
        <f t="shared" si="468"/>
        <v>0</v>
      </c>
      <c r="FV355" s="109">
        <f t="shared" si="426"/>
        <v>0</v>
      </c>
      <c r="FW355" s="109"/>
      <c r="FX355" s="109"/>
      <c r="FY355" s="111"/>
      <c r="FZ355" s="111"/>
      <c r="GA355" s="165"/>
      <c r="GB355" s="109">
        <f t="shared" si="469"/>
        <v>0</v>
      </c>
      <c r="GC355" s="109">
        <f t="shared" si="427"/>
        <v>0</v>
      </c>
      <c r="GD355" s="109"/>
      <c r="GE355" s="109"/>
      <c r="GF355" s="111"/>
      <c r="GG355" s="111"/>
      <c r="GH355" s="165"/>
      <c r="GI355" s="109">
        <f t="shared" si="470"/>
        <v>0</v>
      </c>
      <c r="GJ355" s="109">
        <f t="shared" si="428"/>
        <v>0</v>
      </c>
      <c r="GK355" s="109"/>
      <c r="GL355" s="109"/>
      <c r="GM355" s="111"/>
      <c r="GN355" s="111"/>
      <c r="GO355" s="165"/>
      <c r="GP355" s="109">
        <f t="shared" si="471"/>
        <v>0</v>
      </c>
      <c r="GQ355" s="109">
        <f t="shared" si="429"/>
        <v>0</v>
      </c>
      <c r="GR355" s="109"/>
      <c r="GS355" s="109"/>
      <c r="GT355" s="111"/>
      <c r="GU355" s="111"/>
      <c r="GV355" s="165"/>
      <c r="GW355" s="168">
        <f t="shared" si="472"/>
        <v>0</v>
      </c>
      <c r="GX355" s="168">
        <f t="shared" si="430"/>
        <v>0</v>
      </c>
      <c r="GY355" s="168"/>
      <c r="GZ355" s="168"/>
      <c r="HA355" s="111"/>
      <c r="HB355" s="111"/>
      <c r="HC355" s="165"/>
      <c r="HD355" s="109">
        <f t="shared" si="473"/>
        <v>0</v>
      </c>
      <c r="HE355" s="109">
        <f t="shared" si="431"/>
        <v>0</v>
      </c>
      <c r="HF355" s="109"/>
      <c r="HG355" s="109"/>
      <c r="HH355" s="111"/>
      <c r="HI355" s="111"/>
      <c r="HJ355" s="165"/>
      <c r="HK355" s="109">
        <f t="shared" si="474"/>
        <v>0</v>
      </c>
      <c r="HL355" s="109">
        <f t="shared" si="432"/>
        <v>0</v>
      </c>
      <c r="HM355" s="109"/>
      <c r="HN355" s="109"/>
      <c r="HO355" s="111"/>
      <c r="HP355" s="111"/>
      <c r="HQ355" s="165"/>
      <c r="HR355" s="109">
        <f t="shared" si="475"/>
        <v>0</v>
      </c>
      <c r="HS355" s="109">
        <f t="shared" si="433"/>
        <v>0</v>
      </c>
      <c r="HT355" s="109"/>
      <c r="HU355" s="109"/>
      <c r="HV355" s="111"/>
      <c r="HW355" s="111"/>
      <c r="HX355" s="105">
        <f t="shared" si="451"/>
        <v>0</v>
      </c>
      <c r="HY355" s="105">
        <f t="shared" si="451"/>
        <v>0</v>
      </c>
      <c r="HZ355" s="105">
        <f t="shared" si="451"/>
        <v>0</v>
      </c>
      <c r="IA355" s="105">
        <f t="shared" si="445"/>
        <v>0</v>
      </c>
      <c r="IB355" s="109">
        <f t="shared" si="446"/>
        <v>0</v>
      </c>
      <c r="IC355" s="109">
        <f t="shared" si="447"/>
        <v>0</v>
      </c>
      <c r="ID355" s="109">
        <f t="shared" si="448"/>
        <v>0</v>
      </c>
      <c r="IE355" s="109">
        <f t="shared" si="449"/>
        <v>0</v>
      </c>
      <c r="IF355" s="197"/>
      <c r="IG355" s="197"/>
      <c r="IH355" s="197"/>
      <c r="II355" s="197"/>
      <c r="IJ355" s="197"/>
      <c r="IK355" s="197"/>
      <c r="IL355" s="197"/>
      <c r="IM355" s="171"/>
      <c r="IN355" s="171"/>
      <c r="IO355" s="171"/>
      <c r="IP355" s="171"/>
    </row>
    <row r="356" spans="1:250" ht="15" customHeight="1" x14ac:dyDescent="0.3">
      <c r="A356" s="110">
        <f t="shared" si="450"/>
        <v>352</v>
      </c>
      <c r="B356" s="111"/>
      <c r="C356" s="111"/>
      <c r="D356" s="111"/>
      <c r="E356" s="111"/>
      <c r="F356" s="111"/>
      <c r="G356" s="111"/>
      <c r="H356" s="111"/>
      <c r="I356" s="194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75"/>
      <c r="AI356" s="111"/>
      <c r="AJ356" s="111"/>
      <c r="AK356" s="111"/>
      <c r="AL356" s="177"/>
      <c r="AM356" s="176"/>
      <c r="AN356" s="177"/>
      <c r="AO356" s="157"/>
      <c r="AP356" s="158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  <c r="BB356" s="111"/>
      <c r="BC356" s="111"/>
      <c r="BD356" s="111"/>
      <c r="BE356" s="111"/>
      <c r="BF356" s="111"/>
      <c r="BG356" s="111"/>
      <c r="BH356" s="111"/>
      <c r="BI356" s="111"/>
      <c r="BJ356" s="111"/>
      <c r="BK356" s="111"/>
      <c r="BL356" s="175"/>
      <c r="BM356" s="111"/>
      <c r="BN356" s="111"/>
      <c r="BO356" s="111"/>
      <c r="BP356" s="111"/>
      <c r="BQ356" s="111"/>
      <c r="BR356" s="111"/>
      <c r="BS356" s="111"/>
      <c r="BT356" s="111"/>
      <c r="BU356" s="111"/>
      <c r="BV356" s="111"/>
      <c r="BW356" s="111"/>
      <c r="BX356" s="111"/>
      <c r="BY356" s="111"/>
      <c r="BZ356" s="111"/>
      <c r="CA356" s="111"/>
      <c r="CB356" s="111"/>
      <c r="CC356" s="178"/>
      <c r="CD356" s="177">
        <f t="shared" si="434"/>
        <v>0</v>
      </c>
      <c r="CE356" s="148"/>
      <c r="CF356" s="111">
        <f t="shared" si="435"/>
        <v>0</v>
      </c>
      <c r="CG356" s="177"/>
      <c r="CH356" s="204"/>
      <c r="CI356" s="148"/>
      <c r="CJ356" s="165"/>
      <c r="CK356" s="165"/>
      <c r="CL356" s="111"/>
      <c r="CM356" s="111"/>
      <c r="CN356" s="165">
        <f t="shared" si="436"/>
        <v>0</v>
      </c>
      <c r="CO356" s="109">
        <f t="shared" si="437"/>
        <v>0</v>
      </c>
      <c r="CP356" s="109">
        <f t="shared" si="438"/>
        <v>0</v>
      </c>
      <c r="CQ356" s="109"/>
      <c r="CR356" s="109"/>
      <c r="CS356" s="196"/>
      <c r="CT356" s="167"/>
      <c r="CU356" s="165"/>
      <c r="CV356" s="109">
        <f t="shared" si="439"/>
        <v>0</v>
      </c>
      <c r="CW356" s="109">
        <f t="shared" si="440"/>
        <v>0</v>
      </c>
      <c r="CX356" s="109"/>
      <c r="CY356" s="109"/>
      <c r="CZ356" s="111"/>
      <c r="DA356" s="111"/>
      <c r="DB356" s="165"/>
      <c r="DC356" s="109">
        <f t="shared" si="441"/>
        <v>0</v>
      </c>
      <c r="DD356" s="109">
        <f t="shared" si="442"/>
        <v>0</v>
      </c>
      <c r="DE356" s="109"/>
      <c r="DF356" s="109"/>
      <c r="DG356" s="111"/>
      <c r="DH356" s="111"/>
      <c r="DI356" s="165"/>
      <c r="DJ356" s="109">
        <f t="shared" si="443"/>
        <v>0</v>
      </c>
      <c r="DK356" s="109">
        <f t="shared" si="444"/>
        <v>0</v>
      </c>
      <c r="DL356" s="109"/>
      <c r="DM356" s="109"/>
      <c r="DN356" s="111"/>
      <c r="DO356" s="111"/>
      <c r="DP356" s="165"/>
      <c r="DQ356" s="109">
        <f t="shared" si="452"/>
        <v>0</v>
      </c>
      <c r="DR356" s="109">
        <f t="shared" si="453"/>
        <v>0</v>
      </c>
      <c r="DS356" s="109"/>
      <c r="DT356" s="109"/>
      <c r="DU356" s="111"/>
      <c r="DV356" s="111"/>
      <c r="DW356" s="165"/>
      <c r="DX356" s="109">
        <f t="shared" si="454"/>
        <v>0</v>
      </c>
      <c r="DY356" s="109">
        <f t="shared" si="455"/>
        <v>0</v>
      </c>
      <c r="DZ356" s="109"/>
      <c r="EA356" s="109"/>
      <c r="EB356" s="111"/>
      <c r="EC356" s="111"/>
      <c r="ED356" s="165"/>
      <c r="EE356" s="109">
        <f t="shared" si="456"/>
        <v>0</v>
      </c>
      <c r="EF356" s="109">
        <f t="shared" si="457"/>
        <v>0</v>
      </c>
      <c r="EG356" s="109"/>
      <c r="EH356" s="109"/>
      <c r="EI356" s="111"/>
      <c r="EJ356" s="111"/>
      <c r="EK356" s="165"/>
      <c r="EL356" s="109">
        <f t="shared" si="458"/>
        <v>0</v>
      </c>
      <c r="EM356" s="109">
        <f t="shared" si="459"/>
        <v>0</v>
      </c>
      <c r="EN356" s="109"/>
      <c r="EO356" s="109"/>
      <c r="EP356" s="111"/>
      <c r="EQ356" s="111"/>
      <c r="ER356" s="165"/>
      <c r="ES356" s="109">
        <f t="shared" si="460"/>
        <v>0</v>
      </c>
      <c r="ET356" s="109">
        <f t="shared" si="461"/>
        <v>0</v>
      </c>
      <c r="EU356" s="109"/>
      <c r="EV356" s="109"/>
      <c r="EW356" s="111"/>
      <c r="EX356" s="111"/>
      <c r="EY356" s="165"/>
      <c r="EZ356" s="109">
        <f t="shared" si="462"/>
        <v>0</v>
      </c>
      <c r="FA356" s="109">
        <f t="shared" si="463"/>
        <v>0</v>
      </c>
      <c r="FB356" s="109"/>
      <c r="FC356" s="109"/>
      <c r="FD356" s="111"/>
      <c r="FE356" s="111"/>
      <c r="FF356" s="165"/>
      <c r="FG356" s="109">
        <f t="shared" si="464"/>
        <v>0</v>
      </c>
      <c r="FH356" s="109">
        <f t="shared" si="465"/>
        <v>0</v>
      </c>
      <c r="FI356" s="109"/>
      <c r="FJ356" s="109"/>
      <c r="FK356" s="111"/>
      <c r="FL356" s="111"/>
      <c r="FM356" s="165"/>
      <c r="FN356" s="109">
        <f t="shared" si="466"/>
        <v>0</v>
      </c>
      <c r="FO356" s="109">
        <f t="shared" si="467"/>
        <v>0</v>
      </c>
      <c r="FP356" s="109"/>
      <c r="FQ356" s="109"/>
      <c r="FR356" s="111"/>
      <c r="FS356" s="111"/>
      <c r="FT356" s="165"/>
      <c r="FU356" s="109">
        <f t="shared" si="468"/>
        <v>0</v>
      </c>
      <c r="FV356" s="109">
        <f t="shared" si="426"/>
        <v>0</v>
      </c>
      <c r="FW356" s="109"/>
      <c r="FX356" s="109"/>
      <c r="FY356" s="111"/>
      <c r="FZ356" s="111"/>
      <c r="GA356" s="165"/>
      <c r="GB356" s="109">
        <f t="shared" si="469"/>
        <v>0</v>
      </c>
      <c r="GC356" s="109">
        <f t="shared" si="427"/>
        <v>0</v>
      </c>
      <c r="GD356" s="109"/>
      <c r="GE356" s="109"/>
      <c r="GF356" s="111"/>
      <c r="GG356" s="111"/>
      <c r="GH356" s="165"/>
      <c r="GI356" s="109">
        <f t="shared" si="470"/>
        <v>0</v>
      </c>
      <c r="GJ356" s="109">
        <f t="shared" si="428"/>
        <v>0</v>
      </c>
      <c r="GK356" s="109"/>
      <c r="GL356" s="109"/>
      <c r="GM356" s="111"/>
      <c r="GN356" s="111"/>
      <c r="GO356" s="165"/>
      <c r="GP356" s="109">
        <f t="shared" si="471"/>
        <v>0</v>
      </c>
      <c r="GQ356" s="109">
        <f t="shared" si="429"/>
        <v>0</v>
      </c>
      <c r="GR356" s="109"/>
      <c r="GS356" s="109"/>
      <c r="GT356" s="111"/>
      <c r="GU356" s="111"/>
      <c r="GV356" s="165"/>
      <c r="GW356" s="168">
        <f t="shared" si="472"/>
        <v>0</v>
      </c>
      <c r="GX356" s="168">
        <f t="shared" si="430"/>
        <v>0</v>
      </c>
      <c r="GY356" s="168"/>
      <c r="GZ356" s="168"/>
      <c r="HA356" s="111"/>
      <c r="HB356" s="111"/>
      <c r="HC356" s="165"/>
      <c r="HD356" s="109">
        <f t="shared" si="473"/>
        <v>0</v>
      </c>
      <c r="HE356" s="109">
        <f t="shared" si="431"/>
        <v>0</v>
      </c>
      <c r="HF356" s="109"/>
      <c r="HG356" s="109"/>
      <c r="HH356" s="111"/>
      <c r="HI356" s="111"/>
      <c r="HJ356" s="165"/>
      <c r="HK356" s="109">
        <f t="shared" si="474"/>
        <v>0</v>
      </c>
      <c r="HL356" s="109">
        <f t="shared" si="432"/>
        <v>0</v>
      </c>
      <c r="HM356" s="109"/>
      <c r="HN356" s="109"/>
      <c r="HO356" s="111"/>
      <c r="HP356" s="111"/>
      <c r="HQ356" s="165"/>
      <c r="HR356" s="109">
        <f t="shared" si="475"/>
        <v>0</v>
      </c>
      <c r="HS356" s="109">
        <f t="shared" si="433"/>
        <v>0</v>
      </c>
      <c r="HT356" s="109"/>
      <c r="HU356" s="109"/>
      <c r="HV356" s="111"/>
      <c r="HW356" s="111"/>
      <c r="HX356" s="105">
        <f t="shared" si="451"/>
        <v>0</v>
      </c>
      <c r="HY356" s="105">
        <f t="shared" si="451"/>
        <v>0</v>
      </c>
      <c r="HZ356" s="105">
        <f t="shared" si="451"/>
        <v>0</v>
      </c>
      <c r="IA356" s="105">
        <f t="shared" si="445"/>
        <v>0</v>
      </c>
      <c r="IB356" s="109">
        <f t="shared" si="446"/>
        <v>0</v>
      </c>
      <c r="IC356" s="109">
        <f t="shared" si="447"/>
        <v>0</v>
      </c>
      <c r="ID356" s="109">
        <f t="shared" si="448"/>
        <v>0</v>
      </c>
      <c r="IE356" s="109">
        <f t="shared" si="449"/>
        <v>0</v>
      </c>
      <c r="IF356" s="197"/>
      <c r="IG356" s="197"/>
      <c r="IH356" s="197"/>
      <c r="II356" s="197"/>
      <c r="IJ356" s="197"/>
      <c r="IK356" s="197"/>
      <c r="IL356" s="197"/>
      <c r="IM356" s="171"/>
      <c r="IN356" s="171"/>
      <c r="IO356" s="171"/>
      <c r="IP356" s="171"/>
    </row>
    <row r="357" spans="1:250" ht="15" customHeight="1" x14ac:dyDescent="0.3">
      <c r="A357" s="110">
        <f t="shared" si="450"/>
        <v>353</v>
      </c>
      <c r="B357" s="111"/>
      <c r="C357" s="111"/>
      <c r="D357" s="111"/>
      <c r="E357" s="111"/>
      <c r="F357" s="111"/>
      <c r="G357" s="111"/>
      <c r="H357" s="111"/>
      <c r="I357" s="194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75"/>
      <c r="AI357" s="111"/>
      <c r="AJ357" s="111"/>
      <c r="AK357" s="111"/>
      <c r="AL357" s="177"/>
      <c r="AM357" s="176"/>
      <c r="AN357" s="177"/>
      <c r="AO357" s="157"/>
      <c r="AP357" s="158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  <c r="BB357" s="111"/>
      <c r="BC357" s="111"/>
      <c r="BD357" s="111"/>
      <c r="BE357" s="111"/>
      <c r="BF357" s="111"/>
      <c r="BG357" s="111"/>
      <c r="BH357" s="111"/>
      <c r="BI357" s="111"/>
      <c r="BJ357" s="111"/>
      <c r="BK357" s="111"/>
      <c r="BL357" s="175"/>
      <c r="BM357" s="111"/>
      <c r="BN357" s="111"/>
      <c r="BO357" s="111"/>
      <c r="BP357" s="111"/>
      <c r="BQ357" s="111"/>
      <c r="BR357" s="111"/>
      <c r="BS357" s="111"/>
      <c r="BT357" s="111"/>
      <c r="BU357" s="111"/>
      <c r="BV357" s="111"/>
      <c r="BW357" s="111"/>
      <c r="BX357" s="111"/>
      <c r="BY357" s="111"/>
      <c r="BZ357" s="111"/>
      <c r="CA357" s="111"/>
      <c r="CB357" s="111"/>
      <c r="CC357" s="178"/>
      <c r="CD357" s="177">
        <f t="shared" si="434"/>
        <v>0</v>
      </c>
      <c r="CE357" s="148"/>
      <c r="CF357" s="111">
        <f t="shared" si="435"/>
        <v>0</v>
      </c>
      <c r="CG357" s="177"/>
      <c r="CH357" s="204"/>
      <c r="CI357" s="148"/>
      <c r="CJ357" s="165"/>
      <c r="CK357" s="165"/>
      <c r="CL357" s="111"/>
      <c r="CM357" s="111"/>
      <c r="CN357" s="165">
        <f t="shared" si="436"/>
        <v>0</v>
      </c>
      <c r="CO357" s="109">
        <f t="shared" si="437"/>
        <v>0</v>
      </c>
      <c r="CP357" s="109">
        <f t="shared" si="438"/>
        <v>0</v>
      </c>
      <c r="CQ357" s="109"/>
      <c r="CR357" s="109"/>
      <c r="CS357" s="196"/>
      <c r="CT357" s="167"/>
      <c r="CU357" s="165"/>
      <c r="CV357" s="109">
        <f t="shared" si="439"/>
        <v>0</v>
      </c>
      <c r="CW357" s="109">
        <f t="shared" si="440"/>
        <v>0</v>
      </c>
      <c r="CX357" s="109"/>
      <c r="CY357" s="109"/>
      <c r="CZ357" s="111"/>
      <c r="DA357" s="111"/>
      <c r="DB357" s="165"/>
      <c r="DC357" s="109">
        <f t="shared" si="441"/>
        <v>0</v>
      </c>
      <c r="DD357" s="109">
        <f t="shared" si="442"/>
        <v>0</v>
      </c>
      <c r="DE357" s="109"/>
      <c r="DF357" s="109"/>
      <c r="DG357" s="111"/>
      <c r="DH357" s="111"/>
      <c r="DI357" s="165"/>
      <c r="DJ357" s="109">
        <f t="shared" si="443"/>
        <v>0</v>
      </c>
      <c r="DK357" s="109">
        <f t="shared" si="444"/>
        <v>0</v>
      </c>
      <c r="DL357" s="109"/>
      <c r="DM357" s="109"/>
      <c r="DN357" s="111"/>
      <c r="DO357" s="111"/>
      <c r="DP357" s="165"/>
      <c r="DQ357" s="109">
        <f t="shared" si="452"/>
        <v>0</v>
      </c>
      <c r="DR357" s="109">
        <f t="shared" si="453"/>
        <v>0</v>
      </c>
      <c r="DS357" s="109"/>
      <c r="DT357" s="109"/>
      <c r="DU357" s="111"/>
      <c r="DV357" s="111"/>
      <c r="DW357" s="165"/>
      <c r="DX357" s="109">
        <f t="shared" si="454"/>
        <v>0</v>
      </c>
      <c r="DY357" s="109">
        <f t="shared" si="455"/>
        <v>0</v>
      </c>
      <c r="DZ357" s="109"/>
      <c r="EA357" s="109"/>
      <c r="EB357" s="111"/>
      <c r="EC357" s="111"/>
      <c r="ED357" s="165"/>
      <c r="EE357" s="109">
        <f t="shared" si="456"/>
        <v>0</v>
      </c>
      <c r="EF357" s="109">
        <f t="shared" si="457"/>
        <v>0</v>
      </c>
      <c r="EG357" s="109"/>
      <c r="EH357" s="109"/>
      <c r="EI357" s="111"/>
      <c r="EJ357" s="111"/>
      <c r="EK357" s="165"/>
      <c r="EL357" s="109">
        <f t="shared" si="458"/>
        <v>0</v>
      </c>
      <c r="EM357" s="109">
        <f t="shared" si="459"/>
        <v>0</v>
      </c>
      <c r="EN357" s="109"/>
      <c r="EO357" s="109"/>
      <c r="EP357" s="111"/>
      <c r="EQ357" s="111"/>
      <c r="ER357" s="165"/>
      <c r="ES357" s="109">
        <f t="shared" si="460"/>
        <v>0</v>
      </c>
      <c r="ET357" s="109">
        <f t="shared" si="461"/>
        <v>0</v>
      </c>
      <c r="EU357" s="109"/>
      <c r="EV357" s="109"/>
      <c r="EW357" s="111"/>
      <c r="EX357" s="111"/>
      <c r="EY357" s="165"/>
      <c r="EZ357" s="109">
        <f t="shared" si="462"/>
        <v>0</v>
      </c>
      <c r="FA357" s="109">
        <f t="shared" si="463"/>
        <v>0</v>
      </c>
      <c r="FB357" s="109"/>
      <c r="FC357" s="109"/>
      <c r="FD357" s="111"/>
      <c r="FE357" s="111"/>
      <c r="FF357" s="165"/>
      <c r="FG357" s="109">
        <f t="shared" si="464"/>
        <v>0</v>
      </c>
      <c r="FH357" s="109">
        <f t="shared" si="465"/>
        <v>0</v>
      </c>
      <c r="FI357" s="109"/>
      <c r="FJ357" s="109"/>
      <c r="FK357" s="111"/>
      <c r="FL357" s="111"/>
      <c r="FM357" s="165"/>
      <c r="FN357" s="109">
        <f t="shared" si="466"/>
        <v>0</v>
      </c>
      <c r="FO357" s="109">
        <f t="shared" si="467"/>
        <v>0</v>
      </c>
      <c r="FP357" s="109"/>
      <c r="FQ357" s="109"/>
      <c r="FR357" s="111"/>
      <c r="FS357" s="111"/>
      <c r="FT357" s="165"/>
      <c r="FU357" s="109">
        <f t="shared" si="468"/>
        <v>0</v>
      </c>
      <c r="FV357" s="109">
        <f t="shared" si="426"/>
        <v>0</v>
      </c>
      <c r="FW357" s="109"/>
      <c r="FX357" s="109"/>
      <c r="FY357" s="111"/>
      <c r="FZ357" s="111"/>
      <c r="GA357" s="165"/>
      <c r="GB357" s="109">
        <f t="shared" si="469"/>
        <v>0</v>
      </c>
      <c r="GC357" s="109">
        <f t="shared" si="427"/>
        <v>0</v>
      </c>
      <c r="GD357" s="109"/>
      <c r="GE357" s="109"/>
      <c r="GF357" s="111"/>
      <c r="GG357" s="111"/>
      <c r="GH357" s="165"/>
      <c r="GI357" s="109">
        <f t="shared" si="470"/>
        <v>0</v>
      </c>
      <c r="GJ357" s="109">
        <f t="shared" si="428"/>
        <v>0</v>
      </c>
      <c r="GK357" s="109"/>
      <c r="GL357" s="109"/>
      <c r="GM357" s="111"/>
      <c r="GN357" s="111"/>
      <c r="GO357" s="165"/>
      <c r="GP357" s="109">
        <f t="shared" si="471"/>
        <v>0</v>
      </c>
      <c r="GQ357" s="109">
        <f t="shared" si="429"/>
        <v>0</v>
      </c>
      <c r="GR357" s="109"/>
      <c r="GS357" s="109"/>
      <c r="GT357" s="111"/>
      <c r="GU357" s="111"/>
      <c r="GV357" s="165"/>
      <c r="GW357" s="168">
        <f t="shared" si="472"/>
        <v>0</v>
      </c>
      <c r="GX357" s="168">
        <f t="shared" si="430"/>
        <v>0</v>
      </c>
      <c r="GY357" s="168"/>
      <c r="GZ357" s="168"/>
      <c r="HA357" s="111"/>
      <c r="HB357" s="111"/>
      <c r="HC357" s="165"/>
      <c r="HD357" s="109">
        <f t="shared" si="473"/>
        <v>0</v>
      </c>
      <c r="HE357" s="109">
        <f t="shared" si="431"/>
        <v>0</v>
      </c>
      <c r="HF357" s="109"/>
      <c r="HG357" s="109"/>
      <c r="HH357" s="111"/>
      <c r="HI357" s="111"/>
      <c r="HJ357" s="165"/>
      <c r="HK357" s="109">
        <f t="shared" si="474"/>
        <v>0</v>
      </c>
      <c r="HL357" s="109">
        <f t="shared" si="432"/>
        <v>0</v>
      </c>
      <c r="HM357" s="109"/>
      <c r="HN357" s="109"/>
      <c r="HO357" s="111"/>
      <c r="HP357" s="111"/>
      <c r="HQ357" s="165"/>
      <c r="HR357" s="109">
        <f t="shared" si="475"/>
        <v>0</v>
      </c>
      <c r="HS357" s="109">
        <f t="shared" si="433"/>
        <v>0</v>
      </c>
      <c r="HT357" s="109"/>
      <c r="HU357" s="109"/>
      <c r="HV357" s="111"/>
      <c r="HW357" s="111"/>
      <c r="HX357" s="105">
        <f t="shared" si="451"/>
        <v>0</v>
      </c>
      <c r="HY357" s="105">
        <f t="shared" si="451"/>
        <v>0</v>
      </c>
      <c r="HZ357" s="105">
        <f t="shared" si="451"/>
        <v>0</v>
      </c>
      <c r="IA357" s="105">
        <f t="shared" si="445"/>
        <v>0</v>
      </c>
      <c r="IB357" s="109">
        <f t="shared" si="446"/>
        <v>0</v>
      </c>
      <c r="IC357" s="109">
        <f t="shared" si="447"/>
        <v>0</v>
      </c>
      <c r="ID357" s="109">
        <f t="shared" si="448"/>
        <v>0</v>
      </c>
      <c r="IE357" s="109">
        <f t="shared" si="449"/>
        <v>0</v>
      </c>
      <c r="IF357" s="197"/>
      <c r="IG357" s="197"/>
      <c r="IH357" s="197"/>
      <c r="II357" s="197"/>
      <c r="IJ357" s="197"/>
      <c r="IK357" s="197"/>
      <c r="IL357" s="197"/>
      <c r="IM357" s="171"/>
      <c r="IN357" s="171"/>
      <c r="IO357" s="171"/>
      <c r="IP357" s="171"/>
    </row>
    <row r="358" spans="1:250" ht="15" customHeight="1" x14ac:dyDescent="0.3">
      <c r="A358" s="110">
        <f t="shared" si="450"/>
        <v>354</v>
      </c>
      <c r="B358" s="111"/>
      <c r="C358" s="111"/>
      <c r="D358" s="111"/>
      <c r="E358" s="111"/>
      <c r="F358" s="111"/>
      <c r="G358" s="111"/>
      <c r="H358" s="111"/>
      <c r="I358" s="194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75"/>
      <c r="AI358" s="111"/>
      <c r="AJ358" s="111"/>
      <c r="AK358" s="111"/>
      <c r="AL358" s="177"/>
      <c r="AM358" s="176"/>
      <c r="AN358" s="177"/>
      <c r="AO358" s="157"/>
      <c r="AP358" s="158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  <c r="BJ358" s="111"/>
      <c r="BK358" s="111"/>
      <c r="BL358" s="175"/>
      <c r="BM358" s="111"/>
      <c r="BN358" s="111"/>
      <c r="BO358" s="111"/>
      <c r="BP358" s="111"/>
      <c r="BQ358" s="111"/>
      <c r="BR358" s="111"/>
      <c r="BS358" s="111"/>
      <c r="BT358" s="111"/>
      <c r="BU358" s="111"/>
      <c r="BV358" s="111"/>
      <c r="BW358" s="111"/>
      <c r="BX358" s="111"/>
      <c r="BY358" s="111"/>
      <c r="BZ358" s="111"/>
      <c r="CA358" s="111"/>
      <c r="CB358" s="111"/>
      <c r="CC358" s="178"/>
      <c r="CD358" s="177">
        <f t="shared" si="434"/>
        <v>0</v>
      </c>
      <c r="CE358" s="148"/>
      <c r="CF358" s="111">
        <f t="shared" si="435"/>
        <v>0</v>
      </c>
      <c r="CG358" s="177"/>
      <c r="CH358" s="204"/>
      <c r="CI358" s="148"/>
      <c r="CJ358" s="165"/>
      <c r="CK358" s="165"/>
      <c r="CL358" s="111"/>
      <c r="CM358" s="111"/>
      <c r="CN358" s="165">
        <f t="shared" si="436"/>
        <v>0</v>
      </c>
      <c r="CO358" s="109">
        <f t="shared" si="437"/>
        <v>0</v>
      </c>
      <c r="CP358" s="109">
        <f t="shared" si="438"/>
        <v>0</v>
      </c>
      <c r="CQ358" s="109"/>
      <c r="CR358" s="109"/>
      <c r="CS358" s="196"/>
      <c r="CT358" s="167"/>
      <c r="CU358" s="165"/>
      <c r="CV358" s="109">
        <f t="shared" si="439"/>
        <v>0</v>
      </c>
      <c r="CW358" s="109">
        <f t="shared" si="440"/>
        <v>0</v>
      </c>
      <c r="CX358" s="109"/>
      <c r="CY358" s="109"/>
      <c r="CZ358" s="111"/>
      <c r="DA358" s="111"/>
      <c r="DB358" s="165"/>
      <c r="DC358" s="109">
        <f t="shared" si="441"/>
        <v>0</v>
      </c>
      <c r="DD358" s="109">
        <f t="shared" si="442"/>
        <v>0</v>
      </c>
      <c r="DE358" s="109"/>
      <c r="DF358" s="109"/>
      <c r="DG358" s="111"/>
      <c r="DH358" s="111"/>
      <c r="DI358" s="165"/>
      <c r="DJ358" s="109">
        <f t="shared" si="443"/>
        <v>0</v>
      </c>
      <c r="DK358" s="109">
        <f t="shared" si="444"/>
        <v>0</v>
      </c>
      <c r="DL358" s="109"/>
      <c r="DM358" s="109"/>
      <c r="DN358" s="111"/>
      <c r="DO358" s="111"/>
      <c r="DP358" s="165"/>
      <c r="DQ358" s="109">
        <f t="shared" si="452"/>
        <v>0</v>
      </c>
      <c r="DR358" s="109">
        <f t="shared" si="453"/>
        <v>0</v>
      </c>
      <c r="DS358" s="109"/>
      <c r="DT358" s="109"/>
      <c r="DU358" s="111"/>
      <c r="DV358" s="111"/>
      <c r="DW358" s="165"/>
      <c r="DX358" s="109">
        <f t="shared" si="454"/>
        <v>0</v>
      </c>
      <c r="DY358" s="109">
        <f t="shared" si="455"/>
        <v>0</v>
      </c>
      <c r="DZ358" s="109"/>
      <c r="EA358" s="109"/>
      <c r="EB358" s="111"/>
      <c r="EC358" s="111"/>
      <c r="ED358" s="165"/>
      <c r="EE358" s="109">
        <f t="shared" si="456"/>
        <v>0</v>
      </c>
      <c r="EF358" s="109">
        <f t="shared" si="457"/>
        <v>0</v>
      </c>
      <c r="EG358" s="109"/>
      <c r="EH358" s="109"/>
      <c r="EI358" s="111"/>
      <c r="EJ358" s="111"/>
      <c r="EK358" s="165"/>
      <c r="EL358" s="109">
        <f t="shared" si="458"/>
        <v>0</v>
      </c>
      <c r="EM358" s="109">
        <f t="shared" si="459"/>
        <v>0</v>
      </c>
      <c r="EN358" s="109"/>
      <c r="EO358" s="109"/>
      <c r="EP358" s="111"/>
      <c r="EQ358" s="111"/>
      <c r="ER358" s="165"/>
      <c r="ES358" s="109">
        <f t="shared" si="460"/>
        <v>0</v>
      </c>
      <c r="ET358" s="109">
        <f t="shared" si="461"/>
        <v>0</v>
      </c>
      <c r="EU358" s="109"/>
      <c r="EV358" s="109"/>
      <c r="EW358" s="111"/>
      <c r="EX358" s="111"/>
      <c r="EY358" s="165"/>
      <c r="EZ358" s="109">
        <f t="shared" si="462"/>
        <v>0</v>
      </c>
      <c r="FA358" s="109">
        <f t="shared" si="463"/>
        <v>0</v>
      </c>
      <c r="FB358" s="109"/>
      <c r="FC358" s="109"/>
      <c r="FD358" s="111"/>
      <c r="FE358" s="111"/>
      <c r="FF358" s="165"/>
      <c r="FG358" s="109">
        <f t="shared" si="464"/>
        <v>0</v>
      </c>
      <c r="FH358" s="109">
        <f t="shared" si="465"/>
        <v>0</v>
      </c>
      <c r="FI358" s="109"/>
      <c r="FJ358" s="109"/>
      <c r="FK358" s="111"/>
      <c r="FL358" s="111"/>
      <c r="FM358" s="165"/>
      <c r="FN358" s="109">
        <f t="shared" si="466"/>
        <v>0</v>
      </c>
      <c r="FO358" s="109">
        <f t="shared" si="467"/>
        <v>0</v>
      </c>
      <c r="FP358" s="109"/>
      <c r="FQ358" s="109"/>
      <c r="FR358" s="111"/>
      <c r="FS358" s="111"/>
      <c r="FT358" s="165"/>
      <c r="FU358" s="109">
        <f t="shared" si="468"/>
        <v>0</v>
      </c>
      <c r="FV358" s="109">
        <f t="shared" si="426"/>
        <v>0</v>
      </c>
      <c r="FW358" s="109"/>
      <c r="FX358" s="109"/>
      <c r="FY358" s="111"/>
      <c r="FZ358" s="111"/>
      <c r="GA358" s="165"/>
      <c r="GB358" s="109">
        <f t="shared" si="469"/>
        <v>0</v>
      </c>
      <c r="GC358" s="109">
        <f t="shared" si="427"/>
        <v>0</v>
      </c>
      <c r="GD358" s="109"/>
      <c r="GE358" s="109"/>
      <c r="GF358" s="111"/>
      <c r="GG358" s="111"/>
      <c r="GH358" s="165"/>
      <c r="GI358" s="109">
        <f t="shared" si="470"/>
        <v>0</v>
      </c>
      <c r="GJ358" s="109">
        <f t="shared" si="428"/>
        <v>0</v>
      </c>
      <c r="GK358" s="109"/>
      <c r="GL358" s="109"/>
      <c r="GM358" s="111"/>
      <c r="GN358" s="111"/>
      <c r="GO358" s="165"/>
      <c r="GP358" s="109">
        <f t="shared" si="471"/>
        <v>0</v>
      </c>
      <c r="GQ358" s="109">
        <f t="shared" si="429"/>
        <v>0</v>
      </c>
      <c r="GR358" s="109"/>
      <c r="GS358" s="109"/>
      <c r="GT358" s="111"/>
      <c r="GU358" s="111"/>
      <c r="GV358" s="165"/>
      <c r="GW358" s="168">
        <f t="shared" si="472"/>
        <v>0</v>
      </c>
      <c r="GX358" s="168">
        <f t="shared" si="430"/>
        <v>0</v>
      </c>
      <c r="GY358" s="168"/>
      <c r="GZ358" s="168"/>
      <c r="HA358" s="111"/>
      <c r="HB358" s="111"/>
      <c r="HC358" s="165"/>
      <c r="HD358" s="109">
        <f t="shared" si="473"/>
        <v>0</v>
      </c>
      <c r="HE358" s="109">
        <f t="shared" si="431"/>
        <v>0</v>
      </c>
      <c r="HF358" s="109"/>
      <c r="HG358" s="109"/>
      <c r="HH358" s="111"/>
      <c r="HI358" s="111"/>
      <c r="HJ358" s="165"/>
      <c r="HK358" s="109">
        <f t="shared" si="474"/>
        <v>0</v>
      </c>
      <c r="HL358" s="109">
        <f t="shared" si="432"/>
        <v>0</v>
      </c>
      <c r="HM358" s="109"/>
      <c r="HN358" s="109"/>
      <c r="HO358" s="111"/>
      <c r="HP358" s="111"/>
      <c r="HQ358" s="165"/>
      <c r="HR358" s="109">
        <f t="shared" si="475"/>
        <v>0</v>
      </c>
      <c r="HS358" s="109">
        <f t="shared" si="433"/>
        <v>0</v>
      </c>
      <c r="HT358" s="109"/>
      <c r="HU358" s="109"/>
      <c r="HV358" s="111"/>
      <c r="HW358" s="111"/>
      <c r="HX358" s="105">
        <f t="shared" si="451"/>
        <v>0</v>
      </c>
      <c r="HY358" s="105">
        <f t="shared" si="451"/>
        <v>0</v>
      </c>
      <c r="HZ358" s="105">
        <f t="shared" si="451"/>
        <v>0</v>
      </c>
      <c r="IA358" s="105">
        <f t="shared" si="445"/>
        <v>0</v>
      </c>
      <c r="IB358" s="109">
        <f t="shared" si="446"/>
        <v>0</v>
      </c>
      <c r="IC358" s="109">
        <f t="shared" si="447"/>
        <v>0</v>
      </c>
      <c r="ID358" s="109">
        <f t="shared" si="448"/>
        <v>0</v>
      </c>
      <c r="IE358" s="109">
        <f t="shared" si="449"/>
        <v>0</v>
      </c>
      <c r="IF358" s="197"/>
      <c r="IG358" s="197"/>
      <c r="IH358" s="197"/>
      <c r="II358" s="197"/>
      <c r="IJ358" s="197"/>
      <c r="IK358" s="197"/>
      <c r="IL358" s="197"/>
      <c r="IM358" s="171"/>
      <c r="IN358" s="171"/>
      <c r="IO358" s="171"/>
      <c r="IP358" s="171"/>
    </row>
    <row r="359" spans="1:250" ht="15" customHeight="1" x14ac:dyDescent="0.3">
      <c r="A359" s="110">
        <f t="shared" si="450"/>
        <v>355</v>
      </c>
      <c r="B359" s="111"/>
      <c r="C359" s="111"/>
      <c r="D359" s="111"/>
      <c r="E359" s="111"/>
      <c r="F359" s="111"/>
      <c r="G359" s="111"/>
      <c r="H359" s="111"/>
      <c r="I359" s="194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75"/>
      <c r="AI359" s="111"/>
      <c r="AJ359" s="111"/>
      <c r="AK359" s="111"/>
      <c r="AL359" s="177"/>
      <c r="AM359" s="176"/>
      <c r="AN359" s="177"/>
      <c r="AO359" s="157"/>
      <c r="AP359" s="158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  <c r="BB359" s="111"/>
      <c r="BC359" s="111"/>
      <c r="BD359" s="111"/>
      <c r="BE359" s="111"/>
      <c r="BF359" s="111"/>
      <c r="BG359" s="111"/>
      <c r="BH359" s="111"/>
      <c r="BI359" s="111"/>
      <c r="BJ359" s="111"/>
      <c r="BK359" s="111"/>
      <c r="BL359" s="175"/>
      <c r="BM359" s="111"/>
      <c r="BN359" s="111"/>
      <c r="BO359" s="111"/>
      <c r="BP359" s="111"/>
      <c r="BQ359" s="111"/>
      <c r="BR359" s="111"/>
      <c r="BS359" s="111"/>
      <c r="BT359" s="111"/>
      <c r="BU359" s="111"/>
      <c r="BV359" s="111"/>
      <c r="BW359" s="111"/>
      <c r="BX359" s="111"/>
      <c r="BY359" s="111"/>
      <c r="BZ359" s="111"/>
      <c r="CA359" s="111"/>
      <c r="CB359" s="111"/>
      <c r="CC359" s="178"/>
      <c r="CD359" s="177">
        <f t="shared" si="434"/>
        <v>0</v>
      </c>
      <c r="CE359" s="148"/>
      <c r="CF359" s="111">
        <f t="shared" si="435"/>
        <v>0</v>
      </c>
      <c r="CG359" s="177"/>
      <c r="CH359" s="204"/>
      <c r="CI359" s="148"/>
      <c r="CJ359" s="165"/>
      <c r="CK359" s="165"/>
      <c r="CL359" s="111"/>
      <c r="CM359" s="111"/>
      <c r="CN359" s="165">
        <f t="shared" si="436"/>
        <v>0</v>
      </c>
      <c r="CO359" s="109">
        <f t="shared" si="437"/>
        <v>0</v>
      </c>
      <c r="CP359" s="109">
        <f t="shared" si="438"/>
        <v>0</v>
      </c>
      <c r="CQ359" s="109"/>
      <c r="CR359" s="109"/>
      <c r="CS359" s="196"/>
      <c r="CT359" s="167"/>
      <c r="CU359" s="165"/>
      <c r="CV359" s="109">
        <f t="shared" si="439"/>
        <v>0</v>
      </c>
      <c r="CW359" s="109">
        <f t="shared" si="440"/>
        <v>0</v>
      </c>
      <c r="CX359" s="109"/>
      <c r="CY359" s="109"/>
      <c r="CZ359" s="111"/>
      <c r="DA359" s="111"/>
      <c r="DB359" s="165"/>
      <c r="DC359" s="109">
        <f t="shared" si="441"/>
        <v>0</v>
      </c>
      <c r="DD359" s="109">
        <f t="shared" si="442"/>
        <v>0</v>
      </c>
      <c r="DE359" s="109"/>
      <c r="DF359" s="109"/>
      <c r="DG359" s="111"/>
      <c r="DH359" s="111"/>
      <c r="DI359" s="165"/>
      <c r="DJ359" s="109">
        <f t="shared" si="443"/>
        <v>0</v>
      </c>
      <c r="DK359" s="109">
        <f t="shared" si="444"/>
        <v>0</v>
      </c>
      <c r="DL359" s="109"/>
      <c r="DM359" s="109"/>
      <c r="DN359" s="111"/>
      <c r="DO359" s="111"/>
      <c r="DP359" s="165"/>
      <c r="DQ359" s="109">
        <f t="shared" si="452"/>
        <v>0</v>
      </c>
      <c r="DR359" s="109">
        <f t="shared" si="453"/>
        <v>0</v>
      </c>
      <c r="DS359" s="109"/>
      <c r="DT359" s="109"/>
      <c r="DU359" s="111"/>
      <c r="DV359" s="111"/>
      <c r="DW359" s="165"/>
      <c r="DX359" s="109">
        <f t="shared" si="454"/>
        <v>0</v>
      </c>
      <c r="DY359" s="109">
        <f t="shared" si="455"/>
        <v>0</v>
      </c>
      <c r="DZ359" s="109"/>
      <c r="EA359" s="109"/>
      <c r="EB359" s="111"/>
      <c r="EC359" s="111"/>
      <c r="ED359" s="165"/>
      <c r="EE359" s="109">
        <f t="shared" si="456"/>
        <v>0</v>
      </c>
      <c r="EF359" s="109">
        <f t="shared" si="457"/>
        <v>0</v>
      </c>
      <c r="EG359" s="109"/>
      <c r="EH359" s="109"/>
      <c r="EI359" s="111"/>
      <c r="EJ359" s="111"/>
      <c r="EK359" s="165"/>
      <c r="EL359" s="109">
        <f t="shared" si="458"/>
        <v>0</v>
      </c>
      <c r="EM359" s="109">
        <f t="shared" si="459"/>
        <v>0</v>
      </c>
      <c r="EN359" s="109"/>
      <c r="EO359" s="109"/>
      <c r="EP359" s="111"/>
      <c r="EQ359" s="111"/>
      <c r="ER359" s="165"/>
      <c r="ES359" s="109">
        <f t="shared" si="460"/>
        <v>0</v>
      </c>
      <c r="ET359" s="109">
        <f t="shared" si="461"/>
        <v>0</v>
      </c>
      <c r="EU359" s="109"/>
      <c r="EV359" s="109"/>
      <c r="EW359" s="111"/>
      <c r="EX359" s="111"/>
      <c r="EY359" s="165"/>
      <c r="EZ359" s="109">
        <f t="shared" si="462"/>
        <v>0</v>
      </c>
      <c r="FA359" s="109">
        <f t="shared" si="463"/>
        <v>0</v>
      </c>
      <c r="FB359" s="109"/>
      <c r="FC359" s="109"/>
      <c r="FD359" s="111"/>
      <c r="FE359" s="111"/>
      <c r="FF359" s="165"/>
      <c r="FG359" s="109">
        <f t="shared" si="464"/>
        <v>0</v>
      </c>
      <c r="FH359" s="109">
        <f t="shared" si="465"/>
        <v>0</v>
      </c>
      <c r="FI359" s="109"/>
      <c r="FJ359" s="109"/>
      <c r="FK359" s="111"/>
      <c r="FL359" s="111"/>
      <c r="FM359" s="165"/>
      <c r="FN359" s="109">
        <f t="shared" si="466"/>
        <v>0</v>
      </c>
      <c r="FO359" s="109">
        <f t="shared" si="467"/>
        <v>0</v>
      </c>
      <c r="FP359" s="109"/>
      <c r="FQ359" s="109"/>
      <c r="FR359" s="111"/>
      <c r="FS359" s="111"/>
      <c r="FT359" s="165"/>
      <c r="FU359" s="109">
        <f t="shared" si="468"/>
        <v>0</v>
      </c>
      <c r="FV359" s="109">
        <f t="shared" si="426"/>
        <v>0</v>
      </c>
      <c r="FW359" s="109"/>
      <c r="FX359" s="109"/>
      <c r="FY359" s="111"/>
      <c r="FZ359" s="111"/>
      <c r="GA359" s="165"/>
      <c r="GB359" s="109">
        <f t="shared" si="469"/>
        <v>0</v>
      </c>
      <c r="GC359" s="109">
        <f t="shared" si="427"/>
        <v>0</v>
      </c>
      <c r="GD359" s="109"/>
      <c r="GE359" s="109"/>
      <c r="GF359" s="111"/>
      <c r="GG359" s="111"/>
      <c r="GH359" s="165"/>
      <c r="GI359" s="109">
        <f t="shared" si="470"/>
        <v>0</v>
      </c>
      <c r="GJ359" s="109">
        <f t="shared" si="428"/>
        <v>0</v>
      </c>
      <c r="GK359" s="109"/>
      <c r="GL359" s="109"/>
      <c r="GM359" s="111"/>
      <c r="GN359" s="111"/>
      <c r="GO359" s="165"/>
      <c r="GP359" s="109">
        <f t="shared" si="471"/>
        <v>0</v>
      </c>
      <c r="GQ359" s="109">
        <f t="shared" si="429"/>
        <v>0</v>
      </c>
      <c r="GR359" s="109"/>
      <c r="GS359" s="109"/>
      <c r="GT359" s="111"/>
      <c r="GU359" s="111"/>
      <c r="GV359" s="165"/>
      <c r="GW359" s="168">
        <f t="shared" si="472"/>
        <v>0</v>
      </c>
      <c r="GX359" s="168">
        <f t="shared" si="430"/>
        <v>0</v>
      </c>
      <c r="GY359" s="168"/>
      <c r="GZ359" s="168"/>
      <c r="HA359" s="111"/>
      <c r="HB359" s="111"/>
      <c r="HC359" s="165"/>
      <c r="HD359" s="109">
        <f t="shared" si="473"/>
        <v>0</v>
      </c>
      <c r="HE359" s="109">
        <f t="shared" si="431"/>
        <v>0</v>
      </c>
      <c r="HF359" s="109"/>
      <c r="HG359" s="109"/>
      <c r="HH359" s="111"/>
      <c r="HI359" s="111"/>
      <c r="HJ359" s="165"/>
      <c r="HK359" s="109">
        <f t="shared" si="474"/>
        <v>0</v>
      </c>
      <c r="HL359" s="109">
        <f t="shared" si="432"/>
        <v>0</v>
      </c>
      <c r="HM359" s="109"/>
      <c r="HN359" s="109"/>
      <c r="HO359" s="111"/>
      <c r="HP359" s="111"/>
      <c r="HQ359" s="165"/>
      <c r="HR359" s="109">
        <f t="shared" si="475"/>
        <v>0</v>
      </c>
      <c r="HS359" s="109">
        <f t="shared" si="433"/>
        <v>0</v>
      </c>
      <c r="HT359" s="109"/>
      <c r="HU359" s="109"/>
      <c r="HV359" s="111"/>
      <c r="HW359" s="111"/>
      <c r="HX359" s="105">
        <f t="shared" si="451"/>
        <v>0</v>
      </c>
      <c r="HY359" s="105">
        <f t="shared" si="451"/>
        <v>0</v>
      </c>
      <c r="HZ359" s="105">
        <f t="shared" si="451"/>
        <v>0</v>
      </c>
      <c r="IA359" s="105">
        <f t="shared" si="445"/>
        <v>0</v>
      </c>
      <c r="IB359" s="109">
        <f t="shared" si="446"/>
        <v>0</v>
      </c>
      <c r="IC359" s="109">
        <f t="shared" si="447"/>
        <v>0</v>
      </c>
      <c r="ID359" s="109">
        <f t="shared" si="448"/>
        <v>0</v>
      </c>
      <c r="IE359" s="109">
        <f t="shared" si="449"/>
        <v>0</v>
      </c>
      <c r="IF359" s="197"/>
      <c r="IG359" s="197"/>
      <c r="IH359" s="197"/>
      <c r="II359" s="197"/>
      <c r="IJ359" s="197"/>
      <c r="IK359" s="197"/>
      <c r="IL359" s="197"/>
      <c r="IM359" s="171"/>
      <c r="IN359" s="171"/>
      <c r="IO359" s="171"/>
      <c r="IP359" s="171"/>
    </row>
    <row r="360" spans="1:250" ht="15" customHeight="1" x14ac:dyDescent="0.3">
      <c r="A360" s="110">
        <f t="shared" si="450"/>
        <v>356</v>
      </c>
      <c r="B360" s="111"/>
      <c r="C360" s="111"/>
      <c r="D360" s="111"/>
      <c r="E360" s="111"/>
      <c r="F360" s="111"/>
      <c r="G360" s="111"/>
      <c r="H360" s="111"/>
      <c r="I360" s="194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75"/>
      <c r="AI360" s="111"/>
      <c r="AJ360" s="111"/>
      <c r="AK360" s="111"/>
      <c r="AL360" s="177"/>
      <c r="AM360" s="176"/>
      <c r="AN360" s="177"/>
      <c r="AO360" s="157"/>
      <c r="AP360" s="158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1"/>
      <c r="BC360" s="111"/>
      <c r="BD360" s="111"/>
      <c r="BE360" s="111"/>
      <c r="BF360" s="111"/>
      <c r="BG360" s="111"/>
      <c r="BH360" s="111"/>
      <c r="BI360" s="111"/>
      <c r="BJ360" s="111"/>
      <c r="BK360" s="111"/>
      <c r="BL360" s="175"/>
      <c r="BM360" s="111"/>
      <c r="BN360" s="111"/>
      <c r="BO360" s="111"/>
      <c r="BP360" s="111"/>
      <c r="BQ360" s="111"/>
      <c r="BR360" s="111"/>
      <c r="BS360" s="111"/>
      <c r="BT360" s="111"/>
      <c r="BU360" s="111"/>
      <c r="BV360" s="111"/>
      <c r="BW360" s="111"/>
      <c r="BX360" s="111"/>
      <c r="BY360" s="111"/>
      <c r="BZ360" s="111"/>
      <c r="CA360" s="111"/>
      <c r="CB360" s="111"/>
      <c r="CC360" s="178"/>
      <c r="CD360" s="177">
        <f t="shared" si="434"/>
        <v>0</v>
      </c>
      <c r="CE360" s="148"/>
      <c r="CF360" s="111">
        <f t="shared" si="435"/>
        <v>0</v>
      </c>
      <c r="CG360" s="177"/>
      <c r="CH360" s="204"/>
      <c r="CI360" s="148"/>
      <c r="CJ360" s="165"/>
      <c r="CK360" s="165"/>
      <c r="CL360" s="111"/>
      <c r="CM360" s="111"/>
      <c r="CN360" s="165">
        <f t="shared" si="436"/>
        <v>0</v>
      </c>
      <c r="CO360" s="109">
        <f t="shared" si="437"/>
        <v>0</v>
      </c>
      <c r="CP360" s="109">
        <f t="shared" si="438"/>
        <v>0</v>
      </c>
      <c r="CQ360" s="109"/>
      <c r="CR360" s="109"/>
      <c r="CS360" s="196"/>
      <c r="CT360" s="167"/>
      <c r="CU360" s="165"/>
      <c r="CV360" s="109">
        <f t="shared" si="439"/>
        <v>0</v>
      </c>
      <c r="CW360" s="109">
        <f t="shared" si="440"/>
        <v>0</v>
      </c>
      <c r="CX360" s="109"/>
      <c r="CY360" s="109"/>
      <c r="CZ360" s="111"/>
      <c r="DA360" s="111"/>
      <c r="DB360" s="165"/>
      <c r="DC360" s="109">
        <f t="shared" si="441"/>
        <v>0</v>
      </c>
      <c r="DD360" s="109">
        <f t="shared" si="442"/>
        <v>0</v>
      </c>
      <c r="DE360" s="109"/>
      <c r="DF360" s="109"/>
      <c r="DG360" s="111"/>
      <c r="DH360" s="111"/>
      <c r="DI360" s="165"/>
      <c r="DJ360" s="109">
        <f t="shared" si="443"/>
        <v>0</v>
      </c>
      <c r="DK360" s="109">
        <f t="shared" si="444"/>
        <v>0</v>
      </c>
      <c r="DL360" s="109"/>
      <c r="DM360" s="109"/>
      <c r="DN360" s="111"/>
      <c r="DO360" s="111"/>
      <c r="DP360" s="165"/>
      <c r="DQ360" s="109">
        <f t="shared" si="452"/>
        <v>0</v>
      </c>
      <c r="DR360" s="109">
        <f t="shared" si="453"/>
        <v>0</v>
      </c>
      <c r="DS360" s="109"/>
      <c r="DT360" s="109"/>
      <c r="DU360" s="111"/>
      <c r="DV360" s="111"/>
      <c r="DW360" s="165"/>
      <c r="DX360" s="109">
        <f t="shared" si="454"/>
        <v>0</v>
      </c>
      <c r="DY360" s="109">
        <f t="shared" si="455"/>
        <v>0</v>
      </c>
      <c r="DZ360" s="109"/>
      <c r="EA360" s="109"/>
      <c r="EB360" s="111"/>
      <c r="EC360" s="111"/>
      <c r="ED360" s="165"/>
      <c r="EE360" s="109">
        <f t="shared" si="456"/>
        <v>0</v>
      </c>
      <c r="EF360" s="109">
        <f t="shared" si="457"/>
        <v>0</v>
      </c>
      <c r="EG360" s="109"/>
      <c r="EH360" s="109"/>
      <c r="EI360" s="111"/>
      <c r="EJ360" s="111"/>
      <c r="EK360" s="165"/>
      <c r="EL360" s="109">
        <f t="shared" si="458"/>
        <v>0</v>
      </c>
      <c r="EM360" s="109">
        <f t="shared" si="459"/>
        <v>0</v>
      </c>
      <c r="EN360" s="109"/>
      <c r="EO360" s="109"/>
      <c r="EP360" s="111"/>
      <c r="EQ360" s="111"/>
      <c r="ER360" s="165"/>
      <c r="ES360" s="109">
        <f t="shared" si="460"/>
        <v>0</v>
      </c>
      <c r="ET360" s="109">
        <f t="shared" si="461"/>
        <v>0</v>
      </c>
      <c r="EU360" s="109"/>
      <c r="EV360" s="109"/>
      <c r="EW360" s="111"/>
      <c r="EX360" s="111"/>
      <c r="EY360" s="165"/>
      <c r="EZ360" s="109">
        <f t="shared" si="462"/>
        <v>0</v>
      </c>
      <c r="FA360" s="109">
        <f t="shared" si="463"/>
        <v>0</v>
      </c>
      <c r="FB360" s="109"/>
      <c r="FC360" s="109"/>
      <c r="FD360" s="111"/>
      <c r="FE360" s="111"/>
      <c r="FF360" s="165"/>
      <c r="FG360" s="109">
        <f t="shared" si="464"/>
        <v>0</v>
      </c>
      <c r="FH360" s="109">
        <f t="shared" si="465"/>
        <v>0</v>
      </c>
      <c r="FI360" s="109"/>
      <c r="FJ360" s="109"/>
      <c r="FK360" s="111"/>
      <c r="FL360" s="111"/>
      <c r="FM360" s="165"/>
      <c r="FN360" s="109">
        <f t="shared" si="466"/>
        <v>0</v>
      </c>
      <c r="FO360" s="109">
        <f t="shared" si="467"/>
        <v>0</v>
      </c>
      <c r="FP360" s="109"/>
      <c r="FQ360" s="109"/>
      <c r="FR360" s="111"/>
      <c r="FS360" s="111"/>
      <c r="FT360" s="165"/>
      <c r="FU360" s="109">
        <f t="shared" si="468"/>
        <v>0</v>
      </c>
      <c r="FV360" s="109">
        <f t="shared" si="426"/>
        <v>0</v>
      </c>
      <c r="FW360" s="109"/>
      <c r="FX360" s="109"/>
      <c r="FY360" s="111"/>
      <c r="FZ360" s="111"/>
      <c r="GA360" s="165"/>
      <c r="GB360" s="109">
        <f t="shared" si="469"/>
        <v>0</v>
      </c>
      <c r="GC360" s="109">
        <f t="shared" si="427"/>
        <v>0</v>
      </c>
      <c r="GD360" s="109"/>
      <c r="GE360" s="109"/>
      <c r="GF360" s="111"/>
      <c r="GG360" s="111"/>
      <c r="GH360" s="165"/>
      <c r="GI360" s="109">
        <f t="shared" si="470"/>
        <v>0</v>
      </c>
      <c r="GJ360" s="109">
        <f t="shared" si="428"/>
        <v>0</v>
      </c>
      <c r="GK360" s="109"/>
      <c r="GL360" s="109"/>
      <c r="GM360" s="111"/>
      <c r="GN360" s="111"/>
      <c r="GO360" s="165"/>
      <c r="GP360" s="109">
        <f t="shared" si="471"/>
        <v>0</v>
      </c>
      <c r="GQ360" s="109">
        <f t="shared" si="429"/>
        <v>0</v>
      </c>
      <c r="GR360" s="109"/>
      <c r="GS360" s="109"/>
      <c r="GT360" s="111"/>
      <c r="GU360" s="111"/>
      <c r="GV360" s="165"/>
      <c r="GW360" s="168">
        <f t="shared" si="472"/>
        <v>0</v>
      </c>
      <c r="GX360" s="168">
        <f t="shared" si="430"/>
        <v>0</v>
      </c>
      <c r="GY360" s="168"/>
      <c r="GZ360" s="168"/>
      <c r="HA360" s="111"/>
      <c r="HB360" s="111"/>
      <c r="HC360" s="165"/>
      <c r="HD360" s="109">
        <f t="shared" si="473"/>
        <v>0</v>
      </c>
      <c r="HE360" s="109">
        <f t="shared" si="431"/>
        <v>0</v>
      </c>
      <c r="HF360" s="109"/>
      <c r="HG360" s="109"/>
      <c r="HH360" s="111"/>
      <c r="HI360" s="111"/>
      <c r="HJ360" s="165"/>
      <c r="HK360" s="109">
        <f t="shared" si="474"/>
        <v>0</v>
      </c>
      <c r="HL360" s="109">
        <f t="shared" si="432"/>
        <v>0</v>
      </c>
      <c r="HM360" s="109"/>
      <c r="HN360" s="109"/>
      <c r="HO360" s="111"/>
      <c r="HP360" s="111"/>
      <c r="HQ360" s="165"/>
      <c r="HR360" s="109">
        <f t="shared" si="475"/>
        <v>0</v>
      </c>
      <c r="HS360" s="109">
        <f t="shared" si="433"/>
        <v>0</v>
      </c>
      <c r="HT360" s="109"/>
      <c r="HU360" s="109"/>
      <c r="HV360" s="111"/>
      <c r="HW360" s="111"/>
      <c r="HX360" s="105">
        <f t="shared" si="451"/>
        <v>0</v>
      </c>
      <c r="HY360" s="105">
        <f t="shared" si="451"/>
        <v>0</v>
      </c>
      <c r="HZ360" s="105">
        <f t="shared" si="451"/>
        <v>0</v>
      </c>
      <c r="IA360" s="105">
        <f t="shared" si="445"/>
        <v>0</v>
      </c>
      <c r="IB360" s="109">
        <f t="shared" si="446"/>
        <v>0</v>
      </c>
      <c r="IC360" s="109">
        <f t="shared" si="447"/>
        <v>0</v>
      </c>
      <c r="ID360" s="109">
        <f t="shared" si="448"/>
        <v>0</v>
      </c>
      <c r="IE360" s="109">
        <f t="shared" si="449"/>
        <v>0</v>
      </c>
      <c r="IF360" s="197"/>
      <c r="IG360" s="197"/>
      <c r="IH360" s="197"/>
      <c r="II360" s="197"/>
      <c r="IJ360" s="197"/>
      <c r="IK360" s="197"/>
      <c r="IL360" s="197"/>
      <c r="IM360" s="171"/>
      <c r="IN360" s="171"/>
      <c r="IO360" s="171"/>
      <c r="IP360" s="171"/>
    </row>
    <row r="361" spans="1:250" ht="15" customHeight="1" x14ac:dyDescent="0.3">
      <c r="A361" s="110">
        <f t="shared" si="450"/>
        <v>357</v>
      </c>
      <c r="B361" s="111"/>
      <c r="C361" s="111"/>
      <c r="D361" s="111"/>
      <c r="E361" s="111"/>
      <c r="F361" s="111"/>
      <c r="G361" s="111"/>
      <c r="H361" s="111"/>
      <c r="I361" s="194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75"/>
      <c r="AI361" s="111"/>
      <c r="AJ361" s="111"/>
      <c r="AK361" s="111"/>
      <c r="AL361" s="177"/>
      <c r="AM361" s="176"/>
      <c r="AN361" s="177"/>
      <c r="AO361" s="157"/>
      <c r="AP361" s="158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  <c r="BG361" s="111"/>
      <c r="BH361" s="111"/>
      <c r="BI361" s="111"/>
      <c r="BJ361" s="111"/>
      <c r="BK361" s="111"/>
      <c r="BL361" s="175"/>
      <c r="BM361" s="111"/>
      <c r="BN361" s="111"/>
      <c r="BO361" s="111"/>
      <c r="BP361" s="111"/>
      <c r="BQ361" s="111"/>
      <c r="BR361" s="111"/>
      <c r="BS361" s="111"/>
      <c r="BT361" s="111"/>
      <c r="BU361" s="111"/>
      <c r="BV361" s="111"/>
      <c r="BW361" s="111"/>
      <c r="BX361" s="111"/>
      <c r="BY361" s="111"/>
      <c r="BZ361" s="111"/>
      <c r="CA361" s="111"/>
      <c r="CB361" s="111"/>
      <c r="CC361" s="178"/>
      <c r="CD361" s="177">
        <f t="shared" si="434"/>
        <v>0</v>
      </c>
      <c r="CE361" s="148"/>
      <c r="CF361" s="111">
        <f t="shared" si="435"/>
        <v>0</v>
      </c>
      <c r="CG361" s="177"/>
      <c r="CH361" s="204"/>
      <c r="CI361" s="148"/>
      <c r="CJ361" s="165"/>
      <c r="CK361" s="165"/>
      <c r="CL361" s="111"/>
      <c r="CM361" s="111"/>
      <c r="CN361" s="165">
        <f t="shared" si="436"/>
        <v>0</v>
      </c>
      <c r="CO361" s="109">
        <f t="shared" si="437"/>
        <v>0</v>
      </c>
      <c r="CP361" s="109">
        <f t="shared" si="438"/>
        <v>0</v>
      </c>
      <c r="CQ361" s="109"/>
      <c r="CR361" s="109"/>
      <c r="CS361" s="196"/>
      <c r="CT361" s="167"/>
      <c r="CU361" s="165"/>
      <c r="CV361" s="109">
        <f t="shared" si="439"/>
        <v>0</v>
      </c>
      <c r="CW361" s="109">
        <f t="shared" si="440"/>
        <v>0</v>
      </c>
      <c r="CX361" s="109"/>
      <c r="CY361" s="109"/>
      <c r="CZ361" s="111"/>
      <c r="DA361" s="111"/>
      <c r="DB361" s="165"/>
      <c r="DC361" s="109">
        <f t="shared" si="441"/>
        <v>0</v>
      </c>
      <c r="DD361" s="109">
        <f t="shared" si="442"/>
        <v>0</v>
      </c>
      <c r="DE361" s="109"/>
      <c r="DF361" s="109"/>
      <c r="DG361" s="111"/>
      <c r="DH361" s="111"/>
      <c r="DI361" s="165"/>
      <c r="DJ361" s="109">
        <f t="shared" si="443"/>
        <v>0</v>
      </c>
      <c r="DK361" s="109">
        <f t="shared" si="444"/>
        <v>0</v>
      </c>
      <c r="DL361" s="109"/>
      <c r="DM361" s="109"/>
      <c r="DN361" s="111"/>
      <c r="DO361" s="111"/>
      <c r="DP361" s="165"/>
      <c r="DQ361" s="109">
        <f t="shared" si="452"/>
        <v>0</v>
      </c>
      <c r="DR361" s="109">
        <f t="shared" si="453"/>
        <v>0</v>
      </c>
      <c r="DS361" s="109"/>
      <c r="DT361" s="109"/>
      <c r="DU361" s="111"/>
      <c r="DV361" s="111"/>
      <c r="DW361" s="165"/>
      <c r="DX361" s="109">
        <f t="shared" si="454"/>
        <v>0</v>
      </c>
      <c r="DY361" s="109">
        <f t="shared" si="455"/>
        <v>0</v>
      </c>
      <c r="DZ361" s="109"/>
      <c r="EA361" s="109"/>
      <c r="EB361" s="111"/>
      <c r="EC361" s="111"/>
      <c r="ED361" s="165"/>
      <c r="EE361" s="109">
        <f t="shared" si="456"/>
        <v>0</v>
      </c>
      <c r="EF361" s="109">
        <f t="shared" si="457"/>
        <v>0</v>
      </c>
      <c r="EG361" s="109"/>
      <c r="EH361" s="109"/>
      <c r="EI361" s="111"/>
      <c r="EJ361" s="111"/>
      <c r="EK361" s="165"/>
      <c r="EL361" s="109">
        <f t="shared" si="458"/>
        <v>0</v>
      </c>
      <c r="EM361" s="109">
        <f t="shared" si="459"/>
        <v>0</v>
      </c>
      <c r="EN361" s="109"/>
      <c r="EO361" s="109"/>
      <c r="EP361" s="111"/>
      <c r="EQ361" s="111"/>
      <c r="ER361" s="165"/>
      <c r="ES361" s="109">
        <f t="shared" si="460"/>
        <v>0</v>
      </c>
      <c r="ET361" s="109">
        <f t="shared" si="461"/>
        <v>0</v>
      </c>
      <c r="EU361" s="109"/>
      <c r="EV361" s="109"/>
      <c r="EW361" s="111"/>
      <c r="EX361" s="111"/>
      <c r="EY361" s="165"/>
      <c r="EZ361" s="109">
        <f t="shared" si="462"/>
        <v>0</v>
      </c>
      <c r="FA361" s="109">
        <f t="shared" si="463"/>
        <v>0</v>
      </c>
      <c r="FB361" s="109"/>
      <c r="FC361" s="109"/>
      <c r="FD361" s="111"/>
      <c r="FE361" s="111"/>
      <c r="FF361" s="165"/>
      <c r="FG361" s="109">
        <f t="shared" si="464"/>
        <v>0</v>
      </c>
      <c r="FH361" s="109">
        <f t="shared" si="465"/>
        <v>0</v>
      </c>
      <c r="FI361" s="109"/>
      <c r="FJ361" s="109"/>
      <c r="FK361" s="111"/>
      <c r="FL361" s="111"/>
      <c r="FM361" s="165"/>
      <c r="FN361" s="109">
        <f t="shared" si="466"/>
        <v>0</v>
      </c>
      <c r="FO361" s="109">
        <f t="shared" si="467"/>
        <v>0</v>
      </c>
      <c r="FP361" s="109"/>
      <c r="FQ361" s="109"/>
      <c r="FR361" s="111"/>
      <c r="FS361" s="111"/>
      <c r="FT361" s="165"/>
      <c r="FU361" s="109">
        <f t="shared" si="468"/>
        <v>0</v>
      </c>
      <c r="FV361" s="109">
        <f t="shared" si="426"/>
        <v>0</v>
      </c>
      <c r="FW361" s="109"/>
      <c r="FX361" s="109"/>
      <c r="FY361" s="111"/>
      <c r="FZ361" s="111"/>
      <c r="GA361" s="165"/>
      <c r="GB361" s="109">
        <f t="shared" si="469"/>
        <v>0</v>
      </c>
      <c r="GC361" s="109">
        <f t="shared" si="427"/>
        <v>0</v>
      </c>
      <c r="GD361" s="109"/>
      <c r="GE361" s="109"/>
      <c r="GF361" s="111"/>
      <c r="GG361" s="111"/>
      <c r="GH361" s="165"/>
      <c r="GI361" s="109">
        <f t="shared" si="470"/>
        <v>0</v>
      </c>
      <c r="GJ361" s="109">
        <f t="shared" si="428"/>
        <v>0</v>
      </c>
      <c r="GK361" s="109"/>
      <c r="GL361" s="109"/>
      <c r="GM361" s="111"/>
      <c r="GN361" s="111"/>
      <c r="GO361" s="165"/>
      <c r="GP361" s="109">
        <f t="shared" si="471"/>
        <v>0</v>
      </c>
      <c r="GQ361" s="109">
        <f t="shared" si="429"/>
        <v>0</v>
      </c>
      <c r="GR361" s="109"/>
      <c r="GS361" s="109"/>
      <c r="GT361" s="111"/>
      <c r="GU361" s="111"/>
      <c r="GV361" s="165"/>
      <c r="GW361" s="168">
        <f t="shared" si="472"/>
        <v>0</v>
      </c>
      <c r="GX361" s="168">
        <f t="shared" si="430"/>
        <v>0</v>
      </c>
      <c r="GY361" s="168"/>
      <c r="GZ361" s="168"/>
      <c r="HA361" s="111"/>
      <c r="HB361" s="111"/>
      <c r="HC361" s="165"/>
      <c r="HD361" s="109">
        <f t="shared" si="473"/>
        <v>0</v>
      </c>
      <c r="HE361" s="109">
        <f t="shared" si="431"/>
        <v>0</v>
      </c>
      <c r="HF361" s="109"/>
      <c r="HG361" s="109"/>
      <c r="HH361" s="111"/>
      <c r="HI361" s="111"/>
      <c r="HJ361" s="165"/>
      <c r="HK361" s="109">
        <f t="shared" si="474"/>
        <v>0</v>
      </c>
      <c r="HL361" s="109">
        <f t="shared" si="432"/>
        <v>0</v>
      </c>
      <c r="HM361" s="109"/>
      <c r="HN361" s="109"/>
      <c r="HO361" s="111"/>
      <c r="HP361" s="111"/>
      <c r="HQ361" s="165"/>
      <c r="HR361" s="109">
        <f t="shared" si="475"/>
        <v>0</v>
      </c>
      <c r="HS361" s="109">
        <f t="shared" si="433"/>
        <v>0</v>
      </c>
      <c r="HT361" s="109"/>
      <c r="HU361" s="109"/>
      <c r="HV361" s="111"/>
      <c r="HW361" s="111"/>
      <c r="HX361" s="105">
        <f t="shared" si="451"/>
        <v>0</v>
      </c>
      <c r="HY361" s="105">
        <f t="shared" si="451"/>
        <v>0</v>
      </c>
      <c r="HZ361" s="105">
        <f t="shared" si="451"/>
        <v>0</v>
      </c>
      <c r="IA361" s="105">
        <f t="shared" si="445"/>
        <v>0</v>
      </c>
      <c r="IB361" s="109">
        <f t="shared" si="446"/>
        <v>0</v>
      </c>
      <c r="IC361" s="109">
        <f t="shared" si="447"/>
        <v>0</v>
      </c>
      <c r="ID361" s="109">
        <f t="shared" si="448"/>
        <v>0</v>
      </c>
      <c r="IE361" s="109">
        <f t="shared" si="449"/>
        <v>0</v>
      </c>
      <c r="IF361" s="197"/>
      <c r="IG361" s="197"/>
      <c r="IH361" s="197"/>
      <c r="II361" s="197"/>
      <c r="IJ361" s="197"/>
      <c r="IK361" s="197"/>
      <c r="IL361" s="197"/>
      <c r="IM361" s="171"/>
      <c r="IN361" s="171"/>
      <c r="IO361" s="171"/>
      <c r="IP361" s="171"/>
    </row>
    <row r="362" spans="1:250" ht="15" customHeight="1" x14ac:dyDescent="0.3">
      <c r="A362" s="110">
        <f t="shared" si="450"/>
        <v>358</v>
      </c>
      <c r="B362" s="111"/>
      <c r="C362" s="111"/>
      <c r="D362" s="111"/>
      <c r="E362" s="111"/>
      <c r="F362" s="111"/>
      <c r="G362" s="111"/>
      <c r="H362" s="111"/>
      <c r="I362" s="194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75"/>
      <c r="AI362" s="111"/>
      <c r="AJ362" s="111"/>
      <c r="AK362" s="111"/>
      <c r="AL362" s="177"/>
      <c r="AM362" s="176"/>
      <c r="AN362" s="177"/>
      <c r="AO362" s="157"/>
      <c r="AP362" s="158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  <c r="BG362" s="111"/>
      <c r="BH362" s="111"/>
      <c r="BI362" s="111"/>
      <c r="BJ362" s="111"/>
      <c r="BK362" s="111"/>
      <c r="BL362" s="175"/>
      <c r="BM362" s="111"/>
      <c r="BN362" s="111"/>
      <c r="BO362" s="111"/>
      <c r="BP362" s="111"/>
      <c r="BQ362" s="111"/>
      <c r="BR362" s="111"/>
      <c r="BS362" s="111"/>
      <c r="BT362" s="111"/>
      <c r="BU362" s="111"/>
      <c r="BV362" s="111"/>
      <c r="BW362" s="111"/>
      <c r="BX362" s="111"/>
      <c r="BY362" s="111"/>
      <c r="BZ362" s="111"/>
      <c r="CA362" s="111"/>
      <c r="CB362" s="111"/>
      <c r="CC362" s="178"/>
      <c r="CD362" s="177">
        <f t="shared" si="434"/>
        <v>0</v>
      </c>
      <c r="CE362" s="148"/>
      <c r="CF362" s="111">
        <f t="shared" si="435"/>
        <v>0</v>
      </c>
      <c r="CG362" s="177"/>
      <c r="CH362" s="204"/>
      <c r="CI362" s="148"/>
      <c r="CJ362" s="165"/>
      <c r="CK362" s="165"/>
      <c r="CL362" s="111"/>
      <c r="CM362" s="111"/>
      <c r="CN362" s="165">
        <f t="shared" si="436"/>
        <v>0</v>
      </c>
      <c r="CO362" s="109">
        <f t="shared" si="437"/>
        <v>0</v>
      </c>
      <c r="CP362" s="109">
        <f t="shared" si="438"/>
        <v>0</v>
      </c>
      <c r="CQ362" s="109"/>
      <c r="CR362" s="109"/>
      <c r="CS362" s="196"/>
      <c r="CT362" s="167"/>
      <c r="CU362" s="165"/>
      <c r="CV362" s="109">
        <f t="shared" si="439"/>
        <v>0</v>
      </c>
      <c r="CW362" s="109">
        <f t="shared" si="440"/>
        <v>0</v>
      </c>
      <c r="CX362" s="109"/>
      <c r="CY362" s="109"/>
      <c r="CZ362" s="111"/>
      <c r="DA362" s="111"/>
      <c r="DB362" s="165"/>
      <c r="DC362" s="109">
        <f t="shared" si="441"/>
        <v>0</v>
      </c>
      <c r="DD362" s="109">
        <f t="shared" si="442"/>
        <v>0</v>
      </c>
      <c r="DE362" s="109"/>
      <c r="DF362" s="109"/>
      <c r="DG362" s="111"/>
      <c r="DH362" s="111"/>
      <c r="DI362" s="165"/>
      <c r="DJ362" s="109">
        <f t="shared" si="443"/>
        <v>0</v>
      </c>
      <c r="DK362" s="109">
        <f t="shared" si="444"/>
        <v>0</v>
      </c>
      <c r="DL362" s="109"/>
      <c r="DM362" s="109"/>
      <c r="DN362" s="111"/>
      <c r="DO362" s="111"/>
      <c r="DP362" s="165"/>
      <c r="DQ362" s="109">
        <f t="shared" si="452"/>
        <v>0</v>
      </c>
      <c r="DR362" s="109">
        <f t="shared" si="453"/>
        <v>0</v>
      </c>
      <c r="DS362" s="109"/>
      <c r="DT362" s="109"/>
      <c r="DU362" s="111"/>
      <c r="DV362" s="111"/>
      <c r="DW362" s="165"/>
      <c r="DX362" s="109">
        <f t="shared" si="454"/>
        <v>0</v>
      </c>
      <c r="DY362" s="109">
        <f t="shared" si="455"/>
        <v>0</v>
      </c>
      <c r="DZ362" s="109"/>
      <c r="EA362" s="109"/>
      <c r="EB362" s="111"/>
      <c r="EC362" s="111"/>
      <c r="ED362" s="165"/>
      <c r="EE362" s="109">
        <f t="shared" si="456"/>
        <v>0</v>
      </c>
      <c r="EF362" s="109">
        <f t="shared" si="457"/>
        <v>0</v>
      </c>
      <c r="EG362" s="109"/>
      <c r="EH362" s="109"/>
      <c r="EI362" s="111"/>
      <c r="EJ362" s="111"/>
      <c r="EK362" s="165"/>
      <c r="EL362" s="109">
        <f t="shared" si="458"/>
        <v>0</v>
      </c>
      <c r="EM362" s="109">
        <f t="shared" si="459"/>
        <v>0</v>
      </c>
      <c r="EN362" s="109"/>
      <c r="EO362" s="109"/>
      <c r="EP362" s="111"/>
      <c r="EQ362" s="111"/>
      <c r="ER362" s="165"/>
      <c r="ES362" s="109">
        <f t="shared" si="460"/>
        <v>0</v>
      </c>
      <c r="ET362" s="109">
        <f t="shared" si="461"/>
        <v>0</v>
      </c>
      <c r="EU362" s="109"/>
      <c r="EV362" s="109"/>
      <c r="EW362" s="111"/>
      <c r="EX362" s="111"/>
      <c r="EY362" s="165"/>
      <c r="EZ362" s="109">
        <f t="shared" si="462"/>
        <v>0</v>
      </c>
      <c r="FA362" s="109">
        <f t="shared" si="463"/>
        <v>0</v>
      </c>
      <c r="FB362" s="109"/>
      <c r="FC362" s="109"/>
      <c r="FD362" s="111"/>
      <c r="FE362" s="111"/>
      <c r="FF362" s="165"/>
      <c r="FG362" s="109">
        <f t="shared" si="464"/>
        <v>0</v>
      </c>
      <c r="FH362" s="109">
        <f t="shared" si="465"/>
        <v>0</v>
      </c>
      <c r="FI362" s="109"/>
      <c r="FJ362" s="109"/>
      <c r="FK362" s="111"/>
      <c r="FL362" s="111"/>
      <c r="FM362" s="165"/>
      <c r="FN362" s="109">
        <f t="shared" si="466"/>
        <v>0</v>
      </c>
      <c r="FO362" s="109">
        <f t="shared" si="467"/>
        <v>0</v>
      </c>
      <c r="FP362" s="109"/>
      <c r="FQ362" s="109"/>
      <c r="FR362" s="111"/>
      <c r="FS362" s="111"/>
      <c r="FT362" s="165"/>
      <c r="FU362" s="109">
        <f t="shared" si="468"/>
        <v>0</v>
      </c>
      <c r="FV362" s="109">
        <f t="shared" si="426"/>
        <v>0</v>
      </c>
      <c r="FW362" s="109"/>
      <c r="FX362" s="109"/>
      <c r="FY362" s="111"/>
      <c r="FZ362" s="111"/>
      <c r="GA362" s="165"/>
      <c r="GB362" s="109">
        <f t="shared" si="469"/>
        <v>0</v>
      </c>
      <c r="GC362" s="109">
        <f t="shared" si="427"/>
        <v>0</v>
      </c>
      <c r="GD362" s="109"/>
      <c r="GE362" s="109"/>
      <c r="GF362" s="111"/>
      <c r="GG362" s="111"/>
      <c r="GH362" s="165"/>
      <c r="GI362" s="109">
        <f t="shared" si="470"/>
        <v>0</v>
      </c>
      <c r="GJ362" s="109">
        <f t="shared" si="428"/>
        <v>0</v>
      </c>
      <c r="GK362" s="109"/>
      <c r="GL362" s="109"/>
      <c r="GM362" s="111"/>
      <c r="GN362" s="111"/>
      <c r="GO362" s="165"/>
      <c r="GP362" s="109">
        <f t="shared" si="471"/>
        <v>0</v>
      </c>
      <c r="GQ362" s="109">
        <f t="shared" si="429"/>
        <v>0</v>
      </c>
      <c r="GR362" s="109"/>
      <c r="GS362" s="109"/>
      <c r="GT362" s="111"/>
      <c r="GU362" s="111"/>
      <c r="GV362" s="165"/>
      <c r="GW362" s="168">
        <f t="shared" si="472"/>
        <v>0</v>
      </c>
      <c r="GX362" s="168">
        <f t="shared" si="430"/>
        <v>0</v>
      </c>
      <c r="GY362" s="168"/>
      <c r="GZ362" s="168"/>
      <c r="HA362" s="111"/>
      <c r="HB362" s="111"/>
      <c r="HC362" s="165"/>
      <c r="HD362" s="109">
        <f t="shared" si="473"/>
        <v>0</v>
      </c>
      <c r="HE362" s="109">
        <f t="shared" si="431"/>
        <v>0</v>
      </c>
      <c r="HF362" s="109"/>
      <c r="HG362" s="109"/>
      <c r="HH362" s="111"/>
      <c r="HI362" s="111"/>
      <c r="HJ362" s="165"/>
      <c r="HK362" s="109">
        <f t="shared" si="474"/>
        <v>0</v>
      </c>
      <c r="HL362" s="109">
        <f t="shared" si="432"/>
        <v>0</v>
      </c>
      <c r="HM362" s="109"/>
      <c r="HN362" s="109"/>
      <c r="HO362" s="111"/>
      <c r="HP362" s="111"/>
      <c r="HQ362" s="165"/>
      <c r="HR362" s="109">
        <f t="shared" si="475"/>
        <v>0</v>
      </c>
      <c r="HS362" s="109">
        <f t="shared" si="433"/>
        <v>0</v>
      </c>
      <c r="HT362" s="109"/>
      <c r="HU362" s="109"/>
      <c r="HV362" s="111"/>
      <c r="HW362" s="111"/>
      <c r="HX362" s="105">
        <f t="shared" si="451"/>
        <v>0</v>
      </c>
      <c r="HY362" s="105">
        <f t="shared" si="451"/>
        <v>0</v>
      </c>
      <c r="HZ362" s="105">
        <f t="shared" si="451"/>
        <v>0</v>
      </c>
      <c r="IA362" s="105">
        <f t="shared" si="445"/>
        <v>0</v>
      </c>
      <c r="IB362" s="109">
        <f t="shared" si="446"/>
        <v>0</v>
      </c>
      <c r="IC362" s="109">
        <f t="shared" si="447"/>
        <v>0</v>
      </c>
      <c r="ID362" s="109">
        <f t="shared" si="448"/>
        <v>0</v>
      </c>
      <c r="IE362" s="109">
        <f t="shared" si="449"/>
        <v>0</v>
      </c>
      <c r="IF362" s="197"/>
      <c r="IG362" s="197"/>
      <c r="IH362" s="197"/>
      <c r="II362" s="197"/>
      <c r="IJ362" s="197"/>
      <c r="IK362" s="197"/>
      <c r="IL362" s="197"/>
      <c r="IM362" s="171"/>
      <c r="IN362" s="171"/>
      <c r="IO362" s="171"/>
      <c r="IP362" s="171"/>
    </row>
    <row r="363" spans="1:250" ht="15" customHeight="1" x14ac:dyDescent="0.3">
      <c r="A363" s="110">
        <f t="shared" si="450"/>
        <v>359</v>
      </c>
      <c r="B363" s="111"/>
      <c r="C363" s="111"/>
      <c r="D363" s="111"/>
      <c r="E363" s="111"/>
      <c r="F363" s="111"/>
      <c r="G363" s="111"/>
      <c r="H363" s="111"/>
      <c r="I363" s="194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75"/>
      <c r="AI363" s="111"/>
      <c r="AJ363" s="111"/>
      <c r="AK363" s="111"/>
      <c r="AL363" s="177"/>
      <c r="AM363" s="176"/>
      <c r="AN363" s="177"/>
      <c r="AO363" s="157"/>
      <c r="AP363" s="158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1"/>
      <c r="BC363" s="111"/>
      <c r="BD363" s="111"/>
      <c r="BE363" s="111"/>
      <c r="BF363" s="111"/>
      <c r="BG363" s="111"/>
      <c r="BH363" s="111"/>
      <c r="BI363" s="111"/>
      <c r="BJ363" s="111"/>
      <c r="BK363" s="111"/>
      <c r="BL363" s="175"/>
      <c r="BM363" s="111"/>
      <c r="BN363" s="111"/>
      <c r="BO363" s="111"/>
      <c r="BP363" s="111"/>
      <c r="BQ363" s="111"/>
      <c r="BR363" s="111"/>
      <c r="BS363" s="111"/>
      <c r="BT363" s="111"/>
      <c r="BU363" s="111"/>
      <c r="BV363" s="111"/>
      <c r="BW363" s="111"/>
      <c r="BX363" s="111"/>
      <c r="BY363" s="111"/>
      <c r="BZ363" s="111"/>
      <c r="CA363" s="111"/>
      <c r="CB363" s="111"/>
      <c r="CC363" s="178"/>
      <c r="CD363" s="177">
        <f t="shared" si="434"/>
        <v>0</v>
      </c>
      <c r="CE363" s="148"/>
      <c r="CF363" s="111">
        <f t="shared" si="435"/>
        <v>0</v>
      </c>
      <c r="CG363" s="177"/>
      <c r="CH363" s="204"/>
      <c r="CI363" s="148"/>
      <c r="CJ363" s="165"/>
      <c r="CK363" s="165"/>
      <c r="CL363" s="111"/>
      <c r="CM363" s="111"/>
      <c r="CN363" s="165">
        <f t="shared" si="436"/>
        <v>0</v>
      </c>
      <c r="CO363" s="109">
        <f t="shared" si="437"/>
        <v>0</v>
      </c>
      <c r="CP363" s="109">
        <f t="shared" si="438"/>
        <v>0</v>
      </c>
      <c r="CQ363" s="109"/>
      <c r="CR363" s="109"/>
      <c r="CS363" s="196"/>
      <c r="CT363" s="167"/>
      <c r="CU363" s="165"/>
      <c r="CV363" s="109">
        <f t="shared" si="439"/>
        <v>0</v>
      </c>
      <c r="CW363" s="109">
        <f t="shared" si="440"/>
        <v>0</v>
      </c>
      <c r="CX363" s="109"/>
      <c r="CY363" s="109"/>
      <c r="CZ363" s="111"/>
      <c r="DA363" s="111"/>
      <c r="DB363" s="165"/>
      <c r="DC363" s="109">
        <f t="shared" si="441"/>
        <v>0</v>
      </c>
      <c r="DD363" s="109">
        <f t="shared" si="442"/>
        <v>0</v>
      </c>
      <c r="DE363" s="109"/>
      <c r="DF363" s="109"/>
      <c r="DG363" s="111"/>
      <c r="DH363" s="111"/>
      <c r="DI363" s="165"/>
      <c r="DJ363" s="109">
        <f t="shared" si="443"/>
        <v>0</v>
      </c>
      <c r="DK363" s="109">
        <f t="shared" si="444"/>
        <v>0</v>
      </c>
      <c r="DL363" s="109"/>
      <c r="DM363" s="109"/>
      <c r="DN363" s="111"/>
      <c r="DO363" s="111"/>
      <c r="DP363" s="165"/>
      <c r="DQ363" s="109">
        <f t="shared" si="452"/>
        <v>0</v>
      </c>
      <c r="DR363" s="109">
        <f t="shared" si="453"/>
        <v>0</v>
      </c>
      <c r="DS363" s="109"/>
      <c r="DT363" s="109"/>
      <c r="DU363" s="111"/>
      <c r="DV363" s="111"/>
      <c r="DW363" s="165"/>
      <c r="DX363" s="109">
        <f t="shared" si="454"/>
        <v>0</v>
      </c>
      <c r="DY363" s="109">
        <f t="shared" si="455"/>
        <v>0</v>
      </c>
      <c r="DZ363" s="109"/>
      <c r="EA363" s="109"/>
      <c r="EB363" s="111"/>
      <c r="EC363" s="111"/>
      <c r="ED363" s="165"/>
      <c r="EE363" s="109">
        <f t="shared" si="456"/>
        <v>0</v>
      </c>
      <c r="EF363" s="109">
        <f t="shared" si="457"/>
        <v>0</v>
      </c>
      <c r="EG363" s="109"/>
      <c r="EH363" s="109"/>
      <c r="EI363" s="111"/>
      <c r="EJ363" s="111"/>
      <c r="EK363" s="165"/>
      <c r="EL363" s="109">
        <f t="shared" si="458"/>
        <v>0</v>
      </c>
      <c r="EM363" s="109">
        <f t="shared" si="459"/>
        <v>0</v>
      </c>
      <c r="EN363" s="109"/>
      <c r="EO363" s="109"/>
      <c r="EP363" s="111"/>
      <c r="EQ363" s="111"/>
      <c r="ER363" s="165"/>
      <c r="ES363" s="109">
        <f t="shared" si="460"/>
        <v>0</v>
      </c>
      <c r="ET363" s="109">
        <f t="shared" si="461"/>
        <v>0</v>
      </c>
      <c r="EU363" s="109"/>
      <c r="EV363" s="109"/>
      <c r="EW363" s="111"/>
      <c r="EX363" s="111"/>
      <c r="EY363" s="165"/>
      <c r="EZ363" s="109">
        <f t="shared" si="462"/>
        <v>0</v>
      </c>
      <c r="FA363" s="109">
        <f t="shared" si="463"/>
        <v>0</v>
      </c>
      <c r="FB363" s="109"/>
      <c r="FC363" s="109"/>
      <c r="FD363" s="111"/>
      <c r="FE363" s="111"/>
      <c r="FF363" s="165"/>
      <c r="FG363" s="109">
        <f t="shared" si="464"/>
        <v>0</v>
      </c>
      <c r="FH363" s="109">
        <f t="shared" si="465"/>
        <v>0</v>
      </c>
      <c r="FI363" s="109"/>
      <c r="FJ363" s="109"/>
      <c r="FK363" s="111"/>
      <c r="FL363" s="111"/>
      <c r="FM363" s="165"/>
      <c r="FN363" s="109">
        <f t="shared" si="466"/>
        <v>0</v>
      </c>
      <c r="FO363" s="109">
        <f t="shared" si="467"/>
        <v>0</v>
      </c>
      <c r="FP363" s="109"/>
      <c r="FQ363" s="109"/>
      <c r="FR363" s="111"/>
      <c r="FS363" s="111"/>
      <c r="FT363" s="165"/>
      <c r="FU363" s="109">
        <f t="shared" si="468"/>
        <v>0</v>
      </c>
      <c r="FV363" s="109">
        <f t="shared" si="426"/>
        <v>0</v>
      </c>
      <c r="FW363" s="109"/>
      <c r="FX363" s="109"/>
      <c r="FY363" s="111"/>
      <c r="FZ363" s="111"/>
      <c r="GA363" s="165"/>
      <c r="GB363" s="109">
        <f t="shared" si="469"/>
        <v>0</v>
      </c>
      <c r="GC363" s="109">
        <f t="shared" si="427"/>
        <v>0</v>
      </c>
      <c r="GD363" s="109"/>
      <c r="GE363" s="109"/>
      <c r="GF363" s="111"/>
      <c r="GG363" s="111"/>
      <c r="GH363" s="165"/>
      <c r="GI363" s="109">
        <f t="shared" si="470"/>
        <v>0</v>
      </c>
      <c r="GJ363" s="109">
        <f t="shared" si="428"/>
        <v>0</v>
      </c>
      <c r="GK363" s="109"/>
      <c r="GL363" s="109"/>
      <c r="GM363" s="111"/>
      <c r="GN363" s="111"/>
      <c r="GO363" s="165"/>
      <c r="GP363" s="109">
        <f t="shared" si="471"/>
        <v>0</v>
      </c>
      <c r="GQ363" s="109">
        <f t="shared" si="429"/>
        <v>0</v>
      </c>
      <c r="GR363" s="109"/>
      <c r="GS363" s="109"/>
      <c r="GT363" s="111"/>
      <c r="GU363" s="111"/>
      <c r="GV363" s="165"/>
      <c r="GW363" s="168">
        <f t="shared" si="472"/>
        <v>0</v>
      </c>
      <c r="GX363" s="168">
        <f t="shared" si="430"/>
        <v>0</v>
      </c>
      <c r="GY363" s="168"/>
      <c r="GZ363" s="168"/>
      <c r="HA363" s="111"/>
      <c r="HB363" s="111"/>
      <c r="HC363" s="165"/>
      <c r="HD363" s="109">
        <f t="shared" si="473"/>
        <v>0</v>
      </c>
      <c r="HE363" s="109">
        <f t="shared" si="431"/>
        <v>0</v>
      </c>
      <c r="HF363" s="109"/>
      <c r="HG363" s="109"/>
      <c r="HH363" s="111"/>
      <c r="HI363" s="111"/>
      <c r="HJ363" s="165"/>
      <c r="HK363" s="109">
        <f t="shared" si="474"/>
        <v>0</v>
      </c>
      <c r="HL363" s="109">
        <f t="shared" si="432"/>
        <v>0</v>
      </c>
      <c r="HM363" s="109"/>
      <c r="HN363" s="109"/>
      <c r="HO363" s="111"/>
      <c r="HP363" s="111"/>
      <c r="HQ363" s="165"/>
      <c r="HR363" s="109">
        <f t="shared" si="475"/>
        <v>0</v>
      </c>
      <c r="HS363" s="109">
        <f t="shared" si="433"/>
        <v>0</v>
      </c>
      <c r="HT363" s="109"/>
      <c r="HU363" s="109"/>
      <c r="HV363" s="111"/>
      <c r="HW363" s="111"/>
      <c r="HX363" s="105">
        <f t="shared" si="451"/>
        <v>0</v>
      </c>
      <c r="HY363" s="105">
        <f t="shared" si="451"/>
        <v>0</v>
      </c>
      <c r="HZ363" s="105">
        <f t="shared" si="451"/>
        <v>0</v>
      </c>
      <c r="IA363" s="105">
        <f t="shared" si="445"/>
        <v>0</v>
      </c>
      <c r="IB363" s="109">
        <f t="shared" si="446"/>
        <v>0</v>
      </c>
      <c r="IC363" s="109">
        <f t="shared" si="447"/>
        <v>0</v>
      </c>
      <c r="ID363" s="109">
        <f t="shared" si="448"/>
        <v>0</v>
      </c>
      <c r="IE363" s="109">
        <f t="shared" si="449"/>
        <v>0</v>
      </c>
      <c r="IF363" s="197"/>
      <c r="IG363" s="197"/>
      <c r="IH363" s="197"/>
      <c r="II363" s="197"/>
      <c r="IJ363" s="197"/>
      <c r="IK363" s="197"/>
      <c r="IL363" s="197"/>
      <c r="IM363" s="171"/>
      <c r="IN363" s="171"/>
      <c r="IO363" s="171"/>
      <c r="IP363" s="171"/>
    </row>
    <row r="364" spans="1:250" ht="15" customHeight="1" x14ac:dyDescent="0.3">
      <c r="A364" s="110">
        <f t="shared" si="450"/>
        <v>360</v>
      </c>
      <c r="B364" s="111"/>
      <c r="C364" s="111"/>
      <c r="D364" s="111"/>
      <c r="E364" s="111"/>
      <c r="F364" s="111"/>
      <c r="G364" s="111"/>
      <c r="H364" s="111"/>
      <c r="I364" s="194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75"/>
      <c r="AI364" s="111"/>
      <c r="AJ364" s="111"/>
      <c r="AK364" s="111"/>
      <c r="AL364" s="177"/>
      <c r="AM364" s="176"/>
      <c r="AN364" s="177"/>
      <c r="AO364" s="157"/>
      <c r="AP364" s="158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  <c r="BJ364" s="111"/>
      <c r="BK364" s="111"/>
      <c r="BL364" s="175"/>
      <c r="BM364" s="111"/>
      <c r="BN364" s="111"/>
      <c r="BO364" s="111"/>
      <c r="BP364" s="111"/>
      <c r="BQ364" s="111"/>
      <c r="BR364" s="111"/>
      <c r="BS364" s="111"/>
      <c r="BT364" s="111"/>
      <c r="BU364" s="111"/>
      <c r="BV364" s="111"/>
      <c r="BW364" s="111"/>
      <c r="BX364" s="111"/>
      <c r="BY364" s="111"/>
      <c r="BZ364" s="111"/>
      <c r="CA364" s="111"/>
      <c r="CB364" s="111"/>
      <c r="CC364" s="178"/>
      <c r="CD364" s="177">
        <f t="shared" si="434"/>
        <v>0</v>
      </c>
      <c r="CE364" s="148"/>
      <c r="CF364" s="111">
        <f t="shared" si="435"/>
        <v>0</v>
      </c>
      <c r="CG364" s="177"/>
      <c r="CH364" s="204"/>
      <c r="CI364" s="148"/>
      <c r="CJ364" s="165"/>
      <c r="CK364" s="165"/>
      <c r="CL364" s="111"/>
      <c r="CM364" s="111"/>
      <c r="CN364" s="165">
        <f t="shared" si="436"/>
        <v>0</v>
      </c>
      <c r="CO364" s="109">
        <f t="shared" si="437"/>
        <v>0</v>
      </c>
      <c r="CP364" s="109">
        <f t="shared" si="438"/>
        <v>0</v>
      </c>
      <c r="CQ364" s="109"/>
      <c r="CR364" s="109"/>
      <c r="CS364" s="196"/>
      <c r="CT364" s="167"/>
      <c r="CU364" s="165"/>
      <c r="CV364" s="109">
        <f t="shared" si="439"/>
        <v>0</v>
      </c>
      <c r="CW364" s="109">
        <f t="shared" si="440"/>
        <v>0</v>
      </c>
      <c r="CX364" s="109"/>
      <c r="CY364" s="109"/>
      <c r="CZ364" s="111"/>
      <c r="DA364" s="111"/>
      <c r="DB364" s="165"/>
      <c r="DC364" s="109">
        <f t="shared" si="441"/>
        <v>0</v>
      </c>
      <c r="DD364" s="109">
        <f t="shared" si="442"/>
        <v>0</v>
      </c>
      <c r="DE364" s="109"/>
      <c r="DF364" s="109"/>
      <c r="DG364" s="111"/>
      <c r="DH364" s="111"/>
      <c r="DI364" s="165"/>
      <c r="DJ364" s="109">
        <f t="shared" si="443"/>
        <v>0</v>
      </c>
      <c r="DK364" s="109">
        <f t="shared" si="444"/>
        <v>0</v>
      </c>
      <c r="DL364" s="109"/>
      <c r="DM364" s="109"/>
      <c r="DN364" s="111"/>
      <c r="DO364" s="111"/>
      <c r="DP364" s="165"/>
      <c r="DQ364" s="109">
        <f t="shared" si="452"/>
        <v>0</v>
      </c>
      <c r="DR364" s="109">
        <f t="shared" si="453"/>
        <v>0</v>
      </c>
      <c r="DS364" s="109"/>
      <c r="DT364" s="109"/>
      <c r="DU364" s="111"/>
      <c r="DV364" s="111"/>
      <c r="DW364" s="165"/>
      <c r="DX364" s="109">
        <f t="shared" si="454"/>
        <v>0</v>
      </c>
      <c r="DY364" s="109">
        <f t="shared" si="455"/>
        <v>0</v>
      </c>
      <c r="DZ364" s="109"/>
      <c r="EA364" s="109"/>
      <c r="EB364" s="111"/>
      <c r="EC364" s="111"/>
      <c r="ED364" s="165"/>
      <c r="EE364" s="109">
        <f t="shared" si="456"/>
        <v>0</v>
      </c>
      <c r="EF364" s="109">
        <f t="shared" si="457"/>
        <v>0</v>
      </c>
      <c r="EG364" s="109"/>
      <c r="EH364" s="109"/>
      <c r="EI364" s="111"/>
      <c r="EJ364" s="111"/>
      <c r="EK364" s="165"/>
      <c r="EL364" s="109">
        <f t="shared" si="458"/>
        <v>0</v>
      </c>
      <c r="EM364" s="109">
        <f t="shared" si="459"/>
        <v>0</v>
      </c>
      <c r="EN364" s="109"/>
      <c r="EO364" s="109"/>
      <c r="EP364" s="111"/>
      <c r="EQ364" s="111"/>
      <c r="ER364" s="165"/>
      <c r="ES364" s="109">
        <f t="shared" si="460"/>
        <v>0</v>
      </c>
      <c r="ET364" s="109">
        <f t="shared" si="461"/>
        <v>0</v>
      </c>
      <c r="EU364" s="109"/>
      <c r="EV364" s="109"/>
      <c r="EW364" s="111"/>
      <c r="EX364" s="111"/>
      <c r="EY364" s="165"/>
      <c r="EZ364" s="109">
        <f t="shared" si="462"/>
        <v>0</v>
      </c>
      <c r="FA364" s="109">
        <f t="shared" si="463"/>
        <v>0</v>
      </c>
      <c r="FB364" s="109"/>
      <c r="FC364" s="109"/>
      <c r="FD364" s="111"/>
      <c r="FE364" s="111"/>
      <c r="FF364" s="165"/>
      <c r="FG364" s="109">
        <f t="shared" si="464"/>
        <v>0</v>
      </c>
      <c r="FH364" s="109">
        <f t="shared" si="465"/>
        <v>0</v>
      </c>
      <c r="FI364" s="109"/>
      <c r="FJ364" s="109"/>
      <c r="FK364" s="111"/>
      <c r="FL364" s="111"/>
      <c r="FM364" s="165"/>
      <c r="FN364" s="109">
        <f t="shared" si="466"/>
        <v>0</v>
      </c>
      <c r="FO364" s="109">
        <f t="shared" si="467"/>
        <v>0</v>
      </c>
      <c r="FP364" s="109"/>
      <c r="FQ364" s="109"/>
      <c r="FR364" s="111"/>
      <c r="FS364" s="111"/>
      <c r="FT364" s="165"/>
      <c r="FU364" s="109">
        <f t="shared" si="468"/>
        <v>0</v>
      </c>
      <c r="FV364" s="109">
        <f t="shared" si="426"/>
        <v>0</v>
      </c>
      <c r="FW364" s="109"/>
      <c r="FX364" s="109"/>
      <c r="FY364" s="111"/>
      <c r="FZ364" s="111"/>
      <c r="GA364" s="165"/>
      <c r="GB364" s="109">
        <f t="shared" si="469"/>
        <v>0</v>
      </c>
      <c r="GC364" s="109">
        <f t="shared" si="427"/>
        <v>0</v>
      </c>
      <c r="GD364" s="109"/>
      <c r="GE364" s="109"/>
      <c r="GF364" s="111"/>
      <c r="GG364" s="111"/>
      <c r="GH364" s="165"/>
      <c r="GI364" s="109">
        <f t="shared" si="470"/>
        <v>0</v>
      </c>
      <c r="GJ364" s="109">
        <f t="shared" si="428"/>
        <v>0</v>
      </c>
      <c r="GK364" s="109"/>
      <c r="GL364" s="109"/>
      <c r="GM364" s="111"/>
      <c r="GN364" s="111"/>
      <c r="GO364" s="165"/>
      <c r="GP364" s="109">
        <f t="shared" si="471"/>
        <v>0</v>
      </c>
      <c r="GQ364" s="109">
        <f t="shared" si="429"/>
        <v>0</v>
      </c>
      <c r="GR364" s="109"/>
      <c r="GS364" s="109"/>
      <c r="GT364" s="111"/>
      <c r="GU364" s="111"/>
      <c r="GV364" s="165"/>
      <c r="GW364" s="168">
        <f t="shared" si="472"/>
        <v>0</v>
      </c>
      <c r="GX364" s="168">
        <f t="shared" si="430"/>
        <v>0</v>
      </c>
      <c r="GY364" s="168"/>
      <c r="GZ364" s="168"/>
      <c r="HA364" s="111"/>
      <c r="HB364" s="111"/>
      <c r="HC364" s="165"/>
      <c r="HD364" s="109">
        <f t="shared" si="473"/>
        <v>0</v>
      </c>
      <c r="HE364" s="109">
        <f t="shared" si="431"/>
        <v>0</v>
      </c>
      <c r="HF364" s="109"/>
      <c r="HG364" s="109"/>
      <c r="HH364" s="111"/>
      <c r="HI364" s="111"/>
      <c r="HJ364" s="165"/>
      <c r="HK364" s="109">
        <f t="shared" si="474"/>
        <v>0</v>
      </c>
      <c r="HL364" s="109">
        <f t="shared" si="432"/>
        <v>0</v>
      </c>
      <c r="HM364" s="109"/>
      <c r="HN364" s="109"/>
      <c r="HO364" s="111"/>
      <c r="HP364" s="111"/>
      <c r="HQ364" s="165"/>
      <c r="HR364" s="109">
        <f t="shared" si="475"/>
        <v>0</v>
      </c>
      <c r="HS364" s="109">
        <f t="shared" si="433"/>
        <v>0</v>
      </c>
      <c r="HT364" s="109"/>
      <c r="HU364" s="109"/>
      <c r="HV364" s="111"/>
      <c r="HW364" s="111"/>
      <c r="HX364" s="105">
        <f t="shared" si="451"/>
        <v>0</v>
      </c>
      <c r="HY364" s="105">
        <f t="shared" si="451"/>
        <v>0</v>
      </c>
      <c r="HZ364" s="105">
        <f t="shared" si="451"/>
        <v>0</v>
      </c>
      <c r="IA364" s="105">
        <f t="shared" si="445"/>
        <v>0</v>
      </c>
      <c r="IB364" s="109">
        <f t="shared" si="446"/>
        <v>0</v>
      </c>
      <c r="IC364" s="109">
        <f t="shared" si="447"/>
        <v>0</v>
      </c>
      <c r="ID364" s="109">
        <f t="shared" si="448"/>
        <v>0</v>
      </c>
      <c r="IE364" s="109">
        <f t="shared" si="449"/>
        <v>0</v>
      </c>
      <c r="IF364" s="197"/>
      <c r="IG364" s="197"/>
      <c r="IH364" s="197"/>
      <c r="II364" s="197"/>
      <c r="IJ364" s="197"/>
      <c r="IK364" s="197"/>
      <c r="IL364" s="197"/>
      <c r="IM364" s="171"/>
      <c r="IN364" s="171"/>
      <c r="IO364" s="171"/>
      <c r="IP364" s="171"/>
    </row>
    <row r="365" spans="1:250" ht="15" customHeight="1" x14ac:dyDescent="0.3">
      <c r="A365" s="110">
        <f t="shared" si="450"/>
        <v>361</v>
      </c>
      <c r="B365" s="111"/>
      <c r="C365" s="111"/>
      <c r="D365" s="111"/>
      <c r="E365" s="111"/>
      <c r="F365" s="111"/>
      <c r="G365" s="111"/>
      <c r="H365" s="111"/>
      <c r="I365" s="194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75"/>
      <c r="AI365" s="111"/>
      <c r="AJ365" s="111"/>
      <c r="AK365" s="111"/>
      <c r="AL365" s="177"/>
      <c r="AM365" s="176"/>
      <c r="AN365" s="177"/>
      <c r="AO365" s="157"/>
      <c r="AP365" s="158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  <c r="BB365" s="111"/>
      <c r="BC365" s="111"/>
      <c r="BD365" s="111"/>
      <c r="BE365" s="111"/>
      <c r="BF365" s="111"/>
      <c r="BG365" s="111"/>
      <c r="BH365" s="111"/>
      <c r="BI365" s="111"/>
      <c r="BJ365" s="111"/>
      <c r="BK365" s="111"/>
      <c r="BL365" s="175"/>
      <c r="BM365" s="111"/>
      <c r="BN365" s="111"/>
      <c r="BO365" s="111"/>
      <c r="BP365" s="111"/>
      <c r="BQ365" s="111"/>
      <c r="BR365" s="111"/>
      <c r="BS365" s="111"/>
      <c r="BT365" s="111"/>
      <c r="BU365" s="111"/>
      <c r="BV365" s="111"/>
      <c r="BW365" s="111"/>
      <c r="BX365" s="111"/>
      <c r="BY365" s="111"/>
      <c r="BZ365" s="111"/>
      <c r="CA365" s="111"/>
      <c r="CB365" s="111"/>
      <c r="CC365" s="178"/>
      <c r="CD365" s="177">
        <f t="shared" si="434"/>
        <v>0</v>
      </c>
      <c r="CE365" s="148"/>
      <c r="CF365" s="111">
        <f t="shared" si="435"/>
        <v>0</v>
      </c>
      <c r="CG365" s="177"/>
      <c r="CH365" s="204"/>
      <c r="CI365" s="148"/>
      <c r="CJ365" s="165"/>
      <c r="CK365" s="165"/>
      <c r="CL365" s="111"/>
      <c r="CM365" s="111"/>
      <c r="CN365" s="165">
        <f t="shared" si="436"/>
        <v>0</v>
      </c>
      <c r="CO365" s="109">
        <f t="shared" si="437"/>
        <v>0</v>
      </c>
      <c r="CP365" s="109">
        <f t="shared" si="438"/>
        <v>0</v>
      </c>
      <c r="CQ365" s="109"/>
      <c r="CR365" s="109"/>
      <c r="CS365" s="196"/>
      <c r="CT365" s="167"/>
      <c r="CU365" s="165"/>
      <c r="CV365" s="109">
        <f t="shared" si="439"/>
        <v>0</v>
      </c>
      <c r="CW365" s="109">
        <f t="shared" si="440"/>
        <v>0</v>
      </c>
      <c r="CX365" s="109"/>
      <c r="CY365" s="109"/>
      <c r="CZ365" s="111"/>
      <c r="DA365" s="111"/>
      <c r="DB365" s="165"/>
      <c r="DC365" s="109">
        <f t="shared" si="441"/>
        <v>0</v>
      </c>
      <c r="DD365" s="109">
        <f t="shared" si="442"/>
        <v>0</v>
      </c>
      <c r="DE365" s="109"/>
      <c r="DF365" s="109"/>
      <c r="DG365" s="111"/>
      <c r="DH365" s="111"/>
      <c r="DI365" s="165"/>
      <c r="DJ365" s="109">
        <f t="shared" si="443"/>
        <v>0</v>
      </c>
      <c r="DK365" s="109">
        <f t="shared" si="444"/>
        <v>0</v>
      </c>
      <c r="DL365" s="109"/>
      <c r="DM365" s="109"/>
      <c r="DN365" s="111"/>
      <c r="DO365" s="111"/>
      <c r="DP365" s="165"/>
      <c r="DQ365" s="109">
        <f t="shared" si="452"/>
        <v>0</v>
      </c>
      <c r="DR365" s="109">
        <f t="shared" si="453"/>
        <v>0</v>
      </c>
      <c r="DS365" s="109"/>
      <c r="DT365" s="109"/>
      <c r="DU365" s="111"/>
      <c r="DV365" s="111"/>
      <c r="DW365" s="165"/>
      <c r="DX365" s="109">
        <f t="shared" si="454"/>
        <v>0</v>
      </c>
      <c r="DY365" s="109">
        <f t="shared" si="455"/>
        <v>0</v>
      </c>
      <c r="DZ365" s="109"/>
      <c r="EA365" s="109"/>
      <c r="EB365" s="111"/>
      <c r="EC365" s="111"/>
      <c r="ED365" s="165"/>
      <c r="EE365" s="109">
        <f t="shared" si="456"/>
        <v>0</v>
      </c>
      <c r="EF365" s="109">
        <f t="shared" si="457"/>
        <v>0</v>
      </c>
      <c r="EG365" s="109"/>
      <c r="EH365" s="109"/>
      <c r="EI365" s="111"/>
      <c r="EJ365" s="111"/>
      <c r="EK365" s="165"/>
      <c r="EL365" s="109">
        <f t="shared" si="458"/>
        <v>0</v>
      </c>
      <c r="EM365" s="109">
        <f t="shared" si="459"/>
        <v>0</v>
      </c>
      <c r="EN365" s="109"/>
      <c r="EO365" s="109"/>
      <c r="EP365" s="111"/>
      <c r="EQ365" s="111"/>
      <c r="ER365" s="165"/>
      <c r="ES365" s="109">
        <f t="shared" si="460"/>
        <v>0</v>
      </c>
      <c r="ET365" s="109">
        <f t="shared" si="461"/>
        <v>0</v>
      </c>
      <c r="EU365" s="109"/>
      <c r="EV365" s="109"/>
      <c r="EW365" s="111"/>
      <c r="EX365" s="111"/>
      <c r="EY365" s="165"/>
      <c r="EZ365" s="109">
        <f t="shared" si="462"/>
        <v>0</v>
      </c>
      <c r="FA365" s="109">
        <f t="shared" si="463"/>
        <v>0</v>
      </c>
      <c r="FB365" s="109"/>
      <c r="FC365" s="109"/>
      <c r="FD365" s="111"/>
      <c r="FE365" s="111"/>
      <c r="FF365" s="165"/>
      <c r="FG365" s="109">
        <f t="shared" si="464"/>
        <v>0</v>
      </c>
      <c r="FH365" s="109">
        <f t="shared" si="465"/>
        <v>0</v>
      </c>
      <c r="FI365" s="109"/>
      <c r="FJ365" s="109"/>
      <c r="FK365" s="111"/>
      <c r="FL365" s="111"/>
      <c r="FM365" s="165"/>
      <c r="FN365" s="109">
        <f t="shared" si="466"/>
        <v>0</v>
      </c>
      <c r="FO365" s="109">
        <f t="shared" si="467"/>
        <v>0</v>
      </c>
      <c r="FP365" s="109"/>
      <c r="FQ365" s="109"/>
      <c r="FR365" s="111"/>
      <c r="FS365" s="111"/>
      <c r="FT365" s="165"/>
      <c r="FU365" s="109">
        <f t="shared" si="468"/>
        <v>0</v>
      </c>
      <c r="FV365" s="109">
        <f t="shared" ref="FV365:FV428" si="476">FW365/(1+AM365)*AM365</f>
        <v>0</v>
      </c>
      <c r="FW365" s="109"/>
      <c r="FX365" s="109"/>
      <c r="FY365" s="111"/>
      <c r="FZ365" s="111"/>
      <c r="GA365" s="165"/>
      <c r="GB365" s="109">
        <f t="shared" si="469"/>
        <v>0</v>
      </c>
      <c r="GC365" s="109">
        <f t="shared" ref="GC365:GC428" si="477">GD365/(1+AM365)*AM365</f>
        <v>0</v>
      </c>
      <c r="GD365" s="109"/>
      <c r="GE365" s="109"/>
      <c r="GF365" s="111"/>
      <c r="GG365" s="111"/>
      <c r="GH365" s="165"/>
      <c r="GI365" s="109">
        <f t="shared" si="470"/>
        <v>0</v>
      </c>
      <c r="GJ365" s="109">
        <f t="shared" ref="GJ365:GJ428" si="478">GK365/(1+AM365)*AM365</f>
        <v>0</v>
      </c>
      <c r="GK365" s="109"/>
      <c r="GL365" s="109"/>
      <c r="GM365" s="111"/>
      <c r="GN365" s="111"/>
      <c r="GO365" s="165"/>
      <c r="GP365" s="109">
        <f t="shared" si="471"/>
        <v>0</v>
      </c>
      <c r="GQ365" s="109">
        <f t="shared" ref="GQ365:GQ428" si="479">GR365/(1+AM365)*AM365</f>
        <v>0</v>
      </c>
      <c r="GR365" s="109"/>
      <c r="GS365" s="109"/>
      <c r="GT365" s="111"/>
      <c r="GU365" s="111"/>
      <c r="GV365" s="165"/>
      <c r="GW365" s="168">
        <f t="shared" si="472"/>
        <v>0</v>
      </c>
      <c r="GX365" s="168">
        <f t="shared" ref="GX365:GX428" si="480">GY365/(1+AM365)*AM365</f>
        <v>0</v>
      </c>
      <c r="GY365" s="168"/>
      <c r="GZ365" s="168"/>
      <c r="HA365" s="111"/>
      <c r="HB365" s="111"/>
      <c r="HC365" s="165"/>
      <c r="HD365" s="109">
        <f t="shared" si="473"/>
        <v>0</v>
      </c>
      <c r="HE365" s="109">
        <f t="shared" ref="HE365:HE428" si="481">HF365/(1+AM365)*AM365</f>
        <v>0</v>
      </c>
      <c r="HF365" s="109"/>
      <c r="HG365" s="109"/>
      <c r="HH365" s="111"/>
      <c r="HI365" s="111"/>
      <c r="HJ365" s="165"/>
      <c r="HK365" s="109">
        <f t="shared" si="474"/>
        <v>0</v>
      </c>
      <c r="HL365" s="109">
        <f t="shared" ref="HL365:HL428" si="482">HM365/(1+AM365)*AM365</f>
        <v>0</v>
      </c>
      <c r="HM365" s="109"/>
      <c r="HN365" s="109"/>
      <c r="HO365" s="111"/>
      <c r="HP365" s="111"/>
      <c r="HQ365" s="165"/>
      <c r="HR365" s="109">
        <f t="shared" si="475"/>
        <v>0</v>
      </c>
      <c r="HS365" s="109">
        <f t="shared" ref="HS365:HS428" si="483">HT365/(1+AM365)*AM365</f>
        <v>0</v>
      </c>
      <c r="HT365" s="109"/>
      <c r="HU365" s="109"/>
      <c r="HV365" s="111"/>
      <c r="HW365" s="111"/>
      <c r="HX365" s="105">
        <f t="shared" si="451"/>
        <v>0</v>
      </c>
      <c r="HY365" s="105">
        <f t="shared" si="451"/>
        <v>0</v>
      </c>
      <c r="HZ365" s="105">
        <f t="shared" si="451"/>
        <v>0</v>
      </c>
      <c r="IA365" s="105">
        <f t="shared" si="445"/>
        <v>0</v>
      </c>
      <c r="IB365" s="109">
        <f t="shared" si="446"/>
        <v>0</v>
      </c>
      <c r="IC365" s="109">
        <f t="shared" si="447"/>
        <v>0</v>
      </c>
      <c r="ID365" s="109">
        <f t="shared" si="448"/>
        <v>0</v>
      </c>
      <c r="IE365" s="109">
        <f t="shared" si="449"/>
        <v>0</v>
      </c>
      <c r="IF365" s="197"/>
      <c r="IG365" s="197"/>
      <c r="IH365" s="197"/>
      <c r="II365" s="197"/>
      <c r="IJ365" s="197"/>
      <c r="IK365" s="197"/>
      <c r="IL365" s="197"/>
      <c r="IM365" s="171"/>
      <c r="IN365" s="171"/>
      <c r="IO365" s="171"/>
      <c r="IP365" s="171"/>
    </row>
    <row r="366" spans="1:250" ht="15" customHeight="1" x14ac:dyDescent="0.3">
      <c r="A366" s="110">
        <f t="shared" si="450"/>
        <v>362</v>
      </c>
      <c r="B366" s="111"/>
      <c r="C366" s="111"/>
      <c r="D366" s="111"/>
      <c r="E366" s="111"/>
      <c r="F366" s="111"/>
      <c r="G366" s="111"/>
      <c r="H366" s="111"/>
      <c r="I366" s="194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75"/>
      <c r="AI366" s="111"/>
      <c r="AJ366" s="111"/>
      <c r="AK366" s="111"/>
      <c r="AL366" s="177"/>
      <c r="AM366" s="176"/>
      <c r="AN366" s="177"/>
      <c r="AO366" s="157"/>
      <c r="AP366" s="158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75"/>
      <c r="BM366" s="111"/>
      <c r="BN366" s="111"/>
      <c r="BO366" s="111"/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1"/>
      <c r="CA366" s="111"/>
      <c r="CB366" s="111"/>
      <c r="CC366" s="178"/>
      <c r="CD366" s="177">
        <f t="shared" si="434"/>
        <v>0</v>
      </c>
      <c r="CE366" s="148"/>
      <c r="CF366" s="111">
        <f t="shared" si="435"/>
        <v>0</v>
      </c>
      <c r="CG366" s="177"/>
      <c r="CH366" s="204"/>
      <c r="CI366" s="148"/>
      <c r="CJ366" s="165"/>
      <c r="CK366" s="165"/>
      <c r="CL366" s="111"/>
      <c r="CM366" s="111"/>
      <c r="CN366" s="165">
        <f t="shared" si="436"/>
        <v>0</v>
      </c>
      <c r="CO366" s="109">
        <f t="shared" si="437"/>
        <v>0</v>
      </c>
      <c r="CP366" s="109">
        <f t="shared" si="438"/>
        <v>0</v>
      </c>
      <c r="CQ366" s="109"/>
      <c r="CR366" s="109"/>
      <c r="CS366" s="196"/>
      <c r="CT366" s="167"/>
      <c r="CU366" s="165"/>
      <c r="CV366" s="109">
        <f t="shared" si="439"/>
        <v>0</v>
      </c>
      <c r="CW366" s="109">
        <f t="shared" si="440"/>
        <v>0</v>
      </c>
      <c r="CX366" s="109"/>
      <c r="CY366" s="109"/>
      <c r="CZ366" s="111"/>
      <c r="DA366" s="111"/>
      <c r="DB366" s="165"/>
      <c r="DC366" s="109">
        <f t="shared" si="441"/>
        <v>0</v>
      </c>
      <c r="DD366" s="109">
        <f t="shared" si="442"/>
        <v>0</v>
      </c>
      <c r="DE366" s="109"/>
      <c r="DF366" s="109"/>
      <c r="DG366" s="111"/>
      <c r="DH366" s="111"/>
      <c r="DI366" s="165"/>
      <c r="DJ366" s="109">
        <f t="shared" si="443"/>
        <v>0</v>
      </c>
      <c r="DK366" s="109">
        <f t="shared" si="444"/>
        <v>0</v>
      </c>
      <c r="DL366" s="109"/>
      <c r="DM366" s="109"/>
      <c r="DN366" s="111"/>
      <c r="DO366" s="111"/>
      <c r="DP366" s="165"/>
      <c r="DQ366" s="109">
        <f t="shared" si="452"/>
        <v>0</v>
      </c>
      <c r="DR366" s="109">
        <f t="shared" si="453"/>
        <v>0</v>
      </c>
      <c r="DS366" s="109"/>
      <c r="DT366" s="109"/>
      <c r="DU366" s="111"/>
      <c r="DV366" s="111"/>
      <c r="DW366" s="165"/>
      <c r="DX366" s="109">
        <f t="shared" si="454"/>
        <v>0</v>
      </c>
      <c r="DY366" s="109">
        <f t="shared" si="455"/>
        <v>0</v>
      </c>
      <c r="DZ366" s="109"/>
      <c r="EA366" s="109"/>
      <c r="EB366" s="111"/>
      <c r="EC366" s="111"/>
      <c r="ED366" s="165"/>
      <c r="EE366" s="109">
        <f t="shared" si="456"/>
        <v>0</v>
      </c>
      <c r="EF366" s="109">
        <f t="shared" si="457"/>
        <v>0</v>
      </c>
      <c r="EG366" s="109"/>
      <c r="EH366" s="109"/>
      <c r="EI366" s="111"/>
      <c r="EJ366" s="111"/>
      <c r="EK366" s="165"/>
      <c r="EL366" s="109">
        <f t="shared" si="458"/>
        <v>0</v>
      </c>
      <c r="EM366" s="109">
        <f t="shared" si="459"/>
        <v>0</v>
      </c>
      <c r="EN366" s="109"/>
      <c r="EO366" s="109"/>
      <c r="EP366" s="111"/>
      <c r="EQ366" s="111"/>
      <c r="ER366" s="165"/>
      <c r="ES366" s="109">
        <f t="shared" si="460"/>
        <v>0</v>
      </c>
      <c r="ET366" s="109">
        <f t="shared" si="461"/>
        <v>0</v>
      </c>
      <c r="EU366" s="109"/>
      <c r="EV366" s="109"/>
      <c r="EW366" s="111"/>
      <c r="EX366" s="111"/>
      <c r="EY366" s="165"/>
      <c r="EZ366" s="109">
        <f t="shared" si="462"/>
        <v>0</v>
      </c>
      <c r="FA366" s="109">
        <f t="shared" si="463"/>
        <v>0</v>
      </c>
      <c r="FB366" s="109"/>
      <c r="FC366" s="109"/>
      <c r="FD366" s="111"/>
      <c r="FE366" s="111"/>
      <c r="FF366" s="165"/>
      <c r="FG366" s="109">
        <f t="shared" si="464"/>
        <v>0</v>
      </c>
      <c r="FH366" s="109">
        <f t="shared" si="465"/>
        <v>0</v>
      </c>
      <c r="FI366" s="109"/>
      <c r="FJ366" s="109"/>
      <c r="FK366" s="111"/>
      <c r="FL366" s="111"/>
      <c r="FM366" s="165"/>
      <c r="FN366" s="109">
        <f t="shared" si="466"/>
        <v>0</v>
      </c>
      <c r="FO366" s="109">
        <f t="shared" si="467"/>
        <v>0</v>
      </c>
      <c r="FP366" s="109"/>
      <c r="FQ366" s="109"/>
      <c r="FR366" s="111"/>
      <c r="FS366" s="111"/>
      <c r="FT366" s="165"/>
      <c r="FU366" s="109">
        <f t="shared" si="468"/>
        <v>0</v>
      </c>
      <c r="FV366" s="109">
        <f t="shared" si="476"/>
        <v>0</v>
      </c>
      <c r="FW366" s="109"/>
      <c r="FX366" s="109"/>
      <c r="FY366" s="111"/>
      <c r="FZ366" s="111"/>
      <c r="GA366" s="165"/>
      <c r="GB366" s="109">
        <f t="shared" si="469"/>
        <v>0</v>
      </c>
      <c r="GC366" s="109">
        <f t="shared" si="477"/>
        <v>0</v>
      </c>
      <c r="GD366" s="109"/>
      <c r="GE366" s="109"/>
      <c r="GF366" s="111"/>
      <c r="GG366" s="111"/>
      <c r="GH366" s="165"/>
      <c r="GI366" s="109">
        <f t="shared" si="470"/>
        <v>0</v>
      </c>
      <c r="GJ366" s="109">
        <f t="shared" si="478"/>
        <v>0</v>
      </c>
      <c r="GK366" s="109"/>
      <c r="GL366" s="109"/>
      <c r="GM366" s="111"/>
      <c r="GN366" s="111"/>
      <c r="GO366" s="165"/>
      <c r="GP366" s="109">
        <f t="shared" si="471"/>
        <v>0</v>
      </c>
      <c r="GQ366" s="109">
        <f t="shared" si="479"/>
        <v>0</v>
      </c>
      <c r="GR366" s="109"/>
      <c r="GS366" s="109"/>
      <c r="GT366" s="111"/>
      <c r="GU366" s="111"/>
      <c r="GV366" s="165"/>
      <c r="GW366" s="168">
        <f t="shared" si="472"/>
        <v>0</v>
      </c>
      <c r="GX366" s="168">
        <f t="shared" si="480"/>
        <v>0</v>
      </c>
      <c r="GY366" s="168"/>
      <c r="GZ366" s="168"/>
      <c r="HA366" s="111"/>
      <c r="HB366" s="111"/>
      <c r="HC366" s="165"/>
      <c r="HD366" s="109">
        <f t="shared" si="473"/>
        <v>0</v>
      </c>
      <c r="HE366" s="109">
        <f t="shared" si="481"/>
        <v>0</v>
      </c>
      <c r="HF366" s="109"/>
      <c r="HG366" s="109"/>
      <c r="HH366" s="111"/>
      <c r="HI366" s="111"/>
      <c r="HJ366" s="165"/>
      <c r="HK366" s="109">
        <f t="shared" si="474"/>
        <v>0</v>
      </c>
      <c r="HL366" s="109">
        <f t="shared" si="482"/>
        <v>0</v>
      </c>
      <c r="HM366" s="109"/>
      <c r="HN366" s="109"/>
      <c r="HO366" s="111"/>
      <c r="HP366" s="111"/>
      <c r="HQ366" s="165"/>
      <c r="HR366" s="109">
        <f t="shared" si="475"/>
        <v>0</v>
      </c>
      <c r="HS366" s="109">
        <f t="shared" si="483"/>
        <v>0</v>
      </c>
      <c r="HT366" s="109"/>
      <c r="HU366" s="109"/>
      <c r="HV366" s="111"/>
      <c r="HW366" s="111"/>
      <c r="HX366" s="105">
        <f t="shared" si="451"/>
        <v>0</v>
      </c>
      <c r="HY366" s="105">
        <f t="shared" si="451"/>
        <v>0</v>
      </c>
      <c r="HZ366" s="105">
        <f t="shared" si="451"/>
        <v>0</v>
      </c>
      <c r="IA366" s="105">
        <f t="shared" si="445"/>
        <v>0</v>
      </c>
      <c r="IB366" s="109">
        <f t="shared" si="446"/>
        <v>0</v>
      </c>
      <c r="IC366" s="109">
        <f t="shared" si="447"/>
        <v>0</v>
      </c>
      <c r="ID366" s="109">
        <f t="shared" si="448"/>
        <v>0</v>
      </c>
      <c r="IE366" s="109">
        <f t="shared" si="449"/>
        <v>0</v>
      </c>
      <c r="IF366" s="197"/>
      <c r="IG366" s="197"/>
      <c r="IH366" s="197"/>
      <c r="II366" s="197"/>
      <c r="IJ366" s="197"/>
      <c r="IK366" s="197"/>
      <c r="IL366" s="197"/>
      <c r="IM366" s="171"/>
      <c r="IN366" s="171"/>
      <c r="IO366" s="171"/>
      <c r="IP366" s="171"/>
    </row>
    <row r="367" spans="1:250" ht="15" customHeight="1" x14ac:dyDescent="0.3">
      <c r="A367" s="110">
        <f t="shared" si="450"/>
        <v>363</v>
      </c>
      <c r="B367" s="111"/>
      <c r="C367" s="111"/>
      <c r="D367" s="111"/>
      <c r="E367" s="111"/>
      <c r="F367" s="111"/>
      <c r="G367" s="111"/>
      <c r="H367" s="111"/>
      <c r="I367" s="194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75"/>
      <c r="AI367" s="111"/>
      <c r="AJ367" s="111"/>
      <c r="AK367" s="111"/>
      <c r="AL367" s="177"/>
      <c r="AM367" s="176"/>
      <c r="AN367" s="177"/>
      <c r="AO367" s="157"/>
      <c r="AP367" s="158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75"/>
      <c r="BM367" s="111"/>
      <c r="BN367" s="111"/>
      <c r="BO367" s="111"/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1"/>
      <c r="CA367" s="111"/>
      <c r="CB367" s="111"/>
      <c r="CC367" s="178"/>
      <c r="CD367" s="177">
        <f t="shared" si="434"/>
        <v>0</v>
      </c>
      <c r="CE367" s="148"/>
      <c r="CF367" s="111">
        <f t="shared" si="435"/>
        <v>0</v>
      </c>
      <c r="CG367" s="177"/>
      <c r="CH367" s="204"/>
      <c r="CI367" s="148"/>
      <c r="CJ367" s="165"/>
      <c r="CK367" s="165"/>
      <c r="CL367" s="111"/>
      <c r="CM367" s="111"/>
      <c r="CN367" s="165">
        <f t="shared" si="436"/>
        <v>0</v>
      </c>
      <c r="CO367" s="109">
        <f t="shared" si="437"/>
        <v>0</v>
      </c>
      <c r="CP367" s="109">
        <f t="shared" si="438"/>
        <v>0</v>
      </c>
      <c r="CQ367" s="109"/>
      <c r="CR367" s="109"/>
      <c r="CS367" s="196"/>
      <c r="CT367" s="167"/>
      <c r="CU367" s="165"/>
      <c r="CV367" s="109">
        <f t="shared" si="439"/>
        <v>0</v>
      </c>
      <c r="CW367" s="109">
        <f t="shared" si="440"/>
        <v>0</v>
      </c>
      <c r="CX367" s="109"/>
      <c r="CY367" s="109"/>
      <c r="CZ367" s="111"/>
      <c r="DA367" s="111"/>
      <c r="DB367" s="165"/>
      <c r="DC367" s="109">
        <f t="shared" si="441"/>
        <v>0</v>
      </c>
      <c r="DD367" s="109">
        <f t="shared" si="442"/>
        <v>0</v>
      </c>
      <c r="DE367" s="109"/>
      <c r="DF367" s="109"/>
      <c r="DG367" s="111"/>
      <c r="DH367" s="111"/>
      <c r="DI367" s="165"/>
      <c r="DJ367" s="109">
        <f t="shared" si="443"/>
        <v>0</v>
      </c>
      <c r="DK367" s="109">
        <f t="shared" si="444"/>
        <v>0</v>
      </c>
      <c r="DL367" s="109"/>
      <c r="DM367" s="109"/>
      <c r="DN367" s="111"/>
      <c r="DO367" s="111"/>
      <c r="DP367" s="165"/>
      <c r="DQ367" s="109">
        <f t="shared" si="452"/>
        <v>0</v>
      </c>
      <c r="DR367" s="109">
        <f t="shared" si="453"/>
        <v>0</v>
      </c>
      <c r="DS367" s="109"/>
      <c r="DT367" s="109"/>
      <c r="DU367" s="111"/>
      <c r="DV367" s="111"/>
      <c r="DW367" s="165"/>
      <c r="DX367" s="109">
        <f t="shared" si="454"/>
        <v>0</v>
      </c>
      <c r="DY367" s="109">
        <f t="shared" si="455"/>
        <v>0</v>
      </c>
      <c r="DZ367" s="109"/>
      <c r="EA367" s="109"/>
      <c r="EB367" s="111"/>
      <c r="EC367" s="111"/>
      <c r="ED367" s="165"/>
      <c r="EE367" s="109">
        <f t="shared" si="456"/>
        <v>0</v>
      </c>
      <c r="EF367" s="109">
        <f t="shared" si="457"/>
        <v>0</v>
      </c>
      <c r="EG367" s="109"/>
      <c r="EH367" s="109"/>
      <c r="EI367" s="111"/>
      <c r="EJ367" s="111"/>
      <c r="EK367" s="165"/>
      <c r="EL367" s="109">
        <f t="shared" si="458"/>
        <v>0</v>
      </c>
      <c r="EM367" s="109">
        <f t="shared" si="459"/>
        <v>0</v>
      </c>
      <c r="EN367" s="109"/>
      <c r="EO367" s="109"/>
      <c r="EP367" s="111"/>
      <c r="EQ367" s="111"/>
      <c r="ER367" s="165"/>
      <c r="ES367" s="109">
        <f t="shared" si="460"/>
        <v>0</v>
      </c>
      <c r="ET367" s="109">
        <f t="shared" si="461"/>
        <v>0</v>
      </c>
      <c r="EU367" s="109"/>
      <c r="EV367" s="109"/>
      <c r="EW367" s="111"/>
      <c r="EX367" s="111"/>
      <c r="EY367" s="165"/>
      <c r="EZ367" s="109">
        <f t="shared" si="462"/>
        <v>0</v>
      </c>
      <c r="FA367" s="109">
        <f t="shared" si="463"/>
        <v>0</v>
      </c>
      <c r="FB367" s="109"/>
      <c r="FC367" s="109"/>
      <c r="FD367" s="111"/>
      <c r="FE367" s="111"/>
      <c r="FF367" s="165"/>
      <c r="FG367" s="109">
        <f t="shared" si="464"/>
        <v>0</v>
      </c>
      <c r="FH367" s="109">
        <f t="shared" si="465"/>
        <v>0</v>
      </c>
      <c r="FI367" s="109"/>
      <c r="FJ367" s="109"/>
      <c r="FK367" s="111"/>
      <c r="FL367" s="111"/>
      <c r="FM367" s="165"/>
      <c r="FN367" s="109">
        <f t="shared" si="466"/>
        <v>0</v>
      </c>
      <c r="FO367" s="109">
        <f t="shared" si="467"/>
        <v>0</v>
      </c>
      <c r="FP367" s="109"/>
      <c r="FQ367" s="109"/>
      <c r="FR367" s="111"/>
      <c r="FS367" s="111"/>
      <c r="FT367" s="165"/>
      <c r="FU367" s="109">
        <f t="shared" si="468"/>
        <v>0</v>
      </c>
      <c r="FV367" s="109">
        <f t="shared" si="476"/>
        <v>0</v>
      </c>
      <c r="FW367" s="109"/>
      <c r="FX367" s="109"/>
      <c r="FY367" s="111"/>
      <c r="FZ367" s="111"/>
      <c r="GA367" s="165"/>
      <c r="GB367" s="109">
        <f t="shared" si="469"/>
        <v>0</v>
      </c>
      <c r="GC367" s="109">
        <f t="shared" si="477"/>
        <v>0</v>
      </c>
      <c r="GD367" s="109"/>
      <c r="GE367" s="109"/>
      <c r="GF367" s="111"/>
      <c r="GG367" s="111"/>
      <c r="GH367" s="165"/>
      <c r="GI367" s="109">
        <f t="shared" si="470"/>
        <v>0</v>
      </c>
      <c r="GJ367" s="109">
        <f t="shared" si="478"/>
        <v>0</v>
      </c>
      <c r="GK367" s="109"/>
      <c r="GL367" s="109"/>
      <c r="GM367" s="111"/>
      <c r="GN367" s="111"/>
      <c r="GO367" s="165"/>
      <c r="GP367" s="109">
        <f t="shared" si="471"/>
        <v>0</v>
      </c>
      <c r="GQ367" s="109">
        <f t="shared" si="479"/>
        <v>0</v>
      </c>
      <c r="GR367" s="109"/>
      <c r="GS367" s="109"/>
      <c r="GT367" s="111"/>
      <c r="GU367" s="111"/>
      <c r="GV367" s="165"/>
      <c r="GW367" s="168">
        <f t="shared" si="472"/>
        <v>0</v>
      </c>
      <c r="GX367" s="168">
        <f t="shared" si="480"/>
        <v>0</v>
      </c>
      <c r="GY367" s="168"/>
      <c r="GZ367" s="168"/>
      <c r="HA367" s="111"/>
      <c r="HB367" s="111"/>
      <c r="HC367" s="165"/>
      <c r="HD367" s="109">
        <f t="shared" si="473"/>
        <v>0</v>
      </c>
      <c r="HE367" s="109">
        <f t="shared" si="481"/>
        <v>0</v>
      </c>
      <c r="HF367" s="109"/>
      <c r="HG367" s="109"/>
      <c r="HH367" s="111"/>
      <c r="HI367" s="111"/>
      <c r="HJ367" s="165"/>
      <c r="HK367" s="109">
        <f t="shared" si="474"/>
        <v>0</v>
      </c>
      <c r="HL367" s="109">
        <f t="shared" si="482"/>
        <v>0</v>
      </c>
      <c r="HM367" s="109"/>
      <c r="HN367" s="109"/>
      <c r="HO367" s="111"/>
      <c r="HP367" s="111"/>
      <c r="HQ367" s="165"/>
      <c r="HR367" s="109">
        <f t="shared" si="475"/>
        <v>0</v>
      </c>
      <c r="HS367" s="109">
        <f t="shared" si="483"/>
        <v>0</v>
      </c>
      <c r="HT367" s="109"/>
      <c r="HU367" s="109"/>
      <c r="HV367" s="111"/>
      <c r="HW367" s="111"/>
      <c r="HX367" s="105">
        <f t="shared" si="451"/>
        <v>0</v>
      </c>
      <c r="HY367" s="105">
        <f t="shared" si="451"/>
        <v>0</v>
      </c>
      <c r="HZ367" s="105">
        <f t="shared" si="451"/>
        <v>0</v>
      </c>
      <c r="IA367" s="105">
        <f t="shared" si="445"/>
        <v>0</v>
      </c>
      <c r="IB367" s="109">
        <f t="shared" si="446"/>
        <v>0</v>
      </c>
      <c r="IC367" s="109">
        <f t="shared" si="447"/>
        <v>0</v>
      </c>
      <c r="ID367" s="109">
        <f t="shared" si="448"/>
        <v>0</v>
      </c>
      <c r="IE367" s="109">
        <f t="shared" si="449"/>
        <v>0</v>
      </c>
      <c r="IF367" s="197"/>
      <c r="IG367" s="197"/>
      <c r="IH367" s="197"/>
      <c r="II367" s="197"/>
      <c r="IJ367" s="197"/>
      <c r="IK367" s="197"/>
      <c r="IL367" s="197"/>
      <c r="IM367" s="171"/>
      <c r="IN367" s="171"/>
      <c r="IO367" s="171"/>
      <c r="IP367" s="171"/>
    </row>
    <row r="368" spans="1:250" ht="15" customHeight="1" x14ac:dyDescent="0.3">
      <c r="A368" s="110">
        <f t="shared" si="450"/>
        <v>364</v>
      </c>
      <c r="B368" s="111"/>
      <c r="C368" s="111"/>
      <c r="D368" s="111"/>
      <c r="E368" s="111"/>
      <c r="F368" s="111"/>
      <c r="G368" s="111"/>
      <c r="H368" s="111"/>
      <c r="I368" s="194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75"/>
      <c r="AI368" s="111"/>
      <c r="AJ368" s="111"/>
      <c r="AK368" s="111"/>
      <c r="AL368" s="177"/>
      <c r="AM368" s="176"/>
      <c r="AN368" s="177"/>
      <c r="AO368" s="157"/>
      <c r="AP368" s="158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  <c r="BG368" s="111"/>
      <c r="BH368" s="111"/>
      <c r="BI368" s="111"/>
      <c r="BJ368" s="111"/>
      <c r="BK368" s="111"/>
      <c r="BL368" s="175"/>
      <c r="BM368" s="111"/>
      <c r="BN368" s="111"/>
      <c r="BO368" s="111"/>
      <c r="BP368" s="111"/>
      <c r="BQ368" s="111"/>
      <c r="BR368" s="111"/>
      <c r="BS368" s="111"/>
      <c r="BT368" s="111"/>
      <c r="BU368" s="111"/>
      <c r="BV368" s="111"/>
      <c r="BW368" s="111"/>
      <c r="BX368" s="111"/>
      <c r="BY368" s="111"/>
      <c r="BZ368" s="111"/>
      <c r="CA368" s="111"/>
      <c r="CB368" s="111"/>
      <c r="CC368" s="178"/>
      <c r="CD368" s="177">
        <f t="shared" si="434"/>
        <v>0</v>
      </c>
      <c r="CE368" s="148"/>
      <c r="CF368" s="111">
        <f t="shared" si="435"/>
        <v>0</v>
      </c>
      <c r="CG368" s="177"/>
      <c r="CH368" s="204"/>
      <c r="CI368" s="148"/>
      <c r="CJ368" s="165"/>
      <c r="CK368" s="165"/>
      <c r="CL368" s="111"/>
      <c r="CM368" s="111"/>
      <c r="CN368" s="165">
        <f t="shared" si="436"/>
        <v>0</v>
      </c>
      <c r="CO368" s="109">
        <f t="shared" si="437"/>
        <v>0</v>
      </c>
      <c r="CP368" s="109">
        <f t="shared" si="438"/>
        <v>0</v>
      </c>
      <c r="CQ368" s="109"/>
      <c r="CR368" s="109"/>
      <c r="CS368" s="196"/>
      <c r="CT368" s="167"/>
      <c r="CU368" s="165"/>
      <c r="CV368" s="109">
        <f t="shared" si="439"/>
        <v>0</v>
      </c>
      <c r="CW368" s="109">
        <f t="shared" si="440"/>
        <v>0</v>
      </c>
      <c r="CX368" s="109"/>
      <c r="CY368" s="109"/>
      <c r="CZ368" s="111"/>
      <c r="DA368" s="111"/>
      <c r="DB368" s="165"/>
      <c r="DC368" s="109">
        <f t="shared" si="441"/>
        <v>0</v>
      </c>
      <c r="DD368" s="109">
        <f t="shared" si="442"/>
        <v>0</v>
      </c>
      <c r="DE368" s="109"/>
      <c r="DF368" s="109"/>
      <c r="DG368" s="111"/>
      <c r="DH368" s="111"/>
      <c r="DI368" s="165"/>
      <c r="DJ368" s="109">
        <f t="shared" si="443"/>
        <v>0</v>
      </c>
      <c r="DK368" s="109">
        <f t="shared" si="444"/>
        <v>0</v>
      </c>
      <c r="DL368" s="109"/>
      <c r="DM368" s="109"/>
      <c r="DN368" s="111"/>
      <c r="DO368" s="111"/>
      <c r="DP368" s="165"/>
      <c r="DQ368" s="109">
        <f t="shared" si="452"/>
        <v>0</v>
      </c>
      <c r="DR368" s="109">
        <f t="shared" si="453"/>
        <v>0</v>
      </c>
      <c r="DS368" s="109"/>
      <c r="DT368" s="109"/>
      <c r="DU368" s="111"/>
      <c r="DV368" s="111"/>
      <c r="DW368" s="165"/>
      <c r="DX368" s="109">
        <f t="shared" si="454"/>
        <v>0</v>
      </c>
      <c r="DY368" s="109">
        <f t="shared" si="455"/>
        <v>0</v>
      </c>
      <c r="DZ368" s="109"/>
      <c r="EA368" s="109"/>
      <c r="EB368" s="111"/>
      <c r="EC368" s="111"/>
      <c r="ED368" s="165"/>
      <c r="EE368" s="109">
        <f t="shared" si="456"/>
        <v>0</v>
      </c>
      <c r="EF368" s="109">
        <f t="shared" si="457"/>
        <v>0</v>
      </c>
      <c r="EG368" s="109"/>
      <c r="EH368" s="109"/>
      <c r="EI368" s="111"/>
      <c r="EJ368" s="111"/>
      <c r="EK368" s="165"/>
      <c r="EL368" s="109">
        <f t="shared" si="458"/>
        <v>0</v>
      </c>
      <c r="EM368" s="109">
        <f t="shared" si="459"/>
        <v>0</v>
      </c>
      <c r="EN368" s="109"/>
      <c r="EO368" s="109"/>
      <c r="EP368" s="111"/>
      <c r="EQ368" s="111"/>
      <c r="ER368" s="165"/>
      <c r="ES368" s="109">
        <f t="shared" si="460"/>
        <v>0</v>
      </c>
      <c r="ET368" s="109">
        <f t="shared" si="461"/>
        <v>0</v>
      </c>
      <c r="EU368" s="109"/>
      <c r="EV368" s="109"/>
      <c r="EW368" s="111"/>
      <c r="EX368" s="111"/>
      <c r="EY368" s="165"/>
      <c r="EZ368" s="109">
        <f t="shared" si="462"/>
        <v>0</v>
      </c>
      <c r="FA368" s="109">
        <f t="shared" si="463"/>
        <v>0</v>
      </c>
      <c r="FB368" s="109"/>
      <c r="FC368" s="109"/>
      <c r="FD368" s="111"/>
      <c r="FE368" s="111"/>
      <c r="FF368" s="165"/>
      <c r="FG368" s="109">
        <f t="shared" si="464"/>
        <v>0</v>
      </c>
      <c r="FH368" s="109">
        <f t="shared" si="465"/>
        <v>0</v>
      </c>
      <c r="FI368" s="109"/>
      <c r="FJ368" s="109"/>
      <c r="FK368" s="111"/>
      <c r="FL368" s="111"/>
      <c r="FM368" s="165"/>
      <c r="FN368" s="109">
        <f t="shared" si="466"/>
        <v>0</v>
      </c>
      <c r="FO368" s="109">
        <f t="shared" si="467"/>
        <v>0</v>
      </c>
      <c r="FP368" s="109"/>
      <c r="FQ368" s="109"/>
      <c r="FR368" s="111"/>
      <c r="FS368" s="111"/>
      <c r="FT368" s="165"/>
      <c r="FU368" s="109">
        <f t="shared" si="468"/>
        <v>0</v>
      </c>
      <c r="FV368" s="109">
        <f t="shared" si="476"/>
        <v>0</v>
      </c>
      <c r="FW368" s="109"/>
      <c r="FX368" s="109"/>
      <c r="FY368" s="111"/>
      <c r="FZ368" s="111"/>
      <c r="GA368" s="165"/>
      <c r="GB368" s="109">
        <f t="shared" si="469"/>
        <v>0</v>
      </c>
      <c r="GC368" s="109">
        <f t="shared" si="477"/>
        <v>0</v>
      </c>
      <c r="GD368" s="109"/>
      <c r="GE368" s="109"/>
      <c r="GF368" s="111"/>
      <c r="GG368" s="111"/>
      <c r="GH368" s="165"/>
      <c r="GI368" s="109">
        <f t="shared" si="470"/>
        <v>0</v>
      </c>
      <c r="GJ368" s="109">
        <f t="shared" si="478"/>
        <v>0</v>
      </c>
      <c r="GK368" s="109"/>
      <c r="GL368" s="109"/>
      <c r="GM368" s="111"/>
      <c r="GN368" s="111"/>
      <c r="GO368" s="165"/>
      <c r="GP368" s="109">
        <f t="shared" si="471"/>
        <v>0</v>
      </c>
      <c r="GQ368" s="109">
        <f t="shared" si="479"/>
        <v>0</v>
      </c>
      <c r="GR368" s="109"/>
      <c r="GS368" s="109"/>
      <c r="GT368" s="111"/>
      <c r="GU368" s="111"/>
      <c r="GV368" s="165"/>
      <c r="GW368" s="168">
        <f t="shared" si="472"/>
        <v>0</v>
      </c>
      <c r="GX368" s="168">
        <f t="shared" si="480"/>
        <v>0</v>
      </c>
      <c r="GY368" s="168"/>
      <c r="GZ368" s="168"/>
      <c r="HA368" s="111"/>
      <c r="HB368" s="111"/>
      <c r="HC368" s="165"/>
      <c r="HD368" s="109">
        <f t="shared" si="473"/>
        <v>0</v>
      </c>
      <c r="HE368" s="109">
        <f t="shared" si="481"/>
        <v>0</v>
      </c>
      <c r="HF368" s="109"/>
      <c r="HG368" s="109"/>
      <c r="HH368" s="111"/>
      <c r="HI368" s="111"/>
      <c r="HJ368" s="165"/>
      <c r="HK368" s="109">
        <f t="shared" si="474"/>
        <v>0</v>
      </c>
      <c r="HL368" s="109">
        <f t="shared" si="482"/>
        <v>0</v>
      </c>
      <c r="HM368" s="109"/>
      <c r="HN368" s="109"/>
      <c r="HO368" s="111"/>
      <c r="HP368" s="111"/>
      <c r="HQ368" s="165"/>
      <c r="HR368" s="109">
        <f t="shared" si="475"/>
        <v>0</v>
      </c>
      <c r="HS368" s="109">
        <f t="shared" si="483"/>
        <v>0</v>
      </c>
      <c r="HT368" s="109"/>
      <c r="HU368" s="109"/>
      <c r="HV368" s="111"/>
      <c r="HW368" s="111"/>
      <c r="HX368" s="105">
        <f t="shared" si="451"/>
        <v>0</v>
      </c>
      <c r="HY368" s="105">
        <f t="shared" si="451"/>
        <v>0</v>
      </c>
      <c r="HZ368" s="105">
        <f t="shared" si="451"/>
        <v>0</v>
      </c>
      <c r="IA368" s="105">
        <f t="shared" si="445"/>
        <v>0</v>
      </c>
      <c r="IB368" s="109">
        <f t="shared" si="446"/>
        <v>0</v>
      </c>
      <c r="IC368" s="109">
        <f t="shared" si="447"/>
        <v>0</v>
      </c>
      <c r="ID368" s="109">
        <f t="shared" si="448"/>
        <v>0</v>
      </c>
      <c r="IE368" s="109">
        <f t="shared" si="449"/>
        <v>0</v>
      </c>
      <c r="IF368" s="197"/>
      <c r="IG368" s="197"/>
      <c r="IH368" s="197"/>
      <c r="II368" s="197"/>
      <c r="IJ368" s="197"/>
      <c r="IK368" s="197"/>
      <c r="IL368" s="197"/>
      <c r="IM368" s="171"/>
      <c r="IN368" s="171"/>
      <c r="IO368" s="171"/>
      <c r="IP368" s="171"/>
    </row>
    <row r="369" spans="1:250" ht="15" customHeight="1" x14ac:dyDescent="0.3">
      <c r="A369" s="110">
        <f t="shared" si="450"/>
        <v>365</v>
      </c>
      <c r="B369" s="111"/>
      <c r="C369" s="111"/>
      <c r="D369" s="111"/>
      <c r="E369" s="111"/>
      <c r="F369" s="111"/>
      <c r="G369" s="111"/>
      <c r="H369" s="111"/>
      <c r="I369" s="194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75"/>
      <c r="AI369" s="111"/>
      <c r="AJ369" s="111"/>
      <c r="AK369" s="111"/>
      <c r="AL369" s="177"/>
      <c r="AM369" s="176"/>
      <c r="AN369" s="177"/>
      <c r="AO369" s="157"/>
      <c r="AP369" s="158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75"/>
      <c r="BM369" s="111"/>
      <c r="BN369" s="111"/>
      <c r="BO369" s="111"/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1"/>
      <c r="CA369" s="111"/>
      <c r="CB369" s="111"/>
      <c r="CC369" s="178"/>
      <c r="CD369" s="177">
        <f t="shared" si="434"/>
        <v>0</v>
      </c>
      <c r="CE369" s="148"/>
      <c r="CF369" s="111">
        <f t="shared" si="435"/>
        <v>0</v>
      </c>
      <c r="CG369" s="177"/>
      <c r="CH369" s="204"/>
      <c r="CI369" s="148"/>
      <c r="CJ369" s="165"/>
      <c r="CK369" s="165"/>
      <c r="CL369" s="111"/>
      <c r="CM369" s="111"/>
      <c r="CN369" s="165">
        <f t="shared" si="436"/>
        <v>0</v>
      </c>
      <c r="CO369" s="109">
        <f t="shared" si="437"/>
        <v>0</v>
      </c>
      <c r="CP369" s="109">
        <f t="shared" si="438"/>
        <v>0</v>
      </c>
      <c r="CQ369" s="109"/>
      <c r="CR369" s="109"/>
      <c r="CS369" s="196"/>
      <c r="CT369" s="167"/>
      <c r="CU369" s="165"/>
      <c r="CV369" s="109">
        <f t="shared" si="439"/>
        <v>0</v>
      </c>
      <c r="CW369" s="109">
        <f t="shared" si="440"/>
        <v>0</v>
      </c>
      <c r="CX369" s="109"/>
      <c r="CY369" s="109"/>
      <c r="CZ369" s="111"/>
      <c r="DA369" s="111"/>
      <c r="DB369" s="165"/>
      <c r="DC369" s="109">
        <f t="shared" si="441"/>
        <v>0</v>
      </c>
      <c r="DD369" s="109">
        <f t="shared" si="442"/>
        <v>0</v>
      </c>
      <c r="DE369" s="109"/>
      <c r="DF369" s="109"/>
      <c r="DG369" s="111"/>
      <c r="DH369" s="111"/>
      <c r="DI369" s="165"/>
      <c r="DJ369" s="109">
        <f t="shared" si="443"/>
        <v>0</v>
      </c>
      <c r="DK369" s="109">
        <f t="shared" si="444"/>
        <v>0</v>
      </c>
      <c r="DL369" s="109"/>
      <c r="DM369" s="109"/>
      <c r="DN369" s="111"/>
      <c r="DO369" s="111"/>
      <c r="DP369" s="165"/>
      <c r="DQ369" s="109">
        <f t="shared" si="452"/>
        <v>0</v>
      </c>
      <c r="DR369" s="109">
        <f t="shared" si="453"/>
        <v>0</v>
      </c>
      <c r="DS369" s="109"/>
      <c r="DT369" s="109"/>
      <c r="DU369" s="111"/>
      <c r="DV369" s="111"/>
      <c r="DW369" s="165"/>
      <c r="DX369" s="109">
        <f t="shared" si="454"/>
        <v>0</v>
      </c>
      <c r="DY369" s="109">
        <f t="shared" si="455"/>
        <v>0</v>
      </c>
      <c r="DZ369" s="109"/>
      <c r="EA369" s="109"/>
      <c r="EB369" s="111"/>
      <c r="EC369" s="111"/>
      <c r="ED369" s="165"/>
      <c r="EE369" s="109">
        <f t="shared" si="456"/>
        <v>0</v>
      </c>
      <c r="EF369" s="109">
        <f t="shared" si="457"/>
        <v>0</v>
      </c>
      <c r="EG369" s="109"/>
      <c r="EH369" s="109"/>
      <c r="EI369" s="111"/>
      <c r="EJ369" s="111"/>
      <c r="EK369" s="165"/>
      <c r="EL369" s="109">
        <f t="shared" si="458"/>
        <v>0</v>
      </c>
      <c r="EM369" s="109">
        <f t="shared" si="459"/>
        <v>0</v>
      </c>
      <c r="EN369" s="109"/>
      <c r="EO369" s="109"/>
      <c r="EP369" s="111"/>
      <c r="EQ369" s="111"/>
      <c r="ER369" s="165"/>
      <c r="ES369" s="109">
        <f t="shared" si="460"/>
        <v>0</v>
      </c>
      <c r="ET369" s="109">
        <f t="shared" si="461"/>
        <v>0</v>
      </c>
      <c r="EU369" s="109"/>
      <c r="EV369" s="109"/>
      <c r="EW369" s="111"/>
      <c r="EX369" s="111"/>
      <c r="EY369" s="165"/>
      <c r="EZ369" s="109">
        <f t="shared" si="462"/>
        <v>0</v>
      </c>
      <c r="FA369" s="109">
        <f t="shared" si="463"/>
        <v>0</v>
      </c>
      <c r="FB369" s="109"/>
      <c r="FC369" s="109"/>
      <c r="FD369" s="111"/>
      <c r="FE369" s="111"/>
      <c r="FF369" s="165"/>
      <c r="FG369" s="109">
        <f t="shared" si="464"/>
        <v>0</v>
      </c>
      <c r="FH369" s="109">
        <f t="shared" si="465"/>
        <v>0</v>
      </c>
      <c r="FI369" s="109"/>
      <c r="FJ369" s="109"/>
      <c r="FK369" s="111"/>
      <c r="FL369" s="111"/>
      <c r="FM369" s="165"/>
      <c r="FN369" s="109">
        <f t="shared" si="466"/>
        <v>0</v>
      </c>
      <c r="FO369" s="109">
        <f t="shared" si="467"/>
        <v>0</v>
      </c>
      <c r="FP369" s="109"/>
      <c r="FQ369" s="109"/>
      <c r="FR369" s="111"/>
      <c r="FS369" s="111"/>
      <c r="FT369" s="165"/>
      <c r="FU369" s="109">
        <f t="shared" si="468"/>
        <v>0</v>
      </c>
      <c r="FV369" s="109">
        <f t="shared" si="476"/>
        <v>0</v>
      </c>
      <c r="FW369" s="109"/>
      <c r="FX369" s="109"/>
      <c r="FY369" s="111"/>
      <c r="FZ369" s="111"/>
      <c r="GA369" s="165"/>
      <c r="GB369" s="109">
        <f t="shared" si="469"/>
        <v>0</v>
      </c>
      <c r="GC369" s="109">
        <f t="shared" si="477"/>
        <v>0</v>
      </c>
      <c r="GD369" s="109"/>
      <c r="GE369" s="109"/>
      <c r="GF369" s="111"/>
      <c r="GG369" s="111"/>
      <c r="GH369" s="165"/>
      <c r="GI369" s="109">
        <f t="shared" si="470"/>
        <v>0</v>
      </c>
      <c r="GJ369" s="109">
        <f t="shared" si="478"/>
        <v>0</v>
      </c>
      <c r="GK369" s="109"/>
      <c r="GL369" s="109"/>
      <c r="GM369" s="111"/>
      <c r="GN369" s="111"/>
      <c r="GO369" s="165"/>
      <c r="GP369" s="109">
        <f t="shared" si="471"/>
        <v>0</v>
      </c>
      <c r="GQ369" s="109">
        <f t="shared" si="479"/>
        <v>0</v>
      </c>
      <c r="GR369" s="109"/>
      <c r="GS369" s="109"/>
      <c r="GT369" s="111"/>
      <c r="GU369" s="111"/>
      <c r="GV369" s="165"/>
      <c r="GW369" s="168">
        <f t="shared" si="472"/>
        <v>0</v>
      </c>
      <c r="GX369" s="168">
        <f t="shared" si="480"/>
        <v>0</v>
      </c>
      <c r="GY369" s="168"/>
      <c r="GZ369" s="168"/>
      <c r="HA369" s="111"/>
      <c r="HB369" s="111"/>
      <c r="HC369" s="165"/>
      <c r="HD369" s="109">
        <f t="shared" si="473"/>
        <v>0</v>
      </c>
      <c r="HE369" s="109">
        <f t="shared" si="481"/>
        <v>0</v>
      </c>
      <c r="HF369" s="109"/>
      <c r="HG369" s="109"/>
      <c r="HH369" s="111"/>
      <c r="HI369" s="111"/>
      <c r="HJ369" s="165"/>
      <c r="HK369" s="109">
        <f t="shared" si="474"/>
        <v>0</v>
      </c>
      <c r="HL369" s="109">
        <f t="shared" si="482"/>
        <v>0</v>
      </c>
      <c r="HM369" s="109"/>
      <c r="HN369" s="109"/>
      <c r="HO369" s="111"/>
      <c r="HP369" s="111"/>
      <c r="HQ369" s="165"/>
      <c r="HR369" s="109">
        <f t="shared" si="475"/>
        <v>0</v>
      </c>
      <c r="HS369" s="109">
        <f t="shared" si="483"/>
        <v>0</v>
      </c>
      <c r="HT369" s="109"/>
      <c r="HU369" s="109"/>
      <c r="HV369" s="111"/>
      <c r="HW369" s="111"/>
      <c r="HX369" s="105">
        <f t="shared" si="451"/>
        <v>0</v>
      </c>
      <c r="HY369" s="105">
        <f t="shared" si="451"/>
        <v>0</v>
      </c>
      <c r="HZ369" s="105">
        <f t="shared" si="451"/>
        <v>0</v>
      </c>
      <c r="IA369" s="105">
        <f t="shared" si="445"/>
        <v>0</v>
      </c>
      <c r="IB369" s="109">
        <f t="shared" si="446"/>
        <v>0</v>
      </c>
      <c r="IC369" s="109">
        <f t="shared" si="447"/>
        <v>0</v>
      </c>
      <c r="ID369" s="109">
        <f t="shared" si="448"/>
        <v>0</v>
      </c>
      <c r="IE369" s="109">
        <f t="shared" si="449"/>
        <v>0</v>
      </c>
      <c r="IF369" s="197"/>
      <c r="IG369" s="197"/>
      <c r="IH369" s="197"/>
      <c r="II369" s="197"/>
      <c r="IJ369" s="197"/>
      <c r="IK369" s="197"/>
      <c r="IL369" s="197"/>
      <c r="IM369" s="171"/>
      <c r="IN369" s="171"/>
      <c r="IO369" s="171"/>
      <c r="IP369" s="171"/>
    </row>
    <row r="370" spans="1:250" ht="15" customHeight="1" x14ac:dyDescent="0.3">
      <c r="A370" s="110">
        <f t="shared" si="450"/>
        <v>366</v>
      </c>
      <c r="B370" s="111"/>
      <c r="C370" s="111"/>
      <c r="D370" s="111"/>
      <c r="E370" s="111"/>
      <c r="F370" s="111"/>
      <c r="G370" s="111"/>
      <c r="H370" s="111"/>
      <c r="I370" s="194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75"/>
      <c r="AI370" s="111"/>
      <c r="AJ370" s="111"/>
      <c r="AK370" s="111"/>
      <c r="AL370" s="177"/>
      <c r="AM370" s="176"/>
      <c r="AN370" s="177"/>
      <c r="AO370" s="157"/>
      <c r="AP370" s="158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  <c r="BG370" s="111"/>
      <c r="BH370" s="111"/>
      <c r="BI370" s="111"/>
      <c r="BJ370" s="111"/>
      <c r="BK370" s="111"/>
      <c r="BL370" s="175"/>
      <c r="BM370" s="111"/>
      <c r="BN370" s="111"/>
      <c r="BO370" s="111"/>
      <c r="BP370" s="111"/>
      <c r="BQ370" s="111"/>
      <c r="BR370" s="111"/>
      <c r="BS370" s="111"/>
      <c r="BT370" s="111"/>
      <c r="BU370" s="111"/>
      <c r="BV370" s="111"/>
      <c r="BW370" s="111"/>
      <c r="BX370" s="111"/>
      <c r="BY370" s="111"/>
      <c r="BZ370" s="111"/>
      <c r="CA370" s="111"/>
      <c r="CB370" s="111"/>
      <c r="CC370" s="178"/>
      <c r="CD370" s="177">
        <f t="shared" si="434"/>
        <v>0</v>
      </c>
      <c r="CE370" s="148"/>
      <c r="CF370" s="111">
        <f t="shared" si="435"/>
        <v>0</v>
      </c>
      <c r="CG370" s="177"/>
      <c r="CH370" s="204"/>
      <c r="CI370" s="148"/>
      <c r="CJ370" s="165"/>
      <c r="CK370" s="165"/>
      <c r="CL370" s="111"/>
      <c r="CM370" s="111"/>
      <c r="CN370" s="165">
        <f t="shared" si="436"/>
        <v>0</v>
      </c>
      <c r="CO370" s="109">
        <f t="shared" si="437"/>
        <v>0</v>
      </c>
      <c r="CP370" s="109">
        <f t="shared" si="438"/>
        <v>0</v>
      </c>
      <c r="CQ370" s="109"/>
      <c r="CR370" s="109"/>
      <c r="CS370" s="196"/>
      <c r="CT370" s="167"/>
      <c r="CU370" s="165"/>
      <c r="CV370" s="109">
        <f t="shared" si="439"/>
        <v>0</v>
      </c>
      <c r="CW370" s="109">
        <f t="shared" si="440"/>
        <v>0</v>
      </c>
      <c r="CX370" s="109"/>
      <c r="CY370" s="109"/>
      <c r="CZ370" s="111"/>
      <c r="DA370" s="111"/>
      <c r="DB370" s="165"/>
      <c r="DC370" s="109">
        <f t="shared" si="441"/>
        <v>0</v>
      </c>
      <c r="DD370" s="109">
        <f t="shared" si="442"/>
        <v>0</v>
      </c>
      <c r="DE370" s="109"/>
      <c r="DF370" s="109"/>
      <c r="DG370" s="111"/>
      <c r="DH370" s="111"/>
      <c r="DI370" s="165"/>
      <c r="DJ370" s="109">
        <f t="shared" si="443"/>
        <v>0</v>
      </c>
      <c r="DK370" s="109">
        <f t="shared" si="444"/>
        <v>0</v>
      </c>
      <c r="DL370" s="109"/>
      <c r="DM370" s="109"/>
      <c r="DN370" s="111"/>
      <c r="DO370" s="111"/>
      <c r="DP370" s="165"/>
      <c r="DQ370" s="109">
        <f t="shared" si="452"/>
        <v>0</v>
      </c>
      <c r="DR370" s="109">
        <f t="shared" si="453"/>
        <v>0</v>
      </c>
      <c r="DS370" s="109"/>
      <c r="DT370" s="109"/>
      <c r="DU370" s="111"/>
      <c r="DV370" s="111"/>
      <c r="DW370" s="165"/>
      <c r="DX370" s="109">
        <f t="shared" si="454"/>
        <v>0</v>
      </c>
      <c r="DY370" s="109">
        <f t="shared" si="455"/>
        <v>0</v>
      </c>
      <c r="DZ370" s="109"/>
      <c r="EA370" s="109"/>
      <c r="EB370" s="111"/>
      <c r="EC370" s="111"/>
      <c r="ED370" s="165"/>
      <c r="EE370" s="109">
        <f t="shared" si="456"/>
        <v>0</v>
      </c>
      <c r="EF370" s="109">
        <f t="shared" si="457"/>
        <v>0</v>
      </c>
      <c r="EG370" s="109"/>
      <c r="EH370" s="109"/>
      <c r="EI370" s="111"/>
      <c r="EJ370" s="111"/>
      <c r="EK370" s="165"/>
      <c r="EL370" s="109">
        <f t="shared" si="458"/>
        <v>0</v>
      </c>
      <c r="EM370" s="109">
        <f t="shared" si="459"/>
        <v>0</v>
      </c>
      <c r="EN370" s="109"/>
      <c r="EO370" s="109"/>
      <c r="EP370" s="111"/>
      <c r="EQ370" s="111"/>
      <c r="ER370" s="165"/>
      <c r="ES370" s="109">
        <f t="shared" si="460"/>
        <v>0</v>
      </c>
      <c r="ET370" s="109">
        <f t="shared" si="461"/>
        <v>0</v>
      </c>
      <c r="EU370" s="109"/>
      <c r="EV370" s="109"/>
      <c r="EW370" s="111"/>
      <c r="EX370" s="111"/>
      <c r="EY370" s="165"/>
      <c r="EZ370" s="109">
        <f t="shared" si="462"/>
        <v>0</v>
      </c>
      <c r="FA370" s="109">
        <f t="shared" si="463"/>
        <v>0</v>
      </c>
      <c r="FB370" s="109"/>
      <c r="FC370" s="109"/>
      <c r="FD370" s="111"/>
      <c r="FE370" s="111"/>
      <c r="FF370" s="165"/>
      <c r="FG370" s="109">
        <f t="shared" si="464"/>
        <v>0</v>
      </c>
      <c r="FH370" s="109">
        <f t="shared" si="465"/>
        <v>0</v>
      </c>
      <c r="FI370" s="109"/>
      <c r="FJ370" s="109"/>
      <c r="FK370" s="111"/>
      <c r="FL370" s="111"/>
      <c r="FM370" s="165"/>
      <c r="FN370" s="109">
        <f t="shared" si="466"/>
        <v>0</v>
      </c>
      <c r="FO370" s="109">
        <f t="shared" si="467"/>
        <v>0</v>
      </c>
      <c r="FP370" s="109"/>
      <c r="FQ370" s="109"/>
      <c r="FR370" s="111"/>
      <c r="FS370" s="111"/>
      <c r="FT370" s="165"/>
      <c r="FU370" s="109">
        <f t="shared" si="468"/>
        <v>0</v>
      </c>
      <c r="FV370" s="109">
        <f t="shared" si="476"/>
        <v>0</v>
      </c>
      <c r="FW370" s="109"/>
      <c r="FX370" s="109"/>
      <c r="FY370" s="111"/>
      <c r="FZ370" s="111"/>
      <c r="GA370" s="165"/>
      <c r="GB370" s="109">
        <f t="shared" si="469"/>
        <v>0</v>
      </c>
      <c r="GC370" s="109">
        <f t="shared" si="477"/>
        <v>0</v>
      </c>
      <c r="GD370" s="109"/>
      <c r="GE370" s="109"/>
      <c r="GF370" s="111"/>
      <c r="GG370" s="111"/>
      <c r="GH370" s="165"/>
      <c r="GI370" s="109">
        <f t="shared" si="470"/>
        <v>0</v>
      </c>
      <c r="GJ370" s="109">
        <f t="shared" si="478"/>
        <v>0</v>
      </c>
      <c r="GK370" s="109"/>
      <c r="GL370" s="109"/>
      <c r="GM370" s="111"/>
      <c r="GN370" s="111"/>
      <c r="GO370" s="165"/>
      <c r="GP370" s="109">
        <f t="shared" si="471"/>
        <v>0</v>
      </c>
      <c r="GQ370" s="109">
        <f t="shared" si="479"/>
        <v>0</v>
      </c>
      <c r="GR370" s="109"/>
      <c r="GS370" s="109"/>
      <c r="GT370" s="111"/>
      <c r="GU370" s="111"/>
      <c r="GV370" s="165"/>
      <c r="GW370" s="168">
        <f t="shared" si="472"/>
        <v>0</v>
      </c>
      <c r="GX370" s="168">
        <f t="shared" si="480"/>
        <v>0</v>
      </c>
      <c r="GY370" s="168"/>
      <c r="GZ370" s="168"/>
      <c r="HA370" s="111"/>
      <c r="HB370" s="111"/>
      <c r="HC370" s="165"/>
      <c r="HD370" s="109">
        <f t="shared" si="473"/>
        <v>0</v>
      </c>
      <c r="HE370" s="109">
        <f t="shared" si="481"/>
        <v>0</v>
      </c>
      <c r="HF370" s="109"/>
      <c r="HG370" s="109"/>
      <c r="HH370" s="111"/>
      <c r="HI370" s="111"/>
      <c r="HJ370" s="165"/>
      <c r="HK370" s="109">
        <f t="shared" si="474"/>
        <v>0</v>
      </c>
      <c r="HL370" s="109">
        <f t="shared" si="482"/>
        <v>0</v>
      </c>
      <c r="HM370" s="109"/>
      <c r="HN370" s="109"/>
      <c r="HO370" s="111"/>
      <c r="HP370" s="111"/>
      <c r="HQ370" s="165"/>
      <c r="HR370" s="109">
        <f t="shared" si="475"/>
        <v>0</v>
      </c>
      <c r="HS370" s="109">
        <f t="shared" si="483"/>
        <v>0</v>
      </c>
      <c r="HT370" s="109"/>
      <c r="HU370" s="109"/>
      <c r="HV370" s="111"/>
      <c r="HW370" s="111"/>
      <c r="HX370" s="105">
        <f t="shared" si="451"/>
        <v>0</v>
      </c>
      <c r="HY370" s="105">
        <f t="shared" si="451"/>
        <v>0</v>
      </c>
      <c r="HZ370" s="105">
        <f t="shared" si="451"/>
        <v>0</v>
      </c>
      <c r="IA370" s="105">
        <f t="shared" si="445"/>
        <v>0</v>
      </c>
      <c r="IB370" s="109">
        <f t="shared" si="446"/>
        <v>0</v>
      </c>
      <c r="IC370" s="109">
        <f t="shared" si="447"/>
        <v>0</v>
      </c>
      <c r="ID370" s="109">
        <f t="shared" si="448"/>
        <v>0</v>
      </c>
      <c r="IE370" s="109">
        <f t="shared" si="449"/>
        <v>0</v>
      </c>
      <c r="IF370" s="197"/>
      <c r="IG370" s="197"/>
      <c r="IH370" s="197"/>
      <c r="II370" s="197"/>
      <c r="IJ370" s="197"/>
      <c r="IK370" s="197"/>
      <c r="IL370" s="197"/>
      <c r="IM370" s="171"/>
      <c r="IN370" s="171"/>
      <c r="IO370" s="171"/>
      <c r="IP370" s="171"/>
    </row>
    <row r="371" spans="1:250" ht="15" customHeight="1" x14ac:dyDescent="0.3">
      <c r="A371" s="110">
        <f t="shared" si="450"/>
        <v>367</v>
      </c>
      <c r="B371" s="111"/>
      <c r="C371" s="111"/>
      <c r="D371" s="111"/>
      <c r="E371" s="111"/>
      <c r="F371" s="111"/>
      <c r="G371" s="111"/>
      <c r="H371" s="111"/>
      <c r="I371" s="194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75"/>
      <c r="AI371" s="111"/>
      <c r="AJ371" s="111"/>
      <c r="AK371" s="111"/>
      <c r="AL371" s="177"/>
      <c r="AM371" s="176"/>
      <c r="AN371" s="177"/>
      <c r="AO371" s="157"/>
      <c r="AP371" s="158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  <c r="BB371" s="111"/>
      <c r="BC371" s="111"/>
      <c r="BD371" s="111"/>
      <c r="BE371" s="111"/>
      <c r="BF371" s="111"/>
      <c r="BG371" s="111"/>
      <c r="BH371" s="111"/>
      <c r="BI371" s="111"/>
      <c r="BJ371" s="111"/>
      <c r="BK371" s="111"/>
      <c r="BL371" s="175"/>
      <c r="BM371" s="111"/>
      <c r="BN371" s="111"/>
      <c r="BO371" s="111"/>
      <c r="BP371" s="111"/>
      <c r="BQ371" s="111"/>
      <c r="BR371" s="111"/>
      <c r="BS371" s="111"/>
      <c r="BT371" s="111"/>
      <c r="BU371" s="111"/>
      <c r="BV371" s="111"/>
      <c r="BW371" s="111"/>
      <c r="BX371" s="111"/>
      <c r="BY371" s="111"/>
      <c r="BZ371" s="111"/>
      <c r="CA371" s="111"/>
      <c r="CB371" s="111"/>
      <c r="CC371" s="178"/>
      <c r="CD371" s="177">
        <f t="shared" si="434"/>
        <v>0</v>
      </c>
      <c r="CE371" s="148"/>
      <c r="CF371" s="111">
        <f t="shared" si="435"/>
        <v>0</v>
      </c>
      <c r="CG371" s="177"/>
      <c r="CH371" s="204"/>
      <c r="CI371" s="148"/>
      <c r="CJ371" s="165"/>
      <c r="CK371" s="165"/>
      <c r="CL371" s="111"/>
      <c r="CM371" s="111"/>
      <c r="CN371" s="165">
        <f t="shared" si="436"/>
        <v>0</v>
      </c>
      <c r="CO371" s="109">
        <f t="shared" si="437"/>
        <v>0</v>
      </c>
      <c r="CP371" s="109">
        <f t="shared" si="438"/>
        <v>0</v>
      </c>
      <c r="CQ371" s="109"/>
      <c r="CR371" s="109"/>
      <c r="CS371" s="196"/>
      <c r="CT371" s="167"/>
      <c r="CU371" s="165"/>
      <c r="CV371" s="109">
        <f t="shared" si="439"/>
        <v>0</v>
      </c>
      <c r="CW371" s="109">
        <f t="shared" si="440"/>
        <v>0</v>
      </c>
      <c r="CX371" s="109"/>
      <c r="CY371" s="109"/>
      <c r="CZ371" s="111"/>
      <c r="DA371" s="111"/>
      <c r="DB371" s="165"/>
      <c r="DC371" s="109">
        <f t="shared" si="441"/>
        <v>0</v>
      </c>
      <c r="DD371" s="109">
        <f t="shared" si="442"/>
        <v>0</v>
      </c>
      <c r="DE371" s="109"/>
      <c r="DF371" s="109"/>
      <c r="DG371" s="111"/>
      <c r="DH371" s="111"/>
      <c r="DI371" s="165"/>
      <c r="DJ371" s="109">
        <f t="shared" si="443"/>
        <v>0</v>
      </c>
      <c r="DK371" s="109">
        <f t="shared" si="444"/>
        <v>0</v>
      </c>
      <c r="DL371" s="109"/>
      <c r="DM371" s="109"/>
      <c r="DN371" s="111"/>
      <c r="DO371" s="111"/>
      <c r="DP371" s="165"/>
      <c r="DQ371" s="109">
        <f t="shared" si="452"/>
        <v>0</v>
      </c>
      <c r="DR371" s="109">
        <f t="shared" si="453"/>
        <v>0</v>
      </c>
      <c r="DS371" s="109"/>
      <c r="DT371" s="109"/>
      <c r="DU371" s="111"/>
      <c r="DV371" s="111"/>
      <c r="DW371" s="165"/>
      <c r="DX371" s="109">
        <f t="shared" si="454"/>
        <v>0</v>
      </c>
      <c r="DY371" s="109">
        <f t="shared" si="455"/>
        <v>0</v>
      </c>
      <c r="DZ371" s="109"/>
      <c r="EA371" s="109"/>
      <c r="EB371" s="111"/>
      <c r="EC371" s="111"/>
      <c r="ED371" s="165"/>
      <c r="EE371" s="109">
        <f t="shared" si="456"/>
        <v>0</v>
      </c>
      <c r="EF371" s="109">
        <f t="shared" si="457"/>
        <v>0</v>
      </c>
      <c r="EG371" s="109"/>
      <c r="EH371" s="109"/>
      <c r="EI371" s="111"/>
      <c r="EJ371" s="111"/>
      <c r="EK371" s="165"/>
      <c r="EL371" s="109">
        <f t="shared" si="458"/>
        <v>0</v>
      </c>
      <c r="EM371" s="109">
        <f t="shared" si="459"/>
        <v>0</v>
      </c>
      <c r="EN371" s="109"/>
      <c r="EO371" s="109"/>
      <c r="EP371" s="111"/>
      <c r="EQ371" s="111"/>
      <c r="ER371" s="165"/>
      <c r="ES371" s="109">
        <f t="shared" si="460"/>
        <v>0</v>
      </c>
      <c r="ET371" s="109">
        <f t="shared" si="461"/>
        <v>0</v>
      </c>
      <c r="EU371" s="109"/>
      <c r="EV371" s="109"/>
      <c r="EW371" s="111"/>
      <c r="EX371" s="111"/>
      <c r="EY371" s="165"/>
      <c r="EZ371" s="109">
        <f t="shared" si="462"/>
        <v>0</v>
      </c>
      <c r="FA371" s="109">
        <f t="shared" si="463"/>
        <v>0</v>
      </c>
      <c r="FB371" s="109"/>
      <c r="FC371" s="109"/>
      <c r="FD371" s="111"/>
      <c r="FE371" s="111"/>
      <c r="FF371" s="165"/>
      <c r="FG371" s="109">
        <f t="shared" si="464"/>
        <v>0</v>
      </c>
      <c r="FH371" s="109">
        <f t="shared" si="465"/>
        <v>0</v>
      </c>
      <c r="FI371" s="109"/>
      <c r="FJ371" s="109"/>
      <c r="FK371" s="111"/>
      <c r="FL371" s="111"/>
      <c r="FM371" s="165"/>
      <c r="FN371" s="109">
        <f t="shared" si="466"/>
        <v>0</v>
      </c>
      <c r="FO371" s="109">
        <f t="shared" si="467"/>
        <v>0</v>
      </c>
      <c r="FP371" s="109"/>
      <c r="FQ371" s="109"/>
      <c r="FR371" s="111"/>
      <c r="FS371" s="111"/>
      <c r="FT371" s="165"/>
      <c r="FU371" s="109">
        <f t="shared" si="468"/>
        <v>0</v>
      </c>
      <c r="FV371" s="109">
        <f t="shared" si="476"/>
        <v>0</v>
      </c>
      <c r="FW371" s="109"/>
      <c r="FX371" s="109"/>
      <c r="FY371" s="111"/>
      <c r="FZ371" s="111"/>
      <c r="GA371" s="165"/>
      <c r="GB371" s="109">
        <f t="shared" si="469"/>
        <v>0</v>
      </c>
      <c r="GC371" s="109">
        <f t="shared" si="477"/>
        <v>0</v>
      </c>
      <c r="GD371" s="109"/>
      <c r="GE371" s="109"/>
      <c r="GF371" s="111"/>
      <c r="GG371" s="111"/>
      <c r="GH371" s="165"/>
      <c r="GI371" s="109">
        <f t="shared" si="470"/>
        <v>0</v>
      </c>
      <c r="GJ371" s="109">
        <f t="shared" si="478"/>
        <v>0</v>
      </c>
      <c r="GK371" s="109"/>
      <c r="GL371" s="109"/>
      <c r="GM371" s="111"/>
      <c r="GN371" s="111"/>
      <c r="GO371" s="165"/>
      <c r="GP371" s="109">
        <f t="shared" si="471"/>
        <v>0</v>
      </c>
      <c r="GQ371" s="109">
        <f t="shared" si="479"/>
        <v>0</v>
      </c>
      <c r="GR371" s="109"/>
      <c r="GS371" s="109"/>
      <c r="GT371" s="111"/>
      <c r="GU371" s="111"/>
      <c r="GV371" s="165"/>
      <c r="GW371" s="168">
        <f t="shared" si="472"/>
        <v>0</v>
      </c>
      <c r="GX371" s="168">
        <f t="shared" si="480"/>
        <v>0</v>
      </c>
      <c r="GY371" s="168"/>
      <c r="GZ371" s="168"/>
      <c r="HA371" s="111"/>
      <c r="HB371" s="111"/>
      <c r="HC371" s="165"/>
      <c r="HD371" s="109">
        <f t="shared" si="473"/>
        <v>0</v>
      </c>
      <c r="HE371" s="109">
        <f t="shared" si="481"/>
        <v>0</v>
      </c>
      <c r="HF371" s="109"/>
      <c r="HG371" s="109"/>
      <c r="HH371" s="111"/>
      <c r="HI371" s="111"/>
      <c r="HJ371" s="165"/>
      <c r="HK371" s="109">
        <f t="shared" si="474"/>
        <v>0</v>
      </c>
      <c r="HL371" s="109">
        <f t="shared" si="482"/>
        <v>0</v>
      </c>
      <c r="HM371" s="109"/>
      <c r="HN371" s="109"/>
      <c r="HO371" s="111"/>
      <c r="HP371" s="111"/>
      <c r="HQ371" s="165"/>
      <c r="HR371" s="109">
        <f t="shared" si="475"/>
        <v>0</v>
      </c>
      <c r="HS371" s="109">
        <f t="shared" si="483"/>
        <v>0</v>
      </c>
      <c r="HT371" s="109"/>
      <c r="HU371" s="109"/>
      <c r="HV371" s="111"/>
      <c r="HW371" s="111"/>
      <c r="HX371" s="105">
        <f t="shared" si="451"/>
        <v>0</v>
      </c>
      <c r="HY371" s="105">
        <f t="shared" si="451"/>
        <v>0</v>
      </c>
      <c r="HZ371" s="105">
        <f t="shared" si="451"/>
        <v>0</v>
      </c>
      <c r="IA371" s="105">
        <f t="shared" si="445"/>
        <v>0</v>
      </c>
      <c r="IB371" s="109">
        <f t="shared" si="446"/>
        <v>0</v>
      </c>
      <c r="IC371" s="109">
        <f t="shared" si="447"/>
        <v>0</v>
      </c>
      <c r="ID371" s="109">
        <f t="shared" si="448"/>
        <v>0</v>
      </c>
      <c r="IE371" s="109">
        <f t="shared" si="449"/>
        <v>0</v>
      </c>
      <c r="IF371" s="197"/>
      <c r="IG371" s="197"/>
      <c r="IH371" s="197"/>
      <c r="II371" s="197"/>
      <c r="IJ371" s="197"/>
      <c r="IK371" s="197"/>
      <c r="IL371" s="197"/>
      <c r="IM371" s="171"/>
      <c r="IN371" s="171"/>
      <c r="IO371" s="171"/>
      <c r="IP371" s="171"/>
    </row>
    <row r="372" spans="1:250" ht="15" customHeight="1" x14ac:dyDescent="0.3">
      <c r="A372" s="110">
        <f t="shared" si="450"/>
        <v>368</v>
      </c>
      <c r="B372" s="111"/>
      <c r="C372" s="111"/>
      <c r="D372" s="111"/>
      <c r="E372" s="111"/>
      <c r="F372" s="111"/>
      <c r="G372" s="111"/>
      <c r="H372" s="111"/>
      <c r="I372" s="194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75"/>
      <c r="AI372" s="111"/>
      <c r="AJ372" s="111"/>
      <c r="AK372" s="111"/>
      <c r="AL372" s="177"/>
      <c r="AM372" s="176"/>
      <c r="AN372" s="177"/>
      <c r="AO372" s="157"/>
      <c r="AP372" s="158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  <c r="BB372" s="111"/>
      <c r="BC372" s="111"/>
      <c r="BD372" s="111"/>
      <c r="BE372" s="111"/>
      <c r="BF372" s="111"/>
      <c r="BG372" s="111"/>
      <c r="BH372" s="111"/>
      <c r="BI372" s="111"/>
      <c r="BJ372" s="111"/>
      <c r="BK372" s="111"/>
      <c r="BL372" s="175"/>
      <c r="BM372" s="111"/>
      <c r="BN372" s="111"/>
      <c r="BO372" s="111"/>
      <c r="BP372" s="111"/>
      <c r="BQ372" s="111"/>
      <c r="BR372" s="111"/>
      <c r="BS372" s="111"/>
      <c r="BT372" s="111"/>
      <c r="BU372" s="111"/>
      <c r="BV372" s="111"/>
      <c r="BW372" s="111"/>
      <c r="BX372" s="111"/>
      <c r="BY372" s="111"/>
      <c r="BZ372" s="111"/>
      <c r="CA372" s="111"/>
      <c r="CB372" s="111"/>
      <c r="CC372" s="178"/>
      <c r="CD372" s="177">
        <f t="shared" si="434"/>
        <v>0</v>
      </c>
      <c r="CE372" s="148"/>
      <c r="CF372" s="111">
        <f t="shared" si="435"/>
        <v>0</v>
      </c>
      <c r="CG372" s="177"/>
      <c r="CH372" s="204"/>
      <c r="CI372" s="148"/>
      <c r="CJ372" s="165"/>
      <c r="CK372" s="165"/>
      <c r="CL372" s="111"/>
      <c r="CM372" s="111"/>
      <c r="CN372" s="165">
        <f t="shared" si="436"/>
        <v>0</v>
      </c>
      <c r="CO372" s="109">
        <f t="shared" si="437"/>
        <v>0</v>
      </c>
      <c r="CP372" s="109">
        <f t="shared" si="438"/>
        <v>0</v>
      </c>
      <c r="CQ372" s="109"/>
      <c r="CR372" s="109"/>
      <c r="CS372" s="196"/>
      <c r="CT372" s="167"/>
      <c r="CU372" s="165"/>
      <c r="CV372" s="109">
        <f t="shared" si="439"/>
        <v>0</v>
      </c>
      <c r="CW372" s="109">
        <f t="shared" si="440"/>
        <v>0</v>
      </c>
      <c r="CX372" s="109"/>
      <c r="CY372" s="109"/>
      <c r="CZ372" s="111"/>
      <c r="DA372" s="111"/>
      <c r="DB372" s="165"/>
      <c r="DC372" s="109">
        <f t="shared" si="441"/>
        <v>0</v>
      </c>
      <c r="DD372" s="109">
        <f t="shared" si="442"/>
        <v>0</v>
      </c>
      <c r="DE372" s="109"/>
      <c r="DF372" s="109"/>
      <c r="DG372" s="111"/>
      <c r="DH372" s="111"/>
      <c r="DI372" s="165"/>
      <c r="DJ372" s="109">
        <f t="shared" si="443"/>
        <v>0</v>
      </c>
      <c r="DK372" s="109">
        <f t="shared" si="444"/>
        <v>0</v>
      </c>
      <c r="DL372" s="109"/>
      <c r="DM372" s="109"/>
      <c r="DN372" s="111"/>
      <c r="DO372" s="111"/>
      <c r="DP372" s="165"/>
      <c r="DQ372" s="109">
        <f t="shared" si="452"/>
        <v>0</v>
      </c>
      <c r="DR372" s="109">
        <f t="shared" si="453"/>
        <v>0</v>
      </c>
      <c r="DS372" s="109"/>
      <c r="DT372" s="109"/>
      <c r="DU372" s="111"/>
      <c r="DV372" s="111"/>
      <c r="DW372" s="165"/>
      <c r="DX372" s="109">
        <f t="shared" si="454"/>
        <v>0</v>
      </c>
      <c r="DY372" s="109">
        <f t="shared" si="455"/>
        <v>0</v>
      </c>
      <c r="DZ372" s="109"/>
      <c r="EA372" s="109"/>
      <c r="EB372" s="111"/>
      <c r="EC372" s="111"/>
      <c r="ED372" s="165"/>
      <c r="EE372" s="109">
        <f t="shared" si="456"/>
        <v>0</v>
      </c>
      <c r="EF372" s="109">
        <f t="shared" si="457"/>
        <v>0</v>
      </c>
      <c r="EG372" s="109"/>
      <c r="EH372" s="109"/>
      <c r="EI372" s="111"/>
      <c r="EJ372" s="111"/>
      <c r="EK372" s="165"/>
      <c r="EL372" s="109">
        <f t="shared" si="458"/>
        <v>0</v>
      </c>
      <c r="EM372" s="109">
        <f t="shared" si="459"/>
        <v>0</v>
      </c>
      <c r="EN372" s="109"/>
      <c r="EO372" s="109"/>
      <c r="EP372" s="111"/>
      <c r="EQ372" s="111"/>
      <c r="ER372" s="165"/>
      <c r="ES372" s="109">
        <f t="shared" si="460"/>
        <v>0</v>
      </c>
      <c r="ET372" s="109">
        <f t="shared" si="461"/>
        <v>0</v>
      </c>
      <c r="EU372" s="109"/>
      <c r="EV372" s="109"/>
      <c r="EW372" s="111"/>
      <c r="EX372" s="111"/>
      <c r="EY372" s="165"/>
      <c r="EZ372" s="109">
        <f t="shared" si="462"/>
        <v>0</v>
      </c>
      <c r="FA372" s="109">
        <f t="shared" si="463"/>
        <v>0</v>
      </c>
      <c r="FB372" s="109"/>
      <c r="FC372" s="109"/>
      <c r="FD372" s="111"/>
      <c r="FE372" s="111"/>
      <c r="FF372" s="165"/>
      <c r="FG372" s="109">
        <f t="shared" si="464"/>
        <v>0</v>
      </c>
      <c r="FH372" s="109">
        <f t="shared" si="465"/>
        <v>0</v>
      </c>
      <c r="FI372" s="109"/>
      <c r="FJ372" s="109"/>
      <c r="FK372" s="111"/>
      <c r="FL372" s="111"/>
      <c r="FM372" s="165"/>
      <c r="FN372" s="109">
        <f t="shared" si="466"/>
        <v>0</v>
      </c>
      <c r="FO372" s="109">
        <f t="shared" si="467"/>
        <v>0</v>
      </c>
      <c r="FP372" s="109"/>
      <c r="FQ372" s="109"/>
      <c r="FR372" s="111"/>
      <c r="FS372" s="111"/>
      <c r="FT372" s="165"/>
      <c r="FU372" s="109">
        <f t="shared" si="468"/>
        <v>0</v>
      </c>
      <c r="FV372" s="109">
        <f t="shared" si="476"/>
        <v>0</v>
      </c>
      <c r="FW372" s="109"/>
      <c r="FX372" s="109"/>
      <c r="FY372" s="111"/>
      <c r="FZ372" s="111"/>
      <c r="GA372" s="165"/>
      <c r="GB372" s="109">
        <f t="shared" si="469"/>
        <v>0</v>
      </c>
      <c r="GC372" s="109">
        <f t="shared" si="477"/>
        <v>0</v>
      </c>
      <c r="GD372" s="109"/>
      <c r="GE372" s="109"/>
      <c r="GF372" s="111"/>
      <c r="GG372" s="111"/>
      <c r="GH372" s="165"/>
      <c r="GI372" s="109">
        <f t="shared" si="470"/>
        <v>0</v>
      </c>
      <c r="GJ372" s="109">
        <f t="shared" si="478"/>
        <v>0</v>
      </c>
      <c r="GK372" s="109"/>
      <c r="GL372" s="109"/>
      <c r="GM372" s="111"/>
      <c r="GN372" s="111"/>
      <c r="GO372" s="165"/>
      <c r="GP372" s="109">
        <f t="shared" si="471"/>
        <v>0</v>
      </c>
      <c r="GQ372" s="109">
        <f t="shared" si="479"/>
        <v>0</v>
      </c>
      <c r="GR372" s="109"/>
      <c r="GS372" s="109"/>
      <c r="GT372" s="111"/>
      <c r="GU372" s="111"/>
      <c r="GV372" s="165"/>
      <c r="GW372" s="168">
        <f t="shared" si="472"/>
        <v>0</v>
      </c>
      <c r="GX372" s="168">
        <f t="shared" si="480"/>
        <v>0</v>
      </c>
      <c r="GY372" s="168"/>
      <c r="GZ372" s="168"/>
      <c r="HA372" s="111"/>
      <c r="HB372" s="111"/>
      <c r="HC372" s="165"/>
      <c r="HD372" s="109">
        <f t="shared" si="473"/>
        <v>0</v>
      </c>
      <c r="HE372" s="109">
        <f t="shared" si="481"/>
        <v>0</v>
      </c>
      <c r="HF372" s="109"/>
      <c r="HG372" s="109"/>
      <c r="HH372" s="111"/>
      <c r="HI372" s="111"/>
      <c r="HJ372" s="165"/>
      <c r="HK372" s="109">
        <f t="shared" si="474"/>
        <v>0</v>
      </c>
      <c r="HL372" s="109">
        <f t="shared" si="482"/>
        <v>0</v>
      </c>
      <c r="HM372" s="109"/>
      <c r="HN372" s="109"/>
      <c r="HO372" s="111"/>
      <c r="HP372" s="111"/>
      <c r="HQ372" s="165"/>
      <c r="HR372" s="109">
        <f t="shared" si="475"/>
        <v>0</v>
      </c>
      <c r="HS372" s="109">
        <f t="shared" si="483"/>
        <v>0</v>
      </c>
      <c r="HT372" s="109"/>
      <c r="HU372" s="109"/>
      <c r="HV372" s="111"/>
      <c r="HW372" s="111"/>
      <c r="HX372" s="105">
        <f t="shared" si="451"/>
        <v>0</v>
      </c>
      <c r="HY372" s="105">
        <f t="shared" si="451"/>
        <v>0</v>
      </c>
      <c r="HZ372" s="105">
        <f t="shared" si="451"/>
        <v>0</v>
      </c>
      <c r="IA372" s="105">
        <f t="shared" si="445"/>
        <v>0</v>
      </c>
      <c r="IB372" s="109">
        <f t="shared" si="446"/>
        <v>0</v>
      </c>
      <c r="IC372" s="109">
        <f t="shared" si="447"/>
        <v>0</v>
      </c>
      <c r="ID372" s="109">
        <f t="shared" si="448"/>
        <v>0</v>
      </c>
      <c r="IE372" s="109">
        <f t="shared" si="449"/>
        <v>0</v>
      </c>
      <c r="IF372" s="197"/>
      <c r="IG372" s="197"/>
      <c r="IH372" s="197"/>
      <c r="II372" s="197"/>
      <c r="IJ372" s="197"/>
      <c r="IK372" s="197"/>
      <c r="IL372" s="197"/>
      <c r="IM372" s="171"/>
      <c r="IN372" s="171"/>
      <c r="IO372" s="171"/>
      <c r="IP372" s="171"/>
    </row>
    <row r="373" spans="1:250" ht="15" customHeight="1" x14ac:dyDescent="0.3">
      <c r="A373" s="110">
        <f t="shared" si="450"/>
        <v>369</v>
      </c>
      <c r="B373" s="111"/>
      <c r="C373" s="111"/>
      <c r="D373" s="111"/>
      <c r="E373" s="111"/>
      <c r="F373" s="111"/>
      <c r="G373" s="111"/>
      <c r="H373" s="111"/>
      <c r="I373" s="194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75"/>
      <c r="AI373" s="111"/>
      <c r="AJ373" s="111"/>
      <c r="AK373" s="111"/>
      <c r="AL373" s="177"/>
      <c r="AM373" s="176"/>
      <c r="AN373" s="177"/>
      <c r="AO373" s="157"/>
      <c r="AP373" s="158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  <c r="BG373" s="111"/>
      <c r="BH373" s="111"/>
      <c r="BI373" s="111"/>
      <c r="BJ373" s="111"/>
      <c r="BK373" s="111"/>
      <c r="BL373" s="175"/>
      <c r="BM373" s="111"/>
      <c r="BN373" s="111"/>
      <c r="BO373" s="111"/>
      <c r="BP373" s="111"/>
      <c r="BQ373" s="111"/>
      <c r="BR373" s="111"/>
      <c r="BS373" s="111"/>
      <c r="BT373" s="111"/>
      <c r="BU373" s="111"/>
      <c r="BV373" s="111"/>
      <c r="BW373" s="111"/>
      <c r="BX373" s="111"/>
      <c r="BY373" s="111"/>
      <c r="BZ373" s="111"/>
      <c r="CA373" s="111"/>
      <c r="CB373" s="111"/>
      <c r="CC373" s="178"/>
      <c r="CD373" s="177">
        <f t="shared" si="434"/>
        <v>0</v>
      </c>
      <c r="CE373" s="148"/>
      <c r="CF373" s="111">
        <f t="shared" si="435"/>
        <v>0</v>
      </c>
      <c r="CG373" s="177"/>
      <c r="CH373" s="204"/>
      <c r="CI373" s="148"/>
      <c r="CJ373" s="165"/>
      <c r="CK373" s="165"/>
      <c r="CL373" s="111"/>
      <c r="CM373" s="111"/>
      <c r="CN373" s="165">
        <f t="shared" si="436"/>
        <v>0</v>
      </c>
      <c r="CO373" s="109">
        <f t="shared" si="437"/>
        <v>0</v>
      </c>
      <c r="CP373" s="109">
        <f t="shared" si="438"/>
        <v>0</v>
      </c>
      <c r="CQ373" s="109"/>
      <c r="CR373" s="109"/>
      <c r="CS373" s="196"/>
      <c r="CT373" s="167"/>
      <c r="CU373" s="165"/>
      <c r="CV373" s="109">
        <f t="shared" si="439"/>
        <v>0</v>
      </c>
      <c r="CW373" s="109">
        <f t="shared" si="440"/>
        <v>0</v>
      </c>
      <c r="CX373" s="109"/>
      <c r="CY373" s="109"/>
      <c r="CZ373" s="111"/>
      <c r="DA373" s="111"/>
      <c r="DB373" s="165"/>
      <c r="DC373" s="109">
        <f t="shared" si="441"/>
        <v>0</v>
      </c>
      <c r="DD373" s="109">
        <f t="shared" si="442"/>
        <v>0</v>
      </c>
      <c r="DE373" s="109"/>
      <c r="DF373" s="109"/>
      <c r="DG373" s="111"/>
      <c r="DH373" s="111"/>
      <c r="DI373" s="165"/>
      <c r="DJ373" s="109">
        <f t="shared" si="443"/>
        <v>0</v>
      </c>
      <c r="DK373" s="109">
        <f t="shared" si="444"/>
        <v>0</v>
      </c>
      <c r="DL373" s="109"/>
      <c r="DM373" s="109"/>
      <c r="DN373" s="111"/>
      <c r="DO373" s="111"/>
      <c r="DP373" s="165"/>
      <c r="DQ373" s="109">
        <f t="shared" si="452"/>
        <v>0</v>
      </c>
      <c r="DR373" s="109">
        <f t="shared" si="453"/>
        <v>0</v>
      </c>
      <c r="DS373" s="109"/>
      <c r="DT373" s="109"/>
      <c r="DU373" s="111"/>
      <c r="DV373" s="111"/>
      <c r="DW373" s="165"/>
      <c r="DX373" s="109">
        <f t="shared" si="454"/>
        <v>0</v>
      </c>
      <c r="DY373" s="109">
        <f t="shared" si="455"/>
        <v>0</v>
      </c>
      <c r="DZ373" s="109"/>
      <c r="EA373" s="109"/>
      <c r="EB373" s="111"/>
      <c r="EC373" s="111"/>
      <c r="ED373" s="165"/>
      <c r="EE373" s="109">
        <f t="shared" si="456"/>
        <v>0</v>
      </c>
      <c r="EF373" s="109">
        <f t="shared" si="457"/>
        <v>0</v>
      </c>
      <c r="EG373" s="109"/>
      <c r="EH373" s="109"/>
      <c r="EI373" s="111"/>
      <c r="EJ373" s="111"/>
      <c r="EK373" s="165"/>
      <c r="EL373" s="109">
        <f t="shared" si="458"/>
        <v>0</v>
      </c>
      <c r="EM373" s="109">
        <f t="shared" si="459"/>
        <v>0</v>
      </c>
      <c r="EN373" s="109"/>
      <c r="EO373" s="109"/>
      <c r="EP373" s="111"/>
      <c r="EQ373" s="111"/>
      <c r="ER373" s="165"/>
      <c r="ES373" s="109">
        <f t="shared" si="460"/>
        <v>0</v>
      </c>
      <c r="ET373" s="109">
        <f t="shared" si="461"/>
        <v>0</v>
      </c>
      <c r="EU373" s="109"/>
      <c r="EV373" s="109"/>
      <c r="EW373" s="111"/>
      <c r="EX373" s="111"/>
      <c r="EY373" s="165"/>
      <c r="EZ373" s="109">
        <f t="shared" si="462"/>
        <v>0</v>
      </c>
      <c r="FA373" s="109">
        <f t="shared" si="463"/>
        <v>0</v>
      </c>
      <c r="FB373" s="109"/>
      <c r="FC373" s="109"/>
      <c r="FD373" s="111"/>
      <c r="FE373" s="111"/>
      <c r="FF373" s="165"/>
      <c r="FG373" s="109">
        <f t="shared" si="464"/>
        <v>0</v>
      </c>
      <c r="FH373" s="109">
        <f t="shared" si="465"/>
        <v>0</v>
      </c>
      <c r="FI373" s="109"/>
      <c r="FJ373" s="109"/>
      <c r="FK373" s="111"/>
      <c r="FL373" s="111"/>
      <c r="FM373" s="165"/>
      <c r="FN373" s="109">
        <f t="shared" si="466"/>
        <v>0</v>
      </c>
      <c r="FO373" s="109">
        <f t="shared" si="467"/>
        <v>0</v>
      </c>
      <c r="FP373" s="109"/>
      <c r="FQ373" s="109"/>
      <c r="FR373" s="111"/>
      <c r="FS373" s="111"/>
      <c r="FT373" s="165"/>
      <c r="FU373" s="109">
        <f t="shared" si="468"/>
        <v>0</v>
      </c>
      <c r="FV373" s="109">
        <f t="shared" si="476"/>
        <v>0</v>
      </c>
      <c r="FW373" s="109"/>
      <c r="FX373" s="109"/>
      <c r="FY373" s="111"/>
      <c r="FZ373" s="111"/>
      <c r="GA373" s="165"/>
      <c r="GB373" s="109">
        <f t="shared" si="469"/>
        <v>0</v>
      </c>
      <c r="GC373" s="109">
        <f t="shared" si="477"/>
        <v>0</v>
      </c>
      <c r="GD373" s="109"/>
      <c r="GE373" s="109"/>
      <c r="GF373" s="111"/>
      <c r="GG373" s="111"/>
      <c r="GH373" s="165"/>
      <c r="GI373" s="109">
        <f t="shared" si="470"/>
        <v>0</v>
      </c>
      <c r="GJ373" s="109">
        <f t="shared" si="478"/>
        <v>0</v>
      </c>
      <c r="GK373" s="109"/>
      <c r="GL373" s="109"/>
      <c r="GM373" s="111"/>
      <c r="GN373" s="111"/>
      <c r="GO373" s="165"/>
      <c r="GP373" s="109">
        <f t="shared" si="471"/>
        <v>0</v>
      </c>
      <c r="GQ373" s="109">
        <f t="shared" si="479"/>
        <v>0</v>
      </c>
      <c r="GR373" s="109"/>
      <c r="GS373" s="109"/>
      <c r="GT373" s="111"/>
      <c r="GU373" s="111"/>
      <c r="GV373" s="165"/>
      <c r="GW373" s="168">
        <f t="shared" si="472"/>
        <v>0</v>
      </c>
      <c r="GX373" s="168">
        <f t="shared" si="480"/>
        <v>0</v>
      </c>
      <c r="GY373" s="168"/>
      <c r="GZ373" s="168"/>
      <c r="HA373" s="111"/>
      <c r="HB373" s="111"/>
      <c r="HC373" s="165"/>
      <c r="HD373" s="109">
        <f t="shared" si="473"/>
        <v>0</v>
      </c>
      <c r="HE373" s="109">
        <f t="shared" si="481"/>
        <v>0</v>
      </c>
      <c r="HF373" s="109"/>
      <c r="HG373" s="109"/>
      <c r="HH373" s="111"/>
      <c r="HI373" s="111"/>
      <c r="HJ373" s="165"/>
      <c r="HK373" s="109">
        <f t="shared" si="474"/>
        <v>0</v>
      </c>
      <c r="HL373" s="109">
        <f t="shared" si="482"/>
        <v>0</v>
      </c>
      <c r="HM373" s="109"/>
      <c r="HN373" s="109"/>
      <c r="HO373" s="111"/>
      <c r="HP373" s="111"/>
      <c r="HQ373" s="165"/>
      <c r="HR373" s="109">
        <f t="shared" si="475"/>
        <v>0</v>
      </c>
      <c r="HS373" s="109">
        <f t="shared" si="483"/>
        <v>0</v>
      </c>
      <c r="HT373" s="109"/>
      <c r="HU373" s="109"/>
      <c r="HV373" s="111"/>
      <c r="HW373" s="111"/>
      <c r="HX373" s="105">
        <f t="shared" si="451"/>
        <v>0</v>
      </c>
      <c r="HY373" s="105">
        <f t="shared" si="451"/>
        <v>0</v>
      </c>
      <c r="HZ373" s="105">
        <f t="shared" si="451"/>
        <v>0</v>
      </c>
      <c r="IA373" s="105">
        <f t="shared" si="445"/>
        <v>0</v>
      </c>
      <c r="IB373" s="109">
        <f t="shared" si="446"/>
        <v>0</v>
      </c>
      <c r="IC373" s="109">
        <f t="shared" si="447"/>
        <v>0</v>
      </c>
      <c r="ID373" s="109">
        <f t="shared" si="448"/>
        <v>0</v>
      </c>
      <c r="IE373" s="109">
        <f t="shared" si="449"/>
        <v>0</v>
      </c>
      <c r="IF373" s="197"/>
      <c r="IG373" s="197"/>
      <c r="IH373" s="197"/>
      <c r="II373" s="197"/>
      <c r="IJ373" s="197"/>
      <c r="IK373" s="197"/>
      <c r="IL373" s="197"/>
      <c r="IM373" s="171"/>
      <c r="IN373" s="171"/>
      <c r="IO373" s="171"/>
      <c r="IP373" s="171"/>
    </row>
    <row r="374" spans="1:250" ht="15" customHeight="1" x14ac:dyDescent="0.3">
      <c r="A374" s="110">
        <f t="shared" si="450"/>
        <v>370</v>
      </c>
      <c r="B374" s="111"/>
      <c r="C374" s="111"/>
      <c r="D374" s="111"/>
      <c r="E374" s="111"/>
      <c r="F374" s="111"/>
      <c r="G374" s="111"/>
      <c r="H374" s="111"/>
      <c r="I374" s="194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75"/>
      <c r="AI374" s="111"/>
      <c r="AJ374" s="111"/>
      <c r="AK374" s="111"/>
      <c r="AL374" s="177"/>
      <c r="AM374" s="176"/>
      <c r="AN374" s="177"/>
      <c r="AO374" s="157"/>
      <c r="AP374" s="158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  <c r="BB374" s="111"/>
      <c r="BC374" s="111"/>
      <c r="BD374" s="111"/>
      <c r="BE374" s="111"/>
      <c r="BF374" s="111"/>
      <c r="BG374" s="111"/>
      <c r="BH374" s="111"/>
      <c r="BI374" s="111"/>
      <c r="BJ374" s="111"/>
      <c r="BK374" s="111"/>
      <c r="BL374" s="175"/>
      <c r="BM374" s="111"/>
      <c r="BN374" s="111"/>
      <c r="BO374" s="111"/>
      <c r="BP374" s="111"/>
      <c r="BQ374" s="111"/>
      <c r="BR374" s="111"/>
      <c r="BS374" s="111"/>
      <c r="BT374" s="111"/>
      <c r="BU374" s="111"/>
      <c r="BV374" s="111"/>
      <c r="BW374" s="111"/>
      <c r="BX374" s="111"/>
      <c r="BY374" s="111"/>
      <c r="BZ374" s="111"/>
      <c r="CA374" s="111"/>
      <c r="CB374" s="111"/>
      <c r="CC374" s="178"/>
      <c r="CD374" s="177">
        <f t="shared" si="434"/>
        <v>0</v>
      </c>
      <c r="CE374" s="148"/>
      <c r="CF374" s="111">
        <f t="shared" si="435"/>
        <v>0</v>
      </c>
      <c r="CG374" s="177"/>
      <c r="CH374" s="204"/>
      <c r="CI374" s="148"/>
      <c r="CJ374" s="165"/>
      <c r="CK374" s="165"/>
      <c r="CL374" s="111"/>
      <c r="CM374" s="111"/>
      <c r="CN374" s="165">
        <f t="shared" si="436"/>
        <v>0</v>
      </c>
      <c r="CO374" s="109">
        <f t="shared" si="437"/>
        <v>0</v>
      </c>
      <c r="CP374" s="109">
        <f t="shared" si="438"/>
        <v>0</v>
      </c>
      <c r="CQ374" s="109"/>
      <c r="CR374" s="109"/>
      <c r="CS374" s="196"/>
      <c r="CT374" s="167"/>
      <c r="CU374" s="165"/>
      <c r="CV374" s="109">
        <f t="shared" si="439"/>
        <v>0</v>
      </c>
      <c r="CW374" s="109">
        <f t="shared" si="440"/>
        <v>0</v>
      </c>
      <c r="CX374" s="109"/>
      <c r="CY374" s="109"/>
      <c r="CZ374" s="111"/>
      <c r="DA374" s="111"/>
      <c r="DB374" s="165"/>
      <c r="DC374" s="109">
        <f t="shared" si="441"/>
        <v>0</v>
      </c>
      <c r="DD374" s="109">
        <f t="shared" si="442"/>
        <v>0</v>
      </c>
      <c r="DE374" s="109"/>
      <c r="DF374" s="109"/>
      <c r="DG374" s="111"/>
      <c r="DH374" s="111"/>
      <c r="DI374" s="165"/>
      <c r="DJ374" s="109">
        <f t="shared" si="443"/>
        <v>0</v>
      </c>
      <c r="DK374" s="109">
        <f t="shared" si="444"/>
        <v>0</v>
      </c>
      <c r="DL374" s="109"/>
      <c r="DM374" s="109"/>
      <c r="DN374" s="111"/>
      <c r="DO374" s="111"/>
      <c r="DP374" s="165"/>
      <c r="DQ374" s="109">
        <f t="shared" si="452"/>
        <v>0</v>
      </c>
      <c r="DR374" s="109">
        <f t="shared" si="453"/>
        <v>0</v>
      </c>
      <c r="DS374" s="109"/>
      <c r="DT374" s="109"/>
      <c r="DU374" s="111"/>
      <c r="DV374" s="111"/>
      <c r="DW374" s="165"/>
      <c r="DX374" s="109">
        <f t="shared" si="454"/>
        <v>0</v>
      </c>
      <c r="DY374" s="109">
        <f t="shared" si="455"/>
        <v>0</v>
      </c>
      <c r="DZ374" s="109"/>
      <c r="EA374" s="109"/>
      <c r="EB374" s="111"/>
      <c r="EC374" s="111"/>
      <c r="ED374" s="165"/>
      <c r="EE374" s="109">
        <f t="shared" si="456"/>
        <v>0</v>
      </c>
      <c r="EF374" s="109">
        <f t="shared" si="457"/>
        <v>0</v>
      </c>
      <c r="EG374" s="109"/>
      <c r="EH374" s="109"/>
      <c r="EI374" s="111"/>
      <c r="EJ374" s="111"/>
      <c r="EK374" s="165"/>
      <c r="EL374" s="109">
        <f t="shared" si="458"/>
        <v>0</v>
      </c>
      <c r="EM374" s="109">
        <f t="shared" si="459"/>
        <v>0</v>
      </c>
      <c r="EN374" s="109"/>
      <c r="EO374" s="109"/>
      <c r="EP374" s="111"/>
      <c r="EQ374" s="111"/>
      <c r="ER374" s="165"/>
      <c r="ES374" s="109">
        <f t="shared" si="460"/>
        <v>0</v>
      </c>
      <c r="ET374" s="109">
        <f t="shared" si="461"/>
        <v>0</v>
      </c>
      <c r="EU374" s="109"/>
      <c r="EV374" s="109"/>
      <c r="EW374" s="111"/>
      <c r="EX374" s="111"/>
      <c r="EY374" s="165"/>
      <c r="EZ374" s="109">
        <f t="shared" si="462"/>
        <v>0</v>
      </c>
      <c r="FA374" s="109">
        <f t="shared" si="463"/>
        <v>0</v>
      </c>
      <c r="FB374" s="109"/>
      <c r="FC374" s="109"/>
      <c r="FD374" s="111"/>
      <c r="FE374" s="111"/>
      <c r="FF374" s="165"/>
      <c r="FG374" s="109">
        <f t="shared" si="464"/>
        <v>0</v>
      </c>
      <c r="FH374" s="109">
        <f t="shared" si="465"/>
        <v>0</v>
      </c>
      <c r="FI374" s="109"/>
      <c r="FJ374" s="109"/>
      <c r="FK374" s="111"/>
      <c r="FL374" s="111"/>
      <c r="FM374" s="165"/>
      <c r="FN374" s="109">
        <f t="shared" si="466"/>
        <v>0</v>
      </c>
      <c r="FO374" s="109">
        <f t="shared" si="467"/>
        <v>0</v>
      </c>
      <c r="FP374" s="109"/>
      <c r="FQ374" s="109"/>
      <c r="FR374" s="111"/>
      <c r="FS374" s="111"/>
      <c r="FT374" s="165"/>
      <c r="FU374" s="109">
        <f t="shared" si="468"/>
        <v>0</v>
      </c>
      <c r="FV374" s="109">
        <f t="shared" si="476"/>
        <v>0</v>
      </c>
      <c r="FW374" s="109"/>
      <c r="FX374" s="109"/>
      <c r="FY374" s="111"/>
      <c r="FZ374" s="111"/>
      <c r="GA374" s="165"/>
      <c r="GB374" s="109">
        <f t="shared" si="469"/>
        <v>0</v>
      </c>
      <c r="GC374" s="109">
        <f t="shared" si="477"/>
        <v>0</v>
      </c>
      <c r="GD374" s="109"/>
      <c r="GE374" s="109"/>
      <c r="GF374" s="111"/>
      <c r="GG374" s="111"/>
      <c r="GH374" s="165"/>
      <c r="GI374" s="109">
        <f t="shared" si="470"/>
        <v>0</v>
      </c>
      <c r="GJ374" s="109">
        <f t="shared" si="478"/>
        <v>0</v>
      </c>
      <c r="GK374" s="109"/>
      <c r="GL374" s="109"/>
      <c r="GM374" s="111"/>
      <c r="GN374" s="111"/>
      <c r="GO374" s="165"/>
      <c r="GP374" s="109">
        <f t="shared" si="471"/>
        <v>0</v>
      </c>
      <c r="GQ374" s="109">
        <f t="shared" si="479"/>
        <v>0</v>
      </c>
      <c r="GR374" s="109"/>
      <c r="GS374" s="109"/>
      <c r="GT374" s="111"/>
      <c r="GU374" s="111"/>
      <c r="GV374" s="165"/>
      <c r="GW374" s="168">
        <f t="shared" si="472"/>
        <v>0</v>
      </c>
      <c r="GX374" s="168">
        <f t="shared" si="480"/>
        <v>0</v>
      </c>
      <c r="GY374" s="168"/>
      <c r="GZ374" s="168"/>
      <c r="HA374" s="111"/>
      <c r="HB374" s="111"/>
      <c r="HC374" s="165"/>
      <c r="HD374" s="109">
        <f t="shared" si="473"/>
        <v>0</v>
      </c>
      <c r="HE374" s="109">
        <f t="shared" si="481"/>
        <v>0</v>
      </c>
      <c r="HF374" s="109"/>
      <c r="HG374" s="109"/>
      <c r="HH374" s="111"/>
      <c r="HI374" s="111"/>
      <c r="HJ374" s="165"/>
      <c r="HK374" s="109">
        <f t="shared" si="474"/>
        <v>0</v>
      </c>
      <c r="HL374" s="109">
        <f t="shared" si="482"/>
        <v>0</v>
      </c>
      <c r="HM374" s="109"/>
      <c r="HN374" s="109"/>
      <c r="HO374" s="111"/>
      <c r="HP374" s="111"/>
      <c r="HQ374" s="165"/>
      <c r="HR374" s="109">
        <f t="shared" si="475"/>
        <v>0</v>
      </c>
      <c r="HS374" s="109">
        <f t="shared" si="483"/>
        <v>0</v>
      </c>
      <c r="HT374" s="109"/>
      <c r="HU374" s="109"/>
      <c r="HV374" s="111"/>
      <c r="HW374" s="111"/>
      <c r="HX374" s="105">
        <f t="shared" si="451"/>
        <v>0</v>
      </c>
      <c r="HY374" s="105">
        <f t="shared" si="451"/>
        <v>0</v>
      </c>
      <c r="HZ374" s="105">
        <f t="shared" si="451"/>
        <v>0</v>
      </c>
      <c r="IA374" s="105">
        <f t="shared" si="445"/>
        <v>0</v>
      </c>
      <c r="IB374" s="109">
        <f t="shared" si="446"/>
        <v>0</v>
      </c>
      <c r="IC374" s="109">
        <f t="shared" si="447"/>
        <v>0</v>
      </c>
      <c r="ID374" s="109">
        <f t="shared" si="448"/>
        <v>0</v>
      </c>
      <c r="IE374" s="109">
        <f t="shared" si="449"/>
        <v>0</v>
      </c>
      <c r="IF374" s="197"/>
      <c r="IG374" s="197"/>
      <c r="IH374" s="197"/>
      <c r="II374" s="197"/>
      <c r="IJ374" s="197"/>
      <c r="IK374" s="197"/>
      <c r="IL374" s="197"/>
      <c r="IM374" s="171"/>
      <c r="IN374" s="171"/>
      <c r="IO374" s="171"/>
      <c r="IP374" s="171"/>
    </row>
    <row r="375" spans="1:250" ht="15" customHeight="1" x14ac:dyDescent="0.3">
      <c r="A375" s="110">
        <f t="shared" si="450"/>
        <v>371</v>
      </c>
      <c r="B375" s="111"/>
      <c r="C375" s="111"/>
      <c r="D375" s="111"/>
      <c r="E375" s="111"/>
      <c r="F375" s="111"/>
      <c r="G375" s="111"/>
      <c r="H375" s="111"/>
      <c r="I375" s="194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75"/>
      <c r="AI375" s="111"/>
      <c r="AJ375" s="111"/>
      <c r="AK375" s="111"/>
      <c r="AL375" s="177"/>
      <c r="AM375" s="176"/>
      <c r="AN375" s="177"/>
      <c r="AO375" s="157"/>
      <c r="AP375" s="158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  <c r="BG375" s="111"/>
      <c r="BH375" s="111"/>
      <c r="BI375" s="111"/>
      <c r="BJ375" s="111"/>
      <c r="BK375" s="111"/>
      <c r="BL375" s="175"/>
      <c r="BM375" s="111"/>
      <c r="BN375" s="111"/>
      <c r="BO375" s="111"/>
      <c r="BP375" s="111"/>
      <c r="BQ375" s="111"/>
      <c r="BR375" s="111"/>
      <c r="BS375" s="111"/>
      <c r="BT375" s="111"/>
      <c r="BU375" s="111"/>
      <c r="BV375" s="111"/>
      <c r="BW375" s="111"/>
      <c r="BX375" s="111"/>
      <c r="BY375" s="111"/>
      <c r="BZ375" s="111"/>
      <c r="CA375" s="111"/>
      <c r="CB375" s="111"/>
      <c r="CC375" s="178"/>
      <c r="CD375" s="177">
        <f t="shared" si="434"/>
        <v>0</v>
      </c>
      <c r="CE375" s="148"/>
      <c r="CF375" s="111">
        <f t="shared" si="435"/>
        <v>0</v>
      </c>
      <c r="CG375" s="177"/>
      <c r="CH375" s="204"/>
      <c r="CI375" s="148"/>
      <c r="CJ375" s="165"/>
      <c r="CK375" s="165"/>
      <c r="CL375" s="111"/>
      <c r="CM375" s="111"/>
      <c r="CN375" s="165">
        <f t="shared" si="436"/>
        <v>0</v>
      </c>
      <c r="CO375" s="109">
        <f t="shared" si="437"/>
        <v>0</v>
      </c>
      <c r="CP375" s="109">
        <f t="shared" si="438"/>
        <v>0</v>
      </c>
      <c r="CQ375" s="109"/>
      <c r="CR375" s="109"/>
      <c r="CS375" s="196"/>
      <c r="CT375" s="167"/>
      <c r="CU375" s="165"/>
      <c r="CV375" s="109">
        <f t="shared" si="439"/>
        <v>0</v>
      </c>
      <c r="CW375" s="109">
        <f t="shared" si="440"/>
        <v>0</v>
      </c>
      <c r="CX375" s="109"/>
      <c r="CY375" s="109"/>
      <c r="CZ375" s="111"/>
      <c r="DA375" s="111"/>
      <c r="DB375" s="165"/>
      <c r="DC375" s="109">
        <f t="shared" si="441"/>
        <v>0</v>
      </c>
      <c r="DD375" s="109">
        <f t="shared" si="442"/>
        <v>0</v>
      </c>
      <c r="DE375" s="109"/>
      <c r="DF375" s="109"/>
      <c r="DG375" s="111"/>
      <c r="DH375" s="111"/>
      <c r="DI375" s="165"/>
      <c r="DJ375" s="109">
        <f t="shared" si="443"/>
        <v>0</v>
      </c>
      <c r="DK375" s="109">
        <f t="shared" si="444"/>
        <v>0</v>
      </c>
      <c r="DL375" s="109"/>
      <c r="DM375" s="109"/>
      <c r="DN375" s="111"/>
      <c r="DO375" s="111"/>
      <c r="DP375" s="165"/>
      <c r="DQ375" s="109">
        <f t="shared" si="452"/>
        <v>0</v>
      </c>
      <c r="DR375" s="109">
        <f t="shared" si="453"/>
        <v>0</v>
      </c>
      <c r="DS375" s="109"/>
      <c r="DT375" s="109"/>
      <c r="DU375" s="111"/>
      <c r="DV375" s="111"/>
      <c r="DW375" s="165"/>
      <c r="DX375" s="109">
        <f t="shared" si="454"/>
        <v>0</v>
      </c>
      <c r="DY375" s="109">
        <f t="shared" si="455"/>
        <v>0</v>
      </c>
      <c r="DZ375" s="109"/>
      <c r="EA375" s="109"/>
      <c r="EB375" s="111"/>
      <c r="EC375" s="111"/>
      <c r="ED375" s="165"/>
      <c r="EE375" s="109">
        <f t="shared" si="456"/>
        <v>0</v>
      </c>
      <c r="EF375" s="109">
        <f t="shared" si="457"/>
        <v>0</v>
      </c>
      <c r="EG375" s="109"/>
      <c r="EH375" s="109"/>
      <c r="EI375" s="111"/>
      <c r="EJ375" s="111"/>
      <c r="EK375" s="165"/>
      <c r="EL375" s="109">
        <f t="shared" si="458"/>
        <v>0</v>
      </c>
      <c r="EM375" s="109">
        <f t="shared" si="459"/>
        <v>0</v>
      </c>
      <c r="EN375" s="109"/>
      <c r="EO375" s="109"/>
      <c r="EP375" s="111"/>
      <c r="EQ375" s="111"/>
      <c r="ER375" s="165"/>
      <c r="ES375" s="109">
        <f t="shared" si="460"/>
        <v>0</v>
      </c>
      <c r="ET375" s="109">
        <f t="shared" si="461"/>
        <v>0</v>
      </c>
      <c r="EU375" s="109"/>
      <c r="EV375" s="109"/>
      <c r="EW375" s="111"/>
      <c r="EX375" s="111"/>
      <c r="EY375" s="165"/>
      <c r="EZ375" s="109">
        <f t="shared" si="462"/>
        <v>0</v>
      </c>
      <c r="FA375" s="109">
        <f t="shared" si="463"/>
        <v>0</v>
      </c>
      <c r="FB375" s="109"/>
      <c r="FC375" s="109"/>
      <c r="FD375" s="111"/>
      <c r="FE375" s="111"/>
      <c r="FF375" s="165"/>
      <c r="FG375" s="109">
        <f t="shared" si="464"/>
        <v>0</v>
      </c>
      <c r="FH375" s="109">
        <f t="shared" si="465"/>
        <v>0</v>
      </c>
      <c r="FI375" s="109"/>
      <c r="FJ375" s="109"/>
      <c r="FK375" s="111"/>
      <c r="FL375" s="111"/>
      <c r="FM375" s="165"/>
      <c r="FN375" s="109">
        <f t="shared" si="466"/>
        <v>0</v>
      </c>
      <c r="FO375" s="109">
        <f t="shared" si="467"/>
        <v>0</v>
      </c>
      <c r="FP375" s="109"/>
      <c r="FQ375" s="109"/>
      <c r="FR375" s="111"/>
      <c r="FS375" s="111"/>
      <c r="FT375" s="165"/>
      <c r="FU375" s="109">
        <f t="shared" si="468"/>
        <v>0</v>
      </c>
      <c r="FV375" s="109">
        <f t="shared" si="476"/>
        <v>0</v>
      </c>
      <c r="FW375" s="109"/>
      <c r="FX375" s="109"/>
      <c r="FY375" s="111"/>
      <c r="FZ375" s="111"/>
      <c r="GA375" s="165"/>
      <c r="GB375" s="109">
        <f t="shared" si="469"/>
        <v>0</v>
      </c>
      <c r="GC375" s="109">
        <f t="shared" si="477"/>
        <v>0</v>
      </c>
      <c r="GD375" s="109"/>
      <c r="GE375" s="109"/>
      <c r="GF375" s="111"/>
      <c r="GG375" s="111"/>
      <c r="GH375" s="165"/>
      <c r="GI375" s="109">
        <f t="shared" si="470"/>
        <v>0</v>
      </c>
      <c r="GJ375" s="109">
        <f t="shared" si="478"/>
        <v>0</v>
      </c>
      <c r="GK375" s="109"/>
      <c r="GL375" s="109"/>
      <c r="GM375" s="111"/>
      <c r="GN375" s="111"/>
      <c r="GO375" s="165"/>
      <c r="GP375" s="109">
        <f t="shared" si="471"/>
        <v>0</v>
      </c>
      <c r="GQ375" s="109">
        <f t="shared" si="479"/>
        <v>0</v>
      </c>
      <c r="GR375" s="109"/>
      <c r="GS375" s="109"/>
      <c r="GT375" s="111"/>
      <c r="GU375" s="111"/>
      <c r="GV375" s="165"/>
      <c r="GW375" s="168">
        <f t="shared" si="472"/>
        <v>0</v>
      </c>
      <c r="GX375" s="168">
        <f t="shared" si="480"/>
        <v>0</v>
      </c>
      <c r="GY375" s="168"/>
      <c r="GZ375" s="168"/>
      <c r="HA375" s="111"/>
      <c r="HB375" s="111"/>
      <c r="HC375" s="165"/>
      <c r="HD375" s="109">
        <f t="shared" si="473"/>
        <v>0</v>
      </c>
      <c r="HE375" s="109">
        <f t="shared" si="481"/>
        <v>0</v>
      </c>
      <c r="HF375" s="109"/>
      <c r="HG375" s="109"/>
      <c r="HH375" s="111"/>
      <c r="HI375" s="111"/>
      <c r="HJ375" s="165"/>
      <c r="HK375" s="109">
        <f t="shared" si="474"/>
        <v>0</v>
      </c>
      <c r="HL375" s="109">
        <f t="shared" si="482"/>
        <v>0</v>
      </c>
      <c r="HM375" s="109"/>
      <c r="HN375" s="109"/>
      <c r="HO375" s="111"/>
      <c r="HP375" s="111"/>
      <c r="HQ375" s="165"/>
      <c r="HR375" s="109">
        <f t="shared" si="475"/>
        <v>0</v>
      </c>
      <c r="HS375" s="109">
        <f t="shared" si="483"/>
        <v>0</v>
      </c>
      <c r="HT375" s="109"/>
      <c r="HU375" s="109"/>
      <c r="HV375" s="111"/>
      <c r="HW375" s="111"/>
      <c r="HX375" s="105">
        <f t="shared" si="451"/>
        <v>0</v>
      </c>
      <c r="HY375" s="105">
        <f t="shared" si="451"/>
        <v>0</v>
      </c>
      <c r="HZ375" s="105">
        <f t="shared" si="451"/>
        <v>0</v>
      </c>
      <c r="IA375" s="105">
        <f t="shared" si="445"/>
        <v>0</v>
      </c>
      <c r="IB375" s="109">
        <f t="shared" si="446"/>
        <v>0</v>
      </c>
      <c r="IC375" s="109">
        <f t="shared" si="447"/>
        <v>0</v>
      </c>
      <c r="ID375" s="109">
        <f t="shared" si="448"/>
        <v>0</v>
      </c>
      <c r="IE375" s="109">
        <f t="shared" si="449"/>
        <v>0</v>
      </c>
      <c r="IF375" s="197"/>
      <c r="IG375" s="197"/>
      <c r="IH375" s="197"/>
      <c r="II375" s="197"/>
      <c r="IJ375" s="197"/>
      <c r="IK375" s="197"/>
      <c r="IL375" s="197"/>
      <c r="IM375" s="171"/>
      <c r="IN375" s="171"/>
      <c r="IO375" s="171"/>
      <c r="IP375" s="171"/>
    </row>
    <row r="376" spans="1:250" ht="15" customHeight="1" x14ac:dyDescent="0.3">
      <c r="A376" s="110">
        <f t="shared" si="450"/>
        <v>372</v>
      </c>
      <c r="B376" s="111"/>
      <c r="C376" s="111"/>
      <c r="D376" s="111"/>
      <c r="E376" s="111"/>
      <c r="F376" s="111"/>
      <c r="G376" s="111"/>
      <c r="H376" s="111"/>
      <c r="I376" s="194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75"/>
      <c r="AI376" s="111"/>
      <c r="AJ376" s="111"/>
      <c r="AK376" s="111"/>
      <c r="AL376" s="177"/>
      <c r="AM376" s="176"/>
      <c r="AN376" s="177"/>
      <c r="AO376" s="157"/>
      <c r="AP376" s="158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1"/>
      <c r="BC376" s="111"/>
      <c r="BD376" s="111"/>
      <c r="BE376" s="111"/>
      <c r="BF376" s="111"/>
      <c r="BG376" s="111"/>
      <c r="BH376" s="111"/>
      <c r="BI376" s="111"/>
      <c r="BJ376" s="111"/>
      <c r="BK376" s="111"/>
      <c r="BL376" s="175"/>
      <c r="BM376" s="111"/>
      <c r="BN376" s="111"/>
      <c r="BO376" s="111"/>
      <c r="BP376" s="111"/>
      <c r="BQ376" s="111"/>
      <c r="BR376" s="111"/>
      <c r="BS376" s="111"/>
      <c r="BT376" s="111"/>
      <c r="BU376" s="111"/>
      <c r="BV376" s="111"/>
      <c r="BW376" s="111"/>
      <c r="BX376" s="111"/>
      <c r="BY376" s="111"/>
      <c r="BZ376" s="111"/>
      <c r="CA376" s="111"/>
      <c r="CB376" s="111"/>
      <c r="CC376" s="178"/>
      <c r="CD376" s="177">
        <f t="shared" si="434"/>
        <v>0</v>
      </c>
      <c r="CE376" s="148"/>
      <c r="CF376" s="111">
        <f t="shared" si="435"/>
        <v>0</v>
      </c>
      <c r="CG376" s="177"/>
      <c r="CH376" s="204"/>
      <c r="CI376" s="148"/>
      <c r="CJ376" s="165"/>
      <c r="CK376" s="165"/>
      <c r="CL376" s="111"/>
      <c r="CM376" s="111"/>
      <c r="CN376" s="165">
        <f t="shared" si="436"/>
        <v>0</v>
      </c>
      <c r="CO376" s="109">
        <f t="shared" si="437"/>
        <v>0</v>
      </c>
      <c r="CP376" s="109">
        <f t="shared" si="438"/>
        <v>0</v>
      </c>
      <c r="CQ376" s="109"/>
      <c r="CR376" s="109"/>
      <c r="CS376" s="196"/>
      <c r="CT376" s="167"/>
      <c r="CU376" s="165"/>
      <c r="CV376" s="109">
        <f t="shared" si="439"/>
        <v>0</v>
      </c>
      <c r="CW376" s="109">
        <f t="shared" si="440"/>
        <v>0</v>
      </c>
      <c r="CX376" s="109"/>
      <c r="CY376" s="109"/>
      <c r="CZ376" s="111"/>
      <c r="DA376" s="111"/>
      <c r="DB376" s="165"/>
      <c r="DC376" s="109">
        <f t="shared" si="441"/>
        <v>0</v>
      </c>
      <c r="DD376" s="109">
        <f t="shared" si="442"/>
        <v>0</v>
      </c>
      <c r="DE376" s="109"/>
      <c r="DF376" s="109"/>
      <c r="DG376" s="111"/>
      <c r="DH376" s="111"/>
      <c r="DI376" s="165"/>
      <c r="DJ376" s="109">
        <f t="shared" si="443"/>
        <v>0</v>
      </c>
      <c r="DK376" s="109">
        <f t="shared" si="444"/>
        <v>0</v>
      </c>
      <c r="DL376" s="109"/>
      <c r="DM376" s="109"/>
      <c r="DN376" s="111"/>
      <c r="DO376" s="111"/>
      <c r="DP376" s="165"/>
      <c r="DQ376" s="109">
        <f t="shared" si="452"/>
        <v>0</v>
      </c>
      <c r="DR376" s="109">
        <f t="shared" si="453"/>
        <v>0</v>
      </c>
      <c r="DS376" s="109"/>
      <c r="DT376" s="109"/>
      <c r="DU376" s="111"/>
      <c r="DV376" s="111"/>
      <c r="DW376" s="165"/>
      <c r="DX376" s="109">
        <f t="shared" si="454"/>
        <v>0</v>
      </c>
      <c r="DY376" s="109">
        <f t="shared" si="455"/>
        <v>0</v>
      </c>
      <c r="DZ376" s="109"/>
      <c r="EA376" s="109"/>
      <c r="EB376" s="111"/>
      <c r="EC376" s="111"/>
      <c r="ED376" s="165"/>
      <c r="EE376" s="109">
        <f t="shared" si="456"/>
        <v>0</v>
      </c>
      <c r="EF376" s="109">
        <f t="shared" si="457"/>
        <v>0</v>
      </c>
      <c r="EG376" s="109"/>
      <c r="EH376" s="109"/>
      <c r="EI376" s="111"/>
      <c r="EJ376" s="111"/>
      <c r="EK376" s="165"/>
      <c r="EL376" s="109">
        <f t="shared" si="458"/>
        <v>0</v>
      </c>
      <c r="EM376" s="109">
        <f t="shared" si="459"/>
        <v>0</v>
      </c>
      <c r="EN376" s="109"/>
      <c r="EO376" s="109"/>
      <c r="EP376" s="111"/>
      <c r="EQ376" s="111"/>
      <c r="ER376" s="165"/>
      <c r="ES376" s="109">
        <f t="shared" si="460"/>
        <v>0</v>
      </c>
      <c r="ET376" s="109">
        <f t="shared" si="461"/>
        <v>0</v>
      </c>
      <c r="EU376" s="109"/>
      <c r="EV376" s="109"/>
      <c r="EW376" s="111"/>
      <c r="EX376" s="111"/>
      <c r="EY376" s="165"/>
      <c r="EZ376" s="109">
        <f t="shared" si="462"/>
        <v>0</v>
      </c>
      <c r="FA376" s="109">
        <f t="shared" si="463"/>
        <v>0</v>
      </c>
      <c r="FB376" s="109"/>
      <c r="FC376" s="109"/>
      <c r="FD376" s="111"/>
      <c r="FE376" s="111"/>
      <c r="FF376" s="165"/>
      <c r="FG376" s="109">
        <f t="shared" si="464"/>
        <v>0</v>
      </c>
      <c r="FH376" s="109">
        <f t="shared" si="465"/>
        <v>0</v>
      </c>
      <c r="FI376" s="109"/>
      <c r="FJ376" s="109"/>
      <c r="FK376" s="111"/>
      <c r="FL376" s="111"/>
      <c r="FM376" s="165"/>
      <c r="FN376" s="109">
        <f t="shared" si="466"/>
        <v>0</v>
      </c>
      <c r="FO376" s="109">
        <f t="shared" si="467"/>
        <v>0</v>
      </c>
      <c r="FP376" s="109"/>
      <c r="FQ376" s="109"/>
      <c r="FR376" s="111"/>
      <c r="FS376" s="111"/>
      <c r="FT376" s="165"/>
      <c r="FU376" s="109">
        <f t="shared" si="468"/>
        <v>0</v>
      </c>
      <c r="FV376" s="109">
        <f t="shared" si="476"/>
        <v>0</v>
      </c>
      <c r="FW376" s="109"/>
      <c r="FX376" s="109"/>
      <c r="FY376" s="111"/>
      <c r="FZ376" s="111"/>
      <c r="GA376" s="165"/>
      <c r="GB376" s="109">
        <f t="shared" si="469"/>
        <v>0</v>
      </c>
      <c r="GC376" s="109">
        <f t="shared" si="477"/>
        <v>0</v>
      </c>
      <c r="GD376" s="109"/>
      <c r="GE376" s="109"/>
      <c r="GF376" s="111"/>
      <c r="GG376" s="111"/>
      <c r="GH376" s="165"/>
      <c r="GI376" s="109">
        <f t="shared" si="470"/>
        <v>0</v>
      </c>
      <c r="GJ376" s="109">
        <f t="shared" si="478"/>
        <v>0</v>
      </c>
      <c r="GK376" s="109"/>
      <c r="GL376" s="109"/>
      <c r="GM376" s="111"/>
      <c r="GN376" s="111"/>
      <c r="GO376" s="165"/>
      <c r="GP376" s="109">
        <f t="shared" si="471"/>
        <v>0</v>
      </c>
      <c r="GQ376" s="109">
        <f t="shared" si="479"/>
        <v>0</v>
      </c>
      <c r="GR376" s="109"/>
      <c r="GS376" s="109"/>
      <c r="GT376" s="111"/>
      <c r="GU376" s="111"/>
      <c r="GV376" s="165"/>
      <c r="GW376" s="168">
        <f t="shared" si="472"/>
        <v>0</v>
      </c>
      <c r="GX376" s="168">
        <f t="shared" si="480"/>
        <v>0</v>
      </c>
      <c r="GY376" s="168"/>
      <c r="GZ376" s="168"/>
      <c r="HA376" s="111"/>
      <c r="HB376" s="111"/>
      <c r="HC376" s="165"/>
      <c r="HD376" s="109">
        <f t="shared" si="473"/>
        <v>0</v>
      </c>
      <c r="HE376" s="109">
        <f t="shared" si="481"/>
        <v>0</v>
      </c>
      <c r="HF376" s="109"/>
      <c r="HG376" s="109"/>
      <c r="HH376" s="111"/>
      <c r="HI376" s="111"/>
      <c r="HJ376" s="165"/>
      <c r="HK376" s="109">
        <f t="shared" si="474"/>
        <v>0</v>
      </c>
      <c r="HL376" s="109">
        <f t="shared" si="482"/>
        <v>0</v>
      </c>
      <c r="HM376" s="109"/>
      <c r="HN376" s="109"/>
      <c r="HO376" s="111"/>
      <c r="HP376" s="111"/>
      <c r="HQ376" s="165"/>
      <c r="HR376" s="109">
        <f t="shared" si="475"/>
        <v>0</v>
      </c>
      <c r="HS376" s="109">
        <f t="shared" si="483"/>
        <v>0</v>
      </c>
      <c r="HT376" s="109"/>
      <c r="HU376" s="109"/>
      <c r="HV376" s="111"/>
      <c r="HW376" s="111"/>
      <c r="HX376" s="105">
        <f t="shared" si="451"/>
        <v>0</v>
      </c>
      <c r="HY376" s="105">
        <f t="shared" si="451"/>
        <v>0</v>
      </c>
      <c r="HZ376" s="105">
        <f t="shared" si="451"/>
        <v>0</v>
      </c>
      <c r="IA376" s="105">
        <f t="shared" si="445"/>
        <v>0</v>
      </c>
      <c r="IB376" s="109">
        <f t="shared" si="446"/>
        <v>0</v>
      </c>
      <c r="IC376" s="109">
        <f t="shared" si="447"/>
        <v>0</v>
      </c>
      <c r="ID376" s="109">
        <f t="shared" si="448"/>
        <v>0</v>
      </c>
      <c r="IE376" s="109">
        <f t="shared" si="449"/>
        <v>0</v>
      </c>
      <c r="IF376" s="197"/>
      <c r="IG376" s="197"/>
      <c r="IH376" s="197"/>
      <c r="II376" s="197"/>
      <c r="IJ376" s="197"/>
      <c r="IK376" s="197"/>
      <c r="IL376" s="197"/>
      <c r="IM376" s="171"/>
      <c r="IN376" s="171"/>
      <c r="IO376" s="171"/>
      <c r="IP376" s="171"/>
    </row>
    <row r="377" spans="1:250" ht="15" customHeight="1" x14ac:dyDescent="0.3">
      <c r="A377" s="110">
        <f t="shared" si="450"/>
        <v>373</v>
      </c>
      <c r="B377" s="111"/>
      <c r="C377" s="111"/>
      <c r="D377" s="111"/>
      <c r="E377" s="111"/>
      <c r="F377" s="111"/>
      <c r="G377" s="111"/>
      <c r="H377" s="111"/>
      <c r="I377" s="194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75"/>
      <c r="AI377" s="111"/>
      <c r="AJ377" s="111"/>
      <c r="AK377" s="111"/>
      <c r="AL377" s="177"/>
      <c r="AM377" s="176"/>
      <c r="AN377" s="177"/>
      <c r="AO377" s="157"/>
      <c r="AP377" s="158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  <c r="BB377" s="111"/>
      <c r="BC377" s="111"/>
      <c r="BD377" s="111"/>
      <c r="BE377" s="111"/>
      <c r="BF377" s="111"/>
      <c r="BG377" s="111"/>
      <c r="BH377" s="111"/>
      <c r="BI377" s="111"/>
      <c r="BJ377" s="111"/>
      <c r="BK377" s="111"/>
      <c r="BL377" s="175"/>
      <c r="BM377" s="111"/>
      <c r="BN377" s="111"/>
      <c r="BO377" s="111"/>
      <c r="BP377" s="111"/>
      <c r="BQ377" s="111"/>
      <c r="BR377" s="111"/>
      <c r="BS377" s="111"/>
      <c r="BT377" s="111"/>
      <c r="BU377" s="111"/>
      <c r="BV377" s="111"/>
      <c r="BW377" s="111"/>
      <c r="BX377" s="111"/>
      <c r="BY377" s="111"/>
      <c r="BZ377" s="111"/>
      <c r="CA377" s="111"/>
      <c r="CB377" s="111"/>
      <c r="CC377" s="178"/>
      <c r="CD377" s="177">
        <f t="shared" si="434"/>
        <v>0</v>
      </c>
      <c r="CE377" s="148"/>
      <c r="CF377" s="111">
        <f t="shared" si="435"/>
        <v>0</v>
      </c>
      <c r="CG377" s="177"/>
      <c r="CH377" s="204"/>
      <c r="CI377" s="148"/>
      <c r="CJ377" s="165"/>
      <c r="CK377" s="165"/>
      <c r="CL377" s="111"/>
      <c r="CM377" s="111"/>
      <c r="CN377" s="165">
        <f t="shared" si="436"/>
        <v>0</v>
      </c>
      <c r="CO377" s="109">
        <f t="shared" si="437"/>
        <v>0</v>
      </c>
      <c r="CP377" s="109">
        <f t="shared" si="438"/>
        <v>0</v>
      </c>
      <c r="CQ377" s="109"/>
      <c r="CR377" s="109"/>
      <c r="CS377" s="196"/>
      <c r="CT377" s="167"/>
      <c r="CU377" s="165"/>
      <c r="CV377" s="109">
        <f t="shared" si="439"/>
        <v>0</v>
      </c>
      <c r="CW377" s="109">
        <f t="shared" si="440"/>
        <v>0</v>
      </c>
      <c r="CX377" s="109"/>
      <c r="CY377" s="109"/>
      <c r="CZ377" s="111"/>
      <c r="DA377" s="111"/>
      <c r="DB377" s="165"/>
      <c r="DC377" s="109">
        <f t="shared" si="441"/>
        <v>0</v>
      </c>
      <c r="DD377" s="109">
        <f t="shared" si="442"/>
        <v>0</v>
      </c>
      <c r="DE377" s="109"/>
      <c r="DF377" s="109"/>
      <c r="DG377" s="111"/>
      <c r="DH377" s="111"/>
      <c r="DI377" s="165"/>
      <c r="DJ377" s="109">
        <f t="shared" si="443"/>
        <v>0</v>
      </c>
      <c r="DK377" s="109">
        <f t="shared" si="444"/>
        <v>0</v>
      </c>
      <c r="DL377" s="109"/>
      <c r="DM377" s="109"/>
      <c r="DN377" s="111"/>
      <c r="DO377" s="111"/>
      <c r="DP377" s="165"/>
      <c r="DQ377" s="109">
        <f t="shared" si="452"/>
        <v>0</v>
      </c>
      <c r="DR377" s="109">
        <f t="shared" si="453"/>
        <v>0</v>
      </c>
      <c r="DS377" s="109"/>
      <c r="DT377" s="109"/>
      <c r="DU377" s="111"/>
      <c r="DV377" s="111"/>
      <c r="DW377" s="165"/>
      <c r="DX377" s="109">
        <f t="shared" si="454"/>
        <v>0</v>
      </c>
      <c r="DY377" s="109">
        <f t="shared" si="455"/>
        <v>0</v>
      </c>
      <c r="DZ377" s="109"/>
      <c r="EA377" s="109"/>
      <c r="EB377" s="111"/>
      <c r="EC377" s="111"/>
      <c r="ED377" s="165"/>
      <c r="EE377" s="109">
        <f t="shared" si="456"/>
        <v>0</v>
      </c>
      <c r="EF377" s="109">
        <f t="shared" si="457"/>
        <v>0</v>
      </c>
      <c r="EG377" s="109"/>
      <c r="EH377" s="109"/>
      <c r="EI377" s="111"/>
      <c r="EJ377" s="111"/>
      <c r="EK377" s="165"/>
      <c r="EL377" s="109">
        <f t="shared" si="458"/>
        <v>0</v>
      </c>
      <c r="EM377" s="109">
        <f t="shared" si="459"/>
        <v>0</v>
      </c>
      <c r="EN377" s="109"/>
      <c r="EO377" s="109"/>
      <c r="EP377" s="111"/>
      <c r="EQ377" s="111"/>
      <c r="ER377" s="165"/>
      <c r="ES377" s="109">
        <f t="shared" si="460"/>
        <v>0</v>
      </c>
      <c r="ET377" s="109">
        <f t="shared" si="461"/>
        <v>0</v>
      </c>
      <c r="EU377" s="109"/>
      <c r="EV377" s="109"/>
      <c r="EW377" s="111"/>
      <c r="EX377" s="111"/>
      <c r="EY377" s="165"/>
      <c r="EZ377" s="109">
        <f t="shared" si="462"/>
        <v>0</v>
      </c>
      <c r="FA377" s="109">
        <f t="shared" si="463"/>
        <v>0</v>
      </c>
      <c r="FB377" s="109"/>
      <c r="FC377" s="109"/>
      <c r="FD377" s="111"/>
      <c r="FE377" s="111"/>
      <c r="FF377" s="165"/>
      <c r="FG377" s="109">
        <f t="shared" si="464"/>
        <v>0</v>
      </c>
      <c r="FH377" s="109">
        <f t="shared" si="465"/>
        <v>0</v>
      </c>
      <c r="FI377" s="109"/>
      <c r="FJ377" s="109"/>
      <c r="FK377" s="111"/>
      <c r="FL377" s="111"/>
      <c r="FM377" s="165"/>
      <c r="FN377" s="109">
        <f t="shared" si="466"/>
        <v>0</v>
      </c>
      <c r="FO377" s="109">
        <f t="shared" si="467"/>
        <v>0</v>
      </c>
      <c r="FP377" s="109"/>
      <c r="FQ377" s="109"/>
      <c r="FR377" s="111"/>
      <c r="FS377" s="111"/>
      <c r="FT377" s="165"/>
      <c r="FU377" s="109">
        <f t="shared" si="468"/>
        <v>0</v>
      </c>
      <c r="FV377" s="109">
        <f t="shared" si="476"/>
        <v>0</v>
      </c>
      <c r="FW377" s="109"/>
      <c r="FX377" s="109"/>
      <c r="FY377" s="111"/>
      <c r="FZ377" s="111"/>
      <c r="GA377" s="165"/>
      <c r="GB377" s="109">
        <f t="shared" si="469"/>
        <v>0</v>
      </c>
      <c r="GC377" s="109">
        <f t="shared" si="477"/>
        <v>0</v>
      </c>
      <c r="GD377" s="109"/>
      <c r="GE377" s="109"/>
      <c r="GF377" s="111"/>
      <c r="GG377" s="111"/>
      <c r="GH377" s="165"/>
      <c r="GI377" s="109">
        <f t="shared" si="470"/>
        <v>0</v>
      </c>
      <c r="GJ377" s="109">
        <f t="shared" si="478"/>
        <v>0</v>
      </c>
      <c r="GK377" s="109"/>
      <c r="GL377" s="109"/>
      <c r="GM377" s="111"/>
      <c r="GN377" s="111"/>
      <c r="GO377" s="165"/>
      <c r="GP377" s="109">
        <f t="shared" si="471"/>
        <v>0</v>
      </c>
      <c r="GQ377" s="109">
        <f t="shared" si="479"/>
        <v>0</v>
      </c>
      <c r="GR377" s="109"/>
      <c r="GS377" s="109"/>
      <c r="GT377" s="111"/>
      <c r="GU377" s="111"/>
      <c r="GV377" s="165"/>
      <c r="GW377" s="168">
        <f t="shared" si="472"/>
        <v>0</v>
      </c>
      <c r="GX377" s="168">
        <f t="shared" si="480"/>
        <v>0</v>
      </c>
      <c r="GY377" s="168"/>
      <c r="GZ377" s="168"/>
      <c r="HA377" s="111"/>
      <c r="HB377" s="111"/>
      <c r="HC377" s="165"/>
      <c r="HD377" s="109">
        <f t="shared" si="473"/>
        <v>0</v>
      </c>
      <c r="HE377" s="109">
        <f t="shared" si="481"/>
        <v>0</v>
      </c>
      <c r="HF377" s="109"/>
      <c r="HG377" s="109"/>
      <c r="HH377" s="111"/>
      <c r="HI377" s="111"/>
      <c r="HJ377" s="165"/>
      <c r="HK377" s="109">
        <f t="shared" si="474"/>
        <v>0</v>
      </c>
      <c r="HL377" s="109">
        <f t="shared" si="482"/>
        <v>0</v>
      </c>
      <c r="HM377" s="109"/>
      <c r="HN377" s="109"/>
      <c r="HO377" s="111"/>
      <c r="HP377" s="111"/>
      <c r="HQ377" s="165"/>
      <c r="HR377" s="109">
        <f t="shared" si="475"/>
        <v>0</v>
      </c>
      <c r="HS377" s="109">
        <f t="shared" si="483"/>
        <v>0</v>
      </c>
      <c r="HT377" s="109"/>
      <c r="HU377" s="109"/>
      <c r="HV377" s="111"/>
      <c r="HW377" s="111"/>
      <c r="HX377" s="105">
        <f t="shared" si="451"/>
        <v>0</v>
      </c>
      <c r="HY377" s="105">
        <f t="shared" si="451"/>
        <v>0</v>
      </c>
      <c r="HZ377" s="105">
        <f t="shared" si="451"/>
        <v>0</v>
      </c>
      <c r="IA377" s="105">
        <f t="shared" si="445"/>
        <v>0</v>
      </c>
      <c r="IB377" s="109">
        <f t="shared" si="446"/>
        <v>0</v>
      </c>
      <c r="IC377" s="109">
        <f t="shared" si="447"/>
        <v>0</v>
      </c>
      <c r="ID377" s="109">
        <f t="shared" si="448"/>
        <v>0</v>
      </c>
      <c r="IE377" s="109">
        <f t="shared" si="449"/>
        <v>0</v>
      </c>
      <c r="IF377" s="197"/>
      <c r="IG377" s="197"/>
      <c r="IH377" s="197"/>
      <c r="II377" s="197"/>
      <c r="IJ377" s="197"/>
      <c r="IK377" s="197"/>
      <c r="IL377" s="197"/>
      <c r="IM377" s="171"/>
      <c r="IN377" s="171"/>
      <c r="IO377" s="171"/>
      <c r="IP377" s="171"/>
    </row>
    <row r="378" spans="1:250" ht="15" customHeight="1" x14ac:dyDescent="0.3">
      <c r="A378" s="110">
        <f t="shared" si="450"/>
        <v>374</v>
      </c>
      <c r="B378" s="111"/>
      <c r="C378" s="111"/>
      <c r="D378" s="111"/>
      <c r="E378" s="111"/>
      <c r="F378" s="111"/>
      <c r="G378" s="111"/>
      <c r="H378" s="111"/>
      <c r="I378" s="194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75"/>
      <c r="AI378" s="111"/>
      <c r="AJ378" s="111"/>
      <c r="AK378" s="111"/>
      <c r="AL378" s="177"/>
      <c r="AM378" s="176"/>
      <c r="AN378" s="177"/>
      <c r="AO378" s="157"/>
      <c r="AP378" s="158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1"/>
      <c r="BC378" s="111"/>
      <c r="BD378" s="111"/>
      <c r="BE378" s="111"/>
      <c r="BF378" s="111"/>
      <c r="BG378" s="111"/>
      <c r="BH378" s="111"/>
      <c r="BI378" s="111"/>
      <c r="BJ378" s="111"/>
      <c r="BK378" s="111"/>
      <c r="BL378" s="175"/>
      <c r="BM378" s="111"/>
      <c r="BN378" s="111"/>
      <c r="BO378" s="111"/>
      <c r="BP378" s="111"/>
      <c r="BQ378" s="111"/>
      <c r="BR378" s="111"/>
      <c r="BS378" s="111"/>
      <c r="BT378" s="111"/>
      <c r="BU378" s="111"/>
      <c r="BV378" s="111"/>
      <c r="BW378" s="111"/>
      <c r="BX378" s="111"/>
      <c r="BY378" s="111"/>
      <c r="BZ378" s="111"/>
      <c r="CA378" s="111"/>
      <c r="CB378" s="111"/>
      <c r="CC378" s="178"/>
      <c r="CD378" s="177">
        <f t="shared" si="434"/>
        <v>0</v>
      </c>
      <c r="CE378" s="148"/>
      <c r="CF378" s="111">
        <f t="shared" si="435"/>
        <v>0</v>
      </c>
      <c r="CG378" s="177"/>
      <c r="CH378" s="204"/>
      <c r="CI378" s="148"/>
      <c r="CJ378" s="165"/>
      <c r="CK378" s="165"/>
      <c r="CL378" s="111"/>
      <c r="CM378" s="111"/>
      <c r="CN378" s="165">
        <f t="shared" si="436"/>
        <v>0</v>
      </c>
      <c r="CO378" s="109">
        <f t="shared" si="437"/>
        <v>0</v>
      </c>
      <c r="CP378" s="109">
        <f t="shared" si="438"/>
        <v>0</v>
      </c>
      <c r="CQ378" s="109"/>
      <c r="CR378" s="109"/>
      <c r="CS378" s="196"/>
      <c r="CT378" s="167"/>
      <c r="CU378" s="165"/>
      <c r="CV378" s="109">
        <f t="shared" si="439"/>
        <v>0</v>
      </c>
      <c r="CW378" s="109">
        <f t="shared" si="440"/>
        <v>0</v>
      </c>
      <c r="CX378" s="109"/>
      <c r="CY378" s="109"/>
      <c r="CZ378" s="111"/>
      <c r="DA378" s="111"/>
      <c r="DB378" s="165"/>
      <c r="DC378" s="109">
        <f t="shared" si="441"/>
        <v>0</v>
      </c>
      <c r="DD378" s="109">
        <f t="shared" si="442"/>
        <v>0</v>
      </c>
      <c r="DE378" s="109"/>
      <c r="DF378" s="109"/>
      <c r="DG378" s="111"/>
      <c r="DH378" s="111"/>
      <c r="DI378" s="165"/>
      <c r="DJ378" s="109">
        <f t="shared" si="443"/>
        <v>0</v>
      </c>
      <c r="DK378" s="109">
        <f t="shared" si="444"/>
        <v>0</v>
      </c>
      <c r="DL378" s="109"/>
      <c r="DM378" s="109"/>
      <c r="DN378" s="111"/>
      <c r="DO378" s="111"/>
      <c r="DP378" s="165"/>
      <c r="DQ378" s="109">
        <f t="shared" si="452"/>
        <v>0</v>
      </c>
      <c r="DR378" s="109">
        <f t="shared" si="453"/>
        <v>0</v>
      </c>
      <c r="DS378" s="109"/>
      <c r="DT378" s="109"/>
      <c r="DU378" s="111"/>
      <c r="DV378" s="111"/>
      <c r="DW378" s="165"/>
      <c r="DX378" s="109">
        <f t="shared" si="454"/>
        <v>0</v>
      </c>
      <c r="DY378" s="109">
        <f t="shared" si="455"/>
        <v>0</v>
      </c>
      <c r="DZ378" s="109"/>
      <c r="EA378" s="109"/>
      <c r="EB378" s="111"/>
      <c r="EC378" s="111"/>
      <c r="ED378" s="165"/>
      <c r="EE378" s="109">
        <f t="shared" si="456"/>
        <v>0</v>
      </c>
      <c r="EF378" s="109">
        <f t="shared" si="457"/>
        <v>0</v>
      </c>
      <c r="EG378" s="109"/>
      <c r="EH378" s="109"/>
      <c r="EI378" s="111"/>
      <c r="EJ378" s="111"/>
      <c r="EK378" s="165"/>
      <c r="EL378" s="109">
        <f t="shared" si="458"/>
        <v>0</v>
      </c>
      <c r="EM378" s="109">
        <f t="shared" si="459"/>
        <v>0</v>
      </c>
      <c r="EN378" s="109"/>
      <c r="EO378" s="109"/>
      <c r="EP378" s="111"/>
      <c r="EQ378" s="111"/>
      <c r="ER378" s="165"/>
      <c r="ES378" s="109">
        <f t="shared" si="460"/>
        <v>0</v>
      </c>
      <c r="ET378" s="109">
        <f t="shared" si="461"/>
        <v>0</v>
      </c>
      <c r="EU378" s="109"/>
      <c r="EV378" s="109"/>
      <c r="EW378" s="111"/>
      <c r="EX378" s="111"/>
      <c r="EY378" s="165"/>
      <c r="EZ378" s="109">
        <f t="shared" si="462"/>
        <v>0</v>
      </c>
      <c r="FA378" s="109">
        <f t="shared" si="463"/>
        <v>0</v>
      </c>
      <c r="FB378" s="109"/>
      <c r="FC378" s="109"/>
      <c r="FD378" s="111"/>
      <c r="FE378" s="111"/>
      <c r="FF378" s="165"/>
      <c r="FG378" s="109">
        <f t="shared" si="464"/>
        <v>0</v>
      </c>
      <c r="FH378" s="109">
        <f t="shared" si="465"/>
        <v>0</v>
      </c>
      <c r="FI378" s="109"/>
      <c r="FJ378" s="109"/>
      <c r="FK378" s="111"/>
      <c r="FL378" s="111"/>
      <c r="FM378" s="165"/>
      <c r="FN378" s="109">
        <f t="shared" si="466"/>
        <v>0</v>
      </c>
      <c r="FO378" s="109">
        <f t="shared" si="467"/>
        <v>0</v>
      </c>
      <c r="FP378" s="109"/>
      <c r="FQ378" s="109"/>
      <c r="FR378" s="111"/>
      <c r="FS378" s="111"/>
      <c r="FT378" s="165"/>
      <c r="FU378" s="109">
        <f t="shared" si="468"/>
        <v>0</v>
      </c>
      <c r="FV378" s="109">
        <f t="shared" si="476"/>
        <v>0</v>
      </c>
      <c r="FW378" s="109"/>
      <c r="FX378" s="109"/>
      <c r="FY378" s="111"/>
      <c r="FZ378" s="111"/>
      <c r="GA378" s="165"/>
      <c r="GB378" s="109">
        <f t="shared" si="469"/>
        <v>0</v>
      </c>
      <c r="GC378" s="109">
        <f t="shared" si="477"/>
        <v>0</v>
      </c>
      <c r="GD378" s="109"/>
      <c r="GE378" s="109"/>
      <c r="GF378" s="111"/>
      <c r="GG378" s="111"/>
      <c r="GH378" s="165"/>
      <c r="GI378" s="109">
        <f t="shared" si="470"/>
        <v>0</v>
      </c>
      <c r="GJ378" s="109">
        <f t="shared" si="478"/>
        <v>0</v>
      </c>
      <c r="GK378" s="109"/>
      <c r="GL378" s="109"/>
      <c r="GM378" s="111"/>
      <c r="GN378" s="111"/>
      <c r="GO378" s="165"/>
      <c r="GP378" s="109">
        <f t="shared" si="471"/>
        <v>0</v>
      </c>
      <c r="GQ378" s="109">
        <f t="shared" si="479"/>
        <v>0</v>
      </c>
      <c r="GR378" s="109"/>
      <c r="GS378" s="109"/>
      <c r="GT378" s="111"/>
      <c r="GU378" s="111"/>
      <c r="GV378" s="165"/>
      <c r="GW378" s="168">
        <f t="shared" si="472"/>
        <v>0</v>
      </c>
      <c r="GX378" s="168">
        <f t="shared" si="480"/>
        <v>0</v>
      </c>
      <c r="GY378" s="168"/>
      <c r="GZ378" s="168"/>
      <c r="HA378" s="111"/>
      <c r="HB378" s="111"/>
      <c r="HC378" s="165"/>
      <c r="HD378" s="109">
        <f t="shared" si="473"/>
        <v>0</v>
      </c>
      <c r="HE378" s="109">
        <f t="shared" si="481"/>
        <v>0</v>
      </c>
      <c r="HF378" s="109"/>
      <c r="HG378" s="109"/>
      <c r="HH378" s="111"/>
      <c r="HI378" s="111"/>
      <c r="HJ378" s="165"/>
      <c r="HK378" s="109">
        <f t="shared" si="474"/>
        <v>0</v>
      </c>
      <c r="HL378" s="109">
        <f t="shared" si="482"/>
        <v>0</v>
      </c>
      <c r="HM378" s="109"/>
      <c r="HN378" s="109"/>
      <c r="HO378" s="111"/>
      <c r="HP378" s="111"/>
      <c r="HQ378" s="165"/>
      <c r="HR378" s="109">
        <f t="shared" si="475"/>
        <v>0</v>
      </c>
      <c r="HS378" s="109">
        <f t="shared" si="483"/>
        <v>0</v>
      </c>
      <c r="HT378" s="109"/>
      <c r="HU378" s="109"/>
      <c r="HV378" s="111"/>
      <c r="HW378" s="111"/>
      <c r="HX378" s="105">
        <f t="shared" si="451"/>
        <v>0</v>
      </c>
      <c r="HY378" s="105">
        <f t="shared" si="451"/>
        <v>0</v>
      </c>
      <c r="HZ378" s="105">
        <f t="shared" si="451"/>
        <v>0</v>
      </c>
      <c r="IA378" s="105">
        <f t="shared" si="445"/>
        <v>0</v>
      </c>
      <c r="IB378" s="109">
        <f t="shared" si="446"/>
        <v>0</v>
      </c>
      <c r="IC378" s="109">
        <f t="shared" si="447"/>
        <v>0</v>
      </c>
      <c r="ID378" s="109">
        <f t="shared" si="448"/>
        <v>0</v>
      </c>
      <c r="IE378" s="109">
        <f t="shared" si="449"/>
        <v>0</v>
      </c>
      <c r="IF378" s="197"/>
      <c r="IG378" s="197"/>
      <c r="IH378" s="197"/>
      <c r="II378" s="197"/>
      <c r="IJ378" s="197"/>
      <c r="IK378" s="197"/>
      <c r="IL378" s="197"/>
      <c r="IM378" s="171"/>
      <c r="IN378" s="171"/>
      <c r="IO378" s="171"/>
      <c r="IP378" s="171"/>
    </row>
    <row r="379" spans="1:250" ht="15" customHeight="1" x14ac:dyDescent="0.3">
      <c r="A379" s="110">
        <f t="shared" si="450"/>
        <v>375</v>
      </c>
      <c r="B379" s="111"/>
      <c r="C379" s="111"/>
      <c r="D379" s="111"/>
      <c r="E379" s="111"/>
      <c r="F379" s="111"/>
      <c r="G379" s="111"/>
      <c r="H379" s="111"/>
      <c r="I379" s="194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75"/>
      <c r="AI379" s="111"/>
      <c r="AJ379" s="111"/>
      <c r="AK379" s="111"/>
      <c r="AL379" s="177"/>
      <c r="AM379" s="176"/>
      <c r="AN379" s="177"/>
      <c r="AO379" s="157"/>
      <c r="AP379" s="158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1"/>
      <c r="BC379" s="111"/>
      <c r="BD379" s="111"/>
      <c r="BE379" s="111"/>
      <c r="BF379" s="111"/>
      <c r="BG379" s="111"/>
      <c r="BH379" s="111"/>
      <c r="BI379" s="111"/>
      <c r="BJ379" s="111"/>
      <c r="BK379" s="111"/>
      <c r="BL379" s="175"/>
      <c r="BM379" s="111"/>
      <c r="BN379" s="111"/>
      <c r="BO379" s="111"/>
      <c r="BP379" s="111"/>
      <c r="BQ379" s="111"/>
      <c r="BR379" s="111"/>
      <c r="BS379" s="111"/>
      <c r="BT379" s="111"/>
      <c r="BU379" s="111"/>
      <c r="BV379" s="111"/>
      <c r="BW379" s="111"/>
      <c r="BX379" s="111"/>
      <c r="BY379" s="111"/>
      <c r="BZ379" s="111"/>
      <c r="CA379" s="111"/>
      <c r="CB379" s="111"/>
      <c r="CC379" s="178"/>
      <c r="CD379" s="177">
        <f t="shared" si="434"/>
        <v>0</v>
      </c>
      <c r="CE379" s="148"/>
      <c r="CF379" s="111">
        <f t="shared" si="435"/>
        <v>0</v>
      </c>
      <c r="CG379" s="177"/>
      <c r="CH379" s="204"/>
      <c r="CI379" s="148"/>
      <c r="CJ379" s="165"/>
      <c r="CK379" s="165"/>
      <c r="CL379" s="111"/>
      <c r="CM379" s="111"/>
      <c r="CN379" s="165">
        <f t="shared" si="436"/>
        <v>0</v>
      </c>
      <c r="CO379" s="109">
        <f t="shared" si="437"/>
        <v>0</v>
      </c>
      <c r="CP379" s="109">
        <f t="shared" si="438"/>
        <v>0</v>
      </c>
      <c r="CQ379" s="109"/>
      <c r="CR379" s="109"/>
      <c r="CS379" s="196"/>
      <c r="CT379" s="167"/>
      <c r="CU379" s="165"/>
      <c r="CV379" s="109">
        <f t="shared" si="439"/>
        <v>0</v>
      </c>
      <c r="CW379" s="109">
        <f t="shared" si="440"/>
        <v>0</v>
      </c>
      <c r="CX379" s="109"/>
      <c r="CY379" s="109"/>
      <c r="CZ379" s="111"/>
      <c r="DA379" s="111"/>
      <c r="DB379" s="165"/>
      <c r="DC379" s="109">
        <f t="shared" si="441"/>
        <v>0</v>
      </c>
      <c r="DD379" s="109">
        <f t="shared" si="442"/>
        <v>0</v>
      </c>
      <c r="DE379" s="109"/>
      <c r="DF379" s="109"/>
      <c r="DG379" s="111"/>
      <c r="DH379" s="111"/>
      <c r="DI379" s="165"/>
      <c r="DJ379" s="109">
        <f t="shared" si="443"/>
        <v>0</v>
      </c>
      <c r="DK379" s="109">
        <f t="shared" si="444"/>
        <v>0</v>
      </c>
      <c r="DL379" s="109"/>
      <c r="DM379" s="109"/>
      <c r="DN379" s="111"/>
      <c r="DO379" s="111"/>
      <c r="DP379" s="165"/>
      <c r="DQ379" s="109">
        <f t="shared" si="452"/>
        <v>0</v>
      </c>
      <c r="DR379" s="109">
        <f t="shared" si="453"/>
        <v>0</v>
      </c>
      <c r="DS379" s="109"/>
      <c r="DT379" s="109"/>
      <c r="DU379" s="111"/>
      <c r="DV379" s="111"/>
      <c r="DW379" s="165"/>
      <c r="DX379" s="109">
        <f t="shared" si="454"/>
        <v>0</v>
      </c>
      <c r="DY379" s="109">
        <f t="shared" si="455"/>
        <v>0</v>
      </c>
      <c r="DZ379" s="109"/>
      <c r="EA379" s="109"/>
      <c r="EB379" s="111"/>
      <c r="EC379" s="111"/>
      <c r="ED379" s="165"/>
      <c r="EE379" s="109">
        <f t="shared" si="456"/>
        <v>0</v>
      </c>
      <c r="EF379" s="109">
        <f t="shared" si="457"/>
        <v>0</v>
      </c>
      <c r="EG379" s="109"/>
      <c r="EH379" s="109"/>
      <c r="EI379" s="111"/>
      <c r="EJ379" s="111"/>
      <c r="EK379" s="165"/>
      <c r="EL379" s="109">
        <f t="shared" si="458"/>
        <v>0</v>
      </c>
      <c r="EM379" s="109">
        <f t="shared" si="459"/>
        <v>0</v>
      </c>
      <c r="EN379" s="109"/>
      <c r="EO379" s="109"/>
      <c r="EP379" s="111"/>
      <c r="EQ379" s="111"/>
      <c r="ER379" s="165"/>
      <c r="ES379" s="109">
        <f t="shared" si="460"/>
        <v>0</v>
      </c>
      <c r="ET379" s="109">
        <f t="shared" si="461"/>
        <v>0</v>
      </c>
      <c r="EU379" s="109"/>
      <c r="EV379" s="109"/>
      <c r="EW379" s="111"/>
      <c r="EX379" s="111"/>
      <c r="EY379" s="165"/>
      <c r="EZ379" s="109">
        <f t="shared" si="462"/>
        <v>0</v>
      </c>
      <c r="FA379" s="109">
        <f t="shared" si="463"/>
        <v>0</v>
      </c>
      <c r="FB379" s="109"/>
      <c r="FC379" s="109"/>
      <c r="FD379" s="111"/>
      <c r="FE379" s="111"/>
      <c r="FF379" s="165"/>
      <c r="FG379" s="109">
        <f t="shared" si="464"/>
        <v>0</v>
      </c>
      <c r="FH379" s="109">
        <f t="shared" si="465"/>
        <v>0</v>
      </c>
      <c r="FI379" s="109"/>
      <c r="FJ379" s="109"/>
      <c r="FK379" s="111"/>
      <c r="FL379" s="111"/>
      <c r="FM379" s="165"/>
      <c r="FN379" s="109">
        <f t="shared" si="466"/>
        <v>0</v>
      </c>
      <c r="FO379" s="109">
        <f t="shared" si="467"/>
        <v>0</v>
      </c>
      <c r="FP379" s="109"/>
      <c r="FQ379" s="109"/>
      <c r="FR379" s="111"/>
      <c r="FS379" s="111"/>
      <c r="FT379" s="165"/>
      <c r="FU379" s="109">
        <f t="shared" si="468"/>
        <v>0</v>
      </c>
      <c r="FV379" s="109">
        <f t="shared" si="476"/>
        <v>0</v>
      </c>
      <c r="FW379" s="109"/>
      <c r="FX379" s="109"/>
      <c r="FY379" s="111"/>
      <c r="FZ379" s="111"/>
      <c r="GA379" s="165"/>
      <c r="GB379" s="109">
        <f t="shared" si="469"/>
        <v>0</v>
      </c>
      <c r="GC379" s="109">
        <f t="shared" si="477"/>
        <v>0</v>
      </c>
      <c r="GD379" s="109"/>
      <c r="GE379" s="109"/>
      <c r="GF379" s="111"/>
      <c r="GG379" s="111"/>
      <c r="GH379" s="165"/>
      <c r="GI379" s="109">
        <f t="shared" si="470"/>
        <v>0</v>
      </c>
      <c r="GJ379" s="109">
        <f t="shared" si="478"/>
        <v>0</v>
      </c>
      <c r="GK379" s="109"/>
      <c r="GL379" s="109"/>
      <c r="GM379" s="111"/>
      <c r="GN379" s="111"/>
      <c r="GO379" s="165"/>
      <c r="GP379" s="109">
        <f t="shared" si="471"/>
        <v>0</v>
      </c>
      <c r="GQ379" s="109">
        <f t="shared" si="479"/>
        <v>0</v>
      </c>
      <c r="GR379" s="109"/>
      <c r="GS379" s="109"/>
      <c r="GT379" s="111"/>
      <c r="GU379" s="111"/>
      <c r="GV379" s="165"/>
      <c r="GW379" s="168">
        <f t="shared" si="472"/>
        <v>0</v>
      </c>
      <c r="GX379" s="168">
        <f t="shared" si="480"/>
        <v>0</v>
      </c>
      <c r="GY379" s="168"/>
      <c r="GZ379" s="168"/>
      <c r="HA379" s="111"/>
      <c r="HB379" s="111"/>
      <c r="HC379" s="165"/>
      <c r="HD379" s="109">
        <f t="shared" si="473"/>
        <v>0</v>
      </c>
      <c r="HE379" s="109">
        <f t="shared" si="481"/>
        <v>0</v>
      </c>
      <c r="HF379" s="109"/>
      <c r="HG379" s="109"/>
      <c r="HH379" s="111"/>
      <c r="HI379" s="111"/>
      <c r="HJ379" s="165"/>
      <c r="HK379" s="109">
        <f t="shared" si="474"/>
        <v>0</v>
      </c>
      <c r="HL379" s="109">
        <f t="shared" si="482"/>
        <v>0</v>
      </c>
      <c r="HM379" s="109"/>
      <c r="HN379" s="109"/>
      <c r="HO379" s="111"/>
      <c r="HP379" s="111"/>
      <c r="HQ379" s="165"/>
      <c r="HR379" s="109">
        <f t="shared" si="475"/>
        <v>0</v>
      </c>
      <c r="HS379" s="109">
        <f t="shared" si="483"/>
        <v>0</v>
      </c>
      <c r="HT379" s="109"/>
      <c r="HU379" s="109"/>
      <c r="HV379" s="111"/>
      <c r="HW379" s="111"/>
      <c r="HX379" s="105">
        <f t="shared" si="451"/>
        <v>0</v>
      </c>
      <c r="HY379" s="105">
        <f t="shared" si="451"/>
        <v>0</v>
      </c>
      <c r="HZ379" s="105">
        <f t="shared" si="451"/>
        <v>0</v>
      </c>
      <c r="IA379" s="105">
        <f t="shared" si="445"/>
        <v>0</v>
      </c>
      <c r="IB379" s="109">
        <f t="shared" si="446"/>
        <v>0</v>
      </c>
      <c r="IC379" s="109">
        <f t="shared" si="447"/>
        <v>0</v>
      </c>
      <c r="ID379" s="109">
        <f t="shared" si="448"/>
        <v>0</v>
      </c>
      <c r="IE379" s="109">
        <f t="shared" si="449"/>
        <v>0</v>
      </c>
      <c r="IF379" s="197"/>
      <c r="IG379" s="197"/>
      <c r="IH379" s="197"/>
      <c r="II379" s="197"/>
      <c r="IJ379" s="197"/>
      <c r="IK379" s="197"/>
      <c r="IL379" s="197"/>
      <c r="IM379" s="171"/>
      <c r="IN379" s="171"/>
      <c r="IO379" s="171"/>
      <c r="IP379" s="171"/>
    </row>
    <row r="380" spans="1:250" ht="15" customHeight="1" x14ac:dyDescent="0.3">
      <c r="A380" s="110">
        <f t="shared" si="450"/>
        <v>376</v>
      </c>
      <c r="B380" s="111"/>
      <c r="C380" s="111"/>
      <c r="D380" s="111"/>
      <c r="E380" s="111"/>
      <c r="F380" s="111"/>
      <c r="G380" s="111"/>
      <c r="H380" s="111"/>
      <c r="I380" s="194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75"/>
      <c r="AI380" s="111"/>
      <c r="AJ380" s="111"/>
      <c r="AK380" s="111"/>
      <c r="AL380" s="177"/>
      <c r="AM380" s="176"/>
      <c r="AN380" s="177"/>
      <c r="AO380" s="157"/>
      <c r="AP380" s="158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111"/>
      <c r="BG380" s="111"/>
      <c r="BH380" s="111"/>
      <c r="BI380" s="111"/>
      <c r="BJ380" s="111"/>
      <c r="BK380" s="111"/>
      <c r="BL380" s="175"/>
      <c r="BM380" s="111"/>
      <c r="BN380" s="111"/>
      <c r="BO380" s="111"/>
      <c r="BP380" s="111"/>
      <c r="BQ380" s="111"/>
      <c r="BR380" s="111"/>
      <c r="BS380" s="111"/>
      <c r="BT380" s="111"/>
      <c r="BU380" s="111"/>
      <c r="BV380" s="111"/>
      <c r="BW380" s="111"/>
      <c r="BX380" s="111"/>
      <c r="BY380" s="111"/>
      <c r="BZ380" s="111"/>
      <c r="CA380" s="111"/>
      <c r="CB380" s="111"/>
      <c r="CC380" s="178"/>
      <c r="CD380" s="177">
        <f t="shared" si="434"/>
        <v>0</v>
      </c>
      <c r="CE380" s="148"/>
      <c r="CF380" s="111">
        <f t="shared" si="435"/>
        <v>0</v>
      </c>
      <c r="CG380" s="177"/>
      <c r="CH380" s="204"/>
      <c r="CI380" s="148"/>
      <c r="CJ380" s="165"/>
      <c r="CK380" s="165"/>
      <c r="CL380" s="111"/>
      <c r="CM380" s="111"/>
      <c r="CN380" s="165">
        <f t="shared" si="436"/>
        <v>0</v>
      </c>
      <c r="CO380" s="109">
        <f t="shared" si="437"/>
        <v>0</v>
      </c>
      <c r="CP380" s="109">
        <f t="shared" si="438"/>
        <v>0</v>
      </c>
      <c r="CQ380" s="109"/>
      <c r="CR380" s="109"/>
      <c r="CS380" s="196"/>
      <c r="CT380" s="167"/>
      <c r="CU380" s="165"/>
      <c r="CV380" s="109">
        <f t="shared" si="439"/>
        <v>0</v>
      </c>
      <c r="CW380" s="109">
        <f t="shared" si="440"/>
        <v>0</v>
      </c>
      <c r="CX380" s="109"/>
      <c r="CY380" s="109"/>
      <c r="CZ380" s="111"/>
      <c r="DA380" s="111"/>
      <c r="DB380" s="165"/>
      <c r="DC380" s="109">
        <f t="shared" si="441"/>
        <v>0</v>
      </c>
      <c r="DD380" s="109">
        <f t="shared" si="442"/>
        <v>0</v>
      </c>
      <c r="DE380" s="109"/>
      <c r="DF380" s="109"/>
      <c r="DG380" s="111"/>
      <c r="DH380" s="111"/>
      <c r="DI380" s="165"/>
      <c r="DJ380" s="109">
        <f t="shared" si="443"/>
        <v>0</v>
      </c>
      <c r="DK380" s="109">
        <f t="shared" si="444"/>
        <v>0</v>
      </c>
      <c r="DL380" s="109"/>
      <c r="DM380" s="109"/>
      <c r="DN380" s="111"/>
      <c r="DO380" s="111"/>
      <c r="DP380" s="165"/>
      <c r="DQ380" s="109">
        <f t="shared" si="452"/>
        <v>0</v>
      </c>
      <c r="DR380" s="109">
        <f t="shared" si="453"/>
        <v>0</v>
      </c>
      <c r="DS380" s="109"/>
      <c r="DT380" s="109"/>
      <c r="DU380" s="111"/>
      <c r="DV380" s="111"/>
      <c r="DW380" s="165"/>
      <c r="DX380" s="109">
        <f t="shared" si="454"/>
        <v>0</v>
      </c>
      <c r="DY380" s="109">
        <f t="shared" si="455"/>
        <v>0</v>
      </c>
      <c r="DZ380" s="109"/>
      <c r="EA380" s="109"/>
      <c r="EB380" s="111"/>
      <c r="EC380" s="111"/>
      <c r="ED380" s="165"/>
      <c r="EE380" s="109">
        <f t="shared" si="456"/>
        <v>0</v>
      </c>
      <c r="EF380" s="109">
        <f t="shared" si="457"/>
        <v>0</v>
      </c>
      <c r="EG380" s="109"/>
      <c r="EH380" s="109"/>
      <c r="EI380" s="111"/>
      <c r="EJ380" s="111"/>
      <c r="EK380" s="165"/>
      <c r="EL380" s="109">
        <f t="shared" si="458"/>
        <v>0</v>
      </c>
      <c r="EM380" s="109">
        <f t="shared" si="459"/>
        <v>0</v>
      </c>
      <c r="EN380" s="109"/>
      <c r="EO380" s="109"/>
      <c r="EP380" s="111"/>
      <c r="EQ380" s="111"/>
      <c r="ER380" s="165"/>
      <c r="ES380" s="109">
        <f t="shared" si="460"/>
        <v>0</v>
      </c>
      <c r="ET380" s="109">
        <f t="shared" si="461"/>
        <v>0</v>
      </c>
      <c r="EU380" s="109"/>
      <c r="EV380" s="109"/>
      <c r="EW380" s="111"/>
      <c r="EX380" s="111"/>
      <c r="EY380" s="165"/>
      <c r="EZ380" s="109">
        <f t="shared" si="462"/>
        <v>0</v>
      </c>
      <c r="FA380" s="109">
        <f t="shared" si="463"/>
        <v>0</v>
      </c>
      <c r="FB380" s="109"/>
      <c r="FC380" s="109"/>
      <c r="FD380" s="111"/>
      <c r="FE380" s="111"/>
      <c r="FF380" s="165"/>
      <c r="FG380" s="109">
        <f t="shared" si="464"/>
        <v>0</v>
      </c>
      <c r="FH380" s="109">
        <f t="shared" si="465"/>
        <v>0</v>
      </c>
      <c r="FI380" s="109"/>
      <c r="FJ380" s="109"/>
      <c r="FK380" s="111"/>
      <c r="FL380" s="111"/>
      <c r="FM380" s="165"/>
      <c r="FN380" s="109">
        <f t="shared" si="466"/>
        <v>0</v>
      </c>
      <c r="FO380" s="109">
        <f t="shared" si="467"/>
        <v>0</v>
      </c>
      <c r="FP380" s="109"/>
      <c r="FQ380" s="109"/>
      <c r="FR380" s="111"/>
      <c r="FS380" s="111"/>
      <c r="FT380" s="165"/>
      <c r="FU380" s="109">
        <f t="shared" si="468"/>
        <v>0</v>
      </c>
      <c r="FV380" s="109">
        <f t="shared" si="476"/>
        <v>0</v>
      </c>
      <c r="FW380" s="109"/>
      <c r="FX380" s="109"/>
      <c r="FY380" s="111"/>
      <c r="FZ380" s="111"/>
      <c r="GA380" s="165"/>
      <c r="GB380" s="109">
        <f t="shared" si="469"/>
        <v>0</v>
      </c>
      <c r="GC380" s="109">
        <f t="shared" si="477"/>
        <v>0</v>
      </c>
      <c r="GD380" s="109"/>
      <c r="GE380" s="109"/>
      <c r="GF380" s="111"/>
      <c r="GG380" s="111"/>
      <c r="GH380" s="165"/>
      <c r="GI380" s="109">
        <f t="shared" si="470"/>
        <v>0</v>
      </c>
      <c r="GJ380" s="109">
        <f t="shared" si="478"/>
        <v>0</v>
      </c>
      <c r="GK380" s="109"/>
      <c r="GL380" s="109"/>
      <c r="GM380" s="111"/>
      <c r="GN380" s="111"/>
      <c r="GO380" s="165"/>
      <c r="GP380" s="109">
        <f t="shared" si="471"/>
        <v>0</v>
      </c>
      <c r="GQ380" s="109">
        <f t="shared" si="479"/>
        <v>0</v>
      </c>
      <c r="GR380" s="109"/>
      <c r="GS380" s="109"/>
      <c r="GT380" s="111"/>
      <c r="GU380" s="111"/>
      <c r="GV380" s="165"/>
      <c r="GW380" s="168">
        <f t="shared" si="472"/>
        <v>0</v>
      </c>
      <c r="GX380" s="168">
        <f t="shared" si="480"/>
        <v>0</v>
      </c>
      <c r="GY380" s="168"/>
      <c r="GZ380" s="168"/>
      <c r="HA380" s="111"/>
      <c r="HB380" s="111"/>
      <c r="HC380" s="165"/>
      <c r="HD380" s="109">
        <f t="shared" si="473"/>
        <v>0</v>
      </c>
      <c r="HE380" s="109">
        <f t="shared" si="481"/>
        <v>0</v>
      </c>
      <c r="HF380" s="109"/>
      <c r="HG380" s="109"/>
      <c r="HH380" s="111"/>
      <c r="HI380" s="111"/>
      <c r="HJ380" s="165"/>
      <c r="HK380" s="109">
        <f t="shared" si="474"/>
        <v>0</v>
      </c>
      <c r="HL380" s="109">
        <f t="shared" si="482"/>
        <v>0</v>
      </c>
      <c r="HM380" s="109"/>
      <c r="HN380" s="109"/>
      <c r="HO380" s="111"/>
      <c r="HP380" s="111"/>
      <c r="HQ380" s="165"/>
      <c r="HR380" s="109">
        <f t="shared" si="475"/>
        <v>0</v>
      </c>
      <c r="HS380" s="109">
        <f t="shared" si="483"/>
        <v>0</v>
      </c>
      <c r="HT380" s="109"/>
      <c r="HU380" s="109"/>
      <c r="HV380" s="111"/>
      <c r="HW380" s="111"/>
      <c r="HX380" s="105">
        <f t="shared" si="451"/>
        <v>0</v>
      </c>
      <c r="HY380" s="105">
        <f t="shared" si="451"/>
        <v>0</v>
      </c>
      <c r="HZ380" s="105">
        <f t="shared" si="451"/>
        <v>0</v>
      </c>
      <c r="IA380" s="105">
        <f t="shared" si="445"/>
        <v>0</v>
      </c>
      <c r="IB380" s="109">
        <f t="shared" si="446"/>
        <v>0</v>
      </c>
      <c r="IC380" s="109">
        <f t="shared" si="447"/>
        <v>0</v>
      </c>
      <c r="ID380" s="109">
        <f t="shared" si="448"/>
        <v>0</v>
      </c>
      <c r="IE380" s="109">
        <f t="shared" si="449"/>
        <v>0</v>
      </c>
      <c r="IF380" s="197"/>
      <c r="IG380" s="197"/>
      <c r="IH380" s="197"/>
      <c r="II380" s="197"/>
      <c r="IJ380" s="197"/>
      <c r="IK380" s="197"/>
      <c r="IL380" s="197"/>
      <c r="IM380" s="171"/>
      <c r="IN380" s="171"/>
      <c r="IO380" s="171"/>
      <c r="IP380" s="171"/>
    </row>
    <row r="381" spans="1:250" ht="15" customHeight="1" x14ac:dyDescent="0.3">
      <c r="A381" s="110">
        <f t="shared" si="450"/>
        <v>377</v>
      </c>
      <c r="B381" s="111"/>
      <c r="C381" s="111"/>
      <c r="D381" s="111"/>
      <c r="E381" s="111"/>
      <c r="F381" s="111"/>
      <c r="G381" s="111"/>
      <c r="H381" s="111"/>
      <c r="I381" s="194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75"/>
      <c r="AI381" s="111"/>
      <c r="AJ381" s="111"/>
      <c r="AK381" s="111"/>
      <c r="AL381" s="177"/>
      <c r="AM381" s="176"/>
      <c r="AN381" s="177"/>
      <c r="AO381" s="157"/>
      <c r="AP381" s="158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  <c r="BJ381" s="111"/>
      <c r="BK381" s="111"/>
      <c r="BL381" s="175"/>
      <c r="BM381" s="111"/>
      <c r="BN381" s="111"/>
      <c r="BO381" s="111"/>
      <c r="BP381" s="111"/>
      <c r="BQ381" s="111"/>
      <c r="BR381" s="111"/>
      <c r="BS381" s="111"/>
      <c r="BT381" s="111"/>
      <c r="BU381" s="111"/>
      <c r="BV381" s="111"/>
      <c r="BW381" s="111"/>
      <c r="BX381" s="111"/>
      <c r="BY381" s="111"/>
      <c r="BZ381" s="111"/>
      <c r="CA381" s="111"/>
      <c r="CB381" s="111"/>
      <c r="CC381" s="178"/>
      <c r="CD381" s="177">
        <f t="shared" si="434"/>
        <v>0</v>
      </c>
      <c r="CE381" s="148"/>
      <c r="CF381" s="111">
        <f t="shared" si="435"/>
        <v>0</v>
      </c>
      <c r="CG381" s="177"/>
      <c r="CH381" s="204"/>
      <c r="CI381" s="148"/>
      <c r="CJ381" s="165"/>
      <c r="CK381" s="165"/>
      <c r="CL381" s="111"/>
      <c r="CM381" s="111"/>
      <c r="CN381" s="165">
        <f t="shared" si="436"/>
        <v>0</v>
      </c>
      <c r="CO381" s="109">
        <f t="shared" si="437"/>
        <v>0</v>
      </c>
      <c r="CP381" s="109">
        <f t="shared" si="438"/>
        <v>0</v>
      </c>
      <c r="CQ381" s="109"/>
      <c r="CR381" s="109"/>
      <c r="CS381" s="196"/>
      <c r="CT381" s="167"/>
      <c r="CU381" s="165"/>
      <c r="CV381" s="109">
        <f t="shared" si="439"/>
        <v>0</v>
      </c>
      <c r="CW381" s="109">
        <f t="shared" si="440"/>
        <v>0</v>
      </c>
      <c r="CX381" s="109"/>
      <c r="CY381" s="109"/>
      <c r="CZ381" s="111"/>
      <c r="DA381" s="111"/>
      <c r="DB381" s="165"/>
      <c r="DC381" s="109">
        <f t="shared" si="441"/>
        <v>0</v>
      </c>
      <c r="DD381" s="109">
        <f t="shared" si="442"/>
        <v>0</v>
      </c>
      <c r="DE381" s="109"/>
      <c r="DF381" s="109"/>
      <c r="DG381" s="111"/>
      <c r="DH381" s="111"/>
      <c r="DI381" s="165"/>
      <c r="DJ381" s="109">
        <f t="shared" si="443"/>
        <v>0</v>
      </c>
      <c r="DK381" s="109">
        <f t="shared" si="444"/>
        <v>0</v>
      </c>
      <c r="DL381" s="109"/>
      <c r="DM381" s="109"/>
      <c r="DN381" s="111"/>
      <c r="DO381" s="111"/>
      <c r="DP381" s="165"/>
      <c r="DQ381" s="109">
        <f t="shared" si="452"/>
        <v>0</v>
      </c>
      <c r="DR381" s="109">
        <f t="shared" si="453"/>
        <v>0</v>
      </c>
      <c r="DS381" s="109"/>
      <c r="DT381" s="109"/>
      <c r="DU381" s="111"/>
      <c r="DV381" s="111"/>
      <c r="DW381" s="165"/>
      <c r="DX381" s="109">
        <f t="shared" si="454"/>
        <v>0</v>
      </c>
      <c r="DY381" s="109">
        <f t="shared" si="455"/>
        <v>0</v>
      </c>
      <c r="DZ381" s="109"/>
      <c r="EA381" s="109"/>
      <c r="EB381" s="111"/>
      <c r="EC381" s="111"/>
      <c r="ED381" s="165"/>
      <c r="EE381" s="109">
        <f t="shared" si="456"/>
        <v>0</v>
      </c>
      <c r="EF381" s="109">
        <f t="shared" si="457"/>
        <v>0</v>
      </c>
      <c r="EG381" s="109"/>
      <c r="EH381" s="109"/>
      <c r="EI381" s="111"/>
      <c r="EJ381" s="111"/>
      <c r="EK381" s="165"/>
      <c r="EL381" s="109">
        <f t="shared" si="458"/>
        <v>0</v>
      </c>
      <c r="EM381" s="109">
        <f t="shared" si="459"/>
        <v>0</v>
      </c>
      <c r="EN381" s="109"/>
      <c r="EO381" s="109"/>
      <c r="EP381" s="111"/>
      <c r="EQ381" s="111"/>
      <c r="ER381" s="165"/>
      <c r="ES381" s="109">
        <f t="shared" si="460"/>
        <v>0</v>
      </c>
      <c r="ET381" s="109">
        <f t="shared" si="461"/>
        <v>0</v>
      </c>
      <c r="EU381" s="109"/>
      <c r="EV381" s="109"/>
      <c r="EW381" s="111"/>
      <c r="EX381" s="111"/>
      <c r="EY381" s="165"/>
      <c r="EZ381" s="109">
        <f t="shared" si="462"/>
        <v>0</v>
      </c>
      <c r="FA381" s="109">
        <f t="shared" si="463"/>
        <v>0</v>
      </c>
      <c r="FB381" s="109"/>
      <c r="FC381" s="109"/>
      <c r="FD381" s="111"/>
      <c r="FE381" s="111"/>
      <c r="FF381" s="165"/>
      <c r="FG381" s="109">
        <f t="shared" si="464"/>
        <v>0</v>
      </c>
      <c r="FH381" s="109">
        <f t="shared" si="465"/>
        <v>0</v>
      </c>
      <c r="FI381" s="109"/>
      <c r="FJ381" s="109"/>
      <c r="FK381" s="111"/>
      <c r="FL381" s="111"/>
      <c r="FM381" s="165"/>
      <c r="FN381" s="109">
        <f t="shared" si="466"/>
        <v>0</v>
      </c>
      <c r="FO381" s="109">
        <f t="shared" si="467"/>
        <v>0</v>
      </c>
      <c r="FP381" s="109"/>
      <c r="FQ381" s="109"/>
      <c r="FR381" s="111"/>
      <c r="FS381" s="111"/>
      <c r="FT381" s="165"/>
      <c r="FU381" s="109">
        <f t="shared" si="468"/>
        <v>0</v>
      </c>
      <c r="FV381" s="109">
        <f t="shared" si="476"/>
        <v>0</v>
      </c>
      <c r="FW381" s="109"/>
      <c r="FX381" s="109"/>
      <c r="FY381" s="111"/>
      <c r="FZ381" s="111"/>
      <c r="GA381" s="165"/>
      <c r="GB381" s="109">
        <f t="shared" si="469"/>
        <v>0</v>
      </c>
      <c r="GC381" s="109">
        <f t="shared" si="477"/>
        <v>0</v>
      </c>
      <c r="GD381" s="109"/>
      <c r="GE381" s="109"/>
      <c r="GF381" s="111"/>
      <c r="GG381" s="111"/>
      <c r="GH381" s="165"/>
      <c r="GI381" s="109">
        <f t="shared" si="470"/>
        <v>0</v>
      </c>
      <c r="GJ381" s="109">
        <f t="shared" si="478"/>
        <v>0</v>
      </c>
      <c r="GK381" s="109"/>
      <c r="GL381" s="109"/>
      <c r="GM381" s="111"/>
      <c r="GN381" s="111"/>
      <c r="GO381" s="165"/>
      <c r="GP381" s="109">
        <f t="shared" si="471"/>
        <v>0</v>
      </c>
      <c r="GQ381" s="109">
        <f t="shared" si="479"/>
        <v>0</v>
      </c>
      <c r="GR381" s="109"/>
      <c r="GS381" s="109"/>
      <c r="GT381" s="111"/>
      <c r="GU381" s="111"/>
      <c r="GV381" s="165"/>
      <c r="GW381" s="168">
        <f t="shared" si="472"/>
        <v>0</v>
      </c>
      <c r="GX381" s="168">
        <f t="shared" si="480"/>
        <v>0</v>
      </c>
      <c r="GY381" s="168"/>
      <c r="GZ381" s="168"/>
      <c r="HA381" s="111"/>
      <c r="HB381" s="111"/>
      <c r="HC381" s="165"/>
      <c r="HD381" s="109">
        <f t="shared" si="473"/>
        <v>0</v>
      </c>
      <c r="HE381" s="109">
        <f t="shared" si="481"/>
        <v>0</v>
      </c>
      <c r="HF381" s="109"/>
      <c r="HG381" s="109"/>
      <c r="HH381" s="111"/>
      <c r="HI381" s="111"/>
      <c r="HJ381" s="165"/>
      <c r="HK381" s="109">
        <f t="shared" si="474"/>
        <v>0</v>
      </c>
      <c r="HL381" s="109">
        <f t="shared" si="482"/>
        <v>0</v>
      </c>
      <c r="HM381" s="109"/>
      <c r="HN381" s="109"/>
      <c r="HO381" s="111"/>
      <c r="HP381" s="111"/>
      <c r="HQ381" s="165"/>
      <c r="HR381" s="109">
        <f t="shared" si="475"/>
        <v>0</v>
      </c>
      <c r="HS381" s="109">
        <f t="shared" si="483"/>
        <v>0</v>
      </c>
      <c r="HT381" s="109"/>
      <c r="HU381" s="109"/>
      <c r="HV381" s="111"/>
      <c r="HW381" s="111"/>
      <c r="HX381" s="105">
        <f t="shared" si="451"/>
        <v>0</v>
      </c>
      <c r="HY381" s="105">
        <f t="shared" si="451"/>
        <v>0</v>
      </c>
      <c r="HZ381" s="105">
        <f t="shared" si="451"/>
        <v>0</v>
      </c>
      <c r="IA381" s="105">
        <f t="shared" si="445"/>
        <v>0</v>
      </c>
      <c r="IB381" s="109">
        <f t="shared" si="446"/>
        <v>0</v>
      </c>
      <c r="IC381" s="109">
        <f t="shared" si="447"/>
        <v>0</v>
      </c>
      <c r="ID381" s="109">
        <f t="shared" si="448"/>
        <v>0</v>
      </c>
      <c r="IE381" s="109">
        <f t="shared" si="449"/>
        <v>0</v>
      </c>
      <c r="IF381" s="197"/>
      <c r="IG381" s="197"/>
      <c r="IH381" s="197"/>
      <c r="II381" s="197"/>
      <c r="IJ381" s="197"/>
      <c r="IK381" s="197"/>
      <c r="IL381" s="197"/>
      <c r="IM381" s="171"/>
      <c r="IN381" s="171"/>
      <c r="IO381" s="171"/>
      <c r="IP381" s="171"/>
    </row>
    <row r="382" spans="1:250" ht="15" customHeight="1" x14ac:dyDescent="0.3">
      <c r="A382" s="110">
        <f t="shared" si="450"/>
        <v>378</v>
      </c>
      <c r="B382" s="111"/>
      <c r="C382" s="111"/>
      <c r="D382" s="111"/>
      <c r="E382" s="111"/>
      <c r="F382" s="111"/>
      <c r="G382" s="111"/>
      <c r="H382" s="111"/>
      <c r="I382" s="194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75"/>
      <c r="AI382" s="111"/>
      <c r="AJ382" s="111"/>
      <c r="AK382" s="111"/>
      <c r="AL382" s="177"/>
      <c r="AM382" s="176"/>
      <c r="AN382" s="177"/>
      <c r="AO382" s="157"/>
      <c r="AP382" s="158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/>
      <c r="BK382" s="111"/>
      <c r="BL382" s="175"/>
      <c r="BM382" s="111"/>
      <c r="BN382" s="111"/>
      <c r="BO382" s="111"/>
      <c r="BP382" s="111"/>
      <c r="BQ382" s="111"/>
      <c r="BR382" s="111"/>
      <c r="BS382" s="111"/>
      <c r="BT382" s="111"/>
      <c r="BU382" s="111"/>
      <c r="BV382" s="111"/>
      <c r="BW382" s="111"/>
      <c r="BX382" s="111"/>
      <c r="BY382" s="111"/>
      <c r="BZ382" s="111"/>
      <c r="CA382" s="111"/>
      <c r="CB382" s="111"/>
      <c r="CC382" s="178"/>
      <c r="CD382" s="177">
        <f t="shared" si="434"/>
        <v>0</v>
      </c>
      <c r="CE382" s="148"/>
      <c r="CF382" s="111">
        <f t="shared" si="435"/>
        <v>0</v>
      </c>
      <c r="CG382" s="177"/>
      <c r="CH382" s="204"/>
      <c r="CI382" s="148"/>
      <c r="CJ382" s="165"/>
      <c r="CK382" s="165"/>
      <c r="CL382" s="111"/>
      <c r="CM382" s="111"/>
      <c r="CN382" s="165">
        <f t="shared" si="436"/>
        <v>0</v>
      </c>
      <c r="CO382" s="109">
        <f t="shared" si="437"/>
        <v>0</v>
      </c>
      <c r="CP382" s="109">
        <f t="shared" si="438"/>
        <v>0</v>
      </c>
      <c r="CQ382" s="109"/>
      <c r="CR382" s="109"/>
      <c r="CS382" s="196"/>
      <c r="CT382" s="167"/>
      <c r="CU382" s="165"/>
      <c r="CV382" s="109">
        <f t="shared" si="439"/>
        <v>0</v>
      </c>
      <c r="CW382" s="109">
        <f t="shared" si="440"/>
        <v>0</v>
      </c>
      <c r="CX382" s="109"/>
      <c r="CY382" s="109"/>
      <c r="CZ382" s="111"/>
      <c r="DA382" s="111"/>
      <c r="DB382" s="165"/>
      <c r="DC382" s="109">
        <f t="shared" si="441"/>
        <v>0</v>
      </c>
      <c r="DD382" s="109">
        <f t="shared" si="442"/>
        <v>0</v>
      </c>
      <c r="DE382" s="109"/>
      <c r="DF382" s="109"/>
      <c r="DG382" s="111"/>
      <c r="DH382" s="111"/>
      <c r="DI382" s="165"/>
      <c r="DJ382" s="109">
        <f t="shared" si="443"/>
        <v>0</v>
      </c>
      <c r="DK382" s="109">
        <f t="shared" si="444"/>
        <v>0</v>
      </c>
      <c r="DL382" s="109"/>
      <c r="DM382" s="109"/>
      <c r="DN382" s="111"/>
      <c r="DO382" s="111"/>
      <c r="DP382" s="165"/>
      <c r="DQ382" s="109">
        <f t="shared" si="452"/>
        <v>0</v>
      </c>
      <c r="DR382" s="109">
        <f t="shared" si="453"/>
        <v>0</v>
      </c>
      <c r="DS382" s="109"/>
      <c r="DT382" s="109"/>
      <c r="DU382" s="111"/>
      <c r="DV382" s="111"/>
      <c r="DW382" s="165"/>
      <c r="DX382" s="109">
        <f t="shared" si="454"/>
        <v>0</v>
      </c>
      <c r="DY382" s="109">
        <f t="shared" si="455"/>
        <v>0</v>
      </c>
      <c r="DZ382" s="109"/>
      <c r="EA382" s="109"/>
      <c r="EB382" s="111"/>
      <c r="EC382" s="111"/>
      <c r="ED382" s="165"/>
      <c r="EE382" s="109">
        <f t="shared" si="456"/>
        <v>0</v>
      </c>
      <c r="EF382" s="109">
        <f t="shared" si="457"/>
        <v>0</v>
      </c>
      <c r="EG382" s="109"/>
      <c r="EH382" s="109"/>
      <c r="EI382" s="111"/>
      <c r="EJ382" s="111"/>
      <c r="EK382" s="165"/>
      <c r="EL382" s="109">
        <f t="shared" si="458"/>
        <v>0</v>
      </c>
      <c r="EM382" s="109">
        <f t="shared" si="459"/>
        <v>0</v>
      </c>
      <c r="EN382" s="109"/>
      <c r="EO382" s="109"/>
      <c r="EP382" s="111"/>
      <c r="EQ382" s="111"/>
      <c r="ER382" s="165"/>
      <c r="ES382" s="109">
        <f t="shared" si="460"/>
        <v>0</v>
      </c>
      <c r="ET382" s="109">
        <f t="shared" si="461"/>
        <v>0</v>
      </c>
      <c r="EU382" s="109"/>
      <c r="EV382" s="109"/>
      <c r="EW382" s="111"/>
      <c r="EX382" s="111"/>
      <c r="EY382" s="165"/>
      <c r="EZ382" s="109">
        <f t="shared" si="462"/>
        <v>0</v>
      </c>
      <c r="FA382" s="109">
        <f t="shared" si="463"/>
        <v>0</v>
      </c>
      <c r="FB382" s="109"/>
      <c r="FC382" s="109"/>
      <c r="FD382" s="111"/>
      <c r="FE382" s="111"/>
      <c r="FF382" s="165"/>
      <c r="FG382" s="109">
        <f t="shared" si="464"/>
        <v>0</v>
      </c>
      <c r="FH382" s="109">
        <f t="shared" si="465"/>
        <v>0</v>
      </c>
      <c r="FI382" s="109"/>
      <c r="FJ382" s="109"/>
      <c r="FK382" s="111"/>
      <c r="FL382" s="111"/>
      <c r="FM382" s="165"/>
      <c r="FN382" s="109">
        <f t="shared" si="466"/>
        <v>0</v>
      </c>
      <c r="FO382" s="109">
        <f t="shared" si="467"/>
        <v>0</v>
      </c>
      <c r="FP382" s="109"/>
      <c r="FQ382" s="109"/>
      <c r="FR382" s="111"/>
      <c r="FS382" s="111"/>
      <c r="FT382" s="165"/>
      <c r="FU382" s="109">
        <f t="shared" si="468"/>
        <v>0</v>
      </c>
      <c r="FV382" s="109">
        <f t="shared" si="476"/>
        <v>0</v>
      </c>
      <c r="FW382" s="109"/>
      <c r="FX382" s="109"/>
      <c r="FY382" s="111"/>
      <c r="FZ382" s="111"/>
      <c r="GA382" s="165"/>
      <c r="GB382" s="109">
        <f t="shared" si="469"/>
        <v>0</v>
      </c>
      <c r="GC382" s="109">
        <f t="shared" si="477"/>
        <v>0</v>
      </c>
      <c r="GD382" s="109"/>
      <c r="GE382" s="109"/>
      <c r="GF382" s="111"/>
      <c r="GG382" s="111"/>
      <c r="GH382" s="165"/>
      <c r="GI382" s="109">
        <f t="shared" si="470"/>
        <v>0</v>
      </c>
      <c r="GJ382" s="109">
        <f t="shared" si="478"/>
        <v>0</v>
      </c>
      <c r="GK382" s="109"/>
      <c r="GL382" s="109"/>
      <c r="GM382" s="111"/>
      <c r="GN382" s="111"/>
      <c r="GO382" s="165"/>
      <c r="GP382" s="109">
        <f t="shared" si="471"/>
        <v>0</v>
      </c>
      <c r="GQ382" s="109">
        <f t="shared" si="479"/>
        <v>0</v>
      </c>
      <c r="GR382" s="109"/>
      <c r="GS382" s="109"/>
      <c r="GT382" s="111"/>
      <c r="GU382" s="111"/>
      <c r="GV382" s="165"/>
      <c r="GW382" s="168">
        <f t="shared" si="472"/>
        <v>0</v>
      </c>
      <c r="GX382" s="168">
        <f t="shared" si="480"/>
        <v>0</v>
      </c>
      <c r="GY382" s="168"/>
      <c r="GZ382" s="168"/>
      <c r="HA382" s="111"/>
      <c r="HB382" s="111"/>
      <c r="HC382" s="165"/>
      <c r="HD382" s="109">
        <f t="shared" si="473"/>
        <v>0</v>
      </c>
      <c r="HE382" s="109">
        <f t="shared" si="481"/>
        <v>0</v>
      </c>
      <c r="HF382" s="109"/>
      <c r="HG382" s="109"/>
      <c r="HH382" s="111"/>
      <c r="HI382" s="111"/>
      <c r="HJ382" s="165"/>
      <c r="HK382" s="109">
        <f t="shared" si="474"/>
        <v>0</v>
      </c>
      <c r="HL382" s="109">
        <f t="shared" si="482"/>
        <v>0</v>
      </c>
      <c r="HM382" s="109"/>
      <c r="HN382" s="109"/>
      <c r="HO382" s="111"/>
      <c r="HP382" s="111"/>
      <c r="HQ382" s="165"/>
      <c r="HR382" s="109">
        <f t="shared" si="475"/>
        <v>0</v>
      </c>
      <c r="HS382" s="109">
        <f t="shared" si="483"/>
        <v>0</v>
      </c>
      <c r="HT382" s="109"/>
      <c r="HU382" s="109"/>
      <c r="HV382" s="111"/>
      <c r="HW382" s="111"/>
      <c r="HX382" s="105">
        <f t="shared" si="451"/>
        <v>0</v>
      </c>
      <c r="HY382" s="105">
        <f t="shared" si="451"/>
        <v>0</v>
      </c>
      <c r="HZ382" s="105">
        <f t="shared" si="451"/>
        <v>0</v>
      </c>
      <c r="IA382" s="105">
        <f t="shared" si="445"/>
        <v>0</v>
      </c>
      <c r="IB382" s="109">
        <f t="shared" si="446"/>
        <v>0</v>
      </c>
      <c r="IC382" s="109">
        <f t="shared" si="447"/>
        <v>0</v>
      </c>
      <c r="ID382" s="109">
        <f t="shared" si="448"/>
        <v>0</v>
      </c>
      <c r="IE382" s="109">
        <f t="shared" si="449"/>
        <v>0</v>
      </c>
      <c r="IF382" s="197"/>
      <c r="IG382" s="197"/>
      <c r="IH382" s="197"/>
      <c r="II382" s="197"/>
      <c r="IJ382" s="197"/>
      <c r="IK382" s="197"/>
      <c r="IL382" s="197"/>
      <c r="IM382" s="171"/>
      <c r="IN382" s="171"/>
      <c r="IO382" s="171"/>
      <c r="IP382" s="171"/>
    </row>
    <row r="383" spans="1:250" ht="15" customHeight="1" x14ac:dyDescent="0.3">
      <c r="A383" s="110">
        <f t="shared" si="450"/>
        <v>379</v>
      </c>
      <c r="B383" s="111"/>
      <c r="C383" s="111"/>
      <c r="D383" s="111"/>
      <c r="E383" s="111"/>
      <c r="F383" s="111"/>
      <c r="G383" s="111"/>
      <c r="H383" s="111"/>
      <c r="I383" s="194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75"/>
      <c r="AI383" s="111"/>
      <c r="AJ383" s="111"/>
      <c r="AK383" s="111"/>
      <c r="AL383" s="177"/>
      <c r="AM383" s="176"/>
      <c r="AN383" s="177"/>
      <c r="AO383" s="157"/>
      <c r="AP383" s="158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  <c r="BG383" s="111"/>
      <c r="BH383" s="111"/>
      <c r="BI383" s="111"/>
      <c r="BJ383" s="111"/>
      <c r="BK383" s="111"/>
      <c r="BL383" s="175"/>
      <c r="BM383" s="111"/>
      <c r="BN383" s="111"/>
      <c r="BO383" s="111"/>
      <c r="BP383" s="111"/>
      <c r="BQ383" s="111"/>
      <c r="BR383" s="111"/>
      <c r="BS383" s="111"/>
      <c r="BT383" s="111"/>
      <c r="BU383" s="111"/>
      <c r="BV383" s="111"/>
      <c r="BW383" s="111"/>
      <c r="BX383" s="111"/>
      <c r="BY383" s="111"/>
      <c r="BZ383" s="111"/>
      <c r="CA383" s="111"/>
      <c r="CB383" s="111"/>
      <c r="CC383" s="178"/>
      <c r="CD383" s="177">
        <f t="shared" si="434"/>
        <v>0</v>
      </c>
      <c r="CE383" s="148"/>
      <c r="CF383" s="111">
        <f t="shared" si="435"/>
        <v>0</v>
      </c>
      <c r="CG383" s="177"/>
      <c r="CH383" s="204"/>
      <c r="CI383" s="148"/>
      <c r="CJ383" s="165"/>
      <c r="CK383" s="165"/>
      <c r="CL383" s="111"/>
      <c r="CM383" s="111"/>
      <c r="CN383" s="165">
        <f t="shared" si="436"/>
        <v>0</v>
      </c>
      <c r="CO383" s="109">
        <f t="shared" si="437"/>
        <v>0</v>
      </c>
      <c r="CP383" s="109">
        <f t="shared" si="438"/>
        <v>0</v>
      </c>
      <c r="CQ383" s="109"/>
      <c r="CR383" s="109"/>
      <c r="CS383" s="196"/>
      <c r="CT383" s="167"/>
      <c r="CU383" s="165"/>
      <c r="CV383" s="109">
        <f t="shared" si="439"/>
        <v>0</v>
      </c>
      <c r="CW383" s="109">
        <f t="shared" si="440"/>
        <v>0</v>
      </c>
      <c r="CX383" s="109"/>
      <c r="CY383" s="109"/>
      <c r="CZ383" s="111"/>
      <c r="DA383" s="111"/>
      <c r="DB383" s="165"/>
      <c r="DC383" s="109">
        <f t="shared" si="441"/>
        <v>0</v>
      </c>
      <c r="DD383" s="109">
        <f t="shared" si="442"/>
        <v>0</v>
      </c>
      <c r="DE383" s="109"/>
      <c r="DF383" s="109"/>
      <c r="DG383" s="111"/>
      <c r="DH383" s="111"/>
      <c r="DI383" s="165"/>
      <c r="DJ383" s="109">
        <f t="shared" si="443"/>
        <v>0</v>
      </c>
      <c r="DK383" s="109">
        <f t="shared" si="444"/>
        <v>0</v>
      </c>
      <c r="DL383" s="109"/>
      <c r="DM383" s="109"/>
      <c r="DN383" s="111"/>
      <c r="DO383" s="111"/>
      <c r="DP383" s="165"/>
      <c r="DQ383" s="109">
        <f t="shared" si="452"/>
        <v>0</v>
      </c>
      <c r="DR383" s="109">
        <f t="shared" si="453"/>
        <v>0</v>
      </c>
      <c r="DS383" s="109"/>
      <c r="DT383" s="109"/>
      <c r="DU383" s="111"/>
      <c r="DV383" s="111"/>
      <c r="DW383" s="165"/>
      <c r="DX383" s="109">
        <f t="shared" si="454"/>
        <v>0</v>
      </c>
      <c r="DY383" s="109">
        <f t="shared" si="455"/>
        <v>0</v>
      </c>
      <c r="DZ383" s="109"/>
      <c r="EA383" s="109"/>
      <c r="EB383" s="111"/>
      <c r="EC383" s="111"/>
      <c r="ED383" s="165"/>
      <c r="EE383" s="109">
        <f t="shared" si="456"/>
        <v>0</v>
      </c>
      <c r="EF383" s="109">
        <f t="shared" si="457"/>
        <v>0</v>
      </c>
      <c r="EG383" s="109"/>
      <c r="EH383" s="109"/>
      <c r="EI383" s="111"/>
      <c r="EJ383" s="111"/>
      <c r="EK383" s="165"/>
      <c r="EL383" s="109">
        <f t="shared" si="458"/>
        <v>0</v>
      </c>
      <c r="EM383" s="109">
        <f t="shared" si="459"/>
        <v>0</v>
      </c>
      <c r="EN383" s="109"/>
      <c r="EO383" s="109"/>
      <c r="EP383" s="111"/>
      <c r="EQ383" s="111"/>
      <c r="ER383" s="165"/>
      <c r="ES383" s="109">
        <f t="shared" si="460"/>
        <v>0</v>
      </c>
      <c r="ET383" s="109">
        <f t="shared" si="461"/>
        <v>0</v>
      </c>
      <c r="EU383" s="109"/>
      <c r="EV383" s="109"/>
      <c r="EW383" s="111"/>
      <c r="EX383" s="111"/>
      <c r="EY383" s="165"/>
      <c r="EZ383" s="109">
        <f t="shared" si="462"/>
        <v>0</v>
      </c>
      <c r="FA383" s="109">
        <f t="shared" si="463"/>
        <v>0</v>
      </c>
      <c r="FB383" s="109"/>
      <c r="FC383" s="109"/>
      <c r="FD383" s="111"/>
      <c r="FE383" s="111"/>
      <c r="FF383" s="165"/>
      <c r="FG383" s="109">
        <f t="shared" si="464"/>
        <v>0</v>
      </c>
      <c r="FH383" s="109">
        <f t="shared" si="465"/>
        <v>0</v>
      </c>
      <c r="FI383" s="109"/>
      <c r="FJ383" s="109"/>
      <c r="FK383" s="111"/>
      <c r="FL383" s="111"/>
      <c r="FM383" s="165"/>
      <c r="FN383" s="109">
        <f t="shared" si="466"/>
        <v>0</v>
      </c>
      <c r="FO383" s="109">
        <f t="shared" si="467"/>
        <v>0</v>
      </c>
      <c r="FP383" s="109"/>
      <c r="FQ383" s="109"/>
      <c r="FR383" s="111"/>
      <c r="FS383" s="111"/>
      <c r="FT383" s="165"/>
      <c r="FU383" s="109">
        <f t="shared" si="468"/>
        <v>0</v>
      </c>
      <c r="FV383" s="109">
        <f t="shared" si="476"/>
        <v>0</v>
      </c>
      <c r="FW383" s="109"/>
      <c r="FX383" s="109"/>
      <c r="FY383" s="111"/>
      <c r="FZ383" s="111"/>
      <c r="GA383" s="165"/>
      <c r="GB383" s="109">
        <f t="shared" si="469"/>
        <v>0</v>
      </c>
      <c r="GC383" s="109">
        <f t="shared" si="477"/>
        <v>0</v>
      </c>
      <c r="GD383" s="109"/>
      <c r="GE383" s="109"/>
      <c r="GF383" s="111"/>
      <c r="GG383" s="111"/>
      <c r="GH383" s="165"/>
      <c r="GI383" s="109">
        <f t="shared" si="470"/>
        <v>0</v>
      </c>
      <c r="GJ383" s="109">
        <f t="shared" si="478"/>
        <v>0</v>
      </c>
      <c r="GK383" s="109"/>
      <c r="GL383" s="109"/>
      <c r="GM383" s="111"/>
      <c r="GN383" s="111"/>
      <c r="GO383" s="165"/>
      <c r="GP383" s="109">
        <f t="shared" si="471"/>
        <v>0</v>
      </c>
      <c r="GQ383" s="109">
        <f t="shared" si="479"/>
        <v>0</v>
      </c>
      <c r="GR383" s="109"/>
      <c r="GS383" s="109"/>
      <c r="GT383" s="111"/>
      <c r="GU383" s="111"/>
      <c r="GV383" s="165"/>
      <c r="GW383" s="168">
        <f t="shared" si="472"/>
        <v>0</v>
      </c>
      <c r="GX383" s="168">
        <f t="shared" si="480"/>
        <v>0</v>
      </c>
      <c r="GY383" s="168"/>
      <c r="GZ383" s="168"/>
      <c r="HA383" s="111"/>
      <c r="HB383" s="111"/>
      <c r="HC383" s="165"/>
      <c r="HD383" s="109">
        <f t="shared" si="473"/>
        <v>0</v>
      </c>
      <c r="HE383" s="109">
        <f t="shared" si="481"/>
        <v>0</v>
      </c>
      <c r="HF383" s="109"/>
      <c r="HG383" s="109"/>
      <c r="HH383" s="111"/>
      <c r="HI383" s="111"/>
      <c r="HJ383" s="165"/>
      <c r="HK383" s="109">
        <f t="shared" si="474"/>
        <v>0</v>
      </c>
      <c r="HL383" s="109">
        <f t="shared" si="482"/>
        <v>0</v>
      </c>
      <c r="HM383" s="109"/>
      <c r="HN383" s="109"/>
      <c r="HO383" s="111"/>
      <c r="HP383" s="111"/>
      <c r="HQ383" s="165"/>
      <c r="HR383" s="109">
        <f t="shared" si="475"/>
        <v>0</v>
      </c>
      <c r="HS383" s="109">
        <f t="shared" si="483"/>
        <v>0</v>
      </c>
      <c r="HT383" s="109"/>
      <c r="HU383" s="109"/>
      <c r="HV383" s="111"/>
      <c r="HW383" s="111"/>
      <c r="HX383" s="105">
        <f t="shared" si="451"/>
        <v>0</v>
      </c>
      <c r="HY383" s="105">
        <f t="shared" si="451"/>
        <v>0</v>
      </c>
      <c r="HZ383" s="105">
        <f t="shared" si="451"/>
        <v>0</v>
      </c>
      <c r="IA383" s="105">
        <f t="shared" si="445"/>
        <v>0</v>
      </c>
      <c r="IB383" s="109">
        <f t="shared" si="446"/>
        <v>0</v>
      </c>
      <c r="IC383" s="109">
        <f t="shared" si="447"/>
        <v>0</v>
      </c>
      <c r="ID383" s="109">
        <f t="shared" si="448"/>
        <v>0</v>
      </c>
      <c r="IE383" s="109">
        <f t="shared" si="449"/>
        <v>0</v>
      </c>
      <c r="IF383" s="197"/>
      <c r="IG383" s="197"/>
      <c r="IH383" s="197"/>
      <c r="II383" s="197"/>
      <c r="IJ383" s="197"/>
      <c r="IK383" s="197"/>
      <c r="IL383" s="197"/>
      <c r="IM383" s="171"/>
      <c r="IN383" s="171"/>
      <c r="IO383" s="171"/>
      <c r="IP383" s="171"/>
    </row>
    <row r="384" spans="1:250" ht="15" customHeight="1" x14ac:dyDescent="0.3">
      <c r="A384" s="110">
        <f t="shared" si="450"/>
        <v>380</v>
      </c>
      <c r="B384" s="111"/>
      <c r="C384" s="111"/>
      <c r="D384" s="111"/>
      <c r="E384" s="111"/>
      <c r="F384" s="111"/>
      <c r="G384" s="111"/>
      <c r="H384" s="111"/>
      <c r="I384" s="194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75"/>
      <c r="AI384" s="111"/>
      <c r="AJ384" s="111"/>
      <c r="AK384" s="111"/>
      <c r="AL384" s="177"/>
      <c r="AM384" s="176"/>
      <c r="AN384" s="177"/>
      <c r="AO384" s="157"/>
      <c r="AP384" s="158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  <c r="BJ384" s="111"/>
      <c r="BK384" s="111"/>
      <c r="BL384" s="175"/>
      <c r="BM384" s="111"/>
      <c r="BN384" s="111"/>
      <c r="BO384" s="111"/>
      <c r="BP384" s="111"/>
      <c r="BQ384" s="111"/>
      <c r="BR384" s="111"/>
      <c r="BS384" s="111"/>
      <c r="BT384" s="111"/>
      <c r="BU384" s="111"/>
      <c r="BV384" s="111"/>
      <c r="BW384" s="111"/>
      <c r="BX384" s="111"/>
      <c r="BY384" s="111"/>
      <c r="BZ384" s="111"/>
      <c r="CA384" s="111"/>
      <c r="CB384" s="111"/>
      <c r="CC384" s="178"/>
      <c r="CD384" s="177">
        <f t="shared" si="434"/>
        <v>0</v>
      </c>
      <c r="CE384" s="148"/>
      <c r="CF384" s="111">
        <f t="shared" si="435"/>
        <v>0</v>
      </c>
      <c r="CG384" s="177"/>
      <c r="CH384" s="204"/>
      <c r="CI384" s="148"/>
      <c r="CJ384" s="165"/>
      <c r="CK384" s="165"/>
      <c r="CL384" s="111"/>
      <c r="CM384" s="111"/>
      <c r="CN384" s="165">
        <f t="shared" si="436"/>
        <v>0</v>
      </c>
      <c r="CO384" s="109">
        <f t="shared" si="437"/>
        <v>0</v>
      </c>
      <c r="CP384" s="109">
        <f t="shared" si="438"/>
        <v>0</v>
      </c>
      <c r="CQ384" s="109"/>
      <c r="CR384" s="109"/>
      <c r="CS384" s="196"/>
      <c r="CT384" s="167"/>
      <c r="CU384" s="165"/>
      <c r="CV384" s="109">
        <f t="shared" si="439"/>
        <v>0</v>
      </c>
      <c r="CW384" s="109">
        <f t="shared" si="440"/>
        <v>0</v>
      </c>
      <c r="CX384" s="109"/>
      <c r="CY384" s="109"/>
      <c r="CZ384" s="111"/>
      <c r="DA384" s="111"/>
      <c r="DB384" s="165"/>
      <c r="DC384" s="109">
        <f t="shared" si="441"/>
        <v>0</v>
      </c>
      <c r="DD384" s="109">
        <f t="shared" si="442"/>
        <v>0</v>
      </c>
      <c r="DE384" s="109"/>
      <c r="DF384" s="109"/>
      <c r="DG384" s="111"/>
      <c r="DH384" s="111"/>
      <c r="DI384" s="165"/>
      <c r="DJ384" s="109">
        <f t="shared" si="443"/>
        <v>0</v>
      </c>
      <c r="DK384" s="109">
        <f t="shared" si="444"/>
        <v>0</v>
      </c>
      <c r="DL384" s="109"/>
      <c r="DM384" s="109"/>
      <c r="DN384" s="111"/>
      <c r="DO384" s="111"/>
      <c r="DP384" s="165"/>
      <c r="DQ384" s="109">
        <f t="shared" si="452"/>
        <v>0</v>
      </c>
      <c r="DR384" s="109">
        <f t="shared" si="453"/>
        <v>0</v>
      </c>
      <c r="DS384" s="109"/>
      <c r="DT384" s="109"/>
      <c r="DU384" s="111"/>
      <c r="DV384" s="111"/>
      <c r="DW384" s="165"/>
      <c r="DX384" s="109">
        <f t="shared" si="454"/>
        <v>0</v>
      </c>
      <c r="DY384" s="109">
        <f t="shared" si="455"/>
        <v>0</v>
      </c>
      <c r="DZ384" s="109"/>
      <c r="EA384" s="109"/>
      <c r="EB384" s="111"/>
      <c r="EC384" s="111"/>
      <c r="ED384" s="165"/>
      <c r="EE384" s="109">
        <f t="shared" si="456"/>
        <v>0</v>
      </c>
      <c r="EF384" s="109">
        <f t="shared" si="457"/>
        <v>0</v>
      </c>
      <c r="EG384" s="109"/>
      <c r="EH384" s="109"/>
      <c r="EI384" s="111"/>
      <c r="EJ384" s="111"/>
      <c r="EK384" s="165"/>
      <c r="EL384" s="109">
        <f t="shared" si="458"/>
        <v>0</v>
      </c>
      <c r="EM384" s="109">
        <f t="shared" si="459"/>
        <v>0</v>
      </c>
      <c r="EN384" s="109"/>
      <c r="EO384" s="109"/>
      <c r="EP384" s="111"/>
      <c r="EQ384" s="111"/>
      <c r="ER384" s="165"/>
      <c r="ES384" s="109">
        <f t="shared" si="460"/>
        <v>0</v>
      </c>
      <c r="ET384" s="109">
        <f t="shared" si="461"/>
        <v>0</v>
      </c>
      <c r="EU384" s="109"/>
      <c r="EV384" s="109"/>
      <c r="EW384" s="111"/>
      <c r="EX384" s="111"/>
      <c r="EY384" s="165"/>
      <c r="EZ384" s="109">
        <f t="shared" si="462"/>
        <v>0</v>
      </c>
      <c r="FA384" s="109">
        <f t="shared" si="463"/>
        <v>0</v>
      </c>
      <c r="FB384" s="109"/>
      <c r="FC384" s="109"/>
      <c r="FD384" s="111"/>
      <c r="FE384" s="111"/>
      <c r="FF384" s="165"/>
      <c r="FG384" s="109">
        <f t="shared" si="464"/>
        <v>0</v>
      </c>
      <c r="FH384" s="109">
        <f t="shared" si="465"/>
        <v>0</v>
      </c>
      <c r="FI384" s="109"/>
      <c r="FJ384" s="109"/>
      <c r="FK384" s="111"/>
      <c r="FL384" s="111"/>
      <c r="FM384" s="165"/>
      <c r="FN384" s="109">
        <f t="shared" si="466"/>
        <v>0</v>
      </c>
      <c r="FO384" s="109">
        <f t="shared" si="467"/>
        <v>0</v>
      </c>
      <c r="FP384" s="109"/>
      <c r="FQ384" s="109"/>
      <c r="FR384" s="111"/>
      <c r="FS384" s="111"/>
      <c r="FT384" s="165"/>
      <c r="FU384" s="109">
        <f t="shared" si="468"/>
        <v>0</v>
      </c>
      <c r="FV384" s="109">
        <f t="shared" si="476"/>
        <v>0</v>
      </c>
      <c r="FW384" s="109"/>
      <c r="FX384" s="109"/>
      <c r="FY384" s="111"/>
      <c r="FZ384" s="111"/>
      <c r="GA384" s="165"/>
      <c r="GB384" s="109">
        <f t="shared" si="469"/>
        <v>0</v>
      </c>
      <c r="GC384" s="109">
        <f t="shared" si="477"/>
        <v>0</v>
      </c>
      <c r="GD384" s="109"/>
      <c r="GE384" s="109"/>
      <c r="GF384" s="111"/>
      <c r="GG384" s="111"/>
      <c r="GH384" s="165"/>
      <c r="GI384" s="109">
        <f t="shared" si="470"/>
        <v>0</v>
      </c>
      <c r="GJ384" s="109">
        <f t="shared" si="478"/>
        <v>0</v>
      </c>
      <c r="GK384" s="109"/>
      <c r="GL384" s="109"/>
      <c r="GM384" s="111"/>
      <c r="GN384" s="111"/>
      <c r="GO384" s="165"/>
      <c r="GP384" s="109">
        <f t="shared" si="471"/>
        <v>0</v>
      </c>
      <c r="GQ384" s="109">
        <f t="shared" si="479"/>
        <v>0</v>
      </c>
      <c r="GR384" s="109"/>
      <c r="GS384" s="109"/>
      <c r="GT384" s="111"/>
      <c r="GU384" s="111"/>
      <c r="GV384" s="165"/>
      <c r="GW384" s="168">
        <f t="shared" si="472"/>
        <v>0</v>
      </c>
      <c r="GX384" s="168">
        <f t="shared" si="480"/>
        <v>0</v>
      </c>
      <c r="GY384" s="168"/>
      <c r="GZ384" s="168"/>
      <c r="HA384" s="111"/>
      <c r="HB384" s="111"/>
      <c r="HC384" s="165"/>
      <c r="HD384" s="109">
        <f t="shared" si="473"/>
        <v>0</v>
      </c>
      <c r="HE384" s="109">
        <f t="shared" si="481"/>
        <v>0</v>
      </c>
      <c r="HF384" s="109"/>
      <c r="HG384" s="109"/>
      <c r="HH384" s="111"/>
      <c r="HI384" s="111"/>
      <c r="HJ384" s="165"/>
      <c r="HK384" s="109">
        <f t="shared" si="474"/>
        <v>0</v>
      </c>
      <c r="HL384" s="109">
        <f t="shared" si="482"/>
        <v>0</v>
      </c>
      <c r="HM384" s="109"/>
      <c r="HN384" s="109"/>
      <c r="HO384" s="111"/>
      <c r="HP384" s="111"/>
      <c r="HQ384" s="165"/>
      <c r="HR384" s="109">
        <f t="shared" si="475"/>
        <v>0</v>
      </c>
      <c r="HS384" s="109">
        <f t="shared" si="483"/>
        <v>0</v>
      </c>
      <c r="HT384" s="109"/>
      <c r="HU384" s="109"/>
      <c r="HV384" s="111"/>
      <c r="HW384" s="111"/>
      <c r="HX384" s="105">
        <f t="shared" si="451"/>
        <v>0</v>
      </c>
      <c r="HY384" s="105">
        <f t="shared" si="451"/>
        <v>0</v>
      </c>
      <c r="HZ384" s="105">
        <f t="shared" si="451"/>
        <v>0</v>
      </c>
      <c r="IA384" s="105">
        <f t="shared" si="445"/>
        <v>0</v>
      </c>
      <c r="IB384" s="109">
        <f t="shared" si="446"/>
        <v>0</v>
      </c>
      <c r="IC384" s="109">
        <f t="shared" si="447"/>
        <v>0</v>
      </c>
      <c r="ID384" s="109">
        <f t="shared" si="448"/>
        <v>0</v>
      </c>
      <c r="IE384" s="109">
        <f t="shared" si="449"/>
        <v>0</v>
      </c>
      <c r="IF384" s="197"/>
      <c r="IG384" s="197"/>
      <c r="IH384" s="197"/>
      <c r="II384" s="197"/>
      <c r="IJ384" s="197"/>
      <c r="IK384" s="197"/>
      <c r="IL384" s="197"/>
      <c r="IM384" s="171"/>
      <c r="IN384" s="171"/>
      <c r="IO384" s="171"/>
      <c r="IP384" s="171"/>
    </row>
    <row r="385" spans="1:250" ht="15" customHeight="1" x14ac:dyDescent="0.3">
      <c r="A385" s="110">
        <f t="shared" si="450"/>
        <v>381</v>
      </c>
      <c r="B385" s="111"/>
      <c r="C385" s="111"/>
      <c r="D385" s="111"/>
      <c r="E385" s="111"/>
      <c r="F385" s="111"/>
      <c r="G385" s="111"/>
      <c r="H385" s="111"/>
      <c r="I385" s="194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75"/>
      <c r="AI385" s="111"/>
      <c r="AJ385" s="111"/>
      <c r="AK385" s="111"/>
      <c r="AL385" s="177"/>
      <c r="AM385" s="176"/>
      <c r="AN385" s="177"/>
      <c r="AO385" s="157"/>
      <c r="AP385" s="158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  <c r="BJ385" s="111"/>
      <c r="BK385" s="111"/>
      <c r="BL385" s="175"/>
      <c r="BM385" s="111"/>
      <c r="BN385" s="111"/>
      <c r="BO385" s="111"/>
      <c r="BP385" s="111"/>
      <c r="BQ385" s="111"/>
      <c r="BR385" s="111"/>
      <c r="BS385" s="111"/>
      <c r="BT385" s="111"/>
      <c r="BU385" s="111"/>
      <c r="BV385" s="111"/>
      <c r="BW385" s="111"/>
      <c r="BX385" s="111"/>
      <c r="BY385" s="111"/>
      <c r="BZ385" s="111"/>
      <c r="CA385" s="111"/>
      <c r="CB385" s="111"/>
      <c r="CC385" s="178"/>
      <c r="CD385" s="177">
        <f t="shared" si="434"/>
        <v>0</v>
      </c>
      <c r="CE385" s="148"/>
      <c r="CF385" s="111">
        <f t="shared" si="435"/>
        <v>0</v>
      </c>
      <c r="CG385" s="177"/>
      <c r="CH385" s="204"/>
      <c r="CI385" s="148"/>
      <c r="CJ385" s="165"/>
      <c r="CK385" s="165"/>
      <c r="CL385" s="111"/>
      <c r="CM385" s="111"/>
      <c r="CN385" s="165">
        <f t="shared" si="436"/>
        <v>0</v>
      </c>
      <c r="CO385" s="109">
        <f t="shared" si="437"/>
        <v>0</v>
      </c>
      <c r="CP385" s="109">
        <f t="shared" si="438"/>
        <v>0</v>
      </c>
      <c r="CQ385" s="109"/>
      <c r="CR385" s="109"/>
      <c r="CS385" s="196"/>
      <c r="CT385" s="167"/>
      <c r="CU385" s="165"/>
      <c r="CV385" s="109">
        <f t="shared" si="439"/>
        <v>0</v>
      </c>
      <c r="CW385" s="109">
        <f t="shared" si="440"/>
        <v>0</v>
      </c>
      <c r="CX385" s="109"/>
      <c r="CY385" s="109"/>
      <c r="CZ385" s="111"/>
      <c r="DA385" s="111"/>
      <c r="DB385" s="165"/>
      <c r="DC385" s="109">
        <f t="shared" si="441"/>
        <v>0</v>
      </c>
      <c r="DD385" s="109">
        <f t="shared" si="442"/>
        <v>0</v>
      </c>
      <c r="DE385" s="109"/>
      <c r="DF385" s="109"/>
      <c r="DG385" s="111"/>
      <c r="DH385" s="111"/>
      <c r="DI385" s="165"/>
      <c r="DJ385" s="109">
        <f t="shared" si="443"/>
        <v>0</v>
      </c>
      <c r="DK385" s="109">
        <f t="shared" si="444"/>
        <v>0</v>
      </c>
      <c r="DL385" s="109"/>
      <c r="DM385" s="109"/>
      <c r="DN385" s="111"/>
      <c r="DO385" s="111"/>
      <c r="DP385" s="165"/>
      <c r="DQ385" s="109">
        <f t="shared" si="452"/>
        <v>0</v>
      </c>
      <c r="DR385" s="109">
        <f t="shared" si="453"/>
        <v>0</v>
      </c>
      <c r="DS385" s="109"/>
      <c r="DT385" s="109"/>
      <c r="DU385" s="111"/>
      <c r="DV385" s="111"/>
      <c r="DW385" s="165"/>
      <c r="DX385" s="109">
        <f t="shared" si="454"/>
        <v>0</v>
      </c>
      <c r="DY385" s="109">
        <f t="shared" si="455"/>
        <v>0</v>
      </c>
      <c r="DZ385" s="109"/>
      <c r="EA385" s="109"/>
      <c r="EB385" s="111"/>
      <c r="EC385" s="111"/>
      <c r="ED385" s="165"/>
      <c r="EE385" s="109">
        <f t="shared" si="456"/>
        <v>0</v>
      </c>
      <c r="EF385" s="109">
        <f t="shared" si="457"/>
        <v>0</v>
      </c>
      <c r="EG385" s="109"/>
      <c r="EH385" s="109"/>
      <c r="EI385" s="111"/>
      <c r="EJ385" s="111"/>
      <c r="EK385" s="165"/>
      <c r="EL385" s="109">
        <f t="shared" si="458"/>
        <v>0</v>
      </c>
      <c r="EM385" s="109">
        <f t="shared" si="459"/>
        <v>0</v>
      </c>
      <c r="EN385" s="109"/>
      <c r="EO385" s="109"/>
      <c r="EP385" s="111"/>
      <c r="EQ385" s="111"/>
      <c r="ER385" s="165"/>
      <c r="ES385" s="109">
        <f t="shared" si="460"/>
        <v>0</v>
      </c>
      <c r="ET385" s="109">
        <f t="shared" si="461"/>
        <v>0</v>
      </c>
      <c r="EU385" s="109"/>
      <c r="EV385" s="109"/>
      <c r="EW385" s="111"/>
      <c r="EX385" s="111"/>
      <c r="EY385" s="165"/>
      <c r="EZ385" s="109">
        <f t="shared" si="462"/>
        <v>0</v>
      </c>
      <c r="FA385" s="109">
        <f t="shared" si="463"/>
        <v>0</v>
      </c>
      <c r="FB385" s="109"/>
      <c r="FC385" s="109"/>
      <c r="FD385" s="111"/>
      <c r="FE385" s="111"/>
      <c r="FF385" s="165"/>
      <c r="FG385" s="109">
        <f t="shared" si="464"/>
        <v>0</v>
      </c>
      <c r="FH385" s="109">
        <f t="shared" si="465"/>
        <v>0</v>
      </c>
      <c r="FI385" s="109"/>
      <c r="FJ385" s="109"/>
      <c r="FK385" s="111"/>
      <c r="FL385" s="111"/>
      <c r="FM385" s="165"/>
      <c r="FN385" s="109">
        <f t="shared" si="466"/>
        <v>0</v>
      </c>
      <c r="FO385" s="109">
        <f t="shared" si="467"/>
        <v>0</v>
      </c>
      <c r="FP385" s="109"/>
      <c r="FQ385" s="109"/>
      <c r="FR385" s="111"/>
      <c r="FS385" s="111"/>
      <c r="FT385" s="165"/>
      <c r="FU385" s="109">
        <f t="shared" si="468"/>
        <v>0</v>
      </c>
      <c r="FV385" s="109">
        <f t="shared" si="476"/>
        <v>0</v>
      </c>
      <c r="FW385" s="109"/>
      <c r="FX385" s="109"/>
      <c r="FY385" s="111"/>
      <c r="FZ385" s="111"/>
      <c r="GA385" s="165"/>
      <c r="GB385" s="109">
        <f t="shared" si="469"/>
        <v>0</v>
      </c>
      <c r="GC385" s="109">
        <f t="shared" si="477"/>
        <v>0</v>
      </c>
      <c r="GD385" s="109"/>
      <c r="GE385" s="109"/>
      <c r="GF385" s="111"/>
      <c r="GG385" s="111"/>
      <c r="GH385" s="165"/>
      <c r="GI385" s="109">
        <f t="shared" si="470"/>
        <v>0</v>
      </c>
      <c r="GJ385" s="109">
        <f t="shared" si="478"/>
        <v>0</v>
      </c>
      <c r="GK385" s="109"/>
      <c r="GL385" s="109"/>
      <c r="GM385" s="111"/>
      <c r="GN385" s="111"/>
      <c r="GO385" s="165"/>
      <c r="GP385" s="109">
        <f t="shared" si="471"/>
        <v>0</v>
      </c>
      <c r="GQ385" s="109">
        <f t="shared" si="479"/>
        <v>0</v>
      </c>
      <c r="GR385" s="109"/>
      <c r="GS385" s="109"/>
      <c r="GT385" s="111"/>
      <c r="GU385" s="111"/>
      <c r="GV385" s="165"/>
      <c r="GW385" s="168">
        <f t="shared" si="472"/>
        <v>0</v>
      </c>
      <c r="GX385" s="168">
        <f t="shared" si="480"/>
        <v>0</v>
      </c>
      <c r="GY385" s="168"/>
      <c r="GZ385" s="168"/>
      <c r="HA385" s="111"/>
      <c r="HB385" s="111"/>
      <c r="HC385" s="165"/>
      <c r="HD385" s="109">
        <f t="shared" si="473"/>
        <v>0</v>
      </c>
      <c r="HE385" s="109">
        <f t="shared" si="481"/>
        <v>0</v>
      </c>
      <c r="HF385" s="109"/>
      <c r="HG385" s="109"/>
      <c r="HH385" s="111"/>
      <c r="HI385" s="111"/>
      <c r="HJ385" s="165"/>
      <c r="HK385" s="109">
        <f t="shared" si="474"/>
        <v>0</v>
      </c>
      <c r="HL385" s="109">
        <f t="shared" si="482"/>
        <v>0</v>
      </c>
      <c r="HM385" s="109"/>
      <c r="HN385" s="109"/>
      <c r="HO385" s="111"/>
      <c r="HP385" s="111"/>
      <c r="HQ385" s="165"/>
      <c r="HR385" s="109">
        <f t="shared" si="475"/>
        <v>0</v>
      </c>
      <c r="HS385" s="109">
        <f t="shared" si="483"/>
        <v>0</v>
      </c>
      <c r="HT385" s="109"/>
      <c r="HU385" s="109"/>
      <c r="HV385" s="111"/>
      <c r="HW385" s="111"/>
      <c r="HX385" s="105">
        <f t="shared" si="451"/>
        <v>0</v>
      </c>
      <c r="HY385" s="105">
        <f t="shared" si="451"/>
        <v>0</v>
      </c>
      <c r="HZ385" s="105">
        <f t="shared" si="451"/>
        <v>0</v>
      </c>
      <c r="IA385" s="105">
        <f t="shared" si="445"/>
        <v>0</v>
      </c>
      <c r="IB385" s="109">
        <f t="shared" si="446"/>
        <v>0</v>
      </c>
      <c r="IC385" s="109">
        <f t="shared" si="447"/>
        <v>0</v>
      </c>
      <c r="ID385" s="109">
        <f t="shared" si="448"/>
        <v>0</v>
      </c>
      <c r="IE385" s="109">
        <f t="shared" si="449"/>
        <v>0</v>
      </c>
      <c r="IF385" s="197"/>
      <c r="IG385" s="197"/>
      <c r="IH385" s="197"/>
      <c r="II385" s="197"/>
      <c r="IJ385" s="197"/>
      <c r="IK385" s="197"/>
      <c r="IL385" s="197"/>
      <c r="IM385" s="171"/>
      <c r="IN385" s="171"/>
      <c r="IO385" s="171"/>
      <c r="IP385" s="171"/>
    </row>
    <row r="386" spans="1:250" ht="15" customHeight="1" x14ac:dyDescent="0.3">
      <c r="A386" s="110">
        <f t="shared" si="450"/>
        <v>382</v>
      </c>
      <c r="B386" s="111"/>
      <c r="C386" s="111"/>
      <c r="D386" s="111"/>
      <c r="E386" s="111"/>
      <c r="F386" s="111"/>
      <c r="G386" s="111"/>
      <c r="H386" s="111"/>
      <c r="I386" s="194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75"/>
      <c r="AI386" s="111"/>
      <c r="AJ386" s="111"/>
      <c r="AK386" s="111"/>
      <c r="AL386" s="177"/>
      <c r="AM386" s="176"/>
      <c r="AN386" s="177"/>
      <c r="AO386" s="157"/>
      <c r="AP386" s="158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11"/>
      <c r="BG386" s="111"/>
      <c r="BH386" s="111"/>
      <c r="BI386" s="111"/>
      <c r="BJ386" s="111"/>
      <c r="BK386" s="111"/>
      <c r="BL386" s="175"/>
      <c r="BM386" s="111"/>
      <c r="BN386" s="111"/>
      <c r="BO386" s="111"/>
      <c r="BP386" s="111"/>
      <c r="BQ386" s="111"/>
      <c r="BR386" s="111"/>
      <c r="BS386" s="111"/>
      <c r="BT386" s="111"/>
      <c r="BU386" s="111"/>
      <c r="BV386" s="111"/>
      <c r="BW386" s="111"/>
      <c r="BX386" s="111"/>
      <c r="BY386" s="111"/>
      <c r="BZ386" s="111"/>
      <c r="CA386" s="111"/>
      <c r="CB386" s="111"/>
      <c r="CC386" s="178"/>
      <c r="CD386" s="177">
        <f t="shared" si="434"/>
        <v>0</v>
      </c>
      <c r="CE386" s="148"/>
      <c r="CF386" s="111">
        <f t="shared" si="435"/>
        <v>0</v>
      </c>
      <c r="CG386" s="177"/>
      <c r="CH386" s="204"/>
      <c r="CI386" s="148"/>
      <c r="CJ386" s="165"/>
      <c r="CK386" s="165"/>
      <c r="CL386" s="111"/>
      <c r="CM386" s="111"/>
      <c r="CN386" s="165">
        <f t="shared" si="436"/>
        <v>0</v>
      </c>
      <c r="CO386" s="109">
        <f t="shared" si="437"/>
        <v>0</v>
      </c>
      <c r="CP386" s="109">
        <f t="shared" si="438"/>
        <v>0</v>
      </c>
      <c r="CQ386" s="109"/>
      <c r="CR386" s="109"/>
      <c r="CS386" s="196"/>
      <c r="CT386" s="167"/>
      <c r="CU386" s="165"/>
      <c r="CV386" s="109">
        <f t="shared" si="439"/>
        <v>0</v>
      </c>
      <c r="CW386" s="109">
        <f t="shared" si="440"/>
        <v>0</v>
      </c>
      <c r="CX386" s="109"/>
      <c r="CY386" s="109"/>
      <c r="CZ386" s="111"/>
      <c r="DA386" s="111"/>
      <c r="DB386" s="165"/>
      <c r="DC386" s="109">
        <f t="shared" si="441"/>
        <v>0</v>
      </c>
      <c r="DD386" s="109">
        <f t="shared" si="442"/>
        <v>0</v>
      </c>
      <c r="DE386" s="109"/>
      <c r="DF386" s="109"/>
      <c r="DG386" s="111"/>
      <c r="DH386" s="111"/>
      <c r="DI386" s="165"/>
      <c r="DJ386" s="109">
        <f t="shared" si="443"/>
        <v>0</v>
      </c>
      <c r="DK386" s="109">
        <f t="shared" si="444"/>
        <v>0</v>
      </c>
      <c r="DL386" s="109"/>
      <c r="DM386" s="109"/>
      <c r="DN386" s="111"/>
      <c r="DO386" s="111"/>
      <c r="DP386" s="165"/>
      <c r="DQ386" s="109">
        <f t="shared" si="452"/>
        <v>0</v>
      </c>
      <c r="DR386" s="109">
        <f t="shared" si="453"/>
        <v>0</v>
      </c>
      <c r="DS386" s="109"/>
      <c r="DT386" s="109"/>
      <c r="DU386" s="111"/>
      <c r="DV386" s="111"/>
      <c r="DW386" s="165"/>
      <c r="DX386" s="109">
        <f t="shared" si="454"/>
        <v>0</v>
      </c>
      <c r="DY386" s="109">
        <f t="shared" si="455"/>
        <v>0</v>
      </c>
      <c r="DZ386" s="109"/>
      <c r="EA386" s="109"/>
      <c r="EB386" s="111"/>
      <c r="EC386" s="111"/>
      <c r="ED386" s="165"/>
      <c r="EE386" s="109">
        <f t="shared" si="456"/>
        <v>0</v>
      </c>
      <c r="EF386" s="109">
        <f t="shared" si="457"/>
        <v>0</v>
      </c>
      <c r="EG386" s="109"/>
      <c r="EH386" s="109"/>
      <c r="EI386" s="111"/>
      <c r="EJ386" s="111"/>
      <c r="EK386" s="165"/>
      <c r="EL386" s="109">
        <f t="shared" si="458"/>
        <v>0</v>
      </c>
      <c r="EM386" s="109">
        <f t="shared" si="459"/>
        <v>0</v>
      </c>
      <c r="EN386" s="109"/>
      <c r="EO386" s="109"/>
      <c r="EP386" s="111"/>
      <c r="EQ386" s="111"/>
      <c r="ER386" s="165"/>
      <c r="ES386" s="109">
        <f t="shared" si="460"/>
        <v>0</v>
      </c>
      <c r="ET386" s="109">
        <f t="shared" si="461"/>
        <v>0</v>
      </c>
      <c r="EU386" s="109"/>
      <c r="EV386" s="109"/>
      <c r="EW386" s="111"/>
      <c r="EX386" s="111"/>
      <c r="EY386" s="165"/>
      <c r="EZ386" s="109">
        <f t="shared" si="462"/>
        <v>0</v>
      </c>
      <c r="FA386" s="109">
        <f t="shared" si="463"/>
        <v>0</v>
      </c>
      <c r="FB386" s="109"/>
      <c r="FC386" s="109"/>
      <c r="FD386" s="111"/>
      <c r="FE386" s="111"/>
      <c r="FF386" s="165"/>
      <c r="FG386" s="109">
        <f t="shared" si="464"/>
        <v>0</v>
      </c>
      <c r="FH386" s="109">
        <f t="shared" si="465"/>
        <v>0</v>
      </c>
      <c r="FI386" s="109"/>
      <c r="FJ386" s="109"/>
      <c r="FK386" s="111"/>
      <c r="FL386" s="111"/>
      <c r="FM386" s="165"/>
      <c r="FN386" s="109">
        <f t="shared" si="466"/>
        <v>0</v>
      </c>
      <c r="FO386" s="109">
        <f t="shared" si="467"/>
        <v>0</v>
      </c>
      <c r="FP386" s="109"/>
      <c r="FQ386" s="109"/>
      <c r="FR386" s="111"/>
      <c r="FS386" s="111"/>
      <c r="FT386" s="165"/>
      <c r="FU386" s="109">
        <f t="shared" si="468"/>
        <v>0</v>
      </c>
      <c r="FV386" s="109">
        <f t="shared" si="476"/>
        <v>0</v>
      </c>
      <c r="FW386" s="109"/>
      <c r="FX386" s="109"/>
      <c r="FY386" s="111"/>
      <c r="FZ386" s="111"/>
      <c r="GA386" s="165"/>
      <c r="GB386" s="109">
        <f t="shared" si="469"/>
        <v>0</v>
      </c>
      <c r="GC386" s="109">
        <f t="shared" si="477"/>
        <v>0</v>
      </c>
      <c r="GD386" s="109"/>
      <c r="GE386" s="109"/>
      <c r="GF386" s="111"/>
      <c r="GG386" s="111"/>
      <c r="GH386" s="165"/>
      <c r="GI386" s="109">
        <f t="shared" si="470"/>
        <v>0</v>
      </c>
      <c r="GJ386" s="109">
        <f t="shared" si="478"/>
        <v>0</v>
      </c>
      <c r="GK386" s="109"/>
      <c r="GL386" s="109"/>
      <c r="GM386" s="111"/>
      <c r="GN386" s="111"/>
      <c r="GO386" s="165"/>
      <c r="GP386" s="109">
        <f t="shared" si="471"/>
        <v>0</v>
      </c>
      <c r="GQ386" s="109">
        <f t="shared" si="479"/>
        <v>0</v>
      </c>
      <c r="GR386" s="109"/>
      <c r="GS386" s="109"/>
      <c r="GT386" s="111"/>
      <c r="GU386" s="111"/>
      <c r="GV386" s="165"/>
      <c r="GW386" s="168">
        <f t="shared" si="472"/>
        <v>0</v>
      </c>
      <c r="GX386" s="168">
        <f t="shared" si="480"/>
        <v>0</v>
      </c>
      <c r="GY386" s="168"/>
      <c r="GZ386" s="168"/>
      <c r="HA386" s="111"/>
      <c r="HB386" s="111"/>
      <c r="HC386" s="165"/>
      <c r="HD386" s="109">
        <f t="shared" si="473"/>
        <v>0</v>
      </c>
      <c r="HE386" s="109">
        <f t="shared" si="481"/>
        <v>0</v>
      </c>
      <c r="HF386" s="109"/>
      <c r="HG386" s="109"/>
      <c r="HH386" s="111"/>
      <c r="HI386" s="111"/>
      <c r="HJ386" s="165"/>
      <c r="HK386" s="109">
        <f t="shared" si="474"/>
        <v>0</v>
      </c>
      <c r="HL386" s="109">
        <f t="shared" si="482"/>
        <v>0</v>
      </c>
      <c r="HM386" s="109"/>
      <c r="HN386" s="109"/>
      <c r="HO386" s="111"/>
      <c r="HP386" s="111"/>
      <c r="HQ386" s="165"/>
      <c r="HR386" s="109">
        <f t="shared" si="475"/>
        <v>0</v>
      </c>
      <c r="HS386" s="109">
        <f t="shared" si="483"/>
        <v>0</v>
      </c>
      <c r="HT386" s="109"/>
      <c r="HU386" s="109"/>
      <c r="HV386" s="111"/>
      <c r="HW386" s="111"/>
      <c r="HX386" s="105">
        <f t="shared" si="451"/>
        <v>0</v>
      </c>
      <c r="HY386" s="105">
        <f t="shared" si="451"/>
        <v>0</v>
      </c>
      <c r="HZ386" s="105">
        <f t="shared" si="451"/>
        <v>0</v>
      </c>
      <c r="IA386" s="105">
        <f t="shared" si="445"/>
        <v>0</v>
      </c>
      <c r="IB386" s="109">
        <f t="shared" si="446"/>
        <v>0</v>
      </c>
      <c r="IC386" s="109">
        <f t="shared" si="447"/>
        <v>0</v>
      </c>
      <c r="ID386" s="109">
        <f t="shared" si="448"/>
        <v>0</v>
      </c>
      <c r="IE386" s="109">
        <f t="shared" si="449"/>
        <v>0</v>
      </c>
      <c r="IF386" s="197"/>
      <c r="IG386" s="197"/>
      <c r="IH386" s="197"/>
      <c r="II386" s="197"/>
      <c r="IJ386" s="197"/>
      <c r="IK386" s="197"/>
      <c r="IL386" s="197"/>
      <c r="IM386" s="171"/>
      <c r="IN386" s="171"/>
      <c r="IO386" s="171"/>
      <c r="IP386" s="171"/>
    </row>
    <row r="387" spans="1:250" ht="15" customHeight="1" x14ac:dyDescent="0.3">
      <c r="A387" s="110">
        <f t="shared" si="450"/>
        <v>383</v>
      </c>
      <c r="B387" s="111"/>
      <c r="C387" s="111"/>
      <c r="D387" s="111"/>
      <c r="E387" s="111"/>
      <c r="F387" s="111"/>
      <c r="G387" s="111"/>
      <c r="H387" s="111"/>
      <c r="I387" s="194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75"/>
      <c r="AI387" s="111"/>
      <c r="AJ387" s="111"/>
      <c r="AK387" s="111"/>
      <c r="AL387" s="177"/>
      <c r="AM387" s="176"/>
      <c r="AN387" s="177"/>
      <c r="AO387" s="157"/>
      <c r="AP387" s="158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  <c r="BG387" s="111"/>
      <c r="BH387" s="111"/>
      <c r="BI387" s="111"/>
      <c r="BJ387" s="111"/>
      <c r="BK387" s="111"/>
      <c r="BL387" s="175"/>
      <c r="BM387" s="111"/>
      <c r="BN387" s="111"/>
      <c r="BO387" s="111"/>
      <c r="BP387" s="111"/>
      <c r="BQ387" s="111"/>
      <c r="BR387" s="111"/>
      <c r="BS387" s="111"/>
      <c r="BT387" s="111"/>
      <c r="BU387" s="111"/>
      <c r="BV387" s="111"/>
      <c r="BW387" s="111"/>
      <c r="BX387" s="111"/>
      <c r="BY387" s="111"/>
      <c r="BZ387" s="111"/>
      <c r="CA387" s="111"/>
      <c r="CB387" s="111"/>
      <c r="CC387" s="178"/>
      <c r="CD387" s="177">
        <f t="shared" si="434"/>
        <v>0</v>
      </c>
      <c r="CE387" s="148"/>
      <c r="CF387" s="111">
        <f t="shared" si="435"/>
        <v>0</v>
      </c>
      <c r="CG387" s="177"/>
      <c r="CH387" s="204"/>
      <c r="CI387" s="148"/>
      <c r="CJ387" s="165"/>
      <c r="CK387" s="165"/>
      <c r="CL387" s="111"/>
      <c r="CM387" s="111"/>
      <c r="CN387" s="165">
        <f t="shared" si="436"/>
        <v>0</v>
      </c>
      <c r="CO387" s="109">
        <f t="shared" si="437"/>
        <v>0</v>
      </c>
      <c r="CP387" s="109">
        <f t="shared" si="438"/>
        <v>0</v>
      </c>
      <c r="CQ387" s="109"/>
      <c r="CR387" s="109"/>
      <c r="CS387" s="196"/>
      <c r="CT387" s="167"/>
      <c r="CU387" s="165"/>
      <c r="CV387" s="109">
        <f t="shared" si="439"/>
        <v>0</v>
      </c>
      <c r="CW387" s="109">
        <f t="shared" si="440"/>
        <v>0</v>
      </c>
      <c r="CX387" s="109"/>
      <c r="CY387" s="109"/>
      <c r="CZ387" s="111"/>
      <c r="DA387" s="111"/>
      <c r="DB387" s="165"/>
      <c r="DC387" s="109">
        <f t="shared" si="441"/>
        <v>0</v>
      </c>
      <c r="DD387" s="109">
        <f t="shared" si="442"/>
        <v>0</v>
      </c>
      <c r="DE387" s="109"/>
      <c r="DF387" s="109"/>
      <c r="DG387" s="111"/>
      <c r="DH387" s="111"/>
      <c r="DI387" s="165"/>
      <c r="DJ387" s="109">
        <f t="shared" si="443"/>
        <v>0</v>
      </c>
      <c r="DK387" s="109">
        <f t="shared" si="444"/>
        <v>0</v>
      </c>
      <c r="DL387" s="109"/>
      <c r="DM387" s="109"/>
      <c r="DN387" s="111"/>
      <c r="DO387" s="111"/>
      <c r="DP387" s="165"/>
      <c r="DQ387" s="109">
        <f t="shared" si="452"/>
        <v>0</v>
      </c>
      <c r="DR387" s="109">
        <f t="shared" si="453"/>
        <v>0</v>
      </c>
      <c r="DS387" s="109"/>
      <c r="DT387" s="109"/>
      <c r="DU387" s="111"/>
      <c r="DV387" s="111"/>
      <c r="DW387" s="165"/>
      <c r="DX387" s="109">
        <f t="shared" si="454"/>
        <v>0</v>
      </c>
      <c r="DY387" s="109">
        <f t="shared" si="455"/>
        <v>0</v>
      </c>
      <c r="DZ387" s="109"/>
      <c r="EA387" s="109"/>
      <c r="EB387" s="111"/>
      <c r="EC387" s="111"/>
      <c r="ED387" s="165"/>
      <c r="EE387" s="109">
        <f t="shared" si="456"/>
        <v>0</v>
      </c>
      <c r="EF387" s="109">
        <f t="shared" si="457"/>
        <v>0</v>
      </c>
      <c r="EG387" s="109"/>
      <c r="EH387" s="109"/>
      <c r="EI387" s="111"/>
      <c r="EJ387" s="111"/>
      <c r="EK387" s="165"/>
      <c r="EL387" s="109">
        <f t="shared" si="458"/>
        <v>0</v>
      </c>
      <c r="EM387" s="109">
        <f t="shared" si="459"/>
        <v>0</v>
      </c>
      <c r="EN387" s="109"/>
      <c r="EO387" s="109"/>
      <c r="EP387" s="111"/>
      <c r="EQ387" s="111"/>
      <c r="ER387" s="165"/>
      <c r="ES387" s="109">
        <f t="shared" si="460"/>
        <v>0</v>
      </c>
      <c r="ET387" s="109">
        <f t="shared" si="461"/>
        <v>0</v>
      </c>
      <c r="EU387" s="109"/>
      <c r="EV387" s="109"/>
      <c r="EW387" s="111"/>
      <c r="EX387" s="111"/>
      <c r="EY387" s="165"/>
      <c r="EZ387" s="109">
        <f t="shared" si="462"/>
        <v>0</v>
      </c>
      <c r="FA387" s="109">
        <f t="shared" si="463"/>
        <v>0</v>
      </c>
      <c r="FB387" s="109"/>
      <c r="FC387" s="109"/>
      <c r="FD387" s="111"/>
      <c r="FE387" s="111"/>
      <c r="FF387" s="165"/>
      <c r="FG387" s="109">
        <f t="shared" si="464"/>
        <v>0</v>
      </c>
      <c r="FH387" s="109">
        <f t="shared" si="465"/>
        <v>0</v>
      </c>
      <c r="FI387" s="109"/>
      <c r="FJ387" s="109"/>
      <c r="FK387" s="111"/>
      <c r="FL387" s="111"/>
      <c r="FM387" s="165"/>
      <c r="FN387" s="109">
        <f t="shared" si="466"/>
        <v>0</v>
      </c>
      <c r="FO387" s="109">
        <f t="shared" si="467"/>
        <v>0</v>
      </c>
      <c r="FP387" s="109"/>
      <c r="FQ387" s="109"/>
      <c r="FR387" s="111"/>
      <c r="FS387" s="111"/>
      <c r="FT387" s="165"/>
      <c r="FU387" s="109">
        <f t="shared" si="468"/>
        <v>0</v>
      </c>
      <c r="FV387" s="109">
        <f t="shared" si="476"/>
        <v>0</v>
      </c>
      <c r="FW387" s="109"/>
      <c r="FX387" s="109"/>
      <c r="FY387" s="111"/>
      <c r="FZ387" s="111"/>
      <c r="GA387" s="165"/>
      <c r="GB387" s="109">
        <f t="shared" si="469"/>
        <v>0</v>
      </c>
      <c r="GC387" s="109">
        <f t="shared" si="477"/>
        <v>0</v>
      </c>
      <c r="GD387" s="109"/>
      <c r="GE387" s="109"/>
      <c r="GF387" s="111"/>
      <c r="GG387" s="111"/>
      <c r="GH387" s="165"/>
      <c r="GI387" s="109">
        <f t="shared" si="470"/>
        <v>0</v>
      </c>
      <c r="GJ387" s="109">
        <f t="shared" si="478"/>
        <v>0</v>
      </c>
      <c r="GK387" s="109"/>
      <c r="GL387" s="109"/>
      <c r="GM387" s="111"/>
      <c r="GN387" s="111"/>
      <c r="GO387" s="165"/>
      <c r="GP387" s="109">
        <f t="shared" si="471"/>
        <v>0</v>
      </c>
      <c r="GQ387" s="109">
        <f t="shared" si="479"/>
        <v>0</v>
      </c>
      <c r="GR387" s="109"/>
      <c r="GS387" s="109"/>
      <c r="GT387" s="111"/>
      <c r="GU387" s="111"/>
      <c r="GV387" s="165"/>
      <c r="GW387" s="168">
        <f t="shared" si="472"/>
        <v>0</v>
      </c>
      <c r="GX387" s="168">
        <f t="shared" si="480"/>
        <v>0</v>
      </c>
      <c r="GY387" s="168"/>
      <c r="GZ387" s="168"/>
      <c r="HA387" s="111"/>
      <c r="HB387" s="111"/>
      <c r="HC387" s="165"/>
      <c r="HD387" s="109">
        <f t="shared" si="473"/>
        <v>0</v>
      </c>
      <c r="HE387" s="109">
        <f t="shared" si="481"/>
        <v>0</v>
      </c>
      <c r="HF387" s="109"/>
      <c r="HG387" s="109"/>
      <c r="HH387" s="111"/>
      <c r="HI387" s="111"/>
      <c r="HJ387" s="165"/>
      <c r="HK387" s="109">
        <f t="shared" si="474"/>
        <v>0</v>
      </c>
      <c r="HL387" s="109">
        <f t="shared" si="482"/>
        <v>0</v>
      </c>
      <c r="HM387" s="109"/>
      <c r="HN387" s="109"/>
      <c r="HO387" s="111"/>
      <c r="HP387" s="111"/>
      <c r="HQ387" s="165"/>
      <c r="HR387" s="109">
        <f t="shared" si="475"/>
        <v>0</v>
      </c>
      <c r="HS387" s="109">
        <f t="shared" si="483"/>
        <v>0</v>
      </c>
      <c r="HT387" s="109"/>
      <c r="HU387" s="109"/>
      <c r="HV387" s="111"/>
      <c r="HW387" s="111"/>
      <c r="HX387" s="105">
        <f t="shared" si="451"/>
        <v>0</v>
      </c>
      <c r="HY387" s="105">
        <f t="shared" si="451"/>
        <v>0</v>
      </c>
      <c r="HZ387" s="105">
        <f t="shared" si="451"/>
        <v>0</v>
      </c>
      <c r="IA387" s="105">
        <f t="shared" si="445"/>
        <v>0</v>
      </c>
      <c r="IB387" s="109">
        <f t="shared" si="446"/>
        <v>0</v>
      </c>
      <c r="IC387" s="109">
        <f t="shared" si="447"/>
        <v>0</v>
      </c>
      <c r="ID387" s="109">
        <f t="shared" si="448"/>
        <v>0</v>
      </c>
      <c r="IE387" s="109">
        <f t="shared" si="449"/>
        <v>0</v>
      </c>
      <c r="IF387" s="197"/>
      <c r="IG387" s="197"/>
      <c r="IH387" s="197"/>
      <c r="II387" s="197"/>
      <c r="IJ387" s="197"/>
      <c r="IK387" s="197"/>
      <c r="IL387" s="197"/>
      <c r="IM387" s="171"/>
      <c r="IN387" s="171"/>
      <c r="IO387" s="171"/>
      <c r="IP387" s="171"/>
    </row>
    <row r="388" spans="1:250" ht="15" customHeight="1" x14ac:dyDescent="0.3">
      <c r="A388" s="110">
        <f t="shared" si="450"/>
        <v>384</v>
      </c>
      <c r="B388" s="111"/>
      <c r="C388" s="111"/>
      <c r="D388" s="111"/>
      <c r="E388" s="111"/>
      <c r="F388" s="111"/>
      <c r="G388" s="111"/>
      <c r="H388" s="111"/>
      <c r="I388" s="194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75"/>
      <c r="AI388" s="111"/>
      <c r="AJ388" s="111"/>
      <c r="AK388" s="111"/>
      <c r="AL388" s="177"/>
      <c r="AM388" s="176"/>
      <c r="AN388" s="177"/>
      <c r="AO388" s="157"/>
      <c r="AP388" s="158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  <c r="BB388" s="111"/>
      <c r="BC388" s="111"/>
      <c r="BD388" s="111"/>
      <c r="BE388" s="111"/>
      <c r="BF388" s="111"/>
      <c r="BG388" s="111"/>
      <c r="BH388" s="111"/>
      <c r="BI388" s="111"/>
      <c r="BJ388" s="111"/>
      <c r="BK388" s="111"/>
      <c r="BL388" s="175"/>
      <c r="BM388" s="111"/>
      <c r="BN388" s="111"/>
      <c r="BO388" s="111"/>
      <c r="BP388" s="111"/>
      <c r="BQ388" s="111"/>
      <c r="BR388" s="111"/>
      <c r="BS388" s="111"/>
      <c r="BT388" s="111"/>
      <c r="BU388" s="111"/>
      <c r="BV388" s="111"/>
      <c r="BW388" s="111"/>
      <c r="BX388" s="111"/>
      <c r="BY388" s="111"/>
      <c r="BZ388" s="111"/>
      <c r="CA388" s="111"/>
      <c r="CB388" s="111"/>
      <c r="CC388" s="178"/>
      <c r="CD388" s="177">
        <f t="shared" si="434"/>
        <v>0</v>
      </c>
      <c r="CE388" s="148"/>
      <c r="CF388" s="111">
        <f t="shared" si="435"/>
        <v>0</v>
      </c>
      <c r="CG388" s="177"/>
      <c r="CH388" s="204"/>
      <c r="CI388" s="148"/>
      <c r="CJ388" s="165"/>
      <c r="CK388" s="165"/>
      <c r="CL388" s="111"/>
      <c r="CM388" s="111"/>
      <c r="CN388" s="165">
        <f t="shared" si="436"/>
        <v>0</v>
      </c>
      <c r="CO388" s="109">
        <f t="shared" si="437"/>
        <v>0</v>
      </c>
      <c r="CP388" s="109">
        <f t="shared" si="438"/>
        <v>0</v>
      </c>
      <c r="CQ388" s="109"/>
      <c r="CR388" s="109"/>
      <c r="CS388" s="196"/>
      <c r="CT388" s="167"/>
      <c r="CU388" s="165"/>
      <c r="CV388" s="109">
        <f t="shared" si="439"/>
        <v>0</v>
      </c>
      <c r="CW388" s="109">
        <f t="shared" si="440"/>
        <v>0</v>
      </c>
      <c r="CX388" s="109"/>
      <c r="CY388" s="109"/>
      <c r="CZ388" s="111"/>
      <c r="DA388" s="111"/>
      <c r="DB388" s="165"/>
      <c r="DC388" s="109">
        <f t="shared" si="441"/>
        <v>0</v>
      </c>
      <c r="DD388" s="109">
        <f t="shared" si="442"/>
        <v>0</v>
      </c>
      <c r="DE388" s="109"/>
      <c r="DF388" s="109"/>
      <c r="DG388" s="111"/>
      <c r="DH388" s="111"/>
      <c r="DI388" s="165"/>
      <c r="DJ388" s="109">
        <f t="shared" si="443"/>
        <v>0</v>
      </c>
      <c r="DK388" s="109">
        <f t="shared" si="444"/>
        <v>0</v>
      </c>
      <c r="DL388" s="109"/>
      <c r="DM388" s="109"/>
      <c r="DN388" s="111"/>
      <c r="DO388" s="111"/>
      <c r="DP388" s="165"/>
      <c r="DQ388" s="109">
        <f t="shared" si="452"/>
        <v>0</v>
      </c>
      <c r="DR388" s="109">
        <f t="shared" si="453"/>
        <v>0</v>
      </c>
      <c r="DS388" s="109"/>
      <c r="DT388" s="109"/>
      <c r="DU388" s="111"/>
      <c r="DV388" s="111"/>
      <c r="DW388" s="165"/>
      <c r="DX388" s="109">
        <f t="shared" si="454"/>
        <v>0</v>
      </c>
      <c r="DY388" s="109">
        <f t="shared" si="455"/>
        <v>0</v>
      </c>
      <c r="DZ388" s="109"/>
      <c r="EA388" s="109"/>
      <c r="EB388" s="111"/>
      <c r="EC388" s="111"/>
      <c r="ED388" s="165"/>
      <c r="EE388" s="109">
        <f t="shared" si="456"/>
        <v>0</v>
      </c>
      <c r="EF388" s="109">
        <f t="shared" si="457"/>
        <v>0</v>
      </c>
      <c r="EG388" s="109"/>
      <c r="EH388" s="109"/>
      <c r="EI388" s="111"/>
      <c r="EJ388" s="111"/>
      <c r="EK388" s="165"/>
      <c r="EL388" s="109">
        <f t="shared" si="458"/>
        <v>0</v>
      </c>
      <c r="EM388" s="109">
        <f t="shared" si="459"/>
        <v>0</v>
      </c>
      <c r="EN388" s="109"/>
      <c r="EO388" s="109"/>
      <c r="EP388" s="111"/>
      <c r="EQ388" s="111"/>
      <c r="ER388" s="165"/>
      <c r="ES388" s="109">
        <f t="shared" si="460"/>
        <v>0</v>
      </c>
      <c r="ET388" s="109">
        <f t="shared" si="461"/>
        <v>0</v>
      </c>
      <c r="EU388" s="109"/>
      <c r="EV388" s="109"/>
      <c r="EW388" s="111"/>
      <c r="EX388" s="111"/>
      <c r="EY388" s="165"/>
      <c r="EZ388" s="109">
        <f t="shared" si="462"/>
        <v>0</v>
      </c>
      <c r="FA388" s="109">
        <f t="shared" si="463"/>
        <v>0</v>
      </c>
      <c r="FB388" s="109"/>
      <c r="FC388" s="109"/>
      <c r="FD388" s="111"/>
      <c r="FE388" s="111"/>
      <c r="FF388" s="165"/>
      <c r="FG388" s="109">
        <f t="shared" si="464"/>
        <v>0</v>
      </c>
      <c r="FH388" s="109">
        <f t="shared" si="465"/>
        <v>0</v>
      </c>
      <c r="FI388" s="109"/>
      <c r="FJ388" s="109"/>
      <c r="FK388" s="111"/>
      <c r="FL388" s="111"/>
      <c r="FM388" s="165"/>
      <c r="FN388" s="109">
        <f t="shared" si="466"/>
        <v>0</v>
      </c>
      <c r="FO388" s="109">
        <f t="shared" si="467"/>
        <v>0</v>
      </c>
      <c r="FP388" s="109"/>
      <c r="FQ388" s="109"/>
      <c r="FR388" s="111"/>
      <c r="FS388" s="111"/>
      <c r="FT388" s="165"/>
      <c r="FU388" s="109">
        <f t="shared" si="468"/>
        <v>0</v>
      </c>
      <c r="FV388" s="109">
        <f t="shared" si="476"/>
        <v>0</v>
      </c>
      <c r="FW388" s="109"/>
      <c r="FX388" s="109"/>
      <c r="FY388" s="111"/>
      <c r="FZ388" s="111"/>
      <c r="GA388" s="165"/>
      <c r="GB388" s="109">
        <f t="shared" si="469"/>
        <v>0</v>
      </c>
      <c r="GC388" s="109">
        <f t="shared" si="477"/>
        <v>0</v>
      </c>
      <c r="GD388" s="109"/>
      <c r="GE388" s="109"/>
      <c r="GF388" s="111"/>
      <c r="GG388" s="111"/>
      <c r="GH388" s="165"/>
      <c r="GI388" s="109">
        <f t="shared" si="470"/>
        <v>0</v>
      </c>
      <c r="GJ388" s="109">
        <f t="shared" si="478"/>
        <v>0</v>
      </c>
      <c r="GK388" s="109"/>
      <c r="GL388" s="109"/>
      <c r="GM388" s="111"/>
      <c r="GN388" s="111"/>
      <c r="GO388" s="165"/>
      <c r="GP388" s="109">
        <f t="shared" si="471"/>
        <v>0</v>
      </c>
      <c r="GQ388" s="109">
        <f t="shared" si="479"/>
        <v>0</v>
      </c>
      <c r="GR388" s="109"/>
      <c r="GS388" s="109"/>
      <c r="GT388" s="111"/>
      <c r="GU388" s="111"/>
      <c r="GV388" s="165"/>
      <c r="GW388" s="168">
        <f t="shared" si="472"/>
        <v>0</v>
      </c>
      <c r="GX388" s="168">
        <f t="shared" si="480"/>
        <v>0</v>
      </c>
      <c r="GY388" s="168"/>
      <c r="GZ388" s="168"/>
      <c r="HA388" s="111"/>
      <c r="HB388" s="111"/>
      <c r="HC388" s="165"/>
      <c r="HD388" s="109">
        <f t="shared" si="473"/>
        <v>0</v>
      </c>
      <c r="HE388" s="109">
        <f t="shared" si="481"/>
        <v>0</v>
      </c>
      <c r="HF388" s="109"/>
      <c r="HG388" s="109"/>
      <c r="HH388" s="111"/>
      <c r="HI388" s="111"/>
      <c r="HJ388" s="165"/>
      <c r="HK388" s="109">
        <f t="shared" si="474"/>
        <v>0</v>
      </c>
      <c r="HL388" s="109">
        <f t="shared" si="482"/>
        <v>0</v>
      </c>
      <c r="HM388" s="109"/>
      <c r="HN388" s="109"/>
      <c r="HO388" s="111"/>
      <c r="HP388" s="111"/>
      <c r="HQ388" s="165"/>
      <c r="HR388" s="109">
        <f t="shared" si="475"/>
        <v>0</v>
      </c>
      <c r="HS388" s="109">
        <f t="shared" si="483"/>
        <v>0</v>
      </c>
      <c r="HT388" s="109"/>
      <c r="HU388" s="109"/>
      <c r="HV388" s="111"/>
      <c r="HW388" s="111"/>
      <c r="HX388" s="105">
        <f t="shared" si="451"/>
        <v>0</v>
      </c>
      <c r="HY388" s="105">
        <f t="shared" si="451"/>
        <v>0</v>
      </c>
      <c r="HZ388" s="105">
        <f t="shared" si="451"/>
        <v>0</v>
      </c>
      <c r="IA388" s="105">
        <f t="shared" si="445"/>
        <v>0</v>
      </c>
      <c r="IB388" s="109">
        <f t="shared" si="446"/>
        <v>0</v>
      </c>
      <c r="IC388" s="109">
        <f t="shared" si="447"/>
        <v>0</v>
      </c>
      <c r="ID388" s="109">
        <f t="shared" si="448"/>
        <v>0</v>
      </c>
      <c r="IE388" s="109">
        <f t="shared" si="449"/>
        <v>0</v>
      </c>
      <c r="IF388" s="197"/>
      <c r="IG388" s="197"/>
      <c r="IH388" s="197"/>
      <c r="II388" s="197"/>
      <c r="IJ388" s="197"/>
      <c r="IK388" s="197"/>
      <c r="IL388" s="197"/>
      <c r="IM388" s="171"/>
      <c r="IN388" s="171"/>
      <c r="IO388" s="171"/>
      <c r="IP388" s="171"/>
    </row>
    <row r="389" spans="1:250" ht="15" customHeight="1" x14ac:dyDescent="0.3">
      <c r="A389" s="110">
        <f t="shared" si="450"/>
        <v>385</v>
      </c>
      <c r="B389" s="111"/>
      <c r="C389" s="111"/>
      <c r="D389" s="111"/>
      <c r="E389" s="111"/>
      <c r="F389" s="111"/>
      <c r="G389" s="111"/>
      <c r="H389" s="111"/>
      <c r="I389" s="194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75"/>
      <c r="AI389" s="111"/>
      <c r="AJ389" s="111"/>
      <c r="AK389" s="111"/>
      <c r="AL389" s="177"/>
      <c r="AM389" s="176"/>
      <c r="AN389" s="177"/>
      <c r="AO389" s="157"/>
      <c r="AP389" s="158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  <c r="BG389" s="111"/>
      <c r="BH389" s="111"/>
      <c r="BI389" s="111"/>
      <c r="BJ389" s="111"/>
      <c r="BK389" s="111"/>
      <c r="BL389" s="175"/>
      <c r="BM389" s="111"/>
      <c r="BN389" s="111"/>
      <c r="BO389" s="111"/>
      <c r="BP389" s="111"/>
      <c r="BQ389" s="111"/>
      <c r="BR389" s="111"/>
      <c r="BS389" s="111"/>
      <c r="BT389" s="111"/>
      <c r="BU389" s="111"/>
      <c r="BV389" s="111"/>
      <c r="BW389" s="111"/>
      <c r="BX389" s="111"/>
      <c r="BY389" s="111"/>
      <c r="BZ389" s="111"/>
      <c r="CA389" s="111"/>
      <c r="CB389" s="111"/>
      <c r="CC389" s="178"/>
      <c r="CD389" s="177">
        <f t="shared" ref="CD389:CD452" si="484">AL389</f>
        <v>0</v>
      </c>
      <c r="CE389" s="148"/>
      <c r="CF389" s="111">
        <f t="shared" ref="CF389:CF452" si="485">AI389</f>
        <v>0</v>
      </c>
      <c r="CG389" s="177"/>
      <c r="CH389" s="204"/>
      <c r="CI389" s="148"/>
      <c r="CJ389" s="165"/>
      <c r="CK389" s="165"/>
      <c r="CL389" s="111"/>
      <c r="CM389" s="111"/>
      <c r="CN389" s="165">
        <f t="shared" ref="CN389:CN452" si="486">CJ389</f>
        <v>0</v>
      </c>
      <c r="CO389" s="109">
        <f t="shared" ref="CO389:CO452" si="487">CQ389-CP389</f>
        <v>0</v>
      </c>
      <c r="CP389" s="109">
        <f t="shared" ref="CP389:CP452" si="488">CQ389/(1+AM389)*AM389</f>
        <v>0</v>
      </c>
      <c r="CQ389" s="109"/>
      <c r="CR389" s="109"/>
      <c r="CS389" s="196"/>
      <c r="CT389" s="167"/>
      <c r="CU389" s="165"/>
      <c r="CV389" s="109">
        <f t="shared" ref="CV389:CV452" si="489">CX389-CW389</f>
        <v>0</v>
      </c>
      <c r="CW389" s="109">
        <f t="shared" ref="CW389:CW452" si="490">CX389/(1+AM389)*AM389</f>
        <v>0</v>
      </c>
      <c r="CX389" s="109"/>
      <c r="CY389" s="109"/>
      <c r="CZ389" s="111"/>
      <c r="DA389" s="111"/>
      <c r="DB389" s="165"/>
      <c r="DC389" s="109">
        <f t="shared" ref="DC389:DC452" si="491">DE389-DD389</f>
        <v>0</v>
      </c>
      <c r="DD389" s="109">
        <f t="shared" ref="DD389:DD452" si="492">DE389/(1+AM389)*AM389</f>
        <v>0</v>
      </c>
      <c r="DE389" s="109"/>
      <c r="DF389" s="109"/>
      <c r="DG389" s="111"/>
      <c r="DH389" s="111"/>
      <c r="DI389" s="165"/>
      <c r="DJ389" s="109">
        <f t="shared" ref="DJ389:DJ452" si="493">DL389-DK389</f>
        <v>0</v>
      </c>
      <c r="DK389" s="109">
        <f t="shared" ref="DK389:DK452" si="494">DL389/(1+AM389)*AM389</f>
        <v>0</v>
      </c>
      <c r="DL389" s="109"/>
      <c r="DM389" s="109"/>
      <c r="DN389" s="111"/>
      <c r="DO389" s="111"/>
      <c r="DP389" s="165"/>
      <c r="DQ389" s="109">
        <f t="shared" si="452"/>
        <v>0</v>
      </c>
      <c r="DR389" s="109">
        <f t="shared" si="453"/>
        <v>0</v>
      </c>
      <c r="DS389" s="109"/>
      <c r="DT389" s="109"/>
      <c r="DU389" s="111"/>
      <c r="DV389" s="111"/>
      <c r="DW389" s="165"/>
      <c r="DX389" s="109">
        <f t="shared" si="454"/>
        <v>0</v>
      </c>
      <c r="DY389" s="109">
        <f t="shared" si="455"/>
        <v>0</v>
      </c>
      <c r="DZ389" s="109"/>
      <c r="EA389" s="109"/>
      <c r="EB389" s="111"/>
      <c r="EC389" s="111"/>
      <c r="ED389" s="165"/>
      <c r="EE389" s="109">
        <f t="shared" si="456"/>
        <v>0</v>
      </c>
      <c r="EF389" s="109">
        <f t="shared" si="457"/>
        <v>0</v>
      </c>
      <c r="EG389" s="109"/>
      <c r="EH389" s="109"/>
      <c r="EI389" s="111"/>
      <c r="EJ389" s="111"/>
      <c r="EK389" s="165"/>
      <c r="EL389" s="109">
        <f t="shared" si="458"/>
        <v>0</v>
      </c>
      <c r="EM389" s="109">
        <f t="shared" si="459"/>
        <v>0</v>
      </c>
      <c r="EN389" s="109"/>
      <c r="EO389" s="109"/>
      <c r="EP389" s="111"/>
      <c r="EQ389" s="111"/>
      <c r="ER389" s="165"/>
      <c r="ES389" s="109">
        <f t="shared" si="460"/>
        <v>0</v>
      </c>
      <c r="ET389" s="109">
        <f t="shared" si="461"/>
        <v>0</v>
      </c>
      <c r="EU389" s="109"/>
      <c r="EV389" s="109"/>
      <c r="EW389" s="111"/>
      <c r="EX389" s="111"/>
      <c r="EY389" s="165"/>
      <c r="EZ389" s="109">
        <f t="shared" si="462"/>
        <v>0</v>
      </c>
      <c r="FA389" s="109">
        <f t="shared" si="463"/>
        <v>0</v>
      </c>
      <c r="FB389" s="109"/>
      <c r="FC389" s="109"/>
      <c r="FD389" s="111"/>
      <c r="FE389" s="111"/>
      <c r="FF389" s="165"/>
      <c r="FG389" s="109">
        <f t="shared" si="464"/>
        <v>0</v>
      </c>
      <c r="FH389" s="109">
        <f t="shared" si="465"/>
        <v>0</v>
      </c>
      <c r="FI389" s="109"/>
      <c r="FJ389" s="109"/>
      <c r="FK389" s="111"/>
      <c r="FL389" s="111"/>
      <c r="FM389" s="165"/>
      <c r="FN389" s="109">
        <f t="shared" si="466"/>
        <v>0</v>
      </c>
      <c r="FO389" s="109">
        <f t="shared" si="467"/>
        <v>0</v>
      </c>
      <c r="FP389" s="109"/>
      <c r="FQ389" s="109"/>
      <c r="FR389" s="111"/>
      <c r="FS389" s="111"/>
      <c r="FT389" s="165"/>
      <c r="FU389" s="109">
        <f t="shared" si="468"/>
        <v>0</v>
      </c>
      <c r="FV389" s="109">
        <f t="shared" si="476"/>
        <v>0</v>
      </c>
      <c r="FW389" s="109"/>
      <c r="FX389" s="109"/>
      <c r="FY389" s="111"/>
      <c r="FZ389" s="111"/>
      <c r="GA389" s="165"/>
      <c r="GB389" s="109">
        <f t="shared" si="469"/>
        <v>0</v>
      </c>
      <c r="GC389" s="109">
        <f t="shared" si="477"/>
        <v>0</v>
      </c>
      <c r="GD389" s="109"/>
      <c r="GE389" s="109"/>
      <c r="GF389" s="111"/>
      <c r="GG389" s="111"/>
      <c r="GH389" s="165"/>
      <c r="GI389" s="109">
        <f t="shared" si="470"/>
        <v>0</v>
      </c>
      <c r="GJ389" s="109">
        <f t="shared" si="478"/>
        <v>0</v>
      </c>
      <c r="GK389" s="109"/>
      <c r="GL389" s="109"/>
      <c r="GM389" s="111"/>
      <c r="GN389" s="111"/>
      <c r="GO389" s="165"/>
      <c r="GP389" s="109">
        <f t="shared" si="471"/>
        <v>0</v>
      </c>
      <c r="GQ389" s="109">
        <f t="shared" si="479"/>
        <v>0</v>
      </c>
      <c r="GR389" s="109"/>
      <c r="GS389" s="109"/>
      <c r="GT389" s="111"/>
      <c r="GU389" s="111"/>
      <c r="GV389" s="165"/>
      <c r="GW389" s="168">
        <f t="shared" si="472"/>
        <v>0</v>
      </c>
      <c r="GX389" s="168">
        <f t="shared" si="480"/>
        <v>0</v>
      </c>
      <c r="GY389" s="168"/>
      <c r="GZ389" s="168"/>
      <c r="HA389" s="111"/>
      <c r="HB389" s="111"/>
      <c r="HC389" s="165"/>
      <c r="HD389" s="109">
        <f t="shared" si="473"/>
        <v>0</v>
      </c>
      <c r="HE389" s="109">
        <f t="shared" si="481"/>
        <v>0</v>
      </c>
      <c r="HF389" s="109"/>
      <c r="HG389" s="109"/>
      <c r="HH389" s="111"/>
      <c r="HI389" s="111"/>
      <c r="HJ389" s="165"/>
      <c r="HK389" s="109">
        <f t="shared" si="474"/>
        <v>0</v>
      </c>
      <c r="HL389" s="109">
        <f t="shared" si="482"/>
        <v>0</v>
      </c>
      <c r="HM389" s="109"/>
      <c r="HN389" s="109"/>
      <c r="HO389" s="111"/>
      <c r="HP389" s="111"/>
      <c r="HQ389" s="165"/>
      <c r="HR389" s="109">
        <f t="shared" si="475"/>
        <v>0</v>
      </c>
      <c r="HS389" s="109">
        <f t="shared" si="483"/>
        <v>0</v>
      </c>
      <c r="HT389" s="109"/>
      <c r="HU389" s="109"/>
      <c r="HV389" s="111"/>
      <c r="HW389" s="111"/>
      <c r="HX389" s="105">
        <f t="shared" si="451"/>
        <v>0</v>
      </c>
      <c r="HY389" s="105">
        <f t="shared" si="451"/>
        <v>0</v>
      </c>
      <c r="HZ389" s="105">
        <f t="shared" si="451"/>
        <v>0</v>
      </c>
      <c r="IA389" s="105">
        <f t="shared" ref="IA389:IA452" si="495">HX389+HY389-HZ389</f>
        <v>0</v>
      </c>
      <c r="IB389" s="109">
        <f t="shared" ref="IB389:IB452" si="496">AO389-HZ389</f>
        <v>0</v>
      </c>
      <c r="IC389" s="109">
        <f t="shared" ref="IC389:IC452" si="497">AL389-HX389</f>
        <v>0</v>
      </c>
      <c r="ID389" s="109">
        <f t="shared" ref="ID389:ID452" si="498">(HZ389+IB389)-AO389</f>
        <v>0</v>
      </c>
      <c r="IE389" s="109">
        <f t="shared" ref="IE389:IE452" si="499">CT389+DA389+DH389+DO389+DV389+EC389+EJ389</f>
        <v>0</v>
      </c>
      <c r="IF389" s="197"/>
      <c r="IG389" s="197"/>
      <c r="IH389" s="197"/>
      <c r="II389" s="197"/>
      <c r="IJ389" s="197"/>
      <c r="IK389" s="197"/>
      <c r="IL389" s="197"/>
      <c r="IM389" s="171"/>
      <c r="IN389" s="171"/>
      <c r="IO389" s="171"/>
      <c r="IP389" s="171"/>
    </row>
    <row r="390" spans="1:250" ht="15" customHeight="1" x14ac:dyDescent="0.3">
      <c r="A390" s="110">
        <f t="shared" ref="A390:A453" si="500">A389+1</f>
        <v>386</v>
      </c>
      <c r="B390" s="111"/>
      <c r="C390" s="111"/>
      <c r="D390" s="111"/>
      <c r="E390" s="111"/>
      <c r="F390" s="111"/>
      <c r="G390" s="111"/>
      <c r="H390" s="111"/>
      <c r="I390" s="194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75"/>
      <c r="AI390" s="111"/>
      <c r="AJ390" s="111"/>
      <c r="AK390" s="111"/>
      <c r="AL390" s="177"/>
      <c r="AM390" s="176"/>
      <c r="AN390" s="177"/>
      <c r="AO390" s="157"/>
      <c r="AP390" s="158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  <c r="BG390" s="111"/>
      <c r="BH390" s="111"/>
      <c r="BI390" s="111"/>
      <c r="BJ390" s="111"/>
      <c r="BK390" s="111"/>
      <c r="BL390" s="175"/>
      <c r="BM390" s="111"/>
      <c r="BN390" s="111"/>
      <c r="BO390" s="111"/>
      <c r="BP390" s="111"/>
      <c r="BQ390" s="111"/>
      <c r="BR390" s="111"/>
      <c r="BS390" s="111"/>
      <c r="BT390" s="111"/>
      <c r="BU390" s="111"/>
      <c r="BV390" s="111"/>
      <c r="BW390" s="111"/>
      <c r="BX390" s="111"/>
      <c r="BY390" s="111"/>
      <c r="BZ390" s="111"/>
      <c r="CA390" s="111"/>
      <c r="CB390" s="111"/>
      <c r="CC390" s="178"/>
      <c r="CD390" s="177">
        <f t="shared" si="484"/>
        <v>0</v>
      </c>
      <c r="CE390" s="148"/>
      <c r="CF390" s="111">
        <f t="shared" si="485"/>
        <v>0</v>
      </c>
      <c r="CG390" s="177"/>
      <c r="CH390" s="204"/>
      <c r="CI390" s="148"/>
      <c r="CJ390" s="165"/>
      <c r="CK390" s="165"/>
      <c r="CL390" s="111"/>
      <c r="CM390" s="111"/>
      <c r="CN390" s="165">
        <f t="shared" si="486"/>
        <v>0</v>
      </c>
      <c r="CO390" s="109">
        <f t="shared" si="487"/>
        <v>0</v>
      </c>
      <c r="CP390" s="109">
        <f t="shared" si="488"/>
        <v>0</v>
      </c>
      <c r="CQ390" s="109"/>
      <c r="CR390" s="109"/>
      <c r="CS390" s="196"/>
      <c r="CT390" s="167"/>
      <c r="CU390" s="165"/>
      <c r="CV390" s="109">
        <f t="shared" si="489"/>
        <v>0</v>
      </c>
      <c r="CW390" s="109">
        <f t="shared" si="490"/>
        <v>0</v>
      </c>
      <c r="CX390" s="109"/>
      <c r="CY390" s="109"/>
      <c r="CZ390" s="111"/>
      <c r="DA390" s="111"/>
      <c r="DB390" s="165"/>
      <c r="DC390" s="109">
        <f t="shared" si="491"/>
        <v>0</v>
      </c>
      <c r="DD390" s="109">
        <f t="shared" si="492"/>
        <v>0</v>
      </c>
      <c r="DE390" s="109"/>
      <c r="DF390" s="109"/>
      <c r="DG390" s="111"/>
      <c r="DH390" s="111"/>
      <c r="DI390" s="165"/>
      <c r="DJ390" s="109">
        <f t="shared" si="493"/>
        <v>0</v>
      </c>
      <c r="DK390" s="109">
        <f t="shared" si="494"/>
        <v>0</v>
      </c>
      <c r="DL390" s="109"/>
      <c r="DM390" s="109"/>
      <c r="DN390" s="111"/>
      <c r="DO390" s="111"/>
      <c r="DP390" s="165"/>
      <c r="DQ390" s="109">
        <f t="shared" si="452"/>
        <v>0</v>
      </c>
      <c r="DR390" s="109">
        <f t="shared" si="453"/>
        <v>0</v>
      </c>
      <c r="DS390" s="109"/>
      <c r="DT390" s="109"/>
      <c r="DU390" s="111"/>
      <c r="DV390" s="111"/>
      <c r="DW390" s="165"/>
      <c r="DX390" s="109">
        <f t="shared" si="454"/>
        <v>0</v>
      </c>
      <c r="DY390" s="109">
        <f t="shared" si="455"/>
        <v>0</v>
      </c>
      <c r="DZ390" s="109"/>
      <c r="EA390" s="109"/>
      <c r="EB390" s="111"/>
      <c r="EC390" s="111"/>
      <c r="ED390" s="165"/>
      <c r="EE390" s="109">
        <f t="shared" si="456"/>
        <v>0</v>
      </c>
      <c r="EF390" s="109">
        <f t="shared" si="457"/>
        <v>0</v>
      </c>
      <c r="EG390" s="109"/>
      <c r="EH390" s="109"/>
      <c r="EI390" s="111"/>
      <c r="EJ390" s="111"/>
      <c r="EK390" s="165"/>
      <c r="EL390" s="109">
        <f t="shared" si="458"/>
        <v>0</v>
      </c>
      <c r="EM390" s="109">
        <f t="shared" si="459"/>
        <v>0</v>
      </c>
      <c r="EN390" s="109"/>
      <c r="EO390" s="109"/>
      <c r="EP390" s="111"/>
      <c r="EQ390" s="111"/>
      <c r="ER390" s="165"/>
      <c r="ES390" s="109">
        <f t="shared" si="460"/>
        <v>0</v>
      </c>
      <c r="ET390" s="109">
        <f t="shared" si="461"/>
        <v>0</v>
      </c>
      <c r="EU390" s="109"/>
      <c r="EV390" s="109"/>
      <c r="EW390" s="111"/>
      <c r="EX390" s="111"/>
      <c r="EY390" s="165"/>
      <c r="EZ390" s="109">
        <f t="shared" si="462"/>
        <v>0</v>
      </c>
      <c r="FA390" s="109">
        <f t="shared" si="463"/>
        <v>0</v>
      </c>
      <c r="FB390" s="109"/>
      <c r="FC390" s="109"/>
      <c r="FD390" s="111"/>
      <c r="FE390" s="111"/>
      <c r="FF390" s="165"/>
      <c r="FG390" s="109">
        <f t="shared" si="464"/>
        <v>0</v>
      </c>
      <c r="FH390" s="109">
        <f t="shared" si="465"/>
        <v>0</v>
      </c>
      <c r="FI390" s="109"/>
      <c r="FJ390" s="109"/>
      <c r="FK390" s="111"/>
      <c r="FL390" s="111"/>
      <c r="FM390" s="165"/>
      <c r="FN390" s="109">
        <f t="shared" si="466"/>
        <v>0</v>
      </c>
      <c r="FO390" s="109">
        <f t="shared" si="467"/>
        <v>0</v>
      </c>
      <c r="FP390" s="109"/>
      <c r="FQ390" s="109"/>
      <c r="FR390" s="111"/>
      <c r="FS390" s="111"/>
      <c r="FT390" s="165"/>
      <c r="FU390" s="109">
        <f t="shared" si="468"/>
        <v>0</v>
      </c>
      <c r="FV390" s="109">
        <f t="shared" si="476"/>
        <v>0</v>
      </c>
      <c r="FW390" s="109"/>
      <c r="FX390" s="109"/>
      <c r="FY390" s="111"/>
      <c r="FZ390" s="111"/>
      <c r="GA390" s="165"/>
      <c r="GB390" s="109">
        <f t="shared" si="469"/>
        <v>0</v>
      </c>
      <c r="GC390" s="109">
        <f t="shared" si="477"/>
        <v>0</v>
      </c>
      <c r="GD390" s="109"/>
      <c r="GE390" s="109"/>
      <c r="GF390" s="111"/>
      <c r="GG390" s="111"/>
      <c r="GH390" s="165"/>
      <c r="GI390" s="109">
        <f t="shared" si="470"/>
        <v>0</v>
      </c>
      <c r="GJ390" s="109">
        <f t="shared" si="478"/>
        <v>0</v>
      </c>
      <c r="GK390" s="109"/>
      <c r="GL390" s="109"/>
      <c r="GM390" s="111"/>
      <c r="GN390" s="111"/>
      <c r="GO390" s="165"/>
      <c r="GP390" s="109">
        <f t="shared" si="471"/>
        <v>0</v>
      </c>
      <c r="GQ390" s="109">
        <f t="shared" si="479"/>
        <v>0</v>
      </c>
      <c r="GR390" s="109"/>
      <c r="GS390" s="109"/>
      <c r="GT390" s="111"/>
      <c r="GU390" s="111"/>
      <c r="GV390" s="165"/>
      <c r="GW390" s="168">
        <f t="shared" si="472"/>
        <v>0</v>
      </c>
      <c r="GX390" s="168">
        <f t="shared" si="480"/>
        <v>0</v>
      </c>
      <c r="GY390" s="168"/>
      <c r="GZ390" s="168"/>
      <c r="HA390" s="111"/>
      <c r="HB390" s="111"/>
      <c r="HC390" s="165"/>
      <c r="HD390" s="109">
        <f t="shared" si="473"/>
        <v>0</v>
      </c>
      <c r="HE390" s="109">
        <f t="shared" si="481"/>
        <v>0</v>
      </c>
      <c r="HF390" s="109"/>
      <c r="HG390" s="109"/>
      <c r="HH390" s="111"/>
      <c r="HI390" s="111"/>
      <c r="HJ390" s="165"/>
      <c r="HK390" s="109">
        <f t="shared" si="474"/>
        <v>0</v>
      </c>
      <c r="HL390" s="109">
        <f t="shared" si="482"/>
        <v>0</v>
      </c>
      <c r="HM390" s="109"/>
      <c r="HN390" s="109"/>
      <c r="HO390" s="111"/>
      <c r="HP390" s="111"/>
      <c r="HQ390" s="165"/>
      <c r="HR390" s="109">
        <f t="shared" si="475"/>
        <v>0</v>
      </c>
      <c r="HS390" s="109">
        <f t="shared" si="483"/>
        <v>0</v>
      </c>
      <c r="HT390" s="109"/>
      <c r="HU390" s="109"/>
      <c r="HV390" s="111"/>
      <c r="HW390" s="111"/>
      <c r="HX390" s="105">
        <f t="shared" si="451"/>
        <v>0</v>
      </c>
      <c r="HY390" s="105">
        <f t="shared" si="451"/>
        <v>0</v>
      </c>
      <c r="HZ390" s="105">
        <f t="shared" si="451"/>
        <v>0</v>
      </c>
      <c r="IA390" s="105">
        <f t="shared" si="495"/>
        <v>0</v>
      </c>
      <c r="IB390" s="109">
        <f t="shared" si="496"/>
        <v>0</v>
      </c>
      <c r="IC390" s="109">
        <f t="shared" si="497"/>
        <v>0</v>
      </c>
      <c r="ID390" s="109">
        <f t="shared" si="498"/>
        <v>0</v>
      </c>
      <c r="IE390" s="109">
        <f t="shared" si="499"/>
        <v>0</v>
      </c>
      <c r="IF390" s="197"/>
      <c r="IG390" s="197"/>
      <c r="IH390" s="197"/>
      <c r="II390" s="197"/>
      <c r="IJ390" s="197"/>
      <c r="IK390" s="197"/>
      <c r="IL390" s="197"/>
      <c r="IM390" s="171"/>
      <c r="IN390" s="171"/>
      <c r="IO390" s="171"/>
      <c r="IP390" s="171"/>
    </row>
    <row r="391" spans="1:250" ht="15" customHeight="1" x14ac:dyDescent="0.3">
      <c r="A391" s="110">
        <f t="shared" si="500"/>
        <v>387</v>
      </c>
      <c r="B391" s="111"/>
      <c r="C391" s="111"/>
      <c r="D391" s="111"/>
      <c r="E391" s="111"/>
      <c r="F391" s="111"/>
      <c r="G391" s="111"/>
      <c r="H391" s="111"/>
      <c r="I391" s="194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75"/>
      <c r="AI391" s="111"/>
      <c r="AJ391" s="111"/>
      <c r="AK391" s="111"/>
      <c r="AL391" s="177"/>
      <c r="AM391" s="176"/>
      <c r="AN391" s="177"/>
      <c r="AO391" s="157"/>
      <c r="AP391" s="158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  <c r="BB391" s="111"/>
      <c r="BC391" s="111"/>
      <c r="BD391" s="111"/>
      <c r="BE391" s="111"/>
      <c r="BF391" s="111"/>
      <c r="BG391" s="111"/>
      <c r="BH391" s="111"/>
      <c r="BI391" s="111"/>
      <c r="BJ391" s="111"/>
      <c r="BK391" s="111"/>
      <c r="BL391" s="175"/>
      <c r="BM391" s="111"/>
      <c r="BN391" s="111"/>
      <c r="BO391" s="111"/>
      <c r="BP391" s="111"/>
      <c r="BQ391" s="111"/>
      <c r="BR391" s="111"/>
      <c r="BS391" s="111"/>
      <c r="BT391" s="111"/>
      <c r="BU391" s="111"/>
      <c r="BV391" s="111"/>
      <c r="BW391" s="111"/>
      <c r="BX391" s="111"/>
      <c r="BY391" s="111"/>
      <c r="BZ391" s="111"/>
      <c r="CA391" s="111"/>
      <c r="CB391" s="111"/>
      <c r="CC391" s="178"/>
      <c r="CD391" s="177">
        <f t="shared" si="484"/>
        <v>0</v>
      </c>
      <c r="CE391" s="148"/>
      <c r="CF391" s="111">
        <f t="shared" si="485"/>
        <v>0</v>
      </c>
      <c r="CG391" s="177"/>
      <c r="CH391" s="204"/>
      <c r="CI391" s="148"/>
      <c r="CJ391" s="165"/>
      <c r="CK391" s="165"/>
      <c r="CL391" s="111"/>
      <c r="CM391" s="111"/>
      <c r="CN391" s="165">
        <f t="shared" si="486"/>
        <v>0</v>
      </c>
      <c r="CO391" s="109">
        <f t="shared" si="487"/>
        <v>0</v>
      </c>
      <c r="CP391" s="109">
        <f t="shared" si="488"/>
        <v>0</v>
      </c>
      <c r="CQ391" s="109"/>
      <c r="CR391" s="109"/>
      <c r="CS391" s="196"/>
      <c r="CT391" s="167"/>
      <c r="CU391" s="165"/>
      <c r="CV391" s="109">
        <f t="shared" si="489"/>
        <v>0</v>
      </c>
      <c r="CW391" s="109">
        <f t="shared" si="490"/>
        <v>0</v>
      </c>
      <c r="CX391" s="109"/>
      <c r="CY391" s="109"/>
      <c r="CZ391" s="111"/>
      <c r="DA391" s="111"/>
      <c r="DB391" s="165"/>
      <c r="DC391" s="109">
        <f t="shared" si="491"/>
        <v>0</v>
      </c>
      <c r="DD391" s="109">
        <f t="shared" si="492"/>
        <v>0</v>
      </c>
      <c r="DE391" s="109"/>
      <c r="DF391" s="109"/>
      <c r="DG391" s="111"/>
      <c r="DH391" s="111"/>
      <c r="DI391" s="165"/>
      <c r="DJ391" s="109">
        <f t="shared" si="493"/>
        <v>0</v>
      </c>
      <c r="DK391" s="109">
        <f t="shared" si="494"/>
        <v>0</v>
      </c>
      <c r="DL391" s="109"/>
      <c r="DM391" s="109"/>
      <c r="DN391" s="111"/>
      <c r="DO391" s="111"/>
      <c r="DP391" s="165"/>
      <c r="DQ391" s="109">
        <f t="shared" si="452"/>
        <v>0</v>
      </c>
      <c r="DR391" s="109">
        <f t="shared" si="453"/>
        <v>0</v>
      </c>
      <c r="DS391" s="109"/>
      <c r="DT391" s="109"/>
      <c r="DU391" s="111"/>
      <c r="DV391" s="111"/>
      <c r="DW391" s="165"/>
      <c r="DX391" s="109">
        <f t="shared" si="454"/>
        <v>0</v>
      </c>
      <c r="DY391" s="109">
        <f t="shared" si="455"/>
        <v>0</v>
      </c>
      <c r="DZ391" s="109"/>
      <c r="EA391" s="109"/>
      <c r="EB391" s="111"/>
      <c r="EC391" s="111"/>
      <c r="ED391" s="165"/>
      <c r="EE391" s="109">
        <f t="shared" si="456"/>
        <v>0</v>
      </c>
      <c r="EF391" s="109">
        <f t="shared" si="457"/>
        <v>0</v>
      </c>
      <c r="EG391" s="109"/>
      <c r="EH391" s="109"/>
      <c r="EI391" s="111"/>
      <c r="EJ391" s="111"/>
      <c r="EK391" s="165"/>
      <c r="EL391" s="109">
        <f t="shared" si="458"/>
        <v>0</v>
      </c>
      <c r="EM391" s="109">
        <f t="shared" si="459"/>
        <v>0</v>
      </c>
      <c r="EN391" s="109"/>
      <c r="EO391" s="109"/>
      <c r="EP391" s="111"/>
      <c r="EQ391" s="111"/>
      <c r="ER391" s="165"/>
      <c r="ES391" s="109">
        <f t="shared" si="460"/>
        <v>0</v>
      </c>
      <c r="ET391" s="109">
        <f t="shared" si="461"/>
        <v>0</v>
      </c>
      <c r="EU391" s="109"/>
      <c r="EV391" s="109"/>
      <c r="EW391" s="111"/>
      <c r="EX391" s="111"/>
      <c r="EY391" s="165"/>
      <c r="EZ391" s="109">
        <f t="shared" si="462"/>
        <v>0</v>
      </c>
      <c r="FA391" s="109">
        <f t="shared" si="463"/>
        <v>0</v>
      </c>
      <c r="FB391" s="109"/>
      <c r="FC391" s="109"/>
      <c r="FD391" s="111"/>
      <c r="FE391" s="111"/>
      <c r="FF391" s="165"/>
      <c r="FG391" s="109">
        <f t="shared" si="464"/>
        <v>0</v>
      </c>
      <c r="FH391" s="109">
        <f t="shared" si="465"/>
        <v>0</v>
      </c>
      <c r="FI391" s="109"/>
      <c r="FJ391" s="109"/>
      <c r="FK391" s="111"/>
      <c r="FL391" s="111"/>
      <c r="FM391" s="165"/>
      <c r="FN391" s="109">
        <f t="shared" si="466"/>
        <v>0</v>
      </c>
      <c r="FO391" s="109">
        <f t="shared" si="467"/>
        <v>0</v>
      </c>
      <c r="FP391" s="109"/>
      <c r="FQ391" s="109"/>
      <c r="FR391" s="111"/>
      <c r="FS391" s="111"/>
      <c r="FT391" s="165"/>
      <c r="FU391" s="109">
        <f t="shared" si="468"/>
        <v>0</v>
      </c>
      <c r="FV391" s="109">
        <f t="shared" si="476"/>
        <v>0</v>
      </c>
      <c r="FW391" s="109"/>
      <c r="FX391" s="109"/>
      <c r="FY391" s="111"/>
      <c r="FZ391" s="111"/>
      <c r="GA391" s="165"/>
      <c r="GB391" s="109">
        <f t="shared" si="469"/>
        <v>0</v>
      </c>
      <c r="GC391" s="109">
        <f t="shared" si="477"/>
        <v>0</v>
      </c>
      <c r="GD391" s="109"/>
      <c r="GE391" s="109"/>
      <c r="GF391" s="111"/>
      <c r="GG391" s="111"/>
      <c r="GH391" s="165"/>
      <c r="GI391" s="109">
        <f t="shared" si="470"/>
        <v>0</v>
      </c>
      <c r="GJ391" s="109">
        <f t="shared" si="478"/>
        <v>0</v>
      </c>
      <c r="GK391" s="109"/>
      <c r="GL391" s="109"/>
      <c r="GM391" s="111"/>
      <c r="GN391" s="111"/>
      <c r="GO391" s="165"/>
      <c r="GP391" s="109">
        <f t="shared" si="471"/>
        <v>0</v>
      </c>
      <c r="GQ391" s="109">
        <f t="shared" si="479"/>
        <v>0</v>
      </c>
      <c r="GR391" s="109"/>
      <c r="GS391" s="109"/>
      <c r="GT391" s="111"/>
      <c r="GU391" s="111"/>
      <c r="GV391" s="165"/>
      <c r="GW391" s="168">
        <f t="shared" si="472"/>
        <v>0</v>
      </c>
      <c r="GX391" s="168">
        <f t="shared" si="480"/>
        <v>0</v>
      </c>
      <c r="GY391" s="168"/>
      <c r="GZ391" s="168"/>
      <c r="HA391" s="111"/>
      <c r="HB391" s="111"/>
      <c r="HC391" s="165"/>
      <c r="HD391" s="109">
        <f t="shared" si="473"/>
        <v>0</v>
      </c>
      <c r="HE391" s="109">
        <f t="shared" si="481"/>
        <v>0</v>
      </c>
      <c r="HF391" s="109"/>
      <c r="HG391" s="109"/>
      <c r="HH391" s="111"/>
      <c r="HI391" s="111"/>
      <c r="HJ391" s="165"/>
      <c r="HK391" s="109">
        <f t="shared" si="474"/>
        <v>0</v>
      </c>
      <c r="HL391" s="109">
        <f t="shared" si="482"/>
        <v>0</v>
      </c>
      <c r="HM391" s="109"/>
      <c r="HN391" s="109"/>
      <c r="HO391" s="111"/>
      <c r="HP391" s="111"/>
      <c r="HQ391" s="165"/>
      <c r="HR391" s="109">
        <f t="shared" si="475"/>
        <v>0</v>
      </c>
      <c r="HS391" s="109">
        <f t="shared" si="483"/>
        <v>0</v>
      </c>
      <c r="HT391" s="109"/>
      <c r="HU391" s="109"/>
      <c r="HV391" s="111"/>
      <c r="HW391" s="111"/>
      <c r="HX391" s="105">
        <f t="shared" si="451"/>
        <v>0</v>
      </c>
      <c r="HY391" s="105">
        <f t="shared" si="451"/>
        <v>0</v>
      </c>
      <c r="HZ391" s="105">
        <f t="shared" si="451"/>
        <v>0</v>
      </c>
      <c r="IA391" s="105">
        <f t="shared" si="495"/>
        <v>0</v>
      </c>
      <c r="IB391" s="109">
        <f t="shared" si="496"/>
        <v>0</v>
      </c>
      <c r="IC391" s="109">
        <f t="shared" si="497"/>
        <v>0</v>
      </c>
      <c r="ID391" s="109">
        <f t="shared" si="498"/>
        <v>0</v>
      </c>
      <c r="IE391" s="109">
        <f t="shared" si="499"/>
        <v>0</v>
      </c>
      <c r="IF391" s="197"/>
      <c r="IG391" s="197"/>
      <c r="IH391" s="197"/>
      <c r="II391" s="197"/>
      <c r="IJ391" s="197"/>
      <c r="IK391" s="197"/>
      <c r="IL391" s="197"/>
      <c r="IM391" s="171"/>
      <c r="IN391" s="171"/>
      <c r="IO391" s="171"/>
      <c r="IP391" s="171"/>
    </row>
    <row r="392" spans="1:250" ht="15" customHeight="1" x14ac:dyDescent="0.3">
      <c r="A392" s="110">
        <f t="shared" si="500"/>
        <v>388</v>
      </c>
      <c r="B392" s="111"/>
      <c r="C392" s="111"/>
      <c r="D392" s="111"/>
      <c r="E392" s="111"/>
      <c r="F392" s="111"/>
      <c r="G392" s="111"/>
      <c r="H392" s="111"/>
      <c r="I392" s="194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75"/>
      <c r="AI392" s="111"/>
      <c r="AJ392" s="111"/>
      <c r="AK392" s="111"/>
      <c r="AL392" s="177"/>
      <c r="AM392" s="176"/>
      <c r="AN392" s="177"/>
      <c r="AO392" s="157"/>
      <c r="AP392" s="158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  <c r="BB392" s="111"/>
      <c r="BC392" s="111"/>
      <c r="BD392" s="111"/>
      <c r="BE392" s="111"/>
      <c r="BF392" s="111"/>
      <c r="BG392" s="111"/>
      <c r="BH392" s="111"/>
      <c r="BI392" s="111"/>
      <c r="BJ392" s="111"/>
      <c r="BK392" s="111"/>
      <c r="BL392" s="175"/>
      <c r="BM392" s="111"/>
      <c r="BN392" s="111"/>
      <c r="BO392" s="111"/>
      <c r="BP392" s="111"/>
      <c r="BQ392" s="111"/>
      <c r="BR392" s="111"/>
      <c r="BS392" s="111"/>
      <c r="BT392" s="111"/>
      <c r="BU392" s="111"/>
      <c r="BV392" s="111"/>
      <c r="BW392" s="111"/>
      <c r="BX392" s="111"/>
      <c r="BY392" s="111"/>
      <c r="BZ392" s="111"/>
      <c r="CA392" s="111"/>
      <c r="CB392" s="111"/>
      <c r="CC392" s="178"/>
      <c r="CD392" s="177">
        <f t="shared" si="484"/>
        <v>0</v>
      </c>
      <c r="CE392" s="148"/>
      <c r="CF392" s="111">
        <f t="shared" si="485"/>
        <v>0</v>
      </c>
      <c r="CG392" s="177"/>
      <c r="CH392" s="204"/>
      <c r="CI392" s="148"/>
      <c r="CJ392" s="165"/>
      <c r="CK392" s="165"/>
      <c r="CL392" s="111"/>
      <c r="CM392" s="111"/>
      <c r="CN392" s="165">
        <f t="shared" si="486"/>
        <v>0</v>
      </c>
      <c r="CO392" s="109">
        <f t="shared" si="487"/>
        <v>0</v>
      </c>
      <c r="CP392" s="109">
        <f t="shared" si="488"/>
        <v>0</v>
      </c>
      <c r="CQ392" s="109"/>
      <c r="CR392" s="109"/>
      <c r="CS392" s="196"/>
      <c r="CT392" s="167"/>
      <c r="CU392" s="165"/>
      <c r="CV392" s="109">
        <f t="shared" si="489"/>
        <v>0</v>
      </c>
      <c r="CW392" s="109">
        <f t="shared" si="490"/>
        <v>0</v>
      </c>
      <c r="CX392" s="109"/>
      <c r="CY392" s="109"/>
      <c r="CZ392" s="111"/>
      <c r="DA392" s="111"/>
      <c r="DB392" s="165"/>
      <c r="DC392" s="109">
        <f t="shared" si="491"/>
        <v>0</v>
      </c>
      <c r="DD392" s="109">
        <f t="shared" si="492"/>
        <v>0</v>
      </c>
      <c r="DE392" s="109"/>
      <c r="DF392" s="109"/>
      <c r="DG392" s="111"/>
      <c r="DH392" s="111"/>
      <c r="DI392" s="165"/>
      <c r="DJ392" s="109">
        <f t="shared" si="493"/>
        <v>0</v>
      </c>
      <c r="DK392" s="109">
        <f t="shared" si="494"/>
        <v>0</v>
      </c>
      <c r="DL392" s="109"/>
      <c r="DM392" s="109"/>
      <c r="DN392" s="111"/>
      <c r="DO392" s="111"/>
      <c r="DP392" s="165"/>
      <c r="DQ392" s="109">
        <f t="shared" si="452"/>
        <v>0</v>
      </c>
      <c r="DR392" s="109">
        <f t="shared" si="453"/>
        <v>0</v>
      </c>
      <c r="DS392" s="109"/>
      <c r="DT392" s="109"/>
      <c r="DU392" s="111"/>
      <c r="DV392" s="111"/>
      <c r="DW392" s="165"/>
      <c r="DX392" s="109">
        <f t="shared" si="454"/>
        <v>0</v>
      </c>
      <c r="DY392" s="109">
        <f t="shared" si="455"/>
        <v>0</v>
      </c>
      <c r="DZ392" s="109"/>
      <c r="EA392" s="109"/>
      <c r="EB392" s="111"/>
      <c r="EC392" s="111"/>
      <c r="ED392" s="165"/>
      <c r="EE392" s="109">
        <f t="shared" si="456"/>
        <v>0</v>
      </c>
      <c r="EF392" s="109">
        <f t="shared" si="457"/>
        <v>0</v>
      </c>
      <c r="EG392" s="109"/>
      <c r="EH392" s="109"/>
      <c r="EI392" s="111"/>
      <c r="EJ392" s="111"/>
      <c r="EK392" s="165"/>
      <c r="EL392" s="109">
        <f t="shared" si="458"/>
        <v>0</v>
      </c>
      <c r="EM392" s="109">
        <f t="shared" si="459"/>
        <v>0</v>
      </c>
      <c r="EN392" s="109"/>
      <c r="EO392" s="109"/>
      <c r="EP392" s="111"/>
      <c r="EQ392" s="111"/>
      <c r="ER392" s="165"/>
      <c r="ES392" s="109">
        <f t="shared" si="460"/>
        <v>0</v>
      </c>
      <c r="ET392" s="109">
        <f t="shared" si="461"/>
        <v>0</v>
      </c>
      <c r="EU392" s="109"/>
      <c r="EV392" s="109"/>
      <c r="EW392" s="111"/>
      <c r="EX392" s="111"/>
      <c r="EY392" s="165"/>
      <c r="EZ392" s="109">
        <f t="shared" si="462"/>
        <v>0</v>
      </c>
      <c r="FA392" s="109">
        <f t="shared" si="463"/>
        <v>0</v>
      </c>
      <c r="FB392" s="109"/>
      <c r="FC392" s="109"/>
      <c r="FD392" s="111"/>
      <c r="FE392" s="111"/>
      <c r="FF392" s="165"/>
      <c r="FG392" s="109">
        <f t="shared" si="464"/>
        <v>0</v>
      </c>
      <c r="FH392" s="109">
        <f t="shared" si="465"/>
        <v>0</v>
      </c>
      <c r="FI392" s="109"/>
      <c r="FJ392" s="109"/>
      <c r="FK392" s="111"/>
      <c r="FL392" s="111"/>
      <c r="FM392" s="165"/>
      <c r="FN392" s="109">
        <f t="shared" si="466"/>
        <v>0</v>
      </c>
      <c r="FO392" s="109">
        <f t="shared" si="467"/>
        <v>0</v>
      </c>
      <c r="FP392" s="109"/>
      <c r="FQ392" s="109"/>
      <c r="FR392" s="111"/>
      <c r="FS392" s="111"/>
      <c r="FT392" s="165"/>
      <c r="FU392" s="109">
        <f t="shared" si="468"/>
        <v>0</v>
      </c>
      <c r="FV392" s="109">
        <f t="shared" si="476"/>
        <v>0</v>
      </c>
      <c r="FW392" s="109"/>
      <c r="FX392" s="109"/>
      <c r="FY392" s="111"/>
      <c r="FZ392" s="111"/>
      <c r="GA392" s="165"/>
      <c r="GB392" s="109">
        <f t="shared" si="469"/>
        <v>0</v>
      </c>
      <c r="GC392" s="109">
        <f t="shared" si="477"/>
        <v>0</v>
      </c>
      <c r="GD392" s="109"/>
      <c r="GE392" s="109"/>
      <c r="GF392" s="111"/>
      <c r="GG392" s="111"/>
      <c r="GH392" s="165"/>
      <c r="GI392" s="109">
        <f t="shared" si="470"/>
        <v>0</v>
      </c>
      <c r="GJ392" s="109">
        <f t="shared" si="478"/>
        <v>0</v>
      </c>
      <c r="GK392" s="109"/>
      <c r="GL392" s="109"/>
      <c r="GM392" s="111"/>
      <c r="GN392" s="111"/>
      <c r="GO392" s="165"/>
      <c r="GP392" s="109">
        <f t="shared" si="471"/>
        <v>0</v>
      </c>
      <c r="GQ392" s="109">
        <f t="shared" si="479"/>
        <v>0</v>
      </c>
      <c r="GR392" s="109"/>
      <c r="GS392" s="109"/>
      <c r="GT392" s="111"/>
      <c r="GU392" s="111"/>
      <c r="GV392" s="165"/>
      <c r="GW392" s="168">
        <f t="shared" si="472"/>
        <v>0</v>
      </c>
      <c r="GX392" s="168">
        <f t="shared" si="480"/>
        <v>0</v>
      </c>
      <c r="GY392" s="168"/>
      <c r="GZ392" s="168"/>
      <c r="HA392" s="111"/>
      <c r="HB392" s="111"/>
      <c r="HC392" s="165"/>
      <c r="HD392" s="109">
        <f t="shared" si="473"/>
        <v>0</v>
      </c>
      <c r="HE392" s="109">
        <f t="shared" si="481"/>
        <v>0</v>
      </c>
      <c r="HF392" s="109"/>
      <c r="HG392" s="109"/>
      <c r="HH392" s="111"/>
      <c r="HI392" s="111"/>
      <c r="HJ392" s="165"/>
      <c r="HK392" s="109">
        <f t="shared" si="474"/>
        <v>0</v>
      </c>
      <c r="HL392" s="109">
        <f t="shared" si="482"/>
        <v>0</v>
      </c>
      <c r="HM392" s="109"/>
      <c r="HN392" s="109"/>
      <c r="HO392" s="111"/>
      <c r="HP392" s="111"/>
      <c r="HQ392" s="165"/>
      <c r="HR392" s="109">
        <f t="shared" si="475"/>
        <v>0</v>
      </c>
      <c r="HS392" s="109">
        <f t="shared" si="483"/>
        <v>0</v>
      </c>
      <c r="HT392" s="109"/>
      <c r="HU392" s="109"/>
      <c r="HV392" s="111"/>
      <c r="HW392" s="111"/>
      <c r="HX392" s="105">
        <f t="shared" ref="HX392:HZ455" si="501">CO392+CV392+DC392+DJ392+DQ392+DX392+EE392+EL392+ES392+EZ392+FG392+FN392+FU392+GB392+GI392+GP392+GW392+HD392+HK392+HR392</f>
        <v>0</v>
      </c>
      <c r="HY392" s="105">
        <f t="shared" si="501"/>
        <v>0</v>
      </c>
      <c r="HZ392" s="105">
        <f t="shared" si="501"/>
        <v>0</v>
      </c>
      <c r="IA392" s="105">
        <f t="shared" si="495"/>
        <v>0</v>
      </c>
      <c r="IB392" s="109">
        <f t="shared" si="496"/>
        <v>0</v>
      </c>
      <c r="IC392" s="109">
        <f t="shared" si="497"/>
        <v>0</v>
      </c>
      <c r="ID392" s="109">
        <f t="shared" si="498"/>
        <v>0</v>
      </c>
      <c r="IE392" s="109">
        <f t="shared" si="499"/>
        <v>0</v>
      </c>
      <c r="IF392" s="197"/>
      <c r="IG392" s="197"/>
      <c r="IH392" s="197"/>
      <c r="II392" s="197"/>
      <c r="IJ392" s="197"/>
      <c r="IK392" s="197"/>
      <c r="IL392" s="197"/>
      <c r="IM392" s="171"/>
      <c r="IN392" s="171"/>
      <c r="IO392" s="171"/>
      <c r="IP392" s="171"/>
    </row>
    <row r="393" spans="1:250" ht="15" customHeight="1" x14ac:dyDescent="0.3">
      <c r="A393" s="110">
        <f t="shared" si="500"/>
        <v>389</v>
      </c>
      <c r="B393" s="111"/>
      <c r="C393" s="111"/>
      <c r="D393" s="111"/>
      <c r="E393" s="111"/>
      <c r="F393" s="111"/>
      <c r="G393" s="111"/>
      <c r="H393" s="111"/>
      <c r="I393" s="194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75"/>
      <c r="AI393" s="111"/>
      <c r="AJ393" s="111"/>
      <c r="AK393" s="111"/>
      <c r="AL393" s="177"/>
      <c r="AM393" s="176"/>
      <c r="AN393" s="177"/>
      <c r="AO393" s="157"/>
      <c r="AP393" s="158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  <c r="BJ393" s="111"/>
      <c r="BK393" s="111"/>
      <c r="BL393" s="175"/>
      <c r="BM393" s="111"/>
      <c r="BN393" s="111"/>
      <c r="BO393" s="111"/>
      <c r="BP393" s="111"/>
      <c r="BQ393" s="111"/>
      <c r="BR393" s="111"/>
      <c r="BS393" s="111"/>
      <c r="BT393" s="111"/>
      <c r="BU393" s="111"/>
      <c r="BV393" s="111"/>
      <c r="BW393" s="111"/>
      <c r="BX393" s="111"/>
      <c r="BY393" s="111"/>
      <c r="BZ393" s="111"/>
      <c r="CA393" s="111"/>
      <c r="CB393" s="111"/>
      <c r="CC393" s="178"/>
      <c r="CD393" s="177">
        <f t="shared" si="484"/>
        <v>0</v>
      </c>
      <c r="CE393" s="148"/>
      <c r="CF393" s="111">
        <f t="shared" si="485"/>
        <v>0</v>
      </c>
      <c r="CG393" s="177"/>
      <c r="CH393" s="204"/>
      <c r="CI393" s="148"/>
      <c r="CJ393" s="165"/>
      <c r="CK393" s="165"/>
      <c r="CL393" s="111"/>
      <c r="CM393" s="111"/>
      <c r="CN393" s="165">
        <f t="shared" si="486"/>
        <v>0</v>
      </c>
      <c r="CO393" s="109">
        <f t="shared" si="487"/>
        <v>0</v>
      </c>
      <c r="CP393" s="109">
        <f t="shared" si="488"/>
        <v>0</v>
      </c>
      <c r="CQ393" s="109"/>
      <c r="CR393" s="109"/>
      <c r="CS393" s="196"/>
      <c r="CT393" s="167"/>
      <c r="CU393" s="165"/>
      <c r="CV393" s="109">
        <f t="shared" si="489"/>
        <v>0</v>
      </c>
      <c r="CW393" s="109">
        <f t="shared" si="490"/>
        <v>0</v>
      </c>
      <c r="CX393" s="109"/>
      <c r="CY393" s="109"/>
      <c r="CZ393" s="111"/>
      <c r="DA393" s="111"/>
      <c r="DB393" s="165"/>
      <c r="DC393" s="109">
        <f t="shared" si="491"/>
        <v>0</v>
      </c>
      <c r="DD393" s="109">
        <f t="shared" si="492"/>
        <v>0</v>
      </c>
      <c r="DE393" s="109"/>
      <c r="DF393" s="109"/>
      <c r="DG393" s="111"/>
      <c r="DH393" s="111"/>
      <c r="DI393" s="165"/>
      <c r="DJ393" s="109">
        <f t="shared" si="493"/>
        <v>0</v>
      </c>
      <c r="DK393" s="109">
        <f t="shared" si="494"/>
        <v>0</v>
      </c>
      <c r="DL393" s="109"/>
      <c r="DM393" s="109"/>
      <c r="DN393" s="111"/>
      <c r="DO393" s="111"/>
      <c r="DP393" s="165"/>
      <c r="DQ393" s="109">
        <f t="shared" si="452"/>
        <v>0</v>
      </c>
      <c r="DR393" s="109">
        <f t="shared" si="453"/>
        <v>0</v>
      </c>
      <c r="DS393" s="109"/>
      <c r="DT393" s="109"/>
      <c r="DU393" s="111"/>
      <c r="DV393" s="111"/>
      <c r="DW393" s="165"/>
      <c r="DX393" s="109">
        <f t="shared" si="454"/>
        <v>0</v>
      </c>
      <c r="DY393" s="109">
        <f t="shared" si="455"/>
        <v>0</v>
      </c>
      <c r="DZ393" s="109"/>
      <c r="EA393" s="109"/>
      <c r="EB393" s="111"/>
      <c r="EC393" s="111"/>
      <c r="ED393" s="165"/>
      <c r="EE393" s="109">
        <f t="shared" si="456"/>
        <v>0</v>
      </c>
      <c r="EF393" s="109">
        <f t="shared" si="457"/>
        <v>0</v>
      </c>
      <c r="EG393" s="109"/>
      <c r="EH393" s="109"/>
      <c r="EI393" s="111"/>
      <c r="EJ393" s="111"/>
      <c r="EK393" s="165"/>
      <c r="EL393" s="109">
        <f t="shared" si="458"/>
        <v>0</v>
      </c>
      <c r="EM393" s="109">
        <f t="shared" si="459"/>
        <v>0</v>
      </c>
      <c r="EN393" s="109"/>
      <c r="EO393" s="109"/>
      <c r="EP393" s="111"/>
      <c r="EQ393" s="111"/>
      <c r="ER393" s="165"/>
      <c r="ES393" s="109">
        <f t="shared" si="460"/>
        <v>0</v>
      </c>
      <c r="ET393" s="109">
        <f t="shared" si="461"/>
        <v>0</v>
      </c>
      <c r="EU393" s="109"/>
      <c r="EV393" s="109"/>
      <c r="EW393" s="111"/>
      <c r="EX393" s="111"/>
      <c r="EY393" s="165"/>
      <c r="EZ393" s="109">
        <f t="shared" si="462"/>
        <v>0</v>
      </c>
      <c r="FA393" s="109">
        <f t="shared" si="463"/>
        <v>0</v>
      </c>
      <c r="FB393" s="109"/>
      <c r="FC393" s="109"/>
      <c r="FD393" s="111"/>
      <c r="FE393" s="111"/>
      <c r="FF393" s="165"/>
      <c r="FG393" s="109">
        <f t="shared" si="464"/>
        <v>0</v>
      </c>
      <c r="FH393" s="109">
        <f t="shared" si="465"/>
        <v>0</v>
      </c>
      <c r="FI393" s="109"/>
      <c r="FJ393" s="109"/>
      <c r="FK393" s="111"/>
      <c r="FL393" s="111"/>
      <c r="FM393" s="165"/>
      <c r="FN393" s="109">
        <f t="shared" si="466"/>
        <v>0</v>
      </c>
      <c r="FO393" s="109">
        <f t="shared" si="467"/>
        <v>0</v>
      </c>
      <c r="FP393" s="109"/>
      <c r="FQ393" s="109"/>
      <c r="FR393" s="111"/>
      <c r="FS393" s="111"/>
      <c r="FT393" s="165"/>
      <c r="FU393" s="109">
        <f t="shared" si="468"/>
        <v>0</v>
      </c>
      <c r="FV393" s="109">
        <f t="shared" si="476"/>
        <v>0</v>
      </c>
      <c r="FW393" s="109"/>
      <c r="FX393" s="109"/>
      <c r="FY393" s="111"/>
      <c r="FZ393" s="111"/>
      <c r="GA393" s="165"/>
      <c r="GB393" s="109">
        <f t="shared" si="469"/>
        <v>0</v>
      </c>
      <c r="GC393" s="109">
        <f t="shared" si="477"/>
        <v>0</v>
      </c>
      <c r="GD393" s="109"/>
      <c r="GE393" s="109"/>
      <c r="GF393" s="111"/>
      <c r="GG393" s="111"/>
      <c r="GH393" s="165"/>
      <c r="GI393" s="109">
        <f t="shared" si="470"/>
        <v>0</v>
      </c>
      <c r="GJ393" s="109">
        <f t="shared" si="478"/>
        <v>0</v>
      </c>
      <c r="GK393" s="109"/>
      <c r="GL393" s="109"/>
      <c r="GM393" s="111"/>
      <c r="GN393" s="111"/>
      <c r="GO393" s="165"/>
      <c r="GP393" s="109">
        <f t="shared" si="471"/>
        <v>0</v>
      </c>
      <c r="GQ393" s="109">
        <f t="shared" si="479"/>
        <v>0</v>
      </c>
      <c r="GR393" s="109"/>
      <c r="GS393" s="109"/>
      <c r="GT393" s="111"/>
      <c r="GU393" s="111"/>
      <c r="GV393" s="165"/>
      <c r="GW393" s="168">
        <f t="shared" si="472"/>
        <v>0</v>
      </c>
      <c r="GX393" s="168">
        <f t="shared" si="480"/>
        <v>0</v>
      </c>
      <c r="GY393" s="168"/>
      <c r="GZ393" s="168"/>
      <c r="HA393" s="111"/>
      <c r="HB393" s="111"/>
      <c r="HC393" s="165"/>
      <c r="HD393" s="109">
        <f t="shared" si="473"/>
        <v>0</v>
      </c>
      <c r="HE393" s="109">
        <f t="shared" si="481"/>
        <v>0</v>
      </c>
      <c r="HF393" s="109"/>
      <c r="HG393" s="109"/>
      <c r="HH393" s="111"/>
      <c r="HI393" s="111"/>
      <c r="HJ393" s="165"/>
      <c r="HK393" s="109">
        <f t="shared" si="474"/>
        <v>0</v>
      </c>
      <c r="HL393" s="109">
        <f t="shared" si="482"/>
        <v>0</v>
      </c>
      <c r="HM393" s="109"/>
      <c r="HN393" s="109"/>
      <c r="HO393" s="111"/>
      <c r="HP393" s="111"/>
      <c r="HQ393" s="165"/>
      <c r="HR393" s="109">
        <f t="shared" si="475"/>
        <v>0</v>
      </c>
      <c r="HS393" s="109">
        <f t="shared" si="483"/>
        <v>0</v>
      </c>
      <c r="HT393" s="109"/>
      <c r="HU393" s="109"/>
      <c r="HV393" s="111"/>
      <c r="HW393" s="111"/>
      <c r="HX393" s="105">
        <f t="shared" si="501"/>
        <v>0</v>
      </c>
      <c r="HY393" s="105">
        <f t="shared" si="501"/>
        <v>0</v>
      </c>
      <c r="HZ393" s="105">
        <f t="shared" si="501"/>
        <v>0</v>
      </c>
      <c r="IA393" s="105">
        <f t="shared" si="495"/>
        <v>0</v>
      </c>
      <c r="IB393" s="109">
        <f t="shared" si="496"/>
        <v>0</v>
      </c>
      <c r="IC393" s="109">
        <f t="shared" si="497"/>
        <v>0</v>
      </c>
      <c r="ID393" s="109">
        <f t="shared" si="498"/>
        <v>0</v>
      </c>
      <c r="IE393" s="109">
        <f t="shared" si="499"/>
        <v>0</v>
      </c>
      <c r="IF393" s="197"/>
      <c r="IG393" s="197"/>
      <c r="IH393" s="197"/>
      <c r="II393" s="197"/>
      <c r="IJ393" s="197"/>
      <c r="IK393" s="197"/>
      <c r="IL393" s="197"/>
      <c r="IM393" s="171"/>
      <c r="IN393" s="171"/>
      <c r="IO393" s="171"/>
      <c r="IP393" s="171"/>
    </row>
    <row r="394" spans="1:250" ht="15" customHeight="1" x14ac:dyDescent="0.3">
      <c r="A394" s="110">
        <f t="shared" si="500"/>
        <v>390</v>
      </c>
      <c r="B394" s="111"/>
      <c r="C394" s="111"/>
      <c r="D394" s="111"/>
      <c r="E394" s="111"/>
      <c r="F394" s="111"/>
      <c r="G394" s="111"/>
      <c r="H394" s="111"/>
      <c r="I394" s="194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75"/>
      <c r="AI394" s="111"/>
      <c r="AJ394" s="111"/>
      <c r="AK394" s="111"/>
      <c r="AL394" s="177"/>
      <c r="AM394" s="176"/>
      <c r="AN394" s="177"/>
      <c r="AO394" s="157"/>
      <c r="AP394" s="158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75"/>
      <c r="BM394" s="111"/>
      <c r="BN394" s="111"/>
      <c r="BO394" s="111"/>
      <c r="BP394" s="111"/>
      <c r="BQ394" s="111"/>
      <c r="BR394" s="111"/>
      <c r="BS394" s="111"/>
      <c r="BT394" s="111"/>
      <c r="BU394" s="111"/>
      <c r="BV394" s="111"/>
      <c r="BW394" s="111"/>
      <c r="BX394" s="111"/>
      <c r="BY394" s="111"/>
      <c r="BZ394" s="111"/>
      <c r="CA394" s="111"/>
      <c r="CB394" s="111"/>
      <c r="CC394" s="178"/>
      <c r="CD394" s="177">
        <f t="shared" si="484"/>
        <v>0</v>
      </c>
      <c r="CE394" s="148"/>
      <c r="CF394" s="111">
        <f t="shared" si="485"/>
        <v>0</v>
      </c>
      <c r="CG394" s="177"/>
      <c r="CH394" s="204"/>
      <c r="CI394" s="148"/>
      <c r="CJ394" s="165"/>
      <c r="CK394" s="165"/>
      <c r="CL394" s="111"/>
      <c r="CM394" s="111"/>
      <c r="CN394" s="165">
        <f t="shared" si="486"/>
        <v>0</v>
      </c>
      <c r="CO394" s="109">
        <f t="shared" si="487"/>
        <v>0</v>
      </c>
      <c r="CP394" s="109">
        <f t="shared" si="488"/>
        <v>0</v>
      </c>
      <c r="CQ394" s="109"/>
      <c r="CR394" s="109"/>
      <c r="CS394" s="196"/>
      <c r="CT394" s="167"/>
      <c r="CU394" s="165"/>
      <c r="CV394" s="109">
        <f t="shared" si="489"/>
        <v>0</v>
      </c>
      <c r="CW394" s="109">
        <f t="shared" si="490"/>
        <v>0</v>
      </c>
      <c r="CX394" s="109"/>
      <c r="CY394" s="109"/>
      <c r="CZ394" s="111"/>
      <c r="DA394" s="111"/>
      <c r="DB394" s="165"/>
      <c r="DC394" s="109">
        <f t="shared" si="491"/>
        <v>0</v>
      </c>
      <c r="DD394" s="109">
        <f t="shared" si="492"/>
        <v>0</v>
      </c>
      <c r="DE394" s="109"/>
      <c r="DF394" s="109"/>
      <c r="DG394" s="111"/>
      <c r="DH394" s="111"/>
      <c r="DI394" s="165"/>
      <c r="DJ394" s="109">
        <f t="shared" si="493"/>
        <v>0</v>
      </c>
      <c r="DK394" s="109">
        <f t="shared" si="494"/>
        <v>0</v>
      </c>
      <c r="DL394" s="109"/>
      <c r="DM394" s="109"/>
      <c r="DN394" s="111"/>
      <c r="DO394" s="111"/>
      <c r="DP394" s="165"/>
      <c r="DQ394" s="109">
        <f t="shared" si="452"/>
        <v>0</v>
      </c>
      <c r="DR394" s="109">
        <f t="shared" si="453"/>
        <v>0</v>
      </c>
      <c r="DS394" s="109"/>
      <c r="DT394" s="109"/>
      <c r="DU394" s="111"/>
      <c r="DV394" s="111"/>
      <c r="DW394" s="165"/>
      <c r="DX394" s="109">
        <f t="shared" si="454"/>
        <v>0</v>
      </c>
      <c r="DY394" s="109">
        <f t="shared" si="455"/>
        <v>0</v>
      </c>
      <c r="DZ394" s="109"/>
      <c r="EA394" s="109"/>
      <c r="EB394" s="111"/>
      <c r="EC394" s="111"/>
      <c r="ED394" s="165"/>
      <c r="EE394" s="109">
        <f t="shared" si="456"/>
        <v>0</v>
      </c>
      <c r="EF394" s="109">
        <f t="shared" si="457"/>
        <v>0</v>
      </c>
      <c r="EG394" s="109"/>
      <c r="EH394" s="109"/>
      <c r="EI394" s="111"/>
      <c r="EJ394" s="111"/>
      <c r="EK394" s="165"/>
      <c r="EL394" s="109">
        <f t="shared" si="458"/>
        <v>0</v>
      </c>
      <c r="EM394" s="109">
        <f t="shared" si="459"/>
        <v>0</v>
      </c>
      <c r="EN394" s="109"/>
      <c r="EO394" s="109"/>
      <c r="EP394" s="111"/>
      <c r="EQ394" s="111"/>
      <c r="ER394" s="165"/>
      <c r="ES394" s="109">
        <f t="shared" si="460"/>
        <v>0</v>
      </c>
      <c r="ET394" s="109">
        <f t="shared" si="461"/>
        <v>0</v>
      </c>
      <c r="EU394" s="109"/>
      <c r="EV394" s="109"/>
      <c r="EW394" s="111"/>
      <c r="EX394" s="111"/>
      <c r="EY394" s="165"/>
      <c r="EZ394" s="109">
        <f t="shared" si="462"/>
        <v>0</v>
      </c>
      <c r="FA394" s="109">
        <f t="shared" si="463"/>
        <v>0</v>
      </c>
      <c r="FB394" s="109"/>
      <c r="FC394" s="109"/>
      <c r="FD394" s="111"/>
      <c r="FE394" s="111"/>
      <c r="FF394" s="165"/>
      <c r="FG394" s="109">
        <f t="shared" si="464"/>
        <v>0</v>
      </c>
      <c r="FH394" s="109">
        <f t="shared" si="465"/>
        <v>0</v>
      </c>
      <c r="FI394" s="109"/>
      <c r="FJ394" s="109"/>
      <c r="FK394" s="111"/>
      <c r="FL394" s="111"/>
      <c r="FM394" s="165"/>
      <c r="FN394" s="109">
        <f t="shared" si="466"/>
        <v>0</v>
      </c>
      <c r="FO394" s="109">
        <f t="shared" si="467"/>
        <v>0</v>
      </c>
      <c r="FP394" s="109"/>
      <c r="FQ394" s="109"/>
      <c r="FR394" s="111"/>
      <c r="FS394" s="111"/>
      <c r="FT394" s="165"/>
      <c r="FU394" s="109">
        <f t="shared" si="468"/>
        <v>0</v>
      </c>
      <c r="FV394" s="109">
        <f t="shared" si="476"/>
        <v>0</v>
      </c>
      <c r="FW394" s="109"/>
      <c r="FX394" s="109"/>
      <c r="FY394" s="111"/>
      <c r="FZ394" s="111"/>
      <c r="GA394" s="165"/>
      <c r="GB394" s="109">
        <f t="shared" si="469"/>
        <v>0</v>
      </c>
      <c r="GC394" s="109">
        <f t="shared" si="477"/>
        <v>0</v>
      </c>
      <c r="GD394" s="109"/>
      <c r="GE394" s="109"/>
      <c r="GF394" s="111"/>
      <c r="GG394" s="111"/>
      <c r="GH394" s="165"/>
      <c r="GI394" s="109">
        <f t="shared" si="470"/>
        <v>0</v>
      </c>
      <c r="GJ394" s="109">
        <f t="shared" si="478"/>
        <v>0</v>
      </c>
      <c r="GK394" s="109"/>
      <c r="GL394" s="109"/>
      <c r="GM394" s="111"/>
      <c r="GN394" s="111"/>
      <c r="GO394" s="165"/>
      <c r="GP394" s="109">
        <f t="shared" si="471"/>
        <v>0</v>
      </c>
      <c r="GQ394" s="109">
        <f t="shared" si="479"/>
        <v>0</v>
      </c>
      <c r="GR394" s="109"/>
      <c r="GS394" s="109"/>
      <c r="GT394" s="111"/>
      <c r="GU394" s="111"/>
      <c r="GV394" s="165"/>
      <c r="GW394" s="168">
        <f t="shared" si="472"/>
        <v>0</v>
      </c>
      <c r="GX394" s="168">
        <f t="shared" si="480"/>
        <v>0</v>
      </c>
      <c r="GY394" s="168"/>
      <c r="GZ394" s="168"/>
      <c r="HA394" s="111"/>
      <c r="HB394" s="111"/>
      <c r="HC394" s="165"/>
      <c r="HD394" s="109">
        <f t="shared" si="473"/>
        <v>0</v>
      </c>
      <c r="HE394" s="109">
        <f t="shared" si="481"/>
        <v>0</v>
      </c>
      <c r="HF394" s="109"/>
      <c r="HG394" s="109"/>
      <c r="HH394" s="111"/>
      <c r="HI394" s="111"/>
      <c r="HJ394" s="165"/>
      <c r="HK394" s="109">
        <f t="shared" si="474"/>
        <v>0</v>
      </c>
      <c r="HL394" s="109">
        <f t="shared" si="482"/>
        <v>0</v>
      </c>
      <c r="HM394" s="109"/>
      <c r="HN394" s="109"/>
      <c r="HO394" s="111"/>
      <c r="HP394" s="111"/>
      <c r="HQ394" s="165"/>
      <c r="HR394" s="109">
        <f t="shared" si="475"/>
        <v>0</v>
      </c>
      <c r="HS394" s="109">
        <f t="shared" si="483"/>
        <v>0</v>
      </c>
      <c r="HT394" s="109"/>
      <c r="HU394" s="109"/>
      <c r="HV394" s="111"/>
      <c r="HW394" s="111"/>
      <c r="HX394" s="105">
        <f t="shared" si="501"/>
        <v>0</v>
      </c>
      <c r="HY394" s="105">
        <f t="shared" si="501"/>
        <v>0</v>
      </c>
      <c r="HZ394" s="105">
        <f t="shared" si="501"/>
        <v>0</v>
      </c>
      <c r="IA394" s="105">
        <f t="shared" si="495"/>
        <v>0</v>
      </c>
      <c r="IB394" s="109">
        <f t="shared" si="496"/>
        <v>0</v>
      </c>
      <c r="IC394" s="109">
        <f t="shared" si="497"/>
        <v>0</v>
      </c>
      <c r="ID394" s="109">
        <f t="shared" si="498"/>
        <v>0</v>
      </c>
      <c r="IE394" s="109">
        <f t="shared" si="499"/>
        <v>0</v>
      </c>
      <c r="IF394" s="197"/>
      <c r="IG394" s="197"/>
      <c r="IH394" s="197"/>
      <c r="II394" s="197"/>
      <c r="IJ394" s="197"/>
      <c r="IK394" s="197"/>
      <c r="IL394" s="197"/>
      <c r="IM394" s="171"/>
      <c r="IN394" s="171"/>
      <c r="IO394" s="171"/>
      <c r="IP394" s="171"/>
    </row>
    <row r="395" spans="1:250" ht="15" customHeight="1" x14ac:dyDescent="0.3">
      <c r="A395" s="110">
        <f t="shared" si="500"/>
        <v>391</v>
      </c>
      <c r="B395" s="111"/>
      <c r="C395" s="111"/>
      <c r="D395" s="111"/>
      <c r="E395" s="111"/>
      <c r="F395" s="111"/>
      <c r="G395" s="111"/>
      <c r="H395" s="111"/>
      <c r="I395" s="194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75"/>
      <c r="AI395" s="111"/>
      <c r="AJ395" s="111"/>
      <c r="AK395" s="111"/>
      <c r="AL395" s="177"/>
      <c r="AM395" s="176"/>
      <c r="AN395" s="177"/>
      <c r="AO395" s="157"/>
      <c r="AP395" s="158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  <c r="BG395" s="111"/>
      <c r="BH395" s="111"/>
      <c r="BI395" s="111"/>
      <c r="BJ395" s="111"/>
      <c r="BK395" s="111"/>
      <c r="BL395" s="175"/>
      <c r="BM395" s="111"/>
      <c r="BN395" s="111"/>
      <c r="BO395" s="111"/>
      <c r="BP395" s="111"/>
      <c r="BQ395" s="111"/>
      <c r="BR395" s="111"/>
      <c r="BS395" s="111"/>
      <c r="BT395" s="111"/>
      <c r="BU395" s="111"/>
      <c r="BV395" s="111"/>
      <c r="BW395" s="111"/>
      <c r="BX395" s="111"/>
      <c r="BY395" s="111"/>
      <c r="BZ395" s="111"/>
      <c r="CA395" s="111"/>
      <c r="CB395" s="111"/>
      <c r="CC395" s="178"/>
      <c r="CD395" s="177">
        <f t="shared" si="484"/>
        <v>0</v>
      </c>
      <c r="CE395" s="148"/>
      <c r="CF395" s="111">
        <f t="shared" si="485"/>
        <v>0</v>
      </c>
      <c r="CG395" s="177"/>
      <c r="CH395" s="204"/>
      <c r="CI395" s="148"/>
      <c r="CJ395" s="165"/>
      <c r="CK395" s="165"/>
      <c r="CL395" s="111"/>
      <c r="CM395" s="111"/>
      <c r="CN395" s="165">
        <f t="shared" si="486"/>
        <v>0</v>
      </c>
      <c r="CO395" s="109">
        <f t="shared" si="487"/>
        <v>0</v>
      </c>
      <c r="CP395" s="109">
        <f t="shared" si="488"/>
        <v>0</v>
      </c>
      <c r="CQ395" s="109"/>
      <c r="CR395" s="109"/>
      <c r="CS395" s="196"/>
      <c r="CT395" s="167"/>
      <c r="CU395" s="165"/>
      <c r="CV395" s="109">
        <f t="shared" si="489"/>
        <v>0</v>
      </c>
      <c r="CW395" s="109">
        <f t="shared" si="490"/>
        <v>0</v>
      </c>
      <c r="CX395" s="109"/>
      <c r="CY395" s="109"/>
      <c r="CZ395" s="111"/>
      <c r="DA395" s="111"/>
      <c r="DB395" s="165"/>
      <c r="DC395" s="109">
        <f t="shared" si="491"/>
        <v>0</v>
      </c>
      <c r="DD395" s="109">
        <f t="shared" si="492"/>
        <v>0</v>
      </c>
      <c r="DE395" s="109"/>
      <c r="DF395" s="109"/>
      <c r="DG395" s="111"/>
      <c r="DH395" s="111"/>
      <c r="DI395" s="165"/>
      <c r="DJ395" s="109">
        <f t="shared" si="493"/>
        <v>0</v>
      </c>
      <c r="DK395" s="109">
        <f t="shared" si="494"/>
        <v>0</v>
      </c>
      <c r="DL395" s="109"/>
      <c r="DM395" s="109"/>
      <c r="DN395" s="111"/>
      <c r="DO395" s="111"/>
      <c r="DP395" s="165"/>
      <c r="DQ395" s="109">
        <f t="shared" si="452"/>
        <v>0</v>
      </c>
      <c r="DR395" s="109">
        <f t="shared" si="453"/>
        <v>0</v>
      </c>
      <c r="DS395" s="109"/>
      <c r="DT395" s="109"/>
      <c r="DU395" s="111"/>
      <c r="DV395" s="111"/>
      <c r="DW395" s="165"/>
      <c r="DX395" s="109">
        <f t="shared" si="454"/>
        <v>0</v>
      </c>
      <c r="DY395" s="109">
        <f t="shared" si="455"/>
        <v>0</v>
      </c>
      <c r="DZ395" s="109"/>
      <c r="EA395" s="109"/>
      <c r="EB395" s="111"/>
      <c r="EC395" s="111"/>
      <c r="ED395" s="165"/>
      <c r="EE395" s="109">
        <f t="shared" si="456"/>
        <v>0</v>
      </c>
      <c r="EF395" s="109">
        <f t="shared" si="457"/>
        <v>0</v>
      </c>
      <c r="EG395" s="109"/>
      <c r="EH395" s="109"/>
      <c r="EI395" s="111"/>
      <c r="EJ395" s="111"/>
      <c r="EK395" s="165"/>
      <c r="EL395" s="109">
        <f t="shared" si="458"/>
        <v>0</v>
      </c>
      <c r="EM395" s="109">
        <f t="shared" si="459"/>
        <v>0</v>
      </c>
      <c r="EN395" s="109"/>
      <c r="EO395" s="109"/>
      <c r="EP395" s="111"/>
      <c r="EQ395" s="111"/>
      <c r="ER395" s="165"/>
      <c r="ES395" s="109">
        <f t="shared" si="460"/>
        <v>0</v>
      </c>
      <c r="ET395" s="109">
        <f t="shared" si="461"/>
        <v>0</v>
      </c>
      <c r="EU395" s="109"/>
      <c r="EV395" s="109"/>
      <c r="EW395" s="111"/>
      <c r="EX395" s="111"/>
      <c r="EY395" s="165"/>
      <c r="EZ395" s="109">
        <f t="shared" si="462"/>
        <v>0</v>
      </c>
      <c r="FA395" s="109">
        <f t="shared" si="463"/>
        <v>0</v>
      </c>
      <c r="FB395" s="109"/>
      <c r="FC395" s="109"/>
      <c r="FD395" s="111"/>
      <c r="FE395" s="111"/>
      <c r="FF395" s="165"/>
      <c r="FG395" s="109">
        <f t="shared" si="464"/>
        <v>0</v>
      </c>
      <c r="FH395" s="109">
        <f t="shared" si="465"/>
        <v>0</v>
      </c>
      <c r="FI395" s="109"/>
      <c r="FJ395" s="109"/>
      <c r="FK395" s="111"/>
      <c r="FL395" s="111"/>
      <c r="FM395" s="165"/>
      <c r="FN395" s="109">
        <f t="shared" si="466"/>
        <v>0</v>
      </c>
      <c r="FO395" s="109">
        <f t="shared" si="467"/>
        <v>0</v>
      </c>
      <c r="FP395" s="109"/>
      <c r="FQ395" s="109"/>
      <c r="FR395" s="111"/>
      <c r="FS395" s="111"/>
      <c r="FT395" s="165"/>
      <c r="FU395" s="109">
        <f t="shared" si="468"/>
        <v>0</v>
      </c>
      <c r="FV395" s="109">
        <f t="shared" si="476"/>
        <v>0</v>
      </c>
      <c r="FW395" s="109"/>
      <c r="FX395" s="109"/>
      <c r="FY395" s="111"/>
      <c r="FZ395" s="111"/>
      <c r="GA395" s="165"/>
      <c r="GB395" s="109">
        <f t="shared" si="469"/>
        <v>0</v>
      </c>
      <c r="GC395" s="109">
        <f t="shared" si="477"/>
        <v>0</v>
      </c>
      <c r="GD395" s="109"/>
      <c r="GE395" s="109"/>
      <c r="GF395" s="111"/>
      <c r="GG395" s="111"/>
      <c r="GH395" s="165"/>
      <c r="GI395" s="109">
        <f t="shared" si="470"/>
        <v>0</v>
      </c>
      <c r="GJ395" s="109">
        <f t="shared" si="478"/>
        <v>0</v>
      </c>
      <c r="GK395" s="109"/>
      <c r="GL395" s="109"/>
      <c r="GM395" s="111"/>
      <c r="GN395" s="111"/>
      <c r="GO395" s="165"/>
      <c r="GP395" s="109">
        <f t="shared" si="471"/>
        <v>0</v>
      </c>
      <c r="GQ395" s="109">
        <f t="shared" si="479"/>
        <v>0</v>
      </c>
      <c r="GR395" s="109"/>
      <c r="GS395" s="109"/>
      <c r="GT395" s="111"/>
      <c r="GU395" s="111"/>
      <c r="GV395" s="165"/>
      <c r="GW395" s="168">
        <f t="shared" si="472"/>
        <v>0</v>
      </c>
      <c r="GX395" s="168">
        <f t="shared" si="480"/>
        <v>0</v>
      </c>
      <c r="GY395" s="168"/>
      <c r="GZ395" s="168"/>
      <c r="HA395" s="111"/>
      <c r="HB395" s="111"/>
      <c r="HC395" s="165"/>
      <c r="HD395" s="109">
        <f t="shared" si="473"/>
        <v>0</v>
      </c>
      <c r="HE395" s="109">
        <f t="shared" si="481"/>
        <v>0</v>
      </c>
      <c r="HF395" s="109"/>
      <c r="HG395" s="109"/>
      <c r="HH395" s="111"/>
      <c r="HI395" s="111"/>
      <c r="HJ395" s="165"/>
      <c r="HK395" s="109">
        <f t="shared" si="474"/>
        <v>0</v>
      </c>
      <c r="HL395" s="109">
        <f t="shared" si="482"/>
        <v>0</v>
      </c>
      <c r="HM395" s="109"/>
      <c r="HN395" s="109"/>
      <c r="HO395" s="111"/>
      <c r="HP395" s="111"/>
      <c r="HQ395" s="165"/>
      <c r="HR395" s="109">
        <f t="shared" si="475"/>
        <v>0</v>
      </c>
      <c r="HS395" s="109">
        <f t="shared" si="483"/>
        <v>0</v>
      </c>
      <c r="HT395" s="109"/>
      <c r="HU395" s="109"/>
      <c r="HV395" s="111"/>
      <c r="HW395" s="111"/>
      <c r="HX395" s="105">
        <f t="shared" si="501"/>
        <v>0</v>
      </c>
      <c r="HY395" s="105">
        <f t="shared" si="501"/>
        <v>0</v>
      </c>
      <c r="HZ395" s="105">
        <f t="shared" si="501"/>
        <v>0</v>
      </c>
      <c r="IA395" s="105">
        <f t="shared" si="495"/>
        <v>0</v>
      </c>
      <c r="IB395" s="109">
        <f t="shared" si="496"/>
        <v>0</v>
      </c>
      <c r="IC395" s="109">
        <f t="shared" si="497"/>
        <v>0</v>
      </c>
      <c r="ID395" s="109">
        <f t="shared" si="498"/>
        <v>0</v>
      </c>
      <c r="IE395" s="109">
        <f t="shared" si="499"/>
        <v>0</v>
      </c>
      <c r="IF395" s="197"/>
      <c r="IG395" s="197"/>
      <c r="IH395" s="197"/>
      <c r="II395" s="197"/>
      <c r="IJ395" s="197"/>
      <c r="IK395" s="197"/>
      <c r="IL395" s="197"/>
      <c r="IM395" s="171"/>
      <c r="IN395" s="171"/>
      <c r="IO395" s="171"/>
      <c r="IP395" s="171"/>
    </row>
    <row r="396" spans="1:250" ht="15" customHeight="1" x14ac:dyDescent="0.3">
      <c r="A396" s="110">
        <f t="shared" si="500"/>
        <v>392</v>
      </c>
      <c r="B396" s="111"/>
      <c r="C396" s="111"/>
      <c r="D396" s="111"/>
      <c r="E396" s="111"/>
      <c r="F396" s="111"/>
      <c r="G396" s="111"/>
      <c r="H396" s="111"/>
      <c r="I396" s="194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75"/>
      <c r="AI396" s="111"/>
      <c r="AJ396" s="111"/>
      <c r="AK396" s="111"/>
      <c r="AL396" s="177"/>
      <c r="AM396" s="176"/>
      <c r="AN396" s="177"/>
      <c r="AO396" s="157"/>
      <c r="AP396" s="158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75"/>
      <c r="BM396" s="111"/>
      <c r="BN396" s="111"/>
      <c r="BO396" s="111"/>
      <c r="BP396" s="111"/>
      <c r="BQ396" s="111"/>
      <c r="BR396" s="111"/>
      <c r="BS396" s="111"/>
      <c r="BT396" s="111"/>
      <c r="BU396" s="111"/>
      <c r="BV396" s="111"/>
      <c r="BW396" s="111"/>
      <c r="BX396" s="111"/>
      <c r="BY396" s="111"/>
      <c r="BZ396" s="111"/>
      <c r="CA396" s="111"/>
      <c r="CB396" s="111"/>
      <c r="CC396" s="178"/>
      <c r="CD396" s="177">
        <f t="shared" si="484"/>
        <v>0</v>
      </c>
      <c r="CE396" s="148"/>
      <c r="CF396" s="111">
        <f t="shared" si="485"/>
        <v>0</v>
      </c>
      <c r="CG396" s="177"/>
      <c r="CH396" s="204"/>
      <c r="CI396" s="148"/>
      <c r="CJ396" s="165"/>
      <c r="CK396" s="165"/>
      <c r="CL396" s="111"/>
      <c r="CM396" s="111"/>
      <c r="CN396" s="165">
        <f t="shared" si="486"/>
        <v>0</v>
      </c>
      <c r="CO396" s="109">
        <f t="shared" si="487"/>
        <v>0</v>
      </c>
      <c r="CP396" s="109">
        <f t="shared" si="488"/>
        <v>0</v>
      </c>
      <c r="CQ396" s="109"/>
      <c r="CR396" s="109"/>
      <c r="CS396" s="196"/>
      <c r="CT396" s="167"/>
      <c r="CU396" s="165"/>
      <c r="CV396" s="109">
        <f t="shared" si="489"/>
        <v>0</v>
      </c>
      <c r="CW396" s="109">
        <f t="shared" si="490"/>
        <v>0</v>
      </c>
      <c r="CX396" s="109"/>
      <c r="CY396" s="109"/>
      <c r="CZ396" s="111"/>
      <c r="DA396" s="111"/>
      <c r="DB396" s="165"/>
      <c r="DC396" s="109">
        <f t="shared" si="491"/>
        <v>0</v>
      </c>
      <c r="DD396" s="109">
        <f t="shared" si="492"/>
        <v>0</v>
      </c>
      <c r="DE396" s="109"/>
      <c r="DF396" s="109"/>
      <c r="DG396" s="111"/>
      <c r="DH396" s="111"/>
      <c r="DI396" s="165"/>
      <c r="DJ396" s="109">
        <f t="shared" si="493"/>
        <v>0</v>
      </c>
      <c r="DK396" s="109">
        <f t="shared" si="494"/>
        <v>0</v>
      </c>
      <c r="DL396" s="109"/>
      <c r="DM396" s="109"/>
      <c r="DN396" s="111"/>
      <c r="DO396" s="111"/>
      <c r="DP396" s="165"/>
      <c r="DQ396" s="109">
        <f t="shared" si="452"/>
        <v>0</v>
      </c>
      <c r="DR396" s="109">
        <f t="shared" si="453"/>
        <v>0</v>
      </c>
      <c r="DS396" s="109"/>
      <c r="DT396" s="109"/>
      <c r="DU396" s="111"/>
      <c r="DV396" s="111"/>
      <c r="DW396" s="165"/>
      <c r="DX396" s="109">
        <f t="shared" si="454"/>
        <v>0</v>
      </c>
      <c r="DY396" s="109">
        <f t="shared" si="455"/>
        <v>0</v>
      </c>
      <c r="DZ396" s="109"/>
      <c r="EA396" s="109"/>
      <c r="EB396" s="111"/>
      <c r="EC396" s="111"/>
      <c r="ED396" s="165"/>
      <c r="EE396" s="109">
        <f t="shared" si="456"/>
        <v>0</v>
      </c>
      <c r="EF396" s="109">
        <f t="shared" si="457"/>
        <v>0</v>
      </c>
      <c r="EG396" s="109"/>
      <c r="EH396" s="109"/>
      <c r="EI396" s="111"/>
      <c r="EJ396" s="111"/>
      <c r="EK396" s="165"/>
      <c r="EL396" s="109">
        <f t="shared" si="458"/>
        <v>0</v>
      </c>
      <c r="EM396" s="109">
        <f t="shared" si="459"/>
        <v>0</v>
      </c>
      <c r="EN396" s="109"/>
      <c r="EO396" s="109"/>
      <c r="EP396" s="111"/>
      <c r="EQ396" s="111"/>
      <c r="ER396" s="165"/>
      <c r="ES396" s="109">
        <f t="shared" si="460"/>
        <v>0</v>
      </c>
      <c r="ET396" s="109">
        <f t="shared" si="461"/>
        <v>0</v>
      </c>
      <c r="EU396" s="109"/>
      <c r="EV396" s="109"/>
      <c r="EW396" s="111"/>
      <c r="EX396" s="111"/>
      <c r="EY396" s="165"/>
      <c r="EZ396" s="109">
        <f t="shared" si="462"/>
        <v>0</v>
      </c>
      <c r="FA396" s="109">
        <f t="shared" si="463"/>
        <v>0</v>
      </c>
      <c r="FB396" s="109"/>
      <c r="FC396" s="109"/>
      <c r="FD396" s="111"/>
      <c r="FE396" s="111"/>
      <c r="FF396" s="165"/>
      <c r="FG396" s="109">
        <f t="shared" si="464"/>
        <v>0</v>
      </c>
      <c r="FH396" s="109">
        <f t="shared" si="465"/>
        <v>0</v>
      </c>
      <c r="FI396" s="109"/>
      <c r="FJ396" s="109"/>
      <c r="FK396" s="111"/>
      <c r="FL396" s="111"/>
      <c r="FM396" s="165"/>
      <c r="FN396" s="109">
        <f t="shared" si="466"/>
        <v>0</v>
      </c>
      <c r="FO396" s="109">
        <f t="shared" si="467"/>
        <v>0</v>
      </c>
      <c r="FP396" s="109"/>
      <c r="FQ396" s="109"/>
      <c r="FR396" s="111"/>
      <c r="FS396" s="111"/>
      <c r="FT396" s="165"/>
      <c r="FU396" s="109">
        <f t="shared" si="468"/>
        <v>0</v>
      </c>
      <c r="FV396" s="109">
        <f t="shared" si="476"/>
        <v>0</v>
      </c>
      <c r="FW396" s="109"/>
      <c r="FX396" s="109"/>
      <c r="FY396" s="111"/>
      <c r="FZ396" s="111"/>
      <c r="GA396" s="165"/>
      <c r="GB396" s="109">
        <f t="shared" si="469"/>
        <v>0</v>
      </c>
      <c r="GC396" s="109">
        <f t="shared" si="477"/>
        <v>0</v>
      </c>
      <c r="GD396" s="109"/>
      <c r="GE396" s="109"/>
      <c r="GF396" s="111"/>
      <c r="GG396" s="111"/>
      <c r="GH396" s="165"/>
      <c r="GI396" s="109">
        <f t="shared" si="470"/>
        <v>0</v>
      </c>
      <c r="GJ396" s="109">
        <f t="shared" si="478"/>
        <v>0</v>
      </c>
      <c r="GK396" s="109"/>
      <c r="GL396" s="109"/>
      <c r="GM396" s="111"/>
      <c r="GN396" s="111"/>
      <c r="GO396" s="165"/>
      <c r="GP396" s="109">
        <f t="shared" si="471"/>
        <v>0</v>
      </c>
      <c r="GQ396" s="109">
        <f t="shared" si="479"/>
        <v>0</v>
      </c>
      <c r="GR396" s="109"/>
      <c r="GS396" s="109"/>
      <c r="GT396" s="111"/>
      <c r="GU396" s="111"/>
      <c r="GV396" s="165"/>
      <c r="GW396" s="168">
        <f t="shared" si="472"/>
        <v>0</v>
      </c>
      <c r="GX396" s="168">
        <f t="shared" si="480"/>
        <v>0</v>
      </c>
      <c r="GY396" s="168"/>
      <c r="GZ396" s="168"/>
      <c r="HA396" s="111"/>
      <c r="HB396" s="111"/>
      <c r="HC396" s="165"/>
      <c r="HD396" s="109">
        <f t="shared" si="473"/>
        <v>0</v>
      </c>
      <c r="HE396" s="109">
        <f t="shared" si="481"/>
        <v>0</v>
      </c>
      <c r="HF396" s="109"/>
      <c r="HG396" s="109"/>
      <c r="HH396" s="111"/>
      <c r="HI396" s="111"/>
      <c r="HJ396" s="165"/>
      <c r="HK396" s="109">
        <f t="shared" si="474"/>
        <v>0</v>
      </c>
      <c r="HL396" s="109">
        <f t="shared" si="482"/>
        <v>0</v>
      </c>
      <c r="HM396" s="109"/>
      <c r="HN396" s="109"/>
      <c r="HO396" s="111"/>
      <c r="HP396" s="111"/>
      <c r="HQ396" s="165"/>
      <c r="HR396" s="109">
        <f t="shared" si="475"/>
        <v>0</v>
      </c>
      <c r="HS396" s="109">
        <f t="shared" si="483"/>
        <v>0</v>
      </c>
      <c r="HT396" s="109"/>
      <c r="HU396" s="109"/>
      <c r="HV396" s="111"/>
      <c r="HW396" s="111"/>
      <c r="HX396" s="105">
        <f t="shared" si="501"/>
        <v>0</v>
      </c>
      <c r="HY396" s="105">
        <f t="shared" si="501"/>
        <v>0</v>
      </c>
      <c r="HZ396" s="105">
        <f t="shared" si="501"/>
        <v>0</v>
      </c>
      <c r="IA396" s="105">
        <f t="shared" si="495"/>
        <v>0</v>
      </c>
      <c r="IB396" s="109">
        <f t="shared" si="496"/>
        <v>0</v>
      </c>
      <c r="IC396" s="109">
        <f t="shared" si="497"/>
        <v>0</v>
      </c>
      <c r="ID396" s="109">
        <f t="shared" si="498"/>
        <v>0</v>
      </c>
      <c r="IE396" s="109">
        <f t="shared" si="499"/>
        <v>0</v>
      </c>
      <c r="IF396" s="197"/>
      <c r="IG396" s="197"/>
      <c r="IH396" s="197"/>
      <c r="II396" s="197"/>
      <c r="IJ396" s="197"/>
      <c r="IK396" s="197"/>
      <c r="IL396" s="197"/>
      <c r="IM396" s="171"/>
      <c r="IN396" s="171"/>
      <c r="IO396" s="171"/>
      <c r="IP396" s="171"/>
    </row>
    <row r="397" spans="1:250" ht="15" customHeight="1" x14ac:dyDescent="0.3">
      <c r="A397" s="110">
        <f t="shared" si="500"/>
        <v>393</v>
      </c>
      <c r="B397" s="111"/>
      <c r="C397" s="111"/>
      <c r="D397" s="111"/>
      <c r="E397" s="111"/>
      <c r="F397" s="111"/>
      <c r="G397" s="111"/>
      <c r="H397" s="111"/>
      <c r="I397" s="194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75"/>
      <c r="AI397" s="111"/>
      <c r="AJ397" s="111"/>
      <c r="AK397" s="111"/>
      <c r="AL397" s="177"/>
      <c r="AM397" s="176"/>
      <c r="AN397" s="177"/>
      <c r="AO397" s="157"/>
      <c r="AP397" s="158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  <c r="BG397" s="111"/>
      <c r="BH397" s="111"/>
      <c r="BI397" s="111"/>
      <c r="BJ397" s="111"/>
      <c r="BK397" s="111"/>
      <c r="BL397" s="175"/>
      <c r="BM397" s="111"/>
      <c r="BN397" s="111"/>
      <c r="BO397" s="111"/>
      <c r="BP397" s="111"/>
      <c r="BQ397" s="111"/>
      <c r="BR397" s="111"/>
      <c r="BS397" s="111"/>
      <c r="BT397" s="111"/>
      <c r="BU397" s="111"/>
      <c r="BV397" s="111"/>
      <c r="BW397" s="111"/>
      <c r="BX397" s="111"/>
      <c r="BY397" s="111"/>
      <c r="BZ397" s="111"/>
      <c r="CA397" s="111"/>
      <c r="CB397" s="111"/>
      <c r="CC397" s="178"/>
      <c r="CD397" s="177">
        <f t="shared" si="484"/>
        <v>0</v>
      </c>
      <c r="CE397" s="148"/>
      <c r="CF397" s="111">
        <f t="shared" si="485"/>
        <v>0</v>
      </c>
      <c r="CG397" s="177"/>
      <c r="CH397" s="204"/>
      <c r="CI397" s="148"/>
      <c r="CJ397" s="165"/>
      <c r="CK397" s="165"/>
      <c r="CL397" s="111"/>
      <c r="CM397" s="111"/>
      <c r="CN397" s="165">
        <f t="shared" si="486"/>
        <v>0</v>
      </c>
      <c r="CO397" s="109">
        <f t="shared" si="487"/>
        <v>0</v>
      </c>
      <c r="CP397" s="109">
        <f t="shared" si="488"/>
        <v>0</v>
      </c>
      <c r="CQ397" s="109"/>
      <c r="CR397" s="109"/>
      <c r="CS397" s="196"/>
      <c r="CT397" s="167"/>
      <c r="CU397" s="165"/>
      <c r="CV397" s="109">
        <f t="shared" si="489"/>
        <v>0</v>
      </c>
      <c r="CW397" s="109">
        <f t="shared" si="490"/>
        <v>0</v>
      </c>
      <c r="CX397" s="109"/>
      <c r="CY397" s="109"/>
      <c r="CZ397" s="111"/>
      <c r="DA397" s="111"/>
      <c r="DB397" s="165"/>
      <c r="DC397" s="109">
        <f t="shared" si="491"/>
        <v>0</v>
      </c>
      <c r="DD397" s="109">
        <f t="shared" si="492"/>
        <v>0</v>
      </c>
      <c r="DE397" s="109"/>
      <c r="DF397" s="109"/>
      <c r="DG397" s="111"/>
      <c r="DH397" s="111"/>
      <c r="DI397" s="165"/>
      <c r="DJ397" s="109">
        <f t="shared" si="493"/>
        <v>0</v>
      </c>
      <c r="DK397" s="109">
        <f t="shared" si="494"/>
        <v>0</v>
      </c>
      <c r="DL397" s="109"/>
      <c r="DM397" s="109"/>
      <c r="DN397" s="111"/>
      <c r="DO397" s="111"/>
      <c r="DP397" s="165"/>
      <c r="DQ397" s="109">
        <f t="shared" si="452"/>
        <v>0</v>
      </c>
      <c r="DR397" s="109">
        <f t="shared" si="453"/>
        <v>0</v>
      </c>
      <c r="DS397" s="109"/>
      <c r="DT397" s="109"/>
      <c r="DU397" s="111"/>
      <c r="DV397" s="111"/>
      <c r="DW397" s="165"/>
      <c r="DX397" s="109">
        <f t="shared" si="454"/>
        <v>0</v>
      </c>
      <c r="DY397" s="109">
        <f t="shared" si="455"/>
        <v>0</v>
      </c>
      <c r="DZ397" s="109"/>
      <c r="EA397" s="109"/>
      <c r="EB397" s="111"/>
      <c r="EC397" s="111"/>
      <c r="ED397" s="165"/>
      <c r="EE397" s="109">
        <f t="shared" si="456"/>
        <v>0</v>
      </c>
      <c r="EF397" s="109">
        <f t="shared" si="457"/>
        <v>0</v>
      </c>
      <c r="EG397" s="109"/>
      <c r="EH397" s="109"/>
      <c r="EI397" s="111"/>
      <c r="EJ397" s="111"/>
      <c r="EK397" s="165"/>
      <c r="EL397" s="109">
        <f t="shared" si="458"/>
        <v>0</v>
      </c>
      <c r="EM397" s="109">
        <f t="shared" si="459"/>
        <v>0</v>
      </c>
      <c r="EN397" s="109"/>
      <c r="EO397" s="109"/>
      <c r="EP397" s="111"/>
      <c r="EQ397" s="111"/>
      <c r="ER397" s="165"/>
      <c r="ES397" s="109">
        <f t="shared" si="460"/>
        <v>0</v>
      </c>
      <c r="ET397" s="109">
        <f t="shared" si="461"/>
        <v>0</v>
      </c>
      <c r="EU397" s="109"/>
      <c r="EV397" s="109"/>
      <c r="EW397" s="111"/>
      <c r="EX397" s="111"/>
      <c r="EY397" s="165"/>
      <c r="EZ397" s="109">
        <f t="shared" si="462"/>
        <v>0</v>
      </c>
      <c r="FA397" s="109">
        <f t="shared" si="463"/>
        <v>0</v>
      </c>
      <c r="FB397" s="109"/>
      <c r="FC397" s="109"/>
      <c r="FD397" s="111"/>
      <c r="FE397" s="111"/>
      <c r="FF397" s="165"/>
      <c r="FG397" s="109">
        <f t="shared" si="464"/>
        <v>0</v>
      </c>
      <c r="FH397" s="109">
        <f t="shared" si="465"/>
        <v>0</v>
      </c>
      <c r="FI397" s="109"/>
      <c r="FJ397" s="109"/>
      <c r="FK397" s="111"/>
      <c r="FL397" s="111"/>
      <c r="FM397" s="165"/>
      <c r="FN397" s="109">
        <f t="shared" si="466"/>
        <v>0</v>
      </c>
      <c r="FO397" s="109">
        <f t="shared" si="467"/>
        <v>0</v>
      </c>
      <c r="FP397" s="109"/>
      <c r="FQ397" s="109"/>
      <c r="FR397" s="111"/>
      <c r="FS397" s="111"/>
      <c r="FT397" s="165"/>
      <c r="FU397" s="109">
        <f t="shared" si="468"/>
        <v>0</v>
      </c>
      <c r="FV397" s="109">
        <f t="shared" si="476"/>
        <v>0</v>
      </c>
      <c r="FW397" s="109"/>
      <c r="FX397" s="109"/>
      <c r="FY397" s="111"/>
      <c r="FZ397" s="111"/>
      <c r="GA397" s="165"/>
      <c r="GB397" s="109">
        <f t="shared" si="469"/>
        <v>0</v>
      </c>
      <c r="GC397" s="109">
        <f t="shared" si="477"/>
        <v>0</v>
      </c>
      <c r="GD397" s="109"/>
      <c r="GE397" s="109"/>
      <c r="GF397" s="111"/>
      <c r="GG397" s="111"/>
      <c r="GH397" s="165"/>
      <c r="GI397" s="109">
        <f t="shared" si="470"/>
        <v>0</v>
      </c>
      <c r="GJ397" s="109">
        <f t="shared" si="478"/>
        <v>0</v>
      </c>
      <c r="GK397" s="109"/>
      <c r="GL397" s="109"/>
      <c r="GM397" s="111"/>
      <c r="GN397" s="111"/>
      <c r="GO397" s="165"/>
      <c r="GP397" s="109">
        <f t="shared" si="471"/>
        <v>0</v>
      </c>
      <c r="GQ397" s="109">
        <f t="shared" si="479"/>
        <v>0</v>
      </c>
      <c r="GR397" s="109"/>
      <c r="GS397" s="109"/>
      <c r="GT397" s="111"/>
      <c r="GU397" s="111"/>
      <c r="GV397" s="165"/>
      <c r="GW397" s="168">
        <f t="shared" si="472"/>
        <v>0</v>
      </c>
      <c r="GX397" s="168">
        <f t="shared" si="480"/>
        <v>0</v>
      </c>
      <c r="GY397" s="168"/>
      <c r="GZ397" s="168"/>
      <c r="HA397" s="111"/>
      <c r="HB397" s="111"/>
      <c r="HC397" s="165"/>
      <c r="HD397" s="109">
        <f t="shared" si="473"/>
        <v>0</v>
      </c>
      <c r="HE397" s="109">
        <f t="shared" si="481"/>
        <v>0</v>
      </c>
      <c r="HF397" s="109"/>
      <c r="HG397" s="109"/>
      <c r="HH397" s="111"/>
      <c r="HI397" s="111"/>
      <c r="HJ397" s="165"/>
      <c r="HK397" s="109">
        <f t="shared" si="474"/>
        <v>0</v>
      </c>
      <c r="HL397" s="109">
        <f t="shared" si="482"/>
        <v>0</v>
      </c>
      <c r="HM397" s="109"/>
      <c r="HN397" s="109"/>
      <c r="HO397" s="111"/>
      <c r="HP397" s="111"/>
      <c r="HQ397" s="165"/>
      <c r="HR397" s="109">
        <f t="shared" si="475"/>
        <v>0</v>
      </c>
      <c r="HS397" s="109">
        <f t="shared" si="483"/>
        <v>0</v>
      </c>
      <c r="HT397" s="109"/>
      <c r="HU397" s="109"/>
      <c r="HV397" s="111"/>
      <c r="HW397" s="111"/>
      <c r="HX397" s="105">
        <f t="shared" si="501"/>
        <v>0</v>
      </c>
      <c r="HY397" s="105">
        <f t="shared" si="501"/>
        <v>0</v>
      </c>
      <c r="HZ397" s="105">
        <f t="shared" si="501"/>
        <v>0</v>
      </c>
      <c r="IA397" s="105">
        <f t="shared" si="495"/>
        <v>0</v>
      </c>
      <c r="IB397" s="109">
        <f t="shared" si="496"/>
        <v>0</v>
      </c>
      <c r="IC397" s="109">
        <f t="shared" si="497"/>
        <v>0</v>
      </c>
      <c r="ID397" s="109">
        <f t="shared" si="498"/>
        <v>0</v>
      </c>
      <c r="IE397" s="109">
        <f t="shared" si="499"/>
        <v>0</v>
      </c>
      <c r="IF397" s="197"/>
      <c r="IG397" s="197"/>
      <c r="IH397" s="197"/>
      <c r="II397" s="197"/>
      <c r="IJ397" s="197"/>
      <c r="IK397" s="197"/>
      <c r="IL397" s="197"/>
      <c r="IM397" s="171"/>
      <c r="IN397" s="171"/>
      <c r="IO397" s="171"/>
      <c r="IP397" s="171"/>
    </row>
    <row r="398" spans="1:250" ht="15" customHeight="1" x14ac:dyDescent="0.3">
      <c r="A398" s="110">
        <f t="shared" si="500"/>
        <v>394</v>
      </c>
      <c r="B398" s="111"/>
      <c r="C398" s="111"/>
      <c r="D398" s="111"/>
      <c r="E398" s="111"/>
      <c r="F398" s="111"/>
      <c r="G398" s="111"/>
      <c r="H398" s="111"/>
      <c r="I398" s="194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75"/>
      <c r="AI398" s="111"/>
      <c r="AJ398" s="111"/>
      <c r="AK398" s="111"/>
      <c r="AL398" s="177"/>
      <c r="AM398" s="176"/>
      <c r="AN398" s="177"/>
      <c r="AO398" s="157"/>
      <c r="AP398" s="158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  <c r="BG398" s="111"/>
      <c r="BH398" s="111"/>
      <c r="BI398" s="111"/>
      <c r="BJ398" s="111"/>
      <c r="BK398" s="111"/>
      <c r="BL398" s="175"/>
      <c r="BM398" s="111"/>
      <c r="BN398" s="111"/>
      <c r="BO398" s="111"/>
      <c r="BP398" s="111"/>
      <c r="BQ398" s="111"/>
      <c r="BR398" s="111"/>
      <c r="BS398" s="111"/>
      <c r="BT398" s="111"/>
      <c r="BU398" s="111"/>
      <c r="BV398" s="111"/>
      <c r="BW398" s="111"/>
      <c r="BX398" s="111"/>
      <c r="BY398" s="111"/>
      <c r="BZ398" s="111"/>
      <c r="CA398" s="111"/>
      <c r="CB398" s="111"/>
      <c r="CC398" s="178"/>
      <c r="CD398" s="177">
        <f t="shared" si="484"/>
        <v>0</v>
      </c>
      <c r="CE398" s="148"/>
      <c r="CF398" s="111">
        <f t="shared" si="485"/>
        <v>0</v>
      </c>
      <c r="CG398" s="177"/>
      <c r="CH398" s="204"/>
      <c r="CI398" s="148"/>
      <c r="CJ398" s="165"/>
      <c r="CK398" s="165"/>
      <c r="CL398" s="111"/>
      <c r="CM398" s="111"/>
      <c r="CN398" s="165">
        <f t="shared" si="486"/>
        <v>0</v>
      </c>
      <c r="CO398" s="109">
        <f t="shared" si="487"/>
        <v>0</v>
      </c>
      <c r="CP398" s="109">
        <f t="shared" si="488"/>
        <v>0</v>
      </c>
      <c r="CQ398" s="109"/>
      <c r="CR398" s="109"/>
      <c r="CS398" s="196"/>
      <c r="CT398" s="167"/>
      <c r="CU398" s="165"/>
      <c r="CV398" s="109">
        <f t="shared" si="489"/>
        <v>0</v>
      </c>
      <c r="CW398" s="109">
        <f t="shared" si="490"/>
        <v>0</v>
      </c>
      <c r="CX398" s="109"/>
      <c r="CY398" s="109"/>
      <c r="CZ398" s="111"/>
      <c r="DA398" s="111"/>
      <c r="DB398" s="165"/>
      <c r="DC398" s="109">
        <f t="shared" si="491"/>
        <v>0</v>
      </c>
      <c r="DD398" s="109">
        <f t="shared" si="492"/>
        <v>0</v>
      </c>
      <c r="DE398" s="109"/>
      <c r="DF398" s="109"/>
      <c r="DG398" s="111"/>
      <c r="DH398" s="111"/>
      <c r="DI398" s="165"/>
      <c r="DJ398" s="109">
        <f t="shared" si="493"/>
        <v>0</v>
      </c>
      <c r="DK398" s="109">
        <f t="shared" si="494"/>
        <v>0</v>
      </c>
      <c r="DL398" s="109"/>
      <c r="DM398" s="109"/>
      <c r="DN398" s="111"/>
      <c r="DO398" s="111"/>
      <c r="DP398" s="165"/>
      <c r="DQ398" s="109">
        <f t="shared" si="452"/>
        <v>0</v>
      </c>
      <c r="DR398" s="109">
        <f t="shared" si="453"/>
        <v>0</v>
      </c>
      <c r="DS398" s="109"/>
      <c r="DT398" s="109"/>
      <c r="DU398" s="111"/>
      <c r="DV398" s="111"/>
      <c r="DW398" s="165"/>
      <c r="DX398" s="109">
        <f t="shared" si="454"/>
        <v>0</v>
      </c>
      <c r="DY398" s="109">
        <f t="shared" si="455"/>
        <v>0</v>
      </c>
      <c r="DZ398" s="109"/>
      <c r="EA398" s="109"/>
      <c r="EB398" s="111"/>
      <c r="EC398" s="111"/>
      <c r="ED398" s="165"/>
      <c r="EE398" s="109">
        <f t="shared" si="456"/>
        <v>0</v>
      </c>
      <c r="EF398" s="109">
        <f t="shared" si="457"/>
        <v>0</v>
      </c>
      <c r="EG398" s="109"/>
      <c r="EH398" s="109"/>
      <c r="EI398" s="111"/>
      <c r="EJ398" s="111"/>
      <c r="EK398" s="165"/>
      <c r="EL398" s="109">
        <f t="shared" si="458"/>
        <v>0</v>
      </c>
      <c r="EM398" s="109">
        <f t="shared" si="459"/>
        <v>0</v>
      </c>
      <c r="EN398" s="109"/>
      <c r="EO398" s="109"/>
      <c r="EP398" s="111"/>
      <c r="EQ398" s="111"/>
      <c r="ER398" s="165"/>
      <c r="ES398" s="109">
        <f t="shared" si="460"/>
        <v>0</v>
      </c>
      <c r="ET398" s="109">
        <f t="shared" si="461"/>
        <v>0</v>
      </c>
      <c r="EU398" s="109"/>
      <c r="EV398" s="109"/>
      <c r="EW398" s="111"/>
      <c r="EX398" s="111"/>
      <c r="EY398" s="165"/>
      <c r="EZ398" s="109">
        <f t="shared" si="462"/>
        <v>0</v>
      </c>
      <c r="FA398" s="109">
        <f t="shared" si="463"/>
        <v>0</v>
      </c>
      <c r="FB398" s="109"/>
      <c r="FC398" s="109"/>
      <c r="FD398" s="111"/>
      <c r="FE398" s="111"/>
      <c r="FF398" s="165"/>
      <c r="FG398" s="109">
        <f t="shared" si="464"/>
        <v>0</v>
      </c>
      <c r="FH398" s="109">
        <f t="shared" si="465"/>
        <v>0</v>
      </c>
      <c r="FI398" s="109"/>
      <c r="FJ398" s="109"/>
      <c r="FK398" s="111"/>
      <c r="FL398" s="111"/>
      <c r="FM398" s="165"/>
      <c r="FN398" s="109">
        <f t="shared" si="466"/>
        <v>0</v>
      </c>
      <c r="FO398" s="109">
        <f t="shared" si="467"/>
        <v>0</v>
      </c>
      <c r="FP398" s="109"/>
      <c r="FQ398" s="109"/>
      <c r="FR398" s="111"/>
      <c r="FS398" s="111"/>
      <c r="FT398" s="165"/>
      <c r="FU398" s="109">
        <f t="shared" si="468"/>
        <v>0</v>
      </c>
      <c r="FV398" s="109">
        <f t="shared" si="476"/>
        <v>0</v>
      </c>
      <c r="FW398" s="109"/>
      <c r="FX398" s="109"/>
      <c r="FY398" s="111"/>
      <c r="FZ398" s="111"/>
      <c r="GA398" s="165"/>
      <c r="GB398" s="109">
        <f t="shared" si="469"/>
        <v>0</v>
      </c>
      <c r="GC398" s="109">
        <f t="shared" si="477"/>
        <v>0</v>
      </c>
      <c r="GD398" s="109"/>
      <c r="GE398" s="109"/>
      <c r="GF398" s="111"/>
      <c r="GG398" s="111"/>
      <c r="GH398" s="165"/>
      <c r="GI398" s="109">
        <f t="shared" si="470"/>
        <v>0</v>
      </c>
      <c r="GJ398" s="109">
        <f t="shared" si="478"/>
        <v>0</v>
      </c>
      <c r="GK398" s="109"/>
      <c r="GL398" s="109"/>
      <c r="GM398" s="111"/>
      <c r="GN398" s="111"/>
      <c r="GO398" s="165"/>
      <c r="GP398" s="109">
        <f t="shared" si="471"/>
        <v>0</v>
      </c>
      <c r="GQ398" s="109">
        <f t="shared" si="479"/>
        <v>0</v>
      </c>
      <c r="GR398" s="109"/>
      <c r="GS398" s="109"/>
      <c r="GT398" s="111"/>
      <c r="GU398" s="111"/>
      <c r="GV398" s="165"/>
      <c r="GW398" s="168">
        <f t="shared" si="472"/>
        <v>0</v>
      </c>
      <c r="GX398" s="168">
        <f t="shared" si="480"/>
        <v>0</v>
      </c>
      <c r="GY398" s="168"/>
      <c r="GZ398" s="168"/>
      <c r="HA398" s="111"/>
      <c r="HB398" s="111"/>
      <c r="HC398" s="165"/>
      <c r="HD398" s="109">
        <f t="shared" si="473"/>
        <v>0</v>
      </c>
      <c r="HE398" s="109">
        <f t="shared" si="481"/>
        <v>0</v>
      </c>
      <c r="HF398" s="109"/>
      <c r="HG398" s="109"/>
      <c r="HH398" s="111"/>
      <c r="HI398" s="111"/>
      <c r="HJ398" s="165"/>
      <c r="HK398" s="109">
        <f t="shared" si="474"/>
        <v>0</v>
      </c>
      <c r="HL398" s="109">
        <f t="shared" si="482"/>
        <v>0</v>
      </c>
      <c r="HM398" s="109"/>
      <c r="HN398" s="109"/>
      <c r="HO398" s="111"/>
      <c r="HP398" s="111"/>
      <c r="HQ398" s="165"/>
      <c r="HR398" s="109">
        <f t="shared" si="475"/>
        <v>0</v>
      </c>
      <c r="HS398" s="109">
        <f t="shared" si="483"/>
        <v>0</v>
      </c>
      <c r="HT398" s="109"/>
      <c r="HU398" s="109"/>
      <c r="HV398" s="111"/>
      <c r="HW398" s="111"/>
      <c r="HX398" s="105">
        <f t="shared" si="501"/>
        <v>0</v>
      </c>
      <c r="HY398" s="105">
        <f t="shared" si="501"/>
        <v>0</v>
      </c>
      <c r="HZ398" s="105">
        <f t="shared" si="501"/>
        <v>0</v>
      </c>
      <c r="IA398" s="105">
        <f t="shared" si="495"/>
        <v>0</v>
      </c>
      <c r="IB398" s="109">
        <f t="shared" si="496"/>
        <v>0</v>
      </c>
      <c r="IC398" s="109">
        <f t="shared" si="497"/>
        <v>0</v>
      </c>
      <c r="ID398" s="109">
        <f t="shared" si="498"/>
        <v>0</v>
      </c>
      <c r="IE398" s="109">
        <f t="shared" si="499"/>
        <v>0</v>
      </c>
      <c r="IF398" s="197"/>
      <c r="IG398" s="197"/>
      <c r="IH398" s="197"/>
      <c r="II398" s="197"/>
      <c r="IJ398" s="197"/>
      <c r="IK398" s="197"/>
      <c r="IL398" s="197"/>
      <c r="IM398" s="171"/>
      <c r="IN398" s="171"/>
      <c r="IO398" s="171"/>
      <c r="IP398" s="171"/>
    </row>
    <row r="399" spans="1:250" ht="15" customHeight="1" x14ac:dyDescent="0.3">
      <c r="A399" s="110">
        <f t="shared" si="500"/>
        <v>395</v>
      </c>
      <c r="B399" s="111"/>
      <c r="C399" s="111"/>
      <c r="D399" s="111"/>
      <c r="E399" s="111"/>
      <c r="F399" s="111"/>
      <c r="G399" s="111"/>
      <c r="H399" s="111"/>
      <c r="I399" s="194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75"/>
      <c r="AI399" s="111"/>
      <c r="AJ399" s="111"/>
      <c r="AK399" s="111"/>
      <c r="AL399" s="177"/>
      <c r="AM399" s="176"/>
      <c r="AN399" s="177"/>
      <c r="AO399" s="157"/>
      <c r="AP399" s="158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  <c r="BG399" s="111"/>
      <c r="BH399" s="111"/>
      <c r="BI399" s="111"/>
      <c r="BJ399" s="111"/>
      <c r="BK399" s="111"/>
      <c r="BL399" s="175"/>
      <c r="BM399" s="111"/>
      <c r="BN399" s="111"/>
      <c r="BO399" s="111"/>
      <c r="BP399" s="111"/>
      <c r="BQ399" s="111"/>
      <c r="BR399" s="111"/>
      <c r="BS399" s="111"/>
      <c r="BT399" s="111"/>
      <c r="BU399" s="111"/>
      <c r="BV399" s="111"/>
      <c r="BW399" s="111"/>
      <c r="BX399" s="111"/>
      <c r="BY399" s="111"/>
      <c r="BZ399" s="111"/>
      <c r="CA399" s="111"/>
      <c r="CB399" s="111"/>
      <c r="CC399" s="178"/>
      <c r="CD399" s="177">
        <f t="shared" si="484"/>
        <v>0</v>
      </c>
      <c r="CE399" s="148"/>
      <c r="CF399" s="111">
        <f t="shared" si="485"/>
        <v>0</v>
      </c>
      <c r="CG399" s="177"/>
      <c r="CH399" s="204"/>
      <c r="CI399" s="148"/>
      <c r="CJ399" s="165"/>
      <c r="CK399" s="165"/>
      <c r="CL399" s="111"/>
      <c r="CM399" s="111"/>
      <c r="CN399" s="165">
        <f t="shared" si="486"/>
        <v>0</v>
      </c>
      <c r="CO399" s="109">
        <f t="shared" si="487"/>
        <v>0</v>
      </c>
      <c r="CP399" s="109">
        <f t="shared" si="488"/>
        <v>0</v>
      </c>
      <c r="CQ399" s="109"/>
      <c r="CR399" s="109"/>
      <c r="CS399" s="196"/>
      <c r="CT399" s="167"/>
      <c r="CU399" s="165"/>
      <c r="CV399" s="109">
        <f t="shared" si="489"/>
        <v>0</v>
      </c>
      <c r="CW399" s="109">
        <f t="shared" si="490"/>
        <v>0</v>
      </c>
      <c r="CX399" s="109"/>
      <c r="CY399" s="109"/>
      <c r="CZ399" s="111"/>
      <c r="DA399" s="111"/>
      <c r="DB399" s="165"/>
      <c r="DC399" s="109">
        <f t="shared" si="491"/>
        <v>0</v>
      </c>
      <c r="DD399" s="109">
        <f t="shared" si="492"/>
        <v>0</v>
      </c>
      <c r="DE399" s="109"/>
      <c r="DF399" s="109"/>
      <c r="DG399" s="111"/>
      <c r="DH399" s="111"/>
      <c r="DI399" s="165"/>
      <c r="DJ399" s="109">
        <f t="shared" si="493"/>
        <v>0</v>
      </c>
      <c r="DK399" s="109">
        <f t="shared" si="494"/>
        <v>0</v>
      </c>
      <c r="DL399" s="109"/>
      <c r="DM399" s="109"/>
      <c r="DN399" s="111"/>
      <c r="DO399" s="111"/>
      <c r="DP399" s="165"/>
      <c r="DQ399" s="109">
        <f t="shared" si="452"/>
        <v>0</v>
      </c>
      <c r="DR399" s="109">
        <f t="shared" si="453"/>
        <v>0</v>
      </c>
      <c r="DS399" s="109"/>
      <c r="DT399" s="109"/>
      <c r="DU399" s="111"/>
      <c r="DV399" s="111"/>
      <c r="DW399" s="165"/>
      <c r="DX399" s="109">
        <f t="shared" si="454"/>
        <v>0</v>
      </c>
      <c r="DY399" s="109">
        <f t="shared" si="455"/>
        <v>0</v>
      </c>
      <c r="DZ399" s="109"/>
      <c r="EA399" s="109"/>
      <c r="EB399" s="111"/>
      <c r="EC399" s="111"/>
      <c r="ED399" s="165"/>
      <c r="EE399" s="109">
        <f t="shared" si="456"/>
        <v>0</v>
      </c>
      <c r="EF399" s="109">
        <f t="shared" si="457"/>
        <v>0</v>
      </c>
      <c r="EG399" s="109"/>
      <c r="EH399" s="109"/>
      <c r="EI399" s="111"/>
      <c r="EJ399" s="111"/>
      <c r="EK399" s="165"/>
      <c r="EL399" s="109">
        <f t="shared" si="458"/>
        <v>0</v>
      </c>
      <c r="EM399" s="109">
        <f t="shared" si="459"/>
        <v>0</v>
      </c>
      <c r="EN399" s="109"/>
      <c r="EO399" s="109"/>
      <c r="EP399" s="111"/>
      <c r="EQ399" s="111"/>
      <c r="ER399" s="165"/>
      <c r="ES399" s="109">
        <f t="shared" si="460"/>
        <v>0</v>
      </c>
      <c r="ET399" s="109">
        <f t="shared" si="461"/>
        <v>0</v>
      </c>
      <c r="EU399" s="109"/>
      <c r="EV399" s="109"/>
      <c r="EW399" s="111"/>
      <c r="EX399" s="111"/>
      <c r="EY399" s="165"/>
      <c r="EZ399" s="109">
        <f t="shared" si="462"/>
        <v>0</v>
      </c>
      <c r="FA399" s="109">
        <f t="shared" si="463"/>
        <v>0</v>
      </c>
      <c r="FB399" s="109"/>
      <c r="FC399" s="109"/>
      <c r="FD399" s="111"/>
      <c r="FE399" s="111"/>
      <c r="FF399" s="165"/>
      <c r="FG399" s="109">
        <f t="shared" si="464"/>
        <v>0</v>
      </c>
      <c r="FH399" s="109">
        <f t="shared" si="465"/>
        <v>0</v>
      </c>
      <c r="FI399" s="109"/>
      <c r="FJ399" s="109"/>
      <c r="FK399" s="111"/>
      <c r="FL399" s="111"/>
      <c r="FM399" s="165"/>
      <c r="FN399" s="109">
        <f t="shared" si="466"/>
        <v>0</v>
      </c>
      <c r="FO399" s="109">
        <f t="shared" si="467"/>
        <v>0</v>
      </c>
      <c r="FP399" s="109"/>
      <c r="FQ399" s="109"/>
      <c r="FR399" s="111"/>
      <c r="FS399" s="111"/>
      <c r="FT399" s="165"/>
      <c r="FU399" s="109">
        <f t="shared" si="468"/>
        <v>0</v>
      </c>
      <c r="FV399" s="109">
        <f t="shared" si="476"/>
        <v>0</v>
      </c>
      <c r="FW399" s="109"/>
      <c r="FX399" s="109"/>
      <c r="FY399" s="111"/>
      <c r="FZ399" s="111"/>
      <c r="GA399" s="165"/>
      <c r="GB399" s="109">
        <f t="shared" si="469"/>
        <v>0</v>
      </c>
      <c r="GC399" s="109">
        <f t="shared" si="477"/>
        <v>0</v>
      </c>
      <c r="GD399" s="109"/>
      <c r="GE399" s="109"/>
      <c r="GF399" s="111"/>
      <c r="GG399" s="111"/>
      <c r="GH399" s="165"/>
      <c r="GI399" s="109">
        <f t="shared" si="470"/>
        <v>0</v>
      </c>
      <c r="GJ399" s="109">
        <f t="shared" si="478"/>
        <v>0</v>
      </c>
      <c r="GK399" s="109"/>
      <c r="GL399" s="109"/>
      <c r="GM399" s="111"/>
      <c r="GN399" s="111"/>
      <c r="GO399" s="165"/>
      <c r="GP399" s="109">
        <f t="shared" si="471"/>
        <v>0</v>
      </c>
      <c r="GQ399" s="109">
        <f t="shared" si="479"/>
        <v>0</v>
      </c>
      <c r="GR399" s="109"/>
      <c r="GS399" s="109"/>
      <c r="GT399" s="111"/>
      <c r="GU399" s="111"/>
      <c r="GV399" s="165"/>
      <c r="GW399" s="168">
        <f t="shared" si="472"/>
        <v>0</v>
      </c>
      <c r="GX399" s="168">
        <f t="shared" si="480"/>
        <v>0</v>
      </c>
      <c r="GY399" s="168"/>
      <c r="GZ399" s="168"/>
      <c r="HA399" s="111"/>
      <c r="HB399" s="111"/>
      <c r="HC399" s="165"/>
      <c r="HD399" s="109">
        <f t="shared" si="473"/>
        <v>0</v>
      </c>
      <c r="HE399" s="109">
        <f t="shared" si="481"/>
        <v>0</v>
      </c>
      <c r="HF399" s="109"/>
      <c r="HG399" s="109"/>
      <c r="HH399" s="111"/>
      <c r="HI399" s="111"/>
      <c r="HJ399" s="165"/>
      <c r="HK399" s="109">
        <f t="shared" si="474"/>
        <v>0</v>
      </c>
      <c r="HL399" s="109">
        <f t="shared" si="482"/>
        <v>0</v>
      </c>
      <c r="HM399" s="109"/>
      <c r="HN399" s="109"/>
      <c r="HO399" s="111"/>
      <c r="HP399" s="111"/>
      <c r="HQ399" s="165"/>
      <c r="HR399" s="109">
        <f t="shared" si="475"/>
        <v>0</v>
      </c>
      <c r="HS399" s="109">
        <f t="shared" si="483"/>
        <v>0</v>
      </c>
      <c r="HT399" s="109"/>
      <c r="HU399" s="109"/>
      <c r="HV399" s="111"/>
      <c r="HW399" s="111"/>
      <c r="HX399" s="105">
        <f t="shared" si="501"/>
        <v>0</v>
      </c>
      <c r="HY399" s="105">
        <f t="shared" si="501"/>
        <v>0</v>
      </c>
      <c r="HZ399" s="105">
        <f t="shared" si="501"/>
        <v>0</v>
      </c>
      <c r="IA399" s="105">
        <f t="shared" si="495"/>
        <v>0</v>
      </c>
      <c r="IB399" s="109">
        <f t="shared" si="496"/>
        <v>0</v>
      </c>
      <c r="IC399" s="109">
        <f t="shared" si="497"/>
        <v>0</v>
      </c>
      <c r="ID399" s="109">
        <f t="shared" si="498"/>
        <v>0</v>
      </c>
      <c r="IE399" s="109">
        <f t="shared" si="499"/>
        <v>0</v>
      </c>
      <c r="IF399" s="197"/>
      <c r="IG399" s="197"/>
      <c r="IH399" s="197"/>
      <c r="II399" s="197"/>
      <c r="IJ399" s="197"/>
      <c r="IK399" s="197"/>
      <c r="IL399" s="197"/>
      <c r="IM399" s="171"/>
      <c r="IN399" s="171"/>
      <c r="IO399" s="171"/>
      <c r="IP399" s="171"/>
    </row>
    <row r="400" spans="1:250" ht="15" customHeight="1" x14ac:dyDescent="0.3">
      <c r="A400" s="110">
        <f t="shared" si="500"/>
        <v>396</v>
      </c>
      <c r="B400" s="111"/>
      <c r="C400" s="111"/>
      <c r="D400" s="111"/>
      <c r="E400" s="111"/>
      <c r="F400" s="111"/>
      <c r="G400" s="111"/>
      <c r="H400" s="111"/>
      <c r="I400" s="194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75"/>
      <c r="AI400" s="111"/>
      <c r="AJ400" s="111"/>
      <c r="AK400" s="111"/>
      <c r="AL400" s="177"/>
      <c r="AM400" s="176"/>
      <c r="AN400" s="177"/>
      <c r="AO400" s="157"/>
      <c r="AP400" s="158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  <c r="BG400" s="111"/>
      <c r="BH400" s="111"/>
      <c r="BI400" s="111"/>
      <c r="BJ400" s="111"/>
      <c r="BK400" s="111"/>
      <c r="BL400" s="175"/>
      <c r="BM400" s="111"/>
      <c r="BN400" s="111"/>
      <c r="BO400" s="111"/>
      <c r="BP400" s="111"/>
      <c r="BQ400" s="111"/>
      <c r="BR400" s="111"/>
      <c r="BS400" s="111"/>
      <c r="BT400" s="111"/>
      <c r="BU400" s="111"/>
      <c r="BV400" s="111"/>
      <c r="BW400" s="111"/>
      <c r="BX400" s="111"/>
      <c r="BY400" s="111"/>
      <c r="BZ400" s="111"/>
      <c r="CA400" s="111"/>
      <c r="CB400" s="111"/>
      <c r="CC400" s="178"/>
      <c r="CD400" s="177">
        <f t="shared" si="484"/>
        <v>0</v>
      </c>
      <c r="CE400" s="148"/>
      <c r="CF400" s="111">
        <f t="shared" si="485"/>
        <v>0</v>
      </c>
      <c r="CG400" s="177"/>
      <c r="CH400" s="204"/>
      <c r="CI400" s="148"/>
      <c r="CJ400" s="165"/>
      <c r="CK400" s="165"/>
      <c r="CL400" s="111"/>
      <c r="CM400" s="111"/>
      <c r="CN400" s="165">
        <f t="shared" si="486"/>
        <v>0</v>
      </c>
      <c r="CO400" s="109">
        <f t="shared" si="487"/>
        <v>0</v>
      </c>
      <c r="CP400" s="109">
        <f t="shared" si="488"/>
        <v>0</v>
      </c>
      <c r="CQ400" s="109"/>
      <c r="CR400" s="109"/>
      <c r="CS400" s="196"/>
      <c r="CT400" s="167"/>
      <c r="CU400" s="165"/>
      <c r="CV400" s="109">
        <f t="shared" si="489"/>
        <v>0</v>
      </c>
      <c r="CW400" s="109">
        <f t="shared" si="490"/>
        <v>0</v>
      </c>
      <c r="CX400" s="109"/>
      <c r="CY400" s="109"/>
      <c r="CZ400" s="111"/>
      <c r="DA400" s="111"/>
      <c r="DB400" s="165"/>
      <c r="DC400" s="109">
        <f t="shared" si="491"/>
        <v>0</v>
      </c>
      <c r="DD400" s="109">
        <f t="shared" si="492"/>
        <v>0</v>
      </c>
      <c r="DE400" s="109"/>
      <c r="DF400" s="109"/>
      <c r="DG400" s="111"/>
      <c r="DH400" s="111"/>
      <c r="DI400" s="165"/>
      <c r="DJ400" s="109">
        <f t="shared" si="493"/>
        <v>0</v>
      </c>
      <c r="DK400" s="109">
        <f t="shared" si="494"/>
        <v>0</v>
      </c>
      <c r="DL400" s="109"/>
      <c r="DM400" s="109"/>
      <c r="DN400" s="111"/>
      <c r="DO400" s="111"/>
      <c r="DP400" s="165"/>
      <c r="DQ400" s="109">
        <f t="shared" si="452"/>
        <v>0</v>
      </c>
      <c r="DR400" s="109">
        <f t="shared" si="453"/>
        <v>0</v>
      </c>
      <c r="DS400" s="109"/>
      <c r="DT400" s="109"/>
      <c r="DU400" s="111"/>
      <c r="DV400" s="111"/>
      <c r="DW400" s="165"/>
      <c r="DX400" s="109">
        <f t="shared" si="454"/>
        <v>0</v>
      </c>
      <c r="DY400" s="109">
        <f t="shared" si="455"/>
        <v>0</v>
      </c>
      <c r="DZ400" s="109"/>
      <c r="EA400" s="109"/>
      <c r="EB400" s="111"/>
      <c r="EC400" s="111"/>
      <c r="ED400" s="165"/>
      <c r="EE400" s="109">
        <f t="shared" si="456"/>
        <v>0</v>
      </c>
      <c r="EF400" s="109">
        <f t="shared" si="457"/>
        <v>0</v>
      </c>
      <c r="EG400" s="109"/>
      <c r="EH400" s="109"/>
      <c r="EI400" s="111"/>
      <c r="EJ400" s="111"/>
      <c r="EK400" s="165"/>
      <c r="EL400" s="109">
        <f t="shared" si="458"/>
        <v>0</v>
      </c>
      <c r="EM400" s="109">
        <f t="shared" si="459"/>
        <v>0</v>
      </c>
      <c r="EN400" s="109"/>
      <c r="EO400" s="109"/>
      <c r="EP400" s="111"/>
      <c r="EQ400" s="111"/>
      <c r="ER400" s="165"/>
      <c r="ES400" s="109">
        <f t="shared" si="460"/>
        <v>0</v>
      </c>
      <c r="ET400" s="109">
        <f t="shared" si="461"/>
        <v>0</v>
      </c>
      <c r="EU400" s="109"/>
      <c r="EV400" s="109"/>
      <c r="EW400" s="111"/>
      <c r="EX400" s="111"/>
      <c r="EY400" s="165"/>
      <c r="EZ400" s="109">
        <f t="shared" si="462"/>
        <v>0</v>
      </c>
      <c r="FA400" s="109">
        <f t="shared" si="463"/>
        <v>0</v>
      </c>
      <c r="FB400" s="109"/>
      <c r="FC400" s="109"/>
      <c r="FD400" s="111"/>
      <c r="FE400" s="111"/>
      <c r="FF400" s="165"/>
      <c r="FG400" s="109">
        <f t="shared" si="464"/>
        <v>0</v>
      </c>
      <c r="FH400" s="109">
        <f t="shared" si="465"/>
        <v>0</v>
      </c>
      <c r="FI400" s="109"/>
      <c r="FJ400" s="109"/>
      <c r="FK400" s="111"/>
      <c r="FL400" s="111"/>
      <c r="FM400" s="165"/>
      <c r="FN400" s="109">
        <f t="shared" si="466"/>
        <v>0</v>
      </c>
      <c r="FO400" s="109">
        <f t="shared" si="467"/>
        <v>0</v>
      </c>
      <c r="FP400" s="109"/>
      <c r="FQ400" s="109"/>
      <c r="FR400" s="111"/>
      <c r="FS400" s="111"/>
      <c r="FT400" s="165"/>
      <c r="FU400" s="109">
        <f t="shared" si="468"/>
        <v>0</v>
      </c>
      <c r="FV400" s="109">
        <f t="shared" si="476"/>
        <v>0</v>
      </c>
      <c r="FW400" s="109"/>
      <c r="FX400" s="109"/>
      <c r="FY400" s="111"/>
      <c r="FZ400" s="111"/>
      <c r="GA400" s="165"/>
      <c r="GB400" s="109">
        <f t="shared" si="469"/>
        <v>0</v>
      </c>
      <c r="GC400" s="109">
        <f t="shared" si="477"/>
        <v>0</v>
      </c>
      <c r="GD400" s="109"/>
      <c r="GE400" s="109"/>
      <c r="GF400" s="111"/>
      <c r="GG400" s="111"/>
      <c r="GH400" s="165"/>
      <c r="GI400" s="109">
        <f t="shared" si="470"/>
        <v>0</v>
      </c>
      <c r="GJ400" s="109">
        <f t="shared" si="478"/>
        <v>0</v>
      </c>
      <c r="GK400" s="109"/>
      <c r="GL400" s="109"/>
      <c r="GM400" s="111"/>
      <c r="GN400" s="111"/>
      <c r="GO400" s="165"/>
      <c r="GP400" s="109">
        <f t="shared" si="471"/>
        <v>0</v>
      </c>
      <c r="GQ400" s="109">
        <f t="shared" si="479"/>
        <v>0</v>
      </c>
      <c r="GR400" s="109"/>
      <c r="GS400" s="109"/>
      <c r="GT400" s="111"/>
      <c r="GU400" s="111"/>
      <c r="GV400" s="165"/>
      <c r="GW400" s="168">
        <f t="shared" si="472"/>
        <v>0</v>
      </c>
      <c r="GX400" s="168">
        <f t="shared" si="480"/>
        <v>0</v>
      </c>
      <c r="GY400" s="168"/>
      <c r="GZ400" s="168"/>
      <c r="HA400" s="111"/>
      <c r="HB400" s="111"/>
      <c r="HC400" s="165"/>
      <c r="HD400" s="109">
        <f t="shared" si="473"/>
        <v>0</v>
      </c>
      <c r="HE400" s="109">
        <f t="shared" si="481"/>
        <v>0</v>
      </c>
      <c r="HF400" s="109"/>
      <c r="HG400" s="109"/>
      <c r="HH400" s="111"/>
      <c r="HI400" s="111"/>
      <c r="HJ400" s="165"/>
      <c r="HK400" s="109">
        <f t="shared" si="474"/>
        <v>0</v>
      </c>
      <c r="HL400" s="109">
        <f t="shared" si="482"/>
        <v>0</v>
      </c>
      <c r="HM400" s="109"/>
      <c r="HN400" s="109"/>
      <c r="HO400" s="111"/>
      <c r="HP400" s="111"/>
      <c r="HQ400" s="165"/>
      <c r="HR400" s="109">
        <f t="shared" si="475"/>
        <v>0</v>
      </c>
      <c r="HS400" s="109">
        <f t="shared" si="483"/>
        <v>0</v>
      </c>
      <c r="HT400" s="109"/>
      <c r="HU400" s="109"/>
      <c r="HV400" s="111"/>
      <c r="HW400" s="111"/>
      <c r="HX400" s="105">
        <f t="shared" si="501"/>
        <v>0</v>
      </c>
      <c r="HY400" s="105">
        <f t="shared" si="501"/>
        <v>0</v>
      </c>
      <c r="HZ400" s="105">
        <f t="shared" si="501"/>
        <v>0</v>
      </c>
      <c r="IA400" s="105">
        <f t="shared" si="495"/>
        <v>0</v>
      </c>
      <c r="IB400" s="109">
        <f t="shared" si="496"/>
        <v>0</v>
      </c>
      <c r="IC400" s="109">
        <f t="shared" si="497"/>
        <v>0</v>
      </c>
      <c r="ID400" s="109">
        <f t="shared" si="498"/>
        <v>0</v>
      </c>
      <c r="IE400" s="109">
        <f t="shared" si="499"/>
        <v>0</v>
      </c>
      <c r="IF400" s="197"/>
      <c r="IG400" s="197"/>
      <c r="IH400" s="197"/>
      <c r="II400" s="197"/>
      <c r="IJ400" s="197"/>
      <c r="IK400" s="197"/>
      <c r="IL400" s="197"/>
      <c r="IM400" s="171"/>
      <c r="IN400" s="171"/>
      <c r="IO400" s="171"/>
      <c r="IP400" s="171"/>
    </row>
    <row r="401" spans="1:250" ht="15" customHeight="1" x14ac:dyDescent="0.3">
      <c r="A401" s="110">
        <f t="shared" si="500"/>
        <v>397</v>
      </c>
      <c r="B401" s="111"/>
      <c r="C401" s="111"/>
      <c r="D401" s="111"/>
      <c r="E401" s="111"/>
      <c r="F401" s="111"/>
      <c r="G401" s="111"/>
      <c r="H401" s="111"/>
      <c r="I401" s="194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75"/>
      <c r="AI401" s="111"/>
      <c r="AJ401" s="111"/>
      <c r="AK401" s="111"/>
      <c r="AL401" s="177"/>
      <c r="AM401" s="176"/>
      <c r="AN401" s="177"/>
      <c r="AO401" s="157"/>
      <c r="AP401" s="158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75"/>
      <c r="BM401" s="111"/>
      <c r="BN401" s="111"/>
      <c r="BO401" s="111"/>
      <c r="BP401" s="111"/>
      <c r="BQ401" s="111"/>
      <c r="BR401" s="111"/>
      <c r="BS401" s="111"/>
      <c r="BT401" s="111"/>
      <c r="BU401" s="111"/>
      <c r="BV401" s="111"/>
      <c r="BW401" s="111"/>
      <c r="BX401" s="111"/>
      <c r="BY401" s="111"/>
      <c r="BZ401" s="111"/>
      <c r="CA401" s="111"/>
      <c r="CB401" s="111"/>
      <c r="CC401" s="178"/>
      <c r="CD401" s="177">
        <f t="shared" si="484"/>
        <v>0</v>
      </c>
      <c r="CE401" s="148"/>
      <c r="CF401" s="111">
        <f t="shared" si="485"/>
        <v>0</v>
      </c>
      <c r="CG401" s="177"/>
      <c r="CH401" s="204"/>
      <c r="CI401" s="148"/>
      <c r="CJ401" s="165"/>
      <c r="CK401" s="165"/>
      <c r="CL401" s="111"/>
      <c r="CM401" s="111"/>
      <c r="CN401" s="165">
        <f t="shared" si="486"/>
        <v>0</v>
      </c>
      <c r="CO401" s="109">
        <f t="shared" si="487"/>
        <v>0</v>
      </c>
      <c r="CP401" s="109">
        <f t="shared" si="488"/>
        <v>0</v>
      </c>
      <c r="CQ401" s="109"/>
      <c r="CR401" s="109"/>
      <c r="CS401" s="196"/>
      <c r="CT401" s="167"/>
      <c r="CU401" s="165"/>
      <c r="CV401" s="109">
        <f t="shared" si="489"/>
        <v>0</v>
      </c>
      <c r="CW401" s="109">
        <f t="shared" si="490"/>
        <v>0</v>
      </c>
      <c r="CX401" s="109"/>
      <c r="CY401" s="109"/>
      <c r="CZ401" s="111"/>
      <c r="DA401" s="111"/>
      <c r="DB401" s="165"/>
      <c r="DC401" s="109">
        <f t="shared" si="491"/>
        <v>0</v>
      </c>
      <c r="DD401" s="109">
        <f t="shared" si="492"/>
        <v>0</v>
      </c>
      <c r="DE401" s="109"/>
      <c r="DF401" s="109"/>
      <c r="DG401" s="111"/>
      <c r="DH401" s="111"/>
      <c r="DI401" s="165"/>
      <c r="DJ401" s="109">
        <f t="shared" si="493"/>
        <v>0</v>
      </c>
      <c r="DK401" s="109">
        <f t="shared" si="494"/>
        <v>0</v>
      </c>
      <c r="DL401" s="109"/>
      <c r="DM401" s="109"/>
      <c r="DN401" s="111"/>
      <c r="DO401" s="111"/>
      <c r="DP401" s="165"/>
      <c r="DQ401" s="109">
        <f t="shared" si="452"/>
        <v>0</v>
      </c>
      <c r="DR401" s="109">
        <f t="shared" si="453"/>
        <v>0</v>
      </c>
      <c r="DS401" s="109"/>
      <c r="DT401" s="109"/>
      <c r="DU401" s="111"/>
      <c r="DV401" s="111"/>
      <c r="DW401" s="165"/>
      <c r="DX401" s="109">
        <f t="shared" si="454"/>
        <v>0</v>
      </c>
      <c r="DY401" s="109">
        <f t="shared" si="455"/>
        <v>0</v>
      </c>
      <c r="DZ401" s="109"/>
      <c r="EA401" s="109"/>
      <c r="EB401" s="111"/>
      <c r="EC401" s="111"/>
      <c r="ED401" s="165"/>
      <c r="EE401" s="109">
        <f t="shared" si="456"/>
        <v>0</v>
      </c>
      <c r="EF401" s="109">
        <f t="shared" si="457"/>
        <v>0</v>
      </c>
      <c r="EG401" s="109"/>
      <c r="EH401" s="109"/>
      <c r="EI401" s="111"/>
      <c r="EJ401" s="111"/>
      <c r="EK401" s="165"/>
      <c r="EL401" s="109">
        <f t="shared" si="458"/>
        <v>0</v>
      </c>
      <c r="EM401" s="109">
        <f t="shared" si="459"/>
        <v>0</v>
      </c>
      <c r="EN401" s="109"/>
      <c r="EO401" s="109"/>
      <c r="EP401" s="111"/>
      <c r="EQ401" s="111"/>
      <c r="ER401" s="165"/>
      <c r="ES401" s="109">
        <f t="shared" si="460"/>
        <v>0</v>
      </c>
      <c r="ET401" s="109">
        <f t="shared" si="461"/>
        <v>0</v>
      </c>
      <c r="EU401" s="109"/>
      <c r="EV401" s="109"/>
      <c r="EW401" s="111"/>
      <c r="EX401" s="111"/>
      <c r="EY401" s="165"/>
      <c r="EZ401" s="109">
        <f t="shared" si="462"/>
        <v>0</v>
      </c>
      <c r="FA401" s="109">
        <f t="shared" si="463"/>
        <v>0</v>
      </c>
      <c r="FB401" s="109"/>
      <c r="FC401" s="109"/>
      <c r="FD401" s="111"/>
      <c r="FE401" s="111"/>
      <c r="FF401" s="165"/>
      <c r="FG401" s="109">
        <f t="shared" si="464"/>
        <v>0</v>
      </c>
      <c r="FH401" s="109">
        <f t="shared" si="465"/>
        <v>0</v>
      </c>
      <c r="FI401" s="109"/>
      <c r="FJ401" s="109"/>
      <c r="FK401" s="111"/>
      <c r="FL401" s="111"/>
      <c r="FM401" s="165"/>
      <c r="FN401" s="109">
        <f t="shared" si="466"/>
        <v>0</v>
      </c>
      <c r="FO401" s="109">
        <f t="shared" si="467"/>
        <v>0</v>
      </c>
      <c r="FP401" s="109"/>
      <c r="FQ401" s="109"/>
      <c r="FR401" s="111"/>
      <c r="FS401" s="111"/>
      <c r="FT401" s="165"/>
      <c r="FU401" s="109">
        <f t="shared" si="468"/>
        <v>0</v>
      </c>
      <c r="FV401" s="109">
        <f t="shared" si="476"/>
        <v>0</v>
      </c>
      <c r="FW401" s="109"/>
      <c r="FX401" s="109"/>
      <c r="FY401" s="111"/>
      <c r="FZ401" s="111"/>
      <c r="GA401" s="165"/>
      <c r="GB401" s="109">
        <f t="shared" si="469"/>
        <v>0</v>
      </c>
      <c r="GC401" s="109">
        <f t="shared" si="477"/>
        <v>0</v>
      </c>
      <c r="GD401" s="109"/>
      <c r="GE401" s="109"/>
      <c r="GF401" s="111"/>
      <c r="GG401" s="111"/>
      <c r="GH401" s="165"/>
      <c r="GI401" s="109">
        <f t="shared" si="470"/>
        <v>0</v>
      </c>
      <c r="GJ401" s="109">
        <f t="shared" si="478"/>
        <v>0</v>
      </c>
      <c r="GK401" s="109"/>
      <c r="GL401" s="109"/>
      <c r="GM401" s="111"/>
      <c r="GN401" s="111"/>
      <c r="GO401" s="165"/>
      <c r="GP401" s="109">
        <f t="shared" si="471"/>
        <v>0</v>
      </c>
      <c r="GQ401" s="109">
        <f t="shared" si="479"/>
        <v>0</v>
      </c>
      <c r="GR401" s="109"/>
      <c r="GS401" s="109"/>
      <c r="GT401" s="111"/>
      <c r="GU401" s="111"/>
      <c r="GV401" s="165"/>
      <c r="GW401" s="168">
        <f t="shared" si="472"/>
        <v>0</v>
      </c>
      <c r="GX401" s="168">
        <f t="shared" si="480"/>
        <v>0</v>
      </c>
      <c r="GY401" s="168"/>
      <c r="GZ401" s="168"/>
      <c r="HA401" s="111"/>
      <c r="HB401" s="111"/>
      <c r="HC401" s="165"/>
      <c r="HD401" s="109">
        <f t="shared" si="473"/>
        <v>0</v>
      </c>
      <c r="HE401" s="109">
        <f t="shared" si="481"/>
        <v>0</v>
      </c>
      <c r="HF401" s="109"/>
      <c r="HG401" s="109"/>
      <c r="HH401" s="111"/>
      <c r="HI401" s="111"/>
      <c r="HJ401" s="165"/>
      <c r="HK401" s="109">
        <f t="shared" si="474"/>
        <v>0</v>
      </c>
      <c r="HL401" s="109">
        <f t="shared" si="482"/>
        <v>0</v>
      </c>
      <c r="HM401" s="109"/>
      <c r="HN401" s="109"/>
      <c r="HO401" s="111"/>
      <c r="HP401" s="111"/>
      <c r="HQ401" s="165"/>
      <c r="HR401" s="109">
        <f t="shared" si="475"/>
        <v>0</v>
      </c>
      <c r="HS401" s="109">
        <f t="shared" si="483"/>
        <v>0</v>
      </c>
      <c r="HT401" s="109"/>
      <c r="HU401" s="109"/>
      <c r="HV401" s="111"/>
      <c r="HW401" s="111"/>
      <c r="HX401" s="105">
        <f t="shared" si="501"/>
        <v>0</v>
      </c>
      <c r="HY401" s="105">
        <f t="shared" si="501"/>
        <v>0</v>
      </c>
      <c r="HZ401" s="105">
        <f t="shared" si="501"/>
        <v>0</v>
      </c>
      <c r="IA401" s="105">
        <f t="shared" si="495"/>
        <v>0</v>
      </c>
      <c r="IB401" s="109">
        <f t="shared" si="496"/>
        <v>0</v>
      </c>
      <c r="IC401" s="109">
        <f t="shared" si="497"/>
        <v>0</v>
      </c>
      <c r="ID401" s="109">
        <f t="shared" si="498"/>
        <v>0</v>
      </c>
      <c r="IE401" s="109">
        <f t="shared" si="499"/>
        <v>0</v>
      </c>
      <c r="IF401" s="197"/>
      <c r="IG401" s="197"/>
      <c r="IH401" s="197"/>
      <c r="II401" s="197"/>
      <c r="IJ401" s="197"/>
      <c r="IK401" s="197"/>
      <c r="IL401" s="197"/>
      <c r="IM401" s="171"/>
      <c r="IN401" s="171"/>
      <c r="IO401" s="171"/>
      <c r="IP401" s="171"/>
    </row>
    <row r="402" spans="1:250" ht="15" customHeight="1" x14ac:dyDescent="0.3">
      <c r="A402" s="110">
        <f t="shared" si="500"/>
        <v>398</v>
      </c>
      <c r="B402" s="111"/>
      <c r="C402" s="111"/>
      <c r="D402" s="111"/>
      <c r="E402" s="111"/>
      <c r="F402" s="111"/>
      <c r="G402" s="111"/>
      <c r="H402" s="111"/>
      <c r="I402" s="194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75"/>
      <c r="AI402" s="111"/>
      <c r="AJ402" s="111"/>
      <c r="AK402" s="111"/>
      <c r="AL402" s="177"/>
      <c r="AM402" s="176"/>
      <c r="AN402" s="177"/>
      <c r="AO402" s="157"/>
      <c r="AP402" s="158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  <c r="BJ402" s="111"/>
      <c r="BK402" s="111"/>
      <c r="BL402" s="175"/>
      <c r="BM402" s="111"/>
      <c r="BN402" s="111"/>
      <c r="BO402" s="111"/>
      <c r="BP402" s="111"/>
      <c r="BQ402" s="111"/>
      <c r="BR402" s="111"/>
      <c r="BS402" s="111"/>
      <c r="BT402" s="111"/>
      <c r="BU402" s="111"/>
      <c r="BV402" s="111"/>
      <c r="BW402" s="111"/>
      <c r="BX402" s="111"/>
      <c r="BY402" s="111"/>
      <c r="BZ402" s="111"/>
      <c r="CA402" s="111"/>
      <c r="CB402" s="111"/>
      <c r="CC402" s="178"/>
      <c r="CD402" s="177">
        <f t="shared" si="484"/>
        <v>0</v>
      </c>
      <c r="CE402" s="148"/>
      <c r="CF402" s="111">
        <f t="shared" si="485"/>
        <v>0</v>
      </c>
      <c r="CG402" s="177"/>
      <c r="CH402" s="204"/>
      <c r="CI402" s="148"/>
      <c r="CJ402" s="165"/>
      <c r="CK402" s="165"/>
      <c r="CL402" s="111"/>
      <c r="CM402" s="111"/>
      <c r="CN402" s="165">
        <f t="shared" si="486"/>
        <v>0</v>
      </c>
      <c r="CO402" s="109">
        <f t="shared" si="487"/>
        <v>0</v>
      </c>
      <c r="CP402" s="109">
        <f t="shared" si="488"/>
        <v>0</v>
      </c>
      <c r="CQ402" s="109"/>
      <c r="CR402" s="109"/>
      <c r="CS402" s="196"/>
      <c r="CT402" s="167"/>
      <c r="CU402" s="165"/>
      <c r="CV402" s="109">
        <f t="shared" si="489"/>
        <v>0</v>
      </c>
      <c r="CW402" s="109">
        <f t="shared" si="490"/>
        <v>0</v>
      </c>
      <c r="CX402" s="109"/>
      <c r="CY402" s="109"/>
      <c r="CZ402" s="111"/>
      <c r="DA402" s="111"/>
      <c r="DB402" s="165"/>
      <c r="DC402" s="109">
        <f t="shared" si="491"/>
        <v>0</v>
      </c>
      <c r="DD402" s="109">
        <f t="shared" si="492"/>
        <v>0</v>
      </c>
      <c r="DE402" s="109"/>
      <c r="DF402" s="109"/>
      <c r="DG402" s="111"/>
      <c r="DH402" s="111"/>
      <c r="DI402" s="165"/>
      <c r="DJ402" s="109">
        <f t="shared" si="493"/>
        <v>0</v>
      </c>
      <c r="DK402" s="109">
        <f t="shared" si="494"/>
        <v>0</v>
      </c>
      <c r="DL402" s="109"/>
      <c r="DM402" s="109"/>
      <c r="DN402" s="111"/>
      <c r="DO402" s="111"/>
      <c r="DP402" s="165"/>
      <c r="DQ402" s="109">
        <f t="shared" si="452"/>
        <v>0</v>
      </c>
      <c r="DR402" s="109">
        <f t="shared" si="453"/>
        <v>0</v>
      </c>
      <c r="DS402" s="109"/>
      <c r="DT402" s="109"/>
      <c r="DU402" s="111"/>
      <c r="DV402" s="111"/>
      <c r="DW402" s="165"/>
      <c r="DX402" s="109">
        <f t="shared" si="454"/>
        <v>0</v>
      </c>
      <c r="DY402" s="109">
        <f t="shared" si="455"/>
        <v>0</v>
      </c>
      <c r="DZ402" s="109"/>
      <c r="EA402" s="109"/>
      <c r="EB402" s="111"/>
      <c r="EC402" s="111"/>
      <c r="ED402" s="165"/>
      <c r="EE402" s="109">
        <f t="shared" si="456"/>
        <v>0</v>
      </c>
      <c r="EF402" s="109">
        <f t="shared" si="457"/>
        <v>0</v>
      </c>
      <c r="EG402" s="109"/>
      <c r="EH402" s="109"/>
      <c r="EI402" s="111"/>
      <c r="EJ402" s="111"/>
      <c r="EK402" s="165"/>
      <c r="EL402" s="109">
        <f t="shared" si="458"/>
        <v>0</v>
      </c>
      <c r="EM402" s="109">
        <f t="shared" si="459"/>
        <v>0</v>
      </c>
      <c r="EN402" s="109"/>
      <c r="EO402" s="109"/>
      <c r="EP402" s="111"/>
      <c r="EQ402" s="111"/>
      <c r="ER402" s="165"/>
      <c r="ES402" s="109">
        <f t="shared" si="460"/>
        <v>0</v>
      </c>
      <c r="ET402" s="109">
        <f t="shared" si="461"/>
        <v>0</v>
      </c>
      <c r="EU402" s="109"/>
      <c r="EV402" s="109"/>
      <c r="EW402" s="111"/>
      <c r="EX402" s="111"/>
      <c r="EY402" s="165"/>
      <c r="EZ402" s="109">
        <f t="shared" si="462"/>
        <v>0</v>
      </c>
      <c r="FA402" s="109">
        <f t="shared" si="463"/>
        <v>0</v>
      </c>
      <c r="FB402" s="109"/>
      <c r="FC402" s="109"/>
      <c r="FD402" s="111"/>
      <c r="FE402" s="111"/>
      <c r="FF402" s="165"/>
      <c r="FG402" s="109">
        <f t="shared" si="464"/>
        <v>0</v>
      </c>
      <c r="FH402" s="109">
        <f t="shared" si="465"/>
        <v>0</v>
      </c>
      <c r="FI402" s="109"/>
      <c r="FJ402" s="109"/>
      <c r="FK402" s="111"/>
      <c r="FL402" s="111"/>
      <c r="FM402" s="165"/>
      <c r="FN402" s="109">
        <f t="shared" si="466"/>
        <v>0</v>
      </c>
      <c r="FO402" s="109">
        <f t="shared" si="467"/>
        <v>0</v>
      </c>
      <c r="FP402" s="109"/>
      <c r="FQ402" s="109"/>
      <c r="FR402" s="111"/>
      <c r="FS402" s="111"/>
      <c r="FT402" s="165"/>
      <c r="FU402" s="109">
        <f t="shared" si="468"/>
        <v>0</v>
      </c>
      <c r="FV402" s="109">
        <f t="shared" si="476"/>
        <v>0</v>
      </c>
      <c r="FW402" s="109"/>
      <c r="FX402" s="109"/>
      <c r="FY402" s="111"/>
      <c r="FZ402" s="111"/>
      <c r="GA402" s="165"/>
      <c r="GB402" s="109">
        <f t="shared" si="469"/>
        <v>0</v>
      </c>
      <c r="GC402" s="109">
        <f t="shared" si="477"/>
        <v>0</v>
      </c>
      <c r="GD402" s="109"/>
      <c r="GE402" s="109"/>
      <c r="GF402" s="111"/>
      <c r="GG402" s="111"/>
      <c r="GH402" s="165"/>
      <c r="GI402" s="109">
        <f t="shared" si="470"/>
        <v>0</v>
      </c>
      <c r="GJ402" s="109">
        <f t="shared" si="478"/>
        <v>0</v>
      </c>
      <c r="GK402" s="109"/>
      <c r="GL402" s="109"/>
      <c r="GM402" s="111"/>
      <c r="GN402" s="111"/>
      <c r="GO402" s="165"/>
      <c r="GP402" s="109">
        <f t="shared" si="471"/>
        <v>0</v>
      </c>
      <c r="GQ402" s="109">
        <f t="shared" si="479"/>
        <v>0</v>
      </c>
      <c r="GR402" s="109"/>
      <c r="GS402" s="109"/>
      <c r="GT402" s="111"/>
      <c r="GU402" s="111"/>
      <c r="GV402" s="165"/>
      <c r="GW402" s="168">
        <f t="shared" si="472"/>
        <v>0</v>
      </c>
      <c r="GX402" s="168">
        <f t="shared" si="480"/>
        <v>0</v>
      </c>
      <c r="GY402" s="168"/>
      <c r="GZ402" s="168"/>
      <c r="HA402" s="111"/>
      <c r="HB402" s="111"/>
      <c r="HC402" s="165"/>
      <c r="HD402" s="109">
        <f t="shared" si="473"/>
        <v>0</v>
      </c>
      <c r="HE402" s="109">
        <f t="shared" si="481"/>
        <v>0</v>
      </c>
      <c r="HF402" s="109"/>
      <c r="HG402" s="109"/>
      <c r="HH402" s="111"/>
      <c r="HI402" s="111"/>
      <c r="HJ402" s="165"/>
      <c r="HK402" s="109">
        <f t="shared" si="474"/>
        <v>0</v>
      </c>
      <c r="HL402" s="109">
        <f t="shared" si="482"/>
        <v>0</v>
      </c>
      <c r="HM402" s="109"/>
      <c r="HN402" s="109"/>
      <c r="HO402" s="111"/>
      <c r="HP402" s="111"/>
      <c r="HQ402" s="165"/>
      <c r="HR402" s="109">
        <f t="shared" si="475"/>
        <v>0</v>
      </c>
      <c r="HS402" s="109">
        <f t="shared" si="483"/>
        <v>0</v>
      </c>
      <c r="HT402" s="109"/>
      <c r="HU402" s="109"/>
      <c r="HV402" s="111"/>
      <c r="HW402" s="111"/>
      <c r="HX402" s="105">
        <f t="shared" si="501"/>
        <v>0</v>
      </c>
      <c r="HY402" s="105">
        <f t="shared" si="501"/>
        <v>0</v>
      </c>
      <c r="HZ402" s="105">
        <f t="shared" si="501"/>
        <v>0</v>
      </c>
      <c r="IA402" s="105">
        <f t="shared" si="495"/>
        <v>0</v>
      </c>
      <c r="IB402" s="109">
        <f t="shared" si="496"/>
        <v>0</v>
      </c>
      <c r="IC402" s="109">
        <f t="shared" si="497"/>
        <v>0</v>
      </c>
      <c r="ID402" s="109">
        <f t="shared" si="498"/>
        <v>0</v>
      </c>
      <c r="IE402" s="109">
        <f t="shared" si="499"/>
        <v>0</v>
      </c>
      <c r="IF402" s="197"/>
      <c r="IG402" s="197"/>
      <c r="IH402" s="197"/>
      <c r="II402" s="197"/>
      <c r="IJ402" s="197"/>
      <c r="IK402" s="197"/>
      <c r="IL402" s="197"/>
      <c r="IM402" s="171"/>
      <c r="IN402" s="171"/>
      <c r="IO402" s="171"/>
      <c r="IP402" s="171"/>
    </row>
    <row r="403" spans="1:250" ht="15" customHeight="1" x14ac:dyDescent="0.3">
      <c r="A403" s="110">
        <f t="shared" si="500"/>
        <v>399</v>
      </c>
      <c r="B403" s="111"/>
      <c r="C403" s="111"/>
      <c r="D403" s="111"/>
      <c r="E403" s="111"/>
      <c r="F403" s="111"/>
      <c r="G403" s="111"/>
      <c r="H403" s="111"/>
      <c r="I403" s="194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75"/>
      <c r="AI403" s="111"/>
      <c r="AJ403" s="111"/>
      <c r="AK403" s="111"/>
      <c r="AL403" s="177"/>
      <c r="AM403" s="176"/>
      <c r="AN403" s="177"/>
      <c r="AO403" s="157"/>
      <c r="AP403" s="158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  <c r="BJ403" s="111"/>
      <c r="BK403" s="111"/>
      <c r="BL403" s="175"/>
      <c r="BM403" s="111"/>
      <c r="BN403" s="111"/>
      <c r="BO403" s="111"/>
      <c r="BP403" s="111"/>
      <c r="BQ403" s="111"/>
      <c r="BR403" s="111"/>
      <c r="BS403" s="111"/>
      <c r="BT403" s="111"/>
      <c r="BU403" s="111"/>
      <c r="BV403" s="111"/>
      <c r="BW403" s="111"/>
      <c r="BX403" s="111"/>
      <c r="BY403" s="111"/>
      <c r="BZ403" s="111"/>
      <c r="CA403" s="111"/>
      <c r="CB403" s="111"/>
      <c r="CC403" s="178"/>
      <c r="CD403" s="177">
        <f t="shared" si="484"/>
        <v>0</v>
      </c>
      <c r="CE403" s="148"/>
      <c r="CF403" s="111">
        <f t="shared" si="485"/>
        <v>0</v>
      </c>
      <c r="CG403" s="177"/>
      <c r="CH403" s="204"/>
      <c r="CI403" s="148"/>
      <c r="CJ403" s="165"/>
      <c r="CK403" s="165"/>
      <c r="CL403" s="111"/>
      <c r="CM403" s="111"/>
      <c r="CN403" s="165">
        <f t="shared" si="486"/>
        <v>0</v>
      </c>
      <c r="CO403" s="109">
        <f t="shared" si="487"/>
        <v>0</v>
      </c>
      <c r="CP403" s="109">
        <f t="shared" si="488"/>
        <v>0</v>
      </c>
      <c r="CQ403" s="109"/>
      <c r="CR403" s="109"/>
      <c r="CS403" s="196"/>
      <c r="CT403" s="167"/>
      <c r="CU403" s="165"/>
      <c r="CV403" s="109">
        <f t="shared" si="489"/>
        <v>0</v>
      </c>
      <c r="CW403" s="109">
        <f t="shared" si="490"/>
        <v>0</v>
      </c>
      <c r="CX403" s="109"/>
      <c r="CY403" s="109"/>
      <c r="CZ403" s="111"/>
      <c r="DA403" s="111"/>
      <c r="DB403" s="165"/>
      <c r="DC403" s="109">
        <f t="shared" si="491"/>
        <v>0</v>
      </c>
      <c r="DD403" s="109">
        <f t="shared" si="492"/>
        <v>0</v>
      </c>
      <c r="DE403" s="109"/>
      <c r="DF403" s="109"/>
      <c r="DG403" s="111"/>
      <c r="DH403" s="111"/>
      <c r="DI403" s="165"/>
      <c r="DJ403" s="109">
        <f t="shared" si="493"/>
        <v>0</v>
      </c>
      <c r="DK403" s="109">
        <f t="shared" si="494"/>
        <v>0</v>
      </c>
      <c r="DL403" s="109"/>
      <c r="DM403" s="109"/>
      <c r="DN403" s="111"/>
      <c r="DO403" s="111"/>
      <c r="DP403" s="165"/>
      <c r="DQ403" s="109">
        <f t="shared" si="452"/>
        <v>0</v>
      </c>
      <c r="DR403" s="109">
        <f t="shared" si="453"/>
        <v>0</v>
      </c>
      <c r="DS403" s="109"/>
      <c r="DT403" s="109"/>
      <c r="DU403" s="111"/>
      <c r="DV403" s="111"/>
      <c r="DW403" s="165"/>
      <c r="DX403" s="109">
        <f t="shared" si="454"/>
        <v>0</v>
      </c>
      <c r="DY403" s="109">
        <f t="shared" si="455"/>
        <v>0</v>
      </c>
      <c r="DZ403" s="109"/>
      <c r="EA403" s="109"/>
      <c r="EB403" s="111"/>
      <c r="EC403" s="111"/>
      <c r="ED403" s="165"/>
      <c r="EE403" s="109">
        <f t="shared" si="456"/>
        <v>0</v>
      </c>
      <c r="EF403" s="109">
        <f t="shared" si="457"/>
        <v>0</v>
      </c>
      <c r="EG403" s="109"/>
      <c r="EH403" s="109"/>
      <c r="EI403" s="111"/>
      <c r="EJ403" s="111"/>
      <c r="EK403" s="165"/>
      <c r="EL403" s="109">
        <f t="shared" si="458"/>
        <v>0</v>
      </c>
      <c r="EM403" s="109">
        <f t="shared" si="459"/>
        <v>0</v>
      </c>
      <c r="EN403" s="109"/>
      <c r="EO403" s="109"/>
      <c r="EP403" s="111"/>
      <c r="EQ403" s="111"/>
      <c r="ER403" s="165"/>
      <c r="ES403" s="109">
        <f t="shared" si="460"/>
        <v>0</v>
      </c>
      <c r="ET403" s="109">
        <f t="shared" si="461"/>
        <v>0</v>
      </c>
      <c r="EU403" s="109"/>
      <c r="EV403" s="109"/>
      <c r="EW403" s="111"/>
      <c r="EX403" s="111"/>
      <c r="EY403" s="165"/>
      <c r="EZ403" s="109">
        <f t="shared" si="462"/>
        <v>0</v>
      </c>
      <c r="FA403" s="109">
        <f t="shared" si="463"/>
        <v>0</v>
      </c>
      <c r="FB403" s="109"/>
      <c r="FC403" s="109"/>
      <c r="FD403" s="111"/>
      <c r="FE403" s="111"/>
      <c r="FF403" s="165"/>
      <c r="FG403" s="109">
        <f t="shared" si="464"/>
        <v>0</v>
      </c>
      <c r="FH403" s="109">
        <f t="shared" si="465"/>
        <v>0</v>
      </c>
      <c r="FI403" s="109"/>
      <c r="FJ403" s="109"/>
      <c r="FK403" s="111"/>
      <c r="FL403" s="111"/>
      <c r="FM403" s="165"/>
      <c r="FN403" s="109">
        <f t="shared" si="466"/>
        <v>0</v>
      </c>
      <c r="FO403" s="109">
        <f t="shared" si="467"/>
        <v>0</v>
      </c>
      <c r="FP403" s="109"/>
      <c r="FQ403" s="109"/>
      <c r="FR403" s="111"/>
      <c r="FS403" s="111"/>
      <c r="FT403" s="165"/>
      <c r="FU403" s="109">
        <f t="shared" si="468"/>
        <v>0</v>
      </c>
      <c r="FV403" s="109">
        <f t="shared" si="476"/>
        <v>0</v>
      </c>
      <c r="FW403" s="109"/>
      <c r="FX403" s="109"/>
      <c r="FY403" s="111"/>
      <c r="FZ403" s="111"/>
      <c r="GA403" s="165"/>
      <c r="GB403" s="109">
        <f t="shared" si="469"/>
        <v>0</v>
      </c>
      <c r="GC403" s="109">
        <f t="shared" si="477"/>
        <v>0</v>
      </c>
      <c r="GD403" s="109"/>
      <c r="GE403" s="109"/>
      <c r="GF403" s="111"/>
      <c r="GG403" s="111"/>
      <c r="GH403" s="165"/>
      <c r="GI403" s="109">
        <f t="shared" si="470"/>
        <v>0</v>
      </c>
      <c r="GJ403" s="109">
        <f t="shared" si="478"/>
        <v>0</v>
      </c>
      <c r="GK403" s="109"/>
      <c r="GL403" s="109"/>
      <c r="GM403" s="111"/>
      <c r="GN403" s="111"/>
      <c r="GO403" s="165"/>
      <c r="GP403" s="109">
        <f t="shared" si="471"/>
        <v>0</v>
      </c>
      <c r="GQ403" s="109">
        <f t="shared" si="479"/>
        <v>0</v>
      </c>
      <c r="GR403" s="109"/>
      <c r="GS403" s="109"/>
      <c r="GT403" s="111"/>
      <c r="GU403" s="111"/>
      <c r="GV403" s="165"/>
      <c r="GW403" s="168">
        <f t="shared" si="472"/>
        <v>0</v>
      </c>
      <c r="GX403" s="168">
        <f t="shared" si="480"/>
        <v>0</v>
      </c>
      <c r="GY403" s="168"/>
      <c r="GZ403" s="168"/>
      <c r="HA403" s="111"/>
      <c r="HB403" s="111"/>
      <c r="HC403" s="165"/>
      <c r="HD403" s="109">
        <f t="shared" si="473"/>
        <v>0</v>
      </c>
      <c r="HE403" s="109">
        <f t="shared" si="481"/>
        <v>0</v>
      </c>
      <c r="HF403" s="109"/>
      <c r="HG403" s="109"/>
      <c r="HH403" s="111"/>
      <c r="HI403" s="111"/>
      <c r="HJ403" s="165"/>
      <c r="HK403" s="109">
        <f t="shared" si="474"/>
        <v>0</v>
      </c>
      <c r="HL403" s="109">
        <f t="shared" si="482"/>
        <v>0</v>
      </c>
      <c r="HM403" s="109"/>
      <c r="HN403" s="109"/>
      <c r="HO403" s="111"/>
      <c r="HP403" s="111"/>
      <c r="HQ403" s="165"/>
      <c r="HR403" s="109">
        <f t="shared" si="475"/>
        <v>0</v>
      </c>
      <c r="HS403" s="109">
        <f t="shared" si="483"/>
        <v>0</v>
      </c>
      <c r="HT403" s="109"/>
      <c r="HU403" s="109"/>
      <c r="HV403" s="111"/>
      <c r="HW403" s="111"/>
      <c r="HX403" s="105">
        <f t="shared" si="501"/>
        <v>0</v>
      </c>
      <c r="HY403" s="105">
        <f t="shared" si="501"/>
        <v>0</v>
      </c>
      <c r="HZ403" s="105">
        <f t="shared" si="501"/>
        <v>0</v>
      </c>
      <c r="IA403" s="105">
        <f t="shared" si="495"/>
        <v>0</v>
      </c>
      <c r="IB403" s="109">
        <f t="shared" si="496"/>
        <v>0</v>
      </c>
      <c r="IC403" s="109">
        <f t="shared" si="497"/>
        <v>0</v>
      </c>
      <c r="ID403" s="109">
        <f t="shared" si="498"/>
        <v>0</v>
      </c>
      <c r="IE403" s="109">
        <f t="shared" si="499"/>
        <v>0</v>
      </c>
      <c r="IF403" s="197"/>
      <c r="IG403" s="197"/>
      <c r="IH403" s="197"/>
      <c r="II403" s="197"/>
      <c r="IJ403" s="197"/>
      <c r="IK403" s="197"/>
      <c r="IL403" s="197"/>
      <c r="IM403" s="171"/>
      <c r="IN403" s="171"/>
      <c r="IO403" s="171"/>
      <c r="IP403" s="171"/>
    </row>
    <row r="404" spans="1:250" ht="15" customHeight="1" x14ac:dyDescent="0.3">
      <c r="A404" s="110">
        <f t="shared" si="500"/>
        <v>400</v>
      </c>
      <c r="B404" s="111"/>
      <c r="C404" s="111"/>
      <c r="D404" s="111"/>
      <c r="E404" s="111"/>
      <c r="F404" s="111"/>
      <c r="G404" s="111"/>
      <c r="H404" s="111"/>
      <c r="I404" s="194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75"/>
      <c r="AI404" s="111"/>
      <c r="AJ404" s="111"/>
      <c r="AK404" s="111"/>
      <c r="AL404" s="177"/>
      <c r="AM404" s="176"/>
      <c r="AN404" s="177"/>
      <c r="AO404" s="157"/>
      <c r="AP404" s="158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75"/>
      <c r="BM404" s="111"/>
      <c r="BN404" s="111"/>
      <c r="BO404" s="111"/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1"/>
      <c r="CA404" s="111"/>
      <c r="CB404" s="111"/>
      <c r="CC404" s="178"/>
      <c r="CD404" s="177">
        <f t="shared" si="484"/>
        <v>0</v>
      </c>
      <c r="CE404" s="148"/>
      <c r="CF404" s="111">
        <f t="shared" si="485"/>
        <v>0</v>
      </c>
      <c r="CG404" s="177"/>
      <c r="CH404" s="204"/>
      <c r="CI404" s="148"/>
      <c r="CJ404" s="165"/>
      <c r="CK404" s="165"/>
      <c r="CL404" s="111"/>
      <c r="CM404" s="111"/>
      <c r="CN404" s="165">
        <f t="shared" si="486"/>
        <v>0</v>
      </c>
      <c r="CO404" s="109">
        <f t="shared" si="487"/>
        <v>0</v>
      </c>
      <c r="CP404" s="109">
        <f t="shared" si="488"/>
        <v>0</v>
      </c>
      <c r="CQ404" s="109"/>
      <c r="CR404" s="109"/>
      <c r="CS404" s="196"/>
      <c r="CT404" s="167"/>
      <c r="CU404" s="165"/>
      <c r="CV404" s="109">
        <f t="shared" si="489"/>
        <v>0</v>
      </c>
      <c r="CW404" s="109">
        <f t="shared" si="490"/>
        <v>0</v>
      </c>
      <c r="CX404" s="109"/>
      <c r="CY404" s="109"/>
      <c r="CZ404" s="111"/>
      <c r="DA404" s="111"/>
      <c r="DB404" s="165"/>
      <c r="DC404" s="109">
        <f t="shared" si="491"/>
        <v>0</v>
      </c>
      <c r="DD404" s="109">
        <f t="shared" si="492"/>
        <v>0</v>
      </c>
      <c r="DE404" s="109"/>
      <c r="DF404" s="109"/>
      <c r="DG404" s="111"/>
      <c r="DH404" s="111"/>
      <c r="DI404" s="165"/>
      <c r="DJ404" s="109">
        <f t="shared" si="493"/>
        <v>0</v>
      </c>
      <c r="DK404" s="109">
        <f t="shared" si="494"/>
        <v>0</v>
      </c>
      <c r="DL404" s="109"/>
      <c r="DM404" s="109"/>
      <c r="DN404" s="111"/>
      <c r="DO404" s="111"/>
      <c r="DP404" s="165"/>
      <c r="DQ404" s="109">
        <f t="shared" si="452"/>
        <v>0</v>
      </c>
      <c r="DR404" s="109">
        <f t="shared" si="453"/>
        <v>0</v>
      </c>
      <c r="DS404" s="109"/>
      <c r="DT404" s="109"/>
      <c r="DU404" s="111"/>
      <c r="DV404" s="111"/>
      <c r="DW404" s="165"/>
      <c r="DX404" s="109">
        <f t="shared" si="454"/>
        <v>0</v>
      </c>
      <c r="DY404" s="109">
        <f t="shared" si="455"/>
        <v>0</v>
      </c>
      <c r="DZ404" s="109"/>
      <c r="EA404" s="109"/>
      <c r="EB404" s="111"/>
      <c r="EC404" s="111"/>
      <c r="ED404" s="165"/>
      <c r="EE404" s="109">
        <f t="shared" si="456"/>
        <v>0</v>
      </c>
      <c r="EF404" s="109">
        <f t="shared" si="457"/>
        <v>0</v>
      </c>
      <c r="EG404" s="109"/>
      <c r="EH404" s="109"/>
      <c r="EI404" s="111"/>
      <c r="EJ404" s="111"/>
      <c r="EK404" s="165"/>
      <c r="EL404" s="109">
        <f t="shared" si="458"/>
        <v>0</v>
      </c>
      <c r="EM404" s="109">
        <f t="shared" si="459"/>
        <v>0</v>
      </c>
      <c r="EN404" s="109"/>
      <c r="EO404" s="109"/>
      <c r="EP404" s="111"/>
      <c r="EQ404" s="111"/>
      <c r="ER404" s="165"/>
      <c r="ES404" s="109">
        <f t="shared" si="460"/>
        <v>0</v>
      </c>
      <c r="ET404" s="109">
        <f t="shared" si="461"/>
        <v>0</v>
      </c>
      <c r="EU404" s="109"/>
      <c r="EV404" s="109"/>
      <c r="EW404" s="111"/>
      <c r="EX404" s="111"/>
      <c r="EY404" s="165"/>
      <c r="EZ404" s="109">
        <f t="shared" si="462"/>
        <v>0</v>
      </c>
      <c r="FA404" s="109">
        <f t="shared" si="463"/>
        <v>0</v>
      </c>
      <c r="FB404" s="109"/>
      <c r="FC404" s="109"/>
      <c r="FD404" s="111"/>
      <c r="FE404" s="111"/>
      <c r="FF404" s="165"/>
      <c r="FG404" s="109">
        <f t="shared" si="464"/>
        <v>0</v>
      </c>
      <c r="FH404" s="109">
        <f t="shared" si="465"/>
        <v>0</v>
      </c>
      <c r="FI404" s="109"/>
      <c r="FJ404" s="109"/>
      <c r="FK404" s="111"/>
      <c r="FL404" s="111"/>
      <c r="FM404" s="165"/>
      <c r="FN404" s="109">
        <f t="shared" si="466"/>
        <v>0</v>
      </c>
      <c r="FO404" s="109">
        <f t="shared" si="467"/>
        <v>0</v>
      </c>
      <c r="FP404" s="109"/>
      <c r="FQ404" s="109"/>
      <c r="FR404" s="111"/>
      <c r="FS404" s="111"/>
      <c r="FT404" s="165"/>
      <c r="FU404" s="109">
        <f t="shared" si="468"/>
        <v>0</v>
      </c>
      <c r="FV404" s="109">
        <f t="shared" si="476"/>
        <v>0</v>
      </c>
      <c r="FW404" s="109"/>
      <c r="FX404" s="109"/>
      <c r="FY404" s="111"/>
      <c r="FZ404" s="111"/>
      <c r="GA404" s="165"/>
      <c r="GB404" s="109">
        <f t="shared" si="469"/>
        <v>0</v>
      </c>
      <c r="GC404" s="109">
        <f t="shared" si="477"/>
        <v>0</v>
      </c>
      <c r="GD404" s="109"/>
      <c r="GE404" s="109"/>
      <c r="GF404" s="111"/>
      <c r="GG404" s="111"/>
      <c r="GH404" s="165"/>
      <c r="GI404" s="109">
        <f t="shared" si="470"/>
        <v>0</v>
      </c>
      <c r="GJ404" s="109">
        <f t="shared" si="478"/>
        <v>0</v>
      </c>
      <c r="GK404" s="109"/>
      <c r="GL404" s="109"/>
      <c r="GM404" s="111"/>
      <c r="GN404" s="111"/>
      <c r="GO404" s="165"/>
      <c r="GP404" s="109">
        <f t="shared" si="471"/>
        <v>0</v>
      </c>
      <c r="GQ404" s="109">
        <f t="shared" si="479"/>
        <v>0</v>
      </c>
      <c r="GR404" s="109"/>
      <c r="GS404" s="109"/>
      <c r="GT404" s="111"/>
      <c r="GU404" s="111"/>
      <c r="GV404" s="165"/>
      <c r="GW404" s="168">
        <f t="shared" si="472"/>
        <v>0</v>
      </c>
      <c r="GX404" s="168">
        <f t="shared" si="480"/>
        <v>0</v>
      </c>
      <c r="GY404" s="168"/>
      <c r="GZ404" s="168"/>
      <c r="HA404" s="111"/>
      <c r="HB404" s="111"/>
      <c r="HC404" s="165"/>
      <c r="HD404" s="109">
        <f t="shared" si="473"/>
        <v>0</v>
      </c>
      <c r="HE404" s="109">
        <f t="shared" si="481"/>
        <v>0</v>
      </c>
      <c r="HF404" s="109"/>
      <c r="HG404" s="109"/>
      <c r="HH404" s="111"/>
      <c r="HI404" s="111"/>
      <c r="HJ404" s="165"/>
      <c r="HK404" s="109">
        <f t="shared" si="474"/>
        <v>0</v>
      </c>
      <c r="HL404" s="109">
        <f t="shared" si="482"/>
        <v>0</v>
      </c>
      <c r="HM404" s="109"/>
      <c r="HN404" s="109"/>
      <c r="HO404" s="111"/>
      <c r="HP404" s="111"/>
      <c r="HQ404" s="165"/>
      <c r="HR404" s="109">
        <f t="shared" si="475"/>
        <v>0</v>
      </c>
      <c r="HS404" s="109">
        <f t="shared" si="483"/>
        <v>0</v>
      </c>
      <c r="HT404" s="109"/>
      <c r="HU404" s="109"/>
      <c r="HV404" s="111"/>
      <c r="HW404" s="111"/>
      <c r="HX404" s="105">
        <f t="shared" si="501"/>
        <v>0</v>
      </c>
      <c r="HY404" s="105">
        <f t="shared" si="501"/>
        <v>0</v>
      </c>
      <c r="HZ404" s="105">
        <f t="shared" si="501"/>
        <v>0</v>
      </c>
      <c r="IA404" s="105">
        <f t="shared" si="495"/>
        <v>0</v>
      </c>
      <c r="IB404" s="109">
        <f t="shared" si="496"/>
        <v>0</v>
      </c>
      <c r="IC404" s="109">
        <f t="shared" si="497"/>
        <v>0</v>
      </c>
      <c r="ID404" s="109">
        <f t="shared" si="498"/>
        <v>0</v>
      </c>
      <c r="IE404" s="109">
        <f t="shared" si="499"/>
        <v>0</v>
      </c>
      <c r="IF404" s="197"/>
      <c r="IG404" s="197"/>
      <c r="IH404" s="197"/>
      <c r="II404" s="197"/>
      <c r="IJ404" s="197"/>
      <c r="IK404" s="197"/>
      <c r="IL404" s="197"/>
      <c r="IM404" s="171"/>
      <c r="IN404" s="171"/>
      <c r="IO404" s="171"/>
      <c r="IP404" s="171"/>
    </row>
    <row r="405" spans="1:250" ht="15" customHeight="1" x14ac:dyDescent="0.3">
      <c r="A405" s="110">
        <f t="shared" si="500"/>
        <v>401</v>
      </c>
      <c r="B405" s="111"/>
      <c r="C405" s="111"/>
      <c r="D405" s="111"/>
      <c r="E405" s="111"/>
      <c r="F405" s="111"/>
      <c r="G405" s="111"/>
      <c r="H405" s="111"/>
      <c r="I405" s="194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75"/>
      <c r="AI405" s="111"/>
      <c r="AJ405" s="111"/>
      <c r="AK405" s="111"/>
      <c r="AL405" s="177"/>
      <c r="AM405" s="176"/>
      <c r="AN405" s="177"/>
      <c r="AO405" s="157"/>
      <c r="AP405" s="158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75"/>
      <c r="BM405" s="111"/>
      <c r="BN405" s="111"/>
      <c r="BO405" s="111"/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1"/>
      <c r="CA405" s="111"/>
      <c r="CB405" s="111"/>
      <c r="CC405" s="178"/>
      <c r="CD405" s="177">
        <f t="shared" si="484"/>
        <v>0</v>
      </c>
      <c r="CE405" s="148"/>
      <c r="CF405" s="111">
        <f t="shared" si="485"/>
        <v>0</v>
      </c>
      <c r="CG405" s="177"/>
      <c r="CH405" s="204"/>
      <c r="CI405" s="148"/>
      <c r="CJ405" s="165"/>
      <c r="CK405" s="165"/>
      <c r="CL405" s="111"/>
      <c r="CM405" s="111"/>
      <c r="CN405" s="165">
        <f t="shared" si="486"/>
        <v>0</v>
      </c>
      <c r="CO405" s="109">
        <f t="shared" si="487"/>
        <v>0</v>
      </c>
      <c r="CP405" s="109">
        <f t="shared" si="488"/>
        <v>0</v>
      </c>
      <c r="CQ405" s="109"/>
      <c r="CR405" s="109"/>
      <c r="CS405" s="196"/>
      <c r="CT405" s="167"/>
      <c r="CU405" s="165"/>
      <c r="CV405" s="109">
        <f t="shared" si="489"/>
        <v>0</v>
      </c>
      <c r="CW405" s="109">
        <f t="shared" si="490"/>
        <v>0</v>
      </c>
      <c r="CX405" s="109"/>
      <c r="CY405" s="109"/>
      <c r="CZ405" s="111"/>
      <c r="DA405" s="111"/>
      <c r="DB405" s="165"/>
      <c r="DC405" s="109">
        <f t="shared" si="491"/>
        <v>0</v>
      </c>
      <c r="DD405" s="109">
        <f t="shared" si="492"/>
        <v>0</v>
      </c>
      <c r="DE405" s="109"/>
      <c r="DF405" s="109"/>
      <c r="DG405" s="111"/>
      <c r="DH405" s="111"/>
      <c r="DI405" s="165"/>
      <c r="DJ405" s="109">
        <f t="shared" si="493"/>
        <v>0</v>
      </c>
      <c r="DK405" s="109">
        <f t="shared" si="494"/>
        <v>0</v>
      </c>
      <c r="DL405" s="109"/>
      <c r="DM405" s="109"/>
      <c r="DN405" s="111"/>
      <c r="DO405" s="111"/>
      <c r="DP405" s="165"/>
      <c r="DQ405" s="109">
        <f t="shared" si="452"/>
        <v>0</v>
      </c>
      <c r="DR405" s="109">
        <f t="shared" si="453"/>
        <v>0</v>
      </c>
      <c r="DS405" s="109"/>
      <c r="DT405" s="109"/>
      <c r="DU405" s="111"/>
      <c r="DV405" s="111"/>
      <c r="DW405" s="165"/>
      <c r="DX405" s="109">
        <f t="shared" si="454"/>
        <v>0</v>
      </c>
      <c r="DY405" s="109">
        <f t="shared" si="455"/>
        <v>0</v>
      </c>
      <c r="DZ405" s="109"/>
      <c r="EA405" s="109"/>
      <c r="EB405" s="111"/>
      <c r="EC405" s="111"/>
      <c r="ED405" s="165"/>
      <c r="EE405" s="109">
        <f t="shared" si="456"/>
        <v>0</v>
      </c>
      <c r="EF405" s="109">
        <f t="shared" si="457"/>
        <v>0</v>
      </c>
      <c r="EG405" s="109"/>
      <c r="EH405" s="109"/>
      <c r="EI405" s="111"/>
      <c r="EJ405" s="111"/>
      <c r="EK405" s="165"/>
      <c r="EL405" s="109">
        <f t="shared" si="458"/>
        <v>0</v>
      </c>
      <c r="EM405" s="109">
        <f t="shared" si="459"/>
        <v>0</v>
      </c>
      <c r="EN405" s="109"/>
      <c r="EO405" s="109"/>
      <c r="EP405" s="111"/>
      <c r="EQ405" s="111"/>
      <c r="ER405" s="165"/>
      <c r="ES405" s="109">
        <f t="shared" si="460"/>
        <v>0</v>
      </c>
      <c r="ET405" s="109">
        <f t="shared" si="461"/>
        <v>0</v>
      </c>
      <c r="EU405" s="109"/>
      <c r="EV405" s="109"/>
      <c r="EW405" s="111"/>
      <c r="EX405" s="111"/>
      <c r="EY405" s="165"/>
      <c r="EZ405" s="109">
        <f t="shared" si="462"/>
        <v>0</v>
      </c>
      <c r="FA405" s="109">
        <f t="shared" si="463"/>
        <v>0</v>
      </c>
      <c r="FB405" s="109"/>
      <c r="FC405" s="109"/>
      <c r="FD405" s="111"/>
      <c r="FE405" s="111"/>
      <c r="FF405" s="165"/>
      <c r="FG405" s="109">
        <f t="shared" si="464"/>
        <v>0</v>
      </c>
      <c r="FH405" s="109">
        <f t="shared" si="465"/>
        <v>0</v>
      </c>
      <c r="FI405" s="109"/>
      <c r="FJ405" s="109"/>
      <c r="FK405" s="111"/>
      <c r="FL405" s="111"/>
      <c r="FM405" s="165"/>
      <c r="FN405" s="109">
        <f t="shared" si="466"/>
        <v>0</v>
      </c>
      <c r="FO405" s="109">
        <f t="shared" si="467"/>
        <v>0</v>
      </c>
      <c r="FP405" s="109"/>
      <c r="FQ405" s="109"/>
      <c r="FR405" s="111"/>
      <c r="FS405" s="111"/>
      <c r="FT405" s="165"/>
      <c r="FU405" s="109">
        <f t="shared" si="468"/>
        <v>0</v>
      </c>
      <c r="FV405" s="109">
        <f t="shared" si="476"/>
        <v>0</v>
      </c>
      <c r="FW405" s="109"/>
      <c r="FX405" s="109"/>
      <c r="FY405" s="111"/>
      <c r="FZ405" s="111"/>
      <c r="GA405" s="165"/>
      <c r="GB405" s="109">
        <f t="shared" si="469"/>
        <v>0</v>
      </c>
      <c r="GC405" s="109">
        <f t="shared" si="477"/>
        <v>0</v>
      </c>
      <c r="GD405" s="109"/>
      <c r="GE405" s="109"/>
      <c r="GF405" s="111"/>
      <c r="GG405" s="111"/>
      <c r="GH405" s="165"/>
      <c r="GI405" s="109">
        <f t="shared" si="470"/>
        <v>0</v>
      </c>
      <c r="GJ405" s="109">
        <f t="shared" si="478"/>
        <v>0</v>
      </c>
      <c r="GK405" s="109"/>
      <c r="GL405" s="109"/>
      <c r="GM405" s="111"/>
      <c r="GN405" s="111"/>
      <c r="GO405" s="165"/>
      <c r="GP405" s="109">
        <f t="shared" si="471"/>
        <v>0</v>
      </c>
      <c r="GQ405" s="109">
        <f t="shared" si="479"/>
        <v>0</v>
      </c>
      <c r="GR405" s="109"/>
      <c r="GS405" s="109"/>
      <c r="GT405" s="111"/>
      <c r="GU405" s="111"/>
      <c r="GV405" s="165"/>
      <c r="GW405" s="168">
        <f t="shared" si="472"/>
        <v>0</v>
      </c>
      <c r="GX405" s="168">
        <f t="shared" si="480"/>
        <v>0</v>
      </c>
      <c r="GY405" s="168"/>
      <c r="GZ405" s="168"/>
      <c r="HA405" s="111"/>
      <c r="HB405" s="111"/>
      <c r="HC405" s="165"/>
      <c r="HD405" s="109">
        <f t="shared" si="473"/>
        <v>0</v>
      </c>
      <c r="HE405" s="109">
        <f t="shared" si="481"/>
        <v>0</v>
      </c>
      <c r="HF405" s="109"/>
      <c r="HG405" s="109"/>
      <c r="HH405" s="111"/>
      <c r="HI405" s="111"/>
      <c r="HJ405" s="165"/>
      <c r="HK405" s="109">
        <f t="shared" si="474"/>
        <v>0</v>
      </c>
      <c r="HL405" s="109">
        <f t="shared" si="482"/>
        <v>0</v>
      </c>
      <c r="HM405" s="109"/>
      <c r="HN405" s="109"/>
      <c r="HO405" s="111"/>
      <c r="HP405" s="111"/>
      <c r="HQ405" s="165"/>
      <c r="HR405" s="109">
        <f t="shared" si="475"/>
        <v>0</v>
      </c>
      <c r="HS405" s="109">
        <f t="shared" si="483"/>
        <v>0</v>
      </c>
      <c r="HT405" s="109"/>
      <c r="HU405" s="109"/>
      <c r="HV405" s="111"/>
      <c r="HW405" s="111"/>
      <c r="HX405" s="105">
        <f t="shared" si="501"/>
        <v>0</v>
      </c>
      <c r="HY405" s="105">
        <f t="shared" si="501"/>
        <v>0</v>
      </c>
      <c r="HZ405" s="105">
        <f t="shared" si="501"/>
        <v>0</v>
      </c>
      <c r="IA405" s="105">
        <f t="shared" si="495"/>
        <v>0</v>
      </c>
      <c r="IB405" s="109">
        <f t="shared" si="496"/>
        <v>0</v>
      </c>
      <c r="IC405" s="109">
        <f t="shared" si="497"/>
        <v>0</v>
      </c>
      <c r="ID405" s="109">
        <f t="shared" si="498"/>
        <v>0</v>
      </c>
      <c r="IE405" s="109">
        <f t="shared" si="499"/>
        <v>0</v>
      </c>
      <c r="IF405" s="197"/>
      <c r="IG405" s="197"/>
      <c r="IH405" s="197"/>
      <c r="II405" s="197"/>
      <c r="IJ405" s="197"/>
      <c r="IK405" s="197"/>
      <c r="IL405" s="197"/>
      <c r="IM405" s="171"/>
      <c r="IN405" s="171"/>
      <c r="IO405" s="171"/>
      <c r="IP405" s="171"/>
    </row>
    <row r="406" spans="1:250" ht="15" customHeight="1" x14ac:dyDescent="0.3">
      <c r="A406" s="110">
        <f t="shared" si="500"/>
        <v>402</v>
      </c>
      <c r="B406" s="111"/>
      <c r="C406" s="111"/>
      <c r="D406" s="111"/>
      <c r="E406" s="111"/>
      <c r="F406" s="111"/>
      <c r="G406" s="111"/>
      <c r="H406" s="111"/>
      <c r="I406" s="194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75"/>
      <c r="AI406" s="111"/>
      <c r="AJ406" s="111"/>
      <c r="AK406" s="111"/>
      <c r="AL406" s="177"/>
      <c r="AM406" s="176"/>
      <c r="AN406" s="177"/>
      <c r="AO406" s="157"/>
      <c r="AP406" s="158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  <c r="BJ406" s="111"/>
      <c r="BK406" s="111"/>
      <c r="BL406" s="175"/>
      <c r="BM406" s="111"/>
      <c r="BN406" s="111"/>
      <c r="BO406" s="111"/>
      <c r="BP406" s="111"/>
      <c r="BQ406" s="111"/>
      <c r="BR406" s="111"/>
      <c r="BS406" s="111"/>
      <c r="BT406" s="111"/>
      <c r="BU406" s="111"/>
      <c r="BV406" s="111"/>
      <c r="BW406" s="111"/>
      <c r="BX406" s="111"/>
      <c r="BY406" s="111"/>
      <c r="BZ406" s="111"/>
      <c r="CA406" s="111"/>
      <c r="CB406" s="111"/>
      <c r="CC406" s="178"/>
      <c r="CD406" s="177">
        <f t="shared" si="484"/>
        <v>0</v>
      </c>
      <c r="CE406" s="148"/>
      <c r="CF406" s="111">
        <f t="shared" si="485"/>
        <v>0</v>
      </c>
      <c r="CG406" s="177"/>
      <c r="CH406" s="204"/>
      <c r="CI406" s="148"/>
      <c r="CJ406" s="165"/>
      <c r="CK406" s="165"/>
      <c r="CL406" s="111"/>
      <c r="CM406" s="111"/>
      <c r="CN406" s="165">
        <f t="shared" si="486"/>
        <v>0</v>
      </c>
      <c r="CO406" s="109">
        <f t="shared" si="487"/>
        <v>0</v>
      </c>
      <c r="CP406" s="109">
        <f t="shared" si="488"/>
        <v>0</v>
      </c>
      <c r="CQ406" s="109"/>
      <c r="CR406" s="109"/>
      <c r="CS406" s="196"/>
      <c r="CT406" s="167"/>
      <c r="CU406" s="165"/>
      <c r="CV406" s="109">
        <f t="shared" si="489"/>
        <v>0</v>
      </c>
      <c r="CW406" s="109">
        <f t="shared" si="490"/>
        <v>0</v>
      </c>
      <c r="CX406" s="109"/>
      <c r="CY406" s="109"/>
      <c r="CZ406" s="111"/>
      <c r="DA406" s="111"/>
      <c r="DB406" s="165"/>
      <c r="DC406" s="109">
        <f t="shared" si="491"/>
        <v>0</v>
      </c>
      <c r="DD406" s="109">
        <f t="shared" si="492"/>
        <v>0</v>
      </c>
      <c r="DE406" s="109"/>
      <c r="DF406" s="109"/>
      <c r="DG406" s="111"/>
      <c r="DH406" s="111"/>
      <c r="DI406" s="165"/>
      <c r="DJ406" s="109">
        <f t="shared" si="493"/>
        <v>0</v>
      </c>
      <c r="DK406" s="109">
        <f t="shared" si="494"/>
        <v>0</v>
      </c>
      <c r="DL406" s="109"/>
      <c r="DM406" s="109"/>
      <c r="DN406" s="111"/>
      <c r="DO406" s="111"/>
      <c r="DP406" s="165"/>
      <c r="DQ406" s="109">
        <f t="shared" si="452"/>
        <v>0</v>
      </c>
      <c r="DR406" s="109">
        <f t="shared" si="453"/>
        <v>0</v>
      </c>
      <c r="DS406" s="109"/>
      <c r="DT406" s="109"/>
      <c r="DU406" s="111"/>
      <c r="DV406" s="111"/>
      <c r="DW406" s="165"/>
      <c r="DX406" s="109">
        <f t="shared" si="454"/>
        <v>0</v>
      </c>
      <c r="DY406" s="109">
        <f t="shared" si="455"/>
        <v>0</v>
      </c>
      <c r="DZ406" s="109"/>
      <c r="EA406" s="109"/>
      <c r="EB406" s="111"/>
      <c r="EC406" s="111"/>
      <c r="ED406" s="165"/>
      <c r="EE406" s="109">
        <f t="shared" si="456"/>
        <v>0</v>
      </c>
      <c r="EF406" s="109">
        <f t="shared" si="457"/>
        <v>0</v>
      </c>
      <c r="EG406" s="109"/>
      <c r="EH406" s="109"/>
      <c r="EI406" s="111"/>
      <c r="EJ406" s="111"/>
      <c r="EK406" s="165"/>
      <c r="EL406" s="109">
        <f t="shared" si="458"/>
        <v>0</v>
      </c>
      <c r="EM406" s="109">
        <f t="shared" si="459"/>
        <v>0</v>
      </c>
      <c r="EN406" s="109"/>
      <c r="EO406" s="109"/>
      <c r="EP406" s="111"/>
      <c r="EQ406" s="111"/>
      <c r="ER406" s="165"/>
      <c r="ES406" s="109">
        <f t="shared" si="460"/>
        <v>0</v>
      </c>
      <c r="ET406" s="109">
        <f t="shared" si="461"/>
        <v>0</v>
      </c>
      <c r="EU406" s="109"/>
      <c r="EV406" s="109"/>
      <c r="EW406" s="111"/>
      <c r="EX406" s="111"/>
      <c r="EY406" s="165"/>
      <c r="EZ406" s="109">
        <f t="shared" si="462"/>
        <v>0</v>
      </c>
      <c r="FA406" s="109">
        <f t="shared" si="463"/>
        <v>0</v>
      </c>
      <c r="FB406" s="109"/>
      <c r="FC406" s="109"/>
      <c r="FD406" s="111"/>
      <c r="FE406" s="111"/>
      <c r="FF406" s="165"/>
      <c r="FG406" s="109">
        <f t="shared" si="464"/>
        <v>0</v>
      </c>
      <c r="FH406" s="109">
        <f t="shared" si="465"/>
        <v>0</v>
      </c>
      <c r="FI406" s="109"/>
      <c r="FJ406" s="109"/>
      <c r="FK406" s="111"/>
      <c r="FL406" s="111"/>
      <c r="FM406" s="165"/>
      <c r="FN406" s="109">
        <f t="shared" si="466"/>
        <v>0</v>
      </c>
      <c r="FO406" s="109">
        <f t="shared" si="467"/>
        <v>0</v>
      </c>
      <c r="FP406" s="109"/>
      <c r="FQ406" s="109"/>
      <c r="FR406" s="111"/>
      <c r="FS406" s="111"/>
      <c r="FT406" s="165"/>
      <c r="FU406" s="109">
        <f t="shared" si="468"/>
        <v>0</v>
      </c>
      <c r="FV406" s="109">
        <f t="shared" si="476"/>
        <v>0</v>
      </c>
      <c r="FW406" s="109"/>
      <c r="FX406" s="109"/>
      <c r="FY406" s="111"/>
      <c r="FZ406" s="111"/>
      <c r="GA406" s="165"/>
      <c r="GB406" s="109">
        <f t="shared" si="469"/>
        <v>0</v>
      </c>
      <c r="GC406" s="109">
        <f t="shared" si="477"/>
        <v>0</v>
      </c>
      <c r="GD406" s="109"/>
      <c r="GE406" s="109"/>
      <c r="GF406" s="111"/>
      <c r="GG406" s="111"/>
      <c r="GH406" s="165"/>
      <c r="GI406" s="109">
        <f t="shared" si="470"/>
        <v>0</v>
      </c>
      <c r="GJ406" s="109">
        <f t="shared" si="478"/>
        <v>0</v>
      </c>
      <c r="GK406" s="109"/>
      <c r="GL406" s="109"/>
      <c r="GM406" s="111"/>
      <c r="GN406" s="111"/>
      <c r="GO406" s="165"/>
      <c r="GP406" s="109">
        <f t="shared" si="471"/>
        <v>0</v>
      </c>
      <c r="GQ406" s="109">
        <f t="shared" si="479"/>
        <v>0</v>
      </c>
      <c r="GR406" s="109"/>
      <c r="GS406" s="109"/>
      <c r="GT406" s="111"/>
      <c r="GU406" s="111"/>
      <c r="GV406" s="165"/>
      <c r="GW406" s="168">
        <f t="shared" si="472"/>
        <v>0</v>
      </c>
      <c r="GX406" s="168">
        <f t="shared" si="480"/>
        <v>0</v>
      </c>
      <c r="GY406" s="168"/>
      <c r="GZ406" s="168"/>
      <c r="HA406" s="111"/>
      <c r="HB406" s="111"/>
      <c r="HC406" s="165"/>
      <c r="HD406" s="109">
        <f t="shared" si="473"/>
        <v>0</v>
      </c>
      <c r="HE406" s="109">
        <f t="shared" si="481"/>
        <v>0</v>
      </c>
      <c r="HF406" s="109"/>
      <c r="HG406" s="109"/>
      <c r="HH406" s="111"/>
      <c r="HI406" s="111"/>
      <c r="HJ406" s="165"/>
      <c r="HK406" s="109">
        <f t="shared" si="474"/>
        <v>0</v>
      </c>
      <c r="HL406" s="109">
        <f t="shared" si="482"/>
        <v>0</v>
      </c>
      <c r="HM406" s="109"/>
      <c r="HN406" s="109"/>
      <c r="HO406" s="111"/>
      <c r="HP406" s="111"/>
      <c r="HQ406" s="165"/>
      <c r="HR406" s="109">
        <f t="shared" si="475"/>
        <v>0</v>
      </c>
      <c r="HS406" s="109">
        <f t="shared" si="483"/>
        <v>0</v>
      </c>
      <c r="HT406" s="109"/>
      <c r="HU406" s="109"/>
      <c r="HV406" s="111"/>
      <c r="HW406" s="111"/>
      <c r="HX406" s="105">
        <f t="shared" si="501"/>
        <v>0</v>
      </c>
      <c r="HY406" s="105">
        <f t="shared" si="501"/>
        <v>0</v>
      </c>
      <c r="HZ406" s="105">
        <f t="shared" si="501"/>
        <v>0</v>
      </c>
      <c r="IA406" s="105">
        <f t="shared" si="495"/>
        <v>0</v>
      </c>
      <c r="IB406" s="109">
        <f t="shared" si="496"/>
        <v>0</v>
      </c>
      <c r="IC406" s="109">
        <f t="shared" si="497"/>
        <v>0</v>
      </c>
      <c r="ID406" s="109">
        <f t="shared" si="498"/>
        <v>0</v>
      </c>
      <c r="IE406" s="109">
        <f t="shared" si="499"/>
        <v>0</v>
      </c>
      <c r="IF406" s="197"/>
      <c r="IG406" s="197"/>
      <c r="IH406" s="197"/>
      <c r="II406" s="197"/>
      <c r="IJ406" s="197"/>
      <c r="IK406" s="197"/>
      <c r="IL406" s="197"/>
      <c r="IM406" s="171"/>
      <c r="IN406" s="171"/>
      <c r="IO406" s="171"/>
      <c r="IP406" s="171"/>
    </row>
    <row r="407" spans="1:250" ht="15" customHeight="1" x14ac:dyDescent="0.3">
      <c r="A407" s="110">
        <f t="shared" si="500"/>
        <v>403</v>
      </c>
      <c r="B407" s="111"/>
      <c r="C407" s="111"/>
      <c r="D407" s="111"/>
      <c r="E407" s="111"/>
      <c r="F407" s="111"/>
      <c r="G407" s="111"/>
      <c r="H407" s="111"/>
      <c r="I407" s="194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75"/>
      <c r="AI407" s="111"/>
      <c r="AJ407" s="111"/>
      <c r="AK407" s="111"/>
      <c r="AL407" s="177"/>
      <c r="AM407" s="176"/>
      <c r="AN407" s="177"/>
      <c r="AO407" s="157"/>
      <c r="AP407" s="158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75"/>
      <c r="BM407" s="111"/>
      <c r="BN407" s="111"/>
      <c r="BO407" s="111"/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1"/>
      <c r="CA407" s="111"/>
      <c r="CB407" s="111"/>
      <c r="CC407" s="178"/>
      <c r="CD407" s="177">
        <f t="shared" si="484"/>
        <v>0</v>
      </c>
      <c r="CE407" s="148"/>
      <c r="CF407" s="111">
        <f t="shared" si="485"/>
        <v>0</v>
      </c>
      <c r="CG407" s="177"/>
      <c r="CH407" s="204"/>
      <c r="CI407" s="148"/>
      <c r="CJ407" s="165"/>
      <c r="CK407" s="165"/>
      <c r="CL407" s="111"/>
      <c r="CM407" s="111"/>
      <c r="CN407" s="165">
        <f t="shared" si="486"/>
        <v>0</v>
      </c>
      <c r="CO407" s="109">
        <f t="shared" si="487"/>
        <v>0</v>
      </c>
      <c r="CP407" s="109">
        <f t="shared" si="488"/>
        <v>0</v>
      </c>
      <c r="CQ407" s="109"/>
      <c r="CR407" s="109"/>
      <c r="CS407" s="196"/>
      <c r="CT407" s="167"/>
      <c r="CU407" s="165"/>
      <c r="CV407" s="109">
        <f t="shared" si="489"/>
        <v>0</v>
      </c>
      <c r="CW407" s="109">
        <f t="shared" si="490"/>
        <v>0</v>
      </c>
      <c r="CX407" s="109"/>
      <c r="CY407" s="109"/>
      <c r="CZ407" s="111"/>
      <c r="DA407" s="111"/>
      <c r="DB407" s="165"/>
      <c r="DC407" s="109">
        <f t="shared" si="491"/>
        <v>0</v>
      </c>
      <c r="DD407" s="109">
        <f t="shared" si="492"/>
        <v>0</v>
      </c>
      <c r="DE407" s="109"/>
      <c r="DF407" s="109"/>
      <c r="DG407" s="111"/>
      <c r="DH407" s="111"/>
      <c r="DI407" s="165"/>
      <c r="DJ407" s="109">
        <f t="shared" si="493"/>
        <v>0</v>
      </c>
      <c r="DK407" s="109">
        <f t="shared" si="494"/>
        <v>0</v>
      </c>
      <c r="DL407" s="109"/>
      <c r="DM407" s="109"/>
      <c r="DN407" s="111"/>
      <c r="DO407" s="111"/>
      <c r="DP407" s="165"/>
      <c r="DQ407" s="109">
        <f t="shared" si="452"/>
        <v>0</v>
      </c>
      <c r="DR407" s="109">
        <f t="shared" si="453"/>
        <v>0</v>
      </c>
      <c r="DS407" s="109"/>
      <c r="DT407" s="109"/>
      <c r="DU407" s="111"/>
      <c r="DV407" s="111"/>
      <c r="DW407" s="165"/>
      <c r="DX407" s="109">
        <f t="shared" si="454"/>
        <v>0</v>
      </c>
      <c r="DY407" s="109">
        <f t="shared" si="455"/>
        <v>0</v>
      </c>
      <c r="DZ407" s="109"/>
      <c r="EA407" s="109"/>
      <c r="EB407" s="111"/>
      <c r="EC407" s="111"/>
      <c r="ED407" s="165"/>
      <c r="EE407" s="109">
        <f t="shared" si="456"/>
        <v>0</v>
      </c>
      <c r="EF407" s="109">
        <f t="shared" si="457"/>
        <v>0</v>
      </c>
      <c r="EG407" s="109"/>
      <c r="EH407" s="109"/>
      <c r="EI407" s="111"/>
      <c r="EJ407" s="111"/>
      <c r="EK407" s="165"/>
      <c r="EL407" s="109">
        <f t="shared" si="458"/>
        <v>0</v>
      </c>
      <c r="EM407" s="109">
        <f t="shared" si="459"/>
        <v>0</v>
      </c>
      <c r="EN407" s="109"/>
      <c r="EO407" s="109"/>
      <c r="EP407" s="111"/>
      <c r="EQ407" s="111"/>
      <c r="ER407" s="165"/>
      <c r="ES407" s="109">
        <f t="shared" si="460"/>
        <v>0</v>
      </c>
      <c r="ET407" s="109">
        <f t="shared" si="461"/>
        <v>0</v>
      </c>
      <c r="EU407" s="109"/>
      <c r="EV407" s="109"/>
      <c r="EW407" s="111"/>
      <c r="EX407" s="111"/>
      <c r="EY407" s="165"/>
      <c r="EZ407" s="109">
        <f t="shared" si="462"/>
        <v>0</v>
      </c>
      <c r="FA407" s="109">
        <f t="shared" si="463"/>
        <v>0</v>
      </c>
      <c r="FB407" s="109"/>
      <c r="FC407" s="109"/>
      <c r="FD407" s="111"/>
      <c r="FE407" s="111"/>
      <c r="FF407" s="165"/>
      <c r="FG407" s="109">
        <f t="shared" si="464"/>
        <v>0</v>
      </c>
      <c r="FH407" s="109">
        <f t="shared" si="465"/>
        <v>0</v>
      </c>
      <c r="FI407" s="109"/>
      <c r="FJ407" s="109"/>
      <c r="FK407" s="111"/>
      <c r="FL407" s="111"/>
      <c r="FM407" s="165"/>
      <c r="FN407" s="109">
        <f t="shared" si="466"/>
        <v>0</v>
      </c>
      <c r="FO407" s="109">
        <f t="shared" si="467"/>
        <v>0</v>
      </c>
      <c r="FP407" s="109"/>
      <c r="FQ407" s="109"/>
      <c r="FR407" s="111"/>
      <c r="FS407" s="111"/>
      <c r="FT407" s="165"/>
      <c r="FU407" s="109">
        <f t="shared" si="468"/>
        <v>0</v>
      </c>
      <c r="FV407" s="109">
        <f t="shared" si="476"/>
        <v>0</v>
      </c>
      <c r="FW407" s="109"/>
      <c r="FX407" s="109"/>
      <c r="FY407" s="111"/>
      <c r="FZ407" s="111"/>
      <c r="GA407" s="165"/>
      <c r="GB407" s="109">
        <f t="shared" si="469"/>
        <v>0</v>
      </c>
      <c r="GC407" s="109">
        <f t="shared" si="477"/>
        <v>0</v>
      </c>
      <c r="GD407" s="109"/>
      <c r="GE407" s="109"/>
      <c r="GF407" s="111"/>
      <c r="GG407" s="111"/>
      <c r="GH407" s="165"/>
      <c r="GI407" s="109">
        <f t="shared" si="470"/>
        <v>0</v>
      </c>
      <c r="GJ407" s="109">
        <f t="shared" si="478"/>
        <v>0</v>
      </c>
      <c r="GK407" s="109"/>
      <c r="GL407" s="109"/>
      <c r="GM407" s="111"/>
      <c r="GN407" s="111"/>
      <c r="GO407" s="165"/>
      <c r="GP407" s="109">
        <f t="shared" si="471"/>
        <v>0</v>
      </c>
      <c r="GQ407" s="109">
        <f t="shared" si="479"/>
        <v>0</v>
      </c>
      <c r="GR407" s="109"/>
      <c r="GS407" s="109"/>
      <c r="GT407" s="111"/>
      <c r="GU407" s="111"/>
      <c r="GV407" s="165"/>
      <c r="GW407" s="168">
        <f t="shared" si="472"/>
        <v>0</v>
      </c>
      <c r="GX407" s="168">
        <f t="shared" si="480"/>
        <v>0</v>
      </c>
      <c r="GY407" s="168"/>
      <c r="GZ407" s="168"/>
      <c r="HA407" s="111"/>
      <c r="HB407" s="111"/>
      <c r="HC407" s="165"/>
      <c r="HD407" s="109">
        <f t="shared" si="473"/>
        <v>0</v>
      </c>
      <c r="HE407" s="109">
        <f t="shared" si="481"/>
        <v>0</v>
      </c>
      <c r="HF407" s="109"/>
      <c r="HG407" s="109"/>
      <c r="HH407" s="111"/>
      <c r="HI407" s="111"/>
      <c r="HJ407" s="165"/>
      <c r="HK407" s="109">
        <f t="shared" si="474"/>
        <v>0</v>
      </c>
      <c r="HL407" s="109">
        <f t="shared" si="482"/>
        <v>0</v>
      </c>
      <c r="HM407" s="109"/>
      <c r="HN407" s="109"/>
      <c r="HO407" s="111"/>
      <c r="HP407" s="111"/>
      <c r="HQ407" s="165"/>
      <c r="HR407" s="109">
        <f t="shared" si="475"/>
        <v>0</v>
      </c>
      <c r="HS407" s="109">
        <f t="shared" si="483"/>
        <v>0</v>
      </c>
      <c r="HT407" s="109"/>
      <c r="HU407" s="109"/>
      <c r="HV407" s="111"/>
      <c r="HW407" s="111"/>
      <c r="HX407" s="105">
        <f t="shared" si="501"/>
        <v>0</v>
      </c>
      <c r="HY407" s="105">
        <f t="shared" si="501"/>
        <v>0</v>
      </c>
      <c r="HZ407" s="105">
        <f t="shared" si="501"/>
        <v>0</v>
      </c>
      <c r="IA407" s="105">
        <f t="shared" si="495"/>
        <v>0</v>
      </c>
      <c r="IB407" s="109">
        <f t="shared" si="496"/>
        <v>0</v>
      </c>
      <c r="IC407" s="109">
        <f t="shared" si="497"/>
        <v>0</v>
      </c>
      <c r="ID407" s="109">
        <f t="shared" si="498"/>
        <v>0</v>
      </c>
      <c r="IE407" s="109">
        <f t="shared" si="499"/>
        <v>0</v>
      </c>
      <c r="IF407" s="197"/>
      <c r="IG407" s="197"/>
      <c r="IH407" s="197"/>
      <c r="II407" s="197"/>
      <c r="IJ407" s="197"/>
      <c r="IK407" s="197"/>
      <c r="IL407" s="197"/>
      <c r="IM407" s="171"/>
      <c r="IN407" s="171"/>
      <c r="IO407" s="171"/>
      <c r="IP407" s="171"/>
    </row>
    <row r="408" spans="1:250" ht="15" customHeight="1" x14ac:dyDescent="0.3">
      <c r="A408" s="110">
        <f t="shared" si="500"/>
        <v>404</v>
      </c>
      <c r="B408" s="111"/>
      <c r="C408" s="111"/>
      <c r="D408" s="111"/>
      <c r="E408" s="111"/>
      <c r="F408" s="111"/>
      <c r="G408" s="111"/>
      <c r="H408" s="111"/>
      <c r="I408" s="194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75"/>
      <c r="AI408" s="111"/>
      <c r="AJ408" s="111"/>
      <c r="AK408" s="111"/>
      <c r="AL408" s="177"/>
      <c r="AM408" s="176"/>
      <c r="AN408" s="177"/>
      <c r="AO408" s="157"/>
      <c r="AP408" s="158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75"/>
      <c r="BM408" s="111"/>
      <c r="BN408" s="111"/>
      <c r="BO408" s="111"/>
      <c r="BP408" s="111"/>
      <c r="BQ408" s="111"/>
      <c r="BR408" s="111"/>
      <c r="BS408" s="111"/>
      <c r="BT408" s="111"/>
      <c r="BU408" s="111"/>
      <c r="BV408" s="111"/>
      <c r="BW408" s="111"/>
      <c r="BX408" s="111"/>
      <c r="BY408" s="111"/>
      <c r="BZ408" s="111"/>
      <c r="CA408" s="111"/>
      <c r="CB408" s="111"/>
      <c r="CC408" s="178"/>
      <c r="CD408" s="177">
        <f t="shared" si="484"/>
        <v>0</v>
      </c>
      <c r="CE408" s="148"/>
      <c r="CF408" s="111">
        <f t="shared" si="485"/>
        <v>0</v>
      </c>
      <c r="CG408" s="177"/>
      <c r="CH408" s="204"/>
      <c r="CI408" s="148"/>
      <c r="CJ408" s="165"/>
      <c r="CK408" s="165"/>
      <c r="CL408" s="111"/>
      <c r="CM408" s="111"/>
      <c r="CN408" s="165">
        <f t="shared" si="486"/>
        <v>0</v>
      </c>
      <c r="CO408" s="109">
        <f t="shared" si="487"/>
        <v>0</v>
      </c>
      <c r="CP408" s="109">
        <f t="shared" si="488"/>
        <v>0</v>
      </c>
      <c r="CQ408" s="109"/>
      <c r="CR408" s="109"/>
      <c r="CS408" s="196"/>
      <c r="CT408" s="167"/>
      <c r="CU408" s="165"/>
      <c r="CV408" s="109">
        <f t="shared" si="489"/>
        <v>0</v>
      </c>
      <c r="CW408" s="109">
        <f t="shared" si="490"/>
        <v>0</v>
      </c>
      <c r="CX408" s="109"/>
      <c r="CY408" s="109"/>
      <c r="CZ408" s="111"/>
      <c r="DA408" s="111"/>
      <c r="DB408" s="165"/>
      <c r="DC408" s="109">
        <f t="shared" si="491"/>
        <v>0</v>
      </c>
      <c r="DD408" s="109">
        <f t="shared" si="492"/>
        <v>0</v>
      </c>
      <c r="DE408" s="109"/>
      <c r="DF408" s="109"/>
      <c r="DG408" s="111"/>
      <c r="DH408" s="111"/>
      <c r="DI408" s="165"/>
      <c r="DJ408" s="109">
        <f t="shared" si="493"/>
        <v>0</v>
      </c>
      <c r="DK408" s="109">
        <f t="shared" si="494"/>
        <v>0</v>
      </c>
      <c r="DL408" s="109"/>
      <c r="DM408" s="109"/>
      <c r="DN408" s="111"/>
      <c r="DO408" s="111"/>
      <c r="DP408" s="165"/>
      <c r="DQ408" s="109">
        <f t="shared" ref="DQ408:DQ471" si="502">DS408-DR408</f>
        <v>0</v>
      </c>
      <c r="DR408" s="109">
        <f t="shared" ref="DR408:DR471" si="503">DS408/(1+AM408)*AM408</f>
        <v>0</v>
      </c>
      <c r="DS408" s="109"/>
      <c r="DT408" s="109"/>
      <c r="DU408" s="111"/>
      <c r="DV408" s="111"/>
      <c r="DW408" s="165"/>
      <c r="DX408" s="109">
        <f t="shared" ref="DX408:DX471" si="504">DZ408-DY408</f>
        <v>0</v>
      </c>
      <c r="DY408" s="109">
        <f t="shared" ref="DY408:DY471" si="505">DZ408/(1+AM408)*AM408</f>
        <v>0</v>
      </c>
      <c r="DZ408" s="109"/>
      <c r="EA408" s="109"/>
      <c r="EB408" s="111"/>
      <c r="EC408" s="111"/>
      <c r="ED408" s="165"/>
      <c r="EE408" s="109">
        <f t="shared" ref="EE408:EE471" si="506">EG408-EF408</f>
        <v>0</v>
      </c>
      <c r="EF408" s="109">
        <f t="shared" ref="EF408:EF471" si="507">EG408/(1+AM408)*AM408</f>
        <v>0</v>
      </c>
      <c r="EG408" s="109"/>
      <c r="EH408" s="109"/>
      <c r="EI408" s="111"/>
      <c r="EJ408" s="111"/>
      <c r="EK408" s="165"/>
      <c r="EL408" s="109">
        <f t="shared" ref="EL408:EL471" si="508">EN408-EM408</f>
        <v>0</v>
      </c>
      <c r="EM408" s="109">
        <f t="shared" ref="EM408:EM471" si="509">EN408/(1+AM408)*AM408</f>
        <v>0</v>
      </c>
      <c r="EN408" s="109"/>
      <c r="EO408" s="109"/>
      <c r="EP408" s="111"/>
      <c r="EQ408" s="111"/>
      <c r="ER408" s="165"/>
      <c r="ES408" s="109">
        <f t="shared" ref="ES408:ES471" si="510">EU408-ET408</f>
        <v>0</v>
      </c>
      <c r="ET408" s="109">
        <f t="shared" ref="ET408:ET471" si="511">EU408/(1+AM408)*AM408</f>
        <v>0</v>
      </c>
      <c r="EU408" s="109"/>
      <c r="EV408" s="109"/>
      <c r="EW408" s="111"/>
      <c r="EX408" s="111"/>
      <c r="EY408" s="165"/>
      <c r="EZ408" s="109">
        <f t="shared" ref="EZ408:EZ471" si="512">FB408-FA408</f>
        <v>0</v>
      </c>
      <c r="FA408" s="109">
        <f t="shared" ref="FA408:FA471" si="513">FB408/(1+AM408)*AM408</f>
        <v>0</v>
      </c>
      <c r="FB408" s="109"/>
      <c r="FC408" s="109"/>
      <c r="FD408" s="111"/>
      <c r="FE408" s="111"/>
      <c r="FF408" s="165"/>
      <c r="FG408" s="109">
        <f t="shared" ref="FG408:FG471" si="514">FI408-FH408</f>
        <v>0</v>
      </c>
      <c r="FH408" s="109">
        <f t="shared" ref="FH408:FH471" si="515">FI408/(1+AM408)*AM408</f>
        <v>0</v>
      </c>
      <c r="FI408" s="109"/>
      <c r="FJ408" s="109"/>
      <c r="FK408" s="111"/>
      <c r="FL408" s="111"/>
      <c r="FM408" s="165"/>
      <c r="FN408" s="109">
        <f t="shared" ref="FN408:FN471" si="516">FP408-FO408</f>
        <v>0</v>
      </c>
      <c r="FO408" s="109">
        <f t="shared" ref="FO408:FO471" si="517">FP408/(1+AM408)*AM408</f>
        <v>0</v>
      </c>
      <c r="FP408" s="109"/>
      <c r="FQ408" s="109"/>
      <c r="FR408" s="111"/>
      <c r="FS408" s="111"/>
      <c r="FT408" s="165"/>
      <c r="FU408" s="109">
        <f t="shared" ref="FU408:FU471" si="518">FW408-FV408</f>
        <v>0</v>
      </c>
      <c r="FV408" s="109">
        <f t="shared" si="476"/>
        <v>0</v>
      </c>
      <c r="FW408" s="109"/>
      <c r="FX408" s="109"/>
      <c r="FY408" s="111"/>
      <c r="FZ408" s="111"/>
      <c r="GA408" s="165"/>
      <c r="GB408" s="109">
        <f t="shared" ref="GB408:GB471" si="519">GD408-GC408</f>
        <v>0</v>
      </c>
      <c r="GC408" s="109">
        <f t="shared" si="477"/>
        <v>0</v>
      </c>
      <c r="GD408" s="109"/>
      <c r="GE408" s="109"/>
      <c r="GF408" s="111"/>
      <c r="GG408" s="111"/>
      <c r="GH408" s="165"/>
      <c r="GI408" s="109">
        <f t="shared" ref="GI408:GI471" si="520">GK408-GJ408</f>
        <v>0</v>
      </c>
      <c r="GJ408" s="109">
        <f t="shared" si="478"/>
        <v>0</v>
      </c>
      <c r="GK408" s="109"/>
      <c r="GL408" s="109"/>
      <c r="GM408" s="111"/>
      <c r="GN408" s="111"/>
      <c r="GO408" s="165"/>
      <c r="GP408" s="109">
        <f t="shared" ref="GP408:GP471" si="521">GR408-GQ408</f>
        <v>0</v>
      </c>
      <c r="GQ408" s="109">
        <f t="shared" si="479"/>
        <v>0</v>
      </c>
      <c r="GR408" s="109"/>
      <c r="GS408" s="109"/>
      <c r="GT408" s="111"/>
      <c r="GU408" s="111"/>
      <c r="GV408" s="165"/>
      <c r="GW408" s="168">
        <f t="shared" ref="GW408:GW471" si="522">GY408-GX408</f>
        <v>0</v>
      </c>
      <c r="GX408" s="168">
        <f t="shared" si="480"/>
        <v>0</v>
      </c>
      <c r="GY408" s="168"/>
      <c r="GZ408" s="168"/>
      <c r="HA408" s="111"/>
      <c r="HB408" s="111"/>
      <c r="HC408" s="165"/>
      <c r="HD408" s="109">
        <f t="shared" ref="HD408:HD471" si="523">HF408-HE408</f>
        <v>0</v>
      </c>
      <c r="HE408" s="109">
        <f t="shared" si="481"/>
        <v>0</v>
      </c>
      <c r="HF408" s="109"/>
      <c r="HG408" s="109"/>
      <c r="HH408" s="111"/>
      <c r="HI408" s="111"/>
      <c r="HJ408" s="165"/>
      <c r="HK408" s="109">
        <f t="shared" ref="HK408:HK471" si="524">HM408-HL408</f>
        <v>0</v>
      </c>
      <c r="HL408" s="109">
        <f t="shared" si="482"/>
        <v>0</v>
      </c>
      <c r="HM408" s="109"/>
      <c r="HN408" s="109"/>
      <c r="HO408" s="111"/>
      <c r="HP408" s="111"/>
      <c r="HQ408" s="165"/>
      <c r="HR408" s="109">
        <f t="shared" ref="HR408:HR471" si="525">HT408-HS408</f>
        <v>0</v>
      </c>
      <c r="HS408" s="109">
        <f t="shared" si="483"/>
        <v>0</v>
      </c>
      <c r="HT408" s="109"/>
      <c r="HU408" s="109"/>
      <c r="HV408" s="111"/>
      <c r="HW408" s="111"/>
      <c r="HX408" s="105">
        <f t="shared" si="501"/>
        <v>0</v>
      </c>
      <c r="HY408" s="105">
        <f t="shared" si="501"/>
        <v>0</v>
      </c>
      <c r="HZ408" s="105">
        <f t="shared" si="501"/>
        <v>0</v>
      </c>
      <c r="IA408" s="105">
        <f t="shared" si="495"/>
        <v>0</v>
      </c>
      <c r="IB408" s="109">
        <f t="shared" si="496"/>
        <v>0</v>
      </c>
      <c r="IC408" s="109">
        <f t="shared" si="497"/>
        <v>0</v>
      </c>
      <c r="ID408" s="109">
        <f t="shared" si="498"/>
        <v>0</v>
      </c>
      <c r="IE408" s="109">
        <f t="shared" si="499"/>
        <v>0</v>
      </c>
      <c r="IF408" s="197"/>
      <c r="IG408" s="197"/>
      <c r="IH408" s="197"/>
      <c r="II408" s="197"/>
      <c r="IJ408" s="197"/>
      <c r="IK408" s="197"/>
      <c r="IL408" s="197"/>
      <c r="IM408" s="171"/>
      <c r="IN408" s="171"/>
      <c r="IO408" s="171"/>
      <c r="IP408" s="171"/>
    </row>
    <row r="409" spans="1:250" ht="15" customHeight="1" x14ac:dyDescent="0.3">
      <c r="A409" s="110">
        <f t="shared" si="500"/>
        <v>405</v>
      </c>
      <c r="B409" s="111"/>
      <c r="C409" s="111"/>
      <c r="D409" s="111"/>
      <c r="E409" s="111"/>
      <c r="F409" s="111"/>
      <c r="G409" s="111"/>
      <c r="H409" s="111"/>
      <c r="I409" s="194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75"/>
      <c r="AI409" s="111"/>
      <c r="AJ409" s="111"/>
      <c r="AK409" s="111"/>
      <c r="AL409" s="177"/>
      <c r="AM409" s="176"/>
      <c r="AN409" s="177"/>
      <c r="AO409" s="157"/>
      <c r="AP409" s="158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  <c r="BJ409" s="111"/>
      <c r="BK409" s="111"/>
      <c r="BL409" s="175"/>
      <c r="BM409" s="111"/>
      <c r="BN409" s="111"/>
      <c r="BO409" s="111"/>
      <c r="BP409" s="111"/>
      <c r="BQ409" s="111"/>
      <c r="BR409" s="111"/>
      <c r="BS409" s="111"/>
      <c r="BT409" s="111"/>
      <c r="BU409" s="111"/>
      <c r="BV409" s="111"/>
      <c r="BW409" s="111"/>
      <c r="BX409" s="111"/>
      <c r="BY409" s="111"/>
      <c r="BZ409" s="111"/>
      <c r="CA409" s="111"/>
      <c r="CB409" s="111"/>
      <c r="CC409" s="178"/>
      <c r="CD409" s="177">
        <f t="shared" si="484"/>
        <v>0</v>
      </c>
      <c r="CE409" s="148"/>
      <c r="CF409" s="111">
        <f t="shared" si="485"/>
        <v>0</v>
      </c>
      <c r="CG409" s="177"/>
      <c r="CH409" s="204"/>
      <c r="CI409" s="148"/>
      <c r="CJ409" s="165"/>
      <c r="CK409" s="165"/>
      <c r="CL409" s="111"/>
      <c r="CM409" s="111"/>
      <c r="CN409" s="165">
        <f t="shared" si="486"/>
        <v>0</v>
      </c>
      <c r="CO409" s="109">
        <f t="shared" si="487"/>
        <v>0</v>
      </c>
      <c r="CP409" s="109">
        <f t="shared" si="488"/>
        <v>0</v>
      </c>
      <c r="CQ409" s="109"/>
      <c r="CR409" s="109"/>
      <c r="CS409" s="196"/>
      <c r="CT409" s="167"/>
      <c r="CU409" s="165"/>
      <c r="CV409" s="109">
        <f t="shared" si="489"/>
        <v>0</v>
      </c>
      <c r="CW409" s="109">
        <f t="shared" si="490"/>
        <v>0</v>
      </c>
      <c r="CX409" s="109"/>
      <c r="CY409" s="109"/>
      <c r="CZ409" s="111"/>
      <c r="DA409" s="111"/>
      <c r="DB409" s="165"/>
      <c r="DC409" s="109">
        <f t="shared" si="491"/>
        <v>0</v>
      </c>
      <c r="DD409" s="109">
        <f t="shared" si="492"/>
        <v>0</v>
      </c>
      <c r="DE409" s="109"/>
      <c r="DF409" s="109"/>
      <c r="DG409" s="111"/>
      <c r="DH409" s="111"/>
      <c r="DI409" s="165"/>
      <c r="DJ409" s="109">
        <f t="shared" si="493"/>
        <v>0</v>
      </c>
      <c r="DK409" s="109">
        <f t="shared" si="494"/>
        <v>0</v>
      </c>
      <c r="DL409" s="109"/>
      <c r="DM409" s="109"/>
      <c r="DN409" s="111"/>
      <c r="DO409" s="111"/>
      <c r="DP409" s="165"/>
      <c r="DQ409" s="109">
        <f t="shared" si="502"/>
        <v>0</v>
      </c>
      <c r="DR409" s="109">
        <f t="shared" si="503"/>
        <v>0</v>
      </c>
      <c r="DS409" s="109"/>
      <c r="DT409" s="109"/>
      <c r="DU409" s="111"/>
      <c r="DV409" s="111"/>
      <c r="DW409" s="165"/>
      <c r="DX409" s="109">
        <f t="shared" si="504"/>
        <v>0</v>
      </c>
      <c r="DY409" s="109">
        <f t="shared" si="505"/>
        <v>0</v>
      </c>
      <c r="DZ409" s="109"/>
      <c r="EA409" s="109"/>
      <c r="EB409" s="111"/>
      <c r="EC409" s="111"/>
      <c r="ED409" s="165"/>
      <c r="EE409" s="109">
        <f t="shared" si="506"/>
        <v>0</v>
      </c>
      <c r="EF409" s="109">
        <f t="shared" si="507"/>
        <v>0</v>
      </c>
      <c r="EG409" s="109"/>
      <c r="EH409" s="109"/>
      <c r="EI409" s="111"/>
      <c r="EJ409" s="111"/>
      <c r="EK409" s="165"/>
      <c r="EL409" s="109">
        <f t="shared" si="508"/>
        <v>0</v>
      </c>
      <c r="EM409" s="109">
        <f t="shared" si="509"/>
        <v>0</v>
      </c>
      <c r="EN409" s="109"/>
      <c r="EO409" s="109"/>
      <c r="EP409" s="111"/>
      <c r="EQ409" s="111"/>
      <c r="ER409" s="165"/>
      <c r="ES409" s="109">
        <f t="shared" si="510"/>
        <v>0</v>
      </c>
      <c r="ET409" s="109">
        <f t="shared" si="511"/>
        <v>0</v>
      </c>
      <c r="EU409" s="109"/>
      <c r="EV409" s="109"/>
      <c r="EW409" s="111"/>
      <c r="EX409" s="111"/>
      <c r="EY409" s="165"/>
      <c r="EZ409" s="109">
        <f t="shared" si="512"/>
        <v>0</v>
      </c>
      <c r="FA409" s="109">
        <f t="shared" si="513"/>
        <v>0</v>
      </c>
      <c r="FB409" s="109"/>
      <c r="FC409" s="109"/>
      <c r="FD409" s="111"/>
      <c r="FE409" s="111"/>
      <c r="FF409" s="165"/>
      <c r="FG409" s="109">
        <f t="shared" si="514"/>
        <v>0</v>
      </c>
      <c r="FH409" s="109">
        <f t="shared" si="515"/>
        <v>0</v>
      </c>
      <c r="FI409" s="109"/>
      <c r="FJ409" s="109"/>
      <c r="FK409" s="111"/>
      <c r="FL409" s="111"/>
      <c r="FM409" s="165"/>
      <c r="FN409" s="109">
        <f t="shared" si="516"/>
        <v>0</v>
      </c>
      <c r="FO409" s="109">
        <f t="shared" si="517"/>
        <v>0</v>
      </c>
      <c r="FP409" s="109"/>
      <c r="FQ409" s="109"/>
      <c r="FR409" s="111"/>
      <c r="FS409" s="111"/>
      <c r="FT409" s="165"/>
      <c r="FU409" s="109">
        <f t="shared" si="518"/>
        <v>0</v>
      </c>
      <c r="FV409" s="109">
        <f t="shared" si="476"/>
        <v>0</v>
      </c>
      <c r="FW409" s="109"/>
      <c r="FX409" s="109"/>
      <c r="FY409" s="111"/>
      <c r="FZ409" s="111"/>
      <c r="GA409" s="165"/>
      <c r="GB409" s="109">
        <f t="shared" si="519"/>
        <v>0</v>
      </c>
      <c r="GC409" s="109">
        <f t="shared" si="477"/>
        <v>0</v>
      </c>
      <c r="GD409" s="109"/>
      <c r="GE409" s="109"/>
      <c r="GF409" s="111"/>
      <c r="GG409" s="111"/>
      <c r="GH409" s="165"/>
      <c r="GI409" s="109">
        <f t="shared" si="520"/>
        <v>0</v>
      </c>
      <c r="GJ409" s="109">
        <f t="shared" si="478"/>
        <v>0</v>
      </c>
      <c r="GK409" s="109"/>
      <c r="GL409" s="109"/>
      <c r="GM409" s="111"/>
      <c r="GN409" s="111"/>
      <c r="GO409" s="165"/>
      <c r="GP409" s="109">
        <f t="shared" si="521"/>
        <v>0</v>
      </c>
      <c r="GQ409" s="109">
        <f t="shared" si="479"/>
        <v>0</v>
      </c>
      <c r="GR409" s="109"/>
      <c r="GS409" s="109"/>
      <c r="GT409" s="111"/>
      <c r="GU409" s="111"/>
      <c r="GV409" s="165"/>
      <c r="GW409" s="168">
        <f t="shared" si="522"/>
        <v>0</v>
      </c>
      <c r="GX409" s="168">
        <f t="shared" si="480"/>
        <v>0</v>
      </c>
      <c r="GY409" s="168"/>
      <c r="GZ409" s="168"/>
      <c r="HA409" s="111"/>
      <c r="HB409" s="111"/>
      <c r="HC409" s="165"/>
      <c r="HD409" s="109">
        <f t="shared" si="523"/>
        <v>0</v>
      </c>
      <c r="HE409" s="109">
        <f t="shared" si="481"/>
        <v>0</v>
      </c>
      <c r="HF409" s="109"/>
      <c r="HG409" s="109"/>
      <c r="HH409" s="111"/>
      <c r="HI409" s="111"/>
      <c r="HJ409" s="165"/>
      <c r="HK409" s="109">
        <f t="shared" si="524"/>
        <v>0</v>
      </c>
      <c r="HL409" s="109">
        <f t="shared" si="482"/>
        <v>0</v>
      </c>
      <c r="HM409" s="109"/>
      <c r="HN409" s="109"/>
      <c r="HO409" s="111"/>
      <c r="HP409" s="111"/>
      <c r="HQ409" s="165"/>
      <c r="HR409" s="109">
        <f t="shared" si="525"/>
        <v>0</v>
      </c>
      <c r="HS409" s="109">
        <f t="shared" si="483"/>
        <v>0</v>
      </c>
      <c r="HT409" s="109"/>
      <c r="HU409" s="109"/>
      <c r="HV409" s="111"/>
      <c r="HW409" s="111"/>
      <c r="HX409" s="105">
        <f t="shared" si="501"/>
        <v>0</v>
      </c>
      <c r="HY409" s="105">
        <f t="shared" si="501"/>
        <v>0</v>
      </c>
      <c r="HZ409" s="105">
        <f t="shared" si="501"/>
        <v>0</v>
      </c>
      <c r="IA409" s="105">
        <f t="shared" si="495"/>
        <v>0</v>
      </c>
      <c r="IB409" s="109">
        <f t="shared" si="496"/>
        <v>0</v>
      </c>
      <c r="IC409" s="109">
        <f t="shared" si="497"/>
        <v>0</v>
      </c>
      <c r="ID409" s="109">
        <f t="shared" si="498"/>
        <v>0</v>
      </c>
      <c r="IE409" s="109">
        <f t="shared" si="499"/>
        <v>0</v>
      </c>
      <c r="IF409" s="197"/>
      <c r="IG409" s="197"/>
      <c r="IH409" s="197"/>
      <c r="II409" s="197"/>
      <c r="IJ409" s="197"/>
      <c r="IK409" s="197"/>
      <c r="IL409" s="197"/>
      <c r="IM409" s="171"/>
      <c r="IN409" s="171"/>
      <c r="IO409" s="171"/>
      <c r="IP409" s="171"/>
    </row>
    <row r="410" spans="1:250" ht="15" customHeight="1" x14ac:dyDescent="0.3">
      <c r="A410" s="110">
        <f t="shared" si="500"/>
        <v>406</v>
      </c>
      <c r="B410" s="111"/>
      <c r="C410" s="111"/>
      <c r="D410" s="111"/>
      <c r="E410" s="111"/>
      <c r="F410" s="111"/>
      <c r="G410" s="111"/>
      <c r="H410" s="111"/>
      <c r="I410" s="194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75"/>
      <c r="AI410" s="111"/>
      <c r="AJ410" s="111"/>
      <c r="AK410" s="111"/>
      <c r="AL410" s="177"/>
      <c r="AM410" s="176"/>
      <c r="AN410" s="177"/>
      <c r="AO410" s="157"/>
      <c r="AP410" s="158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  <c r="BJ410" s="111"/>
      <c r="BK410" s="111"/>
      <c r="BL410" s="175"/>
      <c r="BM410" s="111"/>
      <c r="BN410" s="111"/>
      <c r="BO410" s="111"/>
      <c r="BP410" s="111"/>
      <c r="BQ410" s="111"/>
      <c r="BR410" s="111"/>
      <c r="BS410" s="111"/>
      <c r="BT410" s="111"/>
      <c r="BU410" s="111"/>
      <c r="BV410" s="111"/>
      <c r="BW410" s="111"/>
      <c r="BX410" s="111"/>
      <c r="BY410" s="111"/>
      <c r="BZ410" s="111"/>
      <c r="CA410" s="111"/>
      <c r="CB410" s="111"/>
      <c r="CC410" s="178"/>
      <c r="CD410" s="177">
        <f t="shared" si="484"/>
        <v>0</v>
      </c>
      <c r="CE410" s="148"/>
      <c r="CF410" s="111">
        <f t="shared" si="485"/>
        <v>0</v>
      </c>
      <c r="CG410" s="177"/>
      <c r="CH410" s="204"/>
      <c r="CI410" s="148"/>
      <c r="CJ410" s="165"/>
      <c r="CK410" s="165"/>
      <c r="CL410" s="111"/>
      <c r="CM410" s="111"/>
      <c r="CN410" s="165">
        <f t="shared" si="486"/>
        <v>0</v>
      </c>
      <c r="CO410" s="109">
        <f t="shared" si="487"/>
        <v>0</v>
      </c>
      <c r="CP410" s="109">
        <f t="shared" si="488"/>
        <v>0</v>
      </c>
      <c r="CQ410" s="109"/>
      <c r="CR410" s="109"/>
      <c r="CS410" s="196"/>
      <c r="CT410" s="167"/>
      <c r="CU410" s="165"/>
      <c r="CV410" s="109">
        <f t="shared" si="489"/>
        <v>0</v>
      </c>
      <c r="CW410" s="109">
        <f t="shared" si="490"/>
        <v>0</v>
      </c>
      <c r="CX410" s="109"/>
      <c r="CY410" s="109"/>
      <c r="CZ410" s="111"/>
      <c r="DA410" s="111"/>
      <c r="DB410" s="165"/>
      <c r="DC410" s="109">
        <f t="shared" si="491"/>
        <v>0</v>
      </c>
      <c r="DD410" s="109">
        <f t="shared" si="492"/>
        <v>0</v>
      </c>
      <c r="DE410" s="109"/>
      <c r="DF410" s="109"/>
      <c r="DG410" s="111"/>
      <c r="DH410" s="111"/>
      <c r="DI410" s="165"/>
      <c r="DJ410" s="109">
        <f t="shared" si="493"/>
        <v>0</v>
      </c>
      <c r="DK410" s="109">
        <f t="shared" si="494"/>
        <v>0</v>
      </c>
      <c r="DL410" s="109"/>
      <c r="DM410" s="109"/>
      <c r="DN410" s="111"/>
      <c r="DO410" s="111"/>
      <c r="DP410" s="165"/>
      <c r="DQ410" s="109">
        <f t="shared" si="502"/>
        <v>0</v>
      </c>
      <c r="DR410" s="109">
        <f t="shared" si="503"/>
        <v>0</v>
      </c>
      <c r="DS410" s="109"/>
      <c r="DT410" s="109"/>
      <c r="DU410" s="111"/>
      <c r="DV410" s="111"/>
      <c r="DW410" s="165"/>
      <c r="DX410" s="109">
        <f t="shared" si="504"/>
        <v>0</v>
      </c>
      <c r="DY410" s="109">
        <f t="shared" si="505"/>
        <v>0</v>
      </c>
      <c r="DZ410" s="109"/>
      <c r="EA410" s="109"/>
      <c r="EB410" s="111"/>
      <c r="EC410" s="111"/>
      <c r="ED410" s="165"/>
      <c r="EE410" s="109">
        <f t="shared" si="506"/>
        <v>0</v>
      </c>
      <c r="EF410" s="109">
        <f t="shared" si="507"/>
        <v>0</v>
      </c>
      <c r="EG410" s="109"/>
      <c r="EH410" s="109"/>
      <c r="EI410" s="111"/>
      <c r="EJ410" s="111"/>
      <c r="EK410" s="165"/>
      <c r="EL410" s="109">
        <f t="shared" si="508"/>
        <v>0</v>
      </c>
      <c r="EM410" s="109">
        <f t="shared" si="509"/>
        <v>0</v>
      </c>
      <c r="EN410" s="109"/>
      <c r="EO410" s="109"/>
      <c r="EP410" s="111"/>
      <c r="EQ410" s="111"/>
      <c r="ER410" s="165"/>
      <c r="ES410" s="109">
        <f t="shared" si="510"/>
        <v>0</v>
      </c>
      <c r="ET410" s="109">
        <f t="shared" si="511"/>
        <v>0</v>
      </c>
      <c r="EU410" s="109"/>
      <c r="EV410" s="109"/>
      <c r="EW410" s="111"/>
      <c r="EX410" s="111"/>
      <c r="EY410" s="165"/>
      <c r="EZ410" s="109">
        <f t="shared" si="512"/>
        <v>0</v>
      </c>
      <c r="FA410" s="109">
        <f t="shared" si="513"/>
        <v>0</v>
      </c>
      <c r="FB410" s="109"/>
      <c r="FC410" s="109"/>
      <c r="FD410" s="111"/>
      <c r="FE410" s="111"/>
      <c r="FF410" s="165"/>
      <c r="FG410" s="109">
        <f t="shared" si="514"/>
        <v>0</v>
      </c>
      <c r="FH410" s="109">
        <f t="shared" si="515"/>
        <v>0</v>
      </c>
      <c r="FI410" s="109"/>
      <c r="FJ410" s="109"/>
      <c r="FK410" s="111"/>
      <c r="FL410" s="111"/>
      <c r="FM410" s="165"/>
      <c r="FN410" s="109">
        <f t="shared" si="516"/>
        <v>0</v>
      </c>
      <c r="FO410" s="109">
        <f t="shared" si="517"/>
        <v>0</v>
      </c>
      <c r="FP410" s="109"/>
      <c r="FQ410" s="109"/>
      <c r="FR410" s="111"/>
      <c r="FS410" s="111"/>
      <c r="FT410" s="165"/>
      <c r="FU410" s="109">
        <f t="shared" si="518"/>
        <v>0</v>
      </c>
      <c r="FV410" s="109">
        <f t="shared" si="476"/>
        <v>0</v>
      </c>
      <c r="FW410" s="109"/>
      <c r="FX410" s="109"/>
      <c r="FY410" s="111"/>
      <c r="FZ410" s="111"/>
      <c r="GA410" s="165"/>
      <c r="GB410" s="109">
        <f t="shared" si="519"/>
        <v>0</v>
      </c>
      <c r="GC410" s="109">
        <f t="shared" si="477"/>
        <v>0</v>
      </c>
      <c r="GD410" s="109"/>
      <c r="GE410" s="109"/>
      <c r="GF410" s="111"/>
      <c r="GG410" s="111"/>
      <c r="GH410" s="165"/>
      <c r="GI410" s="109">
        <f t="shared" si="520"/>
        <v>0</v>
      </c>
      <c r="GJ410" s="109">
        <f t="shared" si="478"/>
        <v>0</v>
      </c>
      <c r="GK410" s="109"/>
      <c r="GL410" s="109"/>
      <c r="GM410" s="111"/>
      <c r="GN410" s="111"/>
      <c r="GO410" s="165"/>
      <c r="GP410" s="109">
        <f t="shared" si="521"/>
        <v>0</v>
      </c>
      <c r="GQ410" s="109">
        <f t="shared" si="479"/>
        <v>0</v>
      </c>
      <c r="GR410" s="109"/>
      <c r="GS410" s="109"/>
      <c r="GT410" s="111"/>
      <c r="GU410" s="111"/>
      <c r="GV410" s="165"/>
      <c r="GW410" s="168">
        <f t="shared" si="522"/>
        <v>0</v>
      </c>
      <c r="GX410" s="168">
        <f t="shared" si="480"/>
        <v>0</v>
      </c>
      <c r="GY410" s="168"/>
      <c r="GZ410" s="168"/>
      <c r="HA410" s="111"/>
      <c r="HB410" s="111"/>
      <c r="HC410" s="165"/>
      <c r="HD410" s="109">
        <f t="shared" si="523"/>
        <v>0</v>
      </c>
      <c r="HE410" s="109">
        <f t="shared" si="481"/>
        <v>0</v>
      </c>
      <c r="HF410" s="109"/>
      <c r="HG410" s="109"/>
      <c r="HH410" s="111"/>
      <c r="HI410" s="111"/>
      <c r="HJ410" s="165"/>
      <c r="HK410" s="109">
        <f t="shared" si="524"/>
        <v>0</v>
      </c>
      <c r="HL410" s="109">
        <f t="shared" si="482"/>
        <v>0</v>
      </c>
      <c r="HM410" s="109"/>
      <c r="HN410" s="109"/>
      <c r="HO410" s="111"/>
      <c r="HP410" s="111"/>
      <c r="HQ410" s="165"/>
      <c r="HR410" s="109">
        <f t="shared" si="525"/>
        <v>0</v>
      </c>
      <c r="HS410" s="109">
        <f t="shared" si="483"/>
        <v>0</v>
      </c>
      <c r="HT410" s="109"/>
      <c r="HU410" s="109"/>
      <c r="HV410" s="111"/>
      <c r="HW410" s="111"/>
      <c r="HX410" s="105">
        <f t="shared" si="501"/>
        <v>0</v>
      </c>
      <c r="HY410" s="105">
        <f t="shared" si="501"/>
        <v>0</v>
      </c>
      <c r="HZ410" s="105">
        <f t="shared" si="501"/>
        <v>0</v>
      </c>
      <c r="IA410" s="105">
        <f t="shared" si="495"/>
        <v>0</v>
      </c>
      <c r="IB410" s="109">
        <f t="shared" si="496"/>
        <v>0</v>
      </c>
      <c r="IC410" s="109">
        <f t="shared" si="497"/>
        <v>0</v>
      </c>
      <c r="ID410" s="109">
        <f t="shared" si="498"/>
        <v>0</v>
      </c>
      <c r="IE410" s="109">
        <f t="shared" si="499"/>
        <v>0</v>
      </c>
      <c r="IF410" s="197"/>
      <c r="IG410" s="197"/>
      <c r="IH410" s="197"/>
      <c r="II410" s="197"/>
      <c r="IJ410" s="197"/>
      <c r="IK410" s="197"/>
      <c r="IL410" s="197"/>
      <c r="IM410" s="171"/>
      <c r="IN410" s="171"/>
      <c r="IO410" s="171"/>
      <c r="IP410" s="171"/>
    </row>
    <row r="411" spans="1:250" ht="15" customHeight="1" x14ac:dyDescent="0.3">
      <c r="A411" s="110">
        <f t="shared" si="500"/>
        <v>407</v>
      </c>
      <c r="B411" s="111"/>
      <c r="C411" s="111"/>
      <c r="D411" s="111"/>
      <c r="E411" s="111"/>
      <c r="F411" s="111"/>
      <c r="G411" s="111"/>
      <c r="H411" s="111"/>
      <c r="I411" s="194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75"/>
      <c r="AI411" s="111"/>
      <c r="AJ411" s="111"/>
      <c r="AK411" s="111"/>
      <c r="AL411" s="177"/>
      <c r="AM411" s="176"/>
      <c r="AN411" s="177"/>
      <c r="AO411" s="157"/>
      <c r="AP411" s="158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  <c r="BJ411" s="111"/>
      <c r="BK411" s="111"/>
      <c r="BL411" s="175"/>
      <c r="BM411" s="111"/>
      <c r="BN411" s="111"/>
      <c r="BO411" s="111"/>
      <c r="BP411" s="111"/>
      <c r="BQ411" s="111"/>
      <c r="BR411" s="111"/>
      <c r="BS411" s="111"/>
      <c r="BT411" s="111"/>
      <c r="BU411" s="111"/>
      <c r="BV411" s="111"/>
      <c r="BW411" s="111"/>
      <c r="BX411" s="111"/>
      <c r="BY411" s="111"/>
      <c r="BZ411" s="111"/>
      <c r="CA411" s="111"/>
      <c r="CB411" s="111"/>
      <c r="CC411" s="178"/>
      <c r="CD411" s="177">
        <f t="shared" si="484"/>
        <v>0</v>
      </c>
      <c r="CE411" s="148"/>
      <c r="CF411" s="111">
        <f t="shared" si="485"/>
        <v>0</v>
      </c>
      <c r="CG411" s="177"/>
      <c r="CH411" s="204"/>
      <c r="CI411" s="148"/>
      <c r="CJ411" s="165"/>
      <c r="CK411" s="165"/>
      <c r="CL411" s="111"/>
      <c r="CM411" s="111"/>
      <c r="CN411" s="165">
        <f t="shared" si="486"/>
        <v>0</v>
      </c>
      <c r="CO411" s="109">
        <f t="shared" si="487"/>
        <v>0</v>
      </c>
      <c r="CP411" s="109">
        <f t="shared" si="488"/>
        <v>0</v>
      </c>
      <c r="CQ411" s="109"/>
      <c r="CR411" s="109"/>
      <c r="CS411" s="196"/>
      <c r="CT411" s="167"/>
      <c r="CU411" s="165"/>
      <c r="CV411" s="109">
        <f t="shared" si="489"/>
        <v>0</v>
      </c>
      <c r="CW411" s="109">
        <f t="shared" si="490"/>
        <v>0</v>
      </c>
      <c r="CX411" s="109"/>
      <c r="CY411" s="109"/>
      <c r="CZ411" s="111"/>
      <c r="DA411" s="111"/>
      <c r="DB411" s="165"/>
      <c r="DC411" s="109">
        <f t="shared" si="491"/>
        <v>0</v>
      </c>
      <c r="DD411" s="109">
        <f t="shared" si="492"/>
        <v>0</v>
      </c>
      <c r="DE411" s="109"/>
      <c r="DF411" s="109"/>
      <c r="DG411" s="111"/>
      <c r="DH411" s="111"/>
      <c r="DI411" s="165"/>
      <c r="DJ411" s="109">
        <f t="shared" si="493"/>
        <v>0</v>
      </c>
      <c r="DK411" s="109">
        <f t="shared" si="494"/>
        <v>0</v>
      </c>
      <c r="DL411" s="109"/>
      <c r="DM411" s="109"/>
      <c r="DN411" s="111"/>
      <c r="DO411" s="111"/>
      <c r="DP411" s="165"/>
      <c r="DQ411" s="109">
        <f t="shared" si="502"/>
        <v>0</v>
      </c>
      <c r="DR411" s="109">
        <f t="shared" si="503"/>
        <v>0</v>
      </c>
      <c r="DS411" s="109"/>
      <c r="DT411" s="109"/>
      <c r="DU411" s="111"/>
      <c r="DV411" s="111"/>
      <c r="DW411" s="165"/>
      <c r="DX411" s="109">
        <f t="shared" si="504"/>
        <v>0</v>
      </c>
      <c r="DY411" s="109">
        <f t="shared" si="505"/>
        <v>0</v>
      </c>
      <c r="DZ411" s="109"/>
      <c r="EA411" s="109"/>
      <c r="EB411" s="111"/>
      <c r="EC411" s="111"/>
      <c r="ED411" s="165"/>
      <c r="EE411" s="109">
        <f t="shared" si="506"/>
        <v>0</v>
      </c>
      <c r="EF411" s="109">
        <f t="shared" si="507"/>
        <v>0</v>
      </c>
      <c r="EG411" s="109"/>
      <c r="EH411" s="109"/>
      <c r="EI411" s="111"/>
      <c r="EJ411" s="111"/>
      <c r="EK411" s="165"/>
      <c r="EL411" s="109">
        <f t="shared" si="508"/>
        <v>0</v>
      </c>
      <c r="EM411" s="109">
        <f t="shared" si="509"/>
        <v>0</v>
      </c>
      <c r="EN411" s="109"/>
      <c r="EO411" s="109"/>
      <c r="EP411" s="111"/>
      <c r="EQ411" s="111"/>
      <c r="ER411" s="165"/>
      <c r="ES411" s="109">
        <f t="shared" si="510"/>
        <v>0</v>
      </c>
      <c r="ET411" s="109">
        <f t="shared" si="511"/>
        <v>0</v>
      </c>
      <c r="EU411" s="109"/>
      <c r="EV411" s="109"/>
      <c r="EW411" s="111"/>
      <c r="EX411" s="111"/>
      <c r="EY411" s="165"/>
      <c r="EZ411" s="109">
        <f t="shared" si="512"/>
        <v>0</v>
      </c>
      <c r="FA411" s="109">
        <f t="shared" si="513"/>
        <v>0</v>
      </c>
      <c r="FB411" s="109"/>
      <c r="FC411" s="109"/>
      <c r="FD411" s="111"/>
      <c r="FE411" s="111"/>
      <c r="FF411" s="165"/>
      <c r="FG411" s="109">
        <f t="shared" si="514"/>
        <v>0</v>
      </c>
      <c r="FH411" s="109">
        <f t="shared" si="515"/>
        <v>0</v>
      </c>
      <c r="FI411" s="109"/>
      <c r="FJ411" s="109"/>
      <c r="FK411" s="111"/>
      <c r="FL411" s="111"/>
      <c r="FM411" s="165"/>
      <c r="FN411" s="109">
        <f t="shared" si="516"/>
        <v>0</v>
      </c>
      <c r="FO411" s="109">
        <f t="shared" si="517"/>
        <v>0</v>
      </c>
      <c r="FP411" s="109"/>
      <c r="FQ411" s="109"/>
      <c r="FR411" s="111"/>
      <c r="FS411" s="111"/>
      <c r="FT411" s="165"/>
      <c r="FU411" s="109">
        <f t="shared" si="518"/>
        <v>0</v>
      </c>
      <c r="FV411" s="109">
        <f t="shared" si="476"/>
        <v>0</v>
      </c>
      <c r="FW411" s="109"/>
      <c r="FX411" s="109"/>
      <c r="FY411" s="111"/>
      <c r="FZ411" s="111"/>
      <c r="GA411" s="165"/>
      <c r="GB411" s="109">
        <f t="shared" si="519"/>
        <v>0</v>
      </c>
      <c r="GC411" s="109">
        <f t="shared" si="477"/>
        <v>0</v>
      </c>
      <c r="GD411" s="109"/>
      <c r="GE411" s="109"/>
      <c r="GF411" s="111"/>
      <c r="GG411" s="111"/>
      <c r="GH411" s="165"/>
      <c r="GI411" s="109">
        <f t="shared" si="520"/>
        <v>0</v>
      </c>
      <c r="GJ411" s="109">
        <f t="shared" si="478"/>
        <v>0</v>
      </c>
      <c r="GK411" s="109"/>
      <c r="GL411" s="109"/>
      <c r="GM411" s="111"/>
      <c r="GN411" s="111"/>
      <c r="GO411" s="165"/>
      <c r="GP411" s="109">
        <f t="shared" si="521"/>
        <v>0</v>
      </c>
      <c r="GQ411" s="109">
        <f t="shared" si="479"/>
        <v>0</v>
      </c>
      <c r="GR411" s="109"/>
      <c r="GS411" s="109"/>
      <c r="GT411" s="111"/>
      <c r="GU411" s="111"/>
      <c r="GV411" s="165"/>
      <c r="GW411" s="168">
        <f t="shared" si="522"/>
        <v>0</v>
      </c>
      <c r="GX411" s="168">
        <f t="shared" si="480"/>
        <v>0</v>
      </c>
      <c r="GY411" s="168"/>
      <c r="GZ411" s="168"/>
      <c r="HA411" s="111"/>
      <c r="HB411" s="111"/>
      <c r="HC411" s="165"/>
      <c r="HD411" s="109">
        <f t="shared" si="523"/>
        <v>0</v>
      </c>
      <c r="HE411" s="109">
        <f t="shared" si="481"/>
        <v>0</v>
      </c>
      <c r="HF411" s="109"/>
      <c r="HG411" s="109"/>
      <c r="HH411" s="111"/>
      <c r="HI411" s="111"/>
      <c r="HJ411" s="165"/>
      <c r="HK411" s="109">
        <f t="shared" si="524"/>
        <v>0</v>
      </c>
      <c r="HL411" s="109">
        <f t="shared" si="482"/>
        <v>0</v>
      </c>
      <c r="HM411" s="109"/>
      <c r="HN411" s="109"/>
      <c r="HO411" s="111"/>
      <c r="HP411" s="111"/>
      <c r="HQ411" s="165"/>
      <c r="HR411" s="109">
        <f t="shared" si="525"/>
        <v>0</v>
      </c>
      <c r="HS411" s="109">
        <f t="shared" si="483"/>
        <v>0</v>
      </c>
      <c r="HT411" s="109"/>
      <c r="HU411" s="109"/>
      <c r="HV411" s="111"/>
      <c r="HW411" s="111"/>
      <c r="HX411" s="105">
        <f t="shared" si="501"/>
        <v>0</v>
      </c>
      <c r="HY411" s="105">
        <f t="shared" si="501"/>
        <v>0</v>
      </c>
      <c r="HZ411" s="105">
        <f t="shared" si="501"/>
        <v>0</v>
      </c>
      <c r="IA411" s="105">
        <f t="shared" si="495"/>
        <v>0</v>
      </c>
      <c r="IB411" s="109">
        <f t="shared" si="496"/>
        <v>0</v>
      </c>
      <c r="IC411" s="109">
        <f t="shared" si="497"/>
        <v>0</v>
      </c>
      <c r="ID411" s="109">
        <f t="shared" si="498"/>
        <v>0</v>
      </c>
      <c r="IE411" s="109">
        <f t="shared" si="499"/>
        <v>0</v>
      </c>
      <c r="IF411" s="197"/>
      <c r="IG411" s="197"/>
      <c r="IH411" s="197"/>
      <c r="II411" s="197"/>
      <c r="IJ411" s="197"/>
      <c r="IK411" s="197"/>
      <c r="IL411" s="197"/>
      <c r="IM411" s="171"/>
      <c r="IN411" s="171"/>
      <c r="IO411" s="171"/>
      <c r="IP411" s="171"/>
    </row>
    <row r="412" spans="1:250" ht="15" customHeight="1" x14ac:dyDescent="0.3">
      <c r="A412" s="110">
        <f t="shared" si="500"/>
        <v>408</v>
      </c>
      <c r="B412" s="111"/>
      <c r="C412" s="111"/>
      <c r="D412" s="111"/>
      <c r="E412" s="111"/>
      <c r="F412" s="111"/>
      <c r="G412" s="111"/>
      <c r="H412" s="111"/>
      <c r="I412" s="194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75"/>
      <c r="AI412" s="111"/>
      <c r="AJ412" s="111"/>
      <c r="AK412" s="111"/>
      <c r="AL412" s="177"/>
      <c r="AM412" s="176"/>
      <c r="AN412" s="177"/>
      <c r="AO412" s="157"/>
      <c r="AP412" s="158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  <c r="BJ412" s="111"/>
      <c r="BK412" s="111"/>
      <c r="BL412" s="175"/>
      <c r="BM412" s="111"/>
      <c r="BN412" s="111"/>
      <c r="BO412" s="111"/>
      <c r="BP412" s="111"/>
      <c r="BQ412" s="111"/>
      <c r="BR412" s="111"/>
      <c r="BS412" s="111"/>
      <c r="BT412" s="111"/>
      <c r="BU412" s="111"/>
      <c r="BV412" s="111"/>
      <c r="BW412" s="111"/>
      <c r="BX412" s="111"/>
      <c r="BY412" s="111"/>
      <c r="BZ412" s="111"/>
      <c r="CA412" s="111"/>
      <c r="CB412" s="111"/>
      <c r="CC412" s="178"/>
      <c r="CD412" s="177">
        <f t="shared" si="484"/>
        <v>0</v>
      </c>
      <c r="CE412" s="148"/>
      <c r="CF412" s="111">
        <f t="shared" si="485"/>
        <v>0</v>
      </c>
      <c r="CG412" s="177"/>
      <c r="CH412" s="204"/>
      <c r="CI412" s="148"/>
      <c r="CJ412" s="165"/>
      <c r="CK412" s="165"/>
      <c r="CL412" s="111"/>
      <c r="CM412" s="111"/>
      <c r="CN412" s="165">
        <f t="shared" si="486"/>
        <v>0</v>
      </c>
      <c r="CO412" s="109">
        <f t="shared" si="487"/>
        <v>0</v>
      </c>
      <c r="CP412" s="109">
        <f t="shared" si="488"/>
        <v>0</v>
      </c>
      <c r="CQ412" s="109"/>
      <c r="CR412" s="109"/>
      <c r="CS412" s="196"/>
      <c r="CT412" s="167"/>
      <c r="CU412" s="165"/>
      <c r="CV412" s="109">
        <f t="shared" si="489"/>
        <v>0</v>
      </c>
      <c r="CW412" s="109">
        <f t="shared" si="490"/>
        <v>0</v>
      </c>
      <c r="CX412" s="109"/>
      <c r="CY412" s="109"/>
      <c r="CZ412" s="111"/>
      <c r="DA412" s="111"/>
      <c r="DB412" s="165"/>
      <c r="DC412" s="109">
        <f t="shared" si="491"/>
        <v>0</v>
      </c>
      <c r="DD412" s="109">
        <f t="shared" si="492"/>
        <v>0</v>
      </c>
      <c r="DE412" s="109"/>
      <c r="DF412" s="109"/>
      <c r="DG412" s="111"/>
      <c r="DH412" s="111"/>
      <c r="DI412" s="165"/>
      <c r="DJ412" s="109">
        <f t="shared" si="493"/>
        <v>0</v>
      </c>
      <c r="DK412" s="109">
        <f t="shared" si="494"/>
        <v>0</v>
      </c>
      <c r="DL412" s="109"/>
      <c r="DM412" s="109"/>
      <c r="DN412" s="111"/>
      <c r="DO412" s="111"/>
      <c r="DP412" s="165"/>
      <c r="DQ412" s="109">
        <f t="shared" si="502"/>
        <v>0</v>
      </c>
      <c r="DR412" s="109">
        <f t="shared" si="503"/>
        <v>0</v>
      </c>
      <c r="DS412" s="109"/>
      <c r="DT412" s="109"/>
      <c r="DU412" s="111"/>
      <c r="DV412" s="111"/>
      <c r="DW412" s="165"/>
      <c r="DX412" s="109">
        <f t="shared" si="504"/>
        <v>0</v>
      </c>
      <c r="DY412" s="109">
        <f t="shared" si="505"/>
        <v>0</v>
      </c>
      <c r="DZ412" s="109"/>
      <c r="EA412" s="109"/>
      <c r="EB412" s="111"/>
      <c r="EC412" s="111"/>
      <c r="ED412" s="165"/>
      <c r="EE412" s="109">
        <f t="shared" si="506"/>
        <v>0</v>
      </c>
      <c r="EF412" s="109">
        <f t="shared" si="507"/>
        <v>0</v>
      </c>
      <c r="EG412" s="109"/>
      <c r="EH412" s="109"/>
      <c r="EI412" s="111"/>
      <c r="EJ412" s="111"/>
      <c r="EK412" s="165"/>
      <c r="EL412" s="109">
        <f t="shared" si="508"/>
        <v>0</v>
      </c>
      <c r="EM412" s="109">
        <f t="shared" si="509"/>
        <v>0</v>
      </c>
      <c r="EN412" s="109"/>
      <c r="EO412" s="109"/>
      <c r="EP412" s="111"/>
      <c r="EQ412" s="111"/>
      <c r="ER412" s="165"/>
      <c r="ES412" s="109">
        <f t="shared" si="510"/>
        <v>0</v>
      </c>
      <c r="ET412" s="109">
        <f t="shared" si="511"/>
        <v>0</v>
      </c>
      <c r="EU412" s="109"/>
      <c r="EV412" s="109"/>
      <c r="EW412" s="111"/>
      <c r="EX412" s="111"/>
      <c r="EY412" s="165"/>
      <c r="EZ412" s="109">
        <f t="shared" si="512"/>
        <v>0</v>
      </c>
      <c r="FA412" s="109">
        <f t="shared" si="513"/>
        <v>0</v>
      </c>
      <c r="FB412" s="109"/>
      <c r="FC412" s="109"/>
      <c r="FD412" s="111"/>
      <c r="FE412" s="111"/>
      <c r="FF412" s="165"/>
      <c r="FG412" s="109">
        <f t="shared" si="514"/>
        <v>0</v>
      </c>
      <c r="FH412" s="109">
        <f t="shared" si="515"/>
        <v>0</v>
      </c>
      <c r="FI412" s="109"/>
      <c r="FJ412" s="109"/>
      <c r="FK412" s="111"/>
      <c r="FL412" s="111"/>
      <c r="FM412" s="165"/>
      <c r="FN412" s="109">
        <f t="shared" si="516"/>
        <v>0</v>
      </c>
      <c r="FO412" s="109">
        <f t="shared" si="517"/>
        <v>0</v>
      </c>
      <c r="FP412" s="109"/>
      <c r="FQ412" s="109"/>
      <c r="FR412" s="111"/>
      <c r="FS412" s="111"/>
      <c r="FT412" s="165"/>
      <c r="FU412" s="109">
        <f t="shared" si="518"/>
        <v>0</v>
      </c>
      <c r="FV412" s="109">
        <f t="shared" si="476"/>
        <v>0</v>
      </c>
      <c r="FW412" s="109"/>
      <c r="FX412" s="109"/>
      <c r="FY412" s="111"/>
      <c r="FZ412" s="111"/>
      <c r="GA412" s="165"/>
      <c r="GB412" s="109">
        <f t="shared" si="519"/>
        <v>0</v>
      </c>
      <c r="GC412" s="109">
        <f t="shared" si="477"/>
        <v>0</v>
      </c>
      <c r="GD412" s="109"/>
      <c r="GE412" s="109"/>
      <c r="GF412" s="111"/>
      <c r="GG412" s="111"/>
      <c r="GH412" s="165"/>
      <c r="GI412" s="109">
        <f t="shared" si="520"/>
        <v>0</v>
      </c>
      <c r="GJ412" s="109">
        <f t="shared" si="478"/>
        <v>0</v>
      </c>
      <c r="GK412" s="109"/>
      <c r="GL412" s="109"/>
      <c r="GM412" s="111"/>
      <c r="GN412" s="111"/>
      <c r="GO412" s="165"/>
      <c r="GP412" s="109">
        <f t="shared" si="521"/>
        <v>0</v>
      </c>
      <c r="GQ412" s="109">
        <f t="shared" si="479"/>
        <v>0</v>
      </c>
      <c r="GR412" s="109"/>
      <c r="GS412" s="109"/>
      <c r="GT412" s="111"/>
      <c r="GU412" s="111"/>
      <c r="GV412" s="165"/>
      <c r="GW412" s="168">
        <f t="shared" si="522"/>
        <v>0</v>
      </c>
      <c r="GX412" s="168">
        <f t="shared" si="480"/>
        <v>0</v>
      </c>
      <c r="GY412" s="168"/>
      <c r="GZ412" s="168"/>
      <c r="HA412" s="111"/>
      <c r="HB412" s="111"/>
      <c r="HC412" s="165"/>
      <c r="HD412" s="109">
        <f t="shared" si="523"/>
        <v>0</v>
      </c>
      <c r="HE412" s="109">
        <f t="shared" si="481"/>
        <v>0</v>
      </c>
      <c r="HF412" s="109"/>
      <c r="HG412" s="109"/>
      <c r="HH412" s="111"/>
      <c r="HI412" s="111"/>
      <c r="HJ412" s="165"/>
      <c r="HK412" s="109">
        <f t="shared" si="524"/>
        <v>0</v>
      </c>
      <c r="HL412" s="109">
        <f t="shared" si="482"/>
        <v>0</v>
      </c>
      <c r="HM412" s="109"/>
      <c r="HN412" s="109"/>
      <c r="HO412" s="111"/>
      <c r="HP412" s="111"/>
      <c r="HQ412" s="165"/>
      <c r="HR412" s="109">
        <f t="shared" si="525"/>
        <v>0</v>
      </c>
      <c r="HS412" s="109">
        <f t="shared" si="483"/>
        <v>0</v>
      </c>
      <c r="HT412" s="109"/>
      <c r="HU412" s="109"/>
      <c r="HV412" s="111"/>
      <c r="HW412" s="111"/>
      <c r="HX412" s="105">
        <f t="shared" si="501"/>
        <v>0</v>
      </c>
      <c r="HY412" s="105">
        <f t="shared" si="501"/>
        <v>0</v>
      </c>
      <c r="HZ412" s="105">
        <f t="shared" si="501"/>
        <v>0</v>
      </c>
      <c r="IA412" s="105">
        <f t="shared" si="495"/>
        <v>0</v>
      </c>
      <c r="IB412" s="109">
        <f t="shared" si="496"/>
        <v>0</v>
      </c>
      <c r="IC412" s="109">
        <f t="shared" si="497"/>
        <v>0</v>
      </c>
      <c r="ID412" s="109">
        <f t="shared" si="498"/>
        <v>0</v>
      </c>
      <c r="IE412" s="109">
        <f t="shared" si="499"/>
        <v>0</v>
      </c>
      <c r="IF412" s="197"/>
      <c r="IG412" s="197"/>
      <c r="IH412" s="197"/>
      <c r="II412" s="197"/>
      <c r="IJ412" s="197"/>
      <c r="IK412" s="197"/>
      <c r="IL412" s="197"/>
      <c r="IM412" s="171"/>
      <c r="IN412" s="171"/>
      <c r="IO412" s="171"/>
      <c r="IP412" s="171"/>
    </row>
    <row r="413" spans="1:250" ht="15" customHeight="1" x14ac:dyDescent="0.3">
      <c r="A413" s="110">
        <f t="shared" si="500"/>
        <v>409</v>
      </c>
      <c r="B413" s="111"/>
      <c r="C413" s="111"/>
      <c r="D413" s="111"/>
      <c r="E413" s="111"/>
      <c r="F413" s="111"/>
      <c r="G413" s="111"/>
      <c r="H413" s="111"/>
      <c r="I413" s="194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75"/>
      <c r="AI413" s="111"/>
      <c r="AJ413" s="111"/>
      <c r="AK413" s="111"/>
      <c r="AL413" s="177"/>
      <c r="AM413" s="176"/>
      <c r="AN413" s="177"/>
      <c r="AO413" s="157"/>
      <c r="AP413" s="158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  <c r="BG413" s="111"/>
      <c r="BH413" s="111"/>
      <c r="BI413" s="111"/>
      <c r="BJ413" s="111"/>
      <c r="BK413" s="111"/>
      <c r="BL413" s="175"/>
      <c r="BM413" s="111"/>
      <c r="BN413" s="111"/>
      <c r="BO413" s="111"/>
      <c r="BP413" s="111"/>
      <c r="BQ413" s="111"/>
      <c r="BR413" s="111"/>
      <c r="BS413" s="111"/>
      <c r="BT413" s="111"/>
      <c r="BU413" s="111"/>
      <c r="BV413" s="111"/>
      <c r="BW413" s="111"/>
      <c r="BX413" s="111"/>
      <c r="BY413" s="111"/>
      <c r="BZ413" s="111"/>
      <c r="CA413" s="111"/>
      <c r="CB413" s="111"/>
      <c r="CC413" s="178"/>
      <c r="CD413" s="177">
        <f t="shared" si="484"/>
        <v>0</v>
      </c>
      <c r="CE413" s="148"/>
      <c r="CF413" s="111">
        <f t="shared" si="485"/>
        <v>0</v>
      </c>
      <c r="CG413" s="177"/>
      <c r="CH413" s="204"/>
      <c r="CI413" s="148"/>
      <c r="CJ413" s="165"/>
      <c r="CK413" s="165"/>
      <c r="CL413" s="111"/>
      <c r="CM413" s="111"/>
      <c r="CN413" s="165">
        <f t="shared" si="486"/>
        <v>0</v>
      </c>
      <c r="CO413" s="109">
        <f t="shared" si="487"/>
        <v>0</v>
      </c>
      <c r="CP413" s="109">
        <f t="shared" si="488"/>
        <v>0</v>
      </c>
      <c r="CQ413" s="109"/>
      <c r="CR413" s="109"/>
      <c r="CS413" s="196"/>
      <c r="CT413" s="167"/>
      <c r="CU413" s="165"/>
      <c r="CV413" s="109">
        <f t="shared" si="489"/>
        <v>0</v>
      </c>
      <c r="CW413" s="109">
        <f t="shared" si="490"/>
        <v>0</v>
      </c>
      <c r="CX413" s="109"/>
      <c r="CY413" s="109"/>
      <c r="CZ413" s="111"/>
      <c r="DA413" s="111"/>
      <c r="DB413" s="165"/>
      <c r="DC413" s="109">
        <f t="shared" si="491"/>
        <v>0</v>
      </c>
      <c r="DD413" s="109">
        <f t="shared" si="492"/>
        <v>0</v>
      </c>
      <c r="DE413" s="109"/>
      <c r="DF413" s="109"/>
      <c r="DG413" s="111"/>
      <c r="DH413" s="111"/>
      <c r="DI413" s="165"/>
      <c r="DJ413" s="109">
        <f t="shared" si="493"/>
        <v>0</v>
      </c>
      <c r="DK413" s="109">
        <f t="shared" si="494"/>
        <v>0</v>
      </c>
      <c r="DL413" s="109"/>
      <c r="DM413" s="109"/>
      <c r="DN413" s="111"/>
      <c r="DO413" s="111"/>
      <c r="DP413" s="165"/>
      <c r="DQ413" s="109">
        <f t="shared" si="502"/>
        <v>0</v>
      </c>
      <c r="DR413" s="109">
        <f t="shared" si="503"/>
        <v>0</v>
      </c>
      <c r="DS413" s="109"/>
      <c r="DT413" s="109"/>
      <c r="DU413" s="111"/>
      <c r="DV413" s="111"/>
      <c r="DW413" s="165"/>
      <c r="DX413" s="109">
        <f t="shared" si="504"/>
        <v>0</v>
      </c>
      <c r="DY413" s="109">
        <f t="shared" si="505"/>
        <v>0</v>
      </c>
      <c r="DZ413" s="109"/>
      <c r="EA413" s="109"/>
      <c r="EB413" s="111"/>
      <c r="EC413" s="111"/>
      <c r="ED413" s="165"/>
      <c r="EE413" s="109">
        <f t="shared" si="506"/>
        <v>0</v>
      </c>
      <c r="EF413" s="109">
        <f t="shared" si="507"/>
        <v>0</v>
      </c>
      <c r="EG413" s="109"/>
      <c r="EH413" s="109"/>
      <c r="EI413" s="111"/>
      <c r="EJ413" s="111"/>
      <c r="EK413" s="165"/>
      <c r="EL413" s="109">
        <f t="shared" si="508"/>
        <v>0</v>
      </c>
      <c r="EM413" s="109">
        <f t="shared" si="509"/>
        <v>0</v>
      </c>
      <c r="EN413" s="109"/>
      <c r="EO413" s="109"/>
      <c r="EP413" s="111"/>
      <c r="EQ413" s="111"/>
      <c r="ER413" s="165"/>
      <c r="ES413" s="109">
        <f t="shared" si="510"/>
        <v>0</v>
      </c>
      <c r="ET413" s="109">
        <f t="shared" si="511"/>
        <v>0</v>
      </c>
      <c r="EU413" s="109"/>
      <c r="EV413" s="109"/>
      <c r="EW413" s="111"/>
      <c r="EX413" s="111"/>
      <c r="EY413" s="165"/>
      <c r="EZ413" s="109">
        <f t="shared" si="512"/>
        <v>0</v>
      </c>
      <c r="FA413" s="109">
        <f t="shared" si="513"/>
        <v>0</v>
      </c>
      <c r="FB413" s="109"/>
      <c r="FC413" s="109"/>
      <c r="FD413" s="111"/>
      <c r="FE413" s="111"/>
      <c r="FF413" s="165"/>
      <c r="FG413" s="109">
        <f t="shared" si="514"/>
        <v>0</v>
      </c>
      <c r="FH413" s="109">
        <f t="shared" si="515"/>
        <v>0</v>
      </c>
      <c r="FI413" s="109"/>
      <c r="FJ413" s="109"/>
      <c r="FK413" s="111"/>
      <c r="FL413" s="111"/>
      <c r="FM413" s="165"/>
      <c r="FN413" s="109">
        <f t="shared" si="516"/>
        <v>0</v>
      </c>
      <c r="FO413" s="109">
        <f t="shared" si="517"/>
        <v>0</v>
      </c>
      <c r="FP413" s="109"/>
      <c r="FQ413" s="109"/>
      <c r="FR413" s="111"/>
      <c r="FS413" s="111"/>
      <c r="FT413" s="165"/>
      <c r="FU413" s="109">
        <f t="shared" si="518"/>
        <v>0</v>
      </c>
      <c r="FV413" s="109">
        <f t="shared" si="476"/>
        <v>0</v>
      </c>
      <c r="FW413" s="109"/>
      <c r="FX413" s="109"/>
      <c r="FY413" s="111"/>
      <c r="FZ413" s="111"/>
      <c r="GA413" s="165"/>
      <c r="GB413" s="109">
        <f t="shared" si="519"/>
        <v>0</v>
      </c>
      <c r="GC413" s="109">
        <f t="shared" si="477"/>
        <v>0</v>
      </c>
      <c r="GD413" s="109"/>
      <c r="GE413" s="109"/>
      <c r="GF413" s="111"/>
      <c r="GG413" s="111"/>
      <c r="GH413" s="165"/>
      <c r="GI413" s="109">
        <f t="shared" si="520"/>
        <v>0</v>
      </c>
      <c r="GJ413" s="109">
        <f t="shared" si="478"/>
        <v>0</v>
      </c>
      <c r="GK413" s="109"/>
      <c r="GL413" s="109"/>
      <c r="GM413" s="111"/>
      <c r="GN413" s="111"/>
      <c r="GO413" s="165"/>
      <c r="GP413" s="109">
        <f t="shared" si="521"/>
        <v>0</v>
      </c>
      <c r="GQ413" s="109">
        <f t="shared" si="479"/>
        <v>0</v>
      </c>
      <c r="GR413" s="109"/>
      <c r="GS413" s="109"/>
      <c r="GT413" s="111"/>
      <c r="GU413" s="111"/>
      <c r="GV413" s="165"/>
      <c r="GW413" s="168">
        <f t="shared" si="522"/>
        <v>0</v>
      </c>
      <c r="GX413" s="168">
        <f t="shared" si="480"/>
        <v>0</v>
      </c>
      <c r="GY413" s="168"/>
      <c r="GZ413" s="168"/>
      <c r="HA413" s="111"/>
      <c r="HB413" s="111"/>
      <c r="HC413" s="165"/>
      <c r="HD413" s="109">
        <f t="shared" si="523"/>
        <v>0</v>
      </c>
      <c r="HE413" s="109">
        <f t="shared" si="481"/>
        <v>0</v>
      </c>
      <c r="HF413" s="109"/>
      <c r="HG413" s="109"/>
      <c r="HH413" s="111"/>
      <c r="HI413" s="111"/>
      <c r="HJ413" s="165"/>
      <c r="HK413" s="109">
        <f t="shared" si="524"/>
        <v>0</v>
      </c>
      <c r="HL413" s="109">
        <f t="shared" si="482"/>
        <v>0</v>
      </c>
      <c r="HM413" s="109"/>
      <c r="HN413" s="109"/>
      <c r="HO413" s="111"/>
      <c r="HP413" s="111"/>
      <c r="HQ413" s="165"/>
      <c r="HR413" s="109">
        <f t="shared" si="525"/>
        <v>0</v>
      </c>
      <c r="HS413" s="109">
        <f t="shared" si="483"/>
        <v>0</v>
      </c>
      <c r="HT413" s="109"/>
      <c r="HU413" s="109"/>
      <c r="HV413" s="111"/>
      <c r="HW413" s="111"/>
      <c r="HX413" s="105">
        <f t="shared" si="501"/>
        <v>0</v>
      </c>
      <c r="HY413" s="105">
        <f t="shared" si="501"/>
        <v>0</v>
      </c>
      <c r="HZ413" s="105">
        <f t="shared" si="501"/>
        <v>0</v>
      </c>
      <c r="IA413" s="105">
        <f t="shared" si="495"/>
        <v>0</v>
      </c>
      <c r="IB413" s="109">
        <f t="shared" si="496"/>
        <v>0</v>
      </c>
      <c r="IC413" s="109">
        <f t="shared" si="497"/>
        <v>0</v>
      </c>
      <c r="ID413" s="109">
        <f t="shared" si="498"/>
        <v>0</v>
      </c>
      <c r="IE413" s="109">
        <f t="shared" si="499"/>
        <v>0</v>
      </c>
      <c r="IF413" s="197"/>
      <c r="IG413" s="197"/>
      <c r="IH413" s="197"/>
      <c r="II413" s="197"/>
      <c r="IJ413" s="197"/>
      <c r="IK413" s="197"/>
      <c r="IL413" s="197"/>
      <c r="IM413" s="171"/>
      <c r="IN413" s="171"/>
      <c r="IO413" s="171"/>
      <c r="IP413" s="171"/>
    </row>
    <row r="414" spans="1:250" ht="15" customHeight="1" x14ac:dyDescent="0.3">
      <c r="A414" s="110">
        <f t="shared" si="500"/>
        <v>410</v>
      </c>
      <c r="B414" s="111"/>
      <c r="C414" s="111"/>
      <c r="D414" s="111"/>
      <c r="E414" s="111"/>
      <c r="F414" s="111"/>
      <c r="G414" s="111"/>
      <c r="H414" s="111"/>
      <c r="I414" s="194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75"/>
      <c r="AI414" s="111"/>
      <c r="AJ414" s="111"/>
      <c r="AK414" s="111"/>
      <c r="AL414" s="177"/>
      <c r="AM414" s="176"/>
      <c r="AN414" s="177"/>
      <c r="AO414" s="157"/>
      <c r="AP414" s="158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  <c r="BJ414" s="111"/>
      <c r="BK414" s="111"/>
      <c r="BL414" s="175"/>
      <c r="BM414" s="111"/>
      <c r="BN414" s="111"/>
      <c r="BO414" s="111"/>
      <c r="BP414" s="111"/>
      <c r="BQ414" s="111"/>
      <c r="BR414" s="111"/>
      <c r="BS414" s="111"/>
      <c r="BT414" s="111"/>
      <c r="BU414" s="111"/>
      <c r="BV414" s="111"/>
      <c r="BW414" s="111"/>
      <c r="BX414" s="111"/>
      <c r="BY414" s="111"/>
      <c r="BZ414" s="111"/>
      <c r="CA414" s="111"/>
      <c r="CB414" s="111"/>
      <c r="CC414" s="178"/>
      <c r="CD414" s="177">
        <f t="shared" si="484"/>
        <v>0</v>
      </c>
      <c r="CE414" s="148"/>
      <c r="CF414" s="111">
        <f t="shared" si="485"/>
        <v>0</v>
      </c>
      <c r="CG414" s="177"/>
      <c r="CH414" s="204"/>
      <c r="CI414" s="148"/>
      <c r="CJ414" s="165"/>
      <c r="CK414" s="165"/>
      <c r="CL414" s="111"/>
      <c r="CM414" s="111"/>
      <c r="CN414" s="165">
        <f t="shared" si="486"/>
        <v>0</v>
      </c>
      <c r="CO414" s="109">
        <f t="shared" si="487"/>
        <v>0</v>
      </c>
      <c r="CP414" s="109">
        <f t="shared" si="488"/>
        <v>0</v>
      </c>
      <c r="CQ414" s="109"/>
      <c r="CR414" s="109"/>
      <c r="CS414" s="196"/>
      <c r="CT414" s="167"/>
      <c r="CU414" s="165"/>
      <c r="CV414" s="109">
        <f t="shared" si="489"/>
        <v>0</v>
      </c>
      <c r="CW414" s="109">
        <f t="shared" si="490"/>
        <v>0</v>
      </c>
      <c r="CX414" s="109"/>
      <c r="CY414" s="109"/>
      <c r="CZ414" s="111"/>
      <c r="DA414" s="111"/>
      <c r="DB414" s="165"/>
      <c r="DC414" s="109">
        <f t="shared" si="491"/>
        <v>0</v>
      </c>
      <c r="DD414" s="109">
        <f t="shared" si="492"/>
        <v>0</v>
      </c>
      <c r="DE414" s="109"/>
      <c r="DF414" s="109"/>
      <c r="DG414" s="111"/>
      <c r="DH414" s="111"/>
      <c r="DI414" s="165"/>
      <c r="DJ414" s="109">
        <f t="shared" si="493"/>
        <v>0</v>
      </c>
      <c r="DK414" s="109">
        <f t="shared" si="494"/>
        <v>0</v>
      </c>
      <c r="DL414" s="109"/>
      <c r="DM414" s="109"/>
      <c r="DN414" s="111"/>
      <c r="DO414" s="111"/>
      <c r="DP414" s="165"/>
      <c r="DQ414" s="109">
        <f t="shared" si="502"/>
        <v>0</v>
      </c>
      <c r="DR414" s="109">
        <f t="shared" si="503"/>
        <v>0</v>
      </c>
      <c r="DS414" s="109"/>
      <c r="DT414" s="109"/>
      <c r="DU414" s="111"/>
      <c r="DV414" s="111"/>
      <c r="DW414" s="165"/>
      <c r="DX414" s="109">
        <f t="shared" si="504"/>
        <v>0</v>
      </c>
      <c r="DY414" s="109">
        <f t="shared" si="505"/>
        <v>0</v>
      </c>
      <c r="DZ414" s="109"/>
      <c r="EA414" s="109"/>
      <c r="EB414" s="111"/>
      <c r="EC414" s="111"/>
      <c r="ED414" s="165"/>
      <c r="EE414" s="109">
        <f t="shared" si="506"/>
        <v>0</v>
      </c>
      <c r="EF414" s="109">
        <f t="shared" si="507"/>
        <v>0</v>
      </c>
      <c r="EG414" s="109"/>
      <c r="EH414" s="109"/>
      <c r="EI414" s="111"/>
      <c r="EJ414" s="111"/>
      <c r="EK414" s="165"/>
      <c r="EL414" s="109">
        <f t="shared" si="508"/>
        <v>0</v>
      </c>
      <c r="EM414" s="109">
        <f t="shared" si="509"/>
        <v>0</v>
      </c>
      <c r="EN414" s="109"/>
      <c r="EO414" s="109"/>
      <c r="EP414" s="111"/>
      <c r="EQ414" s="111"/>
      <c r="ER414" s="165"/>
      <c r="ES414" s="109">
        <f t="shared" si="510"/>
        <v>0</v>
      </c>
      <c r="ET414" s="109">
        <f t="shared" si="511"/>
        <v>0</v>
      </c>
      <c r="EU414" s="109"/>
      <c r="EV414" s="109"/>
      <c r="EW414" s="111"/>
      <c r="EX414" s="111"/>
      <c r="EY414" s="165"/>
      <c r="EZ414" s="109">
        <f t="shared" si="512"/>
        <v>0</v>
      </c>
      <c r="FA414" s="109">
        <f t="shared" si="513"/>
        <v>0</v>
      </c>
      <c r="FB414" s="109"/>
      <c r="FC414" s="109"/>
      <c r="FD414" s="111"/>
      <c r="FE414" s="111"/>
      <c r="FF414" s="165"/>
      <c r="FG414" s="109">
        <f t="shared" si="514"/>
        <v>0</v>
      </c>
      <c r="FH414" s="109">
        <f t="shared" si="515"/>
        <v>0</v>
      </c>
      <c r="FI414" s="109"/>
      <c r="FJ414" s="109"/>
      <c r="FK414" s="111"/>
      <c r="FL414" s="111"/>
      <c r="FM414" s="165"/>
      <c r="FN414" s="109">
        <f t="shared" si="516"/>
        <v>0</v>
      </c>
      <c r="FO414" s="109">
        <f t="shared" si="517"/>
        <v>0</v>
      </c>
      <c r="FP414" s="109"/>
      <c r="FQ414" s="109"/>
      <c r="FR414" s="111"/>
      <c r="FS414" s="111"/>
      <c r="FT414" s="165"/>
      <c r="FU414" s="109">
        <f t="shared" si="518"/>
        <v>0</v>
      </c>
      <c r="FV414" s="109">
        <f t="shared" si="476"/>
        <v>0</v>
      </c>
      <c r="FW414" s="109"/>
      <c r="FX414" s="109"/>
      <c r="FY414" s="111"/>
      <c r="FZ414" s="111"/>
      <c r="GA414" s="165"/>
      <c r="GB414" s="109">
        <f t="shared" si="519"/>
        <v>0</v>
      </c>
      <c r="GC414" s="109">
        <f t="shared" si="477"/>
        <v>0</v>
      </c>
      <c r="GD414" s="109"/>
      <c r="GE414" s="109"/>
      <c r="GF414" s="111"/>
      <c r="GG414" s="111"/>
      <c r="GH414" s="165"/>
      <c r="GI414" s="109">
        <f t="shared" si="520"/>
        <v>0</v>
      </c>
      <c r="GJ414" s="109">
        <f t="shared" si="478"/>
        <v>0</v>
      </c>
      <c r="GK414" s="109"/>
      <c r="GL414" s="109"/>
      <c r="GM414" s="111"/>
      <c r="GN414" s="111"/>
      <c r="GO414" s="165"/>
      <c r="GP414" s="109">
        <f t="shared" si="521"/>
        <v>0</v>
      </c>
      <c r="GQ414" s="109">
        <f t="shared" si="479"/>
        <v>0</v>
      </c>
      <c r="GR414" s="109"/>
      <c r="GS414" s="109"/>
      <c r="GT414" s="111"/>
      <c r="GU414" s="111"/>
      <c r="GV414" s="165"/>
      <c r="GW414" s="168">
        <f t="shared" si="522"/>
        <v>0</v>
      </c>
      <c r="GX414" s="168">
        <f t="shared" si="480"/>
        <v>0</v>
      </c>
      <c r="GY414" s="168"/>
      <c r="GZ414" s="168"/>
      <c r="HA414" s="111"/>
      <c r="HB414" s="111"/>
      <c r="HC414" s="165"/>
      <c r="HD414" s="109">
        <f t="shared" si="523"/>
        <v>0</v>
      </c>
      <c r="HE414" s="109">
        <f t="shared" si="481"/>
        <v>0</v>
      </c>
      <c r="HF414" s="109"/>
      <c r="HG414" s="109"/>
      <c r="HH414" s="111"/>
      <c r="HI414" s="111"/>
      <c r="HJ414" s="165"/>
      <c r="HK414" s="109">
        <f t="shared" si="524"/>
        <v>0</v>
      </c>
      <c r="HL414" s="109">
        <f t="shared" si="482"/>
        <v>0</v>
      </c>
      <c r="HM414" s="109"/>
      <c r="HN414" s="109"/>
      <c r="HO414" s="111"/>
      <c r="HP414" s="111"/>
      <c r="HQ414" s="165"/>
      <c r="HR414" s="109">
        <f t="shared" si="525"/>
        <v>0</v>
      </c>
      <c r="HS414" s="109">
        <f t="shared" si="483"/>
        <v>0</v>
      </c>
      <c r="HT414" s="109"/>
      <c r="HU414" s="109"/>
      <c r="HV414" s="111"/>
      <c r="HW414" s="111"/>
      <c r="HX414" s="105">
        <f t="shared" si="501"/>
        <v>0</v>
      </c>
      <c r="HY414" s="105">
        <f t="shared" si="501"/>
        <v>0</v>
      </c>
      <c r="HZ414" s="105">
        <f t="shared" si="501"/>
        <v>0</v>
      </c>
      <c r="IA414" s="105">
        <f t="shared" si="495"/>
        <v>0</v>
      </c>
      <c r="IB414" s="109">
        <f t="shared" si="496"/>
        <v>0</v>
      </c>
      <c r="IC414" s="109">
        <f t="shared" si="497"/>
        <v>0</v>
      </c>
      <c r="ID414" s="109">
        <f t="shared" si="498"/>
        <v>0</v>
      </c>
      <c r="IE414" s="109">
        <f t="shared" si="499"/>
        <v>0</v>
      </c>
      <c r="IF414" s="197"/>
      <c r="IG414" s="197"/>
      <c r="IH414" s="197"/>
      <c r="II414" s="197"/>
      <c r="IJ414" s="197"/>
      <c r="IK414" s="197"/>
      <c r="IL414" s="197"/>
      <c r="IM414" s="171"/>
      <c r="IN414" s="171"/>
      <c r="IO414" s="171"/>
      <c r="IP414" s="171"/>
    </row>
    <row r="415" spans="1:250" ht="15" customHeight="1" x14ac:dyDescent="0.3">
      <c r="A415" s="110">
        <f t="shared" si="500"/>
        <v>411</v>
      </c>
      <c r="B415" s="111"/>
      <c r="C415" s="111"/>
      <c r="D415" s="111"/>
      <c r="E415" s="111"/>
      <c r="F415" s="111"/>
      <c r="G415" s="111"/>
      <c r="H415" s="111"/>
      <c r="I415" s="194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75"/>
      <c r="AI415" s="111"/>
      <c r="AJ415" s="111"/>
      <c r="AK415" s="111"/>
      <c r="AL415" s="177"/>
      <c r="AM415" s="176"/>
      <c r="AN415" s="177"/>
      <c r="AO415" s="157"/>
      <c r="AP415" s="158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  <c r="BJ415" s="111"/>
      <c r="BK415" s="111"/>
      <c r="BL415" s="175"/>
      <c r="BM415" s="111"/>
      <c r="BN415" s="111"/>
      <c r="BO415" s="111"/>
      <c r="BP415" s="111"/>
      <c r="BQ415" s="111"/>
      <c r="BR415" s="111"/>
      <c r="BS415" s="111"/>
      <c r="BT415" s="111"/>
      <c r="BU415" s="111"/>
      <c r="BV415" s="111"/>
      <c r="BW415" s="111"/>
      <c r="BX415" s="111"/>
      <c r="BY415" s="111"/>
      <c r="BZ415" s="111"/>
      <c r="CA415" s="111"/>
      <c r="CB415" s="111"/>
      <c r="CC415" s="178"/>
      <c r="CD415" s="177">
        <f t="shared" si="484"/>
        <v>0</v>
      </c>
      <c r="CE415" s="148"/>
      <c r="CF415" s="111">
        <f t="shared" si="485"/>
        <v>0</v>
      </c>
      <c r="CG415" s="177"/>
      <c r="CH415" s="204"/>
      <c r="CI415" s="148"/>
      <c r="CJ415" s="165"/>
      <c r="CK415" s="165"/>
      <c r="CL415" s="111"/>
      <c r="CM415" s="111"/>
      <c r="CN415" s="165">
        <f t="shared" si="486"/>
        <v>0</v>
      </c>
      <c r="CO415" s="109">
        <f t="shared" si="487"/>
        <v>0</v>
      </c>
      <c r="CP415" s="109">
        <f t="shared" si="488"/>
        <v>0</v>
      </c>
      <c r="CQ415" s="109"/>
      <c r="CR415" s="109"/>
      <c r="CS415" s="196"/>
      <c r="CT415" s="167"/>
      <c r="CU415" s="165"/>
      <c r="CV415" s="109">
        <f t="shared" si="489"/>
        <v>0</v>
      </c>
      <c r="CW415" s="109">
        <f t="shared" si="490"/>
        <v>0</v>
      </c>
      <c r="CX415" s="109"/>
      <c r="CY415" s="109"/>
      <c r="CZ415" s="111"/>
      <c r="DA415" s="111"/>
      <c r="DB415" s="165"/>
      <c r="DC415" s="109">
        <f t="shared" si="491"/>
        <v>0</v>
      </c>
      <c r="DD415" s="109">
        <f t="shared" si="492"/>
        <v>0</v>
      </c>
      <c r="DE415" s="109"/>
      <c r="DF415" s="109"/>
      <c r="DG415" s="111"/>
      <c r="DH415" s="111"/>
      <c r="DI415" s="165"/>
      <c r="DJ415" s="109">
        <f t="shared" si="493"/>
        <v>0</v>
      </c>
      <c r="DK415" s="109">
        <f t="shared" si="494"/>
        <v>0</v>
      </c>
      <c r="DL415" s="109"/>
      <c r="DM415" s="109"/>
      <c r="DN415" s="111"/>
      <c r="DO415" s="111"/>
      <c r="DP415" s="165"/>
      <c r="DQ415" s="109">
        <f t="shared" si="502"/>
        <v>0</v>
      </c>
      <c r="DR415" s="109">
        <f t="shared" si="503"/>
        <v>0</v>
      </c>
      <c r="DS415" s="109"/>
      <c r="DT415" s="109"/>
      <c r="DU415" s="111"/>
      <c r="DV415" s="111"/>
      <c r="DW415" s="165"/>
      <c r="DX415" s="109">
        <f t="shared" si="504"/>
        <v>0</v>
      </c>
      <c r="DY415" s="109">
        <f t="shared" si="505"/>
        <v>0</v>
      </c>
      <c r="DZ415" s="109"/>
      <c r="EA415" s="109"/>
      <c r="EB415" s="111"/>
      <c r="EC415" s="111"/>
      <c r="ED415" s="165"/>
      <c r="EE415" s="109">
        <f t="shared" si="506"/>
        <v>0</v>
      </c>
      <c r="EF415" s="109">
        <f t="shared" si="507"/>
        <v>0</v>
      </c>
      <c r="EG415" s="109"/>
      <c r="EH415" s="109"/>
      <c r="EI415" s="111"/>
      <c r="EJ415" s="111"/>
      <c r="EK415" s="165"/>
      <c r="EL415" s="109">
        <f t="shared" si="508"/>
        <v>0</v>
      </c>
      <c r="EM415" s="109">
        <f t="shared" si="509"/>
        <v>0</v>
      </c>
      <c r="EN415" s="109"/>
      <c r="EO415" s="109"/>
      <c r="EP415" s="111"/>
      <c r="EQ415" s="111"/>
      <c r="ER415" s="165"/>
      <c r="ES415" s="109">
        <f t="shared" si="510"/>
        <v>0</v>
      </c>
      <c r="ET415" s="109">
        <f t="shared" si="511"/>
        <v>0</v>
      </c>
      <c r="EU415" s="109"/>
      <c r="EV415" s="109"/>
      <c r="EW415" s="111"/>
      <c r="EX415" s="111"/>
      <c r="EY415" s="165"/>
      <c r="EZ415" s="109">
        <f t="shared" si="512"/>
        <v>0</v>
      </c>
      <c r="FA415" s="109">
        <f t="shared" si="513"/>
        <v>0</v>
      </c>
      <c r="FB415" s="109"/>
      <c r="FC415" s="109"/>
      <c r="FD415" s="111"/>
      <c r="FE415" s="111"/>
      <c r="FF415" s="165"/>
      <c r="FG415" s="109">
        <f t="shared" si="514"/>
        <v>0</v>
      </c>
      <c r="FH415" s="109">
        <f t="shared" si="515"/>
        <v>0</v>
      </c>
      <c r="FI415" s="109"/>
      <c r="FJ415" s="109"/>
      <c r="FK415" s="111"/>
      <c r="FL415" s="111"/>
      <c r="FM415" s="165"/>
      <c r="FN415" s="109">
        <f t="shared" si="516"/>
        <v>0</v>
      </c>
      <c r="FO415" s="109">
        <f t="shared" si="517"/>
        <v>0</v>
      </c>
      <c r="FP415" s="109"/>
      <c r="FQ415" s="109"/>
      <c r="FR415" s="111"/>
      <c r="FS415" s="111"/>
      <c r="FT415" s="165"/>
      <c r="FU415" s="109">
        <f t="shared" si="518"/>
        <v>0</v>
      </c>
      <c r="FV415" s="109">
        <f t="shared" si="476"/>
        <v>0</v>
      </c>
      <c r="FW415" s="109"/>
      <c r="FX415" s="109"/>
      <c r="FY415" s="111"/>
      <c r="FZ415" s="111"/>
      <c r="GA415" s="165"/>
      <c r="GB415" s="109">
        <f t="shared" si="519"/>
        <v>0</v>
      </c>
      <c r="GC415" s="109">
        <f t="shared" si="477"/>
        <v>0</v>
      </c>
      <c r="GD415" s="109"/>
      <c r="GE415" s="109"/>
      <c r="GF415" s="111"/>
      <c r="GG415" s="111"/>
      <c r="GH415" s="165"/>
      <c r="GI415" s="109">
        <f t="shared" si="520"/>
        <v>0</v>
      </c>
      <c r="GJ415" s="109">
        <f t="shared" si="478"/>
        <v>0</v>
      </c>
      <c r="GK415" s="109"/>
      <c r="GL415" s="109"/>
      <c r="GM415" s="111"/>
      <c r="GN415" s="111"/>
      <c r="GO415" s="165"/>
      <c r="GP415" s="109">
        <f t="shared" si="521"/>
        <v>0</v>
      </c>
      <c r="GQ415" s="109">
        <f t="shared" si="479"/>
        <v>0</v>
      </c>
      <c r="GR415" s="109"/>
      <c r="GS415" s="109"/>
      <c r="GT415" s="111"/>
      <c r="GU415" s="111"/>
      <c r="GV415" s="165"/>
      <c r="GW415" s="168">
        <f t="shared" si="522"/>
        <v>0</v>
      </c>
      <c r="GX415" s="168">
        <f t="shared" si="480"/>
        <v>0</v>
      </c>
      <c r="GY415" s="168"/>
      <c r="GZ415" s="168"/>
      <c r="HA415" s="111"/>
      <c r="HB415" s="111"/>
      <c r="HC415" s="165"/>
      <c r="HD415" s="109">
        <f t="shared" si="523"/>
        <v>0</v>
      </c>
      <c r="HE415" s="109">
        <f t="shared" si="481"/>
        <v>0</v>
      </c>
      <c r="HF415" s="109"/>
      <c r="HG415" s="109"/>
      <c r="HH415" s="111"/>
      <c r="HI415" s="111"/>
      <c r="HJ415" s="165"/>
      <c r="HK415" s="109">
        <f t="shared" si="524"/>
        <v>0</v>
      </c>
      <c r="HL415" s="109">
        <f t="shared" si="482"/>
        <v>0</v>
      </c>
      <c r="HM415" s="109"/>
      <c r="HN415" s="109"/>
      <c r="HO415" s="111"/>
      <c r="HP415" s="111"/>
      <c r="HQ415" s="165"/>
      <c r="HR415" s="109">
        <f t="shared" si="525"/>
        <v>0</v>
      </c>
      <c r="HS415" s="109">
        <f t="shared" si="483"/>
        <v>0</v>
      </c>
      <c r="HT415" s="109"/>
      <c r="HU415" s="109"/>
      <c r="HV415" s="111"/>
      <c r="HW415" s="111"/>
      <c r="HX415" s="105">
        <f t="shared" si="501"/>
        <v>0</v>
      </c>
      <c r="HY415" s="105">
        <f t="shared" si="501"/>
        <v>0</v>
      </c>
      <c r="HZ415" s="105">
        <f t="shared" si="501"/>
        <v>0</v>
      </c>
      <c r="IA415" s="105">
        <f t="shared" si="495"/>
        <v>0</v>
      </c>
      <c r="IB415" s="109">
        <f t="shared" si="496"/>
        <v>0</v>
      </c>
      <c r="IC415" s="109">
        <f t="shared" si="497"/>
        <v>0</v>
      </c>
      <c r="ID415" s="109">
        <f t="shared" si="498"/>
        <v>0</v>
      </c>
      <c r="IE415" s="109">
        <f t="shared" si="499"/>
        <v>0</v>
      </c>
      <c r="IF415" s="197"/>
      <c r="IG415" s="197"/>
      <c r="IH415" s="197"/>
      <c r="II415" s="197"/>
      <c r="IJ415" s="197"/>
      <c r="IK415" s="197"/>
      <c r="IL415" s="197"/>
      <c r="IM415" s="171"/>
      <c r="IN415" s="171"/>
      <c r="IO415" s="171"/>
      <c r="IP415" s="171"/>
    </row>
    <row r="416" spans="1:250" ht="15" customHeight="1" x14ac:dyDescent="0.3">
      <c r="A416" s="110">
        <f t="shared" si="500"/>
        <v>412</v>
      </c>
      <c r="B416" s="111"/>
      <c r="C416" s="111"/>
      <c r="D416" s="111"/>
      <c r="E416" s="111"/>
      <c r="F416" s="111"/>
      <c r="G416" s="111"/>
      <c r="H416" s="111"/>
      <c r="I416" s="194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75"/>
      <c r="AI416" s="111"/>
      <c r="AJ416" s="111"/>
      <c r="AK416" s="111"/>
      <c r="AL416" s="177"/>
      <c r="AM416" s="176"/>
      <c r="AN416" s="177"/>
      <c r="AO416" s="157"/>
      <c r="AP416" s="158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  <c r="BJ416" s="111"/>
      <c r="BK416" s="111"/>
      <c r="BL416" s="175"/>
      <c r="BM416" s="111"/>
      <c r="BN416" s="111"/>
      <c r="BO416" s="111"/>
      <c r="BP416" s="111"/>
      <c r="BQ416" s="111"/>
      <c r="BR416" s="111"/>
      <c r="BS416" s="111"/>
      <c r="BT416" s="111"/>
      <c r="BU416" s="111"/>
      <c r="BV416" s="111"/>
      <c r="BW416" s="111"/>
      <c r="BX416" s="111"/>
      <c r="BY416" s="111"/>
      <c r="BZ416" s="111"/>
      <c r="CA416" s="111"/>
      <c r="CB416" s="111"/>
      <c r="CC416" s="178"/>
      <c r="CD416" s="177">
        <f t="shared" si="484"/>
        <v>0</v>
      </c>
      <c r="CE416" s="148"/>
      <c r="CF416" s="111">
        <f t="shared" si="485"/>
        <v>0</v>
      </c>
      <c r="CG416" s="177"/>
      <c r="CH416" s="204"/>
      <c r="CI416" s="148"/>
      <c r="CJ416" s="165"/>
      <c r="CK416" s="165"/>
      <c r="CL416" s="111"/>
      <c r="CM416" s="111"/>
      <c r="CN416" s="165">
        <f t="shared" si="486"/>
        <v>0</v>
      </c>
      <c r="CO416" s="109">
        <f t="shared" si="487"/>
        <v>0</v>
      </c>
      <c r="CP416" s="109">
        <f t="shared" si="488"/>
        <v>0</v>
      </c>
      <c r="CQ416" s="109"/>
      <c r="CR416" s="109"/>
      <c r="CS416" s="196"/>
      <c r="CT416" s="167"/>
      <c r="CU416" s="165"/>
      <c r="CV416" s="109">
        <f t="shared" si="489"/>
        <v>0</v>
      </c>
      <c r="CW416" s="109">
        <f t="shared" si="490"/>
        <v>0</v>
      </c>
      <c r="CX416" s="109"/>
      <c r="CY416" s="109"/>
      <c r="CZ416" s="111"/>
      <c r="DA416" s="111"/>
      <c r="DB416" s="165"/>
      <c r="DC416" s="109">
        <f t="shared" si="491"/>
        <v>0</v>
      </c>
      <c r="DD416" s="109">
        <f t="shared" si="492"/>
        <v>0</v>
      </c>
      <c r="DE416" s="109"/>
      <c r="DF416" s="109"/>
      <c r="DG416" s="111"/>
      <c r="DH416" s="111"/>
      <c r="DI416" s="165"/>
      <c r="DJ416" s="109">
        <f t="shared" si="493"/>
        <v>0</v>
      </c>
      <c r="DK416" s="109">
        <f t="shared" si="494"/>
        <v>0</v>
      </c>
      <c r="DL416" s="109"/>
      <c r="DM416" s="109"/>
      <c r="DN416" s="111"/>
      <c r="DO416" s="111"/>
      <c r="DP416" s="165"/>
      <c r="DQ416" s="109">
        <f t="shared" si="502"/>
        <v>0</v>
      </c>
      <c r="DR416" s="109">
        <f t="shared" si="503"/>
        <v>0</v>
      </c>
      <c r="DS416" s="109"/>
      <c r="DT416" s="109"/>
      <c r="DU416" s="111"/>
      <c r="DV416" s="111"/>
      <c r="DW416" s="165"/>
      <c r="DX416" s="109">
        <f t="shared" si="504"/>
        <v>0</v>
      </c>
      <c r="DY416" s="109">
        <f t="shared" si="505"/>
        <v>0</v>
      </c>
      <c r="DZ416" s="109"/>
      <c r="EA416" s="109"/>
      <c r="EB416" s="111"/>
      <c r="EC416" s="111"/>
      <c r="ED416" s="165"/>
      <c r="EE416" s="109">
        <f t="shared" si="506"/>
        <v>0</v>
      </c>
      <c r="EF416" s="109">
        <f t="shared" si="507"/>
        <v>0</v>
      </c>
      <c r="EG416" s="109"/>
      <c r="EH416" s="109"/>
      <c r="EI416" s="111"/>
      <c r="EJ416" s="111"/>
      <c r="EK416" s="165"/>
      <c r="EL416" s="109">
        <f t="shared" si="508"/>
        <v>0</v>
      </c>
      <c r="EM416" s="109">
        <f t="shared" si="509"/>
        <v>0</v>
      </c>
      <c r="EN416" s="109"/>
      <c r="EO416" s="109"/>
      <c r="EP416" s="111"/>
      <c r="EQ416" s="111"/>
      <c r="ER416" s="165"/>
      <c r="ES416" s="109">
        <f t="shared" si="510"/>
        <v>0</v>
      </c>
      <c r="ET416" s="109">
        <f t="shared" si="511"/>
        <v>0</v>
      </c>
      <c r="EU416" s="109"/>
      <c r="EV416" s="109"/>
      <c r="EW416" s="111"/>
      <c r="EX416" s="111"/>
      <c r="EY416" s="165"/>
      <c r="EZ416" s="109">
        <f t="shared" si="512"/>
        <v>0</v>
      </c>
      <c r="FA416" s="109">
        <f t="shared" si="513"/>
        <v>0</v>
      </c>
      <c r="FB416" s="109"/>
      <c r="FC416" s="109"/>
      <c r="FD416" s="111"/>
      <c r="FE416" s="111"/>
      <c r="FF416" s="165"/>
      <c r="FG416" s="109">
        <f t="shared" si="514"/>
        <v>0</v>
      </c>
      <c r="FH416" s="109">
        <f t="shared" si="515"/>
        <v>0</v>
      </c>
      <c r="FI416" s="109"/>
      <c r="FJ416" s="109"/>
      <c r="FK416" s="111"/>
      <c r="FL416" s="111"/>
      <c r="FM416" s="165"/>
      <c r="FN416" s="109">
        <f t="shared" si="516"/>
        <v>0</v>
      </c>
      <c r="FO416" s="109">
        <f t="shared" si="517"/>
        <v>0</v>
      </c>
      <c r="FP416" s="109"/>
      <c r="FQ416" s="109"/>
      <c r="FR416" s="111"/>
      <c r="FS416" s="111"/>
      <c r="FT416" s="165"/>
      <c r="FU416" s="109">
        <f t="shared" si="518"/>
        <v>0</v>
      </c>
      <c r="FV416" s="109">
        <f t="shared" si="476"/>
        <v>0</v>
      </c>
      <c r="FW416" s="109"/>
      <c r="FX416" s="109"/>
      <c r="FY416" s="111"/>
      <c r="FZ416" s="111"/>
      <c r="GA416" s="165"/>
      <c r="GB416" s="109">
        <f t="shared" si="519"/>
        <v>0</v>
      </c>
      <c r="GC416" s="109">
        <f t="shared" si="477"/>
        <v>0</v>
      </c>
      <c r="GD416" s="109"/>
      <c r="GE416" s="109"/>
      <c r="GF416" s="111"/>
      <c r="GG416" s="111"/>
      <c r="GH416" s="165"/>
      <c r="GI416" s="109">
        <f t="shared" si="520"/>
        <v>0</v>
      </c>
      <c r="GJ416" s="109">
        <f t="shared" si="478"/>
        <v>0</v>
      </c>
      <c r="GK416" s="109"/>
      <c r="GL416" s="109"/>
      <c r="GM416" s="111"/>
      <c r="GN416" s="111"/>
      <c r="GO416" s="165"/>
      <c r="GP416" s="109">
        <f t="shared" si="521"/>
        <v>0</v>
      </c>
      <c r="GQ416" s="109">
        <f t="shared" si="479"/>
        <v>0</v>
      </c>
      <c r="GR416" s="109"/>
      <c r="GS416" s="109"/>
      <c r="GT416" s="111"/>
      <c r="GU416" s="111"/>
      <c r="GV416" s="165"/>
      <c r="GW416" s="168">
        <f t="shared" si="522"/>
        <v>0</v>
      </c>
      <c r="GX416" s="168">
        <f t="shared" si="480"/>
        <v>0</v>
      </c>
      <c r="GY416" s="168"/>
      <c r="GZ416" s="168"/>
      <c r="HA416" s="111"/>
      <c r="HB416" s="111"/>
      <c r="HC416" s="165"/>
      <c r="HD416" s="109">
        <f t="shared" si="523"/>
        <v>0</v>
      </c>
      <c r="HE416" s="109">
        <f t="shared" si="481"/>
        <v>0</v>
      </c>
      <c r="HF416" s="109"/>
      <c r="HG416" s="109"/>
      <c r="HH416" s="111"/>
      <c r="HI416" s="111"/>
      <c r="HJ416" s="165"/>
      <c r="HK416" s="109">
        <f t="shared" si="524"/>
        <v>0</v>
      </c>
      <c r="HL416" s="109">
        <f t="shared" si="482"/>
        <v>0</v>
      </c>
      <c r="HM416" s="109"/>
      <c r="HN416" s="109"/>
      <c r="HO416" s="111"/>
      <c r="HP416" s="111"/>
      <c r="HQ416" s="165"/>
      <c r="HR416" s="109">
        <f t="shared" si="525"/>
        <v>0</v>
      </c>
      <c r="HS416" s="109">
        <f t="shared" si="483"/>
        <v>0</v>
      </c>
      <c r="HT416" s="109"/>
      <c r="HU416" s="109"/>
      <c r="HV416" s="111"/>
      <c r="HW416" s="111"/>
      <c r="HX416" s="105">
        <f t="shared" si="501"/>
        <v>0</v>
      </c>
      <c r="HY416" s="105">
        <f t="shared" si="501"/>
        <v>0</v>
      </c>
      <c r="HZ416" s="105">
        <f t="shared" si="501"/>
        <v>0</v>
      </c>
      <c r="IA416" s="105">
        <f t="shared" si="495"/>
        <v>0</v>
      </c>
      <c r="IB416" s="109">
        <f t="shared" si="496"/>
        <v>0</v>
      </c>
      <c r="IC416" s="109">
        <f t="shared" si="497"/>
        <v>0</v>
      </c>
      <c r="ID416" s="109">
        <f t="shared" si="498"/>
        <v>0</v>
      </c>
      <c r="IE416" s="109">
        <f t="shared" si="499"/>
        <v>0</v>
      </c>
      <c r="IF416" s="197"/>
      <c r="IG416" s="197"/>
      <c r="IH416" s="197"/>
      <c r="II416" s="197"/>
      <c r="IJ416" s="197"/>
      <c r="IK416" s="197"/>
      <c r="IL416" s="197"/>
      <c r="IM416" s="171"/>
      <c r="IN416" s="171"/>
      <c r="IO416" s="171"/>
      <c r="IP416" s="171"/>
    </row>
    <row r="417" spans="1:250" ht="15" customHeight="1" x14ac:dyDescent="0.3">
      <c r="A417" s="110">
        <f t="shared" si="500"/>
        <v>413</v>
      </c>
      <c r="B417" s="111"/>
      <c r="C417" s="111"/>
      <c r="D417" s="111"/>
      <c r="E417" s="111"/>
      <c r="F417" s="111"/>
      <c r="G417" s="111"/>
      <c r="H417" s="111"/>
      <c r="I417" s="194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75"/>
      <c r="AI417" s="111"/>
      <c r="AJ417" s="111"/>
      <c r="AK417" s="111"/>
      <c r="AL417" s="177"/>
      <c r="AM417" s="176"/>
      <c r="AN417" s="177"/>
      <c r="AO417" s="157"/>
      <c r="AP417" s="158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75"/>
      <c r="BM417" s="111"/>
      <c r="BN417" s="111"/>
      <c r="BO417" s="111"/>
      <c r="BP417" s="111"/>
      <c r="BQ417" s="111"/>
      <c r="BR417" s="111"/>
      <c r="BS417" s="111"/>
      <c r="BT417" s="111"/>
      <c r="BU417" s="111"/>
      <c r="BV417" s="111"/>
      <c r="BW417" s="111"/>
      <c r="BX417" s="111"/>
      <c r="BY417" s="111"/>
      <c r="BZ417" s="111"/>
      <c r="CA417" s="111"/>
      <c r="CB417" s="111"/>
      <c r="CC417" s="178"/>
      <c r="CD417" s="177">
        <f t="shared" si="484"/>
        <v>0</v>
      </c>
      <c r="CE417" s="148"/>
      <c r="CF417" s="111">
        <f t="shared" si="485"/>
        <v>0</v>
      </c>
      <c r="CG417" s="177"/>
      <c r="CH417" s="204"/>
      <c r="CI417" s="148"/>
      <c r="CJ417" s="165"/>
      <c r="CK417" s="165"/>
      <c r="CL417" s="111"/>
      <c r="CM417" s="111"/>
      <c r="CN417" s="165">
        <f t="shared" si="486"/>
        <v>0</v>
      </c>
      <c r="CO417" s="109">
        <f t="shared" si="487"/>
        <v>0</v>
      </c>
      <c r="CP417" s="109">
        <f t="shared" si="488"/>
        <v>0</v>
      </c>
      <c r="CQ417" s="109"/>
      <c r="CR417" s="109"/>
      <c r="CS417" s="196"/>
      <c r="CT417" s="167"/>
      <c r="CU417" s="165"/>
      <c r="CV417" s="109">
        <f t="shared" si="489"/>
        <v>0</v>
      </c>
      <c r="CW417" s="109">
        <f t="shared" si="490"/>
        <v>0</v>
      </c>
      <c r="CX417" s="109"/>
      <c r="CY417" s="109"/>
      <c r="CZ417" s="111"/>
      <c r="DA417" s="111"/>
      <c r="DB417" s="165"/>
      <c r="DC417" s="109">
        <f t="shared" si="491"/>
        <v>0</v>
      </c>
      <c r="DD417" s="109">
        <f t="shared" si="492"/>
        <v>0</v>
      </c>
      <c r="DE417" s="109"/>
      <c r="DF417" s="109"/>
      <c r="DG417" s="111"/>
      <c r="DH417" s="111"/>
      <c r="DI417" s="165"/>
      <c r="DJ417" s="109">
        <f t="shared" si="493"/>
        <v>0</v>
      </c>
      <c r="DK417" s="109">
        <f t="shared" si="494"/>
        <v>0</v>
      </c>
      <c r="DL417" s="109"/>
      <c r="DM417" s="109"/>
      <c r="DN417" s="111"/>
      <c r="DO417" s="111"/>
      <c r="DP417" s="165"/>
      <c r="DQ417" s="109">
        <f t="shared" si="502"/>
        <v>0</v>
      </c>
      <c r="DR417" s="109">
        <f t="shared" si="503"/>
        <v>0</v>
      </c>
      <c r="DS417" s="109"/>
      <c r="DT417" s="109"/>
      <c r="DU417" s="111"/>
      <c r="DV417" s="111"/>
      <c r="DW417" s="165"/>
      <c r="DX417" s="109">
        <f t="shared" si="504"/>
        <v>0</v>
      </c>
      <c r="DY417" s="109">
        <f t="shared" si="505"/>
        <v>0</v>
      </c>
      <c r="DZ417" s="109"/>
      <c r="EA417" s="109"/>
      <c r="EB417" s="111"/>
      <c r="EC417" s="111"/>
      <c r="ED417" s="165"/>
      <c r="EE417" s="109">
        <f t="shared" si="506"/>
        <v>0</v>
      </c>
      <c r="EF417" s="109">
        <f t="shared" si="507"/>
        <v>0</v>
      </c>
      <c r="EG417" s="109"/>
      <c r="EH417" s="109"/>
      <c r="EI417" s="111"/>
      <c r="EJ417" s="111"/>
      <c r="EK417" s="165"/>
      <c r="EL417" s="109">
        <f t="shared" si="508"/>
        <v>0</v>
      </c>
      <c r="EM417" s="109">
        <f t="shared" si="509"/>
        <v>0</v>
      </c>
      <c r="EN417" s="109"/>
      <c r="EO417" s="109"/>
      <c r="EP417" s="111"/>
      <c r="EQ417" s="111"/>
      <c r="ER417" s="165"/>
      <c r="ES417" s="109">
        <f t="shared" si="510"/>
        <v>0</v>
      </c>
      <c r="ET417" s="109">
        <f t="shared" si="511"/>
        <v>0</v>
      </c>
      <c r="EU417" s="109"/>
      <c r="EV417" s="109"/>
      <c r="EW417" s="111"/>
      <c r="EX417" s="111"/>
      <c r="EY417" s="165"/>
      <c r="EZ417" s="109">
        <f t="shared" si="512"/>
        <v>0</v>
      </c>
      <c r="FA417" s="109">
        <f t="shared" si="513"/>
        <v>0</v>
      </c>
      <c r="FB417" s="109"/>
      <c r="FC417" s="109"/>
      <c r="FD417" s="111"/>
      <c r="FE417" s="111"/>
      <c r="FF417" s="165"/>
      <c r="FG417" s="109">
        <f t="shared" si="514"/>
        <v>0</v>
      </c>
      <c r="FH417" s="109">
        <f t="shared" si="515"/>
        <v>0</v>
      </c>
      <c r="FI417" s="109"/>
      <c r="FJ417" s="109"/>
      <c r="FK417" s="111"/>
      <c r="FL417" s="111"/>
      <c r="FM417" s="165"/>
      <c r="FN417" s="109">
        <f t="shared" si="516"/>
        <v>0</v>
      </c>
      <c r="FO417" s="109">
        <f t="shared" si="517"/>
        <v>0</v>
      </c>
      <c r="FP417" s="109"/>
      <c r="FQ417" s="109"/>
      <c r="FR417" s="111"/>
      <c r="FS417" s="111"/>
      <c r="FT417" s="165"/>
      <c r="FU417" s="109">
        <f t="shared" si="518"/>
        <v>0</v>
      </c>
      <c r="FV417" s="109">
        <f t="shared" si="476"/>
        <v>0</v>
      </c>
      <c r="FW417" s="109"/>
      <c r="FX417" s="109"/>
      <c r="FY417" s="111"/>
      <c r="FZ417" s="111"/>
      <c r="GA417" s="165"/>
      <c r="GB417" s="109">
        <f t="shared" si="519"/>
        <v>0</v>
      </c>
      <c r="GC417" s="109">
        <f t="shared" si="477"/>
        <v>0</v>
      </c>
      <c r="GD417" s="109"/>
      <c r="GE417" s="109"/>
      <c r="GF417" s="111"/>
      <c r="GG417" s="111"/>
      <c r="GH417" s="165"/>
      <c r="GI417" s="109">
        <f t="shared" si="520"/>
        <v>0</v>
      </c>
      <c r="GJ417" s="109">
        <f t="shared" si="478"/>
        <v>0</v>
      </c>
      <c r="GK417" s="109"/>
      <c r="GL417" s="109"/>
      <c r="GM417" s="111"/>
      <c r="GN417" s="111"/>
      <c r="GO417" s="165"/>
      <c r="GP417" s="109">
        <f t="shared" si="521"/>
        <v>0</v>
      </c>
      <c r="GQ417" s="109">
        <f t="shared" si="479"/>
        <v>0</v>
      </c>
      <c r="GR417" s="109"/>
      <c r="GS417" s="109"/>
      <c r="GT417" s="111"/>
      <c r="GU417" s="111"/>
      <c r="GV417" s="165"/>
      <c r="GW417" s="168">
        <f t="shared" si="522"/>
        <v>0</v>
      </c>
      <c r="GX417" s="168">
        <f t="shared" si="480"/>
        <v>0</v>
      </c>
      <c r="GY417" s="168"/>
      <c r="GZ417" s="168"/>
      <c r="HA417" s="111"/>
      <c r="HB417" s="111"/>
      <c r="HC417" s="165"/>
      <c r="HD417" s="109">
        <f t="shared" si="523"/>
        <v>0</v>
      </c>
      <c r="HE417" s="109">
        <f t="shared" si="481"/>
        <v>0</v>
      </c>
      <c r="HF417" s="109"/>
      <c r="HG417" s="109"/>
      <c r="HH417" s="111"/>
      <c r="HI417" s="111"/>
      <c r="HJ417" s="165"/>
      <c r="HK417" s="109">
        <f t="shared" si="524"/>
        <v>0</v>
      </c>
      <c r="HL417" s="109">
        <f t="shared" si="482"/>
        <v>0</v>
      </c>
      <c r="HM417" s="109"/>
      <c r="HN417" s="109"/>
      <c r="HO417" s="111"/>
      <c r="HP417" s="111"/>
      <c r="HQ417" s="165"/>
      <c r="HR417" s="109">
        <f t="shared" si="525"/>
        <v>0</v>
      </c>
      <c r="HS417" s="109">
        <f t="shared" si="483"/>
        <v>0</v>
      </c>
      <c r="HT417" s="109"/>
      <c r="HU417" s="109"/>
      <c r="HV417" s="111"/>
      <c r="HW417" s="111"/>
      <c r="HX417" s="105">
        <f t="shared" si="501"/>
        <v>0</v>
      </c>
      <c r="HY417" s="105">
        <f t="shared" si="501"/>
        <v>0</v>
      </c>
      <c r="HZ417" s="105">
        <f t="shared" si="501"/>
        <v>0</v>
      </c>
      <c r="IA417" s="105">
        <f t="shared" si="495"/>
        <v>0</v>
      </c>
      <c r="IB417" s="109">
        <f t="shared" si="496"/>
        <v>0</v>
      </c>
      <c r="IC417" s="109">
        <f t="shared" si="497"/>
        <v>0</v>
      </c>
      <c r="ID417" s="109">
        <f t="shared" si="498"/>
        <v>0</v>
      </c>
      <c r="IE417" s="109">
        <f t="shared" si="499"/>
        <v>0</v>
      </c>
      <c r="IF417" s="197"/>
      <c r="IG417" s="197"/>
      <c r="IH417" s="197"/>
      <c r="II417" s="197"/>
      <c r="IJ417" s="197"/>
      <c r="IK417" s="197"/>
      <c r="IL417" s="197"/>
      <c r="IM417" s="171"/>
      <c r="IN417" s="171"/>
      <c r="IO417" s="171"/>
      <c r="IP417" s="171"/>
    </row>
    <row r="418" spans="1:250" ht="15" customHeight="1" x14ac:dyDescent="0.3">
      <c r="A418" s="110">
        <f t="shared" si="500"/>
        <v>414</v>
      </c>
      <c r="B418" s="111"/>
      <c r="C418" s="111"/>
      <c r="D418" s="111"/>
      <c r="E418" s="111"/>
      <c r="F418" s="111"/>
      <c r="G418" s="111"/>
      <c r="H418" s="111"/>
      <c r="I418" s="194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75"/>
      <c r="AI418" s="111"/>
      <c r="AJ418" s="111"/>
      <c r="AK418" s="111"/>
      <c r="AL418" s="177"/>
      <c r="AM418" s="176"/>
      <c r="AN418" s="177"/>
      <c r="AO418" s="157"/>
      <c r="AP418" s="158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75"/>
      <c r="BM418" s="111"/>
      <c r="BN418" s="111"/>
      <c r="BO418" s="111"/>
      <c r="BP418" s="111"/>
      <c r="BQ418" s="111"/>
      <c r="BR418" s="111"/>
      <c r="BS418" s="111"/>
      <c r="BT418" s="111"/>
      <c r="BU418" s="111"/>
      <c r="BV418" s="111"/>
      <c r="BW418" s="111"/>
      <c r="BX418" s="111"/>
      <c r="BY418" s="111"/>
      <c r="BZ418" s="111"/>
      <c r="CA418" s="111"/>
      <c r="CB418" s="111"/>
      <c r="CC418" s="178"/>
      <c r="CD418" s="177">
        <f t="shared" si="484"/>
        <v>0</v>
      </c>
      <c r="CE418" s="148"/>
      <c r="CF418" s="111">
        <f t="shared" si="485"/>
        <v>0</v>
      </c>
      <c r="CG418" s="177"/>
      <c r="CH418" s="204"/>
      <c r="CI418" s="148"/>
      <c r="CJ418" s="165"/>
      <c r="CK418" s="165"/>
      <c r="CL418" s="111"/>
      <c r="CM418" s="111"/>
      <c r="CN418" s="165">
        <f t="shared" si="486"/>
        <v>0</v>
      </c>
      <c r="CO418" s="109">
        <f t="shared" si="487"/>
        <v>0</v>
      </c>
      <c r="CP418" s="109">
        <f t="shared" si="488"/>
        <v>0</v>
      </c>
      <c r="CQ418" s="109"/>
      <c r="CR418" s="109"/>
      <c r="CS418" s="196"/>
      <c r="CT418" s="167"/>
      <c r="CU418" s="165"/>
      <c r="CV418" s="109">
        <f t="shared" si="489"/>
        <v>0</v>
      </c>
      <c r="CW418" s="109">
        <f t="shared" si="490"/>
        <v>0</v>
      </c>
      <c r="CX418" s="109"/>
      <c r="CY418" s="109"/>
      <c r="CZ418" s="111"/>
      <c r="DA418" s="111"/>
      <c r="DB418" s="165"/>
      <c r="DC418" s="109">
        <f t="shared" si="491"/>
        <v>0</v>
      </c>
      <c r="DD418" s="109">
        <f t="shared" si="492"/>
        <v>0</v>
      </c>
      <c r="DE418" s="109"/>
      <c r="DF418" s="109"/>
      <c r="DG418" s="111"/>
      <c r="DH418" s="111"/>
      <c r="DI418" s="165"/>
      <c r="DJ418" s="109">
        <f t="shared" si="493"/>
        <v>0</v>
      </c>
      <c r="DK418" s="109">
        <f t="shared" si="494"/>
        <v>0</v>
      </c>
      <c r="DL418" s="109"/>
      <c r="DM418" s="109"/>
      <c r="DN418" s="111"/>
      <c r="DO418" s="111"/>
      <c r="DP418" s="165"/>
      <c r="DQ418" s="109">
        <f t="shared" si="502"/>
        <v>0</v>
      </c>
      <c r="DR418" s="109">
        <f t="shared" si="503"/>
        <v>0</v>
      </c>
      <c r="DS418" s="109"/>
      <c r="DT418" s="109"/>
      <c r="DU418" s="111"/>
      <c r="DV418" s="111"/>
      <c r="DW418" s="165"/>
      <c r="DX418" s="109">
        <f t="shared" si="504"/>
        <v>0</v>
      </c>
      <c r="DY418" s="109">
        <f t="shared" si="505"/>
        <v>0</v>
      </c>
      <c r="DZ418" s="109"/>
      <c r="EA418" s="109"/>
      <c r="EB418" s="111"/>
      <c r="EC418" s="111"/>
      <c r="ED418" s="165"/>
      <c r="EE418" s="109">
        <f t="shared" si="506"/>
        <v>0</v>
      </c>
      <c r="EF418" s="109">
        <f t="shared" si="507"/>
        <v>0</v>
      </c>
      <c r="EG418" s="109"/>
      <c r="EH418" s="109"/>
      <c r="EI418" s="111"/>
      <c r="EJ418" s="111"/>
      <c r="EK418" s="165"/>
      <c r="EL418" s="109">
        <f t="shared" si="508"/>
        <v>0</v>
      </c>
      <c r="EM418" s="109">
        <f t="shared" si="509"/>
        <v>0</v>
      </c>
      <c r="EN418" s="109"/>
      <c r="EO418" s="109"/>
      <c r="EP418" s="111"/>
      <c r="EQ418" s="111"/>
      <c r="ER418" s="165"/>
      <c r="ES418" s="109">
        <f t="shared" si="510"/>
        <v>0</v>
      </c>
      <c r="ET418" s="109">
        <f t="shared" si="511"/>
        <v>0</v>
      </c>
      <c r="EU418" s="109"/>
      <c r="EV418" s="109"/>
      <c r="EW418" s="111"/>
      <c r="EX418" s="111"/>
      <c r="EY418" s="165"/>
      <c r="EZ418" s="109">
        <f t="shared" si="512"/>
        <v>0</v>
      </c>
      <c r="FA418" s="109">
        <f t="shared" si="513"/>
        <v>0</v>
      </c>
      <c r="FB418" s="109"/>
      <c r="FC418" s="109"/>
      <c r="FD418" s="111"/>
      <c r="FE418" s="111"/>
      <c r="FF418" s="165"/>
      <c r="FG418" s="109">
        <f t="shared" si="514"/>
        <v>0</v>
      </c>
      <c r="FH418" s="109">
        <f t="shared" si="515"/>
        <v>0</v>
      </c>
      <c r="FI418" s="109"/>
      <c r="FJ418" s="109"/>
      <c r="FK418" s="111"/>
      <c r="FL418" s="111"/>
      <c r="FM418" s="165"/>
      <c r="FN418" s="109">
        <f t="shared" si="516"/>
        <v>0</v>
      </c>
      <c r="FO418" s="109">
        <f t="shared" si="517"/>
        <v>0</v>
      </c>
      <c r="FP418" s="109"/>
      <c r="FQ418" s="109"/>
      <c r="FR418" s="111"/>
      <c r="FS418" s="111"/>
      <c r="FT418" s="165"/>
      <c r="FU418" s="109">
        <f t="shared" si="518"/>
        <v>0</v>
      </c>
      <c r="FV418" s="109">
        <f t="shared" si="476"/>
        <v>0</v>
      </c>
      <c r="FW418" s="109"/>
      <c r="FX418" s="109"/>
      <c r="FY418" s="111"/>
      <c r="FZ418" s="111"/>
      <c r="GA418" s="165"/>
      <c r="GB418" s="109">
        <f t="shared" si="519"/>
        <v>0</v>
      </c>
      <c r="GC418" s="109">
        <f t="shared" si="477"/>
        <v>0</v>
      </c>
      <c r="GD418" s="109"/>
      <c r="GE418" s="109"/>
      <c r="GF418" s="111"/>
      <c r="GG418" s="111"/>
      <c r="GH418" s="165"/>
      <c r="GI418" s="109">
        <f t="shared" si="520"/>
        <v>0</v>
      </c>
      <c r="GJ418" s="109">
        <f t="shared" si="478"/>
        <v>0</v>
      </c>
      <c r="GK418" s="109"/>
      <c r="GL418" s="109"/>
      <c r="GM418" s="111"/>
      <c r="GN418" s="111"/>
      <c r="GO418" s="165"/>
      <c r="GP418" s="109">
        <f t="shared" si="521"/>
        <v>0</v>
      </c>
      <c r="GQ418" s="109">
        <f t="shared" si="479"/>
        <v>0</v>
      </c>
      <c r="GR418" s="109"/>
      <c r="GS418" s="109"/>
      <c r="GT418" s="111"/>
      <c r="GU418" s="111"/>
      <c r="GV418" s="165"/>
      <c r="GW418" s="168">
        <f t="shared" si="522"/>
        <v>0</v>
      </c>
      <c r="GX418" s="168">
        <f t="shared" si="480"/>
        <v>0</v>
      </c>
      <c r="GY418" s="168"/>
      <c r="GZ418" s="168"/>
      <c r="HA418" s="111"/>
      <c r="HB418" s="111"/>
      <c r="HC418" s="165"/>
      <c r="HD418" s="109">
        <f t="shared" si="523"/>
        <v>0</v>
      </c>
      <c r="HE418" s="109">
        <f t="shared" si="481"/>
        <v>0</v>
      </c>
      <c r="HF418" s="109"/>
      <c r="HG418" s="109"/>
      <c r="HH418" s="111"/>
      <c r="HI418" s="111"/>
      <c r="HJ418" s="165"/>
      <c r="HK418" s="109">
        <f t="shared" si="524"/>
        <v>0</v>
      </c>
      <c r="HL418" s="109">
        <f t="shared" si="482"/>
        <v>0</v>
      </c>
      <c r="HM418" s="109"/>
      <c r="HN418" s="109"/>
      <c r="HO418" s="111"/>
      <c r="HP418" s="111"/>
      <c r="HQ418" s="165"/>
      <c r="HR418" s="109">
        <f t="shared" si="525"/>
        <v>0</v>
      </c>
      <c r="HS418" s="109">
        <f t="shared" si="483"/>
        <v>0</v>
      </c>
      <c r="HT418" s="109"/>
      <c r="HU418" s="109"/>
      <c r="HV418" s="111"/>
      <c r="HW418" s="111"/>
      <c r="HX418" s="105">
        <f t="shared" si="501"/>
        <v>0</v>
      </c>
      <c r="HY418" s="105">
        <f t="shared" si="501"/>
        <v>0</v>
      </c>
      <c r="HZ418" s="105">
        <f t="shared" si="501"/>
        <v>0</v>
      </c>
      <c r="IA418" s="105">
        <f t="shared" si="495"/>
        <v>0</v>
      </c>
      <c r="IB418" s="109">
        <f t="shared" si="496"/>
        <v>0</v>
      </c>
      <c r="IC418" s="109">
        <f t="shared" si="497"/>
        <v>0</v>
      </c>
      <c r="ID418" s="109">
        <f t="shared" si="498"/>
        <v>0</v>
      </c>
      <c r="IE418" s="109">
        <f t="shared" si="499"/>
        <v>0</v>
      </c>
      <c r="IF418" s="197"/>
      <c r="IG418" s="197"/>
      <c r="IH418" s="197"/>
      <c r="II418" s="197"/>
      <c r="IJ418" s="197"/>
      <c r="IK418" s="197"/>
      <c r="IL418" s="197"/>
      <c r="IM418" s="171"/>
      <c r="IN418" s="171"/>
      <c r="IO418" s="171"/>
      <c r="IP418" s="171"/>
    </row>
    <row r="419" spans="1:250" ht="15" customHeight="1" x14ac:dyDescent="0.3">
      <c r="A419" s="110">
        <f t="shared" si="500"/>
        <v>415</v>
      </c>
      <c r="B419" s="111"/>
      <c r="C419" s="111"/>
      <c r="D419" s="111"/>
      <c r="E419" s="111"/>
      <c r="F419" s="111"/>
      <c r="G419" s="111"/>
      <c r="H419" s="111"/>
      <c r="I419" s="194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75"/>
      <c r="AI419" s="111"/>
      <c r="AJ419" s="111"/>
      <c r="AK419" s="111"/>
      <c r="AL419" s="177"/>
      <c r="AM419" s="176"/>
      <c r="AN419" s="177"/>
      <c r="AO419" s="157"/>
      <c r="AP419" s="158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  <c r="BJ419" s="111"/>
      <c r="BK419" s="111"/>
      <c r="BL419" s="175"/>
      <c r="BM419" s="111"/>
      <c r="BN419" s="111"/>
      <c r="BO419" s="111"/>
      <c r="BP419" s="111"/>
      <c r="BQ419" s="111"/>
      <c r="BR419" s="111"/>
      <c r="BS419" s="111"/>
      <c r="BT419" s="111"/>
      <c r="BU419" s="111"/>
      <c r="BV419" s="111"/>
      <c r="BW419" s="111"/>
      <c r="BX419" s="111"/>
      <c r="BY419" s="111"/>
      <c r="BZ419" s="111"/>
      <c r="CA419" s="111"/>
      <c r="CB419" s="111"/>
      <c r="CC419" s="178"/>
      <c r="CD419" s="177">
        <f t="shared" si="484"/>
        <v>0</v>
      </c>
      <c r="CE419" s="148"/>
      <c r="CF419" s="111">
        <f t="shared" si="485"/>
        <v>0</v>
      </c>
      <c r="CG419" s="177"/>
      <c r="CH419" s="204"/>
      <c r="CI419" s="148"/>
      <c r="CJ419" s="165"/>
      <c r="CK419" s="165"/>
      <c r="CL419" s="111"/>
      <c r="CM419" s="111"/>
      <c r="CN419" s="165">
        <f t="shared" si="486"/>
        <v>0</v>
      </c>
      <c r="CO419" s="109">
        <f t="shared" si="487"/>
        <v>0</v>
      </c>
      <c r="CP419" s="109">
        <f t="shared" si="488"/>
        <v>0</v>
      </c>
      <c r="CQ419" s="109"/>
      <c r="CR419" s="109"/>
      <c r="CS419" s="196"/>
      <c r="CT419" s="167"/>
      <c r="CU419" s="165"/>
      <c r="CV419" s="109">
        <f t="shared" si="489"/>
        <v>0</v>
      </c>
      <c r="CW419" s="109">
        <f t="shared" si="490"/>
        <v>0</v>
      </c>
      <c r="CX419" s="109"/>
      <c r="CY419" s="109"/>
      <c r="CZ419" s="111"/>
      <c r="DA419" s="111"/>
      <c r="DB419" s="165"/>
      <c r="DC419" s="109">
        <f t="shared" si="491"/>
        <v>0</v>
      </c>
      <c r="DD419" s="109">
        <f t="shared" si="492"/>
        <v>0</v>
      </c>
      <c r="DE419" s="109"/>
      <c r="DF419" s="109"/>
      <c r="DG419" s="111"/>
      <c r="DH419" s="111"/>
      <c r="DI419" s="165"/>
      <c r="DJ419" s="109">
        <f t="shared" si="493"/>
        <v>0</v>
      </c>
      <c r="DK419" s="109">
        <f t="shared" si="494"/>
        <v>0</v>
      </c>
      <c r="DL419" s="109"/>
      <c r="DM419" s="109"/>
      <c r="DN419" s="111"/>
      <c r="DO419" s="111"/>
      <c r="DP419" s="165"/>
      <c r="DQ419" s="109">
        <f t="shared" si="502"/>
        <v>0</v>
      </c>
      <c r="DR419" s="109">
        <f t="shared" si="503"/>
        <v>0</v>
      </c>
      <c r="DS419" s="109"/>
      <c r="DT419" s="109"/>
      <c r="DU419" s="111"/>
      <c r="DV419" s="111"/>
      <c r="DW419" s="165"/>
      <c r="DX419" s="109">
        <f t="shared" si="504"/>
        <v>0</v>
      </c>
      <c r="DY419" s="109">
        <f t="shared" si="505"/>
        <v>0</v>
      </c>
      <c r="DZ419" s="109"/>
      <c r="EA419" s="109"/>
      <c r="EB419" s="111"/>
      <c r="EC419" s="111"/>
      <c r="ED419" s="165"/>
      <c r="EE419" s="109">
        <f t="shared" si="506"/>
        <v>0</v>
      </c>
      <c r="EF419" s="109">
        <f t="shared" si="507"/>
        <v>0</v>
      </c>
      <c r="EG419" s="109"/>
      <c r="EH419" s="109"/>
      <c r="EI419" s="111"/>
      <c r="EJ419" s="111"/>
      <c r="EK419" s="165"/>
      <c r="EL419" s="109">
        <f t="shared" si="508"/>
        <v>0</v>
      </c>
      <c r="EM419" s="109">
        <f t="shared" si="509"/>
        <v>0</v>
      </c>
      <c r="EN419" s="109"/>
      <c r="EO419" s="109"/>
      <c r="EP419" s="111"/>
      <c r="EQ419" s="111"/>
      <c r="ER419" s="165"/>
      <c r="ES419" s="109">
        <f t="shared" si="510"/>
        <v>0</v>
      </c>
      <c r="ET419" s="109">
        <f t="shared" si="511"/>
        <v>0</v>
      </c>
      <c r="EU419" s="109"/>
      <c r="EV419" s="109"/>
      <c r="EW419" s="111"/>
      <c r="EX419" s="111"/>
      <c r="EY419" s="165"/>
      <c r="EZ419" s="109">
        <f t="shared" si="512"/>
        <v>0</v>
      </c>
      <c r="FA419" s="109">
        <f t="shared" si="513"/>
        <v>0</v>
      </c>
      <c r="FB419" s="109"/>
      <c r="FC419" s="109"/>
      <c r="FD419" s="111"/>
      <c r="FE419" s="111"/>
      <c r="FF419" s="165"/>
      <c r="FG419" s="109">
        <f t="shared" si="514"/>
        <v>0</v>
      </c>
      <c r="FH419" s="109">
        <f t="shared" si="515"/>
        <v>0</v>
      </c>
      <c r="FI419" s="109"/>
      <c r="FJ419" s="109"/>
      <c r="FK419" s="111"/>
      <c r="FL419" s="111"/>
      <c r="FM419" s="165"/>
      <c r="FN419" s="109">
        <f t="shared" si="516"/>
        <v>0</v>
      </c>
      <c r="FO419" s="109">
        <f t="shared" si="517"/>
        <v>0</v>
      </c>
      <c r="FP419" s="109"/>
      <c r="FQ419" s="109"/>
      <c r="FR419" s="111"/>
      <c r="FS419" s="111"/>
      <c r="FT419" s="165"/>
      <c r="FU419" s="109">
        <f t="shared" si="518"/>
        <v>0</v>
      </c>
      <c r="FV419" s="109">
        <f t="shared" si="476"/>
        <v>0</v>
      </c>
      <c r="FW419" s="109"/>
      <c r="FX419" s="109"/>
      <c r="FY419" s="111"/>
      <c r="FZ419" s="111"/>
      <c r="GA419" s="165"/>
      <c r="GB419" s="109">
        <f t="shared" si="519"/>
        <v>0</v>
      </c>
      <c r="GC419" s="109">
        <f t="shared" si="477"/>
        <v>0</v>
      </c>
      <c r="GD419" s="109"/>
      <c r="GE419" s="109"/>
      <c r="GF419" s="111"/>
      <c r="GG419" s="111"/>
      <c r="GH419" s="165"/>
      <c r="GI419" s="109">
        <f t="shared" si="520"/>
        <v>0</v>
      </c>
      <c r="GJ419" s="109">
        <f t="shared" si="478"/>
        <v>0</v>
      </c>
      <c r="GK419" s="109"/>
      <c r="GL419" s="109"/>
      <c r="GM419" s="111"/>
      <c r="GN419" s="111"/>
      <c r="GO419" s="165"/>
      <c r="GP419" s="109">
        <f t="shared" si="521"/>
        <v>0</v>
      </c>
      <c r="GQ419" s="109">
        <f t="shared" si="479"/>
        <v>0</v>
      </c>
      <c r="GR419" s="109"/>
      <c r="GS419" s="109"/>
      <c r="GT419" s="111"/>
      <c r="GU419" s="111"/>
      <c r="GV419" s="165"/>
      <c r="GW419" s="168">
        <f t="shared" si="522"/>
        <v>0</v>
      </c>
      <c r="GX419" s="168">
        <f t="shared" si="480"/>
        <v>0</v>
      </c>
      <c r="GY419" s="168"/>
      <c r="GZ419" s="168"/>
      <c r="HA419" s="111"/>
      <c r="HB419" s="111"/>
      <c r="HC419" s="165"/>
      <c r="HD419" s="109">
        <f t="shared" si="523"/>
        <v>0</v>
      </c>
      <c r="HE419" s="109">
        <f t="shared" si="481"/>
        <v>0</v>
      </c>
      <c r="HF419" s="109"/>
      <c r="HG419" s="109"/>
      <c r="HH419" s="111"/>
      <c r="HI419" s="111"/>
      <c r="HJ419" s="165"/>
      <c r="HK419" s="109">
        <f t="shared" si="524"/>
        <v>0</v>
      </c>
      <c r="HL419" s="109">
        <f t="shared" si="482"/>
        <v>0</v>
      </c>
      <c r="HM419" s="109"/>
      <c r="HN419" s="109"/>
      <c r="HO419" s="111"/>
      <c r="HP419" s="111"/>
      <c r="HQ419" s="165"/>
      <c r="HR419" s="109">
        <f t="shared" si="525"/>
        <v>0</v>
      </c>
      <c r="HS419" s="109">
        <f t="shared" si="483"/>
        <v>0</v>
      </c>
      <c r="HT419" s="109"/>
      <c r="HU419" s="109"/>
      <c r="HV419" s="111"/>
      <c r="HW419" s="111"/>
      <c r="HX419" s="105">
        <f t="shared" si="501"/>
        <v>0</v>
      </c>
      <c r="HY419" s="105">
        <f t="shared" si="501"/>
        <v>0</v>
      </c>
      <c r="HZ419" s="105">
        <f t="shared" si="501"/>
        <v>0</v>
      </c>
      <c r="IA419" s="105">
        <f t="shared" si="495"/>
        <v>0</v>
      </c>
      <c r="IB419" s="109">
        <f t="shared" si="496"/>
        <v>0</v>
      </c>
      <c r="IC419" s="109">
        <f t="shared" si="497"/>
        <v>0</v>
      </c>
      <c r="ID419" s="109">
        <f t="shared" si="498"/>
        <v>0</v>
      </c>
      <c r="IE419" s="109">
        <f t="shared" si="499"/>
        <v>0</v>
      </c>
      <c r="IF419" s="197"/>
      <c r="IG419" s="197"/>
      <c r="IH419" s="197"/>
      <c r="II419" s="197"/>
      <c r="IJ419" s="197"/>
      <c r="IK419" s="197"/>
      <c r="IL419" s="197"/>
      <c r="IM419" s="171"/>
      <c r="IN419" s="171"/>
      <c r="IO419" s="171"/>
      <c r="IP419" s="171"/>
    </row>
    <row r="420" spans="1:250" ht="15" customHeight="1" x14ac:dyDescent="0.3">
      <c r="A420" s="110">
        <f t="shared" si="500"/>
        <v>416</v>
      </c>
      <c r="B420" s="111"/>
      <c r="C420" s="111"/>
      <c r="D420" s="111"/>
      <c r="E420" s="111"/>
      <c r="F420" s="111"/>
      <c r="G420" s="111"/>
      <c r="H420" s="111"/>
      <c r="I420" s="194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75"/>
      <c r="AI420" s="111"/>
      <c r="AJ420" s="111"/>
      <c r="AK420" s="111"/>
      <c r="AL420" s="177"/>
      <c r="AM420" s="176"/>
      <c r="AN420" s="177"/>
      <c r="AO420" s="157"/>
      <c r="AP420" s="158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  <c r="BJ420" s="111"/>
      <c r="BK420" s="111"/>
      <c r="BL420" s="175"/>
      <c r="BM420" s="111"/>
      <c r="BN420" s="111"/>
      <c r="BO420" s="111"/>
      <c r="BP420" s="111"/>
      <c r="BQ420" s="111"/>
      <c r="BR420" s="111"/>
      <c r="BS420" s="111"/>
      <c r="BT420" s="111"/>
      <c r="BU420" s="111"/>
      <c r="BV420" s="111"/>
      <c r="BW420" s="111"/>
      <c r="BX420" s="111"/>
      <c r="BY420" s="111"/>
      <c r="BZ420" s="111"/>
      <c r="CA420" s="111"/>
      <c r="CB420" s="111"/>
      <c r="CC420" s="178"/>
      <c r="CD420" s="177">
        <f t="shared" si="484"/>
        <v>0</v>
      </c>
      <c r="CE420" s="148"/>
      <c r="CF420" s="111">
        <f t="shared" si="485"/>
        <v>0</v>
      </c>
      <c r="CG420" s="177"/>
      <c r="CH420" s="204"/>
      <c r="CI420" s="148"/>
      <c r="CJ420" s="165"/>
      <c r="CK420" s="165"/>
      <c r="CL420" s="111"/>
      <c r="CM420" s="111"/>
      <c r="CN420" s="165">
        <f t="shared" si="486"/>
        <v>0</v>
      </c>
      <c r="CO420" s="109">
        <f t="shared" si="487"/>
        <v>0</v>
      </c>
      <c r="CP420" s="109">
        <f t="shared" si="488"/>
        <v>0</v>
      </c>
      <c r="CQ420" s="109"/>
      <c r="CR420" s="109"/>
      <c r="CS420" s="196"/>
      <c r="CT420" s="167"/>
      <c r="CU420" s="165"/>
      <c r="CV420" s="109">
        <f t="shared" si="489"/>
        <v>0</v>
      </c>
      <c r="CW420" s="109">
        <f t="shared" si="490"/>
        <v>0</v>
      </c>
      <c r="CX420" s="109"/>
      <c r="CY420" s="109"/>
      <c r="CZ420" s="111"/>
      <c r="DA420" s="111"/>
      <c r="DB420" s="165"/>
      <c r="DC420" s="109">
        <f t="shared" si="491"/>
        <v>0</v>
      </c>
      <c r="DD420" s="109">
        <f t="shared" si="492"/>
        <v>0</v>
      </c>
      <c r="DE420" s="109"/>
      <c r="DF420" s="109"/>
      <c r="DG420" s="111"/>
      <c r="DH420" s="111"/>
      <c r="DI420" s="165"/>
      <c r="DJ420" s="109">
        <f t="shared" si="493"/>
        <v>0</v>
      </c>
      <c r="DK420" s="109">
        <f t="shared" si="494"/>
        <v>0</v>
      </c>
      <c r="DL420" s="109"/>
      <c r="DM420" s="109"/>
      <c r="DN420" s="111"/>
      <c r="DO420" s="111"/>
      <c r="DP420" s="165"/>
      <c r="DQ420" s="109">
        <f t="shared" si="502"/>
        <v>0</v>
      </c>
      <c r="DR420" s="109">
        <f t="shared" si="503"/>
        <v>0</v>
      </c>
      <c r="DS420" s="109"/>
      <c r="DT420" s="109"/>
      <c r="DU420" s="111"/>
      <c r="DV420" s="111"/>
      <c r="DW420" s="165"/>
      <c r="DX420" s="109">
        <f t="shared" si="504"/>
        <v>0</v>
      </c>
      <c r="DY420" s="109">
        <f t="shared" si="505"/>
        <v>0</v>
      </c>
      <c r="DZ420" s="109"/>
      <c r="EA420" s="109"/>
      <c r="EB420" s="111"/>
      <c r="EC420" s="111"/>
      <c r="ED420" s="165"/>
      <c r="EE420" s="109">
        <f t="shared" si="506"/>
        <v>0</v>
      </c>
      <c r="EF420" s="109">
        <f t="shared" si="507"/>
        <v>0</v>
      </c>
      <c r="EG420" s="109"/>
      <c r="EH420" s="109"/>
      <c r="EI420" s="111"/>
      <c r="EJ420" s="111"/>
      <c r="EK420" s="165"/>
      <c r="EL420" s="109">
        <f t="shared" si="508"/>
        <v>0</v>
      </c>
      <c r="EM420" s="109">
        <f t="shared" si="509"/>
        <v>0</v>
      </c>
      <c r="EN420" s="109"/>
      <c r="EO420" s="109"/>
      <c r="EP420" s="111"/>
      <c r="EQ420" s="111"/>
      <c r="ER420" s="165"/>
      <c r="ES420" s="109">
        <f t="shared" si="510"/>
        <v>0</v>
      </c>
      <c r="ET420" s="109">
        <f t="shared" si="511"/>
        <v>0</v>
      </c>
      <c r="EU420" s="109"/>
      <c r="EV420" s="109"/>
      <c r="EW420" s="111"/>
      <c r="EX420" s="111"/>
      <c r="EY420" s="165"/>
      <c r="EZ420" s="109">
        <f t="shared" si="512"/>
        <v>0</v>
      </c>
      <c r="FA420" s="109">
        <f t="shared" si="513"/>
        <v>0</v>
      </c>
      <c r="FB420" s="109"/>
      <c r="FC420" s="109"/>
      <c r="FD420" s="111"/>
      <c r="FE420" s="111"/>
      <c r="FF420" s="165"/>
      <c r="FG420" s="109">
        <f t="shared" si="514"/>
        <v>0</v>
      </c>
      <c r="FH420" s="109">
        <f t="shared" si="515"/>
        <v>0</v>
      </c>
      <c r="FI420" s="109"/>
      <c r="FJ420" s="109"/>
      <c r="FK420" s="111"/>
      <c r="FL420" s="111"/>
      <c r="FM420" s="165"/>
      <c r="FN420" s="109">
        <f t="shared" si="516"/>
        <v>0</v>
      </c>
      <c r="FO420" s="109">
        <f t="shared" si="517"/>
        <v>0</v>
      </c>
      <c r="FP420" s="109"/>
      <c r="FQ420" s="109"/>
      <c r="FR420" s="111"/>
      <c r="FS420" s="111"/>
      <c r="FT420" s="165"/>
      <c r="FU420" s="109">
        <f t="shared" si="518"/>
        <v>0</v>
      </c>
      <c r="FV420" s="109">
        <f t="shared" si="476"/>
        <v>0</v>
      </c>
      <c r="FW420" s="109"/>
      <c r="FX420" s="109"/>
      <c r="FY420" s="111"/>
      <c r="FZ420" s="111"/>
      <c r="GA420" s="165"/>
      <c r="GB420" s="109">
        <f t="shared" si="519"/>
        <v>0</v>
      </c>
      <c r="GC420" s="109">
        <f t="shared" si="477"/>
        <v>0</v>
      </c>
      <c r="GD420" s="109"/>
      <c r="GE420" s="109"/>
      <c r="GF420" s="111"/>
      <c r="GG420" s="111"/>
      <c r="GH420" s="165"/>
      <c r="GI420" s="109">
        <f t="shared" si="520"/>
        <v>0</v>
      </c>
      <c r="GJ420" s="109">
        <f t="shared" si="478"/>
        <v>0</v>
      </c>
      <c r="GK420" s="109"/>
      <c r="GL420" s="109"/>
      <c r="GM420" s="111"/>
      <c r="GN420" s="111"/>
      <c r="GO420" s="165"/>
      <c r="GP420" s="109">
        <f t="shared" si="521"/>
        <v>0</v>
      </c>
      <c r="GQ420" s="109">
        <f t="shared" si="479"/>
        <v>0</v>
      </c>
      <c r="GR420" s="109"/>
      <c r="GS420" s="109"/>
      <c r="GT420" s="111"/>
      <c r="GU420" s="111"/>
      <c r="GV420" s="165"/>
      <c r="GW420" s="168">
        <f t="shared" si="522"/>
        <v>0</v>
      </c>
      <c r="GX420" s="168">
        <f t="shared" si="480"/>
        <v>0</v>
      </c>
      <c r="GY420" s="168"/>
      <c r="GZ420" s="168"/>
      <c r="HA420" s="111"/>
      <c r="HB420" s="111"/>
      <c r="HC420" s="165"/>
      <c r="HD420" s="109">
        <f t="shared" si="523"/>
        <v>0</v>
      </c>
      <c r="HE420" s="109">
        <f t="shared" si="481"/>
        <v>0</v>
      </c>
      <c r="HF420" s="109"/>
      <c r="HG420" s="109"/>
      <c r="HH420" s="111"/>
      <c r="HI420" s="111"/>
      <c r="HJ420" s="165"/>
      <c r="HK420" s="109">
        <f t="shared" si="524"/>
        <v>0</v>
      </c>
      <c r="HL420" s="109">
        <f t="shared" si="482"/>
        <v>0</v>
      </c>
      <c r="HM420" s="109"/>
      <c r="HN420" s="109"/>
      <c r="HO420" s="111"/>
      <c r="HP420" s="111"/>
      <c r="HQ420" s="165"/>
      <c r="HR420" s="109">
        <f t="shared" si="525"/>
        <v>0</v>
      </c>
      <c r="HS420" s="109">
        <f t="shared" si="483"/>
        <v>0</v>
      </c>
      <c r="HT420" s="109"/>
      <c r="HU420" s="109"/>
      <c r="HV420" s="111"/>
      <c r="HW420" s="111"/>
      <c r="HX420" s="105">
        <f t="shared" si="501"/>
        <v>0</v>
      </c>
      <c r="HY420" s="105">
        <f t="shared" si="501"/>
        <v>0</v>
      </c>
      <c r="HZ420" s="105">
        <f t="shared" si="501"/>
        <v>0</v>
      </c>
      <c r="IA420" s="105">
        <f t="shared" si="495"/>
        <v>0</v>
      </c>
      <c r="IB420" s="109">
        <f t="shared" si="496"/>
        <v>0</v>
      </c>
      <c r="IC420" s="109">
        <f t="shared" si="497"/>
        <v>0</v>
      </c>
      <c r="ID420" s="109">
        <f t="shared" si="498"/>
        <v>0</v>
      </c>
      <c r="IE420" s="109">
        <f t="shared" si="499"/>
        <v>0</v>
      </c>
      <c r="IF420" s="197"/>
      <c r="IG420" s="197"/>
      <c r="IH420" s="197"/>
      <c r="II420" s="197"/>
      <c r="IJ420" s="197"/>
      <c r="IK420" s="197"/>
      <c r="IL420" s="197"/>
      <c r="IM420" s="171"/>
      <c r="IN420" s="171"/>
      <c r="IO420" s="171"/>
      <c r="IP420" s="171"/>
    </row>
    <row r="421" spans="1:250" ht="15" customHeight="1" x14ac:dyDescent="0.3">
      <c r="A421" s="110">
        <f t="shared" si="500"/>
        <v>417</v>
      </c>
      <c r="B421" s="111"/>
      <c r="C421" s="111"/>
      <c r="D421" s="111"/>
      <c r="E421" s="111"/>
      <c r="F421" s="111"/>
      <c r="G421" s="111"/>
      <c r="H421" s="111"/>
      <c r="I421" s="194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75"/>
      <c r="AI421" s="111"/>
      <c r="AJ421" s="111"/>
      <c r="AK421" s="111"/>
      <c r="AL421" s="177"/>
      <c r="AM421" s="176"/>
      <c r="AN421" s="177"/>
      <c r="AO421" s="157"/>
      <c r="AP421" s="158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  <c r="BJ421" s="111"/>
      <c r="BK421" s="111"/>
      <c r="BL421" s="175"/>
      <c r="BM421" s="111"/>
      <c r="BN421" s="111"/>
      <c r="BO421" s="111"/>
      <c r="BP421" s="111"/>
      <c r="BQ421" s="111"/>
      <c r="BR421" s="111"/>
      <c r="BS421" s="111"/>
      <c r="BT421" s="111"/>
      <c r="BU421" s="111"/>
      <c r="BV421" s="111"/>
      <c r="BW421" s="111"/>
      <c r="BX421" s="111"/>
      <c r="BY421" s="111"/>
      <c r="BZ421" s="111"/>
      <c r="CA421" s="111"/>
      <c r="CB421" s="111"/>
      <c r="CC421" s="178"/>
      <c r="CD421" s="177">
        <f t="shared" si="484"/>
        <v>0</v>
      </c>
      <c r="CE421" s="148"/>
      <c r="CF421" s="111">
        <f t="shared" si="485"/>
        <v>0</v>
      </c>
      <c r="CG421" s="177"/>
      <c r="CH421" s="204"/>
      <c r="CI421" s="148"/>
      <c r="CJ421" s="165"/>
      <c r="CK421" s="165"/>
      <c r="CL421" s="111"/>
      <c r="CM421" s="111"/>
      <c r="CN421" s="165">
        <f t="shared" si="486"/>
        <v>0</v>
      </c>
      <c r="CO421" s="109">
        <f t="shared" si="487"/>
        <v>0</v>
      </c>
      <c r="CP421" s="109">
        <f t="shared" si="488"/>
        <v>0</v>
      </c>
      <c r="CQ421" s="109"/>
      <c r="CR421" s="109"/>
      <c r="CS421" s="196"/>
      <c r="CT421" s="167"/>
      <c r="CU421" s="165"/>
      <c r="CV421" s="109">
        <f t="shared" si="489"/>
        <v>0</v>
      </c>
      <c r="CW421" s="109">
        <f t="shared" si="490"/>
        <v>0</v>
      </c>
      <c r="CX421" s="109"/>
      <c r="CY421" s="109"/>
      <c r="CZ421" s="111"/>
      <c r="DA421" s="111"/>
      <c r="DB421" s="165"/>
      <c r="DC421" s="109">
        <f t="shared" si="491"/>
        <v>0</v>
      </c>
      <c r="DD421" s="109">
        <f t="shared" si="492"/>
        <v>0</v>
      </c>
      <c r="DE421" s="109"/>
      <c r="DF421" s="109"/>
      <c r="DG421" s="111"/>
      <c r="DH421" s="111"/>
      <c r="DI421" s="165"/>
      <c r="DJ421" s="109">
        <f t="shared" si="493"/>
        <v>0</v>
      </c>
      <c r="DK421" s="109">
        <f t="shared" si="494"/>
        <v>0</v>
      </c>
      <c r="DL421" s="109"/>
      <c r="DM421" s="109"/>
      <c r="DN421" s="111"/>
      <c r="DO421" s="111"/>
      <c r="DP421" s="165"/>
      <c r="DQ421" s="109">
        <f t="shared" si="502"/>
        <v>0</v>
      </c>
      <c r="DR421" s="109">
        <f t="shared" si="503"/>
        <v>0</v>
      </c>
      <c r="DS421" s="109"/>
      <c r="DT421" s="109"/>
      <c r="DU421" s="111"/>
      <c r="DV421" s="111"/>
      <c r="DW421" s="165"/>
      <c r="DX421" s="109">
        <f t="shared" si="504"/>
        <v>0</v>
      </c>
      <c r="DY421" s="109">
        <f t="shared" si="505"/>
        <v>0</v>
      </c>
      <c r="DZ421" s="109"/>
      <c r="EA421" s="109"/>
      <c r="EB421" s="111"/>
      <c r="EC421" s="111"/>
      <c r="ED421" s="165"/>
      <c r="EE421" s="109">
        <f t="shared" si="506"/>
        <v>0</v>
      </c>
      <c r="EF421" s="109">
        <f t="shared" si="507"/>
        <v>0</v>
      </c>
      <c r="EG421" s="109"/>
      <c r="EH421" s="109"/>
      <c r="EI421" s="111"/>
      <c r="EJ421" s="111"/>
      <c r="EK421" s="165"/>
      <c r="EL421" s="109">
        <f t="shared" si="508"/>
        <v>0</v>
      </c>
      <c r="EM421" s="109">
        <f t="shared" si="509"/>
        <v>0</v>
      </c>
      <c r="EN421" s="109"/>
      <c r="EO421" s="109"/>
      <c r="EP421" s="111"/>
      <c r="EQ421" s="111"/>
      <c r="ER421" s="165"/>
      <c r="ES421" s="109">
        <f t="shared" si="510"/>
        <v>0</v>
      </c>
      <c r="ET421" s="109">
        <f t="shared" si="511"/>
        <v>0</v>
      </c>
      <c r="EU421" s="109"/>
      <c r="EV421" s="109"/>
      <c r="EW421" s="111"/>
      <c r="EX421" s="111"/>
      <c r="EY421" s="165"/>
      <c r="EZ421" s="109">
        <f t="shared" si="512"/>
        <v>0</v>
      </c>
      <c r="FA421" s="109">
        <f t="shared" si="513"/>
        <v>0</v>
      </c>
      <c r="FB421" s="109"/>
      <c r="FC421" s="109"/>
      <c r="FD421" s="111"/>
      <c r="FE421" s="111"/>
      <c r="FF421" s="165"/>
      <c r="FG421" s="109">
        <f t="shared" si="514"/>
        <v>0</v>
      </c>
      <c r="FH421" s="109">
        <f t="shared" si="515"/>
        <v>0</v>
      </c>
      <c r="FI421" s="109"/>
      <c r="FJ421" s="109"/>
      <c r="FK421" s="111"/>
      <c r="FL421" s="111"/>
      <c r="FM421" s="165"/>
      <c r="FN421" s="109">
        <f t="shared" si="516"/>
        <v>0</v>
      </c>
      <c r="FO421" s="109">
        <f t="shared" si="517"/>
        <v>0</v>
      </c>
      <c r="FP421" s="109"/>
      <c r="FQ421" s="109"/>
      <c r="FR421" s="111"/>
      <c r="FS421" s="111"/>
      <c r="FT421" s="165"/>
      <c r="FU421" s="109">
        <f t="shared" si="518"/>
        <v>0</v>
      </c>
      <c r="FV421" s="109">
        <f t="shared" si="476"/>
        <v>0</v>
      </c>
      <c r="FW421" s="109"/>
      <c r="FX421" s="109"/>
      <c r="FY421" s="111"/>
      <c r="FZ421" s="111"/>
      <c r="GA421" s="165"/>
      <c r="GB421" s="109">
        <f t="shared" si="519"/>
        <v>0</v>
      </c>
      <c r="GC421" s="109">
        <f t="shared" si="477"/>
        <v>0</v>
      </c>
      <c r="GD421" s="109"/>
      <c r="GE421" s="109"/>
      <c r="GF421" s="111"/>
      <c r="GG421" s="111"/>
      <c r="GH421" s="165"/>
      <c r="GI421" s="109">
        <f t="shared" si="520"/>
        <v>0</v>
      </c>
      <c r="GJ421" s="109">
        <f t="shared" si="478"/>
        <v>0</v>
      </c>
      <c r="GK421" s="109"/>
      <c r="GL421" s="109"/>
      <c r="GM421" s="111"/>
      <c r="GN421" s="111"/>
      <c r="GO421" s="165"/>
      <c r="GP421" s="109">
        <f t="shared" si="521"/>
        <v>0</v>
      </c>
      <c r="GQ421" s="109">
        <f t="shared" si="479"/>
        <v>0</v>
      </c>
      <c r="GR421" s="109"/>
      <c r="GS421" s="109"/>
      <c r="GT421" s="111"/>
      <c r="GU421" s="111"/>
      <c r="GV421" s="165"/>
      <c r="GW421" s="168">
        <f t="shared" si="522"/>
        <v>0</v>
      </c>
      <c r="GX421" s="168">
        <f t="shared" si="480"/>
        <v>0</v>
      </c>
      <c r="GY421" s="168"/>
      <c r="GZ421" s="168"/>
      <c r="HA421" s="111"/>
      <c r="HB421" s="111"/>
      <c r="HC421" s="165"/>
      <c r="HD421" s="109">
        <f t="shared" si="523"/>
        <v>0</v>
      </c>
      <c r="HE421" s="109">
        <f t="shared" si="481"/>
        <v>0</v>
      </c>
      <c r="HF421" s="109"/>
      <c r="HG421" s="109"/>
      <c r="HH421" s="111"/>
      <c r="HI421" s="111"/>
      <c r="HJ421" s="165"/>
      <c r="HK421" s="109">
        <f t="shared" si="524"/>
        <v>0</v>
      </c>
      <c r="HL421" s="109">
        <f t="shared" si="482"/>
        <v>0</v>
      </c>
      <c r="HM421" s="109"/>
      <c r="HN421" s="109"/>
      <c r="HO421" s="111"/>
      <c r="HP421" s="111"/>
      <c r="HQ421" s="165"/>
      <c r="HR421" s="109">
        <f t="shared" si="525"/>
        <v>0</v>
      </c>
      <c r="HS421" s="109">
        <f t="shared" si="483"/>
        <v>0</v>
      </c>
      <c r="HT421" s="109"/>
      <c r="HU421" s="109"/>
      <c r="HV421" s="111"/>
      <c r="HW421" s="111"/>
      <c r="HX421" s="105">
        <f t="shared" si="501"/>
        <v>0</v>
      </c>
      <c r="HY421" s="105">
        <f t="shared" si="501"/>
        <v>0</v>
      </c>
      <c r="HZ421" s="105">
        <f t="shared" si="501"/>
        <v>0</v>
      </c>
      <c r="IA421" s="105">
        <f t="shared" si="495"/>
        <v>0</v>
      </c>
      <c r="IB421" s="109">
        <f t="shared" si="496"/>
        <v>0</v>
      </c>
      <c r="IC421" s="109">
        <f t="shared" si="497"/>
        <v>0</v>
      </c>
      <c r="ID421" s="109">
        <f t="shared" si="498"/>
        <v>0</v>
      </c>
      <c r="IE421" s="109">
        <f t="shared" si="499"/>
        <v>0</v>
      </c>
      <c r="IF421" s="197"/>
      <c r="IG421" s="197"/>
      <c r="IH421" s="197"/>
      <c r="II421" s="197"/>
      <c r="IJ421" s="197"/>
      <c r="IK421" s="197"/>
      <c r="IL421" s="197"/>
      <c r="IM421" s="171"/>
      <c r="IN421" s="171"/>
      <c r="IO421" s="171"/>
      <c r="IP421" s="171"/>
    </row>
    <row r="422" spans="1:250" ht="15" customHeight="1" x14ac:dyDescent="0.3">
      <c r="A422" s="110">
        <f t="shared" si="500"/>
        <v>418</v>
      </c>
      <c r="B422" s="111"/>
      <c r="C422" s="111"/>
      <c r="D422" s="111"/>
      <c r="E422" s="111"/>
      <c r="F422" s="111"/>
      <c r="G422" s="111"/>
      <c r="H422" s="111"/>
      <c r="I422" s="194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75"/>
      <c r="AI422" s="111"/>
      <c r="AJ422" s="111"/>
      <c r="AK422" s="111"/>
      <c r="AL422" s="177"/>
      <c r="AM422" s="176"/>
      <c r="AN422" s="177"/>
      <c r="AO422" s="157"/>
      <c r="AP422" s="158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  <c r="BJ422" s="111"/>
      <c r="BK422" s="111"/>
      <c r="BL422" s="175"/>
      <c r="BM422" s="111"/>
      <c r="BN422" s="111"/>
      <c r="BO422" s="111"/>
      <c r="BP422" s="111"/>
      <c r="BQ422" s="111"/>
      <c r="BR422" s="111"/>
      <c r="BS422" s="111"/>
      <c r="BT422" s="111"/>
      <c r="BU422" s="111"/>
      <c r="BV422" s="111"/>
      <c r="BW422" s="111"/>
      <c r="BX422" s="111"/>
      <c r="BY422" s="111"/>
      <c r="BZ422" s="111"/>
      <c r="CA422" s="111"/>
      <c r="CB422" s="111"/>
      <c r="CC422" s="178"/>
      <c r="CD422" s="177">
        <f t="shared" si="484"/>
        <v>0</v>
      </c>
      <c r="CE422" s="148"/>
      <c r="CF422" s="111">
        <f t="shared" si="485"/>
        <v>0</v>
      </c>
      <c r="CG422" s="177"/>
      <c r="CH422" s="204"/>
      <c r="CI422" s="148"/>
      <c r="CJ422" s="165"/>
      <c r="CK422" s="165"/>
      <c r="CL422" s="111"/>
      <c r="CM422" s="111"/>
      <c r="CN422" s="165">
        <f t="shared" si="486"/>
        <v>0</v>
      </c>
      <c r="CO422" s="109">
        <f t="shared" si="487"/>
        <v>0</v>
      </c>
      <c r="CP422" s="109">
        <f t="shared" si="488"/>
        <v>0</v>
      </c>
      <c r="CQ422" s="109"/>
      <c r="CR422" s="109"/>
      <c r="CS422" s="196"/>
      <c r="CT422" s="167"/>
      <c r="CU422" s="165"/>
      <c r="CV422" s="109">
        <f t="shared" si="489"/>
        <v>0</v>
      </c>
      <c r="CW422" s="109">
        <f t="shared" si="490"/>
        <v>0</v>
      </c>
      <c r="CX422" s="109"/>
      <c r="CY422" s="109"/>
      <c r="CZ422" s="111"/>
      <c r="DA422" s="111"/>
      <c r="DB422" s="165"/>
      <c r="DC422" s="109">
        <f t="shared" si="491"/>
        <v>0</v>
      </c>
      <c r="DD422" s="109">
        <f t="shared" si="492"/>
        <v>0</v>
      </c>
      <c r="DE422" s="109"/>
      <c r="DF422" s="109"/>
      <c r="DG422" s="111"/>
      <c r="DH422" s="111"/>
      <c r="DI422" s="165"/>
      <c r="DJ422" s="109">
        <f t="shared" si="493"/>
        <v>0</v>
      </c>
      <c r="DK422" s="109">
        <f t="shared" si="494"/>
        <v>0</v>
      </c>
      <c r="DL422" s="109"/>
      <c r="DM422" s="109"/>
      <c r="DN422" s="111"/>
      <c r="DO422" s="111"/>
      <c r="DP422" s="165"/>
      <c r="DQ422" s="109">
        <f t="shared" si="502"/>
        <v>0</v>
      </c>
      <c r="DR422" s="109">
        <f t="shared" si="503"/>
        <v>0</v>
      </c>
      <c r="DS422" s="109"/>
      <c r="DT422" s="109"/>
      <c r="DU422" s="111"/>
      <c r="DV422" s="111"/>
      <c r="DW422" s="165"/>
      <c r="DX422" s="109">
        <f t="shared" si="504"/>
        <v>0</v>
      </c>
      <c r="DY422" s="109">
        <f t="shared" si="505"/>
        <v>0</v>
      </c>
      <c r="DZ422" s="109"/>
      <c r="EA422" s="109"/>
      <c r="EB422" s="111"/>
      <c r="EC422" s="111"/>
      <c r="ED422" s="165"/>
      <c r="EE422" s="109">
        <f t="shared" si="506"/>
        <v>0</v>
      </c>
      <c r="EF422" s="109">
        <f t="shared" si="507"/>
        <v>0</v>
      </c>
      <c r="EG422" s="109"/>
      <c r="EH422" s="109"/>
      <c r="EI422" s="111"/>
      <c r="EJ422" s="111"/>
      <c r="EK422" s="165"/>
      <c r="EL422" s="109">
        <f t="shared" si="508"/>
        <v>0</v>
      </c>
      <c r="EM422" s="109">
        <f t="shared" si="509"/>
        <v>0</v>
      </c>
      <c r="EN422" s="109"/>
      <c r="EO422" s="109"/>
      <c r="EP422" s="111"/>
      <c r="EQ422" s="111"/>
      <c r="ER422" s="165"/>
      <c r="ES422" s="109">
        <f t="shared" si="510"/>
        <v>0</v>
      </c>
      <c r="ET422" s="109">
        <f t="shared" si="511"/>
        <v>0</v>
      </c>
      <c r="EU422" s="109"/>
      <c r="EV422" s="109"/>
      <c r="EW422" s="111"/>
      <c r="EX422" s="111"/>
      <c r="EY422" s="165"/>
      <c r="EZ422" s="109">
        <f t="shared" si="512"/>
        <v>0</v>
      </c>
      <c r="FA422" s="109">
        <f t="shared" si="513"/>
        <v>0</v>
      </c>
      <c r="FB422" s="109"/>
      <c r="FC422" s="109"/>
      <c r="FD422" s="111"/>
      <c r="FE422" s="111"/>
      <c r="FF422" s="165"/>
      <c r="FG422" s="109">
        <f t="shared" si="514"/>
        <v>0</v>
      </c>
      <c r="FH422" s="109">
        <f t="shared" si="515"/>
        <v>0</v>
      </c>
      <c r="FI422" s="109"/>
      <c r="FJ422" s="109"/>
      <c r="FK422" s="111"/>
      <c r="FL422" s="111"/>
      <c r="FM422" s="165"/>
      <c r="FN422" s="109">
        <f t="shared" si="516"/>
        <v>0</v>
      </c>
      <c r="FO422" s="109">
        <f t="shared" si="517"/>
        <v>0</v>
      </c>
      <c r="FP422" s="109"/>
      <c r="FQ422" s="109"/>
      <c r="FR422" s="111"/>
      <c r="FS422" s="111"/>
      <c r="FT422" s="165"/>
      <c r="FU422" s="109">
        <f t="shared" si="518"/>
        <v>0</v>
      </c>
      <c r="FV422" s="109">
        <f t="shared" si="476"/>
        <v>0</v>
      </c>
      <c r="FW422" s="109"/>
      <c r="FX422" s="109"/>
      <c r="FY422" s="111"/>
      <c r="FZ422" s="111"/>
      <c r="GA422" s="165"/>
      <c r="GB422" s="109">
        <f t="shared" si="519"/>
        <v>0</v>
      </c>
      <c r="GC422" s="109">
        <f t="shared" si="477"/>
        <v>0</v>
      </c>
      <c r="GD422" s="109"/>
      <c r="GE422" s="109"/>
      <c r="GF422" s="111"/>
      <c r="GG422" s="111"/>
      <c r="GH422" s="165"/>
      <c r="GI422" s="109">
        <f t="shared" si="520"/>
        <v>0</v>
      </c>
      <c r="GJ422" s="109">
        <f t="shared" si="478"/>
        <v>0</v>
      </c>
      <c r="GK422" s="109"/>
      <c r="GL422" s="109"/>
      <c r="GM422" s="111"/>
      <c r="GN422" s="111"/>
      <c r="GO422" s="165"/>
      <c r="GP422" s="109">
        <f t="shared" si="521"/>
        <v>0</v>
      </c>
      <c r="GQ422" s="109">
        <f t="shared" si="479"/>
        <v>0</v>
      </c>
      <c r="GR422" s="109"/>
      <c r="GS422" s="109"/>
      <c r="GT422" s="111"/>
      <c r="GU422" s="111"/>
      <c r="GV422" s="165"/>
      <c r="GW422" s="168">
        <f t="shared" si="522"/>
        <v>0</v>
      </c>
      <c r="GX422" s="168">
        <f t="shared" si="480"/>
        <v>0</v>
      </c>
      <c r="GY422" s="168"/>
      <c r="GZ422" s="168"/>
      <c r="HA422" s="111"/>
      <c r="HB422" s="111"/>
      <c r="HC422" s="165"/>
      <c r="HD422" s="109">
        <f t="shared" si="523"/>
        <v>0</v>
      </c>
      <c r="HE422" s="109">
        <f t="shared" si="481"/>
        <v>0</v>
      </c>
      <c r="HF422" s="109"/>
      <c r="HG422" s="109"/>
      <c r="HH422" s="111"/>
      <c r="HI422" s="111"/>
      <c r="HJ422" s="165"/>
      <c r="HK422" s="109">
        <f t="shared" si="524"/>
        <v>0</v>
      </c>
      <c r="HL422" s="109">
        <f t="shared" si="482"/>
        <v>0</v>
      </c>
      <c r="HM422" s="109"/>
      <c r="HN422" s="109"/>
      <c r="HO422" s="111"/>
      <c r="HP422" s="111"/>
      <c r="HQ422" s="165"/>
      <c r="HR422" s="109">
        <f t="shared" si="525"/>
        <v>0</v>
      </c>
      <c r="HS422" s="109">
        <f t="shared" si="483"/>
        <v>0</v>
      </c>
      <c r="HT422" s="109"/>
      <c r="HU422" s="109"/>
      <c r="HV422" s="111"/>
      <c r="HW422" s="111"/>
      <c r="HX422" s="105">
        <f t="shared" si="501"/>
        <v>0</v>
      </c>
      <c r="HY422" s="105">
        <f t="shared" si="501"/>
        <v>0</v>
      </c>
      <c r="HZ422" s="105">
        <f t="shared" si="501"/>
        <v>0</v>
      </c>
      <c r="IA422" s="105">
        <f t="shared" si="495"/>
        <v>0</v>
      </c>
      <c r="IB422" s="109">
        <f t="shared" si="496"/>
        <v>0</v>
      </c>
      <c r="IC422" s="109">
        <f t="shared" si="497"/>
        <v>0</v>
      </c>
      <c r="ID422" s="109">
        <f t="shared" si="498"/>
        <v>0</v>
      </c>
      <c r="IE422" s="109">
        <f t="shared" si="499"/>
        <v>0</v>
      </c>
      <c r="IF422" s="197"/>
      <c r="IG422" s="197"/>
      <c r="IH422" s="197"/>
      <c r="II422" s="197"/>
      <c r="IJ422" s="197"/>
      <c r="IK422" s="197"/>
      <c r="IL422" s="197"/>
      <c r="IM422" s="171"/>
      <c r="IN422" s="171"/>
      <c r="IO422" s="171"/>
      <c r="IP422" s="171"/>
    </row>
    <row r="423" spans="1:250" ht="15" customHeight="1" x14ac:dyDescent="0.3">
      <c r="A423" s="110">
        <f t="shared" si="500"/>
        <v>419</v>
      </c>
      <c r="B423" s="111"/>
      <c r="C423" s="111"/>
      <c r="D423" s="111"/>
      <c r="E423" s="111"/>
      <c r="F423" s="111"/>
      <c r="G423" s="111"/>
      <c r="H423" s="111"/>
      <c r="I423" s="194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75"/>
      <c r="AI423" s="111"/>
      <c r="AJ423" s="111"/>
      <c r="AK423" s="111"/>
      <c r="AL423" s="177"/>
      <c r="AM423" s="176"/>
      <c r="AN423" s="177"/>
      <c r="AO423" s="157"/>
      <c r="AP423" s="158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75"/>
      <c r="BM423" s="111"/>
      <c r="BN423" s="111"/>
      <c r="BO423" s="111"/>
      <c r="BP423" s="111"/>
      <c r="BQ423" s="111"/>
      <c r="BR423" s="111"/>
      <c r="BS423" s="111"/>
      <c r="BT423" s="111"/>
      <c r="BU423" s="111"/>
      <c r="BV423" s="111"/>
      <c r="BW423" s="111"/>
      <c r="BX423" s="111"/>
      <c r="BY423" s="111"/>
      <c r="BZ423" s="111"/>
      <c r="CA423" s="111"/>
      <c r="CB423" s="111"/>
      <c r="CC423" s="178"/>
      <c r="CD423" s="177">
        <f t="shared" si="484"/>
        <v>0</v>
      </c>
      <c r="CE423" s="148"/>
      <c r="CF423" s="111">
        <f t="shared" si="485"/>
        <v>0</v>
      </c>
      <c r="CG423" s="177"/>
      <c r="CH423" s="204"/>
      <c r="CI423" s="148"/>
      <c r="CJ423" s="165"/>
      <c r="CK423" s="165"/>
      <c r="CL423" s="111"/>
      <c r="CM423" s="111"/>
      <c r="CN423" s="165">
        <f t="shared" si="486"/>
        <v>0</v>
      </c>
      <c r="CO423" s="109">
        <f t="shared" si="487"/>
        <v>0</v>
      </c>
      <c r="CP423" s="109">
        <f t="shared" si="488"/>
        <v>0</v>
      </c>
      <c r="CQ423" s="109"/>
      <c r="CR423" s="109"/>
      <c r="CS423" s="196"/>
      <c r="CT423" s="167"/>
      <c r="CU423" s="165"/>
      <c r="CV423" s="109">
        <f t="shared" si="489"/>
        <v>0</v>
      </c>
      <c r="CW423" s="109">
        <f t="shared" si="490"/>
        <v>0</v>
      </c>
      <c r="CX423" s="109"/>
      <c r="CY423" s="109"/>
      <c r="CZ423" s="111"/>
      <c r="DA423" s="111"/>
      <c r="DB423" s="165"/>
      <c r="DC423" s="109">
        <f t="shared" si="491"/>
        <v>0</v>
      </c>
      <c r="DD423" s="109">
        <f t="shared" si="492"/>
        <v>0</v>
      </c>
      <c r="DE423" s="109"/>
      <c r="DF423" s="109"/>
      <c r="DG423" s="111"/>
      <c r="DH423" s="111"/>
      <c r="DI423" s="165"/>
      <c r="DJ423" s="109">
        <f t="shared" si="493"/>
        <v>0</v>
      </c>
      <c r="DK423" s="109">
        <f t="shared" si="494"/>
        <v>0</v>
      </c>
      <c r="DL423" s="109"/>
      <c r="DM423" s="109"/>
      <c r="DN423" s="111"/>
      <c r="DO423" s="111"/>
      <c r="DP423" s="165"/>
      <c r="DQ423" s="109">
        <f t="shared" si="502"/>
        <v>0</v>
      </c>
      <c r="DR423" s="109">
        <f t="shared" si="503"/>
        <v>0</v>
      </c>
      <c r="DS423" s="109"/>
      <c r="DT423" s="109"/>
      <c r="DU423" s="111"/>
      <c r="DV423" s="111"/>
      <c r="DW423" s="165"/>
      <c r="DX423" s="109">
        <f t="shared" si="504"/>
        <v>0</v>
      </c>
      <c r="DY423" s="109">
        <f t="shared" si="505"/>
        <v>0</v>
      </c>
      <c r="DZ423" s="109"/>
      <c r="EA423" s="109"/>
      <c r="EB423" s="111"/>
      <c r="EC423" s="111"/>
      <c r="ED423" s="165"/>
      <c r="EE423" s="109">
        <f t="shared" si="506"/>
        <v>0</v>
      </c>
      <c r="EF423" s="109">
        <f t="shared" si="507"/>
        <v>0</v>
      </c>
      <c r="EG423" s="109"/>
      <c r="EH423" s="109"/>
      <c r="EI423" s="111"/>
      <c r="EJ423" s="111"/>
      <c r="EK423" s="165"/>
      <c r="EL423" s="109">
        <f t="shared" si="508"/>
        <v>0</v>
      </c>
      <c r="EM423" s="109">
        <f t="shared" si="509"/>
        <v>0</v>
      </c>
      <c r="EN423" s="109"/>
      <c r="EO423" s="109"/>
      <c r="EP423" s="111"/>
      <c r="EQ423" s="111"/>
      <c r="ER423" s="165"/>
      <c r="ES423" s="109">
        <f t="shared" si="510"/>
        <v>0</v>
      </c>
      <c r="ET423" s="109">
        <f t="shared" si="511"/>
        <v>0</v>
      </c>
      <c r="EU423" s="109"/>
      <c r="EV423" s="109"/>
      <c r="EW423" s="111"/>
      <c r="EX423" s="111"/>
      <c r="EY423" s="165"/>
      <c r="EZ423" s="109">
        <f t="shared" si="512"/>
        <v>0</v>
      </c>
      <c r="FA423" s="109">
        <f t="shared" si="513"/>
        <v>0</v>
      </c>
      <c r="FB423" s="109"/>
      <c r="FC423" s="109"/>
      <c r="FD423" s="111"/>
      <c r="FE423" s="111"/>
      <c r="FF423" s="165"/>
      <c r="FG423" s="109">
        <f t="shared" si="514"/>
        <v>0</v>
      </c>
      <c r="FH423" s="109">
        <f t="shared" si="515"/>
        <v>0</v>
      </c>
      <c r="FI423" s="109"/>
      <c r="FJ423" s="109"/>
      <c r="FK423" s="111"/>
      <c r="FL423" s="111"/>
      <c r="FM423" s="165"/>
      <c r="FN423" s="109">
        <f t="shared" si="516"/>
        <v>0</v>
      </c>
      <c r="FO423" s="109">
        <f t="shared" si="517"/>
        <v>0</v>
      </c>
      <c r="FP423" s="109"/>
      <c r="FQ423" s="109"/>
      <c r="FR423" s="111"/>
      <c r="FS423" s="111"/>
      <c r="FT423" s="165"/>
      <c r="FU423" s="109">
        <f t="shared" si="518"/>
        <v>0</v>
      </c>
      <c r="FV423" s="109">
        <f t="shared" si="476"/>
        <v>0</v>
      </c>
      <c r="FW423" s="109"/>
      <c r="FX423" s="109"/>
      <c r="FY423" s="111"/>
      <c r="FZ423" s="111"/>
      <c r="GA423" s="165"/>
      <c r="GB423" s="109">
        <f t="shared" si="519"/>
        <v>0</v>
      </c>
      <c r="GC423" s="109">
        <f t="shared" si="477"/>
        <v>0</v>
      </c>
      <c r="GD423" s="109"/>
      <c r="GE423" s="109"/>
      <c r="GF423" s="111"/>
      <c r="GG423" s="111"/>
      <c r="GH423" s="165"/>
      <c r="GI423" s="109">
        <f t="shared" si="520"/>
        <v>0</v>
      </c>
      <c r="GJ423" s="109">
        <f t="shared" si="478"/>
        <v>0</v>
      </c>
      <c r="GK423" s="109"/>
      <c r="GL423" s="109"/>
      <c r="GM423" s="111"/>
      <c r="GN423" s="111"/>
      <c r="GO423" s="165"/>
      <c r="GP423" s="109">
        <f t="shared" si="521"/>
        <v>0</v>
      </c>
      <c r="GQ423" s="109">
        <f t="shared" si="479"/>
        <v>0</v>
      </c>
      <c r="GR423" s="109"/>
      <c r="GS423" s="109"/>
      <c r="GT423" s="111"/>
      <c r="GU423" s="111"/>
      <c r="GV423" s="165"/>
      <c r="GW423" s="168">
        <f t="shared" si="522"/>
        <v>0</v>
      </c>
      <c r="GX423" s="168">
        <f t="shared" si="480"/>
        <v>0</v>
      </c>
      <c r="GY423" s="168"/>
      <c r="GZ423" s="168"/>
      <c r="HA423" s="111"/>
      <c r="HB423" s="111"/>
      <c r="HC423" s="165"/>
      <c r="HD423" s="109">
        <f t="shared" si="523"/>
        <v>0</v>
      </c>
      <c r="HE423" s="109">
        <f t="shared" si="481"/>
        <v>0</v>
      </c>
      <c r="HF423" s="109"/>
      <c r="HG423" s="109"/>
      <c r="HH423" s="111"/>
      <c r="HI423" s="111"/>
      <c r="HJ423" s="165"/>
      <c r="HK423" s="109">
        <f t="shared" si="524"/>
        <v>0</v>
      </c>
      <c r="HL423" s="109">
        <f t="shared" si="482"/>
        <v>0</v>
      </c>
      <c r="HM423" s="109"/>
      <c r="HN423" s="109"/>
      <c r="HO423" s="111"/>
      <c r="HP423" s="111"/>
      <c r="HQ423" s="165"/>
      <c r="HR423" s="109">
        <f t="shared" si="525"/>
        <v>0</v>
      </c>
      <c r="HS423" s="109">
        <f t="shared" si="483"/>
        <v>0</v>
      </c>
      <c r="HT423" s="109"/>
      <c r="HU423" s="109"/>
      <c r="HV423" s="111"/>
      <c r="HW423" s="111"/>
      <c r="HX423" s="105">
        <f t="shared" si="501"/>
        <v>0</v>
      </c>
      <c r="HY423" s="105">
        <f t="shared" si="501"/>
        <v>0</v>
      </c>
      <c r="HZ423" s="105">
        <f t="shared" si="501"/>
        <v>0</v>
      </c>
      <c r="IA423" s="105">
        <f t="shared" si="495"/>
        <v>0</v>
      </c>
      <c r="IB423" s="109">
        <f t="shared" si="496"/>
        <v>0</v>
      </c>
      <c r="IC423" s="109">
        <f t="shared" si="497"/>
        <v>0</v>
      </c>
      <c r="ID423" s="109">
        <f t="shared" si="498"/>
        <v>0</v>
      </c>
      <c r="IE423" s="109">
        <f t="shared" si="499"/>
        <v>0</v>
      </c>
      <c r="IF423" s="197"/>
      <c r="IG423" s="197"/>
      <c r="IH423" s="197"/>
      <c r="II423" s="197"/>
      <c r="IJ423" s="197"/>
      <c r="IK423" s="197"/>
      <c r="IL423" s="197"/>
      <c r="IM423" s="171"/>
      <c r="IN423" s="171"/>
      <c r="IO423" s="171"/>
      <c r="IP423" s="171"/>
    </row>
    <row r="424" spans="1:250" ht="15" customHeight="1" x14ac:dyDescent="0.3">
      <c r="A424" s="110">
        <f t="shared" si="500"/>
        <v>420</v>
      </c>
      <c r="B424" s="111"/>
      <c r="C424" s="111"/>
      <c r="D424" s="111"/>
      <c r="E424" s="111"/>
      <c r="F424" s="111"/>
      <c r="G424" s="111"/>
      <c r="H424" s="111"/>
      <c r="I424" s="194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75"/>
      <c r="AI424" s="111"/>
      <c r="AJ424" s="111"/>
      <c r="AK424" s="111"/>
      <c r="AL424" s="177"/>
      <c r="AM424" s="176"/>
      <c r="AN424" s="177"/>
      <c r="AO424" s="157"/>
      <c r="AP424" s="158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75"/>
      <c r="BM424" s="111"/>
      <c r="BN424" s="111"/>
      <c r="BO424" s="111"/>
      <c r="BP424" s="111"/>
      <c r="BQ424" s="111"/>
      <c r="BR424" s="111"/>
      <c r="BS424" s="111"/>
      <c r="BT424" s="111"/>
      <c r="BU424" s="111"/>
      <c r="BV424" s="111"/>
      <c r="BW424" s="111"/>
      <c r="BX424" s="111"/>
      <c r="BY424" s="111"/>
      <c r="BZ424" s="111"/>
      <c r="CA424" s="111"/>
      <c r="CB424" s="111"/>
      <c r="CC424" s="178"/>
      <c r="CD424" s="177">
        <f t="shared" si="484"/>
        <v>0</v>
      </c>
      <c r="CE424" s="148"/>
      <c r="CF424" s="111">
        <f t="shared" si="485"/>
        <v>0</v>
      </c>
      <c r="CG424" s="177"/>
      <c r="CH424" s="204"/>
      <c r="CI424" s="148"/>
      <c r="CJ424" s="165"/>
      <c r="CK424" s="165"/>
      <c r="CL424" s="111"/>
      <c r="CM424" s="111"/>
      <c r="CN424" s="165">
        <f t="shared" si="486"/>
        <v>0</v>
      </c>
      <c r="CO424" s="109">
        <f t="shared" si="487"/>
        <v>0</v>
      </c>
      <c r="CP424" s="109">
        <f t="shared" si="488"/>
        <v>0</v>
      </c>
      <c r="CQ424" s="109"/>
      <c r="CR424" s="109"/>
      <c r="CS424" s="196"/>
      <c r="CT424" s="167"/>
      <c r="CU424" s="165"/>
      <c r="CV424" s="109">
        <f t="shared" si="489"/>
        <v>0</v>
      </c>
      <c r="CW424" s="109">
        <f t="shared" si="490"/>
        <v>0</v>
      </c>
      <c r="CX424" s="109"/>
      <c r="CY424" s="109"/>
      <c r="CZ424" s="111"/>
      <c r="DA424" s="111"/>
      <c r="DB424" s="165"/>
      <c r="DC424" s="109">
        <f t="shared" si="491"/>
        <v>0</v>
      </c>
      <c r="DD424" s="109">
        <f t="shared" si="492"/>
        <v>0</v>
      </c>
      <c r="DE424" s="109"/>
      <c r="DF424" s="109"/>
      <c r="DG424" s="111"/>
      <c r="DH424" s="111"/>
      <c r="DI424" s="165"/>
      <c r="DJ424" s="109">
        <f t="shared" si="493"/>
        <v>0</v>
      </c>
      <c r="DK424" s="109">
        <f t="shared" si="494"/>
        <v>0</v>
      </c>
      <c r="DL424" s="109"/>
      <c r="DM424" s="109"/>
      <c r="DN424" s="111"/>
      <c r="DO424" s="111"/>
      <c r="DP424" s="165"/>
      <c r="DQ424" s="109">
        <f t="shared" si="502"/>
        <v>0</v>
      </c>
      <c r="DR424" s="109">
        <f t="shared" si="503"/>
        <v>0</v>
      </c>
      <c r="DS424" s="109"/>
      <c r="DT424" s="109"/>
      <c r="DU424" s="111"/>
      <c r="DV424" s="111"/>
      <c r="DW424" s="165"/>
      <c r="DX424" s="109">
        <f t="shared" si="504"/>
        <v>0</v>
      </c>
      <c r="DY424" s="109">
        <f t="shared" si="505"/>
        <v>0</v>
      </c>
      <c r="DZ424" s="109"/>
      <c r="EA424" s="109"/>
      <c r="EB424" s="111"/>
      <c r="EC424" s="111"/>
      <c r="ED424" s="165"/>
      <c r="EE424" s="109">
        <f t="shared" si="506"/>
        <v>0</v>
      </c>
      <c r="EF424" s="109">
        <f t="shared" si="507"/>
        <v>0</v>
      </c>
      <c r="EG424" s="109"/>
      <c r="EH424" s="109"/>
      <c r="EI424" s="111"/>
      <c r="EJ424" s="111"/>
      <c r="EK424" s="165"/>
      <c r="EL424" s="109">
        <f t="shared" si="508"/>
        <v>0</v>
      </c>
      <c r="EM424" s="109">
        <f t="shared" si="509"/>
        <v>0</v>
      </c>
      <c r="EN424" s="109"/>
      <c r="EO424" s="109"/>
      <c r="EP424" s="111"/>
      <c r="EQ424" s="111"/>
      <c r="ER424" s="165"/>
      <c r="ES424" s="109">
        <f t="shared" si="510"/>
        <v>0</v>
      </c>
      <c r="ET424" s="109">
        <f t="shared" si="511"/>
        <v>0</v>
      </c>
      <c r="EU424" s="109"/>
      <c r="EV424" s="109"/>
      <c r="EW424" s="111"/>
      <c r="EX424" s="111"/>
      <c r="EY424" s="165"/>
      <c r="EZ424" s="109">
        <f t="shared" si="512"/>
        <v>0</v>
      </c>
      <c r="FA424" s="109">
        <f t="shared" si="513"/>
        <v>0</v>
      </c>
      <c r="FB424" s="109"/>
      <c r="FC424" s="109"/>
      <c r="FD424" s="111"/>
      <c r="FE424" s="111"/>
      <c r="FF424" s="165"/>
      <c r="FG424" s="109">
        <f t="shared" si="514"/>
        <v>0</v>
      </c>
      <c r="FH424" s="109">
        <f t="shared" si="515"/>
        <v>0</v>
      </c>
      <c r="FI424" s="109"/>
      <c r="FJ424" s="109"/>
      <c r="FK424" s="111"/>
      <c r="FL424" s="111"/>
      <c r="FM424" s="165"/>
      <c r="FN424" s="109">
        <f t="shared" si="516"/>
        <v>0</v>
      </c>
      <c r="FO424" s="109">
        <f t="shared" si="517"/>
        <v>0</v>
      </c>
      <c r="FP424" s="109"/>
      <c r="FQ424" s="109"/>
      <c r="FR424" s="111"/>
      <c r="FS424" s="111"/>
      <c r="FT424" s="165"/>
      <c r="FU424" s="109">
        <f t="shared" si="518"/>
        <v>0</v>
      </c>
      <c r="FV424" s="109">
        <f t="shared" si="476"/>
        <v>0</v>
      </c>
      <c r="FW424" s="109"/>
      <c r="FX424" s="109"/>
      <c r="FY424" s="111"/>
      <c r="FZ424" s="111"/>
      <c r="GA424" s="165"/>
      <c r="GB424" s="109">
        <f t="shared" si="519"/>
        <v>0</v>
      </c>
      <c r="GC424" s="109">
        <f t="shared" si="477"/>
        <v>0</v>
      </c>
      <c r="GD424" s="109"/>
      <c r="GE424" s="109"/>
      <c r="GF424" s="111"/>
      <c r="GG424" s="111"/>
      <c r="GH424" s="165"/>
      <c r="GI424" s="109">
        <f t="shared" si="520"/>
        <v>0</v>
      </c>
      <c r="GJ424" s="109">
        <f t="shared" si="478"/>
        <v>0</v>
      </c>
      <c r="GK424" s="109"/>
      <c r="GL424" s="109"/>
      <c r="GM424" s="111"/>
      <c r="GN424" s="111"/>
      <c r="GO424" s="165"/>
      <c r="GP424" s="109">
        <f t="shared" si="521"/>
        <v>0</v>
      </c>
      <c r="GQ424" s="109">
        <f t="shared" si="479"/>
        <v>0</v>
      </c>
      <c r="GR424" s="109"/>
      <c r="GS424" s="109"/>
      <c r="GT424" s="111"/>
      <c r="GU424" s="111"/>
      <c r="GV424" s="165"/>
      <c r="GW424" s="168">
        <f t="shared" si="522"/>
        <v>0</v>
      </c>
      <c r="GX424" s="168">
        <f t="shared" si="480"/>
        <v>0</v>
      </c>
      <c r="GY424" s="168"/>
      <c r="GZ424" s="168"/>
      <c r="HA424" s="111"/>
      <c r="HB424" s="111"/>
      <c r="HC424" s="165"/>
      <c r="HD424" s="109">
        <f t="shared" si="523"/>
        <v>0</v>
      </c>
      <c r="HE424" s="109">
        <f t="shared" si="481"/>
        <v>0</v>
      </c>
      <c r="HF424" s="109"/>
      <c r="HG424" s="109"/>
      <c r="HH424" s="111"/>
      <c r="HI424" s="111"/>
      <c r="HJ424" s="165"/>
      <c r="HK424" s="109">
        <f t="shared" si="524"/>
        <v>0</v>
      </c>
      <c r="HL424" s="109">
        <f t="shared" si="482"/>
        <v>0</v>
      </c>
      <c r="HM424" s="109"/>
      <c r="HN424" s="109"/>
      <c r="HO424" s="111"/>
      <c r="HP424" s="111"/>
      <c r="HQ424" s="165"/>
      <c r="HR424" s="109">
        <f t="shared" si="525"/>
        <v>0</v>
      </c>
      <c r="HS424" s="109">
        <f t="shared" si="483"/>
        <v>0</v>
      </c>
      <c r="HT424" s="109"/>
      <c r="HU424" s="109"/>
      <c r="HV424" s="111"/>
      <c r="HW424" s="111"/>
      <c r="HX424" s="105">
        <f t="shared" si="501"/>
        <v>0</v>
      </c>
      <c r="HY424" s="105">
        <f t="shared" si="501"/>
        <v>0</v>
      </c>
      <c r="HZ424" s="105">
        <f t="shared" si="501"/>
        <v>0</v>
      </c>
      <c r="IA424" s="105">
        <f t="shared" si="495"/>
        <v>0</v>
      </c>
      <c r="IB424" s="109">
        <f t="shared" si="496"/>
        <v>0</v>
      </c>
      <c r="IC424" s="109">
        <f t="shared" si="497"/>
        <v>0</v>
      </c>
      <c r="ID424" s="109">
        <f t="shared" si="498"/>
        <v>0</v>
      </c>
      <c r="IE424" s="109">
        <f t="shared" si="499"/>
        <v>0</v>
      </c>
      <c r="IF424" s="197"/>
      <c r="IG424" s="197"/>
      <c r="IH424" s="197"/>
      <c r="II424" s="197"/>
      <c r="IJ424" s="197"/>
      <c r="IK424" s="197"/>
      <c r="IL424" s="197"/>
      <c r="IM424" s="171"/>
      <c r="IN424" s="171"/>
      <c r="IO424" s="171"/>
      <c r="IP424" s="171"/>
    </row>
    <row r="425" spans="1:250" ht="15" customHeight="1" x14ac:dyDescent="0.3">
      <c r="A425" s="110">
        <f t="shared" si="500"/>
        <v>421</v>
      </c>
      <c r="B425" s="111"/>
      <c r="C425" s="111"/>
      <c r="D425" s="111"/>
      <c r="E425" s="111"/>
      <c r="F425" s="111"/>
      <c r="G425" s="111"/>
      <c r="H425" s="111"/>
      <c r="I425" s="194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75"/>
      <c r="AI425" s="111"/>
      <c r="AJ425" s="111"/>
      <c r="AK425" s="111"/>
      <c r="AL425" s="177"/>
      <c r="AM425" s="176"/>
      <c r="AN425" s="177"/>
      <c r="AO425" s="157"/>
      <c r="AP425" s="158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  <c r="BJ425" s="111"/>
      <c r="BK425" s="111"/>
      <c r="BL425" s="175"/>
      <c r="BM425" s="111"/>
      <c r="BN425" s="111"/>
      <c r="BO425" s="111"/>
      <c r="BP425" s="111"/>
      <c r="BQ425" s="111"/>
      <c r="BR425" s="111"/>
      <c r="BS425" s="111"/>
      <c r="BT425" s="111"/>
      <c r="BU425" s="111"/>
      <c r="BV425" s="111"/>
      <c r="BW425" s="111"/>
      <c r="BX425" s="111"/>
      <c r="BY425" s="111"/>
      <c r="BZ425" s="111"/>
      <c r="CA425" s="111"/>
      <c r="CB425" s="111"/>
      <c r="CC425" s="178"/>
      <c r="CD425" s="177">
        <f t="shared" si="484"/>
        <v>0</v>
      </c>
      <c r="CE425" s="148"/>
      <c r="CF425" s="111">
        <f t="shared" si="485"/>
        <v>0</v>
      </c>
      <c r="CG425" s="177"/>
      <c r="CH425" s="204"/>
      <c r="CI425" s="148"/>
      <c r="CJ425" s="165"/>
      <c r="CK425" s="165"/>
      <c r="CL425" s="111"/>
      <c r="CM425" s="111"/>
      <c r="CN425" s="165">
        <f t="shared" si="486"/>
        <v>0</v>
      </c>
      <c r="CO425" s="109">
        <f t="shared" si="487"/>
        <v>0</v>
      </c>
      <c r="CP425" s="109">
        <f t="shared" si="488"/>
        <v>0</v>
      </c>
      <c r="CQ425" s="109"/>
      <c r="CR425" s="109"/>
      <c r="CS425" s="196"/>
      <c r="CT425" s="167"/>
      <c r="CU425" s="165"/>
      <c r="CV425" s="109">
        <f t="shared" si="489"/>
        <v>0</v>
      </c>
      <c r="CW425" s="109">
        <f t="shared" si="490"/>
        <v>0</v>
      </c>
      <c r="CX425" s="109"/>
      <c r="CY425" s="109"/>
      <c r="CZ425" s="111"/>
      <c r="DA425" s="111"/>
      <c r="DB425" s="165"/>
      <c r="DC425" s="109">
        <f t="shared" si="491"/>
        <v>0</v>
      </c>
      <c r="DD425" s="109">
        <f t="shared" si="492"/>
        <v>0</v>
      </c>
      <c r="DE425" s="109"/>
      <c r="DF425" s="109"/>
      <c r="DG425" s="111"/>
      <c r="DH425" s="111"/>
      <c r="DI425" s="165"/>
      <c r="DJ425" s="109">
        <f t="shared" si="493"/>
        <v>0</v>
      </c>
      <c r="DK425" s="109">
        <f t="shared" si="494"/>
        <v>0</v>
      </c>
      <c r="DL425" s="109"/>
      <c r="DM425" s="109"/>
      <c r="DN425" s="111"/>
      <c r="DO425" s="111"/>
      <c r="DP425" s="165"/>
      <c r="DQ425" s="109">
        <f t="shared" si="502"/>
        <v>0</v>
      </c>
      <c r="DR425" s="109">
        <f t="shared" si="503"/>
        <v>0</v>
      </c>
      <c r="DS425" s="109"/>
      <c r="DT425" s="109"/>
      <c r="DU425" s="111"/>
      <c r="DV425" s="111"/>
      <c r="DW425" s="165"/>
      <c r="DX425" s="109">
        <f t="shared" si="504"/>
        <v>0</v>
      </c>
      <c r="DY425" s="109">
        <f t="shared" si="505"/>
        <v>0</v>
      </c>
      <c r="DZ425" s="109"/>
      <c r="EA425" s="109"/>
      <c r="EB425" s="111"/>
      <c r="EC425" s="111"/>
      <c r="ED425" s="165"/>
      <c r="EE425" s="109">
        <f t="shared" si="506"/>
        <v>0</v>
      </c>
      <c r="EF425" s="109">
        <f t="shared" si="507"/>
        <v>0</v>
      </c>
      <c r="EG425" s="109"/>
      <c r="EH425" s="109"/>
      <c r="EI425" s="111"/>
      <c r="EJ425" s="111"/>
      <c r="EK425" s="165"/>
      <c r="EL425" s="109">
        <f t="shared" si="508"/>
        <v>0</v>
      </c>
      <c r="EM425" s="109">
        <f t="shared" si="509"/>
        <v>0</v>
      </c>
      <c r="EN425" s="109"/>
      <c r="EO425" s="109"/>
      <c r="EP425" s="111"/>
      <c r="EQ425" s="111"/>
      <c r="ER425" s="165"/>
      <c r="ES425" s="109">
        <f t="shared" si="510"/>
        <v>0</v>
      </c>
      <c r="ET425" s="109">
        <f t="shared" si="511"/>
        <v>0</v>
      </c>
      <c r="EU425" s="109"/>
      <c r="EV425" s="109"/>
      <c r="EW425" s="111"/>
      <c r="EX425" s="111"/>
      <c r="EY425" s="165"/>
      <c r="EZ425" s="109">
        <f t="shared" si="512"/>
        <v>0</v>
      </c>
      <c r="FA425" s="109">
        <f t="shared" si="513"/>
        <v>0</v>
      </c>
      <c r="FB425" s="109"/>
      <c r="FC425" s="109"/>
      <c r="FD425" s="111"/>
      <c r="FE425" s="111"/>
      <c r="FF425" s="165"/>
      <c r="FG425" s="109">
        <f t="shared" si="514"/>
        <v>0</v>
      </c>
      <c r="FH425" s="109">
        <f t="shared" si="515"/>
        <v>0</v>
      </c>
      <c r="FI425" s="109"/>
      <c r="FJ425" s="109"/>
      <c r="FK425" s="111"/>
      <c r="FL425" s="111"/>
      <c r="FM425" s="165"/>
      <c r="FN425" s="109">
        <f t="shared" si="516"/>
        <v>0</v>
      </c>
      <c r="FO425" s="109">
        <f t="shared" si="517"/>
        <v>0</v>
      </c>
      <c r="FP425" s="109"/>
      <c r="FQ425" s="109"/>
      <c r="FR425" s="111"/>
      <c r="FS425" s="111"/>
      <c r="FT425" s="165"/>
      <c r="FU425" s="109">
        <f t="shared" si="518"/>
        <v>0</v>
      </c>
      <c r="FV425" s="109">
        <f t="shared" si="476"/>
        <v>0</v>
      </c>
      <c r="FW425" s="109"/>
      <c r="FX425" s="109"/>
      <c r="FY425" s="111"/>
      <c r="FZ425" s="111"/>
      <c r="GA425" s="165"/>
      <c r="GB425" s="109">
        <f t="shared" si="519"/>
        <v>0</v>
      </c>
      <c r="GC425" s="109">
        <f t="shared" si="477"/>
        <v>0</v>
      </c>
      <c r="GD425" s="109"/>
      <c r="GE425" s="109"/>
      <c r="GF425" s="111"/>
      <c r="GG425" s="111"/>
      <c r="GH425" s="165"/>
      <c r="GI425" s="109">
        <f t="shared" si="520"/>
        <v>0</v>
      </c>
      <c r="GJ425" s="109">
        <f t="shared" si="478"/>
        <v>0</v>
      </c>
      <c r="GK425" s="109"/>
      <c r="GL425" s="109"/>
      <c r="GM425" s="111"/>
      <c r="GN425" s="111"/>
      <c r="GO425" s="165"/>
      <c r="GP425" s="109">
        <f t="shared" si="521"/>
        <v>0</v>
      </c>
      <c r="GQ425" s="109">
        <f t="shared" si="479"/>
        <v>0</v>
      </c>
      <c r="GR425" s="109"/>
      <c r="GS425" s="109"/>
      <c r="GT425" s="111"/>
      <c r="GU425" s="111"/>
      <c r="GV425" s="165"/>
      <c r="GW425" s="168">
        <f t="shared" si="522"/>
        <v>0</v>
      </c>
      <c r="GX425" s="168">
        <f t="shared" si="480"/>
        <v>0</v>
      </c>
      <c r="GY425" s="168"/>
      <c r="GZ425" s="168"/>
      <c r="HA425" s="111"/>
      <c r="HB425" s="111"/>
      <c r="HC425" s="165"/>
      <c r="HD425" s="109">
        <f t="shared" si="523"/>
        <v>0</v>
      </c>
      <c r="HE425" s="109">
        <f t="shared" si="481"/>
        <v>0</v>
      </c>
      <c r="HF425" s="109"/>
      <c r="HG425" s="109"/>
      <c r="HH425" s="111"/>
      <c r="HI425" s="111"/>
      <c r="HJ425" s="165"/>
      <c r="HK425" s="109">
        <f t="shared" si="524"/>
        <v>0</v>
      </c>
      <c r="HL425" s="109">
        <f t="shared" si="482"/>
        <v>0</v>
      </c>
      <c r="HM425" s="109"/>
      <c r="HN425" s="109"/>
      <c r="HO425" s="111"/>
      <c r="HP425" s="111"/>
      <c r="HQ425" s="165"/>
      <c r="HR425" s="109">
        <f t="shared" si="525"/>
        <v>0</v>
      </c>
      <c r="HS425" s="109">
        <f t="shared" si="483"/>
        <v>0</v>
      </c>
      <c r="HT425" s="109"/>
      <c r="HU425" s="109"/>
      <c r="HV425" s="111"/>
      <c r="HW425" s="111"/>
      <c r="HX425" s="105">
        <f t="shared" si="501"/>
        <v>0</v>
      </c>
      <c r="HY425" s="105">
        <f t="shared" si="501"/>
        <v>0</v>
      </c>
      <c r="HZ425" s="105">
        <f t="shared" si="501"/>
        <v>0</v>
      </c>
      <c r="IA425" s="105">
        <f t="shared" si="495"/>
        <v>0</v>
      </c>
      <c r="IB425" s="109">
        <f t="shared" si="496"/>
        <v>0</v>
      </c>
      <c r="IC425" s="109">
        <f t="shared" si="497"/>
        <v>0</v>
      </c>
      <c r="ID425" s="109">
        <f t="shared" si="498"/>
        <v>0</v>
      </c>
      <c r="IE425" s="109">
        <f t="shared" si="499"/>
        <v>0</v>
      </c>
      <c r="IF425" s="197"/>
      <c r="IG425" s="197"/>
      <c r="IH425" s="197"/>
      <c r="II425" s="197"/>
      <c r="IJ425" s="197"/>
      <c r="IK425" s="197"/>
      <c r="IL425" s="197"/>
      <c r="IM425" s="171"/>
      <c r="IN425" s="171"/>
      <c r="IO425" s="171"/>
      <c r="IP425" s="171"/>
    </row>
    <row r="426" spans="1:250" ht="15" customHeight="1" x14ac:dyDescent="0.3">
      <c r="A426" s="110">
        <f t="shared" si="500"/>
        <v>422</v>
      </c>
      <c r="B426" s="111"/>
      <c r="C426" s="111"/>
      <c r="D426" s="111"/>
      <c r="E426" s="111"/>
      <c r="F426" s="111"/>
      <c r="G426" s="111"/>
      <c r="H426" s="111"/>
      <c r="I426" s="194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75"/>
      <c r="AI426" s="111"/>
      <c r="AJ426" s="111"/>
      <c r="AK426" s="111"/>
      <c r="AL426" s="177"/>
      <c r="AM426" s="176"/>
      <c r="AN426" s="177"/>
      <c r="AO426" s="157"/>
      <c r="AP426" s="158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  <c r="BJ426" s="111"/>
      <c r="BK426" s="111"/>
      <c r="BL426" s="175"/>
      <c r="BM426" s="111"/>
      <c r="BN426" s="111"/>
      <c r="BO426" s="111"/>
      <c r="BP426" s="111"/>
      <c r="BQ426" s="111"/>
      <c r="BR426" s="111"/>
      <c r="BS426" s="111"/>
      <c r="BT426" s="111"/>
      <c r="BU426" s="111"/>
      <c r="BV426" s="111"/>
      <c r="BW426" s="111"/>
      <c r="BX426" s="111"/>
      <c r="BY426" s="111"/>
      <c r="BZ426" s="111"/>
      <c r="CA426" s="111"/>
      <c r="CB426" s="111"/>
      <c r="CC426" s="178"/>
      <c r="CD426" s="177">
        <f t="shared" si="484"/>
        <v>0</v>
      </c>
      <c r="CE426" s="148"/>
      <c r="CF426" s="111">
        <f t="shared" si="485"/>
        <v>0</v>
      </c>
      <c r="CG426" s="177"/>
      <c r="CH426" s="204"/>
      <c r="CI426" s="148"/>
      <c r="CJ426" s="165"/>
      <c r="CK426" s="165"/>
      <c r="CL426" s="111"/>
      <c r="CM426" s="111"/>
      <c r="CN426" s="165">
        <f t="shared" si="486"/>
        <v>0</v>
      </c>
      <c r="CO426" s="109">
        <f t="shared" si="487"/>
        <v>0</v>
      </c>
      <c r="CP426" s="109">
        <f t="shared" si="488"/>
        <v>0</v>
      </c>
      <c r="CQ426" s="109"/>
      <c r="CR426" s="109"/>
      <c r="CS426" s="196"/>
      <c r="CT426" s="167"/>
      <c r="CU426" s="165"/>
      <c r="CV426" s="109">
        <f t="shared" si="489"/>
        <v>0</v>
      </c>
      <c r="CW426" s="109">
        <f t="shared" si="490"/>
        <v>0</v>
      </c>
      <c r="CX426" s="109"/>
      <c r="CY426" s="109"/>
      <c r="CZ426" s="111"/>
      <c r="DA426" s="111"/>
      <c r="DB426" s="165"/>
      <c r="DC426" s="109">
        <f t="shared" si="491"/>
        <v>0</v>
      </c>
      <c r="DD426" s="109">
        <f t="shared" si="492"/>
        <v>0</v>
      </c>
      <c r="DE426" s="109"/>
      <c r="DF426" s="109"/>
      <c r="DG426" s="111"/>
      <c r="DH426" s="111"/>
      <c r="DI426" s="165"/>
      <c r="DJ426" s="109">
        <f t="shared" si="493"/>
        <v>0</v>
      </c>
      <c r="DK426" s="109">
        <f t="shared" si="494"/>
        <v>0</v>
      </c>
      <c r="DL426" s="109"/>
      <c r="DM426" s="109"/>
      <c r="DN426" s="111"/>
      <c r="DO426" s="111"/>
      <c r="DP426" s="165"/>
      <c r="DQ426" s="109">
        <f t="shared" si="502"/>
        <v>0</v>
      </c>
      <c r="DR426" s="109">
        <f t="shared" si="503"/>
        <v>0</v>
      </c>
      <c r="DS426" s="109"/>
      <c r="DT426" s="109"/>
      <c r="DU426" s="111"/>
      <c r="DV426" s="111"/>
      <c r="DW426" s="165"/>
      <c r="DX426" s="109">
        <f t="shared" si="504"/>
        <v>0</v>
      </c>
      <c r="DY426" s="109">
        <f t="shared" si="505"/>
        <v>0</v>
      </c>
      <c r="DZ426" s="109"/>
      <c r="EA426" s="109"/>
      <c r="EB426" s="111"/>
      <c r="EC426" s="111"/>
      <c r="ED426" s="165"/>
      <c r="EE426" s="109">
        <f t="shared" si="506"/>
        <v>0</v>
      </c>
      <c r="EF426" s="109">
        <f t="shared" si="507"/>
        <v>0</v>
      </c>
      <c r="EG426" s="109"/>
      <c r="EH426" s="109"/>
      <c r="EI426" s="111"/>
      <c r="EJ426" s="111"/>
      <c r="EK426" s="165"/>
      <c r="EL426" s="109">
        <f t="shared" si="508"/>
        <v>0</v>
      </c>
      <c r="EM426" s="109">
        <f t="shared" si="509"/>
        <v>0</v>
      </c>
      <c r="EN426" s="109"/>
      <c r="EO426" s="109"/>
      <c r="EP426" s="111"/>
      <c r="EQ426" s="111"/>
      <c r="ER426" s="165"/>
      <c r="ES426" s="109">
        <f t="shared" si="510"/>
        <v>0</v>
      </c>
      <c r="ET426" s="109">
        <f t="shared" si="511"/>
        <v>0</v>
      </c>
      <c r="EU426" s="109"/>
      <c r="EV426" s="109"/>
      <c r="EW426" s="111"/>
      <c r="EX426" s="111"/>
      <c r="EY426" s="165"/>
      <c r="EZ426" s="109">
        <f t="shared" si="512"/>
        <v>0</v>
      </c>
      <c r="FA426" s="109">
        <f t="shared" si="513"/>
        <v>0</v>
      </c>
      <c r="FB426" s="109"/>
      <c r="FC426" s="109"/>
      <c r="FD426" s="111"/>
      <c r="FE426" s="111"/>
      <c r="FF426" s="165"/>
      <c r="FG426" s="109">
        <f t="shared" si="514"/>
        <v>0</v>
      </c>
      <c r="FH426" s="109">
        <f t="shared" si="515"/>
        <v>0</v>
      </c>
      <c r="FI426" s="109"/>
      <c r="FJ426" s="109"/>
      <c r="FK426" s="111"/>
      <c r="FL426" s="111"/>
      <c r="FM426" s="165"/>
      <c r="FN426" s="109">
        <f t="shared" si="516"/>
        <v>0</v>
      </c>
      <c r="FO426" s="109">
        <f t="shared" si="517"/>
        <v>0</v>
      </c>
      <c r="FP426" s="109"/>
      <c r="FQ426" s="109"/>
      <c r="FR426" s="111"/>
      <c r="FS426" s="111"/>
      <c r="FT426" s="165"/>
      <c r="FU426" s="109">
        <f t="shared" si="518"/>
        <v>0</v>
      </c>
      <c r="FV426" s="109">
        <f t="shared" si="476"/>
        <v>0</v>
      </c>
      <c r="FW426" s="109"/>
      <c r="FX426" s="109"/>
      <c r="FY426" s="111"/>
      <c r="FZ426" s="111"/>
      <c r="GA426" s="165"/>
      <c r="GB426" s="109">
        <f t="shared" si="519"/>
        <v>0</v>
      </c>
      <c r="GC426" s="109">
        <f t="shared" si="477"/>
        <v>0</v>
      </c>
      <c r="GD426" s="109"/>
      <c r="GE426" s="109"/>
      <c r="GF426" s="111"/>
      <c r="GG426" s="111"/>
      <c r="GH426" s="165"/>
      <c r="GI426" s="109">
        <f t="shared" si="520"/>
        <v>0</v>
      </c>
      <c r="GJ426" s="109">
        <f t="shared" si="478"/>
        <v>0</v>
      </c>
      <c r="GK426" s="109"/>
      <c r="GL426" s="109"/>
      <c r="GM426" s="111"/>
      <c r="GN426" s="111"/>
      <c r="GO426" s="165"/>
      <c r="GP426" s="109">
        <f t="shared" si="521"/>
        <v>0</v>
      </c>
      <c r="GQ426" s="109">
        <f t="shared" si="479"/>
        <v>0</v>
      </c>
      <c r="GR426" s="109"/>
      <c r="GS426" s="109"/>
      <c r="GT426" s="111"/>
      <c r="GU426" s="111"/>
      <c r="GV426" s="165"/>
      <c r="GW426" s="168">
        <f t="shared" si="522"/>
        <v>0</v>
      </c>
      <c r="GX426" s="168">
        <f t="shared" si="480"/>
        <v>0</v>
      </c>
      <c r="GY426" s="168"/>
      <c r="GZ426" s="168"/>
      <c r="HA426" s="111"/>
      <c r="HB426" s="111"/>
      <c r="HC426" s="165"/>
      <c r="HD426" s="109">
        <f t="shared" si="523"/>
        <v>0</v>
      </c>
      <c r="HE426" s="109">
        <f t="shared" si="481"/>
        <v>0</v>
      </c>
      <c r="HF426" s="109"/>
      <c r="HG426" s="109"/>
      <c r="HH426" s="111"/>
      <c r="HI426" s="111"/>
      <c r="HJ426" s="165"/>
      <c r="HK426" s="109">
        <f t="shared" si="524"/>
        <v>0</v>
      </c>
      <c r="HL426" s="109">
        <f t="shared" si="482"/>
        <v>0</v>
      </c>
      <c r="HM426" s="109"/>
      <c r="HN426" s="109"/>
      <c r="HO426" s="111"/>
      <c r="HP426" s="111"/>
      <c r="HQ426" s="165"/>
      <c r="HR426" s="109">
        <f t="shared" si="525"/>
        <v>0</v>
      </c>
      <c r="HS426" s="109">
        <f t="shared" si="483"/>
        <v>0</v>
      </c>
      <c r="HT426" s="109"/>
      <c r="HU426" s="109"/>
      <c r="HV426" s="111"/>
      <c r="HW426" s="111"/>
      <c r="HX426" s="105">
        <f t="shared" si="501"/>
        <v>0</v>
      </c>
      <c r="HY426" s="105">
        <f t="shared" si="501"/>
        <v>0</v>
      </c>
      <c r="HZ426" s="105">
        <f t="shared" si="501"/>
        <v>0</v>
      </c>
      <c r="IA426" s="105">
        <f t="shared" si="495"/>
        <v>0</v>
      </c>
      <c r="IB426" s="109">
        <f t="shared" si="496"/>
        <v>0</v>
      </c>
      <c r="IC426" s="109">
        <f t="shared" si="497"/>
        <v>0</v>
      </c>
      <c r="ID426" s="109">
        <f t="shared" si="498"/>
        <v>0</v>
      </c>
      <c r="IE426" s="109">
        <f t="shared" si="499"/>
        <v>0</v>
      </c>
      <c r="IF426" s="197"/>
      <c r="IG426" s="197"/>
      <c r="IH426" s="197"/>
      <c r="II426" s="197"/>
      <c r="IJ426" s="197"/>
      <c r="IK426" s="197"/>
      <c r="IL426" s="197"/>
      <c r="IM426" s="171"/>
      <c r="IN426" s="171"/>
      <c r="IO426" s="171"/>
      <c r="IP426" s="171"/>
    </row>
    <row r="427" spans="1:250" ht="15" customHeight="1" x14ac:dyDescent="0.3">
      <c r="A427" s="110">
        <f t="shared" si="500"/>
        <v>423</v>
      </c>
      <c r="B427" s="111"/>
      <c r="C427" s="111"/>
      <c r="D427" s="111"/>
      <c r="E427" s="111"/>
      <c r="F427" s="111"/>
      <c r="G427" s="111"/>
      <c r="H427" s="111"/>
      <c r="I427" s="194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75"/>
      <c r="AI427" s="111"/>
      <c r="AJ427" s="111"/>
      <c r="AK427" s="111"/>
      <c r="AL427" s="177"/>
      <c r="AM427" s="176"/>
      <c r="AN427" s="177"/>
      <c r="AO427" s="157"/>
      <c r="AP427" s="158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75"/>
      <c r="BM427" s="111"/>
      <c r="BN427" s="111"/>
      <c r="BO427" s="111"/>
      <c r="BP427" s="111"/>
      <c r="BQ427" s="111"/>
      <c r="BR427" s="111"/>
      <c r="BS427" s="111"/>
      <c r="BT427" s="111"/>
      <c r="BU427" s="111"/>
      <c r="BV427" s="111"/>
      <c r="BW427" s="111"/>
      <c r="BX427" s="111"/>
      <c r="BY427" s="111"/>
      <c r="BZ427" s="111"/>
      <c r="CA427" s="111"/>
      <c r="CB427" s="111"/>
      <c r="CC427" s="178"/>
      <c r="CD427" s="177">
        <f t="shared" si="484"/>
        <v>0</v>
      </c>
      <c r="CE427" s="148"/>
      <c r="CF427" s="111">
        <f t="shared" si="485"/>
        <v>0</v>
      </c>
      <c r="CG427" s="177"/>
      <c r="CH427" s="204"/>
      <c r="CI427" s="148"/>
      <c r="CJ427" s="165"/>
      <c r="CK427" s="165"/>
      <c r="CL427" s="111"/>
      <c r="CM427" s="111"/>
      <c r="CN427" s="165">
        <f t="shared" si="486"/>
        <v>0</v>
      </c>
      <c r="CO427" s="109">
        <f t="shared" si="487"/>
        <v>0</v>
      </c>
      <c r="CP427" s="109">
        <f t="shared" si="488"/>
        <v>0</v>
      </c>
      <c r="CQ427" s="109"/>
      <c r="CR427" s="109"/>
      <c r="CS427" s="196"/>
      <c r="CT427" s="167"/>
      <c r="CU427" s="165"/>
      <c r="CV427" s="109">
        <f t="shared" si="489"/>
        <v>0</v>
      </c>
      <c r="CW427" s="109">
        <f t="shared" si="490"/>
        <v>0</v>
      </c>
      <c r="CX427" s="109"/>
      <c r="CY427" s="109"/>
      <c r="CZ427" s="111"/>
      <c r="DA427" s="111"/>
      <c r="DB427" s="165"/>
      <c r="DC427" s="109">
        <f t="shared" si="491"/>
        <v>0</v>
      </c>
      <c r="DD427" s="109">
        <f t="shared" si="492"/>
        <v>0</v>
      </c>
      <c r="DE427" s="109"/>
      <c r="DF427" s="109"/>
      <c r="DG427" s="111"/>
      <c r="DH427" s="111"/>
      <c r="DI427" s="165"/>
      <c r="DJ427" s="109">
        <f t="shared" si="493"/>
        <v>0</v>
      </c>
      <c r="DK427" s="109">
        <f t="shared" si="494"/>
        <v>0</v>
      </c>
      <c r="DL427" s="109"/>
      <c r="DM427" s="109"/>
      <c r="DN427" s="111"/>
      <c r="DO427" s="111"/>
      <c r="DP427" s="165"/>
      <c r="DQ427" s="109">
        <f t="shared" si="502"/>
        <v>0</v>
      </c>
      <c r="DR427" s="109">
        <f t="shared" si="503"/>
        <v>0</v>
      </c>
      <c r="DS427" s="109"/>
      <c r="DT427" s="109"/>
      <c r="DU427" s="111"/>
      <c r="DV427" s="111"/>
      <c r="DW427" s="165"/>
      <c r="DX427" s="109">
        <f t="shared" si="504"/>
        <v>0</v>
      </c>
      <c r="DY427" s="109">
        <f t="shared" si="505"/>
        <v>0</v>
      </c>
      <c r="DZ427" s="109"/>
      <c r="EA427" s="109"/>
      <c r="EB427" s="111"/>
      <c r="EC427" s="111"/>
      <c r="ED427" s="165"/>
      <c r="EE427" s="109">
        <f t="shared" si="506"/>
        <v>0</v>
      </c>
      <c r="EF427" s="109">
        <f t="shared" si="507"/>
        <v>0</v>
      </c>
      <c r="EG427" s="109"/>
      <c r="EH427" s="109"/>
      <c r="EI427" s="111"/>
      <c r="EJ427" s="111"/>
      <c r="EK427" s="165"/>
      <c r="EL427" s="109">
        <f t="shared" si="508"/>
        <v>0</v>
      </c>
      <c r="EM427" s="109">
        <f t="shared" si="509"/>
        <v>0</v>
      </c>
      <c r="EN427" s="109"/>
      <c r="EO427" s="109"/>
      <c r="EP427" s="111"/>
      <c r="EQ427" s="111"/>
      <c r="ER427" s="165"/>
      <c r="ES427" s="109">
        <f t="shared" si="510"/>
        <v>0</v>
      </c>
      <c r="ET427" s="109">
        <f t="shared" si="511"/>
        <v>0</v>
      </c>
      <c r="EU427" s="109"/>
      <c r="EV427" s="109"/>
      <c r="EW427" s="111"/>
      <c r="EX427" s="111"/>
      <c r="EY427" s="165"/>
      <c r="EZ427" s="109">
        <f t="shared" si="512"/>
        <v>0</v>
      </c>
      <c r="FA427" s="109">
        <f t="shared" si="513"/>
        <v>0</v>
      </c>
      <c r="FB427" s="109"/>
      <c r="FC427" s="109"/>
      <c r="FD427" s="111"/>
      <c r="FE427" s="111"/>
      <c r="FF427" s="165"/>
      <c r="FG427" s="109">
        <f t="shared" si="514"/>
        <v>0</v>
      </c>
      <c r="FH427" s="109">
        <f t="shared" si="515"/>
        <v>0</v>
      </c>
      <c r="FI427" s="109"/>
      <c r="FJ427" s="109"/>
      <c r="FK427" s="111"/>
      <c r="FL427" s="111"/>
      <c r="FM427" s="165"/>
      <c r="FN427" s="109">
        <f t="shared" si="516"/>
        <v>0</v>
      </c>
      <c r="FO427" s="109">
        <f t="shared" si="517"/>
        <v>0</v>
      </c>
      <c r="FP427" s="109"/>
      <c r="FQ427" s="109"/>
      <c r="FR427" s="111"/>
      <c r="FS427" s="111"/>
      <c r="FT427" s="165"/>
      <c r="FU427" s="109">
        <f t="shared" si="518"/>
        <v>0</v>
      </c>
      <c r="FV427" s="109">
        <f t="shared" si="476"/>
        <v>0</v>
      </c>
      <c r="FW427" s="109"/>
      <c r="FX427" s="109"/>
      <c r="FY427" s="111"/>
      <c r="FZ427" s="111"/>
      <c r="GA427" s="165"/>
      <c r="GB427" s="109">
        <f t="shared" si="519"/>
        <v>0</v>
      </c>
      <c r="GC427" s="109">
        <f t="shared" si="477"/>
        <v>0</v>
      </c>
      <c r="GD427" s="109"/>
      <c r="GE427" s="109"/>
      <c r="GF427" s="111"/>
      <c r="GG427" s="111"/>
      <c r="GH427" s="165"/>
      <c r="GI427" s="109">
        <f t="shared" si="520"/>
        <v>0</v>
      </c>
      <c r="GJ427" s="109">
        <f t="shared" si="478"/>
        <v>0</v>
      </c>
      <c r="GK427" s="109"/>
      <c r="GL427" s="109"/>
      <c r="GM427" s="111"/>
      <c r="GN427" s="111"/>
      <c r="GO427" s="165"/>
      <c r="GP427" s="109">
        <f t="shared" si="521"/>
        <v>0</v>
      </c>
      <c r="GQ427" s="109">
        <f t="shared" si="479"/>
        <v>0</v>
      </c>
      <c r="GR427" s="109"/>
      <c r="GS427" s="109"/>
      <c r="GT427" s="111"/>
      <c r="GU427" s="111"/>
      <c r="GV427" s="165"/>
      <c r="GW427" s="168">
        <f t="shared" si="522"/>
        <v>0</v>
      </c>
      <c r="GX427" s="168">
        <f t="shared" si="480"/>
        <v>0</v>
      </c>
      <c r="GY427" s="168"/>
      <c r="GZ427" s="168"/>
      <c r="HA427" s="111"/>
      <c r="HB427" s="111"/>
      <c r="HC427" s="165"/>
      <c r="HD427" s="109">
        <f t="shared" si="523"/>
        <v>0</v>
      </c>
      <c r="HE427" s="109">
        <f t="shared" si="481"/>
        <v>0</v>
      </c>
      <c r="HF427" s="109"/>
      <c r="HG427" s="109"/>
      <c r="HH427" s="111"/>
      <c r="HI427" s="111"/>
      <c r="HJ427" s="165"/>
      <c r="HK427" s="109">
        <f t="shared" si="524"/>
        <v>0</v>
      </c>
      <c r="HL427" s="109">
        <f t="shared" si="482"/>
        <v>0</v>
      </c>
      <c r="HM427" s="109"/>
      <c r="HN427" s="109"/>
      <c r="HO427" s="111"/>
      <c r="HP427" s="111"/>
      <c r="HQ427" s="165"/>
      <c r="HR427" s="109">
        <f t="shared" si="525"/>
        <v>0</v>
      </c>
      <c r="HS427" s="109">
        <f t="shared" si="483"/>
        <v>0</v>
      </c>
      <c r="HT427" s="109"/>
      <c r="HU427" s="109"/>
      <c r="HV427" s="111"/>
      <c r="HW427" s="111"/>
      <c r="HX427" s="105">
        <f t="shared" si="501"/>
        <v>0</v>
      </c>
      <c r="HY427" s="105">
        <f t="shared" si="501"/>
        <v>0</v>
      </c>
      <c r="HZ427" s="105">
        <f t="shared" si="501"/>
        <v>0</v>
      </c>
      <c r="IA427" s="105">
        <f t="shared" si="495"/>
        <v>0</v>
      </c>
      <c r="IB427" s="109">
        <f t="shared" si="496"/>
        <v>0</v>
      </c>
      <c r="IC427" s="109">
        <f t="shared" si="497"/>
        <v>0</v>
      </c>
      <c r="ID427" s="109">
        <f t="shared" si="498"/>
        <v>0</v>
      </c>
      <c r="IE427" s="109">
        <f t="shared" si="499"/>
        <v>0</v>
      </c>
      <c r="IF427" s="197"/>
      <c r="IG427" s="197"/>
      <c r="IH427" s="197"/>
      <c r="II427" s="197"/>
      <c r="IJ427" s="197"/>
      <c r="IK427" s="197"/>
      <c r="IL427" s="197"/>
      <c r="IM427" s="171"/>
      <c r="IN427" s="171"/>
      <c r="IO427" s="171"/>
      <c r="IP427" s="171"/>
    </row>
    <row r="428" spans="1:250" ht="15" customHeight="1" x14ac:dyDescent="0.3">
      <c r="A428" s="110">
        <f t="shared" si="500"/>
        <v>424</v>
      </c>
      <c r="B428" s="111"/>
      <c r="C428" s="111"/>
      <c r="D428" s="111"/>
      <c r="E428" s="111"/>
      <c r="F428" s="111"/>
      <c r="G428" s="111"/>
      <c r="H428" s="111"/>
      <c r="I428" s="194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75"/>
      <c r="AI428" s="111"/>
      <c r="AJ428" s="111"/>
      <c r="AK428" s="111"/>
      <c r="AL428" s="177"/>
      <c r="AM428" s="176"/>
      <c r="AN428" s="177"/>
      <c r="AO428" s="157"/>
      <c r="AP428" s="158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75"/>
      <c r="BM428" s="111"/>
      <c r="BN428" s="111"/>
      <c r="BO428" s="111"/>
      <c r="BP428" s="111"/>
      <c r="BQ428" s="111"/>
      <c r="BR428" s="111"/>
      <c r="BS428" s="111"/>
      <c r="BT428" s="111"/>
      <c r="BU428" s="111"/>
      <c r="BV428" s="111"/>
      <c r="BW428" s="111"/>
      <c r="BX428" s="111"/>
      <c r="BY428" s="111"/>
      <c r="BZ428" s="111"/>
      <c r="CA428" s="111"/>
      <c r="CB428" s="111"/>
      <c r="CC428" s="178"/>
      <c r="CD428" s="177">
        <f t="shared" si="484"/>
        <v>0</v>
      </c>
      <c r="CE428" s="148"/>
      <c r="CF428" s="111">
        <f t="shared" si="485"/>
        <v>0</v>
      </c>
      <c r="CG428" s="177"/>
      <c r="CH428" s="204"/>
      <c r="CI428" s="148"/>
      <c r="CJ428" s="165"/>
      <c r="CK428" s="165"/>
      <c r="CL428" s="111"/>
      <c r="CM428" s="111"/>
      <c r="CN428" s="165">
        <f t="shared" si="486"/>
        <v>0</v>
      </c>
      <c r="CO428" s="109">
        <f t="shared" si="487"/>
        <v>0</v>
      </c>
      <c r="CP428" s="109">
        <f t="shared" si="488"/>
        <v>0</v>
      </c>
      <c r="CQ428" s="109"/>
      <c r="CR428" s="109"/>
      <c r="CS428" s="196"/>
      <c r="CT428" s="167"/>
      <c r="CU428" s="165"/>
      <c r="CV428" s="109">
        <f t="shared" si="489"/>
        <v>0</v>
      </c>
      <c r="CW428" s="109">
        <f t="shared" si="490"/>
        <v>0</v>
      </c>
      <c r="CX428" s="109"/>
      <c r="CY428" s="109"/>
      <c r="CZ428" s="111"/>
      <c r="DA428" s="111"/>
      <c r="DB428" s="165"/>
      <c r="DC428" s="109">
        <f t="shared" si="491"/>
        <v>0</v>
      </c>
      <c r="DD428" s="109">
        <f t="shared" si="492"/>
        <v>0</v>
      </c>
      <c r="DE428" s="109"/>
      <c r="DF428" s="109"/>
      <c r="DG428" s="111"/>
      <c r="DH428" s="111"/>
      <c r="DI428" s="165"/>
      <c r="DJ428" s="109">
        <f t="shared" si="493"/>
        <v>0</v>
      </c>
      <c r="DK428" s="109">
        <f t="shared" si="494"/>
        <v>0</v>
      </c>
      <c r="DL428" s="109"/>
      <c r="DM428" s="109"/>
      <c r="DN428" s="111"/>
      <c r="DO428" s="111"/>
      <c r="DP428" s="165"/>
      <c r="DQ428" s="109">
        <f t="shared" si="502"/>
        <v>0</v>
      </c>
      <c r="DR428" s="109">
        <f t="shared" si="503"/>
        <v>0</v>
      </c>
      <c r="DS428" s="109"/>
      <c r="DT428" s="109"/>
      <c r="DU428" s="111"/>
      <c r="DV428" s="111"/>
      <c r="DW428" s="165"/>
      <c r="DX428" s="109">
        <f t="shared" si="504"/>
        <v>0</v>
      </c>
      <c r="DY428" s="109">
        <f t="shared" si="505"/>
        <v>0</v>
      </c>
      <c r="DZ428" s="109"/>
      <c r="EA428" s="109"/>
      <c r="EB428" s="111"/>
      <c r="EC428" s="111"/>
      <c r="ED428" s="165"/>
      <c r="EE428" s="109">
        <f t="shared" si="506"/>
        <v>0</v>
      </c>
      <c r="EF428" s="109">
        <f t="shared" si="507"/>
        <v>0</v>
      </c>
      <c r="EG428" s="109"/>
      <c r="EH428" s="109"/>
      <c r="EI428" s="111"/>
      <c r="EJ428" s="111"/>
      <c r="EK428" s="165"/>
      <c r="EL428" s="109">
        <f t="shared" si="508"/>
        <v>0</v>
      </c>
      <c r="EM428" s="109">
        <f t="shared" si="509"/>
        <v>0</v>
      </c>
      <c r="EN428" s="109"/>
      <c r="EO428" s="109"/>
      <c r="EP428" s="111"/>
      <c r="EQ428" s="111"/>
      <c r="ER428" s="165"/>
      <c r="ES428" s="109">
        <f t="shared" si="510"/>
        <v>0</v>
      </c>
      <c r="ET428" s="109">
        <f t="shared" si="511"/>
        <v>0</v>
      </c>
      <c r="EU428" s="109"/>
      <c r="EV428" s="109"/>
      <c r="EW428" s="111"/>
      <c r="EX428" s="111"/>
      <c r="EY428" s="165"/>
      <c r="EZ428" s="109">
        <f t="shared" si="512"/>
        <v>0</v>
      </c>
      <c r="FA428" s="109">
        <f t="shared" si="513"/>
        <v>0</v>
      </c>
      <c r="FB428" s="109"/>
      <c r="FC428" s="109"/>
      <c r="FD428" s="111"/>
      <c r="FE428" s="111"/>
      <c r="FF428" s="165"/>
      <c r="FG428" s="109">
        <f t="shared" si="514"/>
        <v>0</v>
      </c>
      <c r="FH428" s="109">
        <f t="shared" si="515"/>
        <v>0</v>
      </c>
      <c r="FI428" s="109"/>
      <c r="FJ428" s="109"/>
      <c r="FK428" s="111"/>
      <c r="FL428" s="111"/>
      <c r="FM428" s="165"/>
      <c r="FN428" s="109">
        <f t="shared" si="516"/>
        <v>0</v>
      </c>
      <c r="FO428" s="109">
        <f t="shared" si="517"/>
        <v>0</v>
      </c>
      <c r="FP428" s="109"/>
      <c r="FQ428" s="109"/>
      <c r="FR428" s="111"/>
      <c r="FS428" s="111"/>
      <c r="FT428" s="165"/>
      <c r="FU428" s="109">
        <f t="shared" si="518"/>
        <v>0</v>
      </c>
      <c r="FV428" s="109">
        <f t="shared" si="476"/>
        <v>0</v>
      </c>
      <c r="FW428" s="109"/>
      <c r="FX428" s="109"/>
      <c r="FY428" s="111"/>
      <c r="FZ428" s="111"/>
      <c r="GA428" s="165"/>
      <c r="GB428" s="109">
        <f t="shared" si="519"/>
        <v>0</v>
      </c>
      <c r="GC428" s="109">
        <f t="shared" si="477"/>
        <v>0</v>
      </c>
      <c r="GD428" s="109"/>
      <c r="GE428" s="109"/>
      <c r="GF428" s="111"/>
      <c r="GG428" s="111"/>
      <c r="GH428" s="165"/>
      <c r="GI428" s="109">
        <f t="shared" si="520"/>
        <v>0</v>
      </c>
      <c r="GJ428" s="109">
        <f t="shared" si="478"/>
        <v>0</v>
      </c>
      <c r="GK428" s="109"/>
      <c r="GL428" s="109"/>
      <c r="GM428" s="111"/>
      <c r="GN428" s="111"/>
      <c r="GO428" s="165"/>
      <c r="GP428" s="109">
        <f t="shared" si="521"/>
        <v>0</v>
      </c>
      <c r="GQ428" s="109">
        <f t="shared" si="479"/>
        <v>0</v>
      </c>
      <c r="GR428" s="109"/>
      <c r="GS428" s="109"/>
      <c r="GT428" s="111"/>
      <c r="GU428" s="111"/>
      <c r="GV428" s="165"/>
      <c r="GW428" s="168">
        <f t="shared" si="522"/>
        <v>0</v>
      </c>
      <c r="GX428" s="168">
        <f t="shared" si="480"/>
        <v>0</v>
      </c>
      <c r="GY428" s="168"/>
      <c r="GZ428" s="168"/>
      <c r="HA428" s="111"/>
      <c r="HB428" s="111"/>
      <c r="HC428" s="165"/>
      <c r="HD428" s="109">
        <f t="shared" si="523"/>
        <v>0</v>
      </c>
      <c r="HE428" s="109">
        <f t="shared" si="481"/>
        <v>0</v>
      </c>
      <c r="HF428" s="109"/>
      <c r="HG428" s="109"/>
      <c r="HH428" s="111"/>
      <c r="HI428" s="111"/>
      <c r="HJ428" s="165"/>
      <c r="HK428" s="109">
        <f t="shared" si="524"/>
        <v>0</v>
      </c>
      <c r="HL428" s="109">
        <f t="shared" si="482"/>
        <v>0</v>
      </c>
      <c r="HM428" s="109"/>
      <c r="HN428" s="109"/>
      <c r="HO428" s="111"/>
      <c r="HP428" s="111"/>
      <c r="HQ428" s="165"/>
      <c r="HR428" s="109">
        <f t="shared" si="525"/>
        <v>0</v>
      </c>
      <c r="HS428" s="109">
        <f t="shared" si="483"/>
        <v>0</v>
      </c>
      <c r="HT428" s="109"/>
      <c r="HU428" s="109"/>
      <c r="HV428" s="111"/>
      <c r="HW428" s="111"/>
      <c r="HX428" s="105">
        <f t="shared" si="501"/>
        <v>0</v>
      </c>
      <c r="HY428" s="105">
        <f t="shared" si="501"/>
        <v>0</v>
      </c>
      <c r="HZ428" s="105">
        <f t="shared" si="501"/>
        <v>0</v>
      </c>
      <c r="IA428" s="105">
        <f t="shared" si="495"/>
        <v>0</v>
      </c>
      <c r="IB428" s="109">
        <f t="shared" si="496"/>
        <v>0</v>
      </c>
      <c r="IC428" s="109">
        <f t="shared" si="497"/>
        <v>0</v>
      </c>
      <c r="ID428" s="109">
        <f t="shared" si="498"/>
        <v>0</v>
      </c>
      <c r="IE428" s="109">
        <f t="shared" si="499"/>
        <v>0</v>
      </c>
      <c r="IF428" s="197"/>
      <c r="IG428" s="197"/>
      <c r="IH428" s="197"/>
      <c r="II428" s="197"/>
      <c r="IJ428" s="197"/>
      <c r="IK428" s="197"/>
      <c r="IL428" s="197"/>
      <c r="IM428" s="171"/>
      <c r="IN428" s="171"/>
      <c r="IO428" s="171"/>
      <c r="IP428" s="171"/>
    </row>
    <row r="429" spans="1:250" ht="15" customHeight="1" x14ac:dyDescent="0.3">
      <c r="A429" s="110">
        <f t="shared" si="500"/>
        <v>425</v>
      </c>
      <c r="B429" s="111"/>
      <c r="C429" s="111"/>
      <c r="D429" s="111"/>
      <c r="E429" s="111"/>
      <c r="F429" s="111"/>
      <c r="G429" s="111"/>
      <c r="H429" s="111"/>
      <c r="I429" s="194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75"/>
      <c r="AI429" s="111"/>
      <c r="AJ429" s="111"/>
      <c r="AK429" s="111"/>
      <c r="AL429" s="177"/>
      <c r="AM429" s="176"/>
      <c r="AN429" s="177"/>
      <c r="AO429" s="157"/>
      <c r="AP429" s="158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75"/>
      <c r="BM429" s="111"/>
      <c r="BN429" s="111"/>
      <c r="BO429" s="111"/>
      <c r="BP429" s="111"/>
      <c r="BQ429" s="111"/>
      <c r="BR429" s="111"/>
      <c r="BS429" s="111"/>
      <c r="BT429" s="111"/>
      <c r="BU429" s="111"/>
      <c r="BV429" s="111"/>
      <c r="BW429" s="111"/>
      <c r="BX429" s="111"/>
      <c r="BY429" s="111"/>
      <c r="BZ429" s="111"/>
      <c r="CA429" s="111"/>
      <c r="CB429" s="111"/>
      <c r="CC429" s="178"/>
      <c r="CD429" s="177">
        <f t="shared" si="484"/>
        <v>0</v>
      </c>
      <c r="CE429" s="148"/>
      <c r="CF429" s="111">
        <f t="shared" si="485"/>
        <v>0</v>
      </c>
      <c r="CG429" s="177"/>
      <c r="CH429" s="204"/>
      <c r="CI429" s="148"/>
      <c r="CJ429" s="165"/>
      <c r="CK429" s="165"/>
      <c r="CL429" s="111"/>
      <c r="CM429" s="111"/>
      <c r="CN429" s="165">
        <f t="shared" si="486"/>
        <v>0</v>
      </c>
      <c r="CO429" s="109">
        <f t="shared" si="487"/>
        <v>0</v>
      </c>
      <c r="CP429" s="109">
        <f t="shared" si="488"/>
        <v>0</v>
      </c>
      <c r="CQ429" s="109"/>
      <c r="CR429" s="109"/>
      <c r="CS429" s="196"/>
      <c r="CT429" s="167"/>
      <c r="CU429" s="165"/>
      <c r="CV429" s="109">
        <f t="shared" si="489"/>
        <v>0</v>
      </c>
      <c r="CW429" s="109">
        <f t="shared" si="490"/>
        <v>0</v>
      </c>
      <c r="CX429" s="109"/>
      <c r="CY429" s="109"/>
      <c r="CZ429" s="111"/>
      <c r="DA429" s="111"/>
      <c r="DB429" s="165"/>
      <c r="DC429" s="109">
        <f t="shared" si="491"/>
        <v>0</v>
      </c>
      <c r="DD429" s="109">
        <f t="shared" si="492"/>
        <v>0</v>
      </c>
      <c r="DE429" s="109"/>
      <c r="DF429" s="109"/>
      <c r="DG429" s="111"/>
      <c r="DH429" s="111"/>
      <c r="DI429" s="165"/>
      <c r="DJ429" s="109">
        <f t="shared" si="493"/>
        <v>0</v>
      </c>
      <c r="DK429" s="109">
        <f t="shared" si="494"/>
        <v>0</v>
      </c>
      <c r="DL429" s="109"/>
      <c r="DM429" s="109"/>
      <c r="DN429" s="111"/>
      <c r="DO429" s="111"/>
      <c r="DP429" s="165"/>
      <c r="DQ429" s="109">
        <f t="shared" si="502"/>
        <v>0</v>
      </c>
      <c r="DR429" s="109">
        <f t="shared" si="503"/>
        <v>0</v>
      </c>
      <c r="DS429" s="109"/>
      <c r="DT429" s="109"/>
      <c r="DU429" s="111"/>
      <c r="DV429" s="111"/>
      <c r="DW429" s="165"/>
      <c r="DX429" s="109">
        <f t="shared" si="504"/>
        <v>0</v>
      </c>
      <c r="DY429" s="109">
        <f t="shared" si="505"/>
        <v>0</v>
      </c>
      <c r="DZ429" s="109"/>
      <c r="EA429" s="109"/>
      <c r="EB429" s="111"/>
      <c r="EC429" s="111"/>
      <c r="ED429" s="165"/>
      <c r="EE429" s="109">
        <f t="shared" si="506"/>
        <v>0</v>
      </c>
      <c r="EF429" s="109">
        <f t="shared" si="507"/>
        <v>0</v>
      </c>
      <c r="EG429" s="109"/>
      <c r="EH429" s="109"/>
      <c r="EI429" s="111"/>
      <c r="EJ429" s="111"/>
      <c r="EK429" s="165"/>
      <c r="EL429" s="109">
        <f t="shared" si="508"/>
        <v>0</v>
      </c>
      <c r="EM429" s="109">
        <f t="shared" si="509"/>
        <v>0</v>
      </c>
      <c r="EN429" s="109"/>
      <c r="EO429" s="109"/>
      <c r="EP429" s="111"/>
      <c r="EQ429" s="111"/>
      <c r="ER429" s="165"/>
      <c r="ES429" s="109">
        <f t="shared" si="510"/>
        <v>0</v>
      </c>
      <c r="ET429" s="109">
        <f t="shared" si="511"/>
        <v>0</v>
      </c>
      <c r="EU429" s="109"/>
      <c r="EV429" s="109"/>
      <c r="EW429" s="111"/>
      <c r="EX429" s="111"/>
      <c r="EY429" s="165"/>
      <c r="EZ429" s="109">
        <f t="shared" si="512"/>
        <v>0</v>
      </c>
      <c r="FA429" s="109">
        <f t="shared" si="513"/>
        <v>0</v>
      </c>
      <c r="FB429" s="109"/>
      <c r="FC429" s="109"/>
      <c r="FD429" s="111"/>
      <c r="FE429" s="111"/>
      <c r="FF429" s="165"/>
      <c r="FG429" s="109">
        <f t="shared" si="514"/>
        <v>0</v>
      </c>
      <c r="FH429" s="109">
        <f t="shared" si="515"/>
        <v>0</v>
      </c>
      <c r="FI429" s="109"/>
      <c r="FJ429" s="109"/>
      <c r="FK429" s="111"/>
      <c r="FL429" s="111"/>
      <c r="FM429" s="165"/>
      <c r="FN429" s="109">
        <f t="shared" si="516"/>
        <v>0</v>
      </c>
      <c r="FO429" s="109">
        <f t="shared" si="517"/>
        <v>0</v>
      </c>
      <c r="FP429" s="109"/>
      <c r="FQ429" s="109"/>
      <c r="FR429" s="111"/>
      <c r="FS429" s="111"/>
      <c r="FT429" s="165"/>
      <c r="FU429" s="109">
        <f t="shared" si="518"/>
        <v>0</v>
      </c>
      <c r="FV429" s="109">
        <f t="shared" ref="FV429:FV492" si="526">FW429/(1+AM429)*AM429</f>
        <v>0</v>
      </c>
      <c r="FW429" s="109"/>
      <c r="FX429" s="109"/>
      <c r="FY429" s="111"/>
      <c r="FZ429" s="111"/>
      <c r="GA429" s="165"/>
      <c r="GB429" s="109">
        <f t="shared" si="519"/>
        <v>0</v>
      </c>
      <c r="GC429" s="109">
        <f t="shared" ref="GC429:GC492" si="527">GD429/(1+AM429)*AM429</f>
        <v>0</v>
      </c>
      <c r="GD429" s="109"/>
      <c r="GE429" s="109"/>
      <c r="GF429" s="111"/>
      <c r="GG429" s="111"/>
      <c r="GH429" s="165"/>
      <c r="GI429" s="109">
        <f t="shared" si="520"/>
        <v>0</v>
      </c>
      <c r="GJ429" s="109">
        <f t="shared" ref="GJ429:GJ492" si="528">GK429/(1+AM429)*AM429</f>
        <v>0</v>
      </c>
      <c r="GK429" s="109"/>
      <c r="GL429" s="109"/>
      <c r="GM429" s="111"/>
      <c r="GN429" s="111"/>
      <c r="GO429" s="165"/>
      <c r="GP429" s="109">
        <f t="shared" si="521"/>
        <v>0</v>
      </c>
      <c r="GQ429" s="109">
        <f t="shared" ref="GQ429:GQ492" si="529">GR429/(1+AM429)*AM429</f>
        <v>0</v>
      </c>
      <c r="GR429" s="109"/>
      <c r="GS429" s="109"/>
      <c r="GT429" s="111"/>
      <c r="GU429" s="111"/>
      <c r="GV429" s="165"/>
      <c r="GW429" s="168">
        <f t="shared" si="522"/>
        <v>0</v>
      </c>
      <c r="GX429" s="168">
        <f t="shared" ref="GX429:GX492" si="530">GY429/(1+AM429)*AM429</f>
        <v>0</v>
      </c>
      <c r="GY429" s="168"/>
      <c r="GZ429" s="168"/>
      <c r="HA429" s="111"/>
      <c r="HB429" s="111"/>
      <c r="HC429" s="165"/>
      <c r="HD429" s="109">
        <f t="shared" si="523"/>
        <v>0</v>
      </c>
      <c r="HE429" s="109">
        <f t="shared" ref="HE429:HE492" si="531">HF429/(1+AM429)*AM429</f>
        <v>0</v>
      </c>
      <c r="HF429" s="109"/>
      <c r="HG429" s="109"/>
      <c r="HH429" s="111"/>
      <c r="HI429" s="111"/>
      <c r="HJ429" s="165"/>
      <c r="HK429" s="109">
        <f t="shared" si="524"/>
        <v>0</v>
      </c>
      <c r="HL429" s="109">
        <f t="shared" ref="HL429:HL492" si="532">HM429/(1+AM429)*AM429</f>
        <v>0</v>
      </c>
      <c r="HM429" s="109"/>
      <c r="HN429" s="109"/>
      <c r="HO429" s="111"/>
      <c r="HP429" s="111"/>
      <c r="HQ429" s="165"/>
      <c r="HR429" s="109">
        <f t="shared" si="525"/>
        <v>0</v>
      </c>
      <c r="HS429" s="109">
        <f t="shared" ref="HS429:HS492" si="533">HT429/(1+AM429)*AM429</f>
        <v>0</v>
      </c>
      <c r="HT429" s="109"/>
      <c r="HU429" s="109"/>
      <c r="HV429" s="111"/>
      <c r="HW429" s="111"/>
      <c r="HX429" s="105">
        <f t="shared" si="501"/>
        <v>0</v>
      </c>
      <c r="HY429" s="105">
        <f t="shared" si="501"/>
        <v>0</v>
      </c>
      <c r="HZ429" s="105">
        <f t="shared" si="501"/>
        <v>0</v>
      </c>
      <c r="IA429" s="105">
        <f t="shared" si="495"/>
        <v>0</v>
      </c>
      <c r="IB429" s="109">
        <f t="shared" si="496"/>
        <v>0</v>
      </c>
      <c r="IC429" s="109">
        <f t="shared" si="497"/>
        <v>0</v>
      </c>
      <c r="ID429" s="109">
        <f t="shared" si="498"/>
        <v>0</v>
      </c>
      <c r="IE429" s="109">
        <f t="shared" si="499"/>
        <v>0</v>
      </c>
      <c r="IF429" s="197"/>
      <c r="IG429" s="197"/>
      <c r="IH429" s="197"/>
      <c r="II429" s="197"/>
      <c r="IJ429" s="197"/>
      <c r="IK429" s="197"/>
      <c r="IL429" s="197"/>
      <c r="IM429" s="171"/>
      <c r="IN429" s="171"/>
      <c r="IO429" s="171"/>
      <c r="IP429" s="171"/>
    </row>
    <row r="430" spans="1:250" ht="15" customHeight="1" x14ac:dyDescent="0.3">
      <c r="A430" s="110">
        <f t="shared" si="500"/>
        <v>426</v>
      </c>
      <c r="B430" s="111"/>
      <c r="C430" s="111"/>
      <c r="D430" s="111"/>
      <c r="E430" s="111"/>
      <c r="F430" s="111"/>
      <c r="G430" s="111"/>
      <c r="H430" s="111"/>
      <c r="I430" s="194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75"/>
      <c r="AI430" s="111"/>
      <c r="AJ430" s="111"/>
      <c r="AK430" s="111"/>
      <c r="AL430" s="177"/>
      <c r="AM430" s="176"/>
      <c r="AN430" s="177"/>
      <c r="AO430" s="157"/>
      <c r="AP430" s="158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75"/>
      <c r="BM430" s="111"/>
      <c r="BN430" s="111"/>
      <c r="BO430" s="111"/>
      <c r="BP430" s="111"/>
      <c r="BQ430" s="111"/>
      <c r="BR430" s="111"/>
      <c r="BS430" s="111"/>
      <c r="BT430" s="111"/>
      <c r="BU430" s="111"/>
      <c r="BV430" s="111"/>
      <c r="BW430" s="111"/>
      <c r="BX430" s="111"/>
      <c r="BY430" s="111"/>
      <c r="BZ430" s="111"/>
      <c r="CA430" s="111"/>
      <c r="CB430" s="111"/>
      <c r="CC430" s="178"/>
      <c r="CD430" s="177">
        <f t="shared" si="484"/>
        <v>0</v>
      </c>
      <c r="CE430" s="148"/>
      <c r="CF430" s="111">
        <f t="shared" si="485"/>
        <v>0</v>
      </c>
      <c r="CG430" s="177"/>
      <c r="CH430" s="204"/>
      <c r="CI430" s="148"/>
      <c r="CJ430" s="165"/>
      <c r="CK430" s="165"/>
      <c r="CL430" s="111"/>
      <c r="CM430" s="111"/>
      <c r="CN430" s="165">
        <f t="shared" si="486"/>
        <v>0</v>
      </c>
      <c r="CO430" s="109">
        <f t="shared" si="487"/>
        <v>0</v>
      </c>
      <c r="CP430" s="109">
        <f t="shared" si="488"/>
        <v>0</v>
      </c>
      <c r="CQ430" s="109"/>
      <c r="CR430" s="109"/>
      <c r="CS430" s="196"/>
      <c r="CT430" s="167"/>
      <c r="CU430" s="165"/>
      <c r="CV430" s="109">
        <f t="shared" si="489"/>
        <v>0</v>
      </c>
      <c r="CW430" s="109">
        <f t="shared" si="490"/>
        <v>0</v>
      </c>
      <c r="CX430" s="109"/>
      <c r="CY430" s="109"/>
      <c r="CZ430" s="111"/>
      <c r="DA430" s="111"/>
      <c r="DB430" s="165"/>
      <c r="DC430" s="109">
        <f t="shared" si="491"/>
        <v>0</v>
      </c>
      <c r="DD430" s="109">
        <f t="shared" si="492"/>
        <v>0</v>
      </c>
      <c r="DE430" s="109"/>
      <c r="DF430" s="109"/>
      <c r="DG430" s="111"/>
      <c r="DH430" s="111"/>
      <c r="DI430" s="165"/>
      <c r="DJ430" s="109">
        <f t="shared" si="493"/>
        <v>0</v>
      </c>
      <c r="DK430" s="109">
        <f t="shared" si="494"/>
        <v>0</v>
      </c>
      <c r="DL430" s="109"/>
      <c r="DM430" s="109"/>
      <c r="DN430" s="111"/>
      <c r="DO430" s="111"/>
      <c r="DP430" s="165"/>
      <c r="DQ430" s="109">
        <f t="shared" si="502"/>
        <v>0</v>
      </c>
      <c r="DR430" s="109">
        <f t="shared" si="503"/>
        <v>0</v>
      </c>
      <c r="DS430" s="109"/>
      <c r="DT430" s="109"/>
      <c r="DU430" s="111"/>
      <c r="DV430" s="111"/>
      <c r="DW430" s="165"/>
      <c r="DX430" s="109">
        <f t="shared" si="504"/>
        <v>0</v>
      </c>
      <c r="DY430" s="109">
        <f t="shared" si="505"/>
        <v>0</v>
      </c>
      <c r="DZ430" s="109"/>
      <c r="EA430" s="109"/>
      <c r="EB430" s="111"/>
      <c r="EC430" s="111"/>
      <c r="ED430" s="165"/>
      <c r="EE430" s="109">
        <f t="shared" si="506"/>
        <v>0</v>
      </c>
      <c r="EF430" s="109">
        <f t="shared" si="507"/>
        <v>0</v>
      </c>
      <c r="EG430" s="109"/>
      <c r="EH430" s="109"/>
      <c r="EI430" s="111"/>
      <c r="EJ430" s="111"/>
      <c r="EK430" s="165"/>
      <c r="EL430" s="109">
        <f t="shared" si="508"/>
        <v>0</v>
      </c>
      <c r="EM430" s="109">
        <f t="shared" si="509"/>
        <v>0</v>
      </c>
      <c r="EN430" s="109"/>
      <c r="EO430" s="109"/>
      <c r="EP430" s="111"/>
      <c r="EQ430" s="111"/>
      <c r="ER430" s="165"/>
      <c r="ES430" s="109">
        <f t="shared" si="510"/>
        <v>0</v>
      </c>
      <c r="ET430" s="109">
        <f t="shared" si="511"/>
        <v>0</v>
      </c>
      <c r="EU430" s="109"/>
      <c r="EV430" s="109"/>
      <c r="EW430" s="111"/>
      <c r="EX430" s="111"/>
      <c r="EY430" s="165"/>
      <c r="EZ430" s="109">
        <f t="shared" si="512"/>
        <v>0</v>
      </c>
      <c r="FA430" s="109">
        <f t="shared" si="513"/>
        <v>0</v>
      </c>
      <c r="FB430" s="109"/>
      <c r="FC430" s="109"/>
      <c r="FD430" s="111"/>
      <c r="FE430" s="111"/>
      <c r="FF430" s="165"/>
      <c r="FG430" s="109">
        <f t="shared" si="514"/>
        <v>0</v>
      </c>
      <c r="FH430" s="109">
        <f t="shared" si="515"/>
        <v>0</v>
      </c>
      <c r="FI430" s="109"/>
      <c r="FJ430" s="109"/>
      <c r="FK430" s="111"/>
      <c r="FL430" s="111"/>
      <c r="FM430" s="165"/>
      <c r="FN430" s="109">
        <f t="shared" si="516"/>
        <v>0</v>
      </c>
      <c r="FO430" s="109">
        <f t="shared" si="517"/>
        <v>0</v>
      </c>
      <c r="FP430" s="109"/>
      <c r="FQ430" s="109"/>
      <c r="FR430" s="111"/>
      <c r="FS430" s="111"/>
      <c r="FT430" s="165"/>
      <c r="FU430" s="109">
        <f t="shared" si="518"/>
        <v>0</v>
      </c>
      <c r="FV430" s="109">
        <f t="shared" si="526"/>
        <v>0</v>
      </c>
      <c r="FW430" s="109"/>
      <c r="FX430" s="109"/>
      <c r="FY430" s="111"/>
      <c r="FZ430" s="111"/>
      <c r="GA430" s="165"/>
      <c r="GB430" s="109">
        <f t="shared" si="519"/>
        <v>0</v>
      </c>
      <c r="GC430" s="109">
        <f t="shared" si="527"/>
        <v>0</v>
      </c>
      <c r="GD430" s="109"/>
      <c r="GE430" s="109"/>
      <c r="GF430" s="111"/>
      <c r="GG430" s="111"/>
      <c r="GH430" s="165"/>
      <c r="GI430" s="109">
        <f t="shared" si="520"/>
        <v>0</v>
      </c>
      <c r="GJ430" s="109">
        <f t="shared" si="528"/>
        <v>0</v>
      </c>
      <c r="GK430" s="109"/>
      <c r="GL430" s="109"/>
      <c r="GM430" s="111"/>
      <c r="GN430" s="111"/>
      <c r="GO430" s="165"/>
      <c r="GP430" s="109">
        <f t="shared" si="521"/>
        <v>0</v>
      </c>
      <c r="GQ430" s="109">
        <f t="shared" si="529"/>
        <v>0</v>
      </c>
      <c r="GR430" s="109"/>
      <c r="GS430" s="109"/>
      <c r="GT430" s="111"/>
      <c r="GU430" s="111"/>
      <c r="GV430" s="165"/>
      <c r="GW430" s="168">
        <f t="shared" si="522"/>
        <v>0</v>
      </c>
      <c r="GX430" s="168">
        <f t="shared" si="530"/>
        <v>0</v>
      </c>
      <c r="GY430" s="168"/>
      <c r="GZ430" s="168"/>
      <c r="HA430" s="111"/>
      <c r="HB430" s="111"/>
      <c r="HC430" s="165"/>
      <c r="HD430" s="109">
        <f t="shared" si="523"/>
        <v>0</v>
      </c>
      <c r="HE430" s="109">
        <f t="shared" si="531"/>
        <v>0</v>
      </c>
      <c r="HF430" s="109"/>
      <c r="HG430" s="109"/>
      <c r="HH430" s="111"/>
      <c r="HI430" s="111"/>
      <c r="HJ430" s="165"/>
      <c r="HK430" s="109">
        <f t="shared" si="524"/>
        <v>0</v>
      </c>
      <c r="HL430" s="109">
        <f t="shared" si="532"/>
        <v>0</v>
      </c>
      <c r="HM430" s="109"/>
      <c r="HN430" s="109"/>
      <c r="HO430" s="111"/>
      <c r="HP430" s="111"/>
      <c r="HQ430" s="165"/>
      <c r="HR430" s="109">
        <f t="shared" si="525"/>
        <v>0</v>
      </c>
      <c r="HS430" s="109">
        <f t="shared" si="533"/>
        <v>0</v>
      </c>
      <c r="HT430" s="109"/>
      <c r="HU430" s="109"/>
      <c r="HV430" s="111"/>
      <c r="HW430" s="111"/>
      <c r="HX430" s="105">
        <f t="shared" si="501"/>
        <v>0</v>
      </c>
      <c r="HY430" s="105">
        <f t="shared" si="501"/>
        <v>0</v>
      </c>
      <c r="HZ430" s="105">
        <f t="shared" si="501"/>
        <v>0</v>
      </c>
      <c r="IA430" s="105">
        <f t="shared" si="495"/>
        <v>0</v>
      </c>
      <c r="IB430" s="109">
        <f t="shared" si="496"/>
        <v>0</v>
      </c>
      <c r="IC430" s="109">
        <f t="shared" si="497"/>
        <v>0</v>
      </c>
      <c r="ID430" s="109">
        <f t="shared" si="498"/>
        <v>0</v>
      </c>
      <c r="IE430" s="109">
        <f t="shared" si="499"/>
        <v>0</v>
      </c>
      <c r="IF430" s="197"/>
      <c r="IG430" s="197"/>
      <c r="IH430" s="197"/>
      <c r="II430" s="197"/>
      <c r="IJ430" s="197"/>
      <c r="IK430" s="197"/>
      <c r="IL430" s="197"/>
      <c r="IM430" s="171"/>
      <c r="IN430" s="171"/>
      <c r="IO430" s="171"/>
      <c r="IP430" s="171"/>
    </row>
    <row r="431" spans="1:250" ht="15" customHeight="1" x14ac:dyDescent="0.3">
      <c r="A431" s="110">
        <f t="shared" si="500"/>
        <v>427</v>
      </c>
      <c r="B431" s="111"/>
      <c r="C431" s="111"/>
      <c r="D431" s="111"/>
      <c r="E431" s="111"/>
      <c r="F431" s="111"/>
      <c r="G431" s="111"/>
      <c r="H431" s="111"/>
      <c r="I431" s="194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75"/>
      <c r="AI431" s="111"/>
      <c r="AJ431" s="111"/>
      <c r="AK431" s="111"/>
      <c r="AL431" s="177"/>
      <c r="AM431" s="176"/>
      <c r="AN431" s="177"/>
      <c r="AO431" s="157"/>
      <c r="AP431" s="158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75"/>
      <c r="BM431" s="111"/>
      <c r="BN431" s="111"/>
      <c r="BO431" s="111"/>
      <c r="BP431" s="111"/>
      <c r="BQ431" s="111"/>
      <c r="BR431" s="111"/>
      <c r="BS431" s="111"/>
      <c r="BT431" s="111"/>
      <c r="BU431" s="111"/>
      <c r="BV431" s="111"/>
      <c r="BW431" s="111"/>
      <c r="BX431" s="111"/>
      <c r="BY431" s="111"/>
      <c r="BZ431" s="111"/>
      <c r="CA431" s="111"/>
      <c r="CB431" s="111"/>
      <c r="CC431" s="178"/>
      <c r="CD431" s="177">
        <f t="shared" si="484"/>
        <v>0</v>
      </c>
      <c r="CE431" s="148"/>
      <c r="CF431" s="111">
        <f t="shared" si="485"/>
        <v>0</v>
      </c>
      <c r="CG431" s="177"/>
      <c r="CH431" s="204"/>
      <c r="CI431" s="148"/>
      <c r="CJ431" s="165"/>
      <c r="CK431" s="165"/>
      <c r="CL431" s="111"/>
      <c r="CM431" s="111"/>
      <c r="CN431" s="165">
        <f t="shared" si="486"/>
        <v>0</v>
      </c>
      <c r="CO431" s="109">
        <f t="shared" si="487"/>
        <v>0</v>
      </c>
      <c r="CP431" s="109">
        <f t="shared" si="488"/>
        <v>0</v>
      </c>
      <c r="CQ431" s="109"/>
      <c r="CR431" s="109"/>
      <c r="CS431" s="196"/>
      <c r="CT431" s="167"/>
      <c r="CU431" s="165"/>
      <c r="CV431" s="109">
        <f t="shared" si="489"/>
        <v>0</v>
      </c>
      <c r="CW431" s="109">
        <f t="shared" si="490"/>
        <v>0</v>
      </c>
      <c r="CX431" s="109"/>
      <c r="CY431" s="109"/>
      <c r="CZ431" s="111"/>
      <c r="DA431" s="111"/>
      <c r="DB431" s="165"/>
      <c r="DC431" s="109">
        <f t="shared" si="491"/>
        <v>0</v>
      </c>
      <c r="DD431" s="109">
        <f t="shared" si="492"/>
        <v>0</v>
      </c>
      <c r="DE431" s="109"/>
      <c r="DF431" s="109"/>
      <c r="DG431" s="111"/>
      <c r="DH431" s="111"/>
      <c r="DI431" s="165"/>
      <c r="DJ431" s="109">
        <f t="shared" si="493"/>
        <v>0</v>
      </c>
      <c r="DK431" s="109">
        <f t="shared" si="494"/>
        <v>0</v>
      </c>
      <c r="DL431" s="109"/>
      <c r="DM431" s="109"/>
      <c r="DN431" s="111"/>
      <c r="DO431" s="111"/>
      <c r="DP431" s="165"/>
      <c r="DQ431" s="109">
        <f t="shared" si="502"/>
        <v>0</v>
      </c>
      <c r="DR431" s="109">
        <f t="shared" si="503"/>
        <v>0</v>
      </c>
      <c r="DS431" s="109"/>
      <c r="DT431" s="109"/>
      <c r="DU431" s="111"/>
      <c r="DV431" s="111"/>
      <c r="DW431" s="165"/>
      <c r="DX431" s="109">
        <f t="shared" si="504"/>
        <v>0</v>
      </c>
      <c r="DY431" s="109">
        <f t="shared" si="505"/>
        <v>0</v>
      </c>
      <c r="DZ431" s="109"/>
      <c r="EA431" s="109"/>
      <c r="EB431" s="111"/>
      <c r="EC431" s="111"/>
      <c r="ED431" s="165"/>
      <c r="EE431" s="109">
        <f t="shared" si="506"/>
        <v>0</v>
      </c>
      <c r="EF431" s="109">
        <f t="shared" si="507"/>
        <v>0</v>
      </c>
      <c r="EG431" s="109"/>
      <c r="EH431" s="109"/>
      <c r="EI431" s="111"/>
      <c r="EJ431" s="111"/>
      <c r="EK431" s="165"/>
      <c r="EL431" s="109">
        <f t="shared" si="508"/>
        <v>0</v>
      </c>
      <c r="EM431" s="109">
        <f t="shared" si="509"/>
        <v>0</v>
      </c>
      <c r="EN431" s="109"/>
      <c r="EO431" s="109"/>
      <c r="EP431" s="111"/>
      <c r="EQ431" s="111"/>
      <c r="ER431" s="165"/>
      <c r="ES431" s="109">
        <f t="shared" si="510"/>
        <v>0</v>
      </c>
      <c r="ET431" s="109">
        <f t="shared" si="511"/>
        <v>0</v>
      </c>
      <c r="EU431" s="109"/>
      <c r="EV431" s="109"/>
      <c r="EW431" s="111"/>
      <c r="EX431" s="111"/>
      <c r="EY431" s="165"/>
      <c r="EZ431" s="109">
        <f t="shared" si="512"/>
        <v>0</v>
      </c>
      <c r="FA431" s="109">
        <f t="shared" si="513"/>
        <v>0</v>
      </c>
      <c r="FB431" s="109"/>
      <c r="FC431" s="109"/>
      <c r="FD431" s="111"/>
      <c r="FE431" s="111"/>
      <c r="FF431" s="165"/>
      <c r="FG431" s="109">
        <f t="shared" si="514"/>
        <v>0</v>
      </c>
      <c r="FH431" s="109">
        <f t="shared" si="515"/>
        <v>0</v>
      </c>
      <c r="FI431" s="109"/>
      <c r="FJ431" s="109"/>
      <c r="FK431" s="111"/>
      <c r="FL431" s="111"/>
      <c r="FM431" s="165"/>
      <c r="FN431" s="109">
        <f t="shared" si="516"/>
        <v>0</v>
      </c>
      <c r="FO431" s="109">
        <f t="shared" si="517"/>
        <v>0</v>
      </c>
      <c r="FP431" s="109"/>
      <c r="FQ431" s="109"/>
      <c r="FR431" s="111"/>
      <c r="FS431" s="111"/>
      <c r="FT431" s="165"/>
      <c r="FU431" s="109">
        <f t="shared" si="518"/>
        <v>0</v>
      </c>
      <c r="FV431" s="109">
        <f t="shared" si="526"/>
        <v>0</v>
      </c>
      <c r="FW431" s="109"/>
      <c r="FX431" s="109"/>
      <c r="FY431" s="111"/>
      <c r="FZ431" s="111"/>
      <c r="GA431" s="165"/>
      <c r="GB431" s="109">
        <f t="shared" si="519"/>
        <v>0</v>
      </c>
      <c r="GC431" s="109">
        <f t="shared" si="527"/>
        <v>0</v>
      </c>
      <c r="GD431" s="109"/>
      <c r="GE431" s="109"/>
      <c r="GF431" s="111"/>
      <c r="GG431" s="111"/>
      <c r="GH431" s="165"/>
      <c r="GI431" s="109">
        <f t="shared" si="520"/>
        <v>0</v>
      </c>
      <c r="GJ431" s="109">
        <f t="shared" si="528"/>
        <v>0</v>
      </c>
      <c r="GK431" s="109"/>
      <c r="GL431" s="109"/>
      <c r="GM431" s="111"/>
      <c r="GN431" s="111"/>
      <c r="GO431" s="165"/>
      <c r="GP431" s="109">
        <f t="shared" si="521"/>
        <v>0</v>
      </c>
      <c r="GQ431" s="109">
        <f t="shared" si="529"/>
        <v>0</v>
      </c>
      <c r="GR431" s="109"/>
      <c r="GS431" s="109"/>
      <c r="GT431" s="111"/>
      <c r="GU431" s="111"/>
      <c r="GV431" s="165"/>
      <c r="GW431" s="168">
        <f t="shared" si="522"/>
        <v>0</v>
      </c>
      <c r="GX431" s="168">
        <f t="shared" si="530"/>
        <v>0</v>
      </c>
      <c r="GY431" s="168"/>
      <c r="GZ431" s="168"/>
      <c r="HA431" s="111"/>
      <c r="HB431" s="111"/>
      <c r="HC431" s="165"/>
      <c r="HD431" s="109">
        <f t="shared" si="523"/>
        <v>0</v>
      </c>
      <c r="HE431" s="109">
        <f t="shared" si="531"/>
        <v>0</v>
      </c>
      <c r="HF431" s="109"/>
      <c r="HG431" s="109"/>
      <c r="HH431" s="111"/>
      <c r="HI431" s="111"/>
      <c r="HJ431" s="165"/>
      <c r="HK431" s="109">
        <f t="shared" si="524"/>
        <v>0</v>
      </c>
      <c r="HL431" s="109">
        <f t="shared" si="532"/>
        <v>0</v>
      </c>
      <c r="HM431" s="109"/>
      <c r="HN431" s="109"/>
      <c r="HO431" s="111"/>
      <c r="HP431" s="111"/>
      <c r="HQ431" s="165"/>
      <c r="HR431" s="109">
        <f t="shared" si="525"/>
        <v>0</v>
      </c>
      <c r="HS431" s="109">
        <f t="shared" si="533"/>
        <v>0</v>
      </c>
      <c r="HT431" s="109"/>
      <c r="HU431" s="109"/>
      <c r="HV431" s="111"/>
      <c r="HW431" s="111"/>
      <c r="HX431" s="105">
        <f t="shared" si="501"/>
        <v>0</v>
      </c>
      <c r="HY431" s="105">
        <f t="shared" si="501"/>
        <v>0</v>
      </c>
      <c r="HZ431" s="105">
        <f t="shared" si="501"/>
        <v>0</v>
      </c>
      <c r="IA431" s="105">
        <f t="shared" si="495"/>
        <v>0</v>
      </c>
      <c r="IB431" s="109">
        <f t="shared" si="496"/>
        <v>0</v>
      </c>
      <c r="IC431" s="109">
        <f t="shared" si="497"/>
        <v>0</v>
      </c>
      <c r="ID431" s="109">
        <f t="shared" si="498"/>
        <v>0</v>
      </c>
      <c r="IE431" s="109">
        <f t="shared" si="499"/>
        <v>0</v>
      </c>
      <c r="IF431" s="197"/>
      <c r="IG431" s="197"/>
      <c r="IH431" s="197"/>
      <c r="II431" s="197"/>
      <c r="IJ431" s="197"/>
      <c r="IK431" s="197"/>
      <c r="IL431" s="197"/>
      <c r="IM431" s="171"/>
      <c r="IN431" s="171"/>
      <c r="IO431" s="171"/>
      <c r="IP431" s="171"/>
    </row>
    <row r="432" spans="1:250" ht="15" customHeight="1" x14ac:dyDescent="0.3">
      <c r="A432" s="110">
        <f t="shared" si="500"/>
        <v>428</v>
      </c>
      <c r="B432" s="111"/>
      <c r="C432" s="111"/>
      <c r="D432" s="111"/>
      <c r="E432" s="111"/>
      <c r="F432" s="111"/>
      <c r="G432" s="111"/>
      <c r="H432" s="111"/>
      <c r="I432" s="194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75"/>
      <c r="AI432" s="111"/>
      <c r="AJ432" s="111"/>
      <c r="AK432" s="111"/>
      <c r="AL432" s="177"/>
      <c r="AM432" s="176"/>
      <c r="AN432" s="177"/>
      <c r="AO432" s="157"/>
      <c r="AP432" s="158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75"/>
      <c r="BM432" s="111"/>
      <c r="BN432" s="111"/>
      <c r="BO432" s="111"/>
      <c r="BP432" s="111"/>
      <c r="BQ432" s="111"/>
      <c r="BR432" s="111"/>
      <c r="BS432" s="111"/>
      <c r="BT432" s="111"/>
      <c r="BU432" s="111"/>
      <c r="BV432" s="111"/>
      <c r="BW432" s="111"/>
      <c r="BX432" s="111"/>
      <c r="BY432" s="111"/>
      <c r="BZ432" s="111"/>
      <c r="CA432" s="111"/>
      <c r="CB432" s="111"/>
      <c r="CC432" s="178"/>
      <c r="CD432" s="177">
        <f t="shared" si="484"/>
        <v>0</v>
      </c>
      <c r="CE432" s="148"/>
      <c r="CF432" s="111">
        <f t="shared" si="485"/>
        <v>0</v>
      </c>
      <c r="CG432" s="177"/>
      <c r="CH432" s="204"/>
      <c r="CI432" s="148"/>
      <c r="CJ432" s="165"/>
      <c r="CK432" s="165"/>
      <c r="CL432" s="111"/>
      <c r="CM432" s="111"/>
      <c r="CN432" s="165">
        <f t="shared" si="486"/>
        <v>0</v>
      </c>
      <c r="CO432" s="109">
        <f t="shared" si="487"/>
        <v>0</v>
      </c>
      <c r="CP432" s="109">
        <f t="shared" si="488"/>
        <v>0</v>
      </c>
      <c r="CQ432" s="109"/>
      <c r="CR432" s="109"/>
      <c r="CS432" s="196"/>
      <c r="CT432" s="167"/>
      <c r="CU432" s="165"/>
      <c r="CV432" s="109">
        <f t="shared" si="489"/>
        <v>0</v>
      </c>
      <c r="CW432" s="109">
        <f t="shared" si="490"/>
        <v>0</v>
      </c>
      <c r="CX432" s="109"/>
      <c r="CY432" s="109"/>
      <c r="CZ432" s="111"/>
      <c r="DA432" s="111"/>
      <c r="DB432" s="165"/>
      <c r="DC432" s="109">
        <f t="shared" si="491"/>
        <v>0</v>
      </c>
      <c r="DD432" s="109">
        <f t="shared" si="492"/>
        <v>0</v>
      </c>
      <c r="DE432" s="109"/>
      <c r="DF432" s="109"/>
      <c r="DG432" s="111"/>
      <c r="DH432" s="111"/>
      <c r="DI432" s="165"/>
      <c r="DJ432" s="109">
        <f t="shared" si="493"/>
        <v>0</v>
      </c>
      <c r="DK432" s="109">
        <f t="shared" si="494"/>
        <v>0</v>
      </c>
      <c r="DL432" s="109"/>
      <c r="DM432" s="109"/>
      <c r="DN432" s="111"/>
      <c r="DO432" s="111"/>
      <c r="DP432" s="165"/>
      <c r="DQ432" s="109">
        <f t="shared" si="502"/>
        <v>0</v>
      </c>
      <c r="DR432" s="109">
        <f t="shared" si="503"/>
        <v>0</v>
      </c>
      <c r="DS432" s="109"/>
      <c r="DT432" s="109"/>
      <c r="DU432" s="111"/>
      <c r="DV432" s="111"/>
      <c r="DW432" s="165"/>
      <c r="DX432" s="109">
        <f t="shared" si="504"/>
        <v>0</v>
      </c>
      <c r="DY432" s="109">
        <f t="shared" si="505"/>
        <v>0</v>
      </c>
      <c r="DZ432" s="109"/>
      <c r="EA432" s="109"/>
      <c r="EB432" s="111"/>
      <c r="EC432" s="111"/>
      <c r="ED432" s="165"/>
      <c r="EE432" s="109">
        <f t="shared" si="506"/>
        <v>0</v>
      </c>
      <c r="EF432" s="109">
        <f t="shared" si="507"/>
        <v>0</v>
      </c>
      <c r="EG432" s="109"/>
      <c r="EH432" s="109"/>
      <c r="EI432" s="111"/>
      <c r="EJ432" s="111"/>
      <c r="EK432" s="165"/>
      <c r="EL432" s="109">
        <f t="shared" si="508"/>
        <v>0</v>
      </c>
      <c r="EM432" s="109">
        <f t="shared" si="509"/>
        <v>0</v>
      </c>
      <c r="EN432" s="109"/>
      <c r="EO432" s="109"/>
      <c r="EP432" s="111"/>
      <c r="EQ432" s="111"/>
      <c r="ER432" s="165"/>
      <c r="ES432" s="109">
        <f t="shared" si="510"/>
        <v>0</v>
      </c>
      <c r="ET432" s="109">
        <f t="shared" si="511"/>
        <v>0</v>
      </c>
      <c r="EU432" s="109"/>
      <c r="EV432" s="109"/>
      <c r="EW432" s="111"/>
      <c r="EX432" s="111"/>
      <c r="EY432" s="165"/>
      <c r="EZ432" s="109">
        <f t="shared" si="512"/>
        <v>0</v>
      </c>
      <c r="FA432" s="109">
        <f t="shared" si="513"/>
        <v>0</v>
      </c>
      <c r="FB432" s="109"/>
      <c r="FC432" s="109"/>
      <c r="FD432" s="111"/>
      <c r="FE432" s="111"/>
      <c r="FF432" s="165"/>
      <c r="FG432" s="109">
        <f t="shared" si="514"/>
        <v>0</v>
      </c>
      <c r="FH432" s="109">
        <f t="shared" si="515"/>
        <v>0</v>
      </c>
      <c r="FI432" s="109"/>
      <c r="FJ432" s="109"/>
      <c r="FK432" s="111"/>
      <c r="FL432" s="111"/>
      <c r="FM432" s="165"/>
      <c r="FN432" s="109">
        <f t="shared" si="516"/>
        <v>0</v>
      </c>
      <c r="FO432" s="109">
        <f t="shared" si="517"/>
        <v>0</v>
      </c>
      <c r="FP432" s="109"/>
      <c r="FQ432" s="109"/>
      <c r="FR432" s="111"/>
      <c r="FS432" s="111"/>
      <c r="FT432" s="165"/>
      <c r="FU432" s="109">
        <f t="shared" si="518"/>
        <v>0</v>
      </c>
      <c r="FV432" s="109">
        <f t="shared" si="526"/>
        <v>0</v>
      </c>
      <c r="FW432" s="109"/>
      <c r="FX432" s="109"/>
      <c r="FY432" s="111"/>
      <c r="FZ432" s="111"/>
      <c r="GA432" s="165"/>
      <c r="GB432" s="109">
        <f t="shared" si="519"/>
        <v>0</v>
      </c>
      <c r="GC432" s="109">
        <f t="shared" si="527"/>
        <v>0</v>
      </c>
      <c r="GD432" s="109"/>
      <c r="GE432" s="109"/>
      <c r="GF432" s="111"/>
      <c r="GG432" s="111"/>
      <c r="GH432" s="165"/>
      <c r="GI432" s="109">
        <f t="shared" si="520"/>
        <v>0</v>
      </c>
      <c r="GJ432" s="109">
        <f t="shared" si="528"/>
        <v>0</v>
      </c>
      <c r="GK432" s="109"/>
      <c r="GL432" s="109"/>
      <c r="GM432" s="111"/>
      <c r="GN432" s="111"/>
      <c r="GO432" s="165"/>
      <c r="GP432" s="109">
        <f t="shared" si="521"/>
        <v>0</v>
      </c>
      <c r="GQ432" s="109">
        <f t="shared" si="529"/>
        <v>0</v>
      </c>
      <c r="GR432" s="109"/>
      <c r="GS432" s="109"/>
      <c r="GT432" s="111"/>
      <c r="GU432" s="111"/>
      <c r="GV432" s="165"/>
      <c r="GW432" s="168">
        <f t="shared" si="522"/>
        <v>0</v>
      </c>
      <c r="GX432" s="168">
        <f t="shared" si="530"/>
        <v>0</v>
      </c>
      <c r="GY432" s="168"/>
      <c r="GZ432" s="168"/>
      <c r="HA432" s="111"/>
      <c r="HB432" s="111"/>
      <c r="HC432" s="165"/>
      <c r="HD432" s="109">
        <f t="shared" si="523"/>
        <v>0</v>
      </c>
      <c r="HE432" s="109">
        <f t="shared" si="531"/>
        <v>0</v>
      </c>
      <c r="HF432" s="109"/>
      <c r="HG432" s="109"/>
      <c r="HH432" s="111"/>
      <c r="HI432" s="111"/>
      <c r="HJ432" s="165"/>
      <c r="HK432" s="109">
        <f t="shared" si="524"/>
        <v>0</v>
      </c>
      <c r="HL432" s="109">
        <f t="shared" si="532"/>
        <v>0</v>
      </c>
      <c r="HM432" s="109"/>
      <c r="HN432" s="109"/>
      <c r="HO432" s="111"/>
      <c r="HP432" s="111"/>
      <c r="HQ432" s="165"/>
      <c r="HR432" s="109">
        <f t="shared" si="525"/>
        <v>0</v>
      </c>
      <c r="HS432" s="109">
        <f t="shared" si="533"/>
        <v>0</v>
      </c>
      <c r="HT432" s="109"/>
      <c r="HU432" s="109"/>
      <c r="HV432" s="111"/>
      <c r="HW432" s="111"/>
      <c r="HX432" s="105">
        <f t="shared" si="501"/>
        <v>0</v>
      </c>
      <c r="HY432" s="105">
        <f t="shared" si="501"/>
        <v>0</v>
      </c>
      <c r="HZ432" s="105">
        <f t="shared" si="501"/>
        <v>0</v>
      </c>
      <c r="IA432" s="105">
        <f t="shared" si="495"/>
        <v>0</v>
      </c>
      <c r="IB432" s="109">
        <f t="shared" si="496"/>
        <v>0</v>
      </c>
      <c r="IC432" s="109">
        <f t="shared" si="497"/>
        <v>0</v>
      </c>
      <c r="ID432" s="109">
        <f t="shared" si="498"/>
        <v>0</v>
      </c>
      <c r="IE432" s="109">
        <f t="shared" si="499"/>
        <v>0</v>
      </c>
      <c r="IF432" s="197"/>
      <c r="IG432" s="197"/>
      <c r="IH432" s="197"/>
      <c r="II432" s="197"/>
      <c r="IJ432" s="197"/>
      <c r="IK432" s="197"/>
      <c r="IL432" s="197"/>
      <c r="IM432" s="171"/>
      <c r="IN432" s="171"/>
      <c r="IO432" s="171"/>
      <c r="IP432" s="171"/>
    </row>
    <row r="433" spans="1:250" ht="15" customHeight="1" x14ac:dyDescent="0.3">
      <c r="A433" s="110">
        <f t="shared" si="500"/>
        <v>429</v>
      </c>
      <c r="B433" s="111"/>
      <c r="C433" s="111"/>
      <c r="D433" s="111"/>
      <c r="E433" s="111"/>
      <c r="F433" s="111"/>
      <c r="G433" s="111"/>
      <c r="H433" s="111"/>
      <c r="I433" s="194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75"/>
      <c r="AI433" s="111"/>
      <c r="AJ433" s="111"/>
      <c r="AK433" s="111"/>
      <c r="AL433" s="177"/>
      <c r="AM433" s="176"/>
      <c r="AN433" s="177"/>
      <c r="AO433" s="157"/>
      <c r="AP433" s="158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75"/>
      <c r="BM433" s="111"/>
      <c r="BN433" s="111"/>
      <c r="BO433" s="111"/>
      <c r="BP433" s="111"/>
      <c r="BQ433" s="111"/>
      <c r="BR433" s="111"/>
      <c r="BS433" s="111"/>
      <c r="BT433" s="111"/>
      <c r="BU433" s="111"/>
      <c r="BV433" s="111"/>
      <c r="BW433" s="111"/>
      <c r="BX433" s="111"/>
      <c r="BY433" s="111"/>
      <c r="BZ433" s="111"/>
      <c r="CA433" s="111"/>
      <c r="CB433" s="111"/>
      <c r="CC433" s="178"/>
      <c r="CD433" s="177">
        <f t="shared" si="484"/>
        <v>0</v>
      </c>
      <c r="CE433" s="148"/>
      <c r="CF433" s="111">
        <f t="shared" si="485"/>
        <v>0</v>
      </c>
      <c r="CG433" s="177"/>
      <c r="CH433" s="204"/>
      <c r="CI433" s="148"/>
      <c r="CJ433" s="165"/>
      <c r="CK433" s="165"/>
      <c r="CL433" s="111"/>
      <c r="CM433" s="111"/>
      <c r="CN433" s="165">
        <f t="shared" si="486"/>
        <v>0</v>
      </c>
      <c r="CO433" s="109">
        <f t="shared" si="487"/>
        <v>0</v>
      </c>
      <c r="CP433" s="109">
        <f t="shared" si="488"/>
        <v>0</v>
      </c>
      <c r="CQ433" s="109"/>
      <c r="CR433" s="109"/>
      <c r="CS433" s="196"/>
      <c r="CT433" s="167"/>
      <c r="CU433" s="165"/>
      <c r="CV433" s="109">
        <f t="shared" si="489"/>
        <v>0</v>
      </c>
      <c r="CW433" s="109">
        <f t="shared" si="490"/>
        <v>0</v>
      </c>
      <c r="CX433" s="109"/>
      <c r="CY433" s="109"/>
      <c r="CZ433" s="111"/>
      <c r="DA433" s="111"/>
      <c r="DB433" s="165"/>
      <c r="DC433" s="109">
        <f t="shared" si="491"/>
        <v>0</v>
      </c>
      <c r="DD433" s="109">
        <f t="shared" si="492"/>
        <v>0</v>
      </c>
      <c r="DE433" s="109"/>
      <c r="DF433" s="109"/>
      <c r="DG433" s="111"/>
      <c r="DH433" s="111"/>
      <c r="DI433" s="165"/>
      <c r="DJ433" s="109">
        <f t="shared" si="493"/>
        <v>0</v>
      </c>
      <c r="DK433" s="109">
        <f t="shared" si="494"/>
        <v>0</v>
      </c>
      <c r="DL433" s="109"/>
      <c r="DM433" s="109"/>
      <c r="DN433" s="111"/>
      <c r="DO433" s="111"/>
      <c r="DP433" s="165"/>
      <c r="DQ433" s="109">
        <f t="shared" si="502"/>
        <v>0</v>
      </c>
      <c r="DR433" s="109">
        <f t="shared" si="503"/>
        <v>0</v>
      </c>
      <c r="DS433" s="109"/>
      <c r="DT433" s="109"/>
      <c r="DU433" s="111"/>
      <c r="DV433" s="111"/>
      <c r="DW433" s="165"/>
      <c r="DX433" s="109">
        <f t="shared" si="504"/>
        <v>0</v>
      </c>
      <c r="DY433" s="109">
        <f t="shared" si="505"/>
        <v>0</v>
      </c>
      <c r="DZ433" s="109"/>
      <c r="EA433" s="109"/>
      <c r="EB433" s="111"/>
      <c r="EC433" s="111"/>
      <c r="ED433" s="165"/>
      <c r="EE433" s="109">
        <f t="shared" si="506"/>
        <v>0</v>
      </c>
      <c r="EF433" s="109">
        <f t="shared" si="507"/>
        <v>0</v>
      </c>
      <c r="EG433" s="109"/>
      <c r="EH433" s="109"/>
      <c r="EI433" s="111"/>
      <c r="EJ433" s="111"/>
      <c r="EK433" s="165"/>
      <c r="EL433" s="109">
        <f t="shared" si="508"/>
        <v>0</v>
      </c>
      <c r="EM433" s="109">
        <f t="shared" si="509"/>
        <v>0</v>
      </c>
      <c r="EN433" s="109"/>
      <c r="EO433" s="109"/>
      <c r="EP433" s="111"/>
      <c r="EQ433" s="111"/>
      <c r="ER433" s="165"/>
      <c r="ES433" s="109">
        <f t="shared" si="510"/>
        <v>0</v>
      </c>
      <c r="ET433" s="109">
        <f t="shared" si="511"/>
        <v>0</v>
      </c>
      <c r="EU433" s="109"/>
      <c r="EV433" s="109"/>
      <c r="EW433" s="111"/>
      <c r="EX433" s="111"/>
      <c r="EY433" s="165"/>
      <c r="EZ433" s="109">
        <f t="shared" si="512"/>
        <v>0</v>
      </c>
      <c r="FA433" s="109">
        <f t="shared" si="513"/>
        <v>0</v>
      </c>
      <c r="FB433" s="109"/>
      <c r="FC433" s="109"/>
      <c r="FD433" s="111"/>
      <c r="FE433" s="111"/>
      <c r="FF433" s="165"/>
      <c r="FG433" s="109">
        <f t="shared" si="514"/>
        <v>0</v>
      </c>
      <c r="FH433" s="109">
        <f t="shared" si="515"/>
        <v>0</v>
      </c>
      <c r="FI433" s="109"/>
      <c r="FJ433" s="109"/>
      <c r="FK433" s="111"/>
      <c r="FL433" s="111"/>
      <c r="FM433" s="165"/>
      <c r="FN433" s="109">
        <f t="shared" si="516"/>
        <v>0</v>
      </c>
      <c r="FO433" s="109">
        <f t="shared" si="517"/>
        <v>0</v>
      </c>
      <c r="FP433" s="109"/>
      <c r="FQ433" s="109"/>
      <c r="FR433" s="111"/>
      <c r="FS433" s="111"/>
      <c r="FT433" s="165"/>
      <c r="FU433" s="109">
        <f t="shared" si="518"/>
        <v>0</v>
      </c>
      <c r="FV433" s="109">
        <f t="shared" si="526"/>
        <v>0</v>
      </c>
      <c r="FW433" s="109"/>
      <c r="FX433" s="109"/>
      <c r="FY433" s="111"/>
      <c r="FZ433" s="111"/>
      <c r="GA433" s="165"/>
      <c r="GB433" s="109">
        <f t="shared" si="519"/>
        <v>0</v>
      </c>
      <c r="GC433" s="109">
        <f t="shared" si="527"/>
        <v>0</v>
      </c>
      <c r="GD433" s="109"/>
      <c r="GE433" s="109"/>
      <c r="GF433" s="111"/>
      <c r="GG433" s="111"/>
      <c r="GH433" s="165"/>
      <c r="GI433" s="109">
        <f t="shared" si="520"/>
        <v>0</v>
      </c>
      <c r="GJ433" s="109">
        <f t="shared" si="528"/>
        <v>0</v>
      </c>
      <c r="GK433" s="109"/>
      <c r="GL433" s="109"/>
      <c r="GM433" s="111"/>
      <c r="GN433" s="111"/>
      <c r="GO433" s="165"/>
      <c r="GP433" s="109">
        <f t="shared" si="521"/>
        <v>0</v>
      </c>
      <c r="GQ433" s="109">
        <f t="shared" si="529"/>
        <v>0</v>
      </c>
      <c r="GR433" s="109"/>
      <c r="GS433" s="109"/>
      <c r="GT433" s="111"/>
      <c r="GU433" s="111"/>
      <c r="GV433" s="165"/>
      <c r="GW433" s="168">
        <f t="shared" si="522"/>
        <v>0</v>
      </c>
      <c r="GX433" s="168">
        <f t="shared" si="530"/>
        <v>0</v>
      </c>
      <c r="GY433" s="168"/>
      <c r="GZ433" s="168"/>
      <c r="HA433" s="111"/>
      <c r="HB433" s="111"/>
      <c r="HC433" s="165"/>
      <c r="HD433" s="109">
        <f t="shared" si="523"/>
        <v>0</v>
      </c>
      <c r="HE433" s="109">
        <f t="shared" si="531"/>
        <v>0</v>
      </c>
      <c r="HF433" s="109"/>
      <c r="HG433" s="109"/>
      <c r="HH433" s="111"/>
      <c r="HI433" s="111"/>
      <c r="HJ433" s="165"/>
      <c r="HK433" s="109">
        <f t="shared" si="524"/>
        <v>0</v>
      </c>
      <c r="HL433" s="109">
        <f t="shared" si="532"/>
        <v>0</v>
      </c>
      <c r="HM433" s="109"/>
      <c r="HN433" s="109"/>
      <c r="HO433" s="111"/>
      <c r="HP433" s="111"/>
      <c r="HQ433" s="165"/>
      <c r="HR433" s="109">
        <f t="shared" si="525"/>
        <v>0</v>
      </c>
      <c r="HS433" s="109">
        <f t="shared" si="533"/>
        <v>0</v>
      </c>
      <c r="HT433" s="109"/>
      <c r="HU433" s="109"/>
      <c r="HV433" s="111"/>
      <c r="HW433" s="111"/>
      <c r="HX433" s="105">
        <f t="shared" si="501"/>
        <v>0</v>
      </c>
      <c r="HY433" s="105">
        <f t="shared" si="501"/>
        <v>0</v>
      </c>
      <c r="HZ433" s="105">
        <f t="shared" si="501"/>
        <v>0</v>
      </c>
      <c r="IA433" s="105">
        <f t="shared" si="495"/>
        <v>0</v>
      </c>
      <c r="IB433" s="109">
        <f t="shared" si="496"/>
        <v>0</v>
      </c>
      <c r="IC433" s="109">
        <f t="shared" si="497"/>
        <v>0</v>
      </c>
      <c r="ID433" s="109">
        <f t="shared" si="498"/>
        <v>0</v>
      </c>
      <c r="IE433" s="109">
        <f t="shared" si="499"/>
        <v>0</v>
      </c>
      <c r="IF433" s="197"/>
      <c r="IG433" s="197"/>
      <c r="IH433" s="197"/>
      <c r="II433" s="197"/>
      <c r="IJ433" s="197"/>
      <c r="IK433" s="197"/>
      <c r="IL433" s="197"/>
      <c r="IM433" s="171"/>
      <c r="IN433" s="171"/>
      <c r="IO433" s="171"/>
      <c r="IP433" s="171"/>
    </row>
    <row r="434" spans="1:250" ht="15" customHeight="1" x14ac:dyDescent="0.3">
      <c r="A434" s="110">
        <f t="shared" si="500"/>
        <v>430</v>
      </c>
      <c r="B434" s="111"/>
      <c r="C434" s="111"/>
      <c r="D434" s="111"/>
      <c r="E434" s="111"/>
      <c r="F434" s="111"/>
      <c r="G434" s="111"/>
      <c r="H434" s="111"/>
      <c r="I434" s="194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75"/>
      <c r="AI434" s="111"/>
      <c r="AJ434" s="111"/>
      <c r="AK434" s="111"/>
      <c r="AL434" s="177"/>
      <c r="AM434" s="176"/>
      <c r="AN434" s="177"/>
      <c r="AO434" s="157"/>
      <c r="AP434" s="158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75"/>
      <c r="BM434" s="111"/>
      <c r="BN434" s="111"/>
      <c r="BO434" s="111"/>
      <c r="BP434" s="111"/>
      <c r="BQ434" s="111"/>
      <c r="BR434" s="111"/>
      <c r="BS434" s="111"/>
      <c r="BT434" s="111"/>
      <c r="BU434" s="111"/>
      <c r="BV434" s="111"/>
      <c r="BW434" s="111"/>
      <c r="BX434" s="111"/>
      <c r="BY434" s="111"/>
      <c r="BZ434" s="111"/>
      <c r="CA434" s="111"/>
      <c r="CB434" s="111"/>
      <c r="CC434" s="178"/>
      <c r="CD434" s="177">
        <f t="shared" si="484"/>
        <v>0</v>
      </c>
      <c r="CE434" s="148"/>
      <c r="CF434" s="111">
        <f t="shared" si="485"/>
        <v>0</v>
      </c>
      <c r="CG434" s="177"/>
      <c r="CH434" s="204"/>
      <c r="CI434" s="148"/>
      <c r="CJ434" s="165"/>
      <c r="CK434" s="165"/>
      <c r="CL434" s="111"/>
      <c r="CM434" s="111"/>
      <c r="CN434" s="165">
        <f t="shared" si="486"/>
        <v>0</v>
      </c>
      <c r="CO434" s="109">
        <f t="shared" si="487"/>
        <v>0</v>
      </c>
      <c r="CP434" s="109">
        <f t="shared" si="488"/>
        <v>0</v>
      </c>
      <c r="CQ434" s="109"/>
      <c r="CR434" s="109"/>
      <c r="CS434" s="196"/>
      <c r="CT434" s="167"/>
      <c r="CU434" s="165"/>
      <c r="CV434" s="109">
        <f t="shared" si="489"/>
        <v>0</v>
      </c>
      <c r="CW434" s="109">
        <f t="shared" si="490"/>
        <v>0</v>
      </c>
      <c r="CX434" s="109"/>
      <c r="CY434" s="109"/>
      <c r="CZ434" s="111"/>
      <c r="DA434" s="111"/>
      <c r="DB434" s="165"/>
      <c r="DC434" s="109">
        <f t="shared" si="491"/>
        <v>0</v>
      </c>
      <c r="DD434" s="109">
        <f t="shared" si="492"/>
        <v>0</v>
      </c>
      <c r="DE434" s="109"/>
      <c r="DF434" s="109"/>
      <c r="DG434" s="111"/>
      <c r="DH434" s="111"/>
      <c r="DI434" s="165"/>
      <c r="DJ434" s="109">
        <f t="shared" si="493"/>
        <v>0</v>
      </c>
      <c r="DK434" s="109">
        <f t="shared" si="494"/>
        <v>0</v>
      </c>
      <c r="DL434" s="109"/>
      <c r="DM434" s="109"/>
      <c r="DN434" s="111"/>
      <c r="DO434" s="111"/>
      <c r="DP434" s="165"/>
      <c r="DQ434" s="109">
        <f t="shared" si="502"/>
        <v>0</v>
      </c>
      <c r="DR434" s="109">
        <f t="shared" si="503"/>
        <v>0</v>
      </c>
      <c r="DS434" s="109"/>
      <c r="DT434" s="109"/>
      <c r="DU434" s="111"/>
      <c r="DV434" s="111"/>
      <c r="DW434" s="165"/>
      <c r="DX434" s="109">
        <f t="shared" si="504"/>
        <v>0</v>
      </c>
      <c r="DY434" s="109">
        <f t="shared" si="505"/>
        <v>0</v>
      </c>
      <c r="DZ434" s="109"/>
      <c r="EA434" s="109"/>
      <c r="EB434" s="111"/>
      <c r="EC434" s="111"/>
      <c r="ED434" s="165"/>
      <c r="EE434" s="109">
        <f t="shared" si="506"/>
        <v>0</v>
      </c>
      <c r="EF434" s="109">
        <f t="shared" si="507"/>
        <v>0</v>
      </c>
      <c r="EG434" s="109"/>
      <c r="EH434" s="109"/>
      <c r="EI434" s="111"/>
      <c r="EJ434" s="111"/>
      <c r="EK434" s="165"/>
      <c r="EL434" s="109">
        <f t="shared" si="508"/>
        <v>0</v>
      </c>
      <c r="EM434" s="109">
        <f t="shared" si="509"/>
        <v>0</v>
      </c>
      <c r="EN434" s="109"/>
      <c r="EO434" s="109"/>
      <c r="EP434" s="111"/>
      <c r="EQ434" s="111"/>
      <c r="ER434" s="165"/>
      <c r="ES434" s="109">
        <f t="shared" si="510"/>
        <v>0</v>
      </c>
      <c r="ET434" s="109">
        <f t="shared" si="511"/>
        <v>0</v>
      </c>
      <c r="EU434" s="109"/>
      <c r="EV434" s="109"/>
      <c r="EW434" s="111"/>
      <c r="EX434" s="111"/>
      <c r="EY434" s="165"/>
      <c r="EZ434" s="109">
        <f t="shared" si="512"/>
        <v>0</v>
      </c>
      <c r="FA434" s="109">
        <f t="shared" si="513"/>
        <v>0</v>
      </c>
      <c r="FB434" s="109"/>
      <c r="FC434" s="109"/>
      <c r="FD434" s="111"/>
      <c r="FE434" s="111"/>
      <c r="FF434" s="165"/>
      <c r="FG434" s="109">
        <f t="shared" si="514"/>
        <v>0</v>
      </c>
      <c r="FH434" s="109">
        <f t="shared" si="515"/>
        <v>0</v>
      </c>
      <c r="FI434" s="109"/>
      <c r="FJ434" s="109"/>
      <c r="FK434" s="111"/>
      <c r="FL434" s="111"/>
      <c r="FM434" s="165"/>
      <c r="FN434" s="109">
        <f t="shared" si="516"/>
        <v>0</v>
      </c>
      <c r="FO434" s="109">
        <f t="shared" si="517"/>
        <v>0</v>
      </c>
      <c r="FP434" s="109"/>
      <c r="FQ434" s="109"/>
      <c r="FR434" s="111"/>
      <c r="FS434" s="111"/>
      <c r="FT434" s="165"/>
      <c r="FU434" s="109">
        <f t="shared" si="518"/>
        <v>0</v>
      </c>
      <c r="FV434" s="109">
        <f t="shared" si="526"/>
        <v>0</v>
      </c>
      <c r="FW434" s="109"/>
      <c r="FX434" s="109"/>
      <c r="FY434" s="111"/>
      <c r="FZ434" s="111"/>
      <c r="GA434" s="165"/>
      <c r="GB434" s="109">
        <f t="shared" si="519"/>
        <v>0</v>
      </c>
      <c r="GC434" s="109">
        <f t="shared" si="527"/>
        <v>0</v>
      </c>
      <c r="GD434" s="109"/>
      <c r="GE434" s="109"/>
      <c r="GF434" s="111"/>
      <c r="GG434" s="111"/>
      <c r="GH434" s="165"/>
      <c r="GI434" s="109">
        <f t="shared" si="520"/>
        <v>0</v>
      </c>
      <c r="GJ434" s="109">
        <f t="shared" si="528"/>
        <v>0</v>
      </c>
      <c r="GK434" s="109"/>
      <c r="GL434" s="109"/>
      <c r="GM434" s="111"/>
      <c r="GN434" s="111"/>
      <c r="GO434" s="165"/>
      <c r="GP434" s="109">
        <f t="shared" si="521"/>
        <v>0</v>
      </c>
      <c r="GQ434" s="109">
        <f t="shared" si="529"/>
        <v>0</v>
      </c>
      <c r="GR434" s="109"/>
      <c r="GS434" s="109"/>
      <c r="GT434" s="111"/>
      <c r="GU434" s="111"/>
      <c r="GV434" s="165"/>
      <c r="GW434" s="168">
        <f t="shared" si="522"/>
        <v>0</v>
      </c>
      <c r="GX434" s="168">
        <f t="shared" si="530"/>
        <v>0</v>
      </c>
      <c r="GY434" s="168"/>
      <c r="GZ434" s="168"/>
      <c r="HA434" s="111"/>
      <c r="HB434" s="111"/>
      <c r="HC434" s="165"/>
      <c r="HD434" s="109">
        <f t="shared" si="523"/>
        <v>0</v>
      </c>
      <c r="HE434" s="109">
        <f t="shared" si="531"/>
        <v>0</v>
      </c>
      <c r="HF434" s="109"/>
      <c r="HG434" s="109"/>
      <c r="HH434" s="111"/>
      <c r="HI434" s="111"/>
      <c r="HJ434" s="165"/>
      <c r="HK434" s="109">
        <f t="shared" si="524"/>
        <v>0</v>
      </c>
      <c r="HL434" s="109">
        <f t="shared" si="532"/>
        <v>0</v>
      </c>
      <c r="HM434" s="109"/>
      <c r="HN434" s="109"/>
      <c r="HO434" s="111"/>
      <c r="HP434" s="111"/>
      <c r="HQ434" s="165"/>
      <c r="HR434" s="109">
        <f t="shared" si="525"/>
        <v>0</v>
      </c>
      <c r="HS434" s="109">
        <f t="shared" si="533"/>
        <v>0</v>
      </c>
      <c r="HT434" s="109"/>
      <c r="HU434" s="109"/>
      <c r="HV434" s="111"/>
      <c r="HW434" s="111"/>
      <c r="HX434" s="105">
        <f t="shared" si="501"/>
        <v>0</v>
      </c>
      <c r="HY434" s="105">
        <f t="shared" si="501"/>
        <v>0</v>
      </c>
      <c r="HZ434" s="105">
        <f t="shared" si="501"/>
        <v>0</v>
      </c>
      <c r="IA434" s="105">
        <f t="shared" si="495"/>
        <v>0</v>
      </c>
      <c r="IB434" s="109">
        <f t="shared" si="496"/>
        <v>0</v>
      </c>
      <c r="IC434" s="109">
        <f t="shared" si="497"/>
        <v>0</v>
      </c>
      <c r="ID434" s="109">
        <f t="shared" si="498"/>
        <v>0</v>
      </c>
      <c r="IE434" s="109">
        <f t="shared" si="499"/>
        <v>0</v>
      </c>
      <c r="IF434" s="197"/>
      <c r="IG434" s="197"/>
      <c r="IH434" s="197"/>
      <c r="II434" s="197"/>
      <c r="IJ434" s="197"/>
      <c r="IK434" s="197"/>
      <c r="IL434" s="197"/>
      <c r="IM434" s="171"/>
      <c r="IN434" s="171"/>
      <c r="IO434" s="171"/>
      <c r="IP434" s="171"/>
    </row>
    <row r="435" spans="1:250" ht="15" customHeight="1" x14ac:dyDescent="0.3">
      <c r="A435" s="110">
        <f t="shared" si="500"/>
        <v>431</v>
      </c>
      <c r="B435" s="111"/>
      <c r="C435" s="111"/>
      <c r="D435" s="111"/>
      <c r="E435" s="111"/>
      <c r="F435" s="111"/>
      <c r="G435" s="111"/>
      <c r="H435" s="111"/>
      <c r="I435" s="194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75"/>
      <c r="AI435" s="111"/>
      <c r="AJ435" s="111"/>
      <c r="AK435" s="111"/>
      <c r="AL435" s="177"/>
      <c r="AM435" s="176"/>
      <c r="AN435" s="177"/>
      <c r="AO435" s="157"/>
      <c r="AP435" s="158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  <c r="BJ435" s="111"/>
      <c r="BK435" s="111"/>
      <c r="BL435" s="175"/>
      <c r="BM435" s="111"/>
      <c r="BN435" s="111"/>
      <c r="BO435" s="111"/>
      <c r="BP435" s="111"/>
      <c r="BQ435" s="111"/>
      <c r="BR435" s="111"/>
      <c r="BS435" s="111"/>
      <c r="BT435" s="111"/>
      <c r="BU435" s="111"/>
      <c r="BV435" s="111"/>
      <c r="BW435" s="111"/>
      <c r="BX435" s="111"/>
      <c r="BY435" s="111"/>
      <c r="BZ435" s="111"/>
      <c r="CA435" s="111"/>
      <c r="CB435" s="111"/>
      <c r="CC435" s="178"/>
      <c r="CD435" s="177">
        <f t="shared" si="484"/>
        <v>0</v>
      </c>
      <c r="CE435" s="148"/>
      <c r="CF435" s="111">
        <f t="shared" si="485"/>
        <v>0</v>
      </c>
      <c r="CG435" s="177"/>
      <c r="CH435" s="204"/>
      <c r="CI435" s="148"/>
      <c r="CJ435" s="165"/>
      <c r="CK435" s="165"/>
      <c r="CL435" s="111"/>
      <c r="CM435" s="111"/>
      <c r="CN435" s="165">
        <f t="shared" si="486"/>
        <v>0</v>
      </c>
      <c r="CO435" s="109">
        <f t="shared" si="487"/>
        <v>0</v>
      </c>
      <c r="CP435" s="109">
        <f t="shared" si="488"/>
        <v>0</v>
      </c>
      <c r="CQ435" s="109"/>
      <c r="CR435" s="109"/>
      <c r="CS435" s="196"/>
      <c r="CT435" s="167"/>
      <c r="CU435" s="165"/>
      <c r="CV435" s="109">
        <f t="shared" si="489"/>
        <v>0</v>
      </c>
      <c r="CW435" s="109">
        <f t="shared" si="490"/>
        <v>0</v>
      </c>
      <c r="CX435" s="109"/>
      <c r="CY435" s="109"/>
      <c r="CZ435" s="111"/>
      <c r="DA435" s="111"/>
      <c r="DB435" s="165"/>
      <c r="DC435" s="109">
        <f t="shared" si="491"/>
        <v>0</v>
      </c>
      <c r="DD435" s="109">
        <f t="shared" si="492"/>
        <v>0</v>
      </c>
      <c r="DE435" s="109"/>
      <c r="DF435" s="109"/>
      <c r="DG435" s="111"/>
      <c r="DH435" s="111"/>
      <c r="DI435" s="165"/>
      <c r="DJ435" s="109">
        <f t="shared" si="493"/>
        <v>0</v>
      </c>
      <c r="DK435" s="109">
        <f t="shared" si="494"/>
        <v>0</v>
      </c>
      <c r="DL435" s="109"/>
      <c r="DM435" s="109"/>
      <c r="DN435" s="111"/>
      <c r="DO435" s="111"/>
      <c r="DP435" s="165"/>
      <c r="DQ435" s="109">
        <f t="shared" si="502"/>
        <v>0</v>
      </c>
      <c r="DR435" s="109">
        <f t="shared" si="503"/>
        <v>0</v>
      </c>
      <c r="DS435" s="109"/>
      <c r="DT435" s="109"/>
      <c r="DU435" s="111"/>
      <c r="DV435" s="111"/>
      <c r="DW435" s="165"/>
      <c r="DX435" s="109">
        <f t="shared" si="504"/>
        <v>0</v>
      </c>
      <c r="DY435" s="109">
        <f t="shared" si="505"/>
        <v>0</v>
      </c>
      <c r="DZ435" s="109"/>
      <c r="EA435" s="109"/>
      <c r="EB435" s="111"/>
      <c r="EC435" s="111"/>
      <c r="ED435" s="165"/>
      <c r="EE435" s="109">
        <f t="shared" si="506"/>
        <v>0</v>
      </c>
      <c r="EF435" s="109">
        <f t="shared" si="507"/>
        <v>0</v>
      </c>
      <c r="EG435" s="109"/>
      <c r="EH435" s="109"/>
      <c r="EI435" s="111"/>
      <c r="EJ435" s="111"/>
      <c r="EK435" s="165"/>
      <c r="EL435" s="109">
        <f t="shared" si="508"/>
        <v>0</v>
      </c>
      <c r="EM435" s="109">
        <f t="shared" si="509"/>
        <v>0</v>
      </c>
      <c r="EN435" s="109"/>
      <c r="EO435" s="109"/>
      <c r="EP435" s="111"/>
      <c r="EQ435" s="111"/>
      <c r="ER435" s="165"/>
      <c r="ES435" s="109">
        <f t="shared" si="510"/>
        <v>0</v>
      </c>
      <c r="ET435" s="109">
        <f t="shared" si="511"/>
        <v>0</v>
      </c>
      <c r="EU435" s="109"/>
      <c r="EV435" s="109"/>
      <c r="EW435" s="111"/>
      <c r="EX435" s="111"/>
      <c r="EY435" s="165"/>
      <c r="EZ435" s="109">
        <f t="shared" si="512"/>
        <v>0</v>
      </c>
      <c r="FA435" s="109">
        <f t="shared" si="513"/>
        <v>0</v>
      </c>
      <c r="FB435" s="109"/>
      <c r="FC435" s="109"/>
      <c r="FD435" s="111"/>
      <c r="FE435" s="111"/>
      <c r="FF435" s="165"/>
      <c r="FG435" s="109">
        <f t="shared" si="514"/>
        <v>0</v>
      </c>
      <c r="FH435" s="109">
        <f t="shared" si="515"/>
        <v>0</v>
      </c>
      <c r="FI435" s="109"/>
      <c r="FJ435" s="109"/>
      <c r="FK435" s="111"/>
      <c r="FL435" s="111"/>
      <c r="FM435" s="165"/>
      <c r="FN435" s="109">
        <f t="shared" si="516"/>
        <v>0</v>
      </c>
      <c r="FO435" s="109">
        <f t="shared" si="517"/>
        <v>0</v>
      </c>
      <c r="FP435" s="109"/>
      <c r="FQ435" s="109"/>
      <c r="FR435" s="111"/>
      <c r="FS435" s="111"/>
      <c r="FT435" s="165"/>
      <c r="FU435" s="109">
        <f t="shared" si="518"/>
        <v>0</v>
      </c>
      <c r="FV435" s="109">
        <f t="shared" si="526"/>
        <v>0</v>
      </c>
      <c r="FW435" s="109"/>
      <c r="FX435" s="109"/>
      <c r="FY435" s="111"/>
      <c r="FZ435" s="111"/>
      <c r="GA435" s="165"/>
      <c r="GB435" s="109">
        <f t="shared" si="519"/>
        <v>0</v>
      </c>
      <c r="GC435" s="109">
        <f t="shared" si="527"/>
        <v>0</v>
      </c>
      <c r="GD435" s="109"/>
      <c r="GE435" s="109"/>
      <c r="GF435" s="111"/>
      <c r="GG435" s="111"/>
      <c r="GH435" s="165"/>
      <c r="GI435" s="109">
        <f t="shared" si="520"/>
        <v>0</v>
      </c>
      <c r="GJ435" s="109">
        <f t="shared" si="528"/>
        <v>0</v>
      </c>
      <c r="GK435" s="109"/>
      <c r="GL435" s="109"/>
      <c r="GM435" s="111"/>
      <c r="GN435" s="111"/>
      <c r="GO435" s="165"/>
      <c r="GP435" s="109">
        <f t="shared" si="521"/>
        <v>0</v>
      </c>
      <c r="GQ435" s="109">
        <f t="shared" si="529"/>
        <v>0</v>
      </c>
      <c r="GR435" s="109"/>
      <c r="GS435" s="109"/>
      <c r="GT435" s="111"/>
      <c r="GU435" s="111"/>
      <c r="GV435" s="165"/>
      <c r="GW435" s="168">
        <f t="shared" si="522"/>
        <v>0</v>
      </c>
      <c r="GX435" s="168">
        <f t="shared" si="530"/>
        <v>0</v>
      </c>
      <c r="GY435" s="168"/>
      <c r="GZ435" s="168"/>
      <c r="HA435" s="111"/>
      <c r="HB435" s="111"/>
      <c r="HC435" s="165"/>
      <c r="HD435" s="109">
        <f t="shared" si="523"/>
        <v>0</v>
      </c>
      <c r="HE435" s="109">
        <f t="shared" si="531"/>
        <v>0</v>
      </c>
      <c r="HF435" s="109"/>
      <c r="HG435" s="109"/>
      <c r="HH435" s="111"/>
      <c r="HI435" s="111"/>
      <c r="HJ435" s="165"/>
      <c r="HK435" s="109">
        <f t="shared" si="524"/>
        <v>0</v>
      </c>
      <c r="HL435" s="109">
        <f t="shared" si="532"/>
        <v>0</v>
      </c>
      <c r="HM435" s="109"/>
      <c r="HN435" s="109"/>
      <c r="HO435" s="111"/>
      <c r="HP435" s="111"/>
      <c r="HQ435" s="165"/>
      <c r="HR435" s="109">
        <f t="shared" si="525"/>
        <v>0</v>
      </c>
      <c r="HS435" s="109">
        <f t="shared" si="533"/>
        <v>0</v>
      </c>
      <c r="HT435" s="109"/>
      <c r="HU435" s="109"/>
      <c r="HV435" s="111"/>
      <c r="HW435" s="111"/>
      <c r="HX435" s="105">
        <f t="shared" si="501"/>
        <v>0</v>
      </c>
      <c r="HY435" s="105">
        <f t="shared" si="501"/>
        <v>0</v>
      </c>
      <c r="HZ435" s="105">
        <f t="shared" si="501"/>
        <v>0</v>
      </c>
      <c r="IA435" s="105">
        <f t="shared" si="495"/>
        <v>0</v>
      </c>
      <c r="IB435" s="109">
        <f t="shared" si="496"/>
        <v>0</v>
      </c>
      <c r="IC435" s="109">
        <f t="shared" si="497"/>
        <v>0</v>
      </c>
      <c r="ID435" s="109">
        <f t="shared" si="498"/>
        <v>0</v>
      </c>
      <c r="IE435" s="109">
        <f t="shared" si="499"/>
        <v>0</v>
      </c>
      <c r="IF435" s="197"/>
      <c r="IG435" s="197"/>
      <c r="IH435" s="197"/>
      <c r="II435" s="197"/>
      <c r="IJ435" s="197"/>
      <c r="IK435" s="197"/>
      <c r="IL435" s="197"/>
      <c r="IM435" s="171"/>
      <c r="IN435" s="171"/>
      <c r="IO435" s="171"/>
      <c r="IP435" s="171"/>
    </row>
    <row r="436" spans="1:250" ht="15" customHeight="1" x14ac:dyDescent="0.3">
      <c r="A436" s="110">
        <f t="shared" si="500"/>
        <v>432</v>
      </c>
      <c r="B436" s="111"/>
      <c r="C436" s="111"/>
      <c r="D436" s="111"/>
      <c r="E436" s="111"/>
      <c r="F436" s="111"/>
      <c r="G436" s="111"/>
      <c r="H436" s="111"/>
      <c r="I436" s="194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75"/>
      <c r="AI436" s="111"/>
      <c r="AJ436" s="111"/>
      <c r="AK436" s="111"/>
      <c r="AL436" s="177"/>
      <c r="AM436" s="176"/>
      <c r="AN436" s="177"/>
      <c r="AO436" s="157"/>
      <c r="AP436" s="158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  <c r="BJ436" s="111"/>
      <c r="BK436" s="111"/>
      <c r="BL436" s="175"/>
      <c r="BM436" s="111"/>
      <c r="BN436" s="111"/>
      <c r="BO436" s="111"/>
      <c r="BP436" s="111"/>
      <c r="BQ436" s="111"/>
      <c r="BR436" s="111"/>
      <c r="BS436" s="111"/>
      <c r="BT436" s="111"/>
      <c r="BU436" s="111"/>
      <c r="BV436" s="111"/>
      <c r="BW436" s="111"/>
      <c r="BX436" s="111"/>
      <c r="BY436" s="111"/>
      <c r="BZ436" s="111"/>
      <c r="CA436" s="111"/>
      <c r="CB436" s="111"/>
      <c r="CC436" s="178"/>
      <c r="CD436" s="177">
        <f t="shared" si="484"/>
        <v>0</v>
      </c>
      <c r="CE436" s="148"/>
      <c r="CF436" s="111">
        <f t="shared" si="485"/>
        <v>0</v>
      </c>
      <c r="CG436" s="177"/>
      <c r="CH436" s="204"/>
      <c r="CI436" s="148"/>
      <c r="CJ436" s="165"/>
      <c r="CK436" s="165"/>
      <c r="CL436" s="111"/>
      <c r="CM436" s="111"/>
      <c r="CN436" s="165">
        <f t="shared" si="486"/>
        <v>0</v>
      </c>
      <c r="CO436" s="109">
        <f t="shared" si="487"/>
        <v>0</v>
      </c>
      <c r="CP436" s="109">
        <f t="shared" si="488"/>
        <v>0</v>
      </c>
      <c r="CQ436" s="109"/>
      <c r="CR436" s="109"/>
      <c r="CS436" s="196"/>
      <c r="CT436" s="167"/>
      <c r="CU436" s="165"/>
      <c r="CV436" s="109">
        <f t="shared" si="489"/>
        <v>0</v>
      </c>
      <c r="CW436" s="109">
        <f t="shared" si="490"/>
        <v>0</v>
      </c>
      <c r="CX436" s="109"/>
      <c r="CY436" s="109"/>
      <c r="CZ436" s="111"/>
      <c r="DA436" s="111"/>
      <c r="DB436" s="165"/>
      <c r="DC436" s="109">
        <f t="shared" si="491"/>
        <v>0</v>
      </c>
      <c r="DD436" s="109">
        <f t="shared" si="492"/>
        <v>0</v>
      </c>
      <c r="DE436" s="109"/>
      <c r="DF436" s="109"/>
      <c r="DG436" s="111"/>
      <c r="DH436" s="111"/>
      <c r="DI436" s="165"/>
      <c r="DJ436" s="109">
        <f t="shared" si="493"/>
        <v>0</v>
      </c>
      <c r="DK436" s="109">
        <f t="shared" si="494"/>
        <v>0</v>
      </c>
      <c r="DL436" s="109"/>
      <c r="DM436" s="109"/>
      <c r="DN436" s="111"/>
      <c r="DO436" s="111"/>
      <c r="DP436" s="165"/>
      <c r="DQ436" s="109">
        <f t="shared" si="502"/>
        <v>0</v>
      </c>
      <c r="DR436" s="109">
        <f t="shared" si="503"/>
        <v>0</v>
      </c>
      <c r="DS436" s="109"/>
      <c r="DT436" s="109"/>
      <c r="DU436" s="111"/>
      <c r="DV436" s="111"/>
      <c r="DW436" s="165"/>
      <c r="DX436" s="109">
        <f t="shared" si="504"/>
        <v>0</v>
      </c>
      <c r="DY436" s="109">
        <f t="shared" si="505"/>
        <v>0</v>
      </c>
      <c r="DZ436" s="109"/>
      <c r="EA436" s="109"/>
      <c r="EB436" s="111"/>
      <c r="EC436" s="111"/>
      <c r="ED436" s="165"/>
      <c r="EE436" s="109">
        <f t="shared" si="506"/>
        <v>0</v>
      </c>
      <c r="EF436" s="109">
        <f t="shared" si="507"/>
        <v>0</v>
      </c>
      <c r="EG436" s="109"/>
      <c r="EH436" s="109"/>
      <c r="EI436" s="111"/>
      <c r="EJ436" s="111"/>
      <c r="EK436" s="165"/>
      <c r="EL436" s="109">
        <f t="shared" si="508"/>
        <v>0</v>
      </c>
      <c r="EM436" s="109">
        <f t="shared" si="509"/>
        <v>0</v>
      </c>
      <c r="EN436" s="109"/>
      <c r="EO436" s="109"/>
      <c r="EP436" s="111"/>
      <c r="EQ436" s="111"/>
      <c r="ER436" s="165"/>
      <c r="ES436" s="109">
        <f t="shared" si="510"/>
        <v>0</v>
      </c>
      <c r="ET436" s="109">
        <f t="shared" si="511"/>
        <v>0</v>
      </c>
      <c r="EU436" s="109"/>
      <c r="EV436" s="109"/>
      <c r="EW436" s="111"/>
      <c r="EX436" s="111"/>
      <c r="EY436" s="165"/>
      <c r="EZ436" s="109">
        <f t="shared" si="512"/>
        <v>0</v>
      </c>
      <c r="FA436" s="109">
        <f t="shared" si="513"/>
        <v>0</v>
      </c>
      <c r="FB436" s="109"/>
      <c r="FC436" s="109"/>
      <c r="FD436" s="111"/>
      <c r="FE436" s="111"/>
      <c r="FF436" s="165"/>
      <c r="FG436" s="109">
        <f t="shared" si="514"/>
        <v>0</v>
      </c>
      <c r="FH436" s="109">
        <f t="shared" si="515"/>
        <v>0</v>
      </c>
      <c r="FI436" s="109"/>
      <c r="FJ436" s="109"/>
      <c r="FK436" s="111"/>
      <c r="FL436" s="111"/>
      <c r="FM436" s="165"/>
      <c r="FN436" s="109">
        <f t="shared" si="516"/>
        <v>0</v>
      </c>
      <c r="FO436" s="109">
        <f t="shared" si="517"/>
        <v>0</v>
      </c>
      <c r="FP436" s="109"/>
      <c r="FQ436" s="109"/>
      <c r="FR436" s="111"/>
      <c r="FS436" s="111"/>
      <c r="FT436" s="165"/>
      <c r="FU436" s="109">
        <f t="shared" si="518"/>
        <v>0</v>
      </c>
      <c r="FV436" s="109">
        <f t="shared" si="526"/>
        <v>0</v>
      </c>
      <c r="FW436" s="109"/>
      <c r="FX436" s="109"/>
      <c r="FY436" s="111"/>
      <c r="FZ436" s="111"/>
      <c r="GA436" s="165"/>
      <c r="GB436" s="109">
        <f t="shared" si="519"/>
        <v>0</v>
      </c>
      <c r="GC436" s="109">
        <f t="shared" si="527"/>
        <v>0</v>
      </c>
      <c r="GD436" s="109"/>
      <c r="GE436" s="109"/>
      <c r="GF436" s="111"/>
      <c r="GG436" s="111"/>
      <c r="GH436" s="165"/>
      <c r="GI436" s="109">
        <f t="shared" si="520"/>
        <v>0</v>
      </c>
      <c r="GJ436" s="109">
        <f t="shared" si="528"/>
        <v>0</v>
      </c>
      <c r="GK436" s="109"/>
      <c r="GL436" s="109"/>
      <c r="GM436" s="111"/>
      <c r="GN436" s="111"/>
      <c r="GO436" s="165"/>
      <c r="GP436" s="109">
        <f t="shared" si="521"/>
        <v>0</v>
      </c>
      <c r="GQ436" s="109">
        <f t="shared" si="529"/>
        <v>0</v>
      </c>
      <c r="GR436" s="109"/>
      <c r="GS436" s="109"/>
      <c r="GT436" s="111"/>
      <c r="GU436" s="111"/>
      <c r="GV436" s="165"/>
      <c r="GW436" s="168">
        <f t="shared" si="522"/>
        <v>0</v>
      </c>
      <c r="GX436" s="168">
        <f t="shared" si="530"/>
        <v>0</v>
      </c>
      <c r="GY436" s="168"/>
      <c r="GZ436" s="168"/>
      <c r="HA436" s="111"/>
      <c r="HB436" s="111"/>
      <c r="HC436" s="165"/>
      <c r="HD436" s="109">
        <f t="shared" si="523"/>
        <v>0</v>
      </c>
      <c r="HE436" s="109">
        <f t="shared" si="531"/>
        <v>0</v>
      </c>
      <c r="HF436" s="109"/>
      <c r="HG436" s="109"/>
      <c r="HH436" s="111"/>
      <c r="HI436" s="111"/>
      <c r="HJ436" s="165"/>
      <c r="HK436" s="109">
        <f t="shared" si="524"/>
        <v>0</v>
      </c>
      <c r="HL436" s="109">
        <f t="shared" si="532"/>
        <v>0</v>
      </c>
      <c r="HM436" s="109"/>
      <c r="HN436" s="109"/>
      <c r="HO436" s="111"/>
      <c r="HP436" s="111"/>
      <c r="HQ436" s="165"/>
      <c r="HR436" s="109">
        <f t="shared" si="525"/>
        <v>0</v>
      </c>
      <c r="HS436" s="109">
        <f t="shared" si="533"/>
        <v>0</v>
      </c>
      <c r="HT436" s="109"/>
      <c r="HU436" s="109"/>
      <c r="HV436" s="111"/>
      <c r="HW436" s="111"/>
      <c r="HX436" s="105">
        <f t="shared" si="501"/>
        <v>0</v>
      </c>
      <c r="HY436" s="105">
        <f t="shared" si="501"/>
        <v>0</v>
      </c>
      <c r="HZ436" s="105">
        <f t="shared" si="501"/>
        <v>0</v>
      </c>
      <c r="IA436" s="105">
        <f t="shared" si="495"/>
        <v>0</v>
      </c>
      <c r="IB436" s="109">
        <f t="shared" si="496"/>
        <v>0</v>
      </c>
      <c r="IC436" s="109">
        <f t="shared" si="497"/>
        <v>0</v>
      </c>
      <c r="ID436" s="109">
        <f t="shared" si="498"/>
        <v>0</v>
      </c>
      <c r="IE436" s="109">
        <f t="shared" si="499"/>
        <v>0</v>
      </c>
      <c r="IF436" s="197"/>
      <c r="IG436" s="197"/>
      <c r="IH436" s="197"/>
      <c r="II436" s="197"/>
      <c r="IJ436" s="197"/>
      <c r="IK436" s="197"/>
      <c r="IL436" s="197"/>
      <c r="IM436" s="171"/>
      <c r="IN436" s="171"/>
      <c r="IO436" s="171"/>
      <c r="IP436" s="171"/>
    </row>
    <row r="437" spans="1:250" ht="15" customHeight="1" x14ac:dyDescent="0.3">
      <c r="A437" s="110">
        <f t="shared" si="500"/>
        <v>433</v>
      </c>
      <c r="B437" s="111"/>
      <c r="C437" s="111"/>
      <c r="D437" s="111"/>
      <c r="E437" s="111"/>
      <c r="F437" s="111"/>
      <c r="G437" s="111"/>
      <c r="H437" s="111"/>
      <c r="I437" s="194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75"/>
      <c r="AI437" s="111"/>
      <c r="AJ437" s="111"/>
      <c r="AK437" s="111"/>
      <c r="AL437" s="177"/>
      <c r="AM437" s="176"/>
      <c r="AN437" s="177"/>
      <c r="AO437" s="157"/>
      <c r="AP437" s="158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  <c r="BJ437" s="111"/>
      <c r="BK437" s="111"/>
      <c r="BL437" s="175"/>
      <c r="BM437" s="111"/>
      <c r="BN437" s="111"/>
      <c r="BO437" s="111"/>
      <c r="BP437" s="111"/>
      <c r="BQ437" s="111"/>
      <c r="BR437" s="111"/>
      <c r="BS437" s="111"/>
      <c r="BT437" s="111"/>
      <c r="BU437" s="111"/>
      <c r="BV437" s="111"/>
      <c r="BW437" s="111"/>
      <c r="BX437" s="111"/>
      <c r="BY437" s="111"/>
      <c r="BZ437" s="111"/>
      <c r="CA437" s="111"/>
      <c r="CB437" s="111"/>
      <c r="CC437" s="178"/>
      <c r="CD437" s="177">
        <f t="shared" si="484"/>
        <v>0</v>
      </c>
      <c r="CE437" s="148"/>
      <c r="CF437" s="111">
        <f t="shared" si="485"/>
        <v>0</v>
      </c>
      <c r="CG437" s="177"/>
      <c r="CH437" s="204"/>
      <c r="CI437" s="148"/>
      <c r="CJ437" s="165"/>
      <c r="CK437" s="165"/>
      <c r="CL437" s="111"/>
      <c r="CM437" s="111"/>
      <c r="CN437" s="165">
        <f t="shared" si="486"/>
        <v>0</v>
      </c>
      <c r="CO437" s="109">
        <f t="shared" si="487"/>
        <v>0</v>
      </c>
      <c r="CP437" s="109">
        <f t="shared" si="488"/>
        <v>0</v>
      </c>
      <c r="CQ437" s="109"/>
      <c r="CR437" s="109"/>
      <c r="CS437" s="196"/>
      <c r="CT437" s="167"/>
      <c r="CU437" s="165"/>
      <c r="CV437" s="109">
        <f t="shared" si="489"/>
        <v>0</v>
      </c>
      <c r="CW437" s="109">
        <f t="shared" si="490"/>
        <v>0</v>
      </c>
      <c r="CX437" s="109"/>
      <c r="CY437" s="109"/>
      <c r="CZ437" s="111"/>
      <c r="DA437" s="111"/>
      <c r="DB437" s="165"/>
      <c r="DC437" s="109">
        <f t="shared" si="491"/>
        <v>0</v>
      </c>
      <c r="DD437" s="109">
        <f t="shared" si="492"/>
        <v>0</v>
      </c>
      <c r="DE437" s="109"/>
      <c r="DF437" s="109"/>
      <c r="DG437" s="111"/>
      <c r="DH437" s="111"/>
      <c r="DI437" s="165"/>
      <c r="DJ437" s="109">
        <f t="shared" si="493"/>
        <v>0</v>
      </c>
      <c r="DK437" s="109">
        <f t="shared" si="494"/>
        <v>0</v>
      </c>
      <c r="DL437" s="109"/>
      <c r="DM437" s="109"/>
      <c r="DN437" s="111"/>
      <c r="DO437" s="111"/>
      <c r="DP437" s="165"/>
      <c r="DQ437" s="109">
        <f t="shared" si="502"/>
        <v>0</v>
      </c>
      <c r="DR437" s="109">
        <f t="shared" si="503"/>
        <v>0</v>
      </c>
      <c r="DS437" s="109"/>
      <c r="DT437" s="109"/>
      <c r="DU437" s="111"/>
      <c r="DV437" s="111"/>
      <c r="DW437" s="165"/>
      <c r="DX437" s="109">
        <f t="shared" si="504"/>
        <v>0</v>
      </c>
      <c r="DY437" s="109">
        <f t="shared" si="505"/>
        <v>0</v>
      </c>
      <c r="DZ437" s="109"/>
      <c r="EA437" s="109"/>
      <c r="EB437" s="111"/>
      <c r="EC437" s="111"/>
      <c r="ED437" s="165"/>
      <c r="EE437" s="109">
        <f t="shared" si="506"/>
        <v>0</v>
      </c>
      <c r="EF437" s="109">
        <f t="shared" si="507"/>
        <v>0</v>
      </c>
      <c r="EG437" s="109"/>
      <c r="EH437" s="109"/>
      <c r="EI437" s="111"/>
      <c r="EJ437" s="111"/>
      <c r="EK437" s="165"/>
      <c r="EL437" s="109">
        <f t="shared" si="508"/>
        <v>0</v>
      </c>
      <c r="EM437" s="109">
        <f t="shared" si="509"/>
        <v>0</v>
      </c>
      <c r="EN437" s="109"/>
      <c r="EO437" s="109"/>
      <c r="EP437" s="111"/>
      <c r="EQ437" s="111"/>
      <c r="ER437" s="165"/>
      <c r="ES437" s="109">
        <f t="shared" si="510"/>
        <v>0</v>
      </c>
      <c r="ET437" s="109">
        <f t="shared" si="511"/>
        <v>0</v>
      </c>
      <c r="EU437" s="109"/>
      <c r="EV437" s="109"/>
      <c r="EW437" s="111"/>
      <c r="EX437" s="111"/>
      <c r="EY437" s="165"/>
      <c r="EZ437" s="109">
        <f t="shared" si="512"/>
        <v>0</v>
      </c>
      <c r="FA437" s="109">
        <f t="shared" si="513"/>
        <v>0</v>
      </c>
      <c r="FB437" s="109"/>
      <c r="FC437" s="109"/>
      <c r="FD437" s="111"/>
      <c r="FE437" s="111"/>
      <c r="FF437" s="165"/>
      <c r="FG437" s="109">
        <f t="shared" si="514"/>
        <v>0</v>
      </c>
      <c r="FH437" s="109">
        <f t="shared" si="515"/>
        <v>0</v>
      </c>
      <c r="FI437" s="109"/>
      <c r="FJ437" s="109"/>
      <c r="FK437" s="111"/>
      <c r="FL437" s="111"/>
      <c r="FM437" s="165"/>
      <c r="FN437" s="109">
        <f t="shared" si="516"/>
        <v>0</v>
      </c>
      <c r="FO437" s="109">
        <f t="shared" si="517"/>
        <v>0</v>
      </c>
      <c r="FP437" s="109"/>
      <c r="FQ437" s="109"/>
      <c r="FR437" s="111"/>
      <c r="FS437" s="111"/>
      <c r="FT437" s="165"/>
      <c r="FU437" s="109">
        <f t="shared" si="518"/>
        <v>0</v>
      </c>
      <c r="FV437" s="109">
        <f t="shared" si="526"/>
        <v>0</v>
      </c>
      <c r="FW437" s="109"/>
      <c r="FX437" s="109"/>
      <c r="FY437" s="111"/>
      <c r="FZ437" s="111"/>
      <c r="GA437" s="165"/>
      <c r="GB437" s="109">
        <f t="shared" si="519"/>
        <v>0</v>
      </c>
      <c r="GC437" s="109">
        <f t="shared" si="527"/>
        <v>0</v>
      </c>
      <c r="GD437" s="109"/>
      <c r="GE437" s="109"/>
      <c r="GF437" s="111"/>
      <c r="GG437" s="111"/>
      <c r="GH437" s="165"/>
      <c r="GI437" s="109">
        <f t="shared" si="520"/>
        <v>0</v>
      </c>
      <c r="GJ437" s="109">
        <f t="shared" si="528"/>
        <v>0</v>
      </c>
      <c r="GK437" s="109"/>
      <c r="GL437" s="109"/>
      <c r="GM437" s="111"/>
      <c r="GN437" s="111"/>
      <c r="GO437" s="165"/>
      <c r="GP437" s="109">
        <f t="shared" si="521"/>
        <v>0</v>
      </c>
      <c r="GQ437" s="109">
        <f t="shared" si="529"/>
        <v>0</v>
      </c>
      <c r="GR437" s="109"/>
      <c r="GS437" s="109"/>
      <c r="GT437" s="111"/>
      <c r="GU437" s="111"/>
      <c r="GV437" s="165"/>
      <c r="GW437" s="168">
        <f t="shared" si="522"/>
        <v>0</v>
      </c>
      <c r="GX437" s="168">
        <f t="shared" si="530"/>
        <v>0</v>
      </c>
      <c r="GY437" s="168"/>
      <c r="GZ437" s="168"/>
      <c r="HA437" s="111"/>
      <c r="HB437" s="111"/>
      <c r="HC437" s="165"/>
      <c r="HD437" s="109">
        <f t="shared" si="523"/>
        <v>0</v>
      </c>
      <c r="HE437" s="109">
        <f t="shared" si="531"/>
        <v>0</v>
      </c>
      <c r="HF437" s="109"/>
      <c r="HG437" s="109"/>
      <c r="HH437" s="111"/>
      <c r="HI437" s="111"/>
      <c r="HJ437" s="165"/>
      <c r="HK437" s="109">
        <f t="shared" si="524"/>
        <v>0</v>
      </c>
      <c r="HL437" s="109">
        <f t="shared" si="532"/>
        <v>0</v>
      </c>
      <c r="HM437" s="109"/>
      <c r="HN437" s="109"/>
      <c r="HO437" s="111"/>
      <c r="HP437" s="111"/>
      <c r="HQ437" s="165"/>
      <c r="HR437" s="109">
        <f t="shared" si="525"/>
        <v>0</v>
      </c>
      <c r="HS437" s="109">
        <f t="shared" si="533"/>
        <v>0</v>
      </c>
      <c r="HT437" s="109"/>
      <c r="HU437" s="109"/>
      <c r="HV437" s="111"/>
      <c r="HW437" s="111"/>
      <c r="HX437" s="105">
        <f t="shared" si="501"/>
        <v>0</v>
      </c>
      <c r="HY437" s="105">
        <f t="shared" si="501"/>
        <v>0</v>
      </c>
      <c r="HZ437" s="105">
        <f t="shared" si="501"/>
        <v>0</v>
      </c>
      <c r="IA437" s="105">
        <f t="shared" si="495"/>
        <v>0</v>
      </c>
      <c r="IB437" s="109">
        <f t="shared" si="496"/>
        <v>0</v>
      </c>
      <c r="IC437" s="109">
        <f t="shared" si="497"/>
        <v>0</v>
      </c>
      <c r="ID437" s="109">
        <f t="shared" si="498"/>
        <v>0</v>
      </c>
      <c r="IE437" s="109">
        <f t="shared" si="499"/>
        <v>0</v>
      </c>
      <c r="IF437" s="197"/>
      <c r="IG437" s="197"/>
      <c r="IH437" s="197"/>
      <c r="II437" s="197"/>
      <c r="IJ437" s="197"/>
      <c r="IK437" s="197"/>
      <c r="IL437" s="197"/>
      <c r="IM437" s="171"/>
      <c r="IN437" s="171"/>
      <c r="IO437" s="171"/>
      <c r="IP437" s="171"/>
    </row>
    <row r="438" spans="1:250" ht="15" customHeight="1" x14ac:dyDescent="0.3">
      <c r="A438" s="110">
        <f t="shared" si="500"/>
        <v>434</v>
      </c>
      <c r="B438" s="111"/>
      <c r="C438" s="111"/>
      <c r="D438" s="111"/>
      <c r="E438" s="111"/>
      <c r="F438" s="111"/>
      <c r="G438" s="111"/>
      <c r="H438" s="111"/>
      <c r="I438" s="194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75"/>
      <c r="AI438" s="111"/>
      <c r="AJ438" s="111"/>
      <c r="AK438" s="111"/>
      <c r="AL438" s="177"/>
      <c r="AM438" s="176"/>
      <c r="AN438" s="177"/>
      <c r="AO438" s="157"/>
      <c r="AP438" s="158"/>
      <c r="AQ438" s="111"/>
      <c r="AR438" s="111"/>
      <c r="AS438" s="111"/>
      <c r="AT438" s="111"/>
      <c r="AU438" s="111"/>
      <c r="AV438" s="111"/>
      <c r="AW438" s="111"/>
      <c r="AX438" s="111"/>
      <c r="AY438" s="111"/>
      <c r="AZ438" s="111"/>
      <c r="BA438" s="111"/>
      <c r="BB438" s="111"/>
      <c r="BC438" s="111"/>
      <c r="BD438" s="111"/>
      <c r="BE438" s="111"/>
      <c r="BF438" s="111"/>
      <c r="BG438" s="111"/>
      <c r="BH438" s="111"/>
      <c r="BI438" s="111"/>
      <c r="BJ438" s="111"/>
      <c r="BK438" s="111"/>
      <c r="BL438" s="175"/>
      <c r="BM438" s="111"/>
      <c r="BN438" s="111"/>
      <c r="BO438" s="111"/>
      <c r="BP438" s="111"/>
      <c r="BQ438" s="111"/>
      <c r="BR438" s="111"/>
      <c r="BS438" s="111"/>
      <c r="BT438" s="111"/>
      <c r="BU438" s="111"/>
      <c r="BV438" s="111"/>
      <c r="BW438" s="111"/>
      <c r="BX438" s="111"/>
      <c r="BY438" s="111"/>
      <c r="BZ438" s="111"/>
      <c r="CA438" s="111"/>
      <c r="CB438" s="111"/>
      <c r="CC438" s="178"/>
      <c r="CD438" s="177">
        <f t="shared" si="484"/>
        <v>0</v>
      </c>
      <c r="CE438" s="148"/>
      <c r="CF438" s="111">
        <f t="shared" si="485"/>
        <v>0</v>
      </c>
      <c r="CG438" s="177"/>
      <c r="CH438" s="204"/>
      <c r="CI438" s="148"/>
      <c r="CJ438" s="165"/>
      <c r="CK438" s="165"/>
      <c r="CL438" s="111"/>
      <c r="CM438" s="111"/>
      <c r="CN438" s="165">
        <f t="shared" si="486"/>
        <v>0</v>
      </c>
      <c r="CO438" s="109">
        <f t="shared" si="487"/>
        <v>0</v>
      </c>
      <c r="CP438" s="109">
        <f t="shared" si="488"/>
        <v>0</v>
      </c>
      <c r="CQ438" s="109"/>
      <c r="CR438" s="109"/>
      <c r="CS438" s="196"/>
      <c r="CT438" s="167"/>
      <c r="CU438" s="165"/>
      <c r="CV438" s="109">
        <f t="shared" si="489"/>
        <v>0</v>
      </c>
      <c r="CW438" s="109">
        <f t="shared" si="490"/>
        <v>0</v>
      </c>
      <c r="CX438" s="109"/>
      <c r="CY438" s="109"/>
      <c r="CZ438" s="111"/>
      <c r="DA438" s="111"/>
      <c r="DB438" s="165"/>
      <c r="DC438" s="109">
        <f t="shared" si="491"/>
        <v>0</v>
      </c>
      <c r="DD438" s="109">
        <f t="shared" si="492"/>
        <v>0</v>
      </c>
      <c r="DE438" s="109"/>
      <c r="DF438" s="109"/>
      <c r="DG438" s="111"/>
      <c r="DH438" s="111"/>
      <c r="DI438" s="165"/>
      <c r="DJ438" s="109">
        <f t="shared" si="493"/>
        <v>0</v>
      </c>
      <c r="DK438" s="109">
        <f t="shared" si="494"/>
        <v>0</v>
      </c>
      <c r="DL438" s="109"/>
      <c r="DM438" s="109"/>
      <c r="DN438" s="111"/>
      <c r="DO438" s="111"/>
      <c r="DP438" s="165"/>
      <c r="DQ438" s="109">
        <f t="shared" si="502"/>
        <v>0</v>
      </c>
      <c r="DR438" s="109">
        <f t="shared" si="503"/>
        <v>0</v>
      </c>
      <c r="DS438" s="109"/>
      <c r="DT438" s="109"/>
      <c r="DU438" s="111"/>
      <c r="DV438" s="111"/>
      <c r="DW438" s="165"/>
      <c r="DX438" s="109">
        <f t="shared" si="504"/>
        <v>0</v>
      </c>
      <c r="DY438" s="109">
        <f t="shared" si="505"/>
        <v>0</v>
      </c>
      <c r="DZ438" s="109"/>
      <c r="EA438" s="109"/>
      <c r="EB438" s="111"/>
      <c r="EC438" s="111"/>
      <c r="ED438" s="165"/>
      <c r="EE438" s="109">
        <f t="shared" si="506"/>
        <v>0</v>
      </c>
      <c r="EF438" s="109">
        <f t="shared" si="507"/>
        <v>0</v>
      </c>
      <c r="EG438" s="109"/>
      <c r="EH438" s="109"/>
      <c r="EI438" s="111"/>
      <c r="EJ438" s="111"/>
      <c r="EK438" s="165"/>
      <c r="EL438" s="109">
        <f t="shared" si="508"/>
        <v>0</v>
      </c>
      <c r="EM438" s="109">
        <f t="shared" si="509"/>
        <v>0</v>
      </c>
      <c r="EN438" s="109"/>
      <c r="EO438" s="109"/>
      <c r="EP438" s="111"/>
      <c r="EQ438" s="111"/>
      <c r="ER438" s="165"/>
      <c r="ES438" s="109">
        <f t="shared" si="510"/>
        <v>0</v>
      </c>
      <c r="ET438" s="109">
        <f t="shared" si="511"/>
        <v>0</v>
      </c>
      <c r="EU438" s="109"/>
      <c r="EV438" s="109"/>
      <c r="EW438" s="111"/>
      <c r="EX438" s="111"/>
      <c r="EY438" s="165"/>
      <c r="EZ438" s="109">
        <f t="shared" si="512"/>
        <v>0</v>
      </c>
      <c r="FA438" s="109">
        <f t="shared" si="513"/>
        <v>0</v>
      </c>
      <c r="FB438" s="109"/>
      <c r="FC438" s="109"/>
      <c r="FD438" s="111"/>
      <c r="FE438" s="111"/>
      <c r="FF438" s="165"/>
      <c r="FG438" s="109">
        <f t="shared" si="514"/>
        <v>0</v>
      </c>
      <c r="FH438" s="109">
        <f t="shared" si="515"/>
        <v>0</v>
      </c>
      <c r="FI438" s="109"/>
      <c r="FJ438" s="109"/>
      <c r="FK438" s="111"/>
      <c r="FL438" s="111"/>
      <c r="FM438" s="165"/>
      <c r="FN438" s="109">
        <f t="shared" si="516"/>
        <v>0</v>
      </c>
      <c r="FO438" s="109">
        <f t="shared" si="517"/>
        <v>0</v>
      </c>
      <c r="FP438" s="109"/>
      <c r="FQ438" s="109"/>
      <c r="FR438" s="111"/>
      <c r="FS438" s="111"/>
      <c r="FT438" s="165"/>
      <c r="FU438" s="109">
        <f t="shared" si="518"/>
        <v>0</v>
      </c>
      <c r="FV438" s="109">
        <f t="shared" si="526"/>
        <v>0</v>
      </c>
      <c r="FW438" s="109"/>
      <c r="FX438" s="109"/>
      <c r="FY438" s="111"/>
      <c r="FZ438" s="111"/>
      <c r="GA438" s="165"/>
      <c r="GB438" s="109">
        <f t="shared" si="519"/>
        <v>0</v>
      </c>
      <c r="GC438" s="109">
        <f t="shared" si="527"/>
        <v>0</v>
      </c>
      <c r="GD438" s="109"/>
      <c r="GE438" s="109"/>
      <c r="GF438" s="111"/>
      <c r="GG438" s="111"/>
      <c r="GH438" s="165"/>
      <c r="GI438" s="109">
        <f t="shared" si="520"/>
        <v>0</v>
      </c>
      <c r="GJ438" s="109">
        <f t="shared" si="528"/>
        <v>0</v>
      </c>
      <c r="GK438" s="109"/>
      <c r="GL438" s="109"/>
      <c r="GM438" s="111"/>
      <c r="GN438" s="111"/>
      <c r="GO438" s="165"/>
      <c r="GP438" s="109">
        <f t="shared" si="521"/>
        <v>0</v>
      </c>
      <c r="GQ438" s="109">
        <f t="shared" si="529"/>
        <v>0</v>
      </c>
      <c r="GR438" s="109"/>
      <c r="GS438" s="109"/>
      <c r="GT438" s="111"/>
      <c r="GU438" s="111"/>
      <c r="GV438" s="165"/>
      <c r="GW438" s="168">
        <f t="shared" si="522"/>
        <v>0</v>
      </c>
      <c r="GX438" s="168">
        <f t="shared" si="530"/>
        <v>0</v>
      </c>
      <c r="GY438" s="168"/>
      <c r="GZ438" s="168"/>
      <c r="HA438" s="111"/>
      <c r="HB438" s="111"/>
      <c r="HC438" s="165"/>
      <c r="HD438" s="109">
        <f t="shared" si="523"/>
        <v>0</v>
      </c>
      <c r="HE438" s="109">
        <f t="shared" si="531"/>
        <v>0</v>
      </c>
      <c r="HF438" s="109"/>
      <c r="HG438" s="109"/>
      <c r="HH438" s="111"/>
      <c r="HI438" s="111"/>
      <c r="HJ438" s="165"/>
      <c r="HK438" s="109">
        <f t="shared" si="524"/>
        <v>0</v>
      </c>
      <c r="HL438" s="109">
        <f t="shared" si="532"/>
        <v>0</v>
      </c>
      <c r="HM438" s="109"/>
      <c r="HN438" s="109"/>
      <c r="HO438" s="111"/>
      <c r="HP438" s="111"/>
      <c r="HQ438" s="165"/>
      <c r="HR438" s="109">
        <f t="shared" si="525"/>
        <v>0</v>
      </c>
      <c r="HS438" s="109">
        <f t="shared" si="533"/>
        <v>0</v>
      </c>
      <c r="HT438" s="109"/>
      <c r="HU438" s="109"/>
      <c r="HV438" s="111"/>
      <c r="HW438" s="111"/>
      <c r="HX438" s="105">
        <f t="shared" si="501"/>
        <v>0</v>
      </c>
      <c r="HY438" s="105">
        <f t="shared" si="501"/>
        <v>0</v>
      </c>
      <c r="HZ438" s="105">
        <f t="shared" si="501"/>
        <v>0</v>
      </c>
      <c r="IA438" s="105">
        <f t="shared" si="495"/>
        <v>0</v>
      </c>
      <c r="IB438" s="109">
        <f t="shared" si="496"/>
        <v>0</v>
      </c>
      <c r="IC438" s="109">
        <f t="shared" si="497"/>
        <v>0</v>
      </c>
      <c r="ID438" s="109">
        <f t="shared" si="498"/>
        <v>0</v>
      </c>
      <c r="IE438" s="109">
        <f t="shared" si="499"/>
        <v>0</v>
      </c>
      <c r="IF438" s="197"/>
      <c r="IG438" s="197"/>
      <c r="IH438" s="197"/>
      <c r="II438" s="197"/>
      <c r="IJ438" s="197"/>
      <c r="IK438" s="197"/>
      <c r="IL438" s="197"/>
      <c r="IM438" s="171"/>
      <c r="IN438" s="171"/>
      <c r="IO438" s="171"/>
      <c r="IP438" s="171"/>
    </row>
    <row r="439" spans="1:250" ht="15" customHeight="1" x14ac:dyDescent="0.3">
      <c r="A439" s="110">
        <f t="shared" si="500"/>
        <v>435</v>
      </c>
      <c r="B439" s="111"/>
      <c r="C439" s="111"/>
      <c r="D439" s="111"/>
      <c r="E439" s="111"/>
      <c r="F439" s="111"/>
      <c r="G439" s="111"/>
      <c r="H439" s="111"/>
      <c r="I439" s="194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75"/>
      <c r="AI439" s="111"/>
      <c r="AJ439" s="111"/>
      <c r="AK439" s="111"/>
      <c r="AL439" s="177"/>
      <c r="AM439" s="176"/>
      <c r="AN439" s="177"/>
      <c r="AO439" s="157"/>
      <c r="AP439" s="158"/>
      <c r="AQ439" s="111"/>
      <c r="AR439" s="111"/>
      <c r="AS439" s="111"/>
      <c r="AT439" s="111"/>
      <c r="AU439" s="111"/>
      <c r="AV439" s="111"/>
      <c r="AW439" s="111"/>
      <c r="AX439" s="111"/>
      <c r="AY439" s="111"/>
      <c r="AZ439" s="111"/>
      <c r="BA439" s="111"/>
      <c r="BB439" s="111"/>
      <c r="BC439" s="111"/>
      <c r="BD439" s="111"/>
      <c r="BE439" s="111"/>
      <c r="BF439" s="111"/>
      <c r="BG439" s="111"/>
      <c r="BH439" s="111"/>
      <c r="BI439" s="111"/>
      <c r="BJ439" s="111"/>
      <c r="BK439" s="111"/>
      <c r="BL439" s="175"/>
      <c r="BM439" s="111"/>
      <c r="BN439" s="111"/>
      <c r="BO439" s="111"/>
      <c r="BP439" s="111"/>
      <c r="BQ439" s="111"/>
      <c r="BR439" s="111"/>
      <c r="BS439" s="111"/>
      <c r="BT439" s="111"/>
      <c r="BU439" s="111"/>
      <c r="BV439" s="111"/>
      <c r="BW439" s="111"/>
      <c r="BX439" s="111"/>
      <c r="BY439" s="111"/>
      <c r="BZ439" s="111"/>
      <c r="CA439" s="111"/>
      <c r="CB439" s="111"/>
      <c r="CC439" s="178"/>
      <c r="CD439" s="177">
        <f t="shared" si="484"/>
        <v>0</v>
      </c>
      <c r="CE439" s="148"/>
      <c r="CF439" s="111">
        <f t="shared" si="485"/>
        <v>0</v>
      </c>
      <c r="CG439" s="177"/>
      <c r="CH439" s="204"/>
      <c r="CI439" s="148"/>
      <c r="CJ439" s="165"/>
      <c r="CK439" s="165"/>
      <c r="CL439" s="111"/>
      <c r="CM439" s="111"/>
      <c r="CN439" s="165">
        <f t="shared" si="486"/>
        <v>0</v>
      </c>
      <c r="CO439" s="109">
        <f t="shared" si="487"/>
        <v>0</v>
      </c>
      <c r="CP439" s="109">
        <f t="shared" si="488"/>
        <v>0</v>
      </c>
      <c r="CQ439" s="109"/>
      <c r="CR439" s="109"/>
      <c r="CS439" s="196"/>
      <c r="CT439" s="167"/>
      <c r="CU439" s="165"/>
      <c r="CV439" s="109">
        <f t="shared" si="489"/>
        <v>0</v>
      </c>
      <c r="CW439" s="109">
        <f t="shared" si="490"/>
        <v>0</v>
      </c>
      <c r="CX439" s="109"/>
      <c r="CY439" s="109"/>
      <c r="CZ439" s="111"/>
      <c r="DA439" s="111"/>
      <c r="DB439" s="165"/>
      <c r="DC439" s="109">
        <f t="shared" si="491"/>
        <v>0</v>
      </c>
      <c r="DD439" s="109">
        <f t="shared" si="492"/>
        <v>0</v>
      </c>
      <c r="DE439" s="109"/>
      <c r="DF439" s="109"/>
      <c r="DG439" s="111"/>
      <c r="DH439" s="111"/>
      <c r="DI439" s="165"/>
      <c r="DJ439" s="109">
        <f t="shared" si="493"/>
        <v>0</v>
      </c>
      <c r="DK439" s="109">
        <f t="shared" si="494"/>
        <v>0</v>
      </c>
      <c r="DL439" s="109"/>
      <c r="DM439" s="109"/>
      <c r="DN439" s="111"/>
      <c r="DO439" s="111"/>
      <c r="DP439" s="165"/>
      <c r="DQ439" s="109">
        <f t="shared" si="502"/>
        <v>0</v>
      </c>
      <c r="DR439" s="109">
        <f t="shared" si="503"/>
        <v>0</v>
      </c>
      <c r="DS439" s="109"/>
      <c r="DT439" s="109"/>
      <c r="DU439" s="111"/>
      <c r="DV439" s="111"/>
      <c r="DW439" s="165"/>
      <c r="DX439" s="109">
        <f t="shared" si="504"/>
        <v>0</v>
      </c>
      <c r="DY439" s="109">
        <f t="shared" si="505"/>
        <v>0</v>
      </c>
      <c r="DZ439" s="109"/>
      <c r="EA439" s="109"/>
      <c r="EB439" s="111"/>
      <c r="EC439" s="111"/>
      <c r="ED439" s="165"/>
      <c r="EE439" s="109">
        <f t="shared" si="506"/>
        <v>0</v>
      </c>
      <c r="EF439" s="109">
        <f t="shared" si="507"/>
        <v>0</v>
      </c>
      <c r="EG439" s="109"/>
      <c r="EH439" s="109"/>
      <c r="EI439" s="111"/>
      <c r="EJ439" s="111"/>
      <c r="EK439" s="165"/>
      <c r="EL439" s="109">
        <f t="shared" si="508"/>
        <v>0</v>
      </c>
      <c r="EM439" s="109">
        <f t="shared" si="509"/>
        <v>0</v>
      </c>
      <c r="EN439" s="109"/>
      <c r="EO439" s="109"/>
      <c r="EP439" s="111"/>
      <c r="EQ439" s="111"/>
      <c r="ER439" s="165"/>
      <c r="ES439" s="109">
        <f t="shared" si="510"/>
        <v>0</v>
      </c>
      <c r="ET439" s="109">
        <f t="shared" si="511"/>
        <v>0</v>
      </c>
      <c r="EU439" s="109"/>
      <c r="EV439" s="109"/>
      <c r="EW439" s="111"/>
      <c r="EX439" s="111"/>
      <c r="EY439" s="165"/>
      <c r="EZ439" s="109">
        <f t="shared" si="512"/>
        <v>0</v>
      </c>
      <c r="FA439" s="109">
        <f t="shared" si="513"/>
        <v>0</v>
      </c>
      <c r="FB439" s="109"/>
      <c r="FC439" s="109"/>
      <c r="FD439" s="111"/>
      <c r="FE439" s="111"/>
      <c r="FF439" s="165"/>
      <c r="FG439" s="109">
        <f t="shared" si="514"/>
        <v>0</v>
      </c>
      <c r="FH439" s="109">
        <f t="shared" si="515"/>
        <v>0</v>
      </c>
      <c r="FI439" s="109"/>
      <c r="FJ439" s="109"/>
      <c r="FK439" s="111"/>
      <c r="FL439" s="111"/>
      <c r="FM439" s="165"/>
      <c r="FN439" s="109">
        <f t="shared" si="516"/>
        <v>0</v>
      </c>
      <c r="FO439" s="109">
        <f t="shared" si="517"/>
        <v>0</v>
      </c>
      <c r="FP439" s="109"/>
      <c r="FQ439" s="109"/>
      <c r="FR439" s="111"/>
      <c r="FS439" s="111"/>
      <c r="FT439" s="165"/>
      <c r="FU439" s="109">
        <f t="shared" si="518"/>
        <v>0</v>
      </c>
      <c r="FV439" s="109">
        <f t="shared" si="526"/>
        <v>0</v>
      </c>
      <c r="FW439" s="109"/>
      <c r="FX439" s="109"/>
      <c r="FY439" s="111"/>
      <c r="FZ439" s="111"/>
      <c r="GA439" s="165"/>
      <c r="GB439" s="109">
        <f t="shared" si="519"/>
        <v>0</v>
      </c>
      <c r="GC439" s="109">
        <f t="shared" si="527"/>
        <v>0</v>
      </c>
      <c r="GD439" s="109"/>
      <c r="GE439" s="109"/>
      <c r="GF439" s="111"/>
      <c r="GG439" s="111"/>
      <c r="GH439" s="165"/>
      <c r="GI439" s="109">
        <f t="shared" si="520"/>
        <v>0</v>
      </c>
      <c r="GJ439" s="109">
        <f t="shared" si="528"/>
        <v>0</v>
      </c>
      <c r="GK439" s="109"/>
      <c r="GL439" s="109"/>
      <c r="GM439" s="111"/>
      <c r="GN439" s="111"/>
      <c r="GO439" s="165"/>
      <c r="GP439" s="109">
        <f t="shared" si="521"/>
        <v>0</v>
      </c>
      <c r="GQ439" s="109">
        <f t="shared" si="529"/>
        <v>0</v>
      </c>
      <c r="GR439" s="109"/>
      <c r="GS439" s="109"/>
      <c r="GT439" s="111"/>
      <c r="GU439" s="111"/>
      <c r="GV439" s="165"/>
      <c r="GW439" s="168">
        <f t="shared" si="522"/>
        <v>0</v>
      </c>
      <c r="GX439" s="168">
        <f t="shared" si="530"/>
        <v>0</v>
      </c>
      <c r="GY439" s="168"/>
      <c r="GZ439" s="168"/>
      <c r="HA439" s="111"/>
      <c r="HB439" s="111"/>
      <c r="HC439" s="165"/>
      <c r="HD439" s="109">
        <f t="shared" si="523"/>
        <v>0</v>
      </c>
      <c r="HE439" s="109">
        <f t="shared" si="531"/>
        <v>0</v>
      </c>
      <c r="HF439" s="109"/>
      <c r="HG439" s="109"/>
      <c r="HH439" s="111"/>
      <c r="HI439" s="111"/>
      <c r="HJ439" s="165"/>
      <c r="HK439" s="109">
        <f t="shared" si="524"/>
        <v>0</v>
      </c>
      <c r="HL439" s="109">
        <f t="shared" si="532"/>
        <v>0</v>
      </c>
      <c r="HM439" s="109"/>
      <c r="HN439" s="109"/>
      <c r="HO439" s="111"/>
      <c r="HP439" s="111"/>
      <c r="HQ439" s="165"/>
      <c r="HR439" s="109">
        <f t="shared" si="525"/>
        <v>0</v>
      </c>
      <c r="HS439" s="109">
        <f t="shared" si="533"/>
        <v>0</v>
      </c>
      <c r="HT439" s="109"/>
      <c r="HU439" s="109"/>
      <c r="HV439" s="111"/>
      <c r="HW439" s="111"/>
      <c r="HX439" s="105">
        <f t="shared" si="501"/>
        <v>0</v>
      </c>
      <c r="HY439" s="105">
        <f t="shared" si="501"/>
        <v>0</v>
      </c>
      <c r="HZ439" s="105">
        <f t="shared" si="501"/>
        <v>0</v>
      </c>
      <c r="IA439" s="105">
        <f t="shared" si="495"/>
        <v>0</v>
      </c>
      <c r="IB439" s="109">
        <f t="shared" si="496"/>
        <v>0</v>
      </c>
      <c r="IC439" s="109">
        <f t="shared" si="497"/>
        <v>0</v>
      </c>
      <c r="ID439" s="109">
        <f t="shared" si="498"/>
        <v>0</v>
      </c>
      <c r="IE439" s="109">
        <f t="shared" si="499"/>
        <v>0</v>
      </c>
      <c r="IF439" s="197"/>
      <c r="IG439" s="197"/>
      <c r="IH439" s="197"/>
      <c r="II439" s="197"/>
      <c r="IJ439" s="197"/>
      <c r="IK439" s="197"/>
      <c r="IL439" s="197"/>
      <c r="IM439" s="171"/>
      <c r="IN439" s="171"/>
      <c r="IO439" s="171"/>
      <c r="IP439" s="171"/>
    </row>
    <row r="440" spans="1:250" ht="15" customHeight="1" x14ac:dyDescent="0.3">
      <c r="A440" s="110">
        <f t="shared" si="500"/>
        <v>436</v>
      </c>
      <c r="B440" s="111"/>
      <c r="C440" s="111"/>
      <c r="D440" s="111"/>
      <c r="E440" s="111"/>
      <c r="F440" s="111"/>
      <c r="G440" s="111"/>
      <c r="H440" s="111"/>
      <c r="I440" s="194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75"/>
      <c r="AI440" s="111"/>
      <c r="AJ440" s="111"/>
      <c r="AK440" s="111"/>
      <c r="AL440" s="177"/>
      <c r="AM440" s="176"/>
      <c r="AN440" s="177"/>
      <c r="AO440" s="157"/>
      <c r="AP440" s="158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  <c r="BG440" s="111"/>
      <c r="BH440" s="111"/>
      <c r="BI440" s="111"/>
      <c r="BJ440" s="111"/>
      <c r="BK440" s="111"/>
      <c r="BL440" s="175"/>
      <c r="BM440" s="111"/>
      <c r="BN440" s="111"/>
      <c r="BO440" s="111"/>
      <c r="BP440" s="111"/>
      <c r="BQ440" s="111"/>
      <c r="BR440" s="111"/>
      <c r="BS440" s="111"/>
      <c r="BT440" s="111"/>
      <c r="BU440" s="111"/>
      <c r="BV440" s="111"/>
      <c r="BW440" s="111"/>
      <c r="BX440" s="111"/>
      <c r="BY440" s="111"/>
      <c r="BZ440" s="111"/>
      <c r="CA440" s="111"/>
      <c r="CB440" s="111"/>
      <c r="CC440" s="178"/>
      <c r="CD440" s="177">
        <f t="shared" si="484"/>
        <v>0</v>
      </c>
      <c r="CE440" s="148"/>
      <c r="CF440" s="111">
        <f t="shared" si="485"/>
        <v>0</v>
      </c>
      <c r="CG440" s="177"/>
      <c r="CH440" s="204"/>
      <c r="CI440" s="148"/>
      <c r="CJ440" s="165"/>
      <c r="CK440" s="165"/>
      <c r="CL440" s="111"/>
      <c r="CM440" s="111"/>
      <c r="CN440" s="165">
        <f t="shared" si="486"/>
        <v>0</v>
      </c>
      <c r="CO440" s="109">
        <f t="shared" si="487"/>
        <v>0</v>
      </c>
      <c r="CP440" s="109">
        <f t="shared" si="488"/>
        <v>0</v>
      </c>
      <c r="CQ440" s="109"/>
      <c r="CR440" s="109"/>
      <c r="CS440" s="196"/>
      <c r="CT440" s="167"/>
      <c r="CU440" s="165"/>
      <c r="CV440" s="109">
        <f t="shared" si="489"/>
        <v>0</v>
      </c>
      <c r="CW440" s="109">
        <f t="shared" si="490"/>
        <v>0</v>
      </c>
      <c r="CX440" s="109"/>
      <c r="CY440" s="109"/>
      <c r="CZ440" s="111"/>
      <c r="DA440" s="111"/>
      <c r="DB440" s="165"/>
      <c r="DC440" s="109">
        <f t="shared" si="491"/>
        <v>0</v>
      </c>
      <c r="DD440" s="109">
        <f t="shared" si="492"/>
        <v>0</v>
      </c>
      <c r="DE440" s="109"/>
      <c r="DF440" s="109"/>
      <c r="DG440" s="111"/>
      <c r="DH440" s="111"/>
      <c r="DI440" s="165"/>
      <c r="DJ440" s="109">
        <f t="shared" si="493"/>
        <v>0</v>
      </c>
      <c r="DK440" s="109">
        <f t="shared" si="494"/>
        <v>0</v>
      </c>
      <c r="DL440" s="109"/>
      <c r="DM440" s="109"/>
      <c r="DN440" s="111"/>
      <c r="DO440" s="111"/>
      <c r="DP440" s="165"/>
      <c r="DQ440" s="109">
        <f t="shared" si="502"/>
        <v>0</v>
      </c>
      <c r="DR440" s="109">
        <f t="shared" si="503"/>
        <v>0</v>
      </c>
      <c r="DS440" s="109"/>
      <c r="DT440" s="109"/>
      <c r="DU440" s="111"/>
      <c r="DV440" s="111"/>
      <c r="DW440" s="165"/>
      <c r="DX440" s="109">
        <f t="shared" si="504"/>
        <v>0</v>
      </c>
      <c r="DY440" s="109">
        <f t="shared" si="505"/>
        <v>0</v>
      </c>
      <c r="DZ440" s="109"/>
      <c r="EA440" s="109"/>
      <c r="EB440" s="111"/>
      <c r="EC440" s="111"/>
      <c r="ED440" s="165"/>
      <c r="EE440" s="109">
        <f t="shared" si="506"/>
        <v>0</v>
      </c>
      <c r="EF440" s="109">
        <f t="shared" si="507"/>
        <v>0</v>
      </c>
      <c r="EG440" s="109"/>
      <c r="EH440" s="109"/>
      <c r="EI440" s="111"/>
      <c r="EJ440" s="111"/>
      <c r="EK440" s="165"/>
      <c r="EL440" s="109">
        <f t="shared" si="508"/>
        <v>0</v>
      </c>
      <c r="EM440" s="109">
        <f t="shared" si="509"/>
        <v>0</v>
      </c>
      <c r="EN440" s="109"/>
      <c r="EO440" s="109"/>
      <c r="EP440" s="111"/>
      <c r="EQ440" s="111"/>
      <c r="ER440" s="165"/>
      <c r="ES440" s="109">
        <f t="shared" si="510"/>
        <v>0</v>
      </c>
      <c r="ET440" s="109">
        <f t="shared" si="511"/>
        <v>0</v>
      </c>
      <c r="EU440" s="109"/>
      <c r="EV440" s="109"/>
      <c r="EW440" s="111"/>
      <c r="EX440" s="111"/>
      <c r="EY440" s="165"/>
      <c r="EZ440" s="109">
        <f t="shared" si="512"/>
        <v>0</v>
      </c>
      <c r="FA440" s="109">
        <f t="shared" si="513"/>
        <v>0</v>
      </c>
      <c r="FB440" s="109"/>
      <c r="FC440" s="109"/>
      <c r="FD440" s="111"/>
      <c r="FE440" s="111"/>
      <c r="FF440" s="165"/>
      <c r="FG440" s="109">
        <f t="shared" si="514"/>
        <v>0</v>
      </c>
      <c r="FH440" s="109">
        <f t="shared" si="515"/>
        <v>0</v>
      </c>
      <c r="FI440" s="109"/>
      <c r="FJ440" s="109"/>
      <c r="FK440" s="111"/>
      <c r="FL440" s="111"/>
      <c r="FM440" s="165"/>
      <c r="FN440" s="109">
        <f t="shared" si="516"/>
        <v>0</v>
      </c>
      <c r="FO440" s="109">
        <f t="shared" si="517"/>
        <v>0</v>
      </c>
      <c r="FP440" s="109"/>
      <c r="FQ440" s="109"/>
      <c r="FR440" s="111"/>
      <c r="FS440" s="111"/>
      <c r="FT440" s="165"/>
      <c r="FU440" s="109">
        <f t="shared" si="518"/>
        <v>0</v>
      </c>
      <c r="FV440" s="109">
        <f t="shared" si="526"/>
        <v>0</v>
      </c>
      <c r="FW440" s="109"/>
      <c r="FX440" s="109"/>
      <c r="FY440" s="111"/>
      <c r="FZ440" s="111"/>
      <c r="GA440" s="165"/>
      <c r="GB440" s="109">
        <f t="shared" si="519"/>
        <v>0</v>
      </c>
      <c r="GC440" s="109">
        <f t="shared" si="527"/>
        <v>0</v>
      </c>
      <c r="GD440" s="109"/>
      <c r="GE440" s="109"/>
      <c r="GF440" s="111"/>
      <c r="GG440" s="111"/>
      <c r="GH440" s="165"/>
      <c r="GI440" s="109">
        <f t="shared" si="520"/>
        <v>0</v>
      </c>
      <c r="GJ440" s="109">
        <f t="shared" si="528"/>
        <v>0</v>
      </c>
      <c r="GK440" s="109"/>
      <c r="GL440" s="109"/>
      <c r="GM440" s="111"/>
      <c r="GN440" s="111"/>
      <c r="GO440" s="165"/>
      <c r="GP440" s="109">
        <f t="shared" si="521"/>
        <v>0</v>
      </c>
      <c r="GQ440" s="109">
        <f t="shared" si="529"/>
        <v>0</v>
      </c>
      <c r="GR440" s="109"/>
      <c r="GS440" s="109"/>
      <c r="GT440" s="111"/>
      <c r="GU440" s="111"/>
      <c r="GV440" s="165"/>
      <c r="GW440" s="168">
        <f t="shared" si="522"/>
        <v>0</v>
      </c>
      <c r="GX440" s="168">
        <f t="shared" si="530"/>
        <v>0</v>
      </c>
      <c r="GY440" s="168"/>
      <c r="GZ440" s="168"/>
      <c r="HA440" s="111"/>
      <c r="HB440" s="111"/>
      <c r="HC440" s="165"/>
      <c r="HD440" s="109">
        <f t="shared" si="523"/>
        <v>0</v>
      </c>
      <c r="HE440" s="109">
        <f t="shared" si="531"/>
        <v>0</v>
      </c>
      <c r="HF440" s="109"/>
      <c r="HG440" s="109"/>
      <c r="HH440" s="111"/>
      <c r="HI440" s="111"/>
      <c r="HJ440" s="165"/>
      <c r="HK440" s="109">
        <f t="shared" si="524"/>
        <v>0</v>
      </c>
      <c r="HL440" s="109">
        <f t="shared" si="532"/>
        <v>0</v>
      </c>
      <c r="HM440" s="109"/>
      <c r="HN440" s="109"/>
      <c r="HO440" s="111"/>
      <c r="HP440" s="111"/>
      <c r="HQ440" s="165"/>
      <c r="HR440" s="109">
        <f t="shared" si="525"/>
        <v>0</v>
      </c>
      <c r="HS440" s="109">
        <f t="shared" si="533"/>
        <v>0</v>
      </c>
      <c r="HT440" s="109"/>
      <c r="HU440" s="109"/>
      <c r="HV440" s="111"/>
      <c r="HW440" s="111"/>
      <c r="HX440" s="105">
        <f t="shared" si="501"/>
        <v>0</v>
      </c>
      <c r="HY440" s="105">
        <f t="shared" si="501"/>
        <v>0</v>
      </c>
      <c r="HZ440" s="105">
        <f t="shared" si="501"/>
        <v>0</v>
      </c>
      <c r="IA440" s="105">
        <f t="shared" si="495"/>
        <v>0</v>
      </c>
      <c r="IB440" s="109">
        <f t="shared" si="496"/>
        <v>0</v>
      </c>
      <c r="IC440" s="109">
        <f t="shared" si="497"/>
        <v>0</v>
      </c>
      <c r="ID440" s="109">
        <f t="shared" si="498"/>
        <v>0</v>
      </c>
      <c r="IE440" s="109">
        <f t="shared" si="499"/>
        <v>0</v>
      </c>
      <c r="IF440" s="197"/>
      <c r="IG440" s="197"/>
      <c r="IH440" s="197"/>
      <c r="II440" s="197"/>
      <c r="IJ440" s="197"/>
      <c r="IK440" s="197"/>
      <c r="IL440" s="197"/>
      <c r="IM440" s="171"/>
      <c r="IN440" s="171"/>
      <c r="IO440" s="171"/>
      <c r="IP440" s="171"/>
    </row>
    <row r="441" spans="1:250" ht="15" customHeight="1" x14ac:dyDescent="0.3">
      <c r="A441" s="110">
        <f t="shared" si="500"/>
        <v>437</v>
      </c>
      <c r="B441" s="111"/>
      <c r="C441" s="111"/>
      <c r="D441" s="111"/>
      <c r="E441" s="111"/>
      <c r="F441" s="111"/>
      <c r="G441" s="111"/>
      <c r="H441" s="111"/>
      <c r="I441" s="194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75"/>
      <c r="AI441" s="111"/>
      <c r="AJ441" s="111"/>
      <c r="AK441" s="111"/>
      <c r="AL441" s="177"/>
      <c r="AM441" s="176"/>
      <c r="AN441" s="177"/>
      <c r="AO441" s="157"/>
      <c r="AP441" s="158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  <c r="BG441" s="111"/>
      <c r="BH441" s="111"/>
      <c r="BI441" s="111"/>
      <c r="BJ441" s="111"/>
      <c r="BK441" s="111"/>
      <c r="BL441" s="175"/>
      <c r="BM441" s="111"/>
      <c r="BN441" s="111"/>
      <c r="BO441" s="111"/>
      <c r="BP441" s="111"/>
      <c r="BQ441" s="111"/>
      <c r="BR441" s="111"/>
      <c r="BS441" s="111"/>
      <c r="BT441" s="111"/>
      <c r="BU441" s="111"/>
      <c r="BV441" s="111"/>
      <c r="BW441" s="111"/>
      <c r="BX441" s="111"/>
      <c r="BY441" s="111"/>
      <c r="BZ441" s="111"/>
      <c r="CA441" s="111"/>
      <c r="CB441" s="111"/>
      <c r="CC441" s="178"/>
      <c r="CD441" s="177">
        <f t="shared" si="484"/>
        <v>0</v>
      </c>
      <c r="CE441" s="148"/>
      <c r="CF441" s="111">
        <f t="shared" si="485"/>
        <v>0</v>
      </c>
      <c r="CG441" s="177"/>
      <c r="CH441" s="204"/>
      <c r="CI441" s="148"/>
      <c r="CJ441" s="165"/>
      <c r="CK441" s="165"/>
      <c r="CL441" s="111"/>
      <c r="CM441" s="111"/>
      <c r="CN441" s="165">
        <f t="shared" si="486"/>
        <v>0</v>
      </c>
      <c r="CO441" s="109">
        <f t="shared" si="487"/>
        <v>0</v>
      </c>
      <c r="CP441" s="109">
        <f t="shared" si="488"/>
        <v>0</v>
      </c>
      <c r="CQ441" s="109"/>
      <c r="CR441" s="109"/>
      <c r="CS441" s="196"/>
      <c r="CT441" s="167"/>
      <c r="CU441" s="165"/>
      <c r="CV441" s="109">
        <f t="shared" si="489"/>
        <v>0</v>
      </c>
      <c r="CW441" s="109">
        <f t="shared" si="490"/>
        <v>0</v>
      </c>
      <c r="CX441" s="109"/>
      <c r="CY441" s="109"/>
      <c r="CZ441" s="111"/>
      <c r="DA441" s="111"/>
      <c r="DB441" s="165"/>
      <c r="DC441" s="109">
        <f t="shared" si="491"/>
        <v>0</v>
      </c>
      <c r="DD441" s="109">
        <f t="shared" si="492"/>
        <v>0</v>
      </c>
      <c r="DE441" s="109"/>
      <c r="DF441" s="109"/>
      <c r="DG441" s="111"/>
      <c r="DH441" s="111"/>
      <c r="DI441" s="165"/>
      <c r="DJ441" s="109">
        <f t="shared" si="493"/>
        <v>0</v>
      </c>
      <c r="DK441" s="109">
        <f t="shared" si="494"/>
        <v>0</v>
      </c>
      <c r="DL441" s="109"/>
      <c r="DM441" s="109"/>
      <c r="DN441" s="111"/>
      <c r="DO441" s="111"/>
      <c r="DP441" s="165"/>
      <c r="DQ441" s="109">
        <f t="shared" si="502"/>
        <v>0</v>
      </c>
      <c r="DR441" s="109">
        <f t="shared" si="503"/>
        <v>0</v>
      </c>
      <c r="DS441" s="109"/>
      <c r="DT441" s="109"/>
      <c r="DU441" s="111"/>
      <c r="DV441" s="111"/>
      <c r="DW441" s="165"/>
      <c r="DX441" s="109">
        <f t="shared" si="504"/>
        <v>0</v>
      </c>
      <c r="DY441" s="109">
        <f t="shared" si="505"/>
        <v>0</v>
      </c>
      <c r="DZ441" s="109"/>
      <c r="EA441" s="109"/>
      <c r="EB441" s="111"/>
      <c r="EC441" s="111"/>
      <c r="ED441" s="165"/>
      <c r="EE441" s="109">
        <f t="shared" si="506"/>
        <v>0</v>
      </c>
      <c r="EF441" s="109">
        <f t="shared" si="507"/>
        <v>0</v>
      </c>
      <c r="EG441" s="109"/>
      <c r="EH441" s="109"/>
      <c r="EI441" s="111"/>
      <c r="EJ441" s="111"/>
      <c r="EK441" s="165"/>
      <c r="EL441" s="109">
        <f t="shared" si="508"/>
        <v>0</v>
      </c>
      <c r="EM441" s="109">
        <f t="shared" si="509"/>
        <v>0</v>
      </c>
      <c r="EN441" s="109"/>
      <c r="EO441" s="109"/>
      <c r="EP441" s="111"/>
      <c r="EQ441" s="111"/>
      <c r="ER441" s="165"/>
      <c r="ES441" s="109">
        <f t="shared" si="510"/>
        <v>0</v>
      </c>
      <c r="ET441" s="109">
        <f t="shared" si="511"/>
        <v>0</v>
      </c>
      <c r="EU441" s="109"/>
      <c r="EV441" s="109"/>
      <c r="EW441" s="111"/>
      <c r="EX441" s="111"/>
      <c r="EY441" s="165"/>
      <c r="EZ441" s="109">
        <f t="shared" si="512"/>
        <v>0</v>
      </c>
      <c r="FA441" s="109">
        <f t="shared" si="513"/>
        <v>0</v>
      </c>
      <c r="FB441" s="109"/>
      <c r="FC441" s="109"/>
      <c r="FD441" s="111"/>
      <c r="FE441" s="111"/>
      <c r="FF441" s="165"/>
      <c r="FG441" s="109">
        <f t="shared" si="514"/>
        <v>0</v>
      </c>
      <c r="FH441" s="109">
        <f t="shared" si="515"/>
        <v>0</v>
      </c>
      <c r="FI441" s="109"/>
      <c r="FJ441" s="109"/>
      <c r="FK441" s="111"/>
      <c r="FL441" s="111"/>
      <c r="FM441" s="165"/>
      <c r="FN441" s="109">
        <f t="shared" si="516"/>
        <v>0</v>
      </c>
      <c r="FO441" s="109">
        <f t="shared" si="517"/>
        <v>0</v>
      </c>
      <c r="FP441" s="109"/>
      <c r="FQ441" s="109"/>
      <c r="FR441" s="111"/>
      <c r="FS441" s="111"/>
      <c r="FT441" s="165"/>
      <c r="FU441" s="109">
        <f t="shared" si="518"/>
        <v>0</v>
      </c>
      <c r="FV441" s="109">
        <f t="shared" si="526"/>
        <v>0</v>
      </c>
      <c r="FW441" s="109"/>
      <c r="FX441" s="109"/>
      <c r="FY441" s="111"/>
      <c r="FZ441" s="111"/>
      <c r="GA441" s="165"/>
      <c r="GB441" s="109">
        <f t="shared" si="519"/>
        <v>0</v>
      </c>
      <c r="GC441" s="109">
        <f t="shared" si="527"/>
        <v>0</v>
      </c>
      <c r="GD441" s="109"/>
      <c r="GE441" s="109"/>
      <c r="GF441" s="111"/>
      <c r="GG441" s="111"/>
      <c r="GH441" s="165"/>
      <c r="GI441" s="109">
        <f t="shared" si="520"/>
        <v>0</v>
      </c>
      <c r="GJ441" s="109">
        <f t="shared" si="528"/>
        <v>0</v>
      </c>
      <c r="GK441" s="109"/>
      <c r="GL441" s="109"/>
      <c r="GM441" s="111"/>
      <c r="GN441" s="111"/>
      <c r="GO441" s="165"/>
      <c r="GP441" s="109">
        <f t="shared" si="521"/>
        <v>0</v>
      </c>
      <c r="GQ441" s="109">
        <f t="shared" si="529"/>
        <v>0</v>
      </c>
      <c r="GR441" s="109"/>
      <c r="GS441" s="109"/>
      <c r="GT441" s="111"/>
      <c r="GU441" s="111"/>
      <c r="GV441" s="165"/>
      <c r="GW441" s="168">
        <f t="shared" si="522"/>
        <v>0</v>
      </c>
      <c r="GX441" s="168">
        <f t="shared" si="530"/>
        <v>0</v>
      </c>
      <c r="GY441" s="168"/>
      <c r="GZ441" s="168"/>
      <c r="HA441" s="111"/>
      <c r="HB441" s="111"/>
      <c r="HC441" s="165"/>
      <c r="HD441" s="109">
        <f t="shared" si="523"/>
        <v>0</v>
      </c>
      <c r="HE441" s="109">
        <f t="shared" si="531"/>
        <v>0</v>
      </c>
      <c r="HF441" s="109"/>
      <c r="HG441" s="109"/>
      <c r="HH441" s="111"/>
      <c r="HI441" s="111"/>
      <c r="HJ441" s="165"/>
      <c r="HK441" s="109">
        <f t="shared" si="524"/>
        <v>0</v>
      </c>
      <c r="HL441" s="109">
        <f t="shared" si="532"/>
        <v>0</v>
      </c>
      <c r="HM441" s="109"/>
      <c r="HN441" s="109"/>
      <c r="HO441" s="111"/>
      <c r="HP441" s="111"/>
      <c r="HQ441" s="165"/>
      <c r="HR441" s="109">
        <f t="shared" si="525"/>
        <v>0</v>
      </c>
      <c r="HS441" s="109">
        <f t="shared" si="533"/>
        <v>0</v>
      </c>
      <c r="HT441" s="109"/>
      <c r="HU441" s="109"/>
      <c r="HV441" s="111"/>
      <c r="HW441" s="111"/>
      <c r="HX441" s="105">
        <f t="shared" si="501"/>
        <v>0</v>
      </c>
      <c r="HY441" s="105">
        <f t="shared" si="501"/>
        <v>0</v>
      </c>
      <c r="HZ441" s="105">
        <f t="shared" si="501"/>
        <v>0</v>
      </c>
      <c r="IA441" s="105">
        <f t="shared" si="495"/>
        <v>0</v>
      </c>
      <c r="IB441" s="109">
        <f t="shared" si="496"/>
        <v>0</v>
      </c>
      <c r="IC441" s="109">
        <f t="shared" si="497"/>
        <v>0</v>
      </c>
      <c r="ID441" s="109">
        <f t="shared" si="498"/>
        <v>0</v>
      </c>
      <c r="IE441" s="109">
        <f t="shared" si="499"/>
        <v>0</v>
      </c>
      <c r="IF441" s="197"/>
      <c r="IG441" s="197"/>
      <c r="IH441" s="197"/>
      <c r="II441" s="197"/>
      <c r="IJ441" s="197"/>
      <c r="IK441" s="197"/>
      <c r="IL441" s="197"/>
      <c r="IM441" s="171"/>
      <c r="IN441" s="171"/>
      <c r="IO441" s="171"/>
      <c r="IP441" s="171"/>
    </row>
    <row r="442" spans="1:250" ht="15" customHeight="1" x14ac:dyDescent="0.3">
      <c r="A442" s="110">
        <f t="shared" si="500"/>
        <v>438</v>
      </c>
      <c r="B442" s="111"/>
      <c r="C442" s="111"/>
      <c r="D442" s="111"/>
      <c r="E442" s="111"/>
      <c r="F442" s="111"/>
      <c r="G442" s="111"/>
      <c r="H442" s="111"/>
      <c r="I442" s="194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75"/>
      <c r="AI442" s="111"/>
      <c r="AJ442" s="111"/>
      <c r="AK442" s="111"/>
      <c r="AL442" s="177"/>
      <c r="AM442" s="176"/>
      <c r="AN442" s="177"/>
      <c r="AO442" s="157"/>
      <c r="AP442" s="158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75"/>
      <c r="BM442" s="111"/>
      <c r="BN442" s="111"/>
      <c r="BO442" s="111"/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1"/>
      <c r="CA442" s="111"/>
      <c r="CB442" s="111"/>
      <c r="CC442" s="178"/>
      <c r="CD442" s="177">
        <f t="shared" si="484"/>
        <v>0</v>
      </c>
      <c r="CE442" s="148"/>
      <c r="CF442" s="111">
        <f t="shared" si="485"/>
        <v>0</v>
      </c>
      <c r="CG442" s="177"/>
      <c r="CH442" s="204"/>
      <c r="CI442" s="148"/>
      <c r="CJ442" s="165"/>
      <c r="CK442" s="165"/>
      <c r="CL442" s="111"/>
      <c r="CM442" s="111"/>
      <c r="CN442" s="165">
        <f t="shared" si="486"/>
        <v>0</v>
      </c>
      <c r="CO442" s="109">
        <f t="shared" si="487"/>
        <v>0</v>
      </c>
      <c r="CP442" s="109">
        <f t="shared" si="488"/>
        <v>0</v>
      </c>
      <c r="CQ442" s="109"/>
      <c r="CR442" s="109"/>
      <c r="CS442" s="196"/>
      <c r="CT442" s="167"/>
      <c r="CU442" s="165"/>
      <c r="CV442" s="109">
        <f t="shared" si="489"/>
        <v>0</v>
      </c>
      <c r="CW442" s="109">
        <f t="shared" si="490"/>
        <v>0</v>
      </c>
      <c r="CX442" s="109"/>
      <c r="CY442" s="109"/>
      <c r="CZ442" s="111"/>
      <c r="DA442" s="111"/>
      <c r="DB442" s="165"/>
      <c r="DC442" s="109">
        <f t="shared" si="491"/>
        <v>0</v>
      </c>
      <c r="DD442" s="109">
        <f t="shared" si="492"/>
        <v>0</v>
      </c>
      <c r="DE442" s="109"/>
      <c r="DF442" s="109"/>
      <c r="DG442" s="111"/>
      <c r="DH442" s="111"/>
      <c r="DI442" s="165"/>
      <c r="DJ442" s="109">
        <f t="shared" si="493"/>
        <v>0</v>
      </c>
      <c r="DK442" s="109">
        <f t="shared" si="494"/>
        <v>0</v>
      </c>
      <c r="DL442" s="109"/>
      <c r="DM442" s="109"/>
      <c r="DN442" s="111"/>
      <c r="DO442" s="111"/>
      <c r="DP442" s="165"/>
      <c r="DQ442" s="109">
        <f t="shared" si="502"/>
        <v>0</v>
      </c>
      <c r="DR442" s="109">
        <f t="shared" si="503"/>
        <v>0</v>
      </c>
      <c r="DS442" s="109"/>
      <c r="DT442" s="109"/>
      <c r="DU442" s="111"/>
      <c r="DV442" s="111"/>
      <c r="DW442" s="165"/>
      <c r="DX442" s="109">
        <f t="shared" si="504"/>
        <v>0</v>
      </c>
      <c r="DY442" s="109">
        <f t="shared" si="505"/>
        <v>0</v>
      </c>
      <c r="DZ442" s="109"/>
      <c r="EA442" s="109"/>
      <c r="EB442" s="111"/>
      <c r="EC442" s="111"/>
      <c r="ED442" s="165"/>
      <c r="EE442" s="109">
        <f t="shared" si="506"/>
        <v>0</v>
      </c>
      <c r="EF442" s="109">
        <f t="shared" si="507"/>
        <v>0</v>
      </c>
      <c r="EG442" s="109"/>
      <c r="EH442" s="109"/>
      <c r="EI442" s="111"/>
      <c r="EJ442" s="111"/>
      <c r="EK442" s="165"/>
      <c r="EL442" s="109">
        <f t="shared" si="508"/>
        <v>0</v>
      </c>
      <c r="EM442" s="109">
        <f t="shared" si="509"/>
        <v>0</v>
      </c>
      <c r="EN442" s="109"/>
      <c r="EO442" s="109"/>
      <c r="EP442" s="111"/>
      <c r="EQ442" s="111"/>
      <c r="ER442" s="165"/>
      <c r="ES442" s="109">
        <f t="shared" si="510"/>
        <v>0</v>
      </c>
      <c r="ET442" s="109">
        <f t="shared" si="511"/>
        <v>0</v>
      </c>
      <c r="EU442" s="109"/>
      <c r="EV442" s="109"/>
      <c r="EW442" s="111"/>
      <c r="EX442" s="111"/>
      <c r="EY442" s="165"/>
      <c r="EZ442" s="109">
        <f t="shared" si="512"/>
        <v>0</v>
      </c>
      <c r="FA442" s="109">
        <f t="shared" si="513"/>
        <v>0</v>
      </c>
      <c r="FB442" s="109"/>
      <c r="FC442" s="109"/>
      <c r="FD442" s="111"/>
      <c r="FE442" s="111"/>
      <c r="FF442" s="165"/>
      <c r="FG442" s="109">
        <f t="shared" si="514"/>
        <v>0</v>
      </c>
      <c r="FH442" s="109">
        <f t="shared" si="515"/>
        <v>0</v>
      </c>
      <c r="FI442" s="109"/>
      <c r="FJ442" s="109"/>
      <c r="FK442" s="111"/>
      <c r="FL442" s="111"/>
      <c r="FM442" s="165"/>
      <c r="FN442" s="109">
        <f t="shared" si="516"/>
        <v>0</v>
      </c>
      <c r="FO442" s="109">
        <f t="shared" si="517"/>
        <v>0</v>
      </c>
      <c r="FP442" s="109"/>
      <c r="FQ442" s="109"/>
      <c r="FR442" s="111"/>
      <c r="FS442" s="111"/>
      <c r="FT442" s="165"/>
      <c r="FU442" s="109">
        <f t="shared" si="518"/>
        <v>0</v>
      </c>
      <c r="FV442" s="109">
        <f t="shared" si="526"/>
        <v>0</v>
      </c>
      <c r="FW442" s="109"/>
      <c r="FX442" s="109"/>
      <c r="FY442" s="111"/>
      <c r="FZ442" s="111"/>
      <c r="GA442" s="165"/>
      <c r="GB442" s="109">
        <f t="shared" si="519"/>
        <v>0</v>
      </c>
      <c r="GC442" s="109">
        <f t="shared" si="527"/>
        <v>0</v>
      </c>
      <c r="GD442" s="109"/>
      <c r="GE442" s="109"/>
      <c r="GF442" s="111"/>
      <c r="GG442" s="111"/>
      <c r="GH442" s="165"/>
      <c r="GI442" s="109">
        <f t="shared" si="520"/>
        <v>0</v>
      </c>
      <c r="GJ442" s="109">
        <f t="shared" si="528"/>
        <v>0</v>
      </c>
      <c r="GK442" s="109"/>
      <c r="GL442" s="109"/>
      <c r="GM442" s="111"/>
      <c r="GN442" s="111"/>
      <c r="GO442" s="165"/>
      <c r="GP442" s="109">
        <f t="shared" si="521"/>
        <v>0</v>
      </c>
      <c r="GQ442" s="109">
        <f t="shared" si="529"/>
        <v>0</v>
      </c>
      <c r="GR442" s="109"/>
      <c r="GS442" s="109"/>
      <c r="GT442" s="111"/>
      <c r="GU442" s="111"/>
      <c r="GV442" s="165"/>
      <c r="GW442" s="168">
        <f t="shared" si="522"/>
        <v>0</v>
      </c>
      <c r="GX442" s="168">
        <f t="shared" si="530"/>
        <v>0</v>
      </c>
      <c r="GY442" s="168"/>
      <c r="GZ442" s="168"/>
      <c r="HA442" s="111"/>
      <c r="HB442" s="111"/>
      <c r="HC442" s="165"/>
      <c r="HD442" s="109">
        <f t="shared" si="523"/>
        <v>0</v>
      </c>
      <c r="HE442" s="109">
        <f t="shared" si="531"/>
        <v>0</v>
      </c>
      <c r="HF442" s="109"/>
      <c r="HG442" s="109"/>
      <c r="HH442" s="111"/>
      <c r="HI442" s="111"/>
      <c r="HJ442" s="165"/>
      <c r="HK442" s="109">
        <f t="shared" si="524"/>
        <v>0</v>
      </c>
      <c r="HL442" s="109">
        <f t="shared" si="532"/>
        <v>0</v>
      </c>
      <c r="HM442" s="109"/>
      <c r="HN442" s="109"/>
      <c r="HO442" s="111"/>
      <c r="HP442" s="111"/>
      <c r="HQ442" s="165"/>
      <c r="HR442" s="109">
        <f t="shared" si="525"/>
        <v>0</v>
      </c>
      <c r="HS442" s="109">
        <f t="shared" si="533"/>
        <v>0</v>
      </c>
      <c r="HT442" s="109"/>
      <c r="HU442" s="109"/>
      <c r="HV442" s="111"/>
      <c r="HW442" s="111"/>
      <c r="HX442" s="105">
        <f t="shared" si="501"/>
        <v>0</v>
      </c>
      <c r="HY442" s="105">
        <f t="shared" si="501"/>
        <v>0</v>
      </c>
      <c r="HZ442" s="105">
        <f t="shared" si="501"/>
        <v>0</v>
      </c>
      <c r="IA442" s="105">
        <f t="shared" si="495"/>
        <v>0</v>
      </c>
      <c r="IB442" s="109">
        <f t="shared" si="496"/>
        <v>0</v>
      </c>
      <c r="IC442" s="109">
        <f t="shared" si="497"/>
        <v>0</v>
      </c>
      <c r="ID442" s="109">
        <f t="shared" si="498"/>
        <v>0</v>
      </c>
      <c r="IE442" s="109">
        <f t="shared" si="499"/>
        <v>0</v>
      </c>
      <c r="IF442" s="197"/>
      <c r="IG442" s="197"/>
      <c r="IH442" s="197"/>
      <c r="II442" s="197"/>
      <c r="IJ442" s="197"/>
      <c r="IK442" s="197"/>
      <c r="IL442" s="197"/>
      <c r="IM442" s="171"/>
      <c r="IN442" s="171"/>
      <c r="IO442" s="171"/>
      <c r="IP442" s="171"/>
    </row>
    <row r="443" spans="1:250" ht="15" customHeight="1" x14ac:dyDescent="0.3">
      <c r="A443" s="110">
        <f t="shared" si="500"/>
        <v>439</v>
      </c>
      <c r="B443" s="111"/>
      <c r="C443" s="111"/>
      <c r="D443" s="111"/>
      <c r="E443" s="111"/>
      <c r="F443" s="111"/>
      <c r="G443" s="111"/>
      <c r="H443" s="111"/>
      <c r="I443" s="194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75"/>
      <c r="AI443" s="111"/>
      <c r="AJ443" s="111"/>
      <c r="AK443" s="111"/>
      <c r="AL443" s="177"/>
      <c r="AM443" s="176"/>
      <c r="AN443" s="177"/>
      <c r="AO443" s="157"/>
      <c r="AP443" s="158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75"/>
      <c r="BM443" s="111"/>
      <c r="BN443" s="111"/>
      <c r="BO443" s="111"/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1"/>
      <c r="CA443" s="111"/>
      <c r="CB443" s="111"/>
      <c r="CC443" s="178"/>
      <c r="CD443" s="177">
        <f t="shared" si="484"/>
        <v>0</v>
      </c>
      <c r="CE443" s="148"/>
      <c r="CF443" s="111">
        <f t="shared" si="485"/>
        <v>0</v>
      </c>
      <c r="CG443" s="177"/>
      <c r="CH443" s="204"/>
      <c r="CI443" s="148"/>
      <c r="CJ443" s="165"/>
      <c r="CK443" s="165"/>
      <c r="CL443" s="111"/>
      <c r="CM443" s="111"/>
      <c r="CN443" s="165">
        <f t="shared" si="486"/>
        <v>0</v>
      </c>
      <c r="CO443" s="109">
        <f t="shared" si="487"/>
        <v>0</v>
      </c>
      <c r="CP443" s="109">
        <f t="shared" si="488"/>
        <v>0</v>
      </c>
      <c r="CQ443" s="109"/>
      <c r="CR443" s="109"/>
      <c r="CS443" s="196"/>
      <c r="CT443" s="167"/>
      <c r="CU443" s="165"/>
      <c r="CV443" s="109">
        <f t="shared" si="489"/>
        <v>0</v>
      </c>
      <c r="CW443" s="109">
        <f t="shared" si="490"/>
        <v>0</v>
      </c>
      <c r="CX443" s="109"/>
      <c r="CY443" s="109"/>
      <c r="CZ443" s="111"/>
      <c r="DA443" s="111"/>
      <c r="DB443" s="165"/>
      <c r="DC443" s="109">
        <f t="shared" si="491"/>
        <v>0</v>
      </c>
      <c r="DD443" s="109">
        <f t="shared" si="492"/>
        <v>0</v>
      </c>
      <c r="DE443" s="109"/>
      <c r="DF443" s="109"/>
      <c r="DG443" s="111"/>
      <c r="DH443" s="111"/>
      <c r="DI443" s="165"/>
      <c r="DJ443" s="109">
        <f t="shared" si="493"/>
        <v>0</v>
      </c>
      <c r="DK443" s="109">
        <f t="shared" si="494"/>
        <v>0</v>
      </c>
      <c r="DL443" s="109"/>
      <c r="DM443" s="109"/>
      <c r="DN443" s="111"/>
      <c r="DO443" s="111"/>
      <c r="DP443" s="165"/>
      <c r="DQ443" s="109">
        <f t="shared" si="502"/>
        <v>0</v>
      </c>
      <c r="DR443" s="109">
        <f t="shared" si="503"/>
        <v>0</v>
      </c>
      <c r="DS443" s="109"/>
      <c r="DT443" s="109"/>
      <c r="DU443" s="111"/>
      <c r="DV443" s="111"/>
      <c r="DW443" s="165"/>
      <c r="DX443" s="109">
        <f t="shared" si="504"/>
        <v>0</v>
      </c>
      <c r="DY443" s="109">
        <f t="shared" si="505"/>
        <v>0</v>
      </c>
      <c r="DZ443" s="109"/>
      <c r="EA443" s="109"/>
      <c r="EB443" s="111"/>
      <c r="EC443" s="111"/>
      <c r="ED443" s="165"/>
      <c r="EE443" s="109">
        <f t="shared" si="506"/>
        <v>0</v>
      </c>
      <c r="EF443" s="109">
        <f t="shared" si="507"/>
        <v>0</v>
      </c>
      <c r="EG443" s="109"/>
      <c r="EH443" s="109"/>
      <c r="EI443" s="111"/>
      <c r="EJ443" s="111"/>
      <c r="EK443" s="165"/>
      <c r="EL443" s="109">
        <f t="shared" si="508"/>
        <v>0</v>
      </c>
      <c r="EM443" s="109">
        <f t="shared" si="509"/>
        <v>0</v>
      </c>
      <c r="EN443" s="109"/>
      <c r="EO443" s="109"/>
      <c r="EP443" s="111"/>
      <c r="EQ443" s="111"/>
      <c r="ER443" s="165"/>
      <c r="ES443" s="109">
        <f t="shared" si="510"/>
        <v>0</v>
      </c>
      <c r="ET443" s="109">
        <f t="shared" si="511"/>
        <v>0</v>
      </c>
      <c r="EU443" s="109"/>
      <c r="EV443" s="109"/>
      <c r="EW443" s="111"/>
      <c r="EX443" s="111"/>
      <c r="EY443" s="165"/>
      <c r="EZ443" s="109">
        <f t="shared" si="512"/>
        <v>0</v>
      </c>
      <c r="FA443" s="109">
        <f t="shared" si="513"/>
        <v>0</v>
      </c>
      <c r="FB443" s="109"/>
      <c r="FC443" s="109"/>
      <c r="FD443" s="111"/>
      <c r="FE443" s="111"/>
      <c r="FF443" s="165"/>
      <c r="FG443" s="109">
        <f t="shared" si="514"/>
        <v>0</v>
      </c>
      <c r="FH443" s="109">
        <f t="shared" si="515"/>
        <v>0</v>
      </c>
      <c r="FI443" s="109"/>
      <c r="FJ443" s="109"/>
      <c r="FK443" s="111"/>
      <c r="FL443" s="111"/>
      <c r="FM443" s="165"/>
      <c r="FN443" s="109">
        <f t="shared" si="516"/>
        <v>0</v>
      </c>
      <c r="FO443" s="109">
        <f t="shared" si="517"/>
        <v>0</v>
      </c>
      <c r="FP443" s="109"/>
      <c r="FQ443" s="109"/>
      <c r="FR443" s="111"/>
      <c r="FS443" s="111"/>
      <c r="FT443" s="165"/>
      <c r="FU443" s="109">
        <f t="shared" si="518"/>
        <v>0</v>
      </c>
      <c r="FV443" s="109">
        <f t="shared" si="526"/>
        <v>0</v>
      </c>
      <c r="FW443" s="109"/>
      <c r="FX443" s="109"/>
      <c r="FY443" s="111"/>
      <c r="FZ443" s="111"/>
      <c r="GA443" s="165"/>
      <c r="GB443" s="109">
        <f t="shared" si="519"/>
        <v>0</v>
      </c>
      <c r="GC443" s="109">
        <f t="shared" si="527"/>
        <v>0</v>
      </c>
      <c r="GD443" s="109"/>
      <c r="GE443" s="109"/>
      <c r="GF443" s="111"/>
      <c r="GG443" s="111"/>
      <c r="GH443" s="165"/>
      <c r="GI443" s="109">
        <f t="shared" si="520"/>
        <v>0</v>
      </c>
      <c r="GJ443" s="109">
        <f t="shared" si="528"/>
        <v>0</v>
      </c>
      <c r="GK443" s="109"/>
      <c r="GL443" s="109"/>
      <c r="GM443" s="111"/>
      <c r="GN443" s="111"/>
      <c r="GO443" s="165"/>
      <c r="GP443" s="109">
        <f t="shared" si="521"/>
        <v>0</v>
      </c>
      <c r="GQ443" s="109">
        <f t="shared" si="529"/>
        <v>0</v>
      </c>
      <c r="GR443" s="109"/>
      <c r="GS443" s="109"/>
      <c r="GT443" s="111"/>
      <c r="GU443" s="111"/>
      <c r="GV443" s="165"/>
      <c r="GW443" s="168">
        <f t="shared" si="522"/>
        <v>0</v>
      </c>
      <c r="GX443" s="168">
        <f t="shared" si="530"/>
        <v>0</v>
      </c>
      <c r="GY443" s="168"/>
      <c r="GZ443" s="168"/>
      <c r="HA443" s="111"/>
      <c r="HB443" s="111"/>
      <c r="HC443" s="165"/>
      <c r="HD443" s="109">
        <f t="shared" si="523"/>
        <v>0</v>
      </c>
      <c r="HE443" s="109">
        <f t="shared" si="531"/>
        <v>0</v>
      </c>
      <c r="HF443" s="109"/>
      <c r="HG443" s="109"/>
      <c r="HH443" s="111"/>
      <c r="HI443" s="111"/>
      <c r="HJ443" s="165"/>
      <c r="HK443" s="109">
        <f t="shared" si="524"/>
        <v>0</v>
      </c>
      <c r="HL443" s="109">
        <f t="shared" si="532"/>
        <v>0</v>
      </c>
      <c r="HM443" s="109"/>
      <c r="HN443" s="109"/>
      <c r="HO443" s="111"/>
      <c r="HP443" s="111"/>
      <c r="HQ443" s="165"/>
      <c r="HR443" s="109">
        <f t="shared" si="525"/>
        <v>0</v>
      </c>
      <c r="HS443" s="109">
        <f t="shared" si="533"/>
        <v>0</v>
      </c>
      <c r="HT443" s="109"/>
      <c r="HU443" s="109"/>
      <c r="HV443" s="111"/>
      <c r="HW443" s="111"/>
      <c r="HX443" s="105">
        <f t="shared" si="501"/>
        <v>0</v>
      </c>
      <c r="HY443" s="105">
        <f t="shared" si="501"/>
        <v>0</v>
      </c>
      <c r="HZ443" s="105">
        <f t="shared" si="501"/>
        <v>0</v>
      </c>
      <c r="IA443" s="105">
        <f t="shared" si="495"/>
        <v>0</v>
      </c>
      <c r="IB443" s="109">
        <f t="shared" si="496"/>
        <v>0</v>
      </c>
      <c r="IC443" s="109">
        <f t="shared" si="497"/>
        <v>0</v>
      </c>
      <c r="ID443" s="109">
        <f t="shared" si="498"/>
        <v>0</v>
      </c>
      <c r="IE443" s="109">
        <f t="shared" si="499"/>
        <v>0</v>
      </c>
      <c r="IF443" s="197"/>
      <c r="IG443" s="197"/>
      <c r="IH443" s="197"/>
      <c r="II443" s="197"/>
      <c r="IJ443" s="197"/>
      <c r="IK443" s="197"/>
      <c r="IL443" s="197"/>
      <c r="IM443" s="171"/>
      <c r="IN443" s="171"/>
      <c r="IO443" s="171"/>
      <c r="IP443" s="171"/>
    </row>
    <row r="444" spans="1:250" ht="15" customHeight="1" x14ac:dyDescent="0.3">
      <c r="A444" s="110">
        <f t="shared" si="500"/>
        <v>440</v>
      </c>
      <c r="B444" s="111"/>
      <c r="C444" s="111"/>
      <c r="D444" s="111"/>
      <c r="E444" s="111"/>
      <c r="F444" s="111"/>
      <c r="G444" s="111"/>
      <c r="H444" s="111"/>
      <c r="I444" s="194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75"/>
      <c r="AI444" s="111"/>
      <c r="AJ444" s="111"/>
      <c r="AK444" s="111"/>
      <c r="AL444" s="177"/>
      <c r="AM444" s="176"/>
      <c r="AN444" s="177"/>
      <c r="AO444" s="157"/>
      <c r="AP444" s="158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  <c r="BJ444" s="111"/>
      <c r="BK444" s="111"/>
      <c r="BL444" s="175"/>
      <c r="BM444" s="111"/>
      <c r="BN444" s="111"/>
      <c r="BO444" s="111"/>
      <c r="BP444" s="111"/>
      <c r="BQ444" s="111"/>
      <c r="BR444" s="111"/>
      <c r="BS444" s="111"/>
      <c r="BT444" s="111"/>
      <c r="BU444" s="111"/>
      <c r="BV444" s="111"/>
      <c r="BW444" s="111"/>
      <c r="BX444" s="111"/>
      <c r="BY444" s="111"/>
      <c r="BZ444" s="111"/>
      <c r="CA444" s="111"/>
      <c r="CB444" s="111"/>
      <c r="CC444" s="178"/>
      <c r="CD444" s="177">
        <f t="shared" si="484"/>
        <v>0</v>
      </c>
      <c r="CE444" s="148"/>
      <c r="CF444" s="111">
        <f t="shared" si="485"/>
        <v>0</v>
      </c>
      <c r="CG444" s="177"/>
      <c r="CH444" s="204"/>
      <c r="CI444" s="148"/>
      <c r="CJ444" s="165"/>
      <c r="CK444" s="165"/>
      <c r="CL444" s="111"/>
      <c r="CM444" s="111"/>
      <c r="CN444" s="165">
        <f t="shared" si="486"/>
        <v>0</v>
      </c>
      <c r="CO444" s="109">
        <f t="shared" si="487"/>
        <v>0</v>
      </c>
      <c r="CP444" s="109">
        <f t="shared" si="488"/>
        <v>0</v>
      </c>
      <c r="CQ444" s="109"/>
      <c r="CR444" s="109"/>
      <c r="CS444" s="196"/>
      <c r="CT444" s="167"/>
      <c r="CU444" s="165"/>
      <c r="CV444" s="109">
        <f t="shared" si="489"/>
        <v>0</v>
      </c>
      <c r="CW444" s="109">
        <f t="shared" si="490"/>
        <v>0</v>
      </c>
      <c r="CX444" s="109"/>
      <c r="CY444" s="109"/>
      <c r="CZ444" s="111"/>
      <c r="DA444" s="111"/>
      <c r="DB444" s="165"/>
      <c r="DC444" s="109">
        <f t="shared" si="491"/>
        <v>0</v>
      </c>
      <c r="DD444" s="109">
        <f t="shared" si="492"/>
        <v>0</v>
      </c>
      <c r="DE444" s="109"/>
      <c r="DF444" s="109"/>
      <c r="DG444" s="111"/>
      <c r="DH444" s="111"/>
      <c r="DI444" s="165"/>
      <c r="DJ444" s="109">
        <f t="shared" si="493"/>
        <v>0</v>
      </c>
      <c r="DK444" s="109">
        <f t="shared" si="494"/>
        <v>0</v>
      </c>
      <c r="DL444" s="109"/>
      <c r="DM444" s="109"/>
      <c r="DN444" s="111"/>
      <c r="DO444" s="111"/>
      <c r="DP444" s="165"/>
      <c r="DQ444" s="109">
        <f t="shared" si="502"/>
        <v>0</v>
      </c>
      <c r="DR444" s="109">
        <f t="shared" si="503"/>
        <v>0</v>
      </c>
      <c r="DS444" s="109"/>
      <c r="DT444" s="109"/>
      <c r="DU444" s="111"/>
      <c r="DV444" s="111"/>
      <c r="DW444" s="165"/>
      <c r="DX444" s="109">
        <f t="shared" si="504"/>
        <v>0</v>
      </c>
      <c r="DY444" s="109">
        <f t="shared" si="505"/>
        <v>0</v>
      </c>
      <c r="DZ444" s="109"/>
      <c r="EA444" s="109"/>
      <c r="EB444" s="111"/>
      <c r="EC444" s="111"/>
      <c r="ED444" s="165"/>
      <c r="EE444" s="109">
        <f t="shared" si="506"/>
        <v>0</v>
      </c>
      <c r="EF444" s="109">
        <f t="shared" si="507"/>
        <v>0</v>
      </c>
      <c r="EG444" s="109"/>
      <c r="EH444" s="109"/>
      <c r="EI444" s="111"/>
      <c r="EJ444" s="111"/>
      <c r="EK444" s="165"/>
      <c r="EL444" s="109">
        <f t="shared" si="508"/>
        <v>0</v>
      </c>
      <c r="EM444" s="109">
        <f t="shared" si="509"/>
        <v>0</v>
      </c>
      <c r="EN444" s="109"/>
      <c r="EO444" s="109"/>
      <c r="EP444" s="111"/>
      <c r="EQ444" s="111"/>
      <c r="ER444" s="165"/>
      <c r="ES444" s="109">
        <f t="shared" si="510"/>
        <v>0</v>
      </c>
      <c r="ET444" s="109">
        <f t="shared" si="511"/>
        <v>0</v>
      </c>
      <c r="EU444" s="109"/>
      <c r="EV444" s="109"/>
      <c r="EW444" s="111"/>
      <c r="EX444" s="111"/>
      <c r="EY444" s="165"/>
      <c r="EZ444" s="109">
        <f t="shared" si="512"/>
        <v>0</v>
      </c>
      <c r="FA444" s="109">
        <f t="shared" si="513"/>
        <v>0</v>
      </c>
      <c r="FB444" s="109"/>
      <c r="FC444" s="109"/>
      <c r="FD444" s="111"/>
      <c r="FE444" s="111"/>
      <c r="FF444" s="165"/>
      <c r="FG444" s="109">
        <f t="shared" si="514"/>
        <v>0</v>
      </c>
      <c r="FH444" s="109">
        <f t="shared" si="515"/>
        <v>0</v>
      </c>
      <c r="FI444" s="109"/>
      <c r="FJ444" s="109"/>
      <c r="FK444" s="111"/>
      <c r="FL444" s="111"/>
      <c r="FM444" s="165"/>
      <c r="FN444" s="109">
        <f t="shared" si="516"/>
        <v>0</v>
      </c>
      <c r="FO444" s="109">
        <f t="shared" si="517"/>
        <v>0</v>
      </c>
      <c r="FP444" s="109"/>
      <c r="FQ444" s="109"/>
      <c r="FR444" s="111"/>
      <c r="FS444" s="111"/>
      <c r="FT444" s="165"/>
      <c r="FU444" s="109">
        <f t="shared" si="518"/>
        <v>0</v>
      </c>
      <c r="FV444" s="109">
        <f t="shared" si="526"/>
        <v>0</v>
      </c>
      <c r="FW444" s="109"/>
      <c r="FX444" s="109"/>
      <c r="FY444" s="111"/>
      <c r="FZ444" s="111"/>
      <c r="GA444" s="165"/>
      <c r="GB444" s="109">
        <f t="shared" si="519"/>
        <v>0</v>
      </c>
      <c r="GC444" s="109">
        <f t="shared" si="527"/>
        <v>0</v>
      </c>
      <c r="GD444" s="109"/>
      <c r="GE444" s="109"/>
      <c r="GF444" s="111"/>
      <c r="GG444" s="111"/>
      <c r="GH444" s="165"/>
      <c r="GI444" s="109">
        <f t="shared" si="520"/>
        <v>0</v>
      </c>
      <c r="GJ444" s="109">
        <f t="shared" si="528"/>
        <v>0</v>
      </c>
      <c r="GK444" s="109"/>
      <c r="GL444" s="109"/>
      <c r="GM444" s="111"/>
      <c r="GN444" s="111"/>
      <c r="GO444" s="165"/>
      <c r="GP444" s="109">
        <f t="shared" si="521"/>
        <v>0</v>
      </c>
      <c r="GQ444" s="109">
        <f t="shared" si="529"/>
        <v>0</v>
      </c>
      <c r="GR444" s="109"/>
      <c r="GS444" s="109"/>
      <c r="GT444" s="111"/>
      <c r="GU444" s="111"/>
      <c r="GV444" s="165"/>
      <c r="GW444" s="168">
        <f t="shared" si="522"/>
        <v>0</v>
      </c>
      <c r="GX444" s="168">
        <f t="shared" si="530"/>
        <v>0</v>
      </c>
      <c r="GY444" s="168"/>
      <c r="GZ444" s="168"/>
      <c r="HA444" s="111"/>
      <c r="HB444" s="111"/>
      <c r="HC444" s="165"/>
      <c r="HD444" s="109">
        <f t="shared" si="523"/>
        <v>0</v>
      </c>
      <c r="HE444" s="109">
        <f t="shared" si="531"/>
        <v>0</v>
      </c>
      <c r="HF444" s="109"/>
      <c r="HG444" s="109"/>
      <c r="HH444" s="111"/>
      <c r="HI444" s="111"/>
      <c r="HJ444" s="165"/>
      <c r="HK444" s="109">
        <f t="shared" si="524"/>
        <v>0</v>
      </c>
      <c r="HL444" s="109">
        <f t="shared" si="532"/>
        <v>0</v>
      </c>
      <c r="HM444" s="109"/>
      <c r="HN444" s="109"/>
      <c r="HO444" s="111"/>
      <c r="HP444" s="111"/>
      <c r="HQ444" s="165"/>
      <c r="HR444" s="109">
        <f t="shared" si="525"/>
        <v>0</v>
      </c>
      <c r="HS444" s="109">
        <f t="shared" si="533"/>
        <v>0</v>
      </c>
      <c r="HT444" s="109"/>
      <c r="HU444" s="109"/>
      <c r="HV444" s="111"/>
      <c r="HW444" s="111"/>
      <c r="HX444" s="105">
        <f t="shared" si="501"/>
        <v>0</v>
      </c>
      <c r="HY444" s="105">
        <f t="shared" si="501"/>
        <v>0</v>
      </c>
      <c r="HZ444" s="105">
        <f t="shared" si="501"/>
        <v>0</v>
      </c>
      <c r="IA444" s="105">
        <f t="shared" si="495"/>
        <v>0</v>
      </c>
      <c r="IB444" s="109">
        <f t="shared" si="496"/>
        <v>0</v>
      </c>
      <c r="IC444" s="109">
        <f t="shared" si="497"/>
        <v>0</v>
      </c>
      <c r="ID444" s="109">
        <f t="shared" si="498"/>
        <v>0</v>
      </c>
      <c r="IE444" s="109">
        <f t="shared" si="499"/>
        <v>0</v>
      </c>
      <c r="IF444" s="197"/>
      <c r="IG444" s="197"/>
      <c r="IH444" s="197"/>
      <c r="II444" s="197"/>
      <c r="IJ444" s="197"/>
      <c r="IK444" s="197"/>
      <c r="IL444" s="197"/>
      <c r="IM444" s="171"/>
      <c r="IN444" s="171"/>
      <c r="IO444" s="171"/>
      <c r="IP444" s="171"/>
    </row>
    <row r="445" spans="1:250" ht="15" customHeight="1" x14ac:dyDescent="0.3">
      <c r="A445" s="110">
        <f t="shared" si="500"/>
        <v>441</v>
      </c>
      <c r="B445" s="111"/>
      <c r="C445" s="111"/>
      <c r="D445" s="111"/>
      <c r="E445" s="111"/>
      <c r="F445" s="111"/>
      <c r="G445" s="111"/>
      <c r="H445" s="111"/>
      <c r="I445" s="194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75"/>
      <c r="AI445" s="111"/>
      <c r="AJ445" s="111"/>
      <c r="AK445" s="111"/>
      <c r="AL445" s="177"/>
      <c r="AM445" s="176"/>
      <c r="AN445" s="177"/>
      <c r="AO445" s="157"/>
      <c r="AP445" s="158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75"/>
      <c r="BM445" s="111"/>
      <c r="BN445" s="111"/>
      <c r="BO445" s="111"/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1"/>
      <c r="CA445" s="111"/>
      <c r="CB445" s="111"/>
      <c r="CC445" s="178"/>
      <c r="CD445" s="177">
        <f t="shared" si="484"/>
        <v>0</v>
      </c>
      <c r="CE445" s="148"/>
      <c r="CF445" s="111">
        <f t="shared" si="485"/>
        <v>0</v>
      </c>
      <c r="CG445" s="177"/>
      <c r="CH445" s="204"/>
      <c r="CI445" s="148"/>
      <c r="CJ445" s="165"/>
      <c r="CK445" s="165"/>
      <c r="CL445" s="111"/>
      <c r="CM445" s="111"/>
      <c r="CN445" s="165">
        <f t="shared" si="486"/>
        <v>0</v>
      </c>
      <c r="CO445" s="109">
        <f t="shared" si="487"/>
        <v>0</v>
      </c>
      <c r="CP445" s="109">
        <f t="shared" si="488"/>
        <v>0</v>
      </c>
      <c r="CQ445" s="109"/>
      <c r="CR445" s="109"/>
      <c r="CS445" s="196"/>
      <c r="CT445" s="167"/>
      <c r="CU445" s="165"/>
      <c r="CV445" s="109">
        <f t="shared" si="489"/>
        <v>0</v>
      </c>
      <c r="CW445" s="109">
        <f t="shared" si="490"/>
        <v>0</v>
      </c>
      <c r="CX445" s="109"/>
      <c r="CY445" s="109"/>
      <c r="CZ445" s="111"/>
      <c r="DA445" s="111"/>
      <c r="DB445" s="165"/>
      <c r="DC445" s="109">
        <f t="shared" si="491"/>
        <v>0</v>
      </c>
      <c r="DD445" s="109">
        <f t="shared" si="492"/>
        <v>0</v>
      </c>
      <c r="DE445" s="109"/>
      <c r="DF445" s="109"/>
      <c r="DG445" s="111"/>
      <c r="DH445" s="111"/>
      <c r="DI445" s="165"/>
      <c r="DJ445" s="109">
        <f t="shared" si="493"/>
        <v>0</v>
      </c>
      <c r="DK445" s="109">
        <f t="shared" si="494"/>
        <v>0</v>
      </c>
      <c r="DL445" s="109"/>
      <c r="DM445" s="109"/>
      <c r="DN445" s="111"/>
      <c r="DO445" s="111"/>
      <c r="DP445" s="165"/>
      <c r="DQ445" s="109">
        <f t="shared" si="502"/>
        <v>0</v>
      </c>
      <c r="DR445" s="109">
        <f t="shared" si="503"/>
        <v>0</v>
      </c>
      <c r="DS445" s="109"/>
      <c r="DT445" s="109"/>
      <c r="DU445" s="111"/>
      <c r="DV445" s="111"/>
      <c r="DW445" s="165"/>
      <c r="DX445" s="109">
        <f t="shared" si="504"/>
        <v>0</v>
      </c>
      <c r="DY445" s="109">
        <f t="shared" si="505"/>
        <v>0</v>
      </c>
      <c r="DZ445" s="109"/>
      <c r="EA445" s="109"/>
      <c r="EB445" s="111"/>
      <c r="EC445" s="111"/>
      <c r="ED445" s="165"/>
      <c r="EE445" s="109">
        <f t="shared" si="506"/>
        <v>0</v>
      </c>
      <c r="EF445" s="109">
        <f t="shared" si="507"/>
        <v>0</v>
      </c>
      <c r="EG445" s="109"/>
      <c r="EH445" s="109"/>
      <c r="EI445" s="111"/>
      <c r="EJ445" s="111"/>
      <c r="EK445" s="165"/>
      <c r="EL445" s="109">
        <f t="shared" si="508"/>
        <v>0</v>
      </c>
      <c r="EM445" s="109">
        <f t="shared" si="509"/>
        <v>0</v>
      </c>
      <c r="EN445" s="109"/>
      <c r="EO445" s="109"/>
      <c r="EP445" s="111"/>
      <c r="EQ445" s="111"/>
      <c r="ER445" s="165"/>
      <c r="ES445" s="109">
        <f t="shared" si="510"/>
        <v>0</v>
      </c>
      <c r="ET445" s="109">
        <f t="shared" si="511"/>
        <v>0</v>
      </c>
      <c r="EU445" s="109"/>
      <c r="EV445" s="109"/>
      <c r="EW445" s="111"/>
      <c r="EX445" s="111"/>
      <c r="EY445" s="165"/>
      <c r="EZ445" s="109">
        <f t="shared" si="512"/>
        <v>0</v>
      </c>
      <c r="FA445" s="109">
        <f t="shared" si="513"/>
        <v>0</v>
      </c>
      <c r="FB445" s="109"/>
      <c r="FC445" s="109"/>
      <c r="FD445" s="111"/>
      <c r="FE445" s="111"/>
      <c r="FF445" s="165"/>
      <c r="FG445" s="109">
        <f t="shared" si="514"/>
        <v>0</v>
      </c>
      <c r="FH445" s="109">
        <f t="shared" si="515"/>
        <v>0</v>
      </c>
      <c r="FI445" s="109"/>
      <c r="FJ445" s="109"/>
      <c r="FK445" s="111"/>
      <c r="FL445" s="111"/>
      <c r="FM445" s="165"/>
      <c r="FN445" s="109">
        <f t="shared" si="516"/>
        <v>0</v>
      </c>
      <c r="FO445" s="109">
        <f t="shared" si="517"/>
        <v>0</v>
      </c>
      <c r="FP445" s="109"/>
      <c r="FQ445" s="109"/>
      <c r="FR445" s="111"/>
      <c r="FS445" s="111"/>
      <c r="FT445" s="165"/>
      <c r="FU445" s="109">
        <f t="shared" si="518"/>
        <v>0</v>
      </c>
      <c r="FV445" s="109">
        <f t="shared" si="526"/>
        <v>0</v>
      </c>
      <c r="FW445" s="109"/>
      <c r="FX445" s="109"/>
      <c r="FY445" s="111"/>
      <c r="FZ445" s="111"/>
      <c r="GA445" s="165"/>
      <c r="GB445" s="109">
        <f t="shared" si="519"/>
        <v>0</v>
      </c>
      <c r="GC445" s="109">
        <f t="shared" si="527"/>
        <v>0</v>
      </c>
      <c r="GD445" s="109"/>
      <c r="GE445" s="109"/>
      <c r="GF445" s="111"/>
      <c r="GG445" s="111"/>
      <c r="GH445" s="165"/>
      <c r="GI445" s="109">
        <f t="shared" si="520"/>
        <v>0</v>
      </c>
      <c r="GJ445" s="109">
        <f t="shared" si="528"/>
        <v>0</v>
      </c>
      <c r="GK445" s="109"/>
      <c r="GL445" s="109"/>
      <c r="GM445" s="111"/>
      <c r="GN445" s="111"/>
      <c r="GO445" s="165"/>
      <c r="GP445" s="109">
        <f t="shared" si="521"/>
        <v>0</v>
      </c>
      <c r="GQ445" s="109">
        <f t="shared" si="529"/>
        <v>0</v>
      </c>
      <c r="GR445" s="109"/>
      <c r="GS445" s="109"/>
      <c r="GT445" s="111"/>
      <c r="GU445" s="111"/>
      <c r="GV445" s="165"/>
      <c r="GW445" s="168">
        <f t="shared" si="522"/>
        <v>0</v>
      </c>
      <c r="GX445" s="168">
        <f t="shared" si="530"/>
        <v>0</v>
      </c>
      <c r="GY445" s="168"/>
      <c r="GZ445" s="168"/>
      <c r="HA445" s="111"/>
      <c r="HB445" s="111"/>
      <c r="HC445" s="165"/>
      <c r="HD445" s="109">
        <f t="shared" si="523"/>
        <v>0</v>
      </c>
      <c r="HE445" s="109">
        <f t="shared" si="531"/>
        <v>0</v>
      </c>
      <c r="HF445" s="109"/>
      <c r="HG445" s="109"/>
      <c r="HH445" s="111"/>
      <c r="HI445" s="111"/>
      <c r="HJ445" s="165"/>
      <c r="HK445" s="109">
        <f t="shared" si="524"/>
        <v>0</v>
      </c>
      <c r="HL445" s="109">
        <f t="shared" si="532"/>
        <v>0</v>
      </c>
      <c r="HM445" s="109"/>
      <c r="HN445" s="109"/>
      <c r="HO445" s="111"/>
      <c r="HP445" s="111"/>
      <c r="HQ445" s="165"/>
      <c r="HR445" s="109">
        <f t="shared" si="525"/>
        <v>0</v>
      </c>
      <c r="HS445" s="109">
        <f t="shared" si="533"/>
        <v>0</v>
      </c>
      <c r="HT445" s="109"/>
      <c r="HU445" s="109"/>
      <c r="HV445" s="111"/>
      <c r="HW445" s="111"/>
      <c r="HX445" s="105">
        <f t="shared" si="501"/>
        <v>0</v>
      </c>
      <c r="HY445" s="105">
        <f t="shared" si="501"/>
        <v>0</v>
      </c>
      <c r="HZ445" s="105">
        <f t="shared" si="501"/>
        <v>0</v>
      </c>
      <c r="IA445" s="105">
        <f t="shared" si="495"/>
        <v>0</v>
      </c>
      <c r="IB445" s="109">
        <f t="shared" si="496"/>
        <v>0</v>
      </c>
      <c r="IC445" s="109">
        <f t="shared" si="497"/>
        <v>0</v>
      </c>
      <c r="ID445" s="109">
        <f t="shared" si="498"/>
        <v>0</v>
      </c>
      <c r="IE445" s="109">
        <f t="shared" si="499"/>
        <v>0</v>
      </c>
      <c r="IF445" s="197"/>
      <c r="IG445" s="197"/>
      <c r="IH445" s="197"/>
      <c r="II445" s="197"/>
      <c r="IJ445" s="197"/>
      <c r="IK445" s="197"/>
      <c r="IL445" s="197"/>
      <c r="IM445" s="171"/>
      <c r="IN445" s="171"/>
      <c r="IO445" s="171"/>
      <c r="IP445" s="171"/>
    </row>
    <row r="446" spans="1:250" ht="15" customHeight="1" x14ac:dyDescent="0.3">
      <c r="A446" s="110">
        <f t="shared" si="500"/>
        <v>442</v>
      </c>
      <c r="B446" s="111"/>
      <c r="C446" s="111"/>
      <c r="D446" s="111"/>
      <c r="E446" s="111"/>
      <c r="F446" s="111"/>
      <c r="G446" s="111"/>
      <c r="H446" s="111"/>
      <c r="I446" s="194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75"/>
      <c r="AI446" s="111"/>
      <c r="AJ446" s="111"/>
      <c r="AK446" s="111"/>
      <c r="AL446" s="177"/>
      <c r="AM446" s="176"/>
      <c r="AN446" s="177"/>
      <c r="AO446" s="157"/>
      <c r="AP446" s="158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  <c r="BG446" s="111"/>
      <c r="BH446" s="111"/>
      <c r="BI446" s="111"/>
      <c r="BJ446" s="111"/>
      <c r="BK446" s="111"/>
      <c r="BL446" s="175"/>
      <c r="BM446" s="111"/>
      <c r="BN446" s="111"/>
      <c r="BO446" s="111"/>
      <c r="BP446" s="111"/>
      <c r="BQ446" s="111"/>
      <c r="BR446" s="111"/>
      <c r="BS446" s="111"/>
      <c r="BT446" s="111"/>
      <c r="BU446" s="111"/>
      <c r="BV446" s="111"/>
      <c r="BW446" s="111"/>
      <c r="BX446" s="111"/>
      <c r="BY446" s="111"/>
      <c r="BZ446" s="111"/>
      <c r="CA446" s="111"/>
      <c r="CB446" s="111"/>
      <c r="CC446" s="178"/>
      <c r="CD446" s="177">
        <f t="shared" si="484"/>
        <v>0</v>
      </c>
      <c r="CE446" s="148"/>
      <c r="CF446" s="111">
        <f t="shared" si="485"/>
        <v>0</v>
      </c>
      <c r="CG446" s="177"/>
      <c r="CH446" s="204"/>
      <c r="CI446" s="148"/>
      <c r="CJ446" s="165"/>
      <c r="CK446" s="165"/>
      <c r="CL446" s="111"/>
      <c r="CM446" s="111"/>
      <c r="CN446" s="165">
        <f t="shared" si="486"/>
        <v>0</v>
      </c>
      <c r="CO446" s="109">
        <f t="shared" si="487"/>
        <v>0</v>
      </c>
      <c r="CP446" s="109">
        <f t="shared" si="488"/>
        <v>0</v>
      </c>
      <c r="CQ446" s="109"/>
      <c r="CR446" s="109"/>
      <c r="CS446" s="196"/>
      <c r="CT446" s="167"/>
      <c r="CU446" s="165"/>
      <c r="CV446" s="109">
        <f t="shared" si="489"/>
        <v>0</v>
      </c>
      <c r="CW446" s="109">
        <f t="shared" si="490"/>
        <v>0</v>
      </c>
      <c r="CX446" s="109"/>
      <c r="CY446" s="109"/>
      <c r="CZ446" s="111"/>
      <c r="DA446" s="111"/>
      <c r="DB446" s="165"/>
      <c r="DC446" s="109">
        <f t="shared" si="491"/>
        <v>0</v>
      </c>
      <c r="DD446" s="109">
        <f t="shared" si="492"/>
        <v>0</v>
      </c>
      <c r="DE446" s="109"/>
      <c r="DF446" s="109"/>
      <c r="DG446" s="111"/>
      <c r="DH446" s="111"/>
      <c r="DI446" s="165"/>
      <c r="DJ446" s="109">
        <f t="shared" si="493"/>
        <v>0</v>
      </c>
      <c r="DK446" s="109">
        <f t="shared" si="494"/>
        <v>0</v>
      </c>
      <c r="DL446" s="109"/>
      <c r="DM446" s="109"/>
      <c r="DN446" s="111"/>
      <c r="DO446" s="111"/>
      <c r="DP446" s="165"/>
      <c r="DQ446" s="109">
        <f t="shared" si="502"/>
        <v>0</v>
      </c>
      <c r="DR446" s="109">
        <f t="shared" si="503"/>
        <v>0</v>
      </c>
      <c r="DS446" s="109"/>
      <c r="DT446" s="109"/>
      <c r="DU446" s="111"/>
      <c r="DV446" s="111"/>
      <c r="DW446" s="165"/>
      <c r="DX446" s="109">
        <f t="shared" si="504"/>
        <v>0</v>
      </c>
      <c r="DY446" s="109">
        <f t="shared" si="505"/>
        <v>0</v>
      </c>
      <c r="DZ446" s="109"/>
      <c r="EA446" s="109"/>
      <c r="EB446" s="111"/>
      <c r="EC446" s="111"/>
      <c r="ED446" s="165"/>
      <c r="EE446" s="109">
        <f t="shared" si="506"/>
        <v>0</v>
      </c>
      <c r="EF446" s="109">
        <f t="shared" si="507"/>
        <v>0</v>
      </c>
      <c r="EG446" s="109"/>
      <c r="EH446" s="109"/>
      <c r="EI446" s="111"/>
      <c r="EJ446" s="111"/>
      <c r="EK446" s="165"/>
      <c r="EL446" s="109">
        <f t="shared" si="508"/>
        <v>0</v>
      </c>
      <c r="EM446" s="109">
        <f t="shared" si="509"/>
        <v>0</v>
      </c>
      <c r="EN446" s="109"/>
      <c r="EO446" s="109"/>
      <c r="EP446" s="111"/>
      <c r="EQ446" s="111"/>
      <c r="ER446" s="165"/>
      <c r="ES446" s="109">
        <f t="shared" si="510"/>
        <v>0</v>
      </c>
      <c r="ET446" s="109">
        <f t="shared" si="511"/>
        <v>0</v>
      </c>
      <c r="EU446" s="109"/>
      <c r="EV446" s="109"/>
      <c r="EW446" s="111"/>
      <c r="EX446" s="111"/>
      <c r="EY446" s="165"/>
      <c r="EZ446" s="109">
        <f t="shared" si="512"/>
        <v>0</v>
      </c>
      <c r="FA446" s="109">
        <f t="shared" si="513"/>
        <v>0</v>
      </c>
      <c r="FB446" s="109"/>
      <c r="FC446" s="109"/>
      <c r="FD446" s="111"/>
      <c r="FE446" s="111"/>
      <c r="FF446" s="165"/>
      <c r="FG446" s="109">
        <f t="shared" si="514"/>
        <v>0</v>
      </c>
      <c r="FH446" s="109">
        <f t="shared" si="515"/>
        <v>0</v>
      </c>
      <c r="FI446" s="109"/>
      <c r="FJ446" s="109"/>
      <c r="FK446" s="111"/>
      <c r="FL446" s="111"/>
      <c r="FM446" s="165"/>
      <c r="FN446" s="109">
        <f t="shared" si="516"/>
        <v>0</v>
      </c>
      <c r="FO446" s="109">
        <f t="shared" si="517"/>
        <v>0</v>
      </c>
      <c r="FP446" s="109"/>
      <c r="FQ446" s="109"/>
      <c r="FR446" s="111"/>
      <c r="FS446" s="111"/>
      <c r="FT446" s="165"/>
      <c r="FU446" s="109">
        <f t="shared" si="518"/>
        <v>0</v>
      </c>
      <c r="FV446" s="109">
        <f t="shared" si="526"/>
        <v>0</v>
      </c>
      <c r="FW446" s="109"/>
      <c r="FX446" s="109"/>
      <c r="FY446" s="111"/>
      <c r="FZ446" s="111"/>
      <c r="GA446" s="165"/>
      <c r="GB446" s="109">
        <f t="shared" si="519"/>
        <v>0</v>
      </c>
      <c r="GC446" s="109">
        <f t="shared" si="527"/>
        <v>0</v>
      </c>
      <c r="GD446" s="109"/>
      <c r="GE446" s="109"/>
      <c r="GF446" s="111"/>
      <c r="GG446" s="111"/>
      <c r="GH446" s="165"/>
      <c r="GI446" s="109">
        <f t="shared" si="520"/>
        <v>0</v>
      </c>
      <c r="GJ446" s="109">
        <f t="shared" si="528"/>
        <v>0</v>
      </c>
      <c r="GK446" s="109"/>
      <c r="GL446" s="109"/>
      <c r="GM446" s="111"/>
      <c r="GN446" s="111"/>
      <c r="GO446" s="165"/>
      <c r="GP446" s="109">
        <f t="shared" si="521"/>
        <v>0</v>
      </c>
      <c r="GQ446" s="109">
        <f t="shared" si="529"/>
        <v>0</v>
      </c>
      <c r="GR446" s="109"/>
      <c r="GS446" s="109"/>
      <c r="GT446" s="111"/>
      <c r="GU446" s="111"/>
      <c r="GV446" s="165"/>
      <c r="GW446" s="168">
        <f t="shared" si="522"/>
        <v>0</v>
      </c>
      <c r="GX446" s="168">
        <f t="shared" si="530"/>
        <v>0</v>
      </c>
      <c r="GY446" s="168"/>
      <c r="GZ446" s="168"/>
      <c r="HA446" s="111"/>
      <c r="HB446" s="111"/>
      <c r="HC446" s="165"/>
      <c r="HD446" s="109">
        <f t="shared" si="523"/>
        <v>0</v>
      </c>
      <c r="HE446" s="109">
        <f t="shared" si="531"/>
        <v>0</v>
      </c>
      <c r="HF446" s="109"/>
      <c r="HG446" s="109"/>
      <c r="HH446" s="111"/>
      <c r="HI446" s="111"/>
      <c r="HJ446" s="165"/>
      <c r="HK446" s="109">
        <f t="shared" si="524"/>
        <v>0</v>
      </c>
      <c r="HL446" s="109">
        <f t="shared" si="532"/>
        <v>0</v>
      </c>
      <c r="HM446" s="109"/>
      <c r="HN446" s="109"/>
      <c r="HO446" s="111"/>
      <c r="HP446" s="111"/>
      <c r="HQ446" s="165"/>
      <c r="HR446" s="109">
        <f t="shared" si="525"/>
        <v>0</v>
      </c>
      <c r="HS446" s="109">
        <f t="shared" si="533"/>
        <v>0</v>
      </c>
      <c r="HT446" s="109"/>
      <c r="HU446" s="109"/>
      <c r="HV446" s="111"/>
      <c r="HW446" s="111"/>
      <c r="HX446" s="105">
        <f t="shared" si="501"/>
        <v>0</v>
      </c>
      <c r="HY446" s="105">
        <f t="shared" si="501"/>
        <v>0</v>
      </c>
      <c r="HZ446" s="105">
        <f t="shared" si="501"/>
        <v>0</v>
      </c>
      <c r="IA446" s="105">
        <f t="shared" si="495"/>
        <v>0</v>
      </c>
      <c r="IB446" s="109">
        <f t="shared" si="496"/>
        <v>0</v>
      </c>
      <c r="IC446" s="109">
        <f t="shared" si="497"/>
        <v>0</v>
      </c>
      <c r="ID446" s="109">
        <f t="shared" si="498"/>
        <v>0</v>
      </c>
      <c r="IE446" s="109">
        <f t="shared" si="499"/>
        <v>0</v>
      </c>
      <c r="IF446" s="197"/>
      <c r="IG446" s="197"/>
      <c r="IH446" s="197"/>
      <c r="II446" s="197"/>
      <c r="IJ446" s="197"/>
      <c r="IK446" s="197"/>
      <c r="IL446" s="197"/>
      <c r="IM446" s="171"/>
      <c r="IN446" s="171"/>
      <c r="IO446" s="171"/>
      <c r="IP446" s="171"/>
    </row>
    <row r="447" spans="1:250" ht="15" customHeight="1" x14ac:dyDescent="0.3">
      <c r="A447" s="110">
        <f t="shared" si="500"/>
        <v>443</v>
      </c>
      <c r="B447" s="111"/>
      <c r="C447" s="111"/>
      <c r="D447" s="111"/>
      <c r="E447" s="111"/>
      <c r="F447" s="111"/>
      <c r="G447" s="111"/>
      <c r="H447" s="111"/>
      <c r="I447" s="194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75"/>
      <c r="AI447" s="111"/>
      <c r="AJ447" s="111"/>
      <c r="AK447" s="111"/>
      <c r="AL447" s="177"/>
      <c r="AM447" s="176"/>
      <c r="AN447" s="177"/>
      <c r="AO447" s="157"/>
      <c r="AP447" s="158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  <c r="BG447" s="111"/>
      <c r="BH447" s="111"/>
      <c r="BI447" s="111"/>
      <c r="BJ447" s="111"/>
      <c r="BK447" s="111"/>
      <c r="BL447" s="175"/>
      <c r="BM447" s="111"/>
      <c r="BN447" s="111"/>
      <c r="BO447" s="111"/>
      <c r="BP447" s="111"/>
      <c r="BQ447" s="111"/>
      <c r="BR447" s="111"/>
      <c r="BS447" s="111"/>
      <c r="BT447" s="111"/>
      <c r="BU447" s="111"/>
      <c r="BV447" s="111"/>
      <c r="BW447" s="111"/>
      <c r="BX447" s="111"/>
      <c r="BY447" s="111"/>
      <c r="BZ447" s="111"/>
      <c r="CA447" s="111"/>
      <c r="CB447" s="111"/>
      <c r="CC447" s="178"/>
      <c r="CD447" s="177">
        <f t="shared" si="484"/>
        <v>0</v>
      </c>
      <c r="CE447" s="148"/>
      <c r="CF447" s="111">
        <f t="shared" si="485"/>
        <v>0</v>
      </c>
      <c r="CG447" s="177"/>
      <c r="CH447" s="204"/>
      <c r="CI447" s="148"/>
      <c r="CJ447" s="165"/>
      <c r="CK447" s="165"/>
      <c r="CL447" s="111"/>
      <c r="CM447" s="111"/>
      <c r="CN447" s="165">
        <f t="shared" si="486"/>
        <v>0</v>
      </c>
      <c r="CO447" s="109">
        <f t="shared" si="487"/>
        <v>0</v>
      </c>
      <c r="CP447" s="109">
        <f t="shared" si="488"/>
        <v>0</v>
      </c>
      <c r="CQ447" s="109"/>
      <c r="CR447" s="109"/>
      <c r="CS447" s="196"/>
      <c r="CT447" s="167"/>
      <c r="CU447" s="165"/>
      <c r="CV447" s="109">
        <f t="shared" si="489"/>
        <v>0</v>
      </c>
      <c r="CW447" s="109">
        <f t="shared" si="490"/>
        <v>0</v>
      </c>
      <c r="CX447" s="109"/>
      <c r="CY447" s="109"/>
      <c r="CZ447" s="111"/>
      <c r="DA447" s="111"/>
      <c r="DB447" s="165"/>
      <c r="DC447" s="109">
        <f t="shared" si="491"/>
        <v>0</v>
      </c>
      <c r="DD447" s="109">
        <f t="shared" si="492"/>
        <v>0</v>
      </c>
      <c r="DE447" s="109"/>
      <c r="DF447" s="109"/>
      <c r="DG447" s="111"/>
      <c r="DH447" s="111"/>
      <c r="DI447" s="165"/>
      <c r="DJ447" s="109">
        <f t="shared" si="493"/>
        <v>0</v>
      </c>
      <c r="DK447" s="109">
        <f t="shared" si="494"/>
        <v>0</v>
      </c>
      <c r="DL447" s="109"/>
      <c r="DM447" s="109"/>
      <c r="DN447" s="111"/>
      <c r="DO447" s="111"/>
      <c r="DP447" s="165"/>
      <c r="DQ447" s="109">
        <f t="shared" si="502"/>
        <v>0</v>
      </c>
      <c r="DR447" s="109">
        <f t="shared" si="503"/>
        <v>0</v>
      </c>
      <c r="DS447" s="109"/>
      <c r="DT447" s="109"/>
      <c r="DU447" s="111"/>
      <c r="DV447" s="111"/>
      <c r="DW447" s="165"/>
      <c r="DX447" s="109">
        <f t="shared" si="504"/>
        <v>0</v>
      </c>
      <c r="DY447" s="109">
        <f t="shared" si="505"/>
        <v>0</v>
      </c>
      <c r="DZ447" s="109"/>
      <c r="EA447" s="109"/>
      <c r="EB447" s="111"/>
      <c r="EC447" s="111"/>
      <c r="ED447" s="165"/>
      <c r="EE447" s="109">
        <f t="shared" si="506"/>
        <v>0</v>
      </c>
      <c r="EF447" s="109">
        <f t="shared" si="507"/>
        <v>0</v>
      </c>
      <c r="EG447" s="109"/>
      <c r="EH447" s="109"/>
      <c r="EI447" s="111"/>
      <c r="EJ447" s="111"/>
      <c r="EK447" s="165"/>
      <c r="EL447" s="109">
        <f t="shared" si="508"/>
        <v>0</v>
      </c>
      <c r="EM447" s="109">
        <f t="shared" si="509"/>
        <v>0</v>
      </c>
      <c r="EN447" s="109"/>
      <c r="EO447" s="109"/>
      <c r="EP447" s="111"/>
      <c r="EQ447" s="111"/>
      <c r="ER447" s="165"/>
      <c r="ES447" s="109">
        <f t="shared" si="510"/>
        <v>0</v>
      </c>
      <c r="ET447" s="109">
        <f t="shared" si="511"/>
        <v>0</v>
      </c>
      <c r="EU447" s="109"/>
      <c r="EV447" s="109"/>
      <c r="EW447" s="111"/>
      <c r="EX447" s="111"/>
      <c r="EY447" s="165"/>
      <c r="EZ447" s="109">
        <f t="shared" si="512"/>
        <v>0</v>
      </c>
      <c r="FA447" s="109">
        <f t="shared" si="513"/>
        <v>0</v>
      </c>
      <c r="FB447" s="109"/>
      <c r="FC447" s="109"/>
      <c r="FD447" s="111"/>
      <c r="FE447" s="111"/>
      <c r="FF447" s="165"/>
      <c r="FG447" s="109">
        <f t="shared" si="514"/>
        <v>0</v>
      </c>
      <c r="FH447" s="109">
        <f t="shared" si="515"/>
        <v>0</v>
      </c>
      <c r="FI447" s="109"/>
      <c r="FJ447" s="109"/>
      <c r="FK447" s="111"/>
      <c r="FL447" s="111"/>
      <c r="FM447" s="165"/>
      <c r="FN447" s="109">
        <f t="shared" si="516"/>
        <v>0</v>
      </c>
      <c r="FO447" s="109">
        <f t="shared" si="517"/>
        <v>0</v>
      </c>
      <c r="FP447" s="109"/>
      <c r="FQ447" s="109"/>
      <c r="FR447" s="111"/>
      <c r="FS447" s="111"/>
      <c r="FT447" s="165"/>
      <c r="FU447" s="109">
        <f t="shared" si="518"/>
        <v>0</v>
      </c>
      <c r="FV447" s="109">
        <f t="shared" si="526"/>
        <v>0</v>
      </c>
      <c r="FW447" s="109"/>
      <c r="FX447" s="109"/>
      <c r="FY447" s="111"/>
      <c r="FZ447" s="111"/>
      <c r="GA447" s="165"/>
      <c r="GB447" s="109">
        <f t="shared" si="519"/>
        <v>0</v>
      </c>
      <c r="GC447" s="109">
        <f t="shared" si="527"/>
        <v>0</v>
      </c>
      <c r="GD447" s="109"/>
      <c r="GE447" s="109"/>
      <c r="GF447" s="111"/>
      <c r="GG447" s="111"/>
      <c r="GH447" s="165"/>
      <c r="GI447" s="109">
        <f t="shared" si="520"/>
        <v>0</v>
      </c>
      <c r="GJ447" s="109">
        <f t="shared" si="528"/>
        <v>0</v>
      </c>
      <c r="GK447" s="109"/>
      <c r="GL447" s="109"/>
      <c r="GM447" s="111"/>
      <c r="GN447" s="111"/>
      <c r="GO447" s="165"/>
      <c r="GP447" s="109">
        <f t="shared" si="521"/>
        <v>0</v>
      </c>
      <c r="GQ447" s="109">
        <f t="shared" si="529"/>
        <v>0</v>
      </c>
      <c r="GR447" s="109"/>
      <c r="GS447" s="109"/>
      <c r="GT447" s="111"/>
      <c r="GU447" s="111"/>
      <c r="GV447" s="165"/>
      <c r="GW447" s="168">
        <f t="shared" si="522"/>
        <v>0</v>
      </c>
      <c r="GX447" s="168">
        <f t="shared" si="530"/>
        <v>0</v>
      </c>
      <c r="GY447" s="168"/>
      <c r="GZ447" s="168"/>
      <c r="HA447" s="111"/>
      <c r="HB447" s="111"/>
      <c r="HC447" s="165"/>
      <c r="HD447" s="109">
        <f t="shared" si="523"/>
        <v>0</v>
      </c>
      <c r="HE447" s="109">
        <f t="shared" si="531"/>
        <v>0</v>
      </c>
      <c r="HF447" s="109"/>
      <c r="HG447" s="109"/>
      <c r="HH447" s="111"/>
      <c r="HI447" s="111"/>
      <c r="HJ447" s="165"/>
      <c r="HK447" s="109">
        <f t="shared" si="524"/>
        <v>0</v>
      </c>
      <c r="HL447" s="109">
        <f t="shared" si="532"/>
        <v>0</v>
      </c>
      <c r="HM447" s="109"/>
      <c r="HN447" s="109"/>
      <c r="HO447" s="111"/>
      <c r="HP447" s="111"/>
      <c r="HQ447" s="165"/>
      <c r="HR447" s="109">
        <f t="shared" si="525"/>
        <v>0</v>
      </c>
      <c r="HS447" s="109">
        <f t="shared" si="533"/>
        <v>0</v>
      </c>
      <c r="HT447" s="109"/>
      <c r="HU447" s="109"/>
      <c r="HV447" s="111"/>
      <c r="HW447" s="111"/>
      <c r="HX447" s="105">
        <f t="shared" si="501"/>
        <v>0</v>
      </c>
      <c r="HY447" s="105">
        <f t="shared" si="501"/>
        <v>0</v>
      </c>
      <c r="HZ447" s="105">
        <f t="shared" si="501"/>
        <v>0</v>
      </c>
      <c r="IA447" s="105">
        <f t="shared" si="495"/>
        <v>0</v>
      </c>
      <c r="IB447" s="109">
        <f t="shared" si="496"/>
        <v>0</v>
      </c>
      <c r="IC447" s="109">
        <f t="shared" si="497"/>
        <v>0</v>
      </c>
      <c r="ID447" s="109">
        <f t="shared" si="498"/>
        <v>0</v>
      </c>
      <c r="IE447" s="109">
        <f t="shared" si="499"/>
        <v>0</v>
      </c>
      <c r="IF447" s="197"/>
      <c r="IG447" s="197"/>
      <c r="IH447" s="197"/>
      <c r="II447" s="197"/>
      <c r="IJ447" s="197"/>
      <c r="IK447" s="197"/>
      <c r="IL447" s="197"/>
      <c r="IM447" s="171"/>
      <c r="IN447" s="171"/>
      <c r="IO447" s="171"/>
      <c r="IP447" s="171"/>
    </row>
    <row r="448" spans="1:250" ht="15" customHeight="1" x14ac:dyDescent="0.3">
      <c r="A448" s="110">
        <f t="shared" si="500"/>
        <v>444</v>
      </c>
      <c r="B448" s="111"/>
      <c r="C448" s="111"/>
      <c r="D448" s="111"/>
      <c r="E448" s="111"/>
      <c r="F448" s="111"/>
      <c r="G448" s="111"/>
      <c r="H448" s="111"/>
      <c r="I448" s="194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75"/>
      <c r="AI448" s="111"/>
      <c r="AJ448" s="111"/>
      <c r="AK448" s="111"/>
      <c r="AL448" s="177"/>
      <c r="AM448" s="176"/>
      <c r="AN448" s="177"/>
      <c r="AO448" s="157"/>
      <c r="AP448" s="158"/>
      <c r="AQ448" s="111"/>
      <c r="AR448" s="111"/>
      <c r="AS448" s="111"/>
      <c r="AT448" s="111"/>
      <c r="AU448" s="111"/>
      <c r="AV448" s="111"/>
      <c r="AW448" s="111"/>
      <c r="AX448" s="111"/>
      <c r="AY448" s="111"/>
      <c r="AZ448" s="111"/>
      <c r="BA448" s="111"/>
      <c r="BB448" s="111"/>
      <c r="BC448" s="111"/>
      <c r="BD448" s="111"/>
      <c r="BE448" s="111"/>
      <c r="BF448" s="111"/>
      <c r="BG448" s="111"/>
      <c r="BH448" s="111"/>
      <c r="BI448" s="111"/>
      <c r="BJ448" s="111"/>
      <c r="BK448" s="111"/>
      <c r="BL448" s="175"/>
      <c r="BM448" s="111"/>
      <c r="BN448" s="111"/>
      <c r="BO448" s="111"/>
      <c r="BP448" s="111"/>
      <c r="BQ448" s="111"/>
      <c r="BR448" s="111"/>
      <c r="BS448" s="111"/>
      <c r="BT448" s="111"/>
      <c r="BU448" s="111"/>
      <c r="BV448" s="111"/>
      <c r="BW448" s="111"/>
      <c r="BX448" s="111"/>
      <c r="BY448" s="111"/>
      <c r="BZ448" s="111"/>
      <c r="CA448" s="111"/>
      <c r="CB448" s="111"/>
      <c r="CC448" s="178"/>
      <c r="CD448" s="177">
        <f t="shared" si="484"/>
        <v>0</v>
      </c>
      <c r="CE448" s="148"/>
      <c r="CF448" s="111">
        <f t="shared" si="485"/>
        <v>0</v>
      </c>
      <c r="CG448" s="177"/>
      <c r="CH448" s="204"/>
      <c r="CI448" s="148"/>
      <c r="CJ448" s="165"/>
      <c r="CK448" s="165"/>
      <c r="CL448" s="111"/>
      <c r="CM448" s="111"/>
      <c r="CN448" s="165">
        <f t="shared" si="486"/>
        <v>0</v>
      </c>
      <c r="CO448" s="109">
        <f t="shared" si="487"/>
        <v>0</v>
      </c>
      <c r="CP448" s="109">
        <f t="shared" si="488"/>
        <v>0</v>
      </c>
      <c r="CQ448" s="109"/>
      <c r="CR448" s="109"/>
      <c r="CS448" s="196"/>
      <c r="CT448" s="167"/>
      <c r="CU448" s="165"/>
      <c r="CV448" s="109">
        <f t="shared" si="489"/>
        <v>0</v>
      </c>
      <c r="CW448" s="109">
        <f t="shared" si="490"/>
        <v>0</v>
      </c>
      <c r="CX448" s="109"/>
      <c r="CY448" s="109"/>
      <c r="CZ448" s="111"/>
      <c r="DA448" s="111"/>
      <c r="DB448" s="165"/>
      <c r="DC448" s="109">
        <f t="shared" si="491"/>
        <v>0</v>
      </c>
      <c r="DD448" s="109">
        <f t="shared" si="492"/>
        <v>0</v>
      </c>
      <c r="DE448" s="109"/>
      <c r="DF448" s="109"/>
      <c r="DG448" s="111"/>
      <c r="DH448" s="111"/>
      <c r="DI448" s="165"/>
      <c r="DJ448" s="109">
        <f t="shared" si="493"/>
        <v>0</v>
      </c>
      <c r="DK448" s="109">
        <f t="shared" si="494"/>
        <v>0</v>
      </c>
      <c r="DL448" s="109"/>
      <c r="DM448" s="109"/>
      <c r="DN448" s="111"/>
      <c r="DO448" s="111"/>
      <c r="DP448" s="165"/>
      <c r="DQ448" s="109">
        <f t="shared" si="502"/>
        <v>0</v>
      </c>
      <c r="DR448" s="109">
        <f t="shared" si="503"/>
        <v>0</v>
      </c>
      <c r="DS448" s="109"/>
      <c r="DT448" s="109"/>
      <c r="DU448" s="111"/>
      <c r="DV448" s="111"/>
      <c r="DW448" s="165"/>
      <c r="DX448" s="109">
        <f t="shared" si="504"/>
        <v>0</v>
      </c>
      <c r="DY448" s="109">
        <f t="shared" si="505"/>
        <v>0</v>
      </c>
      <c r="DZ448" s="109"/>
      <c r="EA448" s="109"/>
      <c r="EB448" s="111"/>
      <c r="EC448" s="111"/>
      <c r="ED448" s="165"/>
      <c r="EE448" s="109">
        <f t="shared" si="506"/>
        <v>0</v>
      </c>
      <c r="EF448" s="109">
        <f t="shared" si="507"/>
        <v>0</v>
      </c>
      <c r="EG448" s="109"/>
      <c r="EH448" s="109"/>
      <c r="EI448" s="111"/>
      <c r="EJ448" s="111"/>
      <c r="EK448" s="165"/>
      <c r="EL448" s="109">
        <f t="shared" si="508"/>
        <v>0</v>
      </c>
      <c r="EM448" s="109">
        <f t="shared" si="509"/>
        <v>0</v>
      </c>
      <c r="EN448" s="109"/>
      <c r="EO448" s="109"/>
      <c r="EP448" s="111"/>
      <c r="EQ448" s="111"/>
      <c r="ER448" s="165"/>
      <c r="ES448" s="109">
        <f t="shared" si="510"/>
        <v>0</v>
      </c>
      <c r="ET448" s="109">
        <f t="shared" si="511"/>
        <v>0</v>
      </c>
      <c r="EU448" s="109"/>
      <c r="EV448" s="109"/>
      <c r="EW448" s="111"/>
      <c r="EX448" s="111"/>
      <c r="EY448" s="165"/>
      <c r="EZ448" s="109">
        <f t="shared" si="512"/>
        <v>0</v>
      </c>
      <c r="FA448" s="109">
        <f t="shared" si="513"/>
        <v>0</v>
      </c>
      <c r="FB448" s="109"/>
      <c r="FC448" s="109"/>
      <c r="FD448" s="111"/>
      <c r="FE448" s="111"/>
      <c r="FF448" s="165"/>
      <c r="FG448" s="109">
        <f t="shared" si="514"/>
        <v>0</v>
      </c>
      <c r="FH448" s="109">
        <f t="shared" si="515"/>
        <v>0</v>
      </c>
      <c r="FI448" s="109"/>
      <c r="FJ448" s="109"/>
      <c r="FK448" s="111"/>
      <c r="FL448" s="111"/>
      <c r="FM448" s="165"/>
      <c r="FN448" s="109">
        <f t="shared" si="516"/>
        <v>0</v>
      </c>
      <c r="FO448" s="109">
        <f t="shared" si="517"/>
        <v>0</v>
      </c>
      <c r="FP448" s="109"/>
      <c r="FQ448" s="109"/>
      <c r="FR448" s="111"/>
      <c r="FS448" s="111"/>
      <c r="FT448" s="165"/>
      <c r="FU448" s="109">
        <f t="shared" si="518"/>
        <v>0</v>
      </c>
      <c r="FV448" s="109">
        <f t="shared" si="526"/>
        <v>0</v>
      </c>
      <c r="FW448" s="109"/>
      <c r="FX448" s="109"/>
      <c r="FY448" s="111"/>
      <c r="FZ448" s="111"/>
      <c r="GA448" s="165"/>
      <c r="GB448" s="109">
        <f t="shared" si="519"/>
        <v>0</v>
      </c>
      <c r="GC448" s="109">
        <f t="shared" si="527"/>
        <v>0</v>
      </c>
      <c r="GD448" s="109"/>
      <c r="GE448" s="109"/>
      <c r="GF448" s="111"/>
      <c r="GG448" s="111"/>
      <c r="GH448" s="165"/>
      <c r="GI448" s="109">
        <f t="shared" si="520"/>
        <v>0</v>
      </c>
      <c r="GJ448" s="109">
        <f t="shared" si="528"/>
        <v>0</v>
      </c>
      <c r="GK448" s="109"/>
      <c r="GL448" s="109"/>
      <c r="GM448" s="111"/>
      <c r="GN448" s="111"/>
      <c r="GO448" s="165"/>
      <c r="GP448" s="109">
        <f t="shared" si="521"/>
        <v>0</v>
      </c>
      <c r="GQ448" s="109">
        <f t="shared" si="529"/>
        <v>0</v>
      </c>
      <c r="GR448" s="109"/>
      <c r="GS448" s="109"/>
      <c r="GT448" s="111"/>
      <c r="GU448" s="111"/>
      <c r="GV448" s="165"/>
      <c r="GW448" s="168">
        <f t="shared" si="522"/>
        <v>0</v>
      </c>
      <c r="GX448" s="168">
        <f t="shared" si="530"/>
        <v>0</v>
      </c>
      <c r="GY448" s="168"/>
      <c r="GZ448" s="168"/>
      <c r="HA448" s="111"/>
      <c r="HB448" s="111"/>
      <c r="HC448" s="165"/>
      <c r="HD448" s="109">
        <f t="shared" si="523"/>
        <v>0</v>
      </c>
      <c r="HE448" s="109">
        <f t="shared" si="531"/>
        <v>0</v>
      </c>
      <c r="HF448" s="109"/>
      <c r="HG448" s="109"/>
      <c r="HH448" s="111"/>
      <c r="HI448" s="111"/>
      <c r="HJ448" s="165"/>
      <c r="HK448" s="109">
        <f t="shared" si="524"/>
        <v>0</v>
      </c>
      <c r="HL448" s="109">
        <f t="shared" si="532"/>
        <v>0</v>
      </c>
      <c r="HM448" s="109"/>
      <c r="HN448" s="109"/>
      <c r="HO448" s="111"/>
      <c r="HP448" s="111"/>
      <c r="HQ448" s="165"/>
      <c r="HR448" s="109">
        <f t="shared" si="525"/>
        <v>0</v>
      </c>
      <c r="HS448" s="109">
        <f t="shared" si="533"/>
        <v>0</v>
      </c>
      <c r="HT448" s="109"/>
      <c r="HU448" s="109"/>
      <c r="HV448" s="111"/>
      <c r="HW448" s="111"/>
      <c r="HX448" s="105">
        <f t="shared" si="501"/>
        <v>0</v>
      </c>
      <c r="HY448" s="105">
        <f t="shared" si="501"/>
        <v>0</v>
      </c>
      <c r="HZ448" s="105">
        <f t="shared" si="501"/>
        <v>0</v>
      </c>
      <c r="IA448" s="105">
        <f t="shared" si="495"/>
        <v>0</v>
      </c>
      <c r="IB448" s="109">
        <f t="shared" si="496"/>
        <v>0</v>
      </c>
      <c r="IC448" s="109">
        <f t="shared" si="497"/>
        <v>0</v>
      </c>
      <c r="ID448" s="109">
        <f t="shared" si="498"/>
        <v>0</v>
      </c>
      <c r="IE448" s="109">
        <f t="shared" si="499"/>
        <v>0</v>
      </c>
      <c r="IF448" s="197"/>
      <c r="IG448" s="197"/>
      <c r="IH448" s="197"/>
      <c r="II448" s="197"/>
      <c r="IJ448" s="197"/>
      <c r="IK448" s="197"/>
      <c r="IL448" s="197"/>
      <c r="IM448" s="171"/>
      <c r="IN448" s="171"/>
      <c r="IO448" s="171"/>
      <c r="IP448" s="171"/>
    </row>
    <row r="449" spans="1:250" ht="15" customHeight="1" x14ac:dyDescent="0.3">
      <c r="A449" s="110">
        <f t="shared" si="500"/>
        <v>445</v>
      </c>
      <c r="B449" s="111"/>
      <c r="C449" s="111"/>
      <c r="D449" s="111"/>
      <c r="E449" s="111"/>
      <c r="F449" s="111"/>
      <c r="G449" s="111"/>
      <c r="H449" s="111"/>
      <c r="I449" s="194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75"/>
      <c r="AI449" s="111"/>
      <c r="AJ449" s="111"/>
      <c r="AK449" s="111"/>
      <c r="AL449" s="177"/>
      <c r="AM449" s="176"/>
      <c r="AN449" s="177"/>
      <c r="AO449" s="157"/>
      <c r="AP449" s="158"/>
      <c r="AQ449" s="111"/>
      <c r="AR449" s="111"/>
      <c r="AS449" s="111"/>
      <c r="AT449" s="111"/>
      <c r="AU449" s="111"/>
      <c r="AV449" s="111"/>
      <c r="AW449" s="111"/>
      <c r="AX449" s="111"/>
      <c r="AY449" s="111"/>
      <c r="AZ449" s="111"/>
      <c r="BA449" s="111"/>
      <c r="BB449" s="111"/>
      <c r="BC449" s="111"/>
      <c r="BD449" s="111"/>
      <c r="BE449" s="111"/>
      <c r="BF449" s="111"/>
      <c r="BG449" s="111"/>
      <c r="BH449" s="111"/>
      <c r="BI449" s="111"/>
      <c r="BJ449" s="111"/>
      <c r="BK449" s="111"/>
      <c r="BL449" s="175"/>
      <c r="BM449" s="111"/>
      <c r="BN449" s="111"/>
      <c r="BO449" s="111"/>
      <c r="BP449" s="111"/>
      <c r="BQ449" s="111"/>
      <c r="BR449" s="111"/>
      <c r="BS449" s="111"/>
      <c r="BT449" s="111"/>
      <c r="BU449" s="111"/>
      <c r="BV449" s="111"/>
      <c r="BW449" s="111"/>
      <c r="BX449" s="111"/>
      <c r="BY449" s="111"/>
      <c r="BZ449" s="111"/>
      <c r="CA449" s="111"/>
      <c r="CB449" s="111"/>
      <c r="CC449" s="178"/>
      <c r="CD449" s="177">
        <f t="shared" si="484"/>
        <v>0</v>
      </c>
      <c r="CE449" s="148"/>
      <c r="CF449" s="111">
        <f t="shared" si="485"/>
        <v>0</v>
      </c>
      <c r="CG449" s="177"/>
      <c r="CH449" s="204"/>
      <c r="CI449" s="148"/>
      <c r="CJ449" s="165"/>
      <c r="CK449" s="165"/>
      <c r="CL449" s="111"/>
      <c r="CM449" s="111"/>
      <c r="CN449" s="165">
        <f t="shared" si="486"/>
        <v>0</v>
      </c>
      <c r="CO449" s="109">
        <f t="shared" si="487"/>
        <v>0</v>
      </c>
      <c r="CP449" s="109">
        <f t="shared" si="488"/>
        <v>0</v>
      </c>
      <c r="CQ449" s="109"/>
      <c r="CR449" s="109"/>
      <c r="CS449" s="196"/>
      <c r="CT449" s="167"/>
      <c r="CU449" s="165"/>
      <c r="CV449" s="109">
        <f t="shared" si="489"/>
        <v>0</v>
      </c>
      <c r="CW449" s="109">
        <f t="shared" si="490"/>
        <v>0</v>
      </c>
      <c r="CX449" s="109"/>
      <c r="CY449" s="109"/>
      <c r="CZ449" s="111"/>
      <c r="DA449" s="111"/>
      <c r="DB449" s="165"/>
      <c r="DC449" s="109">
        <f t="shared" si="491"/>
        <v>0</v>
      </c>
      <c r="DD449" s="109">
        <f t="shared" si="492"/>
        <v>0</v>
      </c>
      <c r="DE449" s="109"/>
      <c r="DF449" s="109"/>
      <c r="DG449" s="111"/>
      <c r="DH449" s="111"/>
      <c r="DI449" s="165"/>
      <c r="DJ449" s="109">
        <f t="shared" si="493"/>
        <v>0</v>
      </c>
      <c r="DK449" s="109">
        <f t="shared" si="494"/>
        <v>0</v>
      </c>
      <c r="DL449" s="109"/>
      <c r="DM449" s="109"/>
      <c r="DN449" s="111"/>
      <c r="DO449" s="111"/>
      <c r="DP449" s="165"/>
      <c r="DQ449" s="109">
        <f t="shared" si="502"/>
        <v>0</v>
      </c>
      <c r="DR449" s="109">
        <f t="shared" si="503"/>
        <v>0</v>
      </c>
      <c r="DS449" s="109"/>
      <c r="DT449" s="109"/>
      <c r="DU449" s="111"/>
      <c r="DV449" s="111"/>
      <c r="DW449" s="165"/>
      <c r="DX449" s="109">
        <f t="shared" si="504"/>
        <v>0</v>
      </c>
      <c r="DY449" s="109">
        <f t="shared" si="505"/>
        <v>0</v>
      </c>
      <c r="DZ449" s="109"/>
      <c r="EA449" s="109"/>
      <c r="EB449" s="111"/>
      <c r="EC449" s="111"/>
      <c r="ED449" s="165"/>
      <c r="EE449" s="109">
        <f t="shared" si="506"/>
        <v>0</v>
      </c>
      <c r="EF449" s="109">
        <f t="shared" si="507"/>
        <v>0</v>
      </c>
      <c r="EG449" s="109"/>
      <c r="EH449" s="109"/>
      <c r="EI449" s="111"/>
      <c r="EJ449" s="111"/>
      <c r="EK449" s="165"/>
      <c r="EL449" s="109">
        <f t="shared" si="508"/>
        <v>0</v>
      </c>
      <c r="EM449" s="109">
        <f t="shared" si="509"/>
        <v>0</v>
      </c>
      <c r="EN449" s="109"/>
      <c r="EO449" s="109"/>
      <c r="EP449" s="111"/>
      <c r="EQ449" s="111"/>
      <c r="ER449" s="165"/>
      <c r="ES449" s="109">
        <f t="shared" si="510"/>
        <v>0</v>
      </c>
      <c r="ET449" s="109">
        <f t="shared" si="511"/>
        <v>0</v>
      </c>
      <c r="EU449" s="109"/>
      <c r="EV449" s="109"/>
      <c r="EW449" s="111"/>
      <c r="EX449" s="111"/>
      <c r="EY449" s="165"/>
      <c r="EZ449" s="109">
        <f t="shared" si="512"/>
        <v>0</v>
      </c>
      <c r="FA449" s="109">
        <f t="shared" si="513"/>
        <v>0</v>
      </c>
      <c r="FB449" s="109"/>
      <c r="FC449" s="109"/>
      <c r="FD449" s="111"/>
      <c r="FE449" s="111"/>
      <c r="FF449" s="165"/>
      <c r="FG449" s="109">
        <f t="shared" si="514"/>
        <v>0</v>
      </c>
      <c r="FH449" s="109">
        <f t="shared" si="515"/>
        <v>0</v>
      </c>
      <c r="FI449" s="109"/>
      <c r="FJ449" s="109"/>
      <c r="FK449" s="111"/>
      <c r="FL449" s="111"/>
      <c r="FM449" s="165"/>
      <c r="FN449" s="109">
        <f t="shared" si="516"/>
        <v>0</v>
      </c>
      <c r="FO449" s="109">
        <f t="shared" si="517"/>
        <v>0</v>
      </c>
      <c r="FP449" s="109"/>
      <c r="FQ449" s="109"/>
      <c r="FR449" s="111"/>
      <c r="FS449" s="111"/>
      <c r="FT449" s="165"/>
      <c r="FU449" s="109">
        <f t="shared" si="518"/>
        <v>0</v>
      </c>
      <c r="FV449" s="109">
        <f t="shared" si="526"/>
        <v>0</v>
      </c>
      <c r="FW449" s="109"/>
      <c r="FX449" s="109"/>
      <c r="FY449" s="111"/>
      <c r="FZ449" s="111"/>
      <c r="GA449" s="165"/>
      <c r="GB449" s="109">
        <f t="shared" si="519"/>
        <v>0</v>
      </c>
      <c r="GC449" s="109">
        <f t="shared" si="527"/>
        <v>0</v>
      </c>
      <c r="GD449" s="109"/>
      <c r="GE449" s="109"/>
      <c r="GF449" s="111"/>
      <c r="GG449" s="111"/>
      <c r="GH449" s="165"/>
      <c r="GI449" s="109">
        <f t="shared" si="520"/>
        <v>0</v>
      </c>
      <c r="GJ449" s="109">
        <f t="shared" si="528"/>
        <v>0</v>
      </c>
      <c r="GK449" s="109"/>
      <c r="GL449" s="109"/>
      <c r="GM449" s="111"/>
      <c r="GN449" s="111"/>
      <c r="GO449" s="165"/>
      <c r="GP449" s="109">
        <f t="shared" si="521"/>
        <v>0</v>
      </c>
      <c r="GQ449" s="109">
        <f t="shared" si="529"/>
        <v>0</v>
      </c>
      <c r="GR449" s="109"/>
      <c r="GS449" s="109"/>
      <c r="GT449" s="111"/>
      <c r="GU449" s="111"/>
      <c r="GV449" s="165"/>
      <c r="GW449" s="168">
        <f t="shared" si="522"/>
        <v>0</v>
      </c>
      <c r="GX449" s="168">
        <f t="shared" si="530"/>
        <v>0</v>
      </c>
      <c r="GY449" s="168"/>
      <c r="GZ449" s="168"/>
      <c r="HA449" s="111"/>
      <c r="HB449" s="111"/>
      <c r="HC449" s="165"/>
      <c r="HD449" s="109">
        <f t="shared" si="523"/>
        <v>0</v>
      </c>
      <c r="HE449" s="109">
        <f t="shared" si="531"/>
        <v>0</v>
      </c>
      <c r="HF449" s="109"/>
      <c r="HG449" s="109"/>
      <c r="HH449" s="111"/>
      <c r="HI449" s="111"/>
      <c r="HJ449" s="165"/>
      <c r="HK449" s="109">
        <f t="shared" si="524"/>
        <v>0</v>
      </c>
      <c r="HL449" s="109">
        <f t="shared" si="532"/>
        <v>0</v>
      </c>
      <c r="HM449" s="109"/>
      <c r="HN449" s="109"/>
      <c r="HO449" s="111"/>
      <c r="HP449" s="111"/>
      <c r="HQ449" s="165"/>
      <c r="HR449" s="109">
        <f t="shared" si="525"/>
        <v>0</v>
      </c>
      <c r="HS449" s="109">
        <f t="shared" si="533"/>
        <v>0</v>
      </c>
      <c r="HT449" s="109"/>
      <c r="HU449" s="109"/>
      <c r="HV449" s="111"/>
      <c r="HW449" s="111"/>
      <c r="HX449" s="105">
        <f t="shared" si="501"/>
        <v>0</v>
      </c>
      <c r="HY449" s="105">
        <f t="shared" si="501"/>
        <v>0</v>
      </c>
      <c r="HZ449" s="105">
        <f t="shared" si="501"/>
        <v>0</v>
      </c>
      <c r="IA449" s="105">
        <f t="shared" si="495"/>
        <v>0</v>
      </c>
      <c r="IB449" s="109">
        <f t="shared" si="496"/>
        <v>0</v>
      </c>
      <c r="IC449" s="109">
        <f t="shared" si="497"/>
        <v>0</v>
      </c>
      <c r="ID449" s="109">
        <f t="shared" si="498"/>
        <v>0</v>
      </c>
      <c r="IE449" s="109">
        <f t="shared" si="499"/>
        <v>0</v>
      </c>
      <c r="IF449" s="197"/>
      <c r="IG449" s="197"/>
      <c r="IH449" s="197"/>
      <c r="II449" s="197"/>
      <c r="IJ449" s="197"/>
      <c r="IK449" s="197"/>
      <c r="IL449" s="197"/>
      <c r="IM449" s="171"/>
      <c r="IN449" s="171"/>
      <c r="IO449" s="171"/>
      <c r="IP449" s="171"/>
    </row>
    <row r="450" spans="1:250" ht="15" customHeight="1" x14ac:dyDescent="0.3">
      <c r="A450" s="110">
        <f t="shared" si="500"/>
        <v>446</v>
      </c>
      <c r="B450" s="111"/>
      <c r="C450" s="111"/>
      <c r="D450" s="111"/>
      <c r="E450" s="111"/>
      <c r="F450" s="111"/>
      <c r="G450" s="111"/>
      <c r="H450" s="111"/>
      <c r="I450" s="194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75"/>
      <c r="AI450" s="111"/>
      <c r="AJ450" s="111"/>
      <c r="AK450" s="111"/>
      <c r="AL450" s="177"/>
      <c r="AM450" s="176"/>
      <c r="AN450" s="177"/>
      <c r="AO450" s="157"/>
      <c r="AP450" s="158"/>
      <c r="AQ450" s="111"/>
      <c r="AR450" s="111"/>
      <c r="AS450" s="111"/>
      <c r="AT450" s="111"/>
      <c r="AU450" s="111"/>
      <c r="AV450" s="111"/>
      <c r="AW450" s="111"/>
      <c r="AX450" s="111"/>
      <c r="AY450" s="111"/>
      <c r="AZ450" s="111"/>
      <c r="BA450" s="111"/>
      <c r="BB450" s="111"/>
      <c r="BC450" s="111"/>
      <c r="BD450" s="111"/>
      <c r="BE450" s="111"/>
      <c r="BF450" s="111"/>
      <c r="BG450" s="111"/>
      <c r="BH450" s="111"/>
      <c r="BI450" s="111"/>
      <c r="BJ450" s="111"/>
      <c r="BK450" s="111"/>
      <c r="BL450" s="175"/>
      <c r="BM450" s="111"/>
      <c r="BN450" s="111"/>
      <c r="BO450" s="111"/>
      <c r="BP450" s="111"/>
      <c r="BQ450" s="111"/>
      <c r="BR450" s="111"/>
      <c r="BS450" s="111"/>
      <c r="BT450" s="111"/>
      <c r="BU450" s="111"/>
      <c r="BV450" s="111"/>
      <c r="BW450" s="111"/>
      <c r="BX450" s="111"/>
      <c r="BY450" s="111"/>
      <c r="BZ450" s="111"/>
      <c r="CA450" s="111"/>
      <c r="CB450" s="111"/>
      <c r="CC450" s="178"/>
      <c r="CD450" s="177">
        <f t="shared" si="484"/>
        <v>0</v>
      </c>
      <c r="CE450" s="148"/>
      <c r="CF450" s="111">
        <f t="shared" si="485"/>
        <v>0</v>
      </c>
      <c r="CG450" s="177"/>
      <c r="CH450" s="204"/>
      <c r="CI450" s="148"/>
      <c r="CJ450" s="165"/>
      <c r="CK450" s="165"/>
      <c r="CL450" s="111"/>
      <c r="CM450" s="111"/>
      <c r="CN450" s="165">
        <f t="shared" si="486"/>
        <v>0</v>
      </c>
      <c r="CO450" s="109">
        <f t="shared" si="487"/>
        <v>0</v>
      </c>
      <c r="CP450" s="109">
        <f t="shared" si="488"/>
        <v>0</v>
      </c>
      <c r="CQ450" s="109"/>
      <c r="CR450" s="109"/>
      <c r="CS450" s="196"/>
      <c r="CT450" s="167"/>
      <c r="CU450" s="165"/>
      <c r="CV450" s="109">
        <f t="shared" si="489"/>
        <v>0</v>
      </c>
      <c r="CW450" s="109">
        <f t="shared" si="490"/>
        <v>0</v>
      </c>
      <c r="CX450" s="109"/>
      <c r="CY450" s="109"/>
      <c r="CZ450" s="111"/>
      <c r="DA450" s="111"/>
      <c r="DB450" s="165"/>
      <c r="DC450" s="109">
        <f t="shared" si="491"/>
        <v>0</v>
      </c>
      <c r="DD450" s="109">
        <f t="shared" si="492"/>
        <v>0</v>
      </c>
      <c r="DE450" s="109"/>
      <c r="DF450" s="109"/>
      <c r="DG450" s="111"/>
      <c r="DH450" s="111"/>
      <c r="DI450" s="165"/>
      <c r="DJ450" s="109">
        <f t="shared" si="493"/>
        <v>0</v>
      </c>
      <c r="DK450" s="109">
        <f t="shared" si="494"/>
        <v>0</v>
      </c>
      <c r="DL450" s="109"/>
      <c r="DM450" s="109"/>
      <c r="DN450" s="111"/>
      <c r="DO450" s="111"/>
      <c r="DP450" s="165"/>
      <c r="DQ450" s="109">
        <f t="shared" si="502"/>
        <v>0</v>
      </c>
      <c r="DR450" s="109">
        <f t="shared" si="503"/>
        <v>0</v>
      </c>
      <c r="DS450" s="109"/>
      <c r="DT450" s="109"/>
      <c r="DU450" s="111"/>
      <c r="DV450" s="111"/>
      <c r="DW450" s="165"/>
      <c r="DX450" s="109">
        <f t="shared" si="504"/>
        <v>0</v>
      </c>
      <c r="DY450" s="109">
        <f t="shared" si="505"/>
        <v>0</v>
      </c>
      <c r="DZ450" s="109"/>
      <c r="EA450" s="109"/>
      <c r="EB450" s="111"/>
      <c r="EC450" s="111"/>
      <c r="ED450" s="165"/>
      <c r="EE450" s="109">
        <f t="shared" si="506"/>
        <v>0</v>
      </c>
      <c r="EF450" s="109">
        <f t="shared" si="507"/>
        <v>0</v>
      </c>
      <c r="EG450" s="109"/>
      <c r="EH450" s="109"/>
      <c r="EI450" s="111"/>
      <c r="EJ450" s="111"/>
      <c r="EK450" s="165"/>
      <c r="EL450" s="109">
        <f t="shared" si="508"/>
        <v>0</v>
      </c>
      <c r="EM450" s="109">
        <f t="shared" si="509"/>
        <v>0</v>
      </c>
      <c r="EN450" s="109"/>
      <c r="EO450" s="109"/>
      <c r="EP450" s="111"/>
      <c r="EQ450" s="111"/>
      <c r="ER450" s="165"/>
      <c r="ES450" s="109">
        <f t="shared" si="510"/>
        <v>0</v>
      </c>
      <c r="ET450" s="109">
        <f t="shared" si="511"/>
        <v>0</v>
      </c>
      <c r="EU450" s="109"/>
      <c r="EV450" s="109"/>
      <c r="EW450" s="111"/>
      <c r="EX450" s="111"/>
      <c r="EY450" s="165"/>
      <c r="EZ450" s="109">
        <f t="shared" si="512"/>
        <v>0</v>
      </c>
      <c r="FA450" s="109">
        <f t="shared" si="513"/>
        <v>0</v>
      </c>
      <c r="FB450" s="109"/>
      <c r="FC450" s="109"/>
      <c r="FD450" s="111"/>
      <c r="FE450" s="111"/>
      <c r="FF450" s="165"/>
      <c r="FG450" s="109">
        <f t="shared" si="514"/>
        <v>0</v>
      </c>
      <c r="FH450" s="109">
        <f t="shared" si="515"/>
        <v>0</v>
      </c>
      <c r="FI450" s="109"/>
      <c r="FJ450" s="109"/>
      <c r="FK450" s="111"/>
      <c r="FL450" s="111"/>
      <c r="FM450" s="165"/>
      <c r="FN450" s="109">
        <f t="shared" si="516"/>
        <v>0</v>
      </c>
      <c r="FO450" s="109">
        <f t="shared" si="517"/>
        <v>0</v>
      </c>
      <c r="FP450" s="109"/>
      <c r="FQ450" s="109"/>
      <c r="FR450" s="111"/>
      <c r="FS450" s="111"/>
      <c r="FT450" s="165"/>
      <c r="FU450" s="109">
        <f t="shared" si="518"/>
        <v>0</v>
      </c>
      <c r="FV450" s="109">
        <f t="shared" si="526"/>
        <v>0</v>
      </c>
      <c r="FW450" s="109"/>
      <c r="FX450" s="109"/>
      <c r="FY450" s="111"/>
      <c r="FZ450" s="111"/>
      <c r="GA450" s="165"/>
      <c r="GB450" s="109">
        <f t="shared" si="519"/>
        <v>0</v>
      </c>
      <c r="GC450" s="109">
        <f t="shared" si="527"/>
        <v>0</v>
      </c>
      <c r="GD450" s="109"/>
      <c r="GE450" s="109"/>
      <c r="GF450" s="111"/>
      <c r="GG450" s="111"/>
      <c r="GH450" s="165"/>
      <c r="GI450" s="109">
        <f t="shared" si="520"/>
        <v>0</v>
      </c>
      <c r="GJ450" s="109">
        <f t="shared" si="528"/>
        <v>0</v>
      </c>
      <c r="GK450" s="109"/>
      <c r="GL450" s="109"/>
      <c r="GM450" s="111"/>
      <c r="GN450" s="111"/>
      <c r="GO450" s="165"/>
      <c r="GP450" s="109">
        <f t="shared" si="521"/>
        <v>0</v>
      </c>
      <c r="GQ450" s="109">
        <f t="shared" si="529"/>
        <v>0</v>
      </c>
      <c r="GR450" s="109"/>
      <c r="GS450" s="109"/>
      <c r="GT450" s="111"/>
      <c r="GU450" s="111"/>
      <c r="GV450" s="165"/>
      <c r="GW450" s="168">
        <f t="shared" si="522"/>
        <v>0</v>
      </c>
      <c r="GX450" s="168">
        <f t="shared" si="530"/>
        <v>0</v>
      </c>
      <c r="GY450" s="168"/>
      <c r="GZ450" s="168"/>
      <c r="HA450" s="111"/>
      <c r="HB450" s="111"/>
      <c r="HC450" s="165"/>
      <c r="HD450" s="109">
        <f t="shared" si="523"/>
        <v>0</v>
      </c>
      <c r="HE450" s="109">
        <f t="shared" si="531"/>
        <v>0</v>
      </c>
      <c r="HF450" s="109"/>
      <c r="HG450" s="109"/>
      <c r="HH450" s="111"/>
      <c r="HI450" s="111"/>
      <c r="HJ450" s="165"/>
      <c r="HK450" s="109">
        <f t="shared" si="524"/>
        <v>0</v>
      </c>
      <c r="HL450" s="109">
        <f t="shared" si="532"/>
        <v>0</v>
      </c>
      <c r="HM450" s="109"/>
      <c r="HN450" s="109"/>
      <c r="HO450" s="111"/>
      <c r="HP450" s="111"/>
      <c r="HQ450" s="165"/>
      <c r="HR450" s="109">
        <f t="shared" si="525"/>
        <v>0</v>
      </c>
      <c r="HS450" s="109">
        <f t="shared" si="533"/>
        <v>0</v>
      </c>
      <c r="HT450" s="109"/>
      <c r="HU450" s="109"/>
      <c r="HV450" s="111"/>
      <c r="HW450" s="111"/>
      <c r="HX450" s="105">
        <f t="shared" si="501"/>
        <v>0</v>
      </c>
      <c r="HY450" s="105">
        <f t="shared" si="501"/>
        <v>0</v>
      </c>
      <c r="HZ450" s="105">
        <f t="shared" si="501"/>
        <v>0</v>
      </c>
      <c r="IA450" s="105">
        <f t="shared" si="495"/>
        <v>0</v>
      </c>
      <c r="IB450" s="109">
        <f t="shared" si="496"/>
        <v>0</v>
      </c>
      <c r="IC450" s="109">
        <f t="shared" si="497"/>
        <v>0</v>
      </c>
      <c r="ID450" s="109">
        <f t="shared" si="498"/>
        <v>0</v>
      </c>
      <c r="IE450" s="109">
        <f t="shared" si="499"/>
        <v>0</v>
      </c>
      <c r="IF450" s="197"/>
      <c r="IG450" s="197"/>
      <c r="IH450" s="197"/>
      <c r="II450" s="197"/>
      <c r="IJ450" s="197"/>
      <c r="IK450" s="197"/>
      <c r="IL450" s="197"/>
      <c r="IM450" s="171"/>
      <c r="IN450" s="171"/>
      <c r="IO450" s="171"/>
      <c r="IP450" s="171"/>
    </row>
    <row r="451" spans="1:250" ht="15" customHeight="1" x14ac:dyDescent="0.3">
      <c r="A451" s="110">
        <f t="shared" si="500"/>
        <v>447</v>
      </c>
      <c r="B451" s="111"/>
      <c r="C451" s="111"/>
      <c r="D451" s="111"/>
      <c r="E451" s="111"/>
      <c r="F451" s="111"/>
      <c r="G451" s="111"/>
      <c r="H451" s="111"/>
      <c r="I451" s="194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75"/>
      <c r="AI451" s="111"/>
      <c r="AJ451" s="111"/>
      <c r="AK451" s="111"/>
      <c r="AL451" s="177"/>
      <c r="AM451" s="176"/>
      <c r="AN451" s="177"/>
      <c r="AO451" s="157"/>
      <c r="AP451" s="158"/>
      <c r="AQ451" s="111"/>
      <c r="AR451" s="111"/>
      <c r="AS451" s="111"/>
      <c r="AT451" s="111"/>
      <c r="AU451" s="111"/>
      <c r="AV451" s="111"/>
      <c r="AW451" s="111"/>
      <c r="AX451" s="111"/>
      <c r="AY451" s="111"/>
      <c r="AZ451" s="111"/>
      <c r="BA451" s="111"/>
      <c r="BB451" s="111"/>
      <c r="BC451" s="111"/>
      <c r="BD451" s="111"/>
      <c r="BE451" s="111"/>
      <c r="BF451" s="111"/>
      <c r="BG451" s="111"/>
      <c r="BH451" s="111"/>
      <c r="BI451" s="111"/>
      <c r="BJ451" s="111"/>
      <c r="BK451" s="111"/>
      <c r="BL451" s="175"/>
      <c r="BM451" s="111"/>
      <c r="BN451" s="111"/>
      <c r="BO451" s="111"/>
      <c r="BP451" s="111"/>
      <c r="BQ451" s="111"/>
      <c r="BR451" s="111"/>
      <c r="BS451" s="111"/>
      <c r="BT451" s="111"/>
      <c r="BU451" s="111"/>
      <c r="BV451" s="111"/>
      <c r="BW451" s="111"/>
      <c r="BX451" s="111"/>
      <c r="BY451" s="111"/>
      <c r="BZ451" s="111"/>
      <c r="CA451" s="111"/>
      <c r="CB451" s="111"/>
      <c r="CC451" s="178"/>
      <c r="CD451" s="177">
        <f t="shared" si="484"/>
        <v>0</v>
      </c>
      <c r="CE451" s="148"/>
      <c r="CF451" s="111">
        <f t="shared" si="485"/>
        <v>0</v>
      </c>
      <c r="CG451" s="177"/>
      <c r="CH451" s="204"/>
      <c r="CI451" s="148"/>
      <c r="CJ451" s="165"/>
      <c r="CK451" s="165"/>
      <c r="CL451" s="111"/>
      <c r="CM451" s="111"/>
      <c r="CN451" s="165">
        <f t="shared" si="486"/>
        <v>0</v>
      </c>
      <c r="CO451" s="109">
        <f t="shared" si="487"/>
        <v>0</v>
      </c>
      <c r="CP451" s="109">
        <f t="shared" si="488"/>
        <v>0</v>
      </c>
      <c r="CQ451" s="109"/>
      <c r="CR451" s="109"/>
      <c r="CS451" s="196"/>
      <c r="CT451" s="167"/>
      <c r="CU451" s="165"/>
      <c r="CV451" s="109">
        <f t="shared" si="489"/>
        <v>0</v>
      </c>
      <c r="CW451" s="109">
        <f t="shared" si="490"/>
        <v>0</v>
      </c>
      <c r="CX451" s="109"/>
      <c r="CY451" s="109"/>
      <c r="CZ451" s="111"/>
      <c r="DA451" s="111"/>
      <c r="DB451" s="165"/>
      <c r="DC451" s="109">
        <f t="shared" si="491"/>
        <v>0</v>
      </c>
      <c r="DD451" s="109">
        <f t="shared" si="492"/>
        <v>0</v>
      </c>
      <c r="DE451" s="109"/>
      <c r="DF451" s="109"/>
      <c r="DG451" s="111"/>
      <c r="DH451" s="111"/>
      <c r="DI451" s="165"/>
      <c r="DJ451" s="109">
        <f t="shared" si="493"/>
        <v>0</v>
      </c>
      <c r="DK451" s="109">
        <f t="shared" si="494"/>
        <v>0</v>
      </c>
      <c r="DL451" s="109"/>
      <c r="DM451" s="109"/>
      <c r="DN451" s="111"/>
      <c r="DO451" s="111"/>
      <c r="DP451" s="165"/>
      <c r="DQ451" s="109">
        <f t="shared" si="502"/>
        <v>0</v>
      </c>
      <c r="DR451" s="109">
        <f t="shared" si="503"/>
        <v>0</v>
      </c>
      <c r="DS451" s="109"/>
      <c r="DT451" s="109"/>
      <c r="DU451" s="111"/>
      <c r="DV451" s="111"/>
      <c r="DW451" s="165"/>
      <c r="DX451" s="109">
        <f t="shared" si="504"/>
        <v>0</v>
      </c>
      <c r="DY451" s="109">
        <f t="shared" si="505"/>
        <v>0</v>
      </c>
      <c r="DZ451" s="109"/>
      <c r="EA451" s="109"/>
      <c r="EB451" s="111"/>
      <c r="EC451" s="111"/>
      <c r="ED451" s="165"/>
      <c r="EE451" s="109">
        <f t="shared" si="506"/>
        <v>0</v>
      </c>
      <c r="EF451" s="109">
        <f t="shared" si="507"/>
        <v>0</v>
      </c>
      <c r="EG451" s="109"/>
      <c r="EH451" s="109"/>
      <c r="EI451" s="111"/>
      <c r="EJ451" s="111"/>
      <c r="EK451" s="165"/>
      <c r="EL451" s="109">
        <f t="shared" si="508"/>
        <v>0</v>
      </c>
      <c r="EM451" s="109">
        <f t="shared" si="509"/>
        <v>0</v>
      </c>
      <c r="EN451" s="109"/>
      <c r="EO451" s="109"/>
      <c r="EP451" s="111"/>
      <c r="EQ451" s="111"/>
      <c r="ER451" s="165"/>
      <c r="ES451" s="109">
        <f t="shared" si="510"/>
        <v>0</v>
      </c>
      <c r="ET451" s="109">
        <f t="shared" si="511"/>
        <v>0</v>
      </c>
      <c r="EU451" s="109"/>
      <c r="EV451" s="109"/>
      <c r="EW451" s="111"/>
      <c r="EX451" s="111"/>
      <c r="EY451" s="165"/>
      <c r="EZ451" s="109">
        <f t="shared" si="512"/>
        <v>0</v>
      </c>
      <c r="FA451" s="109">
        <f t="shared" si="513"/>
        <v>0</v>
      </c>
      <c r="FB451" s="109"/>
      <c r="FC451" s="109"/>
      <c r="FD451" s="111"/>
      <c r="FE451" s="111"/>
      <c r="FF451" s="165"/>
      <c r="FG451" s="109">
        <f t="shared" si="514"/>
        <v>0</v>
      </c>
      <c r="FH451" s="109">
        <f t="shared" si="515"/>
        <v>0</v>
      </c>
      <c r="FI451" s="109"/>
      <c r="FJ451" s="109"/>
      <c r="FK451" s="111"/>
      <c r="FL451" s="111"/>
      <c r="FM451" s="165"/>
      <c r="FN451" s="109">
        <f t="shared" si="516"/>
        <v>0</v>
      </c>
      <c r="FO451" s="109">
        <f t="shared" si="517"/>
        <v>0</v>
      </c>
      <c r="FP451" s="109"/>
      <c r="FQ451" s="109"/>
      <c r="FR451" s="111"/>
      <c r="FS451" s="111"/>
      <c r="FT451" s="165"/>
      <c r="FU451" s="109">
        <f t="shared" si="518"/>
        <v>0</v>
      </c>
      <c r="FV451" s="109">
        <f t="shared" si="526"/>
        <v>0</v>
      </c>
      <c r="FW451" s="109"/>
      <c r="FX451" s="109"/>
      <c r="FY451" s="111"/>
      <c r="FZ451" s="111"/>
      <c r="GA451" s="165"/>
      <c r="GB451" s="109">
        <f t="shared" si="519"/>
        <v>0</v>
      </c>
      <c r="GC451" s="109">
        <f t="shared" si="527"/>
        <v>0</v>
      </c>
      <c r="GD451" s="109"/>
      <c r="GE451" s="109"/>
      <c r="GF451" s="111"/>
      <c r="GG451" s="111"/>
      <c r="GH451" s="165"/>
      <c r="GI451" s="109">
        <f t="shared" si="520"/>
        <v>0</v>
      </c>
      <c r="GJ451" s="109">
        <f t="shared" si="528"/>
        <v>0</v>
      </c>
      <c r="GK451" s="109"/>
      <c r="GL451" s="109"/>
      <c r="GM451" s="111"/>
      <c r="GN451" s="111"/>
      <c r="GO451" s="165"/>
      <c r="GP451" s="109">
        <f t="shared" si="521"/>
        <v>0</v>
      </c>
      <c r="GQ451" s="109">
        <f t="shared" si="529"/>
        <v>0</v>
      </c>
      <c r="GR451" s="109"/>
      <c r="GS451" s="109"/>
      <c r="GT451" s="111"/>
      <c r="GU451" s="111"/>
      <c r="GV451" s="165"/>
      <c r="GW451" s="168">
        <f t="shared" si="522"/>
        <v>0</v>
      </c>
      <c r="GX451" s="168">
        <f t="shared" si="530"/>
        <v>0</v>
      </c>
      <c r="GY451" s="168"/>
      <c r="GZ451" s="168"/>
      <c r="HA451" s="111"/>
      <c r="HB451" s="111"/>
      <c r="HC451" s="165"/>
      <c r="HD451" s="109">
        <f t="shared" si="523"/>
        <v>0</v>
      </c>
      <c r="HE451" s="109">
        <f t="shared" si="531"/>
        <v>0</v>
      </c>
      <c r="HF451" s="109"/>
      <c r="HG451" s="109"/>
      <c r="HH451" s="111"/>
      <c r="HI451" s="111"/>
      <c r="HJ451" s="165"/>
      <c r="HK451" s="109">
        <f t="shared" si="524"/>
        <v>0</v>
      </c>
      <c r="HL451" s="109">
        <f t="shared" si="532"/>
        <v>0</v>
      </c>
      <c r="HM451" s="109"/>
      <c r="HN451" s="109"/>
      <c r="HO451" s="111"/>
      <c r="HP451" s="111"/>
      <c r="HQ451" s="165"/>
      <c r="HR451" s="109">
        <f t="shared" si="525"/>
        <v>0</v>
      </c>
      <c r="HS451" s="109">
        <f t="shared" si="533"/>
        <v>0</v>
      </c>
      <c r="HT451" s="109"/>
      <c r="HU451" s="109"/>
      <c r="HV451" s="111"/>
      <c r="HW451" s="111"/>
      <c r="HX451" s="105">
        <f t="shared" si="501"/>
        <v>0</v>
      </c>
      <c r="HY451" s="105">
        <f t="shared" si="501"/>
        <v>0</v>
      </c>
      <c r="HZ451" s="105">
        <f t="shared" si="501"/>
        <v>0</v>
      </c>
      <c r="IA451" s="105">
        <f t="shared" si="495"/>
        <v>0</v>
      </c>
      <c r="IB451" s="109">
        <f t="shared" si="496"/>
        <v>0</v>
      </c>
      <c r="IC451" s="109">
        <f t="shared" si="497"/>
        <v>0</v>
      </c>
      <c r="ID451" s="109">
        <f t="shared" si="498"/>
        <v>0</v>
      </c>
      <c r="IE451" s="109">
        <f t="shared" si="499"/>
        <v>0</v>
      </c>
      <c r="IF451" s="197"/>
      <c r="IG451" s="197"/>
      <c r="IH451" s="197"/>
      <c r="II451" s="197"/>
      <c r="IJ451" s="197"/>
      <c r="IK451" s="197"/>
      <c r="IL451" s="197"/>
      <c r="IM451" s="171"/>
      <c r="IN451" s="171"/>
      <c r="IO451" s="171"/>
      <c r="IP451" s="171"/>
    </row>
    <row r="452" spans="1:250" ht="15" customHeight="1" x14ac:dyDescent="0.3">
      <c r="A452" s="110">
        <f t="shared" si="500"/>
        <v>448</v>
      </c>
      <c r="B452" s="111"/>
      <c r="C452" s="111"/>
      <c r="D452" s="111"/>
      <c r="E452" s="111"/>
      <c r="F452" s="111"/>
      <c r="G452" s="111"/>
      <c r="H452" s="111"/>
      <c r="I452" s="194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75"/>
      <c r="AI452" s="111"/>
      <c r="AJ452" s="111"/>
      <c r="AK452" s="111"/>
      <c r="AL452" s="177"/>
      <c r="AM452" s="176"/>
      <c r="AN452" s="177"/>
      <c r="AO452" s="157"/>
      <c r="AP452" s="158"/>
      <c r="AQ452" s="111"/>
      <c r="AR452" s="111"/>
      <c r="AS452" s="111"/>
      <c r="AT452" s="111"/>
      <c r="AU452" s="111"/>
      <c r="AV452" s="111"/>
      <c r="AW452" s="111"/>
      <c r="AX452" s="111"/>
      <c r="AY452" s="111"/>
      <c r="AZ452" s="111"/>
      <c r="BA452" s="111"/>
      <c r="BB452" s="111"/>
      <c r="BC452" s="111"/>
      <c r="BD452" s="111"/>
      <c r="BE452" s="111"/>
      <c r="BF452" s="111"/>
      <c r="BG452" s="111"/>
      <c r="BH452" s="111"/>
      <c r="BI452" s="111"/>
      <c r="BJ452" s="111"/>
      <c r="BK452" s="111"/>
      <c r="BL452" s="175"/>
      <c r="BM452" s="111"/>
      <c r="BN452" s="111"/>
      <c r="BO452" s="111"/>
      <c r="BP452" s="111"/>
      <c r="BQ452" s="111"/>
      <c r="BR452" s="111"/>
      <c r="BS452" s="111"/>
      <c r="BT452" s="111"/>
      <c r="BU452" s="111"/>
      <c r="BV452" s="111"/>
      <c r="BW452" s="111"/>
      <c r="BX452" s="111"/>
      <c r="BY452" s="111"/>
      <c r="BZ452" s="111"/>
      <c r="CA452" s="111"/>
      <c r="CB452" s="111"/>
      <c r="CC452" s="178"/>
      <c r="CD452" s="177">
        <f t="shared" si="484"/>
        <v>0</v>
      </c>
      <c r="CE452" s="148"/>
      <c r="CF452" s="111">
        <f t="shared" si="485"/>
        <v>0</v>
      </c>
      <c r="CG452" s="177"/>
      <c r="CH452" s="204"/>
      <c r="CI452" s="148"/>
      <c r="CJ452" s="165"/>
      <c r="CK452" s="165"/>
      <c r="CL452" s="111"/>
      <c r="CM452" s="111"/>
      <c r="CN452" s="165">
        <f t="shared" si="486"/>
        <v>0</v>
      </c>
      <c r="CO452" s="109">
        <f t="shared" si="487"/>
        <v>0</v>
      </c>
      <c r="CP452" s="109">
        <f t="shared" si="488"/>
        <v>0</v>
      </c>
      <c r="CQ452" s="109"/>
      <c r="CR452" s="109"/>
      <c r="CS452" s="196"/>
      <c r="CT452" s="167"/>
      <c r="CU452" s="165"/>
      <c r="CV452" s="109">
        <f t="shared" si="489"/>
        <v>0</v>
      </c>
      <c r="CW452" s="109">
        <f t="shared" si="490"/>
        <v>0</v>
      </c>
      <c r="CX452" s="109"/>
      <c r="CY452" s="109"/>
      <c r="CZ452" s="111"/>
      <c r="DA452" s="111"/>
      <c r="DB452" s="165"/>
      <c r="DC452" s="109">
        <f t="shared" si="491"/>
        <v>0</v>
      </c>
      <c r="DD452" s="109">
        <f t="shared" si="492"/>
        <v>0</v>
      </c>
      <c r="DE452" s="109"/>
      <c r="DF452" s="109"/>
      <c r="DG452" s="111"/>
      <c r="DH452" s="111"/>
      <c r="DI452" s="165"/>
      <c r="DJ452" s="109">
        <f t="shared" si="493"/>
        <v>0</v>
      </c>
      <c r="DK452" s="109">
        <f t="shared" si="494"/>
        <v>0</v>
      </c>
      <c r="DL452" s="109"/>
      <c r="DM452" s="109"/>
      <c r="DN452" s="111"/>
      <c r="DO452" s="111"/>
      <c r="DP452" s="165"/>
      <c r="DQ452" s="109">
        <f t="shared" si="502"/>
        <v>0</v>
      </c>
      <c r="DR452" s="109">
        <f t="shared" si="503"/>
        <v>0</v>
      </c>
      <c r="DS452" s="109"/>
      <c r="DT452" s="109"/>
      <c r="DU452" s="111"/>
      <c r="DV452" s="111"/>
      <c r="DW452" s="165"/>
      <c r="DX452" s="109">
        <f t="shared" si="504"/>
        <v>0</v>
      </c>
      <c r="DY452" s="109">
        <f t="shared" si="505"/>
        <v>0</v>
      </c>
      <c r="DZ452" s="109"/>
      <c r="EA452" s="109"/>
      <c r="EB452" s="111"/>
      <c r="EC452" s="111"/>
      <c r="ED452" s="165"/>
      <c r="EE452" s="109">
        <f t="shared" si="506"/>
        <v>0</v>
      </c>
      <c r="EF452" s="109">
        <f t="shared" si="507"/>
        <v>0</v>
      </c>
      <c r="EG452" s="109"/>
      <c r="EH452" s="109"/>
      <c r="EI452" s="111"/>
      <c r="EJ452" s="111"/>
      <c r="EK452" s="165"/>
      <c r="EL452" s="109">
        <f t="shared" si="508"/>
        <v>0</v>
      </c>
      <c r="EM452" s="109">
        <f t="shared" si="509"/>
        <v>0</v>
      </c>
      <c r="EN452" s="109"/>
      <c r="EO452" s="109"/>
      <c r="EP452" s="111"/>
      <c r="EQ452" s="111"/>
      <c r="ER452" s="165"/>
      <c r="ES452" s="109">
        <f t="shared" si="510"/>
        <v>0</v>
      </c>
      <c r="ET452" s="109">
        <f t="shared" si="511"/>
        <v>0</v>
      </c>
      <c r="EU452" s="109"/>
      <c r="EV452" s="109"/>
      <c r="EW452" s="111"/>
      <c r="EX452" s="111"/>
      <c r="EY452" s="165"/>
      <c r="EZ452" s="109">
        <f t="shared" si="512"/>
        <v>0</v>
      </c>
      <c r="FA452" s="109">
        <f t="shared" si="513"/>
        <v>0</v>
      </c>
      <c r="FB452" s="109"/>
      <c r="FC452" s="109"/>
      <c r="FD452" s="111"/>
      <c r="FE452" s="111"/>
      <c r="FF452" s="165"/>
      <c r="FG452" s="109">
        <f t="shared" si="514"/>
        <v>0</v>
      </c>
      <c r="FH452" s="109">
        <f t="shared" si="515"/>
        <v>0</v>
      </c>
      <c r="FI452" s="109"/>
      <c r="FJ452" s="109"/>
      <c r="FK452" s="111"/>
      <c r="FL452" s="111"/>
      <c r="FM452" s="165"/>
      <c r="FN452" s="109">
        <f t="shared" si="516"/>
        <v>0</v>
      </c>
      <c r="FO452" s="109">
        <f t="shared" si="517"/>
        <v>0</v>
      </c>
      <c r="FP452" s="109"/>
      <c r="FQ452" s="109"/>
      <c r="FR452" s="111"/>
      <c r="FS452" s="111"/>
      <c r="FT452" s="165"/>
      <c r="FU452" s="109">
        <f t="shared" si="518"/>
        <v>0</v>
      </c>
      <c r="FV452" s="109">
        <f t="shared" si="526"/>
        <v>0</v>
      </c>
      <c r="FW452" s="109"/>
      <c r="FX452" s="109"/>
      <c r="FY452" s="111"/>
      <c r="FZ452" s="111"/>
      <c r="GA452" s="165"/>
      <c r="GB452" s="109">
        <f t="shared" si="519"/>
        <v>0</v>
      </c>
      <c r="GC452" s="109">
        <f t="shared" si="527"/>
        <v>0</v>
      </c>
      <c r="GD452" s="109"/>
      <c r="GE452" s="109"/>
      <c r="GF452" s="111"/>
      <c r="GG452" s="111"/>
      <c r="GH452" s="165"/>
      <c r="GI452" s="109">
        <f t="shared" si="520"/>
        <v>0</v>
      </c>
      <c r="GJ452" s="109">
        <f t="shared" si="528"/>
        <v>0</v>
      </c>
      <c r="GK452" s="109"/>
      <c r="GL452" s="109"/>
      <c r="GM452" s="111"/>
      <c r="GN452" s="111"/>
      <c r="GO452" s="165"/>
      <c r="GP452" s="109">
        <f t="shared" si="521"/>
        <v>0</v>
      </c>
      <c r="GQ452" s="109">
        <f t="shared" si="529"/>
        <v>0</v>
      </c>
      <c r="GR452" s="109"/>
      <c r="GS452" s="109"/>
      <c r="GT452" s="111"/>
      <c r="GU452" s="111"/>
      <c r="GV452" s="165"/>
      <c r="GW452" s="168">
        <f t="shared" si="522"/>
        <v>0</v>
      </c>
      <c r="GX452" s="168">
        <f t="shared" si="530"/>
        <v>0</v>
      </c>
      <c r="GY452" s="168"/>
      <c r="GZ452" s="168"/>
      <c r="HA452" s="111"/>
      <c r="HB452" s="111"/>
      <c r="HC452" s="165"/>
      <c r="HD452" s="109">
        <f t="shared" si="523"/>
        <v>0</v>
      </c>
      <c r="HE452" s="109">
        <f t="shared" si="531"/>
        <v>0</v>
      </c>
      <c r="HF452" s="109"/>
      <c r="HG452" s="109"/>
      <c r="HH452" s="111"/>
      <c r="HI452" s="111"/>
      <c r="HJ452" s="165"/>
      <c r="HK452" s="109">
        <f t="shared" si="524"/>
        <v>0</v>
      </c>
      <c r="HL452" s="109">
        <f t="shared" si="532"/>
        <v>0</v>
      </c>
      <c r="HM452" s="109"/>
      <c r="HN452" s="109"/>
      <c r="HO452" s="111"/>
      <c r="HP452" s="111"/>
      <c r="HQ452" s="165"/>
      <c r="HR452" s="109">
        <f t="shared" si="525"/>
        <v>0</v>
      </c>
      <c r="HS452" s="109">
        <f t="shared" si="533"/>
        <v>0</v>
      </c>
      <c r="HT452" s="109"/>
      <c r="HU452" s="109"/>
      <c r="HV452" s="111"/>
      <c r="HW452" s="111"/>
      <c r="HX452" s="105">
        <f t="shared" si="501"/>
        <v>0</v>
      </c>
      <c r="HY452" s="105">
        <f t="shared" si="501"/>
        <v>0</v>
      </c>
      <c r="HZ452" s="105">
        <f t="shared" si="501"/>
        <v>0</v>
      </c>
      <c r="IA452" s="105">
        <f t="shared" si="495"/>
        <v>0</v>
      </c>
      <c r="IB452" s="109">
        <f t="shared" si="496"/>
        <v>0</v>
      </c>
      <c r="IC452" s="109">
        <f t="shared" si="497"/>
        <v>0</v>
      </c>
      <c r="ID452" s="109">
        <f t="shared" si="498"/>
        <v>0</v>
      </c>
      <c r="IE452" s="109">
        <f t="shared" si="499"/>
        <v>0</v>
      </c>
      <c r="IF452" s="197"/>
      <c r="IG452" s="197"/>
      <c r="IH452" s="197"/>
      <c r="II452" s="197"/>
      <c r="IJ452" s="197"/>
      <c r="IK452" s="197"/>
      <c r="IL452" s="197"/>
      <c r="IM452" s="171"/>
      <c r="IN452" s="171"/>
      <c r="IO452" s="171"/>
      <c r="IP452" s="171"/>
    </row>
    <row r="453" spans="1:250" ht="15" customHeight="1" x14ac:dyDescent="0.3">
      <c r="A453" s="110">
        <f t="shared" si="500"/>
        <v>449</v>
      </c>
      <c r="B453" s="111"/>
      <c r="C453" s="111"/>
      <c r="D453" s="111"/>
      <c r="E453" s="111"/>
      <c r="F453" s="111"/>
      <c r="G453" s="111"/>
      <c r="H453" s="111"/>
      <c r="I453" s="194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75"/>
      <c r="AI453" s="111"/>
      <c r="AJ453" s="111"/>
      <c r="AK453" s="111"/>
      <c r="AL453" s="177"/>
      <c r="AM453" s="176"/>
      <c r="AN453" s="177"/>
      <c r="AO453" s="157"/>
      <c r="AP453" s="158"/>
      <c r="AQ453" s="111"/>
      <c r="AR453" s="111"/>
      <c r="AS453" s="111"/>
      <c r="AT453" s="111"/>
      <c r="AU453" s="111"/>
      <c r="AV453" s="111"/>
      <c r="AW453" s="111"/>
      <c r="AX453" s="111"/>
      <c r="AY453" s="111"/>
      <c r="AZ453" s="111"/>
      <c r="BA453" s="111"/>
      <c r="BB453" s="111"/>
      <c r="BC453" s="111"/>
      <c r="BD453" s="111"/>
      <c r="BE453" s="111"/>
      <c r="BF453" s="111"/>
      <c r="BG453" s="111"/>
      <c r="BH453" s="111"/>
      <c r="BI453" s="111"/>
      <c r="BJ453" s="111"/>
      <c r="BK453" s="111"/>
      <c r="BL453" s="175"/>
      <c r="BM453" s="111"/>
      <c r="BN453" s="111"/>
      <c r="BO453" s="111"/>
      <c r="BP453" s="111"/>
      <c r="BQ453" s="111"/>
      <c r="BR453" s="111"/>
      <c r="BS453" s="111"/>
      <c r="BT453" s="111"/>
      <c r="BU453" s="111"/>
      <c r="BV453" s="111"/>
      <c r="BW453" s="111"/>
      <c r="BX453" s="111"/>
      <c r="BY453" s="111"/>
      <c r="BZ453" s="111"/>
      <c r="CA453" s="111"/>
      <c r="CB453" s="111"/>
      <c r="CC453" s="178"/>
      <c r="CD453" s="177">
        <f t="shared" ref="CD453:CD516" si="534">AL453</f>
        <v>0</v>
      </c>
      <c r="CE453" s="148"/>
      <c r="CF453" s="111">
        <f t="shared" ref="CF453:CF516" si="535">AI453</f>
        <v>0</v>
      </c>
      <c r="CG453" s="177"/>
      <c r="CH453" s="204"/>
      <c r="CI453" s="148"/>
      <c r="CJ453" s="165"/>
      <c r="CK453" s="165"/>
      <c r="CL453" s="111"/>
      <c r="CM453" s="111"/>
      <c r="CN453" s="165">
        <f t="shared" ref="CN453:CN509" si="536">CJ453</f>
        <v>0</v>
      </c>
      <c r="CO453" s="109">
        <f t="shared" ref="CO453:CO516" si="537">CQ453-CP453</f>
        <v>0</v>
      </c>
      <c r="CP453" s="109">
        <f t="shared" ref="CP453:CP509" si="538">CQ453/(1+AM453)*AM453</f>
        <v>0</v>
      </c>
      <c r="CQ453" s="109"/>
      <c r="CR453" s="109"/>
      <c r="CS453" s="196"/>
      <c r="CT453" s="167"/>
      <c r="CU453" s="165"/>
      <c r="CV453" s="109">
        <f t="shared" ref="CV453:CV516" si="539">CX453-CW453</f>
        <v>0</v>
      </c>
      <c r="CW453" s="109">
        <f t="shared" ref="CW453:CW509" si="540">CX453/(1+AM453)*AM453</f>
        <v>0</v>
      </c>
      <c r="CX453" s="109"/>
      <c r="CY453" s="109"/>
      <c r="CZ453" s="111"/>
      <c r="DA453" s="111"/>
      <c r="DB453" s="165"/>
      <c r="DC453" s="109">
        <f t="shared" ref="DC453:DC516" si="541">DE453-DD453</f>
        <v>0</v>
      </c>
      <c r="DD453" s="109">
        <f t="shared" ref="DD453:DD509" si="542">DE453/(1+AM453)*AM453</f>
        <v>0</v>
      </c>
      <c r="DE453" s="109"/>
      <c r="DF453" s="109"/>
      <c r="DG453" s="111"/>
      <c r="DH453" s="111"/>
      <c r="DI453" s="165"/>
      <c r="DJ453" s="109">
        <f t="shared" ref="DJ453:DJ516" si="543">DL453-DK453</f>
        <v>0</v>
      </c>
      <c r="DK453" s="109">
        <f t="shared" ref="DK453:DK509" si="544">DL453/(1+AM453)*AM453</f>
        <v>0</v>
      </c>
      <c r="DL453" s="109"/>
      <c r="DM453" s="109"/>
      <c r="DN453" s="111"/>
      <c r="DO453" s="111"/>
      <c r="DP453" s="165"/>
      <c r="DQ453" s="109">
        <f t="shared" si="502"/>
        <v>0</v>
      </c>
      <c r="DR453" s="109">
        <f t="shared" si="503"/>
        <v>0</v>
      </c>
      <c r="DS453" s="109"/>
      <c r="DT453" s="109"/>
      <c r="DU453" s="111"/>
      <c r="DV453" s="111"/>
      <c r="DW453" s="165"/>
      <c r="DX453" s="109">
        <f t="shared" si="504"/>
        <v>0</v>
      </c>
      <c r="DY453" s="109">
        <f t="shared" si="505"/>
        <v>0</v>
      </c>
      <c r="DZ453" s="109"/>
      <c r="EA453" s="109"/>
      <c r="EB453" s="111"/>
      <c r="EC453" s="111"/>
      <c r="ED453" s="165"/>
      <c r="EE453" s="109">
        <f t="shared" si="506"/>
        <v>0</v>
      </c>
      <c r="EF453" s="109">
        <f t="shared" si="507"/>
        <v>0</v>
      </c>
      <c r="EG453" s="109"/>
      <c r="EH453" s="109"/>
      <c r="EI453" s="111"/>
      <c r="EJ453" s="111"/>
      <c r="EK453" s="165"/>
      <c r="EL453" s="109">
        <f t="shared" si="508"/>
        <v>0</v>
      </c>
      <c r="EM453" s="109">
        <f t="shared" si="509"/>
        <v>0</v>
      </c>
      <c r="EN453" s="109"/>
      <c r="EO453" s="109"/>
      <c r="EP453" s="111"/>
      <c r="EQ453" s="111"/>
      <c r="ER453" s="165"/>
      <c r="ES453" s="109">
        <f t="shared" si="510"/>
        <v>0</v>
      </c>
      <c r="ET453" s="109">
        <f t="shared" si="511"/>
        <v>0</v>
      </c>
      <c r="EU453" s="109"/>
      <c r="EV453" s="109"/>
      <c r="EW453" s="111"/>
      <c r="EX453" s="111"/>
      <c r="EY453" s="165"/>
      <c r="EZ453" s="109">
        <f t="shared" si="512"/>
        <v>0</v>
      </c>
      <c r="FA453" s="109">
        <f t="shared" si="513"/>
        <v>0</v>
      </c>
      <c r="FB453" s="109"/>
      <c r="FC453" s="109"/>
      <c r="FD453" s="111"/>
      <c r="FE453" s="111"/>
      <c r="FF453" s="165"/>
      <c r="FG453" s="109">
        <f t="shared" si="514"/>
        <v>0</v>
      </c>
      <c r="FH453" s="109">
        <f t="shared" si="515"/>
        <v>0</v>
      </c>
      <c r="FI453" s="109"/>
      <c r="FJ453" s="109"/>
      <c r="FK453" s="111"/>
      <c r="FL453" s="111"/>
      <c r="FM453" s="165"/>
      <c r="FN453" s="109">
        <f t="shared" si="516"/>
        <v>0</v>
      </c>
      <c r="FO453" s="109">
        <f t="shared" si="517"/>
        <v>0</v>
      </c>
      <c r="FP453" s="109"/>
      <c r="FQ453" s="109"/>
      <c r="FR453" s="111"/>
      <c r="FS453" s="111"/>
      <c r="FT453" s="165"/>
      <c r="FU453" s="109">
        <f t="shared" si="518"/>
        <v>0</v>
      </c>
      <c r="FV453" s="109">
        <f t="shared" si="526"/>
        <v>0</v>
      </c>
      <c r="FW453" s="109"/>
      <c r="FX453" s="109"/>
      <c r="FY453" s="111"/>
      <c r="FZ453" s="111"/>
      <c r="GA453" s="165"/>
      <c r="GB453" s="109">
        <f t="shared" si="519"/>
        <v>0</v>
      </c>
      <c r="GC453" s="109">
        <f t="shared" si="527"/>
        <v>0</v>
      </c>
      <c r="GD453" s="109"/>
      <c r="GE453" s="109"/>
      <c r="GF453" s="111"/>
      <c r="GG453" s="111"/>
      <c r="GH453" s="165"/>
      <c r="GI453" s="109">
        <f t="shared" si="520"/>
        <v>0</v>
      </c>
      <c r="GJ453" s="109">
        <f t="shared" si="528"/>
        <v>0</v>
      </c>
      <c r="GK453" s="109"/>
      <c r="GL453" s="109"/>
      <c r="GM453" s="111"/>
      <c r="GN453" s="111"/>
      <c r="GO453" s="165"/>
      <c r="GP453" s="109">
        <f t="shared" si="521"/>
        <v>0</v>
      </c>
      <c r="GQ453" s="109">
        <f t="shared" si="529"/>
        <v>0</v>
      </c>
      <c r="GR453" s="109"/>
      <c r="GS453" s="109"/>
      <c r="GT453" s="111"/>
      <c r="GU453" s="111"/>
      <c r="GV453" s="165"/>
      <c r="GW453" s="168">
        <f t="shared" si="522"/>
        <v>0</v>
      </c>
      <c r="GX453" s="168">
        <f t="shared" si="530"/>
        <v>0</v>
      </c>
      <c r="GY453" s="168"/>
      <c r="GZ453" s="168"/>
      <c r="HA453" s="111"/>
      <c r="HB453" s="111"/>
      <c r="HC453" s="165"/>
      <c r="HD453" s="109">
        <f t="shared" si="523"/>
        <v>0</v>
      </c>
      <c r="HE453" s="109">
        <f t="shared" si="531"/>
        <v>0</v>
      </c>
      <c r="HF453" s="109"/>
      <c r="HG453" s="109"/>
      <c r="HH453" s="111"/>
      <c r="HI453" s="111"/>
      <c r="HJ453" s="165"/>
      <c r="HK453" s="109">
        <f t="shared" si="524"/>
        <v>0</v>
      </c>
      <c r="HL453" s="109">
        <f t="shared" si="532"/>
        <v>0</v>
      </c>
      <c r="HM453" s="109"/>
      <c r="HN453" s="109"/>
      <c r="HO453" s="111"/>
      <c r="HP453" s="111"/>
      <c r="HQ453" s="165"/>
      <c r="HR453" s="109">
        <f t="shared" si="525"/>
        <v>0</v>
      </c>
      <c r="HS453" s="109">
        <f t="shared" si="533"/>
        <v>0</v>
      </c>
      <c r="HT453" s="109"/>
      <c r="HU453" s="109"/>
      <c r="HV453" s="111"/>
      <c r="HW453" s="111"/>
      <c r="HX453" s="105">
        <f t="shared" si="501"/>
        <v>0</v>
      </c>
      <c r="HY453" s="105">
        <f t="shared" si="501"/>
        <v>0</v>
      </c>
      <c r="HZ453" s="105">
        <f t="shared" si="501"/>
        <v>0</v>
      </c>
      <c r="IA453" s="105">
        <f t="shared" ref="IA453:IA516" si="545">HX453+HY453-HZ453</f>
        <v>0</v>
      </c>
      <c r="IB453" s="109">
        <f t="shared" ref="IB453:IB509" si="546">AO453-HZ453</f>
        <v>0</v>
      </c>
      <c r="IC453" s="109">
        <f t="shared" ref="IC453:IC509" si="547">AL453-HX453</f>
        <v>0</v>
      </c>
      <c r="ID453" s="109">
        <f t="shared" ref="ID453:ID509" si="548">(HZ453+IB453)-AO453</f>
        <v>0</v>
      </c>
      <c r="IE453" s="109">
        <f t="shared" ref="IE453:IE509" si="549">CT453+DA453+DH453+DO453+DV453+EC453+EJ453</f>
        <v>0</v>
      </c>
      <c r="IF453" s="197"/>
      <c r="IG453" s="197"/>
      <c r="IH453" s="197"/>
      <c r="II453" s="197"/>
      <c r="IJ453" s="197"/>
      <c r="IK453" s="197"/>
      <c r="IL453" s="197"/>
      <c r="IM453" s="171"/>
      <c r="IN453" s="171"/>
      <c r="IO453" s="171"/>
      <c r="IP453" s="171"/>
    </row>
    <row r="454" spans="1:250" ht="15" customHeight="1" x14ac:dyDescent="0.3">
      <c r="A454" s="110">
        <f t="shared" ref="A454:A509" si="550">A453+1</f>
        <v>450</v>
      </c>
      <c r="B454" s="111"/>
      <c r="C454" s="111"/>
      <c r="D454" s="111"/>
      <c r="E454" s="111"/>
      <c r="F454" s="111"/>
      <c r="G454" s="111"/>
      <c r="H454" s="111"/>
      <c r="I454" s="194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75"/>
      <c r="AI454" s="111"/>
      <c r="AJ454" s="111"/>
      <c r="AK454" s="111"/>
      <c r="AL454" s="177"/>
      <c r="AM454" s="176"/>
      <c r="AN454" s="177"/>
      <c r="AO454" s="157"/>
      <c r="AP454" s="158"/>
      <c r="AQ454" s="111"/>
      <c r="AR454" s="111"/>
      <c r="AS454" s="111"/>
      <c r="AT454" s="111"/>
      <c r="AU454" s="111"/>
      <c r="AV454" s="111"/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  <c r="BG454" s="111"/>
      <c r="BH454" s="111"/>
      <c r="BI454" s="111"/>
      <c r="BJ454" s="111"/>
      <c r="BK454" s="111"/>
      <c r="BL454" s="175"/>
      <c r="BM454" s="111"/>
      <c r="BN454" s="111"/>
      <c r="BO454" s="111"/>
      <c r="BP454" s="111"/>
      <c r="BQ454" s="111"/>
      <c r="BR454" s="111"/>
      <c r="BS454" s="111"/>
      <c r="BT454" s="111"/>
      <c r="BU454" s="111"/>
      <c r="BV454" s="111"/>
      <c r="BW454" s="111"/>
      <c r="BX454" s="111"/>
      <c r="BY454" s="111"/>
      <c r="BZ454" s="111"/>
      <c r="CA454" s="111"/>
      <c r="CB454" s="111"/>
      <c r="CC454" s="178"/>
      <c r="CD454" s="177">
        <f t="shared" si="534"/>
        <v>0</v>
      </c>
      <c r="CE454" s="148"/>
      <c r="CF454" s="111">
        <f t="shared" si="535"/>
        <v>0</v>
      </c>
      <c r="CG454" s="177"/>
      <c r="CH454" s="204"/>
      <c r="CI454" s="148"/>
      <c r="CJ454" s="165"/>
      <c r="CK454" s="165"/>
      <c r="CL454" s="111"/>
      <c r="CM454" s="111"/>
      <c r="CN454" s="165">
        <f t="shared" si="536"/>
        <v>0</v>
      </c>
      <c r="CO454" s="109">
        <f t="shared" si="537"/>
        <v>0</v>
      </c>
      <c r="CP454" s="109">
        <f t="shared" si="538"/>
        <v>0</v>
      </c>
      <c r="CQ454" s="109"/>
      <c r="CR454" s="109"/>
      <c r="CS454" s="196"/>
      <c r="CT454" s="167"/>
      <c r="CU454" s="165"/>
      <c r="CV454" s="109">
        <f t="shared" si="539"/>
        <v>0</v>
      </c>
      <c r="CW454" s="109">
        <f t="shared" si="540"/>
        <v>0</v>
      </c>
      <c r="CX454" s="109"/>
      <c r="CY454" s="109"/>
      <c r="CZ454" s="111"/>
      <c r="DA454" s="111"/>
      <c r="DB454" s="165"/>
      <c r="DC454" s="109">
        <f t="shared" si="541"/>
        <v>0</v>
      </c>
      <c r="DD454" s="109">
        <f t="shared" si="542"/>
        <v>0</v>
      </c>
      <c r="DE454" s="109"/>
      <c r="DF454" s="109"/>
      <c r="DG454" s="111"/>
      <c r="DH454" s="111"/>
      <c r="DI454" s="165"/>
      <c r="DJ454" s="109">
        <f t="shared" si="543"/>
        <v>0</v>
      </c>
      <c r="DK454" s="109">
        <f t="shared" si="544"/>
        <v>0</v>
      </c>
      <c r="DL454" s="109"/>
      <c r="DM454" s="109"/>
      <c r="DN454" s="111"/>
      <c r="DO454" s="111"/>
      <c r="DP454" s="165"/>
      <c r="DQ454" s="109">
        <f t="shared" si="502"/>
        <v>0</v>
      </c>
      <c r="DR454" s="109">
        <f t="shared" si="503"/>
        <v>0</v>
      </c>
      <c r="DS454" s="109"/>
      <c r="DT454" s="109"/>
      <c r="DU454" s="111"/>
      <c r="DV454" s="111"/>
      <c r="DW454" s="165"/>
      <c r="DX454" s="109">
        <f t="shared" si="504"/>
        <v>0</v>
      </c>
      <c r="DY454" s="109">
        <f t="shared" si="505"/>
        <v>0</v>
      </c>
      <c r="DZ454" s="109"/>
      <c r="EA454" s="109"/>
      <c r="EB454" s="111"/>
      <c r="EC454" s="111"/>
      <c r="ED454" s="165"/>
      <c r="EE454" s="109">
        <f t="shared" si="506"/>
        <v>0</v>
      </c>
      <c r="EF454" s="109">
        <f t="shared" si="507"/>
        <v>0</v>
      </c>
      <c r="EG454" s="109"/>
      <c r="EH454" s="109"/>
      <c r="EI454" s="111"/>
      <c r="EJ454" s="111"/>
      <c r="EK454" s="165"/>
      <c r="EL454" s="109">
        <f t="shared" si="508"/>
        <v>0</v>
      </c>
      <c r="EM454" s="109">
        <f t="shared" si="509"/>
        <v>0</v>
      </c>
      <c r="EN454" s="109"/>
      <c r="EO454" s="109"/>
      <c r="EP454" s="111"/>
      <c r="EQ454" s="111"/>
      <c r="ER454" s="165"/>
      <c r="ES454" s="109">
        <f t="shared" si="510"/>
        <v>0</v>
      </c>
      <c r="ET454" s="109">
        <f t="shared" si="511"/>
        <v>0</v>
      </c>
      <c r="EU454" s="109"/>
      <c r="EV454" s="109"/>
      <c r="EW454" s="111"/>
      <c r="EX454" s="111"/>
      <c r="EY454" s="165"/>
      <c r="EZ454" s="109">
        <f t="shared" si="512"/>
        <v>0</v>
      </c>
      <c r="FA454" s="109">
        <f t="shared" si="513"/>
        <v>0</v>
      </c>
      <c r="FB454" s="109"/>
      <c r="FC454" s="109"/>
      <c r="FD454" s="111"/>
      <c r="FE454" s="111"/>
      <c r="FF454" s="165"/>
      <c r="FG454" s="109">
        <f t="shared" si="514"/>
        <v>0</v>
      </c>
      <c r="FH454" s="109">
        <f t="shared" si="515"/>
        <v>0</v>
      </c>
      <c r="FI454" s="109"/>
      <c r="FJ454" s="109"/>
      <c r="FK454" s="111"/>
      <c r="FL454" s="111"/>
      <c r="FM454" s="165"/>
      <c r="FN454" s="109">
        <f t="shared" si="516"/>
        <v>0</v>
      </c>
      <c r="FO454" s="109">
        <f t="shared" si="517"/>
        <v>0</v>
      </c>
      <c r="FP454" s="109"/>
      <c r="FQ454" s="109"/>
      <c r="FR454" s="111"/>
      <c r="FS454" s="111"/>
      <c r="FT454" s="165"/>
      <c r="FU454" s="109">
        <f t="shared" si="518"/>
        <v>0</v>
      </c>
      <c r="FV454" s="109">
        <f t="shared" si="526"/>
        <v>0</v>
      </c>
      <c r="FW454" s="109"/>
      <c r="FX454" s="109"/>
      <c r="FY454" s="111"/>
      <c r="FZ454" s="111"/>
      <c r="GA454" s="165"/>
      <c r="GB454" s="109">
        <f t="shared" si="519"/>
        <v>0</v>
      </c>
      <c r="GC454" s="109">
        <f t="shared" si="527"/>
        <v>0</v>
      </c>
      <c r="GD454" s="109"/>
      <c r="GE454" s="109"/>
      <c r="GF454" s="111"/>
      <c r="GG454" s="111"/>
      <c r="GH454" s="165"/>
      <c r="GI454" s="109">
        <f t="shared" si="520"/>
        <v>0</v>
      </c>
      <c r="GJ454" s="109">
        <f t="shared" si="528"/>
        <v>0</v>
      </c>
      <c r="GK454" s="109"/>
      <c r="GL454" s="109"/>
      <c r="GM454" s="111"/>
      <c r="GN454" s="111"/>
      <c r="GO454" s="165"/>
      <c r="GP454" s="109">
        <f t="shared" si="521"/>
        <v>0</v>
      </c>
      <c r="GQ454" s="109">
        <f t="shared" si="529"/>
        <v>0</v>
      </c>
      <c r="GR454" s="109"/>
      <c r="GS454" s="109"/>
      <c r="GT454" s="111"/>
      <c r="GU454" s="111"/>
      <c r="GV454" s="165"/>
      <c r="GW454" s="168">
        <f t="shared" si="522"/>
        <v>0</v>
      </c>
      <c r="GX454" s="168">
        <f t="shared" si="530"/>
        <v>0</v>
      </c>
      <c r="GY454" s="168"/>
      <c r="GZ454" s="168"/>
      <c r="HA454" s="111"/>
      <c r="HB454" s="111"/>
      <c r="HC454" s="165"/>
      <c r="HD454" s="109">
        <f t="shared" si="523"/>
        <v>0</v>
      </c>
      <c r="HE454" s="109">
        <f t="shared" si="531"/>
        <v>0</v>
      </c>
      <c r="HF454" s="109"/>
      <c r="HG454" s="109"/>
      <c r="HH454" s="111"/>
      <c r="HI454" s="111"/>
      <c r="HJ454" s="165"/>
      <c r="HK454" s="109">
        <f t="shared" si="524"/>
        <v>0</v>
      </c>
      <c r="HL454" s="109">
        <f t="shared" si="532"/>
        <v>0</v>
      </c>
      <c r="HM454" s="109"/>
      <c r="HN454" s="109"/>
      <c r="HO454" s="111"/>
      <c r="HP454" s="111"/>
      <c r="HQ454" s="165"/>
      <c r="HR454" s="109">
        <f t="shared" si="525"/>
        <v>0</v>
      </c>
      <c r="HS454" s="109">
        <f t="shared" si="533"/>
        <v>0</v>
      </c>
      <c r="HT454" s="109"/>
      <c r="HU454" s="109"/>
      <c r="HV454" s="111"/>
      <c r="HW454" s="111"/>
      <c r="HX454" s="105">
        <f t="shared" si="501"/>
        <v>0</v>
      </c>
      <c r="HY454" s="105">
        <f t="shared" si="501"/>
        <v>0</v>
      </c>
      <c r="HZ454" s="105">
        <f t="shared" si="501"/>
        <v>0</v>
      </c>
      <c r="IA454" s="105">
        <f t="shared" si="545"/>
        <v>0</v>
      </c>
      <c r="IB454" s="109">
        <f t="shared" si="546"/>
        <v>0</v>
      </c>
      <c r="IC454" s="109">
        <f t="shared" si="547"/>
        <v>0</v>
      </c>
      <c r="ID454" s="109">
        <f t="shared" si="548"/>
        <v>0</v>
      </c>
      <c r="IE454" s="109">
        <f t="shared" si="549"/>
        <v>0</v>
      </c>
      <c r="IF454" s="197"/>
      <c r="IG454" s="197"/>
      <c r="IH454" s="197"/>
      <c r="II454" s="197"/>
      <c r="IJ454" s="197"/>
      <c r="IK454" s="197"/>
      <c r="IL454" s="197"/>
      <c r="IM454" s="171"/>
      <c r="IN454" s="171"/>
      <c r="IO454" s="171"/>
      <c r="IP454" s="171"/>
    </row>
    <row r="455" spans="1:250" ht="15" customHeight="1" x14ac:dyDescent="0.3">
      <c r="A455" s="110">
        <f t="shared" si="550"/>
        <v>451</v>
      </c>
      <c r="B455" s="111"/>
      <c r="C455" s="111"/>
      <c r="D455" s="111"/>
      <c r="E455" s="111"/>
      <c r="F455" s="111"/>
      <c r="G455" s="111"/>
      <c r="H455" s="111"/>
      <c r="I455" s="194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75"/>
      <c r="AI455" s="111"/>
      <c r="AJ455" s="111"/>
      <c r="AK455" s="111"/>
      <c r="AL455" s="177"/>
      <c r="AM455" s="176"/>
      <c r="AN455" s="177"/>
      <c r="AO455" s="157"/>
      <c r="AP455" s="158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  <c r="BG455" s="111"/>
      <c r="BH455" s="111"/>
      <c r="BI455" s="111"/>
      <c r="BJ455" s="111"/>
      <c r="BK455" s="111"/>
      <c r="BL455" s="175"/>
      <c r="BM455" s="111"/>
      <c r="BN455" s="111"/>
      <c r="BO455" s="111"/>
      <c r="BP455" s="111"/>
      <c r="BQ455" s="111"/>
      <c r="BR455" s="111"/>
      <c r="BS455" s="111"/>
      <c r="BT455" s="111"/>
      <c r="BU455" s="111"/>
      <c r="BV455" s="111"/>
      <c r="BW455" s="111"/>
      <c r="BX455" s="111"/>
      <c r="BY455" s="111"/>
      <c r="BZ455" s="111"/>
      <c r="CA455" s="111"/>
      <c r="CB455" s="111"/>
      <c r="CC455" s="178"/>
      <c r="CD455" s="177">
        <f t="shared" si="534"/>
        <v>0</v>
      </c>
      <c r="CE455" s="148"/>
      <c r="CF455" s="111">
        <f t="shared" si="535"/>
        <v>0</v>
      </c>
      <c r="CG455" s="177"/>
      <c r="CH455" s="204"/>
      <c r="CI455" s="148"/>
      <c r="CJ455" s="165"/>
      <c r="CK455" s="165"/>
      <c r="CL455" s="111"/>
      <c r="CM455" s="111"/>
      <c r="CN455" s="165">
        <f t="shared" si="536"/>
        <v>0</v>
      </c>
      <c r="CO455" s="109">
        <f t="shared" si="537"/>
        <v>0</v>
      </c>
      <c r="CP455" s="109">
        <f t="shared" si="538"/>
        <v>0</v>
      </c>
      <c r="CQ455" s="109"/>
      <c r="CR455" s="109"/>
      <c r="CS455" s="196"/>
      <c r="CT455" s="167"/>
      <c r="CU455" s="165"/>
      <c r="CV455" s="109">
        <f t="shared" si="539"/>
        <v>0</v>
      </c>
      <c r="CW455" s="109">
        <f t="shared" si="540"/>
        <v>0</v>
      </c>
      <c r="CX455" s="109"/>
      <c r="CY455" s="109"/>
      <c r="CZ455" s="111"/>
      <c r="DA455" s="111"/>
      <c r="DB455" s="165"/>
      <c r="DC455" s="109">
        <f t="shared" si="541"/>
        <v>0</v>
      </c>
      <c r="DD455" s="109">
        <f t="shared" si="542"/>
        <v>0</v>
      </c>
      <c r="DE455" s="109"/>
      <c r="DF455" s="109"/>
      <c r="DG455" s="111"/>
      <c r="DH455" s="111"/>
      <c r="DI455" s="165"/>
      <c r="DJ455" s="109">
        <f t="shared" si="543"/>
        <v>0</v>
      </c>
      <c r="DK455" s="109">
        <f t="shared" si="544"/>
        <v>0</v>
      </c>
      <c r="DL455" s="109"/>
      <c r="DM455" s="109"/>
      <c r="DN455" s="111"/>
      <c r="DO455" s="111"/>
      <c r="DP455" s="165"/>
      <c r="DQ455" s="109">
        <f t="shared" si="502"/>
        <v>0</v>
      </c>
      <c r="DR455" s="109">
        <f t="shared" si="503"/>
        <v>0</v>
      </c>
      <c r="DS455" s="109"/>
      <c r="DT455" s="109"/>
      <c r="DU455" s="111"/>
      <c r="DV455" s="111"/>
      <c r="DW455" s="165"/>
      <c r="DX455" s="109">
        <f t="shared" si="504"/>
        <v>0</v>
      </c>
      <c r="DY455" s="109">
        <f t="shared" si="505"/>
        <v>0</v>
      </c>
      <c r="DZ455" s="109"/>
      <c r="EA455" s="109"/>
      <c r="EB455" s="111"/>
      <c r="EC455" s="111"/>
      <c r="ED455" s="165"/>
      <c r="EE455" s="109">
        <f t="shared" si="506"/>
        <v>0</v>
      </c>
      <c r="EF455" s="109">
        <f t="shared" si="507"/>
        <v>0</v>
      </c>
      <c r="EG455" s="109"/>
      <c r="EH455" s="109"/>
      <c r="EI455" s="111"/>
      <c r="EJ455" s="111"/>
      <c r="EK455" s="165"/>
      <c r="EL455" s="109">
        <f t="shared" si="508"/>
        <v>0</v>
      </c>
      <c r="EM455" s="109">
        <f t="shared" si="509"/>
        <v>0</v>
      </c>
      <c r="EN455" s="109"/>
      <c r="EO455" s="109"/>
      <c r="EP455" s="111"/>
      <c r="EQ455" s="111"/>
      <c r="ER455" s="165"/>
      <c r="ES455" s="109">
        <f t="shared" si="510"/>
        <v>0</v>
      </c>
      <c r="ET455" s="109">
        <f t="shared" si="511"/>
        <v>0</v>
      </c>
      <c r="EU455" s="109"/>
      <c r="EV455" s="109"/>
      <c r="EW455" s="111"/>
      <c r="EX455" s="111"/>
      <c r="EY455" s="165"/>
      <c r="EZ455" s="109">
        <f t="shared" si="512"/>
        <v>0</v>
      </c>
      <c r="FA455" s="109">
        <f t="shared" si="513"/>
        <v>0</v>
      </c>
      <c r="FB455" s="109"/>
      <c r="FC455" s="109"/>
      <c r="FD455" s="111"/>
      <c r="FE455" s="111"/>
      <c r="FF455" s="165"/>
      <c r="FG455" s="109">
        <f t="shared" si="514"/>
        <v>0</v>
      </c>
      <c r="FH455" s="109">
        <f t="shared" si="515"/>
        <v>0</v>
      </c>
      <c r="FI455" s="109"/>
      <c r="FJ455" s="109"/>
      <c r="FK455" s="111"/>
      <c r="FL455" s="111"/>
      <c r="FM455" s="165"/>
      <c r="FN455" s="109">
        <f t="shared" si="516"/>
        <v>0</v>
      </c>
      <c r="FO455" s="109">
        <f t="shared" si="517"/>
        <v>0</v>
      </c>
      <c r="FP455" s="109"/>
      <c r="FQ455" s="109"/>
      <c r="FR455" s="111"/>
      <c r="FS455" s="111"/>
      <c r="FT455" s="165"/>
      <c r="FU455" s="109">
        <f t="shared" si="518"/>
        <v>0</v>
      </c>
      <c r="FV455" s="109">
        <f t="shared" si="526"/>
        <v>0</v>
      </c>
      <c r="FW455" s="109"/>
      <c r="FX455" s="109"/>
      <c r="FY455" s="111"/>
      <c r="FZ455" s="111"/>
      <c r="GA455" s="165"/>
      <c r="GB455" s="109">
        <f t="shared" si="519"/>
        <v>0</v>
      </c>
      <c r="GC455" s="109">
        <f t="shared" si="527"/>
        <v>0</v>
      </c>
      <c r="GD455" s="109"/>
      <c r="GE455" s="109"/>
      <c r="GF455" s="111"/>
      <c r="GG455" s="111"/>
      <c r="GH455" s="165"/>
      <c r="GI455" s="109">
        <f t="shared" si="520"/>
        <v>0</v>
      </c>
      <c r="GJ455" s="109">
        <f t="shared" si="528"/>
        <v>0</v>
      </c>
      <c r="GK455" s="109"/>
      <c r="GL455" s="109"/>
      <c r="GM455" s="111"/>
      <c r="GN455" s="111"/>
      <c r="GO455" s="165"/>
      <c r="GP455" s="109">
        <f t="shared" si="521"/>
        <v>0</v>
      </c>
      <c r="GQ455" s="109">
        <f t="shared" si="529"/>
        <v>0</v>
      </c>
      <c r="GR455" s="109"/>
      <c r="GS455" s="109"/>
      <c r="GT455" s="111"/>
      <c r="GU455" s="111"/>
      <c r="GV455" s="165"/>
      <c r="GW455" s="168">
        <f t="shared" si="522"/>
        <v>0</v>
      </c>
      <c r="GX455" s="168">
        <f t="shared" si="530"/>
        <v>0</v>
      </c>
      <c r="GY455" s="168"/>
      <c r="GZ455" s="168"/>
      <c r="HA455" s="111"/>
      <c r="HB455" s="111"/>
      <c r="HC455" s="165"/>
      <c r="HD455" s="109">
        <f t="shared" si="523"/>
        <v>0</v>
      </c>
      <c r="HE455" s="109">
        <f t="shared" si="531"/>
        <v>0</v>
      </c>
      <c r="HF455" s="109"/>
      <c r="HG455" s="109"/>
      <c r="HH455" s="111"/>
      <c r="HI455" s="111"/>
      <c r="HJ455" s="165"/>
      <c r="HK455" s="109">
        <f t="shared" si="524"/>
        <v>0</v>
      </c>
      <c r="HL455" s="109">
        <f t="shared" si="532"/>
        <v>0</v>
      </c>
      <c r="HM455" s="109"/>
      <c r="HN455" s="109"/>
      <c r="HO455" s="111"/>
      <c r="HP455" s="111"/>
      <c r="HQ455" s="165"/>
      <c r="HR455" s="109">
        <f t="shared" si="525"/>
        <v>0</v>
      </c>
      <c r="HS455" s="109">
        <f t="shared" si="533"/>
        <v>0</v>
      </c>
      <c r="HT455" s="109"/>
      <c r="HU455" s="109"/>
      <c r="HV455" s="111"/>
      <c r="HW455" s="111"/>
      <c r="HX455" s="105">
        <f t="shared" si="501"/>
        <v>0</v>
      </c>
      <c r="HY455" s="105">
        <f t="shared" si="501"/>
        <v>0</v>
      </c>
      <c r="HZ455" s="105">
        <f t="shared" si="501"/>
        <v>0</v>
      </c>
      <c r="IA455" s="105">
        <f t="shared" si="545"/>
        <v>0</v>
      </c>
      <c r="IB455" s="109">
        <f t="shared" si="546"/>
        <v>0</v>
      </c>
      <c r="IC455" s="109">
        <f t="shared" si="547"/>
        <v>0</v>
      </c>
      <c r="ID455" s="109">
        <f t="shared" si="548"/>
        <v>0</v>
      </c>
      <c r="IE455" s="109">
        <f t="shared" si="549"/>
        <v>0</v>
      </c>
      <c r="IF455" s="197"/>
      <c r="IG455" s="197"/>
      <c r="IH455" s="197"/>
      <c r="II455" s="197"/>
      <c r="IJ455" s="197"/>
      <c r="IK455" s="197"/>
      <c r="IL455" s="197"/>
      <c r="IM455" s="171"/>
      <c r="IN455" s="171"/>
      <c r="IO455" s="171"/>
      <c r="IP455" s="171"/>
    </row>
    <row r="456" spans="1:250" ht="15" customHeight="1" x14ac:dyDescent="0.3">
      <c r="A456" s="110">
        <f t="shared" si="550"/>
        <v>452</v>
      </c>
      <c r="B456" s="111"/>
      <c r="C456" s="111"/>
      <c r="D456" s="111"/>
      <c r="E456" s="111"/>
      <c r="F456" s="111"/>
      <c r="G456" s="111"/>
      <c r="H456" s="111"/>
      <c r="I456" s="194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75"/>
      <c r="AI456" s="111"/>
      <c r="AJ456" s="111"/>
      <c r="AK456" s="111"/>
      <c r="AL456" s="177"/>
      <c r="AM456" s="176"/>
      <c r="AN456" s="177"/>
      <c r="AO456" s="157"/>
      <c r="AP456" s="158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  <c r="BG456" s="111"/>
      <c r="BH456" s="111"/>
      <c r="BI456" s="111"/>
      <c r="BJ456" s="111"/>
      <c r="BK456" s="111"/>
      <c r="BL456" s="175"/>
      <c r="BM456" s="111"/>
      <c r="BN456" s="111"/>
      <c r="BO456" s="111"/>
      <c r="BP456" s="111"/>
      <c r="BQ456" s="111"/>
      <c r="BR456" s="111"/>
      <c r="BS456" s="111"/>
      <c r="BT456" s="111"/>
      <c r="BU456" s="111"/>
      <c r="BV456" s="111"/>
      <c r="BW456" s="111"/>
      <c r="BX456" s="111"/>
      <c r="BY456" s="111"/>
      <c r="BZ456" s="111"/>
      <c r="CA456" s="111"/>
      <c r="CB456" s="111"/>
      <c r="CC456" s="178"/>
      <c r="CD456" s="177">
        <f t="shared" si="534"/>
        <v>0</v>
      </c>
      <c r="CE456" s="148"/>
      <c r="CF456" s="111">
        <f t="shared" si="535"/>
        <v>0</v>
      </c>
      <c r="CG456" s="177"/>
      <c r="CH456" s="204"/>
      <c r="CI456" s="148"/>
      <c r="CJ456" s="165"/>
      <c r="CK456" s="165"/>
      <c r="CL456" s="111"/>
      <c r="CM456" s="111"/>
      <c r="CN456" s="165">
        <f t="shared" si="536"/>
        <v>0</v>
      </c>
      <c r="CO456" s="109">
        <f t="shared" si="537"/>
        <v>0</v>
      </c>
      <c r="CP456" s="109">
        <f t="shared" si="538"/>
        <v>0</v>
      </c>
      <c r="CQ456" s="109"/>
      <c r="CR456" s="109"/>
      <c r="CS456" s="196"/>
      <c r="CT456" s="167"/>
      <c r="CU456" s="165"/>
      <c r="CV456" s="109">
        <f t="shared" si="539"/>
        <v>0</v>
      </c>
      <c r="CW456" s="109">
        <f t="shared" si="540"/>
        <v>0</v>
      </c>
      <c r="CX456" s="109"/>
      <c r="CY456" s="109"/>
      <c r="CZ456" s="111"/>
      <c r="DA456" s="111"/>
      <c r="DB456" s="165"/>
      <c r="DC456" s="109">
        <f t="shared" si="541"/>
        <v>0</v>
      </c>
      <c r="DD456" s="109">
        <f t="shared" si="542"/>
        <v>0</v>
      </c>
      <c r="DE456" s="109"/>
      <c r="DF456" s="109"/>
      <c r="DG456" s="111"/>
      <c r="DH456" s="111"/>
      <c r="DI456" s="165"/>
      <c r="DJ456" s="109">
        <f t="shared" si="543"/>
        <v>0</v>
      </c>
      <c r="DK456" s="109">
        <f t="shared" si="544"/>
        <v>0</v>
      </c>
      <c r="DL456" s="109"/>
      <c r="DM456" s="109"/>
      <c r="DN456" s="111"/>
      <c r="DO456" s="111"/>
      <c r="DP456" s="165"/>
      <c r="DQ456" s="109">
        <f t="shared" si="502"/>
        <v>0</v>
      </c>
      <c r="DR456" s="109">
        <f t="shared" si="503"/>
        <v>0</v>
      </c>
      <c r="DS456" s="109"/>
      <c r="DT456" s="109"/>
      <c r="DU456" s="111"/>
      <c r="DV456" s="111"/>
      <c r="DW456" s="165"/>
      <c r="DX456" s="109">
        <f t="shared" si="504"/>
        <v>0</v>
      </c>
      <c r="DY456" s="109">
        <f t="shared" si="505"/>
        <v>0</v>
      </c>
      <c r="DZ456" s="109"/>
      <c r="EA456" s="109"/>
      <c r="EB456" s="111"/>
      <c r="EC456" s="111"/>
      <c r="ED456" s="165"/>
      <c r="EE456" s="109">
        <f t="shared" si="506"/>
        <v>0</v>
      </c>
      <c r="EF456" s="109">
        <f t="shared" si="507"/>
        <v>0</v>
      </c>
      <c r="EG456" s="109"/>
      <c r="EH456" s="109"/>
      <c r="EI456" s="111"/>
      <c r="EJ456" s="111"/>
      <c r="EK456" s="165"/>
      <c r="EL456" s="109">
        <f t="shared" si="508"/>
        <v>0</v>
      </c>
      <c r="EM456" s="109">
        <f t="shared" si="509"/>
        <v>0</v>
      </c>
      <c r="EN456" s="109"/>
      <c r="EO456" s="109"/>
      <c r="EP456" s="111"/>
      <c r="EQ456" s="111"/>
      <c r="ER456" s="165"/>
      <c r="ES456" s="109">
        <f t="shared" si="510"/>
        <v>0</v>
      </c>
      <c r="ET456" s="109">
        <f t="shared" si="511"/>
        <v>0</v>
      </c>
      <c r="EU456" s="109"/>
      <c r="EV456" s="109"/>
      <c r="EW456" s="111"/>
      <c r="EX456" s="111"/>
      <c r="EY456" s="165"/>
      <c r="EZ456" s="109">
        <f t="shared" si="512"/>
        <v>0</v>
      </c>
      <c r="FA456" s="109">
        <f t="shared" si="513"/>
        <v>0</v>
      </c>
      <c r="FB456" s="109"/>
      <c r="FC456" s="109"/>
      <c r="FD456" s="111"/>
      <c r="FE456" s="111"/>
      <c r="FF456" s="165"/>
      <c r="FG456" s="109">
        <f t="shared" si="514"/>
        <v>0</v>
      </c>
      <c r="FH456" s="109">
        <f t="shared" si="515"/>
        <v>0</v>
      </c>
      <c r="FI456" s="109"/>
      <c r="FJ456" s="109"/>
      <c r="FK456" s="111"/>
      <c r="FL456" s="111"/>
      <c r="FM456" s="165"/>
      <c r="FN456" s="109">
        <f t="shared" si="516"/>
        <v>0</v>
      </c>
      <c r="FO456" s="109">
        <f t="shared" si="517"/>
        <v>0</v>
      </c>
      <c r="FP456" s="109"/>
      <c r="FQ456" s="109"/>
      <c r="FR456" s="111"/>
      <c r="FS456" s="111"/>
      <c r="FT456" s="165"/>
      <c r="FU456" s="109">
        <f t="shared" si="518"/>
        <v>0</v>
      </c>
      <c r="FV456" s="109">
        <f t="shared" si="526"/>
        <v>0</v>
      </c>
      <c r="FW456" s="109"/>
      <c r="FX456" s="109"/>
      <c r="FY456" s="111"/>
      <c r="FZ456" s="111"/>
      <c r="GA456" s="165"/>
      <c r="GB456" s="109">
        <f t="shared" si="519"/>
        <v>0</v>
      </c>
      <c r="GC456" s="109">
        <f t="shared" si="527"/>
        <v>0</v>
      </c>
      <c r="GD456" s="109"/>
      <c r="GE456" s="109"/>
      <c r="GF456" s="111"/>
      <c r="GG456" s="111"/>
      <c r="GH456" s="165"/>
      <c r="GI456" s="109">
        <f t="shared" si="520"/>
        <v>0</v>
      </c>
      <c r="GJ456" s="109">
        <f t="shared" si="528"/>
        <v>0</v>
      </c>
      <c r="GK456" s="109"/>
      <c r="GL456" s="109"/>
      <c r="GM456" s="111"/>
      <c r="GN456" s="111"/>
      <c r="GO456" s="165"/>
      <c r="GP456" s="109">
        <f t="shared" si="521"/>
        <v>0</v>
      </c>
      <c r="GQ456" s="109">
        <f t="shared" si="529"/>
        <v>0</v>
      </c>
      <c r="GR456" s="109"/>
      <c r="GS456" s="109"/>
      <c r="GT456" s="111"/>
      <c r="GU456" s="111"/>
      <c r="GV456" s="165"/>
      <c r="GW456" s="168">
        <f t="shared" si="522"/>
        <v>0</v>
      </c>
      <c r="GX456" s="168">
        <f t="shared" si="530"/>
        <v>0</v>
      </c>
      <c r="GY456" s="168"/>
      <c r="GZ456" s="168"/>
      <c r="HA456" s="111"/>
      <c r="HB456" s="111"/>
      <c r="HC456" s="165"/>
      <c r="HD456" s="109">
        <f t="shared" si="523"/>
        <v>0</v>
      </c>
      <c r="HE456" s="109">
        <f t="shared" si="531"/>
        <v>0</v>
      </c>
      <c r="HF456" s="109"/>
      <c r="HG456" s="109"/>
      <c r="HH456" s="111"/>
      <c r="HI456" s="111"/>
      <c r="HJ456" s="165"/>
      <c r="HK456" s="109">
        <f t="shared" si="524"/>
        <v>0</v>
      </c>
      <c r="HL456" s="109">
        <f t="shared" si="532"/>
        <v>0</v>
      </c>
      <c r="HM456" s="109"/>
      <c r="HN456" s="109"/>
      <c r="HO456" s="111"/>
      <c r="HP456" s="111"/>
      <c r="HQ456" s="165"/>
      <c r="HR456" s="109">
        <f t="shared" si="525"/>
        <v>0</v>
      </c>
      <c r="HS456" s="109">
        <f t="shared" si="533"/>
        <v>0</v>
      </c>
      <c r="HT456" s="109"/>
      <c r="HU456" s="109"/>
      <c r="HV456" s="111"/>
      <c r="HW456" s="111"/>
      <c r="HX456" s="105">
        <f t="shared" ref="HX456:HZ509" si="551">CO456+CV456+DC456+DJ456+DQ456+DX456+EE456+EL456+ES456+EZ456+FG456+FN456+FU456+GB456+GI456+GP456+GW456+HD456+HK456+HR456</f>
        <v>0</v>
      </c>
      <c r="HY456" s="105">
        <f t="shared" si="551"/>
        <v>0</v>
      </c>
      <c r="HZ456" s="105">
        <f t="shared" si="551"/>
        <v>0</v>
      </c>
      <c r="IA456" s="105">
        <f t="shared" si="545"/>
        <v>0</v>
      </c>
      <c r="IB456" s="109">
        <f t="shared" si="546"/>
        <v>0</v>
      </c>
      <c r="IC456" s="109">
        <f t="shared" si="547"/>
        <v>0</v>
      </c>
      <c r="ID456" s="109">
        <f t="shared" si="548"/>
        <v>0</v>
      </c>
      <c r="IE456" s="109">
        <f t="shared" si="549"/>
        <v>0</v>
      </c>
      <c r="IF456" s="197"/>
      <c r="IG456" s="197"/>
      <c r="IH456" s="197"/>
      <c r="II456" s="197"/>
      <c r="IJ456" s="197"/>
      <c r="IK456" s="197"/>
      <c r="IL456" s="197"/>
      <c r="IM456" s="171"/>
      <c r="IN456" s="171"/>
      <c r="IO456" s="171"/>
      <c r="IP456" s="171"/>
    </row>
    <row r="457" spans="1:250" ht="15" customHeight="1" x14ac:dyDescent="0.3">
      <c r="A457" s="110">
        <f t="shared" si="550"/>
        <v>453</v>
      </c>
      <c r="B457" s="111"/>
      <c r="C457" s="111"/>
      <c r="D457" s="111"/>
      <c r="E457" s="111"/>
      <c r="F457" s="111"/>
      <c r="G457" s="111"/>
      <c r="H457" s="111"/>
      <c r="I457" s="194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75"/>
      <c r="AI457" s="111"/>
      <c r="AJ457" s="111"/>
      <c r="AK457" s="111"/>
      <c r="AL457" s="177"/>
      <c r="AM457" s="176"/>
      <c r="AN457" s="177"/>
      <c r="AO457" s="157"/>
      <c r="AP457" s="158"/>
      <c r="AQ457" s="111"/>
      <c r="AR457" s="111"/>
      <c r="AS457" s="111"/>
      <c r="AT457" s="111"/>
      <c r="AU457" s="111"/>
      <c r="AV457" s="111"/>
      <c r="AW457" s="111"/>
      <c r="AX457" s="111"/>
      <c r="AY457" s="111"/>
      <c r="AZ457" s="111"/>
      <c r="BA457" s="111"/>
      <c r="BB457" s="111"/>
      <c r="BC457" s="111"/>
      <c r="BD457" s="111"/>
      <c r="BE457" s="111"/>
      <c r="BF457" s="111"/>
      <c r="BG457" s="111"/>
      <c r="BH457" s="111"/>
      <c r="BI457" s="111"/>
      <c r="BJ457" s="111"/>
      <c r="BK457" s="111"/>
      <c r="BL457" s="175"/>
      <c r="BM457" s="111"/>
      <c r="BN457" s="111"/>
      <c r="BO457" s="111"/>
      <c r="BP457" s="111"/>
      <c r="BQ457" s="111"/>
      <c r="BR457" s="111"/>
      <c r="BS457" s="111"/>
      <c r="BT457" s="111"/>
      <c r="BU457" s="111"/>
      <c r="BV457" s="111"/>
      <c r="BW457" s="111"/>
      <c r="BX457" s="111"/>
      <c r="BY457" s="111"/>
      <c r="BZ457" s="111"/>
      <c r="CA457" s="111"/>
      <c r="CB457" s="111"/>
      <c r="CC457" s="178"/>
      <c r="CD457" s="177">
        <f t="shared" si="534"/>
        <v>0</v>
      </c>
      <c r="CE457" s="148"/>
      <c r="CF457" s="111">
        <f t="shared" si="535"/>
        <v>0</v>
      </c>
      <c r="CG457" s="177"/>
      <c r="CH457" s="204"/>
      <c r="CI457" s="148"/>
      <c r="CJ457" s="165"/>
      <c r="CK457" s="165"/>
      <c r="CL457" s="111"/>
      <c r="CM457" s="111"/>
      <c r="CN457" s="165">
        <f t="shared" si="536"/>
        <v>0</v>
      </c>
      <c r="CO457" s="109">
        <f t="shared" si="537"/>
        <v>0</v>
      </c>
      <c r="CP457" s="109">
        <f t="shared" si="538"/>
        <v>0</v>
      </c>
      <c r="CQ457" s="109"/>
      <c r="CR457" s="109"/>
      <c r="CS457" s="196"/>
      <c r="CT457" s="167"/>
      <c r="CU457" s="165"/>
      <c r="CV457" s="109">
        <f t="shared" si="539"/>
        <v>0</v>
      </c>
      <c r="CW457" s="109">
        <f t="shared" si="540"/>
        <v>0</v>
      </c>
      <c r="CX457" s="109"/>
      <c r="CY457" s="109"/>
      <c r="CZ457" s="111"/>
      <c r="DA457" s="111"/>
      <c r="DB457" s="165"/>
      <c r="DC457" s="109">
        <f t="shared" si="541"/>
        <v>0</v>
      </c>
      <c r="DD457" s="109">
        <f t="shared" si="542"/>
        <v>0</v>
      </c>
      <c r="DE457" s="109"/>
      <c r="DF457" s="109"/>
      <c r="DG457" s="111"/>
      <c r="DH457" s="111"/>
      <c r="DI457" s="165"/>
      <c r="DJ457" s="109">
        <f t="shared" si="543"/>
        <v>0</v>
      </c>
      <c r="DK457" s="109">
        <f t="shared" si="544"/>
        <v>0</v>
      </c>
      <c r="DL457" s="109"/>
      <c r="DM457" s="109"/>
      <c r="DN457" s="111"/>
      <c r="DO457" s="111"/>
      <c r="DP457" s="165"/>
      <c r="DQ457" s="109">
        <f t="shared" si="502"/>
        <v>0</v>
      </c>
      <c r="DR457" s="109">
        <f t="shared" si="503"/>
        <v>0</v>
      </c>
      <c r="DS457" s="109"/>
      <c r="DT457" s="109"/>
      <c r="DU457" s="111"/>
      <c r="DV457" s="111"/>
      <c r="DW457" s="165"/>
      <c r="DX457" s="109">
        <f t="shared" si="504"/>
        <v>0</v>
      </c>
      <c r="DY457" s="109">
        <f t="shared" si="505"/>
        <v>0</v>
      </c>
      <c r="DZ457" s="109"/>
      <c r="EA457" s="109"/>
      <c r="EB457" s="111"/>
      <c r="EC457" s="111"/>
      <c r="ED457" s="165"/>
      <c r="EE457" s="109">
        <f t="shared" si="506"/>
        <v>0</v>
      </c>
      <c r="EF457" s="109">
        <f t="shared" si="507"/>
        <v>0</v>
      </c>
      <c r="EG457" s="109"/>
      <c r="EH457" s="109"/>
      <c r="EI457" s="111"/>
      <c r="EJ457" s="111"/>
      <c r="EK457" s="165"/>
      <c r="EL457" s="109">
        <f t="shared" si="508"/>
        <v>0</v>
      </c>
      <c r="EM457" s="109">
        <f t="shared" si="509"/>
        <v>0</v>
      </c>
      <c r="EN457" s="109"/>
      <c r="EO457" s="109"/>
      <c r="EP457" s="111"/>
      <c r="EQ457" s="111"/>
      <c r="ER457" s="165"/>
      <c r="ES457" s="109">
        <f t="shared" si="510"/>
        <v>0</v>
      </c>
      <c r="ET457" s="109">
        <f t="shared" si="511"/>
        <v>0</v>
      </c>
      <c r="EU457" s="109"/>
      <c r="EV457" s="109"/>
      <c r="EW457" s="111"/>
      <c r="EX457" s="111"/>
      <c r="EY457" s="165"/>
      <c r="EZ457" s="109">
        <f t="shared" si="512"/>
        <v>0</v>
      </c>
      <c r="FA457" s="109">
        <f t="shared" si="513"/>
        <v>0</v>
      </c>
      <c r="FB457" s="109"/>
      <c r="FC457" s="109"/>
      <c r="FD457" s="111"/>
      <c r="FE457" s="111"/>
      <c r="FF457" s="165"/>
      <c r="FG457" s="109">
        <f t="shared" si="514"/>
        <v>0</v>
      </c>
      <c r="FH457" s="109">
        <f t="shared" si="515"/>
        <v>0</v>
      </c>
      <c r="FI457" s="109"/>
      <c r="FJ457" s="109"/>
      <c r="FK457" s="111"/>
      <c r="FL457" s="111"/>
      <c r="FM457" s="165"/>
      <c r="FN457" s="109">
        <f t="shared" si="516"/>
        <v>0</v>
      </c>
      <c r="FO457" s="109">
        <f t="shared" si="517"/>
        <v>0</v>
      </c>
      <c r="FP457" s="109"/>
      <c r="FQ457" s="109"/>
      <c r="FR457" s="111"/>
      <c r="FS457" s="111"/>
      <c r="FT457" s="165"/>
      <c r="FU457" s="109">
        <f t="shared" si="518"/>
        <v>0</v>
      </c>
      <c r="FV457" s="109">
        <f t="shared" si="526"/>
        <v>0</v>
      </c>
      <c r="FW457" s="109"/>
      <c r="FX457" s="109"/>
      <c r="FY457" s="111"/>
      <c r="FZ457" s="111"/>
      <c r="GA457" s="165"/>
      <c r="GB457" s="109">
        <f t="shared" si="519"/>
        <v>0</v>
      </c>
      <c r="GC457" s="109">
        <f t="shared" si="527"/>
        <v>0</v>
      </c>
      <c r="GD457" s="109"/>
      <c r="GE457" s="109"/>
      <c r="GF457" s="111"/>
      <c r="GG457" s="111"/>
      <c r="GH457" s="165"/>
      <c r="GI457" s="109">
        <f t="shared" si="520"/>
        <v>0</v>
      </c>
      <c r="GJ457" s="109">
        <f t="shared" si="528"/>
        <v>0</v>
      </c>
      <c r="GK457" s="109"/>
      <c r="GL457" s="109"/>
      <c r="GM457" s="111"/>
      <c r="GN457" s="111"/>
      <c r="GO457" s="165"/>
      <c r="GP457" s="109">
        <f t="shared" si="521"/>
        <v>0</v>
      </c>
      <c r="GQ457" s="109">
        <f t="shared" si="529"/>
        <v>0</v>
      </c>
      <c r="GR457" s="109"/>
      <c r="GS457" s="109"/>
      <c r="GT457" s="111"/>
      <c r="GU457" s="111"/>
      <c r="GV457" s="165"/>
      <c r="GW457" s="168">
        <f t="shared" si="522"/>
        <v>0</v>
      </c>
      <c r="GX457" s="168">
        <f t="shared" si="530"/>
        <v>0</v>
      </c>
      <c r="GY457" s="168"/>
      <c r="GZ457" s="168"/>
      <c r="HA457" s="111"/>
      <c r="HB457" s="111"/>
      <c r="HC457" s="165"/>
      <c r="HD457" s="109">
        <f t="shared" si="523"/>
        <v>0</v>
      </c>
      <c r="HE457" s="109">
        <f t="shared" si="531"/>
        <v>0</v>
      </c>
      <c r="HF457" s="109"/>
      <c r="HG457" s="109"/>
      <c r="HH457" s="111"/>
      <c r="HI457" s="111"/>
      <c r="HJ457" s="165"/>
      <c r="HK457" s="109">
        <f t="shared" si="524"/>
        <v>0</v>
      </c>
      <c r="HL457" s="109">
        <f t="shared" si="532"/>
        <v>0</v>
      </c>
      <c r="HM457" s="109"/>
      <c r="HN457" s="109"/>
      <c r="HO457" s="111"/>
      <c r="HP457" s="111"/>
      <c r="HQ457" s="165"/>
      <c r="HR457" s="109">
        <f t="shared" si="525"/>
        <v>0</v>
      </c>
      <c r="HS457" s="109">
        <f t="shared" si="533"/>
        <v>0</v>
      </c>
      <c r="HT457" s="109"/>
      <c r="HU457" s="109"/>
      <c r="HV457" s="111"/>
      <c r="HW457" s="111"/>
      <c r="HX457" s="105">
        <f t="shared" si="551"/>
        <v>0</v>
      </c>
      <c r="HY457" s="105">
        <f t="shared" si="551"/>
        <v>0</v>
      </c>
      <c r="HZ457" s="105">
        <f t="shared" si="551"/>
        <v>0</v>
      </c>
      <c r="IA457" s="105">
        <f t="shared" si="545"/>
        <v>0</v>
      </c>
      <c r="IB457" s="109">
        <f t="shared" si="546"/>
        <v>0</v>
      </c>
      <c r="IC457" s="109">
        <f t="shared" si="547"/>
        <v>0</v>
      </c>
      <c r="ID457" s="109">
        <f t="shared" si="548"/>
        <v>0</v>
      </c>
      <c r="IE457" s="109">
        <f t="shared" si="549"/>
        <v>0</v>
      </c>
      <c r="IF457" s="197"/>
      <c r="IG457" s="197"/>
      <c r="IH457" s="197"/>
      <c r="II457" s="197"/>
      <c r="IJ457" s="197"/>
      <c r="IK457" s="197"/>
      <c r="IL457" s="197"/>
      <c r="IM457" s="171"/>
      <c r="IN457" s="171"/>
      <c r="IO457" s="171"/>
      <c r="IP457" s="171"/>
    </row>
    <row r="458" spans="1:250" ht="15" customHeight="1" x14ac:dyDescent="0.3">
      <c r="A458" s="110">
        <f t="shared" si="550"/>
        <v>454</v>
      </c>
      <c r="B458" s="111"/>
      <c r="C458" s="111"/>
      <c r="D458" s="111"/>
      <c r="E458" s="111"/>
      <c r="F458" s="111"/>
      <c r="G458" s="111"/>
      <c r="H458" s="111"/>
      <c r="I458" s="194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75"/>
      <c r="AI458" s="111"/>
      <c r="AJ458" s="111"/>
      <c r="AK458" s="111"/>
      <c r="AL458" s="177"/>
      <c r="AM458" s="176"/>
      <c r="AN458" s="177"/>
      <c r="AO458" s="157"/>
      <c r="AP458" s="158"/>
      <c r="AQ458" s="111"/>
      <c r="AR458" s="111"/>
      <c r="AS458" s="111"/>
      <c r="AT458" s="111"/>
      <c r="AU458" s="111"/>
      <c r="AV458" s="111"/>
      <c r="AW458" s="111"/>
      <c r="AX458" s="111"/>
      <c r="AY458" s="111"/>
      <c r="AZ458" s="111"/>
      <c r="BA458" s="111"/>
      <c r="BB458" s="111"/>
      <c r="BC458" s="111"/>
      <c r="BD458" s="111"/>
      <c r="BE458" s="111"/>
      <c r="BF458" s="111"/>
      <c r="BG458" s="111"/>
      <c r="BH458" s="111"/>
      <c r="BI458" s="111"/>
      <c r="BJ458" s="111"/>
      <c r="BK458" s="111"/>
      <c r="BL458" s="175"/>
      <c r="BM458" s="111"/>
      <c r="BN458" s="111"/>
      <c r="BO458" s="111"/>
      <c r="BP458" s="111"/>
      <c r="BQ458" s="111"/>
      <c r="BR458" s="111"/>
      <c r="BS458" s="111"/>
      <c r="BT458" s="111"/>
      <c r="BU458" s="111"/>
      <c r="BV458" s="111"/>
      <c r="BW458" s="111"/>
      <c r="BX458" s="111"/>
      <c r="BY458" s="111"/>
      <c r="BZ458" s="111"/>
      <c r="CA458" s="111"/>
      <c r="CB458" s="111"/>
      <c r="CC458" s="178"/>
      <c r="CD458" s="177">
        <f t="shared" si="534"/>
        <v>0</v>
      </c>
      <c r="CE458" s="148"/>
      <c r="CF458" s="111">
        <f t="shared" si="535"/>
        <v>0</v>
      </c>
      <c r="CG458" s="177"/>
      <c r="CH458" s="204"/>
      <c r="CI458" s="148"/>
      <c r="CJ458" s="165"/>
      <c r="CK458" s="165"/>
      <c r="CL458" s="111"/>
      <c r="CM458" s="111"/>
      <c r="CN458" s="165">
        <f t="shared" si="536"/>
        <v>0</v>
      </c>
      <c r="CO458" s="109">
        <f t="shared" si="537"/>
        <v>0</v>
      </c>
      <c r="CP458" s="109">
        <f t="shared" si="538"/>
        <v>0</v>
      </c>
      <c r="CQ458" s="109"/>
      <c r="CR458" s="109"/>
      <c r="CS458" s="196"/>
      <c r="CT458" s="167"/>
      <c r="CU458" s="165"/>
      <c r="CV458" s="109">
        <f t="shared" si="539"/>
        <v>0</v>
      </c>
      <c r="CW458" s="109">
        <f t="shared" si="540"/>
        <v>0</v>
      </c>
      <c r="CX458" s="109"/>
      <c r="CY458" s="109"/>
      <c r="CZ458" s="111"/>
      <c r="DA458" s="111"/>
      <c r="DB458" s="165"/>
      <c r="DC458" s="109">
        <f t="shared" si="541"/>
        <v>0</v>
      </c>
      <c r="DD458" s="109">
        <f t="shared" si="542"/>
        <v>0</v>
      </c>
      <c r="DE458" s="109"/>
      <c r="DF458" s="109"/>
      <c r="DG458" s="111"/>
      <c r="DH458" s="111"/>
      <c r="DI458" s="165"/>
      <c r="DJ458" s="109">
        <f t="shared" si="543"/>
        <v>0</v>
      </c>
      <c r="DK458" s="109">
        <f t="shared" si="544"/>
        <v>0</v>
      </c>
      <c r="DL458" s="109"/>
      <c r="DM458" s="109"/>
      <c r="DN458" s="111"/>
      <c r="DO458" s="111"/>
      <c r="DP458" s="165"/>
      <c r="DQ458" s="109">
        <f t="shared" si="502"/>
        <v>0</v>
      </c>
      <c r="DR458" s="109">
        <f t="shared" si="503"/>
        <v>0</v>
      </c>
      <c r="DS458" s="109"/>
      <c r="DT458" s="109"/>
      <c r="DU458" s="111"/>
      <c r="DV458" s="111"/>
      <c r="DW458" s="165"/>
      <c r="DX458" s="109">
        <f t="shared" si="504"/>
        <v>0</v>
      </c>
      <c r="DY458" s="109">
        <f t="shared" si="505"/>
        <v>0</v>
      </c>
      <c r="DZ458" s="109"/>
      <c r="EA458" s="109"/>
      <c r="EB458" s="111"/>
      <c r="EC458" s="111"/>
      <c r="ED458" s="165"/>
      <c r="EE458" s="109">
        <f t="shared" si="506"/>
        <v>0</v>
      </c>
      <c r="EF458" s="109">
        <f t="shared" si="507"/>
        <v>0</v>
      </c>
      <c r="EG458" s="109"/>
      <c r="EH458" s="109"/>
      <c r="EI458" s="111"/>
      <c r="EJ458" s="111"/>
      <c r="EK458" s="165"/>
      <c r="EL458" s="109">
        <f t="shared" si="508"/>
        <v>0</v>
      </c>
      <c r="EM458" s="109">
        <f t="shared" si="509"/>
        <v>0</v>
      </c>
      <c r="EN458" s="109"/>
      <c r="EO458" s="109"/>
      <c r="EP458" s="111"/>
      <c r="EQ458" s="111"/>
      <c r="ER458" s="165"/>
      <c r="ES458" s="109">
        <f t="shared" si="510"/>
        <v>0</v>
      </c>
      <c r="ET458" s="109">
        <f t="shared" si="511"/>
        <v>0</v>
      </c>
      <c r="EU458" s="109"/>
      <c r="EV458" s="109"/>
      <c r="EW458" s="111"/>
      <c r="EX458" s="111"/>
      <c r="EY458" s="165"/>
      <c r="EZ458" s="109">
        <f t="shared" si="512"/>
        <v>0</v>
      </c>
      <c r="FA458" s="109">
        <f t="shared" si="513"/>
        <v>0</v>
      </c>
      <c r="FB458" s="109"/>
      <c r="FC458" s="109"/>
      <c r="FD458" s="111"/>
      <c r="FE458" s="111"/>
      <c r="FF458" s="165"/>
      <c r="FG458" s="109">
        <f t="shared" si="514"/>
        <v>0</v>
      </c>
      <c r="FH458" s="109">
        <f t="shared" si="515"/>
        <v>0</v>
      </c>
      <c r="FI458" s="109"/>
      <c r="FJ458" s="109"/>
      <c r="FK458" s="111"/>
      <c r="FL458" s="111"/>
      <c r="FM458" s="165"/>
      <c r="FN458" s="109">
        <f t="shared" si="516"/>
        <v>0</v>
      </c>
      <c r="FO458" s="109">
        <f t="shared" si="517"/>
        <v>0</v>
      </c>
      <c r="FP458" s="109"/>
      <c r="FQ458" s="109"/>
      <c r="FR458" s="111"/>
      <c r="FS458" s="111"/>
      <c r="FT458" s="165"/>
      <c r="FU458" s="109">
        <f t="shared" si="518"/>
        <v>0</v>
      </c>
      <c r="FV458" s="109">
        <f t="shared" si="526"/>
        <v>0</v>
      </c>
      <c r="FW458" s="109"/>
      <c r="FX458" s="109"/>
      <c r="FY458" s="111"/>
      <c r="FZ458" s="111"/>
      <c r="GA458" s="165"/>
      <c r="GB458" s="109">
        <f t="shared" si="519"/>
        <v>0</v>
      </c>
      <c r="GC458" s="109">
        <f t="shared" si="527"/>
        <v>0</v>
      </c>
      <c r="GD458" s="109"/>
      <c r="GE458" s="109"/>
      <c r="GF458" s="111"/>
      <c r="GG458" s="111"/>
      <c r="GH458" s="165"/>
      <c r="GI458" s="109">
        <f t="shared" si="520"/>
        <v>0</v>
      </c>
      <c r="GJ458" s="109">
        <f t="shared" si="528"/>
        <v>0</v>
      </c>
      <c r="GK458" s="109"/>
      <c r="GL458" s="109"/>
      <c r="GM458" s="111"/>
      <c r="GN458" s="111"/>
      <c r="GO458" s="165"/>
      <c r="GP458" s="109">
        <f t="shared" si="521"/>
        <v>0</v>
      </c>
      <c r="GQ458" s="109">
        <f t="shared" si="529"/>
        <v>0</v>
      </c>
      <c r="GR458" s="109"/>
      <c r="GS458" s="109"/>
      <c r="GT458" s="111"/>
      <c r="GU458" s="111"/>
      <c r="GV458" s="165"/>
      <c r="GW458" s="168">
        <f t="shared" si="522"/>
        <v>0</v>
      </c>
      <c r="GX458" s="168">
        <f t="shared" si="530"/>
        <v>0</v>
      </c>
      <c r="GY458" s="168"/>
      <c r="GZ458" s="168"/>
      <c r="HA458" s="111"/>
      <c r="HB458" s="111"/>
      <c r="HC458" s="165"/>
      <c r="HD458" s="109">
        <f t="shared" si="523"/>
        <v>0</v>
      </c>
      <c r="HE458" s="109">
        <f t="shared" si="531"/>
        <v>0</v>
      </c>
      <c r="HF458" s="109"/>
      <c r="HG458" s="109"/>
      <c r="HH458" s="111"/>
      <c r="HI458" s="111"/>
      <c r="HJ458" s="165"/>
      <c r="HK458" s="109">
        <f t="shared" si="524"/>
        <v>0</v>
      </c>
      <c r="HL458" s="109">
        <f t="shared" si="532"/>
        <v>0</v>
      </c>
      <c r="HM458" s="109"/>
      <c r="HN458" s="109"/>
      <c r="HO458" s="111"/>
      <c r="HP458" s="111"/>
      <c r="HQ458" s="165"/>
      <c r="HR458" s="109">
        <f t="shared" si="525"/>
        <v>0</v>
      </c>
      <c r="HS458" s="109">
        <f t="shared" si="533"/>
        <v>0</v>
      </c>
      <c r="HT458" s="109"/>
      <c r="HU458" s="109"/>
      <c r="HV458" s="111"/>
      <c r="HW458" s="111"/>
      <c r="HX458" s="105">
        <f t="shared" si="551"/>
        <v>0</v>
      </c>
      <c r="HY458" s="105">
        <f t="shared" si="551"/>
        <v>0</v>
      </c>
      <c r="HZ458" s="105">
        <f t="shared" si="551"/>
        <v>0</v>
      </c>
      <c r="IA458" s="105">
        <f t="shared" si="545"/>
        <v>0</v>
      </c>
      <c r="IB458" s="109">
        <f t="shared" si="546"/>
        <v>0</v>
      </c>
      <c r="IC458" s="109">
        <f t="shared" si="547"/>
        <v>0</v>
      </c>
      <c r="ID458" s="109">
        <f t="shared" si="548"/>
        <v>0</v>
      </c>
      <c r="IE458" s="109">
        <f t="shared" si="549"/>
        <v>0</v>
      </c>
      <c r="IF458" s="197"/>
      <c r="IG458" s="197"/>
      <c r="IH458" s="197"/>
      <c r="II458" s="197"/>
      <c r="IJ458" s="197"/>
      <c r="IK458" s="197"/>
      <c r="IL458" s="197"/>
      <c r="IM458" s="171"/>
      <c r="IN458" s="171"/>
      <c r="IO458" s="171"/>
      <c r="IP458" s="171"/>
    </row>
    <row r="459" spans="1:250" ht="15" customHeight="1" x14ac:dyDescent="0.3">
      <c r="A459" s="110">
        <f t="shared" si="550"/>
        <v>455</v>
      </c>
      <c r="B459" s="111"/>
      <c r="C459" s="111"/>
      <c r="D459" s="111"/>
      <c r="E459" s="111"/>
      <c r="F459" s="111"/>
      <c r="G459" s="111"/>
      <c r="H459" s="111"/>
      <c r="I459" s="194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75"/>
      <c r="AI459" s="111"/>
      <c r="AJ459" s="111"/>
      <c r="AK459" s="111"/>
      <c r="AL459" s="177"/>
      <c r="AM459" s="176"/>
      <c r="AN459" s="177"/>
      <c r="AO459" s="157"/>
      <c r="AP459" s="158"/>
      <c r="AQ459" s="111"/>
      <c r="AR459" s="111"/>
      <c r="AS459" s="111"/>
      <c r="AT459" s="111"/>
      <c r="AU459" s="111"/>
      <c r="AV459" s="111"/>
      <c r="AW459" s="111"/>
      <c r="AX459" s="111"/>
      <c r="AY459" s="111"/>
      <c r="AZ459" s="111"/>
      <c r="BA459" s="111"/>
      <c r="BB459" s="111"/>
      <c r="BC459" s="111"/>
      <c r="BD459" s="111"/>
      <c r="BE459" s="111"/>
      <c r="BF459" s="111"/>
      <c r="BG459" s="111"/>
      <c r="BH459" s="111"/>
      <c r="BI459" s="111"/>
      <c r="BJ459" s="111"/>
      <c r="BK459" s="111"/>
      <c r="BL459" s="175"/>
      <c r="BM459" s="111"/>
      <c r="BN459" s="111"/>
      <c r="BO459" s="111"/>
      <c r="BP459" s="111"/>
      <c r="BQ459" s="111"/>
      <c r="BR459" s="111"/>
      <c r="BS459" s="111"/>
      <c r="BT459" s="111"/>
      <c r="BU459" s="111"/>
      <c r="BV459" s="111"/>
      <c r="BW459" s="111"/>
      <c r="BX459" s="111"/>
      <c r="BY459" s="111"/>
      <c r="BZ459" s="111"/>
      <c r="CA459" s="111"/>
      <c r="CB459" s="111"/>
      <c r="CC459" s="178"/>
      <c r="CD459" s="177">
        <f t="shared" si="534"/>
        <v>0</v>
      </c>
      <c r="CE459" s="148"/>
      <c r="CF459" s="111">
        <f t="shared" si="535"/>
        <v>0</v>
      </c>
      <c r="CG459" s="177"/>
      <c r="CH459" s="204"/>
      <c r="CI459" s="148"/>
      <c r="CJ459" s="165"/>
      <c r="CK459" s="165"/>
      <c r="CL459" s="111"/>
      <c r="CM459" s="111"/>
      <c r="CN459" s="165">
        <f t="shared" si="536"/>
        <v>0</v>
      </c>
      <c r="CO459" s="109">
        <f t="shared" si="537"/>
        <v>0</v>
      </c>
      <c r="CP459" s="109">
        <f t="shared" si="538"/>
        <v>0</v>
      </c>
      <c r="CQ459" s="109"/>
      <c r="CR459" s="109"/>
      <c r="CS459" s="196"/>
      <c r="CT459" s="167"/>
      <c r="CU459" s="165"/>
      <c r="CV459" s="109">
        <f t="shared" si="539"/>
        <v>0</v>
      </c>
      <c r="CW459" s="109">
        <f t="shared" si="540"/>
        <v>0</v>
      </c>
      <c r="CX459" s="109"/>
      <c r="CY459" s="109"/>
      <c r="CZ459" s="111"/>
      <c r="DA459" s="111"/>
      <c r="DB459" s="165"/>
      <c r="DC459" s="109">
        <f t="shared" si="541"/>
        <v>0</v>
      </c>
      <c r="DD459" s="109">
        <f t="shared" si="542"/>
        <v>0</v>
      </c>
      <c r="DE459" s="109"/>
      <c r="DF459" s="109"/>
      <c r="DG459" s="111"/>
      <c r="DH459" s="111"/>
      <c r="DI459" s="165"/>
      <c r="DJ459" s="109">
        <f t="shared" si="543"/>
        <v>0</v>
      </c>
      <c r="DK459" s="109">
        <f t="shared" si="544"/>
        <v>0</v>
      </c>
      <c r="DL459" s="109"/>
      <c r="DM459" s="109"/>
      <c r="DN459" s="111"/>
      <c r="DO459" s="111"/>
      <c r="DP459" s="165"/>
      <c r="DQ459" s="109">
        <f t="shared" si="502"/>
        <v>0</v>
      </c>
      <c r="DR459" s="109">
        <f t="shared" si="503"/>
        <v>0</v>
      </c>
      <c r="DS459" s="109"/>
      <c r="DT459" s="109"/>
      <c r="DU459" s="111"/>
      <c r="DV459" s="111"/>
      <c r="DW459" s="165"/>
      <c r="DX459" s="109">
        <f t="shared" si="504"/>
        <v>0</v>
      </c>
      <c r="DY459" s="109">
        <f t="shared" si="505"/>
        <v>0</v>
      </c>
      <c r="DZ459" s="109"/>
      <c r="EA459" s="109"/>
      <c r="EB459" s="111"/>
      <c r="EC459" s="111"/>
      <c r="ED459" s="165"/>
      <c r="EE459" s="109">
        <f t="shared" si="506"/>
        <v>0</v>
      </c>
      <c r="EF459" s="109">
        <f t="shared" si="507"/>
        <v>0</v>
      </c>
      <c r="EG459" s="109"/>
      <c r="EH459" s="109"/>
      <c r="EI459" s="111"/>
      <c r="EJ459" s="111"/>
      <c r="EK459" s="165"/>
      <c r="EL459" s="109">
        <f t="shared" si="508"/>
        <v>0</v>
      </c>
      <c r="EM459" s="109">
        <f t="shared" si="509"/>
        <v>0</v>
      </c>
      <c r="EN459" s="109"/>
      <c r="EO459" s="109"/>
      <c r="EP459" s="111"/>
      <c r="EQ459" s="111"/>
      <c r="ER459" s="165"/>
      <c r="ES459" s="109">
        <f t="shared" si="510"/>
        <v>0</v>
      </c>
      <c r="ET459" s="109">
        <f t="shared" si="511"/>
        <v>0</v>
      </c>
      <c r="EU459" s="109"/>
      <c r="EV459" s="109"/>
      <c r="EW459" s="111"/>
      <c r="EX459" s="111"/>
      <c r="EY459" s="165"/>
      <c r="EZ459" s="109">
        <f t="shared" si="512"/>
        <v>0</v>
      </c>
      <c r="FA459" s="109">
        <f t="shared" si="513"/>
        <v>0</v>
      </c>
      <c r="FB459" s="109"/>
      <c r="FC459" s="109"/>
      <c r="FD459" s="111"/>
      <c r="FE459" s="111"/>
      <c r="FF459" s="165"/>
      <c r="FG459" s="109">
        <f t="shared" si="514"/>
        <v>0</v>
      </c>
      <c r="FH459" s="109">
        <f t="shared" si="515"/>
        <v>0</v>
      </c>
      <c r="FI459" s="109"/>
      <c r="FJ459" s="109"/>
      <c r="FK459" s="111"/>
      <c r="FL459" s="111"/>
      <c r="FM459" s="165"/>
      <c r="FN459" s="109">
        <f t="shared" si="516"/>
        <v>0</v>
      </c>
      <c r="FO459" s="109">
        <f t="shared" si="517"/>
        <v>0</v>
      </c>
      <c r="FP459" s="109"/>
      <c r="FQ459" s="109"/>
      <c r="FR459" s="111"/>
      <c r="FS459" s="111"/>
      <c r="FT459" s="165"/>
      <c r="FU459" s="109">
        <f t="shared" si="518"/>
        <v>0</v>
      </c>
      <c r="FV459" s="109">
        <f t="shared" si="526"/>
        <v>0</v>
      </c>
      <c r="FW459" s="109"/>
      <c r="FX459" s="109"/>
      <c r="FY459" s="111"/>
      <c r="FZ459" s="111"/>
      <c r="GA459" s="165"/>
      <c r="GB459" s="109">
        <f t="shared" si="519"/>
        <v>0</v>
      </c>
      <c r="GC459" s="109">
        <f t="shared" si="527"/>
        <v>0</v>
      </c>
      <c r="GD459" s="109"/>
      <c r="GE459" s="109"/>
      <c r="GF459" s="111"/>
      <c r="GG459" s="111"/>
      <c r="GH459" s="165"/>
      <c r="GI459" s="109">
        <f t="shared" si="520"/>
        <v>0</v>
      </c>
      <c r="GJ459" s="109">
        <f t="shared" si="528"/>
        <v>0</v>
      </c>
      <c r="GK459" s="109"/>
      <c r="GL459" s="109"/>
      <c r="GM459" s="111"/>
      <c r="GN459" s="111"/>
      <c r="GO459" s="165"/>
      <c r="GP459" s="109">
        <f t="shared" si="521"/>
        <v>0</v>
      </c>
      <c r="GQ459" s="109">
        <f t="shared" si="529"/>
        <v>0</v>
      </c>
      <c r="GR459" s="109"/>
      <c r="GS459" s="109"/>
      <c r="GT459" s="111"/>
      <c r="GU459" s="111"/>
      <c r="GV459" s="165"/>
      <c r="GW459" s="168">
        <f t="shared" si="522"/>
        <v>0</v>
      </c>
      <c r="GX459" s="168">
        <f t="shared" si="530"/>
        <v>0</v>
      </c>
      <c r="GY459" s="168"/>
      <c r="GZ459" s="168"/>
      <c r="HA459" s="111"/>
      <c r="HB459" s="111"/>
      <c r="HC459" s="165"/>
      <c r="HD459" s="109">
        <f t="shared" si="523"/>
        <v>0</v>
      </c>
      <c r="HE459" s="109">
        <f t="shared" si="531"/>
        <v>0</v>
      </c>
      <c r="HF459" s="109"/>
      <c r="HG459" s="109"/>
      <c r="HH459" s="111"/>
      <c r="HI459" s="111"/>
      <c r="HJ459" s="165"/>
      <c r="HK459" s="109">
        <f t="shared" si="524"/>
        <v>0</v>
      </c>
      <c r="HL459" s="109">
        <f t="shared" si="532"/>
        <v>0</v>
      </c>
      <c r="HM459" s="109"/>
      <c r="HN459" s="109"/>
      <c r="HO459" s="111"/>
      <c r="HP459" s="111"/>
      <c r="HQ459" s="165"/>
      <c r="HR459" s="109">
        <f t="shared" si="525"/>
        <v>0</v>
      </c>
      <c r="HS459" s="109">
        <f t="shared" si="533"/>
        <v>0</v>
      </c>
      <c r="HT459" s="109"/>
      <c r="HU459" s="109"/>
      <c r="HV459" s="111"/>
      <c r="HW459" s="111"/>
      <c r="HX459" s="105">
        <f t="shared" si="551"/>
        <v>0</v>
      </c>
      <c r="HY459" s="105">
        <f t="shared" si="551"/>
        <v>0</v>
      </c>
      <c r="HZ459" s="105">
        <f t="shared" si="551"/>
        <v>0</v>
      </c>
      <c r="IA459" s="105">
        <f t="shared" si="545"/>
        <v>0</v>
      </c>
      <c r="IB459" s="109">
        <f t="shared" si="546"/>
        <v>0</v>
      </c>
      <c r="IC459" s="109">
        <f t="shared" si="547"/>
        <v>0</v>
      </c>
      <c r="ID459" s="109">
        <f t="shared" si="548"/>
        <v>0</v>
      </c>
      <c r="IE459" s="109">
        <f t="shared" si="549"/>
        <v>0</v>
      </c>
      <c r="IF459" s="197"/>
      <c r="IG459" s="197"/>
      <c r="IH459" s="197"/>
      <c r="II459" s="197"/>
      <c r="IJ459" s="197"/>
      <c r="IK459" s="197"/>
      <c r="IL459" s="197"/>
      <c r="IM459" s="171"/>
      <c r="IN459" s="171"/>
      <c r="IO459" s="171"/>
      <c r="IP459" s="171"/>
    </row>
    <row r="460" spans="1:250" ht="15" customHeight="1" x14ac:dyDescent="0.3">
      <c r="A460" s="110">
        <f t="shared" si="550"/>
        <v>456</v>
      </c>
      <c r="B460" s="111"/>
      <c r="C460" s="111"/>
      <c r="D460" s="111"/>
      <c r="E460" s="111"/>
      <c r="F460" s="111"/>
      <c r="G460" s="111"/>
      <c r="H460" s="111"/>
      <c r="I460" s="194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75"/>
      <c r="AI460" s="111"/>
      <c r="AJ460" s="111"/>
      <c r="AK460" s="111"/>
      <c r="AL460" s="177"/>
      <c r="AM460" s="176"/>
      <c r="AN460" s="177"/>
      <c r="AO460" s="157"/>
      <c r="AP460" s="158"/>
      <c r="AQ460" s="111"/>
      <c r="AR460" s="111"/>
      <c r="AS460" s="111"/>
      <c r="AT460" s="111"/>
      <c r="AU460" s="111"/>
      <c r="AV460" s="111"/>
      <c r="AW460" s="111"/>
      <c r="AX460" s="111"/>
      <c r="AY460" s="111"/>
      <c r="AZ460" s="111"/>
      <c r="BA460" s="111"/>
      <c r="BB460" s="111"/>
      <c r="BC460" s="111"/>
      <c r="BD460" s="111"/>
      <c r="BE460" s="111"/>
      <c r="BF460" s="111"/>
      <c r="BG460" s="111"/>
      <c r="BH460" s="111"/>
      <c r="BI460" s="111"/>
      <c r="BJ460" s="111"/>
      <c r="BK460" s="111"/>
      <c r="BL460" s="175"/>
      <c r="BM460" s="111"/>
      <c r="BN460" s="111"/>
      <c r="BO460" s="111"/>
      <c r="BP460" s="111"/>
      <c r="BQ460" s="111"/>
      <c r="BR460" s="111"/>
      <c r="BS460" s="111"/>
      <c r="BT460" s="111"/>
      <c r="BU460" s="111"/>
      <c r="BV460" s="111"/>
      <c r="BW460" s="111"/>
      <c r="BX460" s="111"/>
      <c r="BY460" s="111"/>
      <c r="BZ460" s="111"/>
      <c r="CA460" s="111"/>
      <c r="CB460" s="111"/>
      <c r="CC460" s="178"/>
      <c r="CD460" s="177">
        <f t="shared" si="534"/>
        <v>0</v>
      </c>
      <c r="CE460" s="148"/>
      <c r="CF460" s="111">
        <f t="shared" si="535"/>
        <v>0</v>
      </c>
      <c r="CG460" s="177"/>
      <c r="CH460" s="204"/>
      <c r="CI460" s="148"/>
      <c r="CJ460" s="165"/>
      <c r="CK460" s="165"/>
      <c r="CL460" s="111"/>
      <c r="CM460" s="111"/>
      <c r="CN460" s="165">
        <f t="shared" si="536"/>
        <v>0</v>
      </c>
      <c r="CO460" s="109">
        <f t="shared" si="537"/>
        <v>0</v>
      </c>
      <c r="CP460" s="109">
        <f t="shared" si="538"/>
        <v>0</v>
      </c>
      <c r="CQ460" s="109"/>
      <c r="CR460" s="109"/>
      <c r="CS460" s="196"/>
      <c r="CT460" s="167"/>
      <c r="CU460" s="165"/>
      <c r="CV460" s="109">
        <f t="shared" si="539"/>
        <v>0</v>
      </c>
      <c r="CW460" s="109">
        <f t="shared" si="540"/>
        <v>0</v>
      </c>
      <c r="CX460" s="109"/>
      <c r="CY460" s="109"/>
      <c r="CZ460" s="111"/>
      <c r="DA460" s="111"/>
      <c r="DB460" s="165"/>
      <c r="DC460" s="109">
        <f t="shared" si="541"/>
        <v>0</v>
      </c>
      <c r="DD460" s="109">
        <f t="shared" si="542"/>
        <v>0</v>
      </c>
      <c r="DE460" s="109"/>
      <c r="DF460" s="109"/>
      <c r="DG460" s="111"/>
      <c r="DH460" s="111"/>
      <c r="DI460" s="165"/>
      <c r="DJ460" s="109">
        <f t="shared" si="543"/>
        <v>0</v>
      </c>
      <c r="DK460" s="109">
        <f t="shared" si="544"/>
        <v>0</v>
      </c>
      <c r="DL460" s="109"/>
      <c r="DM460" s="109"/>
      <c r="DN460" s="111"/>
      <c r="DO460" s="111"/>
      <c r="DP460" s="165"/>
      <c r="DQ460" s="109">
        <f t="shared" si="502"/>
        <v>0</v>
      </c>
      <c r="DR460" s="109">
        <f t="shared" si="503"/>
        <v>0</v>
      </c>
      <c r="DS460" s="109"/>
      <c r="DT460" s="109"/>
      <c r="DU460" s="111"/>
      <c r="DV460" s="111"/>
      <c r="DW460" s="165"/>
      <c r="DX460" s="109">
        <f t="shared" si="504"/>
        <v>0</v>
      </c>
      <c r="DY460" s="109">
        <f t="shared" si="505"/>
        <v>0</v>
      </c>
      <c r="DZ460" s="109"/>
      <c r="EA460" s="109"/>
      <c r="EB460" s="111"/>
      <c r="EC460" s="111"/>
      <c r="ED460" s="165"/>
      <c r="EE460" s="109">
        <f t="shared" si="506"/>
        <v>0</v>
      </c>
      <c r="EF460" s="109">
        <f t="shared" si="507"/>
        <v>0</v>
      </c>
      <c r="EG460" s="109"/>
      <c r="EH460" s="109"/>
      <c r="EI460" s="111"/>
      <c r="EJ460" s="111"/>
      <c r="EK460" s="165"/>
      <c r="EL460" s="109">
        <f t="shared" si="508"/>
        <v>0</v>
      </c>
      <c r="EM460" s="109">
        <f t="shared" si="509"/>
        <v>0</v>
      </c>
      <c r="EN460" s="109"/>
      <c r="EO460" s="109"/>
      <c r="EP460" s="111"/>
      <c r="EQ460" s="111"/>
      <c r="ER460" s="165"/>
      <c r="ES460" s="109">
        <f t="shared" si="510"/>
        <v>0</v>
      </c>
      <c r="ET460" s="109">
        <f t="shared" si="511"/>
        <v>0</v>
      </c>
      <c r="EU460" s="109"/>
      <c r="EV460" s="109"/>
      <c r="EW460" s="111"/>
      <c r="EX460" s="111"/>
      <c r="EY460" s="165"/>
      <c r="EZ460" s="109">
        <f t="shared" si="512"/>
        <v>0</v>
      </c>
      <c r="FA460" s="109">
        <f t="shared" si="513"/>
        <v>0</v>
      </c>
      <c r="FB460" s="109"/>
      <c r="FC460" s="109"/>
      <c r="FD460" s="111"/>
      <c r="FE460" s="111"/>
      <c r="FF460" s="165"/>
      <c r="FG460" s="109">
        <f t="shared" si="514"/>
        <v>0</v>
      </c>
      <c r="FH460" s="109">
        <f t="shared" si="515"/>
        <v>0</v>
      </c>
      <c r="FI460" s="109"/>
      <c r="FJ460" s="109"/>
      <c r="FK460" s="111"/>
      <c r="FL460" s="111"/>
      <c r="FM460" s="165"/>
      <c r="FN460" s="109">
        <f t="shared" si="516"/>
        <v>0</v>
      </c>
      <c r="FO460" s="109">
        <f t="shared" si="517"/>
        <v>0</v>
      </c>
      <c r="FP460" s="109"/>
      <c r="FQ460" s="109"/>
      <c r="FR460" s="111"/>
      <c r="FS460" s="111"/>
      <c r="FT460" s="165"/>
      <c r="FU460" s="109">
        <f t="shared" si="518"/>
        <v>0</v>
      </c>
      <c r="FV460" s="109">
        <f t="shared" si="526"/>
        <v>0</v>
      </c>
      <c r="FW460" s="109"/>
      <c r="FX460" s="109"/>
      <c r="FY460" s="111"/>
      <c r="FZ460" s="111"/>
      <c r="GA460" s="165"/>
      <c r="GB460" s="109">
        <f t="shared" si="519"/>
        <v>0</v>
      </c>
      <c r="GC460" s="109">
        <f t="shared" si="527"/>
        <v>0</v>
      </c>
      <c r="GD460" s="109"/>
      <c r="GE460" s="109"/>
      <c r="GF460" s="111"/>
      <c r="GG460" s="111"/>
      <c r="GH460" s="165"/>
      <c r="GI460" s="109">
        <f t="shared" si="520"/>
        <v>0</v>
      </c>
      <c r="GJ460" s="109">
        <f t="shared" si="528"/>
        <v>0</v>
      </c>
      <c r="GK460" s="109"/>
      <c r="GL460" s="109"/>
      <c r="GM460" s="111"/>
      <c r="GN460" s="111"/>
      <c r="GO460" s="165"/>
      <c r="GP460" s="109">
        <f t="shared" si="521"/>
        <v>0</v>
      </c>
      <c r="GQ460" s="109">
        <f t="shared" si="529"/>
        <v>0</v>
      </c>
      <c r="GR460" s="109"/>
      <c r="GS460" s="109"/>
      <c r="GT460" s="111"/>
      <c r="GU460" s="111"/>
      <c r="GV460" s="165"/>
      <c r="GW460" s="168">
        <f t="shared" si="522"/>
        <v>0</v>
      </c>
      <c r="GX460" s="168">
        <f t="shared" si="530"/>
        <v>0</v>
      </c>
      <c r="GY460" s="168"/>
      <c r="GZ460" s="168"/>
      <c r="HA460" s="111"/>
      <c r="HB460" s="111"/>
      <c r="HC460" s="165"/>
      <c r="HD460" s="109">
        <f t="shared" si="523"/>
        <v>0</v>
      </c>
      <c r="HE460" s="109">
        <f t="shared" si="531"/>
        <v>0</v>
      </c>
      <c r="HF460" s="109"/>
      <c r="HG460" s="109"/>
      <c r="HH460" s="111"/>
      <c r="HI460" s="111"/>
      <c r="HJ460" s="165"/>
      <c r="HK460" s="109">
        <f t="shared" si="524"/>
        <v>0</v>
      </c>
      <c r="HL460" s="109">
        <f t="shared" si="532"/>
        <v>0</v>
      </c>
      <c r="HM460" s="109"/>
      <c r="HN460" s="109"/>
      <c r="HO460" s="111"/>
      <c r="HP460" s="111"/>
      <c r="HQ460" s="165"/>
      <c r="HR460" s="109">
        <f t="shared" si="525"/>
        <v>0</v>
      </c>
      <c r="HS460" s="109">
        <f t="shared" si="533"/>
        <v>0</v>
      </c>
      <c r="HT460" s="109"/>
      <c r="HU460" s="109"/>
      <c r="HV460" s="111"/>
      <c r="HW460" s="111"/>
      <c r="HX460" s="105">
        <f t="shared" si="551"/>
        <v>0</v>
      </c>
      <c r="HY460" s="105">
        <f t="shared" si="551"/>
        <v>0</v>
      </c>
      <c r="HZ460" s="105">
        <f t="shared" si="551"/>
        <v>0</v>
      </c>
      <c r="IA460" s="105">
        <f t="shared" si="545"/>
        <v>0</v>
      </c>
      <c r="IB460" s="109">
        <f t="shared" si="546"/>
        <v>0</v>
      </c>
      <c r="IC460" s="109">
        <f t="shared" si="547"/>
        <v>0</v>
      </c>
      <c r="ID460" s="109">
        <f t="shared" si="548"/>
        <v>0</v>
      </c>
      <c r="IE460" s="109">
        <f t="shared" si="549"/>
        <v>0</v>
      </c>
      <c r="IF460" s="197"/>
      <c r="IG460" s="197"/>
      <c r="IH460" s="197"/>
      <c r="II460" s="197"/>
      <c r="IJ460" s="197"/>
      <c r="IK460" s="197"/>
      <c r="IL460" s="197"/>
      <c r="IM460" s="171"/>
      <c r="IN460" s="171"/>
      <c r="IO460" s="171"/>
      <c r="IP460" s="171"/>
    </row>
    <row r="461" spans="1:250" ht="15" customHeight="1" x14ac:dyDescent="0.3">
      <c r="A461" s="110">
        <f t="shared" si="550"/>
        <v>457</v>
      </c>
      <c r="B461" s="111"/>
      <c r="C461" s="111"/>
      <c r="D461" s="111"/>
      <c r="E461" s="111"/>
      <c r="F461" s="111"/>
      <c r="G461" s="111"/>
      <c r="H461" s="111"/>
      <c r="I461" s="194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75"/>
      <c r="AI461" s="111"/>
      <c r="AJ461" s="111"/>
      <c r="AK461" s="111"/>
      <c r="AL461" s="177"/>
      <c r="AM461" s="176"/>
      <c r="AN461" s="177"/>
      <c r="AO461" s="157"/>
      <c r="AP461" s="158"/>
      <c r="AQ461" s="111"/>
      <c r="AR461" s="111"/>
      <c r="AS461" s="111"/>
      <c r="AT461" s="111"/>
      <c r="AU461" s="111"/>
      <c r="AV461" s="111"/>
      <c r="AW461" s="111"/>
      <c r="AX461" s="111"/>
      <c r="AY461" s="111"/>
      <c r="AZ461" s="111"/>
      <c r="BA461" s="111"/>
      <c r="BB461" s="111"/>
      <c r="BC461" s="111"/>
      <c r="BD461" s="111"/>
      <c r="BE461" s="111"/>
      <c r="BF461" s="111"/>
      <c r="BG461" s="111"/>
      <c r="BH461" s="111"/>
      <c r="BI461" s="111"/>
      <c r="BJ461" s="111"/>
      <c r="BK461" s="111"/>
      <c r="BL461" s="175"/>
      <c r="BM461" s="111"/>
      <c r="BN461" s="111"/>
      <c r="BO461" s="111"/>
      <c r="BP461" s="111"/>
      <c r="BQ461" s="111"/>
      <c r="BR461" s="111"/>
      <c r="BS461" s="111"/>
      <c r="BT461" s="111"/>
      <c r="BU461" s="111"/>
      <c r="BV461" s="111"/>
      <c r="BW461" s="111"/>
      <c r="BX461" s="111"/>
      <c r="BY461" s="111"/>
      <c r="BZ461" s="111"/>
      <c r="CA461" s="111"/>
      <c r="CB461" s="111"/>
      <c r="CC461" s="178"/>
      <c r="CD461" s="177">
        <f t="shared" si="534"/>
        <v>0</v>
      </c>
      <c r="CE461" s="148"/>
      <c r="CF461" s="111">
        <f t="shared" si="535"/>
        <v>0</v>
      </c>
      <c r="CG461" s="177"/>
      <c r="CH461" s="204"/>
      <c r="CI461" s="148"/>
      <c r="CJ461" s="165"/>
      <c r="CK461" s="165"/>
      <c r="CL461" s="111"/>
      <c r="CM461" s="111"/>
      <c r="CN461" s="165">
        <f t="shared" si="536"/>
        <v>0</v>
      </c>
      <c r="CO461" s="109">
        <f t="shared" si="537"/>
        <v>0</v>
      </c>
      <c r="CP461" s="109">
        <f t="shared" si="538"/>
        <v>0</v>
      </c>
      <c r="CQ461" s="109"/>
      <c r="CR461" s="109"/>
      <c r="CS461" s="196"/>
      <c r="CT461" s="167"/>
      <c r="CU461" s="165"/>
      <c r="CV461" s="109">
        <f t="shared" si="539"/>
        <v>0</v>
      </c>
      <c r="CW461" s="109">
        <f t="shared" si="540"/>
        <v>0</v>
      </c>
      <c r="CX461" s="109"/>
      <c r="CY461" s="109"/>
      <c r="CZ461" s="111"/>
      <c r="DA461" s="111"/>
      <c r="DB461" s="165"/>
      <c r="DC461" s="109">
        <f t="shared" si="541"/>
        <v>0</v>
      </c>
      <c r="DD461" s="109">
        <f t="shared" si="542"/>
        <v>0</v>
      </c>
      <c r="DE461" s="109"/>
      <c r="DF461" s="109"/>
      <c r="DG461" s="111"/>
      <c r="DH461" s="111"/>
      <c r="DI461" s="165"/>
      <c r="DJ461" s="109">
        <f t="shared" si="543"/>
        <v>0</v>
      </c>
      <c r="DK461" s="109">
        <f t="shared" si="544"/>
        <v>0</v>
      </c>
      <c r="DL461" s="109"/>
      <c r="DM461" s="109"/>
      <c r="DN461" s="111"/>
      <c r="DO461" s="111"/>
      <c r="DP461" s="165"/>
      <c r="DQ461" s="109">
        <f t="shared" si="502"/>
        <v>0</v>
      </c>
      <c r="DR461" s="109">
        <f t="shared" si="503"/>
        <v>0</v>
      </c>
      <c r="DS461" s="109"/>
      <c r="DT461" s="109"/>
      <c r="DU461" s="111"/>
      <c r="DV461" s="111"/>
      <c r="DW461" s="165"/>
      <c r="DX461" s="109">
        <f t="shared" si="504"/>
        <v>0</v>
      </c>
      <c r="DY461" s="109">
        <f t="shared" si="505"/>
        <v>0</v>
      </c>
      <c r="DZ461" s="109"/>
      <c r="EA461" s="109"/>
      <c r="EB461" s="111"/>
      <c r="EC461" s="111"/>
      <c r="ED461" s="165"/>
      <c r="EE461" s="109">
        <f t="shared" si="506"/>
        <v>0</v>
      </c>
      <c r="EF461" s="109">
        <f t="shared" si="507"/>
        <v>0</v>
      </c>
      <c r="EG461" s="109"/>
      <c r="EH461" s="109"/>
      <c r="EI461" s="111"/>
      <c r="EJ461" s="111"/>
      <c r="EK461" s="165"/>
      <c r="EL461" s="109">
        <f t="shared" si="508"/>
        <v>0</v>
      </c>
      <c r="EM461" s="109">
        <f t="shared" si="509"/>
        <v>0</v>
      </c>
      <c r="EN461" s="109"/>
      <c r="EO461" s="109"/>
      <c r="EP461" s="111"/>
      <c r="EQ461" s="111"/>
      <c r="ER461" s="165"/>
      <c r="ES461" s="109">
        <f t="shared" si="510"/>
        <v>0</v>
      </c>
      <c r="ET461" s="109">
        <f t="shared" si="511"/>
        <v>0</v>
      </c>
      <c r="EU461" s="109"/>
      <c r="EV461" s="109"/>
      <c r="EW461" s="111"/>
      <c r="EX461" s="111"/>
      <c r="EY461" s="165"/>
      <c r="EZ461" s="109">
        <f t="shared" si="512"/>
        <v>0</v>
      </c>
      <c r="FA461" s="109">
        <f t="shared" si="513"/>
        <v>0</v>
      </c>
      <c r="FB461" s="109"/>
      <c r="FC461" s="109"/>
      <c r="FD461" s="111"/>
      <c r="FE461" s="111"/>
      <c r="FF461" s="165"/>
      <c r="FG461" s="109">
        <f t="shared" si="514"/>
        <v>0</v>
      </c>
      <c r="FH461" s="109">
        <f t="shared" si="515"/>
        <v>0</v>
      </c>
      <c r="FI461" s="109"/>
      <c r="FJ461" s="109"/>
      <c r="FK461" s="111"/>
      <c r="FL461" s="111"/>
      <c r="FM461" s="165"/>
      <c r="FN461" s="109">
        <f t="shared" si="516"/>
        <v>0</v>
      </c>
      <c r="FO461" s="109">
        <f t="shared" si="517"/>
        <v>0</v>
      </c>
      <c r="FP461" s="109"/>
      <c r="FQ461" s="109"/>
      <c r="FR461" s="111"/>
      <c r="FS461" s="111"/>
      <c r="FT461" s="165"/>
      <c r="FU461" s="109">
        <f t="shared" si="518"/>
        <v>0</v>
      </c>
      <c r="FV461" s="109">
        <f t="shared" si="526"/>
        <v>0</v>
      </c>
      <c r="FW461" s="109"/>
      <c r="FX461" s="109"/>
      <c r="FY461" s="111"/>
      <c r="FZ461" s="111"/>
      <c r="GA461" s="165"/>
      <c r="GB461" s="109">
        <f t="shared" si="519"/>
        <v>0</v>
      </c>
      <c r="GC461" s="109">
        <f t="shared" si="527"/>
        <v>0</v>
      </c>
      <c r="GD461" s="109"/>
      <c r="GE461" s="109"/>
      <c r="GF461" s="111"/>
      <c r="GG461" s="111"/>
      <c r="GH461" s="165"/>
      <c r="GI461" s="109">
        <f t="shared" si="520"/>
        <v>0</v>
      </c>
      <c r="GJ461" s="109">
        <f t="shared" si="528"/>
        <v>0</v>
      </c>
      <c r="GK461" s="109"/>
      <c r="GL461" s="109"/>
      <c r="GM461" s="111"/>
      <c r="GN461" s="111"/>
      <c r="GO461" s="165"/>
      <c r="GP461" s="109">
        <f t="shared" si="521"/>
        <v>0</v>
      </c>
      <c r="GQ461" s="109">
        <f t="shared" si="529"/>
        <v>0</v>
      </c>
      <c r="GR461" s="109"/>
      <c r="GS461" s="109"/>
      <c r="GT461" s="111"/>
      <c r="GU461" s="111"/>
      <c r="GV461" s="165"/>
      <c r="GW461" s="168">
        <f t="shared" si="522"/>
        <v>0</v>
      </c>
      <c r="GX461" s="168">
        <f t="shared" si="530"/>
        <v>0</v>
      </c>
      <c r="GY461" s="168"/>
      <c r="GZ461" s="168"/>
      <c r="HA461" s="111"/>
      <c r="HB461" s="111"/>
      <c r="HC461" s="165"/>
      <c r="HD461" s="109">
        <f t="shared" si="523"/>
        <v>0</v>
      </c>
      <c r="HE461" s="109">
        <f t="shared" si="531"/>
        <v>0</v>
      </c>
      <c r="HF461" s="109"/>
      <c r="HG461" s="109"/>
      <c r="HH461" s="111"/>
      <c r="HI461" s="111"/>
      <c r="HJ461" s="165"/>
      <c r="HK461" s="109">
        <f t="shared" si="524"/>
        <v>0</v>
      </c>
      <c r="HL461" s="109">
        <f t="shared" si="532"/>
        <v>0</v>
      </c>
      <c r="HM461" s="109"/>
      <c r="HN461" s="109"/>
      <c r="HO461" s="111"/>
      <c r="HP461" s="111"/>
      <c r="HQ461" s="165"/>
      <c r="HR461" s="109">
        <f t="shared" si="525"/>
        <v>0</v>
      </c>
      <c r="HS461" s="109">
        <f t="shared" si="533"/>
        <v>0</v>
      </c>
      <c r="HT461" s="109"/>
      <c r="HU461" s="109"/>
      <c r="HV461" s="111"/>
      <c r="HW461" s="111"/>
      <c r="HX461" s="105">
        <f t="shared" si="551"/>
        <v>0</v>
      </c>
      <c r="HY461" s="105">
        <f t="shared" si="551"/>
        <v>0</v>
      </c>
      <c r="HZ461" s="105">
        <f t="shared" si="551"/>
        <v>0</v>
      </c>
      <c r="IA461" s="105">
        <f t="shared" si="545"/>
        <v>0</v>
      </c>
      <c r="IB461" s="109">
        <f t="shared" si="546"/>
        <v>0</v>
      </c>
      <c r="IC461" s="109">
        <f t="shared" si="547"/>
        <v>0</v>
      </c>
      <c r="ID461" s="109">
        <f t="shared" si="548"/>
        <v>0</v>
      </c>
      <c r="IE461" s="109">
        <f t="shared" si="549"/>
        <v>0</v>
      </c>
      <c r="IF461" s="197"/>
      <c r="IG461" s="197"/>
      <c r="IH461" s="197"/>
      <c r="II461" s="197"/>
      <c r="IJ461" s="197"/>
      <c r="IK461" s="197"/>
      <c r="IL461" s="197"/>
      <c r="IM461" s="171"/>
      <c r="IN461" s="171"/>
      <c r="IO461" s="171"/>
      <c r="IP461" s="171"/>
    </row>
    <row r="462" spans="1:250" ht="15" customHeight="1" x14ac:dyDescent="0.3">
      <c r="A462" s="110">
        <f t="shared" si="550"/>
        <v>458</v>
      </c>
      <c r="B462" s="111"/>
      <c r="C462" s="111"/>
      <c r="D462" s="111"/>
      <c r="E462" s="111"/>
      <c r="F462" s="111"/>
      <c r="G462" s="111"/>
      <c r="H462" s="111"/>
      <c r="I462" s="194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75"/>
      <c r="AI462" s="111"/>
      <c r="AJ462" s="111"/>
      <c r="AK462" s="111"/>
      <c r="AL462" s="177"/>
      <c r="AM462" s="176"/>
      <c r="AN462" s="177"/>
      <c r="AO462" s="157"/>
      <c r="AP462" s="158"/>
      <c r="AQ462" s="111"/>
      <c r="AR462" s="111"/>
      <c r="AS462" s="111"/>
      <c r="AT462" s="111"/>
      <c r="AU462" s="111"/>
      <c r="AV462" s="111"/>
      <c r="AW462" s="111"/>
      <c r="AX462" s="111"/>
      <c r="AY462" s="111"/>
      <c r="AZ462" s="111"/>
      <c r="BA462" s="111"/>
      <c r="BB462" s="111"/>
      <c r="BC462" s="111"/>
      <c r="BD462" s="111"/>
      <c r="BE462" s="111"/>
      <c r="BF462" s="111"/>
      <c r="BG462" s="111"/>
      <c r="BH462" s="111"/>
      <c r="BI462" s="111"/>
      <c r="BJ462" s="111"/>
      <c r="BK462" s="111"/>
      <c r="BL462" s="175"/>
      <c r="BM462" s="111"/>
      <c r="BN462" s="111"/>
      <c r="BO462" s="111"/>
      <c r="BP462" s="111"/>
      <c r="BQ462" s="111"/>
      <c r="BR462" s="111"/>
      <c r="BS462" s="111"/>
      <c r="BT462" s="111"/>
      <c r="BU462" s="111"/>
      <c r="BV462" s="111"/>
      <c r="BW462" s="111"/>
      <c r="BX462" s="111"/>
      <c r="BY462" s="111"/>
      <c r="BZ462" s="111"/>
      <c r="CA462" s="111"/>
      <c r="CB462" s="111"/>
      <c r="CC462" s="178"/>
      <c r="CD462" s="177">
        <f t="shared" si="534"/>
        <v>0</v>
      </c>
      <c r="CE462" s="148"/>
      <c r="CF462" s="111">
        <f t="shared" si="535"/>
        <v>0</v>
      </c>
      <c r="CG462" s="177"/>
      <c r="CH462" s="204"/>
      <c r="CI462" s="148"/>
      <c r="CJ462" s="165"/>
      <c r="CK462" s="165"/>
      <c r="CL462" s="111"/>
      <c r="CM462" s="111"/>
      <c r="CN462" s="165">
        <f t="shared" si="536"/>
        <v>0</v>
      </c>
      <c r="CO462" s="109">
        <f t="shared" si="537"/>
        <v>0</v>
      </c>
      <c r="CP462" s="109">
        <f t="shared" si="538"/>
        <v>0</v>
      </c>
      <c r="CQ462" s="109"/>
      <c r="CR462" s="109"/>
      <c r="CS462" s="196"/>
      <c r="CT462" s="167"/>
      <c r="CU462" s="165"/>
      <c r="CV462" s="109">
        <f t="shared" si="539"/>
        <v>0</v>
      </c>
      <c r="CW462" s="109">
        <f t="shared" si="540"/>
        <v>0</v>
      </c>
      <c r="CX462" s="109"/>
      <c r="CY462" s="109"/>
      <c r="CZ462" s="111"/>
      <c r="DA462" s="111"/>
      <c r="DB462" s="165"/>
      <c r="DC462" s="109">
        <f t="shared" si="541"/>
        <v>0</v>
      </c>
      <c r="DD462" s="109">
        <f t="shared" si="542"/>
        <v>0</v>
      </c>
      <c r="DE462" s="109"/>
      <c r="DF462" s="109"/>
      <c r="DG462" s="111"/>
      <c r="DH462" s="111"/>
      <c r="DI462" s="165"/>
      <c r="DJ462" s="109">
        <f t="shared" si="543"/>
        <v>0</v>
      </c>
      <c r="DK462" s="109">
        <f t="shared" si="544"/>
        <v>0</v>
      </c>
      <c r="DL462" s="109"/>
      <c r="DM462" s="109"/>
      <c r="DN462" s="111"/>
      <c r="DO462" s="111"/>
      <c r="DP462" s="165"/>
      <c r="DQ462" s="109">
        <f t="shared" si="502"/>
        <v>0</v>
      </c>
      <c r="DR462" s="109">
        <f t="shared" si="503"/>
        <v>0</v>
      </c>
      <c r="DS462" s="109"/>
      <c r="DT462" s="109"/>
      <c r="DU462" s="111"/>
      <c r="DV462" s="111"/>
      <c r="DW462" s="165"/>
      <c r="DX462" s="109">
        <f t="shared" si="504"/>
        <v>0</v>
      </c>
      <c r="DY462" s="109">
        <f t="shared" si="505"/>
        <v>0</v>
      </c>
      <c r="DZ462" s="109"/>
      <c r="EA462" s="109"/>
      <c r="EB462" s="111"/>
      <c r="EC462" s="111"/>
      <c r="ED462" s="165"/>
      <c r="EE462" s="109">
        <f t="shared" si="506"/>
        <v>0</v>
      </c>
      <c r="EF462" s="109">
        <f t="shared" si="507"/>
        <v>0</v>
      </c>
      <c r="EG462" s="109"/>
      <c r="EH462" s="109"/>
      <c r="EI462" s="111"/>
      <c r="EJ462" s="111"/>
      <c r="EK462" s="165"/>
      <c r="EL462" s="109">
        <f t="shared" si="508"/>
        <v>0</v>
      </c>
      <c r="EM462" s="109">
        <f t="shared" si="509"/>
        <v>0</v>
      </c>
      <c r="EN462" s="109"/>
      <c r="EO462" s="109"/>
      <c r="EP462" s="111"/>
      <c r="EQ462" s="111"/>
      <c r="ER462" s="165"/>
      <c r="ES462" s="109">
        <f t="shared" si="510"/>
        <v>0</v>
      </c>
      <c r="ET462" s="109">
        <f t="shared" si="511"/>
        <v>0</v>
      </c>
      <c r="EU462" s="109"/>
      <c r="EV462" s="109"/>
      <c r="EW462" s="111"/>
      <c r="EX462" s="111"/>
      <c r="EY462" s="165"/>
      <c r="EZ462" s="109">
        <f t="shared" si="512"/>
        <v>0</v>
      </c>
      <c r="FA462" s="109">
        <f t="shared" si="513"/>
        <v>0</v>
      </c>
      <c r="FB462" s="109"/>
      <c r="FC462" s="109"/>
      <c r="FD462" s="111"/>
      <c r="FE462" s="111"/>
      <c r="FF462" s="165"/>
      <c r="FG462" s="109">
        <f t="shared" si="514"/>
        <v>0</v>
      </c>
      <c r="FH462" s="109">
        <f t="shared" si="515"/>
        <v>0</v>
      </c>
      <c r="FI462" s="109"/>
      <c r="FJ462" s="109"/>
      <c r="FK462" s="111"/>
      <c r="FL462" s="111"/>
      <c r="FM462" s="165"/>
      <c r="FN462" s="109">
        <f t="shared" si="516"/>
        <v>0</v>
      </c>
      <c r="FO462" s="109">
        <f t="shared" si="517"/>
        <v>0</v>
      </c>
      <c r="FP462" s="109"/>
      <c r="FQ462" s="109"/>
      <c r="FR462" s="111"/>
      <c r="FS462" s="111"/>
      <c r="FT462" s="165"/>
      <c r="FU462" s="109">
        <f t="shared" si="518"/>
        <v>0</v>
      </c>
      <c r="FV462" s="109">
        <f t="shared" si="526"/>
        <v>0</v>
      </c>
      <c r="FW462" s="109"/>
      <c r="FX462" s="109"/>
      <c r="FY462" s="111"/>
      <c r="FZ462" s="111"/>
      <c r="GA462" s="165"/>
      <c r="GB462" s="109">
        <f t="shared" si="519"/>
        <v>0</v>
      </c>
      <c r="GC462" s="109">
        <f t="shared" si="527"/>
        <v>0</v>
      </c>
      <c r="GD462" s="109"/>
      <c r="GE462" s="109"/>
      <c r="GF462" s="111"/>
      <c r="GG462" s="111"/>
      <c r="GH462" s="165"/>
      <c r="GI462" s="109">
        <f t="shared" si="520"/>
        <v>0</v>
      </c>
      <c r="GJ462" s="109">
        <f t="shared" si="528"/>
        <v>0</v>
      </c>
      <c r="GK462" s="109"/>
      <c r="GL462" s="109"/>
      <c r="GM462" s="111"/>
      <c r="GN462" s="111"/>
      <c r="GO462" s="165"/>
      <c r="GP462" s="109">
        <f t="shared" si="521"/>
        <v>0</v>
      </c>
      <c r="GQ462" s="109">
        <f t="shared" si="529"/>
        <v>0</v>
      </c>
      <c r="GR462" s="109"/>
      <c r="GS462" s="109"/>
      <c r="GT462" s="111"/>
      <c r="GU462" s="111"/>
      <c r="GV462" s="165"/>
      <c r="GW462" s="168">
        <f t="shared" si="522"/>
        <v>0</v>
      </c>
      <c r="GX462" s="168">
        <f t="shared" si="530"/>
        <v>0</v>
      </c>
      <c r="GY462" s="168"/>
      <c r="GZ462" s="168"/>
      <c r="HA462" s="111"/>
      <c r="HB462" s="111"/>
      <c r="HC462" s="165"/>
      <c r="HD462" s="109">
        <f t="shared" si="523"/>
        <v>0</v>
      </c>
      <c r="HE462" s="109">
        <f t="shared" si="531"/>
        <v>0</v>
      </c>
      <c r="HF462" s="109"/>
      <c r="HG462" s="109"/>
      <c r="HH462" s="111"/>
      <c r="HI462" s="111"/>
      <c r="HJ462" s="165"/>
      <c r="HK462" s="109">
        <f t="shared" si="524"/>
        <v>0</v>
      </c>
      <c r="HL462" s="109">
        <f t="shared" si="532"/>
        <v>0</v>
      </c>
      <c r="HM462" s="109"/>
      <c r="HN462" s="109"/>
      <c r="HO462" s="111"/>
      <c r="HP462" s="111"/>
      <c r="HQ462" s="165"/>
      <c r="HR462" s="109">
        <f t="shared" si="525"/>
        <v>0</v>
      </c>
      <c r="HS462" s="109">
        <f t="shared" si="533"/>
        <v>0</v>
      </c>
      <c r="HT462" s="109"/>
      <c r="HU462" s="109"/>
      <c r="HV462" s="111"/>
      <c r="HW462" s="111"/>
      <c r="HX462" s="105">
        <f t="shared" si="551"/>
        <v>0</v>
      </c>
      <c r="HY462" s="105">
        <f t="shared" si="551"/>
        <v>0</v>
      </c>
      <c r="HZ462" s="105">
        <f t="shared" si="551"/>
        <v>0</v>
      </c>
      <c r="IA462" s="105">
        <f t="shared" si="545"/>
        <v>0</v>
      </c>
      <c r="IB462" s="109">
        <f t="shared" si="546"/>
        <v>0</v>
      </c>
      <c r="IC462" s="109">
        <f t="shared" si="547"/>
        <v>0</v>
      </c>
      <c r="ID462" s="109">
        <f t="shared" si="548"/>
        <v>0</v>
      </c>
      <c r="IE462" s="109">
        <f t="shared" si="549"/>
        <v>0</v>
      </c>
      <c r="IF462" s="197"/>
      <c r="IG462" s="197"/>
      <c r="IH462" s="197"/>
      <c r="II462" s="197"/>
      <c r="IJ462" s="197"/>
      <c r="IK462" s="197"/>
      <c r="IL462" s="197"/>
      <c r="IM462" s="171"/>
      <c r="IN462" s="171"/>
      <c r="IO462" s="171"/>
      <c r="IP462" s="171"/>
    </row>
    <row r="463" spans="1:250" ht="15" customHeight="1" x14ac:dyDescent="0.3">
      <c r="A463" s="110">
        <f t="shared" si="550"/>
        <v>459</v>
      </c>
      <c r="B463" s="111"/>
      <c r="C463" s="111"/>
      <c r="D463" s="111"/>
      <c r="E463" s="111"/>
      <c r="F463" s="111"/>
      <c r="G463" s="111"/>
      <c r="H463" s="111"/>
      <c r="I463" s="194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75"/>
      <c r="AI463" s="111"/>
      <c r="AJ463" s="111"/>
      <c r="AK463" s="111"/>
      <c r="AL463" s="177"/>
      <c r="AM463" s="176"/>
      <c r="AN463" s="177"/>
      <c r="AO463" s="157"/>
      <c r="AP463" s="158"/>
      <c r="AQ463" s="111"/>
      <c r="AR463" s="111"/>
      <c r="AS463" s="111"/>
      <c r="AT463" s="111"/>
      <c r="AU463" s="111"/>
      <c r="AV463" s="111"/>
      <c r="AW463" s="111"/>
      <c r="AX463" s="111"/>
      <c r="AY463" s="111"/>
      <c r="AZ463" s="111"/>
      <c r="BA463" s="111"/>
      <c r="BB463" s="111"/>
      <c r="BC463" s="111"/>
      <c r="BD463" s="111"/>
      <c r="BE463" s="111"/>
      <c r="BF463" s="111"/>
      <c r="BG463" s="111"/>
      <c r="BH463" s="111"/>
      <c r="BI463" s="111"/>
      <c r="BJ463" s="111"/>
      <c r="BK463" s="111"/>
      <c r="BL463" s="175"/>
      <c r="BM463" s="111"/>
      <c r="BN463" s="111"/>
      <c r="BO463" s="111"/>
      <c r="BP463" s="111"/>
      <c r="BQ463" s="111"/>
      <c r="BR463" s="111"/>
      <c r="BS463" s="111"/>
      <c r="BT463" s="111"/>
      <c r="BU463" s="111"/>
      <c r="BV463" s="111"/>
      <c r="BW463" s="111"/>
      <c r="BX463" s="111"/>
      <c r="BY463" s="111"/>
      <c r="BZ463" s="111"/>
      <c r="CA463" s="111"/>
      <c r="CB463" s="111"/>
      <c r="CC463" s="178"/>
      <c r="CD463" s="177">
        <f t="shared" si="534"/>
        <v>0</v>
      </c>
      <c r="CE463" s="148"/>
      <c r="CF463" s="111">
        <f t="shared" si="535"/>
        <v>0</v>
      </c>
      <c r="CG463" s="177"/>
      <c r="CH463" s="204"/>
      <c r="CI463" s="148"/>
      <c r="CJ463" s="165"/>
      <c r="CK463" s="165"/>
      <c r="CL463" s="111"/>
      <c r="CM463" s="111"/>
      <c r="CN463" s="165">
        <f t="shared" si="536"/>
        <v>0</v>
      </c>
      <c r="CO463" s="109">
        <f t="shared" si="537"/>
        <v>0</v>
      </c>
      <c r="CP463" s="109">
        <f t="shared" si="538"/>
        <v>0</v>
      </c>
      <c r="CQ463" s="109"/>
      <c r="CR463" s="109"/>
      <c r="CS463" s="196"/>
      <c r="CT463" s="167"/>
      <c r="CU463" s="165"/>
      <c r="CV463" s="109">
        <f t="shared" si="539"/>
        <v>0</v>
      </c>
      <c r="CW463" s="109">
        <f t="shared" si="540"/>
        <v>0</v>
      </c>
      <c r="CX463" s="109"/>
      <c r="CY463" s="109"/>
      <c r="CZ463" s="111"/>
      <c r="DA463" s="111"/>
      <c r="DB463" s="165"/>
      <c r="DC463" s="109">
        <f t="shared" si="541"/>
        <v>0</v>
      </c>
      <c r="DD463" s="109">
        <f t="shared" si="542"/>
        <v>0</v>
      </c>
      <c r="DE463" s="109"/>
      <c r="DF463" s="109"/>
      <c r="DG463" s="111"/>
      <c r="DH463" s="111"/>
      <c r="DI463" s="165"/>
      <c r="DJ463" s="109">
        <f t="shared" si="543"/>
        <v>0</v>
      </c>
      <c r="DK463" s="109">
        <f t="shared" si="544"/>
        <v>0</v>
      </c>
      <c r="DL463" s="109"/>
      <c r="DM463" s="109"/>
      <c r="DN463" s="111"/>
      <c r="DO463" s="111"/>
      <c r="DP463" s="165"/>
      <c r="DQ463" s="109">
        <f t="shared" si="502"/>
        <v>0</v>
      </c>
      <c r="DR463" s="109">
        <f t="shared" si="503"/>
        <v>0</v>
      </c>
      <c r="DS463" s="109"/>
      <c r="DT463" s="109"/>
      <c r="DU463" s="111"/>
      <c r="DV463" s="111"/>
      <c r="DW463" s="165"/>
      <c r="DX463" s="109">
        <f t="shared" si="504"/>
        <v>0</v>
      </c>
      <c r="DY463" s="109">
        <f t="shared" si="505"/>
        <v>0</v>
      </c>
      <c r="DZ463" s="109"/>
      <c r="EA463" s="109"/>
      <c r="EB463" s="111"/>
      <c r="EC463" s="111"/>
      <c r="ED463" s="165"/>
      <c r="EE463" s="109">
        <f t="shared" si="506"/>
        <v>0</v>
      </c>
      <c r="EF463" s="109">
        <f t="shared" si="507"/>
        <v>0</v>
      </c>
      <c r="EG463" s="109"/>
      <c r="EH463" s="109"/>
      <c r="EI463" s="111"/>
      <c r="EJ463" s="111"/>
      <c r="EK463" s="165"/>
      <c r="EL463" s="109">
        <f t="shared" si="508"/>
        <v>0</v>
      </c>
      <c r="EM463" s="109">
        <f t="shared" si="509"/>
        <v>0</v>
      </c>
      <c r="EN463" s="109"/>
      <c r="EO463" s="109"/>
      <c r="EP463" s="111"/>
      <c r="EQ463" s="111"/>
      <c r="ER463" s="165"/>
      <c r="ES463" s="109">
        <f t="shared" si="510"/>
        <v>0</v>
      </c>
      <c r="ET463" s="109">
        <f t="shared" si="511"/>
        <v>0</v>
      </c>
      <c r="EU463" s="109"/>
      <c r="EV463" s="109"/>
      <c r="EW463" s="111"/>
      <c r="EX463" s="111"/>
      <c r="EY463" s="165"/>
      <c r="EZ463" s="109">
        <f t="shared" si="512"/>
        <v>0</v>
      </c>
      <c r="FA463" s="109">
        <f t="shared" si="513"/>
        <v>0</v>
      </c>
      <c r="FB463" s="109"/>
      <c r="FC463" s="109"/>
      <c r="FD463" s="111"/>
      <c r="FE463" s="111"/>
      <c r="FF463" s="165"/>
      <c r="FG463" s="109">
        <f t="shared" si="514"/>
        <v>0</v>
      </c>
      <c r="FH463" s="109">
        <f t="shared" si="515"/>
        <v>0</v>
      </c>
      <c r="FI463" s="109"/>
      <c r="FJ463" s="109"/>
      <c r="FK463" s="111"/>
      <c r="FL463" s="111"/>
      <c r="FM463" s="165"/>
      <c r="FN463" s="109">
        <f t="shared" si="516"/>
        <v>0</v>
      </c>
      <c r="FO463" s="109">
        <f t="shared" si="517"/>
        <v>0</v>
      </c>
      <c r="FP463" s="109"/>
      <c r="FQ463" s="109"/>
      <c r="FR463" s="111"/>
      <c r="FS463" s="111"/>
      <c r="FT463" s="165"/>
      <c r="FU463" s="109">
        <f t="shared" si="518"/>
        <v>0</v>
      </c>
      <c r="FV463" s="109">
        <f t="shared" si="526"/>
        <v>0</v>
      </c>
      <c r="FW463" s="109"/>
      <c r="FX463" s="109"/>
      <c r="FY463" s="111"/>
      <c r="FZ463" s="111"/>
      <c r="GA463" s="165"/>
      <c r="GB463" s="109">
        <f t="shared" si="519"/>
        <v>0</v>
      </c>
      <c r="GC463" s="109">
        <f t="shared" si="527"/>
        <v>0</v>
      </c>
      <c r="GD463" s="109"/>
      <c r="GE463" s="109"/>
      <c r="GF463" s="111"/>
      <c r="GG463" s="111"/>
      <c r="GH463" s="165"/>
      <c r="GI463" s="109">
        <f t="shared" si="520"/>
        <v>0</v>
      </c>
      <c r="GJ463" s="109">
        <f t="shared" si="528"/>
        <v>0</v>
      </c>
      <c r="GK463" s="109"/>
      <c r="GL463" s="109"/>
      <c r="GM463" s="111"/>
      <c r="GN463" s="111"/>
      <c r="GO463" s="165"/>
      <c r="GP463" s="109">
        <f t="shared" si="521"/>
        <v>0</v>
      </c>
      <c r="GQ463" s="109">
        <f t="shared" si="529"/>
        <v>0</v>
      </c>
      <c r="GR463" s="109"/>
      <c r="GS463" s="109"/>
      <c r="GT463" s="111"/>
      <c r="GU463" s="111"/>
      <c r="GV463" s="165"/>
      <c r="GW463" s="168">
        <f t="shared" si="522"/>
        <v>0</v>
      </c>
      <c r="GX463" s="168">
        <f t="shared" si="530"/>
        <v>0</v>
      </c>
      <c r="GY463" s="168"/>
      <c r="GZ463" s="168"/>
      <c r="HA463" s="111"/>
      <c r="HB463" s="111"/>
      <c r="HC463" s="165"/>
      <c r="HD463" s="109">
        <f t="shared" si="523"/>
        <v>0</v>
      </c>
      <c r="HE463" s="109">
        <f t="shared" si="531"/>
        <v>0</v>
      </c>
      <c r="HF463" s="109"/>
      <c r="HG463" s="109"/>
      <c r="HH463" s="111"/>
      <c r="HI463" s="111"/>
      <c r="HJ463" s="165"/>
      <c r="HK463" s="109">
        <f t="shared" si="524"/>
        <v>0</v>
      </c>
      <c r="HL463" s="109">
        <f t="shared" si="532"/>
        <v>0</v>
      </c>
      <c r="HM463" s="109"/>
      <c r="HN463" s="109"/>
      <c r="HO463" s="111"/>
      <c r="HP463" s="111"/>
      <c r="HQ463" s="165"/>
      <c r="HR463" s="109">
        <f t="shared" si="525"/>
        <v>0</v>
      </c>
      <c r="HS463" s="109">
        <f t="shared" si="533"/>
        <v>0</v>
      </c>
      <c r="HT463" s="109"/>
      <c r="HU463" s="109"/>
      <c r="HV463" s="111"/>
      <c r="HW463" s="111"/>
      <c r="HX463" s="105">
        <f t="shared" si="551"/>
        <v>0</v>
      </c>
      <c r="HY463" s="105">
        <f t="shared" si="551"/>
        <v>0</v>
      </c>
      <c r="HZ463" s="105">
        <f t="shared" si="551"/>
        <v>0</v>
      </c>
      <c r="IA463" s="105">
        <f t="shared" si="545"/>
        <v>0</v>
      </c>
      <c r="IB463" s="109">
        <f t="shared" si="546"/>
        <v>0</v>
      </c>
      <c r="IC463" s="109">
        <f t="shared" si="547"/>
        <v>0</v>
      </c>
      <c r="ID463" s="109">
        <f t="shared" si="548"/>
        <v>0</v>
      </c>
      <c r="IE463" s="109">
        <f t="shared" si="549"/>
        <v>0</v>
      </c>
      <c r="IF463" s="197"/>
      <c r="IG463" s="197"/>
      <c r="IH463" s="197"/>
      <c r="II463" s="197"/>
      <c r="IJ463" s="197"/>
      <c r="IK463" s="197"/>
      <c r="IL463" s="197"/>
      <c r="IM463" s="171"/>
      <c r="IN463" s="171"/>
      <c r="IO463" s="171"/>
      <c r="IP463" s="171"/>
    </row>
    <row r="464" spans="1:250" ht="15" customHeight="1" x14ac:dyDescent="0.3">
      <c r="A464" s="110">
        <f t="shared" si="550"/>
        <v>460</v>
      </c>
      <c r="B464" s="111"/>
      <c r="C464" s="111"/>
      <c r="D464" s="111"/>
      <c r="E464" s="111"/>
      <c r="F464" s="111"/>
      <c r="G464" s="111"/>
      <c r="H464" s="111"/>
      <c r="I464" s="194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75"/>
      <c r="AI464" s="111"/>
      <c r="AJ464" s="111"/>
      <c r="AK464" s="111"/>
      <c r="AL464" s="177"/>
      <c r="AM464" s="176"/>
      <c r="AN464" s="177"/>
      <c r="AO464" s="157"/>
      <c r="AP464" s="158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  <c r="BG464" s="111"/>
      <c r="BH464" s="111"/>
      <c r="BI464" s="111"/>
      <c r="BJ464" s="111"/>
      <c r="BK464" s="111"/>
      <c r="BL464" s="175"/>
      <c r="BM464" s="111"/>
      <c r="BN464" s="111"/>
      <c r="BO464" s="111"/>
      <c r="BP464" s="111"/>
      <c r="BQ464" s="111"/>
      <c r="BR464" s="111"/>
      <c r="BS464" s="111"/>
      <c r="BT464" s="111"/>
      <c r="BU464" s="111"/>
      <c r="BV464" s="111"/>
      <c r="BW464" s="111"/>
      <c r="BX464" s="111"/>
      <c r="BY464" s="111"/>
      <c r="BZ464" s="111"/>
      <c r="CA464" s="111"/>
      <c r="CB464" s="111"/>
      <c r="CC464" s="178"/>
      <c r="CD464" s="177">
        <f t="shared" si="534"/>
        <v>0</v>
      </c>
      <c r="CE464" s="148"/>
      <c r="CF464" s="111">
        <f t="shared" si="535"/>
        <v>0</v>
      </c>
      <c r="CG464" s="177"/>
      <c r="CH464" s="204"/>
      <c r="CI464" s="148"/>
      <c r="CJ464" s="165"/>
      <c r="CK464" s="165"/>
      <c r="CL464" s="111"/>
      <c r="CM464" s="111"/>
      <c r="CN464" s="165">
        <f t="shared" si="536"/>
        <v>0</v>
      </c>
      <c r="CO464" s="109">
        <f t="shared" si="537"/>
        <v>0</v>
      </c>
      <c r="CP464" s="109">
        <f t="shared" si="538"/>
        <v>0</v>
      </c>
      <c r="CQ464" s="109"/>
      <c r="CR464" s="109"/>
      <c r="CS464" s="196"/>
      <c r="CT464" s="167"/>
      <c r="CU464" s="165"/>
      <c r="CV464" s="109">
        <f t="shared" si="539"/>
        <v>0</v>
      </c>
      <c r="CW464" s="109">
        <f t="shared" si="540"/>
        <v>0</v>
      </c>
      <c r="CX464" s="109"/>
      <c r="CY464" s="109"/>
      <c r="CZ464" s="111"/>
      <c r="DA464" s="111"/>
      <c r="DB464" s="165"/>
      <c r="DC464" s="109">
        <f t="shared" si="541"/>
        <v>0</v>
      </c>
      <c r="DD464" s="109">
        <f t="shared" si="542"/>
        <v>0</v>
      </c>
      <c r="DE464" s="109"/>
      <c r="DF464" s="109"/>
      <c r="DG464" s="111"/>
      <c r="DH464" s="111"/>
      <c r="DI464" s="165"/>
      <c r="DJ464" s="109">
        <f t="shared" si="543"/>
        <v>0</v>
      </c>
      <c r="DK464" s="109">
        <f t="shared" si="544"/>
        <v>0</v>
      </c>
      <c r="DL464" s="109"/>
      <c r="DM464" s="109"/>
      <c r="DN464" s="111"/>
      <c r="DO464" s="111"/>
      <c r="DP464" s="165"/>
      <c r="DQ464" s="109">
        <f t="shared" si="502"/>
        <v>0</v>
      </c>
      <c r="DR464" s="109">
        <f t="shared" si="503"/>
        <v>0</v>
      </c>
      <c r="DS464" s="109"/>
      <c r="DT464" s="109"/>
      <c r="DU464" s="111"/>
      <c r="DV464" s="111"/>
      <c r="DW464" s="165"/>
      <c r="DX464" s="109">
        <f t="shared" si="504"/>
        <v>0</v>
      </c>
      <c r="DY464" s="109">
        <f t="shared" si="505"/>
        <v>0</v>
      </c>
      <c r="DZ464" s="109"/>
      <c r="EA464" s="109"/>
      <c r="EB464" s="111"/>
      <c r="EC464" s="111"/>
      <c r="ED464" s="165"/>
      <c r="EE464" s="109">
        <f t="shared" si="506"/>
        <v>0</v>
      </c>
      <c r="EF464" s="109">
        <f t="shared" si="507"/>
        <v>0</v>
      </c>
      <c r="EG464" s="109"/>
      <c r="EH464" s="109"/>
      <c r="EI464" s="111"/>
      <c r="EJ464" s="111"/>
      <c r="EK464" s="165"/>
      <c r="EL464" s="109">
        <f t="shared" si="508"/>
        <v>0</v>
      </c>
      <c r="EM464" s="109">
        <f t="shared" si="509"/>
        <v>0</v>
      </c>
      <c r="EN464" s="109"/>
      <c r="EO464" s="109"/>
      <c r="EP464" s="111"/>
      <c r="EQ464" s="111"/>
      <c r="ER464" s="165"/>
      <c r="ES464" s="109">
        <f t="shared" si="510"/>
        <v>0</v>
      </c>
      <c r="ET464" s="109">
        <f t="shared" si="511"/>
        <v>0</v>
      </c>
      <c r="EU464" s="109"/>
      <c r="EV464" s="109"/>
      <c r="EW464" s="111"/>
      <c r="EX464" s="111"/>
      <c r="EY464" s="165"/>
      <c r="EZ464" s="109">
        <f t="shared" si="512"/>
        <v>0</v>
      </c>
      <c r="FA464" s="109">
        <f t="shared" si="513"/>
        <v>0</v>
      </c>
      <c r="FB464" s="109"/>
      <c r="FC464" s="109"/>
      <c r="FD464" s="111"/>
      <c r="FE464" s="111"/>
      <c r="FF464" s="165"/>
      <c r="FG464" s="109">
        <f t="shared" si="514"/>
        <v>0</v>
      </c>
      <c r="FH464" s="109">
        <f t="shared" si="515"/>
        <v>0</v>
      </c>
      <c r="FI464" s="109"/>
      <c r="FJ464" s="109"/>
      <c r="FK464" s="111"/>
      <c r="FL464" s="111"/>
      <c r="FM464" s="165"/>
      <c r="FN464" s="109">
        <f t="shared" si="516"/>
        <v>0</v>
      </c>
      <c r="FO464" s="109">
        <f t="shared" si="517"/>
        <v>0</v>
      </c>
      <c r="FP464" s="109"/>
      <c r="FQ464" s="109"/>
      <c r="FR464" s="111"/>
      <c r="FS464" s="111"/>
      <c r="FT464" s="165"/>
      <c r="FU464" s="109">
        <f t="shared" si="518"/>
        <v>0</v>
      </c>
      <c r="FV464" s="109">
        <f t="shared" si="526"/>
        <v>0</v>
      </c>
      <c r="FW464" s="109"/>
      <c r="FX464" s="109"/>
      <c r="FY464" s="111"/>
      <c r="FZ464" s="111"/>
      <c r="GA464" s="165"/>
      <c r="GB464" s="109">
        <f t="shared" si="519"/>
        <v>0</v>
      </c>
      <c r="GC464" s="109">
        <f t="shared" si="527"/>
        <v>0</v>
      </c>
      <c r="GD464" s="109"/>
      <c r="GE464" s="109"/>
      <c r="GF464" s="111"/>
      <c r="GG464" s="111"/>
      <c r="GH464" s="165"/>
      <c r="GI464" s="109">
        <f t="shared" si="520"/>
        <v>0</v>
      </c>
      <c r="GJ464" s="109">
        <f t="shared" si="528"/>
        <v>0</v>
      </c>
      <c r="GK464" s="109"/>
      <c r="GL464" s="109"/>
      <c r="GM464" s="111"/>
      <c r="GN464" s="111"/>
      <c r="GO464" s="165"/>
      <c r="GP464" s="109">
        <f t="shared" si="521"/>
        <v>0</v>
      </c>
      <c r="GQ464" s="109">
        <f t="shared" si="529"/>
        <v>0</v>
      </c>
      <c r="GR464" s="109"/>
      <c r="GS464" s="109"/>
      <c r="GT464" s="111"/>
      <c r="GU464" s="111"/>
      <c r="GV464" s="165"/>
      <c r="GW464" s="168">
        <f t="shared" si="522"/>
        <v>0</v>
      </c>
      <c r="GX464" s="168">
        <f t="shared" si="530"/>
        <v>0</v>
      </c>
      <c r="GY464" s="168"/>
      <c r="GZ464" s="168"/>
      <c r="HA464" s="111"/>
      <c r="HB464" s="111"/>
      <c r="HC464" s="165"/>
      <c r="HD464" s="109">
        <f t="shared" si="523"/>
        <v>0</v>
      </c>
      <c r="HE464" s="109">
        <f t="shared" si="531"/>
        <v>0</v>
      </c>
      <c r="HF464" s="109"/>
      <c r="HG464" s="109"/>
      <c r="HH464" s="111"/>
      <c r="HI464" s="111"/>
      <c r="HJ464" s="165"/>
      <c r="HK464" s="109">
        <f t="shared" si="524"/>
        <v>0</v>
      </c>
      <c r="HL464" s="109">
        <f t="shared" si="532"/>
        <v>0</v>
      </c>
      <c r="HM464" s="109"/>
      <c r="HN464" s="109"/>
      <c r="HO464" s="111"/>
      <c r="HP464" s="111"/>
      <c r="HQ464" s="165"/>
      <c r="HR464" s="109">
        <f t="shared" si="525"/>
        <v>0</v>
      </c>
      <c r="HS464" s="109">
        <f t="shared" si="533"/>
        <v>0</v>
      </c>
      <c r="HT464" s="109"/>
      <c r="HU464" s="109"/>
      <c r="HV464" s="111"/>
      <c r="HW464" s="111"/>
      <c r="HX464" s="105">
        <f t="shared" si="551"/>
        <v>0</v>
      </c>
      <c r="HY464" s="105">
        <f t="shared" si="551"/>
        <v>0</v>
      </c>
      <c r="HZ464" s="105">
        <f t="shared" si="551"/>
        <v>0</v>
      </c>
      <c r="IA464" s="105">
        <f t="shared" si="545"/>
        <v>0</v>
      </c>
      <c r="IB464" s="109">
        <f t="shared" si="546"/>
        <v>0</v>
      </c>
      <c r="IC464" s="109">
        <f t="shared" si="547"/>
        <v>0</v>
      </c>
      <c r="ID464" s="109">
        <f t="shared" si="548"/>
        <v>0</v>
      </c>
      <c r="IE464" s="109">
        <f t="shared" si="549"/>
        <v>0</v>
      </c>
      <c r="IF464" s="197"/>
      <c r="IG464" s="197"/>
      <c r="IH464" s="197"/>
      <c r="II464" s="197"/>
      <c r="IJ464" s="197"/>
      <c r="IK464" s="197"/>
      <c r="IL464" s="197"/>
      <c r="IM464" s="171"/>
      <c r="IN464" s="171"/>
      <c r="IO464" s="171"/>
      <c r="IP464" s="171"/>
    </row>
    <row r="465" spans="1:250" ht="15" customHeight="1" x14ac:dyDescent="0.3">
      <c r="A465" s="110">
        <f t="shared" si="550"/>
        <v>461</v>
      </c>
      <c r="B465" s="111"/>
      <c r="C465" s="111"/>
      <c r="D465" s="111"/>
      <c r="E465" s="111"/>
      <c r="F465" s="111"/>
      <c r="G465" s="111"/>
      <c r="H465" s="111"/>
      <c r="I465" s="194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75"/>
      <c r="AI465" s="111"/>
      <c r="AJ465" s="111"/>
      <c r="AK465" s="111"/>
      <c r="AL465" s="177"/>
      <c r="AM465" s="176"/>
      <c r="AN465" s="177"/>
      <c r="AO465" s="157"/>
      <c r="AP465" s="158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  <c r="BG465" s="111"/>
      <c r="BH465" s="111"/>
      <c r="BI465" s="111"/>
      <c r="BJ465" s="111"/>
      <c r="BK465" s="111"/>
      <c r="BL465" s="175"/>
      <c r="BM465" s="111"/>
      <c r="BN465" s="111"/>
      <c r="BO465" s="111"/>
      <c r="BP465" s="111"/>
      <c r="BQ465" s="111"/>
      <c r="BR465" s="111"/>
      <c r="BS465" s="111"/>
      <c r="BT465" s="111"/>
      <c r="BU465" s="111"/>
      <c r="BV465" s="111"/>
      <c r="BW465" s="111"/>
      <c r="BX465" s="111"/>
      <c r="BY465" s="111"/>
      <c r="BZ465" s="111"/>
      <c r="CA465" s="111"/>
      <c r="CB465" s="111"/>
      <c r="CC465" s="178"/>
      <c r="CD465" s="177">
        <f t="shared" si="534"/>
        <v>0</v>
      </c>
      <c r="CE465" s="148"/>
      <c r="CF465" s="111">
        <f t="shared" si="535"/>
        <v>0</v>
      </c>
      <c r="CG465" s="177"/>
      <c r="CH465" s="204"/>
      <c r="CI465" s="148"/>
      <c r="CJ465" s="165"/>
      <c r="CK465" s="165"/>
      <c r="CL465" s="111"/>
      <c r="CM465" s="111"/>
      <c r="CN465" s="165">
        <f t="shared" si="536"/>
        <v>0</v>
      </c>
      <c r="CO465" s="109">
        <f t="shared" si="537"/>
        <v>0</v>
      </c>
      <c r="CP465" s="109">
        <f t="shared" si="538"/>
        <v>0</v>
      </c>
      <c r="CQ465" s="109"/>
      <c r="CR465" s="109"/>
      <c r="CS465" s="196"/>
      <c r="CT465" s="167"/>
      <c r="CU465" s="165"/>
      <c r="CV465" s="109">
        <f t="shared" si="539"/>
        <v>0</v>
      </c>
      <c r="CW465" s="109">
        <f t="shared" si="540"/>
        <v>0</v>
      </c>
      <c r="CX465" s="109"/>
      <c r="CY465" s="109"/>
      <c r="CZ465" s="111"/>
      <c r="DA465" s="111"/>
      <c r="DB465" s="165"/>
      <c r="DC465" s="109">
        <f t="shared" si="541"/>
        <v>0</v>
      </c>
      <c r="DD465" s="109">
        <f t="shared" si="542"/>
        <v>0</v>
      </c>
      <c r="DE465" s="109"/>
      <c r="DF465" s="109"/>
      <c r="DG465" s="111"/>
      <c r="DH465" s="111"/>
      <c r="DI465" s="165"/>
      <c r="DJ465" s="109">
        <f t="shared" si="543"/>
        <v>0</v>
      </c>
      <c r="DK465" s="109">
        <f t="shared" si="544"/>
        <v>0</v>
      </c>
      <c r="DL465" s="109"/>
      <c r="DM465" s="109"/>
      <c r="DN465" s="111"/>
      <c r="DO465" s="111"/>
      <c r="DP465" s="165"/>
      <c r="DQ465" s="109">
        <f t="shared" si="502"/>
        <v>0</v>
      </c>
      <c r="DR465" s="109">
        <f t="shared" si="503"/>
        <v>0</v>
      </c>
      <c r="DS465" s="109"/>
      <c r="DT465" s="109"/>
      <c r="DU465" s="111"/>
      <c r="DV465" s="111"/>
      <c r="DW465" s="165"/>
      <c r="DX465" s="109">
        <f t="shared" si="504"/>
        <v>0</v>
      </c>
      <c r="DY465" s="109">
        <f t="shared" si="505"/>
        <v>0</v>
      </c>
      <c r="DZ465" s="109"/>
      <c r="EA465" s="109"/>
      <c r="EB465" s="111"/>
      <c r="EC465" s="111"/>
      <c r="ED465" s="165"/>
      <c r="EE465" s="109">
        <f t="shared" si="506"/>
        <v>0</v>
      </c>
      <c r="EF465" s="109">
        <f t="shared" si="507"/>
        <v>0</v>
      </c>
      <c r="EG465" s="109"/>
      <c r="EH465" s="109"/>
      <c r="EI465" s="111"/>
      <c r="EJ465" s="111"/>
      <c r="EK465" s="165"/>
      <c r="EL465" s="109">
        <f t="shared" si="508"/>
        <v>0</v>
      </c>
      <c r="EM465" s="109">
        <f t="shared" si="509"/>
        <v>0</v>
      </c>
      <c r="EN465" s="109"/>
      <c r="EO465" s="109"/>
      <c r="EP465" s="111"/>
      <c r="EQ465" s="111"/>
      <c r="ER465" s="165"/>
      <c r="ES465" s="109">
        <f t="shared" si="510"/>
        <v>0</v>
      </c>
      <c r="ET465" s="109">
        <f t="shared" si="511"/>
        <v>0</v>
      </c>
      <c r="EU465" s="109"/>
      <c r="EV465" s="109"/>
      <c r="EW465" s="111"/>
      <c r="EX465" s="111"/>
      <c r="EY465" s="165"/>
      <c r="EZ465" s="109">
        <f t="shared" si="512"/>
        <v>0</v>
      </c>
      <c r="FA465" s="109">
        <f t="shared" si="513"/>
        <v>0</v>
      </c>
      <c r="FB465" s="109"/>
      <c r="FC465" s="109"/>
      <c r="FD465" s="111"/>
      <c r="FE465" s="111"/>
      <c r="FF465" s="165"/>
      <c r="FG465" s="109">
        <f t="shared" si="514"/>
        <v>0</v>
      </c>
      <c r="FH465" s="109">
        <f t="shared" si="515"/>
        <v>0</v>
      </c>
      <c r="FI465" s="109"/>
      <c r="FJ465" s="109"/>
      <c r="FK465" s="111"/>
      <c r="FL465" s="111"/>
      <c r="FM465" s="165"/>
      <c r="FN465" s="109">
        <f t="shared" si="516"/>
        <v>0</v>
      </c>
      <c r="FO465" s="109">
        <f t="shared" si="517"/>
        <v>0</v>
      </c>
      <c r="FP465" s="109"/>
      <c r="FQ465" s="109"/>
      <c r="FR465" s="111"/>
      <c r="FS465" s="111"/>
      <c r="FT465" s="165"/>
      <c r="FU465" s="109">
        <f t="shared" si="518"/>
        <v>0</v>
      </c>
      <c r="FV465" s="109">
        <f t="shared" si="526"/>
        <v>0</v>
      </c>
      <c r="FW465" s="109"/>
      <c r="FX465" s="109"/>
      <c r="FY465" s="111"/>
      <c r="FZ465" s="111"/>
      <c r="GA465" s="165"/>
      <c r="GB465" s="109">
        <f t="shared" si="519"/>
        <v>0</v>
      </c>
      <c r="GC465" s="109">
        <f t="shared" si="527"/>
        <v>0</v>
      </c>
      <c r="GD465" s="109"/>
      <c r="GE465" s="109"/>
      <c r="GF465" s="111"/>
      <c r="GG465" s="111"/>
      <c r="GH465" s="165"/>
      <c r="GI465" s="109">
        <f t="shared" si="520"/>
        <v>0</v>
      </c>
      <c r="GJ465" s="109">
        <f t="shared" si="528"/>
        <v>0</v>
      </c>
      <c r="GK465" s="109"/>
      <c r="GL465" s="109"/>
      <c r="GM465" s="111"/>
      <c r="GN465" s="111"/>
      <c r="GO465" s="165"/>
      <c r="GP465" s="109">
        <f t="shared" si="521"/>
        <v>0</v>
      </c>
      <c r="GQ465" s="109">
        <f t="shared" si="529"/>
        <v>0</v>
      </c>
      <c r="GR465" s="109"/>
      <c r="GS465" s="109"/>
      <c r="GT465" s="111"/>
      <c r="GU465" s="111"/>
      <c r="GV465" s="165"/>
      <c r="GW465" s="168">
        <f t="shared" si="522"/>
        <v>0</v>
      </c>
      <c r="GX465" s="168">
        <f t="shared" si="530"/>
        <v>0</v>
      </c>
      <c r="GY465" s="168"/>
      <c r="GZ465" s="168"/>
      <c r="HA465" s="111"/>
      <c r="HB465" s="111"/>
      <c r="HC465" s="165"/>
      <c r="HD465" s="109">
        <f t="shared" si="523"/>
        <v>0</v>
      </c>
      <c r="HE465" s="109">
        <f t="shared" si="531"/>
        <v>0</v>
      </c>
      <c r="HF465" s="109"/>
      <c r="HG465" s="109"/>
      <c r="HH465" s="111"/>
      <c r="HI465" s="111"/>
      <c r="HJ465" s="165"/>
      <c r="HK465" s="109">
        <f t="shared" si="524"/>
        <v>0</v>
      </c>
      <c r="HL465" s="109">
        <f t="shared" si="532"/>
        <v>0</v>
      </c>
      <c r="HM465" s="109"/>
      <c r="HN465" s="109"/>
      <c r="HO465" s="111"/>
      <c r="HP465" s="111"/>
      <c r="HQ465" s="165"/>
      <c r="HR465" s="109">
        <f t="shared" si="525"/>
        <v>0</v>
      </c>
      <c r="HS465" s="109">
        <f t="shared" si="533"/>
        <v>0</v>
      </c>
      <c r="HT465" s="109"/>
      <c r="HU465" s="109"/>
      <c r="HV465" s="111"/>
      <c r="HW465" s="111"/>
      <c r="HX465" s="105">
        <f t="shared" si="551"/>
        <v>0</v>
      </c>
      <c r="HY465" s="105">
        <f t="shared" si="551"/>
        <v>0</v>
      </c>
      <c r="HZ465" s="105">
        <f t="shared" si="551"/>
        <v>0</v>
      </c>
      <c r="IA465" s="105">
        <f t="shared" si="545"/>
        <v>0</v>
      </c>
      <c r="IB465" s="109">
        <f t="shared" si="546"/>
        <v>0</v>
      </c>
      <c r="IC465" s="109">
        <f t="shared" si="547"/>
        <v>0</v>
      </c>
      <c r="ID465" s="109">
        <f t="shared" si="548"/>
        <v>0</v>
      </c>
      <c r="IE465" s="109">
        <f t="shared" si="549"/>
        <v>0</v>
      </c>
      <c r="IF465" s="197"/>
      <c r="IG465" s="197"/>
      <c r="IH465" s="197"/>
      <c r="II465" s="197"/>
      <c r="IJ465" s="197"/>
      <c r="IK465" s="197"/>
      <c r="IL465" s="197"/>
      <c r="IM465" s="171"/>
      <c r="IN465" s="171"/>
      <c r="IO465" s="171"/>
      <c r="IP465" s="171"/>
    </row>
    <row r="466" spans="1:250" ht="15" customHeight="1" x14ac:dyDescent="0.3">
      <c r="A466" s="110">
        <f t="shared" si="550"/>
        <v>462</v>
      </c>
      <c r="B466" s="111"/>
      <c r="C466" s="111"/>
      <c r="D466" s="111"/>
      <c r="E466" s="111"/>
      <c r="F466" s="111"/>
      <c r="G466" s="111"/>
      <c r="H466" s="111"/>
      <c r="I466" s="194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75"/>
      <c r="AI466" s="111"/>
      <c r="AJ466" s="111"/>
      <c r="AK466" s="111"/>
      <c r="AL466" s="177"/>
      <c r="AM466" s="176"/>
      <c r="AN466" s="177"/>
      <c r="AO466" s="157"/>
      <c r="AP466" s="158"/>
      <c r="AQ466" s="111"/>
      <c r="AR466" s="111"/>
      <c r="AS466" s="111"/>
      <c r="AT466" s="111"/>
      <c r="AU466" s="111"/>
      <c r="AV466" s="111"/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  <c r="BG466" s="111"/>
      <c r="BH466" s="111"/>
      <c r="BI466" s="111"/>
      <c r="BJ466" s="111"/>
      <c r="BK466" s="111"/>
      <c r="BL466" s="175"/>
      <c r="BM466" s="111"/>
      <c r="BN466" s="111"/>
      <c r="BO466" s="111"/>
      <c r="BP466" s="111"/>
      <c r="BQ466" s="111"/>
      <c r="BR466" s="111"/>
      <c r="BS466" s="111"/>
      <c r="BT466" s="111"/>
      <c r="BU466" s="111"/>
      <c r="BV466" s="111"/>
      <c r="BW466" s="111"/>
      <c r="BX466" s="111"/>
      <c r="BY466" s="111"/>
      <c r="BZ466" s="111"/>
      <c r="CA466" s="111"/>
      <c r="CB466" s="111"/>
      <c r="CC466" s="178"/>
      <c r="CD466" s="177">
        <f t="shared" si="534"/>
        <v>0</v>
      </c>
      <c r="CE466" s="148"/>
      <c r="CF466" s="111">
        <f t="shared" si="535"/>
        <v>0</v>
      </c>
      <c r="CG466" s="177"/>
      <c r="CH466" s="204"/>
      <c r="CI466" s="148"/>
      <c r="CJ466" s="165"/>
      <c r="CK466" s="165"/>
      <c r="CL466" s="111"/>
      <c r="CM466" s="111"/>
      <c r="CN466" s="165">
        <f t="shared" si="536"/>
        <v>0</v>
      </c>
      <c r="CO466" s="109">
        <f t="shared" si="537"/>
        <v>0</v>
      </c>
      <c r="CP466" s="109">
        <f t="shared" si="538"/>
        <v>0</v>
      </c>
      <c r="CQ466" s="109"/>
      <c r="CR466" s="109"/>
      <c r="CS466" s="196"/>
      <c r="CT466" s="167"/>
      <c r="CU466" s="165"/>
      <c r="CV466" s="109">
        <f t="shared" si="539"/>
        <v>0</v>
      </c>
      <c r="CW466" s="109">
        <f t="shared" si="540"/>
        <v>0</v>
      </c>
      <c r="CX466" s="109"/>
      <c r="CY466" s="109"/>
      <c r="CZ466" s="111"/>
      <c r="DA466" s="111"/>
      <c r="DB466" s="165"/>
      <c r="DC466" s="109">
        <f t="shared" si="541"/>
        <v>0</v>
      </c>
      <c r="DD466" s="109">
        <f t="shared" si="542"/>
        <v>0</v>
      </c>
      <c r="DE466" s="109"/>
      <c r="DF466" s="109"/>
      <c r="DG466" s="111"/>
      <c r="DH466" s="111"/>
      <c r="DI466" s="165"/>
      <c r="DJ466" s="109">
        <f t="shared" si="543"/>
        <v>0</v>
      </c>
      <c r="DK466" s="109">
        <f t="shared" si="544"/>
        <v>0</v>
      </c>
      <c r="DL466" s="109"/>
      <c r="DM466" s="109"/>
      <c r="DN466" s="111"/>
      <c r="DO466" s="111"/>
      <c r="DP466" s="165"/>
      <c r="DQ466" s="109">
        <f t="shared" si="502"/>
        <v>0</v>
      </c>
      <c r="DR466" s="109">
        <f t="shared" si="503"/>
        <v>0</v>
      </c>
      <c r="DS466" s="109"/>
      <c r="DT466" s="109"/>
      <c r="DU466" s="111"/>
      <c r="DV466" s="111"/>
      <c r="DW466" s="165"/>
      <c r="DX466" s="109">
        <f t="shared" si="504"/>
        <v>0</v>
      </c>
      <c r="DY466" s="109">
        <f t="shared" si="505"/>
        <v>0</v>
      </c>
      <c r="DZ466" s="109"/>
      <c r="EA466" s="109"/>
      <c r="EB466" s="111"/>
      <c r="EC466" s="111"/>
      <c r="ED466" s="165"/>
      <c r="EE466" s="109">
        <f t="shared" si="506"/>
        <v>0</v>
      </c>
      <c r="EF466" s="109">
        <f t="shared" si="507"/>
        <v>0</v>
      </c>
      <c r="EG466" s="109"/>
      <c r="EH466" s="109"/>
      <c r="EI466" s="111"/>
      <c r="EJ466" s="111"/>
      <c r="EK466" s="165"/>
      <c r="EL466" s="109">
        <f t="shared" si="508"/>
        <v>0</v>
      </c>
      <c r="EM466" s="109">
        <f t="shared" si="509"/>
        <v>0</v>
      </c>
      <c r="EN466" s="109"/>
      <c r="EO466" s="109"/>
      <c r="EP466" s="111"/>
      <c r="EQ466" s="111"/>
      <c r="ER466" s="165"/>
      <c r="ES466" s="109">
        <f t="shared" si="510"/>
        <v>0</v>
      </c>
      <c r="ET466" s="109">
        <f t="shared" si="511"/>
        <v>0</v>
      </c>
      <c r="EU466" s="109"/>
      <c r="EV466" s="109"/>
      <c r="EW466" s="111"/>
      <c r="EX466" s="111"/>
      <c r="EY466" s="165"/>
      <c r="EZ466" s="109">
        <f t="shared" si="512"/>
        <v>0</v>
      </c>
      <c r="FA466" s="109">
        <f t="shared" si="513"/>
        <v>0</v>
      </c>
      <c r="FB466" s="109"/>
      <c r="FC466" s="109"/>
      <c r="FD466" s="111"/>
      <c r="FE466" s="111"/>
      <c r="FF466" s="165"/>
      <c r="FG466" s="109">
        <f t="shared" si="514"/>
        <v>0</v>
      </c>
      <c r="FH466" s="109">
        <f t="shared" si="515"/>
        <v>0</v>
      </c>
      <c r="FI466" s="109"/>
      <c r="FJ466" s="109"/>
      <c r="FK466" s="111"/>
      <c r="FL466" s="111"/>
      <c r="FM466" s="165"/>
      <c r="FN466" s="109">
        <f t="shared" si="516"/>
        <v>0</v>
      </c>
      <c r="FO466" s="109">
        <f t="shared" si="517"/>
        <v>0</v>
      </c>
      <c r="FP466" s="109"/>
      <c r="FQ466" s="109"/>
      <c r="FR466" s="111"/>
      <c r="FS466" s="111"/>
      <c r="FT466" s="165"/>
      <c r="FU466" s="109">
        <f t="shared" si="518"/>
        <v>0</v>
      </c>
      <c r="FV466" s="109">
        <f t="shared" si="526"/>
        <v>0</v>
      </c>
      <c r="FW466" s="109"/>
      <c r="FX466" s="109"/>
      <c r="FY466" s="111"/>
      <c r="FZ466" s="111"/>
      <c r="GA466" s="165"/>
      <c r="GB466" s="109">
        <f t="shared" si="519"/>
        <v>0</v>
      </c>
      <c r="GC466" s="109">
        <f t="shared" si="527"/>
        <v>0</v>
      </c>
      <c r="GD466" s="109"/>
      <c r="GE466" s="109"/>
      <c r="GF466" s="111"/>
      <c r="GG466" s="111"/>
      <c r="GH466" s="165"/>
      <c r="GI466" s="109">
        <f t="shared" si="520"/>
        <v>0</v>
      </c>
      <c r="GJ466" s="109">
        <f t="shared" si="528"/>
        <v>0</v>
      </c>
      <c r="GK466" s="109"/>
      <c r="GL466" s="109"/>
      <c r="GM466" s="111"/>
      <c r="GN466" s="111"/>
      <c r="GO466" s="165"/>
      <c r="GP466" s="109">
        <f t="shared" si="521"/>
        <v>0</v>
      </c>
      <c r="GQ466" s="109">
        <f t="shared" si="529"/>
        <v>0</v>
      </c>
      <c r="GR466" s="109"/>
      <c r="GS466" s="109"/>
      <c r="GT466" s="111"/>
      <c r="GU466" s="111"/>
      <c r="GV466" s="165"/>
      <c r="GW466" s="168">
        <f t="shared" si="522"/>
        <v>0</v>
      </c>
      <c r="GX466" s="168">
        <f t="shared" si="530"/>
        <v>0</v>
      </c>
      <c r="GY466" s="168"/>
      <c r="GZ466" s="168"/>
      <c r="HA466" s="111"/>
      <c r="HB466" s="111"/>
      <c r="HC466" s="165"/>
      <c r="HD466" s="109">
        <f t="shared" si="523"/>
        <v>0</v>
      </c>
      <c r="HE466" s="109">
        <f t="shared" si="531"/>
        <v>0</v>
      </c>
      <c r="HF466" s="109"/>
      <c r="HG466" s="109"/>
      <c r="HH466" s="111"/>
      <c r="HI466" s="111"/>
      <c r="HJ466" s="165"/>
      <c r="HK466" s="109">
        <f t="shared" si="524"/>
        <v>0</v>
      </c>
      <c r="HL466" s="109">
        <f t="shared" si="532"/>
        <v>0</v>
      </c>
      <c r="HM466" s="109"/>
      <c r="HN466" s="109"/>
      <c r="HO466" s="111"/>
      <c r="HP466" s="111"/>
      <c r="HQ466" s="165"/>
      <c r="HR466" s="109">
        <f t="shared" si="525"/>
        <v>0</v>
      </c>
      <c r="HS466" s="109">
        <f t="shared" si="533"/>
        <v>0</v>
      </c>
      <c r="HT466" s="109"/>
      <c r="HU466" s="109"/>
      <c r="HV466" s="111"/>
      <c r="HW466" s="111"/>
      <c r="HX466" s="105">
        <f t="shared" si="551"/>
        <v>0</v>
      </c>
      <c r="HY466" s="105">
        <f t="shared" si="551"/>
        <v>0</v>
      </c>
      <c r="HZ466" s="105">
        <f t="shared" si="551"/>
        <v>0</v>
      </c>
      <c r="IA466" s="105">
        <f t="shared" si="545"/>
        <v>0</v>
      </c>
      <c r="IB466" s="109">
        <f t="shared" si="546"/>
        <v>0</v>
      </c>
      <c r="IC466" s="109">
        <f t="shared" si="547"/>
        <v>0</v>
      </c>
      <c r="ID466" s="109">
        <f t="shared" si="548"/>
        <v>0</v>
      </c>
      <c r="IE466" s="109">
        <f t="shared" si="549"/>
        <v>0</v>
      </c>
      <c r="IF466" s="197"/>
      <c r="IG466" s="197"/>
      <c r="IH466" s="197"/>
      <c r="II466" s="197"/>
      <c r="IJ466" s="197"/>
      <c r="IK466" s="197"/>
      <c r="IL466" s="197"/>
      <c r="IM466" s="171"/>
      <c r="IN466" s="171"/>
      <c r="IO466" s="171"/>
      <c r="IP466" s="171"/>
    </row>
    <row r="467" spans="1:250" ht="15" customHeight="1" x14ac:dyDescent="0.3">
      <c r="A467" s="110">
        <f t="shared" si="550"/>
        <v>463</v>
      </c>
      <c r="B467" s="111"/>
      <c r="C467" s="111"/>
      <c r="D467" s="111"/>
      <c r="E467" s="111"/>
      <c r="F467" s="111"/>
      <c r="G467" s="111"/>
      <c r="H467" s="111"/>
      <c r="I467" s="194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75"/>
      <c r="AI467" s="111"/>
      <c r="AJ467" s="111"/>
      <c r="AK467" s="111"/>
      <c r="AL467" s="177"/>
      <c r="AM467" s="176"/>
      <c r="AN467" s="177"/>
      <c r="AO467" s="157"/>
      <c r="AP467" s="158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  <c r="BG467" s="111"/>
      <c r="BH467" s="111"/>
      <c r="BI467" s="111"/>
      <c r="BJ467" s="111"/>
      <c r="BK467" s="111"/>
      <c r="BL467" s="175"/>
      <c r="BM467" s="111"/>
      <c r="BN467" s="111"/>
      <c r="BO467" s="111"/>
      <c r="BP467" s="111"/>
      <c r="BQ467" s="111"/>
      <c r="BR467" s="111"/>
      <c r="BS467" s="111"/>
      <c r="BT467" s="111"/>
      <c r="BU467" s="111"/>
      <c r="BV467" s="111"/>
      <c r="BW467" s="111"/>
      <c r="BX467" s="111"/>
      <c r="BY467" s="111"/>
      <c r="BZ467" s="111"/>
      <c r="CA467" s="111"/>
      <c r="CB467" s="111"/>
      <c r="CC467" s="178"/>
      <c r="CD467" s="177">
        <f t="shared" si="534"/>
        <v>0</v>
      </c>
      <c r="CE467" s="148"/>
      <c r="CF467" s="111">
        <f t="shared" si="535"/>
        <v>0</v>
      </c>
      <c r="CG467" s="177"/>
      <c r="CH467" s="204"/>
      <c r="CI467" s="148"/>
      <c r="CJ467" s="165"/>
      <c r="CK467" s="165"/>
      <c r="CL467" s="111"/>
      <c r="CM467" s="111"/>
      <c r="CN467" s="165">
        <f t="shared" si="536"/>
        <v>0</v>
      </c>
      <c r="CO467" s="109">
        <f t="shared" si="537"/>
        <v>0</v>
      </c>
      <c r="CP467" s="109">
        <f t="shared" si="538"/>
        <v>0</v>
      </c>
      <c r="CQ467" s="109"/>
      <c r="CR467" s="109"/>
      <c r="CS467" s="196"/>
      <c r="CT467" s="167"/>
      <c r="CU467" s="165"/>
      <c r="CV467" s="109">
        <f t="shared" si="539"/>
        <v>0</v>
      </c>
      <c r="CW467" s="109">
        <f t="shared" si="540"/>
        <v>0</v>
      </c>
      <c r="CX467" s="109"/>
      <c r="CY467" s="109"/>
      <c r="CZ467" s="111"/>
      <c r="DA467" s="111"/>
      <c r="DB467" s="165"/>
      <c r="DC467" s="109">
        <f t="shared" si="541"/>
        <v>0</v>
      </c>
      <c r="DD467" s="109">
        <f t="shared" si="542"/>
        <v>0</v>
      </c>
      <c r="DE467" s="109"/>
      <c r="DF467" s="109"/>
      <c r="DG467" s="111"/>
      <c r="DH467" s="111"/>
      <c r="DI467" s="165"/>
      <c r="DJ467" s="109">
        <f t="shared" si="543"/>
        <v>0</v>
      </c>
      <c r="DK467" s="109">
        <f t="shared" si="544"/>
        <v>0</v>
      </c>
      <c r="DL467" s="109"/>
      <c r="DM467" s="109"/>
      <c r="DN467" s="111"/>
      <c r="DO467" s="111"/>
      <c r="DP467" s="165"/>
      <c r="DQ467" s="109">
        <f t="shared" si="502"/>
        <v>0</v>
      </c>
      <c r="DR467" s="109">
        <f t="shared" si="503"/>
        <v>0</v>
      </c>
      <c r="DS467" s="109"/>
      <c r="DT467" s="109"/>
      <c r="DU467" s="111"/>
      <c r="DV467" s="111"/>
      <c r="DW467" s="165"/>
      <c r="DX467" s="109">
        <f t="shared" si="504"/>
        <v>0</v>
      </c>
      <c r="DY467" s="109">
        <f t="shared" si="505"/>
        <v>0</v>
      </c>
      <c r="DZ467" s="109"/>
      <c r="EA467" s="109"/>
      <c r="EB467" s="111"/>
      <c r="EC467" s="111"/>
      <c r="ED467" s="165"/>
      <c r="EE467" s="109">
        <f t="shared" si="506"/>
        <v>0</v>
      </c>
      <c r="EF467" s="109">
        <f t="shared" si="507"/>
        <v>0</v>
      </c>
      <c r="EG467" s="109"/>
      <c r="EH467" s="109"/>
      <c r="EI467" s="111"/>
      <c r="EJ467" s="111"/>
      <c r="EK467" s="165"/>
      <c r="EL467" s="109">
        <f t="shared" si="508"/>
        <v>0</v>
      </c>
      <c r="EM467" s="109">
        <f t="shared" si="509"/>
        <v>0</v>
      </c>
      <c r="EN467" s="109"/>
      <c r="EO467" s="109"/>
      <c r="EP467" s="111"/>
      <c r="EQ467" s="111"/>
      <c r="ER467" s="165"/>
      <c r="ES467" s="109">
        <f t="shared" si="510"/>
        <v>0</v>
      </c>
      <c r="ET467" s="109">
        <f t="shared" si="511"/>
        <v>0</v>
      </c>
      <c r="EU467" s="109"/>
      <c r="EV467" s="109"/>
      <c r="EW467" s="111"/>
      <c r="EX467" s="111"/>
      <c r="EY467" s="165"/>
      <c r="EZ467" s="109">
        <f t="shared" si="512"/>
        <v>0</v>
      </c>
      <c r="FA467" s="109">
        <f t="shared" si="513"/>
        <v>0</v>
      </c>
      <c r="FB467" s="109"/>
      <c r="FC467" s="109"/>
      <c r="FD467" s="111"/>
      <c r="FE467" s="111"/>
      <c r="FF467" s="165"/>
      <c r="FG467" s="109">
        <f t="shared" si="514"/>
        <v>0</v>
      </c>
      <c r="FH467" s="109">
        <f t="shared" si="515"/>
        <v>0</v>
      </c>
      <c r="FI467" s="109"/>
      <c r="FJ467" s="109"/>
      <c r="FK467" s="111"/>
      <c r="FL467" s="111"/>
      <c r="FM467" s="165"/>
      <c r="FN467" s="109">
        <f t="shared" si="516"/>
        <v>0</v>
      </c>
      <c r="FO467" s="109">
        <f t="shared" si="517"/>
        <v>0</v>
      </c>
      <c r="FP467" s="109"/>
      <c r="FQ467" s="109"/>
      <c r="FR467" s="111"/>
      <c r="FS467" s="111"/>
      <c r="FT467" s="165"/>
      <c r="FU467" s="109">
        <f t="shared" si="518"/>
        <v>0</v>
      </c>
      <c r="FV467" s="109">
        <f t="shared" si="526"/>
        <v>0</v>
      </c>
      <c r="FW467" s="109"/>
      <c r="FX467" s="109"/>
      <c r="FY467" s="111"/>
      <c r="FZ467" s="111"/>
      <c r="GA467" s="165"/>
      <c r="GB467" s="109">
        <f t="shared" si="519"/>
        <v>0</v>
      </c>
      <c r="GC467" s="109">
        <f t="shared" si="527"/>
        <v>0</v>
      </c>
      <c r="GD467" s="109"/>
      <c r="GE467" s="109"/>
      <c r="GF467" s="111"/>
      <c r="GG467" s="111"/>
      <c r="GH467" s="165"/>
      <c r="GI467" s="109">
        <f t="shared" si="520"/>
        <v>0</v>
      </c>
      <c r="GJ467" s="109">
        <f t="shared" si="528"/>
        <v>0</v>
      </c>
      <c r="GK467" s="109"/>
      <c r="GL467" s="109"/>
      <c r="GM467" s="111"/>
      <c r="GN467" s="111"/>
      <c r="GO467" s="165"/>
      <c r="GP467" s="109">
        <f t="shared" si="521"/>
        <v>0</v>
      </c>
      <c r="GQ467" s="109">
        <f t="shared" si="529"/>
        <v>0</v>
      </c>
      <c r="GR467" s="109"/>
      <c r="GS467" s="109"/>
      <c r="GT467" s="111"/>
      <c r="GU467" s="111"/>
      <c r="GV467" s="165"/>
      <c r="GW467" s="168">
        <f t="shared" si="522"/>
        <v>0</v>
      </c>
      <c r="GX467" s="168">
        <f t="shared" si="530"/>
        <v>0</v>
      </c>
      <c r="GY467" s="168"/>
      <c r="GZ467" s="168"/>
      <c r="HA467" s="111"/>
      <c r="HB467" s="111"/>
      <c r="HC467" s="165"/>
      <c r="HD467" s="109">
        <f t="shared" si="523"/>
        <v>0</v>
      </c>
      <c r="HE467" s="109">
        <f t="shared" si="531"/>
        <v>0</v>
      </c>
      <c r="HF467" s="109"/>
      <c r="HG467" s="109"/>
      <c r="HH467" s="111"/>
      <c r="HI467" s="111"/>
      <c r="HJ467" s="165"/>
      <c r="HK467" s="109">
        <f t="shared" si="524"/>
        <v>0</v>
      </c>
      <c r="HL467" s="109">
        <f t="shared" si="532"/>
        <v>0</v>
      </c>
      <c r="HM467" s="109"/>
      <c r="HN467" s="109"/>
      <c r="HO467" s="111"/>
      <c r="HP467" s="111"/>
      <c r="HQ467" s="165"/>
      <c r="HR467" s="109">
        <f t="shared" si="525"/>
        <v>0</v>
      </c>
      <c r="HS467" s="109">
        <f t="shared" si="533"/>
        <v>0</v>
      </c>
      <c r="HT467" s="109"/>
      <c r="HU467" s="109"/>
      <c r="HV467" s="111"/>
      <c r="HW467" s="111"/>
      <c r="HX467" s="105">
        <f t="shared" si="551"/>
        <v>0</v>
      </c>
      <c r="HY467" s="105">
        <f t="shared" si="551"/>
        <v>0</v>
      </c>
      <c r="HZ467" s="105">
        <f t="shared" si="551"/>
        <v>0</v>
      </c>
      <c r="IA467" s="105">
        <f t="shared" si="545"/>
        <v>0</v>
      </c>
      <c r="IB467" s="109">
        <f t="shared" si="546"/>
        <v>0</v>
      </c>
      <c r="IC467" s="109">
        <f t="shared" si="547"/>
        <v>0</v>
      </c>
      <c r="ID467" s="109">
        <f t="shared" si="548"/>
        <v>0</v>
      </c>
      <c r="IE467" s="109">
        <f t="shared" si="549"/>
        <v>0</v>
      </c>
      <c r="IF467" s="197"/>
      <c r="IG467" s="197"/>
      <c r="IH467" s="197"/>
      <c r="II467" s="197"/>
      <c r="IJ467" s="197"/>
      <c r="IK467" s="197"/>
      <c r="IL467" s="197"/>
      <c r="IM467" s="171"/>
      <c r="IN467" s="171"/>
      <c r="IO467" s="171"/>
      <c r="IP467" s="171"/>
    </row>
    <row r="468" spans="1:250" ht="15" customHeight="1" x14ac:dyDescent="0.3">
      <c r="A468" s="110">
        <f t="shared" si="550"/>
        <v>464</v>
      </c>
      <c r="B468" s="111"/>
      <c r="C468" s="111"/>
      <c r="D468" s="111"/>
      <c r="E468" s="111"/>
      <c r="F468" s="111"/>
      <c r="G468" s="111"/>
      <c r="H468" s="111"/>
      <c r="I468" s="194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75"/>
      <c r="AI468" s="111"/>
      <c r="AJ468" s="111"/>
      <c r="AK468" s="111"/>
      <c r="AL468" s="177"/>
      <c r="AM468" s="176"/>
      <c r="AN468" s="177"/>
      <c r="AO468" s="157"/>
      <c r="AP468" s="158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  <c r="BG468" s="111"/>
      <c r="BH468" s="111"/>
      <c r="BI468" s="111"/>
      <c r="BJ468" s="111"/>
      <c r="BK468" s="111"/>
      <c r="BL468" s="175"/>
      <c r="BM468" s="111"/>
      <c r="BN468" s="111"/>
      <c r="BO468" s="111"/>
      <c r="BP468" s="111"/>
      <c r="BQ468" s="111"/>
      <c r="BR468" s="111"/>
      <c r="BS468" s="111"/>
      <c r="BT468" s="111"/>
      <c r="BU468" s="111"/>
      <c r="BV468" s="111"/>
      <c r="BW468" s="111"/>
      <c r="BX468" s="111"/>
      <c r="BY468" s="111"/>
      <c r="BZ468" s="111"/>
      <c r="CA468" s="111"/>
      <c r="CB468" s="111"/>
      <c r="CC468" s="178"/>
      <c r="CD468" s="177">
        <f t="shared" si="534"/>
        <v>0</v>
      </c>
      <c r="CE468" s="148"/>
      <c r="CF468" s="111">
        <f t="shared" si="535"/>
        <v>0</v>
      </c>
      <c r="CG468" s="177"/>
      <c r="CH468" s="204"/>
      <c r="CI468" s="148"/>
      <c r="CJ468" s="165"/>
      <c r="CK468" s="165"/>
      <c r="CL468" s="111"/>
      <c r="CM468" s="111"/>
      <c r="CN468" s="165">
        <f t="shared" si="536"/>
        <v>0</v>
      </c>
      <c r="CO468" s="109">
        <f t="shared" si="537"/>
        <v>0</v>
      </c>
      <c r="CP468" s="109">
        <f t="shared" si="538"/>
        <v>0</v>
      </c>
      <c r="CQ468" s="109"/>
      <c r="CR468" s="109"/>
      <c r="CS468" s="196"/>
      <c r="CT468" s="167"/>
      <c r="CU468" s="165"/>
      <c r="CV468" s="109">
        <f t="shared" si="539"/>
        <v>0</v>
      </c>
      <c r="CW468" s="109">
        <f t="shared" si="540"/>
        <v>0</v>
      </c>
      <c r="CX468" s="109"/>
      <c r="CY468" s="109"/>
      <c r="CZ468" s="111"/>
      <c r="DA468" s="111"/>
      <c r="DB468" s="165"/>
      <c r="DC468" s="109">
        <f t="shared" si="541"/>
        <v>0</v>
      </c>
      <c r="DD468" s="109">
        <f t="shared" si="542"/>
        <v>0</v>
      </c>
      <c r="DE468" s="109"/>
      <c r="DF468" s="109"/>
      <c r="DG468" s="111"/>
      <c r="DH468" s="111"/>
      <c r="DI468" s="165"/>
      <c r="DJ468" s="109">
        <f t="shared" si="543"/>
        <v>0</v>
      </c>
      <c r="DK468" s="109">
        <f t="shared" si="544"/>
        <v>0</v>
      </c>
      <c r="DL468" s="109"/>
      <c r="DM468" s="109"/>
      <c r="DN468" s="111"/>
      <c r="DO468" s="111"/>
      <c r="DP468" s="165"/>
      <c r="DQ468" s="109">
        <f t="shared" si="502"/>
        <v>0</v>
      </c>
      <c r="DR468" s="109">
        <f t="shared" si="503"/>
        <v>0</v>
      </c>
      <c r="DS468" s="109"/>
      <c r="DT468" s="109"/>
      <c r="DU468" s="111"/>
      <c r="DV468" s="111"/>
      <c r="DW468" s="165"/>
      <c r="DX468" s="109">
        <f t="shared" si="504"/>
        <v>0</v>
      </c>
      <c r="DY468" s="109">
        <f t="shared" si="505"/>
        <v>0</v>
      </c>
      <c r="DZ468" s="109"/>
      <c r="EA468" s="109"/>
      <c r="EB468" s="111"/>
      <c r="EC468" s="111"/>
      <c r="ED468" s="165"/>
      <c r="EE468" s="109">
        <f t="shared" si="506"/>
        <v>0</v>
      </c>
      <c r="EF468" s="109">
        <f t="shared" si="507"/>
        <v>0</v>
      </c>
      <c r="EG468" s="109"/>
      <c r="EH468" s="109"/>
      <c r="EI468" s="111"/>
      <c r="EJ468" s="111"/>
      <c r="EK468" s="165"/>
      <c r="EL468" s="109">
        <f t="shared" si="508"/>
        <v>0</v>
      </c>
      <c r="EM468" s="109">
        <f t="shared" si="509"/>
        <v>0</v>
      </c>
      <c r="EN468" s="109"/>
      <c r="EO468" s="109"/>
      <c r="EP468" s="111"/>
      <c r="EQ468" s="111"/>
      <c r="ER468" s="165"/>
      <c r="ES468" s="109">
        <f t="shared" si="510"/>
        <v>0</v>
      </c>
      <c r="ET468" s="109">
        <f t="shared" si="511"/>
        <v>0</v>
      </c>
      <c r="EU468" s="109"/>
      <c r="EV468" s="109"/>
      <c r="EW468" s="111"/>
      <c r="EX468" s="111"/>
      <c r="EY468" s="165"/>
      <c r="EZ468" s="109">
        <f t="shared" si="512"/>
        <v>0</v>
      </c>
      <c r="FA468" s="109">
        <f t="shared" si="513"/>
        <v>0</v>
      </c>
      <c r="FB468" s="109"/>
      <c r="FC468" s="109"/>
      <c r="FD468" s="111"/>
      <c r="FE468" s="111"/>
      <c r="FF468" s="165"/>
      <c r="FG468" s="109">
        <f t="shared" si="514"/>
        <v>0</v>
      </c>
      <c r="FH468" s="109">
        <f t="shared" si="515"/>
        <v>0</v>
      </c>
      <c r="FI468" s="109"/>
      <c r="FJ468" s="109"/>
      <c r="FK468" s="111"/>
      <c r="FL468" s="111"/>
      <c r="FM468" s="165"/>
      <c r="FN468" s="109">
        <f t="shared" si="516"/>
        <v>0</v>
      </c>
      <c r="FO468" s="109">
        <f t="shared" si="517"/>
        <v>0</v>
      </c>
      <c r="FP468" s="109"/>
      <c r="FQ468" s="109"/>
      <c r="FR468" s="111"/>
      <c r="FS468" s="111"/>
      <c r="FT468" s="165"/>
      <c r="FU468" s="109">
        <f t="shared" si="518"/>
        <v>0</v>
      </c>
      <c r="FV468" s="109">
        <f t="shared" si="526"/>
        <v>0</v>
      </c>
      <c r="FW468" s="109"/>
      <c r="FX468" s="109"/>
      <c r="FY468" s="111"/>
      <c r="FZ468" s="111"/>
      <c r="GA468" s="165"/>
      <c r="GB468" s="109">
        <f t="shared" si="519"/>
        <v>0</v>
      </c>
      <c r="GC468" s="109">
        <f t="shared" si="527"/>
        <v>0</v>
      </c>
      <c r="GD468" s="109"/>
      <c r="GE468" s="109"/>
      <c r="GF468" s="111"/>
      <c r="GG468" s="111"/>
      <c r="GH468" s="165"/>
      <c r="GI468" s="109">
        <f t="shared" si="520"/>
        <v>0</v>
      </c>
      <c r="GJ468" s="109">
        <f t="shared" si="528"/>
        <v>0</v>
      </c>
      <c r="GK468" s="109"/>
      <c r="GL468" s="109"/>
      <c r="GM468" s="111"/>
      <c r="GN468" s="111"/>
      <c r="GO468" s="165"/>
      <c r="GP468" s="109">
        <f t="shared" si="521"/>
        <v>0</v>
      </c>
      <c r="GQ468" s="109">
        <f t="shared" si="529"/>
        <v>0</v>
      </c>
      <c r="GR468" s="109"/>
      <c r="GS468" s="109"/>
      <c r="GT468" s="111"/>
      <c r="GU468" s="111"/>
      <c r="GV468" s="165"/>
      <c r="GW468" s="168">
        <f t="shared" si="522"/>
        <v>0</v>
      </c>
      <c r="GX468" s="168">
        <f t="shared" si="530"/>
        <v>0</v>
      </c>
      <c r="GY468" s="168"/>
      <c r="GZ468" s="168"/>
      <c r="HA468" s="111"/>
      <c r="HB468" s="111"/>
      <c r="HC468" s="165"/>
      <c r="HD468" s="109">
        <f t="shared" si="523"/>
        <v>0</v>
      </c>
      <c r="HE468" s="109">
        <f t="shared" si="531"/>
        <v>0</v>
      </c>
      <c r="HF468" s="109"/>
      <c r="HG468" s="109"/>
      <c r="HH468" s="111"/>
      <c r="HI468" s="111"/>
      <c r="HJ468" s="165"/>
      <c r="HK468" s="109">
        <f t="shared" si="524"/>
        <v>0</v>
      </c>
      <c r="HL468" s="109">
        <f t="shared" si="532"/>
        <v>0</v>
      </c>
      <c r="HM468" s="109"/>
      <c r="HN468" s="109"/>
      <c r="HO468" s="111"/>
      <c r="HP468" s="111"/>
      <c r="HQ468" s="165"/>
      <c r="HR468" s="109">
        <f t="shared" si="525"/>
        <v>0</v>
      </c>
      <c r="HS468" s="109">
        <f t="shared" si="533"/>
        <v>0</v>
      </c>
      <c r="HT468" s="109"/>
      <c r="HU468" s="109"/>
      <c r="HV468" s="111"/>
      <c r="HW468" s="111"/>
      <c r="HX468" s="105">
        <f t="shared" si="551"/>
        <v>0</v>
      </c>
      <c r="HY468" s="105">
        <f t="shared" si="551"/>
        <v>0</v>
      </c>
      <c r="HZ468" s="105">
        <f t="shared" si="551"/>
        <v>0</v>
      </c>
      <c r="IA468" s="105">
        <f t="shared" si="545"/>
        <v>0</v>
      </c>
      <c r="IB468" s="109">
        <f t="shared" si="546"/>
        <v>0</v>
      </c>
      <c r="IC468" s="109">
        <f t="shared" si="547"/>
        <v>0</v>
      </c>
      <c r="ID468" s="109">
        <f t="shared" si="548"/>
        <v>0</v>
      </c>
      <c r="IE468" s="109">
        <f t="shared" si="549"/>
        <v>0</v>
      </c>
      <c r="IF468" s="197"/>
      <c r="IG468" s="197"/>
      <c r="IH468" s="197"/>
      <c r="II468" s="197"/>
      <c r="IJ468" s="197"/>
      <c r="IK468" s="197"/>
      <c r="IL468" s="197"/>
      <c r="IM468" s="171"/>
      <c r="IN468" s="171"/>
      <c r="IO468" s="171"/>
      <c r="IP468" s="171"/>
    </row>
    <row r="469" spans="1:250" ht="15" customHeight="1" x14ac:dyDescent="0.3">
      <c r="A469" s="110">
        <f t="shared" si="550"/>
        <v>465</v>
      </c>
      <c r="B469" s="111"/>
      <c r="C469" s="111"/>
      <c r="D469" s="111"/>
      <c r="E469" s="111"/>
      <c r="F469" s="111"/>
      <c r="G469" s="111"/>
      <c r="H469" s="111"/>
      <c r="I469" s="194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75"/>
      <c r="AI469" s="111"/>
      <c r="AJ469" s="111"/>
      <c r="AK469" s="111"/>
      <c r="AL469" s="177"/>
      <c r="AM469" s="176"/>
      <c r="AN469" s="177"/>
      <c r="AO469" s="157"/>
      <c r="AP469" s="158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  <c r="BG469" s="111"/>
      <c r="BH469" s="111"/>
      <c r="BI469" s="111"/>
      <c r="BJ469" s="111"/>
      <c r="BK469" s="111"/>
      <c r="BL469" s="175"/>
      <c r="BM469" s="111"/>
      <c r="BN469" s="111"/>
      <c r="BO469" s="111"/>
      <c r="BP469" s="111"/>
      <c r="BQ469" s="111"/>
      <c r="BR469" s="111"/>
      <c r="BS469" s="111"/>
      <c r="BT469" s="111"/>
      <c r="BU469" s="111"/>
      <c r="BV469" s="111"/>
      <c r="BW469" s="111"/>
      <c r="BX469" s="111"/>
      <c r="BY469" s="111"/>
      <c r="BZ469" s="111"/>
      <c r="CA469" s="111"/>
      <c r="CB469" s="111"/>
      <c r="CC469" s="178"/>
      <c r="CD469" s="177">
        <f t="shared" si="534"/>
        <v>0</v>
      </c>
      <c r="CE469" s="148"/>
      <c r="CF469" s="111">
        <f t="shared" si="535"/>
        <v>0</v>
      </c>
      <c r="CG469" s="177"/>
      <c r="CH469" s="204"/>
      <c r="CI469" s="148"/>
      <c r="CJ469" s="165"/>
      <c r="CK469" s="165"/>
      <c r="CL469" s="111"/>
      <c r="CM469" s="111"/>
      <c r="CN469" s="165">
        <f t="shared" si="536"/>
        <v>0</v>
      </c>
      <c r="CO469" s="109">
        <f t="shared" si="537"/>
        <v>0</v>
      </c>
      <c r="CP469" s="109">
        <f t="shared" si="538"/>
        <v>0</v>
      </c>
      <c r="CQ469" s="109"/>
      <c r="CR469" s="109"/>
      <c r="CS469" s="196"/>
      <c r="CT469" s="167"/>
      <c r="CU469" s="165"/>
      <c r="CV469" s="109">
        <f t="shared" si="539"/>
        <v>0</v>
      </c>
      <c r="CW469" s="109">
        <f t="shared" si="540"/>
        <v>0</v>
      </c>
      <c r="CX469" s="109"/>
      <c r="CY469" s="109"/>
      <c r="CZ469" s="111"/>
      <c r="DA469" s="111"/>
      <c r="DB469" s="165"/>
      <c r="DC469" s="109">
        <f t="shared" si="541"/>
        <v>0</v>
      </c>
      <c r="DD469" s="109">
        <f t="shared" si="542"/>
        <v>0</v>
      </c>
      <c r="DE469" s="109"/>
      <c r="DF469" s="109"/>
      <c r="DG469" s="111"/>
      <c r="DH469" s="111"/>
      <c r="DI469" s="165"/>
      <c r="DJ469" s="109">
        <f t="shared" si="543"/>
        <v>0</v>
      </c>
      <c r="DK469" s="109">
        <f t="shared" si="544"/>
        <v>0</v>
      </c>
      <c r="DL469" s="109"/>
      <c r="DM469" s="109"/>
      <c r="DN469" s="111"/>
      <c r="DO469" s="111"/>
      <c r="DP469" s="165"/>
      <c r="DQ469" s="109">
        <f t="shared" si="502"/>
        <v>0</v>
      </c>
      <c r="DR469" s="109">
        <f t="shared" si="503"/>
        <v>0</v>
      </c>
      <c r="DS469" s="109"/>
      <c r="DT469" s="109"/>
      <c r="DU469" s="111"/>
      <c r="DV469" s="111"/>
      <c r="DW469" s="165"/>
      <c r="DX469" s="109">
        <f t="shared" si="504"/>
        <v>0</v>
      </c>
      <c r="DY469" s="109">
        <f t="shared" si="505"/>
        <v>0</v>
      </c>
      <c r="DZ469" s="109"/>
      <c r="EA469" s="109"/>
      <c r="EB469" s="111"/>
      <c r="EC469" s="111"/>
      <c r="ED469" s="165"/>
      <c r="EE469" s="109">
        <f t="shared" si="506"/>
        <v>0</v>
      </c>
      <c r="EF469" s="109">
        <f t="shared" si="507"/>
        <v>0</v>
      </c>
      <c r="EG469" s="109"/>
      <c r="EH469" s="109"/>
      <c r="EI469" s="111"/>
      <c r="EJ469" s="111"/>
      <c r="EK469" s="165"/>
      <c r="EL469" s="109">
        <f t="shared" si="508"/>
        <v>0</v>
      </c>
      <c r="EM469" s="109">
        <f t="shared" si="509"/>
        <v>0</v>
      </c>
      <c r="EN469" s="109"/>
      <c r="EO469" s="109"/>
      <c r="EP469" s="111"/>
      <c r="EQ469" s="111"/>
      <c r="ER469" s="165"/>
      <c r="ES469" s="109">
        <f t="shared" si="510"/>
        <v>0</v>
      </c>
      <c r="ET469" s="109">
        <f t="shared" si="511"/>
        <v>0</v>
      </c>
      <c r="EU469" s="109"/>
      <c r="EV469" s="109"/>
      <c r="EW469" s="111"/>
      <c r="EX469" s="111"/>
      <c r="EY469" s="165"/>
      <c r="EZ469" s="109">
        <f t="shared" si="512"/>
        <v>0</v>
      </c>
      <c r="FA469" s="109">
        <f t="shared" si="513"/>
        <v>0</v>
      </c>
      <c r="FB469" s="109"/>
      <c r="FC469" s="109"/>
      <c r="FD469" s="111"/>
      <c r="FE469" s="111"/>
      <c r="FF469" s="165"/>
      <c r="FG469" s="109">
        <f t="shared" si="514"/>
        <v>0</v>
      </c>
      <c r="FH469" s="109">
        <f t="shared" si="515"/>
        <v>0</v>
      </c>
      <c r="FI469" s="109"/>
      <c r="FJ469" s="109"/>
      <c r="FK469" s="111"/>
      <c r="FL469" s="111"/>
      <c r="FM469" s="165"/>
      <c r="FN469" s="109">
        <f t="shared" si="516"/>
        <v>0</v>
      </c>
      <c r="FO469" s="109">
        <f t="shared" si="517"/>
        <v>0</v>
      </c>
      <c r="FP469" s="109"/>
      <c r="FQ469" s="109"/>
      <c r="FR469" s="111"/>
      <c r="FS469" s="111"/>
      <c r="FT469" s="165"/>
      <c r="FU469" s="109">
        <f t="shared" si="518"/>
        <v>0</v>
      </c>
      <c r="FV469" s="109">
        <f t="shared" si="526"/>
        <v>0</v>
      </c>
      <c r="FW469" s="109"/>
      <c r="FX469" s="109"/>
      <c r="FY469" s="111"/>
      <c r="FZ469" s="111"/>
      <c r="GA469" s="165"/>
      <c r="GB469" s="109">
        <f t="shared" si="519"/>
        <v>0</v>
      </c>
      <c r="GC469" s="109">
        <f t="shared" si="527"/>
        <v>0</v>
      </c>
      <c r="GD469" s="109"/>
      <c r="GE469" s="109"/>
      <c r="GF469" s="111"/>
      <c r="GG469" s="111"/>
      <c r="GH469" s="165"/>
      <c r="GI469" s="109">
        <f t="shared" si="520"/>
        <v>0</v>
      </c>
      <c r="GJ469" s="109">
        <f t="shared" si="528"/>
        <v>0</v>
      </c>
      <c r="GK469" s="109"/>
      <c r="GL469" s="109"/>
      <c r="GM469" s="111"/>
      <c r="GN469" s="111"/>
      <c r="GO469" s="165"/>
      <c r="GP469" s="109">
        <f t="shared" si="521"/>
        <v>0</v>
      </c>
      <c r="GQ469" s="109">
        <f t="shared" si="529"/>
        <v>0</v>
      </c>
      <c r="GR469" s="109"/>
      <c r="GS469" s="109"/>
      <c r="GT469" s="111"/>
      <c r="GU469" s="111"/>
      <c r="GV469" s="165"/>
      <c r="GW469" s="168">
        <f t="shared" si="522"/>
        <v>0</v>
      </c>
      <c r="GX469" s="168">
        <f t="shared" si="530"/>
        <v>0</v>
      </c>
      <c r="GY469" s="168"/>
      <c r="GZ469" s="168"/>
      <c r="HA469" s="111"/>
      <c r="HB469" s="111"/>
      <c r="HC469" s="165"/>
      <c r="HD469" s="109">
        <f t="shared" si="523"/>
        <v>0</v>
      </c>
      <c r="HE469" s="109">
        <f t="shared" si="531"/>
        <v>0</v>
      </c>
      <c r="HF469" s="109"/>
      <c r="HG469" s="109"/>
      <c r="HH469" s="111"/>
      <c r="HI469" s="111"/>
      <c r="HJ469" s="165"/>
      <c r="HK469" s="109">
        <f t="shared" si="524"/>
        <v>0</v>
      </c>
      <c r="HL469" s="109">
        <f t="shared" si="532"/>
        <v>0</v>
      </c>
      <c r="HM469" s="109"/>
      <c r="HN469" s="109"/>
      <c r="HO469" s="111"/>
      <c r="HP469" s="111"/>
      <c r="HQ469" s="165"/>
      <c r="HR469" s="109">
        <f t="shared" si="525"/>
        <v>0</v>
      </c>
      <c r="HS469" s="109">
        <f t="shared" si="533"/>
        <v>0</v>
      </c>
      <c r="HT469" s="109"/>
      <c r="HU469" s="109"/>
      <c r="HV469" s="111"/>
      <c r="HW469" s="111"/>
      <c r="HX469" s="105">
        <f t="shared" si="551"/>
        <v>0</v>
      </c>
      <c r="HY469" s="105">
        <f t="shared" si="551"/>
        <v>0</v>
      </c>
      <c r="HZ469" s="105">
        <f t="shared" si="551"/>
        <v>0</v>
      </c>
      <c r="IA469" s="105">
        <f t="shared" si="545"/>
        <v>0</v>
      </c>
      <c r="IB469" s="109">
        <f t="shared" si="546"/>
        <v>0</v>
      </c>
      <c r="IC469" s="109">
        <f t="shared" si="547"/>
        <v>0</v>
      </c>
      <c r="ID469" s="109">
        <f t="shared" si="548"/>
        <v>0</v>
      </c>
      <c r="IE469" s="109">
        <f t="shared" si="549"/>
        <v>0</v>
      </c>
      <c r="IF469" s="197"/>
      <c r="IG469" s="197"/>
      <c r="IH469" s="197"/>
      <c r="II469" s="197"/>
      <c r="IJ469" s="197"/>
      <c r="IK469" s="197"/>
      <c r="IL469" s="197"/>
      <c r="IM469" s="171"/>
      <c r="IN469" s="171"/>
      <c r="IO469" s="171"/>
      <c r="IP469" s="171"/>
    </row>
    <row r="470" spans="1:250" ht="15" customHeight="1" x14ac:dyDescent="0.3">
      <c r="A470" s="110">
        <f t="shared" si="550"/>
        <v>466</v>
      </c>
      <c r="B470" s="111"/>
      <c r="C470" s="111"/>
      <c r="D470" s="111"/>
      <c r="E470" s="111"/>
      <c r="F470" s="111"/>
      <c r="G470" s="111"/>
      <c r="H470" s="111"/>
      <c r="I470" s="194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75"/>
      <c r="AI470" s="111"/>
      <c r="AJ470" s="111"/>
      <c r="AK470" s="111"/>
      <c r="AL470" s="177"/>
      <c r="AM470" s="176"/>
      <c r="AN470" s="177"/>
      <c r="AO470" s="157"/>
      <c r="AP470" s="158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  <c r="BG470" s="111"/>
      <c r="BH470" s="111"/>
      <c r="BI470" s="111"/>
      <c r="BJ470" s="111"/>
      <c r="BK470" s="111"/>
      <c r="BL470" s="175"/>
      <c r="BM470" s="111"/>
      <c r="BN470" s="111"/>
      <c r="BO470" s="111"/>
      <c r="BP470" s="111"/>
      <c r="BQ470" s="111"/>
      <c r="BR470" s="111"/>
      <c r="BS470" s="111"/>
      <c r="BT470" s="111"/>
      <c r="BU470" s="111"/>
      <c r="BV470" s="111"/>
      <c r="BW470" s="111"/>
      <c r="BX470" s="111"/>
      <c r="BY470" s="111"/>
      <c r="BZ470" s="111"/>
      <c r="CA470" s="111"/>
      <c r="CB470" s="111"/>
      <c r="CC470" s="178"/>
      <c r="CD470" s="177">
        <f t="shared" si="534"/>
        <v>0</v>
      </c>
      <c r="CE470" s="148"/>
      <c r="CF470" s="111">
        <f t="shared" si="535"/>
        <v>0</v>
      </c>
      <c r="CG470" s="177"/>
      <c r="CH470" s="204"/>
      <c r="CI470" s="148"/>
      <c r="CJ470" s="165"/>
      <c r="CK470" s="165"/>
      <c r="CL470" s="111"/>
      <c r="CM470" s="111"/>
      <c r="CN470" s="165">
        <f t="shared" si="536"/>
        <v>0</v>
      </c>
      <c r="CO470" s="109">
        <f t="shared" si="537"/>
        <v>0</v>
      </c>
      <c r="CP470" s="109">
        <f t="shared" si="538"/>
        <v>0</v>
      </c>
      <c r="CQ470" s="109"/>
      <c r="CR470" s="109"/>
      <c r="CS470" s="196"/>
      <c r="CT470" s="167"/>
      <c r="CU470" s="165"/>
      <c r="CV470" s="109">
        <f t="shared" si="539"/>
        <v>0</v>
      </c>
      <c r="CW470" s="109">
        <f t="shared" si="540"/>
        <v>0</v>
      </c>
      <c r="CX470" s="109"/>
      <c r="CY470" s="109"/>
      <c r="CZ470" s="111"/>
      <c r="DA470" s="111"/>
      <c r="DB470" s="165"/>
      <c r="DC470" s="109">
        <f t="shared" si="541"/>
        <v>0</v>
      </c>
      <c r="DD470" s="109">
        <f t="shared" si="542"/>
        <v>0</v>
      </c>
      <c r="DE470" s="109"/>
      <c r="DF470" s="109"/>
      <c r="DG470" s="111"/>
      <c r="DH470" s="111"/>
      <c r="DI470" s="165"/>
      <c r="DJ470" s="109">
        <f t="shared" si="543"/>
        <v>0</v>
      </c>
      <c r="DK470" s="109">
        <f t="shared" si="544"/>
        <v>0</v>
      </c>
      <c r="DL470" s="109"/>
      <c r="DM470" s="109"/>
      <c r="DN470" s="111"/>
      <c r="DO470" s="111"/>
      <c r="DP470" s="165"/>
      <c r="DQ470" s="109">
        <f t="shared" si="502"/>
        <v>0</v>
      </c>
      <c r="DR470" s="109">
        <f t="shared" si="503"/>
        <v>0</v>
      </c>
      <c r="DS470" s="109"/>
      <c r="DT470" s="109"/>
      <c r="DU470" s="111"/>
      <c r="DV470" s="111"/>
      <c r="DW470" s="165"/>
      <c r="DX470" s="109">
        <f t="shared" si="504"/>
        <v>0</v>
      </c>
      <c r="DY470" s="109">
        <f t="shared" si="505"/>
        <v>0</v>
      </c>
      <c r="DZ470" s="109"/>
      <c r="EA470" s="109"/>
      <c r="EB470" s="111"/>
      <c r="EC470" s="111"/>
      <c r="ED470" s="165"/>
      <c r="EE470" s="109">
        <f t="shared" si="506"/>
        <v>0</v>
      </c>
      <c r="EF470" s="109">
        <f t="shared" si="507"/>
        <v>0</v>
      </c>
      <c r="EG470" s="109"/>
      <c r="EH470" s="109"/>
      <c r="EI470" s="111"/>
      <c r="EJ470" s="111"/>
      <c r="EK470" s="165"/>
      <c r="EL470" s="109">
        <f t="shared" si="508"/>
        <v>0</v>
      </c>
      <c r="EM470" s="109">
        <f t="shared" si="509"/>
        <v>0</v>
      </c>
      <c r="EN470" s="109"/>
      <c r="EO470" s="109"/>
      <c r="EP470" s="111"/>
      <c r="EQ470" s="111"/>
      <c r="ER470" s="165"/>
      <c r="ES470" s="109">
        <f t="shared" si="510"/>
        <v>0</v>
      </c>
      <c r="ET470" s="109">
        <f t="shared" si="511"/>
        <v>0</v>
      </c>
      <c r="EU470" s="109"/>
      <c r="EV470" s="109"/>
      <c r="EW470" s="111"/>
      <c r="EX470" s="111"/>
      <c r="EY470" s="165"/>
      <c r="EZ470" s="109">
        <f t="shared" si="512"/>
        <v>0</v>
      </c>
      <c r="FA470" s="109">
        <f t="shared" si="513"/>
        <v>0</v>
      </c>
      <c r="FB470" s="109"/>
      <c r="FC470" s="109"/>
      <c r="FD470" s="111"/>
      <c r="FE470" s="111"/>
      <c r="FF470" s="165"/>
      <c r="FG470" s="109">
        <f t="shared" si="514"/>
        <v>0</v>
      </c>
      <c r="FH470" s="109">
        <f t="shared" si="515"/>
        <v>0</v>
      </c>
      <c r="FI470" s="109"/>
      <c r="FJ470" s="109"/>
      <c r="FK470" s="111"/>
      <c r="FL470" s="111"/>
      <c r="FM470" s="165"/>
      <c r="FN470" s="109">
        <f t="shared" si="516"/>
        <v>0</v>
      </c>
      <c r="FO470" s="109">
        <f t="shared" si="517"/>
        <v>0</v>
      </c>
      <c r="FP470" s="109"/>
      <c r="FQ470" s="109"/>
      <c r="FR470" s="111"/>
      <c r="FS470" s="111"/>
      <c r="FT470" s="165"/>
      <c r="FU470" s="109">
        <f t="shared" si="518"/>
        <v>0</v>
      </c>
      <c r="FV470" s="109">
        <f t="shared" si="526"/>
        <v>0</v>
      </c>
      <c r="FW470" s="109"/>
      <c r="FX470" s="109"/>
      <c r="FY470" s="111"/>
      <c r="FZ470" s="111"/>
      <c r="GA470" s="165"/>
      <c r="GB470" s="109">
        <f t="shared" si="519"/>
        <v>0</v>
      </c>
      <c r="GC470" s="109">
        <f t="shared" si="527"/>
        <v>0</v>
      </c>
      <c r="GD470" s="109"/>
      <c r="GE470" s="109"/>
      <c r="GF470" s="111"/>
      <c r="GG470" s="111"/>
      <c r="GH470" s="165"/>
      <c r="GI470" s="109">
        <f t="shared" si="520"/>
        <v>0</v>
      </c>
      <c r="GJ470" s="109">
        <f t="shared" si="528"/>
        <v>0</v>
      </c>
      <c r="GK470" s="109"/>
      <c r="GL470" s="109"/>
      <c r="GM470" s="111"/>
      <c r="GN470" s="111"/>
      <c r="GO470" s="165"/>
      <c r="GP470" s="109">
        <f t="shared" si="521"/>
        <v>0</v>
      </c>
      <c r="GQ470" s="109">
        <f t="shared" si="529"/>
        <v>0</v>
      </c>
      <c r="GR470" s="109"/>
      <c r="GS470" s="109"/>
      <c r="GT470" s="111"/>
      <c r="GU470" s="111"/>
      <c r="GV470" s="165"/>
      <c r="GW470" s="168">
        <f t="shared" si="522"/>
        <v>0</v>
      </c>
      <c r="GX470" s="168">
        <f t="shared" si="530"/>
        <v>0</v>
      </c>
      <c r="GY470" s="168"/>
      <c r="GZ470" s="168"/>
      <c r="HA470" s="111"/>
      <c r="HB470" s="111"/>
      <c r="HC470" s="165"/>
      <c r="HD470" s="109">
        <f t="shared" si="523"/>
        <v>0</v>
      </c>
      <c r="HE470" s="109">
        <f t="shared" si="531"/>
        <v>0</v>
      </c>
      <c r="HF470" s="109"/>
      <c r="HG470" s="109"/>
      <c r="HH470" s="111"/>
      <c r="HI470" s="111"/>
      <c r="HJ470" s="165"/>
      <c r="HK470" s="109">
        <f t="shared" si="524"/>
        <v>0</v>
      </c>
      <c r="HL470" s="109">
        <f t="shared" si="532"/>
        <v>0</v>
      </c>
      <c r="HM470" s="109"/>
      <c r="HN470" s="109"/>
      <c r="HO470" s="111"/>
      <c r="HP470" s="111"/>
      <c r="HQ470" s="165"/>
      <c r="HR470" s="109">
        <f t="shared" si="525"/>
        <v>0</v>
      </c>
      <c r="HS470" s="109">
        <f t="shared" si="533"/>
        <v>0</v>
      </c>
      <c r="HT470" s="109"/>
      <c r="HU470" s="109"/>
      <c r="HV470" s="111"/>
      <c r="HW470" s="111"/>
      <c r="HX470" s="105">
        <f t="shared" si="551"/>
        <v>0</v>
      </c>
      <c r="HY470" s="105">
        <f t="shared" si="551"/>
        <v>0</v>
      </c>
      <c r="HZ470" s="105">
        <f t="shared" si="551"/>
        <v>0</v>
      </c>
      <c r="IA470" s="105">
        <f t="shared" si="545"/>
        <v>0</v>
      </c>
      <c r="IB470" s="109">
        <f t="shared" si="546"/>
        <v>0</v>
      </c>
      <c r="IC470" s="109">
        <f t="shared" si="547"/>
        <v>0</v>
      </c>
      <c r="ID470" s="109">
        <f t="shared" si="548"/>
        <v>0</v>
      </c>
      <c r="IE470" s="109">
        <f t="shared" si="549"/>
        <v>0</v>
      </c>
      <c r="IF470" s="197"/>
      <c r="IG470" s="197"/>
      <c r="IH470" s="197"/>
      <c r="II470" s="197"/>
      <c r="IJ470" s="197"/>
      <c r="IK470" s="197"/>
      <c r="IL470" s="197"/>
      <c r="IM470" s="171"/>
      <c r="IN470" s="171"/>
      <c r="IO470" s="171"/>
      <c r="IP470" s="171"/>
    </row>
    <row r="471" spans="1:250" ht="15" customHeight="1" x14ac:dyDescent="0.3">
      <c r="A471" s="110">
        <f t="shared" si="550"/>
        <v>467</v>
      </c>
      <c r="B471" s="111"/>
      <c r="C471" s="111"/>
      <c r="D471" s="111"/>
      <c r="E471" s="111"/>
      <c r="F471" s="111"/>
      <c r="G471" s="111"/>
      <c r="H471" s="111"/>
      <c r="I471" s="194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75"/>
      <c r="AI471" s="111"/>
      <c r="AJ471" s="111"/>
      <c r="AK471" s="111"/>
      <c r="AL471" s="177"/>
      <c r="AM471" s="176"/>
      <c r="AN471" s="177"/>
      <c r="AO471" s="157"/>
      <c r="AP471" s="158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  <c r="BG471" s="111"/>
      <c r="BH471" s="111"/>
      <c r="BI471" s="111"/>
      <c r="BJ471" s="111"/>
      <c r="BK471" s="111"/>
      <c r="BL471" s="175"/>
      <c r="BM471" s="111"/>
      <c r="BN471" s="111"/>
      <c r="BO471" s="111"/>
      <c r="BP471" s="111"/>
      <c r="BQ471" s="111"/>
      <c r="BR471" s="111"/>
      <c r="BS471" s="111"/>
      <c r="BT471" s="111"/>
      <c r="BU471" s="111"/>
      <c r="BV471" s="111"/>
      <c r="BW471" s="111"/>
      <c r="BX471" s="111"/>
      <c r="BY471" s="111"/>
      <c r="BZ471" s="111"/>
      <c r="CA471" s="111"/>
      <c r="CB471" s="111"/>
      <c r="CC471" s="178"/>
      <c r="CD471" s="177">
        <f t="shared" si="534"/>
        <v>0</v>
      </c>
      <c r="CE471" s="148"/>
      <c r="CF471" s="111">
        <f t="shared" si="535"/>
        <v>0</v>
      </c>
      <c r="CG471" s="177"/>
      <c r="CH471" s="204"/>
      <c r="CI471" s="148"/>
      <c r="CJ471" s="165"/>
      <c r="CK471" s="165"/>
      <c r="CL471" s="111"/>
      <c r="CM471" s="111"/>
      <c r="CN471" s="165">
        <f t="shared" si="536"/>
        <v>0</v>
      </c>
      <c r="CO471" s="109">
        <f t="shared" si="537"/>
        <v>0</v>
      </c>
      <c r="CP471" s="109">
        <f t="shared" si="538"/>
        <v>0</v>
      </c>
      <c r="CQ471" s="109"/>
      <c r="CR471" s="109"/>
      <c r="CS471" s="196"/>
      <c r="CT471" s="167"/>
      <c r="CU471" s="165"/>
      <c r="CV471" s="109">
        <f t="shared" si="539"/>
        <v>0</v>
      </c>
      <c r="CW471" s="109">
        <f t="shared" si="540"/>
        <v>0</v>
      </c>
      <c r="CX471" s="109"/>
      <c r="CY471" s="109"/>
      <c r="CZ471" s="111"/>
      <c r="DA471" s="111"/>
      <c r="DB471" s="165"/>
      <c r="DC471" s="109">
        <f t="shared" si="541"/>
        <v>0</v>
      </c>
      <c r="DD471" s="109">
        <f t="shared" si="542"/>
        <v>0</v>
      </c>
      <c r="DE471" s="109"/>
      <c r="DF471" s="109"/>
      <c r="DG471" s="111"/>
      <c r="DH471" s="111"/>
      <c r="DI471" s="165"/>
      <c r="DJ471" s="109">
        <f t="shared" si="543"/>
        <v>0</v>
      </c>
      <c r="DK471" s="109">
        <f t="shared" si="544"/>
        <v>0</v>
      </c>
      <c r="DL471" s="109"/>
      <c r="DM471" s="109"/>
      <c r="DN471" s="111"/>
      <c r="DO471" s="111"/>
      <c r="DP471" s="165"/>
      <c r="DQ471" s="109">
        <f t="shared" si="502"/>
        <v>0</v>
      </c>
      <c r="DR471" s="109">
        <f t="shared" si="503"/>
        <v>0</v>
      </c>
      <c r="DS471" s="109"/>
      <c r="DT471" s="109"/>
      <c r="DU471" s="111"/>
      <c r="DV471" s="111"/>
      <c r="DW471" s="165"/>
      <c r="DX471" s="109">
        <f t="shared" si="504"/>
        <v>0</v>
      </c>
      <c r="DY471" s="109">
        <f t="shared" si="505"/>
        <v>0</v>
      </c>
      <c r="DZ471" s="109"/>
      <c r="EA471" s="109"/>
      <c r="EB471" s="111"/>
      <c r="EC471" s="111"/>
      <c r="ED471" s="165"/>
      <c r="EE471" s="109">
        <f t="shared" si="506"/>
        <v>0</v>
      </c>
      <c r="EF471" s="109">
        <f t="shared" si="507"/>
        <v>0</v>
      </c>
      <c r="EG471" s="109"/>
      <c r="EH471" s="109"/>
      <c r="EI471" s="111"/>
      <c r="EJ471" s="111"/>
      <c r="EK471" s="165"/>
      <c r="EL471" s="109">
        <f t="shared" si="508"/>
        <v>0</v>
      </c>
      <c r="EM471" s="109">
        <f t="shared" si="509"/>
        <v>0</v>
      </c>
      <c r="EN471" s="109"/>
      <c r="EO471" s="109"/>
      <c r="EP471" s="111"/>
      <c r="EQ471" s="111"/>
      <c r="ER471" s="165"/>
      <c r="ES471" s="109">
        <f t="shared" si="510"/>
        <v>0</v>
      </c>
      <c r="ET471" s="109">
        <f t="shared" si="511"/>
        <v>0</v>
      </c>
      <c r="EU471" s="109"/>
      <c r="EV471" s="109"/>
      <c r="EW471" s="111"/>
      <c r="EX471" s="111"/>
      <c r="EY471" s="165"/>
      <c r="EZ471" s="109">
        <f t="shared" si="512"/>
        <v>0</v>
      </c>
      <c r="FA471" s="109">
        <f t="shared" si="513"/>
        <v>0</v>
      </c>
      <c r="FB471" s="109"/>
      <c r="FC471" s="109"/>
      <c r="FD471" s="111"/>
      <c r="FE471" s="111"/>
      <c r="FF471" s="165"/>
      <c r="FG471" s="109">
        <f t="shared" si="514"/>
        <v>0</v>
      </c>
      <c r="FH471" s="109">
        <f t="shared" si="515"/>
        <v>0</v>
      </c>
      <c r="FI471" s="109"/>
      <c r="FJ471" s="109"/>
      <c r="FK471" s="111"/>
      <c r="FL471" s="111"/>
      <c r="FM471" s="165"/>
      <c r="FN471" s="109">
        <f t="shared" si="516"/>
        <v>0</v>
      </c>
      <c r="FO471" s="109">
        <f t="shared" si="517"/>
        <v>0</v>
      </c>
      <c r="FP471" s="109"/>
      <c r="FQ471" s="109"/>
      <c r="FR471" s="111"/>
      <c r="FS471" s="111"/>
      <c r="FT471" s="165"/>
      <c r="FU471" s="109">
        <f t="shared" si="518"/>
        <v>0</v>
      </c>
      <c r="FV471" s="109">
        <f t="shared" si="526"/>
        <v>0</v>
      </c>
      <c r="FW471" s="109"/>
      <c r="FX471" s="109"/>
      <c r="FY471" s="111"/>
      <c r="FZ471" s="111"/>
      <c r="GA471" s="165"/>
      <c r="GB471" s="109">
        <f t="shared" si="519"/>
        <v>0</v>
      </c>
      <c r="GC471" s="109">
        <f t="shared" si="527"/>
        <v>0</v>
      </c>
      <c r="GD471" s="109"/>
      <c r="GE471" s="109"/>
      <c r="GF471" s="111"/>
      <c r="GG471" s="111"/>
      <c r="GH471" s="165"/>
      <c r="GI471" s="109">
        <f t="shared" si="520"/>
        <v>0</v>
      </c>
      <c r="GJ471" s="109">
        <f t="shared" si="528"/>
        <v>0</v>
      </c>
      <c r="GK471" s="109"/>
      <c r="GL471" s="109"/>
      <c r="GM471" s="111"/>
      <c r="GN471" s="111"/>
      <c r="GO471" s="165"/>
      <c r="GP471" s="109">
        <f t="shared" si="521"/>
        <v>0</v>
      </c>
      <c r="GQ471" s="109">
        <f t="shared" si="529"/>
        <v>0</v>
      </c>
      <c r="GR471" s="109"/>
      <c r="GS471" s="109"/>
      <c r="GT471" s="111"/>
      <c r="GU471" s="111"/>
      <c r="GV471" s="165"/>
      <c r="GW471" s="168">
        <f t="shared" si="522"/>
        <v>0</v>
      </c>
      <c r="GX471" s="168">
        <f t="shared" si="530"/>
        <v>0</v>
      </c>
      <c r="GY471" s="168"/>
      <c r="GZ471" s="168"/>
      <c r="HA471" s="111"/>
      <c r="HB471" s="111"/>
      <c r="HC471" s="165"/>
      <c r="HD471" s="109">
        <f t="shared" si="523"/>
        <v>0</v>
      </c>
      <c r="HE471" s="109">
        <f t="shared" si="531"/>
        <v>0</v>
      </c>
      <c r="HF471" s="109"/>
      <c r="HG471" s="109"/>
      <c r="HH471" s="111"/>
      <c r="HI471" s="111"/>
      <c r="HJ471" s="165"/>
      <c r="HK471" s="109">
        <f t="shared" si="524"/>
        <v>0</v>
      </c>
      <c r="HL471" s="109">
        <f t="shared" si="532"/>
        <v>0</v>
      </c>
      <c r="HM471" s="109"/>
      <c r="HN471" s="109"/>
      <c r="HO471" s="111"/>
      <c r="HP471" s="111"/>
      <c r="HQ471" s="165"/>
      <c r="HR471" s="109">
        <f t="shared" si="525"/>
        <v>0</v>
      </c>
      <c r="HS471" s="109">
        <f t="shared" si="533"/>
        <v>0</v>
      </c>
      <c r="HT471" s="109"/>
      <c r="HU471" s="109"/>
      <c r="HV471" s="111"/>
      <c r="HW471" s="111"/>
      <c r="HX471" s="105">
        <f t="shared" si="551"/>
        <v>0</v>
      </c>
      <c r="HY471" s="105">
        <f t="shared" si="551"/>
        <v>0</v>
      </c>
      <c r="HZ471" s="105">
        <f t="shared" si="551"/>
        <v>0</v>
      </c>
      <c r="IA471" s="105">
        <f t="shared" si="545"/>
        <v>0</v>
      </c>
      <c r="IB471" s="109">
        <f t="shared" si="546"/>
        <v>0</v>
      </c>
      <c r="IC471" s="109">
        <f t="shared" si="547"/>
        <v>0</v>
      </c>
      <c r="ID471" s="109">
        <f t="shared" si="548"/>
        <v>0</v>
      </c>
      <c r="IE471" s="109">
        <f t="shared" si="549"/>
        <v>0</v>
      </c>
      <c r="IF471" s="197"/>
      <c r="IG471" s="197"/>
      <c r="IH471" s="197"/>
      <c r="II471" s="197"/>
      <c r="IJ471" s="197"/>
      <c r="IK471" s="197"/>
      <c r="IL471" s="197"/>
      <c r="IM471" s="171"/>
      <c r="IN471" s="171"/>
      <c r="IO471" s="171"/>
      <c r="IP471" s="171"/>
    </row>
    <row r="472" spans="1:250" ht="15" customHeight="1" x14ac:dyDescent="0.3">
      <c r="A472" s="110">
        <f t="shared" si="550"/>
        <v>468</v>
      </c>
      <c r="B472" s="111"/>
      <c r="C472" s="111"/>
      <c r="D472" s="111"/>
      <c r="E472" s="111"/>
      <c r="F472" s="111"/>
      <c r="G472" s="111"/>
      <c r="H472" s="111"/>
      <c r="I472" s="194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75"/>
      <c r="AI472" s="111"/>
      <c r="AJ472" s="111"/>
      <c r="AK472" s="111"/>
      <c r="AL472" s="177"/>
      <c r="AM472" s="176"/>
      <c r="AN472" s="177"/>
      <c r="AO472" s="157"/>
      <c r="AP472" s="158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  <c r="BG472" s="111"/>
      <c r="BH472" s="111"/>
      <c r="BI472" s="111"/>
      <c r="BJ472" s="111"/>
      <c r="BK472" s="111"/>
      <c r="BL472" s="175"/>
      <c r="BM472" s="111"/>
      <c r="BN472" s="111"/>
      <c r="BO472" s="111"/>
      <c r="BP472" s="111"/>
      <c r="BQ472" s="111"/>
      <c r="BR472" s="111"/>
      <c r="BS472" s="111"/>
      <c r="BT472" s="111"/>
      <c r="BU472" s="111"/>
      <c r="BV472" s="111"/>
      <c r="BW472" s="111"/>
      <c r="BX472" s="111"/>
      <c r="BY472" s="111"/>
      <c r="BZ472" s="111"/>
      <c r="CA472" s="111"/>
      <c r="CB472" s="111"/>
      <c r="CC472" s="178"/>
      <c r="CD472" s="177">
        <f t="shared" si="534"/>
        <v>0</v>
      </c>
      <c r="CE472" s="148"/>
      <c r="CF472" s="111">
        <f t="shared" si="535"/>
        <v>0</v>
      </c>
      <c r="CG472" s="177"/>
      <c r="CH472" s="204"/>
      <c r="CI472" s="148"/>
      <c r="CJ472" s="165"/>
      <c r="CK472" s="165"/>
      <c r="CL472" s="111"/>
      <c r="CM472" s="111"/>
      <c r="CN472" s="165">
        <f t="shared" si="536"/>
        <v>0</v>
      </c>
      <c r="CO472" s="109">
        <f t="shared" si="537"/>
        <v>0</v>
      </c>
      <c r="CP472" s="109">
        <f t="shared" si="538"/>
        <v>0</v>
      </c>
      <c r="CQ472" s="109"/>
      <c r="CR472" s="109"/>
      <c r="CS472" s="196"/>
      <c r="CT472" s="167"/>
      <c r="CU472" s="165"/>
      <c r="CV472" s="109">
        <f t="shared" si="539"/>
        <v>0</v>
      </c>
      <c r="CW472" s="109">
        <f t="shared" si="540"/>
        <v>0</v>
      </c>
      <c r="CX472" s="109"/>
      <c r="CY472" s="109"/>
      <c r="CZ472" s="111"/>
      <c r="DA472" s="111"/>
      <c r="DB472" s="165"/>
      <c r="DC472" s="109">
        <f t="shared" si="541"/>
        <v>0</v>
      </c>
      <c r="DD472" s="109">
        <f t="shared" si="542"/>
        <v>0</v>
      </c>
      <c r="DE472" s="109"/>
      <c r="DF472" s="109"/>
      <c r="DG472" s="111"/>
      <c r="DH472" s="111"/>
      <c r="DI472" s="165"/>
      <c r="DJ472" s="109">
        <f t="shared" si="543"/>
        <v>0</v>
      </c>
      <c r="DK472" s="109">
        <f t="shared" si="544"/>
        <v>0</v>
      </c>
      <c r="DL472" s="109"/>
      <c r="DM472" s="109"/>
      <c r="DN472" s="111"/>
      <c r="DO472" s="111"/>
      <c r="DP472" s="165"/>
      <c r="DQ472" s="109">
        <f t="shared" ref="DQ472:DQ527" si="552">DS472-DR472</f>
        <v>0</v>
      </c>
      <c r="DR472" s="109">
        <f t="shared" ref="DR472:DR509" si="553">DS472/(1+AM472)*AM472</f>
        <v>0</v>
      </c>
      <c r="DS472" s="109"/>
      <c r="DT472" s="109"/>
      <c r="DU472" s="111"/>
      <c r="DV472" s="111"/>
      <c r="DW472" s="165"/>
      <c r="DX472" s="109">
        <f t="shared" ref="DX472:DX527" si="554">DZ472-DY472</f>
        <v>0</v>
      </c>
      <c r="DY472" s="109">
        <f t="shared" ref="DY472:DY509" si="555">DZ472/(1+AM472)*AM472</f>
        <v>0</v>
      </c>
      <c r="DZ472" s="109"/>
      <c r="EA472" s="109"/>
      <c r="EB472" s="111"/>
      <c r="EC472" s="111"/>
      <c r="ED472" s="165"/>
      <c r="EE472" s="109">
        <f t="shared" ref="EE472:EE527" si="556">EG472-EF472</f>
        <v>0</v>
      </c>
      <c r="EF472" s="109">
        <f t="shared" ref="EF472:EF509" si="557">EG472/(1+AM472)*AM472</f>
        <v>0</v>
      </c>
      <c r="EG472" s="109"/>
      <c r="EH472" s="109"/>
      <c r="EI472" s="111"/>
      <c r="EJ472" s="111"/>
      <c r="EK472" s="165"/>
      <c r="EL472" s="109">
        <f t="shared" ref="EL472:EL527" si="558">EN472-EM472</f>
        <v>0</v>
      </c>
      <c r="EM472" s="109">
        <f t="shared" ref="EM472:EM509" si="559">EN472/(1+AM472)*AM472</f>
        <v>0</v>
      </c>
      <c r="EN472" s="109"/>
      <c r="EO472" s="109"/>
      <c r="EP472" s="111"/>
      <c r="EQ472" s="111"/>
      <c r="ER472" s="165"/>
      <c r="ES472" s="109">
        <f t="shared" ref="ES472:ES527" si="560">EU472-ET472</f>
        <v>0</v>
      </c>
      <c r="ET472" s="109">
        <f t="shared" ref="ET472:ET509" si="561">EU472/(1+AM472)*AM472</f>
        <v>0</v>
      </c>
      <c r="EU472" s="109"/>
      <c r="EV472" s="109"/>
      <c r="EW472" s="111"/>
      <c r="EX472" s="111"/>
      <c r="EY472" s="165"/>
      <c r="EZ472" s="109">
        <f t="shared" ref="EZ472:EZ527" si="562">FB472-FA472</f>
        <v>0</v>
      </c>
      <c r="FA472" s="109">
        <f t="shared" ref="FA472:FA509" si="563">FB472/(1+AM472)*AM472</f>
        <v>0</v>
      </c>
      <c r="FB472" s="109"/>
      <c r="FC472" s="109"/>
      <c r="FD472" s="111"/>
      <c r="FE472" s="111"/>
      <c r="FF472" s="165"/>
      <c r="FG472" s="109">
        <f t="shared" ref="FG472:FG527" si="564">FI472-FH472</f>
        <v>0</v>
      </c>
      <c r="FH472" s="109">
        <f t="shared" ref="FH472:FH509" si="565">FI472/(1+AM472)*AM472</f>
        <v>0</v>
      </c>
      <c r="FI472" s="109"/>
      <c r="FJ472" s="109"/>
      <c r="FK472" s="111"/>
      <c r="FL472" s="111"/>
      <c r="FM472" s="165"/>
      <c r="FN472" s="109">
        <f t="shared" ref="FN472:FN527" si="566">FP472-FO472</f>
        <v>0</v>
      </c>
      <c r="FO472" s="109">
        <f t="shared" ref="FO472:FO509" si="567">FP472/(1+AM472)*AM472</f>
        <v>0</v>
      </c>
      <c r="FP472" s="109"/>
      <c r="FQ472" s="109"/>
      <c r="FR472" s="111"/>
      <c r="FS472" s="111"/>
      <c r="FT472" s="165"/>
      <c r="FU472" s="109">
        <f t="shared" ref="FU472:FU527" si="568">FW472-FV472</f>
        <v>0</v>
      </c>
      <c r="FV472" s="109">
        <f t="shared" si="526"/>
        <v>0</v>
      </c>
      <c r="FW472" s="109"/>
      <c r="FX472" s="109"/>
      <c r="FY472" s="111"/>
      <c r="FZ472" s="111"/>
      <c r="GA472" s="165"/>
      <c r="GB472" s="109">
        <f t="shared" ref="GB472:GB527" si="569">GD472-GC472</f>
        <v>0</v>
      </c>
      <c r="GC472" s="109">
        <f t="shared" si="527"/>
        <v>0</v>
      </c>
      <c r="GD472" s="109"/>
      <c r="GE472" s="109"/>
      <c r="GF472" s="111"/>
      <c r="GG472" s="111"/>
      <c r="GH472" s="165"/>
      <c r="GI472" s="109">
        <f t="shared" ref="GI472:GI527" si="570">GK472-GJ472</f>
        <v>0</v>
      </c>
      <c r="GJ472" s="109">
        <f t="shared" si="528"/>
        <v>0</v>
      </c>
      <c r="GK472" s="109"/>
      <c r="GL472" s="109"/>
      <c r="GM472" s="111"/>
      <c r="GN472" s="111"/>
      <c r="GO472" s="165"/>
      <c r="GP472" s="109">
        <f t="shared" ref="GP472:GP527" si="571">GR472-GQ472</f>
        <v>0</v>
      </c>
      <c r="GQ472" s="109">
        <f t="shared" si="529"/>
        <v>0</v>
      </c>
      <c r="GR472" s="109"/>
      <c r="GS472" s="109"/>
      <c r="GT472" s="111"/>
      <c r="GU472" s="111"/>
      <c r="GV472" s="165"/>
      <c r="GW472" s="168">
        <f t="shared" ref="GW472:GW527" si="572">GY472-GX472</f>
        <v>0</v>
      </c>
      <c r="GX472" s="168">
        <f t="shared" si="530"/>
        <v>0</v>
      </c>
      <c r="GY472" s="168"/>
      <c r="GZ472" s="168"/>
      <c r="HA472" s="111"/>
      <c r="HB472" s="111"/>
      <c r="HC472" s="165"/>
      <c r="HD472" s="109">
        <f t="shared" ref="HD472:HD527" si="573">HF472-HE472</f>
        <v>0</v>
      </c>
      <c r="HE472" s="109">
        <f t="shared" si="531"/>
        <v>0</v>
      </c>
      <c r="HF472" s="109"/>
      <c r="HG472" s="109"/>
      <c r="HH472" s="111"/>
      <c r="HI472" s="111"/>
      <c r="HJ472" s="165"/>
      <c r="HK472" s="109">
        <f t="shared" ref="HK472:HK527" si="574">HM472-HL472</f>
        <v>0</v>
      </c>
      <c r="HL472" s="109">
        <f t="shared" si="532"/>
        <v>0</v>
      </c>
      <c r="HM472" s="109"/>
      <c r="HN472" s="109"/>
      <c r="HO472" s="111"/>
      <c r="HP472" s="111"/>
      <c r="HQ472" s="165"/>
      <c r="HR472" s="109">
        <f t="shared" ref="HR472:HR527" si="575">HT472-HS472</f>
        <v>0</v>
      </c>
      <c r="HS472" s="109">
        <f t="shared" si="533"/>
        <v>0</v>
      </c>
      <c r="HT472" s="109"/>
      <c r="HU472" s="109"/>
      <c r="HV472" s="111"/>
      <c r="HW472" s="111"/>
      <c r="HX472" s="105">
        <f t="shared" si="551"/>
        <v>0</v>
      </c>
      <c r="HY472" s="105">
        <f t="shared" si="551"/>
        <v>0</v>
      </c>
      <c r="HZ472" s="105">
        <f t="shared" si="551"/>
        <v>0</v>
      </c>
      <c r="IA472" s="105">
        <f t="shared" si="545"/>
        <v>0</v>
      </c>
      <c r="IB472" s="109">
        <f t="shared" si="546"/>
        <v>0</v>
      </c>
      <c r="IC472" s="109">
        <f t="shared" si="547"/>
        <v>0</v>
      </c>
      <c r="ID472" s="109">
        <f t="shared" si="548"/>
        <v>0</v>
      </c>
      <c r="IE472" s="109">
        <f t="shared" si="549"/>
        <v>0</v>
      </c>
      <c r="IF472" s="197"/>
      <c r="IG472" s="197"/>
      <c r="IH472" s="197"/>
      <c r="II472" s="197"/>
      <c r="IJ472" s="197"/>
      <c r="IK472" s="197"/>
      <c r="IL472" s="197"/>
      <c r="IM472" s="171"/>
      <c r="IN472" s="171"/>
      <c r="IO472" s="171"/>
      <c r="IP472" s="171"/>
    </row>
    <row r="473" spans="1:250" ht="15" customHeight="1" x14ac:dyDescent="0.3">
      <c r="A473" s="110">
        <f t="shared" si="550"/>
        <v>469</v>
      </c>
      <c r="B473" s="111"/>
      <c r="C473" s="111"/>
      <c r="D473" s="111"/>
      <c r="E473" s="111"/>
      <c r="F473" s="111"/>
      <c r="G473" s="111"/>
      <c r="H473" s="111"/>
      <c r="I473" s="194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75"/>
      <c r="AI473" s="111"/>
      <c r="AJ473" s="111"/>
      <c r="AK473" s="111"/>
      <c r="AL473" s="177"/>
      <c r="AM473" s="176"/>
      <c r="AN473" s="177"/>
      <c r="AO473" s="157"/>
      <c r="AP473" s="158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  <c r="BJ473" s="111"/>
      <c r="BK473" s="111"/>
      <c r="BL473" s="175"/>
      <c r="BM473" s="111"/>
      <c r="BN473" s="111"/>
      <c r="BO473" s="111"/>
      <c r="BP473" s="111"/>
      <c r="BQ473" s="111"/>
      <c r="BR473" s="111"/>
      <c r="BS473" s="111"/>
      <c r="BT473" s="111"/>
      <c r="BU473" s="111"/>
      <c r="BV473" s="111"/>
      <c r="BW473" s="111"/>
      <c r="BX473" s="111"/>
      <c r="BY473" s="111"/>
      <c r="BZ473" s="111"/>
      <c r="CA473" s="111"/>
      <c r="CB473" s="111"/>
      <c r="CC473" s="178"/>
      <c r="CD473" s="177">
        <f t="shared" si="534"/>
        <v>0</v>
      </c>
      <c r="CE473" s="148"/>
      <c r="CF473" s="111">
        <f t="shared" si="535"/>
        <v>0</v>
      </c>
      <c r="CG473" s="177"/>
      <c r="CH473" s="204"/>
      <c r="CI473" s="148"/>
      <c r="CJ473" s="165"/>
      <c r="CK473" s="165"/>
      <c r="CL473" s="111"/>
      <c r="CM473" s="111"/>
      <c r="CN473" s="165">
        <f t="shared" si="536"/>
        <v>0</v>
      </c>
      <c r="CO473" s="109">
        <f t="shared" si="537"/>
        <v>0</v>
      </c>
      <c r="CP473" s="109">
        <f t="shared" si="538"/>
        <v>0</v>
      </c>
      <c r="CQ473" s="109"/>
      <c r="CR473" s="109"/>
      <c r="CS473" s="196"/>
      <c r="CT473" s="167"/>
      <c r="CU473" s="165"/>
      <c r="CV473" s="109">
        <f t="shared" si="539"/>
        <v>0</v>
      </c>
      <c r="CW473" s="109">
        <f t="shared" si="540"/>
        <v>0</v>
      </c>
      <c r="CX473" s="109"/>
      <c r="CY473" s="109"/>
      <c r="CZ473" s="111"/>
      <c r="DA473" s="111"/>
      <c r="DB473" s="165"/>
      <c r="DC473" s="109">
        <f t="shared" si="541"/>
        <v>0</v>
      </c>
      <c r="DD473" s="109">
        <f t="shared" si="542"/>
        <v>0</v>
      </c>
      <c r="DE473" s="109"/>
      <c r="DF473" s="109"/>
      <c r="DG473" s="111"/>
      <c r="DH473" s="111"/>
      <c r="DI473" s="165"/>
      <c r="DJ473" s="109">
        <f t="shared" si="543"/>
        <v>0</v>
      </c>
      <c r="DK473" s="109">
        <f t="shared" si="544"/>
        <v>0</v>
      </c>
      <c r="DL473" s="109"/>
      <c r="DM473" s="109"/>
      <c r="DN473" s="111"/>
      <c r="DO473" s="111"/>
      <c r="DP473" s="165"/>
      <c r="DQ473" s="109">
        <f t="shared" si="552"/>
        <v>0</v>
      </c>
      <c r="DR473" s="109">
        <f t="shared" si="553"/>
        <v>0</v>
      </c>
      <c r="DS473" s="109"/>
      <c r="DT473" s="109"/>
      <c r="DU473" s="111"/>
      <c r="DV473" s="111"/>
      <c r="DW473" s="165"/>
      <c r="DX473" s="109">
        <f t="shared" si="554"/>
        <v>0</v>
      </c>
      <c r="DY473" s="109">
        <f t="shared" si="555"/>
        <v>0</v>
      </c>
      <c r="DZ473" s="109"/>
      <c r="EA473" s="109"/>
      <c r="EB473" s="111"/>
      <c r="EC473" s="111"/>
      <c r="ED473" s="165"/>
      <c r="EE473" s="109">
        <f t="shared" si="556"/>
        <v>0</v>
      </c>
      <c r="EF473" s="109">
        <f t="shared" si="557"/>
        <v>0</v>
      </c>
      <c r="EG473" s="109"/>
      <c r="EH473" s="109"/>
      <c r="EI473" s="111"/>
      <c r="EJ473" s="111"/>
      <c r="EK473" s="165"/>
      <c r="EL473" s="109">
        <f t="shared" si="558"/>
        <v>0</v>
      </c>
      <c r="EM473" s="109">
        <f t="shared" si="559"/>
        <v>0</v>
      </c>
      <c r="EN473" s="109"/>
      <c r="EO473" s="109"/>
      <c r="EP473" s="111"/>
      <c r="EQ473" s="111"/>
      <c r="ER473" s="165"/>
      <c r="ES473" s="109">
        <f t="shared" si="560"/>
        <v>0</v>
      </c>
      <c r="ET473" s="109">
        <f t="shared" si="561"/>
        <v>0</v>
      </c>
      <c r="EU473" s="109"/>
      <c r="EV473" s="109"/>
      <c r="EW473" s="111"/>
      <c r="EX473" s="111"/>
      <c r="EY473" s="165"/>
      <c r="EZ473" s="109">
        <f t="shared" si="562"/>
        <v>0</v>
      </c>
      <c r="FA473" s="109">
        <f t="shared" si="563"/>
        <v>0</v>
      </c>
      <c r="FB473" s="109"/>
      <c r="FC473" s="109"/>
      <c r="FD473" s="111"/>
      <c r="FE473" s="111"/>
      <c r="FF473" s="165"/>
      <c r="FG473" s="109">
        <f t="shared" si="564"/>
        <v>0</v>
      </c>
      <c r="FH473" s="109">
        <f t="shared" si="565"/>
        <v>0</v>
      </c>
      <c r="FI473" s="109"/>
      <c r="FJ473" s="109"/>
      <c r="FK473" s="111"/>
      <c r="FL473" s="111"/>
      <c r="FM473" s="165"/>
      <c r="FN473" s="109">
        <f t="shared" si="566"/>
        <v>0</v>
      </c>
      <c r="FO473" s="109">
        <f t="shared" si="567"/>
        <v>0</v>
      </c>
      <c r="FP473" s="109"/>
      <c r="FQ473" s="109"/>
      <c r="FR473" s="111"/>
      <c r="FS473" s="111"/>
      <c r="FT473" s="165"/>
      <c r="FU473" s="109">
        <f t="shared" si="568"/>
        <v>0</v>
      </c>
      <c r="FV473" s="109">
        <f t="shared" si="526"/>
        <v>0</v>
      </c>
      <c r="FW473" s="109"/>
      <c r="FX473" s="109"/>
      <c r="FY473" s="111"/>
      <c r="FZ473" s="111"/>
      <c r="GA473" s="165"/>
      <c r="GB473" s="109">
        <f t="shared" si="569"/>
        <v>0</v>
      </c>
      <c r="GC473" s="109">
        <f t="shared" si="527"/>
        <v>0</v>
      </c>
      <c r="GD473" s="109"/>
      <c r="GE473" s="109"/>
      <c r="GF473" s="111"/>
      <c r="GG473" s="111"/>
      <c r="GH473" s="165"/>
      <c r="GI473" s="109">
        <f t="shared" si="570"/>
        <v>0</v>
      </c>
      <c r="GJ473" s="109">
        <f t="shared" si="528"/>
        <v>0</v>
      </c>
      <c r="GK473" s="109"/>
      <c r="GL473" s="109"/>
      <c r="GM473" s="111"/>
      <c r="GN473" s="111"/>
      <c r="GO473" s="165"/>
      <c r="GP473" s="109">
        <f t="shared" si="571"/>
        <v>0</v>
      </c>
      <c r="GQ473" s="109">
        <f t="shared" si="529"/>
        <v>0</v>
      </c>
      <c r="GR473" s="109"/>
      <c r="GS473" s="109"/>
      <c r="GT473" s="111"/>
      <c r="GU473" s="111"/>
      <c r="GV473" s="165"/>
      <c r="GW473" s="168">
        <f t="shared" si="572"/>
        <v>0</v>
      </c>
      <c r="GX473" s="168">
        <f t="shared" si="530"/>
        <v>0</v>
      </c>
      <c r="GY473" s="168"/>
      <c r="GZ473" s="168"/>
      <c r="HA473" s="111"/>
      <c r="HB473" s="111"/>
      <c r="HC473" s="165"/>
      <c r="HD473" s="109">
        <f t="shared" si="573"/>
        <v>0</v>
      </c>
      <c r="HE473" s="109">
        <f t="shared" si="531"/>
        <v>0</v>
      </c>
      <c r="HF473" s="109"/>
      <c r="HG473" s="109"/>
      <c r="HH473" s="111"/>
      <c r="HI473" s="111"/>
      <c r="HJ473" s="165"/>
      <c r="HK473" s="109">
        <f t="shared" si="574"/>
        <v>0</v>
      </c>
      <c r="HL473" s="109">
        <f t="shared" si="532"/>
        <v>0</v>
      </c>
      <c r="HM473" s="109"/>
      <c r="HN473" s="109"/>
      <c r="HO473" s="111"/>
      <c r="HP473" s="111"/>
      <c r="HQ473" s="165"/>
      <c r="HR473" s="109">
        <f t="shared" si="575"/>
        <v>0</v>
      </c>
      <c r="HS473" s="109">
        <f t="shared" si="533"/>
        <v>0</v>
      </c>
      <c r="HT473" s="109"/>
      <c r="HU473" s="109"/>
      <c r="HV473" s="111"/>
      <c r="HW473" s="111"/>
      <c r="HX473" s="105">
        <f t="shared" si="551"/>
        <v>0</v>
      </c>
      <c r="HY473" s="105">
        <f t="shared" si="551"/>
        <v>0</v>
      </c>
      <c r="HZ473" s="105">
        <f t="shared" si="551"/>
        <v>0</v>
      </c>
      <c r="IA473" s="105">
        <f t="shared" si="545"/>
        <v>0</v>
      </c>
      <c r="IB473" s="109">
        <f t="shared" si="546"/>
        <v>0</v>
      </c>
      <c r="IC473" s="109">
        <f t="shared" si="547"/>
        <v>0</v>
      </c>
      <c r="ID473" s="109">
        <f t="shared" si="548"/>
        <v>0</v>
      </c>
      <c r="IE473" s="109">
        <f t="shared" si="549"/>
        <v>0</v>
      </c>
      <c r="IF473" s="197"/>
      <c r="IG473" s="197"/>
      <c r="IH473" s="197"/>
      <c r="II473" s="197"/>
      <c r="IJ473" s="197"/>
      <c r="IK473" s="197"/>
      <c r="IL473" s="197"/>
      <c r="IM473" s="171"/>
      <c r="IN473" s="171"/>
      <c r="IO473" s="171"/>
      <c r="IP473" s="171"/>
    </row>
    <row r="474" spans="1:250" ht="15" customHeight="1" x14ac:dyDescent="0.3">
      <c r="A474" s="110">
        <f t="shared" si="550"/>
        <v>470</v>
      </c>
      <c r="B474" s="111"/>
      <c r="C474" s="111"/>
      <c r="D474" s="111"/>
      <c r="E474" s="111"/>
      <c r="F474" s="111"/>
      <c r="G474" s="111"/>
      <c r="H474" s="111"/>
      <c r="I474" s="194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75"/>
      <c r="AI474" s="111"/>
      <c r="AJ474" s="111"/>
      <c r="AK474" s="111"/>
      <c r="AL474" s="177"/>
      <c r="AM474" s="176"/>
      <c r="AN474" s="177"/>
      <c r="AO474" s="157"/>
      <c r="AP474" s="158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  <c r="BJ474" s="111"/>
      <c r="BK474" s="111"/>
      <c r="BL474" s="175"/>
      <c r="BM474" s="111"/>
      <c r="BN474" s="111"/>
      <c r="BO474" s="111"/>
      <c r="BP474" s="111"/>
      <c r="BQ474" s="111"/>
      <c r="BR474" s="111"/>
      <c r="BS474" s="111"/>
      <c r="BT474" s="111"/>
      <c r="BU474" s="111"/>
      <c r="BV474" s="111"/>
      <c r="BW474" s="111"/>
      <c r="BX474" s="111"/>
      <c r="BY474" s="111"/>
      <c r="BZ474" s="111"/>
      <c r="CA474" s="111"/>
      <c r="CB474" s="111"/>
      <c r="CC474" s="178"/>
      <c r="CD474" s="177">
        <f t="shared" si="534"/>
        <v>0</v>
      </c>
      <c r="CE474" s="148"/>
      <c r="CF474" s="111">
        <f t="shared" si="535"/>
        <v>0</v>
      </c>
      <c r="CG474" s="177"/>
      <c r="CH474" s="204"/>
      <c r="CI474" s="148"/>
      <c r="CJ474" s="165"/>
      <c r="CK474" s="165"/>
      <c r="CL474" s="111"/>
      <c r="CM474" s="111"/>
      <c r="CN474" s="165">
        <f t="shared" si="536"/>
        <v>0</v>
      </c>
      <c r="CO474" s="109">
        <f t="shared" si="537"/>
        <v>0</v>
      </c>
      <c r="CP474" s="109">
        <f t="shared" si="538"/>
        <v>0</v>
      </c>
      <c r="CQ474" s="109"/>
      <c r="CR474" s="109"/>
      <c r="CS474" s="196"/>
      <c r="CT474" s="167"/>
      <c r="CU474" s="165"/>
      <c r="CV474" s="109">
        <f t="shared" si="539"/>
        <v>0</v>
      </c>
      <c r="CW474" s="109">
        <f t="shared" si="540"/>
        <v>0</v>
      </c>
      <c r="CX474" s="109"/>
      <c r="CY474" s="109"/>
      <c r="CZ474" s="111"/>
      <c r="DA474" s="111"/>
      <c r="DB474" s="165"/>
      <c r="DC474" s="109">
        <f t="shared" si="541"/>
        <v>0</v>
      </c>
      <c r="DD474" s="109">
        <f t="shared" si="542"/>
        <v>0</v>
      </c>
      <c r="DE474" s="109"/>
      <c r="DF474" s="109"/>
      <c r="DG474" s="111"/>
      <c r="DH474" s="111"/>
      <c r="DI474" s="165"/>
      <c r="DJ474" s="109">
        <f t="shared" si="543"/>
        <v>0</v>
      </c>
      <c r="DK474" s="109">
        <f t="shared" si="544"/>
        <v>0</v>
      </c>
      <c r="DL474" s="109"/>
      <c r="DM474" s="109"/>
      <c r="DN474" s="111"/>
      <c r="DO474" s="111"/>
      <c r="DP474" s="165"/>
      <c r="DQ474" s="109">
        <f t="shared" si="552"/>
        <v>0</v>
      </c>
      <c r="DR474" s="109">
        <f t="shared" si="553"/>
        <v>0</v>
      </c>
      <c r="DS474" s="109"/>
      <c r="DT474" s="109"/>
      <c r="DU474" s="111"/>
      <c r="DV474" s="111"/>
      <c r="DW474" s="165"/>
      <c r="DX474" s="109">
        <f t="shared" si="554"/>
        <v>0</v>
      </c>
      <c r="DY474" s="109">
        <f t="shared" si="555"/>
        <v>0</v>
      </c>
      <c r="DZ474" s="109"/>
      <c r="EA474" s="109"/>
      <c r="EB474" s="111"/>
      <c r="EC474" s="111"/>
      <c r="ED474" s="165"/>
      <c r="EE474" s="109">
        <f t="shared" si="556"/>
        <v>0</v>
      </c>
      <c r="EF474" s="109">
        <f t="shared" si="557"/>
        <v>0</v>
      </c>
      <c r="EG474" s="109"/>
      <c r="EH474" s="109"/>
      <c r="EI474" s="111"/>
      <c r="EJ474" s="111"/>
      <c r="EK474" s="165"/>
      <c r="EL474" s="109">
        <f t="shared" si="558"/>
        <v>0</v>
      </c>
      <c r="EM474" s="109">
        <f t="shared" si="559"/>
        <v>0</v>
      </c>
      <c r="EN474" s="109"/>
      <c r="EO474" s="109"/>
      <c r="EP474" s="111"/>
      <c r="EQ474" s="111"/>
      <c r="ER474" s="165"/>
      <c r="ES474" s="109">
        <f t="shared" si="560"/>
        <v>0</v>
      </c>
      <c r="ET474" s="109">
        <f t="shared" si="561"/>
        <v>0</v>
      </c>
      <c r="EU474" s="109"/>
      <c r="EV474" s="109"/>
      <c r="EW474" s="111"/>
      <c r="EX474" s="111"/>
      <c r="EY474" s="165"/>
      <c r="EZ474" s="109">
        <f t="shared" si="562"/>
        <v>0</v>
      </c>
      <c r="FA474" s="109">
        <f t="shared" si="563"/>
        <v>0</v>
      </c>
      <c r="FB474" s="109"/>
      <c r="FC474" s="109"/>
      <c r="FD474" s="111"/>
      <c r="FE474" s="111"/>
      <c r="FF474" s="165"/>
      <c r="FG474" s="109">
        <f t="shared" si="564"/>
        <v>0</v>
      </c>
      <c r="FH474" s="109">
        <f t="shared" si="565"/>
        <v>0</v>
      </c>
      <c r="FI474" s="109"/>
      <c r="FJ474" s="109"/>
      <c r="FK474" s="111"/>
      <c r="FL474" s="111"/>
      <c r="FM474" s="165"/>
      <c r="FN474" s="109">
        <f t="shared" si="566"/>
        <v>0</v>
      </c>
      <c r="FO474" s="109">
        <f t="shared" si="567"/>
        <v>0</v>
      </c>
      <c r="FP474" s="109"/>
      <c r="FQ474" s="109"/>
      <c r="FR474" s="111"/>
      <c r="FS474" s="111"/>
      <c r="FT474" s="165"/>
      <c r="FU474" s="109">
        <f t="shared" si="568"/>
        <v>0</v>
      </c>
      <c r="FV474" s="109">
        <f t="shared" si="526"/>
        <v>0</v>
      </c>
      <c r="FW474" s="109"/>
      <c r="FX474" s="109"/>
      <c r="FY474" s="111"/>
      <c r="FZ474" s="111"/>
      <c r="GA474" s="165"/>
      <c r="GB474" s="109">
        <f t="shared" si="569"/>
        <v>0</v>
      </c>
      <c r="GC474" s="109">
        <f t="shared" si="527"/>
        <v>0</v>
      </c>
      <c r="GD474" s="109"/>
      <c r="GE474" s="109"/>
      <c r="GF474" s="111"/>
      <c r="GG474" s="111"/>
      <c r="GH474" s="165"/>
      <c r="GI474" s="109">
        <f t="shared" si="570"/>
        <v>0</v>
      </c>
      <c r="GJ474" s="109">
        <f t="shared" si="528"/>
        <v>0</v>
      </c>
      <c r="GK474" s="109"/>
      <c r="GL474" s="109"/>
      <c r="GM474" s="111"/>
      <c r="GN474" s="111"/>
      <c r="GO474" s="165"/>
      <c r="GP474" s="109">
        <f t="shared" si="571"/>
        <v>0</v>
      </c>
      <c r="GQ474" s="109">
        <f t="shared" si="529"/>
        <v>0</v>
      </c>
      <c r="GR474" s="109"/>
      <c r="GS474" s="109"/>
      <c r="GT474" s="111"/>
      <c r="GU474" s="111"/>
      <c r="GV474" s="165"/>
      <c r="GW474" s="168">
        <f t="shared" si="572"/>
        <v>0</v>
      </c>
      <c r="GX474" s="168">
        <f t="shared" si="530"/>
        <v>0</v>
      </c>
      <c r="GY474" s="168"/>
      <c r="GZ474" s="168"/>
      <c r="HA474" s="111"/>
      <c r="HB474" s="111"/>
      <c r="HC474" s="165"/>
      <c r="HD474" s="109">
        <f t="shared" si="573"/>
        <v>0</v>
      </c>
      <c r="HE474" s="109">
        <f t="shared" si="531"/>
        <v>0</v>
      </c>
      <c r="HF474" s="109"/>
      <c r="HG474" s="109"/>
      <c r="HH474" s="111"/>
      <c r="HI474" s="111"/>
      <c r="HJ474" s="165"/>
      <c r="HK474" s="109">
        <f t="shared" si="574"/>
        <v>0</v>
      </c>
      <c r="HL474" s="109">
        <f t="shared" si="532"/>
        <v>0</v>
      </c>
      <c r="HM474" s="109"/>
      <c r="HN474" s="109"/>
      <c r="HO474" s="111"/>
      <c r="HP474" s="111"/>
      <c r="HQ474" s="165"/>
      <c r="HR474" s="109">
        <f t="shared" si="575"/>
        <v>0</v>
      </c>
      <c r="HS474" s="109">
        <f t="shared" si="533"/>
        <v>0</v>
      </c>
      <c r="HT474" s="109"/>
      <c r="HU474" s="109"/>
      <c r="HV474" s="111"/>
      <c r="HW474" s="111"/>
      <c r="HX474" s="105">
        <f t="shared" si="551"/>
        <v>0</v>
      </c>
      <c r="HY474" s="105">
        <f t="shared" si="551"/>
        <v>0</v>
      </c>
      <c r="HZ474" s="105">
        <f t="shared" si="551"/>
        <v>0</v>
      </c>
      <c r="IA474" s="105">
        <f t="shared" si="545"/>
        <v>0</v>
      </c>
      <c r="IB474" s="109">
        <f t="shared" si="546"/>
        <v>0</v>
      </c>
      <c r="IC474" s="109">
        <f t="shared" si="547"/>
        <v>0</v>
      </c>
      <c r="ID474" s="109">
        <f t="shared" si="548"/>
        <v>0</v>
      </c>
      <c r="IE474" s="109">
        <f t="shared" si="549"/>
        <v>0</v>
      </c>
      <c r="IF474" s="197"/>
      <c r="IG474" s="197"/>
      <c r="IH474" s="197"/>
      <c r="II474" s="197"/>
      <c r="IJ474" s="197"/>
      <c r="IK474" s="197"/>
      <c r="IL474" s="197"/>
      <c r="IM474" s="171"/>
      <c r="IN474" s="171"/>
      <c r="IO474" s="171"/>
      <c r="IP474" s="171"/>
    </row>
    <row r="475" spans="1:250" ht="15" customHeight="1" x14ac:dyDescent="0.3">
      <c r="A475" s="110">
        <f t="shared" si="550"/>
        <v>471</v>
      </c>
      <c r="B475" s="111"/>
      <c r="C475" s="111"/>
      <c r="D475" s="111"/>
      <c r="E475" s="111"/>
      <c r="F475" s="111"/>
      <c r="G475" s="111"/>
      <c r="H475" s="111"/>
      <c r="I475" s="194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75"/>
      <c r="AI475" s="111"/>
      <c r="AJ475" s="111"/>
      <c r="AK475" s="111"/>
      <c r="AL475" s="177"/>
      <c r="AM475" s="176"/>
      <c r="AN475" s="177"/>
      <c r="AO475" s="157"/>
      <c r="AP475" s="158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  <c r="BJ475" s="111"/>
      <c r="BK475" s="111"/>
      <c r="BL475" s="175"/>
      <c r="BM475" s="111"/>
      <c r="BN475" s="111"/>
      <c r="BO475" s="111"/>
      <c r="BP475" s="111"/>
      <c r="BQ475" s="111"/>
      <c r="BR475" s="111"/>
      <c r="BS475" s="111"/>
      <c r="BT475" s="111"/>
      <c r="BU475" s="111"/>
      <c r="BV475" s="111"/>
      <c r="BW475" s="111"/>
      <c r="BX475" s="111"/>
      <c r="BY475" s="111"/>
      <c r="BZ475" s="111"/>
      <c r="CA475" s="111"/>
      <c r="CB475" s="111"/>
      <c r="CC475" s="178"/>
      <c r="CD475" s="177">
        <f t="shared" si="534"/>
        <v>0</v>
      </c>
      <c r="CE475" s="148"/>
      <c r="CF475" s="111">
        <f t="shared" si="535"/>
        <v>0</v>
      </c>
      <c r="CG475" s="177"/>
      <c r="CH475" s="204"/>
      <c r="CI475" s="148"/>
      <c r="CJ475" s="165"/>
      <c r="CK475" s="165"/>
      <c r="CL475" s="111"/>
      <c r="CM475" s="111"/>
      <c r="CN475" s="165">
        <f t="shared" si="536"/>
        <v>0</v>
      </c>
      <c r="CO475" s="109">
        <f t="shared" si="537"/>
        <v>0</v>
      </c>
      <c r="CP475" s="109">
        <f t="shared" si="538"/>
        <v>0</v>
      </c>
      <c r="CQ475" s="109"/>
      <c r="CR475" s="109"/>
      <c r="CS475" s="196"/>
      <c r="CT475" s="167"/>
      <c r="CU475" s="165"/>
      <c r="CV475" s="109">
        <f t="shared" si="539"/>
        <v>0</v>
      </c>
      <c r="CW475" s="109">
        <f t="shared" si="540"/>
        <v>0</v>
      </c>
      <c r="CX475" s="109"/>
      <c r="CY475" s="109"/>
      <c r="CZ475" s="111"/>
      <c r="DA475" s="111"/>
      <c r="DB475" s="165"/>
      <c r="DC475" s="109">
        <f t="shared" si="541"/>
        <v>0</v>
      </c>
      <c r="DD475" s="109">
        <f t="shared" si="542"/>
        <v>0</v>
      </c>
      <c r="DE475" s="109"/>
      <c r="DF475" s="109"/>
      <c r="DG475" s="111"/>
      <c r="DH475" s="111"/>
      <c r="DI475" s="165"/>
      <c r="DJ475" s="109">
        <f t="shared" si="543"/>
        <v>0</v>
      </c>
      <c r="DK475" s="109">
        <f t="shared" si="544"/>
        <v>0</v>
      </c>
      <c r="DL475" s="109"/>
      <c r="DM475" s="109"/>
      <c r="DN475" s="111"/>
      <c r="DO475" s="111"/>
      <c r="DP475" s="165"/>
      <c r="DQ475" s="109">
        <f t="shared" si="552"/>
        <v>0</v>
      </c>
      <c r="DR475" s="109">
        <f t="shared" si="553"/>
        <v>0</v>
      </c>
      <c r="DS475" s="109"/>
      <c r="DT475" s="109"/>
      <c r="DU475" s="111"/>
      <c r="DV475" s="111"/>
      <c r="DW475" s="165"/>
      <c r="DX475" s="109">
        <f t="shared" si="554"/>
        <v>0</v>
      </c>
      <c r="DY475" s="109">
        <f t="shared" si="555"/>
        <v>0</v>
      </c>
      <c r="DZ475" s="109"/>
      <c r="EA475" s="109"/>
      <c r="EB475" s="111"/>
      <c r="EC475" s="111"/>
      <c r="ED475" s="165"/>
      <c r="EE475" s="109">
        <f t="shared" si="556"/>
        <v>0</v>
      </c>
      <c r="EF475" s="109">
        <f t="shared" si="557"/>
        <v>0</v>
      </c>
      <c r="EG475" s="109"/>
      <c r="EH475" s="109"/>
      <c r="EI475" s="111"/>
      <c r="EJ475" s="111"/>
      <c r="EK475" s="165"/>
      <c r="EL475" s="109">
        <f t="shared" si="558"/>
        <v>0</v>
      </c>
      <c r="EM475" s="109">
        <f t="shared" si="559"/>
        <v>0</v>
      </c>
      <c r="EN475" s="109"/>
      <c r="EO475" s="109"/>
      <c r="EP475" s="111"/>
      <c r="EQ475" s="111"/>
      <c r="ER475" s="165"/>
      <c r="ES475" s="109">
        <f t="shared" si="560"/>
        <v>0</v>
      </c>
      <c r="ET475" s="109">
        <f t="shared" si="561"/>
        <v>0</v>
      </c>
      <c r="EU475" s="109"/>
      <c r="EV475" s="109"/>
      <c r="EW475" s="111"/>
      <c r="EX475" s="111"/>
      <c r="EY475" s="165"/>
      <c r="EZ475" s="109">
        <f t="shared" si="562"/>
        <v>0</v>
      </c>
      <c r="FA475" s="109">
        <f t="shared" si="563"/>
        <v>0</v>
      </c>
      <c r="FB475" s="109"/>
      <c r="FC475" s="109"/>
      <c r="FD475" s="111"/>
      <c r="FE475" s="111"/>
      <c r="FF475" s="165"/>
      <c r="FG475" s="109">
        <f t="shared" si="564"/>
        <v>0</v>
      </c>
      <c r="FH475" s="109">
        <f t="shared" si="565"/>
        <v>0</v>
      </c>
      <c r="FI475" s="109"/>
      <c r="FJ475" s="109"/>
      <c r="FK475" s="111"/>
      <c r="FL475" s="111"/>
      <c r="FM475" s="165"/>
      <c r="FN475" s="109">
        <f t="shared" si="566"/>
        <v>0</v>
      </c>
      <c r="FO475" s="109">
        <f t="shared" si="567"/>
        <v>0</v>
      </c>
      <c r="FP475" s="109"/>
      <c r="FQ475" s="109"/>
      <c r="FR475" s="111"/>
      <c r="FS475" s="111"/>
      <c r="FT475" s="165"/>
      <c r="FU475" s="109">
        <f t="shared" si="568"/>
        <v>0</v>
      </c>
      <c r="FV475" s="109">
        <f t="shared" si="526"/>
        <v>0</v>
      </c>
      <c r="FW475" s="109"/>
      <c r="FX475" s="109"/>
      <c r="FY475" s="111"/>
      <c r="FZ475" s="111"/>
      <c r="GA475" s="165"/>
      <c r="GB475" s="109">
        <f t="shared" si="569"/>
        <v>0</v>
      </c>
      <c r="GC475" s="109">
        <f t="shared" si="527"/>
        <v>0</v>
      </c>
      <c r="GD475" s="109"/>
      <c r="GE475" s="109"/>
      <c r="GF475" s="111"/>
      <c r="GG475" s="111"/>
      <c r="GH475" s="165"/>
      <c r="GI475" s="109">
        <f t="shared" si="570"/>
        <v>0</v>
      </c>
      <c r="GJ475" s="109">
        <f t="shared" si="528"/>
        <v>0</v>
      </c>
      <c r="GK475" s="109"/>
      <c r="GL475" s="109"/>
      <c r="GM475" s="111"/>
      <c r="GN475" s="111"/>
      <c r="GO475" s="165"/>
      <c r="GP475" s="109">
        <f t="shared" si="571"/>
        <v>0</v>
      </c>
      <c r="GQ475" s="109">
        <f t="shared" si="529"/>
        <v>0</v>
      </c>
      <c r="GR475" s="109"/>
      <c r="GS475" s="109"/>
      <c r="GT475" s="111"/>
      <c r="GU475" s="111"/>
      <c r="GV475" s="165"/>
      <c r="GW475" s="168">
        <f t="shared" si="572"/>
        <v>0</v>
      </c>
      <c r="GX475" s="168">
        <f t="shared" si="530"/>
        <v>0</v>
      </c>
      <c r="GY475" s="168"/>
      <c r="GZ475" s="168"/>
      <c r="HA475" s="111"/>
      <c r="HB475" s="111"/>
      <c r="HC475" s="165"/>
      <c r="HD475" s="109">
        <f t="shared" si="573"/>
        <v>0</v>
      </c>
      <c r="HE475" s="109">
        <f t="shared" si="531"/>
        <v>0</v>
      </c>
      <c r="HF475" s="109"/>
      <c r="HG475" s="109"/>
      <c r="HH475" s="111"/>
      <c r="HI475" s="111"/>
      <c r="HJ475" s="165"/>
      <c r="HK475" s="109">
        <f t="shared" si="574"/>
        <v>0</v>
      </c>
      <c r="HL475" s="109">
        <f t="shared" si="532"/>
        <v>0</v>
      </c>
      <c r="HM475" s="109"/>
      <c r="HN475" s="109"/>
      <c r="HO475" s="111"/>
      <c r="HP475" s="111"/>
      <c r="HQ475" s="165"/>
      <c r="HR475" s="109">
        <f t="shared" si="575"/>
        <v>0</v>
      </c>
      <c r="HS475" s="109">
        <f t="shared" si="533"/>
        <v>0</v>
      </c>
      <c r="HT475" s="109"/>
      <c r="HU475" s="109"/>
      <c r="HV475" s="111"/>
      <c r="HW475" s="111"/>
      <c r="HX475" s="105">
        <f t="shared" si="551"/>
        <v>0</v>
      </c>
      <c r="HY475" s="105">
        <f t="shared" si="551"/>
        <v>0</v>
      </c>
      <c r="HZ475" s="105">
        <f t="shared" si="551"/>
        <v>0</v>
      </c>
      <c r="IA475" s="105">
        <f t="shared" si="545"/>
        <v>0</v>
      </c>
      <c r="IB475" s="109">
        <f t="shared" si="546"/>
        <v>0</v>
      </c>
      <c r="IC475" s="109">
        <f t="shared" si="547"/>
        <v>0</v>
      </c>
      <c r="ID475" s="109">
        <f t="shared" si="548"/>
        <v>0</v>
      </c>
      <c r="IE475" s="109">
        <f t="shared" si="549"/>
        <v>0</v>
      </c>
      <c r="IF475" s="197"/>
      <c r="IG475" s="197"/>
      <c r="IH475" s="197"/>
      <c r="II475" s="197"/>
      <c r="IJ475" s="197"/>
      <c r="IK475" s="197"/>
      <c r="IL475" s="197"/>
      <c r="IM475" s="171"/>
      <c r="IN475" s="171"/>
      <c r="IO475" s="171"/>
      <c r="IP475" s="171"/>
    </row>
    <row r="476" spans="1:250" ht="15" customHeight="1" x14ac:dyDescent="0.3">
      <c r="A476" s="110">
        <f t="shared" si="550"/>
        <v>472</v>
      </c>
      <c r="B476" s="111"/>
      <c r="C476" s="111"/>
      <c r="D476" s="111"/>
      <c r="E476" s="111"/>
      <c r="F476" s="111"/>
      <c r="G476" s="111"/>
      <c r="H476" s="111"/>
      <c r="I476" s="194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75"/>
      <c r="AI476" s="111"/>
      <c r="AJ476" s="111"/>
      <c r="AK476" s="111"/>
      <c r="AL476" s="177"/>
      <c r="AM476" s="176"/>
      <c r="AN476" s="177"/>
      <c r="AO476" s="157"/>
      <c r="AP476" s="158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  <c r="BJ476" s="111"/>
      <c r="BK476" s="111"/>
      <c r="BL476" s="175"/>
      <c r="BM476" s="111"/>
      <c r="BN476" s="111"/>
      <c r="BO476" s="111"/>
      <c r="BP476" s="111"/>
      <c r="BQ476" s="111"/>
      <c r="BR476" s="111"/>
      <c r="BS476" s="111"/>
      <c r="BT476" s="111"/>
      <c r="BU476" s="111"/>
      <c r="BV476" s="111"/>
      <c r="BW476" s="111"/>
      <c r="BX476" s="111"/>
      <c r="BY476" s="111"/>
      <c r="BZ476" s="111"/>
      <c r="CA476" s="111"/>
      <c r="CB476" s="111"/>
      <c r="CC476" s="178"/>
      <c r="CD476" s="177">
        <f t="shared" si="534"/>
        <v>0</v>
      </c>
      <c r="CE476" s="148"/>
      <c r="CF476" s="111">
        <f t="shared" si="535"/>
        <v>0</v>
      </c>
      <c r="CG476" s="177"/>
      <c r="CH476" s="204"/>
      <c r="CI476" s="148"/>
      <c r="CJ476" s="165"/>
      <c r="CK476" s="165"/>
      <c r="CL476" s="111"/>
      <c r="CM476" s="111"/>
      <c r="CN476" s="165">
        <f t="shared" si="536"/>
        <v>0</v>
      </c>
      <c r="CO476" s="109">
        <f t="shared" si="537"/>
        <v>0</v>
      </c>
      <c r="CP476" s="109">
        <f t="shared" si="538"/>
        <v>0</v>
      </c>
      <c r="CQ476" s="109"/>
      <c r="CR476" s="109"/>
      <c r="CS476" s="196"/>
      <c r="CT476" s="167"/>
      <c r="CU476" s="165"/>
      <c r="CV476" s="109">
        <f t="shared" si="539"/>
        <v>0</v>
      </c>
      <c r="CW476" s="109">
        <f t="shared" si="540"/>
        <v>0</v>
      </c>
      <c r="CX476" s="109"/>
      <c r="CY476" s="109"/>
      <c r="CZ476" s="111"/>
      <c r="DA476" s="111"/>
      <c r="DB476" s="165"/>
      <c r="DC476" s="109">
        <f t="shared" si="541"/>
        <v>0</v>
      </c>
      <c r="DD476" s="109">
        <f t="shared" si="542"/>
        <v>0</v>
      </c>
      <c r="DE476" s="109"/>
      <c r="DF476" s="109"/>
      <c r="DG476" s="111"/>
      <c r="DH476" s="111"/>
      <c r="DI476" s="165"/>
      <c r="DJ476" s="109">
        <f t="shared" si="543"/>
        <v>0</v>
      </c>
      <c r="DK476" s="109">
        <f t="shared" si="544"/>
        <v>0</v>
      </c>
      <c r="DL476" s="109"/>
      <c r="DM476" s="109"/>
      <c r="DN476" s="111"/>
      <c r="DO476" s="111"/>
      <c r="DP476" s="165"/>
      <c r="DQ476" s="109">
        <f t="shared" si="552"/>
        <v>0</v>
      </c>
      <c r="DR476" s="109">
        <f t="shared" si="553"/>
        <v>0</v>
      </c>
      <c r="DS476" s="109"/>
      <c r="DT476" s="109"/>
      <c r="DU476" s="111"/>
      <c r="DV476" s="111"/>
      <c r="DW476" s="165"/>
      <c r="DX476" s="109">
        <f t="shared" si="554"/>
        <v>0</v>
      </c>
      <c r="DY476" s="109">
        <f t="shared" si="555"/>
        <v>0</v>
      </c>
      <c r="DZ476" s="109"/>
      <c r="EA476" s="109"/>
      <c r="EB476" s="111"/>
      <c r="EC476" s="111"/>
      <c r="ED476" s="165"/>
      <c r="EE476" s="109">
        <f t="shared" si="556"/>
        <v>0</v>
      </c>
      <c r="EF476" s="109">
        <f t="shared" si="557"/>
        <v>0</v>
      </c>
      <c r="EG476" s="109"/>
      <c r="EH476" s="109"/>
      <c r="EI476" s="111"/>
      <c r="EJ476" s="111"/>
      <c r="EK476" s="165"/>
      <c r="EL476" s="109">
        <f t="shared" si="558"/>
        <v>0</v>
      </c>
      <c r="EM476" s="109">
        <f t="shared" si="559"/>
        <v>0</v>
      </c>
      <c r="EN476" s="109"/>
      <c r="EO476" s="109"/>
      <c r="EP476" s="111"/>
      <c r="EQ476" s="111"/>
      <c r="ER476" s="165"/>
      <c r="ES476" s="109">
        <f t="shared" si="560"/>
        <v>0</v>
      </c>
      <c r="ET476" s="109">
        <f t="shared" si="561"/>
        <v>0</v>
      </c>
      <c r="EU476" s="109"/>
      <c r="EV476" s="109"/>
      <c r="EW476" s="111"/>
      <c r="EX476" s="111"/>
      <c r="EY476" s="165"/>
      <c r="EZ476" s="109">
        <f t="shared" si="562"/>
        <v>0</v>
      </c>
      <c r="FA476" s="109">
        <f t="shared" si="563"/>
        <v>0</v>
      </c>
      <c r="FB476" s="109"/>
      <c r="FC476" s="109"/>
      <c r="FD476" s="111"/>
      <c r="FE476" s="111"/>
      <c r="FF476" s="165"/>
      <c r="FG476" s="109">
        <f t="shared" si="564"/>
        <v>0</v>
      </c>
      <c r="FH476" s="109">
        <f t="shared" si="565"/>
        <v>0</v>
      </c>
      <c r="FI476" s="109"/>
      <c r="FJ476" s="109"/>
      <c r="FK476" s="111"/>
      <c r="FL476" s="111"/>
      <c r="FM476" s="165"/>
      <c r="FN476" s="109">
        <f t="shared" si="566"/>
        <v>0</v>
      </c>
      <c r="FO476" s="109">
        <f t="shared" si="567"/>
        <v>0</v>
      </c>
      <c r="FP476" s="109"/>
      <c r="FQ476" s="109"/>
      <c r="FR476" s="111"/>
      <c r="FS476" s="111"/>
      <c r="FT476" s="165"/>
      <c r="FU476" s="109">
        <f t="shared" si="568"/>
        <v>0</v>
      </c>
      <c r="FV476" s="109">
        <f t="shared" si="526"/>
        <v>0</v>
      </c>
      <c r="FW476" s="109"/>
      <c r="FX476" s="109"/>
      <c r="FY476" s="111"/>
      <c r="FZ476" s="111"/>
      <c r="GA476" s="165"/>
      <c r="GB476" s="109">
        <f t="shared" si="569"/>
        <v>0</v>
      </c>
      <c r="GC476" s="109">
        <f t="shared" si="527"/>
        <v>0</v>
      </c>
      <c r="GD476" s="109"/>
      <c r="GE476" s="109"/>
      <c r="GF476" s="111"/>
      <c r="GG476" s="111"/>
      <c r="GH476" s="165"/>
      <c r="GI476" s="109">
        <f t="shared" si="570"/>
        <v>0</v>
      </c>
      <c r="GJ476" s="109">
        <f t="shared" si="528"/>
        <v>0</v>
      </c>
      <c r="GK476" s="109"/>
      <c r="GL476" s="109"/>
      <c r="GM476" s="111"/>
      <c r="GN476" s="111"/>
      <c r="GO476" s="165"/>
      <c r="GP476" s="109">
        <f t="shared" si="571"/>
        <v>0</v>
      </c>
      <c r="GQ476" s="109">
        <f t="shared" si="529"/>
        <v>0</v>
      </c>
      <c r="GR476" s="109"/>
      <c r="GS476" s="109"/>
      <c r="GT476" s="111"/>
      <c r="GU476" s="111"/>
      <c r="GV476" s="165"/>
      <c r="GW476" s="168">
        <f t="shared" si="572"/>
        <v>0</v>
      </c>
      <c r="GX476" s="168">
        <f t="shared" si="530"/>
        <v>0</v>
      </c>
      <c r="GY476" s="168"/>
      <c r="GZ476" s="168"/>
      <c r="HA476" s="111"/>
      <c r="HB476" s="111"/>
      <c r="HC476" s="165"/>
      <c r="HD476" s="109">
        <f t="shared" si="573"/>
        <v>0</v>
      </c>
      <c r="HE476" s="109">
        <f t="shared" si="531"/>
        <v>0</v>
      </c>
      <c r="HF476" s="109"/>
      <c r="HG476" s="109"/>
      <c r="HH476" s="111"/>
      <c r="HI476" s="111"/>
      <c r="HJ476" s="165"/>
      <c r="HK476" s="109">
        <f t="shared" si="574"/>
        <v>0</v>
      </c>
      <c r="HL476" s="109">
        <f t="shared" si="532"/>
        <v>0</v>
      </c>
      <c r="HM476" s="109"/>
      <c r="HN476" s="109"/>
      <c r="HO476" s="111"/>
      <c r="HP476" s="111"/>
      <c r="HQ476" s="165"/>
      <c r="HR476" s="109">
        <f t="shared" si="575"/>
        <v>0</v>
      </c>
      <c r="HS476" s="109">
        <f t="shared" si="533"/>
        <v>0</v>
      </c>
      <c r="HT476" s="109"/>
      <c r="HU476" s="109"/>
      <c r="HV476" s="111"/>
      <c r="HW476" s="111"/>
      <c r="HX476" s="105">
        <f t="shared" si="551"/>
        <v>0</v>
      </c>
      <c r="HY476" s="105">
        <f t="shared" si="551"/>
        <v>0</v>
      </c>
      <c r="HZ476" s="105">
        <f t="shared" si="551"/>
        <v>0</v>
      </c>
      <c r="IA476" s="105">
        <f t="shared" si="545"/>
        <v>0</v>
      </c>
      <c r="IB476" s="109">
        <f t="shared" si="546"/>
        <v>0</v>
      </c>
      <c r="IC476" s="109">
        <f t="shared" si="547"/>
        <v>0</v>
      </c>
      <c r="ID476" s="109">
        <f t="shared" si="548"/>
        <v>0</v>
      </c>
      <c r="IE476" s="109">
        <f t="shared" si="549"/>
        <v>0</v>
      </c>
      <c r="IF476" s="197"/>
      <c r="IG476" s="197"/>
      <c r="IH476" s="197"/>
      <c r="II476" s="197"/>
      <c r="IJ476" s="197"/>
      <c r="IK476" s="197"/>
      <c r="IL476" s="197"/>
      <c r="IM476" s="171"/>
      <c r="IN476" s="171"/>
      <c r="IO476" s="171"/>
      <c r="IP476" s="171"/>
    </row>
    <row r="477" spans="1:250" ht="15" customHeight="1" x14ac:dyDescent="0.3">
      <c r="A477" s="110">
        <f t="shared" si="550"/>
        <v>473</v>
      </c>
      <c r="B477" s="111"/>
      <c r="C477" s="111"/>
      <c r="D477" s="111"/>
      <c r="E477" s="111"/>
      <c r="F477" s="111"/>
      <c r="G477" s="111"/>
      <c r="H477" s="111"/>
      <c r="I477" s="194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75"/>
      <c r="AI477" s="111"/>
      <c r="AJ477" s="111"/>
      <c r="AK477" s="111"/>
      <c r="AL477" s="177"/>
      <c r="AM477" s="176"/>
      <c r="AN477" s="177"/>
      <c r="AO477" s="157"/>
      <c r="AP477" s="158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  <c r="BJ477" s="111"/>
      <c r="BK477" s="111"/>
      <c r="BL477" s="175"/>
      <c r="BM477" s="111"/>
      <c r="BN477" s="111"/>
      <c r="BO477" s="111"/>
      <c r="BP477" s="111"/>
      <c r="BQ477" s="111"/>
      <c r="BR477" s="111"/>
      <c r="BS477" s="111"/>
      <c r="BT477" s="111"/>
      <c r="BU477" s="111"/>
      <c r="BV477" s="111"/>
      <c r="BW477" s="111"/>
      <c r="BX477" s="111"/>
      <c r="BY477" s="111"/>
      <c r="BZ477" s="111"/>
      <c r="CA477" s="111"/>
      <c r="CB477" s="111"/>
      <c r="CC477" s="178"/>
      <c r="CD477" s="177">
        <f t="shared" si="534"/>
        <v>0</v>
      </c>
      <c r="CE477" s="148"/>
      <c r="CF477" s="111">
        <f t="shared" si="535"/>
        <v>0</v>
      </c>
      <c r="CG477" s="177"/>
      <c r="CH477" s="204"/>
      <c r="CI477" s="148"/>
      <c r="CJ477" s="165"/>
      <c r="CK477" s="165"/>
      <c r="CL477" s="111"/>
      <c r="CM477" s="111"/>
      <c r="CN477" s="165">
        <f t="shared" si="536"/>
        <v>0</v>
      </c>
      <c r="CO477" s="109">
        <f t="shared" si="537"/>
        <v>0</v>
      </c>
      <c r="CP477" s="109">
        <f t="shared" si="538"/>
        <v>0</v>
      </c>
      <c r="CQ477" s="109"/>
      <c r="CR477" s="109"/>
      <c r="CS477" s="196"/>
      <c r="CT477" s="167"/>
      <c r="CU477" s="165"/>
      <c r="CV477" s="109">
        <f t="shared" si="539"/>
        <v>0</v>
      </c>
      <c r="CW477" s="109">
        <f t="shared" si="540"/>
        <v>0</v>
      </c>
      <c r="CX477" s="109"/>
      <c r="CY477" s="109"/>
      <c r="CZ477" s="111"/>
      <c r="DA477" s="111"/>
      <c r="DB477" s="165"/>
      <c r="DC477" s="109">
        <f t="shared" si="541"/>
        <v>0</v>
      </c>
      <c r="DD477" s="109">
        <f t="shared" si="542"/>
        <v>0</v>
      </c>
      <c r="DE477" s="109"/>
      <c r="DF477" s="109"/>
      <c r="DG477" s="111"/>
      <c r="DH477" s="111"/>
      <c r="DI477" s="165"/>
      <c r="DJ477" s="109">
        <f t="shared" si="543"/>
        <v>0</v>
      </c>
      <c r="DK477" s="109">
        <f t="shared" si="544"/>
        <v>0</v>
      </c>
      <c r="DL477" s="109"/>
      <c r="DM477" s="109"/>
      <c r="DN477" s="111"/>
      <c r="DO477" s="111"/>
      <c r="DP477" s="165"/>
      <c r="DQ477" s="109">
        <f t="shared" si="552"/>
        <v>0</v>
      </c>
      <c r="DR477" s="109">
        <f t="shared" si="553"/>
        <v>0</v>
      </c>
      <c r="DS477" s="109"/>
      <c r="DT477" s="109"/>
      <c r="DU477" s="111"/>
      <c r="DV477" s="111"/>
      <c r="DW477" s="165"/>
      <c r="DX477" s="109">
        <f t="shared" si="554"/>
        <v>0</v>
      </c>
      <c r="DY477" s="109">
        <f t="shared" si="555"/>
        <v>0</v>
      </c>
      <c r="DZ477" s="109"/>
      <c r="EA477" s="109"/>
      <c r="EB477" s="111"/>
      <c r="EC477" s="111"/>
      <c r="ED477" s="165"/>
      <c r="EE477" s="109">
        <f t="shared" si="556"/>
        <v>0</v>
      </c>
      <c r="EF477" s="109">
        <f t="shared" si="557"/>
        <v>0</v>
      </c>
      <c r="EG477" s="109"/>
      <c r="EH477" s="109"/>
      <c r="EI477" s="111"/>
      <c r="EJ477" s="111"/>
      <c r="EK477" s="165"/>
      <c r="EL477" s="109">
        <f t="shared" si="558"/>
        <v>0</v>
      </c>
      <c r="EM477" s="109">
        <f t="shared" si="559"/>
        <v>0</v>
      </c>
      <c r="EN477" s="109"/>
      <c r="EO477" s="109"/>
      <c r="EP477" s="111"/>
      <c r="EQ477" s="111"/>
      <c r="ER477" s="165"/>
      <c r="ES477" s="109">
        <f t="shared" si="560"/>
        <v>0</v>
      </c>
      <c r="ET477" s="109">
        <f t="shared" si="561"/>
        <v>0</v>
      </c>
      <c r="EU477" s="109"/>
      <c r="EV477" s="109"/>
      <c r="EW477" s="111"/>
      <c r="EX477" s="111"/>
      <c r="EY477" s="165"/>
      <c r="EZ477" s="109">
        <f t="shared" si="562"/>
        <v>0</v>
      </c>
      <c r="FA477" s="109">
        <f t="shared" si="563"/>
        <v>0</v>
      </c>
      <c r="FB477" s="109"/>
      <c r="FC477" s="109"/>
      <c r="FD477" s="111"/>
      <c r="FE477" s="111"/>
      <c r="FF477" s="165"/>
      <c r="FG477" s="109">
        <f t="shared" si="564"/>
        <v>0</v>
      </c>
      <c r="FH477" s="109">
        <f t="shared" si="565"/>
        <v>0</v>
      </c>
      <c r="FI477" s="109"/>
      <c r="FJ477" s="109"/>
      <c r="FK477" s="111"/>
      <c r="FL477" s="111"/>
      <c r="FM477" s="165"/>
      <c r="FN477" s="109">
        <f t="shared" si="566"/>
        <v>0</v>
      </c>
      <c r="FO477" s="109">
        <f t="shared" si="567"/>
        <v>0</v>
      </c>
      <c r="FP477" s="109"/>
      <c r="FQ477" s="109"/>
      <c r="FR477" s="111"/>
      <c r="FS477" s="111"/>
      <c r="FT477" s="165"/>
      <c r="FU477" s="109">
        <f t="shared" si="568"/>
        <v>0</v>
      </c>
      <c r="FV477" s="109">
        <f t="shared" si="526"/>
        <v>0</v>
      </c>
      <c r="FW477" s="109"/>
      <c r="FX477" s="109"/>
      <c r="FY477" s="111"/>
      <c r="FZ477" s="111"/>
      <c r="GA477" s="165"/>
      <c r="GB477" s="109">
        <f t="shared" si="569"/>
        <v>0</v>
      </c>
      <c r="GC477" s="109">
        <f t="shared" si="527"/>
        <v>0</v>
      </c>
      <c r="GD477" s="109"/>
      <c r="GE477" s="109"/>
      <c r="GF477" s="111"/>
      <c r="GG477" s="111"/>
      <c r="GH477" s="165"/>
      <c r="GI477" s="109">
        <f t="shared" si="570"/>
        <v>0</v>
      </c>
      <c r="GJ477" s="109">
        <f t="shared" si="528"/>
        <v>0</v>
      </c>
      <c r="GK477" s="109"/>
      <c r="GL477" s="109"/>
      <c r="GM477" s="111"/>
      <c r="GN477" s="111"/>
      <c r="GO477" s="165"/>
      <c r="GP477" s="109">
        <f t="shared" si="571"/>
        <v>0</v>
      </c>
      <c r="GQ477" s="109">
        <f t="shared" si="529"/>
        <v>0</v>
      </c>
      <c r="GR477" s="109"/>
      <c r="GS477" s="109"/>
      <c r="GT477" s="111"/>
      <c r="GU477" s="111"/>
      <c r="GV477" s="165"/>
      <c r="GW477" s="168">
        <f t="shared" si="572"/>
        <v>0</v>
      </c>
      <c r="GX477" s="168">
        <f t="shared" si="530"/>
        <v>0</v>
      </c>
      <c r="GY477" s="168"/>
      <c r="GZ477" s="168"/>
      <c r="HA477" s="111"/>
      <c r="HB477" s="111"/>
      <c r="HC477" s="165"/>
      <c r="HD477" s="109">
        <f t="shared" si="573"/>
        <v>0</v>
      </c>
      <c r="HE477" s="109">
        <f t="shared" si="531"/>
        <v>0</v>
      </c>
      <c r="HF477" s="109"/>
      <c r="HG477" s="109"/>
      <c r="HH477" s="111"/>
      <c r="HI477" s="111"/>
      <c r="HJ477" s="165"/>
      <c r="HK477" s="109">
        <f t="shared" si="574"/>
        <v>0</v>
      </c>
      <c r="HL477" s="109">
        <f t="shared" si="532"/>
        <v>0</v>
      </c>
      <c r="HM477" s="109"/>
      <c r="HN477" s="109"/>
      <c r="HO477" s="111"/>
      <c r="HP477" s="111"/>
      <c r="HQ477" s="165"/>
      <c r="HR477" s="109">
        <f t="shared" si="575"/>
        <v>0</v>
      </c>
      <c r="HS477" s="109">
        <f t="shared" si="533"/>
        <v>0</v>
      </c>
      <c r="HT477" s="109"/>
      <c r="HU477" s="109"/>
      <c r="HV477" s="111"/>
      <c r="HW477" s="111"/>
      <c r="HX477" s="105">
        <f t="shared" si="551"/>
        <v>0</v>
      </c>
      <c r="HY477" s="105">
        <f t="shared" si="551"/>
        <v>0</v>
      </c>
      <c r="HZ477" s="105">
        <f t="shared" si="551"/>
        <v>0</v>
      </c>
      <c r="IA477" s="105">
        <f t="shared" si="545"/>
        <v>0</v>
      </c>
      <c r="IB477" s="109">
        <f t="shared" si="546"/>
        <v>0</v>
      </c>
      <c r="IC477" s="109">
        <f t="shared" si="547"/>
        <v>0</v>
      </c>
      <c r="ID477" s="109">
        <f t="shared" si="548"/>
        <v>0</v>
      </c>
      <c r="IE477" s="109">
        <f t="shared" si="549"/>
        <v>0</v>
      </c>
      <c r="IF477" s="197"/>
      <c r="IG477" s="197"/>
      <c r="IH477" s="197"/>
      <c r="II477" s="197"/>
      <c r="IJ477" s="197"/>
      <c r="IK477" s="197"/>
      <c r="IL477" s="197"/>
      <c r="IM477" s="171"/>
      <c r="IN477" s="171"/>
      <c r="IO477" s="171"/>
      <c r="IP477" s="171"/>
    </row>
    <row r="478" spans="1:250" ht="15" customHeight="1" x14ac:dyDescent="0.3">
      <c r="A478" s="110">
        <f t="shared" si="550"/>
        <v>474</v>
      </c>
      <c r="B478" s="111"/>
      <c r="C478" s="111"/>
      <c r="D478" s="111"/>
      <c r="E478" s="111"/>
      <c r="F478" s="111"/>
      <c r="G478" s="111"/>
      <c r="H478" s="111"/>
      <c r="I478" s="194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75"/>
      <c r="AI478" s="111"/>
      <c r="AJ478" s="111"/>
      <c r="AK478" s="111"/>
      <c r="AL478" s="177"/>
      <c r="AM478" s="176"/>
      <c r="AN478" s="177"/>
      <c r="AO478" s="157"/>
      <c r="AP478" s="158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  <c r="BJ478" s="111"/>
      <c r="BK478" s="111"/>
      <c r="BL478" s="175"/>
      <c r="BM478" s="111"/>
      <c r="BN478" s="111"/>
      <c r="BO478" s="111"/>
      <c r="BP478" s="111"/>
      <c r="BQ478" s="111"/>
      <c r="BR478" s="111"/>
      <c r="BS478" s="111"/>
      <c r="BT478" s="111"/>
      <c r="BU478" s="111"/>
      <c r="BV478" s="111"/>
      <c r="BW478" s="111"/>
      <c r="BX478" s="111"/>
      <c r="BY478" s="111"/>
      <c r="BZ478" s="111"/>
      <c r="CA478" s="111"/>
      <c r="CB478" s="111"/>
      <c r="CC478" s="178"/>
      <c r="CD478" s="177">
        <f t="shared" si="534"/>
        <v>0</v>
      </c>
      <c r="CE478" s="148"/>
      <c r="CF478" s="111">
        <f t="shared" si="535"/>
        <v>0</v>
      </c>
      <c r="CG478" s="177"/>
      <c r="CH478" s="204"/>
      <c r="CI478" s="148"/>
      <c r="CJ478" s="165"/>
      <c r="CK478" s="165"/>
      <c r="CL478" s="111"/>
      <c r="CM478" s="111"/>
      <c r="CN478" s="165">
        <f t="shared" si="536"/>
        <v>0</v>
      </c>
      <c r="CO478" s="109">
        <f t="shared" si="537"/>
        <v>0</v>
      </c>
      <c r="CP478" s="109">
        <f t="shared" si="538"/>
        <v>0</v>
      </c>
      <c r="CQ478" s="109"/>
      <c r="CR478" s="109"/>
      <c r="CS478" s="196"/>
      <c r="CT478" s="167"/>
      <c r="CU478" s="165"/>
      <c r="CV478" s="109">
        <f t="shared" si="539"/>
        <v>0</v>
      </c>
      <c r="CW478" s="109">
        <f t="shared" si="540"/>
        <v>0</v>
      </c>
      <c r="CX478" s="109"/>
      <c r="CY478" s="109"/>
      <c r="CZ478" s="111"/>
      <c r="DA478" s="111"/>
      <c r="DB478" s="165"/>
      <c r="DC478" s="109">
        <f t="shared" si="541"/>
        <v>0</v>
      </c>
      <c r="DD478" s="109">
        <f t="shared" si="542"/>
        <v>0</v>
      </c>
      <c r="DE478" s="109"/>
      <c r="DF478" s="109"/>
      <c r="DG478" s="111"/>
      <c r="DH478" s="111"/>
      <c r="DI478" s="165"/>
      <c r="DJ478" s="109">
        <f t="shared" si="543"/>
        <v>0</v>
      </c>
      <c r="DK478" s="109">
        <f t="shared" si="544"/>
        <v>0</v>
      </c>
      <c r="DL478" s="109"/>
      <c r="DM478" s="109"/>
      <c r="DN478" s="111"/>
      <c r="DO478" s="111"/>
      <c r="DP478" s="165"/>
      <c r="DQ478" s="109">
        <f t="shared" si="552"/>
        <v>0</v>
      </c>
      <c r="DR478" s="109">
        <f t="shared" si="553"/>
        <v>0</v>
      </c>
      <c r="DS478" s="109"/>
      <c r="DT478" s="109"/>
      <c r="DU478" s="111"/>
      <c r="DV478" s="111"/>
      <c r="DW478" s="165"/>
      <c r="DX478" s="109">
        <f t="shared" si="554"/>
        <v>0</v>
      </c>
      <c r="DY478" s="109">
        <f t="shared" si="555"/>
        <v>0</v>
      </c>
      <c r="DZ478" s="109"/>
      <c r="EA478" s="109"/>
      <c r="EB478" s="111"/>
      <c r="EC478" s="111"/>
      <c r="ED478" s="165"/>
      <c r="EE478" s="109">
        <f t="shared" si="556"/>
        <v>0</v>
      </c>
      <c r="EF478" s="109">
        <f t="shared" si="557"/>
        <v>0</v>
      </c>
      <c r="EG478" s="109"/>
      <c r="EH478" s="109"/>
      <c r="EI478" s="111"/>
      <c r="EJ478" s="111"/>
      <c r="EK478" s="165"/>
      <c r="EL478" s="109">
        <f t="shared" si="558"/>
        <v>0</v>
      </c>
      <c r="EM478" s="109">
        <f t="shared" si="559"/>
        <v>0</v>
      </c>
      <c r="EN478" s="109"/>
      <c r="EO478" s="109"/>
      <c r="EP478" s="111"/>
      <c r="EQ478" s="111"/>
      <c r="ER478" s="165"/>
      <c r="ES478" s="109">
        <f t="shared" si="560"/>
        <v>0</v>
      </c>
      <c r="ET478" s="109">
        <f t="shared" si="561"/>
        <v>0</v>
      </c>
      <c r="EU478" s="109"/>
      <c r="EV478" s="109"/>
      <c r="EW478" s="111"/>
      <c r="EX478" s="111"/>
      <c r="EY478" s="165"/>
      <c r="EZ478" s="109">
        <f t="shared" si="562"/>
        <v>0</v>
      </c>
      <c r="FA478" s="109">
        <f t="shared" si="563"/>
        <v>0</v>
      </c>
      <c r="FB478" s="109"/>
      <c r="FC478" s="109"/>
      <c r="FD478" s="111"/>
      <c r="FE478" s="111"/>
      <c r="FF478" s="165"/>
      <c r="FG478" s="109">
        <f t="shared" si="564"/>
        <v>0</v>
      </c>
      <c r="FH478" s="109">
        <f t="shared" si="565"/>
        <v>0</v>
      </c>
      <c r="FI478" s="109"/>
      <c r="FJ478" s="109"/>
      <c r="FK478" s="111"/>
      <c r="FL478" s="111"/>
      <c r="FM478" s="165"/>
      <c r="FN478" s="109">
        <f t="shared" si="566"/>
        <v>0</v>
      </c>
      <c r="FO478" s="109">
        <f t="shared" si="567"/>
        <v>0</v>
      </c>
      <c r="FP478" s="109"/>
      <c r="FQ478" s="109"/>
      <c r="FR478" s="111"/>
      <c r="FS478" s="111"/>
      <c r="FT478" s="165"/>
      <c r="FU478" s="109">
        <f t="shared" si="568"/>
        <v>0</v>
      </c>
      <c r="FV478" s="109">
        <f t="shared" si="526"/>
        <v>0</v>
      </c>
      <c r="FW478" s="109"/>
      <c r="FX478" s="109"/>
      <c r="FY478" s="111"/>
      <c r="FZ478" s="111"/>
      <c r="GA478" s="165"/>
      <c r="GB478" s="109">
        <f t="shared" si="569"/>
        <v>0</v>
      </c>
      <c r="GC478" s="109">
        <f t="shared" si="527"/>
        <v>0</v>
      </c>
      <c r="GD478" s="109"/>
      <c r="GE478" s="109"/>
      <c r="GF478" s="111"/>
      <c r="GG478" s="111"/>
      <c r="GH478" s="165"/>
      <c r="GI478" s="109">
        <f t="shared" si="570"/>
        <v>0</v>
      </c>
      <c r="GJ478" s="109">
        <f t="shared" si="528"/>
        <v>0</v>
      </c>
      <c r="GK478" s="109"/>
      <c r="GL478" s="109"/>
      <c r="GM478" s="111"/>
      <c r="GN478" s="111"/>
      <c r="GO478" s="165"/>
      <c r="GP478" s="109">
        <f t="shared" si="571"/>
        <v>0</v>
      </c>
      <c r="GQ478" s="109">
        <f t="shared" si="529"/>
        <v>0</v>
      </c>
      <c r="GR478" s="109"/>
      <c r="GS478" s="109"/>
      <c r="GT478" s="111"/>
      <c r="GU478" s="111"/>
      <c r="GV478" s="165"/>
      <c r="GW478" s="168">
        <f t="shared" si="572"/>
        <v>0</v>
      </c>
      <c r="GX478" s="168">
        <f t="shared" si="530"/>
        <v>0</v>
      </c>
      <c r="GY478" s="168"/>
      <c r="GZ478" s="168"/>
      <c r="HA478" s="111"/>
      <c r="HB478" s="111"/>
      <c r="HC478" s="165"/>
      <c r="HD478" s="109">
        <f t="shared" si="573"/>
        <v>0</v>
      </c>
      <c r="HE478" s="109">
        <f t="shared" si="531"/>
        <v>0</v>
      </c>
      <c r="HF478" s="109"/>
      <c r="HG478" s="109"/>
      <c r="HH478" s="111"/>
      <c r="HI478" s="111"/>
      <c r="HJ478" s="165"/>
      <c r="HK478" s="109">
        <f t="shared" si="574"/>
        <v>0</v>
      </c>
      <c r="HL478" s="109">
        <f t="shared" si="532"/>
        <v>0</v>
      </c>
      <c r="HM478" s="109"/>
      <c r="HN478" s="109"/>
      <c r="HO478" s="111"/>
      <c r="HP478" s="111"/>
      <c r="HQ478" s="165"/>
      <c r="HR478" s="109">
        <f t="shared" si="575"/>
        <v>0</v>
      </c>
      <c r="HS478" s="109">
        <f t="shared" si="533"/>
        <v>0</v>
      </c>
      <c r="HT478" s="109"/>
      <c r="HU478" s="109"/>
      <c r="HV478" s="111"/>
      <c r="HW478" s="111"/>
      <c r="HX478" s="105">
        <f t="shared" si="551"/>
        <v>0</v>
      </c>
      <c r="HY478" s="105">
        <f t="shared" si="551"/>
        <v>0</v>
      </c>
      <c r="HZ478" s="105">
        <f t="shared" si="551"/>
        <v>0</v>
      </c>
      <c r="IA478" s="105">
        <f t="shared" si="545"/>
        <v>0</v>
      </c>
      <c r="IB478" s="109">
        <f t="shared" si="546"/>
        <v>0</v>
      </c>
      <c r="IC478" s="109">
        <f t="shared" si="547"/>
        <v>0</v>
      </c>
      <c r="ID478" s="109">
        <f t="shared" si="548"/>
        <v>0</v>
      </c>
      <c r="IE478" s="109">
        <f t="shared" si="549"/>
        <v>0</v>
      </c>
      <c r="IF478" s="197"/>
      <c r="IG478" s="197"/>
      <c r="IH478" s="197"/>
      <c r="II478" s="197"/>
      <c r="IJ478" s="197"/>
      <c r="IK478" s="197"/>
      <c r="IL478" s="197"/>
      <c r="IM478" s="171"/>
      <c r="IN478" s="171"/>
      <c r="IO478" s="171"/>
      <c r="IP478" s="171"/>
    </row>
    <row r="479" spans="1:250" ht="15" customHeight="1" x14ac:dyDescent="0.3">
      <c r="A479" s="110">
        <f t="shared" si="550"/>
        <v>475</v>
      </c>
      <c r="B479" s="111"/>
      <c r="C479" s="111"/>
      <c r="D479" s="111"/>
      <c r="E479" s="111"/>
      <c r="F479" s="111"/>
      <c r="G479" s="111"/>
      <c r="H479" s="111"/>
      <c r="I479" s="194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75"/>
      <c r="AI479" s="111"/>
      <c r="AJ479" s="111"/>
      <c r="AK479" s="111"/>
      <c r="AL479" s="177"/>
      <c r="AM479" s="176"/>
      <c r="AN479" s="177"/>
      <c r="AO479" s="157"/>
      <c r="AP479" s="158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  <c r="BJ479" s="111"/>
      <c r="BK479" s="111"/>
      <c r="BL479" s="175"/>
      <c r="BM479" s="111"/>
      <c r="BN479" s="111"/>
      <c r="BO479" s="111"/>
      <c r="BP479" s="111"/>
      <c r="BQ479" s="111"/>
      <c r="BR479" s="111"/>
      <c r="BS479" s="111"/>
      <c r="BT479" s="111"/>
      <c r="BU479" s="111"/>
      <c r="BV479" s="111"/>
      <c r="BW479" s="111"/>
      <c r="BX479" s="111"/>
      <c r="BY479" s="111"/>
      <c r="BZ479" s="111"/>
      <c r="CA479" s="111"/>
      <c r="CB479" s="111"/>
      <c r="CC479" s="178"/>
      <c r="CD479" s="177">
        <f t="shared" si="534"/>
        <v>0</v>
      </c>
      <c r="CE479" s="148"/>
      <c r="CF479" s="111">
        <f t="shared" si="535"/>
        <v>0</v>
      </c>
      <c r="CG479" s="177"/>
      <c r="CH479" s="204"/>
      <c r="CI479" s="148"/>
      <c r="CJ479" s="165"/>
      <c r="CK479" s="165"/>
      <c r="CL479" s="111"/>
      <c r="CM479" s="111"/>
      <c r="CN479" s="165">
        <f t="shared" si="536"/>
        <v>0</v>
      </c>
      <c r="CO479" s="109">
        <f t="shared" si="537"/>
        <v>0</v>
      </c>
      <c r="CP479" s="109">
        <f t="shared" si="538"/>
        <v>0</v>
      </c>
      <c r="CQ479" s="109"/>
      <c r="CR479" s="109"/>
      <c r="CS479" s="196"/>
      <c r="CT479" s="167"/>
      <c r="CU479" s="165"/>
      <c r="CV479" s="109">
        <f t="shared" si="539"/>
        <v>0</v>
      </c>
      <c r="CW479" s="109">
        <f t="shared" si="540"/>
        <v>0</v>
      </c>
      <c r="CX479" s="109"/>
      <c r="CY479" s="109"/>
      <c r="CZ479" s="111"/>
      <c r="DA479" s="111"/>
      <c r="DB479" s="165"/>
      <c r="DC479" s="109">
        <f t="shared" si="541"/>
        <v>0</v>
      </c>
      <c r="DD479" s="109">
        <f t="shared" si="542"/>
        <v>0</v>
      </c>
      <c r="DE479" s="109"/>
      <c r="DF479" s="109"/>
      <c r="DG479" s="111"/>
      <c r="DH479" s="111"/>
      <c r="DI479" s="165"/>
      <c r="DJ479" s="109">
        <f t="shared" si="543"/>
        <v>0</v>
      </c>
      <c r="DK479" s="109">
        <f t="shared" si="544"/>
        <v>0</v>
      </c>
      <c r="DL479" s="109"/>
      <c r="DM479" s="109"/>
      <c r="DN479" s="111"/>
      <c r="DO479" s="111"/>
      <c r="DP479" s="165"/>
      <c r="DQ479" s="109">
        <f t="shared" si="552"/>
        <v>0</v>
      </c>
      <c r="DR479" s="109">
        <f t="shared" si="553"/>
        <v>0</v>
      </c>
      <c r="DS479" s="109"/>
      <c r="DT479" s="109"/>
      <c r="DU479" s="111"/>
      <c r="DV479" s="111"/>
      <c r="DW479" s="165"/>
      <c r="DX479" s="109">
        <f t="shared" si="554"/>
        <v>0</v>
      </c>
      <c r="DY479" s="109">
        <f t="shared" si="555"/>
        <v>0</v>
      </c>
      <c r="DZ479" s="109"/>
      <c r="EA479" s="109"/>
      <c r="EB479" s="111"/>
      <c r="EC479" s="111"/>
      <c r="ED479" s="165"/>
      <c r="EE479" s="109">
        <f t="shared" si="556"/>
        <v>0</v>
      </c>
      <c r="EF479" s="109">
        <f t="shared" si="557"/>
        <v>0</v>
      </c>
      <c r="EG479" s="109"/>
      <c r="EH479" s="109"/>
      <c r="EI479" s="111"/>
      <c r="EJ479" s="111"/>
      <c r="EK479" s="165"/>
      <c r="EL479" s="109">
        <f t="shared" si="558"/>
        <v>0</v>
      </c>
      <c r="EM479" s="109">
        <f t="shared" si="559"/>
        <v>0</v>
      </c>
      <c r="EN479" s="109"/>
      <c r="EO479" s="109"/>
      <c r="EP479" s="111"/>
      <c r="EQ479" s="111"/>
      <c r="ER479" s="165"/>
      <c r="ES479" s="109">
        <f t="shared" si="560"/>
        <v>0</v>
      </c>
      <c r="ET479" s="109">
        <f t="shared" si="561"/>
        <v>0</v>
      </c>
      <c r="EU479" s="109"/>
      <c r="EV479" s="109"/>
      <c r="EW479" s="111"/>
      <c r="EX479" s="111"/>
      <c r="EY479" s="165"/>
      <c r="EZ479" s="109">
        <f t="shared" si="562"/>
        <v>0</v>
      </c>
      <c r="FA479" s="109">
        <f t="shared" si="563"/>
        <v>0</v>
      </c>
      <c r="FB479" s="109"/>
      <c r="FC479" s="109"/>
      <c r="FD479" s="111"/>
      <c r="FE479" s="111"/>
      <c r="FF479" s="165"/>
      <c r="FG479" s="109">
        <f t="shared" si="564"/>
        <v>0</v>
      </c>
      <c r="FH479" s="109">
        <f t="shared" si="565"/>
        <v>0</v>
      </c>
      <c r="FI479" s="109"/>
      <c r="FJ479" s="109"/>
      <c r="FK479" s="111"/>
      <c r="FL479" s="111"/>
      <c r="FM479" s="165"/>
      <c r="FN479" s="109">
        <f t="shared" si="566"/>
        <v>0</v>
      </c>
      <c r="FO479" s="109">
        <f t="shared" si="567"/>
        <v>0</v>
      </c>
      <c r="FP479" s="109"/>
      <c r="FQ479" s="109"/>
      <c r="FR479" s="111"/>
      <c r="FS479" s="111"/>
      <c r="FT479" s="165"/>
      <c r="FU479" s="109">
        <f t="shared" si="568"/>
        <v>0</v>
      </c>
      <c r="FV479" s="109">
        <f t="shared" si="526"/>
        <v>0</v>
      </c>
      <c r="FW479" s="109"/>
      <c r="FX479" s="109"/>
      <c r="FY479" s="111"/>
      <c r="FZ479" s="111"/>
      <c r="GA479" s="165"/>
      <c r="GB479" s="109">
        <f t="shared" si="569"/>
        <v>0</v>
      </c>
      <c r="GC479" s="109">
        <f t="shared" si="527"/>
        <v>0</v>
      </c>
      <c r="GD479" s="109"/>
      <c r="GE479" s="109"/>
      <c r="GF479" s="111"/>
      <c r="GG479" s="111"/>
      <c r="GH479" s="165"/>
      <c r="GI479" s="109">
        <f t="shared" si="570"/>
        <v>0</v>
      </c>
      <c r="GJ479" s="109">
        <f t="shared" si="528"/>
        <v>0</v>
      </c>
      <c r="GK479" s="109"/>
      <c r="GL479" s="109"/>
      <c r="GM479" s="111"/>
      <c r="GN479" s="111"/>
      <c r="GO479" s="165"/>
      <c r="GP479" s="109">
        <f t="shared" si="571"/>
        <v>0</v>
      </c>
      <c r="GQ479" s="109">
        <f t="shared" si="529"/>
        <v>0</v>
      </c>
      <c r="GR479" s="109"/>
      <c r="GS479" s="109"/>
      <c r="GT479" s="111"/>
      <c r="GU479" s="111"/>
      <c r="GV479" s="165"/>
      <c r="GW479" s="168">
        <f t="shared" si="572"/>
        <v>0</v>
      </c>
      <c r="GX479" s="168">
        <f t="shared" si="530"/>
        <v>0</v>
      </c>
      <c r="GY479" s="168"/>
      <c r="GZ479" s="168"/>
      <c r="HA479" s="111"/>
      <c r="HB479" s="111"/>
      <c r="HC479" s="165"/>
      <c r="HD479" s="109">
        <f t="shared" si="573"/>
        <v>0</v>
      </c>
      <c r="HE479" s="109">
        <f t="shared" si="531"/>
        <v>0</v>
      </c>
      <c r="HF479" s="109"/>
      <c r="HG479" s="109"/>
      <c r="HH479" s="111"/>
      <c r="HI479" s="111"/>
      <c r="HJ479" s="165"/>
      <c r="HK479" s="109">
        <f t="shared" si="574"/>
        <v>0</v>
      </c>
      <c r="HL479" s="109">
        <f t="shared" si="532"/>
        <v>0</v>
      </c>
      <c r="HM479" s="109"/>
      <c r="HN479" s="109"/>
      <c r="HO479" s="111"/>
      <c r="HP479" s="111"/>
      <c r="HQ479" s="165"/>
      <c r="HR479" s="109">
        <f t="shared" si="575"/>
        <v>0</v>
      </c>
      <c r="HS479" s="109">
        <f t="shared" si="533"/>
        <v>0</v>
      </c>
      <c r="HT479" s="109"/>
      <c r="HU479" s="109"/>
      <c r="HV479" s="111"/>
      <c r="HW479" s="111"/>
      <c r="HX479" s="105">
        <f t="shared" si="551"/>
        <v>0</v>
      </c>
      <c r="HY479" s="105">
        <f t="shared" si="551"/>
        <v>0</v>
      </c>
      <c r="HZ479" s="105">
        <f t="shared" si="551"/>
        <v>0</v>
      </c>
      <c r="IA479" s="105">
        <f t="shared" si="545"/>
        <v>0</v>
      </c>
      <c r="IB479" s="109">
        <f t="shared" si="546"/>
        <v>0</v>
      </c>
      <c r="IC479" s="109">
        <f t="shared" si="547"/>
        <v>0</v>
      </c>
      <c r="ID479" s="109">
        <f t="shared" si="548"/>
        <v>0</v>
      </c>
      <c r="IE479" s="109">
        <f t="shared" si="549"/>
        <v>0</v>
      </c>
      <c r="IF479" s="197"/>
      <c r="IG479" s="197"/>
      <c r="IH479" s="197"/>
      <c r="II479" s="197"/>
      <c r="IJ479" s="197"/>
      <c r="IK479" s="197"/>
      <c r="IL479" s="197"/>
      <c r="IM479" s="171"/>
      <c r="IN479" s="171"/>
      <c r="IO479" s="171"/>
      <c r="IP479" s="171"/>
    </row>
    <row r="480" spans="1:250" ht="15" customHeight="1" x14ac:dyDescent="0.3">
      <c r="A480" s="110">
        <f t="shared" si="550"/>
        <v>476</v>
      </c>
      <c r="B480" s="111"/>
      <c r="C480" s="111"/>
      <c r="D480" s="111"/>
      <c r="E480" s="111"/>
      <c r="F480" s="111"/>
      <c r="G480" s="111"/>
      <c r="H480" s="111"/>
      <c r="I480" s="194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75"/>
      <c r="AI480" s="111"/>
      <c r="AJ480" s="111"/>
      <c r="AK480" s="111"/>
      <c r="AL480" s="177"/>
      <c r="AM480" s="176"/>
      <c r="AN480" s="177"/>
      <c r="AO480" s="157"/>
      <c r="AP480" s="158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75"/>
      <c r="BM480" s="111"/>
      <c r="BN480" s="111"/>
      <c r="BO480" s="111"/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1"/>
      <c r="CA480" s="111"/>
      <c r="CB480" s="111"/>
      <c r="CC480" s="178"/>
      <c r="CD480" s="177">
        <f t="shared" si="534"/>
        <v>0</v>
      </c>
      <c r="CE480" s="148"/>
      <c r="CF480" s="111">
        <f t="shared" si="535"/>
        <v>0</v>
      </c>
      <c r="CG480" s="177"/>
      <c r="CH480" s="204"/>
      <c r="CI480" s="148"/>
      <c r="CJ480" s="165"/>
      <c r="CK480" s="165"/>
      <c r="CL480" s="111"/>
      <c r="CM480" s="111"/>
      <c r="CN480" s="165">
        <f t="shared" si="536"/>
        <v>0</v>
      </c>
      <c r="CO480" s="109">
        <f t="shared" si="537"/>
        <v>0</v>
      </c>
      <c r="CP480" s="109">
        <f t="shared" si="538"/>
        <v>0</v>
      </c>
      <c r="CQ480" s="109"/>
      <c r="CR480" s="109"/>
      <c r="CS480" s="196"/>
      <c r="CT480" s="167"/>
      <c r="CU480" s="165"/>
      <c r="CV480" s="109">
        <f t="shared" si="539"/>
        <v>0</v>
      </c>
      <c r="CW480" s="109">
        <f t="shared" si="540"/>
        <v>0</v>
      </c>
      <c r="CX480" s="109"/>
      <c r="CY480" s="109"/>
      <c r="CZ480" s="111"/>
      <c r="DA480" s="111"/>
      <c r="DB480" s="165"/>
      <c r="DC480" s="109">
        <f t="shared" si="541"/>
        <v>0</v>
      </c>
      <c r="DD480" s="109">
        <f t="shared" si="542"/>
        <v>0</v>
      </c>
      <c r="DE480" s="109"/>
      <c r="DF480" s="109"/>
      <c r="DG480" s="111"/>
      <c r="DH480" s="111"/>
      <c r="DI480" s="165"/>
      <c r="DJ480" s="109">
        <f t="shared" si="543"/>
        <v>0</v>
      </c>
      <c r="DK480" s="109">
        <f t="shared" si="544"/>
        <v>0</v>
      </c>
      <c r="DL480" s="109"/>
      <c r="DM480" s="109"/>
      <c r="DN480" s="111"/>
      <c r="DO480" s="111"/>
      <c r="DP480" s="165"/>
      <c r="DQ480" s="109">
        <f t="shared" si="552"/>
        <v>0</v>
      </c>
      <c r="DR480" s="109">
        <f t="shared" si="553"/>
        <v>0</v>
      </c>
      <c r="DS480" s="109"/>
      <c r="DT480" s="109"/>
      <c r="DU480" s="111"/>
      <c r="DV480" s="111"/>
      <c r="DW480" s="165"/>
      <c r="DX480" s="109">
        <f t="shared" si="554"/>
        <v>0</v>
      </c>
      <c r="DY480" s="109">
        <f t="shared" si="555"/>
        <v>0</v>
      </c>
      <c r="DZ480" s="109"/>
      <c r="EA480" s="109"/>
      <c r="EB480" s="111"/>
      <c r="EC480" s="111"/>
      <c r="ED480" s="165"/>
      <c r="EE480" s="109">
        <f t="shared" si="556"/>
        <v>0</v>
      </c>
      <c r="EF480" s="109">
        <f t="shared" si="557"/>
        <v>0</v>
      </c>
      <c r="EG480" s="109"/>
      <c r="EH480" s="109"/>
      <c r="EI480" s="111"/>
      <c r="EJ480" s="111"/>
      <c r="EK480" s="165"/>
      <c r="EL480" s="109">
        <f t="shared" si="558"/>
        <v>0</v>
      </c>
      <c r="EM480" s="109">
        <f t="shared" si="559"/>
        <v>0</v>
      </c>
      <c r="EN480" s="109"/>
      <c r="EO480" s="109"/>
      <c r="EP480" s="111"/>
      <c r="EQ480" s="111"/>
      <c r="ER480" s="165"/>
      <c r="ES480" s="109">
        <f t="shared" si="560"/>
        <v>0</v>
      </c>
      <c r="ET480" s="109">
        <f t="shared" si="561"/>
        <v>0</v>
      </c>
      <c r="EU480" s="109"/>
      <c r="EV480" s="109"/>
      <c r="EW480" s="111"/>
      <c r="EX480" s="111"/>
      <c r="EY480" s="165"/>
      <c r="EZ480" s="109">
        <f t="shared" si="562"/>
        <v>0</v>
      </c>
      <c r="FA480" s="109">
        <f t="shared" si="563"/>
        <v>0</v>
      </c>
      <c r="FB480" s="109"/>
      <c r="FC480" s="109"/>
      <c r="FD480" s="111"/>
      <c r="FE480" s="111"/>
      <c r="FF480" s="165"/>
      <c r="FG480" s="109">
        <f t="shared" si="564"/>
        <v>0</v>
      </c>
      <c r="FH480" s="109">
        <f t="shared" si="565"/>
        <v>0</v>
      </c>
      <c r="FI480" s="109"/>
      <c r="FJ480" s="109"/>
      <c r="FK480" s="111"/>
      <c r="FL480" s="111"/>
      <c r="FM480" s="165"/>
      <c r="FN480" s="109">
        <f t="shared" si="566"/>
        <v>0</v>
      </c>
      <c r="FO480" s="109">
        <f t="shared" si="567"/>
        <v>0</v>
      </c>
      <c r="FP480" s="109"/>
      <c r="FQ480" s="109"/>
      <c r="FR480" s="111"/>
      <c r="FS480" s="111"/>
      <c r="FT480" s="165"/>
      <c r="FU480" s="109">
        <f t="shared" si="568"/>
        <v>0</v>
      </c>
      <c r="FV480" s="109">
        <f t="shared" si="526"/>
        <v>0</v>
      </c>
      <c r="FW480" s="109"/>
      <c r="FX480" s="109"/>
      <c r="FY480" s="111"/>
      <c r="FZ480" s="111"/>
      <c r="GA480" s="165"/>
      <c r="GB480" s="109">
        <f t="shared" si="569"/>
        <v>0</v>
      </c>
      <c r="GC480" s="109">
        <f t="shared" si="527"/>
        <v>0</v>
      </c>
      <c r="GD480" s="109"/>
      <c r="GE480" s="109"/>
      <c r="GF480" s="111"/>
      <c r="GG480" s="111"/>
      <c r="GH480" s="165"/>
      <c r="GI480" s="109">
        <f t="shared" si="570"/>
        <v>0</v>
      </c>
      <c r="GJ480" s="109">
        <f t="shared" si="528"/>
        <v>0</v>
      </c>
      <c r="GK480" s="109"/>
      <c r="GL480" s="109"/>
      <c r="GM480" s="111"/>
      <c r="GN480" s="111"/>
      <c r="GO480" s="165"/>
      <c r="GP480" s="109">
        <f t="shared" si="571"/>
        <v>0</v>
      </c>
      <c r="GQ480" s="109">
        <f t="shared" si="529"/>
        <v>0</v>
      </c>
      <c r="GR480" s="109"/>
      <c r="GS480" s="109"/>
      <c r="GT480" s="111"/>
      <c r="GU480" s="111"/>
      <c r="GV480" s="165"/>
      <c r="GW480" s="168">
        <f t="shared" si="572"/>
        <v>0</v>
      </c>
      <c r="GX480" s="168">
        <f t="shared" si="530"/>
        <v>0</v>
      </c>
      <c r="GY480" s="168"/>
      <c r="GZ480" s="168"/>
      <c r="HA480" s="111"/>
      <c r="HB480" s="111"/>
      <c r="HC480" s="165"/>
      <c r="HD480" s="109">
        <f t="shared" si="573"/>
        <v>0</v>
      </c>
      <c r="HE480" s="109">
        <f t="shared" si="531"/>
        <v>0</v>
      </c>
      <c r="HF480" s="109"/>
      <c r="HG480" s="109"/>
      <c r="HH480" s="111"/>
      <c r="HI480" s="111"/>
      <c r="HJ480" s="165"/>
      <c r="HK480" s="109">
        <f t="shared" si="574"/>
        <v>0</v>
      </c>
      <c r="HL480" s="109">
        <f t="shared" si="532"/>
        <v>0</v>
      </c>
      <c r="HM480" s="109"/>
      <c r="HN480" s="109"/>
      <c r="HO480" s="111"/>
      <c r="HP480" s="111"/>
      <c r="HQ480" s="165"/>
      <c r="HR480" s="109">
        <f t="shared" si="575"/>
        <v>0</v>
      </c>
      <c r="HS480" s="109">
        <f t="shared" si="533"/>
        <v>0</v>
      </c>
      <c r="HT480" s="109"/>
      <c r="HU480" s="109"/>
      <c r="HV480" s="111"/>
      <c r="HW480" s="111"/>
      <c r="HX480" s="105">
        <f t="shared" si="551"/>
        <v>0</v>
      </c>
      <c r="HY480" s="105">
        <f t="shared" si="551"/>
        <v>0</v>
      </c>
      <c r="HZ480" s="105">
        <f t="shared" si="551"/>
        <v>0</v>
      </c>
      <c r="IA480" s="105">
        <f t="shared" si="545"/>
        <v>0</v>
      </c>
      <c r="IB480" s="109">
        <f t="shared" si="546"/>
        <v>0</v>
      </c>
      <c r="IC480" s="109">
        <f t="shared" si="547"/>
        <v>0</v>
      </c>
      <c r="ID480" s="109">
        <f t="shared" si="548"/>
        <v>0</v>
      </c>
      <c r="IE480" s="109">
        <f t="shared" si="549"/>
        <v>0</v>
      </c>
      <c r="IF480" s="197"/>
      <c r="IG480" s="197"/>
      <c r="IH480" s="197"/>
      <c r="II480" s="197"/>
      <c r="IJ480" s="197"/>
      <c r="IK480" s="197"/>
      <c r="IL480" s="197"/>
      <c r="IM480" s="171"/>
      <c r="IN480" s="171"/>
      <c r="IO480" s="171"/>
      <c r="IP480" s="171"/>
    </row>
    <row r="481" spans="1:250" ht="15" customHeight="1" x14ac:dyDescent="0.3">
      <c r="A481" s="110">
        <f t="shared" si="550"/>
        <v>477</v>
      </c>
      <c r="B481" s="111"/>
      <c r="C481" s="111"/>
      <c r="D481" s="111"/>
      <c r="E481" s="111"/>
      <c r="F481" s="111"/>
      <c r="G481" s="111"/>
      <c r="H481" s="111"/>
      <c r="I481" s="194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75"/>
      <c r="AI481" s="111"/>
      <c r="AJ481" s="111"/>
      <c r="AK481" s="111"/>
      <c r="AL481" s="177"/>
      <c r="AM481" s="176"/>
      <c r="AN481" s="177"/>
      <c r="AO481" s="157"/>
      <c r="AP481" s="158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75"/>
      <c r="BM481" s="111"/>
      <c r="BN481" s="111"/>
      <c r="BO481" s="111"/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1"/>
      <c r="CA481" s="111"/>
      <c r="CB481" s="111"/>
      <c r="CC481" s="178"/>
      <c r="CD481" s="177">
        <f t="shared" si="534"/>
        <v>0</v>
      </c>
      <c r="CE481" s="148"/>
      <c r="CF481" s="111">
        <f t="shared" si="535"/>
        <v>0</v>
      </c>
      <c r="CG481" s="177"/>
      <c r="CH481" s="204"/>
      <c r="CI481" s="148"/>
      <c r="CJ481" s="165"/>
      <c r="CK481" s="165"/>
      <c r="CL481" s="111"/>
      <c r="CM481" s="111"/>
      <c r="CN481" s="165">
        <f t="shared" si="536"/>
        <v>0</v>
      </c>
      <c r="CO481" s="109">
        <f t="shared" si="537"/>
        <v>0</v>
      </c>
      <c r="CP481" s="109">
        <f t="shared" si="538"/>
        <v>0</v>
      </c>
      <c r="CQ481" s="109"/>
      <c r="CR481" s="109"/>
      <c r="CS481" s="196"/>
      <c r="CT481" s="167"/>
      <c r="CU481" s="165"/>
      <c r="CV481" s="109">
        <f t="shared" si="539"/>
        <v>0</v>
      </c>
      <c r="CW481" s="109">
        <f t="shared" si="540"/>
        <v>0</v>
      </c>
      <c r="CX481" s="109"/>
      <c r="CY481" s="109"/>
      <c r="CZ481" s="111"/>
      <c r="DA481" s="111"/>
      <c r="DB481" s="165"/>
      <c r="DC481" s="109">
        <f t="shared" si="541"/>
        <v>0</v>
      </c>
      <c r="DD481" s="109">
        <f t="shared" si="542"/>
        <v>0</v>
      </c>
      <c r="DE481" s="109"/>
      <c r="DF481" s="109"/>
      <c r="DG481" s="111"/>
      <c r="DH481" s="111"/>
      <c r="DI481" s="165"/>
      <c r="DJ481" s="109">
        <f t="shared" si="543"/>
        <v>0</v>
      </c>
      <c r="DK481" s="109">
        <f t="shared" si="544"/>
        <v>0</v>
      </c>
      <c r="DL481" s="109"/>
      <c r="DM481" s="109"/>
      <c r="DN481" s="111"/>
      <c r="DO481" s="111"/>
      <c r="DP481" s="165"/>
      <c r="DQ481" s="109">
        <f t="shared" si="552"/>
        <v>0</v>
      </c>
      <c r="DR481" s="109">
        <f t="shared" si="553"/>
        <v>0</v>
      </c>
      <c r="DS481" s="109"/>
      <c r="DT481" s="109"/>
      <c r="DU481" s="111"/>
      <c r="DV481" s="111"/>
      <c r="DW481" s="165"/>
      <c r="DX481" s="109">
        <f t="shared" si="554"/>
        <v>0</v>
      </c>
      <c r="DY481" s="109">
        <f t="shared" si="555"/>
        <v>0</v>
      </c>
      <c r="DZ481" s="109"/>
      <c r="EA481" s="109"/>
      <c r="EB481" s="111"/>
      <c r="EC481" s="111"/>
      <c r="ED481" s="165"/>
      <c r="EE481" s="109">
        <f t="shared" si="556"/>
        <v>0</v>
      </c>
      <c r="EF481" s="109">
        <f t="shared" si="557"/>
        <v>0</v>
      </c>
      <c r="EG481" s="109"/>
      <c r="EH481" s="109"/>
      <c r="EI481" s="111"/>
      <c r="EJ481" s="111"/>
      <c r="EK481" s="165"/>
      <c r="EL481" s="109">
        <f t="shared" si="558"/>
        <v>0</v>
      </c>
      <c r="EM481" s="109">
        <f t="shared" si="559"/>
        <v>0</v>
      </c>
      <c r="EN481" s="109"/>
      <c r="EO481" s="109"/>
      <c r="EP481" s="111"/>
      <c r="EQ481" s="111"/>
      <c r="ER481" s="165"/>
      <c r="ES481" s="109">
        <f t="shared" si="560"/>
        <v>0</v>
      </c>
      <c r="ET481" s="109">
        <f t="shared" si="561"/>
        <v>0</v>
      </c>
      <c r="EU481" s="109"/>
      <c r="EV481" s="109"/>
      <c r="EW481" s="111"/>
      <c r="EX481" s="111"/>
      <c r="EY481" s="165"/>
      <c r="EZ481" s="109">
        <f t="shared" si="562"/>
        <v>0</v>
      </c>
      <c r="FA481" s="109">
        <f t="shared" si="563"/>
        <v>0</v>
      </c>
      <c r="FB481" s="109"/>
      <c r="FC481" s="109"/>
      <c r="FD481" s="111"/>
      <c r="FE481" s="111"/>
      <c r="FF481" s="165"/>
      <c r="FG481" s="109">
        <f t="shared" si="564"/>
        <v>0</v>
      </c>
      <c r="FH481" s="109">
        <f t="shared" si="565"/>
        <v>0</v>
      </c>
      <c r="FI481" s="109"/>
      <c r="FJ481" s="109"/>
      <c r="FK481" s="111"/>
      <c r="FL481" s="111"/>
      <c r="FM481" s="165"/>
      <c r="FN481" s="109">
        <f t="shared" si="566"/>
        <v>0</v>
      </c>
      <c r="FO481" s="109">
        <f t="shared" si="567"/>
        <v>0</v>
      </c>
      <c r="FP481" s="109"/>
      <c r="FQ481" s="109"/>
      <c r="FR481" s="111"/>
      <c r="FS481" s="111"/>
      <c r="FT481" s="165"/>
      <c r="FU481" s="109">
        <f t="shared" si="568"/>
        <v>0</v>
      </c>
      <c r="FV481" s="109">
        <f t="shared" si="526"/>
        <v>0</v>
      </c>
      <c r="FW481" s="109"/>
      <c r="FX481" s="109"/>
      <c r="FY481" s="111"/>
      <c r="FZ481" s="111"/>
      <c r="GA481" s="165"/>
      <c r="GB481" s="109">
        <f t="shared" si="569"/>
        <v>0</v>
      </c>
      <c r="GC481" s="109">
        <f t="shared" si="527"/>
        <v>0</v>
      </c>
      <c r="GD481" s="109"/>
      <c r="GE481" s="109"/>
      <c r="GF481" s="111"/>
      <c r="GG481" s="111"/>
      <c r="GH481" s="165"/>
      <c r="GI481" s="109">
        <f t="shared" si="570"/>
        <v>0</v>
      </c>
      <c r="GJ481" s="109">
        <f t="shared" si="528"/>
        <v>0</v>
      </c>
      <c r="GK481" s="109"/>
      <c r="GL481" s="109"/>
      <c r="GM481" s="111"/>
      <c r="GN481" s="111"/>
      <c r="GO481" s="165"/>
      <c r="GP481" s="109">
        <f t="shared" si="571"/>
        <v>0</v>
      </c>
      <c r="GQ481" s="109">
        <f t="shared" si="529"/>
        <v>0</v>
      </c>
      <c r="GR481" s="109"/>
      <c r="GS481" s="109"/>
      <c r="GT481" s="111"/>
      <c r="GU481" s="111"/>
      <c r="GV481" s="165"/>
      <c r="GW481" s="168">
        <f t="shared" si="572"/>
        <v>0</v>
      </c>
      <c r="GX481" s="168">
        <f t="shared" si="530"/>
        <v>0</v>
      </c>
      <c r="GY481" s="168"/>
      <c r="GZ481" s="168"/>
      <c r="HA481" s="111"/>
      <c r="HB481" s="111"/>
      <c r="HC481" s="165"/>
      <c r="HD481" s="109">
        <f t="shared" si="573"/>
        <v>0</v>
      </c>
      <c r="HE481" s="109">
        <f t="shared" si="531"/>
        <v>0</v>
      </c>
      <c r="HF481" s="109"/>
      <c r="HG481" s="109"/>
      <c r="HH481" s="111"/>
      <c r="HI481" s="111"/>
      <c r="HJ481" s="165"/>
      <c r="HK481" s="109">
        <f t="shared" si="574"/>
        <v>0</v>
      </c>
      <c r="HL481" s="109">
        <f t="shared" si="532"/>
        <v>0</v>
      </c>
      <c r="HM481" s="109"/>
      <c r="HN481" s="109"/>
      <c r="HO481" s="111"/>
      <c r="HP481" s="111"/>
      <c r="HQ481" s="165"/>
      <c r="HR481" s="109">
        <f t="shared" si="575"/>
        <v>0</v>
      </c>
      <c r="HS481" s="109">
        <f t="shared" si="533"/>
        <v>0</v>
      </c>
      <c r="HT481" s="109"/>
      <c r="HU481" s="109"/>
      <c r="HV481" s="111"/>
      <c r="HW481" s="111"/>
      <c r="HX481" s="105">
        <f t="shared" si="551"/>
        <v>0</v>
      </c>
      <c r="HY481" s="105">
        <f t="shared" si="551"/>
        <v>0</v>
      </c>
      <c r="HZ481" s="105">
        <f t="shared" si="551"/>
        <v>0</v>
      </c>
      <c r="IA481" s="105">
        <f t="shared" si="545"/>
        <v>0</v>
      </c>
      <c r="IB481" s="109">
        <f t="shared" si="546"/>
        <v>0</v>
      </c>
      <c r="IC481" s="109">
        <f t="shared" si="547"/>
        <v>0</v>
      </c>
      <c r="ID481" s="109">
        <f t="shared" si="548"/>
        <v>0</v>
      </c>
      <c r="IE481" s="109">
        <f t="shared" si="549"/>
        <v>0</v>
      </c>
      <c r="IF481" s="197"/>
      <c r="IG481" s="197"/>
      <c r="IH481" s="197"/>
      <c r="II481" s="197"/>
      <c r="IJ481" s="197"/>
      <c r="IK481" s="197"/>
      <c r="IL481" s="197"/>
      <c r="IM481" s="171"/>
      <c r="IN481" s="171"/>
      <c r="IO481" s="171"/>
      <c r="IP481" s="171"/>
    </row>
    <row r="482" spans="1:250" ht="15" customHeight="1" x14ac:dyDescent="0.3">
      <c r="A482" s="110">
        <f t="shared" si="550"/>
        <v>478</v>
      </c>
      <c r="B482" s="111"/>
      <c r="C482" s="111"/>
      <c r="D482" s="111"/>
      <c r="E482" s="111"/>
      <c r="F482" s="111"/>
      <c r="G482" s="111"/>
      <c r="H482" s="111"/>
      <c r="I482" s="194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75"/>
      <c r="AI482" s="111"/>
      <c r="AJ482" s="111"/>
      <c r="AK482" s="111"/>
      <c r="AL482" s="177"/>
      <c r="AM482" s="176"/>
      <c r="AN482" s="177"/>
      <c r="AO482" s="157"/>
      <c r="AP482" s="158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  <c r="BJ482" s="111"/>
      <c r="BK482" s="111"/>
      <c r="BL482" s="175"/>
      <c r="BM482" s="111"/>
      <c r="BN482" s="111"/>
      <c r="BO482" s="111"/>
      <c r="BP482" s="111"/>
      <c r="BQ482" s="111"/>
      <c r="BR482" s="111"/>
      <c r="BS482" s="111"/>
      <c r="BT482" s="111"/>
      <c r="BU482" s="111"/>
      <c r="BV482" s="111"/>
      <c r="BW482" s="111"/>
      <c r="BX482" s="111"/>
      <c r="BY482" s="111"/>
      <c r="BZ482" s="111"/>
      <c r="CA482" s="111"/>
      <c r="CB482" s="111"/>
      <c r="CC482" s="178"/>
      <c r="CD482" s="177">
        <f t="shared" si="534"/>
        <v>0</v>
      </c>
      <c r="CE482" s="148"/>
      <c r="CF482" s="111">
        <f t="shared" si="535"/>
        <v>0</v>
      </c>
      <c r="CG482" s="177"/>
      <c r="CH482" s="204"/>
      <c r="CI482" s="148"/>
      <c r="CJ482" s="165"/>
      <c r="CK482" s="165"/>
      <c r="CL482" s="111"/>
      <c r="CM482" s="111"/>
      <c r="CN482" s="165">
        <f t="shared" si="536"/>
        <v>0</v>
      </c>
      <c r="CO482" s="109">
        <f t="shared" si="537"/>
        <v>0</v>
      </c>
      <c r="CP482" s="109">
        <f t="shared" si="538"/>
        <v>0</v>
      </c>
      <c r="CQ482" s="109"/>
      <c r="CR482" s="109"/>
      <c r="CS482" s="196"/>
      <c r="CT482" s="167"/>
      <c r="CU482" s="165"/>
      <c r="CV482" s="109">
        <f t="shared" si="539"/>
        <v>0</v>
      </c>
      <c r="CW482" s="109">
        <f t="shared" si="540"/>
        <v>0</v>
      </c>
      <c r="CX482" s="109"/>
      <c r="CY482" s="109"/>
      <c r="CZ482" s="111"/>
      <c r="DA482" s="111"/>
      <c r="DB482" s="165"/>
      <c r="DC482" s="109">
        <f t="shared" si="541"/>
        <v>0</v>
      </c>
      <c r="DD482" s="109">
        <f t="shared" si="542"/>
        <v>0</v>
      </c>
      <c r="DE482" s="109"/>
      <c r="DF482" s="109"/>
      <c r="DG482" s="111"/>
      <c r="DH482" s="111"/>
      <c r="DI482" s="165"/>
      <c r="DJ482" s="109">
        <f t="shared" si="543"/>
        <v>0</v>
      </c>
      <c r="DK482" s="109">
        <f t="shared" si="544"/>
        <v>0</v>
      </c>
      <c r="DL482" s="109"/>
      <c r="DM482" s="109"/>
      <c r="DN482" s="111"/>
      <c r="DO482" s="111"/>
      <c r="DP482" s="165"/>
      <c r="DQ482" s="109">
        <f t="shared" si="552"/>
        <v>0</v>
      </c>
      <c r="DR482" s="109">
        <f t="shared" si="553"/>
        <v>0</v>
      </c>
      <c r="DS482" s="109"/>
      <c r="DT482" s="109"/>
      <c r="DU482" s="111"/>
      <c r="DV482" s="111"/>
      <c r="DW482" s="165"/>
      <c r="DX482" s="109">
        <f t="shared" si="554"/>
        <v>0</v>
      </c>
      <c r="DY482" s="109">
        <f t="shared" si="555"/>
        <v>0</v>
      </c>
      <c r="DZ482" s="109"/>
      <c r="EA482" s="109"/>
      <c r="EB482" s="111"/>
      <c r="EC482" s="111"/>
      <c r="ED482" s="165"/>
      <c r="EE482" s="109">
        <f t="shared" si="556"/>
        <v>0</v>
      </c>
      <c r="EF482" s="109">
        <f t="shared" si="557"/>
        <v>0</v>
      </c>
      <c r="EG482" s="109"/>
      <c r="EH482" s="109"/>
      <c r="EI482" s="111"/>
      <c r="EJ482" s="111"/>
      <c r="EK482" s="165"/>
      <c r="EL482" s="109">
        <f t="shared" si="558"/>
        <v>0</v>
      </c>
      <c r="EM482" s="109">
        <f t="shared" si="559"/>
        <v>0</v>
      </c>
      <c r="EN482" s="109"/>
      <c r="EO482" s="109"/>
      <c r="EP482" s="111"/>
      <c r="EQ482" s="111"/>
      <c r="ER482" s="165"/>
      <c r="ES482" s="109">
        <f t="shared" si="560"/>
        <v>0</v>
      </c>
      <c r="ET482" s="109">
        <f t="shared" si="561"/>
        <v>0</v>
      </c>
      <c r="EU482" s="109"/>
      <c r="EV482" s="109"/>
      <c r="EW482" s="111"/>
      <c r="EX482" s="111"/>
      <c r="EY482" s="165"/>
      <c r="EZ482" s="109">
        <f t="shared" si="562"/>
        <v>0</v>
      </c>
      <c r="FA482" s="109">
        <f t="shared" si="563"/>
        <v>0</v>
      </c>
      <c r="FB482" s="109"/>
      <c r="FC482" s="109"/>
      <c r="FD482" s="111"/>
      <c r="FE482" s="111"/>
      <c r="FF482" s="165"/>
      <c r="FG482" s="109">
        <f t="shared" si="564"/>
        <v>0</v>
      </c>
      <c r="FH482" s="109">
        <f t="shared" si="565"/>
        <v>0</v>
      </c>
      <c r="FI482" s="109"/>
      <c r="FJ482" s="109"/>
      <c r="FK482" s="111"/>
      <c r="FL482" s="111"/>
      <c r="FM482" s="165"/>
      <c r="FN482" s="109">
        <f t="shared" si="566"/>
        <v>0</v>
      </c>
      <c r="FO482" s="109">
        <f t="shared" si="567"/>
        <v>0</v>
      </c>
      <c r="FP482" s="109"/>
      <c r="FQ482" s="109"/>
      <c r="FR482" s="111"/>
      <c r="FS482" s="111"/>
      <c r="FT482" s="165"/>
      <c r="FU482" s="109">
        <f t="shared" si="568"/>
        <v>0</v>
      </c>
      <c r="FV482" s="109">
        <f t="shared" si="526"/>
        <v>0</v>
      </c>
      <c r="FW482" s="109"/>
      <c r="FX482" s="109"/>
      <c r="FY482" s="111"/>
      <c r="FZ482" s="111"/>
      <c r="GA482" s="165"/>
      <c r="GB482" s="109">
        <f t="shared" si="569"/>
        <v>0</v>
      </c>
      <c r="GC482" s="109">
        <f t="shared" si="527"/>
        <v>0</v>
      </c>
      <c r="GD482" s="109"/>
      <c r="GE482" s="109"/>
      <c r="GF482" s="111"/>
      <c r="GG482" s="111"/>
      <c r="GH482" s="165"/>
      <c r="GI482" s="109">
        <f t="shared" si="570"/>
        <v>0</v>
      </c>
      <c r="GJ482" s="109">
        <f t="shared" si="528"/>
        <v>0</v>
      </c>
      <c r="GK482" s="109"/>
      <c r="GL482" s="109"/>
      <c r="GM482" s="111"/>
      <c r="GN482" s="111"/>
      <c r="GO482" s="165"/>
      <c r="GP482" s="109">
        <f t="shared" si="571"/>
        <v>0</v>
      </c>
      <c r="GQ482" s="109">
        <f t="shared" si="529"/>
        <v>0</v>
      </c>
      <c r="GR482" s="109"/>
      <c r="GS482" s="109"/>
      <c r="GT482" s="111"/>
      <c r="GU482" s="111"/>
      <c r="GV482" s="165"/>
      <c r="GW482" s="168">
        <f t="shared" si="572"/>
        <v>0</v>
      </c>
      <c r="GX482" s="168">
        <f t="shared" si="530"/>
        <v>0</v>
      </c>
      <c r="GY482" s="168"/>
      <c r="GZ482" s="168"/>
      <c r="HA482" s="111"/>
      <c r="HB482" s="111"/>
      <c r="HC482" s="165"/>
      <c r="HD482" s="109">
        <f t="shared" si="573"/>
        <v>0</v>
      </c>
      <c r="HE482" s="109">
        <f t="shared" si="531"/>
        <v>0</v>
      </c>
      <c r="HF482" s="109"/>
      <c r="HG482" s="109"/>
      <c r="HH482" s="111"/>
      <c r="HI482" s="111"/>
      <c r="HJ482" s="165"/>
      <c r="HK482" s="109">
        <f t="shared" si="574"/>
        <v>0</v>
      </c>
      <c r="HL482" s="109">
        <f t="shared" si="532"/>
        <v>0</v>
      </c>
      <c r="HM482" s="109"/>
      <c r="HN482" s="109"/>
      <c r="HO482" s="111"/>
      <c r="HP482" s="111"/>
      <c r="HQ482" s="165"/>
      <c r="HR482" s="109">
        <f t="shared" si="575"/>
        <v>0</v>
      </c>
      <c r="HS482" s="109">
        <f t="shared" si="533"/>
        <v>0</v>
      </c>
      <c r="HT482" s="109"/>
      <c r="HU482" s="109"/>
      <c r="HV482" s="111"/>
      <c r="HW482" s="111"/>
      <c r="HX482" s="105">
        <f t="shared" si="551"/>
        <v>0</v>
      </c>
      <c r="HY482" s="105">
        <f t="shared" si="551"/>
        <v>0</v>
      </c>
      <c r="HZ482" s="105">
        <f t="shared" si="551"/>
        <v>0</v>
      </c>
      <c r="IA482" s="105">
        <f t="shared" si="545"/>
        <v>0</v>
      </c>
      <c r="IB482" s="109">
        <f t="shared" si="546"/>
        <v>0</v>
      </c>
      <c r="IC482" s="109">
        <f t="shared" si="547"/>
        <v>0</v>
      </c>
      <c r="ID482" s="109">
        <f t="shared" si="548"/>
        <v>0</v>
      </c>
      <c r="IE482" s="109">
        <f t="shared" si="549"/>
        <v>0</v>
      </c>
      <c r="IF482" s="197"/>
      <c r="IG482" s="197"/>
      <c r="IH482" s="197"/>
      <c r="II482" s="197"/>
      <c r="IJ482" s="197"/>
      <c r="IK482" s="197"/>
      <c r="IL482" s="197"/>
      <c r="IM482" s="171"/>
      <c r="IN482" s="171"/>
      <c r="IO482" s="171"/>
      <c r="IP482" s="171"/>
    </row>
    <row r="483" spans="1:250" ht="15" customHeight="1" x14ac:dyDescent="0.3">
      <c r="A483" s="110">
        <f t="shared" si="550"/>
        <v>479</v>
      </c>
      <c r="B483" s="111"/>
      <c r="C483" s="111"/>
      <c r="D483" s="111"/>
      <c r="E483" s="111"/>
      <c r="F483" s="111"/>
      <c r="G483" s="111"/>
      <c r="H483" s="111"/>
      <c r="I483" s="194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75"/>
      <c r="AI483" s="111"/>
      <c r="AJ483" s="111"/>
      <c r="AK483" s="111"/>
      <c r="AL483" s="177"/>
      <c r="AM483" s="176"/>
      <c r="AN483" s="177"/>
      <c r="AO483" s="157"/>
      <c r="AP483" s="158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75"/>
      <c r="BM483" s="111"/>
      <c r="BN483" s="111"/>
      <c r="BO483" s="111"/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1"/>
      <c r="CA483" s="111"/>
      <c r="CB483" s="111"/>
      <c r="CC483" s="178"/>
      <c r="CD483" s="177">
        <f t="shared" si="534"/>
        <v>0</v>
      </c>
      <c r="CE483" s="148"/>
      <c r="CF483" s="111">
        <f t="shared" si="535"/>
        <v>0</v>
      </c>
      <c r="CG483" s="177"/>
      <c r="CH483" s="204"/>
      <c r="CI483" s="148"/>
      <c r="CJ483" s="165"/>
      <c r="CK483" s="165"/>
      <c r="CL483" s="111"/>
      <c r="CM483" s="111"/>
      <c r="CN483" s="165">
        <f t="shared" si="536"/>
        <v>0</v>
      </c>
      <c r="CO483" s="109">
        <f t="shared" si="537"/>
        <v>0</v>
      </c>
      <c r="CP483" s="109">
        <f t="shared" si="538"/>
        <v>0</v>
      </c>
      <c r="CQ483" s="109"/>
      <c r="CR483" s="109"/>
      <c r="CS483" s="196"/>
      <c r="CT483" s="167"/>
      <c r="CU483" s="165"/>
      <c r="CV483" s="109">
        <f t="shared" si="539"/>
        <v>0</v>
      </c>
      <c r="CW483" s="109">
        <f t="shared" si="540"/>
        <v>0</v>
      </c>
      <c r="CX483" s="109"/>
      <c r="CY483" s="109"/>
      <c r="CZ483" s="111"/>
      <c r="DA483" s="111"/>
      <c r="DB483" s="165"/>
      <c r="DC483" s="109">
        <f t="shared" si="541"/>
        <v>0</v>
      </c>
      <c r="DD483" s="109">
        <f t="shared" si="542"/>
        <v>0</v>
      </c>
      <c r="DE483" s="109"/>
      <c r="DF483" s="109"/>
      <c r="DG483" s="111"/>
      <c r="DH483" s="111"/>
      <c r="DI483" s="165"/>
      <c r="DJ483" s="109">
        <f t="shared" si="543"/>
        <v>0</v>
      </c>
      <c r="DK483" s="109">
        <f t="shared" si="544"/>
        <v>0</v>
      </c>
      <c r="DL483" s="109"/>
      <c r="DM483" s="109"/>
      <c r="DN483" s="111"/>
      <c r="DO483" s="111"/>
      <c r="DP483" s="165"/>
      <c r="DQ483" s="109">
        <f t="shared" si="552"/>
        <v>0</v>
      </c>
      <c r="DR483" s="109">
        <f t="shared" si="553"/>
        <v>0</v>
      </c>
      <c r="DS483" s="109"/>
      <c r="DT483" s="109"/>
      <c r="DU483" s="111"/>
      <c r="DV483" s="111"/>
      <c r="DW483" s="165"/>
      <c r="DX483" s="109">
        <f t="shared" si="554"/>
        <v>0</v>
      </c>
      <c r="DY483" s="109">
        <f t="shared" si="555"/>
        <v>0</v>
      </c>
      <c r="DZ483" s="109"/>
      <c r="EA483" s="109"/>
      <c r="EB483" s="111"/>
      <c r="EC483" s="111"/>
      <c r="ED483" s="165"/>
      <c r="EE483" s="109">
        <f t="shared" si="556"/>
        <v>0</v>
      </c>
      <c r="EF483" s="109">
        <f t="shared" si="557"/>
        <v>0</v>
      </c>
      <c r="EG483" s="109"/>
      <c r="EH483" s="109"/>
      <c r="EI483" s="111"/>
      <c r="EJ483" s="111"/>
      <c r="EK483" s="165"/>
      <c r="EL483" s="109">
        <f t="shared" si="558"/>
        <v>0</v>
      </c>
      <c r="EM483" s="109">
        <f t="shared" si="559"/>
        <v>0</v>
      </c>
      <c r="EN483" s="109"/>
      <c r="EO483" s="109"/>
      <c r="EP483" s="111"/>
      <c r="EQ483" s="111"/>
      <c r="ER483" s="165"/>
      <c r="ES483" s="109">
        <f t="shared" si="560"/>
        <v>0</v>
      </c>
      <c r="ET483" s="109">
        <f t="shared" si="561"/>
        <v>0</v>
      </c>
      <c r="EU483" s="109"/>
      <c r="EV483" s="109"/>
      <c r="EW483" s="111"/>
      <c r="EX483" s="111"/>
      <c r="EY483" s="165"/>
      <c r="EZ483" s="109">
        <f t="shared" si="562"/>
        <v>0</v>
      </c>
      <c r="FA483" s="109">
        <f t="shared" si="563"/>
        <v>0</v>
      </c>
      <c r="FB483" s="109"/>
      <c r="FC483" s="109"/>
      <c r="FD483" s="111"/>
      <c r="FE483" s="111"/>
      <c r="FF483" s="165"/>
      <c r="FG483" s="109">
        <f t="shared" si="564"/>
        <v>0</v>
      </c>
      <c r="FH483" s="109">
        <f t="shared" si="565"/>
        <v>0</v>
      </c>
      <c r="FI483" s="109"/>
      <c r="FJ483" s="109"/>
      <c r="FK483" s="111"/>
      <c r="FL483" s="111"/>
      <c r="FM483" s="165"/>
      <c r="FN483" s="109">
        <f t="shared" si="566"/>
        <v>0</v>
      </c>
      <c r="FO483" s="109">
        <f t="shared" si="567"/>
        <v>0</v>
      </c>
      <c r="FP483" s="109"/>
      <c r="FQ483" s="109"/>
      <c r="FR483" s="111"/>
      <c r="FS483" s="111"/>
      <c r="FT483" s="165"/>
      <c r="FU483" s="109">
        <f t="shared" si="568"/>
        <v>0</v>
      </c>
      <c r="FV483" s="109">
        <f t="shared" si="526"/>
        <v>0</v>
      </c>
      <c r="FW483" s="109"/>
      <c r="FX483" s="109"/>
      <c r="FY483" s="111"/>
      <c r="FZ483" s="111"/>
      <c r="GA483" s="165"/>
      <c r="GB483" s="109">
        <f t="shared" si="569"/>
        <v>0</v>
      </c>
      <c r="GC483" s="109">
        <f t="shared" si="527"/>
        <v>0</v>
      </c>
      <c r="GD483" s="109"/>
      <c r="GE483" s="109"/>
      <c r="GF483" s="111"/>
      <c r="GG483" s="111"/>
      <c r="GH483" s="165"/>
      <c r="GI483" s="109">
        <f t="shared" si="570"/>
        <v>0</v>
      </c>
      <c r="GJ483" s="109">
        <f t="shared" si="528"/>
        <v>0</v>
      </c>
      <c r="GK483" s="109"/>
      <c r="GL483" s="109"/>
      <c r="GM483" s="111"/>
      <c r="GN483" s="111"/>
      <c r="GO483" s="165"/>
      <c r="GP483" s="109">
        <f t="shared" si="571"/>
        <v>0</v>
      </c>
      <c r="GQ483" s="109">
        <f t="shared" si="529"/>
        <v>0</v>
      </c>
      <c r="GR483" s="109"/>
      <c r="GS483" s="109"/>
      <c r="GT483" s="111"/>
      <c r="GU483" s="111"/>
      <c r="GV483" s="165"/>
      <c r="GW483" s="168">
        <f t="shared" si="572"/>
        <v>0</v>
      </c>
      <c r="GX483" s="168">
        <f t="shared" si="530"/>
        <v>0</v>
      </c>
      <c r="GY483" s="168"/>
      <c r="GZ483" s="168"/>
      <c r="HA483" s="111"/>
      <c r="HB483" s="111"/>
      <c r="HC483" s="165"/>
      <c r="HD483" s="109">
        <f t="shared" si="573"/>
        <v>0</v>
      </c>
      <c r="HE483" s="109">
        <f t="shared" si="531"/>
        <v>0</v>
      </c>
      <c r="HF483" s="109"/>
      <c r="HG483" s="109"/>
      <c r="HH483" s="111"/>
      <c r="HI483" s="111"/>
      <c r="HJ483" s="165"/>
      <c r="HK483" s="109">
        <f t="shared" si="574"/>
        <v>0</v>
      </c>
      <c r="HL483" s="109">
        <f t="shared" si="532"/>
        <v>0</v>
      </c>
      <c r="HM483" s="109"/>
      <c r="HN483" s="109"/>
      <c r="HO483" s="111"/>
      <c r="HP483" s="111"/>
      <c r="HQ483" s="165"/>
      <c r="HR483" s="109">
        <f t="shared" si="575"/>
        <v>0</v>
      </c>
      <c r="HS483" s="109">
        <f t="shared" si="533"/>
        <v>0</v>
      </c>
      <c r="HT483" s="109"/>
      <c r="HU483" s="109"/>
      <c r="HV483" s="111"/>
      <c r="HW483" s="111"/>
      <c r="HX483" s="105">
        <f t="shared" si="551"/>
        <v>0</v>
      </c>
      <c r="HY483" s="105">
        <f t="shared" si="551"/>
        <v>0</v>
      </c>
      <c r="HZ483" s="105">
        <f t="shared" si="551"/>
        <v>0</v>
      </c>
      <c r="IA483" s="105">
        <f t="shared" si="545"/>
        <v>0</v>
      </c>
      <c r="IB483" s="109">
        <f t="shared" si="546"/>
        <v>0</v>
      </c>
      <c r="IC483" s="109">
        <f t="shared" si="547"/>
        <v>0</v>
      </c>
      <c r="ID483" s="109">
        <f t="shared" si="548"/>
        <v>0</v>
      </c>
      <c r="IE483" s="109">
        <f t="shared" si="549"/>
        <v>0</v>
      </c>
      <c r="IF483" s="197"/>
      <c r="IG483" s="197"/>
      <c r="IH483" s="197"/>
      <c r="II483" s="197"/>
      <c r="IJ483" s="197"/>
      <c r="IK483" s="197"/>
      <c r="IL483" s="197"/>
      <c r="IM483" s="171"/>
      <c r="IN483" s="171"/>
      <c r="IO483" s="171"/>
      <c r="IP483" s="171"/>
    </row>
    <row r="484" spans="1:250" ht="15" customHeight="1" x14ac:dyDescent="0.3">
      <c r="A484" s="110">
        <f t="shared" si="550"/>
        <v>480</v>
      </c>
      <c r="B484" s="111"/>
      <c r="C484" s="111"/>
      <c r="D484" s="111"/>
      <c r="E484" s="111"/>
      <c r="F484" s="111"/>
      <c r="G484" s="111"/>
      <c r="H484" s="111"/>
      <c r="I484" s="194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75"/>
      <c r="AI484" s="111"/>
      <c r="AJ484" s="111"/>
      <c r="AK484" s="111"/>
      <c r="AL484" s="177"/>
      <c r="AM484" s="176"/>
      <c r="AN484" s="177"/>
      <c r="AO484" s="157"/>
      <c r="AP484" s="158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  <c r="BG484" s="111"/>
      <c r="BH484" s="111"/>
      <c r="BI484" s="111"/>
      <c r="BJ484" s="111"/>
      <c r="BK484" s="111"/>
      <c r="BL484" s="175"/>
      <c r="BM484" s="111"/>
      <c r="BN484" s="111"/>
      <c r="BO484" s="111"/>
      <c r="BP484" s="111"/>
      <c r="BQ484" s="111"/>
      <c r="BR484" s="111"/>
      <c r="BS484" s="111"/>
      <c r="BT484" s="111"/>
      <c r="BU484" s="111"/>
      <c r="BV484" s="111"/>
      <c r="BW484" s="111"/>
      <c r="BX484" s="111"/>
      <c r="BY484" s="111"/>
      <c r="BZ484" s="111"/>
      <c r="CA484" s="111"/>
      <c r="CB484" s="111"/>
      <c r="CC484" s="178"/>
      <c r="CD484" s="177">
        <f t="shared" si="534"/>
        <v>0</v>
      </c>
      <c r="CE484" s="148"/>
      <c r="CF484" s="111">
        <f t="shared" si="535"/>
        <v>0</v>
      </c>
      <c r="CG484" s="177"/>
      <c r="CH484" s="204"/>
      <c r="CI484" s="148"/>
      <c r="CJ484" s="165"/>
      <c r="CK484" s="165"/>
      <c r="CL484" s="111"/>
      <c r="CM484" s="111"/>
      <c r="CN484" s="165">
        <f t="shared" si="536"/>
        <v>0</v>
      </c>
      <c r="CO484" s="109">
        <f t="shared" si="537"/>
        <v>0</v>
      </c>
      <c r="CP484" s="109">
        <f t="shared" si="538"/>
        <v>0</v>
      </c>
      <c r="CQ484" s="109"/>
      <c r="CR484" s="109"/>
      <c r="CS484" s="196"/>
      <c r="CT484" s="167"/>
      <c r="CU484" s="165"/>
      <c r="CV484" s="109">
        <f t="shared" si="539"/>
        <v>0</v>
      </c>
      <c r="CW484" s="109">
        <f t="shared" si="540"/>
        <v>0</v>
      </c>
      <c r="CX484" s="109"/>
      <c r="CY484" s="109"/>
      <c r="CZ484" s="111"/>
      <c r="DA484" s="111"/>
      <c r="DB484" s="165"/>
      <c r="DC484" s="109">
        <f t="shared" si="541"/>
        <v>0</v>
      </c>
      <c r="DD484" s="109">
        <f t="shared" si="542"/>
        <v>0</v>
      </c>
      <c r="DE484" s="109"/>
      <c r="DF484" s="109"/>
      <c r="DG484" s="111"/>
      <c r="DH484" s="111"/>
      <c r="DI484" s="165"/>
      <c r="DJ484" s="109">
        <f t="shared" si="543"/>
        <v>0</v>
      </c>
      <c r="DK484" s="109">
        <f t="shared" si="544"/>
        <v>0</v>
      </c>
      <c r="DL484" s="109"/>
      <c r="DM484" s="109"/>
      <c r="DN484" s="111"/>
      <c r="DO484" s="111"/>
      <c r="DP484" s="165"/>
      <c r="DQ484" s="109">
        <f t="shared" si="552"/>
        <v>0</v>
      </c>
      <c r="DR484" s="109">
        <f t="shared" si="553"/>
        <v>0</v>
      </c>
      <c r="DS484" s="109"/>
      <c r="DT484" s="109"/>
      <c r="DU484" s="111"/>
      <c r="DV484" s="111"/>
      <c r="DW484" s="165"/>
      <c r="DX484" s="109">
        <f t="shared" si="554"/>
        <v>0</v>
      </c>
      <c r="DY484" s="109">
        <f t="shared" si="555"/>
        <v>0</v>
      </c>
      <c r="DZ484" s="109"/>
      <c r="EA484" s="109"/>
      <c r="EB484" s="111"/>
      <c r="EC484" s="111"/>
      <c r="ED484" s="165"/>
      <c r="EE484" s="109">
        <f t="shared" si="556"/>
        <v>0</v>
      </c>
      <c r="EF484" s="109">
        <f t="shared" si="557"/>
        <v>0</v>
      </c>
      <c r="EG484" s="109"/>
      <c r="EH484" s="109"/>
      <c r="EI484" s="111"/>
      <c r="EJ484" s="111"/>
      <c r="EK484" s="165"/>
      <c r="EL484" s="109">
        <f t="shared" si="558"/>
        <v>0</v>
      </c>
      <c r="EM484" s="109">
        <f t="shared" si="559"/>
        <v>0</v>
      </c>
      <c r="EN484" s="109"/>
      <c r="EO484" s="109"/>
      <c r="EP484" s="111"/>
      <c r="EQ484" s="111"/>
      <c r="ER484" s="165"/>
      <c r="ES484" s="109">
        <f t="shared" si="560"/>
        <v>0</v>
      </c>
      <c r="ET484" s="109">
        <f t="shared" si="561"/>
        <v>0</v>
      </c>
      <c r="EU484" s="109"/>
      <c r="EV484" s="109"/>
      <c r="EW484" s="111"/>
      <c r="EX484" s="111"/>
      <c r="EY484" s="165"/>
      <c r="EZ484" s="109">
        <f t="shared" si="562"/>
        <v>0</v>
      </c>
      <c r="FA484" s="109">
        <f t="shared" si="563"/>
        <v>0</v>
      </c>
      <c r="FB484" s="109"/>
      <c r="FC484" s="109"/>
      <c r="FD484" s="111"/>
      <c r="FE484" s="111"/>
      <c r="FF484" s="165"/>
      <c r="FG484" s="109">
        <f t="shared" si="564"/>
        <v>0</v>
      </c>
      <c r="FH484" s="109">
        <f t="shared" si="565"/>
        <v>0</v>
      </c>
      <c r="FI484" s="109"/>
      <c r="FJ484" s="109"/>
      <c r="FK484" s="111"/>
      <c r="FL484" s="111"/>
      <c r="FM484" s="165"/>
      <c r="FN484" s="109">
        <f t="shared" si="566"/>
        <v>0</v>
      </c>
      <c r="FO484" s="109">
        <f t="shared" si="567"/>
        <v>0</v>
      </c>
      <c r="FP484" s="109"/>
      <c r="FQ484" s="109"/>
      <c r="FR484" s="111"/>
      <c r="FS484" s="111"/>
      <c r="FT484" s="165"/>
      <c r="FU484" s="109">
        <f t="shared" si="568"/>
        <v>0</v>
      </c>
      <c r="FV484" s="109">
        <f t="shared" si="526"/>
        <v>0</v>
      </c>
      <c r="FW484" s="109"/>
      <c r="FX484" s="109"/>
      <c r="FY484" s="111"/>
      <c r="FZ484" s="111"/>
      <c r="GA484" s="165"/>
      <c r="GB484" s="109">
        <f t="shared" si="569"/>
        <v>0</v>
      </c>
      <c r="GC484" s="109">
        <f t="shared" si="527"/>
        <v>0</v>
      </c>
      <c r="GD484" s="109"/>
      <c r="GE484" s="109"/>
      <c r="GF484" s="111"/>
      <c r="GG484" s="111"/>
      <c r="GH484" s="165"/>
      <c r="GI484" s="109">
        <f t="shared" si="570"/>
        <v>0</v>
      </c>
      <c r="GJ484" s="109">
        <f t="shared" si="528"/>
        <v>0</v>
      </c>
      <c r="GK484" s="109"/>
      <c r="GL484" s="109"/>
      <c r="GM484" s="111"/>
      <c r="GN484" s="111"/>
      <c r="GO484" s="165"/>
      <c r="GP484" s="109">
        <f t="shared" si="571"/>
        <v>0</v>
      </c>
      <c r="GQ484" s="109">
        <f t="shared" si="529"/>
        <v>0</v>
      </c>
      <c r="GR484" s="109"/>
      <c r="GS484" s="109"/>
      <c r="GT484" s="111"/>
      <c r="GU484" s="111"/>
      <c r="GV484" s="165"/>
      <c r="GW484" s="168">
        <f t="shared" si="572"/>
        <v>0</v>
      </c>
      <c r="GX484" s="168">
        <f t="shared" si="530"/>
        <v>0</v>
      </c>
      <c r="GY484" s="168"/>
      <c r="GZ484" s="168"/>
      <c r="HA484" s="111"/>
      <c r="HB484" s="111"/>
      <c r="HC484" s="165"/>
      <c r="HD484" s="109">
        <f t="shared" si="573"/>
        <v>0</v>
      </c>
      <c r="HE484" s="109">
        <f t="shared" si="531"/>
        <v>0</v>
      </c>
      <c r="HF484" s="109"/>
      <c r="HG484" s="109"/>
      <c r="HH484" s="111"/>
      <c r="HI484" s="111"/>
      <c r="HJ484" s="165"/>
      <c r="HK484" s="109">
        <f t="shared" si="574"/>
        <v>0</v>
      </c>
      <c r="HL484" s="109">
        <f t="shared" si="532"/>
        <v>0</v>
      </c>
      <c r="HM484" s="109"/>
      <c r="HN484" s="109"/>
      <c r="HO484" s="111"/>
      <c r="HP484" s="111"/>
      <c r="HQ484" s="165"/>
      <c r="HR484" s="109">
        <f t="shared" si="575"/>
        <v>0</v>
      </c>
      <c r="HS484" s="109">
        <f t="shared" si="533"/>
        <v>0</v>
      </c>
      <c r="HT484" s="109"/>
      <c r="HU484" s="109"/>
      <c r="HV484" s="111"/>
      <c r="HW484" s="111"/>
      <c r="HX484" s="105">
        <f t="shared" si="551"/>
        <v>0</v>
      </c>
      <c r="HY484" s="105">
        <f t="shared" si="551"/>
        <v>0</v>
      </c>
      <c r="HZ484" s="105">
        <f t="shared" si="551"/>
        <v>0</v>
      </c>
      <c r="IA484" s="105">
        <f t="shared" si="545"/>
        <v>0</v>
      </c>
      <c r="IB484" s="109">
        <f t="shared" si="546"/>
        <v>0</v>
      </c>
      <c r="IC484" s="109">
        <f t="shared" si="547"/>
        <v>0</v>
      </c>
      <c r="ID484" s="109">
        <f t="shared" si="548"/>
        <v>0</v>
      </c>
      <c r="IE484" s="109">
        <f t="shared" si="549"/>
        <v>0</v>
      </c>
      <c r="IF484" s="197"/>
      <c r="IG484" s="197"/>
      <c r="IH484" s="197"/>
      <c r="II484" s="197"/>
      <c r="IJ484" s="197"/>
      <c r="IK484" s="197"/>
      <c r="IL484" s="197"/>
      <c r="IM484" s="171"/>
      <c r="IN484" s="171"/>
      <c r="IO484" s="171"/>
      <c r="IP484" s="171"/>
    </row>
    <row r="485" spans="1:250" ht="15" customHeight="1" x14ac:dyDescent="0.3">
      <c r="A485" s="110">
        <f t="shared" si="550"/>
        <v>481</v>
      </c>
      <c r="B485" s="111"/>
      <c r="C485" s="111"/>
      <c r="D485" s="111"/>
      <c r="E485" s="111"/>
      <c r="F485" s="111"/>
      <c r="G485" s="111"/>
      <c r="H485" s="111"/>
      <c r="I485" s="194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75"/>
      <c r="AI485" s="111"/>
      <c r="AJ485" s="111"/>
      <c r="AK485" s="111"/>
      <c r="AL485" s="177"/>
      <c r="AM485" s="176"/>
      <c r="AN485" s="177"/>
      <c r="AO485" s="157"/>
      <c r="AP485" s="158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  <c r="BG485" s="111"/>
      <c r="BH485" s="111"/>
      <c r="BI485" s="111"/>
      <c r="BJ485" s="111"/>
      <c r="BK485" s="111"/>
      <c r="BL485" s="175"/>
      <c r="BM485" s="111"/>
      <c r="BN485" s="111"/>
      <c r="BO485" s="111"/>
      <c r="BP485" s="111"/>
      <c r="BQ485" s="111"/>
      <c r="BR485" s="111"/>
      <c r="BS485" s="111"/>
      <c r="BT485" s="111"/>
      <c r="BU485" s="111"/>
      <c r="BV485" s="111"/>
      <c r="BW485" s="111"/>
      <c r="BX485" s="111"/>
      <c r="BY485" s="111"/>
      <c r="BZ485" s="111"/>
      <c r="CA485" s="111"/>
      <c r="CB485" s="111"/>
      <c r="CC485" s="178"/>
      <c r="CD485" s="177">
        <f t="shared" si="534"/>
        <v>0</v>
      </c>
      <c r="CE485" s="148"/>
      <c r="CF485" s="111">
        <f t="shared" si="535"/>
        <v>0</v>
      </c>
      <c r="CG485" s="177"/>
      <c r="CH485" s="204"/>
      <c r="CI485" s="148"/>
      <c r="CJ485" s="165"/>
      <c r="CK485" s="165"/>
      <c r="CL485" s="111"/>
      <c r="CM485" s="111"/>
      <c r="CN485" s="165">
        <f t="shared" si="536"/>
        <v>0</v>
      </c>
      <c r="CO485" s="109">
        <f t="shared" si="537"/>
        <v>0</v>
      </c>
      <c r="CP485" s="109">
        <f t="shared" si="538"/>
        <v>0</v>
      </c>
      <c r="CQ485" s="109"/>
      <c r="CR485" s="109"/>
      <c r="CS485" s="196"/>
      <c r="CT485" s="167"/>
      <c r="CU485" s="165"/>
      <c r="CV485" s="109">
        <f t="shared" si="539"/>
        <v>0</v>
      </c>
      <c r="CW485" s="109">
        <f t="shared" si="540"/>
        <v>0</v>
      </c>
      <c r="CX485" s="109"/>
      <c r="CY485" s="109"/>
      <c r="CZ485" s="111"/>
      <c r="DA485" s="111"/>
      <c r="DB485" s="165"/>
      <c r="DC485" s="109">
        <f t="shared" si="541"/>
        <v>0</v>
      </c>
      <c r="DD485" s="109">
        <f t="shared" si="542"/>
        <v>0</v>
      </c>
      <c r="DE485" s="109"/>
      <c r="DF485" s="109"/>
      <c r="DG485" s="111"/>
      <c r="DH485" s="111"/>
      <c r="DI485" s="165"/>
      <c r="DJ485" s="109">
        <f t="shared" si="543"/>
        <v>0</v>
      </c>
      <c r="DK485" s="109">
        <f t="shared" si="544"/>
        <v>0</v>
      </c>
      <c r="DL485" s="109"/>
      <c r="DM485" s="109"/>
      <c r="DN485" s="111"/>
      <c r="DO485" s="111"/>
      <c r="DP485" s="165"/>
      <c r="DQ485" s="109">
        <f t="shared" si="552"/>
        <v>0</v>
      </c>
      <c r="DR485" s="109">
        <f t="shared" si="553"/>
        <v>0</v>
      </c>
      <c r="DS485" s="109"/>
      <c r="DT485" s="109"/>
      <c r="DU485" s="111"/>
      <c r="DV485" s="111"/>
      <c r="DW485" s="165"/>
      <c r="DX485" s="109">
        <f t="shared" si="554"/>
        <v>0</v>
      </c>
      <c r="DY485" s="109">
        <f t="shared" si="555"/>
        <v>0</v>
      </c>
      <c r="DZ485" s="109"/>
      <c r="EA485" s="109"/>
      <c r="EB485" s="111"/>
      <c r="EC485" s="111"/>
      <c r="ED485" s="165"/>
      <c r="EE485" s="109">
        <f t="shared" si="556"/>
        <v>0</v>
      </c>
      <c r="EF485" s="109">
        <f t="shared" si="557"/>
        <v>0</v>
      </c>
      <c r="EG485" s="109"/>
      <c r="EH485" s="109"/>
      <c r="EI485" s="111"/>
      <c r="EJ485" s="111"/>
      <c r="EK485" s="165"/>
      <c r="EL485" s="109">
        <f t="shared" si="558"/>
        <v>0</v>
      </c>
      <c r="EM485" s="109">
        <f t="shared" si="559"/>
        <v>0</v>
      </c>
      <c r="EN485" s="109"/>
      <c r="EO485" s="109"/>
      <c r="EP485" s="111"/>
      <c r="EQ485" s="111"/>
      <c r="ER485" s="165"/>
      <c r="ES485" s="109">
        <f t="shared" si="560"/>
        <v>0</v>
      </c>
      <c r="ET485" s="109">
        <f t="shared" si="561"/>
        <v>0</v>
      </c>
      <c r="EU485" s="109"/>
      <c r="EV485" s="109"/>
      <c r="EW485" s="111"/>
      <c r="EX485" s="111"/>
      <c r="EY485" s="165"/>
      <c r="EZ485" s="109">
        <f t="shared" si="562"/>
        <v>0</v>
      </c>
      <c r="FA485" s="109">
        <f t="shared" si="563"/>
        <v>0</v>
      </c>
      <c r="FB485" s="109"/>
      <c r="FC485" s="109"/>
      <c r="FD485" s="111"/>
      <c r="FE485" s="111"/>
      <c r="FF485" s="165"/>
      <c r="FG485" s="109">
        <f t="shared" si="564"/>
        <v>0</v>
      </c>
      <c r="FH485" s="109">
        <f t="shared" si="565"/>
        <v>0</v>
      </c>
      <c r="FI485" s="109"/>
      <c r="FJ485" s="109"/>
      <c r="FK485" s="111"/>
      <c r="FL485" s="111"/>
      <c r="FM485" s="165"/>
      <c r="FN485" s="109">
        <f t="shared" si="566"/>
        <v>0</v>
      </c>
      <c r="FO485" s="109">
        <f t="shared" si="567"/>
        <v>0</v>
      </c>
      <c r="FP485" s="109"/>
      <c r="FQ485" s="109"/>
      <c r="FR485" s="111"/>
      <c r="FS485" s="111"/>
      <c r="FT485" s="165"/>
      <c r="FU485" s="109">
        <f t="shared" si="568"/>
        <v>0</v>
      </c>
      <c r="FV485" s="109">
        <f t="shared" si="526"/>
        <v>0</v>
      </c>
      <c r="FW485" s="109"/>
      <c r="FX485" s="109"/>
      <c r="FY485" s="111"/>
      <c r="FZ485" s="111"/>
      <c r="GA485" s="165"/>
      <c r="GB485" s="109">
        <f t="shared" si="569"/>
        <v>0</v>
      </c>
      <c r="GC485" s="109">
        <f t="shared" si="527"/>
        <v>0</v>
      </c>
      <c r="GD485" s="109"/>
      <c r="GE485" s="109"/>
      <c r="GF485" s="111"/>
      <c r="GG485" s="111"/>
      <c r="GH485" s="165"/>
      <c r="GI485" s="109">
        <f t="shared" si="570"/>
        <v>0</v>
      </c>
      <c r="GJ485" s="109">
        <f t="shared" si="528"/>
        <v>0</v>
      </c>
      <c r="GK485" s="109"/>
      <c r="GL485" s="109"/>
      <c r="GM485" s="111"/>
      <c r="GN485" s="111"/>
      <c r="GO485" s="165"/>
      <c r="GP485" s="109">
        <f t="shared" si="571"/>
        <v>0</v>
      </c>
      <c r="GQ485" s="109">
        <f t="shared" si="529"/>
        <v>0</v>
      </c>
      <c r="GR485" s="109"/>
      <c r="GS485" s="109"/>
      <c r="GT485" s="111"/>
      <c r="GU485" s="111"/>
      <c r="GV485" s="165"/>
      <c r="GW485" s="168">
        <f t="shared" si="572"/>
        <v>0</v>
      </c>
      <c r="GX485" s="168">
        <f t="shared" si="530"/>
        <v>0</v>
      </c>
      <c r="GY485" s="168"/>
      <c r="GZ485" s="168"/>
      <c r="HA485" s="111"/>
      <c r="HB485" s="111"/>
      <c r="HC485" s="165"/>
      <c r="HD485" s="109">
        <f t="shared" si="573"/>
        <v>0</v>
      </c>
      <c r="HE485" s="109">
        <f t="shared" si="531"/>
        <v>0</v>
      </c>
      <c r="HF485" s="109"/>
      <c r="HG485" s="109"/>
      <c r="HH485" s="111"/>
      <c r="HI485" s="111"/>
      <c r="HJ485" s="165"/>
      <c r="HK485" s="109">
        <f t="shared" si="574"/>
        <v>0</v>
      </c>
      <c r="HL485" s="109">
        <f t="shared" si="532"/>
        <v>0</v>
      </c>
      <c r="HM485" s="109"/>
      <c r="HN485" s="109"/>
      <c r="HO485" s="111"/>
      <c r="HP485" s="111"/>
      <c r="HQ485" s="165"/>
      <c r="HR485" s="109">
        <f t="shared" si="575"/>
        <v>0</v>
      </c>
      <c r="HS485" s="109">
        <f t="shared" si="533"/>
        <v>0</v>
      </c>
      <c r="HT485" s="109"/>
      <c r="HU485" s="109"/>
      <c r="HV485" s="111"/>
      <c r="HW485" s="111"/>
      <c r="HX485" s="105">
        <f t="shared" si="551"/>
        <v>0</v>
      </c>
      <c r="HY485" s="105">
        <f t="shared" si="551"/>
        <v>0</v>
      </c>
      <c r="HZ485" s="105">
        <f t="shared" si="551"/>
        <v>0</v>
      </c>
      <c r="IA485" s="105">
        <f t="shared" si="545"/>
        <v>0</v>
      </c>
      <c r="IB485" s="109">
        <f t="shared" si="546"/>
        <v>0</v>
      </c>
      <c r="IC485" s="109">
        <f t="shared" si="547"/>
        <v>0</v>
      </c>
      <c r="ID485" s="109">
        <f t="shared" si="548"/>
        <v>0</v>
      </c>
      <c r="IE485" s="109">
        <f t="shared" si="549"/>
        <v>0</v>
      </c>
      <c r="IF485" s="197"/>
      <c r="IG485" s="197"/>
      <c r="IH485" s="197"/>
      <c r="II485" s="197"/>
      <c r="IJ485" s="197"/>
      <c r="IK485" s="197"/>
      <c r="IL485" s="197"/>
      <c r="IM485" s="171"/>
      <c r="IN485" s="171"/>
      <c r="IO485" s="171"/>
      <c r="IP485" s="171"/>
    </row>
    <row r="486" spans="1:250" ht="15" customHeight="1" x14ac:dyDescent="0.3">
      <c r="A486" s="110">
        <f t="shared" si="550"/>
        <v>482</v>
      </c>
      <c r="B486" s="111"/>
      <c r="C486" s="111"/>
      <c r="D486" s="111"/>
      <c r="E486" s="111"/>
      <c r="F486" s="111"/>
      <c r="G486" s="111"/>
      <c r="H486" s="111"/>
      <c r="I486" s="194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75"/>
      <c r="AI486" s="111"/>
      <c r="AJ486" s="111"/>
      <c r="AK486" s="111"/>
      <c r="AL486" s="177"/>
      <c r="AM486" s="176"/>
      <c r="AN486" s="177"/>
      <c r="AO486" s="157"/>
      <c r="AP486" s="158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  <c r="BG486" s="111"/>
      <c r="BH486" s="111"/>
      <c r="BI486" s="111"/>
      <c r="BJ486" s="111"/>
      <c r="BK486" s="111"/>
      <c r="BL486" s="175"/>
      <c r="BM486" s="111"/>
      <c r="BN486" s="111"/>
      <c r="BO486" s="111"/>
      <c r="BP486" s="111"/>
      <c r="BQ486" s="111"/>
      <c r="BR486" s="111"/>
      <c r="BS486" s="111"/>
      <c r="BT486" s="111"/>
      <c r="BU486" s="111"/>
      <c r="BV486" s="111"/>
      <c r="BW486" s="111"/>
      <c r="BX486" s="111"/>
      <c r="BY486" s="111"/>
      <c r="BZ486" s="111"/>
      <c r="CA486" s="111"/>
      <c r="CB486" s="111"/>
      <c r="CC486" s="178"/>
      <c r="CD486" s="177">
        <f t="shared" si="534"/>
        <v>0</v>
      </c>
      <c r="CE486" s="148"/>
      <c r="CF486" s="111">
        <f t="shared" si="535"/>
        <v>0</v>
      </c>
      <c r="CG486" s="177"/>
      <c r="CH486" s="204"/>
      <c r="CI486" s="148"/>
      <c r="CJ486" s="165"/>
      <c r="CK486" s="165"/>
      <c r="CL486" s="111"/>
      <c r="CM486" s="111"/>
      <c r="CN486" s="165">
        <f t="shared" si="536"/>
        <v>0</v>
      </c>
      <c r="CO486" s="109">
        <f t="shared" si="537"/>
        <v>0</v>
      </c>
      <c r="CP486" s="109">
        <f t="shared" si="538"/>
        <v>0</v>
      </c>
      <c r="CQ486" s="109"/>
      <c r="CR486" s="109"/>
      <c r="CS486" s="196"/>
      <c r="CT486" s="167"/>
      <c r="CU486" s="165"/>
      <c r="CV486" s="109">
        <f t="shared" si="539"/>
        <v>0</v>
      </c>
      <c r="CW486" s="109">
        <f t="shared" si="540"/>
        <v>0</v>
      </c>
      <c r="CX486" s="109"/>
      <c r="CY486" s="109"/>
      <c r="CZ486" s="111"/>
      <c r="DA486" s="111"/>
      <c r="DB486" s="165"/>
      <c r="DC486" s="109">
        <f t="shared" si="541"/>
        <v>0</v>
      </c>
      <c r="DD486" s="109">
        <f t="shared" si="542"/>
        <v>0</v>
      </c>
      <c r="DE486" s="109"/>
      <c r="DF486" s="109"/>
      <c r="DG486" s="111"/>
      <c r="DH486" s="111"/>
      <c r="DI486" s="165"/>
      <c r="DJ486" s="109">
        <f t="shared" si="543"/>
        <v>0</v>
      </c>
      <c r="DK486" s="109">
        <f t="shared" si="544"/>
        <v>0</v>
      </c>
      <c r="DL486" s="109"/>
      <c r="DM486" s="109"/>
      <c r="DN486" s="111"/>
      <c r="DO486" s="111"/>
      <c r="DP486" s="165"/>
      <c r="DQ486" s="109">
        <f t="shared" si="552"/>
        <v>0</v>
      </c>
      <c r="DR486" s="109">
        <f t="shared" si="553"/>
        <v>0</v>
      </c>
      <c r="DS486" s="109"/>
      <c r="DT486" s="109"/>
      <c r="DU486" s="111"/>
      <c r="DV486" s="111"/>
      <c r="DW486" s="165"/>
      <c r="DX486" s="109">
        <f t="shared" si="554"/>
        <v>0</v>
      </c>
      <c r="DY486" s="109">
        <f t="shared" si="555"/>
        <v>0</v>
      </c>
      <c r="DZ486" s="109"/>
      <c r="EA486" s="109"/>
      <c r="EB486" s="111"/>
      <c r="EC486" s="111"/>
      <c r="ED486" s="165"/>
      <c r="EE486" s="109">
        <f t="shared" si="556"/>
        <v>0</v>
      </c>
      <c r="EF486" s="109">
        <f t="shared" si="557"/>
        <v>0</v>
      </c>
      <c r="EG486" s="109"/>
      <c r="EH486" s="109"/>
      <c r="EI486" s="111"/>
      <c r="EJ486" s="111"/>
      <c r="EK486" s="165"/>
      <c r="EL486" s="109">
        <f t="shared" si="558"/>
        <v>0</v>
      </c>
      <c r="EM486" s="109">
        <f t="shared" si="559"/>
        <v>0</v>
      </c>
      <c r="EN486" s="109"/>
      <c r="EO486" s="109"/>
      <c r="EP486" s="111"/>
      <c r="EQ486" s="111"/>
      <c r="ER486" s="165"/>
      <c r="ES486" s="109">
        <f t="shared" si="560"/>
        <v>0</v>
      </c>
      <c r="ET486" s="109">
        <f t="shared" si="561"/>
        <v>0</v>
      </c>
      <c r="EU486" s="109"/>
      <c r="EV486" s="109"/>
      <c r="EW486" s="111"/>
      <c r="EX486" s="111"/>
      <c r="EY486" s="165"/>
      <c r="EZ486" s="109">
        <f t="shared" si="562"/>
        <v>0</v>
      </c>
      <c r="FA486" s="109">
        <f t="shared" si="563"/>
        <v>0</v>
      </c>
      <c r="FB486" s="109"/>
      <c r="FC486" s="109"/>
      <c r="FD486" s="111"/>
      <c r="FE486" s="111"/>
      <c r="FF486" s="165"/>
      <c r="FG486" s="109">
        <f t="shared" si="564"/>
        <v>0</v>
      </c>
      <c r="FH486" s="109">
        <f t="shared" si="565"/>
        <v>0</v>
      </c>
      <c r="FI486" s="109"/>
      <c r="FJ486" s="109"/>
      <c r="FK486" s="111"/>
      <c r="FL486" s="111"/>
      <c r="FM486" s="165"/>
      <c r="FN486" s="109">
        <f t="shared" si="566"/>
        <v>0</v>
      </c>
      <c r="FO486" s="109">
        <f t="shared" si="567"/>
        <v>0</v>
      </c>
      <c r="FP486" s="109"/>
      <c r="FQ486" s="109"/>
      <c r="FR486" s="111"/>
      <c r="FS486" s="111"/>
      <c r="FT486" s="165"/>
      <c r="FU486" s="109">
        <f t="shared" si="568"/>
        <v>0</v>
      </c>
      <c r="FV486" s="109">
        <f t="shared" si="526"/>
        <v>0</v>
      </c>
      <c r="FW486" s="109"/>
      <c r="FX486" s="109"/>
      <c r="FY486" s="111"/>
      <c r="FZ486" s="111"/>
      <c r="GA486" s="165"/>
      <c r="GB486" s="109">
        <f t="shared" si="569"/>
        <v>0</v>
      </c>
      <c r="GC486" s="109">
        <f t="shared" si="527"/>
        <v>0</v>
      </c>
      <c r="GD486" s="109"/>
      <c r="GE486" s="109"/>
      <c r="GF486" s="111"/>
      <c r="GG486" s="111"/>
      <c r="GH486" s="165"/>
      <c r="GI486" s="109">
        <f t="shared" si="570"/>
        <v>0</v>
      </c>
      <c r="GJ486" s="109">
        <f t="shared" si="528"/>
        <v>0</v>
      </c>
      <c r="GK486" s="109"/>
      <c r="GL486" s="109"/>
      <c r="GM486" s="111"/>
      <c r="GN486" s="111"/>
      <c r="GO486" s="165"/>
      <c r="GP486" s="109">
        <f t="shared" si="571"/>
        <v>0</v>
      </c>
      <c r="GQ486" s="109">
        <f t="shared" si="529"/>
        <v>0</v>
      </c>
      <c r="GR486" s="109"/>
      <c r="GS486" s="109"/>
      <c r="GT486" s="111"/>
      <c r="GU486" s="111"/>
      <c r="GV486" s="165"/>
      <c r="GW486" s="168">
        <f t="shared" si="572"/>
        <v>0</v>
      </c>
      <c r="GX486" s="168">
        <f t="shared" si="530"/>
        <v>0</v>
      </c>
      <c r="GY486" s="168"/>
      <c r="GZ486" s="168"/>
      <c r="HA486" s="111"/>
      <c r="HB486" s="111"/>
      <c r="HC486" s="165"/>
      <c r="HD486" s="109">
        <f t="shared" si="573"/>
        <v>0</v>
      </c>
      <c r="HE486" s="109">
        <f t="shared" si="531"/>
        <v>0</v>
      </c>
      <c r="HF486" s="109"/>
      <c r="HG486" s="109"/>
      <c r="HH486" s="111"/>
      <c r="HI486" s="111"/>
      <c r="HJ486" s="165"/>
      <c r="HK486" s="109">
        <f t="shared" si="574"/>
        <v>0</v>
      </c>
      <c r="HL486" s="109">
        <f t="shared" si="532"/>
        <v>0</v>
      </c>
      <c r="HM486" s="109"/>
      <c r="HN486" s="109"/>
      <c r="HO486" s="111"/>
      <c r="HP486" s="111"/>
      <c r="HQ486" s="165"/>
      <c r="HR486" s="109">
        <f t="shared" si="575"/>
        <v>0</v>
      </c>
      <c r="HS486" s="109">
        <f t="shared" si="533"/>
        <v>0</v>
      </c>
      <c r="HT486" s="109"/>
      <c r="HU486" s="109"/>
      <c r="HV486" s="111"/>
      <c r="HW486" s="111"/>
      <c r="HX486" s="105">
        <f t="shared" si="551"/>
        <v>0</v>
      </c>
      <c r="HY486" s="105">
        <f t="shared" si="551"/>
        <v>0</v>
      </c>
      <c r="HZ486" s="105">
        <f t="shared" si="551"/>
        <v>0</v>
      </c>
      <c r="IA486" s="105">
        <f t="shared" si="545"/>
        <v>0</v>
      </c>
      <c r="IB486" s="109">
        <f t="shared" si="546"/>
        <v>0</v>
      </c>
      <c r="IC486" s="109">
        <f t="shared" si="547"/>
        <v>0</v>
      </c>
      <c r="ID486" s="109">
        <f t="shared" si="548"/>
        <v>0</v>
      </c>
      <c r="IE486" s="109">
        <f t="shared" si="549"/>
        <v>0</v>
      </c>
      <c r="IF486" s="197"/>
      <c r="IG486" s="197"/>
      <c r="IH486" s="197"/>
      <c r="II486" s="197"/>
      <c r="IJ486" s="197"/>
      <c r="IK486" s="197"/>
      <c r="IL486" s="197"/>
      <c r="IM486" s="171"/>
      <c r="IN486" s="171"/>
      <c r="IO486" s="171"/>
      <c r="IP486" s="171"/>
    </row>
    <row r="487" spans="1:250" ht="15" customHeight="1" x14ac:dyDescent="0.3">
      <c r="A487" s="110">
        <f t="shared" si="550"/>
        <v>483</v>
      </c>
      <c r="B487" s="111"/>
      <c r="C487" s="111"/>
      <c r="D487" s="111"/>
      <c r="E487" s="111"/>
      <c r="F487" s="111"/>
      <c r="G487" s="111"/>
      <c r="H487" s="111"/>
      <c r="I487" s="194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75"/>
      <c r="AI487" s="111"/>
      <c r="AJ487" s="111"/>
      <c r="AK487" s="111"/>
      <c r="AL487" s="177"/>
      <c r="AM487" s="176"/>
      <c r="AN487" s="177"/>
      <c r="AO487" s="157"/>
      <c r="AP487" s="158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  <c r="BG487" s="111"/>
      <c r="BH487" s="111"/>
      <c r="BI487" s="111"/>
      <c r="BJ487" s="111"/>
      <c r="BK487" s="111"/>
      <c r="BL487" s="175"/>
      <c r="BM487" s="111"/>
      <c r="BN487" s="111"/>
      <c r="BO487" s="111"/>
      <c r="BP487" s="111"/>
      <c r="BQ487" s="111"/>
      <c r="BR487" s="111"/>
      <c r="BS487" s="111"/>
      <c r="BT487" s="111"/>
      <c r="BU487" s="111"/>
      <c r="BV487" s="111"/>
      <c r="BW487" s="111"/>
      <c r="BX487" s="111"/>
      <c r="BY487" s="111"/>
      <c r="BZ487" s="111"/>
      <c r="CA487" s="111"/>
      <c r="CB487" s="111"/>
      <c r="CC487" s="178"/>
      <c r="CD487" s="177">
        <f t="shared" si="534"/>
        <v>0</v>
      </c>
      <c r="CE487" s="148"/>
      <c r="CF487" s="111">
        <f t="shared" si="535"/>
        <v>0</v>
      </c>
      <c r="CG487" s="177"/>
      <c r="CH487" s="204"/>
      <c r="CI487" s="148"/>
      <c r="CJ487" s="165"/>
      <c r="CK487" s="165"/>
      <c r="CL487" s="111"/>
      <c r="CM487" s="111"/>
      <c r="CN487" s="165">
        <f t="shared" si="536"/>
        <v>0</v>
      </c>
      <c r="CO487" s="109">
        <f t="shared" si="537"/>
        <v>0</v>
      </c>
      <c r="CP487" s="109">
        <f t="shared" si="538"/>
        <v>0</v>
      </c>
      <c r="CQ487" s="109"/>
      <c r="CR487" s="109"/>
      <c r="CS487" s="196"/>
      <c r="CT487" s="167"/>
      <c r="CU487" s="165"/>
      <c r="CV487" s="109">
        <f t="shared" si="539"/>
        <v>0</v>
      </c>
      <c r="CW487" s="109">
        <f t="shared" si="540"/>
        <v>0</v>
      </c>
      <c r="CX487" s="109"/>
      <c r="CY487" s="109"/>
      <c r="CZ487" s="111"/>
      <c r="DA487" s="111"/>
      <c r="DB487" s="165"/>
      <c r="DC487" s="109">
        <f t="shared" si="541"/>
        <v>0</v>
      </c>
      <c r="DD487" s="109">
        <f t="shared" si="542"/>
        <v>0</v>
      </c>
      <c r="DE487" s="109"/>
      <c r="DF487" s="109"/>
      <c r="DG487" s="111"/>
      <c r="DH487" s="111"/>
      <c r="DI487" s="165"/>
      <c r="DJ487" s="109">
        <f t="shared" si="543"/>
        <v>0</v>
      </c>
      <c r="DK487" s="109">
        <f t="shared" si="544"/>
        <v>0</v>
      </c>
      <c r="DL487" s="109"/>
      <c r="DM487" s="109"/>
      <c r="DN487" s="111"/>
      <c r="DO487" s="111"/>
      <c r="DP487" s="165"/>
      <c r="DQ487" s="109">
        <f t="shared" si="552"/>
        <v>0</v>
      </c>
      <c r="DR487" s="109">
        <f t="shared" si="553"/>
        <v>0</v>
      </c>
      <c r="DS487" s="109"/>
      <c r="DT487" s="109"/>
      <c r="DU487" s="111"/>
      <c r="DV487" s="111"/>
      <c r="DW487" s="165"/>
      <c r="DX487" s="109">
        <f t="shared" si="554"/>
        <v>0</v>
      </c>
      <c r="DY487" s="109">
        <f t="shared" si="555"/>
        <v>0</v>
      </c>
      <c r="DZ487" s="109"/>
      <c r="EA487" s="109"/>
      <c r="EB487" s="111"/>
      <c r="EC487" s="111"/>
      <c r="ED487" s="165"/>
      <c r="EE487" s="109">
        <f t="shared" si="556"/>
        <v>0</v>
      </c>
      <c r="EF487" s="109">
        <f t="shared" si="557"/>
        <v>0</v>
      </c>
      <c r="EG487" s="109"/>
      <c r="EH487" s="109"/>
      <c r="EI487" s="111"/>
      <c r="EJ487" s="111"/>
      <c r="EK487" s="165"/>
      <c r="EL487" s="109">
        <f t="shared" si="558"/>
        <v>0</v>
      </c>
      <c r="EM487" s="109">
        <f t="shared" si="559"/>
        <v>0</v>
      </c>
      <c r="EN487" s="109"/>
      <c r="EO487" s="109"/>
      <c r="EP487" s="111"/>
      <c r="EQ487" s="111"/>
      <c r="ER487" s="165"/>
      <c r="ES487" s="109">
        <f t="shared" si="560"/>
        <v>0</v>
      </c>
      <c r="ET487" s="109">
        <f t="shared" si="561"/>
        <v>0</v>
      </c>
      <c r="EU487" s="109"/>
      <c r="EV487" s="109"/>
      <c r="EW487" s="111"/>
      <c r="EX487" s="111"/>
      <c r="EY487" s="165"/>
      <c r="EZ487" s="109">
        <f t="shared" si="562"/>
        <v>0</v>
      </c>
      <c r="FA487" s="109">
        <f t="shared" si="563"/>
        <v>0</v>
      </c>
      <c r="FB487" s="109"/>
      <c r="FC487" s="109"/>
      <c r="FD487" s="111"/>
      <c r="FE487" s="111"/>
      <c r="FF487" s="165"/>
      <c r="FG487" s="109">
        <f t="shared" si="564"/>
        <v>0</v>
      </c>
      <c r="FH487" s="109">
        <f t="shared" si="565"/>
        <v>0</v>
      </c>
      <c r="FI487" s="109"/>
      <c r="FJ487" s="109"/>
      <c r="FK487" s="111"/>
      <c r="FL487" s="111"/>
      <c r="FM487" s="165"/>
      <c r="FN487" s="109">
        <f t="shared" si="566"/>
        <v>0</v>
      </c>
      <c r="FO487" s="109">
        <f t="shared" si="567"/>
        <v>0</v>
      </c>
      <c r="FP487" s="109"/>
      <c r="FQ487" s="109"/>
      <c r="FR487" s="111"/>
      <c r="FS487" s="111"/>
      <c r="FT487" s="165"/>
      <c r="FU487" s="109">
        <f t="shared" si="568"/>
        <v>0</v>
      </c>
      <c r="FV487" s="109">
        <f t="shared" si="526"/>
        <v>0</v>
      </c>
      <c r="FW487" s="109"/>
      <c r="FX487" s="109"/>
      <c r="FY487" s="111"/>
      <c r="FZ487" s="111"/>
      <c r="GA487" s="165"/>
      <c r="GB487" s="109">
        <f t="shared" si="569"/>
        <v>0</v>
      </c>
      <c r="GC487" s="109">
        <f t="shared" si="527"/>
        <v>0</v>
      </c>
      <c r="GD487" s="109"/>
      <c r="GE487" s="109"/>
      <c r="GF487" s="111"/>
      <c r="GG487" s="111"/>
      <c r="GH487" s="165"/>
      <c r="GI487" s="109">
        <f t="shared" si="570"/>
        <v>0</v>
      </c>
      <c r="GJ487" s="109">
        <f t="shared" si="528"/>
        <v>0</v>
      </c>
      <c r="GK487" s="109"/>
      <c r="GL487" s="109"/>
      <c r="GM487" s="111"/>
      <c r="GN487" s="111"/>
      <c r="GO487" s="165"/>
      <c r="GP487" s="109">
        <f t="shared" si="571"/>
        <v>0</v>
      </c>
      <c r="GQ487" s="109">
        <f t="shared" si="529"/>
        <v>0</v>
      </c>
      <c r="GR487" s="109"/>
      <c r="GS487" s="109"/>
      <c r="GT487" s="111"/>
      <c r="GU487" s="111"/>
      <c r="GV487" s="165"/>
      <c r="GW487" s="168">
        <f t="shared" si="572"/>
        <v>0</v>
      </c>
      <c r="GX487" s="168">
        <f t="shared" si="530"/>
        <v>0</v>
      </c>
      <c r="GY487" s="168"/>
      <c r="GZ487" s="168"/>
      <c r="HA487" s="111"/>
      <c r="HB487" s="111"/>
      <c r="HC487" s="165"/>
      <c r="HD487" s="109">
        <f t="shared" si="573"/>
        <v>0</v>
      </c>
      <c r="HE487" s="109">
        <f t="shared" si="531"/>
        <v>0</v>
      </c>
      <c r="HF487" s="109"/>
      <c r="HG487" s="109"/>
      <c r="HH487" s="111"/>
      <c r="HI487" s="111"/>
      <c r="HJ487" s="165"/>
      <c r="HK487" s="109">
        <f t="shared" si="574"/>
        <v>0</v>
      </c>
      <c r="HL487" s="109">
        <f t="shared" si="532"/>
        <v>0</v>
      </c>
      <c r="HM487" s="109"/>
      <c r="HN487" s="109"/>
      <c r="HO487" s="111"/>
      <c r="HP487" s="111"/>
      <c r="HQ487" s="165"/>
      <c r="HR487" s="109">
        <f t="shared" si="575"/>
        <v>0</v>
      </c>
      <c r="HS487" s="109">
        <f t="shared" si="533"/>
        <v>0</v>
      </c>
      <c r="HT487" s="109"/>
      <c r="HU487" s="109"/>
      <c r="HV487" s="111"/>
      <c r="HW487" s="111"/>
      <c r="HX487" s="105">
        <f t="shared" si="551"/>
        <v>0</v>
      </c>
      <c r="HY487" s="105">
        <f t="shared" si="551"/>
        <v>0</v>
      </c>
      <c r="HZ487" s="105">
        <f t="shared" si="551"/>
        <v>0</v>
      </c>
      <c r="IA487" s="105">
        <f t="shared" si="545"/>
        <v>0</v>
      </c>
      <c r="IB487" s="109">
        <f t="shared" si="546"/>
        <v>0</v>
      </c>
      <c r="IC487" s="109">
        <f t="shared" si="547"/>
        <v>0</v>
      </c>
      <c r="ID487" s="109">
        <f t="shared" si="548"/>
        <v>0</v>
      </c>
      <c r="IE487" s="109">
        <f t="shared" si="549"/>
        <v>0</v>
      </c>
      <c r="IF487" s="197"/>
      <c r="IG487" s="197"/>
      <c r="IH487" s="197"/>
      <c r="II487" s="197"/>
      <c r="IJ487" s="197"/>
      <c r="IK487" s="197"/>
      <c r="IL487" s="197"/>
      <c r="IM487" s="171"/>
      <c r="IN487" s="171"/>
      <c r="IO487" s="171"/>
      <c r="IP487" s="171"/>
    </row>
    <row r="488" spans="1:250" ht="15" customHeight="1" x14ac:dyDescent="0.3">
      <c r="A488" s="110">
        <f t="shared" si="550"/>
        <v>484</v>
      </c>
      <c r="B488" s="111"/>
      <c r="C488" s="111"/>
      <c r="D488" s="111"/>
      <c r="E488" s="111"/>
      <c r="F488" s="111"/>
      <c r="G488" s="111"/>
      <c r="H488" s="111"/>
      <c r="I488" s="194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75"/>
      <c r="AI488" s="111"/>
      <c r="AJ488" s="111"/>
      <c r="AK488" s="111"/>
      <c r="AL488" s="177"/>
      <c r="AM488" s="176"/>
      <c r="AN488" s="177"/>
      <c r="AO488" s="157"/>
      <c r="AP488" s="158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  <c r="BG488" s="111"/>
      <c r="BH488" s="111"/>
      <c r="BI488" s="111"/>
      <c r="BJ488" s="111"/>
      <c r="BK488" s="111"/>
      <c r="BL488" s="175"/>
      <c r="BM488" s="111"/>
      <c r="BN488" s="111"/>
      <c r="BO488" s="111"/>
      <c r="BP488" s="111"/>
      <c r="BQ488" s="111"/>
      <c r="BR488" s="111"/>
      <c r="BS488" s="111"/>
      <c r="BT488" s="111"/>
      <c r="BU488" s="111"/>
      <c r="BV488" s="111"/>
      <c r="BW488" s="111"/>
      <c r="BX488" s="111"/>
      <c r="BY488" s="111"/>
      <c r="BZ488" s="111"/>
      <c r="CA488" s="111"/>
      <c r="CB488" s="111"/>
      <c r="CC488" s="178"/>
      <c r="CD488" s="177">
        <f t="shared" si="534"/>
        <v>0</v>
      </c>
      <c r="CE488" s="148"/>
      <c r="CF488" s="111">
        <f t="shared" si="535"/>
        <v>0</v>
      </c>
      <c r="CG488" s="177"/>
      <c r="CH488" s="204"/>
      <c r="CI488" s="148"/>
      <c r="CJ488" s="165"/>
      <c r="CK488" s="165"/>
      <c r="CL488" s="111"/>
      <c r="CM488" s="111"/>
      <c r="CN488" s="165">
        <f t="shared" si="536"/>
        <v>0</v>
      </c>
      <c r="CO488" s="109">
        <f t="shared" si="537"/>
        <v>0</v>
      </c>
      <c r="CP488" s="109">
        <f t="shared" si="538"/>
        <v>0</v>
      </c>
      <c r="CQ488" s="109"/>
      <c r="CR488" s="109"/>
      <c r="CS488" s="196"/>
      <c r="CT488" s="167"/>
      <c r="CU488" s="165"/>
      <c r="CV488" s="109">
        <f t="shared" si="539"/>
        <v>0</v>
      </c>
      <c r="CW488" s="109">
        <f t="shared" si="540"/>
        <v>0</v>
      </c>
      <c r="CX488" s="109"/>
      <c r="CY488" s="109"/>
      <c r="CZ488" s="111"/>
      <c r="DA488" s="111"/>
      <c r="DB488" s="165"/>
      <c r="DC488" s="109">
        <f t="shared" si="541"/>
        <v>0</v>
      </c>
      <c r="DD488" s="109">
        <f t="shared" si="542"/>
        <v>0</v>
      </c>
      <c r="DE488" s="109"/>
      <c r="DF488" s="109"/>
      <c r="DG488" s="111"/>
      <c r="DH488" s="111"/>
      <c r="DI488" s="165"/>
      <c r="DJ488" s="109">
        <f t="shared" si="543"/>
        <v>0</v>
      </c>
      <c r="DK488" s="109">
        <f t="shared" si="544"/>
        <v>0</v>
      </c>
      <c r="DL488" s="109"/>
      <c r="DM488" s="109"/>
      <c r="DN488" s="111"/>
      <c r="DO488" s="111"/>
      <c r="DP488" s="165"/>
      <c r="DQ488" s="109">
        <f t="shared" si="552"/>
        <v>0</v>
      </c>
      <c r="DR488" s="109">
        <f t="shared" si="553"/>
        <v>0</v>
      </c>
      <c r="DS488" s="109"/>
      <c r="DT488" s="109"/>
      <c r="DU488" s="111"/>
      <c r="DV488" s="111"/>
      <c r="DW488" s="165"/>
      <c r="DX488" s="109">
        <f t="shared" si="554"/>
        <v>0</v>
      </c>
      <c r="DY488" s="109">
        <f t="shared" si="555"/>
        <v>0</v>
      </c>
      <c r="DZ488" s="109"/>
      <c r="EA488" s="109"/>
      <c r="EB488" s="111"/>
      <c r="EC488" s="111"/>
      <c r="ED488" s="165"/>
      <c r="EE488" s="109">
        <f t="shared" si="556"/>
        <v>0</v>
      </c>
      <c r="EF488" s="109">
        <f t="shared" si="557"/>
        <v>0</v>
      </c>
      <c r="EG488" s="109"/>
      <c r="EH488" s="109"/>
      <c r="EI488" s="111"/>
      <c r="EJ488" s="111"/>
      <c r="EK488" s="165"/>
      <c r="EL488" s="109">
        <f t="shared" si="558"/>
        <v>0</v>
      </c>
      <c r="EM488" s="109">
        <f t="shared" si="559"/>
        <v>0</v>
      </c>
      <c r="EN488" s="109"/>
      <c r="EO488" s="109"/>
      <c r="EP488" s="111"/>
      <c r="EQ488" s="111"/>
      <c r="ER488" s="165"/>
      <c r="ES488" s="109">
        <f t="shared" si="560"/>
        <v>0</v>
      </c>
      <c r="ET488" s="109">
        <f t="shared" si="561"/>
        <v>0</v>
      </c>
      <c r="EU488" s="109"/>
      <c r="EV488" s="109"/>
      <c r="EW488" s="111"/>
      <c r="EX488" s="111"/>
      <c r="EY488" s="165"/>
      <c r="EZ488" s="109">
        <f t="shared" si="562"/>
        <v>0</v>
      </c>
      <c r="FA488" s="109">
        <f t="shared" si="563"/>
        <v>0</v>
      </c>
      <c r="FB488" s="109"/>
      <c r="FC488" s="109"/>
      <c r="FD488" s="111"/>
      <c r="FE488" s="111"/>
      <c r="FF488" s="165"/>
      <c r="FG488" s="109">
        <f t="shared" si="564"/>
        <v>0</v>
      </c>
      <c r="FH488" s="109">
        <f t="shared" si="565"/>
        <v>0</v>
      </c>
      <c r="FI488" s="109"/>
      <c r="FJ488" s="109"/>
      <c r="FK488" s="111"/>
      <c r="FL488" s="111"/>
      <c r="FM488" s="165"/>
      <c r="FN488" s="109">
        <f t="shared" si="566"/>
        <v>0</v>
      </c>
      <c r="FO488" s="109">
        <f t="shared" si="567"/>
        <v>0</v>
      </c>
      <c r="FP488" s="109"/>
      <c r="FQ488" s="109"/>
      <c r="FR488" s="111"/>
      <c r="FS488" s="111"/>
      <c r="FT488" s="165"/>
      <c r="FU488" s="109">
        <f t="shared" si="568"/>
        <v>0</v>
      </c>
      <c r="FV488" s="109">
        <f t="shared" si="526"/>
        <v>0</v>
      </c>
      <c r="FW488" s="109"/>
      <c r="FX488" s="109"/>
      <c r="FY488" s="111"/>
      <c r="FZ488" s="111"/>
      <c r="GA488" s="165"/>
      <c r="GB488" s="109">
        <f t="shared" si="569"/>
        <v>0</v>
      </c>
      <c r="GC488" s="109">
        <f t="shared" si="527"/>
        <v>0</v>
      </c>
      <c r="GD488" s="109"/>
      <c r="GE488" s="109"/>
      <c r="GF488" s="111"/>
      <c r="GG488" s="111"/>
      <c r="GH488" s="165"/>
      <c r="GI488" s="109">
        <f t="shared" si="570"/>
        <v>0</v>
      </c>
      <c r="GJ488" s="109">
        <f t="shared" si="528"/>
        <v>0</v>
      </c>
      <c r="GK488" s="109"/>
      <c r="GL488" s="109"/>
      <c r="GM488" s="111"/>
      <c r="GN488" s="111"/>
      <c r="GO488" s="165"/>
      <c r="GP488" s="109">
        <f t="shared" si="571"/>
        <v>0</v>
      </c>
      <c r="GQ488" s="109">
        <f t="shared" si="529"/>
        <v>0</v>
      </c>
      <c r="GR488" s="109"/>
      <c r="GS488" s="109"/>
      <c r="GT488" s="111"/>
      <c r="GU488" s="111"/>
      <c r="GV488" s="165"/>
      <c r="GW488" s="168">
        <f t="shared" si="572"/>
        <v>0</v>
      </c>
      <c r="GX488" s="168">
        <f t="shared" si="530"/>
        <v>0</v>
      </c>
      <c r="GY488" s="168"/>
      <c r="GZ488" s="168"/>
      <c r="HA488" s="111"/>
      <c r="HB488" s="111"/>
      <c r="HC488" s="165"/>
      <c r="HD488" s="109">
        <f t="shared" si="573"/>
        <v>0</v>
      </c>
      <c r="HE488" s="109">
        <f t="shared" si="531"/>
        <v>0</v>
      </c>
      <c r="HF488" s="109"/>
      <c r="HG488" s="109"/>
      <c r="HH488" s="111"/>
      <c r="HI488" s="111"/>
      <c r="HJ488" s="165"/>
      <c r="HK488" s="109">
        <f t="shared" si="574"/>
        <v>0</v>
      </c>
      <c r="HL488" s="109">
        <f t="shared" si="532"/>
        <v>0</v>
      </c>
      <c r="HM488" s="109"/>
      <c r="HN488" s="109"/>
      <c r="HO488" s="111"/>
      <c r="HP488" s="111"/>
      <c r="HQ488" s="165"/>
      <c r="HR488" s="109">
        <f t="shared" si="575"/>
        <v>0</v>
      </c>
      <c r="HS488" s="109">
        <f t="shared" si="533"/>
        <v>0</v>
      </c>
      <c r="HT488" s="109"/>
      <c r="HU488" s="109"/>
      <c r="HV488" s="111"/>
      <c r="HW488" s="111"/>
      <c r="HX488" s="105">
        <f t="shared" si="551"/>
        <v>0</v>
      </c>
      <c r="HY488" s="105">
        <f t="shared" si="551"/>
        <v>0</v>
      </c>
      <c r="HZ488" s="105">
        <f t="shared" si="551"/>
        <v>0</v>
      </c>
      <c r="IA488" s="105">
        <f t="shared" si="545"/>
        <v>0</v>
      </c>
      <c r="IB488" s="109">
        <f t="shared" si="546"/>
        <v>0</v>
      </c>
      <c r="IC488" s="109">
        <f t="shared" si="547"/>
        <v>0</v>
      </c>
      <c r="ID488" s="109">
        <f t="shared" si="548"/>
        <v>0</v>
      </c>
      <c r="IE488" s="109">
        <f t="shared" si="549"/>
        <v>0</v>
      </c>
      <c r="IF488" s="197"/>
      <c r="IG488" s="197"/>
      <c r="IH488" s="197"/>
      <c r="II488" s="197"/>
      <c r="IJ488" s="197"/>
      <c r="IK488" s="197"/>
      <c r="IL488" s="197"/>
      <c r="IM488" s="171"/>
      <c r="IN488" s="171"/>
      <c r="IO488" s="171"/>
      <c r="IP488" s="171"/>
    </row>
    <row r="489" spans="1:250" ht="15" customHeight="1" x14ac:dyDescent="0.3">
      <c r="A489" s="110">
        <f t="shared" si="550"/>
        <v>485</v>
      </c>
      <c r="B489" s="111"/>
      <c r="C489" s="111"/>
      <c r="D489" s="111"/>
      <c r="E489" s="111"/>
      <c r="F489" s="111"/>
      <c r="G489" s="111"/>
      <c r="H489" s="111"/>
      <c r="I489" s="194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75"/>
      <c r="AI489" s="111"/>
      <c r="AJ489" s="111"/>
      <c r="AK489" s="111"/>
      <c r="AL489" s="177"/>
      <c r="AM489" s="176"/>
      <c r="AN489" s="177"/>
      <c r="AO489" s="157"/>
      <c r="AP489" s="158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  <c r="BG489" s="111"/>
      <c r="BH489" s="111"/>
      <c r="BI489" s="111"/>
      <c r="BJ489" s="111"/>
      <c r="BK489" s="111"/>
      <c r="BL489" s="175"/>
      <c r="BM489" s="111"/>
      <c r="BN489" s="111"/>
      <c r="BO489" s="111"/>
      <c r="BP489" s="111"/>
      <c r="BQ489" s="111"/>
      <c r="BR489" s="111"/>
      <c r="BS489" s="111"/>
      <c r="BT489" s="111"/>
      <c r="BU489" s="111"/>
      <c r="BV489" s="111"/>
      <c r="BW489" s="111"/>
      <c r="BX489" s="111"/>
      <c r="BY489" s="111"/>
      <c r="BZ489" s="111"/>
      <c r="CA489" s="111"/>
      <c r="CB489" s="111"/>
      <c r="CC489" s="178"/>
      <c r="CD489" s="177">
        <f t="shared" si="534"/>
        <v>0</v>
      </c>
      <c r="CE489" s="148"/>
      <c r="CF489" s="111">
        <f t="shared" si="535"/>
        <v>0</v>
      </c>
      <c r="CG489" s="177"/>
      <c r="CH489" s="204"/>
      <c r="CI489" s="148"/>
      <c r="CJ489" s="165"/>
      <c r="CK489" s="165"/>
      <c r="CL489" s="111"/>
      <c r="CM489" s="111"/>
      <c r="CN489" s="165">
        <f t="shared" si="536"/>
        <v>0</v>
      </c>
      <c r="CO489" s="109">
        <f t="shared" si="537"/>
        <v>0</v>
      </c>
      <c r="CP489" s="109">
        <f t="shared" si="538"/>
        <v>0</v>
      </c>
      <c r="CQ489" s="109"/>
      <c r="CR489" s="109"/>
      <c r="CS489" s="196"/>
      <c r="CT489" s="167"/>
      <c r="CU489" s="165"/>
      <c r="CV489" s="109">
        <f t="shared" si="539"/>
        <v>0</v>
      </c>
      <c r="CW489" s="109">
        <f t="shared" si="540"/>
        <v>0</v>
      </c>
      <c r="CX489" s="109"/>
      <c r="CY489" s="109"/>
      <c r="CZ489" s="111"/>
      <c r="DA489" s="111"/>
      <c r="DB489" s="165"/>
      <c r="DC489" s="109">
        <f t="shared" si="541"/>
        <v>0</v>
      </c>
      <c r="DD489" s="109">
        <f t="shared" si="542"/>
        <v>0</v>
      </c>
      <c r="DE489" s="109"/>
      <c r="DF489" s="109"/>
      <c r="DG489" s="111"/>
      <c r="DH489" s="111"/>
      <c r="DI489" s="165"/>
      <c r="DJ489" s="109">
        <f t="shared" si="543"/>
        <v>0</v>
      </c>
      <c r="DK489" s="109">
        <f t="shared" si="544"/>
        <v>0</v>
      </c>
      <c r="DL489" s="109"/>
      <c r="DM489" s="109"/>
      <c r="DN489" s="111"/>
      <c r="DO489" s="111"/>
      <c r="DP489" s="165"/>
      <c r="DQ489" s="109">
        <f t="shared" si="552"/>
        <v>0</v>
      </c>
      <c r="DR489" s="109">
        <f t="shared" si="553"/>
        <v>0</v>
      </c>
      <c r="DS489" s="109"/>
      <c r="DT489" s="109"/>
      <c r="DU489" s="111"/>
      <c r="DV489" s="111"/>
      <c r="DW489" s="165"/>
      <c r="DX489" s="109">
        <f t="shared" si="554"/>
        <v>0</v>
      </c>
      <c r="DY489" s="109">
        <f t="shared" si="555"/>
        <v>0</v>
      </c>
      <c r="DZ489" s="109"/>
      <c r="EA489" s="109"/>
      <c r="EB489" s="111"/>
      <c r="EC489" s="111"/>
      <c r="ED489" s="165"/>
      <c r="EE489" s="109">
        <f t="shared" si="556"/>
        <v>0</v>
      </c>
      <c r="EF489" s="109">
        <f t="shared" si="557"/>
        <v>0</v>
      </c>
      <c r="EG489" s="109"/>
      <c r="EH489" s="109"/>
      <c r="EI489" s="111"/>
      <c r="EJ489" s="111"/>
      <c r="EK489" s="165"/>
      <c r="EL489" s="109">
        <f t="shared" si="558"/>
        <v>0</v>
      </c>
      <c r="EM489" s="109">
        <f t="shared" si="559"/>
        <v>0</v>
      </c>
      <c r="EN489" s="109"/>
      <c r="EO489" s="109"/>
      <c r="EP489" s="111"/>
      <c r="EQ489" s="111"/>
      <c r="ER489" s="165"/>
      <c r="ES489" s="109">
        <f t="shared" si="560"/>
        <v>0</v>
      </c>
      <c r="ET489" s="109">
        <f t="shared" si="561"/>
        <v>0</v>
      </c>
      <c r="EU489" s="109"/>
      <c r="EV489" s="109"/>
      <c r="EW489" s="111"/>
      <c r="EX489" s="111"/>
      <c r="EY489" s="165"/>
      <c r="EZ489" s="109">
        <f t="shared" si="562"/>
        <v>0</v>
      </c>
      <c r="FA489" s="109">
        <f t="shared" si="563"/>
        <v>0</v>
      </c>
      <c r="FB489" s="109"/>
      <c r="FC489" s="109"/>
      <c r="FD489" s="111"/>
      <c r="FE489" s="111"/>
      <c r="FF489" s="165"/>
      <c r="FG489" s="109">
        <f t="shared" si="564"/>
        <v>0</v>
      </c>
      <c r="FH489" s="109">
        <f t="shared" si="565"/>
        <v>0</v>
      </c>
      <c r="FI489" s="109"/>
      <c r="FJ489" s="109"/>
      <c r="FK489" s="111"/>
      <c r="FL489" s="111"/>
      <c r="FM489" s="165"/>
      <c r="FN489" s="109">
        <f t="shared" si="566"/>
        <v>0</v>
      </c>
      <c r="FO489" s="109">
        <f t="shared" si="567"/>
        <v>0</v>
      </c>
      <c r="FP489" s="109"/>
      <c r="FQ489" s="109"/>
      <c r="FR489" s="111"/>
      <c r="FS489" s="111"/>
      <c r="FT489" s="165"/>
      <c r="FU489" s="109">
        <f t="shared" si="568"/>
        <v>0</v>
      </c>
      <c r="FV489" s="109">
        <f t="shared" si="526"/>
        <v>0</v>
      </c>
      <c r="FW489" s="109"/>
      <c r="FX489" s="109"/>
      <c r="FY489" s="111"/>
      <c r="FZ489" s="111"/>
      <c r="GA489" s="165"/>
      <c r="GB489" s="109">
        <f t="shared" si="569"/>
        <v>0</v>
      </c>
      <c r="GC489" s="109">
        <f t="shared" si="527"/>
        <v>0</v>
      </c>
      <c r="GD489" s="109"/>
      <c r="GE489" s="109"/>
      <c r="GF489" s="111"/>
      <c r="GG489" s="111"/>
      <c r="GH489" s="165"/>
      <c r="GI489" s="109">
        <f t="shared" si="570"/>
        <v>0</v>
      </c>
      <c r="GJ489" s="109">
        <f t="shared" si="528"/>
        <v>0</v>
      </c>
      <c r="GK489" s="109"/>
      <c r="GL489" s="109"/>
      <c r="GM489" s="111"/>
      <c r="GN489" s="111"/>
      <c r="GO489" s="165"/>
      <c r="GP489" s="109">
        <f t="shared" si="571"/>
        <v>0</v>
      </c>
      <c r="GQ489" s="109">
        <f t="shared" si="529"/>
        <v>0</v>
      </c>
      <c r="GR489" s="109"/>
      <c r="GS489" s="109"/>
      <c r="GT489" s="111"/>
      <c r="GU489" s="111"/>
      <c r="GV489" s="165"/>
      <c r="GW489" s="168">
        <f t="shared" si="572"/>
        <v>0</v>
      </c>
      <c r="GX489" s="168">
        <f t="shared" si="530"/>
        <v>0</v>
      </c>
      <c r="GY489" s="168"/>
      <c r="GZ489" s="168"/>
      <c r="HA489" s="111"/>
      <c r="HB489" s="111"/>
      <c r="HC489" s="165"/>
      <c r="HD489" s="109">
        <f t="shared" si="573"/>
        <v>0</v>
      </c>
      <c r="HE489" s="109">
        <f t="shared" si="531"/>
        <v>0</v>
      </c>
      <c r="HF489" s="109"/>
      <c r="HG489" s="109"/>
      <c r="HH489" s="111"/>
      <c r="HI489" s="111"/>
      <c r="HJ489" s="165"/>
      <c r="HK489" s="109">
        <f t="shared" si="574"/>
        <v>0</v>
      </c>
      <c r="HL489" s="109">
        <f t="shared" si="532"/>
        <v>0</v>
      </c>
      <c r="HM489" s="109"/>
      <c r="HN489" s="109"/>
      <c r="HO489" s="111"/>
      <c r="HP489" s="111"/>
      <c r="HQ489" s="165"/>
      <c r="HR489" s="109">
        <f t="shared" si="575"/>
        <v>0</v>
      </c>
      <c r="HS489" s="109">
        <f t="shared" si="533"/>
        <v>0</v>
      </c>
      <c r="HT489" s="109"/>
      <c r="HU489" s="109"/>
      <c r="HV489" s="111"/>
      <c r="HW489" s="111"/>
      <c r="HX489" s="105">
        <f t="shared" si="551"/>
        <v>0</v>
      </c>
      <c r="HY489" s="105">
        <f t="shared" si="551"/>
        <v>0</v>
      </c>
      <c r="HZ489" s="105">
        <f t="shared" si="551"/>
        <v>0</v>
      </c>
      <c r="IA489" s="105">
        <f t="shared" si="545"/>
        <v>0</v>
      </c>
      <c r="IB489" s="109">
        <f t="shared" si="546"/>
        <v>0</v>
      </c>
      <c r="IC489" s="109">
        <f t="shared" si="547"/>
        <v>0</v>
      </c>
      <c r="ID489" s="109">
        <f t="shared" si="548"/>
        <v>0</v>
      </c>
      <c r="IE489" s="109">
        <f t="shared" si="549"/>
        <v>0</v>
      </c>
      <c r="IF489" s="197"/>
      <c r="IG489" s="197"/>
      <c r="IH489" s="197"/>
      <c r="II489" s="197"/>
      <c r="IJ489" s="197"/>
      <c r="IK489" s="197"/>
      <c r="IL489" s="197"/>
      <c r="IM489" s="171"/>
      <c r="IN489" s="171"/>
      <c r="IO489" s="171"/>
      <c r="IP489" s="171"/>
    </row>
    <row r="490" spans="1:250" ht="15" customHeight="1" x14ac:dyDescent="0.3">
      <c r="A490" s="110">
        <f t="shared" si="550"/>
        <v>486</v>
      </c>
      <c r="B490" s="111"/>
      <c r="C490" s="111"/>
      <c r="D490" s="111"/>
      <c r="E490" s="111"/>
      <c r="F490" s="111"/>
      <c r="G490" s="111"/>
      <c r="H490" s="111"/>
      <c r="I490" s="194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75"/>
      <c r="AI490" s="111"/>
      <c r="AJ490" s="111"/>
      <c r="AK490" s="111"/>
      <c r="AL490" s="177"/>
      <c r="AM490" s="176"/>
      <c r="AN490" s="177"/>
      <c r="AO490" s="157"/>
      <c r="AP490" s="158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  <c r="BG490" s="111"/>
      <c r="BH490" s="111"/>
      <c r="BI490" s="111"/>
      <c r="BJ490" s="111"/>
      <c r="BK490" s="111"/>
      <c r="BL490" s="175"/>
      <c r="BM490" s="111"/>
      <c r="BN490" s="111"/>
      <c r="BO490" s="111"/>
      <c r="BP490" s="111"/>
      <c r="BQ490" s="111"/>
      <c r="BR490" s="111"/>
      <c r="BS490" s="111"/>
      <c r="BT490" s="111"/>
      <c r="BU490" s="111"/>
      <c r="BV490" s="111"/>
      <c r="BW490" s="111"/>
      <c r="BX490" s="111"/>
      <c r="BY490" s="111"/>
      <c r="BZ490" s="111"/>
      <c r="CA490" s="111"/>
      <c r="CB490" s="111"/>
      <c r="CC490" s="178"/>
      <c r="CD490" s="177">
        <f t="shared" si="534"/>
        <v>0</v>
      </c>
      <c r="CE490" s="148"/>
      <c r="CF490" s="111">
        <f t="shared" si="535"/>
        <v>0</v>
      </c>
      <c r="CG490" s="177"/>
      <c r="CH490" s="204"/>
      <c r="CI490" s="148"/>
      <c r="CJ490" s="165"/>
      <c r="CK490" s="165"/>
      <c r="CL490" s="111"/>
      <c r="CM490" s="111"/>
      <c r="CN490" s="165">
        <f t="shared" si="536"/>
        <v>0</v>
      </c>
      <c r="CO490" s="109">
        <f t="shared" si="537"/>
        <v>0</v>
      </c>
      <c r="CP490" s="109">
        <f t="shared" si="538"/>
        <v>0</v>
      </c>
      <c r="CQ490" s="109"/>
      <c r="CR490" s="109"/>
      <c r="CS490" s="196"/>
      <c r="CT490" s="167"/>
      <c r="CU490" s="165"/>
      <c r="CV490" s="109">
        <f t="shared" si="539"/>
        <v>0</v>
      </c>
      <c r="CW490" s="109">
        <f t="shared" si="540"/>
        <v>0</v>
      </c>
      <c r="CX490" s="109"/>
      <c r="CY490" s="109"/>
      <c r="CZ490" s="111"/>
      <c r="DA490" s="111"/>
      <c r="DB490" s="165"/>
      <c r="DC490" s="109">
        <f t="shared" si="541"/>
        <v>0</v>
      </c>
      <c r="DD490" s="109">
        <f t="shared" si="542"/>
        <v>0</v>
      </c>
      <c r="DE490" s="109"/>
      <c r="DF490" s="109"/>
      <c r="DG490" s="111"/>
      <c r="DH490" s="111"/>
      <c r="DI490" s="165"/>
      <c r="DJ490" s="109">
        <f t="shared" si="543"/>
        <v>0</v>
      </c>
      <c r="DK490" s="109">
        <f t="shared" si="544"/>
        <v>0</v>
      </c>
      <c r="DL490" s="109"/>
      <c r="DM490" s="109"/>
      <c r="DN490" s="111"/>
      <c r="DO490" s="111"/>
      <c r="DP490" s="165"/>
      <c r="DQ490" s="109">
        <f t="shared" si="552"/>
        <v>0</v>
      </c>
      <c r="DR490" s="109">
        <f t="shared" si="553"/>
        <v>0</v>
      </c>
      <c r="DS490" s="109"/>
      <c r="DT490" s="109"/>
      <c r="DU490" s="111"/>
      <c r="DV490" s="111"/>
      <c r="DW490" s="165"/>
      <c r="DX490" s="109">
        <f t="shared" si="554"/>
        <v>0</v>
      </c>
      <c r="DY490" s="109">
        <f t="shared" si="555"/>
        <v>0</v>
      </c>
      <c r="DZ490" s="109"/>
      <c r="EA490" s="109"/>
      <c r="EB490" s="111"/>
      <c r="EC490" s="111"/>
      <c r="ED490" s="165"/>
      <c r="EE490" s="109">
        <f t="shared" si="556"/>
        <v>0</v>
      </c>
      <c r="EF490" s="109">
        <f t="shared" si="557"/>
        <v>0</v>
      </c>
      <c r="EG490" s="109"/>
      <c r="EH490" s="109"/>
      <c r="EI490" s="111"/>
      <c r="EJ490" s="111"/>
      <c r="EK490" s="165"/>
      <c r="EL490" s="109">
        <f t="shared" si="558"/>
        <v>0</v>
      </c>
      <c r="EM490" s="109">
        <f t="shared" si="559"/>
        <v>0</v>
      </c>
      <c r="EN490" s="109"/>
      <c r="EO490" s="109"/>
      <c r="EP490" s="111"/>
      <c r="EQ490" s="111"/>
      <c r="ER490" s="165"/>
      <c r="ES490" s="109">
        <f t="shared" si="560"/>
        <v>0</v>
      </c>
      <c r="ET490" s="109">
        <f t="shared" si="561"/>
        <v>0</v>
      </c>
      <c r="EU490" s="109"/>
      <c r="EV490" s="109"/>
      <c r="EW490" s="111"/>
      <c r="EX490" s="111"/>
      <c r="EY490" s="165"/>
      <c r="EZ490" s="109">
        <f t="shared" si="562"/>
        <v>0</v>
      </c>
      <c r="FA490" s="109">
        <f t="shared" si="563"/>
        <v>0</v>
      </c>
      <c r="FB490" s="109"/>
      <c r="FC490" s="109"/>
      <c r="FD490" s="111"/>
      <c r="FE490" s="111"/>
      <c r="FF490" s="165"/>
      <c r="FG490" s="109">
        <f t="shared" si="564"/>
        <v>0</v>
      </c>
      <c r="FH490" s="109">
        <f t="shared" si="565"/>
        <v>0</v>
      </c>
      <c r="FI490" s="109"/>
      <c r="FJ490" s="109"/>
      <c r="FK490" s="111"/>
      <c r="FL490" s="111"/>
      <c r="FM490" s="165"/>
      <c r="FN490" s="109">
        <f t="shared" si="566"/>
        <v>0</v>
      </c>
      <c r="FO490" s="109">
        <f t="shared" si="567"/>
        <v>0</v>
      </c>
      <c r="FP490" s="109"/>
      <c r="FQ490" s="109"/>
      <c r="FR490" s="111"/>
      <c r="FS490" s="111"/>
      <c r="FT490" s="165"/>
      <c r="FU490" s="109">
        <f t="shared" si="568"/>
        <v>0</v>
      </c>
      <c r="FV490" s="109">
        <f t="shared" si="526"/>
        <v>0</v>
      </c>
      <c r="FW490" s="109"/>
      <c r="FX490" s="109"/>
      <c r="FY490" s="111"/>
      <c r="FZ490" s="111"/>
      <c r="GA490" s="165"/>
      <c r="GB490" s="109">
        <f t="shared" si="569"/>
        <v>0</v>
      </c>
      <c r="GC490" s="109">
        <f t="shared" si="527"/>
        <v>0</v>
      </c>
      <c r="GD490" s="109"/>
      <c r="GE490" s="109"/>
      <c r="GF490" s="111"/>
      <c r="GG490" s="111"/>
      <c r="GH490" s="165"/>
      <c r="GI490" s="109">
        <f t="shared" si="570"/>
        <v>0</v>
      </c>
      <c r="GJ490" s="109">
        <f t="shared" si="528"/>
        <v>0</v>
      </c>
      <c r="GK490" s="109"/>
      <c r="GL490" s="109"/>
      <c r="GM490" s="111"/>
      <c r="GN490" s="111"/>
      <c r="GO490" s="165"/>
      <c r="GP490" s="109">
        <f t="shared" si="571"/>
        <v>0</v>
      </c>
      <c r="GQ490" s="109">
        <f t="shared" si="529"/>
        <v>0</v>
      </c>
      <c r="GR490" s="109"/>
      <c r="GS490" s="109"/>
      <c r="GT490" s="111"/>
      <c r="GU490" s="111"/>
      <c r="GV490" s="165"/>
      <c r="GW490" s="168">
        <f t="shared" si="572"/>
        <v>0</v>
      </c>
      <c r="GX490" s="168">
        <f t="shared" si="530"/>
        <v>0</v>
      </c>
      <c r="GY490" s="168"/>
      <c r="GZ490" s="168"/>
      <c r="HA490" s="111"/>
      <c r="HB490" s="111"/>
      <c r="HC490" s="165"/>
      <c r="HD490" s="109">
        <f t="shared" si="573"/>
        <v>0</v>
      </c>
      <c r="HE490" s="109">
        <f t="shared" si="531"/>
        <v>0</v>
      </c>
      <c r="HF490" s="109"/>
      <c r="HG490" s="109"/>
      <c r="HH490" s="111"/>
      <c r="HI490" s="111"/>
      <c r="HJ490" s="165"/>
      <c r="HK490" s="109">
        <f t="shared" si="574"/>
        <v>0</v>
      </c>
      <c r="HL490" s="109">
        <f t="shared" si="532"/>
        <v>0</v>
      </c>
      <c r="HM490" s="109"/>
      <c r="HN490" s="109"/>
      <c r="HO490" s="111"/>
      <c r="HP490" s="111"/>
      <c r="HQ490" s="165"/>
      <c r="HR490" s="109">
        <f t="shared" si="575"/>
        <v>0</v>
      </c>
      <c r="HS490" s="109">
        <f t="shared" si="533"/>
        <v>0</v>
      </c>
      <c r="HT490" s="109"/>
      <c r="HU490" s="109"/>
      <c r="HV490" s="111"/>
      <c r="HW490" s="111"/>
      <c r="HX490" s="105">
        <f t="shared" si="551"/>
        <v>0</v>
      </c>
      <c r="HY490" s="105">
        <f t="shared" si="551"/>
        <v>0</v>
      </c>
      <c r="HZ490" s="105">
        <f t="shared" si="551"/>
        <v>0</v>
      </c>
      <c r="IA490" s="105">
        <f t="shared" si="545"/>
        <v>0</v>
      </c>
      <c r="IB490" s="109">
        <f t="shared" si="546"/>
        <v>0</v>
      </c>
      <c r="IC490" s="109">
        <f t="shared" si="547"/>
        <v>0</v>
      </c>
      <c r="ID490" s="109">
        <f t="shared" si="548"/>
        <v>0</v>
      </c>
      <c r="IE490" s="109">
        <f t="shared" si="549"/>
        <v>0</v>
      </c>
      <c r="IF490" s="197"/>
      <c r="IG490" s="197"/>
      <c r="IH490" s="197"/>
      <c r="II490" s="197"/>
      <c r="IJ490" s="197"/>
      <c r="IK490" s="197"/>
      <c r="IL490" s="197"/>
      <c r="IM490" s="171"/>
      <c r="IN490" s="171"/>
      <c r="IO490" s="171"/>
      <c r="IP490" s="171"/>
    </row>
    <row r="491" spans="1:250" ht="15" customHeight="1" x14ac:dyDescent="0.3">
      <c r="A491" s="110">
        <f t="shared" si="550"/>
        <v>487</v>
      </c>
      <c r="B491" s="111"/>
      <c r="C491" s="111"/>
      <c r="D491" s="111"/>
      <c r="E491" s="111"/>
      <c r="F491" s="111"/>
      <c r="G491" s="111"/>
      <c r="H491" s="111"/>
      <c r="I491" s="194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75"/>
      <c r="AI491" s="111"/>
      <c r="AJ491" s="111"/>
      <c r="AK491" s="111"/>
      <c r="AL491" s="177"/>
      <c r="AM491" s="176"/>
      <c r="AN491" s="177"/>
      <c r="AO491" s="157"/>
      <c r="AP491" s="158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  <c r="BG491" s="111"/>
      <c r="BH491" s="111"/>
      <c r="BI491" s="111"/>
      <c r="BJ491" s="111"/>
      <c r="BK491" s="111"/>
      <c r="BL491" s="175"/>
      <c r="BM491" s="111"/>
      <c r="BN491" s="111"/>
      <c r="BO491" s="111"/>
      <c r="BP491" s="111"/>
      <c r="BQ491" s="111"/>
      <c r="BR491" s="111"/>
      <c r="BS491" s="111"/>
      <c r="BT491" s="111"/>
      <c r="BU491" s="111"/>
      <c r="BV491" s="111"/>
      <c r="BW491" s="111"/>
      <c r="BX491" s="111"/>
      <c r="BY491" s="111"/>
      <c r="BZ491" s="111"/>
      <c r="CA491" s="111"/>
      <c r="CB491" s="111"/>
      <c r="CC491" s="178"/>
      <c r="CD491" s="177">
        <f t="shared" si="534"/>
        <v>0</v>
      </c>
      <c r="CE491" s="148"/>
      <c r="CF491" s="111">
        <f t="shared" si="535"/>
        <v>0</v>
      </c>
      <c r="CG491" s="177"/>
      <c r="CH491" s="204"/>
      <c r="CI491" s="148"/>
      <c r="CJ491" s="165"/>
      <c r="CK491" s="165"/>
      <c r="CL491" s="111"/>
      <c r="CM491" s="111"/>
      <c r="CN491" s="165">
        <f t="shared" si="536"/>
        <v>0</v>
      </c>
      <c r="CO491" s="109">
        <f t="shared" si="537"/>
        <v>0</v>
      </c>
      <c r="CP491" s="109">
        <f t="shared" si="538"/>
        <v>0</v>
      </c>
      <c r="CQ491" s="109"/>
      <c r="CR491" s="109"/>
      <c r="CS491" s="196"/>
      <c r="CT491" s="167"/>
      <c r="CU491" s="165"/>
      <c r="CV491" s="109">
        <f t="shared" si="539"/>
        <v>0</v>
      </c>
      <c r="CW491" s="109">
        <f t="shared" si="540"/>
        <v>0</v>
      </c>
      <c r="CX491" s="109"/>
      <c r="CY491" s="109"/>
      <c r="CZ491" s="111"/>
      <c r="DA491" s="111"/>
      <c r="DB491" s="165"/>
      <c r="DC491" s="109">
        <f t="shared" si="541"/>
        <v>0</v>
      </c>
      <c r="DD491" s="109">
        <f t="shared" si="542"/>
        <v>0</v>
      </c>
      <c r="DE491" s="109"/>
      <c r="DF491" s="109"/>
      <c r="DG491" s="111"/>
      <c r="DH491" s="111"/>
      <c r="DI491" s="165"/>
      <c r="DJ491" s="109">
        <f t="shared" si="543"/>
        <v>0</v>
      </c>
      <c r="DK491" s="109">
        <f t="shared" si="544"/>
        <v>0</v>
      </c>
      <c r="DL491" s="109"/>
      <c r="DM491" s="109"/>
      <c r="DN491" s="111"/>
      <c r="DO491" s="111"/>
      <c r="DP491" s="165"/>
      <c r="DQ491" s="109">
        <f t="shared" si="552"/>
        <v>0</v>
      </c>
      <c r="DR491" s="109">
        <f t="shared" si="553"/>
        <v>0</v>
      </c>
      <c r="DS491" s="109"/>
      <c r="DT491" s="109"/>
      <c r="DU491" s="111"/>
      <c r="DV491" s="111"/>
      <c r="DW491" s="165"/>
      <c r="DX491" s="109">
        <f t="shared" si="554"/>
        <v>0</v>
      </c>
      <c r="DY491" s="109">
        <f t="shared" si="555"/>
        <v>0</v>
      </c>
      <c r="DZ491" s="109"/>
      <c r="EA491" s="109"/>
      <c r="EB491" s="111"/>
      <c r="EC491" s="111"/>
      <c r="ED491" s="165"/>
      <c r="EE491" s="109">
        <f t="shared" si="556"/>
        <v>0</v>
      </c>
      <c r="EF491" s="109">
        <f t="shared" si="557"/>
        <v>0</v>
      </c>
      <c r="EG491" s="109"/>
      <c r="EH491" s="109"/>
      <c r="EI491" s="111"/>
      <c r="EJ491" s="111"/>
      <c r="EK491" s="165"/>
      <c r="EL491" s="109">
        <f t="shared" si="558"/>
        <v>0</v>
      </c>
      <c r="EM491" s="109">
        <f t="shared" si="559"/>
        <v>0</v>
      </c>
      <c r="EN491" s="109"/>
      <c r="EO491" s="109"/>
      <c r="EP491" s="111"/>
      <c r="EQ491" s="111"/>
      <c r="ER491" s="165"/>
      <c r="ES491" s="109">
        <f t="shared" si="560"/>
        <v>0</v>
      </c>
      <c r="ET491" s="109">
        <f t="shared" si="561"/>
        <v>0</v>
      </c>
      <c r="EU491" s="109"/>
      <c r="EV491" s="109"/>
      <c r="EW491" s="111"/>
      <c r="EX491" s="111"/>
      <c r="EY491" s="165"/>
      <c r="EZ491" s="109">
        <f t="shared" si="562"/>
        <v>0</v>
      </c>
      <c r="FA491" s="109">
        <f t="shared" si="563"/>
        <v>0</v>
      </c>
      <c r="FB491" s="109"/>
      <c r="FC491" s="109"/>
      <c r="FD491" s="111"/>
      <c r="FE491" s="111"/>
      <c r="FF491" s="165"/>
      <c r="FG491" s="109">
        <f t="shared" si="564"/>
        <v>0</v>
      </c>
      <c r="FH491" s="109">
        <f t="shared" si="565"/>
        <v>0</v>
      </c>
      <c r="FI491" s="109"/>
      <c r="FJ491" s="109"/>
      <c r="FK491" s="111"/>
      <c r="FL491" s="111"/>
      <c r="FM491" s="165"/>
      <c r="FN491" s="109">
        <f t="shared" si="566"/>
        <v>0</v>
      </c>
      <c r="FO491" s="109">
        <f t="shared" si="567"/>
        <v>0</v>
      </c>
      <c r="FP491" s="109"/>
      <c r="FQ491" s="109"/>
      <c r="FR491" s="111"/>
      <c r="FS491" s="111"/>
      <c r="FT491" s="165"/>
      <c r="FU491" s="109">
        <f t="shared" si="568"/>
        <v>0</v>
      </c>
      <c r="FV491" s="109">
        <f t="shared" si="526"/>
        <v>0</v>
      </c>
      <c r="FW491" s="109"/>
      <c r="FX491" s="109"/>
      <c r="FY491" s="111"/>
      <c r="FZ491" s="111"/>
      <c r="GA491" s="165"/>
      <c r="GB491" s="109">
        <f t="shared" si="569"/>
        <v>0</v>
      </c>
      <c r="GC491" s="109">
        <f t="shared" si="527"/>
        <v>0</v>
      </c>
      <c r="GD491" s="109"/>
      <c r="GE491" s="109"/>
      <c r="GF491" s="111"/>
      <c r="GG491" s="111"/>
      <c r="GH491" s="165"/>
      <c r="GI491" s="109">
        <f t="shared" si="570"/>
        <v>0</v>
      </c>
      <c r="GJ491" s="109">
        <f t="shared" si="528"/>
        <v>0</v>
      </c>
      <c r="GK491" s="109"/>
      <c r="GL491" s="109"/>
      <c r="GM491" s="111"/>
      <c r="GN491" s="111"/>
      <c r="GO491" s="165"/>
      <c r="GP491" s="109">
        <f t="shared" si="571"/>
        <v>0</v>
      </c>
      <c r="GQ491" s="109">
        <f t="shared" si="529"/>
        <v>0</v>
      </c>
      <c r="GR491" s="109"/>
      <c r="GS491" s="109"/>
      <c r="GT491" s="111"/>
      <c r="GU491" s="111"/>
      <c r="GV491" s="165"/>
      <c r="GW491" s="168">
        <f t="shared" si="572"/>
        <v>0</v>
      </c>
      <c r="GX491" s="168">
        <f t="shared" si="530"/>
        <v>0</v>
      </c>
      <c r="GY491" s="168"/>
      <c r="GZ491" s="168"/>
      <c r="HA491" s="111"/>
      <c r="HB491" s="111"/>
      <c r="HC491" s="165"/>
      <c r="HD491" s="109">
        <f t="shared" si="573"/>
        <v>0</v>
      </c>
      <c r="HE491" s="109">
        <f t="shared" si="531"/>
        <v>0</v>
      </c>
      <c r="HF491" s="109"/>
      <c r="HG491" s="109"/>
      <c r="HH491" s="111"/>
      <c r="HI491" s="111"/>
      <c r="HJ491" s="165"/>
      <c r="HK491" s="109">
        <f t="shared" si="574"/>
        <v>0</v>
      </c>
      <c r="HL491" s="109">
        <f t="shared" si="532"/>
        <v>0</v>
      </c>
      <c r="HM491" s="109"/>
      <c r="HN491" s="109"/>
      <c r="HO491" s="111"/>
      <c r="HP491" s="111"/>
      <c r="HQ491" s="165"/>
      <c r="HR491" s="109">
        <f t="shared" si="575"/>
        <v>0</v>
      </c>
      <c r="HS491" s="109">
        <f t="shared" si="533"/>
        <v>0</v>
      </c>
      <c r="HT491" s="109"/>
      <c r="HU491" s="109"/>
      <c r="HV491" s="111"/>
      <c r="HW491" s="111"/>
      <c r="HX491" s="105">
        <f t="shared" si="551"/>
        <v>0</v>
      </c>
      <c r="HY491" s="105">
        <f t="shared" si="551"/>
        <v>0</v>
      </c>
      <c r="HZ491" s="105">
        <f t="shared" si="551"/>
        <v>0</v>
      </c>
      <c r="IA491" s="105">
        <f t="shared" si="545"/>
        <v>0</v>
      </c>
      <c r="IB491" s="109">
        <f t="shared" si="546"/>
        <v>0</v>
      </c>
      <c r="IC491" s="109">
        <f t="shared" si="547"/>
        <v>0</v>
      </c>
      <c r="ID491" s="109">
        <f t="shared" si="548"/>
        <v>0</v>
      </c>
      <c r="IE491" s="109">
        <f t="shared" si="549"/>
        <v>0</v>
      </c>
      <c r="IF491" s="197"/>
      <c r="IG491" s="197"/>
      <c r="IH491" s="197"/>
      <c r="II491" s="197"/>
      <c r="IJ491" s="197"/>
      <c r="IK491" s="197"/>
      <c r="IL491" s="197"/>
      <c r="IM491" s="171"/>
      <c r="IN491" s="171"/>
      <c r="IO491" s="171"/>
      <c r="IP491" s="171"/>
    </row>
    <row r="492" spans="1:250" ht="15" customHeight="1" x14ac:dyDescent="0.3">
      <c r="A492" s="110">
        <f t="shared" si="550"/>
        <v>488</v>
      </c>
      <c r="B492" s="111"/>
      <c r="C492" s="111"/>
      <c r="D492" s="111"/>
      <c r="E492" s="111"/>
      <c r="F492" s="111"/>
      <c r="G492" s="111"/>
      <c r="H492" s="111"/>
      <c r="I492" s="194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75"/>
      <c r="AI492" s="111"/>
      <c r="AJ492" s="111"/>
      <c r="AK492" s="111"/>
      <c r="AL492" s="177"/>
      <c r="AM492" s="176"/>
      <c r="AN492" s="177"/>
      <c r="AO492" s="157"/>
      <c r="AP492" s="158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  <c r="BG492" s="111"/>
      <c r="BH492" s="111"/>
      <c r="BI492" s="111"/>
      <c r="BJ492" s="111"/>
      <c r="BK492" s="111"/>
      <c r="BL492" s="175"/>
      <c r="BM492" s="111"/>
      <c r="BN492" s="111"/>
      <c r="BO492" s="111"/>
      <c r="BP492" s="111"/>
      <c r="BQ492" s="111"/>
      <c r="BR492" s="111"/>
      <c r="BS492" s="111"/>
      <c r="BT492" s="111"/>
      <c r="BU492" s="111"/>
      <c r="BV492" s="111"/>
      <c r="BW492" s="111"/>
      <c r="BX492" s="111"/>
      <c r="BY492" s="111"/>
      <c r="BZ492" s="111"/>
      <c r="CA492" s="111"/>
      <c r="CB492" s="111"/>
      <c r="CC492" s="178"/>
      <c r="CD492" s="177">
        <f t="shared" si="534"/>
        <v>0</v>
      </c>
      <c r="CE492" s="148"/>
      <c r="CF492" s="111">
        <f t="shared" si="535"/>
        <v>0</v>
      </c>
      <c r="CG492" s="177"/>
      <c r="CH492" s="204"/>
      <c r="CI492" s="148"/>
      <c r="CJ492" s="165"/>
      <c r="CK492" s="165"/>
      <c r="CL492" s="111"/>
      <c r="CM492" s="111"/>
      <c r="CN492" s="165">
        <f t="shared" si="536"/>
        <v>0</v>
      </c>
      <c r="CO492" s="109">
        <f t="shared" si="537"/>
        <v>0</v>
      </c>
      <c r="CP492" s="109">
        <f t="shared" si="538"/>
        <v>0</v>
      </c>
      <c r="CQ492" s="109"/>
      <c r="CR492" s="109"/>
      <c r="CS492" s="196"/>
      <c r="CT492" s="167"/>
      <c r="CU492" s="165"/>
      <c r="CV492" s="109">
        <f t="shared" si="539"/>
        <v>0</v>
      </c>
      <c r="CW492" s="109">
        <f t="shared" si="540"/>
        <v>0</v>
      </c>
      <c r="CX492" s="109"/>
      <c r="CY492" s="109"/>
      <c r="CZ492" s="111"/>
      <c r="DA492" s="111"/>
      <c r="DB492" s="165"/>
      <c r="DC492" s="109">
        <f t="shared" si="541"/>
        <v>0</v>
      </c>
      <c r="DD492" s="109">
        <f t="shared" si="542"/>
        <v>0</v>
      </c>
      <c r="DE492" s="109"/>
      <c r="DF492" s="109"/>
      <c r="DG492" s="111"/>
      <c r="DH492" s="111"/>
      <c r="DI492" s="165"/>
      <c r="DJ492" s="109">
        <f t="shared" si="543"/>
        <v>0</v>
      </c>
      <c r="DK492" s="109">
        <f t="shared" si="544"/>
        <v>0</v>
      </c>
      <c r="DL492" s="109"/>
      <c r="DM492" s="109"/>
      <c r="DN492" s="111"/>
      <c r="DO492" s="111"/>
      <c r="DP492" s="165"/>
      <c r="DQ492" s="109">
        <f t="shared" si="552"/>
        <v>0</v>
      </c>
      <c r="DR492" s="109">
        <f t="shared" si="553"/>
        <v>0</v>
      </c>
      <c r="DS492" s="109"/>
      <c r="DT492" s="109"/>
      <c r="DU492" s="111"/>
      <c r="DV492" s="111"/>
      <c r="DW492" s="165"/>
      <c r="DX492" s="109">
        <f t="shared" si="554"/>
        <v>0</v>
      </c>
      <c r="DY492" s="109">
        <f t="shared" si="555"/>
        <v>0</v>
      </c>
      <c r="DZ492" s="109"/>
      <c r="EA492" s="109"/>
      <c r="EB492" s="111"/>
      <c r="EC492" s="111"/>
      <c r="ED492" s="165"/>
      <c r="EE492" s="109">
        <f t="shared" si="556"/>
        <v>0</v>
      </c>
      <c r="EF492" s="109">
        <f t="shared" si="557"/>
        <v>0</v>
      </c>
      <c r="EG492" s="109"/>
      <c r="EH492" s="109"/>
      <c r="EI492" s="111"/>
      <c r="EJ492" s="111"/>
      <c r="EK492" s="165"/>
      <c r="EL492" s="109">
        <f t="shared" si="558"/>
        <v>0</v>
      </c>
      <c r="EM492" s="109">
        <f t="shared" si="559"/>
        <v>0</v>
      </c>
      <c r="EN492" s="109"/>
      <c r="EO492" s="109"/>
      <c r="EP492" s="111"/>
      <c r="EQ492" s="111"/>
      <c r="ER492" s="165"/>
      <c r="ES492" s="109">
        <f t="shared" si="560"/>
        <v>0</v>
      </c>
      <c r="ET492" s="109">
        <f t="shared" si="561"/>
        <v>0</v>
      </c>
      <c r="EU492" s="109"/>
      <c r="EV492" s="109"/>
      <c r="EW492" s="111"/>
      <c r="EX492" s="111"/>
      <c r="EY492" s="165"/>
      <c r="EZ492" s="109">
        <f t="shared" si="562"/>
        <v>0</v>
      </c>
      <c r="FA492" s="109">
        <f t="shared" si="563"/>
        <v>0</v>
      </c>
      <c r="FB492" s="109"/>
      <c r="FC492" s="109"/>
      <c r="FD492" s="111"/>
      <c r="FE492" s="111"/>
      <c r="FF492" s="165"/>
      <c r="FG492" s="109">
        <f t="shared" si="564"/>
        <v>0</v>
      </c>
      <c r="FH492" s="109">
        <f t="shared" si="565"/>
        <v>0</v>
      </c>
      <c r="FI492" s="109"/>
      <c r="FJ492" s="109"/>
      <c r="FK492" s="111"/>
      <c r="FL492" s="111"/>
      <c r="FM492" s="165"/>
      <c r="FN492" s="109">
        <f t="shared" si="566"/>
        <v>0</v>
      </c>
      <c r="FO492" s="109">
        <f t="shared" si="567"/>
        <v>0</v>
      </c>
      <c r="FP492" s="109"/>
      <c r="FQ492" s="109"/>
      <c r="FR492" s="111"/>
      <c r="FS492" s="111"/>
      <c r="FT492" s="165"/>
      <c r="FU492" s="109">
        <f t="shared" si="568"/>
        <v>0</v>
      </c>
      <c r="FV492" s="109">
        <f t="shared" si="526"/>
        <v>0</v>
      </c>
      <c r="FW492" s="109"/>
      <c r="FX492" s="109"/>
      <c r="FY492" s="111"/>
      <c r="FZ492" s="111"/>
      <c r="GA492" s="165"/>
      <c r="GB492" s="109">
        <f t="shared" si="569"/>
        <v>0</v>
      </c>
      <c r="GC492" s="109">
        <f t="shared" si="527"/>
        <v>0</v>
      </c>
      <c r="GD492" s="109"/>
      <c r="GE492" s="109"/>
      <c r="GF492" s="111"/>
      <c r="GG492" s="111"/>
      <c r="GH492" s="165"/>
      <c r="GI492" s="109">
        <f t="shared" si="570"/>
        <v>0</v>
      </c>
      <c r="GJ492" s="109">
        <f t="shared" si="528"/>
        <v>0</v>
      </c>
      <c r="GK492" s="109"/>
      <c r="GL492" s="109"/>
      <c r="GM492" s="111"/>
      <c r="GN492" s="111"/>
      <c r="GO492" s="165"/>
      <c r="GP492" s="109">
        <f t="shared" si="571"/>
        <v>0</v>
      </c>
      <c r="GQ492" s="109">
        <f t="shared" si="529"/>
        <v>0</v>
      </c>
      <c r="GR492" s="109"/>
      <c r="GS492" s="109"/>
      <c r="GT492" s="111"/>
      <c r="GU492" s="111"/>
      <c r="GV492" s="165"/>
      <c r="GW492" s="168">
        <f t="shared" si="572"/>
        <v>0</v>
      </c>
      <c r="GX492" s="168">
        <f t="shared" si="530"/>
        <v>0</v>
      </c>
      <c r="GY492" s="168"/>
      <c r="GZ492" s="168"/>
      <c r="HA492" s="111"/>
      <c r="HB492" s="111"/>
      <c r="HC492" s="165"/>
      <c r="HD492" s="109">
        <f t="shared" si="573"/>
        <v>0</v>
      </c>
      <c r="HE492" s="109">
        <f t="shared" si="531"/>
        <v>0</v>
      </c>
      <c r="HF492" s="109"/>
      <c r="HG492" s="109"/>
      <c r="HH492" s="111"/>
      <c r="HI492" s="111"/>
      <c r="HJ492" s="165"/>
      <c r="HK492" s="109">
        <f t="shared" si="574"/>
        <v>0</v>
      </c>
      <c r="HL492" s="109">
        <f t="shared" si="532"/>
        <v>0</v>
      </c>
      <c r="HM492" s="109"/>
      <c r="HN492" s="109"/>
      <c r="HO492" s="111"/>
      <c r="HP492" s="111"/>
      <c r="HQ492" s="165"/>
      <c r="HR492" s="109">
        <f t="shared" si="575"/>
        <v>0</v>
      </c>
      <c r="HS492" s="109">
        <f t="shared" si="533"/>
        <v>0</v>
      </c>
      <c r="HT492" s="109"/>
      <c r="HU492" s="109"/>
      <c r="HV492" s="111"/>
      <c r="HW492" s="111"/>
      <c r="HX492" s="105">
        <f t="shared" si="551"/>
        <v>0</v>
      </c>
      <c r="HY492" s="105">
        <f t="shared" si="551"/>
        <v>0</v>
      </c>
      <c r="HZ492" s="105">
        <f t="shared" si="551"/>
        <v>0</v>
      </c>
      <c r="IA492" s="105">
        <f t="shared" si="545"/>
        <v>0</v>
      </c>
      <c r="IB492" s="109">
        <f t="shared" si="546"/>
        <v>0</v>
      </c>
      <c r="IC492" s="109">
        <f t="shared" si="547"/>
        <v>0</v>
      </c>
      <c r="ID492" s="109">
        <f t="shared" si="548"/>
        <v>0</v>
      </c>
      <c r="IE492" s="109">
        <f t="shared" si="549"/>
        <v>0</v>
      </c>
      <c r="IF492" s="197"/>
      <c r="IG492" s="197"/>
      <c r="IH492" s="197"/>
      <c r="II492" s="197"/>
      <c r="IJ492" s="197"/>
      <c r="IK492" s="197"/>
      <c r="IL492" s="197"/>
      <c r="IM492" s="171"/>
      <c r="IN492" s="171"/>
      <c r="IO492" s="171"/>
      <c r="IP492" s="171"/>
    </row>
    <row r="493" spans="1:250" ht="15" customHeight="1" x14ac:dyDescent="0.3">
      <c r="A493" s="110">
        <f t="shared" si="550"/>
        <v>489</v>
      </c>
      <c r="B493" s="111"/>
      <c r="C493" s="111"/>
      <c r="D493" s="111"/>
      <c r="E493" s="111"/>
      <c r="F493" s="111"/>
      <c r="G493" s="111"/>
      <c r="H493" s="111"/>
      <c r="I493" s="194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75"/>
      <c r="AI493" s="111"/>
      <c r="AJ493" s="111"/>
      <c r="AK493" s="111"/>
      <c r="AL493" s="177"/>
      <c r="AM493" s="176"/>
      <c r="AN493" s="177"/>
      <c r="AO493" s="157"/>
      <c r="AP493" s="158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  <c r="BG493" s="111"/>
      <c r="BH493" s="111"/>
      <c r="BI493" s="111"/>
      <c r="BJ493" s="111"/>
      <c r="BK493" s="111"/>
      <c r="BL493" s="175"/>
      <c r="BM493" s="111"/>
      <c r="BN493" s="111"/>
      <c r="BO493" s="111"/>
      <c r="BP493" s="111"/>
      <c r="BQ493" s="111"/>
      <c r="BR493" s="111"/>
      <c r="BS493" s="111"/>
      <c r="BT493" s="111"/>
      <c r="BU493" s="111"/>
      <c r="BV493" s="111"/>
      <c r="BW493" s="111"/>
      <c r="BX493" s="111"/>
      <c r="BY493" s="111"/>
      <c r="BZ493" s="111"/>
      <c r="CA493" s="111"/>
      <c r="CB493" s="111"/>
      <c r="CC493" s="178"/>
      <c r="CD493" s="177">
        <f t="shared" si="534"/>
        <v>0</v>
      </c>
      <c r="CE493" s="148"/>
      <c r="CF493" s="111">
        <f t="shared" si="535"/>
        <v>0</v>
      </c>
      <c r="CG493" s="177"/>
      <c r="CH493" s="204"/>
      <c r="CI493" s="148"/>
      <c r="CJ493" s="165"/>
      <c r="CK493" s="165"/>
      <c r="CL493" s="111"/>
      <c r="CM493" s="111"/>
      <c r="CN493" s="165">
        <f t="shared" si="536"/>
        <v>0</v>
      </c>
      <c r="CO493" s="109">
        <f t="shared" si="537"/>
        <v>0</v>
      </c>
      <c r="CP493" s="109">
        <f t="shared" si="538"/>
        <v>0</v>
      </c>
      <c r="CQ493" s="109"/>
      <c r="CR493" s="109"/>
      <c r="CS493" s="196"/>
      <c r="CT493" s="167"/>
      <c r="CU493" s="165"/>
      <c r="CV493" s="109">
        <f t="shared" si="539"/>
        <v>0</v>
      </c>
      <c r="CW493" s="109">
        <f t="shared" si="540"/>
        <v>0</v>
      </c>
      <c r="CX493" s="109"/>
      <c r="CY493" s="109"/>
      <c r="CZ493" s="111"/>
      <c r="DA493" s="111"/>
      <c r="DB493" s="165"/>
      <c r="DC493" s="109">
        <f t="shared" si="541"/>
        <v>0</v>
      </c>
      <c r="DD493" s="109">
        <f t="shared" si="542"/>
        <v>0</v>
      </c>
      <c r="DE493" s="109"/>
      <c r="DF493" s="109"/>
      <c r="DG493" s="111"/>
      <c r="DH493" s="111"/>
      <c r="DI493" s="165"/>
      <c r="DJ493" s="109">
        <f t="shared" si="543"/>
        <v>0</v>
      </c>
      <c r="DK493" s="109">
        <f t="shared" si="544"/>
        <v>0</v>
      </c>
      <c r="DL493" s="109"/>
      <c r="DM493" s="109"/>
      <c r="DN493" s="111"/>
      <c r="DO493" s="111"/>
      <c r="DP493" s="165"/>
      <c r="DQ493" s="109">
        <f t="shared" si="552"/>
        <v>0</v>
      </c>
      <c r="DR493" s="109">
        <f t="shared" si="553"/>
        <v>0</v>
      </c>
      <c r="DS493" s="109"/>
      <c r="DT493" s="109"/>
      <c r="DU493" s="111"/>
      <c r="DV493" s="111"/>
      <c r="DW493" s="165"/>
      <c r="DX493" s="109">
        <f t="shared" si="554"/>
        <v>0</v>
      </c>
      <c r="DY493" s="109">
        <f t="shared" si="555"/>
        <v>0</v>
      </c>
      <c r="DZ493" s="109"/>
      <c r="EA493" s="109"/>
      <c r="EB493" s="111"/>
      <c r="EC493" s="111"/>
      <c r="ED493" s="165"/>
      <c r="EE493" s="109">
        <f t="shared" si="556"/>
        <v>0</v>
      </c>
      <c r="EF493" s="109">
        <f t="shared" si="557"/>
        <v>0</v>
      </c>
      <c r="EG493" s="109"/>
      <c r="EH493" s="109"/>
      <c r="EI493" s="111"/>
      <c r="EJ493" s="111"/>
      <c r="EK493" s="165"/>
      <c r="EL493" s="109">
        <f t="shared" si="558"/>
        <v>0</v>
      </c>
      <c r="EM493" s="109">
        <f t="shared" si="559"/>
        <v>0</v>
      </c>
      <c r="EN493" s="109"/>
      <c r="EO493" s="109"/>
      <c r="EP493" s="111"/>
      <c r="EQ493" s="111"/>
      <c r="ER493" s="165"/>
      <c r="ES493" s="109">
        <f t="shared" si="560"/>
        <v>0</v>
      </c>
      <c r="ET493" s="109">
        <f t="shared" si="561"/>
        <v>0</v>
      </c>
      <c r="EU493" s="109"/>
      <c r="EV493" s="109"/>
      <c r="EW493" s="111"/>
      <c r="EX493" s="111"/>
      <c r="EY493" s="165"/>
      <c r="EZ493" s="109">
        <f t="shared" si="562"/>
        <v>0</v>
      </c>
      <c r="FA493" s="109">
        <f t="shared" si="563"/>
        <v>0</v>
      </c>
      <c r="FB493" s="109"/>
      <c r="FC493" s="109"/>
      <c r="FD493" s="111"/>
      <c r="FE493" s="111"/>
      <c r="FF493" s="165"/>
      <c r="FG493" s="109">
        <f t="shared" si="564"/>
        <v>0</v>
      </c>
      <c r="FH493" s="109">
        <f t="shared" si="565"/>
        <v>0</v>
      </c>
      <c r="FI493" s="109"/>
      <c r="FJ493" s="109"/>
      <c r="FK493" s="111"/>
      <c r="FL493" s="111"/>
      <c r="FM493" s="165"/>
      <c r="FN493" s="109">
        <f t="shared" si="566"/>
        <v>0</v>
      </c>
      <c r="FO493" s="109">
        <f t="shared" si="567"/>
        <v>0</v>
      </c>
      <c r="FP493" s="109"/>
      <c r="FQ493" s="109"/>
      <c r="FR493" s="111"/>
      <c r="FS493" s="111"/>
      <c r="FT493" s="165"/>
      <c r="FU493" s="109">
        <f t="shared" si="568"/>
        <v>0</v>
      </c>
      <c r="FV493" s="109">
        <f t="shared" ref="FV493:FV509" si="576">FW493/(1+AM493)*AM493</f>
        <v>0</v>
      </c>
      <c r="FW493" s="109"/>
      <c r="FX493" s="109"/>
      <c r="FY493" s="111"/>
      <c r="FZ493" s="111"/>
      <c r="GA493" s="165"/>
      <c r="GB493" s="109">
        <f t="shared" si="569"/>
        <v>0</v>
      </c>
      <c r="GC493" s="109">
        <f t="shared" ref="GC493:GC509" si="577">GD493/(1+AM493)*AM493</f>
        <v>0</v>
      </c>
      <c r="GD493" s="109"/>
      <c r="GE493" s="109"/>
      <c r="GF493" s="111"/>
      <c r="GG493" s="111"/>
      <c r="GH493" s="165"/>
      <c r="GI493" s="109">
        <f t="shared" si="570"/>
        <v>0</v>
      </c>
      <c r="GJ493" s="109">
        <f t="shared" ref="GJ493:GJ509" si="578">GK493/(1+AM493)*AM493</f>
        <v>0</v>
      </c>
      <c r="GK493" s="109"/>
      <c r="GL493" s="109"/>
      <c r="GM493" s="111"/>
      <c r="GN493" s="111"/>
      <c r="GO493" s="165"/>
      <c r="GP493" s="109">
        <f t="shared" si="571"/>
        <v>0</v>
      </c>
      <c r="GQ493" s="109">
        <f t="shared" ref="GQ493:GQ509" si="579">GR493/(1+AM493)*AM493</f>
        <v>0</v>
      </c>
      <c r="GR493" s="109"/>
      <c r="GS493" s="109"/>
      <c r="GT493" s="111"/>
      <c r="GU493" s="111"/>
      <c r="GV493" s="165"/>
      <c r="GW493" s="168">
        <f t="shared" si="572"/>
        <v>0</v>
      </c>
      <c r="GX493" s="168">
        <f t="shared" ref="GX493:GX509" si="580">GY493/(1+AM493)*AM493</f>
        <v>0</v>
      </c>
      <c r="GY493" s="168"/>
      <c r="GZ493" s="168"/>
      <c r="HA493" s="111"/>
      <c r="HB493" s="111"/>
      <c r="HC493" s="165"/>
      <c r="HD493" s="109">
        <f t="shared" si="573"/>
        <v>0</v>
      </c>
      <c r="HE493" s="109">
        <f t="shared" ref="HE493:HE509" si="581">HF493/(1+AM493)*AM493</f>
        <v>0</v>
      </c>
      <c r="HF493" s="109"/>
      <c r="HG493" s="109"/>
      <c r="HH493" s="111"/>
      <c r="HI493" s="111"/>
      <c r="HJ493" s="165"/>
      <c r="HK493" s="109">
        <f t="shared" si="574"/>
        <v>0</v>
      </c>
      <c r="HL493" s="109">
        <f t="shared" ref="HL493:HL509" si="582">HM493/(1+AM493)*AM493</f>
        <v>0</v>
      </c>
      <c r="HM493" s="109"/>
      <c r="HN493" s="109"/>
      <c r="HO493" s="111"/>
      <c r="HP493" s="111"/>
      <c r="HQ493" s="165"/>
      <c r="HR493" s="109">
        <f t="shared" si="575"/>
        <v>0</v>
      </c>
      <c r="HS493" s="109">
        <f t="shared" ref="HS493:HS509" si="583">HT493/(1+AM493)*AM493</f>
        <v>0</v>
      </c>
      <c r="HT493" s="109"/>
      <c r="HU493" s="109"/>
      <c r="HV493" s="111"/>
      <c r="HW493" s="111"/>
      <c r="HX493" s="105">
        <f t="shared" si="551"/>
        <v>0</v>
      </c>
      <c r="HY493" s="105">
        <f t="shared" si="551"/>
        <v>0</v>
      </c>
      <c r="HZ493" s="105">
        <f t="shared" si="551"/>
        <v>0</v>
      </c>
      <c r="IA493" s="105">
        <f t="shared" si="545"/>
        <v>0</v>
      </c>
      <c r="IB493" s="109">
        <f t="shared" si="546"/>
        <v>0</v>
      </c>
      <c r="IC493" s="109">
        <f t="shared" si="547"/>
        <v>0</v>
      </c>
      <c r="ID493" s="109">
        <f t="shared" si="548"/>
        <v>0</v>
      </c>
      <c r="IE493" s="109">
        <f t="shared" si="549"/>
        <v>0</v>
      </c>
      <c r="IF493" s="197"/>
      <c r="IG493" s="197"/>
      <c r="IH493" s="197"/>
      <c r="II493" s="197"/>
      <c r="IJ493" s="197"/>
      <c r="IK493" s="197"/>
      <c r="IL493" s="197"/>
      <c r="IM493" s="171"/>
      <c r="IN493" s="171"/>
      <c r="IO493" s="171"/>
      <c r="IP493" s="171"/>
    </row>
    <row r="494" spans="1:250" ht="15" customHeight="1" x14ac:dyDescent="0.3">
      <c r="A494" s="110">
        <f t="shared" si="550"/>
        <v>490</v>
      </c>
      <c r="B494" s="111"/>
      <c r="C494" s="111"/>
      <c r="D494" s="111"/>
      <c r="E494" s="111"/>
      <c r="F494" s="111"/>
      <c r="G494" s="111"/>
      <c r="H494" s="111"/>
      <c r="I494" s="194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75"/>
      <c r="AI494" s="111"/>
      <c r="AJ494" s="111"/>
      <c r="AK494" s="111"/>
      <c r="AL494" s="177"/>
      <c r="AM494" s="176"/>
      <c r="AN494" s="177"/>
      <c r="AO494" s="157"/>
      <c r="AP494" s="158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  <c r="BK494" s="111"/>
      <c r="BL494" s="175"/>
      <c r="BM494" s="111"/>
      <c r="BN494" s="111"/>
      <c r="BO494" s="111"/>
      <c r="BP494" s="111"/>
      <c r="BQ494" s="111"/>
      <c r="BR494" s="111"/>
      <c r="BS494" s="111"/>
      <c r="BT494" s="111"/>
      <c r="BU494" s="111"/>
      <c r="BV494" s="111"/>
      <c r="BW494" s="111"/>
      <c r="BX494" s="111"/>
      <c r="BY494" s="111"/>
      <c r="BZ494" s="111"/>
      <c r="CA494" s="111"/>
      <c r="CB494" s="111"/>
      <c r="CC494" s="178"/>
      <c r="CD494" s="177">
        <f t="shared" si="534"/>
        <v>0</v>
      </c>
      <c r="CE494" s="148"/>
      <c r="CF494" s="111">
        <f t="shared" si="535"/>
        <v>0</v>
      </c>
      <c r="CG494" s="177"/>
      <c r="CH494" s="204"/>
      <c r="CI494" s="148"/>
      <c r="CJ494" s="165"/>
      <c r="CK494" s="165"/>
      <c r="CL494" s="111"/>
      <c r="CM494" s="111"/>
      <c r="CN494" s="165">
        <f t="shared" si="536"/>
        <v>0</v>
      </c>
      <c r="CO494" s="109">
        <f t="shared" si="537"/>
        <v>0</v>
      </c>
      <c r="CP494" s="109">
        <f t="shared" si="538"/>
        <v>0</v>
      </c>
      <c r="CQ494" s="109"/>
      <c r="CR494" s="109"/>
      <c r="CS494" s="196"/>
      <c r="CT494" s="167"/>
      <c r="CU494" s="165"/>
      <c r="CV494" s="109">
        <f t="shared" si="539"/>
        <v>0</v>
      </c>
      <c r="CW494" s="109">
        <f t="shared" si="540"/>
        <v>0</v>
      </c>
      <c r="CX494" s="109"/>
      <c r="CY494" s="109"/>
      <c r="CZ494" s="111"/>
      <c r="DA494" s="111"/>
      <c r="DB494" s="165"/>
      <c r="DC494" s="109">
        <f t="shared" si="541"/>
        <v>0</v>
      </c>
      <c r="DD494" s="109">
        <f t="shared" si="542"/>
        <v>0</v>
      </c>
      <c r="DE494" s="109"/>
      <c r="DF494" s="109"/>
      <c r="DG494" s="111"/>
      <c r="DH494" s="111"/>
      <c r="DI494" s="165"/>
      <c r="DJ494" s="109">
        <f t="shared" si="543"/>
        <v>0</v>
      </c>
      <c r="DK494" s="109">
        <f t="shared" si="544"/>
        <v>0</v>
      </c>
      <c r="DL494" s="109"/>
      <c r="DM494" s="109"/>
      <c r="DN494" s="111"/>
      <c r="DO494" s="111"/>
      <c r="DP494" s="165"/>
      <c r="DQ494" s="109">
        <f t="shared" si="552"/>
        <v>0</v>
      </c>
      <c r="DR494" s="109">
        <f t="shared" si="553"/>
        <v>0</v>
      </c>
      <c r="DS494" s="109"/>
      <c r="DT494" s="109"/>
      <c r="DU494" s="111"/>
      <c r="DV494" s="111"/>
      <c r="DW494" s="165"/>
      <c r="DX494" s="109">
        <f t="shared" si="554"/>
        <v>0</v>
      </c>
      <c r="DY494" s="109">
        <f t="shared" si="555"/>
        <v>0</v>
      </c>
      <c r="DZ494" s="109"/>
      <c r="EA494" s="109"/>
      <c r="EB494" s="111"/>
      <c r="EC494" s="111"/>
      <c r="ED494" s="165"/>
      <c r="EE494" s="109">
        <f t="shared" si="556"/>
        <v>0</v>
      </c>
      <c r="EF494" s="109">
        <f t="shared" si="557"/>
        <v>0</v>
      </c>
      <c r="EG494" s="109"/>
      <c r="EH494" s="109"/>
      <c r="EI494" s="111"/>
      <c r="EJ494" s="111"/>
      <c r="EK494" s="165"/>
      <c r="EL494" s="109">
        <f t="shared" si="558"/>
        <v>0</v>
      </c>
      <c r="EM494" s="109">
        <f t="shared" si="559"/>
        <v>0</v>
      </c>
      <c r="EN494" s="109"/>
      <c r="EO494" s="109"/>
      <c r="EP494" s="111"/>
      <c r="EQ494" s="111"/>
      <c r="ER494" s="165"/>
      <c r="ES494" s="109">
        <f t="shared" si="560"/>
        <v>0</v>
      </c>
      <c r="ET494" s="109">
        <f t="shared" si="561"/>
        <v>0</v>
      </c>
      <c r="EU494" s="109"/>
      <c r="EV494" s="109"/>
      <c r="EW494" s="111"/>
      <c r="EX494" s="111"/>
      <c r="EY494" s="165"/>
      <c r="EZ494" s="109">
        <f t="shared" si="562"/>
        <v>0</v>
      </c>
      <c r="FA494" s="109">
        <f t="shared" si="563"/>
        <v>0</v>
      </c>
      <c r="FB494" s="109"/>
      <c r="FC494" s="109"/>
      <c r="FD494" s="111"/>
      <c r="FE494" s="111"/>
      <c r="FF494" s="165"/>
      <c r="FG494" s="109">
        <f t="shared" si="564"/>
        <v>0</v>
      </c>
      <c r="FH494" s="109">
        <f t="shared" si="565"/>
        <v>0</v>
      </c>
      <c r="FI494" s="109"/>
      <c r="FJ494" s="109"/>
      <c r="FK494" s="111"/>
      <c r="FL494" s="111"/>
      <c r="FM494" s="165"/>
      <c r="FN494" s="109">
        <f t="shared" si="566"/>
        <v>0</v>
      </c>
      <c r="FO494" s="109">
        <f t="shared" si="567"/>
        <v>0</v>
      </c>
      <c r="FP494" s="109"/>
      <c r="FQ494" s="109"/>
      <c r="FR494" s="111"/>
      <c r="FS494" s="111"/>
      <c r="FT494" s="165"/>
      <c r="FU494" s="109">
        <f t="shared" si="568"/>
        <v>0</v>
      </c>
      <c r="FV494" s="109">
        <f t="shared" si="576"/>
        <v>0</v>
      </c>
      <c r="FW494" s="109"/>
      <c r="FX494" s="109"/>
      <c r="FY494" s="111"/>
      <c r="FZ494" s="111"/>
      <c r="GA494" s="165"/>
      <c r="GB494" s="109">
        <f t="shared" si="569"/>
        <v>0</v>
      </c>
      <c r="GC494" s="109">
        <f t="shared" si="577"/>
        <v>0</v>
      </c>
      <c r="GD494" s="109"/>
      <c r="GE494" s="109"/>
      <c r="GF494" s="111"/>
      <c r="GG494" s="111"/>
      <c r="GH494" s="165"/>
      <c r="GI494" s="109">
        <f t="shared" si="570"/>
        <v>0</v>
      </c>
      <c r="GJ494" s="109">
        <f t="shared" si="578"/>
        <v>0</v>
      </c>
      <c r="GK494" s="109"/>
      <c r="GL494" s="109"/>
      <c r="GM494" s="111"/>
      <c r="GN494" s="111"/>
      <c r="GO494" s="165"/>
      <c r="GP494" s="109">
        <f t="shared" si="571"/>
        <v>0</v>
      </c>
      <c r="GQ494" s="109">
        <f t="shared" si="579"/>
        <v>0</v>
      </c>
      <c r="GR494" s="109"/>
      <c r="GS494" s="109"/>
      <c r="GT494" s="111"/>
      <c r="GU494" s="111"/>
      <c r="GV494" s="165"/>
      <c r="GW494" s="168">
        <f t="shared" si="572"/>
        <v>0</v>
      </c>
      <c r="GX494" s="168">
        <f t="shared" si="580"/>
        <v>0</v>
      </c>
      <c r="GY494" s="168"/>
      <c r="GZ494" s="168"/>
      <c r="HA494" s="111"/>
      <c r="HB494" s="111"/>
      <c r="HC494" s="165"/>
      <c r="HD494" s="109">
        <f t="shared" si="573"/>
        <v>0</v>
      </c>
      <c r="HE494" s="109">
        <f t="shared" si="581"/>
        <v>0</v>
      </c>
      <c r="HF494" s="109"/>
      <c r="HG494" s="109"/>
      <c r="HH494" s="111"/>
      <c r="HI494" s="111"/>
      <c r="HJ494" s="165"/>
      <c r="HK494" s="109">
        <f t="shared" si="574"/>
        <v>0</v>
      </c>
      <c r="HL494" s="109">
        <f t="shared" si="582"/>
        <v>0</v>
      </c>
      <c r="HM494" s="109"/>
      <c r="HN494" s="109"/>
      <c r="HO494" s="111"/>
      <c r="HP494" s="111"/>
      <c r="HQ494" s="165"/>
      <c r="HR494" s="109">
        <f t="shared" si="575"/>
        <v>0</v>
      </c>
      <c r="HS494" s="109">
        <f t="shared" si="583"/>
        <v>0</v>
      </c>
      <c r="HT494" s="109"/>
      <c r="HU494" s="109"/>
      <c r="HV494" s="111"/>
      <c r="HW494" s="111"/>
      <c r="HX494" s="105">
        <f t="shared" si="551"/>
        <v>0</v>
      </c>
      <c r="HY494" s="105">
        <f t="shared" si="551"/>
        <v>0</v>
      </c>
      <c r="HZ494" s="105">
        <f t="shared" si="551"/>
        <v>0</v>
      </c>
      <c r="IA494" s="105">
        <f t="shared" si="545"/>
        <v>0</v>
      </c>
      <c r="IB494" s="109">
        <f t="shared" si="546"/>
        <v>0</v>
      </c>
      <c r="IC494" s="109">
        <f t="shared" si="547"/>
        <v>0</v>
      </c>
      <c r="ID494" s="109">
        <f t="shared" si="548"/>
        <v>0</v>
      </c>
      <c r="IE494" s="109">
        <f t="shared" si="549"/>
        <v>0</v>
      </c>
      <c r="IF494" s="197"/>
      <c r="IG494" s="197"/>
      <c r="IH494" s="197"/>
      <c r="II494" s="197"/>
      <c r="IJ494" s="197"/>
      <c r="IK494" s="197"/>
      <c r="IL494" s="197"/>
      <c r="IM494" s="171"/>
      <c r="IN494" s="171"/>
      <c r="IO494" s="171"/>
      <c r="IP494" s="171"/>
    </row>
    <row r="495" spans="1:250" ht="15" customHeight="1" x14ac:dyDescent="0.3">
      <c r="A495" s="110">
        <f t="shared" si="550"/>
        <v>491</v>
      </c>
      <c r="B495" s="111"/>
      <c r="C495" s="111"/>
      <c r="D495" s="111"/>
      <c r="E495" s="111"/>
      <c r="F495" s="111"/>
      <c r="G495" s="111"/>
      <c r="H495" s="111"/>
      <c r="I495" s="194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75"/>
      <c r="AI495" s="111"/>
      <c r="AJ495" s="111"/>
      <c r="AK495" s="111"/>
      <c r="AL495" s="177"/>
      <c r="AM495" s="176"/>
      <c r="AN495" s="177"/>
      <c r="AO495" s="157"/>
      <c r="AP495" s="158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  <c r="BG495" s="111"/>
      <c r="BH495" s="111"/>
      <c r="BI495" s="111"/>
      <c r="BJ495" s="111"/>
      <c r="BK495" s="111"/>
      <c r="BL495" s="175"/>
      <c r="BM495" s="111"/>
      <c r="BN495" s="111"/>
      <c r="BO495" s="111"/>
      <c r="BP495" s="111"/>
      <c r="BQ495" s="111"/>
      <c r="BR495" s="111"/>
      <c r="BS495" s="111"/>
      <c r="BT495" s="111"/>
      <c r="BU495" s="111"/>
      <c r="BV495" s="111"/>
      <c r="BW495" s="111"/>
      <c r="BX495" s="111"/>
      <c r="BY495" s="111"/>
      <c r="BZ495" s="111"/>
      <c r="CA495" s="111"/>
      <c r="CB495" s="111"/>
      <c r="CC495" s="178"/>
      <c r="CD495" s="177">
        <f t="shared" si="534"/>
        <v>0</v>
      </c>
      <c r="CE495" s="148"/>
      <c r="CF495" s="111">
        <f t="shared" si="535"/>
        <v>0</v>
      </c>
      <c r="CG495" s="177"/>
      <c r="CH495" s="204"/>
      <c r="CI495" s="148"/>
      <c r="CJ495" s="165"/>
      <c r="CK495" s="165"/>
      <c r="CL495" s="111"/>
      <c r="CM495" s="111"/>
      <c r="CN495" s="165">
        <f t="shared" si="536"/>
        <v>0</v>
      </c>
      <c r="CO495" s="109">
        <f t="shared" si="537"/>
        <v>0</v>
      </c>
      <c r="CP495" s="109">
        <f t="shared" si="538"/>
        <v>0</v>
      </c>
      <c r="CQ495" s="109"/>
      <c r="CR495" s="109"/>
      <c r="CS495" s="196"/>
      <c r="CT495" s="167"/>
      <c r="CU495" s="165"/>
      <c r="CV495" s="109">
        <f t="shared" si="539"/>
        <v>0</v>
      </c>
      <c r="CW495" s="109">
        <f t="shared" si="540"/>
        <v>0</v>
      </c>
      <c r="CX495" s="109"/>
      <c r="CY495" s="109"/>
      <c r="CZ495" s="111"/>
      <c r="DA495" s="111"/>
      <c r="DB495" s="165"/>
      <c r="DC495" s="109">
        <f t="shared" si="541"/>
        <v>0</v>
      </c>
      <c r="DD495" s="109">
        <f t="shared" si="542"/>
        <v>0</v>
      </c>
      <c r="DE495" s="109"/>
      <c r="DF495" s="109"/>
      <c r="DG495" s="111"/>
      <c r="DH495" s="111"/>
      <c r="DI495" s="165"/>
      <c r="DJ495" s="109">
        <f t="shared" si="543"/>
        <v>0</v>
      </c>
      <c r="DK495" s="109">
        <f t="shared" si="544"/>
        <v>0</v>
      </c>
      <c r="DL495" s="109"/>
      <c r="DM495" s="109"/>
      <c r="DN495" s="111"/>
      <c r="DO495" s="111"/>
      <c r="DP495" s="165"/>
      <c r="DQ495" s="109">
        <f t="shared" si="552"/>
        <v>0</v>
      </c>
      <c r="DR495" s="109">
        <f t="shared" si="553"/>
        <v>0</v>
      </c>
      <c r="DS495" s="109"/>
      <c r="DT495" s="109"/>
      <c r="DU495" s="111"/>
      <c r="DV495" s="111"/>
      <c r="DW495" s="165"/>
      <c r="DX495" s="109">
        <f t="shared" si="554"/>
        <v>0</v>
      </c>
      <c r="DY495" s="109">
        <f t="shared" si="555"/>
        <v>0</v>
      </c>
      <c r="DZ495" s="109"/>
      <c r="EA495" s="109"/>
      <c r="EB495" s="111"/>
      <c r="EC495" s="111"/>
      <c r="ED495" s="165"/>
      <c r="EE495" s="109">
        <f t="shared" si="556"/>
        <v>0</v>
      </c>
      <c r="EF495" s="109">
        <f t="shared" si="557"/>
        <v>0</v>
      </c>
      <c r="EG495" s="109"/>
      <c r="EH495" s="109"/>
      <c r="EI495" s="111"/>
      <c r="EJ495" s="111"/>
      <c r="EK495" s="165"/>
      <c r="EL495" s="109">
        <f t="shared" si="558"/>
        <v>0</v>
      </c>
      <c r="EM495" s="109">
        <f t="shared" si="559"/>
        <v>0</v>
      </c>
      <c r="EN495" s="109"/>
      <c r="EO495" s="109"/>
      <c r="EP495" s="111"/>
      <c r="EQ495" s="111"/>
      <c r="ER495" s="165"/>
      <c r="ES495" s="109">
        <f t="shared" si="560"/>
        <v>0</v>
      </c>
      <c r="ET495" s="109">
        <f t="shared" si="561"/>
        <v>0</v>
      </c>
      <c r="EU495" s="109"/>
      <c r="EV495" s="109"/>
      <c r="EW495" s="111"/>
      <c r="EX495" s="111"/>
      <c r="EY495" s="165"/>
      <c r="EZ495" s="109">
        <f t="shared" si="562"/>
        <v>0</v>
      </c>
      <c r="FA495" s="109">
        <f t="shared" si="563"/>
        <v>0</v>
      </c>
      <c r="FB495" s="109"/>
      <c r="FC495" s="109"/>
      <c r="FD495" s="111"/>
      <c r="FE495" s="111"/>
      <c r="FF495" s="165"/>
      <c r="FG495" s="109">
        <f t="shared" si="564"/>
        <v>0</v>
      </c>
      <c r="FH495" s="109">
        <f t="shared" si="565"/>
        <v>0</v>
      </c>
      <c r="FI495" s="109"/>
      <c r="FJ495" s="109"/>
      <c r="FK495" s="111"/>
      <c r="FL495" s="111"/>
      <c r="FM495" s="165"/>
      <c r="FN495" s="109">
        <f t="shared" si="566"/>
        <v>0</v>
      </c>
      <c r="FO495" s="109">
        <f t="shared" si="567"/>
        <v>0</v>
      </c>
      <c r="FP495" s="109"/>
      <c r="FQ495" s="109"/>
      <c r="FR495" s="111"/>
      <c r="FS495" s="111"/>
      <c r="FT495" s="165"/>
      <c r="FU495" s="109">
        <f t="shared" si="568"/>
        <v>0</v>
      </c>
      <c r="FV495" s="109">
        <f t="shared" si="576"/>
        <v>0</v>
      </c>
      <c r="FW495" s="109"/>
      <c r="FX495" s="109"/>
      <c r="FY495" s="111"/>
      <c r="FZ495" s="111"/>
      <c r="GA495" s="165"/>
      <c r="GB495" s="109">
        <f t="shared" si="569"/>
        <v>0</v>
      </c>
      <c r="GC495" s="109">
        <f t="shared" si="577"/>
        <v>0</v>
      </c>
      <c r="GD495" s="109"/>
      <c r="GE495" s="109"/>
      <c r="GF495" s="111"/>
      <c r="GG495" s="111"/>
      <c r="GH495" s="165"/>
      <c r="GI495" s="109">
        <f t="shared" si="570"/>
        <v>0</v>
      </c>
      <c r="GJ495" s="109">
        <f t="shared" si="578"/>
        <v>0</v>
      </c>
      <c r="GK495" s="109"/>
      <c r="GL495" s="109"/>
      <c r="GM495" s="111"/>
      <c r="GN495" s="111"/>
      <c r="GO495" s="165"/>
      <c r="GP495" s="109">
        <f t="shared" si="571"/>
        <v>0</v>
      </c>
      <c r="GQ495" s="109">
        <f t="shared" si="579"/>
        <v>0</v>
      </c>
      <c r="GR495" s="109"/>
      <c r="GS495" s="109"/>
      <c r="GT495" s="111"/>
      <c r="GU495" s="111"/>
      <c r="GV495" s="165"/>
      <c r="GW495" s="168">
        <f t="shared" si="572"/>
        <v>0</v>
      </c>
      <c r="GX495" s="168">
        <f t="shared" si="580"/>
        <v>0</v>
      </c>
      <c r="GY495" s="168"/>
      <c r="GZ495" s="168"/>
      <c r="HA495" s="111"/>
      <c r="HB495" s="111"/>
      <c r="HC495" s="165"/>
      <c r="HD495" s="109">
        <f t="shared" si="573"/>
        <v>0</v>
      </c>
      <c r="HE495" s="109">
        <f t="shared" si="581"/>
        <v>0</v>
      </c>
      <c r="HF495" s="109"/>
      <c r="HG495" s="109"/>
      <c r="HH495" s="111"/>
      <c r="HI495" s="111"/>
      <c r="HJ495" s="165"/>
      <c r="HK495" s="109">
        <f t="shared" si="574"/>
        <v>0</v>
      </c>
      <c r="HL495" s="109">
        <f t="shared" si="582"/>
        <v>0</v>
      </c>
      <c r="HM495" s="109"/>
      <c r="HN495" s="109"/>
      <c r="HO495" s="111"/>
      <c r="HP495" s="111"/>
      <c r="HQ495" s="165"/>
      <c r="HR495" s="109">
        <f t="shared" si="575"/>
        <v>0</v>
      </c>
      <c r="HS495" s="109">
        <f t="shared" si="583"/>
        <v>0</v>
      </c>
      <c r="HT495" s="109"/>
      <c r="HU495" s="109"/>
      <c r="HV495" s="111"/>
      <c r="HW495" s="111"/>
      <c r="HX495" s="105">
        <f t="shared" si="551"/>
        <v>0</v>
      </c>
      <c r="HY495" s="105">
        <f t="shared" si="551"/>
        <v>0</v>
      </c>
      <c r="HZ495" s="105">
        <f t="shared" si="551"/>
        <v>0</v>
      </c>
      <c r="IA495" s="105">
        <f t="shared" si="545"/>
        <v>0</v>
      </c>
      <c r="IB495" s="109">
        <f t="shared" si="546"/>
        <v>0</v>
      </c>
      <c r="IC495" s="109">
        <f t="shared" si="547"/>
        <v>0</v>
      </c>
      <c r="ID495" s="109">
        <f t="shared" si="548"/>
        <v>0</v>
      </c>
      <c r="IE495" s="109">
        <f t="shared" si="549"/>
        <v>0</v>
      </c>
      <c r="IF495" s="197"/>
      <c r="IG495" s="197"/>
      <c r="IH495" s="197"/>
      <c r="II495" s="197"/>
      <c r="IJ495" s="197"/>
      <c r="IK495" s="197"/>
      <c r="IL495" s="197"/>
      <c r="IM495" s="171"/>
      <c r="IN495" s="171"/>
      <c r="IO495" s="171"/>
      <c r="IP495" s="171"/>
    </row>
    <row r="496" spans="1:250" ht="15" customHeight="1" x14ac:dyDescent="0.3">
      <c r="A496" s="110">
        <f t="shared" si="550"/>
        <v>492</v>
      </c>
      <c r="B496" s="111"/>
      <c r="C496" s="111"/>
      <c r="D496" s="111"/>
      <c r="E496" s="111"/>
      <c r="F496" s="111"/>
      <c r="G496" s="111"/>
      <c r="H496" s="111"/>
      <c r="I496" s="194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75"/>
      <c r="AI496" s="111"/>
      <c r="AJ496" s="111"/>
      <c r="AK496" s="111"/>
      <c r="AL496" s="177"/>
      <c r="AM496" s="176"/>
      <c r="AN496" s="177"/>
      <c r="AO496" s="157"/>
      <c r="AP496" s="158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  <c r="BG496" s="111"/>
      <c r="BH496" s="111"/>
      <c r="BI496" s="111"/>
      <c r="BJ496" s="111"/>
      <c r="BK496" s="111"/>
      <c r="BL496" s="175"/>
      <c r="BM496" s="111"/>
      <c r="BN496" s="111"/>
      <c r="BO496" s="111"/>
      <c r="BP496" s="111"/>
      <c r="BQ496" s="111"/>
      <c r="BR496" s="111"/>
      <c r="BS496" s="111"/>
      <c r="BT496" s="111"/>
      <c r="BU496" s="111"/>
      <c r="BV496" s="111"/>
      <c r="BW496" s="111"/>
      <c r="BX496" s="111"/>
      <c r="BY496" s="111"/>
      <c r="BZ496" s="111"/>
      <c r="CA496" s="111"/>
      <c r="CB496" s="111"/>
      <c r="CC496" s="178"/>
      <c r="CD496" s="177">
        <f t="shared" si="534"/>
        <v>0</v>
      </c>
      <c r="CE496" s="148"/>
      <c r="CF496" s="111">
        <f t="shared" si="535"/>
        <v>0</v>
      </c>
      <c r="CG496" s="177"/>
      <c r="CH496" s="204"/>
      <c r="CI496" s="148"/>
      <c r="CJ496" s="165"/>
      <c r="CK496" s="165"/>
      <c r="CL496" s="111"/>
      <c r="CM496" s="111"/>
      <c r="CN496" s="165">
        <f t="shared" si="536"/>
        <v>0</v>
      </c>
      <c r="CO496" s="109">
        <f t="shared" si="537"/>
        <v>0</v>
      </c>
      <c r="CP496" s="109">
        <f t="shared" si="538"/>
        <v>0</v>
      </c>
      <c r="CQ496" s="109"/>
      <c r="CR496" s="109"/>
      <c r="CS496" s="196"/>
      <c r="CT496" s="167"/>
      <c r="CU496" s="165"/>
      <c r="CV496" s="109">
        <f t="shared" si="539"/>
        <v>0</v>
      </c>
      <c r="CW496" s="109">
        <f t="shared" si="540"/>
        <v>0</v>
      </c>
      <c r="CX496" s="109"/>
      <c r="CY496" s="109"/>
      <c r="CZ496" s="111"/>
      <c r="DA496" s="111"/>
      <c r="DB496" s="165"/>
      <c r="DC496" s="109">
        <f t="shared" si="541"/>
        <v>0</v>
      </c>
      <c r="DD496" s="109">
        <f t="shared" si="542"/>
        <v>0</v>
      </c>
      <c r="DE496" s="109"/>
      <c r="DF496" s="109"/>
      <c r="DG496" s="111"/>
      <c r="DH496" s="111"/>
      <c r="DI496" s="165"/>
      <c r="DJ496" s="109">
        <f t="shared" si="543"/>
        <v>0</v>
      </c>
      <c r="DK496" s="109">
        <f t="shared" si="544"/>
        <v>0</v>
      </c>
      <c r="DL496" s="109"/>
      <c r="DM496" s="109"/>
      <c r="DN496" s="111"/>
      <c r="DO496" s="111"/>
      <c r="DP496" s="165"/>
      <c r="DQ496" s="109">
        <f t="shared" si="552"/>
        <v>0</v>
      </c>
      <c r="DR496" s="109">
        <f t="shared" si="553"/>
        <v>0</v>
      </c>
      <c r="DS496" s="109"/>
      <c r="DT496" s="109"/>
      <c r="DU496" s="111"/>
      <c r="DV496" s="111"/>
      <c r="DW496" s="165"/>
      <c r="DX496" s="109">
        <f t="shared" si="554"/>
        <v>0</v>
      </c>
      <c r="DY496" s="109">
        <f t="shared" si="555"/>
        <v>0</v>
      </c>
      <c r="DZ496" s="109"/>
      <c r="EA496" s="109"/>
      <c r="EB496" s="111"/>
      <c r="EC496" s="111"/>
      <c r="ED496" s="165"/>
      <c r="EE496" s="109">
        <f t="shared" si="556"/>
        <v>0</v>
      </c>
      <c r="EF496" s="109">
        <f t="shared" si="557"/>
        <v>0</v>
      </c>
      <c r="EG496" s="109"/>
      <c r="EH496" s="109"/>
      <c r="EI496" s="111"/>
      <c r="EJ496" s="111"/>
      <c r="EK496" s="165"/>
      <c r="EL496" s="109">
        <f t="shared" si="558"/>
        <v>0</v>
      </c>
      <c r="EM496" s="109">
        <f t="shared" si="559"/>
        <v>0</v>
      </c>
      <c r="EN496" s="109"/>
      <c r="EO496" s="109"/>
      <c r="EP496" s="111"/>
      <c r="EQ496" s="111"/>
      <c r="ER496" s="165"/>
      <c r="ES496" s="109">
        <f t="shared" si="560"/>
        <v>0</v>
      </c>
      <c r="ET496" s="109">
        <f t="shared" si="561"/>
        <v>0</v>
      </c>
      <c r="EU496" s="109"/>
      <c r="EV496" s="109"/>
      <c r="EW496" s="111"/>
      <c r="EX496" s="111"/>
      <c r="EY496" s="165"/>
      <c r="EZ496" s="109">
        <f t="shared" si="562"/>
        <v>0</v>
      </c>
      <c r="FA496" s="109">
        <f t="shared" si="563"/>
        <v>0</v>
      </c>
      <c r="FB496" s="109"/>
      <c r="FC496" s="109"/>
      <c r="FD496" s="111"/>
      <c r="FE496" s="111"/>
      <c r="FF496" s="165"/>
      <c r="FG496" s="109">
        <f t="shared" si="564"/>
        <v>0</v>
      </c>
      <c r="FH496" s="109">
        <f t="shared" si="565"/>
        <v>0</v>
      </c>
      <c r="FI496" s="109"/>
      <c r="FJ496" s="109"/>
      <c r="FK496" s="111"/>
      <c r="FL496" s="111"/>
      <c r="FM496" s="165"/>
      <c r="FN496" s="109">
        <f t="shared" si="566"/>
        <v>0</v>
      </c>
      <c r="FO496" s="109">
        <f t="shared" si="567"/>
        <v>0</v>
      </c>
      <c r="FP496" s="109"/>
      <c r="FQ496" s="109"/>
      <c r="FR496" s="111"/>
      <c r="FS496" s="111"/>
      <c r="FT496" s="165"/>
      <c r="FU496" s="109">
        <f t="shared" si="568"/>
        <v>0</v>
      </c>
      <c r="FV496" s="109">
        <f t="shared" si="576"/>
        <v>0</v>
      </c>
      <c r="FW496" s="109"/>
      <c r="FX496" s="109"/>
      <c r="FY496" s="111"/>
      <c r="FZ496" s="111"/>
      <c r="GA496" s="165"/>
      <c r="GB496" s="109">
        <f t="shared" si="569"/>
        <v>0</v>
      </c>
      <c r="GC496" s="109">
        <f t="shared" si="577"/>
        <v>0</v>
      </c>
      <c r="GD496" s="109"/>
      <c r="GE496" s="109"/>
      <c r="GF496" s="111"/>
      <c r="GG496" s="111"/>
      <c r="GH496" s="165"/>
      <c r="GI496" s="109">
        <f t="shared" si="570"/>
        <v>0</v>
      </c>
      <c r="GJ496" s="109">
        <f t="shared" si="578"/>
        <v>0</v>
      </c>
      <c r="GK496" s="109"/>
      <c r="GL496" s="109"/>
      <c r="GM496" s="111"/>
      <c r="GN496" s="111"/>
      <c r="GO496" s="165"/>
      <c r="GP496" s="109">
        <f t="shared" si="571"/>
        <v>0</v>
      </c>
      <c r="GQ496" s="109">
        <f t="shared" si="579"/>
        <v>0</v>
      </c>
      <c r="GR496" s="109"/>
      <c r="GS496" s="109"/>
      <c r="GT496" s="111"/>
      <c r="GU496" s="111"/>
      <c r="GV496" s="165"/>
      <c r="GW496" s="168">
        <f t="shared" si="572"/>
        <v>0</v>
      </c>
      <c r="GX496" s="168">
        <f t="shared" si="580"/>
        <v>0</v>
      </c>
      <c r="GY496" s="168"/>
      <c r="GZ496" s="168"/>
      <c r="HA496" s="111"/>
      <c r="HB496" s="111"/>
      <c r="HC496" s="165"/>
      <c r="HD496" s="109">
        <f t="shared" si="573"/>
        <v>0</v>
      </c>
      <c r="HE496" s="109">
        <f t="shared" si="581"/>
        <v>0</v>
      </c>
      <c r="HF496" s="109"/>
      <c r="HG496" s="109"/>
      <c r="HH496" s="111"/>
      <c r="HI496" s="111"/>
      <c r="HJ496" s="165"/>
      <c r="HK496" s="109">
        <f t="shared" si="574"/>
        <v>0</v>
      </c>
      <c r="HL496" s="109">
        <f t="shared" si="582"/>
        <v>0</v>
      </c>
      <c r="HM496" s="109"/>
      <c r="HN496" s="109"/>
      <c r="HO496" s="111"/>
      <c r="HP496" s="111"/>
      <c r="HQ496" s="165"/>
      <c r="HR496" s="109">
        <f t="shared" si="575"/>
        <v>0</v>
      </c>
      <c r="HS496" s="109">
        <f t="shared" si="583"/>
        <v>0</v>
      </c>
      <c r="HT496" s="109"/>
      <c r="HU496" s="109"/>
      <c r="HV496" s="111"/>
      <c r="HW496" s="111"/>
      <c r="HX496" s="105">
        <f t="shared" si="551"/>
        <v>0</v>
      </c>
      <c r="HY496" s="105">
        <f t="shared" si="551"/>
        <v>0</v>
      </c>
      <c r="HZ496" s="105">
        <f t="shared" si="551"/>
        <v>0</v>
      </c>
      <c r="IA496" s="105">
        <f t="shared" si="545"/>
        <v>0</v>
      </c>
      <c r="IB496" s="109">
        <f t="shared" si="546"/>
        <v>0</v>
      </c>
      <c r="IC496" s="109">
        <f t="shared" si="547"/>
        <v>0</v>
      </c>
      <c r="ID496" s="109">
        <f t="shared" si="548"/>
        <v>0</v>
      </c>
      <c r="IE496" s="109">
        <f t="shared" si="549"/>
        <v>0</v>
      </c>
      <c r="IF496" s="197"/>
      <c r="IG496" s="197"/>
      <c r="IH496" s="197"/>
      <c r="II496" s="197"/>
      <c r="IJ496" s="197"/>
      <c r="IK496" s="197"/>
      <c r="IL496" s="197"/>
      <c r="IM496" s="171"/>
      <c r="IN496" s="171"/>
      <c r="IO496" s="171"/>
      <c r="IP496" s="171"/>
    </row>
    <row r="497" spans="1:250" ht="15" customHeight="1" x14ac:dyDescent="0.3">
      <c r="A497" s="110">
        <f t="shared" si="550"/>
        <v>493</v>
      </c>
      <c r="B497" s="111"/>
      <c r="C497" s="111"/>
      <c r="D497" s="111"/>
      <c r="E497" s="111"/>
      <c r="F497" s="111"/>
      <c r="G497" s="111"/>
      <c r="H497" s="111"/>
      <c r="I497" s="194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75"/>
      <c r="AI497" s="111"/>
      <c r="AJ497" s="111"/>
      <c r="AK497" s="111"/>
      <c r="AL497" s="177"/>
      <c r="AM497" s="176"/>
      <c r="AN497" s="177"/>
      <c r="AO497" s="157"/>
      <c r="AP497" s="158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  <c r="BG497" s="111"/>
      <c r="BH497" s="111"/>
      <c r="BI497" s="111"/>
      <c r="BJ497" s="111"/>
      <c r="BK497" s="111"/>
      <c r="BL497" s="175"/>
      <c r="BM497" s="111"/>
      <c r="BN497" s="111"/>
      <c r="BO497" s="111"/>
      <c r="BP497" s="111"/>
      <c r="BQ497" s="111"/>
      <c r="BR497" s="111"/>
      <c r="BS497" s="111"/>
      <c r="BT497" s="111"/>
      <c r="BU497" s="111"/>
      <c r="BV497" s="111"/>
      <c r="BW497" s="111"/>
      <c r="BX497" s="111"/>
      <c r="BY497" s="111"/>
      <c r="BZ497" s="111"/>
      <c r="CA497" s="111"/>
      <c r="CB497" s="111"/>
      <c r="CC497" s="178"/>
      <c r="CD497" s="177">
        <f t="shared" si="534"/>
        <v>0</v>
      </c>
      <c r="CE497" s="148"/>
      <c r="CF497" s="111">
        <f t="shared" si="535"/>
        <v>0</v>
      </c>
      <c r="CG497" s="177"/>
      <c r="CH497" s="204"/>
      <c r="CI497" s="148"/>
      <c r="CJ497" s="165"/>
      <c r="CK497" s="165"/>
      <c r="CL497" s="111"/>
      <c r="CM497" s="111"/>
      <c r="CN497" s="165">
        <f t="shared" si="536"/>
        <v>0</v>
      </c>
      <c r="CO497" s="109">
        <f t="shared" si="537"/>
        <v>0</v>
      </c>
      <c r="CP497" s="109">
        <f t="shared" si="538"/>
        <v>0</v>
      </c>
      <c r="CQ497" s="109"/>
      <c r="CR497" s="109"/>
      <c r="CS497" s="196"/>
      <c r="CT497" s="167"/>
      <c r="CU497" s="165"/>
      <c r="CV497" s="109">
        <f t="shared" si="539"/>
        <v>0</v>
      </c>
      <c r="CW497" s="109">
        <f t="shared" si="540"/>
        <v>0</v>
      </c>
      <c r="CX497" s="109"/>
      <c r="CY497" s="109"/>
      <c r="CZ497" s="111"/>
      <c r="DA497" s="111"/>
      <c r="DB497" s="165"/>
      <c r="DC497" s="109">
        <f t="shared" si="541"/>
        <v>0</v>
      </c>
      <c r="DD497" s="109">
        <f t="shared" si="542"/>
        <v>0</v>
      </c>
      <c r="DE497" s="109"/>
      <c r="DF497" s="109"/>
      <c r="DG497" s="111"/>
      <c r="DH497" s="111"/>
      <c r="DI497" s="165"/>
      <c r="DJ497" s="109">
        <f t="shared" si="543"/>
        <v>0</v>
      </c>
      <c r="DK497" s="109">
        <f t="shared" si="544"/>
        <v>0</v>
      </c>
      <c r="DL497" s="109"/>
      <c r="DM497" s="109"/>
      <c r="DN497" s="111"/>
      <c r="DO497" s="111"/>
      <c r="DP497" s="165"/>
      <c r="DQ497" s="109">
        <f t="shared" si="552"/>
        <v>0</v>
      </c>
      <c r="DR497" s="109">
        <f t="shared" si="553"/>
        <v>0</v>
      </c>
      <c r="DS497" s="109"/>
      <c r="DT497" s="109"/>
      <c r="DU497" s="111"/>
      <c r="DV497" s="111"/>
      <c r="DW497" s="165"/>
      <c r="DX497" s="109">
        <f t="shared" si="554"/>
        <v>0</v>
      </c>
      <c r="DY497" s="109">
        <f t="shared" si="555"/>
        <v>0</v>
      </c>
      <c r="DZ497" s="109"/>
      <c r="EA497" s="109"/>
      <c r="EB497" s="111"/>
      <c r="EC497" s="111"/>
      <c r="ED497" s="165"/>
      <c r="EE497" s="109">
        <f t="shared" si="556"/>
        <v>0</v>
      </c>
      <c r="EF497" s="109">
        <f t="shared" si="557"/>
        <v>0</v>
      </c>
      <c r="EG497" s="109"/>
      <c r="EH497" s="109"/>
      <c r="EI497" s="111"/>
      <c r="EJ497" s="111"/>
      <c r="EK497" s="165"/>
      <c r="EL497" s="109">
        <f t="shared" si="558"/>
        <v>0</v>
      </c>
      <c r="EM497" s="109">
        <f t="shared" si="559"/>
        <v>0</v>
      </c>
      <c r="EN497" s="109"/>
      <c r="EO497" s="109"/>
      <c r="EP497" s="111"/>
      <c r="EQ497" s="111"/>
      <c r="ER497" s="165"/>
      <c r="ES497" s="109">
        <f t="shared" si="560"/>
        <v>0</v>
      </c>
      <c r="ET497" s="109">
        <f t="shared" si="561"/>
        <v>0</v>
      </c>
      <c r="EU497" s="109"/>
      <c r="EV497" s="109"/>
      <c r="EW497" s="111"/>
      <c r="EX497" s="111"/>
      <c r="EY497" s="165"/>
      <c r="EZ497" s="109">
        <f t="shared" si="562"/>
        <v>0</v>
      </c>
      <c r="FA497" s="109">
        <f t="shared" si="563"/>
        <v>0</v>
      </c>
      <c r="FB497" s="109"/>
      <c r="FC497" s="109"/>
      <c r="FD497" s="111"/>
      <c r="FE497" s="111"/>
      <c r="FF497" s="165"/>
      <c r="FG497" s="109">
        <f t="shared" si="564"/>
        <v>0</v>
      </c>
      <c r="FH497" s="109">
        <f t="shared" si="565"/>
        <v>0</v>
      </c>
      <c r="FI497" s="109"/>
      <c r="FJ497" s="109"/>
      <c r="FK497" s="111"/>
      <c r="FL497" s="111"/>
      <c r="FM497" s="165"/>
      <c r="FN497" s="109">
        <f t="shared" si="566"/>
        <v>0</v>
      </c>
      <c r="FO497" s="109">
        <f t="shared" si="567"/>
        <v>0</v>
      </c>
      <c r="FP497" s="109"/>
      <c r="FQ497" s="109"/>
      <c r="FR497" s="111"/>
      <c r="FS497" s="111"/>
      <c r="FT497" s="165"/>
      <c r="FU497" s="109">
        <f t="shared" si="568"/>
        <v>0</v>
      </c>
      <c r="FV497" s="109">
        <f t="shared" si="576"/>
        <v>0</v>
      </c>
      <c r="FW497" s="109"/>
      <c r="FX497" s="109"/>
      <c r="FY497" s="111"/>
      <c r="FZ497" s="111"/>
      <c r="GA497" s="165"/>
      <c r="GB497" s="109">
        <f t="shared" si="569"/>
        <v>0</v>
      </c>
      <c r="GC497" s="109">
        <f t="shared" si="577"/>
        <v>0</v>
      </c>
      <c r="GD497" s="109"/>
      <c r="GE497" s="109"/>
      <c r="GF497" s="111"/>
      <c r="GG497" s="111"/>
      <c r="GH497" s="165"/>
      <c r="GI497" s="109">
        <f t="shared" si="570"/>
        <v>0</v>
      </c>
      <c r="GJ497" s="109">
        <f t="shared" si="578"/>
        <v>0</v>
      </c>
      <c r="GK497" s="109"/>
      <c r="GL497" s="109"/>
      <c r="GM497" s="111"/>
      <c r="GN497" s="111"/>
      <c r="GO497" s="165"/>
      <c r="GP497" s="109">
        <f t="shared" si="571"/>
        <v>0</v>
      </c>
      <c r="GQ497" s="109">
        <f t="shared" si="579"/>
        <v>0</v>
      </c>
      <c r="GR497" s="109"/>
      <c r="GS497" s="109"/>
      <c r="GT497" s="111"/>
      <c r="GU497" s="111"/>
      <c r="GV497" s="165"/>
      <c r="GW497" s="168">
        <f t="shared" si="572"/>
        <v>0</v>
      </c>
      <c r="GX497" s="168">
        <f t="shared" si="580"/>
        <v>0</v>
      </c>
      <c r="GY497" s="168"/>
      <c r="GZ497" s="168"/>
      <c r="HA497" s="111"/>
      <c r="HB497" s="111"/>
      <c r="HC497" s="165"/>
      <c r="HD497" s="109">
        <f t="shared" si="573"/>
        <v>0</v>
      </c>
      <c r="HE497" s="109">
        <f t="shared" si="581"/>
        <v>0</v>
      </c>
      <c r="HF497" s="109"/>
      <c r="HG497" s="109"/>
      <c r="HH497" s="111"/>
      <c r="HI497" s="111"/>
      <c r="HJ497" s="165"/>
      <c r="HK497" s="109">
        <f t="shared" si="574"/>
        <v>0</v>
      </c>
      <c r="HL497" s="109">
        <f t="shared" si="582"/>
        <v>0</v>
      </c>
      <c r="HM497" s="109"/>
      <c r="HN497" s="109"/>
      <c r="HO497" s="111"/>
      <c r="HP497" s="111"/>
      <c r="HQ497" s="165"/>
      <c r="HR497" s="109">
        <f t="shared" si="575"/>
        <v>0</v>
      </c>
      <c r="HS497" s="109">
        <f t="shared" si="583"/>
        <v>0</v>
      </c>
      <c r="HT497" s="109"/>
      <c r="HU497" s="109"/>
      <c r="HV497" s="111"/>
      <c r="HW497" s="111"/>
      <c r="HX497" s="105">
        <f t="shared" si="551"/>
        <v>0</v>
      </c>
      <c r="HY497" s="105">
        <f t="shared" si="551"/>
        <v>0</v>
      </c>
      <c r="HZ497" s="105">
        <f t="shared" si="551"/>
        <v>0</v>
      </c>
      <c r="IA497" s="105">
        <f t="shared" si="545"/>
        <v>0</v>
      </c>
      <c r="IB497" s="109">
        <f t="shared" si="546"/>
        <v>0</v>
      </c>
      <c r="IC497" s="109">
        <f t="shared" si="547"/>
        <v>0</v>
      </c>
      <c r="ID497" s="109">
        <f t="shared" si="548"/>
        <v>0</v>
      </c>
      <c r="IE497" s="109">
        <f t="shared" si="549"/>
        <v>0</v>
      </c>
      <c r="IF497" s="197"/>
      <c r="IG497" s="197"/>
      <c r="IH497" s="197"/>
      <c r="II497" s="197"/>
      <c r="IJ497" s="197"/>
      <c r="IK497" s="197"/>
      <c r="IL497" s="197"/>
      <c r="IM497" s="171"/>
      <c r="IN497" s="171"/>
      <c r="IO497" s="171"/>
      <c r="IP497" s="171"/>
    </row>
    <row r="498" spans="1:250" ht="15" customHeight="1" x14ac:dyDescent="0.3">
      <c r="A498" s="110">
        <f t="shared" si="550"/>
        <v>494</v>
      </c>
      <c r="B498" s="111"/>
      <c r="C498" s="111"/>
      <c r="D498" s="111"/>
      <c r="E498" s="111"/>
      <c r="F498" s="111"/>
      <c r="G498" s="111"/>
      <c r="H498" s="111"/>
      <c r="I498" s="194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75"/>
      <c r="AI498" s="111"/>
      <c r="AJ498" s="111"/>
      <c r="AK498" s="111"/>
      <c r="AL498" s="177"/>
      <c r="AM498" s="176"/>
      <c r="AN498" s="177"/>
      <c r="AO498" s="157"/>
      <c r="AP498" s="158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  <c r="BG498" s="111"/>
      <c r="BH498" s="111"/>
      <c r="BI498" s="111"/>
      <c r="BJ498" s="111"/>
      <c r="BK498" s="111"/>
      <c r="BL498" s="175"/>
      <c r="BM498" s="111"/>
      <c r="BN498" s="111"/>
      <c r="BO498" s="111"/>
      <c r="BP498" s="111"/>
      <c r="BQ498" s="111"/>
      <c r="BR498" s="111"/>
      <c r="BS498" s="111"/>
      <c r="BT498" s="111"/>
      <c r="BU498" s="111"/>
      <c r="BV498" s="111"/>
      <c r="BW498" s="111"/>
      <c r="BX498" s="111"/>
      <c r="BY498" s="111"/>
      <c r="BZ498" s="111"/>
      <c r="CA498" s="111"/>
      <c r="CB498" s="111"/>
      <c r="CC498" s="178"/>
      <c r="CD498" s="177">
        <f t="shared" si="534"/>
        <v>0</v>
      </c>
      <c r="CE498" s="148"/>
      <c r="CF498" s="111">
        <f t="shared" si="535"/>
        <v>0</v>
      </c>
      <c r="CG498" s="177"/>
      <c r="CH498" s="204"/>
      <c r="CI498" s="148"/>
      <c r="CJ498" s="165"/>
      <c r="CK498" s="165"/>
      <c r="CL498" s="111"/>
      <c r="CM498" s="111"/>
      <c r="CN498" s="165">
        <f t="shared" si="536"/>
        <v>0</v>
      </c>
      <c r="CO498" s="109">
        <f t="shared" si="537"/>
        <v>0</v>
      </c>
      <c r="CP498" s="109">
        <f t="shared" si="538"/>
        <v>0</v>
      </c>
      <c r="CQ498" s="109"/>
      <c r="CR498" s="109"/>
      <c r="CS498" s="196"/>
      <c r="CT498" s="167"/>
      <c r="CU498" s="165"/>
      <c r="CV498" s="109">
        <f t="shared" si="539"/>
        <v>0</v>
      </c>
      <c r="CW498" s="109">
        <f t="shared" si="540"/>
        <v>0</v>
      </c>
      <c r="CX498" s="109"/>
      <c r="CY498" s="109"/>
      <c r="CZ498" s="111"/>
      <c r="DA498" s="111"/>
      <c r="DB498" s="165"/>
      <c r="DC498" s="109">
        <f t="shared" si="541"/>
        <v>0</v>
      </c>
      <c r="DD498" s="109">
        <f t="shared" si="542"/>
        <v>0</v>
      </c>
      <c r="DE498" s="109"/>
      <c r="DF498" s="109"/>
      <c r="DG498" s="111"/>
      <c r="DH498" s="111"/>
      <c r="DI498" s="165"/>
      <c r="DJ498" s="109">
        <f t="shared" si="543"/>
        <v>0</v>
      </c>
      <c r="DK498" s="109">
        <f t="shared" si="544"/>
        <v>0</v>
      </c>
      <c r="DL498" s="109"/>
      <c r="DM498" s="109"/>
      <c r="DN498" s="111"/>
      <c r="DO498" s="111"/>
      <c r="DP498" s="165"/>
      <c r="DQ498" s="109">
        <f t="shared" si="552"/>
        <v>0</v>
      </c>
      <c r="DR498" s="109">
        <f t="shared" si="553"/>
        <v>0</v>
      </c>
      <c r="DS498" s="109"/>
      <c r="DT498" s="109"/>
      <c r="DU498" s="111"/>
      <c r="DV498" s="111"/>
      <c r="DW498" s="165"/>
      <c r="DX498" s="109">
        <f t="shared" si="554"/>
        <v>0</v>
      </c>
      <c r="DY498" s="109">
        <f t="shared" si="555"/>
        <v>0</v>
      </c>
      <c r="DZ498" s="109"/>
      <c r="EA498" s="109"/>
      <c r="EB498" s="111"/>
      <c r="EC498" s="111"/>
      <c r="ED498" s="165"/>
      <c r="EE498" s="109">
        <f t="shared" si="556"/>
        <v>0</v>
      </c>
      <c r="EF498" s="109">
        <f t="shared" si="557"/>
        <v>0</v>
      </c>
      <c r="EG498" s="109"/>
      <c r="EH498" s="109"/>
      <c r="EI498" s="111"/>
      <c r="EJ498" s="111"/>
      <c r="EK498" s="165"/>
      <c r="EL498" s="109">
        <f t="shared" si="558"/>
        <v>0</v>
      </c>
      <c r="EM498" s="109">
        <f t="shared" si="559"/>
        <v>0</v>
      </c>
      <c r="EN498" s="109"/>
      <c r="EO498" s="109"/>
      <c r="EP498" s="111"/>
      <c r="EQ498" s="111"/>
      <c r="ER498" s="165"/>
      <c r="ES498" s="109">
        <f t="shared" si="560"/>
        <v>0</v>
      </c>
      <c r="ET498" s="109">
        <f t="shared" si="561"/>
        <v>0</v>
      </c>
      <c r="EU498" s="109"/>
      <c r="EV498" s="109"/>
      <c r="EW498" s="111"/>
      <c r="EX498" s="111"/>
      <c r="EY498" s="165"/>
      <c r="EZ498" s="109">
        <f t="shared" si="562"/>
        <v>0</v>
      </c>
      <c r="FA498" s="109">
        <f t="shared" si="563"/>
        <v>0</v>
      </c>
      <c r="FB498" s="109"/>
      <c r="FC498" s="109"/>
      <c r="FD498" s="111"/>
      <c r="FE498" s="111"/>
      <c r="FF498" s="165"/>
      <c r="FG498" s="109">
        <f t="shared" si="564"/>
        <v>0</v>
      </c>
      <c r="FH498" s="109">
        <f t="shared" si="565"/>
        <v>0</v>
      </c>
      <c r="FI498" s="109"/>
      <c r="FJ498" s="109"/>
      <c r="FK498" s="111"/>
      <c r="FL498" s="111"/>
      <c r="FM498" s="165"/>
      <c r="FN498" s="109">
        <f t="shared" si="566"/>
        <v>0</v>
      </c>
      <c r="FO498" s="109">
        <f t="shared" si="567"/>
        <v>0</v>
      </c>
      <c r="FP498" s="109"/>
      <c r="FQ498" s="109"/>
      <c r="FR498" s="111"/>
      <c r="FS498" s="111"/>
      <c r="FT498" s="165"/>
      <c r="FU498" s="109">
        <f t="shared" si="568"/>
        <v>0</v>
      </c>
      <c r="FV498" s="109">
        <f t="shared" si="576"/>
        <v>0</v>
      </c>
      <c r="FW498" s="109"/>
      <c r="FX498" s="109"/>
      <c r="FY498" s="111"/>
      <c r="FZ498" s="111"/>
      <c r="GA498" s="165"/>
      <c r="GB498" s="109">
        <f t="shared" si="569"/>
        <v>0</v>
      </c>
      <c r="GC498" s="109">
        <f t="shared" si="577"/>
        <v>0</v>
      </c>
      <c r="GD498" s="109"/>
      <c r="GE498" s="109"/>
      <c r="GF498" s="111"/>
      <c r="GG498" s="111"/>
      <c r="GH498" s="165"/>
      <c r="GI498" s="109">
        <f t="shared" si="570"/>
        <v>0</v>
      </c>
      <c r="GJ498" s="109">
        <f t="shared" si="578"/>
        <v>0</v>
      </c>
      <c r="GK498" s="109"/>
      <c r="GL498" s="109"/>
      <c r="GM498" s="111"/>
      <c r="GN498" s="111"/>
      <c r="GO498" s="165"/>
      <c r="GP498" s="109">
        <f t="shared" si="571"/>
        <v>0</v>
      </c>
      <c r="GQ498" s="109">
        <f t="shared" si="579"/>
        <v>0</v>
      </c>
      <c r="GR498" s="109"/>
      <c r="GS498" s="109"/>
      <c r="GT498" s="111"/>
      <c r="GU498" s="111"/>
      <c r="GV498" s="165"/>
      <c r="GW498" s="168">
        <f t="shared" si="572"/>
        <v>0</v>
      </c>
      <c r="GX498" s="168">
        <f t="shared" si="580"/>
        <v>0</v>
      </c>
      <c r="GY498" s="168"/>
      <c r="GZ498" s="168"/>
      <c r="HA498" s="111"/>
      <c r="HB498" s="111"/>
      <c r="HC498" s="165"/>
      <c r="HD498" s="109">
        <f t="shared" si="573"/>
        <v>0</v>
      </c>
      <c r="HE498" s="109">
        <f t="shared" si="581"/>
        <v>0</v>
      </c>
      <c r="HF498" s="109"/>
      <c r="HG498" s="109"/>
      <c r="HH498" s="111"/>
      <c r="HI498" s="111"/>
      <c r="HJ498" s="165"/>
      <c r="HK498" s="109">
        <f t="shared" si="574"/>
        <v>0</v>
      </c>
      <c r="HL498" s="109">
        <f t="shared" si="582"/>
        <v>0</v>
      </c>
      <c r="HM498" s="109"/>
      <c r="HN498" s="109"/>
      <c r="HO498" s="111"/>
      <c r="HP498" s="111"/>
      <c r="HQ498" s="165"/>
      <c r="HR498" s="109">
        <f t="shared" si="575"/>
        <v>0</v>
      </c>
      <c r="HS498" s="109">
        <f t="shared" si="583"/>
        <v>0</v>
      </c>
      <c r="HT498" s="109"/>
      <c r="HU498" s="109"/>
      <c r="HV498" s="111"/>
      <c r="HW498" s="111"/>
      <c r="HX498" s="105">
        <f t="shared" si="551"/>
        <v>0</v>
      </c>
      <c r="HY498" s="105">
        <f t="shared" si="551"/>
        <v>0</v>
      </c>
      <c r="HZ498" s="105">
        <f t="shared" si="551"/>
        <v>0</v>
      </c>
      <c r="IA498" s="105">
        <f t="shared" si="545"/>
        <v>0</v>
      </c>
      <c r="IB498" s="109">
        <f t="shared" si="546"/>
        <v>0</v>
      </c>
      <c r="IC498" s="109">
        <f t="shared" si="547"/>
        <v>0</v>
      </c>
      <c r="ID498" s="109">
        <f t="shared" si="548"/>
        <v>0</v>
      </c>
      <c r="IE498" s="109">
        <f t="shared" si="549"/>
        <v>0</v>
      </c>
      <c r="IF498" s="197"/>
      <c r="IG498" s="197"/>
      <c r="IH498" s="197"/>
      <c r="II498" s="197"/>
      <c r="IJ498" s="197"/>
      <c r="IK498" s="197"/>
      <c r="IL498" s="197"/>
      <c r="IM498" s="171"/>
      <c r="IN498" s="171"/>
      <c r="IO498" s="171"/>
      <c r="IP498" s="171"/>
    </row>
    <row r="499" spans="1:250" ht="15" customHeight="1" x14ac:dyDescent="0.3">
      <c r="A499" s="110">
        <f t="shared" si="550"/>
        <v>495</v>
      </c>
      <c r="B499" s="111"/>
      <c r="C499" s="111"/>
      <c r="D499" s="111"/>
      <c r="E499" s="111"/>
      <c r="F499" s="111"/>
      <c r="G499" s="111"/>
      <c r="H499" s="111"/>
      <c r="I499" s="194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75"/>
      <c r="AI499" s="111"/>
      <c r="AJ499" s="111"/>
      <c r="AK499" s="111"/>
      <c r="AL499" s="177"/>
      <c r="AM499" s="176"/>
      <c r="AN499" s="177"/>
      <c r="AO499" s="157"/>
      <c r="AP499" s="158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  <c r="BG499" s="111"/>
      <c r="BH499" s="111"/>
      <c r="BI499" s="111"/>
      <c r="BJ499" s="111"/>
      <c r="BK499" s="111"/>
      <c r="BL499" s="175"/>
      <c r="BM499" s="111"/>
      <c r="BN499" s="111"/>
      <c r="BO499" s="111"/>
      <c r="BP499" s="111"/>
      <c r="BQ499" s="111"/>
      <c r="BR499" s="111"/>
      <c r="BS499" s="111"/>
      <c r="BT499" s="111"/>
      <c r="BU499" s="111"/>
      <c r="BV499" s="111"/>
      <c r="BW499" s="111"/>
      <c r="BX499" s="111"/>
      <c r="BY499" s="111"/>
      <c r="BZ499" s="111"/>
      <c r="CA499" s="111"/>
      <c r="CB499" s="111"/>
      <c r="CC499" s="178"/>
      <c r="CD499" s="177">
        <f t="shared" si="534"/>
        <v>0</v>
      </c>
      <c r="CE499" s="148"/>
      <c r="CF499" s="111">
        <f t="shared" si="535"/>
        <v>0</v>
      </c>
      <c r="CG499" s="177"/>
      <c r="CH499" s="204"/>
      <c r="CI499" s="148"/>
      <c r="CJ499" s="165"/>
      <c r="CK499" s="165"/>
      <c r="CL499" s="111"/>
      <c r="CM499" s="111"/>
      <c r="CN499" s="165">
        <f t="shared" si="536"/>
        <v>0</v>
      </c>
      <c r="CO499" s="109">
        <f t="shared" si="537"/>
        <v>0</v>
      </c>
      <c r="CP499" s="109">
        <f t="shared" si="538"/>
        <v>0</v>
      </c>
      <c r="CQ499" s="109"/>
      <c r="CR499" s="109"/>
      <c r="CS499" s="196"/>
      <c r="CT499" s="167"/>
      <c r="CU499" s="165"/>
      <c r="CV499" s="109">
        <f t="shared" si="539"/>
        <v>0</v>
      </c>
      <c r="CW499" s="109">
        <f t="shared" si="540"/>
        <v>0</v>
      </c>
      <c r="CX499" s="109"/>
      <c r="CY499" s="109"/>
      <c r="CZ499" s="111"/>
      <c r="DA499" s="111"/>
      <c r="DB499" s="165"/>
      <c r="DC499" s="109">
        <f t="shared" si="541"/>
        <v>0</v>
      </c>
      <c r="DD499" s="109">
        <f t="shared" si="542"/>
        <v>0</v>
      </c>
      <c r="DE499" s="109"/>
      <c r="DF499" s="109"/>
      <c r="DG499" s="111"/>
      <c r="DH499" s="111"/>
      <c r="DI499" s="165"/>
      <c r="DJ499" s="109">
        <f t="shared" si="543"/>
        <v>0</v>
      </c>
      <c r="DK499" s="109">
        <f t="shared" si="544"/>
        <v>0</v>
      </c>
      <c r="DL499" s="109"/>
      <c r="DM499" s="109"/>
      <c r="DN499" s="111"/>
      <c r="DO499" s="111"/>
      <c r="DP499" s="165"/>
      <c r="DQ499" s="109">
        <f t="shared" si="552"/>
        <v>0</v>
      </c>
      <c r="DR499" s="109">
        <f t="shared" si="553"/>
        <v>0</v>
      </c>
      <c r="DS499" s="109"/>
      <c r="DT499" s="109"/>
      <c r="DU499" s="111"/>
      <c r="DV499" s="111"/>
      <c r="DW499" s="165"/>
      <c r="DX499" s="109">
        <f t="shared" si="554"/>
        <v>0</v>
      </c>
      <c r="DY499" s="109">
        <f t="shared" si="555"/>
        <v>0</v>
      </c>
      <c r="DZ499" s="109"/>
      <c r="EA499" s="109"/>
      <c r="EB499" s="111"/>
      <c r="EC499" s="111"/>
      <c r="ED499" s="165"/>
      <c r="EE499" s="109">
        <f t="shared" si="556"/>
        <v>0</v>
      </c>
      <c r="EF499" s="109">
        <f t="shared" si="557"/>
        <v>0</v>
      </c>
      <c r="EG499" s="109"/>
      <c r="EH499" s="109"/>
      <c r="EI499" s="111"/>
      <c r="EJ499" s="111"/>
      <c r="EK499" s="165"/>
      <c r="EL499" s="109">
        <f t="shared" si="558"/>
        <v>0</v>
      </c>
      <c r="EM499" s="109">
        <f t="shared" si="559"/>
        <v>0</v>
      </c>
      <c r="EN499" s="109"/>
      <c r="EO499" s="109"/>
      <c r="EP499" s="111"/>
      <c r="EQ499" s="111"/>
      <c r="ER499" s="165"/>
      <c r="ES499" s="109">
        <f t="shared" si="560"/>
        <v>0</v>
      </c>
      <c r="ET499" s="109">
        <f t="shared" si="561"/>
        <v>0</v>
      </c>
      <c r="EU499" s="109"/>
      <c r="EV499" s="109"/>
      <c r="EW499" s="111"/>
      <c r="EX499" s="111"/>
      <c r="EY499" s="165"/>
      <c r="EZ499" s="109">
        <f t="shared" si="562"/>
        <v>0</v>
      </c>
      <c r="FA499" s="109">
        <f t="shared" si="563"/>
        <v>0</v>
      </c>
      <c r="FB499" s="109"/>
      <c r="FC499" s="109"/>
      <c r="FD499" s="111"/>
      <c r="FE499" s="111"/>
      <c r="FF499" s="165"/>
      <c r="FG499" s="109">
        <f t="shared" si="564"/>
        <v>0</v>
      </c>
      <c r="FH499" s="109">
        <f t="shared" si="565"/>
        <v>0</v>
      </c>
      <c r="FI499" s="109"/>
      <c r="FJ499" s="109"/>
      <c r="FK499" s="111"/>
      <c r="FL499" s="111"/>
      <c r="FM499" s="165"/>
      <c r="FN499" s="109">
        <f t="shared" si="566"/>
        <v>0</v>
      </c>
      <c r="FO499" s="109">
        <f t="shared" si="567"/>
        <v>0</v>
      </c>
      <c r="FP499" s="109"/>
      <c r="FQ499" s="109"/>
      <c r="FR499" s="111"/>
      <c r="FS499" s="111"/>
      <c r="FT499" s="165"/>
      <c r="FU499" s="109">
        <f t="shared" si="568"/>
        <v>0</v>
      </c>
      <c r="FV499" s="109">
        <f t="shared" si="576"/>
        <v>0</v>
      </c>
      <c r="FW499" s="109"/>
      <c r="FX499" s="109"/>
      <c r="FY499" s="111"/>
      <c r="FZ499" s="111"/>
      <c r="GA499" s="165"/>
      <c r="GB499" s="109">
        <f t="shared" si="569"/>
        <v>0</v>
      </c>
      <c r="GC499" s="109">
        <f t="shared" si="577"/>
        <v>0</v>
      </c>
      <c r="GD499" s="109"/>
      <c r="GE499" s="109"/>
      <c r="GF499" s="111"/>
      <c r="GG499" s="111"/>
      <c r="GH499" s="165"/>
      <c r="GI499" s="109">
        <f t="shared" si="570"/>
        <v>0</v>
      </c>
      <c r="GJ499" s="109">
        <f t="shared" si="578"/>
        <v>0</v>
      </c>
      <c r="GK499" s="109"/>
      <c r="GL499" s="109"/>
      <c r="GM499" s="111"/>
      <c r="GN499" s="111"/>
      <c r="GO499" s="165"/>
      <c r="GP499" s="109">
        <f t="shared" si="571"/>
        <v>0</v>
      </c>
      <c r="GQ499" s="109">
        <f t="shared" si="579"/>
        <v>0</v>
      </c>
      <c r="GR499" s="109"/>
      <c r="GS499" s="109"/>
      <c r="GT499" s="111"/>
      <c r="GU499" s="111"/>
      <c r="GV499" s="165"/>
      <c r="GW499" s="168">
        <f t="shared" si="572"/>
        <v>0</v>
      </c>
      <c r="GX499" s="168">
        <f t="shared" si="580"/>
        <v>0</v>
      </c>
      <c r="GY499" s="168"/>
      <c r="GZ499" s="168"/>
      <c r="HA499" s="111"/>
      <c r="HB499" s="111"/>
      <c r="HC499" s="165"/>
      <c r="HD499" s="109">
        <f t="shared" si="573"/>
        <v>0</v>
      </c>
      <c r="HE499" s="109">
        <f t="shared" si="581"/>
        <v>0</v>
      </c>
      <c r="HF499" s="109"/>
      <c r="HG499" s="109"/>
      <c r="HH499" s="111"/>
      <c r="HI499" s="111"/>
      <c r="HJ499" s="165"/>
      <c r="HK499" s="109">
        <f t="shared" si="574"/>
        <v>0</v>
      </c>
      <c r="HL499" s="109">
        <f t="shared" si="582"/>
        <v>0</v>
      </c>
      <c r="HM499" s="109"/>
      <c r="HN499" s="109"/>
      <c r="HO499" s="111"/>
      <c r="HP499" s="111"/>
      <c r="HQ499" s="165"/>
      <c r="HR499" s="109">
        <f t="shared" si="575"/>
        <v>0</v>
      </c>
      <c r="HS499" s="109">
        <f t="shared" si="583"/>
        <v>0</v>
      </c>
      <c r="HT499" s="109"/>
      <c r="HU499" s="109"/>
      <c r="HV499" s="111"/>
      <c r="HW499" s="111"/>
      <c r="HX499" s="105">
        <f t="shared" si="551"/>
        <v>0</v>
      </c>
      <c r="HY499" s="105">
        <f t="shared" si="551"/>
        <v>0</v>
      </c>
      <c r="HZ499" s="105">
        <f t="shared" si="551"/>
        <v>0</v>
      </c>
      <c r="IA499" s="105">
        <f t="shared" si="545"/>
        <v>0</v>
      </c>
      <c r="IB499" s="109">
        <f t="shared" si="546"/>
        <v>0</v>
      </c>
      <c r="IC499" s="109">
        <f t="shared" si="547"/>
        <v>0</v>
      </c>
      <c r="ID499" s="109">
        <f t="shared" si="548"/>
        <v>0</v>
      </c>
      <c r="IE499" s="109">
        <f t="shared" si="549"/>
        <v>0</v>
      </c>
      <c r="IF499" s="197"/>
      <c r="IG499" s="197"/>
      <c r="IH499" s="197"/>
      <c r="II499" s="197"/>
      <c r="IJ499" s="197"/>
      <c r="IK499" s="197"/>
      <c r="IL499" s="197"/>
      <c r="IM499" s="171"/>
      <c r="IN499" s="171"/>
      <c r="IO499" s="171"/>
      <c r="IP499" s="171"/>
    </row>
    <row r="500" spans="1:250" ht="15" customHeight="1" x14ac:dyDescent="0.3">
      <c r="A500" s="110">
        <f t="shared" si="550"/>
        <v>496</v>
      </c>
      <c r="B500" s="111"/>
      <c r="C500" s="111"/>
      <c r="D500" s="111"/>
      <c r="E500" s="111"/>
      <c r="F500" s="111"/>
      <c r="G500" s="111"/>
      <c r="H500" s="111"/>
      <c r="I500" s="194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75"/>
      <c r="AI500" s="111"/>
      <c r="AJ500" s="111"/>
      <c r="AK500" s="111"/>
      <c r="AL500" s="177"/>
      <c r="AM500" s="176"/>
      <c r="AN500" s="177"/>
      <c r="AO500" s="157"/>
      <c r="AP500" s="158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  <c r="BG500" s="111"/>
      <c r="BH500" s="111"/>
      <c r="BI500" s="111"/>
      <c r="BJ500" s="111"/>
      <c r="BK500" s="111"/>
      <c r="BL500" s="175"/>
      <c r="BM500" s="111"/>
      <c r="BN500" s="111"/>
      <c r="BO500" s="111"/>
      <c r="BP500" s="111"/>
      <c r="BQ500" s="111"/>
      <c r="BR500" s="111"/>
      <c r="BS500" s="111"/>
      <c r="BT500" s="111"/>
      <c r="BU500" s="111"/>
      <c r="BV500" s="111"/>
      <c r="BW500" s="111"/>
      <c r="BX500" s="111"/>
      <c r="BY500" s="111"/>
      <c r="BZ500" s="111"/>
      <c r="CA500" s="111"/>
      <c r="CB500" s="111"/>
      <c r="CC500" s="178"/>
      <c r="CD500" s="177">
        <f t="shared" si="534"/>
        <v>0</v>
      </c>
      <c r="CE500" s="148"/>
      <c r="CF500" s="111">
        <f t="shared" si="535"/>
        <v>0</v>
      </c>
      <c r="CG500" s="177"/>
      <c r="CH500" s="204"/>
      <c r="CI500" s="148"/>
      <c r="CJ500" s="165"/>
      <c r="CK500" s="165"/>
      <c r="CL500" s="111"/>
      <c r="CM500" s="111"/>
      <c r="CN500" s="165">
        <f t="shared" si="536"/>
        <v>0</v>
      </c>
      <c r="CO500" s="109">
        <f t="shared" si="537"/>
        <v>0</v>
      </c>
      <c r="CP500" s="109">
        <f t="shared" si="538"/>
        <v>0</v>
      </c>
      <c r="CQ500" s="109"/>
      <c r="CR500" s="109"/>
      <c r="CS500" s="196"/>
      <c r="CT500" s="167"/>
      <c r="CU500" s="165"/>
      <c r="CV500" s="109">
        <f t="shared" si="539"/>
        <v>0</v>
      </c>
      <c r="CW500" s="109">
        <f t="shared" si="540"/>
        <v>0</v>
      </c>
      <c r="CX500" s="109"/>
      <c r="CY500" s="109"/>
      <c r="CZ500" s="111"/>
      <c r="DA500" s="111"/>
      <c r="DB500" s="165"/>
      <c r="DC500" s="109">
        <f t="shared" si="541"/>
        <v>0</v>
      </c>
      <c r="DD500" s="109">
        <f t="shared" si="542"/>
        <v>0</v>
      </c>
      <c r="DE500" s="109"/>
      <c r="DF500" s="109"/>
      <c r="DG500" s="111"/>
      <c r="DH500" s="111"/>
      <c r="DI500" s="165"/>
      <c r="DJ500" s="109">
        <f t="shared" si="543"/>
        <v>0</v>
      </c>
      <c r="DK500" s="109">
        <f t="shared" si="544"/>
        <v>0</v>
      </c>
      <c r="DL500" s="109"/>
      <c r="DM500" s="109"/>
      <c r="DN500" s="111"/>
      <c r="DO500" s="111"/>
      <c r="DP500" s="165"/>
      <c r="DQ500" s="109">
        <f t="shared" si="552"/>
        <v>0</v>
      </c>
      <c r="DR500" s="109">
        <f t="shared" si="553"/>
        <v>0</v>
      </c>
      <c r="DS500" s="109"/>
      <c r="DT500" s="109"/>
      <c r="DU500" s="111"/>
      <c r="DV500" s="111"/>
      <c r="DW500" s="165"/>
      <c r="DX500" s="109">
        <f t="shared" si="554"/>
        <v>0</v>
      </c>
      <c r="DY500" s="109">
        <f t="shared" si="555"/>
        <v>0</v>
      </c>
      <c r="DZ500" s="109"/>
      <c r="EA500" s="109"/>
      <c r="EB500" s="111"/>
      <c r="EC500" s="111"/>
      <c r="ED500" s="165"/>
      <c r="EE500" s="109">
        <f t="shared" si="556"/>
        <v>0</v>
      </c>
      <c r="EF500" s="109">
        <f t="shared" si="557"/>
        <v>0</v>
      </c>
      <c r="EG500" s="109"/>
      <c r="EH500" s="109"/>
      <c r="EI500" s="111"/>
      <c r="EJ500" s="111"/>
      <c r="EK500" s="165"/>
      <c r="EL500" s="109">
        <f t="shared" si="558"/>
        <v>0</v>
      </c>
      <c r="EM500" s="109">
        <f t="shared" si="559"/>
        <v>0</v>
      </c>
      <c r="EN500" s="109"/>
      <c r="EO500" s="109"/>
      <c r="EP500" s="111"/>
      <c r="EQ500" s="111"/>
      <c r="ER500" s="165"/>
      <c r="ES500" s="109">
        <f t="shared" si="560"/>
        <v>0</v>
      </c>
      <c r="ET500" s="109">
        <f t="shared" si="561"/>
        <v>0</v>
      </c>
      <c r="EU500" s="109"/>
      <c r="EV500" s="109"/>
      <c r="EW500" s="111"/>
      <c r="EX500" s="111"/>
      <c r="EY500" s="165"/>
      <c r="EZ500" s="109">
        <f t="shared" si="562"/>
        <v>0</v>
      </c>
      <c r="FA500" s="109">
        <f t="shared" si="563"/>
        <v>0</v>
      </c>
      <c r="FB500" s="109"/>
      <c r="FC500" s="109"/>
      <c r="FD500" s="111"/>
      <c r="FE500" s="111"/>
      <c r="FF500" s="165"/>
      <c r="FG500" s="109">
        <f t="shared" si="564"/>
        <v>0</v>
      </c>
      <c r="FH500" s="109">
        <f t="shared" si="565"/>
        <v>0</v>
      </c>
      <c r="FI500" s="109"/>
      <c r="FJ500" s="109"/>
      <c r="FK500" s="111"/>
      <c r="FL500" s="111"/>
      <c r="FM500" s="165"/>
      <c r="FN500" s="109">
        <f t="shared" si="566"/>
        <v>0</v>
      </c>
      <c r="FO500" s="109">
        <f t="shared" si="567"/>
        <v>0</v>
      </c>
      <c r="FP500" s="109"/>
      <c r="FQ500" s="109"/>
      <c r="FR500" s="111"/>
      <c r="FS500" s="111"/>
      <c r="FT500" s="165"/>
      <c r="FU500" s="109">
        <f t="shared" si="568"/>
        <v>0</v>
      </c>
      <c r="FV500" s="109">
        <f t="shared" si="576"/>
        <v>0</v>
      </c>
      <c r="FW500" s="109"/>
      <c r="FX500" s="109"/>
      <c r="FY500" s="111"/>
      <c r="FZ500" s="111"/>
      <c r="GA500" s="165"/>
      <c r="GB500" s="109">
        <f t="shared" si="569"/>
        <v>0</v>
      </c>
      <c r="GC500" s="109">
        <f t="shared" si="577"/>
        <v>0</v>
      </c>
      <c r="GD500" s="109"/>
      <c r="GE500" s="109"/>
      <c r="GF500" s="111"/>
      <c r="GG500" s="111"/>
      <c r="GH500" s="165"/>
      <c r="GI500" s="109">
        <f t="shared" si="570"/>
        <v>0</v>
      </c>
      <c r="GJ500" s="109">
        <f t="shared" si="578"/>
        <v>0</v>
      </c>
      <c r="GK500" s="109"/>
      <c r="GL500" s="109"/>
      <c r="GM500" s="111"/>
      <c r="GN500" s="111"/>
      <c r="GO500" s="165"/>
      <c r="GP500" s="109">
        <f t="shared" si="571"/>
        <v>0</v>
      </c>
      <c r="GQ500" s="109">
        <f t="shared" si="579"/>
        <v>0</v>
      </c>
      <c r="GR500" s="109"/>
      <c r="GS500" s="109"/>
      <c r="GT500" s="111"/>
      <c r="GU500" s="111"/>
      <c r="GV500" s="165"/>
      <c r="GW500" s="168">
        <f t="shared" si="572"/>
        <v>0</v>
      </c>
      <c r="GX500" s="168">
        <f t="shared" si="580"/>
        <v>0</v>
      </c>
      <c r="GY500" s="168"/>
      <c r="GZ500" s="168"/>
      <c r="HA500" s="111"/>
      <c r="HB500" s="111"/>
      <c r="HC500" s="165"/>
      <c r="HD500" s="109">
        <f t="shared" si="573"/>
        <v>0</v>
      </c>
      <c r="HE500" s="109">
        <f t="shared" si="581"/>
        <v>0</v>
      </c>
      <c r="HF500" s="109"/>
      <c r="HG500" s="109"/>
      <c r="HH500" s="111"/>
      <c r="HI500" s="111"/>
      <c r="HJ500" s="165"/>
      <c r="HK500" s="109">
        <f t="shared" si="574"/>
        <v>0</v>
      </c>
      <c r="HL500" s="109">
        <f t="shared" si="582"/>
        <v>0</v>
      </c>
      <c r="HM500" s="109"/>
      <c r="HN500" s="109"/>
      <c r="HO500" s="111"/>
      <c r="HP500" s="111"/>
      <c r="HQ500" s="165"/>
      <c r="HR500" s="109">
        <f t="shared" si="575"/>
        <v>0</v>
      </c>
      <c r="HS500" s="109">
        <f t="shared" si="583"/>
        <v>0</v>
      </c>
      <c r="HT500" s="109"/>
      <c r="HU500" s="109"/>
      <c r="HV500" s="111"/>
      <c r="HW500" s="111"/>
      <c r="HX500" s="105">
        <f t="shared" si="551"/>
        <v>0</v>
      </c>
      <c r="HY500" s="105">
        <f t="shared" si="551"/>
        <v>0</v>
      </c>
      <c r="HZ500" s="105">
        <f t="shared" si="551"/>
        <v>0</v>
      </c>
      <c r="IA500" s="105">
        <f t="shared" si="545"/>
        <v>0</v>
      </c>
      <c r="IB500" s="109">
        <f t="shared" si="546"/>
        <v>0</v>
      </c>
      <c r="IC500" s="109">
        <f t="shared" si="547"/>
        <v>0</v>
      </c>
      <c r="ID500" s="109">
        <f t="shared" si="548"/>
        <v>0</v>
      </c>
      <c r="IE500" s="109">
        <f t="shared" si="549"/>
        <v>0</v>
      </c>
      <c r="IF500" s="197"/>
      <c r="IG500" s="197"/>
      <c r="IH500" s="197"/>
      <c r="II500" s="197"/>
      <c r="IJ500" s="197"/>
      <c r="IK500" s="197"/>
      <c r="IL500" s="197"/>
      <c r="IM500" s="171"/>
      <c r="IN500" s="171"/>
      <c r="IO500" s="171"/>
      <c r="IP500" s="171"/>
    </row>
    <row r="501" spans="1:250" ht="15" customHeight="1" x14ac:dyDescent="0.3">
      <c r="A501" s="110">
        <f t="shared" si="550"/>
        <v>497</v>
      </c>
      <c r="B501" s="111"/>
      <c r="C501" s="111"/>
      <c r="D501" s="111"/>
      <c r="E501" s="111"/>
      <c r="F501" s="111"/>
      <c r="G501" s="111"/>
      <c r="H501" s="111"/>
      <c r="I501" s="194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75"/>
      <c r="AI501" s="111"/>
      <c r="AJ501" s="111"/>
      <c r="AK501" s="111"/>
      <c r="AL501" s="177"/>
      <c r="AM501" s="176"/>
      <c r="AN501" s="177"/>
      <c r="AO501" s="157"/>
      <c r="AP501" s="158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  <c r="BG501" s="111"/>
      <c r="BH501" s="111"/>
      <c r="BI501" s="111"/>
      <c r="BJ501" s="111"/>
      <c r="BK501" s="111"/>
      <c r="BL501" s="175"/>
      <c r="BM501" s="111"/>
      <c r="BN501" s="111"/>
      <c r="BO501" s="111"/>
      <c r="BP501" s="111"/>
      <c r="BQ501" s="111"/>
      <c r="BR501" s="111"/>
      <c r="BS501" s="111"/>
      <c r="BT501" s="111"/>
      <c r="BU501" s="111"/>
      <c r="BV501" s="111"/>
      <c r="BW501" s="111"/>
      <c r="BX501" s="111"/>
      <c r="BY501" s="111"/>
      <c r="BZ501" s="111"/>
      <c r="CA501" s="111"/>
      <c r="CB501" s="111"/>
      <c r="CC501" s="178"/>
      <c r="CD501" s="177">
        <f t="shared" si="534"/>
        <v>0</v>
      </c>
      <c r="CE501" s="148"/>
      <c r="CF501" s="111">
        <f t="shared" si="535"/>
        <v>0</v>
      </c>
      <c r="CG501" s="177"/>
      <c r="CH501" s="204"/>
      <c r="CI501" s="148"/>
      <c r="CJ501" s="165"/>
      <c r="CK501" s="165"/>
      <c r="CL501" s="111"/>
      <c r="CM501" s="111"/>
      <c r="CN501" s="165">
        <f t="shared" si="536"/>
        <v>0</v>
      </c>
      <c r="CO501" s="109">
        <f t="shared" si="537"/>
        <v>0</v>
      </c>
      <c r="CP501" s="109">
        <f t="shared" si="538"/>
        <v>0</v>
      </c>
      <c r="CQ501" s="109"/>
      <c r="CR501" s="109"/>
      <c r="CS501" s="196"/>
      <c r="CT501" s="167"/>
      <c r="CU501" s="165"/>
      <c r="CV501" s="109">
        <f t="shared" si="539"/>
        <v>0</v>
      </c>
      <c r="CW501" s="109">
        <f t="shared" si="540"/>
        <v>0</v>
      </c>
      <c r="CX501" s="109"/>
      <c r="CY501" s="109"/>
      <c r="CZ501" s="111"/>
      <c r="DA501" s="111"/>
      <c r="DB501" s="165"/>
      <c r="DC501" s="109">
        <f t="shared" si="541"/>
        <v>0</v>
      </c>
      <c r="DD501" s="109">
        <f t="shared" si="542"/>
        <v>0</v>
      </c>
      <c r="DE501" s="109"/>
      <c r="DF501" s="109"/>
      <c r="DG501" s="111"/>
      <c r="DH501" s="111"/>
      <c r="DI501" s="165"/>
      <c r="DJ501" s="109">
        <f t="shared" si="543"/>
        <v>0</v>
      </c>
      <c r="DK501" s="109">
        <f t="shared" si="544"/>
        <v>0</v>
      </c>
      <c r="DL501" s="109"/>
      <c r="DM501" s="109"/>
      <c r="DN501" s="111"/>
      <c r="DO501" s="111"/>
      <c r="DP501" s="165"/>
      <c r="DQ501" s="109">
        <f t="shared" si="552"/>
        <v>0</v>
      </c>
      <c r="DR501" s="109">
        <f t="shared" si="553"/>
        <v>0</v>
      </c>
      <c r="DS501" s="109"/>
      <c r="DT501" s="109"/>
      <c r="DU501" s="111"/>
      <c r="DV501" s="111"/>
      <c r="DW501" s="165"/>
      <c r="DX501" s="109">
        <f t="shared" si="554"/>
        <v>0</v>
      </c>
      <c r="DY501" s="109">
        <f t="shared" si="555"/>
        <v>0</v>
      </c>
      <c r="DZ501" s="109"/>
      <c r="EA501" s="109"/>
      <c r="EB501" s="111"/>
      <c r="EC501" s="111"/>
      <c r="ED501" s="165"/>
      <c r="EE501" s="109">
        <f t="shared" si="556"/>
        <v>0</v>
      </c>
      <c r="EF501" s="109">
        <f t="shared" si="557"/>
        <v>0</v>
      </c>
      <c r="EG501" s="109"/>
      <c r="EH501" s="109"/>
      <c r="EI501" s="111"/>
      <c r="EJ501" s="111"/>
      <c r="EK501" s="165"/>
      <c r="EL501" s="109">
        <f t="shared" si="558"/>
        <v>0</v>
      </c>
      <c r="EM501" s="109">
        <f t="shared" si="559"/>
        <v>0</v>
      </c>
      <c r="EN501" s="109"/>
      <c r="EO501" s="109"/>
      <c r="EP501" s="111"/>
      <c r="EQ501" s="111"/>
      <c r="ER501" s="165"/>
      <c r="ES501" s="109">
        <f t="shared" si="560"/>
        <v>0</v>
      </c>
      <c r="ET501" s="109">
        <f t="shared" si="561"/>
        <v>0</v>
      </c>
      <c r="EU501" s="109"/>
      <c r="EV501" s="109"/>
      <c r="EW501" s="111"/>
      <c r="EX501" s="111"/>
      <c r="EY501" s="165"/>
      <c r="EZ501" s="109">
        <f t="shared" si="562"/>
        <v>0</v>
      </c>
      <c r="FA501" s="109">
        <f t="shared" si="563"/>
        <v>0</v>
      </c>
      <c r="FB501" s="109"/>
      <c r="FC501" s="109"/>
      <c r="FD501" s="111"/>
      <c r="FE501" s="111"/>
      <c r="FF501" s="165"/>
      <c r="FG501" s="109">
        <f t="shared" si="564"/>
        <v>0</v>
      </c>
      <c r="FH501" s="109">
        <f t="shared" si="565"/>
        <v>0</v>
      </c>
      <c r="FI501" s="109"/>
      <c r="FJ501" s="109"/>
      <c r="FK501" s="111"/>
      <c r="FL501" s="111"/>
      <c r="FM501" s="165"/>
      <c r="FN501" s="109">
        <f t="shared" si="566"/>
        <v>0</v>
      </c>
      <c r="FO501" s="109">
        <f t="shared" si="567"/>
        <v>0</v>
      </c>
      <c r="FP501" s="109"/>
      <c r="FQ501" s="109"/>
      <c r="FR501" s="111"/>
      <c r="FS501" s="111"/>
      <c r="FT501" s="165"/>
      <c r="FU501" s="109">
        <f t="shared" si="568"/>
        <v>0</v>
      </c>
      <c r="FV501" s="109">
        <f t="shared" si="576"/>
        <v>0</v>
      </c>
      <c r="FW501" s="109"/>
      <c r="FX501" s="109"/>
      <c r="FY501" s="111"/>
      <c r="FZ501" s="111"/>
      <c r="GA501" s="165"/>
      <c r="GB501" s="109">
        <f t="shared" si="569"/>
        <v>0</v>
      </c>
      <c r="GC501" s="109">
        <f t="shared" si="577"/>
        <v>0</v>
      </c>
      <c r="GD501" s="109"/>
      <c r="GE501" s="109"/>
      <c r="GF501" s="111"/>
      <c r="GG501" s="111"/>
      <c r="GH501" s="165"/>
      <c r="GI501" s="109">
        <f t="shared" si="570"/>
        <v>0</v>
      </c>
      <c r="GJ501" s="109">
        <f t="shared" si="578"/>
        <v>0</v>
      </c>
      <c r="GK501" s="109"/>
      <c r="GL501" s="109"/>
      <c r="GM501" s="111"/>
      <c r="GN501" s="111"/>
      <c r="GO501" s="165"/>
      <c r="GP501" s="109">
        <f t="shared" si="571"/>
        <v>0</v>
      </c>
      <c r="GQ501" s="109">
        <f t="shared" si="579"/>
        <v>0</v>
      </c>
      <c r="GR501" s="109"/>
      <c r="GS501" s="109"/>
      <c r="GT501" s="111"/>
      <c r="GU501" s="111"/>
      <c r="GV501" s="165"/>
      <c r="GW501" s="168">
        <f t="shared" si="572"/>
        <v>0</v>
      </c>
      <c r="GX501" s="168">
        <f t="shared" si="580"/>
        <v>0</v>
      </c>
      <c r="GY501" s="168"/>
      <c r="GZ501" s="168"/>
      <c r="HA501" s="111"/>
      <c r="HB501" s="111"/>
      <c r="HC501" s="165"/>
      <c r="HD501" s="109">
        <f t="shared" si="573"/>
        <v>0</v>
      </c>
      <c r="HE501" s="109">
        <f t="shared" si="581"/>
        <v>0</v>
      </c>
      <c r="HF501" s="109"/>
      <c r="HG501" s="109"/>
      <c r="HH501" s="111"/>
      <c r="HI501" s="111"/>
      <c r="HJ501" s="165"/>
      <c r="HK501" s="109">
        <f t="shared" si="574"/>
        <v>0</v>
      </c>
      <c r="HL501" s="109">
        <f t="shared" si="582"/>
        <v>0</v>
      </c>
      <c r="HM501" s="109"/>
      <c r="HN501" s="109"/>
      <c r="HO501" s="111"/>
      <c r="HP501" s="111"/>
      <c r="HQ501" s="165"/>
      <c r="HR501" s="109">
        <f t="shared" si="575"/>
        <v>0</v>
      </c>
      <c r="HS501" s="109">
        <f t="shared" si="583"/>
        <v>0</v>
      </c>
      <c r="HT501" s="109"/>
      <c r="HU501" s="109"/>
      <c r="HV501" s="111"/>
      <c r="HW501" s="111"/>
      <c r="HX501" s="105">
        <f t="shared" si="551"/>
        <v>0</v>
      </c>
      <c r="HY501" s="105">
        <f t="shared" si="551"/>
        <v>0</v>
      </c>
      <c r="HZ501" s="105">
        <f t="shared" si="551"/>
        <v>0</v>
      </c>
      <c r="IA501" s="105">
        <f t="shared" si="545"/>
        <v>0</v>
      </c>
      <c r="IB501" s="109">
        <f t="shared" si="546"/>
        <v>0</v>
      </c>
      <c r="IC501" s="109">
        <f t="shared" si="547"/>
        <v>0</v>
      </c>
      <c r="ID501" s="109">
        <f t="shared" si="548"/>
        <v>0</v>
      </c>
      <c r="IE501" s="109">
        <f t="shared" si="549"/>
        <v>0</v>
      </c>
      <c r="IF501" s="197"/>
      <c r="IG501" s="197"/>
      <c r="IH501" s="197"/>
      <c r="II501" s="197"/>
      <c r="IJ501" s="197"/>
      <c r="IK501" s="197"/>
      <c r="IL501" s="197"/>
      <c r="IM501" s="171"/>
      <c r="IN501" s="171"/>
      <c r="IO501" s="171"/>
      <c r="IP501" s="171"/>
    </row>
    <row r="502" spans="1:250" ht="15" customHeight="1" x14ac:dyDescent="0.3">
      <c r="A502" s="110">
        <f t="shared" si="550"/>
        <v>498</v>
      </c>
      <c r="B502" s="111"/>
      <c r="C502" s="111"/>
      <c r="D502" s="111"/>
      <c r="E502" s="111"/>
      <c r="F502" s="111"/>
      <c r="G502" s="111"/>
      <c r="H502" s="111"/>
      <c r="I502" s="194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75"/>
      <c r="AI502" s="111"/>
      <c r="AJ502" s="111"/>
      <c r="AK502" s="111"/>
      <c r="AL502" s="177"/>
      <c r="AM502" s="176"/>
      <c r="AN502" s="177"/>
      <c r="AO502" s="157"/>
      <c r="AP502" s="158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  <c r="BG502" s="111"/>
      <c r="BH502" s="111"/>
      <c r="BI502" s="111"/>
      <c r="BJ502" s="111"/>
      <c r="BK502" s="111"/>
      <c r="BL502" s="175"/>
      <c r="BM502" s="111"/>
      <c r="BN502" s="111"/>
      <c r="BO502" s="111"/>
      <c r="BP502" s="111"/>
      <c r="BQ502" s="111"/>
      <c r="BR502" s="111"/>
      <c r="BS502" s="111"/>
      <c r="BT502" s="111"/>
      <c r="BU502" s="111"/>
      <c r="BV502" s="111"/>
      <c r="BW502" s="111"/>
      <c r="BX502" s="111"/>
      <c r="BY502" s="111"/>
      <c r="BZ502" s="111"/>
      <c r="CA502" s="111"/>
      <c r="CB502" s="111"/>
      <c r="CC502" s="178"/>
      <c r="CD502" s="177">
        <f t="shared" si="534"/>
        <v>0</v>
      </c>
      <c r="CE502" s="148"/>
      <c r="CF502" s="111">
        <f t="shared" si="535"/>
        <v>0</v>
      </c>
      <c r="CG502" s="177"/>
      <c r="CH502" s="204"/>
      <c r="CI502" s="148"/>
      <c r="CJ502" s="165"/>
      <c r="CK502" s="165"/>
      <c r="CL502" s="111"/>
      <c r="CM502" s="111"/>
      <c r="CN502" s="165">
        <f t="shared" si="536"/>
        <v>0</v>
      </c>
      <c r="CO502" s="109">
        <f t="shared" si="537"/>
        <v>0</v>
      </c>
      <c r="CP502" s="109">
        <f t="shared" si="538"/>
        <v>0</v>
      </c>
      <c r="CQ502" s="109"/>
      <c r="CR502" s="109"/>
      <c r="CS502" s="196"/>
      <c r="CT502" s="167"/>
      <c r="CU502" s="165"/>
      <c r="CV502" s="109">
        <f t="shared" si="539"/>
        <v>0</v>
      </c>
      <c r="CW502" s="109">
        <f t="shared" si="540"/>
        <v>0</v>
      </c>
      <c r="CX502" s="109"/>
      <c r="CY502" s="109"/>
      <c r="CZ502" s="111"/>
      <c r="DA502" s="111"/>
      <c r="DB502" s="165"/>
      <c r="DC502" s="109">
        <f t="shared" si="541"/>
        <v>0</v>
      </c>
      <c r="DD502" s="109">
        <f t="shared" si="542"/>
        <v>0</v>
      </c>
      <c r="DE502" s="109"/>
      <c r="DF502" s="109"/>
      <c r="DG502" s="111"/>
      <c r="DH502" s="111"/>
      <c r="DI502" s="165"/>
      <c r="DJ502" s="109">
        <f t="shared" si="543"/>
        <v>0</v>
      </c>
      <c r="DK502" s="109">
        <f t="shared" si="544"/>
        <v>0</v>
      </c>
      <c r="DL502" s="109"/>
      <c r="DM502" s="109"/>
      <c r="DN502" s="111"/>
      <c r="DO502" s="111"/>
      <c r="DP502" s="165"/>
      <c r="DQ502" s="109">
        <f t="shared" si="552"/>
        <v>0</v>
      </c>
      <c r="DR502" s="109">
        <f t="shared" si="553"/>
        <v>0</v>
      </c>
      <c r="DS502" s="109"/>
      <c r="DT502" s="109"/>
      <c r="DU502" s="111"/>
      <c r="DV502" s="111"/>
      <c r="DW502" s="165"/>
      <c r="DX502" s="109">
        <f t="shared" si="554"/>
        <v>0</v>
      </c>
      <c r="DY502" s="109">
        <f t="shared" si="555"/>
        <v>0</v>
      </c>
      <c r="DZ502" s="109"/>
      <c r="EA502" s="109"/>
      <c r="EB502" s="111"/>
      <c r="EC502" s="111"/>
      <c r="ED502" s="165"/>
      <c r="EE502" s="109">
        <f t="shared" si="556"/>
        <v>0</v>
      </c>
      <c r="EF502" s="109">
        <f t="shared" si="557"/>
        <v>0</v>
      </c>
      <c r="EG502" s="109"/>
      <c r="EH502" s="109"/>
      <c r="EI502" s="111"/>
      <c r="EJ502" s="111"/>
      <c r="EK502" s="165"/>
      <c r="EL502" s="109">
        <f t="shared" si="558"/>
        <v>0</v>
      </c>
      <c r="EM502" s="109">
        <f t="shared" si="559"/>
        <v>0</v>
      </c>
      <c r="EN502" s="109"/>
      <c r="EO502" s="109"/>
      <c r="EP502" s="111"/>
      <c r="EQ502" s="111"/>
      <c r="ER502" s="165"/>
      <c r="ES502" s="109">
        <f t="shared" si="560"/>
        <v>0</v>
      </c>
      <c r="ET502" s="109">
        <f t="shared" si="561"/>
        <v>0</v>
      </c>
      <c r="EU502" s="109"/>
      <c r="EV502" s="109"/>
      <c r="EW502" s="111"/>
      <c r="EX502" s="111"/>
      <c r="EY502" s="165"/>
      <c r="EZ502" s="109">
        <f t="shared" si="562"/>
        <v>0</v>
      </c>
      <c r="FA502" s="109">
        <f t="shared" si="563"/>
        <v>0</v>
      </c>
      <c r="FB502" s="109"/>
      <c r="FC502" s="109"/>
      <c r="FD502" s="111"/>
      <c r="FE502" s="111"/>
      <c r="FF502" s="165"/>
      <c r="FG502" s="109">
        <f t="shared" si="564"/>
        <v>0</v>
      </c>
      <c r="FH502" s="109">
        <f t="shared" si="565"/>
        <v>0</v>
      </c>
      <c r="FI502" s="109"/>
      <c r="FJ502" s="109"/>
      <c r="FK502" s="111"/>
      <c r="FL502" s="111"/>
      <c r="FM502" s="165"/>
      <c r="FN502" s="109">
        <f t="shared" si="566"/>
        <v>0</v>
      </c>
      <c r="FO502" s="109">
        <f t="shared" si="567"/>
        <v>0</v>
      </c>
      <c r="FP502" s="109"/>
      <c r="FQ502" s="109"/>
      <c r="FR502" s="111"/>
      <c r="FS502" s="111"/>
      <c r="FT502" s="165"/>
      <c r="FU502" s="109">
        <f t="shared" si="568"/>
        <v>0</v>
      </c>
      <c r="FV502" s="109">
        <f t="shared" si="576"/>
        <v>0</v>
      </c>
      <c r="FW502" s="109"/>
      <c r="FX502" s="109"/>
      <c r="FY502" s="111"/>
      <c r="FZ502" s="111"/>
      <c r="GA502" s="165"/>
      <c r="GB502" s="109">
        <f t="shared" si="569"/>
        <v>0</v>
      </c>
      <c r="GC502" s="109">
        <f t="shared" si="577"/>
        <v>0</v>
      </c>
      <c r="GD502" s="109"/>
      <c r="GE502" s="109"/>
      <c r="GF502" s="111"/>
      <c r="GG502" s="111"/>
      <c r="GH502" s="165"/>
      <c r="GI502" s="109">
        <f t="shared" si="570"/>
        <v>0</v>
      </c>
      <c r="GJ502" s="109">
        <f t="shared" si="578"/>
        <v>0</v>
      </c>
      <c r="GK502" s="109"/>
      <c r="GL502" s="109"/>
      <c r="GM502" s="111"/>
      <c r="GN502" s="111"/>
      <c r="GO502" s="165"/>
      <c r="GP502" s="109">
        <f t="shared" si="571"/>
        <v>0</v>
      </c>
      <c r="GQ502" s="109">
        <f t="shared" si="579"/>
        <v>0</v>
      </c>
      <c r="GR502" s="109"/>
      <c r="GS502" s="109"/>
      <c r="GT502" s="111"/>
      <c r="GU502" s="111"/>
      <c r="GV502" s="165"/>
      <c r="GW502" s="168">
        <f t="shared" si="572"/>
        <v>0</v>
      </c>
      <c r="GX502" s="168">
        <f t="shared" si="580"/>
        <v>0</v>
      </c>
      <c r="GY502" s="168"/>
      <c r="GZ502" s="168"/>
      <c r="HA502" s="111"/>
      <c r="HB502" s="111"/>
      <c r="HC502" s="165"/>
      <c r="HD502" s="109">
        <f t="shared" si="573"/>
        <v>0</v>
      </c>
      <c r="HE502" s="109">
        <f t="shared" si="581"/>
        <v>0</v>
      </c>
      <c r="HF502" s="109"/>
      <c r="HG502" s="109"/>
      <c r="HH502" s="111"/>
      <c r="HI502" s="111"/>
      <c r="HJ502" s="165"/>
      <c r="HK502" s="109">
        <f t="shared" si="574"/>
        <v>0</v>
      </c>
      <c r="HL502" s="109">
        <f t="shared" si="582"/>
        <v>0</v>
      </c>
      <c r="HM502" s="109"/>
      <c r="HN502" s="109"/>
      <c r="HO502" s="111"/>
      <c r="HP502" s="111"/>
      <c r="HQ502" s="165"/>
      <c r="HR502" s="109">
        <f t="shared" si="575"/>
        <v>0</v>
      </c>
      <c r="HS502" s="109">
        <f t="shared" si="583"/>
        <v>0</v>
      </c>
      <c r="HT502" s="109"/>
      <c r="HU502" s="109"/>
      <c r="HV502" s="111"/>
      <c r="HW502" s="111"/>
      <c r="HX502" s="105">
        <f t="shared" si="551"/>
        <v>0</v>
      </c>
      <c r="HY502" s="105">
        <f t="shared" si="551"/>
        <v>0</v>
      </c>
      <c r="HZ502" s="105">
        <f t="shared" si="551"/>
        <v>0</v>
      </c>
      <c r="IA502" s="105">
        <f t="shared" si="545"/>
        <v>0</v>
      </c>
      <c r="IB502" s="109">
        <f t="shared" si="546"/>
        <v>0</v>
      </c>
      <c r="IC502" s="109">
        <f t="shared" si="547"/>
        <v>0</v>
      </c>
      <c r="ID502" s="109">
        <f t="shared" si="548"/>
        <v>0</v>
      </c>
      <c r="IE502" s="109">
        <f t="shared" si="549"/>
        <v>0</v>
      </c>
      <c r="IF502" s="197"/>
      <c r="IG502" s="197"/>
      <c r="IH502" s="197"/>
      <c r="II502" s="197"/>
      <c r="IJ502" s="197"/>
      <c r="IK502" s="197"/>
      <c r="IL502" s="197"/>
      <c r="IM502" s="171"/>
      <c r="IN502" s="171"/>
      <c r="IO502" s="171"/>
      <c r="IP502" s="171"/>
    </row>
    <row r="503" spans="1:250" ht="15" customHeight="1" x14ac:dyDescent="0.3">
      <c r="A503" s="110">
        <f t="shared" si="550"/>
        <v>499</v>
      </c>
      <c r="B503" s="111"/>
      <c r="C503" s="111"/>
      <c r="D503" s="111"/>
      <c r="E503" s="111"/>
      <c r="F503" s="111"/>
      <c r="G503" s="111"/>
      <c r="H503" s="111"/>
      <c r="I503" s="194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75"/>
      <c r="AI503" s="111"/>
      <c r="AJ503" s="111"/>
      <c r="AK503" s="111"/>
      <c r="AL503" s="177"/>
      <c r="AM503" s="176"/>
      <c r="AN503" s="177"/>
      <c r="AO503" s="157"/>
      <c r="AP503" s="158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  <c r="BG503" s="111"/>
      <c r="BH503" s="111"/>
      <c r="BI503" s="111"/>
      <c r="BJ503" s="111"/>
      <c r="BK503" s="111"/>
      <c r="BL503" s="175"/>
      <c r="BM503" s="111"/>
      <c r="BN503" s="111"/>
      <c r="BO503" s="111"/>
      <c r="BP503" s="111"/>
      <c r="BQ503" s="111"/>
      <c r="BR503" s="111"/>
      <c r="BS503" s="111"/>
      <c r="BT503" s="111"/>
      <c r="BU503" s="111"/>
      <c r="BV503" s="111"/>
      <c r="BW503" s="111"/>
      <c r="BX503" s="111"/>
      <c r="BY503" s="111"/>
      <c r="BZ503" s="111"/>
      <c r="CA503" s="111"/>
      <c r="CB503" s="111"/>
      <c r="CC503" s="178"/>
      <c r="CD503" s="177">
        <f t="shared" si="534"/>
        <v>0</v>
      </c>
      <c r="CE503" s="148"/>
      <c r="CF503" s="111">
        <f t="shared" si="535"/>
        <v>0</v>
      </c>
      <c r="CG503" s="177"/>
      <c r="CH503" s="204"/>
      <c r="CI503" s="148"/>
      <c r="CJ503" s="165"/>
      <c r="CK503" s="165"/>
      <c r="CL503" s="111"/>
      <c r="CM503" s="111"/>
      <c r="CN503" s="165">
        <f t="shared" si="536"/>
        <v>0</v>
      </c>
      <c r="CO503" s="109">
        <f t="shared" si="537"/>
        <v>0</v>
      </c>
      <c r="CP503" s="109">
        <f t="shared" si="538"/>
        <v>0</v>
      </c>
      <c r="CQ503" s="109"/>
      <c r="CR503" s="109"/>
      <c r="CS503" s="196"/>
      <c r="CT503" s="167"/>
      <c r="CU503" s="165"/>
      <c r="CV503" s="109">
        <f t="shared" si="539"/>
        <v>0</v>
      </c>
      <c r="CW503" s="109">
        <f t="shared" si="540"/>
        <v>0</v>
      </c>
      <c r="CX503" s="109"/>
      <c r="CY503" s="109"/>
      <c r="CZ503" s="111"/>
      <c r="DA503" s="111"/>
      <c r="DB503" s="165"/>
      <c r="DC503" s="109">
        <f t="shared" si="541"/>
        <v>0</v>
      </c>
      <c r="DD503" s="109">
        <f t="shared" si="542"/>
        <v>0</v>
      </c>
      <c r="DE503" s="109"/>
      <c r="DF503" s="109"/>
      <c r="DG503" s="111"/>
      <c r="DH503" s="111"/>
      <c r="DI503" s="165"/>
      <c r="DJ503" s="109">
        <f t="shared" si="543"/>
        <v>0</v>
      </c>
      <c r="DK503" s="109">
        <f t="shared" si="544"/>
        <v>0</v>
      </c>
      <c r="DL503" s="109"/>
      <c r="DM503" s="109"/>
      <c r="DN503" s="111"/>
      <c r="DO503" s="111"/>
      <c r="DP503" s="165"/>
      <c r="DQ503" s="109">
        <f t="shared" si="552"/>
        <v>0</v>
      </c>
      <c r="DR503" s="109">
        <f t="shared" si="553"/>
        <v>0</v>
      </c>
      <c r="DS503" s="109"/>
      <c r="DT503" s="109"/>
      <c r="DU503" s="111"/>
      <c r="DV503" s="111"/>
      <c r="DW503" s="165"/>
      <c r="DX503" s="109">
        <f t="shared" si="554"/>
        <v>0</v>
      </c>
      <c r="DY503" s="109">
        <f t="shared" si="555"/>
        <v>0</v>
      </c>
      <c r="DZ503" s="109"/>
      <c r="EA503" s="109"/>
      <c r="EB503" s="111"/>
      <c r="EC503" s="111"/>
      <c r="ED503" s="165"/>
      <c r="EE503" s="109">
        <f t="shared" si="556"/>
        <v>0</v>
      </c>
      <c r="EF503" s="109">
        <f t="shared" si="557"/>
        <v>0</v>
      </c>
      <c r="EG503" s="109"/>
      <c r="EH503" s="109"/>
      <c r="EI503" s="111"/>
      <c r="EJ503" s="111"/>
      <c r="EK503" s="165"/>
      <c r="EL503" s="109">
        <f t="shared" si="558"/>
        <v>0</v>
      </c>
      <c r="EM503" s="109">
        <f t="shared" si="559"/>
        <v>0</v>
      </c>
      <c r="EN503" s="109"/>
      <c r="EO503" s="109"/>
      <c r="EP503" s="111"/>
      <c r="EQ503" s="111"/>
      <c r="ER503" s="165"/>
      <c r="ES503" s="109">
        <f t="shared" si="560"/>
        <v>0</v>
      </c>
      <c r="ET503" s="109">
        <f t="shared" si="561"/>
        <v>0</v>
      </c>
      <c r="EU503" s="109"/>
      <c r="EV503" s="109"/>
      <c r="EW503" s="111"/>
      <c r="EX503" s="111"/>
      <c r="EY503" s="165"/>
      <c r="EZ503" s="109">
        <f t="shared" si="562"/>
        <v>0</v>
      </c>
      <c r="FA503" s="109">
        <f t="shared" si="563"/>
        <v>0</v>
      </c>
      <c r="FB503" s="109"/>
      <c r="FC503" s="109"/>
      <c r="FD503" s="111"/>
      <c r="FE503" s="111"/>
      <c r="FF503" s="165"/>
      <c r="FG503" s="109">
        <f t="shared" si="564"/>
        <v>0</v>
      </c>
      <c r="FH503" s="109">
        <f t="shared" si="565"/>
        <v>0</v>
      </c>
      <c r="FI503" s="109"/>
      <c r="FJ503" s="109"/>
      <c r="FK503" s="111"/>
      <c r="FL503" s="111"/>
      <c r="FM503" s="165"/>
      <c r="FN503" s="109">
        <f t="shared" si="566"/>
        <v>0</v>
      </c>
      <c r="FO503" s="109">
        <f t="shared" si="567"/>
        <v>0</v>
      </c>
      <c r="FP503" s="109"/>
      <c r="FQ503" s="109"/>
      <c r="FR503" s="111"/>
      <c r="FS503" s="111"/>
      <c r="FT503" s="165"/>
      <c r="FU503" s="109">
        <f t="shared" si="568"/>
        <v>0</v>
      </c>
      <c r="FV503" s="109">
        <f t="shared" si="576"/>
        <v>0</v>
      </c>
      <c r="FW503" s="109"/>
      <c r="FX503" s="109"/>
      <c r="FY503" s="111"/>
      <c r="FZ503" s="111"/>
      <c r="GA503" s="165"/>
      <c r="GB503" s="109">
        <f t="shared" si="569"/>
        <v>0</v>
      </c>
      <c r="GC503" s="109">
        <f t="shared" si="577"/>
        <v>0</v>
      </c>
      <c r="GD503" s="109"/>
      <c r="GE503" s="109"/>
      <c r="GF503" s="111"/>
      <c r="GG503" s="111"/>
      <c r="GH503" s="165"/>
      <c r="GI503" s="109">
        <f t="shared" si="570"/>
        <v>0</v>
      </c>
      <c r="GJ503" s="109">
        <f t="shared" si="578"/>
        <v>0</v>
      </c>
      <c r="GK503" s="109"/>
      <c r="GL503" s="109"/>
      <c r="GM503" s="111"/>
      <c r="GN503" s="111"/>
      <c r="GO503" s="165"/>
      <c r="GP503" s="109">
        <f t="shared" si="571"/>
        <v>0</v>
      </c>
      <c r="GQ503" s="109">
        <f t="shared" si="579"/>
        <v>0</v>
      </c>
      <c r="GR503" s="109"/>
      <c r="GS503" s="109"/>
      <c r="GT503" s="111"/>
      <c r="GU503" s="111"/>
      <c r="GV503" s="165"/>
      <c r="GW503" s="168">
        <f t="shared" si="572"/>
        <v>0</v>
      </c>
      <c r="GX503" s="168">
        <f t="shared" si="580"/>
        <v>0</v>
      </c>
      <c r="GY503" s="168"/>
      <c r="GZ503" s="168"/>
      <c r="HA503" s="111"/>
      <c r="HB503" s="111"/>
      <c r="HC503" s="165"/>
      <c r="HD503" s="109">
        <f t="shared" si="573"/>
        <v>0</v>
      </c>
      <c r="HE503" s="109">
        <f t="shared" si="581"/>
        <v>0</v>
      </c>
      <c r="HF503" s="109"/>
      <c r="HG503" s="109"/>
      <c r="HH503" s="111"/>
      <c r="HI503" s="111"/>
      <c r="HJ503" s="165"/>
      <c r="HK503" s="109">
        <f t="shared" si="574"/>
        <v>0</v>
      </c>
      <c r="HL503" s="109">
        <f t="shared" si="582"/>
        <v>0</v>
      </c>
      <c r="HM503" s="109"/>
      <c r="HN503" s="109"/>
      <c r="HO503" s="111"/>
      <c r="HP503" s="111"/>
      <c r="HQ503" s="165"/>
      <c r="HR503" s="109">
        <f t="shared" si="575"/>
        <v>0</v>
      </c>
      <c r="HS503" s="109">
        <f t="shared" si="583"/>
        <v>0</v>
      </c>
      <c r="HT503" s="109"/>
      <c r="HU503" s="109"/>
      <c r="HV503" s="111"/>
      <c r="HW503" s="111"/>
      <c r="HX503" s="105">
        <f t="shared" si="551"/>
        <v>0</v>
      </c>
      <c r="HY503" s="105">
        <f t="shared" si="551"/>
        <v>0</v>
      </c>
      <c r="HZ503" s="105">
        <f t="shared" si="551"/>
        <v>0</v>
      </c>
      <c r="IA503" s="105">
        <f t="shared" si="545"/>
        <v>0</v>
      </c>
      <c r="IB503" s="109">
        <f t="shared" si="546"/>
        <v>0</v>
      </c>
      <c r="IC503" s="109">
        <f t="shared" si="547"/>
        <v>0</v>
      </c>
      <c r="ID503" s="109">
        <f t="shared" si="548"/>
        <v>0</v>
      </c>
      <c r="IE503" s="109">
        <f t="shared" si="549"/>
        <v>0</v>
      </c>
      <c r="IF503" s="197"/>
      <c r="IG503" s="197"/>
      <c r="IH503" s="197"/>
      <c r="II503" s="197"/>
      <c r="IJ503" s="197"/>
      <c r="IK503" s="197"/>
      <c r="IL503" s="197"/>
      <c r="IM503" s="171"/>
      <c r="IN503" s="171"/>
      <c r="IO503" s="171"/>
      <c r="IP503" s="171"/>
    </row>
    <row r="504" spans="1:250" ht="15" customHeight="1" x14ac:dyDescent="0.3">
      <c r="A504" s="110">
        <f t="shared" si="550"/>
        <v>500</v>
      </c>
      <c r="B504" s="111"/>
      <c r="C504" s="111"/>
      <c r="D504" s="111"/>
      <c r="E504" s="111"/>
      <c r="F504" s="111"/>
      <c r="G504" s="111"/>
      <c r="H504" s="111"/>
      <c r="I504" s="194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75"/>
      <c r="AI504" s="111"/>
      <c r="AJ504" s="111"/>
      <c r="AK504" s="111"/>
      <c r="AL504" s="177"/>
      <c r="AM504" s="176"/>
      <c r="AN504" s="177"/>
      <c r="AO504" s="157"/>
      <c r="AP504" s="158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  <c r="BG504" s="111"/>
      <c r="BH504" s="111"/>
      <c r="BI504" s="111"/>
      <c r="BJ504" s="111"/>
      <c r="BK504" s="111"/>
      <c r="BL504" s="175"/>
      <c r="BM504" s="111"/>
      <c r="BN504" s="111"/>
      <c r="BO504" s="111"/>
      <c r="BP504" s="111"/>
      <c r="BQ504" s="111"/>
      <c r="BR504" s="111"/>
      <c r="BS504" s="111"/>
      <c r="BT504" s="111"/>
      <c r="BU504" s="111"/>
      <c r="BV504" s="111"/>
      <c r="BW504" s="111"/>
      <c r="BX504" s="111"/>
      <c r="BY504" s="111"/>
      <c r="BZ504" s="111"/>
      <c r="CA504" s="111"/>
      <c r="CB504" s="111"/>
      <c r="CC504" s="178"/>
      <c r="CD504" s="177">
        <f t="shared" si="534"/>
        <v>0</v>
      </c>
      <c r="CE504" s="148"/>
      <c r="CF504" s="111">
        <f t="shared" si="535"/>
        <v>0</v>
      </c>
      <c r="CG504" s="177"/>
      <c r="CH504" s="204"/>
      <c r="CI504" s="148"/>
      <c r="CJ504" s="165"/>
      <c r="CK504" s="165"/>
      <c r="CL504" s="111"/>
      <c r="CM504" s="111"/>
      <c r="CN504" s="165">
        <f t="shared" si="536"/>
        <v>0</v>
      </c>
      <c r="CO504" s="109">
        <f t="shared" si="537"/>
        <v>0</v>
      </c>
      <c r="CP504" s="109">
        <f t="shared" si="538"/>
        <v>0</v>
      </c>
      <c r="CQ504" s="109"/>
      <c r="CR504" s="109"/>
      <c r="CS504" s="196"/>
      <c r="CT504" s="167"/>
      <c r="CU504" s="165"/>
      <c r="CV504" s="109">
        <f t="shared" si="539"/>
        <v>0</v>
      </c>
      <c r="CW504" s="109">
        <f t="shared" si="540"/>
        <v>0</v>
      </c>
      <c r="CX504" s="109"/>
      <c r="CY504" s="109"/>
      <c r="CZ504" s="111"/>
      <c r="DA504" s="111"/>
      <c r="DB504" s="165"/>
      <c r="DC504" s="109">
        <f t="shared" si="541"/>
        <v>0</v>
      </c>
      <c r="DD504" s="109">
        <f t="shared" si="542"/>
        <v>0</v>
      </c>
      <c r="DE504" s="109"/>
      <c r="DF504" s="109"/>
      <c r="DG504" s="111"/>
      <c r="DH504" s="111"/>
      <c r="DI504" s="165"/>
      <c r="DJ504" s="109">
        <f t="shared" si="543"/>
        <v>0</v>
      </c>
      <c r="DK504" s="109">
        <f t="shared" si="544"/>
        <v>0</v>
      </c>
      <c r="DL504" s="109"/>
      <c r="DM504" s="109"/>
      <c r="DN504" s="111"/>
      <c r="DO504" s="111"/>
      <c r="DP504" s="165"/>
      <c r="DQ504" s="109">
        <f t="shared" si="552"/>
        <v>0</v>
      </c>
      <c r="DR504" s="109">
        <f t="shared" si="553"/>
        <v>0</v>
      </c>
      <c r="DS504" s="109"/>
      <c r="DT504" s="109"/>
      <c r="DU504" s="111"/>
      <c r="DV504" s="111"/>
      <c r="DW504" s="165"/>
      <c r="DX504" s="109">
        <f t="shared" si="554"/>
        <v>0</v>
      </c>
      <c r="DY504" s="109">
        <f t="shared" si="555"/>
        <v>0</v>
      </c>
      <c r="DZ504" s="109"/>
      <c r="EA504" s="109"/>
      <c r="EB504" s="111"/>
      <c r="EC504" s="111"/>
      <c r="ED504" s="165"/>
      <c r="EE504" s="109">
        <f t="shared" si="556"/>
        <v>0</v>
      </c>
      <c r="EF504" s="109">
        <f t="shared" si="557"/>
        <v>0</v>
      </c>
      <c r="EG504" s="109"/>
      <c r="EH504" s="109"/>
      <c r="EI504" s="111"/>
      <c r="EJ504" s="111"/>
      <c r="EK504" s="165"/>
      <c r="EL504" s="109">
        <f t="shared" si="558"/>
        <v>0</v>
      </c>
      <c r="EM504" s="109">
        <f t="shared" si="559"/>
        <v>0</v>
      </c>
      <c r="EN504" s="109"/>
      <c r="EO504" s="109"/>
      <c r="EP504" s="111"/>
      <c r="EQ504" s="111"/>
      <c r="ER504" s="165"/>
      <c r="ES504" s="109">
        <f t="shared" si="560"/>
        <v>0</v>
      </c>
      <c r="ET504" s="109">
        <f t="shared" si="561"/>
        <v>0</v>
      </c>
      <c r="EU504" s="109"/>
      <c r="EV504" s="109"/>
      <c r="EW504" s="111"/>
      <c r="EX504" s="111"/>
      <c r="EY504" s="165"/>
      <c r="EZ504" s="109">
        <f t="shared" si="562"/>
        <v>0</v>
      </c>
      <c r="FA504" s="109">
        <f t="shared" si="563"/>
        <v>0</v>
      </c>
      <c r="FB504" s="109"/>
      <c r="FC504" s="109"/>
      <c r="FD504" s="111"/>
      <c r="FE504" s="111"/>
      <c r="FF504" s="165"/>
      <c r="FG504" s="109">
        <f t="shared" si="564"/>
        <v>0</v>
      </c>
      <c r="FH504" s="109">
        <f t="shared" si="565"/>
        <v>0</v>
      </c>
      <c r="FI504" s="109"/>
      <c r="FJ504" s="109"/>
      <c r="FK504" s="111"/>
      <c r="FL504" s="111"/>
      <c r="FM504" s="165"/>
      <c r="FN504" s="109">
        <f t="shared" si="566"/>
        <v>0</v>
      </c>
      <c r="FO504" s="109">
        <f t="shared" si="567"/>
        <v>0</v>
      </c>
      <c r="FP504" s="109"/>
      <c r="FQ504" s="109"/>
      <c r="FR504" s="111"/>
      <c r="FS504" s="111"/>
      <c r="FT504" s="165"/>
      <c r="FU504" s="109">
        <f t="shared" si="568"/>
        <v>0</v>
      </c>
      <c r="FV504" s="109">
        <f t="shared" si="576"/>
        <v>0</v>
      </c>
      <c r="FW504" s="109"/>
      <c r="FX504" s="109"/>
      <c r="FY504" s="111"/>
      <c r="FZ504" s="111"/>
      <c r="GA504" s="165"/>
      <c r="GB504" s="109">
        <f t="shared" si="569"/>
        <v>0</v>
      </c>
      <c r="GC504" s="109">
        <f t="shared" si="577"/>
        <v>0</v>
      </c>
      <c r="GD504" s="109"/>
      <c r="GE504" s="109"/>
      <c r="GF504" s="111"/>
      <c r="GG504" s="111"/>
      <c r="GH504" s="165"/>
      <c r="GI504" s="109">
        <f t="shared" si="570"/>
        <v>0</v>
      </c>
      <c r="GJ504" s="109">
        <f t="shared" si="578"/>
        <v>0</v>
      </c>
      <c r="GK504" s="109"/>
      <c r="GL504" s="109"/>
      <c r="GM504" s="111"/>
      <c r="GN504" s="111"/>
      <c r="GO504" s="165"/>
      <c r="GP504" s="109">
        <f t="shared" si="571"/>
        <v>0</v>
      </c>
      <c r="GQ504" s="109">
        <f t="shared" si="579"/>
        <v>0</v>
      </c>
      <c r="GR504" s="109"/>
      <c r="GS504" s="109"/>
      <c r="GT504" s="111"/>
      <c r="GU504" s="111"/>
      <c r="GV504" s="165"/>
      <c r="GW504" s="168">
        <f t="shared" si="572"/>
        <v>0</v>
      </c>
      <c r="GX504" s="168">
        <f t="shared" si="580"/>
        <v>0</v>
      </c>
      <c r="GY504" s="168"/>
      <c r="GZ504" s="168"/>
      <c r="HA504" s="111"/>
      <c r="HB504" s="111"/>
      <c r="HC504" s="165"/>
      <c r="HD504" s="109">
        <f t="shared" si="573"/>
        <v>0</v>
      </c>
      <c r="HE504" s="109">
        <f t="shared" si="581"/>
        <v>0</v>
      </c>
      <c r="HF504" s="109"/>
      <c r="HG504" s="109"/>
      <c r="HH504" s="111"/>
      <c r="HI504" s="111"/>
      <c r="HJ504" s="165"/>
      <c r="HK504" s="109">
        <f t="shared" si="574"/>
        <v>0</v>
      </c>
      <c r="HL504" s="109">
        <f t="shared" si="582"/>
        <v>0</v>
      </c>
      <c r="HM504" s="109"/>
      <c r="HN504" s="109"/>
      <c r="HO504" s="111"/>
      <c r="HP504" s="111"/>
      <c r="HQ504" s="165"/>
      <c r="HR504" s="109">
        <f t="shared" si="575"/>
        <v>0</v>
      </c>
      <c r="HS504" s="109">
        <f t="shared" si="583"/>
        <v>0</v>
      </c>
      <c r="HT504" s="109"/>
      <c r="HU504" s="109"/>
      <c r="HV504" s="111"/>
      <c r="HW504" s="111"/>
      <c r="HX504" s="105">
        <f t="shared" si="551"/>
        <v>0</v>
      </c>
      <c r="HY504" s="105">
        <f t="shared" si="551"/>
        <v>0</v>
      </c>
      <c r="HZ504" s="105">
        <f t="shared" si="551"/>
        <v>0</v>
      </c>
      <c r="IA504" s="105">
        <f t="shared" si="545"/>
        <v>0</v>
      </c>
      <c r="IB504" s="109">
        <f t="shared" si="546"/>
        <v>0</v>
      </c>
      <c r="IC504" s="109">
        <f t="shared" si="547"/>
        <v>0</v>
      </c>
      <c r="ID504" s="109">
        <f t="shared" si="548"/>
        <v>0</v>
      </c>
      <c r="IE504" s="109">
        <f t="shared" si="549"/>
        <v>0</v>
      </c>
      <c r="IF504" s="197"/>
      <c r="IG504" s="197"/>
      <c r="IH504" s="197"/>
      <c r="II504" s="197"/>
      <c r="IJ504" s="197"/>
      <c r="IK504" s="197"/>
      <c r="IL504" s="197"/>
      <c r="IM504" s="171"/>
      <c r="IN504" s="171"/>
      <c r="IO504" s="171"/>
      <c r="IP504" s="171"/>
    </row>
    <row r="505" spans="1:250" ht="15" customHeight="1" x14ac:dyDescent="0.3">
      <c r="A505" s="110">
        <f t="shared" si="550"/>
        <v>501</v>
      </c>
      <c r="B505" s="111"/>
      <c r="C505" s="111"/>
      <c r="D505" s="111"/>
      <c r="E505" s="111"/>
      <c r="F505" s="111"/>
      <c r="G505" s="111"/>
      <c r="H505" s="111"/>
      <c r="I505" s="194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75"/>
      <c r="AI505" s="111"/>
      <c r="AJ505" s="111"/>
      <c r="AK505" s="111"/>
      <c r="AL505" s="177"/>
      <c r="AM505" s="176"/>
      <c r="AN505" s="177"/>
      <c r="AO505" s="157"/>
      <c r="AP505" s="158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  <c r="BG505" s="111"/>
      <c r="BH505" s="111"/>
      <c r="BI505" s="111"/>
      <c r="BJ505" s="111"/>
      <c r="BK505" s="111"/>
      <c r="BL505" s="175"/>
      <c r="BM505" s="111"/>
      <c r="BN505" s="111"/>
      <c r="BO505" s="111"/>
      <c r="BP505" s="111"/>
      <c r="BQ505" s="111"/>
      <c r="BR505" s="111"/>
      <c r="BS505" s="111"/>
      <c r="BT505" s="111"/>
      <c r="BU505" s="111"/>
      <c r="BV505" s="111"/>
      <c r="BW505" s="111"/>
      <c r="BX505" s="111"/>
      <c r="BY505" s="111"/>
      <c r="BZ505" s="111"/>
      <c r="CA505" s="111"/>
      <c r="CB505" s="111"/>
      <c r="CC505" s="178"/>
      <c r="CD505" s="177">
        <f t="shared" si="534"/>
        <v>0</v>
      </c>
      <c r="CE505" s="148"/>
      <c r="CF505" s="111">
        <f t="shared" si="535"/>
        <v>0</v>
      </c>
      <c r="CG505" s="177"/>
      <c r="CH505" s="204"/>
      <c r="CI505" s="148"/>
      <c r="CJ505" s="165"/>
      <c r="CK505" s="165"/>
      <c r="CL505" s="111"/>
      <c r="CM505" s="111"/>
      <c r="CN505" s="165">
        <f t="shared" si="536"/>
        <v>0</v>
      </c>
      <c r="CO505" s="109">
        <f t="shared" si="537"/>
        <v>0</v>
      </c>
      <c r="CP505" s="109">
        <f t="shared" si="538"/>
        <v>0</v>
      </c>
      <c r="CQ505" s="109"/>
      <c r="CR505" s="109"/>
      <c r="CS505" s="196"/>
      <c r="CT505" s="167"/>
      <c r="CU505" s="165"/>
      <c r="CV505" s="109">
        <f t="shared" si="539"/>
        <v>0</v>
      </c>
      <c r="CW505" s="109">
        <f t="shared" si="540"/>
        <v>0</v>
      </c>
      <c r="CX505" s="109"/>
      <c r="CY505" s="109"/>
      <c r="CZ505" s="111"/>
      <c r="DA505" s="111"/>
      <c r="DB505" s="165"/>
      <c r="DC505" s="109">
        <f t="shared" si="541"/>
        <v>0</v>
      </c>
      <c r="DD505" s="109">
        <f t="shared" si="542"/>
        <v>0</v>
      </c>
      <c r="DE505" s="109"/>
      <c r="DF505" s="109"/>
      <c r="DG505" s="111"/>
      <c r="DH505" s="111"/>
      <c r="DI505" s="165"/>
      <c r="DJ505" s="109">
        <f t="shared" si="543"/>
        <v>0</v>
      </c>
      <c r="DK505" s="109">
        <f t="shared" si="544"/>
        <v>0</v>
      </c>
      <c r="DL505" s="109"/>
      <c r="DM505" s="109"/>
      <c r="DN505" s="111"/>
      <c r="DO505" s="111"/>
      <c r="DP505" s="165"/>
      <c r="DQ505" s="109">
        <f t="shared" si="552"/>
        <v>0</v>
      </c>
      <c r="DR505" s="109">
        <f t="shared" si="553"/>
        <v>0</v>
      </c>
      <c r="DS505" s="109"/>
      <c r="DT505" s="109"/>
      <c r="DU505" s="111"/>
      <c r="DV505" s="111"/>
      <c r="DW505" s="165"/>
      <c r="DX505" s="109">
        <f t="shared" si="554"/>
        <v>0</v>
      </c>
      <c r="DY505" s="109">
        <f t="shared" si="555"/>
        <v>0</v>
      </c>
      <c r="DZ505" s="109"/>
      <c r="EA505" s="109"/>
      <c r="EB505" s="111"/>
      <c r="EC505" s="111"/>
      <c r="ED505" s="165"/>
      <c r="EE505" s="109">
        <f t="shared" si="556"/>
        <v>0</v>
      </c>
      <c r="EF505" s="109">
        <f t="shared" si="557"/>
        <v>0</v>
      </c>
      <c r="EG505" s="109"/>
      <c r="EH505" s="109"/>
      <c r="EI505" s="111"/>
      <c r="EJ505" s="111"/>
      <c r="EK505" s="165"/>
      <c r="EL505" s="109">
        <f t="shared" si="558"/>
        <v>0</v>
      </c>
      <c r="EM505" s="109">
        <f t="shared" si="559"/>
        <v>0</v>
      </c>
      <c r="EN505" s="109"/>
      <c r="EO505" s="109"/>
      <c r="EP505" s="111"/>
      <c r="EQ505" s="111"/>
      <c r="ER505" s="165"/>
      <c r="ES505" s="109">
        <f t="shared" si="560"/>
        <v>0</v>
      </c>
      <c r="ET505" s="109">
        <f t="shared" si="561"/>
        <v>0</v>
      </c>
      <c r="EU505" s="109"/>
      <c r="EV505" s="109"/>
      <c r="EW505" s="111"/>
      <c r="EX505" s="111"/>
      <c r="EY505" s="165"/>
      <c r="EZ505" s="109">
        <f t="shared" si="562"/>
        <v>0</v>
      </c>
      <c r="FA505" s="109">
        <f t="shared" si="563"/>
        <v>0</v>
      </c>
      <c r="FB505" s="109"/>
      <c r="FC505" s="109"/>
      <c r="FD505" s="111"/>
      <c r="FE505" s="111"/>
      <c r="FF505" s="165"/>
      <c r="FG505" s="109">
        <f t="shared" si="564"/>
        <v>0</v>
      </c>
      <c r="FH505" s="109">
        <f t="shared" si="565"/>
        <v>0</v>
      </c>
      <c r="FI505" s="109"/>
      <c r="FJ505" s="109"/>
      <c r="FK505" s="111"/>
      <c r="FL505" s="111"/>
      <c r="FM505" s="165"/>
      <c r="FN505" s="109">
        <f t="shared" si="566"/>
        <v>0</v>
      </c>
      <c r="FO505" s="109">
        <f t="shared" si="567"/>
        <v>0</v>
      </c>
      <c r="FP505" s="109"/>
      <c r="FQ505" s="109"/>
      <c r="FR505" s="111"/>
      <c r="FS505" s="111"/>
      <c r="FT505" s="165"/>
      <c r="FU505" s="109">
        <f t="shared" si="568"/>
        <v>0</v>
      </c>
      <c r="FV505" s="109">
        <f t="shared" si="576"/>
        <v>0</v>
      </c>
      <c r="FW505" s="109"/>
      <c r="FX505" s="109"/>
      <c r="FY505" s="111"/>
      <c r="FZ505" s="111"/>
      <c r="GA505" s="165"/>
      <c r="GB505" s="109">
        <f t="shared" si="569"/>
        <v>0</v>
      </c>
      <c r="GC505" s="109">
        <f t="shared" si="577"/>
        <v>0</v>
      </c>
      <c r="GD505" s="109"/>
      <c r="GE505" s="109"/>
      <c r="GF505" s="111"/>
      <c r="GG505" s="111"/>
      <c r="GH505" s="165"/>
      <c r="GI505" s="109">
        <f t="shared" si="570"/>
        <v>0</v>
      </c>
      <c r="GJ505" s="109">
        <f t="shared" si="578"/>
        <v>0</v>
      </c>
      <c r="GK505" s="109"/>
      <c r="GL505" s="109"/>
      <c r="GM505" s="111"/>
      <c r="GN505" s="111"/>
      <c r="GO505" s="165"/>
      <c r="GP505" s="109">
        <f t="shared" si="571"/>
        <v>0</v>
      </c>
      <c r="GQ505" s="109">
        <f t="shared" si="579"/>
        <v>0</v>
      </c>
      <c r="GR505" s="109"/>
      <c r="GS505" s="109"/>
      <c r="GT505" s="111"/>
      <c r="GU505" s="111"/>
      <c r="GV505" s="165"/>
      <c r="GW505" s="168">
        <f t="shared" si="572"/>
        <v>0</v>
      </c>
      <c r="GX505" s="168">
        <f t="shared" si="580"/>
        <v>0</v>
      </c>
      <c r="GY505" s="168"/>
      <c r="GZ505" s="168"/>
      <c r="HA505" s="111"/>
      <c r="HB505" s="111"/>
      <c r="HC505" s="165"/>
      <c r="HD505" s="109">
        <f t="shared" si="573"/>
        <v>0</v>
      </c>
      <c r="HE505" s="109">
        <f t="shared" si="581"/>
        <v>0</v>
      </c>
      <c r="HF505" s="109"/>
      <c r="HG505" s="109"/>
      <c r="HH505" s="111"/>
      <c r="HI505" s="111"/>
      <c r="HJ505" s="165"/>
      <c r="HK505" s="109">
        <f t="shared" si="574"/>
        <v>0</v>
      </c>
      <c r="HL505" s="109">
        <f t="shared" si="582"/>
        <v>0</v>
      </c>
      <c r="HM505" s="109"/>
      <c r="HN505" s="109"/>
      <c r="HO505" s="111"/>
      <c r="HP505" s="111"/>
      <c r="HQ505" s="165"/>
      <c r="HR505" s="109">
        <f t="shared" si="575"/>
        <v>0</v>
      </c>
      <c r="HS505" s="109">
        <f t="shared" si="583"/>
        <v>0</v>
      </c>
      <c r="HT505" s="109"/>
      <c r="HU505" s="109"/>
      <c r="HV505" s="111"/>
      <c r="HW505" s="111"/>
      <c r="HX505" s="105">
        <f t="shared" si="551"/>
        <v>0</v>
      </c>
      <c r="HY505" s="105">
        <f t="shared" si="551"/>
        <v>0</v>
      </c>
      <c r="HZ505" s="105">
        <f t="shared" si="551"/>
        <v>0</v>
      </c>
      <c r="IA505" s="105">
        <f t="shared" si="545"/>
        <v>0</v>
      </c>
      <c r="IB505" s="109">
        <f t="shared" si="546"/>
        <v>0</v>
      </c>
      <c r="IC505" s="109">
        <f t="shared" si="547"/>
        <v>0</v>
      </c>
      <c r="ID505" s="109">
        <f t="shared" si="548"/>
        <v>0</v>
      </c>
      <c r="IE505" s="109">
        <f t="shared" si="549"/>
        <v>0</v>
      </c>
      <c r="IF505" s="197"/>
      <c r="IG505" s="197"/>
      <c r="IH505" s="197"/>
      <c r="II505" s="197"/>
      <c r="IJ505" s="197"/>
      <c r="IK505" s="197"/>
      <c r="IL505" s="197"/>
      <c r="IM505" s="171"/>
      <c r="IN505" s="171"/>
      <c r="IO505" s="171"/>
      <c r="IP505" s="171"/>
    </row>
    <row r="506" spans="1:250" ht="15" customHeight="1" x14ac:dyDescent="0.3">
      <c r="A506" s="110">
        <f t="shared" si="550"/>
        <v>502</v>
      </c>
      <c r="B506" s="111"/>
      <c r="C506" s="111"/>
      <c r="D506" s="111"/>
      <c r="E506" s="111"/>
      <c r="F506" s="111"/>
      <c r="G506" s="111"/>
      <c r="H506" s="111"/>
      <c r="I506" s="194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75"/>
      <c r="AI506" s="111"/>
      <c r="AJ506" s="111"/>
      <c r="AK506" s="111"/>
      <c r="AL506" s="177"/>
      <c r="AM506" s="176"/>
      <c r="AN506" s="177"/>
      <c r="AO506" s="157"/>
      <c r="AP506" s="158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  <c r="BG506" s="111"/>
      <c r="BH506" s="111"/>
      <c r="BI506" s="111"/>
      <c r="BJ506" s="111"/>
      <c r="BK506" s="111"/>
      <c r="BL506" s="175"/>
      <c r="BM506" s="111"/>
      <c r="BN506" s="111"/>
      <c r="BO506" s="111"/>
      <c r="BP506" s="111"/>
      <c r="BQ506" s="111"/>
      <c r="BR506" s="111"/>
      <c r="BS506" s="111"/>
      <c r="BT506" s="111"/>
      <c r="BU506" s="111"/>
      <c r="BV506" s="111"/>
      <c r="BW506" s="111"/>
      <c r="BX506" s="111"/>
      <c r="BY506" s="111"/>
      <c r="BZ506" s="111"/>
      <c r="CA506" s="111"/>
      <c r="CB506" s="111"/>
      <c r="CC506" s="178"/>
      <c r="CD506" s="177">
        <f t="shared" si="534"/>
        <v>0</v>
      </c>
      <c r="CE506" s="148"/>
      <c r="CF506" s="111">
        <f t="shared" si="535"/>
        <v>0</v>
      </c>
      <c r="CG506" s="177"/>
      <c r="CH506" s="204"/>
      <c r="CI506" s="148"/>
      <c r="CJ506" s="165"/>
      <c r="CK506" s="165"/>
      <c r="CL506" s="111"/>
      <c r="CM506" s="111"/>
      <c r="CN506" s="165">
        <f t="shared" si="536"/>
        <v>0</v>
      </c>
      <c r="CO506" s="109">
        <f t="shared" si="537"/>
        <v>0</v>
      </c>
      <c r="CP506" s="109">
        <f t="shared" si="538"/>
        <v>0</v>
      </c>
      <c r="CQ506" s="109"/>
      <c r="CR506" s="109"/>
      <c r="CS506" s="196"/>
      <c r="CT506" s="167"/>
      <c r="CU506" s="165"/>
      <c r="CV506" s="109">
        <f t="shared" si="539"/>
        <v>0</v>
      </c>
      <c r="CW506" s="109">
        <f t="shared" si="540"/>
        <v>0</v>
      </c>
      <c r="CX506" s="109"/>
      <c r="CY506" s="109"/>
      <c r="CZ506" s="111"/>
      <c r="DA506" s="111"/>
      <c r="DB506" s="165"/>
      <c r="DC506" s="109">
        <f t="shared" si="541"/>
        <v>0</v>
      </c>
      <c r="DD506" s="109">
        <f t="shared" si="542"/>
        <v>0</v>
      </c>
      <c r="DE506" s="109"/>
      <c r="DF506" s="109"/>
      <c r="DG506" s="111"/>
      <c r="DH506" s="111"/>
      <c r="DI506" s="165"/>
      <c r="DJ506" s="109">
        <f t="shared" si="543"/>
        <v>0</v>
      </c>
      <c r="DK506" s="109">
        <f t="shared" si="544"/>
        <v>0</v>
      </c>
      <c r="DL506" s="109"/>
      <c r="DM506" s="109"/>
      <c r="DN506" s="111"/>
      <c r="DO506" s="111"/>
      <c r="DP506" s="165"/>
      <c r="DQ506" s="109">
        <f t="shared" si="552"/>
        <v>0</v>
      </c>
      <c r="DR506" s="109">
        <f t="shared" si="553"/>
        <v>0</v>
      </c>
      <c r="DS506" s="109"/>
      <c r="DT506" s="109"/>
      <c r="DU506" s="111"/>
      <c r="DV506" s="111"/>
      <c r="DW506" s="165"/>
      <c r="DX506" s="109">
        <f t="shared" si="554"/>
        <v>0</v>
      </c>
      <c r="DY506" s="109">
        <f t="shared" si="555"/>
        <v>0</v>
      </c>
      <c r="DZ506" s="109"/>
      <c r="EA506" s="109"/>
      <c r="EB506" s="111"/>
      <c r="EC506" s="111"/>
      <c r="ED506" s="165"/>
      <c r="EE506" s="109">
        <f t="shared" si="556"/>
        <v>0</v>
      </c>
      <c r="EF506" s="109">
        <f t="shared" si="557"/>
        <v>0</v>
      </c>
      <c r="EG506" s="109"/>
      <c r="EH506" s="109"/>
      <c r="EI506" s="111"/>
      <c r="EJ506" s="111"/>
      <c r="EK506" s="165"/>
      <c r="EL506" s="109">
        <f t="shared" si="558"/>
        <v>0</v>
      </c>
      <c r="EM506" s="109">
        <f t="shared" si="559"/>
        <v>0</v>
      </c>
      <c r="EN506" s="109"/>
      <c r="EO506" s="109"/>
      <c r="EP506" s="111"/>
      <c r="EQ506" s="111"/>
      <c r="ER506" s="165"/>
      <c r="ES506" s="109">
        <f t="shared" si="560"/>
        <v>0</v>
      </c>
      <c r="ET506" s="109">
        <f t="shared" si="561"/>
        <v>0</v>
      </c>
      <c r="EU506" s="109"/>
      <c r="EV506" s="109"/>
      <c r="EW506" s="111"/>
      <c r="EX506" s="111"/>
      <c r="EY506" s="165"/>
      <c r="EZ506" s="109">
        <f t="shared" si="562"/>
        <v>0</v>
      </c>
      <c r="FA506" s="109">
        <f t="shared" si="563"/>
        <v>0</v>
      </c>
      <c r="FB506" s="109"/>
      <c r="FC506" s="109"/>
      <c r="FD506" s="111"/>
      <c r="FE506" s="111"/>
      <c r="FF506" s="165"/>
      <c r="FG506" s="109">
        <f t="shared" si="564"/>
        <v>0</v>
      </c>
      <c r="FH506" s="109">
        <f t="shared" si="565"/>
        <v>0</v>
      </c>
      <c r="FI506" s="109"/>
      <c r="FJ506" s="109"/>
      <c r="FK506" s="111"/>
      <c r="FL506" s="111"/>
      <c r="FM506" s="165"/>
      <c r="FN506" s="109">
        <f t="shared" si="566"/>
        <v>0</v>
      </c>
      <c r="FO506" s="109">
        <f t="shared" si="567"/>
        <v>0</v>
      </c>
      <c r="FP506" s="109"/>
      <c r="FQ506" s="109"/>
      <c r="FR506" s="111"/>
      <c r="FS506" s="111"/>
      <c r="FT506" s="165"/>
      <c r="FU506" s="109">
        <f t="shared" si="568"/>
        <v>0</v>
      </c>
      <c r="FV506" s="109">
        <f t="shared" si="576"/>
        <v>0</v>
      </c>
      <c r="FW506" s="109"/>
      <c r="FX506" s="109"/>
      <c r="FY506" s="111"/>
      <c r="FZ506" s="111"/>
      <c r="GA506" s="165"/>
      <c r="GB506" s="109">
        <f t="shared" si="569"/>
        <v>0</v>
      </c>
      <c r="GC506" s="109">
        <f t="shared" si="577"/>
        <v>0</v>
      </c>
      <c r="GD506" s="109"/>
      <c r="GE506" s="109"/>
      <c r="GF506" s="111"/>
      <c r="GG506" s="111"/>
      <c r="GH506" s="165"/>
      <c r="GI506" s="109">
        <f t="shared" si="570"/>
        <v>0</v>
      </c>
      <c r="GJ506" s="109">
        <f t="shared" si="578"/>
        <v>0</v>
      </c>
      <c r="GK506" s="109"/>
      <c r="GL506" s="109"/>
      <c r="GM506" s="111"/>
      <c r="GN506" s="111"/>
      <c r="GO506" s="165"/>
      <c r="GP506" s="109">
        <f t="shared" si="571"/>
        <v>0</v>
      </c>
      <c r="GQ506" s="109">
        <f t="shared" si="579"/>
        <v>0</v>
      </c>
      <c r="GR506" s="109"/>
      <c r="GS506" s="109"/>
      <c r="GT506" s="111"/>
      <c r="GU506" s="111"/>
      <c r="GV506" s="165"/>
      <c r="GW506" s="168">
        <f t="shared" si="572"/>
        <v>0</v>
      </c>
      <c r="GX506" s="168">
        <f t="shared" si="580"/>
        <v>0</v>
      </c>
      <c r="GY506" s="168"/>
      <c r="GZ506" s="168"/>
      <c r="HA506" s="111"/>
      <c r="HB506" s="111"/>
      <c r="HC506" s="165"/>
      <c r="HD506" s="109">
        <f t="shared" si="573"/>
        <v>0</v>
      </c>
      <c r="HE506" s="109">
        <f t="shared" si="581"/>
        <v>0</v>
      </c>
      <c r="HF506" s="109"/>
      <c r="HG506" s="109"/>
      <c r="HH506" s="111"/>
      <c r="HI506" s="111"/>
      <c r="HJ506" s="165"/>
      <c r="HK506" s="109">
        <f t="shared" si="574"/>
        <v>0</v>
      </c>
      <c r="HL506" s="109">
        <f t="shared" si="582"/>
        <v>0</v>
      </c>
      <c r="HM506" s="109"/>
      <c r="HN506" s="109"/>
      <c r="HO506" s="111"/>
      <c r="HP506" s="111"/>
      <c r="HQ506" s="165"/>
      <c r="HR506" s="109">
        <f t="shared" si="575"/>
        <v>0</v>
      </c>
      <c r="HS506" s="109">
        <f t="shared" si="583"/>
        <v>0</v>
      </c>
      <c r="HT506" s="109"/>
      <c r="HU506" s="109"/>
      <c r="HV506" s="111"/>
      <c r="HW506" s="111"/>
      <c r="HX506" s="105">
        <f t="shared" si="551"/>
        <v>0</v>
      </c>
      <c r="HY506" s="105">
        <f t="shared" si="551"/>
        <v>0</v>
      </c>
      <c r="HZ506" s="105">
        <f t="shared" si="551"/>
        <v>0</v>
      </c>
      <c r="IA506" s="105">
        <f t="shared" si="545"/>
        <v>0</v>
      </c>
      <c r="IB506" s="109">
        <f t="shared" si="546"/>
        <v>0</v>
      </c>
      <c r="IC506" s="109">
        <f t="shared" si="547"/>
        <v>0</v>
      </c>
      <c r="ID506" s="109">
        <f t="shared" si="548"/>
        <v>0</v>
      </c>
      <c r="IE506" s="109">
        <f t="shared" si="549"/>
        <v>0</v>
      </c>
      <c r="IF506" s="197"/>
      <c r="IG506" s="197"/>
      <c r="IH506" s="197"/>
      <c r="II506" s="197"/>
      <c r="IJ506" s="197"/>
      <c r="IK506" s="197"/>
      <c r="IL506" s="197"/>
      <c r="IM506" s="171"/>
      <c r="IN506" s="171"/>
      <c r="IO506" s="171"/>
      <c r="IP506" s="171"/>
    </row>
    <row r="507" spans="1:250" ht="15" customHeight="1" x14ac:dyDescent="0.3">
      <c r="A507" s="110">
        <f t="shared" si="550"/>
        <v>503</v>
      </c>
      <c r="B507" s="111"/>
      <c r="C507" s="111"/>
      <c r="D507" s="111"/>
      <c r="E507" s="111"/>
      <c r="F507" s="111"/>
      <c r="G507" s="111"/>
      <c r="H507" s="111"/>
      <c r="I507" s="194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75"/>
      <c r="AI507" s="111"/>
      <c r="AJ507" s="111"/>
      <c r="AK507" s="111"/>
      <c r="AL507" s="177"/>
      <c r="AM507" s="176"/>
      <c r="AN507" s="177"/>
      <c r="AO507" s="157"/>
      <c r="AP507" s="158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  <c r="BG507" s="111"/>
      <c r="BH507" s="111"/>
      <c r="BI507" s="111"/>
      <c r="BJ507" s="111"/>
      <c r="BK507" s="111"/>
      <c r="BL507" s="175"/>
      <c r="BM507" s="111"/>
      <c r="BN507" s="111"/>
      <c r="BO507" s="111"/>
      <c r="BP507" s="111"/>
      <c r="BQ507" s="111"/>
      <c r="BR507" s="111"/>
      <c r="BS507" s="111"/>
      <c r="BT507" s="111"/>
      <c r="BU507" s="111"/>
      <c r="BV507" s="111"/>
      <c r="BW507" s="111"/>
      <c r="BX507" s="111"/>
      <c r="BY507" s="111"/>
      <c r="BZ507" s="111"/>
      <c r="CA507" s="111"/>
      <c r="CB507" s="111"/>
      <c r="CC507" s="178"/>
      <c r="CD507" s="177">
        <f t="shared" si="534"/>
        <v>0</v>
      </c>
      <c r="CE507" s="148"/>
      <c r="CF507" s="111">
        <f t="shared" si="535"/>
        <v>0</v>
      </c>
      <c r="CG507" s="177"/>
      <c r="CH507" s="204"/>
      <c r="CI507" s="148"/>
      <c r="CJ507" s="165"/>
      <c r="CK507" s="165"/>
      <c r="CL507" s="111"/>
      <c r="CM507" s="111"/>
      <c r="CN507" s="165">
        <f t="shared" si="536"/>
        <v>0</v>
      </c>
      <c r="CO507" s="109">
        <f t="shared" si="537"/>
        <v>0</v>
      </c>
      <c r="CP507" s="109">
        <f t="shared" si="538"/>
        <v>0</v>
      </c>
      <c r="CQ507" s="109"/>
      <c r="CR507" s="109"/>
      <c r="CS507" s="196"/>
      <c r="CT507" s="167"/>
      <c r="CU507" s="165"/>
      <c r="CV507" s="109">
        <f t="shared" si="539"/>
        <v>0</v>
      </c>
      <c r="CW507" s="109">
        <f t="shared" si="540"/>
        <v>0</v>
      </c>
      <c r="CX507" s="109"/>
      <c r="CY507" s="109"/>
      <c r="CZ507" s="111"/>
      <c r="DA507" s="111"/>
      <c r="DB507" s="165"/>
      <c r="DC507" s="109">
        <f t="shared" si="541"/>
        <v>0</v>
      </c>
      <c r="DD507" s="109">
        <f t="shared" si="542"/>
        <v>0</v>
      </c>
      <c r="DE507" s="109"/>
      <c r="DF507" s="109"/>
      <c r="DG507" s="111"/>
      <c r="DH507" s="111"/>
      <c r="DI507" s="165"/>
      <c r="DJ507" s="109">
        <f t="shared" si="543"/>
        <v>0</v>
      </c>
      <c r="DK507" s="109">
        <f t="shared" si="544"/>
        <v>0</v>
      </c>
      <c r="DL507" s="109"/>
      <c r="DM507" s="109"/>
      <c r="DN507" s="111"/>
      <c r="DO507" s="111"/>
      <c r="DP507" s="165"/>
      <c r="DQ507" s="109">
        <f t="shared" si="552"/>
        <v>0</v>
      </c>
      <c r="DR507" s="109">
        <f t="shared" si="553"/>
        <v>0</v>
      </c>
      <c r="DS507" s="109"/>
      <c r="DT507" s="109"/>
      <c r="DU507" s="111"/>
      <c r="DV507" s="111"/>
      <c r="DW507" s="165"/>
      <c r="DX507" s="109">
        <f t="shared" si="554"/>
        <v>0</v>
      </c>
      <c r="DY507" s="109">
        <f t="shared" si="555"/>
        <v>0</v>
      </c>
      <c r="DZ507" s="109"/>
      <c r="EA507" s="109"/>
      <c r="EB507" s="111"/>
      <c r="EC507" s="111"/>
      <c r="ED507" s="165"/>
      <c r="EE507" s="109">
        <f t="shared" si="556"/>
        <v>0</v>
      </c>
      <c r="EF507" s="109">
        <f t="shared" si="557"/>
        <v>0</v>
      </c>
      <c r="EG507" s="109"/>
      <c r="EH507" s="109"/>
      <c r="EI507" s="111"/>
      <c r="EJ507" s="111"/>
      <c r="EK507" s="165"/>
      <c r="EL507" s="109">
        <f t="shared" si="558"/>
        <v>0</v>
      </c>
      <c r="EM507" s="109">
        <f t="shared" si="559"/>
        <v>0</v>
      </c>
      <c r="EN507" s="109"/>
      <c r="EO507" s="109"/>
      <c r="EP507" s="111"/>
      <c r="EQ507" s="111"/>
      <c r="ER507" s="165"/>
      <c r="ES507" s="109">
        <f t="shared" si="560"/>
        <v>0</v>
      </c>
      <c r="ET507" s="109">
        <f t="shared" si="561"/>
        <v>0</v>
      </c>
      <c r="EU507" s="109"/>
      <c r="EV507" s="109"/>
      <c r="EW507" s="111"/>
      <c r="EX507" s="111"/>
      <c r="EY507" s="165"/>
      <c r="EZ507" s="109">
        <f t="shared" si="562"/>
        <v>0</v>
      </c>
      <c r="FA507" s="109">
        <f t="shared" si="563"/>
        <v>0</v>
      </c>
      <c r="FB507" s="109"/>
      <c r="FC507" s="109"/>
      <c r="FD507" s="111"/>
      <c r="FE507" s="111"/>
      <c r="FF507" s="165"/>
      <c r="FG507" s="109">
        <f t="shared" si="564"/>
        <v>0</v>
      </c>
      <c r="FH507" s="109">
        <f t="shared" si="565"/>
        <v>0</v>
      </c>
      <c r="FI507" s="109"/>
      <c r="FJ507" s="109"/>
      <c r="FK507" s="111"/>
      <c r="FL507" s="111"/>
      <c r="FM507" s="165"/>
      <c r="FN507" s="109">
        <f t="shared" si="566"/>
        <v>0</v>
      </c>
      <c r="FO507" s="109">
        <f t="shared" si="567"/>
        <v>0</v>
      </c>
      <c r="FP507" s="109"/>
      <c r="FQ507" s="109"/>
      <c r="FR507" s="111"/>
      <c r="FS507" s="111"/>
      <c r="FT507" s="165"/>
      <c r="FU507" s="109">
        <f t="shared" si="568"/>
        <v>0</v>
      </c>
      <c r="FV507" s="109">
        <f t="shared" si="576"/>
        <v>0</v>
      </c>
      <c r="FW507" s="109"/>
      <c r="FX507" s="109"/>
      <c r="FY507" s="111"/>
      <c r="FZ507" s="111"/>
      <c r="GA507" s="165"/>
      <c r="GB507" s="109">
        <f t="shared" si="569"/>
        <v>0</v>
      </c>
      <c r="GC507" s="109">
        <f t="shared" si="577"/>
        <v>0</v>
      </c>
      <c r="GD507" s="109"/>
      <c r="GE507" s="109"/>
      <c r="GF507" s="111"/>
      <c r="GG507" s="111"/>
      <c r="GH507" s="165"/>
      <c r="GI507" s="109">
        <f t="shared" si="570"/>
        <v>0</v>
      </c>
      <c r="GJ507" s="109">
        <f t="shared" si="578"/>
        <v>0</v>
      </c>
      <c r="GK507" s="109"/>
      <c r="GL507" s="109"/>
      <c r="GM507" s="111"/>
      <c r="GN507" s="111"/>
      <c r="GO507" s="165"/>
      <c r="GP507" s="109">
        <f t="shared" si="571"/>
        <v>0</v>
      </c>
      <c r="GQ507" s="109">
        <f t="shared" si="579"/>
        <v>0</v>
      </c>
      <c r="GR507" s="109"/>
      <c r="GS507" s="109"/>
      <c r="GT507" s="111"/>
      <c r="GU507" s="111"/>
      <c r="GV507" s="165"/>
      <c r="GW507" s="168">
        <f t="shared" si="572"/>
        <v>0</v>
      </c>
      <c r="GX507" s="168">
        <f t="shared" si="580"/>
        <v>0</v>
      </c>
      <c r="GY507" s="168"/>
      <c r="GZ507" s="168"/>
      <c r="HA507" s="111"/>
      <c r="HB507" s="111"/>
      <c r="HC507" s="165"/>
      <c r="HD507" s="109">
        <f t="shared" si="573"/>
        <v>0</v>
      </c>
      <c r="HE507" s="109">
        <f t="shared" si="581"/>
        <v>0</v>
      </c>
      <c r="HF507" s="109"/>
      <c r="HG507" s="109"/>
      <c r="HH507" s="111"/>
      <c r="HI507" s="111"/>
      <c r="HJ507" s="165"/>
      <c r="HK507" s="109">
        <f t="shared" si="574"/>
        <v>0</v>
      </c>
      <c r="HL507" s="109">
        <f t="shared" si="582"/>
        <v>0</v>
      </c>
      <c r="HM507" s="109"/>
      <c r="HN507" s="109"/>
      <c r="HO507" s="111"/>
      <c r="HP507" s="111"/>
      <c r="HQ507" s="165"/>
      <c r="HR507" s="109">
        <f t="shared" si="575"/>
        <v>0</v>
      </c>
      <c r="HS507" s="109">
        <f t="shared" si="583"/>
        <v>0</v>
      </c>
      <c r="HT507" s="109"/>
      <c r="HU507" s="109"/>
      <c r="HV507" s="111"/>
      <c r="HW507" s="111"/>
      <c r="HX507" s="105">
        <f t="shared" si="551"/>
        <v>0</v>
      </c>
      <c r="HY507" s="105">
        <f t="shared" si="551"/>
        <v>0</v>
      </c>
      <c r="HZ507" s="105">
        <f t="shared" si="551"/>
        <v>0</v>
      </c>
      <c r="IA507" s="105">
        <f t="shared" si="545"/>
        <v>0</v>
      </c>
      <c r="IB507" s="109">
        <f t="shared" si="546"/>
        <v>0</v>
      </c>
      <c r="IC507" s="109">
        <f t="shared" si="547"/>
        <v>0</v>
      </c>
      <c r="ID507" s="109">
        <f t="shared" si="548"/>
        <v>0</v>
      </c>
      <c r="IE507" s="109">
        <f t="shared" si="549"/>
        <v>0</v>
      </c>
      <c r="IF507" s="197"/>
      <c r="IG507" s="197"/>
      <c r="IH507" s="197"/>
      <c r="II507" s="197"/>
      <c r="IJ507" s="197"/>
      <c r="IK507" s="197"/>
      <c r="IL507" s="197"/>
      <c r="IM507" s="171"/>
      <c r="IN507" s="171"/>
      <c r="IO507" s="171"/>
      <c r="IP507" s="171"/>
    </row>
    <row r="508" spans="1:250" ht="15" customHeight="1" x14ac:dyDescent="0.3">
      <c r="A508" s="198">
        <f t="shared" si="550"/>
        <v>504</v>
      </c>
      <c r="B508" s="111"/>
      <c r="C508" s="111"/>
      <c r="D508" s="111"/>
      <c r="E508" s="111"/>
      <c r="F508" s="111"/>
      <c r="G508" s="111"/>
      <c r="H508" s="111"/>
      <c r="I508" s="194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75"/>
      <c r="AI508" s="111"/>
      <c r="AJ508" s="111"/>
      <c r="AK508" s="111"/>
      <c r="AL508" s="177"/>
      <c r="AM508" s="176"/>
      <c r="AN508" s="177"/>
      <c r="AO508" s="157"/>
      <c r="AP508" s="158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1"/>
      <c r="BE508" s="111"/>
      <c r="BF508" s="111"/>
      <c r="BG508" s="111"/>
      <c r="BH508" s="111"/>
      <c r="BI508" s="111"/>
      <c r="BJ508" s="111"/>
      <c r="BK508" s="111"/>
      <c r="BL508" s="175"/>
      <c r="BM508" s="111"/>
      <c r="BN508" s="111"/>
      <c r="BO508" s="111"/>
      <c r="BP508" s="111"/>
      <c r="BQ508" s="111"/>
      <c r="BR508" s="111"/>
      <c r="BS508" s="111"/>
      <c r="BT508" s="111"/>
      <c r="BU508" s="111"/>
      <c r="BV508" s="111"/>
      <c r="BW508" s="111"/>
      <c r="BX508" s="111"/>
      <c r="BY508" s="111"/>
      <c r="BZ508" s="111"/>
      <c r="CA508" s="111"/>
      <c r="CB508" s="111"/>
      <c r="CC508" s="178"/>
      <c r="CD508" s="177">
        <f t="shared" si="534"/>
        <v>0</v>
      </c>
      <c r="CE508" s="148"/>
      <c r="CF508" s="111">
        <f t="shared" si="535"/>
        <v>0</v>
      </c>
      <c r="CG508" s="177"/>
      <c r="CH508" s="204"/>
      <c r="CI508" s="148"/>
      <c r="CJ508" s="165"/>
      <c r="CK508" s="165"/>
      <c r="CL508" s="111"/>
      <c r="CM508" s="111"/>
      <c r="CN508" s="165">
        <f t="shared" si="536"/>
        <v>0</v>
      </c>
      <c r="CO508" s="109">
        <f t="shared" si="537"/>
        <v>0</v>
      </c>
      <c r="CP508" s="109">
        <f t="shared" si="538"/>
        <v>0</v>
      </c>
      <c r="CQ508" s="109"/>
      <c r="CR508" s="109"/>
      <c r="CS508" s="196"/>
      <c r="CT508" s="167"/>
      <c r="CU508" s="165"/>
      <c r="CV508" s="109">
        <f t="shared" si="539"/>
        <v>0</v>
      </c>
      <c r="CW508" s="109">
        <f t="shared" si="540"/>
        <v>0</v>
      </c>
      <c r="CX508" s="109"/>
      <c r="CY508" s="109"/>
      <c r="CZ508" s="111"/>
      <c r="DA508" s="111"/>
      <c r="DB508" s="165"/>
      <c r="DC508" s="109">
        <f t="shared" si="541"/>
        <v>0</v>
      </c>
      <c r="DD508" s="109">
        <f t="shared" si="542"/>
        <v>0</v>
      </c>
      <c r="DE508" s="109"/>
      <c r="DF508" s="109"/>
      <c r="DG508" s="111"/>
      <c r="DH508" s="111"/>
      <c r="DI508" s="165"/>
      <c r="DJ508" s="109">
        <f t="shared" si="543"/>
        <v>0</v>
      </c>
      <c r="DK508" s="109">
        <f t="shared" si="544"/>
        <v>0</v>
      </c>
      <c r="DL508" s="109"/>
      <c r="DM508" s="109"/>
      <c r="DN508" s="111"/>
      <c r="DO508" s="111"/>
      <c r="DP508" s="165"/>
      <c r="DQ508" s="109">
        <f t="shared" si="552"/>
        <v>0</v>
      </c>
      <c r="DR508" s="109">
        <f t="shared" si="553"/>
        <v>0</v>
      </c>
      <c r="DS508" s="109"/>
      <c r="DT508" s="109"/>
      <c r="DU508" s="111"/>
      <c r="DV508" s="111"/>
      <c r="DW508" s="165"/>
      <c r="DX508" s="109">
        <f t="shared" si="554"/>
        <v>0</v>
      </c>
      <c r="DY508" s="109">
        <f t="shared" si="555"/>
        <v>0</v>
      </c>
      <c r="DZ508" s="109"/>
      <c r="EA508" s="109"/>
      <c r="EB508" s="111"/>
      <c r="EC508" s="111"/>
      <c r="ED508" s="165"/>
      <c r="EE508" s="109">
        <f t="shared" si="556"/>
        <v>0</v>
      </c>
      <c r="EF508" s="109">
        <f t="shared" si="557"/>
        <v>0</v>
      </c>
      <c r="EG508" s="109"/>
      <c r="EH508" s="109"/>
      <c r="EI508" s="111"/>
      <c r="EJ508" s="111"/>
      <c r="EK508" s="165"/>
      <c r="EL508" s="109">
        <f t="shared" si="558"/>
        <v>0</v>
      </c>
      <c r="EM508" s="109">
        <f t="shared" si="559"/>
        <v>0</v>
      </c>
      <c r="EN508" s="109"/>
      <c r="EO508" s="109"/>
      <c r="EP508" s="111"/>
      <c r="EQ508" s="111"/>
      <c r="ER508" s="165"/>
      <c r="ES508" s="109">
        <f t="shared" si="560"/>
        <v>0</v>
      </c>
      <c r="ET508" s="109">
        <f t="shared" si="561"/>
        <v>0</v>
      </c>
      <c r="EU508" s="109"/>
      <c r="EV508" s="109"/>
      <c r="EW508" s="111"/>
      <c r="EX508" s="111"/>
      <c r="EY508" s="165"/>
      <c r="EZ508" s="109">
        <f t="shared" si="562"/>
        <v>0</v>
      </c>
      <c r="FA508" s="109">
        <f t="shared" si="563"/>
        <v>0</v>
      </c>
      <c r="FB508" s="109"/>
      <c r="FC508" s="109"/>
      <c r="FD508" s="111"/>
      <c r="FE508" s="111"/>
      <c r="FF508" s="165"/>
      <c r="FG508" s="109">
        <f t="shared" si="564"/>
        <v>0</v>
      </c>
      <c r="FH508" s="109">
        <f t="shared" si="565"/>
        <v>0</v>
      </c>
      <c r="FI508" s="109"/>
      <c r="FJ508" s="109"/>
      <c r="FK508" s="111"/>
      <c r="FL508" s="111"/>
      <c r="FM508" s="165"/>
      <c r="FN508" s="109">
        <f t="shared" si="566"/>
        <v>0</v>
      </c>
      <c r="FO508" s="109">
        <f t="shared" si="567"/>
        <v>0</v>
      </c>
      <c r="FP508" s="109"/>
      <c r="FQ508" s="109"/>
      <c r="FR508" s="111"/>
      <c r="FS508" s="111"/>
      <c r="FT508" s="165"/>
      <c r="FU508" s="109">
        <f t="shared" si="568"/>
        <v>0</v>
      </c>
      <c r="FV508" s="109">
        <f t="shared" si="576"/>
        <v>0</v>
      </c>
      <c r="FW508" s="109"/>
      <c r="FX508" s="109"/>
      <c r="FY508" s="111"/>
      <c r="FZ508" s="111"/>
      <c r="GA508" s="165"/>
      <c r="GB508" s="109">
        <f t="shared" si="569"/>
        <v>0</v>
      </c>
      <c r="GC508" s="109">
        <f t="shared" si="577"/>
        <v>0</v>
      </c>
      <c r="GD508" s="109"/>
      <c r="GE508" s="109"/>
      <c r="GF508" s="111"/>
      <c r="GG508" s="111"/>
      <c r="GH508" s="165"/>
      <c r="GI508" s="109">
        <f t="shared" si="570"/>
        <v>0</v>
      </c>
      <c r="GJ508" s="109">
        <f t="shared" si="578"/>
        <v>0</v>
      </c>
      <c r="GK508" s="109"/>
      <c r="GL508" s="109"/>
      <c r="GM508" s="111"/>
      <c r="GN508" s="111"/>
      <c r="GO508" s="165"/>
      <c r="GP508" s="109">
        <f t="shared" si="571"/>
        <v>0</v>
      </c>
      <c r="GQ508" s="109">
        <f t="shared" si="579"/>
        <v>0</v>
      </c>
      <c r="GR508" s="109"/>
      <c r="GS508" s="109"/>
      <c r="GT508" s="111"/>
      <c r="GU508" s="111"/>
      <c r="GV508" s="165"/>
      <c r="GW508" s="168">
        <f t="shared" si="572"/>
        <v>0</v>
      </c>
      <c r="GX508" s="168">
        <f t="shared" si="580"/>
        <v>0</v>
      </c>
      <c r="GY508" s="168"/>
      <c r="GZ508" s="168"/>
      <c r="HA508" s="111"/>
      <c r="HB508" s="111"/>
      <c r="HC508" s="165"/>
      <c r="HD508" s="109">
        <f t="shared" si="573"/>
        <v>0</v>
      </c>
      <c r="HE508" s="109">
        <f t="shared" si="581"/>
        <v>0</v>
      </c>
      <c r="HF508" s="109"/>
      <c r="HG508" s="109"/>
      <c r="HH508" s="111"/>
      <c r="HI508" s="111"/>
      <c r="HJ508" s="165"/>
      <c r="HK508" s="109">
        <f t="shared" si="574"/>
        <v>0</v>
      </c>
      <c r="HL508" s="109">
        <f t="shared" si="582"/>
        <v>0</v>
      </c>
      <c r="HM508" s="109"/>
      <c r="HN508" s="109"/>
      <c r="HO508" s="111"/>
      <c r="HP508" s="111"/>
      <c r="HQ508" s="165"/>
      <c r="HR508" s="109">
        <f t="shared" si="575"/>
        <v>0</v>
      </c>
      <c r="HS508" s="109">
        <f t="shared" si="583"/>
        <v>0</v>
      </c>
      <c r="HT508" s="109"/>
      <c r="HU508" s="109"/>
      <c r="HV508" s="111"/>
      <c r="HW508" s="111"/>
      <c r="HX508" s="105">
        <f t="shared" si="551"/>
        <v>0</v>
      </c>
      <c r="HY508" s="105">
        <f t="shared" si="551"/>
        <v>0</v>
      </c>
      <c r="HZ508" s="105">
        <f t="shared" si="551"/>
        <v>0</v>
      </c>
      <c r="IA508" s="105">
        <f t="shared" si="545"/>
        <v>0</v>
      </c>
      <c r="IB508" s="109">
        <f t="shared" si="546"/>
        <v>0</v>
      </c>
      <c r="IC508" s="109">
        <f t="shared" si="547"/>
        <v>0</v>
      </c>
      <c r="ID508" s="109">
        <f t="shared" si="548"/>
        <v>0</v>
      </c>
      <c r="IE508" s="109">
        <f t="shared" si="549"/>
        <v>0</v>
      </c>
      <c r="IF508" s="199"/>
      <c r="IG508" s="199"/>
      <c r="IH508" s="199"/>
      <c r="II508" s="199"/>
      <c r="IJ508" s="199"/>
      <c r="IK508" s="199"/>
      <c r="IL508" s="199"/>
      <c r="IM508" s="171"/>
      <c r="IN508" s="171"/>
      <c r="IO508" s="171"/>
      <c r="IP508" s="171"/>
    </row>
    <row r="509" spans="1:250" ht="15" customHeight="1" x14ac:dyDescent="0.3">
      <c r="A509" s="111">
        <f t="shared" si="550"/>
        <v>505</v>
      </c>
      <c r="B509" s="111"/>
      <c r="C509" s="111"/>
      <c r="D509" s="111"/>
      <c r="E509" s="111"/>
      <c r="F509" s="111"/>
      <c r="G509" s="111"/>
      <c r="H509" s="111"/>
      <c r="I509" s="194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75"/>
      <c r="AI509" s="111"/>
      <c r="AJ509" s="111"/>
      <c r="AK509" s="111"/>
      <c r="AL509" s="177"/>
      <c r="AM509" s="176"/>
      <c r="AN509" s="177"/>
      <c r="AO509" s="157"/>
      <c r="AP509" s="158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  <c r="BG509" s="111"/>
      <c r="BH509" s="111"/>
      <c r="BI509" s="111"/>
      <c r="BJ509" s="111"/>
      <c r="BK509" s="111"/>
      <c r="BL509" s="175"/>
      <c r="BM509" s="111"/>
      <c r="BN509" s="111"/>
      <c r="BO509" s="111"/>
      <c r="BP509" s="111"/>
      <c r="BQ509" s="111"/>
      <c r="BR509" s="111"/>
      <c r="BS509" s="111"/>
      <c r="BT509" s="111"/>
      <c r="BU509" s="111"/>
      <c r="BV509" s="111"/>
      <c r="BW509" s="111"/>
      <c r="BX509" s="111"/>
      <c r="BY509" s="111"/>
      <c r="BZ509" s="111"/>
      <c r="CA509" s="111"/>
      <c r="CB509" s="111"/>
      <c r="CC509" s="178"/>
      <c r="CD509" s="177">
        <f t="shared" si="534"/>
        <v>0</v>
      </c>
      <c r="CE509" s="148"/>
      <c r="CF509" s="111">
        <f t="shared" si="535"/>
        <v>0</v>
      </c>
      <c r="CG509" s="177"/>
      <c r="CH509" s="204"/>
      <c r="CI509" s="148"/>
      <c r="CJ509" s="165"/>
      <c r="CK509" s="165"/>
      <c r="CL509" s="111"/>
      <c r="CM509" s="111"/>
      <c r="CN509" s="165">
        <f t="shared" si="536"/>
        <v>0</v>
      </c>
      <c r="CO509" s="109">
        <f t="shared" si="537"/>
        <v>0</v>
      </c>
      <c r="CP509" s="109">
        <f t="shared" si="538"/>
        <v>0</v>
      </c>
      <c r="CQ509" s="109"/>
      <c r="CR509" s="109"/>
      <c r="CS509" s="196"/>
      <c r="CT509" s="167"/>
      <c r="CU509" s="165"/>
      <c r="CV509" s="109">
        <f t="shared" si="539"/>
        <v>0</v>
      </c>
      <c r="CW509" s="109">
        <f t="shared" si="540"/>
        <v>0</v>
      </c>
      <c r="CX509" s="109"/>
      <c r="CY509" s="109"/>
      <c r="CZ509" s="111"/>
      <c r="DA509" s="111"/>
      <c r="DB509" s="165"/>
      <c r="DC509" s="109">
        <f t="shared" si="541"/>
        <v>0</v>
      </c>
      <c r="DD509" s="109">
        <f t="shared" si="542"/>
        <v>0</v>
      </c>
      <c r="DE509" s="109"/>
      <c r="DF509" s="109"/>
      <c r="DG509" s="111"/>
      <c r="DH509" s="111"/>
      <c r="DI509" s="165"/>
      <c r="DJ509" s="109">
        <f t="shared" si="543"/>
        <v>0</v>
      </c>
      <c r="DK509" s="109">
        <f t="shared" si="544"/>
        <v>0</v>
      </c>
      <c r="DL509" s="109"/>
      <c r="DM509" s="109"/>
      <c r="DN509" s="111"/>
      <c r="DO509" s="111"/>
      <c r="DP509" s="165"/>
      <c r="DQ509" s="109">
        <f t="shared" si="552"/>
        <v>0</v>
      </c>
      <c r="DR509" s="109">
        <f t="shared" si="553"/>
        <v>0</v>
      </c>
      <c r="DS509" s="109"/>
      <c r="DT509" s="109"/>
      <c r="DU509" s="111"/>
      <c r="DV509" s="111"/>
      <c r="DW509" s="165"/>
      <c r="DX509" s="109">
        <f t="shared" si="554"/>
        <v>0</v>
      </c>
      <c r="DY509" s="109">
        <f t="shared" si="555"/>
        <v>0</v>
      </c>
      <c r="DZ509" s="109"/>
      <c r="EA509" s="109"/>
      <c r="EB509" s="111"/>
      <c r="EC509" s="111"/>
      <c r="ED509" s="165"/>
      <c r="EE509" s="109">
        <f t="shared" si="556"/>
        <v>0</v>
      </c>
      <c r="EF509" s="109">
        <f t="shared" si="557"/>
        <v>0</v>
      </c>
      <c r="EG509" s="109"/>
      <c r="EH509" s="109"/>
      <c r="EI509" s="111"/>
      <c r="EJ509" s="111"/>
      <c r="EK509" s="165"/>
      <c r="EL509" s="109">
        <f t="shared" si="558"/>
        <v>0</v>
      </c>
      <c r="EM509" s="109">
        <f t="shared" si="559"/>
        <v>0</v>
      </c>
      <c r="EN509" s="109">
        <v>0</v>
      </c>
      <c r="EO509" s="109"/>
      <c r="EP509" s="111"/>
      <c r="EQ509" s="111"/>
      <c r="ER509" s="165"/>
      <c r="ES509" s="109">
        <f t="shared" si="560"/>
        <v>0</v>
      </c>
      <c r="ET509" s="109">
        <f t="shared" si="561"/>
        <v>0</v>
      </c>
      <c r="EU509" s="109">
        <v>0</v>
      </c>
      <c r="EV509" s="109"/>
      <c r="EW509" s="111"/>
      <c r="EX509" s="111"/>
      <c r="EY509" s="165"/>
      <c r="EZ509" s="109">
        <f t="shared" si="562"/>
        <v>0</v>
      </c>
      <c r="FA509" s="109">
        <f t="shared" si="563"/>
        <v>0</v>
      </c>
      <c r="FB509" s="109">
        <v>0</v>
      </c>
      <c r="FC509" s="109"/>
      <c r="FD509" s="111"/>
      <c r="FE509" s="111"/>
      <c r="FF509" s="165"/>
      <c r="FG509" s="109">
        <f t="shared" si="564"/>
        <v>0</v>
      </c>
      <c r="FH509" s="109">
        <f t="shared" si="565"/>
        <v>0</v>
      </c>
      <c r="FI509" s="109">
        <v>0</v>
      </c>
      <c r="FJ509" s="109"/>
      <c r="FK509" s="111"/>
      <c r="FL509" s="111"/>
      <c r="FM509" s="165"/>
      <c r="FN509" s="109">
        <f t="shared" si="566"/>
        <v>0</v>
      </c>
      <c r="FO509" s="109">
        <f t="shared" si="567"/>
        <v>0</v>
      </c>
      <c r="FP509" s="109">
        <v>0</v>
      </c>
      <c r="FQ509" s="109"/>
      <c r="FR509" s="111"/>
      <c r="FS509" s="111"/>
      <c r="FT509" s="165"/>
      <c r="FU509" s="109">
        <f t="shared" si="568"/>
        <v>0</v>
      </c>
      <c r="FV509" s="109">
        <f t="shared" si="576"/>
        <v>0</v>
      </c>
      <c r="FW509" s="109">
        <v>0</v>
      </c>
      <c r="FX509" s="109"/>
      <c r="FY509" s="111"/>
      <c r="FZ509" s="111"/>
      <c r="GA509" s="165"/>
      <c r="GB509" s="109">
        <f t="shared" si="569"/>
        <v>0</v>
      </c>
      <c r="GC509" s="109">
        <f t="shared" si="577"/>
        <v>0</v>
      </c>
      <c r="GD509" s="109">
        <v>0</v>
      </c>
      <c r="GE509" s="109"/>
      <c r="GF509" s="111"/>
      <c r="GG509" s="111"/>
      <c r="GH509" s="165"/>
      <c r="GI509" s="109">
        <f t="shared" si="570"/>
        <v>0</v>
      </c>
      <c r="GJ509" s="109">
        <f t="shared" si="578"/>
        <v>0</v>
      </c>
      <c r="GK509" s="109">
        <v>0</v>
      </c>
      <c r="GL509" s="109"/>
      <c r="GM509" s="111"/>
      <c r="GN509" s="111"/>
      <c r="GO509" s="165"/>
      <c r="GP509" s="109">
        <f t="shared" si="571"/>
        <v>0</v>
      </c>
      <c r="GQ509" s="109">
        <f t="shared" si="579"/>
        <v>0</v>
      </c>
      <c r="GR509" s="109">
        <v>0</v>
      </c>
      <c r="GS509" s="109"/>
      <c r="GT509" s="111"/>
      <c r="GU509" s="111"/>
      <c r="GV509" s="165"/>
      <c r="GW509" s="168">
        <f t="shared" si="572"/>
        <v>0</v>
      </c>
      <c r="GX509" s="168">
        <f t="shared" si="580"/>
        <v>0</v>
      </c>
      <c r="GY509" s="168">
        <v>0</v>
      </c>
      <c r="GZ509" s="168"/>
      <c r="HA509" s="111"/>
      <c r="HB509" s="111"/>
      <c r="HC509" s="165"/>
      <c r="HD509" s="109">
        <f t="shared" si="573"/>
        <v>0</v>
      </c>
      <c r="HE509" s="109">
        <f t="shared" si="581"/>
        <v>0</v>
      </c>
      <c r="HF509" s="109">
        <v>0</v>
      </c>
      <c r="HG509" s="109"/>
      <c r="HH509" s="111"/>
      <c r="HI509" s="111"/>
      <c r="HJ509" s="165"/>
      <c r="HK509" s="109">
        <f t="shared" si="574"/>
        <v>0</v>
      </c>
      <c r="HL509" s="109">
        <f t="shared" si="582"/>
        <v>0</v>
      </c>
      <c r="HM509" s="109">
        <v>0</v>
      </c>
      <c r="HN509" s="109"/>
      <c r="HO509" s="111"/>
      <c r="HP509" s="111"/>
      <c r="HQ509" s="165"/>
      <c r="HR509" s="109">
        <f t="shared" si="575"/>
        <v>0</v>
      </c>
      <c r="HS509" s="109">
        <f t="shared" si="583"/>
        <v>0</v>
      </c>
      <c r="HT509" s="109">
        <v>0</v>
      </c>
      <c r="HU509" s="109"/>
      <c r="HV509" s="111"/>
      <c r="HW509" s="111"/>
      <c r="HX509" s="105">
        <f t="shared" si="551"/>
        <v>0</v>
      </c>
      <c r="HY509" s="105">
        <f t="shared" si="551"/>
        <v>0</v>
      </c>
      <c r="HZ509" s="105">
        <f t="shared" si="551"/>
        <v>0</v>
      </c>
      <c r="IA509" s="105">
        <f t="shared" si="545"/>
        <v>0</v>
      </c>
      <c r="IB509" s="109">
        <f t="shared" si="546"/>
        <v>0</v>
      </c>
      <c r="IC509" s="109">
        <f t="shared" si="547"/>
        <v>0</v>
      </c>
      <c r="ID509" s="109">
        <f t="shared" si="548"/>
        <v>0</v>
      </c>
      <c r="IE509" s="109">
        <f t="shared" si="549"/>
        <v>0</v>
      </c>
      <c r="IF509" s="197"/>
      <c r="IG509" s="197"/>
      <c r="IH509" s="197"/>
      <c r="II509" s="197"/>
      <c r="IJ509" s="197"/>
      <c r="IK509" s="197"/>
      <c r="IL509" s="197"/>
      <c r="IM509" s="171"/>
      <c r="IN509" s="171"/>
      <c r="IO509" s="171"/>
      <c r="IP509" s="171"/>
    </row>
    <row r="510" spans="1:250" ht="15" customHeight="1" x14ac:dyDescent="0.3">
      <c r="AL510" s="112"/>
      <c r="AM510" s="113"/>
      <c r="AN510" s="112"/>
      <c r="AO510" s="114"/>
      <c r="AP510" s="115"/>
      <c r="CD510" s="112"/>
      <c r="CE510" s="116"/>
      <c r="CG510" s="112"/>
      <c r="CI510" s="116"/>
      <c r="CJ510" s="117"/>
      <c r="CK510" s="117"/>
      <c r="CN510" s="117"/>
      <c r="CO510" s="106"/>
      <c r="CP510" s="106"/>
      <c r="CQ510" s="106"/>
      <c r="CR510" s="106"/>
      <c r="CS510" s="118"/>
      <c r="CU510" s="117"/>
      <c r="CV510" s="106"/>
      <c r="CW510" s="106"/>
      <c r="CX510" s="106"/>
      <c r="CY510" s="106"/>
      <c r="DC510" s="106"/>
      <c r="DD510" s="106"/>
      <c r="DE510" s="106"/>
      <c r="DF510" s="106"/>
      <c r="DJ510" s="106"/>
      <c r="DK510" s="106"/>
      <c r="DL510" s="106"/>
      <c r="DM510" s="106"/>
      <c r="DQ510" s="106"/>
      <c r="DR510" s="106"/>
      <c r="DS510" s="106"/>
      <c r="DT510" s="106"/>
      <c r="DX510" s="106"/>
      <c r="DY510" s="106"/>
      <c r="DZ510" s="106"/>
      <c r="EA510" s="106"/>
      <c r="EE510" s="106"/>
      <c r="EF510" s="106"/>
      <c r="EG510" s="106"/>
      <c r="EH510" s="106"/>
      <c r="EL510" s="106"/>
      <c r="EM510" s="106"/>
      <c r="EN510" s="106"/>
      <c r="EO510" s="106"/>
      <c r="ES510" s="106"/>
      <c r="ET510" s="106"/>
      <c r="EU510" s="106"/>
      <c r="EV510" s="106"/>
      <c r="EZ510" s="106"/>
      <c r="FA510" s="106"/>
      <c r="FB510" s="106"/>
      <c r="FC510" s="106"/>
      <c r="FG510" s="106"/>
      <c r="FH510" s="106"/>
      <c r="FI510" s="106"/>
      <c r="FJ510" s="106"/>
      <c r="FN510" s="106"/>
      <c r="FO510" s="106"/>
      <c r="FP510" s="106"/>
      <c r="FQ510" s="106"/>
      <c r="FU510" s="106"/>
      <c r="FV510" s="106"/>
      <c r="FW510" s="106"/>
      <c r="FX510" s="106"/>
      <c r="GB510" s="106"/>
      <c r="GC510" s="106"/>
      <c r="GD510" s="106"/>
      <c r="GE510" s="106"/>
      <c r="GI510" s="106"/>
      <c r="GJ510" s="106"/>
      <c r="GK510" s="106"/>
      <c r="GL510" s="106"/>
      <c r="GP510" s="106"/>
      <c r="GQ510" s="106"/>
      <c r="GR510" s="106"/>
      <c r="GS510" s="106"/>
      <c r="GW510" s="120"/>
      <c r="GX510" s="120"/>
      <c r="GY510" s="120"/>
      <c r="GZ510" s="120"/>
      <c r="HD510" s="106"/>
      <c r="HE510" s="106"/>
      <c r="HF510" s="106"/>
      <c r="HG510" s="106"/>
      <c r="HK510" s="106"/>
      <c r="HL510" s="106"/>
      <c r="HM510" s="106"/>
      <c r="HN510" s="106"/>
      <c r="HR510" s="106"/>
      <c r="HS510" s="106"/>
      <c r="HT510" s="106"/>
      <c r="HU510" s="106"/>
      <c r="HX510" s="121"/>
      <c r="HY510" s="121"/>
      <c r="HZ510" s="121"/>
      <c r="IA510" s="121"/>
      <c r="IB510" s="106"/>
      <c r="IC510" s="106"/>
      <c r="ID510" s="106"/>
      <c r="IE510" s="106"/>
      <c r="IF510" s="106"/>
      <c r="IG510" s="106"/>
      <c r="IH510" s="106"/>
      <c r="II510" s="106"/>
      <c r="IJ510" s="106"/>
      <c r="IK510" s="106"/>
      <c r="IL510" s="106"/>
    </row>
    <row r="511" spans="1:250" ht="15" customHeight="1" x14ac:dyDescent="0.3">
      <c r="A511" s="122"/>
      <c r="B511" s="123" t="s">
        <v>1262</v>
      </c>
      <c r="C511" s="123"/>
      <c r="D511" s="122"/>
      <c r="E511" s="122"/>
      <c r="F511" s="122"/>
      <c r="G511" s="122"/>
      <c r="H511" s="122"/>
      <c r="I511" s="124"/>
      <c r="J511" s="122"/>
      <c r="K511" s="122"/>
      <c r="L511" s="122"/>
      <c r="M511" s="123" t="s">
        <v>1262</v>
      </c>
      <c r="N511" s="122"/>
      <c r="O511" s="122"/>
      <c r="P511" s="122"/>
      <c r="Q511" s="122"/>
      <c r="R511" s="122"/>
      <c r="S511" s="122"/>
      <c r="T511" s="123" t="s">
        <v>1262</v>
      </c>
      <c r="U511" s="122"/>
      <c r="V511" s="122"/>
      <c r="W511" s="122"/>
      <c r="X511" s="122"/>
      <c r="Y511" s="122"/>
      <c r="Z511" s="122"/>
      <c r="AA511" s="123" t="s">
        <v>1262</v>
      </c>
      <c r="AB511" s="122"/>
      <c r="AC511" s="122"/>
      <c r="AD511" s="122"/>
      <c r="AE511" s="122"/>
      <c r="AF511" s="122"/>
      <c r="AG511" s="123" t="s">
        <v>1262</v>
      </c>
      <c r="AH511" s="125"/>
      <c r="AI511" s="122"/>
      <c r="AJ511" s="122"/>
      <c r="AK511" s="122"/>
      <c r="AL511" s="126"/>
      <c r="AM511" s="127"/>
      <c r="AN511" s="126"/>
      <c r="AO511" s="123" t="s">
        <v>1262</v>
      </c>
      <c r="AP511" s="128"/>
      <c r="AQ511" s="122"/>
      <c r="AR511" s="122"/>
      <c r="AS511" s="122"/>
      <c r="AT511" s="122"/>
      <c r="AU511" s="123" t="s">
        <v>1262</v>
      </c>
      <c r="AV511" s="122"/>
      <c r="AW511" s="122"/>
      <c r="AX511" s="122"/>
      <c r="AY511" s="122"/>
      <c r="AZ511" s="123" t="s">
        <v>1262</v>
      </c>
      <c r="BA511" s="122"/>
      <c r="BB511" s="122"/>
      <c r="BC511" s="122"/>
      <c r="BD511" s="122"/>
      <c r="BE511" s="122"/>
      <c r="BF511" s="122"/>
      <c r="BG511" s="122"/>
      <c r="BH511" s="123" t="s">
        <v>1262</v>
      </c>
      <c r="BI511" s="122"/>
      <c r="BJ511" s="122"/>
      <c r="BK511" s="122"/>
      <c r="BL511" s="125"/>
      <c r="BM511" s="122"/>
      <c r="BN511" s="123" t="s">
        <v>1262</v>
      </c>
      <c r="BO511" s="122"/>
      <c r="BP511" s="122"/>
      <c r="BQ511" s="122"/>
      <c r="BR511" s="122"/>
      <c r="BS511" s="122"/>
      <c r="BT511" s="122"/>
      <c r="BU511" s="123" t="s">
        <v>1262</v>
      </c>
      <c r="BV511" s="122"/>
      <c r="BW511" s="122"/>
      <c r="BX511" s="122"/>
      <c r="BY511" s="122"/>
      <c r="BZ511" s="122"/>
      <c r="CA511" s="122"/>
      <c r="CB511" s="123" t="s">
        <v>1262</v>
      </c>
      <c r="CC511" s="129"/>
      <c r="CD511" s="126"/>
      <c r="CE511" s="130"/>
      <c r="CF511" s="122"/>
      <c r="CG511" s="126"/>
      <c r="CI511" s="130"/>
      <c r="CJ511" s="131"/>
      <c r="CK511" s="131"/>
      <c r="CL511" s="123" t="s">
        <v>1262</v>
      </c>
      <c r="CM511" s="123"/>
      <c r="CN511" s="131"/>
      <c r="CO511" s="132"/>
      <c r="CP511" s="132"/>
      <c r="CQ511" s="132"/>
      <c r="CR511" s="132"/>
      <c r="CS511" s="133"/>
      <c r="CT511" s="134"/>
      <c r="CU511" s="131"/>
      <c r="CV511" s="132"/>
      <c r="CW511" s="132"/>
      <c r="CX511" s="135" t="s">
        <v>1262</v>
      </c>
      <c r="CY511" s="135"/>
      <c r="CZ511" s="122"/>
      <c r="DA511" s="122"/>
      <c r="DB511" s="122"/>
      <c r="DC511" s="132"/>
      <c r="DD511" s="132"/>
      <c r="DE511" s="132"/>
      <c r="DF511" s="132"/>
      <c r="DG511" s="122"/>
      <c r="DH511" s="122"/>
      <c r="DI511" s="122"/>
      <c r="DJ511" s="132"/>
      <c r="DK511" s="135" t="s">
        <v>1262</v>
      </c>
      <c r="DL511" s="132"/>
      <c r="DM511" s="132"/>
      <c r="DN511" s="122"/>
      <c r="DO511" s="122"/>
      <c r="DP511" s="122"/>
      <c r="DQ511" s="132"/>
      <c r="DR511" s="132"/>
      <c r="DS511" s="132"/>
      <c r="DT511" s="132"/>
      <c r="DU511" s="123" t="s">
        <v>1262</v>
      </c>
      <c r="DV511" s="123"/>
      <c r="DW511" s="122"/>
      <c r="DX511" s="132"/>
      <c r="DY511" s="132"/>
      <c r="DZ511" s="132"/>
      <c r="EA511" s="132"/>
      <c r="EB511" s="122"/>
      <c r="EC511" s="122"/>
      <c r="ED511" s="122"/>
      <c r="EE511" s="132"/>
      <c r="EF511" s="132"/>
      <c r="EG511" s="132"/>
      <c r="EH511" s="132"/>
      <c r="EI511" s="123" t="s">
        <v>1262</v>
      </c>
      <c r="EJ511" s="123"/>
      <c r="EK511" s="122"/>
      <c r="EL511" s="132"/>
      <c r="EM511" s="132"/>
      <c r="EN511" s="132"/>
      <c r="EO511" s="132"/>
      <c r="EP511" s="122"/>
      <c r="EQ511" s="122"/>
      <c r="ER511" s="122"/>
      <c r="ES511" s="132"/>
      <c r="ET511" s="135" t="s">
        <v>1262</v>
      </c>
      <c r="EU511" s="132"/>
      <c r="EV511" s="132"/>
      <c r="EW511" s="122"/>
      <c r="EX511" s="122"/>
      <c r="EY511" s="122"/>
      <c r="EZ511" s="132"/>
      <c r="FA511" s="132"/>
      <c r="FB511" s="132"/>
      <c r="FC511" s="132"/>
      <c r="FD511" s="122"/>
      <c r="FE511" s="122"/>
      <c r="FF511" s="122"/>
      <c r="FG511" s="135" t="s">
        <v>1262</v>
      </c>
      <c r="FH511" s="132"/>
      <c r="FI511" s="132"/>
      <c r="FJ511" s="132"/>
      <c r="FK511" s="122"/>
      <c r="FL511" s="122"/>
      <c r="FM511" s="122"/>
      <c r="FN511" s="132"/>
      <c r="FO511" s="132"/>
      <c r="FP511" s="132"/>
      <c r="FQ511" s="132"/>
      <c r="FR511" s="123" t="s">
        <v>1262</v>
      </c>
      <c r="FS511" s="123"/>
      <c r="FT511" s="122"/>
      <c r="FU511" s="132"/>
      <c r="FV511" s="132"/>
      <c r="FW511" s="132"/>
      <c r="FX511" s="132"/>
      <c r="FY511" s="122"/>
      <c r="FZ511" s="122"/>
      <c r="GA511" s="122"/>
      <c r="GB511" s="132"/>
      <c r="GC511" s="132"/>
      <c r="GD511" s="135" t="s">
        <v>1262</v>
      </c>
      <c r="GE511" s="135"/>
      <c r="GF511" s="122"/>
      <c r="GG511" s="122"/>
      <c r="GH511" s="122"/>
      <c r="GI511" s="132"/>
      <c r="GJ511" s="132"/>
      <c r="GK511" s="132"/>
      <c r="GL511" s="132"/>
      <c r="GM511" s="122"/>
      <c r="GN511" s="122"/>
      <c r="GO511" s="122"/>
      <c r="GP511" s="135" t="s">
        <v>1262</v>
      </c>
      <c r="GQ511" s="132"/>
      <c r="GR511" s="132"/>
      <c r="GS511" s="132"/>
      <c r="GT511" s="122"/>
      <c r="GU511" s="122"/>
      <c r="GV511" s="122"/>
      <c r="GW511" s="136"/>
      <c r="GX511" s="136"/>
      <c r="GY511" s="136"/>
      <c r="GZ511" s="136"/>
      <c r="HA511" s="123" t="s">
        <v>1262</v>
      </c>
      <c r="HB511" s="123"/>
      <c r="HC511" s="122"/>
      <c r="HD511" s="132"/>
      <c r="HE511" s="132"/>
      <c r="HF511" s="132"/>
      <c r="HG511" s="132"/>
      <c r="HH511" s="122"/>
      <c r="HI511" s="122"/>
      <c r="HJ511" s="122"/>
      <c r="HK511" s="132"/>
      <c r="HL511" s="135" t="s">
        <v>1262</v>
      </c>
      <c r="HM511" s="132"/>
      <c r="HN511" s="132"/>
      <c r="HO511" s="122"/>
      <c r="HP511" s="122"/>
      <c r="HQ511" s="122"/>
      <c r="HR511" s="132"/>
      <c r="HS511" s="132"/>
      <c r="HT511" s="132"/>
      <c r="HU511" s="132"/>
      <c r="HV511" s="122"/>
      <c r="HW511" s="122"/>
      <c r="HX511" s="137"/>
      <c r="HY511" s="137"/>
      <c r="HZ511" s="137"/>
      <c r="IA511" s="137"/>
      <c r="IB511" s="132"/>
      <c r="IC511" s="132"/>
      <c r="ID511" s="132"/>
      <c r="IE511" s="132"/>
      <c r="IF511" s="132"/>
      <c r="IG511" s="132"/>
      <c r="IH511" s="132"/>
      <c r="II511" s="132"/>
      <c r="IJ511" s="132"/>
      <c r="IK511" s="132"/>
      <c r="IL511" s="132"/>
    </row>
    <row r="512" spans="1:250" ht="15" customHeight="1" x14ac:dyDescent="0.3">
      <c r="AL512" s="112"/>
      <c r="AM512" s="113"/>
      <c r="AN512" s="112"/>
      <c r="AO512" s="114"/>
      <c r="AP512" s="115"/>
      <c r="CD512" s="112"/>
      <c r="CE512" s="116"/>
      <c r="CG512" s="112"/>
      <c r="CI512" s="116"/>
      <c r="CJ512" s="117"/>
      <c r="CK512" s="117"/>
      <c r="CN512" s="117"/>
      <c r="CO512" s="106"/>
      <c r="CP512" s="106"/>
      <c r="CQ512" s="106"/>
      <c r="CR512" s="106"/>
      <c r="CS512" s="118"/>
      <c r="CU512" s="117"/>
      <c r="CV512" s="106"/>
      <c r="CW512" s="106"/>
      <c r="CX512" s="106"/>
      <c r="CY512" s="106"/>
      <c r="DC512" s="106"/>
      <c r="DD512" s="106"/>
      <c r="DE512" s="106"/>
      <c r="DF512" s="106"/>
      <c r="DJ512" s="106"/>
      <c r="DK512" s="106"/>
      <c r="DL512" s="106"/>
      <c r="DM512" s="106"/>
      <c r="DQ512" s="106"/>
      <c r="DR512" s="106"/>
      <c r="DS512" s="106"/>
      <c r="DT512" s="106"/>
      <c r="DX512" s="106"/>
      <c r="DY512" s="106"/>
      <c r="DZ512" s="106"/>
      <c r="EA512" s="106"/>
      <c r="EE512" s="106"/>
      <c r="EF512" s="106"/>
      <c r="EG512" s="106"/>
      <c r="EH512" s="106"/>
      <c r="EL512" s="106"/>
      <c r="EM512" s="106"/>
      <c r="EN512" s="106"/>
      <c r="EO512" s="106"/>
      <c r="ES512" s="106"/>
      <c r="ET512" s="106"/>
      <c r="EU512" s="106"/>
      <c r="EV512" s="106"/>
      <c r="EZ512" s="106"/>
      <c r="FA512" s="106"/>
      <c r="FB512" s="106"/>
      <c r="FC512" s="106"/>
      <c r="FG512" s="106"/>
      <c r="FH512" s="106"/>
      <c r="FI512" s="106"/>
      <c r="FJ512" s="106"/>
      <c r="FN512" s="106"/>
      <c r="FO512" s="106"/>
      <c r="FP512" s="106"/>
      <c r="FQ512" s="106"/>
      <c r="FU512" s="106"/>
      <c r="FV512" s="106"/>
      <c r="FW512" s="106"/>
      <c r="FX512" s="106"/>
      <c r="GB512" s="106"/>
      <c r="GC512" s="106"/>
      <c r="GD512" s="106"/>
      <c r="GE512" s="106"/>
      <c r="GI512" s="106"/>
      <c r="GJ512" s="106"/>
      <c r="GK512" s="106"/>
      <c r="GL512" s="106"/>
      <c r="GP512" s="106"/>
      <c r="GQ512" s="106"/>
      <c r="GR512" s="106"/>
      <c r="GS512" s="106"/>
      <c r="GW512" s="120"/>
      <c r="GX512" s="120"/>
      <c r="GY512" s="120"/>
      <c r="GZ512" s="120"/>
      <c r="HD512" s="106"/>
      <c r="HE512" s="106"/>
      <c r="HF512" s="106"/>
      <c r="HG512" s="106"/>
      <c r="HK512" s="106"/>
      <c r="HL512" s="106"/>
      <c r="HM512" s="106"/>
      <c r="HN512" s="106"/>
      <c r="HR512" s="106"/>
      <c r="HS512" s="106"/>
      <c r="HT512" s="106"/>
      <c r="HU512" s="106"/>
      <c r="HX512" s="121"/>
      <c r="HY512" s="121"/>
      <c r="HZ512" s="121"/>
      <c r="IA512" s="121"/>
      <c r="IB512" s="106"/>
      <c r="IC512" s="106"/>
      <c r="ID512" s="106"/>
      <c r="IE512" s="106"/>
      <c r="IF512" s="106"/>
      <c r="IG512" s="106"/>
      <c r="IH512" s="106"/>
      <c r="II512" s="106"/>
      <c r="IJ512" s="106"/>
      <c r="IK512" s="106"/>
      <c r="IL512" s="106"/>
    </row>
    <row r="513" spans="92:246" ht="18" customHeight="1" thickBot="1" x14ac:dyDescent="0.4">
      <c r="CN513" s="117"/>
      <c r="CO513" s="138"/>
      <c r="CQ513" s="138"/>
      <c r="CR513" s="138"/>
      <c r="CS513" s="140"/>
      <c r="CU513" s="117"/>
      <c r="CX513" s="138"/>
      <c r="CY513" s="138"/>
      <c r="DB513" s="117"/>
      <c r="HX513" s="142">
        <f t="shared" ref="HX513:IC513" si="584">SUM(HX5:HX512)</f>
        <v>1211298.9606731089</v>
      </c>
      <c r="HY513" s="142">
        <f t="shared" si="584"/>
        <v>162725.42588151243</v>
      </c>
      <c r="HZ513" s="142">
        <f t="shared" si="584"/>
        <v>1374024.3865546219</v>
      </c>
      <c r="IA513" s="142">
        <f t="shared" si="584"/>
        <v>0</v>
      </c>
      <c r="IB513" s="142">
        <f t="shared" si="584"/>
        <v>14667911.698445382</v>
      </c>
      <c r="IC513" s="142">
        <f t="shared" si="584"/>
        <v>12928940.299326889</v>
      </c>
      <c r="ID513" s="142"/>
      <c r="IE513" s="143"/>
      <c r="IF513" s="143"/>
      <c r="IG513" s="143"/>
      <c r="IH513" s="143"/>
      <c r="II513" s="143"/>
      <c r="IJ513" s="143"/>
      <c r="IK513" s="143"/>
      <c r="IL513" s="143"/>
    </row>
    <row r="514" spans="92:246" ht="15" thickTop="1" x14ac:dyDescent="0.3">
      <c r="CN514" s="117"/>
      <c r="CU514" s="117"/>
      <c r="DB514" s="117"/>
    </row>
    <row r="515" spans="92:246" x14ac:dyDescent="0.3">
      <c r="CU515" s="117"/>
      <c r="DB515" s="117"/>
    </row>
    <row r="516" spans="92:246" x14ac:dyDescent="0.3">
      <c r="CU516" s="117"/>
      <c r="DB516" s="117"/>
    </row>
    <row r="517" spans="92:246" x14ac:dyDescent="0.3">
      <c r="CU517" s="117"/>
      <c r="DB517" s="117"/>
    </row>
    <row r="518" spans="92:246" x14ac:dyDescent="0.3">
      <c r="CU518" s="117"/>
      <c r="DB518" s="117"/>
    </row>
    <row r="519" spans="92:246" x14ac:dyDescent="0.3">
      <c r="CU519" s="117"/>
      <c r="DB519" s="117"/>
    </row>
    <row r="520" spans="92:246" x14ac:dyDescent="0.3">
      <c r="CU520" s="117"/>
      <c r="DB520" s="117"/>
    </row>
    <row r="521" spans="92:246" x14ac:dyDescent="0.3">
      <c r="CU521" s="117"/>
      <c r="DB521" s="117"/>
    </row>
    <row r="522" spans="92:246" x14ac:dyDescent="0.3">
      <c r="CU522" s="117"/>
      <c r="DB522" s="117"/>
    </row>
    <row r="523" spans="92:246" x14ac:dyDescent="0.3">
      <c r="CU523" s="117"/>
      <c r="DB523" s="117"/>
    </row>
    <row r="524" spans="92:246" x14ac:dyDescent="0.3">
      <c r="CU524" s="117"/>
      <c r="DB524" s="117"/>
    </row>
    <row r="525" spans="92:246" x14ac:dyDescent="0.3">
      <c r="CU525" s="117"/>
      <c r="DB525" s="117"/>
    </row>
    <row r="526" spans="92:246" x14ac:dyDescent="0.3">
      <c r="CU526" s="117"/>
      <c r="DB526" s="117"/>
    </row>
    <row r="527" spans="92:246" x14ac:dyDescent="0.3">
      <c r="CU527" s="117"/>
      <c r="DB527" s="117"/>
    </row>
    <row r="528" spans="92:246" x14ac:dyDescent="0.3">
      <c r="CU528" s="117"/>
      <c r="DB528" s="117"/>
    </row>
    <row r="529" spans="99:134" x14ac:dyDescent="0.3">
      <c r="CU529" s="117"/>
      <c r="DB529" s="117"/>
      <c r="ED529" s="117"/>
    </row>
    <row r="530" spans="99:134" x14ac:dyDescent="0.3">
      <c r="CU530" s="117"/>
      <c r="DB530" s="117"/>
      <c r="ED530" s="117"/>
    </row>
    <row r="531" spans="99:134" x14ac:dyDescent="0.3">
      <c r="CU531" s="117"/>
      <c r="DB531" s="117"/>
      <c r="ED531" s="117"/>
    </row>
    <row r="532" spans="99:134" x14ac:dyDescent="0.3">
      <c r="CU532" s="117"/>
      <c r="DB532" s="117"/>
      <c r="ED532" s="117"/>
    </row>
    <row r="533" spans="99:134" x14ac:dyDescent="0.3">
      <c r="CU533" s="117"/>
      <c r="DB533" s="117"/>
      <c r="ED533" s="117"/>
    </row>
    <row r="534" spans="99:134" x14ac:dyDescent="0.3">
      <c r="CU534" s="117"/>
      <c r="DB534" s="117"/>
      <c r="ED534" s="117"/>
    </row>
    <row r="535" spans="99:134" x14ac:dyDescent="0.3">
      <c r="CU535" s="117"/>
      <c r="DB535" s="117"/>
      <c r="ED535" s="117"/>
    </row>
    <row r="536" spans="99:134" x14ac:dyDescent="0.3">
      <c r="CU536" s="117"/>
      <c r="DB536" s="117"/>
      <c r="ED536" s="117"/>
    </row>
    <row r="537" spans="99:134" x14ac:dyDescent="0.3">
      <c r="CU537" s="117"/>
      <c r="DB537" s="117"/>
      <c r="ED537" s="117"/>
    </row>
    <row r="538" spans="99:134" x14ac:dyDescent="0.3">
      <c r="CU538" s="117"/>
      <c r="DB538" s="117"/>
      <c r="ED538" s="117"/>
    </row>
    <row r="539" spans="99:134" x14ac:dyDescent="0.3">
      <c r="CU539" s="117"/>
      <c r="DB539" s="117"/>
      <c r="ED539" s="117"/>
    </row>
    <row r="540" spans="99:134" x14ac:dyDescent="0.3">
      <c r="CU540" s="117"/>
      <c r="DB540" s="117"/>
      <c r="ED540" s="117"/>
    </row>
    <row r="541" spans="99:134" x14ac:dyDescent="0.3">
      <c r="CU541" s="117"/>
      <c r="DB541" s="117"/>
      <c r="ED541" s="117"/>
    </row>
    <row r="542" spans="99:134" x14ac:dyDescent="0.3">
      <c r="CU542" s="117"/>
      <c r="DB542" s="117"/>
      <c r="ED542" s="117"/>
    </row>
    <row r="543" spans="99:134" x14ac:dyDescent="0.3">
      <c r="CU543" s="117"/>
      <c r="DB543" s="117"/>
      <c r="ED543" s="117"/>
    </row>
    <row r="544" spans="99:134" x14ac:dyDescent="0.3">
      <c r="CU544" s="117"/>
      <c r="DB544" s="117"/>
      <c r="ED544" s="117"/>
    </row>
    <row r="545" spans="99:134" x14ac:dyDescent="0.3">
      <c r="CU545" s="117"/>
      <c r="DB545" s="117"/>
      <c r="ED545" s="117"/>
    </row>
    <row r="546" spans="99:134" x14ac:dyDescent="0.3">
      <c r="CU546" s="117"/>
      <c r="DB546" s="117"/>
    </row>
    <row r="547" spans="99:134" x14ac:dyDescent="0.3">
      <c r="CU547" s="117"/>
      <c r="DB547" s="117"/>
    </row>
    <row r="548" spans="99:134" x14ac:dyDescent="0.3">
      <c r="CU548" s="117"/>
      <c r="DB548" s="117"/>
    </row>
    <row r="549" spans="99:134" x14ac:dyDescent="0.3">
      <c r="CU549" s="117"/>
      <c r="DB549" s="117"/>
    </row>
    <row r="550" spans="99:134" x14ac:dyDescent="0.3">
      <c r="CU550" s="117"/>
      <c r="DB550" s="117"/>
    </row>
    <row r="551" spans="99:134" x14ac:dyDescent="0.3">
      <c r="CU551" s="117"/>
      <c r="DB551" s="117"/>
    </row>
    <row r="552" spans="99:134" x14ac:dyDescent="0.3">
      <c r="CU552" s="117"/>
      <c r="DB552" s="117"/>
    </row>
    <row r="553" spans="99:134" x14ac:dyDescent="0.3">
      <c r="CU553" s="117"/>
      <c r="DB553" s="117"/>
    </row>
    <row r="554" spans="99:134" x14ac:dyDescent="0.3">
      <c r="CU554" s="117"/>
      <c r="DB554" s="117"/>
    </row>
    <row r="555" spans="99:134" x14ac:dyDescent="0.3">
      <c r="CU555" s="117"/>
      <c r="DB555" s="117"/>
    </row>
    <row r="556" spans="99:134" x14ac:dyDescent="0.3">
      <c r="CU556" s="117"/>
      <c r="DB556" s="117"/>
    </row>
    <row r="557" spans="99:134" x14ac:dyDescent="0.3">
      <c r="CU557" s="117"/>
      <c r="DB557" s="117"/>
    </row>
    <row r="558" spans="99:134" x14ac:dyDescent="0.3">
      <c r="CU558" s="117"/>
      <c r="DB558" s="117"/>
    </row>
    <row r="559" spans="99:134" x14ac:dyDescent="0.3">
      <c r="CU559" s="117"/>
      <c r="DB559" s="117"/>
    </row>
    <row r="560" spans="99:134" x14ac:dyDescent="0.3">
      <c r="CU560" s="117"/>
      <c r="DB560" s="117"/>
    </row>
    <row r="561" spans="99:106" x14ac:dyDescent="0.3">
      <c r="CU561" s="117"/>
      <c r="DB561" s="117"/>
    </row>
    <row r="562" spans="99:106" x14ac:dyDescent="0.3">
      <c r="CU562" s="117"/>
      <c r="DB562" s="117"/>
    </row>
    <row r="563" spans="99:106" x14ac:dyDescent="0.3">
      <c r="CU563" s="117"/>
      <c r="DB563" s="117"/>
    </row>
    <row r="564" spans="99:106" x14ac:dyDescent="0.3">
      <c r="CU564" s="117"/>
      <c r="DB564" s="117"/>
    </row>
    <row r="565" spans="99:106" x14ac:dyDescent="0.3">
      <c r="CU565" s="117"/>
      <c r="DB565" s="117"/>
    </row>
    <row r="566" spans="99:106" x14ac:dyDescent="0.3">
      <c r="CU566" s="117"/>
      <c r="DB566" s="117"/>
    </row>
    <row r="567" spans="99:106" x14ac:dyDescent="0.3">
      <c r="CU567" s="117"/>
      <c r="DB567" s="117"/>
    </row>
    <row r="568" spans="99:106" x14ac:dyDescent="0.3">
      <c r="CU568" s="117"/>
      <c r="DB568" s="117"/>
    </row>
    <row r="569" spans="99:106" x14ac:dyDescent="0.3">
      <c r="CU569" s="117"/>
      <c r="DB569" s="117"/>
    </row>
    <row r="570" spans="99:106" x14ac:dyDescent="0.3">
      <c r="CU570" s="117"/>
      <c r="DB570" s="117"/>
    </row>
    <row r="571" spans="99:106" x14ac:dyDescent="0.3">
      <c r="CU571" s="117"/>
      <c r="DB571" s="117"/>
    </row>
    <row r="572" spans="99:106" x14ac:dyDescent="0.3">
      <c r="CU572" s="117"/>
      <c r="DB572" s="117"/>
    </row>
    <row r="573" spans="99:106" x14ac:dyDescent="0.3">
      <c r="CU573" s="117"/>
      <c r="DB573" s="117"/>
    </row>
    <row r="574" spans="99:106" x14ac:dyDescent="0.3">
      <c r="CU574" s="117"/>
      <c r="DB574" s="117"/>
    </row>
    <row r="575" spans="99:106" x14ac:dyDescent="0.3">
      <c r="CU575" s="117"/>
      <c r="DB575" s="117"/>
    </row>
    <row r="576" spans="99:106" x14ac:dyDescent="0.3">
      <c r="CU576" s="117"/>
      <c r="DB576" s="117"/>
    </row>
    <row r="577" spans="99:106" x14ac:dyDescent="0.3">
      <c r="CU577" s="117"/>
      <c r="DB577" s="117"/>
    </row>
    <row r="578" spans="99:106" x14ac:dyDescent="0.3">
      <c r="CU578" s="117"/>
      <c r="DB578" s="117"/>
    </row>
    <row r="579" spans="99:106" x14ac:dyDescent="0.3">
      <c r="CU579" s="117"/>
      <c r="DB579" s="117"/>
    </row>
    <row r="580" spans="99:106" x14ac:dyDescent="0.3">
      <c r="CU580" s="117"/>
      <c r="DB580" s="117"/>
    </row>
    <row r="581" spans="99:106" x14ac:dyDescent="0.3">
      <c r="CU581" s="117"/>
      <c r="DB581" s="117"/>
    </row>
    <row r="582" spans="99:106" x14ac:dyDescent="0.3">
      <c r="CU582" s="117"/>
      <c r="DB582" s="117"/>
    </row>
    <row r="583" spans="99:106" x14ac:dyDescent="0.3">
      <c r="CU583" s="117"/>
      <c r="DB583" s="117"/>
    </row>
    <row r="584" spans="99:106" x14ac:dyDescent="0.3">
      <c r="CU584" s="117"/>
      <c r="DB584" s="117"/>
    </row>
    <row r="585" spans="99:106" x14ac:dyDescent="0.3">
      <c r="CU585" s="117"/>
      <c r="DB585" s="117"/>
    </row>
    <row r="586" spans="99:106" x14ac:dyDescent="0.3">
      <c r="CU586" s="117"/>
      <c r="DB586" s="117"/>
    </row>
    <row r="587" spans="99:106" x14ac:dyDescent="0.3">
      <c r="CU587" s="117"/>
      <c r="DB587" s="117"/>
    </row>
    <row r="588" spans="99:106" x14ac:dyDescent="0.3">
      <c r="CU588" s="117"/>
      <c r="DB588" s="117"/>
    </row>
    <row r="589" spans="99:106" x14ac:dyDescent="0.3">
      <c r="CU589" s="117"/>
      <c r="DB589" s="117"/>
    </row>
    <row r="590" spans="99:106" x14ac:dyDescent="0.3">
      <c r="CU590" s="117"/>
      <c r="DB590" s="117"/>
    </row>
    <row r="591" spans="99:106" x14ac:dyDescent="0.3">
      <c r="CU591" s="117"/>
      <c r="DB591" s="117"/>
    </row>
    <row r="592" spans="99:106" x14ac:dyDescent="0.3">
      <c r="CU592" s="117"/>
      <c r="DB592" s="117"/>
    </row>
    <row r="593" spans="99:106" x14ac:dyDescent="0.3">
      <c r="CU593" s="117"/>
      <c r="DB593" s="117"/>
    </row>
    <row r="594" spans="99:106" x14ac:dyDescent="0.3">
      <c r="CU594" s="117"/>
      <c r="DB594" s="117"/>
    </row>
    <row r="595" spans="99:106" x14ac:dyDescent="0.3">
      <c r="CU595" s="117"/>
      <c r="DB595" s="117"/>
    </row>
    <row r="596" spans="99:106" x14ac:dyDescent="0.3">
      <c r="CU596" s="117"/>
      <c r="DB596" s="117"/>
    </row>
    <row r="597" spans="99:106" x14ac:dyDescent="0.3">
      <c r="CU597" s="117"/>
      <c r="DB597" s="117"/>
    </row>
    <row r="598" spans="99:106" x14ac:dyDescent="0.3">
      <c r="CU598" s="117"/>
      <c r="DB598" s="117"/>
    </row>
    <row r="599" spans="99:106" x14ac:dyDescent="0.3">
      <c r="CU599" s="117"/>
      <c r="DB599" s="117"/>
    </row>
    <row r="600" spans="99:106" x14ac:dyDescent="0.3">
      <c r="CU600" s="117"/>
      <c r="DB600" s="117"/>
    </row>
    <row r="601" spans="99:106" x14ac:dyDescent="0.3">
      <c r="CU601" s="117"/>
      <c r="DB601" s="117"/>
    </row>
    <row r="602" spans="99:106" x14ac:dyDescent="0.3">
      <c r="CU602" s="117"/>
      <c r="DB602" s="117"/>
    </row>
    <row r="603" spans="99:106" x14ac:dyDescent="0.3">
      <c r="CU603" s="117"/>
      <c r="DB603" s="117"/>
    </row>
    <row r="604" spans="99:106" x14ac:dyDescent="0.3">
      <c r="CU604" s="117"/>
      <c r="DB604" s="117"/>
    </row>
    <row r="605" spans="99:106" x14ac:dyDescent="0.3">
      <c r="CU605" s="117"/>
      <c r="DB605" s="117"/>
    </row>
    <row r="606" spans="99:106" x14ac:dyDescent="0.3">
      <c r="CU606" s="117"/>
      <c r="DB606" s="117"/>
    </row>
    <row r="607" spans="99:106" x14ac:dyDescent="0.3">
      <c r="CU607" s="117"/>
      <c r="DB607" s="117"/>
    </row>
    <row r="608" spans="99:106" x14ac:dyDescent="0.3">
      <c r="CU608" s="117"/>
      <c r="DB608" s="117"/>
    </row>
    <row r="609" spans="99:106" x14ac:dyDescent="0.3">
      <c r="CU609" s="117"/>
      <c r="DB609" s="117"/>
    </row>
    <row r="610" spans="99:106" x14ac:dyDescent="0.3">
      <c r="CU610" s="117"/>
      <c r="DB610" s="117"/>
    </row>
    <row r="611" spans="99:106" x14ac:dyDescent="0.3">
      <c r="CU611" s="117"/>
      <c r="DB611" s="117"/>
    </row>
    <row r="612" spans="99:106" x14ac:dyDescent="0.3">
      <c r="CU612" s="117"/>
      <c r="DB612" s="117"/>
    </row>
    <row r="613" spans="99:106" x14ac:dyDescent="0.3">
      <c r="CU613" s="117"/>
      <c r="DB613" s="117"/>
    </row>
    <row r="614" spans="99:106" x14ac:dyDescent="0.3">
      <c r="CU614" s="117"/>
      <c r="DB614" s="117"/>
    </row>
    <row r="615" spans="99:106" x14ac:dyDescent="0.3">
      <c r="CU615" s="117"/>
      <c r="DB615" s="117"/>
    </row>
    <row r="616" spans="99:106" x14ac:dyDescent="0.3">
      <c r="CU616" s="117"/>
      <c r="DB616" s="117"/>
    </row>
    <row r="617" spans="99:106" x14ac:dyDescent="0.3">
      <c r="CU617" s="117"/>
      <c r="DB617" s="117"/>
    </row>
    <row r="618" spans="99:106" x14ac:dyDescent="0.3">
      <c r="CU618" s="117"/>
      <c r="DB618" s="117"/>
    </row>
    <row r="619" spans="99:106" x14ac:dyDescent="0.3">
      <c r="CU619" s="117"/>
      <c r="DB619" s="117"/>
    </row>
    <row r="620" spans="99:106" x14ac:dyDescent="0.3">
      <c r="CU620" s="117"/>
      <c r="DB620" s="117"/>
    </row>
    <row r="621" spans="99:106" x14ac:dyDescent="0.3">
      <c r="CU621" s="117"/>
      <c r="DB621" s="117"/>
    </row>
    <row r="622" spans="99:106" x14ac:dyDescent="0.3">
      <c r="CU622" s="117"/>
      <c r="DB622" s="117"/>
    </row>
    <row r="623" spans="99:106" x14ac:dyDescent="0.3">
      <c r="CU623" s="117"/>
      <c r="DB623" s="117"/>
    </row>
    <row r="624" spans="99:106" x14ac:dyDescent="0.3">
      <c r="CU624" s="117"/>
      <c r="DB624" s="117"/>
    </row>
    <row r="625" spans="99:106" x14ac:dyDescent="0.3">
      <c r="CU625" s="117"/>
      <c r="DB625" s="117"/>
    </row>
    <row r="626" spans="99:106" x14ac:dyDescent="0.3">
      <c r="CU626" s="117"/>
      <c r="DB626" s="117"/>
    </row>
    <row r="627" spans="99:106" x14ac:dyDescent="0.3">
      <c r="CU627" s="117"/>
      <c r="DB627" s="117"/>
    </row>
    <row r="628" spans="99:106" x14ac:dyDescent="0.3">
      <c r="CU628" s="117"/>
      <c r="DB628" s="117"/>
    </row>
    <row r="629" spans="99:106" x14ac:dyDescent="0.3">
      <c r="CU629" s="117"/>
      <c r="DB629" s="117"/>
    </row>
    <row r="630" spans="99:106" x14ac:dyDescent="0.3">
      <c r="CU630" s="117"/>
      <c r="DB630" s="117"/>
    </row>
    <row r="631" spans="99:106" x14ac:dyDescent="0.3">
      <c r="CU631" s="117"/>
      <c r="DB631" s="117"/>
    </row>
    <row r="632" spans="99:106" x14ac:dyDescent="0.3">
      <c r="CU632" s="117"/>
      <c r="DB632" s="117"/>
    </row>
    <row r="633" spans="99:106" x14ac:dyDescent="0.3">
      <c r="CU633" s="117"/>
      <c r="DB633" s="117"/>
    </row>
    <row r="634" spans="99:106" x14ac:dyDescent="0.3">
      <c r="CU634" s="117"/>
      <c r="DB634" s="117"/>
    </row>
    <row r="635" spans="99:106" x14ac:dyDescent="0.3">
      <c r="CU635" s="117"/>
      <c r="DB635" s="117"/>
    </row>
    <row r="636" spans="99:106" x14ac:dyDescent="0.3">
      <c r="CU636" s="117"/>
      <c r="DB636" s="117"/>
    </row>
    <row r="637" spans="99:106" x14ac:dyDescent="0.3">
      <c r="CU637" s="117"/>
      <c r="DB637" s="117"/>
    </row>
    <row r="638" spans="99:106" x14ac:dyDescent="0.3">
      <c r="CU638" s="117"/>
      <c r="DB638" s="117"/>
    </row>
    <row r="639" spans="99:106" x14ac:dyDescent="0.3">
      <c r="CU639" s="117"/>
      <c r="DB639" s="117"/>
    </row>
    <row r="640" spans="99:106" x14ac:dyDescent="0.3">
      <c r="CU640" s="117"/>
      <c r="DB640" s="117"/>
    </row>
    <row r="641" spans="99:106" x14ac:dyDescent="0.3">
      <c r="CU641" s="117"/>
      <c r="DB641" s="117"/>
    </row>
    <row r="642" spans="99:106" x14ac:dyDescent="0.3">
      <c r="CU642" s="117"/>
      <c r="DB642" s="117"/>
    </row>
    <row r="643" spans="99:106" x14ac:dyDescent="0.3">
      <c r="CU643" s="117"/>
      <c r="DB643" s="117"/>
    </row>
    <row r="644" spans="99:106" x14ac:dyDescent="0.3">
      <c r="CU644" s="117"/>
      <c r="DB644" s="117"/>
    </row>
    <row r="645" spans="99:106" x14ac:dyDescent="0.3">
      <c r="CU645" s="117"/>
      <c r="DB645" s="117"/>
    </row>
    <row r="646" spans="99:106" x14ac:dyDescent="0.3">
      <c r="CU646" s="117"/>
      <c r="DB646" s="117"/>
    </row>
    <row r="647" spans="99:106" x14ac:dyDescent="0.3">
      <c r="CU647" s="117"/>
      <c r="DB647" s="117"/>
    </row>
    <row r="648" spans="99:106" x14ac:dyDescent="0.3">
      <c r="CU648" s="117"/>
      <c r="DB648" s="117"/>
    </row>
    <row r="649" spans="99:106" x14ac:dyDescent="0.3">
      <c r="CU649" s="117"/>
      <c r="DB649" s="117"/>
    </row>
    <row r="650" spans="99:106" x14ac:dyDescent="0.3">
      <c r="CU650" s="117"/>
      <c r="DB650" s="117"/>
    </row>
    <row r="651" spans="99:106" x14ac:dyDescent="0.3">
      <c r="CU651" s="117"/>
      <c r="DB651" s="117"/>
    </row>
    <row r="652" spans="99:106" x14ac:dyDescent="0.3">
      <c r="CU652" s="117"/>
      <c r="DB652" s="117"/>
    </row>
    <row r="653" spans="99:106" x14ac:dyDescent="0.3">
      <c r="CU653" s="117"/>
      <c r="DB653" s="117"/>
    </row>
    <row r="654" spans="99:106" x14ac:dyDescent="0.3">
      <c r="CU654" s="117"/>
      <c r="DB654" s="117"/>
    </row>
    <row r="655" spans="99:106" x14ac:dyDescent="0.3">
      <c r="CU655" s="117"/>
      <c r="DB655" s="117"/>
    </row>
    <row r="656" spans="99:106" x14ac:dyDescent="0.3">
      <c r="CU656" s="117"/>
      <c r="DB656" s="117"/>
    </row>
    <row r="657" spans="99:106" x14ac:dyDescent="0.3">
      <c r="CU657" s="117"/>
      <c r="DB657" s="117"/>
    </row>
    <row r="658" spans="99:106" x14ac:dyDescent="0.3">
      <c r="CU658" s="117"/>
      <c r="DB658" s="117"/>
    </row>
    <row r="659" spans="99:106" x14ac:dyDescent="0.3">
      <c r="CU659" s="117"/>
      <c r="DB659" s="117"/>
    </row>
    <row r="660" spans="99:106" x14ac:dyDescent="0.3">
      <c r="CU660" s="117"/>
      <c r="DB660" s="117"/>
    </row>
    <row r="661" spans="99:106" x14ac:dyDescent="0.3">
      <c r="CU661" s="117"/>
      <c r="DB661" s="117"/>
    </row>
    <row r="662" spans="99:106" x14ac:dyDescent="0.3">
      <c r="CU662" s="117"/>
      <c r="DB662" s="117"/>
    </row>
    <row r="663" spans="99:106" x14ac:dyDescent="0.3">
      <c r="CU663" s="117"/>
      <c r="DB663" s="117"/>
    </row>
    <row r="664" spans="99:106" x14ac:dyDescent="0.3">
      <c r="CU664" s="117"/>
      <c r="DB664" s="117"/>
    </row>
    <row r="665" spans="99:106" x14ac:dyDescent="0.3">
      <c r="CU665" s="117"/>
      <c r="DB665" s="117"/>
    </row>
    <row r="666" spans="99:106" x14ac:dyDescent="0.3">
      <c r="CU666" s="117"/>
      <c r="DB666" s="117"/>
    </row>
    <row r="667" spans="99:106" x14ac:dyDescent="0.3">
      <c r="CU667" s="117"/>
      <c r="DB667" s="117"/>
    </row>
    <row r="668" spans="99:106" x14ac:dyDescent="0.3">
      <c r="CU668" s="117"/>
      <c r="DB668" s="117"/>
    </row>
    <row r="669" spans="99:106" x14ac:dyDescent="0.3">
      <c r="CU669" s="117"/>
      <c r="DB669" s="117"/>
    </row>
    <row r="670" spans="99:106" x14ac:dyDescent="0.3">
      <c r="CU670" s="117"/>
      <c r="DB670" s="117"/>
    </row>
    <row r="671" spans="99:106" x14ac:dyDescent="0.3">
      <c r="CU671" s="117"/>
      <c r="DB671" s="117"/>
    </row>
    <row r="672" spans="99:106" x14ac:dyDescent="0.3">
      <c r="CU672" s="117"/>
      <c r="DB672" s="117"/>
    </row>
    <row r="673" spans="99:106" x14ac:dyDescent="0.3">
      <c r="CU673" s="117"/>
      <c r="DB673" s="117"/>
    </row>
    <row r="674" spans="99:106" x14ac:dyDescent="0.3">
      <c r="CU674" s="117"/>
      <c r="DB674" s="117"/>
    </row>
    <row r="675" spans="99:106" x14ac:dyDescent="0.3">
      <c r="CU675" s="117"/>
      <c r="DB675" s="117"/>
    </row>
    <row r="676" spans="99:106" x14ac:dyDescent="0.3">
      <c r="CU676" s="117"/>
      <c r="DB676" s="117"/>
    </row>
    <row r="677" spans="99:106" x14ac:dyDescent="0.3">
      <c r="CU677" s="117"/>
      <c r="DB677" s="117"/>
    </row>
    <row r="678" spans="99:106" x14ac:dyDescent="0.3">
      <c r="CU678" s="117"/>
      <c r="DB678" s="117"/>
    </row>
    <row r="679" spans="99:106" x14ac:dyDescent="0.3">
      <c r="CU679" s="117"/>
      <c r="DB679" s="117"/>
    </row>
    <row r="680" spans="99:106" x14ac:dyDescent="0.3">
      <c r="CU680" s="117"/>
      <c r="DB680" s="117"/>
    </row>
    <row r="681" spans="99:106" x14ac:dyDescent="0.3">
      <c r="CU681" s="117"/>
      <c r="DB681" s="117"/>
    </row>
    <row r="682" spans="99:106" x14ac:dyDescent="0.3">
      <c r="CU682" s="117"/>
      <c r="DB682" s="117"/>
    </row>
    <row r="683" spans="99:106" x14ac:dyDescent="0.3">
      <c r="CU683" s="117"/>
      <c r="DB683" s="117"/>
    </row>
    <row r="684" spans="99:106" x14ac:dyDescent="0.3">
      <c r="CU684" s="117"/>
      <c r="DB684" s="117"/>
    </row>
    <row r="685" spans="99:106" x14ac:dyDescent="0.3">
      <c r="CU685" s="117"/>
      <c r="DB685" s="117"/>
    </row>
    <row r="686" spans="99:106" x14ac:dyDescent="0.3">
      <c r="CU686" s="117"/>
      <c r="DB686" s="117"/>
    </row>
    <row r="687" spans="99:106" x14ac:dyDescent="0.3">
      <c r="CU687" s="117"/>
      <c r="DB687" s="117"/>
    </row>
    <row r="688" spans="99:106" x14ac:dyDescent="0.3">
      <c r="CU688" s="117"/>
      <c r="DB688" s="117"/>
    </row>
    <row r="689" spans="99:106" x14ac:dyDescent="0.3">
      <c r="CU689" s="117"/>
      <c r="DB689" s="117"/>
    </row>
    <row r="690" spans="99:106" x14ac:dyDescent="0.3">
      <c r="CU690" s="117"/>
      <c r="DB690" s="117"/>
    </row>
    <row r="691" spans="99:106" x14ac:dyDescent="0.3">
      <c r="CU691" s="117"/>
      <c r="DB691" s="117"/>
    </row>
    <row r="692" spans="99:106" x14ac:dyDescent="0.3">
      <c r="CU692" s="117"/>
      <c r="DB692" s="117"/>
    </row>
    <row r="693" spans="99:106" x14ac:dyDescent="0.3">
      <c r="CU693" s="117"/>
      <c r="DB693" s="117"/>
    </row>
    <row r="694" spans="99:106" x14ac:dyDescent="0.3">
      <c r="CU694" s="117"/>
      <c r="DB694" s="117"/>
    </row>
    <row r="695" spans="99:106" x14ac:dyDescent="0.3">
      <c r="CU695" s="117"/>
      <c r="DB695" s="117"/>
    </row>
    <row r="696" spans="99:106" x14ac:dyDescent="0.3">
      <c r="CU696" s="117"/>
      <c r="DB696" s="117"/>
    </row>
    <row r="697" spans="99:106" x14ac:dyDescent="0.3">
      <c r="CU697" s="117"/>
      <c r="DB697" s="117"/>
    </row>
    <row r="698" spans="99:106" x14ac:dyDescent="0.3">
      <c r="CU698" s="117"/>
      <c r="DB698" s="117"/>
    </row>
    <row r="699" spans="99:106" x14ac:dyDescent="0.3">
      <c r="CU699" s="117"/>
      <c r="DB699" s="117"/>
    </row>
    <row r="700" spans="99:106" x14ac:dyDescent="0.3">
      <c r="CU700" s="117"/>
      <c r="DB700" s="117"/>
    </row>
    <row r="701" spans="99:106" x14ac:dyDescent="0.3">
      <c r="CU701" s="117"/>
      <c r="DB701" s="117"/>
    </row>
    <row r="702" spans="99:106" x14ac:dyDescent="0.3">
      <c r="CU702" s="117"/>
      <c r="DB702" s="117"/>
    </row>
    <row r="703" spans="99:106" x14ac:dyDescent="0.3">
      <c r="CU703" s="117"/>
      <c r="DB703" s="117"/>
    </row>
    <row r="704" spans="99:106" x14ac:dyDescent="0.3">
      <c r="CU704" s="117"/>
      <c r="DB704" s="117"/>
    </row>
    <row r="705" spans="99:106" x14ac:dyDescent="0.3">
      <c r="CU705" s="117"/>
      <c r="DB705" s="117"/>
    </row>
    <row r="706" spans="99:106" x14ac:dyDescent="0.3">
      <c r="CU706" s="117"/>
      <c r="DB706" s="117"/>
    </row>
    <row r="707" spans="99:106" x14ac:dyDescent="0.3">
      <c r="CU707" s="117"/>
      <c r="DB707" s="117"/>
    </row>
    <row r="708" spans="99:106" x14ac:dyDescent="0.3">
      <c r="CU708" s="117"/>
      <c r="DB708" s="117"/>
    </row>
    <row r="709" spans="99:106" x14ac:dyDescent="0.3">
      <c r="CU709" s="117"/>
      <c r="DB709" s="117"/>
    </row>
    <row r="710" spans="99:106" x14ac:dyDescent="0.3">
      <c r="CU710" s="117"/>
      <c r="DB710" s="117"/>
    </row>
    <row r="711" spans="99:106" x14ac:dyDescent="0.3">
      <c r="CU711" s="117"/>
      <c r="DB711" s="117"/>
    </row>
    <row r="712" spans="99:106" x14ac:dyDescent="0.3">
      <c r="CU712" s="117"/>
      <c r="DB712" s="117"/>
    </row>
    <row r="713" spans="99:106" x14ac:dyDescent="0.3">
      <c r="CU713" s="117"/>
      <c r="DB713" s="117"/>
    </row>
    <row r="714" spans="99:106" x14ac:dyDescent="0.3">
      <c r="CU714" s="117"/>
      <c r="DB714" s="117"/>
    </row>
    <row r="715" spans="99:106" x14ac:dyDescent="0.3">
      <c r="CU715" s="117"/>
      <c r="DB715" s="117"/>
    </row>
    <row r="716" spans="99:106" x14ac:dyDescent="0.3">
      <c r="CU716" s="117"/>
      <c r="DB716" s="117"/>
    </row>
    <row r="717" spans="99:106" x14ac:dyDescent="0.3">
      <c r="CU717" s="117"/>
      <c r="DB717" s="117"/>
    </row>
    <row r="718" spans="99:106" x14ac:dyDescent="0.3">
      <c r="CU718" s="117"/>
      <c r="DB718" s="117"/>
    </row>
    <row r="719" spans="99:106" x14ac:dyDescent="0.3">
      <c r="CU719" s="117"/>
      <c r="DB719" s="117"/>
    </row>
    <row r="720" spans="99:106" x14ac:dyDescent="0.3">
      <c r="CU720" s="117"/>
      <c r="DB720" s="117"/>
    </row>
    <row r="721" spans="99:106" x14ac:dyDescent="0.3">
      <c r="CU721" s="117"/>
      <c r="DB721" s="117"/>
    </row>
    <row r="722" spans="99:106" x14ac:dyDescent="0.3">
      <c r="CU722" s="117"/>
      <c r="DB722" s="117"/>
    </row>
    <row r="723" spans="99:106" x14ac:dyDescent="0.3">
      <c r="CU723" s="117"/>
      <c r="DB723" s="117"/>
    </row>
    <row r="724" spans="99:106" x14ac:dyDescent="0.3">
      <c r="CU724" s="117"/>
      <c r="DB724" s="117"/>
    </row>
    <row r="725" spans="99:106" x14ac:dyDescent="0.3">
      <c r="CU725" s="117"/>
      <c r="DB725" s="117"/>
    </row>
    <row r="726" spans="99:106" x14ac:dyDescent="0.3">
      <c r="CU726" s="117"/>
      <c r="DB726" s="117"/>
    </row>
    <row r="727" spans="99:106" x14ac:dyDescent="0.3">
      <c r="CU727" s="117"/>
      <c r="DB727" s="117"/>
    </row>
    <row r="728" spans="99:106" x14ac:dyDescent="0.3">
      <c r="CU728" s="117"/>
      <c r="DB728" s="117"/>
    </row>
    <row r="729" spans="99:106" x14ac:dyDescent="0.3">
      <c r="CU729" s="117"/>
      <c r="DB729" s="117"/>
    </row>
    <row r="730" spans="99:106" x14ac:dyDescent="0.3">
      <c r="CU730" s="117"/>
      <c r="DB730" s="117"/>
    </row>
    <row r="731" spans="99:106" x14ac:dyDescent="0.3">
      <c r="CU731" s="117"/>
      <c r="DB731" s="117"/>
    </row>
    <row r="732" spans="99:106" x14ac:dyDescent="0.3">
      <c r="CU732" s="117"/>
      <c r="DB732" s="117"/>
    </row>
    <row r="733" spans="99:106" x14ac:dyDescent="0.3">
      <c r="CU733" s="117"/>
      <c r="DB733" s="117"/>
    </row>
    <row r="734" spans="99:106" x14ac:dyDescent="0.3">
      <c r="CU734" s="117"/>
      <c r="DB734" s="117"/>
    </row>
    <row r="735" spans="99:106" x14ac:dyDescent="0.3">
      <c r="CU735" s="117"/>
      <c r="DB735" s="117"/>
    </row>
    <row r="736" spans="99:106" x14ac:dyDescent="0.3">
      <c r="CU736" s="117"/>
      <c r="DB736" s="117"/>
    </row>
    <row r="737" spans="99:106" x14ac:dyDescent="0.3">
      <c r="CU737" s="117"/>
      <c r="DB737" s="117"/>
    </row>
    <row r="738" spans="99:106" x14ac:dyDescent="0.3">
      <c r="CU738" s="117"/>
      <c r="DB738" s="117"/>
    </row>
    <row r="739" spans="99:106" x14ac:dyDescent="0.3">
      <c r="CU739" s="117"/>
      <c r="DB739" s="117"/>
    </row>
    <row r="740" spans="99:106" x14ac:dyDescent="0.3">
      <c r="CU740" s="117"/>
      <c r="DB740" s="117"/>
    </row>
    <row r="741" spans="99:106" x14ac:dyDescent="0.3">
      <c r="CU741" s="117"/>
      <c r="DB741" s="117"/>
    </row>
    <row r="742" spans="99:106" x14ac:dyDescent="0.3">
      <c r="CU742" s="117"/>
      <c r="DB742" s="117"/>
    </row>
    <row r="743" spans="99:106" x14ac:dyDescent="0.3">
      <c r="CU743" s="117"/>
      <c r="DB743" s="117"/>
    </row>
    <row r="744" spans="99:106" x14ac:dyDescent="0.3">
      <c r="CU744" s="117"/>
      <c r="DB744" s="117"/>
    </row>
    <row r="745" spans="99:106" x14ac:dyDescent="0.3">
      <c r="CU745" s="117"/>
      <c r="DB745" s="117"/>
    </row>
    <row r="746" spans="99:106" x14ac:dyDescent="0.3">
      <c r="CU746" s="117"/>
      <c r="DB746" s="117"/>
    </row>
    <row r="747" spans="99:106" x14ac:dyDescent="0.3">
      <c r="CU747" s="117"/>
      <c r="DB747" s="117"/>
    </row>
    <row r="748" spans="99:106" x14ac:dyDescent="0.3">
      <c r="CU748" s="117"/>
      <c r="DB748" s="117"/>
    </row>
    <row r="749" spans="99:106" x14ac:dyDescent="0.3">
      <c r="CU749" s="117"/>
      <c r="DB749" s="117"/>
    </row>
    <row r="750" spans="99:106" x14ac:dyDescent="0.3">
      <c r="CU750" s="117"/>
      <c r="DB750" s="117"/>
    </row>
    <row r="751" spans="99:106" x14ac:dyDescent="0.3">
      <c r="CU751" s="117"/>
      <c r="DB751" s="117"/>
    </row>
    <row r="752" spans="99:106" x14ac:dyDescent="0.3">
      <c r="CU752" s="117"/>
      <c r="DB752" s="117"/>
    </row>
    <row r="753" spans="99:106" x14ac:dyDescent="0.3">
      <c r="CU753" s="117"/>
      <c r="DB753" s="117"/>
    </row>
    <row r="754" spans="99:106" x14ac:dyDescent="0.3">
      <c r="CU754" s="117"/>
      <c r="DB754" s="117"/>
    </row>
    <row r="755" spans="99:106" x14ac:dyDescent="0.3">
      <c r="CU755" s="117"/>
      <c r="DB755" s="117"/>
    </row>
    <row r="756" spans="99:106" x14ac:dyDescent="0.3">
      <c r="CU756" s="117"/>
      <c r="DB756" s="117"/>
    </row>
    <row r="757" spans="99:106" x14ac:dyDescent="0.3">
      <c r="CU757" s="117"/>
      <c r="DB757" s="117"/>
    </row>
    <row r="758" spans="99:106" x14ac:dyDescent="0.3">
      <c r="CU758" s="117"/>
      <c r="DB758" s="117"/>
    </row>
    <row r="759" spans="99:106" x14ac:dyDescent="0.3">
      <c r="CU759" s="117"/>
      <c r="DB759" s="117"/>
    </row>
    <row r="760" spans="99:106" x14ac:dyDescent="0.3">
      <c r="CU760" s="117"/>
      <c r="DB760" s="117"/>
    </row>
    <row r="761" spans="99:106" x14ac:dyDescent="0.3">
      <c r="CU761" s="117"/>
      <c r="DB761" s="117"/>
    </row>
    <row r="762" spans="99:106" x14ac:dyDescent="0.3">
      <c r="CU762" s="117"/>
      <c r="DB762" s="117"/>
    </row>
    <row r="763" spans="99:106" x14ac:dyDescent="0.3">
      <c r="CU763" s="117"/>
      <c r="DB763" s="117"/>
    </row>
    <row r="764" spans="99:106" x14ac:dyDescent="0.3">
      <c r="CU764" s="117"/>
      <c r="DB764" s="117"/>
    </row>
    <row r="765" spans="99:106" x14ac:dyDescent="0.3">
      <c r="CU765" s="117"/>
      <c r="DB765" s="117"/>
    </row>
    <row r="766" spans="99:106" x14ac:dyDescent="0.3">
      <c r="CU766" s="117"/>
      <c r="DB766" s="117"/>
    </row>
    <row r="767" spans="99:106" x14ac:dyDescent="0.3">
      <c r="CU767" s="117"/>
      <c r="DB767" s="117"/>
    </row>
    <row r="768" spans="99:106" x14ac:dyDescent="0.3">
      <c r="CU768" s="117"/>
      <c r="DB768" s="117"/>
    </row>
    <row r="769" spans="99:106" x14ac:dyDescent="0.3">
      <c r="CU769" s="117"/>
      <c r="DB769" s="117"/>
    </row>
    <row r="770" spans="99:106" x14ac:dyDescent="0.3">
      <c r="CU770" s="117"/>
      <c r="DB770" s="117"/>
    </row>
    <row r="771" spans="99:106" x14ac:dyDescent="0.3">
      <c r="CU771" s="117"/>
      <c r="DB771" s="117"/>
    </row>
    <row r="772" spans="99:106" x14ac:dyDescent="0.3">
      <c r="CU772" s="117"/>
      <c r="DB772" s="117"/>
    </row>
    <row r="773" spans="99:106" x14ac:dyDescent="0.3">
      <c r="CU773" s="117"/>
      <c r="DB773" s="117"/>
    </row>
    <row r="774" spans="99:106" x14ac:dyDescent="0.3">
      <c r="CU774" s="117"/>
      <c r="DB774" s="117"/>
    </row>
    <row r="775" spans="99:106" x14ac:dyDescent="0.3">
      <c r="CU775" s="117"/>
      <c r="DB775" s="117"/>
    </row>
    <row r="776" spans="99:106" x14ac:dyDescent="0.3">
      <c r="CU776" s="117"/>
      <c r="DB776" s="117"/>
    </row>
    <row r="777" spans="99:106" x14ac:dyDescent="0.3">
      <c r="CU777" s="117"/>
      <c r="DB777" s="117"/>
    </row>
    <row r="778" spans="99:106" x14ac:dyDescent="0.3">
      <c r="CU778" s="117"/>
      <c r="DB778" s="117"/>
    </row>
    <row r="779" spans="99:106" x14ac:dyDescent="0.3">
      <c r="CU779" s="117"/>
      <c r="DB779" s="117"/>
    </row>
    <row r="780" spans="99:106" x14ac:dyDescent="0.3">
      <c r="CU780" s="117"/>
      <c r="DB780" s="117"/>
    </row>
    <row r="781" spans="99:106" x14ac:dyDescent="0.3">
      <c r="CU781" s="117"/>
      <c r="DB781" s="117"/>
    </row>
    <row r="782" spans="99:106" x14ac:dyDescent="0.3">
      <c r="CU782" s="117"/>
      <c r="DB782" s="117"/>
    </row>
    <row r="783" spans="99:106" x14ac:dyDescent="0.3">
      <c r="CU783" s="117"/>
      <c r="DB783" s="117"/>
    </row>
    <row r="784" spans="99:106" x14ac:dyDescent="0.3">
      <c r="CU784" s="117"/>
      <c r="DB784" s="117"/>
    </row>
    <row r="785" spans="99:106" x14ac:dyDescent="0.3">
      <c r="CU785" s="117"/>
      <c r="DB785" s="117"/>
    </row>
    <row r="786" spans="99:106" x14ac:dyDescent="0.3">
      <c r="CU786" s="117"/>
      <c r="DB786" s="117"/>
    </row>
    <row r="787" spans="99:106" x14ac:dyDescent="0.3">
      <c r="CU787" s="117"/>
      <c r="DB787" s="117"/>
    </row>
    <row r="788" spans="99:106" x14ac:dyDescent="0.3">
      <c r="CU788" s="117"/>
      <c r="DB788" s="117"/>
    </row>
    <row r="789" spans="99:106" x14ac:dyDescent="0.3">
      <c r="CU789" s="117"/>
      <c r="DB789" s="117"/>
    </row>
    <row r="790" spans="99:106" x14ac:dyDescent="0.3">
      <c r="CU790" s="117"/>
      <c r="DB790" s="117"/>
    </row>
    <row r="791" spans="99:106" x14ac:dyDescent="0.3">
      <c r="CU791" s="117"/>
      <c r="DB791" s="117"/>
    </row>
    <row r="792" spans="99:106" x14ac:dyDescent="0.3">
      <c r="CU792" s="117"/>
      <c r="DB792" s="117"/>
    </row>
    <row r="793" spans="99:106" x14ac:dyDescent="0.3">
      <c r="CU793" s="117"/>
      <c r="DB793" s="117"/>
    </row>
    <row r="794" spans="99:106" x14ac:dyDescent="0.3">
      <c r="CU794" s="117"/>
      <c r="DB794" s="117"/>
    </row>
    <row r="795" spans="99:106" x14ac:dyDescent="0.3">
      <c r="CU795" s="117"/>
      <c r="DB795" s="117"/>
    </row>
    <row r="796" spans="99:106" x14ac:dyDescent="0.3">
      <c r="CU796" s="117"/>
      <c r="DB796" s="117"/>
    </row>
    <row r="797" spans="99:106" x14ac:dyDescent="0.3">
      <c r="CU797" s="117"/>
      <c r="DB797" s="117"/>
    </row>
    <row r="798" spans="99:106" x14ac:dyDescent="0.3">
      <c r="CU798" s="117"/>
      <c r="DB798" s="117"/>
    </row>
    <row r="799" spans="99:106" x14ac:dyDescent="0.3">
      <c r="CU799" s="117"/>
      <c r="DB799" s="117"/>
    </row>
    <row r="800" spans="99:106" x14ac:dyDescent="0.3">
      <c r="CU800" s="117"/>
      <c r="DB800" s="117"/>
    </row>
    <row r="801" spans="99:106" x14ac:dyDescent="0.3">
      <c r="CU801" s="117"/>
      <c r="DB801" s="117"/>
    </row>
    <row r="802" spans="99:106" x14ac:dyDescent="0.3">
      <c r="CU802" s="117"/>
      <c r="DB802" s="117"/>
    </row>
    <row r="803" spans="99:106" x14ac:dyDescent="0.3">
      <c r="CU803" s="117"/>
      <c r="DB803" s="117"/>
    </row>
    <row r="804" spans="99:106" x14ac:dyDescent="0.3">
      <c r="CU804" s="117"/>
      <c r="DB804" s="117"/>
    </row>
    <row r="805" spans="99:106" x14ac:dyDescent="0.3">
      <c r="CU805" s="117"/>
      <c r="DB805" s="117"/>
    </row>
    <row r="806" spans="99:106" x14ac:dyDescent="0.3">
      <c r="CU806" s="117"/>
      <c r="DB806" s="117"/>
    </row>
    <row r="807" spans="99:106" x14ac:dyDescent="0.3">
      <c r="CU807" s="117"/>
      <c r="DB807" s="117"/>
    </row>
    <row r="808" spans="99:106" x14ac:dyDescent="0.3">
      <c r="CU808" s="117"/>
      <c r="DB808" s="117"/>
    </row>
    <row r="809" spans="99:106" x14ac:dyDescent="0.3">
      <c r="CU809" s="117"/>
      <c r="DB809" s="117"/>
    </row>
    <row r="810" spans="99:106" x14ac:dyDescent="0.3">
      <c r="CU810" s="117"/>
      <c r="DB810" s="117"/>
    </row>
    <row r="811" spans="99:106" x14ac:dyDescent="0.3">
      <c r="CU811" s="117"/>
      <c r="DB811" s="117"/>
    </row>
    <row r="812" spans="99:106" x14ac:dyDescent="0.3">
      <c r="CU812" s="117"/>
      <c r="DB812" s="117"/>
    </row>
    <row r="813" spans="99:106" x14ac:dyDescent="0.3">
      <c r="CU813" s="117"/>
      <c r="DB813" s="117"/>
    </row>
    <row r="814" spans="99:106" x14ac:dyDescent="0.3">
      <c r="CU814" s="117"/>
      <c r="DB814" s="117"/>
    </row>
    <row r="815" spans="99:106" x14ac:dyDescent="0.3">
      <c r="CU815" s="117"/>
      <c r="DB815" s="117"/>
    </row>
    <row r="816" spans="99:106" x14ac:dyDescent="0.3">
      <c r="CU816" s="117"/>
      <c r="DB816" s="117"/>
    </row>
    <row r="817" spans="99:106" x14ac:dyDescent="0.3">
      <c r="CU817" s="117"/>
      <c r="DB817" s="117"/>
    </row>
    <row r="818" spans="99:106" x14ac:dyDescent="0.3">
      <c r="CU818" s="117"/>
      <c r="DB818" s="117"/>
    </row>
    <row r="819" spans="99:106" x14ac:dyDescent="0.3">
      <c r="CU819" s="117"/>
      <c r="DB819" s="117"/>
    </row>
    <row r="820" spans="99:106" x14ac:dyDescent="0.3">
      <c r="CU820" s="117"/>
      <c r="DB820" s="117"/>
    </row>
    <row r="821" spans="99:106" x14ac:dyDescent="0.3">
      <c r="CU821" s="117"/>
      <c r="DB821" s="117"/>
    </row>
    <row r="822" spans="99:106" x14ac:dyDescent="0.3">
      <c r="CU822" s="117"/>
      <c r="DB822" s="117"/>
    </row>
    <row r="823" spans="99:106" x14ac:dyDescent="0.3">
      <c r="CU823" s="117"/>
      <c r="DB823" s="117"/>
    </row>
    <row r="824" spans="99:106" x14ac:dyDescent="0.3">
      <c r="CU824" s="117"/>
      <c r="DB824" s="117"/>
    </row>
    <row r="825" spans="99:106" x14ac:dyDescent="0.3">
      <c r="CU825" s="117"/>
      <c r="DB825" s="117"/>
    </row>
    <row r="826" spans="99:106" x14ac:dyDescent="0.3">
      <c r="CU826" s="117"/>
      <c r="DB826" s="117"/>
    </row>
    <row r="827" spans="99:106" x14ac:dyDescent="0.3">
      <c r="CU827" s="117"/>
      <c r="DB827" s="117"/>
    </row>
    <row r="828" spans="99:106" x14ac:dyDescent="0.3">
      <c r="CU828" s="117"/>
      <c r="DB828" s="117"/>
    </row>
    <row r="829" spans="99:106" x14ac:dyDescent="0.3">
      <c r="CU829" s="117"/>
      <c r="DB829" s="117"/>
    </row>
    <row r="830" spans="99:106" x14ac:dyDescent="0.3">
      <c r="CU830" s="117"/>
      <c r="DB830" s="117"/>
    </row>
    <row r="831" spans="99:106" x14ac:dyDescent="0.3">
      <c r="CU831" s="117"/>
      <c r="DB831" s="117"/>
    </row>
    <row r="832" spans="99:106" x14ac:dyDescent="0.3">
      <c r="CU832" s="117"/>
      <c r="DB832" s="117"/>
    </row>
    <row r="833" spans="99:106" x14ac:dyDescent="0.3">
      <c r="CU833" s="117"/>
      <c r="DB833" s="117"/>
    </row>
    <row r="834" spans="99:106" x14ac:dyDescent="0.3">
      <c r="CU834" s="117"/>
      <c r="DB834" s="117"/>
    </row>
    <row r="835" spans="99:106" x14ac:dyDescent="0.3">
      <c r="CU835" s="117"/>
      <c r="DB835" s="117"/>
    </row>
    <row r="836" spans="99:106" x14ac:dyDescent="0.3">
      <c r="CU836" s="117"/>
      <c r="DB836" s="117"/>
    </row>
    <row r="837" spans="99:106" x14ac:dyDescent="0.3">
      <c r="CU837" s="117"/>
      <c r="DB837" s="117"/>
    </row>
    <row r="838" spans="99:106" x14ac:dyDescent="0.3">
      <c r="CU838" s="117"/>
      <c r="DB838" s="117"/>
    </row>
    <row r="839" spans="99:106" x14ac:dyDescent="0.3">
      <c r="CU839" s="117"/>
      <c r="DB839" s="117"/>
    </row>
    <row r="840" spans="99:106" x14ac:dyDescent="0.3">
      <c r="CU840" s="117"/>
      <c r="DB840" s="117"/>
    </row>
    <row r="841" spans="99:106" x14ac:dyDescent="0.3">
      <c r="CU841" s="117"/>
      <c r="DB841" s="117"/>
    </row>
    <row r="842" spans="99:106" x14ac:dyDescent="0.3">
      <c r="CU842" s="117"/>
      <c r="DB842" s="117"/>
    </row>
    <row r="843" spans="99:106" x14ac:dyDescent="0.3">
      <c r="CU843" s="117"/>
      <c r="DB843" s="117"/>
    </row>
    <row r="844" spans="99:106" x14ac:dyDescent="0.3">
      <c r="CU844" s="117"/>
      <c r="DB844" s="117"/>
    </row>
    <row r="845" spans="99:106" x14ac:dyDescent="0.3">
      <c r="CU845" s="117"/>
      <c r="DB845" s="117"/>
    </row>
    <row r="846" spans="99:106" x14ac:dyDescent="0.3">
      <c r="CU846" s="117"/>
      <c r="DB846" s="117"/>
    </row>
    <row r="847" spans="99:106" x14ac:dyDescent="0.3">
      <c r="CU847" s="117"/>
      <c r="DB847" s="117"/>
    </row>
    <row r="848" spans="99:106" x14ac:dyDescent="0.3">
      <c r="CU848" s="117"/>
      <c r="DB848" s="117"/>
    </row>
    <row r="849" spans="99:106" x14ac:dyDescent="0.3">
      <c r="CU849" s="117"/>
      <c r="DB849" s="117"/>
    </row>
    <row r="850" spans="99:106" x14ac:dyDescent="0.3">
      <c r="CU850" s="117"/>
      <c r="DB850" s="117"/>
    </row>
    <row r="851" spans="99:106" x14ac:dyDescent="0.3">
      <c r="CU851" s="117"/>
      <c r="DB851" s="117"/>
    </row>
    <row r="852" spans="99:106" x14ac:dyDescent="0.3">
      <c r="CU852" s="117"/>
      <c r="DB852" s="117"/>
    </row>
    <row r="853" spans="99:106" x14ac:dyDescent="0.3">
      <c r="CU853" s="117"/>
      <c r="DB853" s="117"/>
    </row>
    <row r="854" spans="99:106" x14ac:dyDescent="0.3">
      <c r="CU854" s="117"/>
      <c r="DB854" s="117"/>
    </row>
    <row r="855" spans="99:106" x14ac:dyDescent="0.3">
      <c r="CU855" s="117"/>
      <c r="DB855" s="117"/>
    </row>
    <row r="856" spans="99:106" x14ac:dyDescent="0.3">
      <c r="CU856" s="117"/>
      <c r="DB856" s="117"/>
    </row>
    <row r="857" spans="99:106" x14ac:dyDescent="0.3">
      <c r="CU857" s="117"/>
      <c r="DB857" s="117"/>
    </row>
    <row r="858" spans="99:106" x14ac:dyDescent="0.3">
      <c r="CU858" s="117"/>
      <c r="DB858" s="117"/>
    </row>
    <row r="859" spans="99:106" x14ac:dyDescent="0.3">
      <c r="CU859" s="117"/>
      <c r="DB859" s="117"/>
    </row>
    <row r="860" spans="99:106" x14ac:dyDescent="0.3">
      <c r="CU860" s="117"/>
      <c r="DB860" s="117"/>
    </row>
    <row r="861" spans="99:106" x14ac:dyDescent="0.3">
      <c r="CU861" s="117"/>
      <c r="DB861" s="117"/>
    </row>
    <row r="862" spans="99:106" x14ac:dyDescent="0.3">
      <c r="CU862" s="117"/>
      <c r="DB862" s="117"/>
    </row>
    <row r="863" spans="99:106" x14ac:dyDescent="0.3">
      <c r="CU863" s="117"/>
      <c r="DB863" s="117"/>
    </row>
    <row r="864" spans="99:106" x14ac:dyDescent="0.3">
      <c r="CU864" s="117"/>
      <c r="DB864" s="117"/>
    </row>
    <row r="865" spans="99:106" x14ac:dyDescent="0.3">
      <c r="CU865" s="117"/>
      <c r="DB865" s="117"/>
    </row>
    <row r="866" spans="99:106" x14ac:dyDescent="0.3">
      <c r="CU866" s="117"/>
      <c r="DB866" s="117"/>
    </row>
    <row r="867" spans="99:106" x14ac:dyDescent="0.3">
      <c r="CU867" s="117"/>
      <c r="DB867" s="117"/>
    </row>
    <row r="868" spans="99:106" x14ac:dyDescent="0.3">
      <c r="CU868" s="117"/>
      <c r="DB868" s="117"/>
    </row>
    <row r="869" spans="99:106" x14ac:dyDescent="0.3">
      <c r="CU869" s="117"/>
      <c r="DB869" s="117"/>
    </row>
    <row r="870" spans="99:106" x14ac:dyDescent="0.3">
      <c r="CU870" s="117"/>
      <c r="DB870" s="117"/>
    </row>
    <row r="871" spans="99:106" x14ac:dyDescent="0.3">
      <c r="CU871" s="117"/>
      <c r="DB871" s="117"/>
    </row>
    <row r="872" spans="99:106" x14ac:dyDescent="0.3">
      <c r="CU872" s="117"/>
      <c r="DB872" s="117"/>
    </row>
    <row r="873" spans="99:106" x14ac:dyDescent="0.3">
      <c r="CU873" s="117"/>
      <c r="DB873" s="117"/>
    </row>
    <row r="874" spans="99:106" x14ac:dyDescent="0.3">
      <c r="CU874" s="117"/>
      <c r="DB874" s="117"/>
    </row>
    <row r="875" spans="99:106" x14ac:dyDescent="0.3">
      <c r="CU875" s="117"/>
      <c r="DB875" s="117"/>
    </row>
    <row r="876" spans="99:106" x14ac:dyDescent="0.3">
      <c r="CU876" s="117"/>
      <c r="DB876" s="117"/>
    </row>
    <row r="877" spans="99:106" x14ac:dyDescent="0.3">
      <c r="CU877" s="117"/>
      <c r="DB877" s="117"/>
    </row>
    <row r="878" spans="99:106" x14ac:dyDescent="0.3">
      <c r="CU878" s="117"/>
      <c r="DB878" s="117"/>
    </row>
    <row r="879" spans="99:106" x14ac:dyDescent="0.3">
      <c r="CU879" s="117"/>
      <c r="DB879" s="117"/>
    </row>
    <row r="880" spans="99:106" x14ac:dyDescent="0.3">
      <c r="CU880" s="117"/>
      <c r="DB880" s="117"/>
    </row>
    <row r="881" spans="99:106" x14ac:dyDescent="0.3">
      <c r="CU881" s="117"/>
      <c r="DB881" s="117"/>
    </row>
    <row r="882" spans="99:106" x14ac:dyDescent="0.3">
      <c r="CU882" s="117"/>
      <c r="DB882" s="117"/>
    </row>
    <row r="883" spans="99:106" x14ac:dyDescent="0.3">
      <c r="CU883" s="117"/>
      <c r="DB883" s="117"/>
    </row>
    <row r="884" spans="99:106" x14ac:dyDescent="0.3">
      <c r="CU884" s="117"/>
      <c r="DB884" s="117"/>
    </row>
    <row r="885" spans="99:106" x14ac:dyDescent="0.3">
      <c r="CU885" s="117"/>
      <c r="DB885" s="117"/>
    </row>
    <row r="886" spans="99:106" x14ac:dyDescent="0.3">
      <c r="CU886" s="117"/>
      <c r="DB886" s="117"/>
    </row>
    <row r="887" spans="99:106" x14ac:dyDescent="0.3">
      <c r="CU887" s="117"/>
      <c r="DB887" s="117"/>
    </row>
    <row r="888" spans="99:106" x14ac:dyDescent="0.3">
      <c r="CU888" s="117"/>
      <c r="DB888" s="117"/>
    </row>
    <row r="889" spans="99:106" x14ac:dyDescent="0.3">
      <c r="CU889" s="117"/>
      <c r="DB889" s="117"/>
    </row>
    <row r="890" spans="99:106" x14ac:dyDescent="0.3">
      <c r="CU890" s="117"/>
      <c r="DB890" s="117"/>
    </row>
    <row r="891" spans="99:106" x14ac:dyDescent="0.3">
      <c r="CU891" s="117"/>
      <c r="DB891" s="117"/>
    </row>
    <row r="892" spans="99:106" x14ac:dyDescent="0.3">
      <c r="CU892" s="117"/>
      <c r="DB892" s="117"/>
    </row>
    <row r="893" spans="99:106" x14ac:dyDescent="0.3">
      <c r="CU893" s="117"/>
      <c r="DB893" s="117"/>
    </row>
    <row r="894" spans="99:106" x14ac:dyDescent="0.3">
      <c r="CU894" s="117"/>
      <c r="DB894" s="117"/>
    </row>
    <row r="895" spans="99:106" x14ac:dyDescent="0.3">
      <c r="CU895" s="117"/>
      <c r="DB895" s="117"/>
    </row>
    <row r="896" spans="99:106" x14ac:dyDescent="0.3">
      <c r="CU896" s="117"/>
      <c r="DB896" s="117"/>
    </row>
    <row r="897" spans="99:106" x14ac:dyDescent="0.3">
      <c r="CU897" s="117"/>
      <c r="DB897" s="117"/>
    </row>
    <row r="898" spans="99:106" x14ac:dyDescent="0.3">
      <c r="CU898" s="117"/>
      <c r="DB898" s="117"/>
    </row>
    <row r="899" spans="99:106" x14ac:dyDescent="0.3">
      <c r="CU899" s="117"/>
      <c r="DB899" s="117"/>
    </row>
    <row r="900" spans="99:106" x14ac:dyDescent="0.3">
      <c r="CU900" s="117"/>
      <c r="DB900" s="117"/>
    </row>
    <row r="901" spans="99:106" x14ac:dyDescent="0.3">
      <c r="CU901" s="117"/>
      <c r="DB901" s="117"/>
    </row>
    <row r="902" spans="99:106" x14ac:dyDescent="0.3">
      <c r="CU902" s="117"/>
      <c r="DB902" s="117"/>
    </row>
    <row r="903" spans="99:106" x14ac:dyDescent="0.3">
      <c r="CU903" s="117"/>
      <c r="DB903" s="117"/>
    </row>
    <row r="904" spans="99:106" x14ac:dyDescent="0.3">
      <c r="CU904" s="117"/>
      <c r="DB904" s="117"/>
    </row>
    <row r="905" spans="99:106" x14ac:dyDescent="0.3">
      <c r="CU905" s="117"/>
      <c r="DB905" s="117"/>
    </row>
    <row r="906" spans="99:106" x14ac:dyDescent="0.3">
      <c r="CU906" s="117"/>
      <c r="DB906" s="117"/>
    </row>
    <row r="907" spans="99:106" x14ac:dyDescent="0.3">
      <c r="CU907" s="117"/>
      <c r="DB907" s="117"/>
    </row>
    <row r="908" spans="99:106" x14ac:dyDescent="0.3">
      <c r="CU908" s="117"/>
      <c r="DB908" s="117"/>
    </row>
    <row r="909" spans="99:106" x14ac:dyDescent="0.3">
      <c r="CU909" s="117"/>
      <c r="DB909" s="117"/>
    </row>
    <row r="910" spans="99:106" x14ac:dyDescent="0.3">
      <c r="CU910" s="117"/>
      <c r="DB910" s="117"/>
    </row>
    <row r="911" spans="99:106" x14ac:dyDescent="0.3">
      <c r="CU911" s="117"/>
      <c r="DB911" s="117"/>
    </row>
    <row r="912" spans="99:106" x14ac:dyDescent="0.3">
      <c r="CU912" s="117"/>
      <c r="DB912" s="117"/>
    </row>
    <row r="913" spans="99:106" x14ac:dyDescent="0.3">
      <c r="CU913" s="117"/>
      <c r="DB913" s="117"/>
    </row>
    <row r="914" spans="99:106" x14ac:dyDescent="0.3">
      <c r="CU914" s="117"/>
      <c r="DB914" s="117"/>
    </row>
    <row r="915" spans="99:106" x14ac:dyDescent="0.3">
      <c r="CU915" s="117"/>
      <c r="DB915" s="117"/>
    </row>
    <row r="916" spans="99:106" x14ac:dyDescent="0.3">
      <c r="CU916" s="117"/>
      <c r="DB916" s="117"/>
    </row>
    <row r="917" spans="99:106" x14ac:dyDescent="0.3">
      <c r="CU917" s="117"/>
      <c r="DB917" s="117"/>
    </row>
    <row r="918" spans="99:106" x14ac:dyDescent="0.3">
      <c r="CU918" s="117"/>
      <c r="DB918" s="117"/>
    </row>
    <row r="919" spans="99:106" x14ac:dyDescent="0.3">
      <c r="CU919" s="117"/>
      <c r="DB919" s="117"/>
    </row>
    <row r="920" spans="99:106" x14ac:dyDescent="0.3">
      <c r="CU920" s="117"/>
      <c r="DB920" s="117"/>
    </row>
    <row r="921" spans="99:106" x14ac:dyDescent="0.3">
      <c r="CU921" s="117"/>
      <c r="DB921" s="117"/>
    </row>
    <row r="922" spans="99:106" x14ac:dyDescent="0.3">
      <c r="CU922" s="117"/>
      <c r="DB922" s="117"/>
    </row>
    <row r="923" spans="99:106" x14ac:dyDescent="0.3">
      <c r="CU923" s="117"/>
      <c r="DB923" s="117"/>
    </row>
    <row r="924" spans="99:106" x14ac:dyDescent="0.3">
      <c r="CU924" s="117"/>
      <c r="DB924" s="117"/>
    </row>
    <row r="925" spans="99:106" x14ac:dyDescent="0.3">
      <c r="CU925" s="117"/>
      <c r="DB925" s="117"/>
    </row>
    <row r="926" spans="99:106" x14ac:dyDescent="0.3">
      <c r="CU926" s="117"/>
      <c r="DB926" s="117"/>
    </row>
    <row r="927" spans="99:106" x14ac:dyDescent="0.3">
      <c r="CU927" s="117"/>
      <c r="DB927" s="117"/>
    </row>
    <row r="928" spans="99:106" x14ac:dyDescent="0.3">
      <c r="CU928" s="117"/>
      <c r="DB928" s="117"/>
    </row>
    <row r="929" spans="99:106" x14ac:dyDescent="0.3">
      <c r="CU929" s="117"/>
      <c r="DB929" s="117"/>
    </row>
    <row r="930" spans="99:106" x14ac:dyDescent="0.3">
      <c r="CU930" s="117"/>
      <c r="DB930" s="117"/>
    </row>
    <row r="931" spans="99:106" x14ac:dyDescent="0.3">
      <c r="CU931" s="117"/>
      <c r="DB931" s="117"/>
    </row>
    <row r="932" spans="99:106" x14ac:dyDescent="0.3">
      <c r="CU932" s="117"/>
      <c r="DB932" s="117"/>
    </row>
    <row r="933" spans="99:106" x14ac:dyDescent="0.3">
      <c r="CU933" s="117"/>
      <c r="DB933" s="117"/>
    </row>
    <row r="934" spans="99:106" x14ac:dyDescent="0.3">
      <c r="CU934" s="117"/>
      <c r="DB934" s="117"/>
    </row>
    <row r="935" spans="99:106" x14ac:dyDescent="0.3">
      <c r="CU935" s="117"/>
      <c r="DB935" s="117"/>
    </row>
    <row r="936" spans="99:106" x14ac:dyDescent="0.3">
      <c r="CU936" s="117"/>
      <c r="DB936" s="117"/>
    </row>
    <row r="937" spans="99:106" x14ac:dyDescent="0.3">
      <c r="CU937" s="117"/>
      <c r="DB937" s="117"/>
    </row>
    <row r="938" spans="99:106" x14ac:dyDescent="0.3">
      <c r="CU938" s="117"/>
      <c r="DB938" s="117"/>
    </row>
    <row r="939" spans="99:106" x14ac:dyDescent="0.3">
      <c r="CU939" s="117"/>
      <c r="DB939" s="117"/>
    </row>
    <row r="940" spans="99:106" x14ac:dyDescent="0.3">
      <c r="CU940" s="117"/>
      <c r="DB940" s="117"/>
    </row>
    <row r="941" spans="99:106" x14ac:dyDescent="0.3">
      <c r="CU941" s="117"/>
      <c r="DB941" s="117"/>
    </row>
    <row r="942" spans="99:106" x14ac:dyDescent="0.3">
      <c r="CU942" s="117"/>
      <c r="DB942" s="117"/>
    </row>
    <row r="943" spans="99:106" x14ac:dyDescent="0.3">
      <c r="CU943" s="117"/>
      <c r="DB943" s="117"/>
    </row>
    <row r="944" spans="99:106" x14ac:dyDescent="0.3">
      <c r="CU944" s="117"/>
      <c r="DB944" s="117"/>
    </row>
    <row r="945" spans="99:106" x14ac:dyDescent="0.3">
      <c r="CU945" s="117"/>
      <c r="DB945" s="117"/>
    </row>
    <row r="946" spans="99:106" x14ac:dyDescent="0.3">
      <c r="CU946" s="117"/>
      <c r="DB946" s="117"/>
    </row>
    <row r="947" spans="99:106" x14ac:dyDescent="0.3">
      <c r="CU947" s="117"/>
      <c r="DB947" s="117"/>
    </row>
    <row r="948" spans="99:106" x14ac:dyDescent="0.3">
      <c r="CU948" s="117"/>
      <c r="DB948" s="117"/>
    </row>
    <row r="949" spans="99:106" x14ac:dyDescent="0.3">
      <c r="CU949" s="117"/>
      <c r="DB949" s="117"/>
    </row>
    <row r="950" spans="99:106" x14ac:dyDescent="0.3">
      <c r="CU950" s="117"/>
      <c r="DB950" s="117"/>
    </row>
    <row r="951" spans="99:106" x14ac:dyDescent="0.3">
      <c r="CU951" s="117"/>
      <c r="DB951" s="117"/>
    </row>
    <row r="952" spans="99:106" x14ac:dyDescent="0.3">
      <c r="CU952" s="117"/>
      <c r="DB952" s="117"/>
    </row>
    <row r="953" spans="99:106" x14ac:dyDescent="0.3">
      <c r="CU953" s="117"/>
      <c r="DB953" s="117"/>
    </row>
    <row r="954" spans="99:106" x14ac:dyDescent="0.3">
      <c r="CU954" s="117"/>
      <c r="DB954" s="117"/>
    </row>
    <row r="955" spans="99:106" x14ac:dyDescent="0.3">
      <c r="CU955" s="117"/>
      <c r="DB955" s="117"/>
    </row>
    <row r="956" spans="99:106" x14ac:dyDescent="0.3">
      <c r="CU956" s="117"/>
      <c r="DB956" s="117"/>
    </row>
    <row r="957" spans="99:106" x14ac:dyDescent="0.3">
      <c r="CU957" s="117"/>
      <c r="DB957" s="117"/>
    </row>
    <row r="958" spans="99:106" x14ac:dyDescent="0.3">
      <c r="CU958" s="117"/>
      <c r="DB958" s="117"/>
    </row>
    <row r="959" spans="99:106" x14ac:dyDescent="0.3">
      <c r="CU959" s="117"/>
      <c r="DB959" s="117"/>
    </row>
    <row r="960" spans="99:106" x14ac:dyDescent="0.3">
      <c r="CU960" s="117"/>
      <c r="DB960" s="117"/>
    </row>
    <row r="961" spans="99:106" x14ac:dyDescent="0.3">
      <c r="CU961" s="117"/>
      <c r="DB961" s="117"/>
    </row>
    <row r="962" spans="99:106" x14ac:dyDescent="0.3">
      <c r="CU962" s="117"/>
      <c r="DB962" s="117"/>
    </row>
    <row r="963" spans="99:106" x14ac:dyDescent="0.3">
      <c r="CU963" s="117"/>
      <c r="DB963" s="117"/>
    </row>
    <row r="964" spans="99:106" x14ac:dyDescent="0.3">
      <c r="CU964" s="117"/>
      <c r="DB964" s="117"/>
    </row>
    <row r="965" spans="99:106" x14ac:dyDescent="0.3">
      <c r="CU965" s="117"/>
      <c r="DB965" s="117"/>
    </row>
    <row r="966" spans="99:106" x14ac:dyDescent="0.3">
      <c r="CU966" s="117"/>
      <c r="DB966" s="117"/>
    </row>
    <row r="967" spans="99:106" x14ac:dyDescent="0.3">
      <c r="CU967" s="117"/>
      <c r="DB967" s="117"/>
    </row>
    <row r="968" spans="99:106" x14ac:dyDescent="0.3">
      <c r="CU968" s="117"/>
      <c r="DB968" s="117"/>
    </row>
    <row r="969" spans="99:106" x14ac:dyDescent="0.3">
      <c r="CU969" s="117"/>
      <c r="DB969" s="117"/>
    </row>
    <row r="970" spans="99:106" x14ac:dyDescent="0.3">
      <c r="CU970" s="117"/>
      <c r="DB970" s="117"/>
    </row>
    <row r="971" spans="99:106" x14ac:dyDescent="0.3">
      <c r="CU971" s="117"/>
      <c r="DB971" s="117"/>
    </row>
    <row r="972" spans="99:106" x14ac:dyDescent="0.3">
      <c r="CU972" s="117"/>
      <c r="DB972" s="117"/>
    </row>
    <row r="973" spans="99:106" x14ac:dyDescent="0.3">
      <c r="CU973" s="117"/>
      <c r="DB973" s="117"/>
    </row>
    <row r="974" spans="99:106" x14ac:dyDescent="0.3">
      <c r="CU974" s="117"/>
      <c r="DB974" s="117"/>
    </row>
    <row r="975" spans="99:106" x14ac:dyDescent="0.3">
      <c r="CU975" s="117"/>
      <c r="DB975" s="117"/>
    </row>
    <row r="976" spans="99:106" x14ac:dyDescent="0.3">
      <c r="CU976" s="117"/>
      <c r="DB976" s="117"/>
    </row>
    <row r="977" spans="99:106" x14ac:dyDescent="0.3">
      <c r="CU977" s="117"/>
      <c r="DB977" s="117"/>
    </row>
    <row r="978" spans="99:106" x14ac:dyDescent="0.3">
      <c r="CU978" s="117"/>
      <c r="DB978" s="117"/>
    </row>
    <row r="979" spans="99:106" x14ac:dyDescent="0.3">
      <c r="CU979" s="117"/>
      <c r="DB979" s="117"/>
    </row>
    <row r="980" spans="99:106" x14ac:dyDescent="0.3">
      <c r="CU980" s="117"/>
      <c r="DB980" s="117"/>
    </row>
    <row r="981" spans="99:106" x14ac:dyDescent="0.3">
      <c r="CU981" s="117"/>
      <c r="DB981" s="117"/>
    </row>
    <row r="982" spans="99:106" x14ac:dyDescent="0.3">
      <c r="CU982" s="117"/>
      <c r="DB982" s="117"/>
    </row>
    <row r="983" spans="99:106" x14ac:dyDescent="0.3">
      <c r="CU983" s="117"/>
      <c r="DB983" s="117"/>
    </row>
    <row r="984" spans="99:106" x14ac:dyDescent="0.3">
      <c r="CU984" s="117"/>
      <c r="DB984" s="117"/>
    </row>
    <row r="985" spans="99:106" x14ac:dyDescent="0.3">
      <c r="CU985" s="117"/>
      <c r="DB985" s="117"/>
    </row>
    <row r="986" spans="99:106" x14ac:dyDescent="0.3">
      <c r="CU986" s="117"/>
      <c r="DB986" s="117"/>
    </row>
    <row r="987" spans="99:106" x14ac:dyDescent="0.3">
      <c r="CU987" s="117"/>
      <c r="DB987" s="117"/>
    </row>
    <row r="988" spans="99:106" x14ac:dyDescent="0.3">
      <c r="CU988" s="117"/>
      <c r="DB988" s="117"/>
    </row>
    <row r="989" spans="99:106" x14ac:dyDescent="0.3">
      <c r="CU989" s="117"/>
      <c r="DB989" s="117"/>
    </row>
    <row r="990" spans="99:106" x14ac:dyDescent="0.3">
      <c r="CU990" s="117"/>
      <c r="DB990" s="117"/>
    </row>
    <row r="991" spans="99:106" x14ac:dyDescent="0.3">
      <c r="CU991" s="117"/>
      <c r="DB991" s="117"/>
    </row>
    <row r="992" spans="99:106" x14ac:dyDescent="0.3">
      <c r="CU992" s="117"/>
      <c r="DB992" s="117"/>
    </row>
    <row r="993" spans="99:106" x14ac:dyDescent="0.3">
      <c r="CU993" s="117"/>
      <c r="DB993" s="117"/>
    </row>
    <row r="994" spans="99:106" x14ac:dyDescent="0.3">
      <c r="CU994" s="117"/>
      <c r="DB994" s="117"/>
    </row>
    <row r="995" spans="99:106" x14ac:dyDescent="0.3">
      <c r="CU995" s="117"/>
      <c r="DB995" s="117"/>
    </row>
    <row r="996" spans="99:106" x14ac:dyDescent="0.3">
      <c r="CU996" s="117"/>
      <c r="DB996" s="117"/>
    </row>
    <row r="997" spans="99:106" x14ac:dyDescent="0.3">
      <c r="CU997" s="117"/>
      <c r="DB997" s="117"/>
    </row>
    <row r="998" spans="99:106" x14ac:dyDescent="0.3">
      <c r="CU998" s="117"/>
      <c r="DB998" s="117"/>
    </row>
    <row r="999" spans="99:106" x14ac:dyDescent="0.3">
      <c r="CU999" s="117"/>
      <c r="DB999" s="117"/>
    </row>
    <row r="1000" spans="99:106" x14ac:dyDescent="0.3">
      <c r="CU1000" s="117"/>
      <c r="DB1000" s="117"/>
    </row>
    <row r="1001" spans="99:106" x14ac:dyDescent="0.3">
      <c r="CU1001" s="117"/>
      <c r="DB1001" s="117"/>
    </row>
    <row r="1002" spans="99:106" x14ac:dyDescent="0.3">
      <c r="CU1002" s="117"/>
      <c r="DB1002" s="117"/>
    </row>
  </sheetData>
  <mergeCells count="76">
    <mergeCell ref="HX3:IA3"/>
    <mergeCell ref="IB3:IE3"/>
    <mergeCell ref="GH3:GN3"/>
    <mergeCell ref="GO3:GU3"/>
    <mergeCell ref="GV3:HB3"/>
    <mergeCell ref="HC3:HI3"/>
    <mergeCell ref="HJ3:HP3"/>
    <mergeCell ref="HQ3:HW3"/>
    <mergeCell ref="ER3:EX3"/>
    <mergeCell ref="EY3:FE3"/>
    <mergeCell ref="FF3:FL3"/>
    <mergeCell ref="FM3:FS3"/>
    <mergeCell ref="FT3:FZ3"/>
    <mergeCell ref="GA3:GG3"/>
    <mergeCell ref="DB3:DH3"/>
    <mergeCell ref="DI3:DO3"/>
    <mergeCell ref="DP3:DV3"/>
    <mergeCell ref="DW3:EC3"/>
    <mergeCell ref="ED3:EJ3"/>
    <mergeCell ref="EK3:EQ3"/>
    <mergeCell ref="BD3:BO3"/>
    <mergeCell ref="BP3:CC3"/>
    <mergeCell ref="CD3:CG3"/>
    <mergeCell ref="CI3:CL3"/>
    <mergeCell ref="CN3:CT3"/>
    <mergeCell ref="CU3:DA3"/>
    <mergeCell ref="HJ2:HP2"/>
    <mergeCell ref="HQ2:HW2"/>
    <mergeCell ref="HX2:IA2"/>
    <mergeCell ref="IB2:IE2"/>
    <mergeCell ref="A3:D3"/>
    <mergeCell ref="E3:F3"/>
    <mergeCell ref="G3:W3"/>
    <mergeCell ref="X3:AQ3"/>
    <mergeCell ref="AR3:AX3"/>
    <mergeCell ref="AY3:BC3"/>
    <mergeCell ref="FT2:FZ2"/>
    <mergeCell ref="GA2:GG2"/>
    <mergeCell ref="GH2:GN2"/>
    <mergeCell ref="GO2:GU2"/>
    <mergeCell ref="GV2:HB2"/>
    <mergeCell ref="HC2:HI2"/>
    <mergeCell ref="ED2:EJ2"/>
    <mergeCell ref="EK2:EQ2"/>
    <mergeCell ref="ER2:EX2"/>
    <mergeCell ref="EY2:FE2"/>
    <mergeCell ref="FF2:FL2"/>
    <mergeCell ref="FM2:FS2"/>
    <mergeCell ref="HJ1:HP1"/>
    <mergeCell ref="HQ1:HW1"/>
    <mergeCell ref="HX1:IA1"/>
    <mergeCell ref="IB1:IE1"/>
    <mergeCell ref="CN2:CT2"/>
    <mergeCell ref="CU2:DA2"/>
    <mergeCell ref="DB2:DH2"/>
    <mergeCell ref="DI2:DO2"/>
    <mergeCell ref="DP2:DV2"/>
    <mergeCell ref="DW2:EC2"/>
    <mergeCell ref="FT1:FZ1"/>
    <mergeCell ref="GA1:GG1"/>
    <mergeCell ref="GH1:GN1"/>
    <mergeCell ref="GO1:GU1"/>
    <mergeCell ref="GV1:HB1"/>
    <mergeCell ref="HC1:HI1"/>
    <mergeCell ref="ED1:EJ1"/>
    <mergeCell ref="EK1:EQ1"/>
    <mergeCell ref="ER1:EX1"/>
    <mergeCell ref="EY1:FE1"/>
    <mergeCell ref="FF1:FL1"/>
    <mergeCell ref="FM1:FS1"/>
    <mergeCell ref="CN1:CT1"/>
    <mergeCell ref="CU1:DA1"/>
    <mergeCell ref="DB1:DH1"/>
    <mergeCell ref="DI1:DO1"/>
    <mergeCell ref="DP1:DV1"/>
    <mergeCell ref="DW1:EC1"/>
  </mergeCells>
  <pageMargins left="0.7" right="0.7" top="0.75" bottom="0.75" header="0.3" footer="0.3"/>
  <pageSetup scale="25" orientation="landscape" r:id="rId1"/>
  <rowBreaks count="1" manualBreakCount="1">
    <brk id="379" max="213" man="1"/>
  </rowBreaks>
  <colBreaks count="3" manualBreakCount="3">
    <brk id="23" max="1048575" man="1"/>
    <brk id="50" max="1048575" man="1"/>
    <brk id="6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ActiveFinancing</vt:lpstr>
      <vt:lpstr>AccessData</vt:lpstr>
      <vt:lpstr>ActiveFinancing!Print_Area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Esmat</dc:creator>
  <cp:lastModifiedBy>Esmat</cp:lastModifiedBy>
  <dcterms:created xsi:type="dcterms:W3CDTF">2026-02-01T08:25:34Z</dcterms:created>
  <dcterms:modified xsi:type="dcterms:W3CDTF">2026-02-01T08:59:11Z</dcterms:modified>
</cp:coreProperties>
</file>