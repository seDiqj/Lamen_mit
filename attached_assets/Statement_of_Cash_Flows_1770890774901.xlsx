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4" i="1" l="1"/>
</calcChain>
</file>

<file path=xl/sharedStrings.xml><?xml version="1.0" encoding="utf-8"?>
<sst xmlns="http://schemas.openxmlformats.org/spreadsheetml/2006/main" count="77" uniqueCount="77">
  <si>
    <t>Statement of Cash Flows</t>
  </si>
  <si>
    <t>Lamen Microfinance Institution (LMI)</t>
  </si>
  <si>
    <t>January 1, 2025-February 12, 2026</t>
  </si>
  <si>
    <t>Cash flows from operating activities</t>
  </si>
  <si>
    <t>Profit for the year</t>
  </si>
  <si>
    <t>Adjustments for non-cash income and expenses:</t>
  </si>
  <si>
    <t>11000 Accounts Receivable</t>
  </si>
  <si>
    <t>12100 Inventory:Murabaha</t>
  </si>
  <si>
    <t>12200 Inventory:Qard ul Hasana</t>
  </si>
  <si>
    <t>13100 Advances:Prepayments</t>
  </si>
  <si>
    <t>17102 Property, plant and equipment:Computers &amp; IT:Accum. Depreciation of Compu&amp;IT</t>
  </si>
  <si>
    <t>17202 Property, plant and equipment:Office Equipment:Accum. Depre. of Office Equip.</t>
  </si>
  <si>
    <t>17302 Property, plant and equipment:Furniture &amp; Fixture:Accum. Depre. Furniture &amp; Fixtu</t>
  </si>
  <si>
    <t>17502 Property, plant and equipment:Plant and Equipment:Accum. Plant and Equipment</t>
  </si>
  <si>
    <t>18000 Provision for Loan Loss</t>
  </si>
  <si>
    <t>20100 Accounts Payable</t>
  </si>
  <si>
    <t>20151 Salaries and Wages Payable:Zuhra Saba</t>
  </si>
  <si>
    <t>20152 Salaries and Wages Payable:Shahpoor Khan</t>
  </si>
  <si>
    <t>20153 Salaries and Wages Payable:Mujeeb u Rahman Barakzai</t>
  </si>
  <si>
    <t>20154 Salaries and Wages Payable:Hanifullah Momand</t>
  </si>
  <si>
    <t>20155 Salaries and Wages Payable:Musafer Momand</t>
  </si>
  <si>
    <t>20156 Salaries and Wages Payable:Zubaida Dawlat Zada</t>
  </si>
  <si>
    <t>20157 Salaries and Wages Payable:M. Afzal Mohammadi</t>
  </si>
  <si>
    <t>20158 Salaries and Wages Payable:Lateefullah Salarzai</t>
  </si>
  <si>
    <t>20159 Salaries and Wages Payable:Abdul Shokoor</t>
  </si>
  <si>
    <t>20160 Salaries and Wages Payable:Adil Momand</t>
  </si>
  <si>
    <t>20161 Salaries and Wages Payable:Omid Ahmadzai</t>
  </si>
  <si>
    <t>20162 Salaries and Wages Payable:Ahmad Wali Alokozay</t>
  </si>
  <si>
    <t>20163 Salaries and Wages Payable:Sangar Rahimi</t>
  </si>
  <si>
    <t>20164 Salaries and Wages Payable:M. Nawab stanikzai</t>
  </si>
  <si>
    <t>20165 Salaries and Wages Payable:Mirwais Tahirzada</t>
  </si>
  <si>
    <t>20166 Salaries and Wages Payable:Mashal Achakzai</t>
  </si>
  <si>
    <t>20167 Salaries and Wages Payable:Faisal Achakzai</t>
  </si>
  <si>
    <t>20168 Salaries and Wages Payable:Noor Muhammad</t>
  </si>
  <si>
    <t>20169 Salaries and Wages Payable:Ajmal Khan Momand</t>
  </si>
  <si>
    <t>20170 Salaries and Wages Payable:Muhebullah Mohammadi</t>
  </si>
  <si>
    <t>20171 Salaries and Wages Payable:Liaqat Ogra Khil</t>
  </si>
  <si>
    <t>20172 Salaries and Wages Payable:Zuhra Nadeem</t>
  </si>
  <si>
    <t>20173 Salaries and Wages Payable:Hedayatullah</t>
  </si>
  <si>
    <t>20174 Salaries and Wages Payable:Sahil Salarzai</t>
  </si>
  <si>
    <t>20175 Salaries and Wages Payable:Sadaqat Khan</t>
  </si>
  <si>
    <t>20176 Salaries and Wages Payable:Ayaz Salarzay</t>
  </si>
  <si>
    <t>20177 Salaries and Wages Payable:Ahmad Shahir Mukhtar</t>
  </si>
  <si>
    <t>20178 Salaries and Wages Payable:Omid Habibi</t>
  </si>
  <si>
    <t>20179 Salaries and Wages Payable:Zabihullah Ahmadi</t>
  </si>
  <si>
    <t>20180 Salaries and Wages Payable:Mohammad Gulzar Amiri</t>
  </si>
  <si>
    <t>20181 Salaries and Wages Payable:Wahidullah</t>
  </si>
  <si>
    <t>20182 Salaries and Wages Payable:Ihsanullah Shinwari</t>
  </si>
  <si>
    <t>20183 Salaries and Wages Payable:Almas Momand</t>
  </si>
  <si>
    <t>20184 Salaries and Wages Payable:Seema Wardak</t>
  </si>
  <si>
    <t>20185 Salaries and Wages Payable:Temor Shah Waris</t>
  </si>
  <si>
    <t>20186 Salaries and Wages Payable:Fazlullah Muhammadi</t>
  </si>
  <si>
    <t>20187 Salaries and Wages Payable:Smiulhaq Saqib</t>
  </si>
  <si>
    <t>20188 Salaries and Wages Payable:Saifiullah</t>
  </si>
  <si>
    <t>20189 Salaries and Wages Payable:Sardeep Parsa</t>
  </si>
  <si>
    <t>20900 Deferred Murabaha Income</t>
  </si>
  <si>
    <t>21100 Withheld Taxes:Wage Withholding Tax Payable</t>
  </si>
  <si>
    <t>21200 Withheld Taxes:Rent Withholding Tax Payable</t>
  </si>
  <si>
    <t>Total for Adjustments for non-cash income and expenses:</t>
  </si>
  <si>
    <t>Net cash from operating activities</t>
  </si>
  <si>
    <t>Cash flows from investing activities</t>
  </si>
  <si>
    <t>14000 Security Deposits Receivable</t>
  </si>
  <si>
    <t>17101 Property, plant and equipment:Computers &amp; IT:Cost of Computers &amp; IT</t>
  </si>
  <si>
    <t>17201 Property, plant and equipment:Office Equipment:Cost of Office Equipment</t>
  </si>
  <si>
    <t>17301 Property, plant and equipment:Furniture &amp; Fixture:Cost of Furniture &amp; Fixtures</t>
  </si>
  <si>
    <t>17501 Property, plant and equipment:Plant and Equipment:Cost of Plant and Equipment</t>
  </si>
  <si>
    <t>Net cash used in investing activities</t>
  </si>
  <si>
    <t>Cash flows from financing activities</t>
  </si>
  <si>
    <t>20121 Donor's Funds:MISFA</t>
  </si>
  <si>
    <t>30100 Opening Balance Equity</t>
  </si>
  <si>
    <t>Net cash used in financing activities</t>
  </si>
  <si>
    <t>NET INCREASE (DECREASE) IN CASH AND CASH EQUIVALENTS</t>
  </si>
  <si>
    <t>Cash and cash equivalents at beginning of year</t>
  </si>
  <si>
    <t>CASH AND CASH EQUIVALENTS AT END OF YEAR</t>
  </si>
  <si>
    <t>Full name</t>
  </si>
  <si>
    <t>Total</t>
  </si>
  <si>
    <t xml:space="preserve"> Thursday, February 12, 2026 09:10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</si>
</sst>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AFN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0"/>
  <sheetViews>
    <sheetView tabSelected="1" workbookViewId="0" topLeftCell="A1"/>
  </sheetViews>
  <sheetFormatPr defaultColWidth="11.255" defaultRowHeight="16" outlineLevelRow="2"/>
  <cols>
    <col min="1" max="1" width="75.375" style="33" customWidth="1"/>
    <col min="2" max="2" width="17" style="33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2" ht="16">
      <c r="A5" s="35" t="s">
        <v>74</v>
      </c>
      <c r="B5" s="35" t="s">
        <v>75</v>
      </c>
    </row>
    <row r="6" spans="1:1" ht="16">
      <c r="A6" s="28" t="s">
        <v>3</v>
      </c>
    </row>
    <row r="7" spans="1:2" ht="16" outlineLevel="1">
      <c r="A7" s="29" t="s">
        <v>4</v>
      </c>
      <c r="B7" s="36">
        <v>-7470360.15</v>
      </c>
    </row>
    <row r="8" spans="1:1" ht="16" outlineLevel="1">
      <c r="A8" s="29" t="s">
        <v>5</v>
      </c>
    </row>
    <row r="9" spans="1:2" ht="16" outlineLevel="2">
      <c r="A9" s="30" t="s">
        <v>6</v>
      </c>
      <c r="B9" s="36">
        <v>-2.480038444E7</v>
      </c>
    </row>
    <row r="10" spans="1:2" ht="16" outlineLevel="2">
      <c r="A10" s="30" t="s">
        <v>7</v>
      </c>
      <c r="B10" s="36">
        <v>0</v>
      </c>
    </row>
    <row r="11" spans="1:2" ht="16" outlineLevel="2">
      <c r="A11" s="30" t="s">
        <v>8</v>
      </c>
      <c r="B11" s="36">
        <v>0</v>
      </c>
    </row>
    <row r="12" spans="1:2" ht="16" outlineLevel="2">
      <c r="A12" s="30" t="s">
        <v>9</v>
      </c>
      <c r="B12" s="36">
        <v>-11131.5</v>
      </c>
    </row>
    <row r="13" spans="1:2" ht="16" outlineLevel="2">
      <c r="A13" s="30" t="s">
        <v>10</v>
      </c>
      <c r="B13" s="36">
        <v>42722.96</v>
      </c>
    </row>
    <row r="14" spans="1:2" ht="16" outlineLevel="2">
      <c r="A14" s="30" t="s">
        <v>11</v>
      </c>
      <c r="B14" s="36">
        <v>55358.44</v>
      </c>
    </row>
    <row r="15" spans="1:2" ht="16" outlineLevel="2">
      <c r="A15" s="30" t="s">
        <v>12</v>
      </c>
      <c r="B15" s="36">
        <v>118532.6</v>
      </c>
    </row>
    <row r="16" spans="1:2" ht="16" outlineLevel="2">
      <c r="A16" s="30" t="s">
        <v>13</v>
      </c>
      <c r="B16" s="36">
        <v>12622.86</v>
      </c>
    </row>
    <row r="17" spans="1:2" ht="16" outlineLevel="2">
      <c r="A17" s="30" t="s">
        <v>14</v>
      </c>
      <c r="B17" s="36">
        <v>449268.28</v>
      </c>
    </row>
    <row r="18" spans="1:2" ht="16" outlineLevel="2">
      <c r="A18" s="30" t="s">
        <v>15</v>
      </c>
      <c r="B18" s="36">
        <v>105797.6</v>
      </c>
    </row>
    <row r="19" spans="1:2" ht="16" outlineLevel="2">
      <c r="A19" s="30" t="s">
        <v>16</v>
      </c>
      <c r="B19" s="36">
        <v>0</v>
      </c>
    </row>
    <row r="20" spans="1:2" ht="16" outlineLevel="2">
      <c r="A20" s="30" t="s">
        <v>17</v>
      </c>
      <c r="B20" s="36">
        <v>-111679.75</v>
      </c>
    </row>
    <row r="21" spans="1:2" ht="16" outlineLevel="2">
      <c r="A21" s="30" t="s">
        <v>18</v>
      </c>
      <c r="B21" s="36">
        <v>23600.0</v>
      </c>
    </row>
    <row r="22" spans="1:2" ht="16" outlineLevel="2">
      <c r="A22" s="30" t="s">
        <v>19</v>
      </c>
      <c r="B22" s="36">
        <v>0</v>
      </c>
    </row>
    <row r="23" spans="1:2" ht="16" outlineLevel="2">
      <c r="A23" s="30" t="s">
        <v>20</v>
      </c>
      <c r="B23" s="36">
        <v>0</v>
      </c>
    </row>
    <row r="24" spans="1:2" ht="16" outlineLevel="2">
      <c r="A24" s="30" t="s">
        <v>21</v>
      </c>
      <c r="B24" s="36">
        <v>0</v>
      </c>
    </row>
    <row r="25" spans="1:2" ht="16" outlineLevel="2">
      <c r="A25" s="30" t="s">
        <v>22</v>
      </c>
      <c r="B25" s="36">
        <v>0</v>
      </c>
    </row>
    <row r="26" spans="1:2" ht="16" outlineLevel="2">
      <c r="A26" s="30" t="s">
        <v>23</v>
      </c>
      <c r="B26" s="36">
        <v>0</v>
      </c>
    </row>
    <row r="27" spans="1:2" ht="16" outlineLevel="2">
      <c r="A27" s="30" t="s">
        <v>24</v>
      </c>
      <c r="B27" s="36">
        <v>0</v>
      </c>
    </row>
    <row r="28" spans="1:2" ht="16" outlineLevel="2">
      <c r="A28" s="30" t="s">
        <v>25</v>
      </c>
      <c r="B28" s="36">
        <v>0</v>
      </c>
    </row>
    <row r="29" spans="1:2" ht="16" outlineLevel="2">
      <c r="A29" s="30" t="s">
        <v>26</v>
      </c>
      <c r="B29" s="36">
        <v>30000.0</v>
      </c>
    </row>
    <row r="30" spans="1:2" ht="16" outlineLevel="2">
      <c r="A30" s="30" t="s">
        <v>27</v>
      </c>
      <c r="B30" s="36">
        <v>0</v>
      </c>
    </row>
    <row r="31" spans="1:2" ht="16" outlineLevel="2">
      <c r="A31" s="30" t="s">
        <v>28</v>
      </c>
      <c r="B31" s="36">
        <v>0</v>
      </c>
    </row>
    <row r="32" spans="1:2" ht="16" outlineLevel="2">
      <c r="A32" s="30" t="s">
        <v>29</v>
      </c>
      <c r="B32" s="36">
        <v>0</v>
      </c>
    </row>
    <row r="33" spans="1:2" ht="16" outlineLevel="2">
      <c r="A33" s="30" t="s">
        <v>30</v>
      </c>
      <c r="B33" s="36">
        <v>0</v>
      </c>
    </row>
    <row r="34" spans="1:2" ht="16" outlineLevel="2">
      <c r="A34" s="30" t="s">
        <v>31</v>
      </c>
      <c r="B34" s="36">
        <v>0</v>
      </c>
    </row>
    <row r="35" spans="1:2" ht="16" outlineLevel="2">
      <c r="A35" s="30" t="s">
        <v>32</v>
      </c>
      <c r="B35" s="36">
        <v>0</v>
      </c>
    </row>
    <row r="36" spans="1:2" ht="16" outlineLevel="2">
      <c r="A36" s="30" t="s">
        <v>33</v>
      </c>
      <c r="B36" s="36">
        <v>0</v>
      </c>
    </row>
    <row r="37" spans="1:2" ht="16" outlineLevel="2">
      <c r="A37" s="30" t="s">
        <v>34</v>
      </c>
      <c r="B37" s="36">
        <v>0</v>
      </c>
    </row>
    <row r="38" spans="1:2" ht="16" outlineLevel="2">
      <c r="A38" s="30" t="s">
        <v>35</v>
      </c>
      <c r="B38" s="36">
        <v>0</v>
      </c>
    </row>
    <row r="39" spans="1:2" ht="16" outlineLevel="2">
      <c r="A39" s="30" t="s">
        <v>36</v>
      </c>
      <c r="B39" s="36">
        <v>0</v>
      </c>
    </row>
    <row r="40" spans="1:2" ht="16" outlineLevel="2">
      <c r="A40" s="30" t="s">
        <v>37</v>
      </c>
      <c r="B40" s="36">
        <v>0</v>
      </c>
    </row>
    <row r="41" spans="1:2" ht="16" outlineLevel="2">
      <c r="A41" s="30" t="s">
        <v>38</v>
      </c>
      <c r="B41" s="36">
        <v>0</v>
      </c>
    </row>
    <row r="42" spans="1:2" ht="16" outlineLevel="2">
      <c r="A42" s="30" t="s">
        <v>39</v>
      </c>
      <c r="B42" s="36">
        <v>0</v>
      </c>
    </row>
    <row r="43" spans="1:2" ht="16" outlineLevel="2">
      <c r="A43" s="30" t="s">
        <v>40</v>
      </c>
      <c r="B43" s="36">
        <v>0</v>
      </c>
    </row>
    <row r="44" spans="1:2" ht="16" outlineLevel="2">
      <c r="A44" s="30" t="s">
        <v>41</v>
      </c>
      <c r="B44" s="36">
        <v>0</v>
      </c>
    </row>
    <row r="45" spans="1:2" ht="16" outlineLevel="2">
      <c r="A45" s="30" t="s">
        <v>42</v>
      </c>
      <c r="B45" s="36">
        <v>0</v>
      </c>
    </row>
    <row r="46" spans="1:2" ht="16" outlineLevel="2">
      <c r="A46" s="30" t="s">
        <v>43</v>
      </c>
      <c r="B46" s="36">
        <v>0</v>
      </c>
    </row>
    <row r="47" spans="1:2" ht="16" outlineLevel="2">
      <c r="A47" s="30" t="s">
        <v>44</v>
      </c>
      <c r="B47" s="36">
        <v>0</v>
      </c>
    </row>
    <row r="48" spans="1:2" ht="16" outlineLevel="2">
      <c r="A48" s="30" t="s">
        <v>45</v>
      </c>
      <c r="B48" s="36">
        <v>0</v>
      </c>
    </row>
    <row r="49" spans="1:2" ht="16" outlineLevel="2">
      <c r="A49" s="30" t="s">
        <v>46</v>
      </c>
      <c r="B49" s="36">
        <v>0</v>
      </c>
    </row>
    <row r="50" spans="1:2" ht="16" outlineLevel="2">
      <c r="A50" s="30" t="s">
        <v>47</v>
      </c>
      <c r="B50" s="36">
        <v>0</v>
      </c>
    </row>
    <row r="51" spans="1:2" ht="16" outlineLevel="2">
      <c r="A51" s="30" t="s">
        <v>48</v>
      </c>
      <c r="B51" s="36">
        <v>0</v>
      </c>
    </row>
    <row r="52" spans="1:2" ht="16" outlineLevel="2">
      <c r="A52" s="30" t="s">
        <v>49</v>
      </c>
      <c r="B52" s="36">
        <v>0</v>
      </c>
    </row>
    <row r="53" spans="1:2" ht="16" outlineLevel="2">
      <c r="A53" s="30" t="s">
        <v>50</v>
      </c>
      <c r="B53" s="36">
        <v>0</v>
      </c>
    </row>
    <row r="54" spans="1:2" ht="16" outlineLevel="2">
      <c r="A54" s="30" t="s">
        <v>51</v>
      </c>
      <c r="B54" s="36">
        <v>0</v>
      </c>
    </row>
    <row r="55" spans="1:2" ht="16" outlineLevel="2">
      <c r="A55" s="30" t="s">
        <v>52</v>
      </c>
      <c r="B55" s="36">
        <v>11860.0</v>
      </c>
    </row>
    <row r="56" spans="1:2" ht="16" outlineLevel="2">
      <c r="A56" s="30" t="s">
        <v>53</v>
      </c>
      <c r="B56" s="36">
        <v>-12500.0</v>
      </c>
    </row>
    <row r="57" spans="1:2" ht="16" outlineLevel="2">
      <c r="A57" s="30" t="s">
        <v>54</v>
      </c>
      <c r="B57" s="36">
        <v>-12500.0</v>
      </c>
    </row>
    <row r="58" spans="1:2" ht="16" outlineLevel="2">
      <c r="A58" s="30" t="s">
        <v>55</v>
      </c>
      <c r="B58" s="36">
        <v>3847721.26</v>
      </c>
    </row>
    <row r="59" spans="1:2" ht="16" outlineLevel="2">
      <c r="A59" s="30" t="s">
        <v>56</v>
      </c>
      <c r="B59" s="36">
        <v>313631.0</v>
      </c>
    </row>
    <row r="60" spans="1:2" ht="16" outlineLevel="2">
      <c r="A60" s="30" t="s">
        <v>57</v>
      </c>
      <c r="B60" s="36">
        <v>45444.0</v>
      </c>
    </row>
    <row r="61" spans="1:2" ht="16" outlineLevel="1">
      <c r="A61" s="31" t="s">
        <v>58</v>
      </c>
      <c r="B61" s="37">
        <f>B8+B9+B10+B11+B12+B13+B14+B15+B16+B17+B18+B19+B20+B21+B22+B23+B24+B25+B26+B27+B28+B29+B30+B31+B32+B33+B34+B35+B36+B37+B38+B39+B40+B41+B42+B43+B44+B45+B46+B47+B48+B49+B50+B51+B52+B53+B54+B55+B56+B57+B58+B59+B60</f>
        <v>-1.9891636689999998E7</v>
      </c>
    </row>
    <row r="62" spans="1:2" ht="16">
      <c r="A62" s="32" t="s">
        <v>59</v>
      </c>
      <c r="B62" s="37">
        <f>B7+B61</f>
        <v>-2.7361996839999996E7</v>
      </c>
    </row>
    <row r="63" spans="1:1" ht="16">
      <c r="A63" s="28" t="s">
        <v>60</v>
      </c>
    </row>
    <row r="64" spans="1:2" ht="16" outlineLevel="1">
      <c r="A64" s="29" t="s">
        <v>61</v>
      </c>
      <c r="B64" s="36">
        <v>-30000.0</v>
      </c>
    </row>
    <row r="65" spans="1:2" ht="16" outlineLevel="1">
      <c r="A65" s="29" t="s">
        <v>62</v>
      </c>
      <c r="B65" s="36">
        <v>-717581.0</v>
      </c>
    </row>
    <row r="66" spans="1:2" ht="16" outlineLevel="1">
      <c r="A66" s="29" t="s">
        <v>63</v>
      </c>
      <c r="B66" s="36">
        <v>-212593.0</v>
      </c>
    </row>
    <row r="67" spans="1:2" ht="16" outlineLevel="1">
      <c r="A67" s="29" t="s">
        <v>64</v>
      </c>
      <c r="B67" s="36">
        <v>-848281.0</v>
      </c>
    </row>
    <row r="68" spans="1:2" ht="16" outlineLevel="1">
      <c r="A68" s="29" t="s">
        <v>65</v>
      </c>
      <c r="B68" s="36">
        <v>-352457.45</v>
      </c>
    </row>
    <row r="69" spans="1:2" ht="16">
      <c r="A69" s="32" t="s">
        <v>66</v>
      </c>
      <c r="B69" s="37">
        <f>B64+B65+B66+B67+B68</f>
        <v>-2160912.45</v>
      </c>
    </row>
    <row r="70" spans="1:1" ht="16">
      <c r="A70" s="28" t="s">
        <v>67</v>
      </c>
    </row>
    <row r="71" spans="1:2" ht="16" outlineLevel="1">
      <c r="A71" s="29" t="s">
        <v>68</v>
      </c>
      <c r="B71" s="36">
        <v>6000000.0</v>
      </c>
    </row>
    <row r="72" spans="1:2" ht="16" outlineLevel="1">
      <c r="A72" s="29" t="s">
        <v>69</v>
      </c>
      <c r="B72" s="36">
        <v>2.705732018E7</v>
      </c>
    </row>
    <row r="73" spans="1:2" ht="16">
      <c r="A73" s="32" t="s">
        <v>70</v>
      </c>
      <c r="B73" s="37">
        <f>B71+B72</f>
        <v>3.305732018E7</v>
      </c>
    </row>
    <row r="74" spans="1:2" ht="16">
      <c r="A74" s="32" t="s">
        <v>71</v>
      </c>
      <c r="B74" s="37">
        <f>B62+B69+B73</f>
        <v>3534410.8900000043</v>
      </c>
    </row>
    <row r="75" spans="1:2" ht="16">
      <c r="A75" s="32" t="s">
        <v>72</v>
      </c>
      <c r="B75" s="38">
        <v>0</v>
      </c>
    </row>
    <row r="76" spans="1:2" ht="16">
      <c r="A76" s="32" t="s">
        <v>73</v>
      </c>
      <c r="B76" s="37">
        <v>3534410.8900000043</v>
      </c>
    </row>
    <row r="80" spans="1:1" ht="16">
      <c r="A80" s="39" t="s">
        <v>76</v>
      </c>
    </row>
  </sheetData>
  <mergeCells count="4">
    <mergeCell ref="A1:B1"/>
    <mergeCell ref="A2:B2"/>
    <mergeCell ref="A3:B3"/>
    <mergeCell ref="A80:B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