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smat\Documents\"/>
    </mc:Choice>
  </mc:AlternateContent>
  <bookViews>
    <workbookView xWindow="0" yWindow="0" windowWidth="23040" windowHeight="9072"/>
  </bookViews>
  <sheets>
    <sheet name="JVEntry"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6872" i="1" l="1"/>
  <c r="H6872" i="1"/>
  <c r="I6864" i="1"/>
  <c r="H6864" i="1"/>
  <c r="I6852" i="1"/>
  <c r="H6852" i="1"/>
  <c r="I6848" i="1"/>
  <c r="H6848" i="1"/>
  <c r="I6844" i="1"/>
  <c r="H6844" i="1"/>
  <c r="I6840" i="1"/>
  <c r="H6840" i="1"/>
  <c r="I6836" i="1"/>
  <c r="H6836" i="1"/>
  <c r="I6832" i="1"/>
  <c r="H6832" i="1"/>
  <c r="I6828" i="1"/>
  <c r="H6828" i="1"/>
  <c r="I6824" i="1"/>
  <c r="H6824" i="1"/>
  <c r="I6820" i="1"/>
  <c r="H6820" i="1"/>
  <c r="I6813" i="1"/>
  <c r="H6813" i="1"/>
  <c r="I6809" i="1"/>
  <c r="H6809" i="1"/>
  <c r="I6805" i="1"/>
  <c r="H6805" i="1"/>
  <c r="I6801" i="1"/>
  <c r="H6801" i="1"/>
  <c r="I6797" i="1"/>
  <c r="H6797" i="1"/>
  <c r="I6793" i="1"/>
  <c r="H6793" i="1"/>
  <c r="I6789" i="1"/>
  <c r="H6789" i="1"/>
  <c r="I6785" i="1"/>
  <c r="H6785" i="1"/>
  <c r="I6781" i="1"/>
  <c r="H6781" i="1"/>
  <c r="I6777" i="1"/>
  <c r="H6777" i="1"/>
  <c r="I6773" i="1"/>
  <c r="H6773" i="1"/>
  <c r="I6769" i="1"/>
  <c r="H6769" i="1"/>
  <c r="I6765" i="1"/>
  <c r="H6765" i="1"/>
  <c r="I6761" i="1"/>
  <c r="H6761" i="1"/>
  <c r="I6757" i="1"/>
  <c r="H6757" i="1"/>
  <c r="I6753" i="1"/>
  <c r="H6753" i="1"/>
  <c r="I6749" i="1"/>
  <c r="H6749" i="1"/>
  <c r="I6745" i="1"/>
  <c r="H6745" i="1"/>
  <c r="I6741" i="1"/>
  <c r="H6741" i="1"/>
  <c r="I6737" i="1"/>
  <c r="H6737" i="1"/>
  <c r="I6733" i="1"/>
  <c r="H6733" i="1"/>
  <c r="I6729" i="1"/>
  <c r="H6729" i="1"/>
  <c r="I6725" i="1"/>
  <c r="H6725" i="1"/>
  <c r="I6721" i="1"/>
  <c r="H6721" i="1"/>
  <c r="I6713" i="1"/>
  <c r="H6713" i="1"/>
  <c r="I6709" i="1"/>
  <c r="H6709" i="1"/>
  <c r="I6705" i="1"/>
  <c r="H6705" i="1"/>
  <c r="I6701" i="1"/>
  <c r="H6701" i="1"/>
  <c r="I6697" i="1"/>
  <c r="H6697" i="1"/>
  <c r="I6693" i="1"/>
  <c r="H6693" i="1"/>
  <c r="I6689" i="1"/>
  <c r="H6689" i="1"/>
  <c r="I6685" i="1"/>
  <c r="H6685" i="1"/>
  <c r="I6681" i="1"/>
  <c r="H6681" i="1"/>
  <c r="I6677" i="1"/>
  <c r="H6677" i="1"/>
  <c r="I6673" i="1"/>
  <c r="H6673" i="1"/>
  <c r="I6669" i="1"/>
  <c r="H6669" i="1"/>
  <c r="I6665" i="1"/>
  <c r="H6665" i="1"/>
  <c r="I6660" i="1"/>
  <c r="H6660" i="1"/>
  <c r="I6656" i="1"/>
  <c r="H6656" i="1"/>
  <c r="I6652" i="1"/>
  <c r="H6652" i="1"/>
  <c r="I6648" i="1"/>
  <c r="H6648" i="1"/>
  <c r="I6644" i="1"/>
  <c r="H6644" i="1"/>
  <c r="I6640" i="1"/>
  <c r="H6640" i="1"/>
  <c r="I6634" i="1"/>
  <c r="H6634" i="1"/>
  <c r="I6630" i="1"/>
  <c r="H6630" i="1"/>
  <c r="I6626" i="1"/>
  <c r="H6626" i="1"/>
  <c r="I6622" i="1"/>
  <c r="H6622" i="1"/>
  <c r="I6618" i="1"/>
  <c r="H6618" i="1"/>
  <c r="I6614" i="1"/>
  <c r="H6614" i="1"/>
  <c r="I6610" i="1"/>
  <c r="H6610" i="1"/>
  <c r="I6606" i="1"/>
  <c r="H6606" i="1"/>
  <c r="I6602" i="1"/>
  <c r="H6602" i="1"/>
  <c r="I6598" i="1"/>
  <c r="H6598" i="1"/>
  <c r="I6592" i="1"/>
  <c r="H6592" i="1"/>
  <c r="I6588" i="1"/>
  <c r="H6588" i="1"/>
  <c r="I6584" i="1"/>
  <c r="H6584" i="1"/>
  <c r="I6580" i="1"/>
  <c r="H6580" i="1"/>
  <c r="I6576" i="1"/>
  <c r="H6576" i="1"/>
  <c r="I6572" i="1"/>
  <c r="H6572" i="1"/>
  <c r="I6568" i="1"/>
  <c r="H6568" i="1"/>
  <c r="I6564" i="1"/>
  <c r="H6564" i="1"/>
  <c r="I6560" i="1"/>
  <c r="H6560" i="1"/>
  <c r="I6556" i="1"/>
  <c r="H6556" i="1"/>
  <c r="I6552" i="1"/>
  <c r="H6552" i="1"/>
  <c r="I6548" i="1"/>
  <c r="H6548" i="1"/>
  <c r="I6544" i="1"/>
  <c r="H6544" i="1"/>
  <c r="I6540" i="1"/>
  <c r="H6540" i="1"/>
  <c r="I6536" i="1"/>
  <c r="H6536" i="1"/>
  <c r="I6532" i="1"/>
  <c r="H6532" i="1"/>
  <c r="I6528" i="1"/>
  <c r="H6528" i="1"/>
  <c r="I6521" i="1"/>
  <c r="H6521" i="1"/>
  <c r="I6516" i="1"/>
  <c r="H6516" i="1"/>
  <c r="I6511" i="1"/>
  <c r="H6511" i="1"/>
  <c r="I6506" i="1"/>
  <c r="H6506" i="1"/>
  <c r="I6501" i="1"/>
  <c r="H6501" i="1"/>
  <c r="I6496" i="1"/>
  <c r="H6496" i="1"/>
  <c r="I6491" i="1"/>
  <c r="H6491" i="1"/>
  <c r="I6486" i="1"/>
  <c r="H6486" i="1"/>
  <c r="I6481" i="1"/>
  <c r="H6481" i="1"/>
  <c r="I6476" i="1"/>
  <c r="H6476" i="1"/>
  <c r="I6471" i="1"/>
  <c r="H6471" i="1"/>
  <c r="I6466" i="1"/>
  <c r="H6466" i="1"/>
  <c r="I6461" i="1"/>
  <c r="H6461" i="1"/>
  <c r="I6456" i="1"/>
  <c r="H6456" i="1"/>
  <c r="I6451" i="1"/>
  <c r="H6451" i="1"/>
  <c r="I6447" i="1"/>
  <c r="H6447" i="1"/>
  <c r="I6436" i="1"/>
  <c r="H6436" i="1"/>
  <c r="I6432" i="1"/>
  <c r="H6432" i="1"/>
  <c r="I6428" i="1"/>
  <c r="H6428" i="1"/>
  <c r="I6424" i="1"/>
  <c r="H6424" i="1"/>
  <c r="I6420" i="1"/>
  <c r="H6420" i="1"/>
  <c r="I6416" i="1"/>
  <c r="H6416" i="1"/>
  <c r="I6412" i="1"/>
  <c r="H6412" i="1"/>
  <c r="I6408" i="1"/>
  <c r="H6408" i="1"/>
  <c r="I6404" i="1"/>
  <c r="H6404" i="1"/>
  <c r="I6400" i="1"/>
  <c r="H6400" i="1"/>
  <c r="I6396" i="1"/>
  <c r="H6396" i="1"/>
  <c r="I6390" i="1"/>
  <c r="H6390" i="1"/>
  <c r="I6384" i="1"/>
  <c r="H6384" i="1"/>
  <c r="I6380" i="1"/>
  <c r="H6380" i="1"/>
  <c r="I6376" i="1"/>
  <c r="H6376" i="1"/>
  <c r="I6371" i="1"/>
  <c r="H6371" i="1"/>
  <c r="I6361" i="1"/>
  <c r="H6361" i="1"/>
  <c r="I6357" i="1"/>
  <c r="H6357" i="1"/>
  <c r="I6353" i="1"/>
  <c r="H6353" i="1"/>
  <c r="I6349" i="1"/>
  <c r="H6349" i="1"/>
  <c r="I6345" i="1"/>
  <c r="H6345" i="1"/>
  <c r="I6341" i="1"/>
  <c r="H6341" i="1"/>
  <c r="I6337" i="1"/>
  <c r="H6337" i="1"/>
  <c r="I6333" i="1"/>
  <c r="H6333" i="1"/>
  <c r="I6328" i="1"/>
  <c r="H6328" i="1"/>
  <c r="I6323" i="1"/>
  <c r="H6323" i="1"/>
  <c r="I6318" i="1"/>
  <c r="H6318" i="1"/>
  <c r="I6314" i="1"/>
  <c r="H6314" i="1"/>
  <c r="I6308" i="1"/>
  <c r="H6308" i="1"/>
  <c r="I6302" i="1"/>
  <c r="H6302" i="1"/>
  <c r="I6296" i="1"/>
  <c r="H6296" i="1"/>
  <c r="I6292" i="1"/>
  <c r="H6292" i="1"/>
  <c r="I6288" i="1"/>
  <c r="H6288" i="1"/>
  <c r="I6284" i="1"/>
  <c r="H6284" i="1"/>
  <c r="I6280" i="1"/>
  <c r="H6280" i="1"/>
  <c r="I6276" i="1"/>
  <c r="H6276" i="1"/>
  <c r="I6272" i="1"/>
  <c r="H6272" i="1"/>
  <c r="I6268" i="1"/>
  <c r="H6268" i="1"/>
  <c r="I6264" i="1"/>
  <c r="H6264" i="1"/>
  <c r="I6259" i="1"/>
  <c r="H6259" i="1"/>
  <c r="I6255" i="1"/>
  <c r="H6255" i="1"/>
  <c r="I6251" i="1"/>
  <c r="H6251" i="1"/>
  <c r="I6247" i="1"/>
  <c r="H6247" i="1"/>
  <c r="I6243" i="1"/>
  <c r="H6243" i="1"/>
  <c r="I6239" i="1"/>
  <c r="H6239" i="1"/>
  <c r="I6235" i="1"/>
  <c r="H6235" i="1"/>
  <c r="I6231" i="1"/>
  <c r="H6231" i="1"/>
  <c r="I6227" i="1"/>
  <c r="H6227" i="1"/>
  <c r="I6221" i="1"/>
  <c r="H6221" i="1"/>
  <c r="I6217" i="1"/>
  <c r="H6217" i="1"/>
  <c r="I6211" i="1"/>
  <c r="H6211" i="1"/>
  <c r="I6207" i="1"/>
  <c r="H6207" i="1"/>
  <c r="I6203" i="1"/>
  <c r="H6203" i="1"/>
  <c r="I6199" i="1"/>
  <c r="H6199" i="1"/>
  <c r="I6191" i="1"/>
  <c r="H6191" i="1"/>
  <c r="I6187" i="1"/>
  <c r="H6187" i="1"/>
  <c r="I6179" i="1"/>
  <c r="H6179" i="1"/>
  <c r="I6173" i="1"/>
  <c r="H6173" i="1"/>
  <c r="I6169" i="1"/>
  <c r="H6169" i="1"/>
  <c r="I6164" i="1"/>
  <c r="H6164" i="1"/>
  <c r="I6160" i="1"/>
  <c r="H6160" i="1"/>
  <c r="I6155" i="1"/>
  <c r="H6155" i="1"/>
  <c r="I6151" i="1"/>
  <c r="H6151" i="1"/>
  <c r="I6147" i="1"/>
  <c r="H6147" i="1"/>
  <c r="I6143" i="1"/>
  <c r="H6143" i="1"/>
  <c r="I6139" i="1"/>
  <c r="H6139" i="1"/>
  <c r="I6135" i="1"/>
  <c r="H6135" i="1"/>
  <c r="I6130" i="1"/>
  <c r="H6130" i="1"/>
  <c r="I6125" i="1"/>
  <c r="H6125" i="1"/>
  <c r="I6120" i="1"/>
  <c r="H6120" i="1"/>
  <c r="I6115" i="1"/>
  <c r="H6115" i="1"/>
  <c r="I6110" i="1"/>
  <c r="H6110" i="1"/>
  <c r="I6105" i="1"/>
  <c r="H6105" i="1"/>
  <c r="I6100" i="1"/>
  <c r="H6100" i="1"/>
  <c r="I6094" i="1"/>
  <c r="H6094" i="1"/>
  <c r="I6083" i="1"/>
  <c r="H6083" i="1"/>
  <c r="I6079" i="1"/>
  <c r="H6079" i="1"/>
  <c r="I6071" i="1"/>
  <c r="H6071" i="1"/>
  <c r="I6067" i="1"/>
  <c r="H6067" i="1"/>
  <c r="I6063" i="1"/>
  <c r="H6063" i="1"/>
  <c r="I6059" i="1"/>
  <c r="H6059" i="1"/>
  <c r="I6055" i="1"/>
  <c r="H6055" i="1"/>
  <c r="I6051" i="1"/>
  <c r="H6051" i="1"/>
  <c r="I6047" i="1"/>
  <c r="H6047" i="1"/>
  <c r="I6043" i="1"/>
  <c r="H6043" i="1"/>
  <c r="I6039" i="1"/>
  <c r="H6039" i="1"/>
  <c r="I6035" i="1"/>
  <c r="H6035" i="1"/>
  <c r="I6031" i="1"/>
  <c r="H6031" i="1"/>
  <c r="I6027" i="1"/>
  <c r="H6027" i="1"/>
  <c r="I6023" i="1"/>
  <c r="H6023" i="1"/>
  <c r="I6019" i="1"/>
  <c r="H6019" i="1"/>
  <c r="I6015" i="1"/>
  <c r="H6015" i="1"/>
  <c r="I6011" i="1"/>
  <c r="H6011" i="1"/>
  <c r="I6007" i="1"/>
  <c r="H6007" i="1"/>
  <c r="I6003" i="1"/>
  <c r="H6003" i="1"/>
  <c r="I5999" i="1"/>
  <c r="H5999" i="1"/>
  <c r="I5995" i="1"/>
  <c r="H5995" i="1"/>
  <c r="I5991" i="1"/>
  <c r="H5991" i="1"/>
  <c r="I5987" i="1"/>
  <c r="H5987" i="1"/>
  <c r="I5983" i="1"/>
  <c r="H5983" i="1"/>
  <c r="I5979" i="1"/>
  <c r="H5979" i="1"/>
  <c r="I5975" i="1"/>
  <c r="H5975" i="1"/>
  <c r="I5971" i="1"/>
  <c r="H5971" i="1"/>
  <c r="I5967" i="1"/>
  <c r="H5967" i="1"/>
  <c r="I5961" i="1"/>
  <c r="H5961" i="1"/>
  <c r="I5954" i="1"/>
  <c r="H5954" i="1"/>
  <c r="I5950" i="1"/>
  <c r="H5950" i="1"/>
  <c r="I5941" i="1"/>
  <c r="H5941" i="1"/>
  <c r="I5937" i="1"/>
  <c r="H5937" i="1"/>
  <c r="I5931" i="1"/>
  <c r="H5931" i="1"/>
  <c r="I5927" i="1"/>
  <c r="H5927" i="1"/>
  <c r="I5923" i="1"/>
  <c r="H5923" i="1"/>
  <c r="I5913" i="1"/>
  <c r="H5913" i="1"/>
  <c r="I5906" i="1"/>
  <c r="H5906" i="1"/>
  <c r="I5897" i="1"/>
  <c r="H5897" i="1"/>
  <c r="I5893" i="1"/>
  <c r="H5893" i="1"/>
  <c r="I5889" i="1"/>
  <c r="H5889" i="1"/>
  <c r="I5885" i="1"/>
  <c r="H5885" i="1"/>
  <c r="I5881" i="1"/>
  <c r="H5881" i="1"/>
  <c r="I5876" i="1"/>
  <c r="H5876" i="1"/>
  <c r="I5871" i="1"/>
  <c r="H5871" i="1"/>
  <c r="I5867" i="1"/>
  <c r="H5867" i="1"/>
  <c r="I5863" i="1"/>
  <c r="H5863" i="1"/>
  <c r="I5857" i="1"/>
  <c r="H5857" i="1"/>
  <c r="I5853" i="1"/>
  <c r="H5853" i="1"/>
  <c r="I5849" i="1"/>
  <c r="H5849" i="1"/>
  <c r="I5845" i="1"/>
  <c r="H5845" i="1"/>
  <c r="I5841" i="1"/>
  <c r="H5841" i="1"/>
  <c r="I5837" i="1"/>
  <c r="H5837" i="1"/>
  <c r="I5830" i="1"/>
  <c r="H5830" i="1"/>
  <c r="I5825" i="1"/>
  <c r="H5825" i="1"/>
  <c r="I5821" i="1"/>
  <c r="H5821" i="1"/>
  <c r="I5815" i="1"/>
  <c r="H5815" i="1"/>
  <c r="I5808" i="1"/>
  <c r="H5808" i="1"/>
  <c r="I5804" i="1"/>
  <c r="H5804" i="1"/>
  <c r="I5800" i="1"/>
  <c r="H5800" i="1"/>
  <c r="I5796" i="1"/>
  <c r="H5796" i="1"/>
  <c r="I5788" i="1"/>
  <c r="H5788" i="1"/>
  <c r="I5773" i="1"/>
  <c r="H5773" i="1"/>
  <c r="I5769" i="1"/>
  <c r="H5769" i="1"/>
  <c r="I5765" i="1"/>
  <c r="H5765" i="1"/>
  <c r="I5759" i="1"/>
  <c r="H5759" i="1"/>
  <c r="I5754" i="1"/>
  <c r="H5754" i="1"/>
  <c r="I5749" i="1"/>
  <c r="H5749" i="1"/>
  <c r="I5744" i="1"/>
  <c r="H5744" i="1"/>
  <c r="I5739" i="1"/>
  <c r="H5739" i="1"/>
  <c r="I5734" i="1"/>
  <c r="H5734" i="1"/>
  <c r="I5729" i="1"/>
  <c r="H5729" i="1"/>
  <c r="I5724" i="1"/>
  <c r="H5724" i="1"/>
  <c r="I5719" i="1"/>
  <c r="H5719" i="1"/>
  <c r="I5714" i="1"/>
  <c r="H5714" i="1"/>
  <c r="I5709" i="1"/>
  <c r="H5709" i="1"/>
  <c r="I5704" i="1"/>
  <c r="H5704" i="1"/>
  <c r="I5699" i="1"/>
  <c r="H5699" i="1"/>
  <c r="I5694" i="1"/>
  <c r="H5694" i="1"/>
  <c r="I5689" i="1"/>
  <c r="H5689" i="1"/>
  <c r="I5684" i="1"/>
  <c r="H5684" i="1"/>
  <c r="I5679" i="1"/>
  <c r="H5679" i="1"/>
  <c r="I5674" i="1"/>
  <c r="H5674" i="1"/>
  <c r="I5669" i="1"/>
  <c r="H5669" i="1"/>
  <c r="I5664" i="1"/>
  <c r="H5664" i="1"/>
  <c r="I5659" i="1"/>
  <c r="H5659" i="1"/>
  <c r="I5654" i="1"/>
  <c r="H5654" i="1"/>
  <c r="I5650" i="1"/>
  <c r="H5650" i="1"/>
  <c r="I5636" i="1"/>
  <c r="H5636" i="1"/>
  <c r="I5624" i="1"/>
  <c r="H5624" i="1"/>
  <c r="I5618" i="1"/>
  <c r="H5618" i="1"/>
  <c r="I5611" i="1"/>
  <c r="H5611" i="1"/>
  <c r="I5607" i="1"/>
  <c r="H5607" i="1"/>
  <c r="I5599" i="1"/>
  <c r="H5599" i="1"/>
  <c r="I5569" i="1"/>
  <c r="H5569" i="1"/>
  <c r="I5558" i="1"/>
  <c r="H5558" i="1"/>
  <c r="I5554" i="1"/>
  <c r="H5554" i="1"/>
  <c r="I5549" i="1"/>
  <c r="H5549" i="1"/>
  <c r="I5545" i="1"/>
  <c r="H5545" i="1"/>
  <c r="I5540" i="1"/>
  <c r="H5540" i="1"/>
  <c r="I5536" i="1"/>
  <c r="H5536" i="1"/>
  <c r="I5532" i="1"/>
  <c r="H5532" i="1"/>
  <c r="I5526" i="1"/>
  <c r="H5526" i="1"/>
  <c r="I5521" i="1"/>
  <c r="H5521" i="1"/>
  <c r="I5517" i="1"/>
  <c r="H5517" i="1"/>
  <c r="I5513" i="1"/>
  <c r="H5513" i="1"/>
  <c r="I5509" i="1"/>
  <c r="H5509" i="1"/>
  <c r="I5505" i="1"/>
  <c r="H5505" i="1"/>
  <c r="I5501" i="1"/>
  <c r="H5501" i="1"/>
  <c r="I5497" i="1"/>
  <c r="H5497" i="1"/>
  <c r="I5493" i="1"/>
  <c r="H5493" i="1"/>
  <c r="I5489" i="1"/>
  <c r="H5489" i="1"/>
  <c r="I5480" i="1"/>
  <c r="H5480" i="1"/>
  <c r="I5476" i="1"/>
  <c r="H5476" i="1"/>
  <c r="I5472" i="1"/>
  <c r="H5472" i="1"/>
  <c r="I5468" i="1"/>
  <c r="H5468" i="1"/>
  <c r="I5464" i="1"/>
  <c r="H5464" i="1"/>
  <c r="I5460" i="1"/>
  <c r="H5460" i="1"/>
  <c r="I5456" i="1"/>
  <c r="H5456" i="1"/>
  <c r="I5450" i="1"/>
  <c r="H5450" i="1"/>
  <c r="I5446" i="1"/>
  <c r="H5446" i="1"/>
  <c r="I5442" i="1"/>
  <c r="H5442" i="1"/>
  <c r="I5438" i="1"/>
  <c r="H5438" i="1"/>
  <c r="I5434" i="1"/>
  <c r="H5434" i="1"/>
  <c r="I5430" i="1"/>
  <c r="H5430" i="1"/>
  <c r="I5426" i="1"/>
  <c r="H5426" i="1"/>
  <c r="I5422" i="1"/>
  <c r="H5422" i="1"/>
  <c r="I5418" i="1"/>
  <c r="H5418" i="1"/>
  <c r="I5413" i="1"/>
  <c r="H5413" i="1"/>
  <c r="I5409" i="1"/>
  <c r="H5409" i="1"/>
  <c r="I5405" i="1"/>
  <c r="H5405" i="1"/>
  <c r="I5400" i="1"/>
  <c r="H5400" i="1"/>
  <c r="I5396" i="1"/>
  <c r="H5396" i="1"/>
  <c r="I5392" i="1"/>
  <c r="H5392" i="1"/>
  <c r="I5388" i="1"/>
  <c r="H5388" i="1"/>
  <c r="I5383" i="1"/>
  <c r="H5383" i="1"/>
  <c r="I5379" i="1"/>
  <c r="H5379" i="1"/>
  <c r="I5375" i="1"/>
  <c r="H5375" i="1"/>
  <c r="I5371" i="1"/>
  <c r="H5371" i="1"/>
  <c r="I5367" i="1"/>
  <c r="H5367" i="1"/>
  <c r="I5363" i="1"/>
  <c r="H5363" i="1"/>
  <c r="I5359" i="1"/>
  <c r="H5359" i="1"/>
  <c r="I5355" i="1"/>
  <c r="H5355" i="1"/>
  <c r="I5351" i="1"/>
  <c r="H5351" i="1"/>
  <c r="I5347" i="1"/>
  <c r="H5347" i="1"/>
  <c r="I5339" i="1"/>
  <c r="H5339" i="1"/>
  <c r="I5335" i="1"/>
  <c r="H5335" i="1"/>
  <c r="I5331" i="1"/>
  <c r="H5331" i="1"/>
  <c r="I5325" i="1"/>
  <c r="H5325" i="1"/>
  <c r="I5321" i="1"/>
  <c r="H5321" i="1"/>
  <c r="I5316" i="1"/>
  <c r="H5316" i="1"/>
  <c r="I5312" i="1"/>
  <c r="H5312" i="1"/>
  <c r="I5308" i="1"/>
  <c r="H5308" i="1"/>
  <c r="I5304" i="1"/>
  <c r="H5304" i="1"/>
  <c r="I5300" i="1"/>
  <c r="H5300" i="1"/>
  <c r="I5296" i="1"/>
  <c r="H5296" i="1"/>
  <c r="I5290" i="1"/>
  <c r="H5290" i="1"/>
  <c r="I5286" i="1"/>
  <c r="H5286" i="1"/>
  <c r="I5282" i="1"/>
  <c r="H5282" i="1"/>
  <c r="I5278" i="1"/>
  <c r="H5278" i="1"/>
  <c r="I5274" i="1"/>
  <c r="H5274" i="1"/>
  <c r="I5270" i="1"/>
  <c r="H5270" i="1"/>
  <c r="I5266" i="1"/>
  <c r="H5266" i="1"/>
  <c r="I5262" i="1"/>
  <c r="H5262" i="1"/>
  <c r="I5258" i="1"/>
  <c r="H5258" i="1"/>
  <c r="I5254" i="1"/>
  <c r="H5254" i="1"/>
  <c r="I5250" i="1"/>
  <c r="H5250" i="1"/>
  <c r="I5246" i="1"/>
  <c r="H5246" i="1"/>
  <c r="I5242" i="1"/>
  <c r="H5242" i="1"/>
  <c r="I5238" i="1"/>
  <c r="H5238" i="1"/>
  <c r="I5234" i="1"/>
  <c r="H5234" i="1"/>
  <c r="I5230" i="1"/>
  <c r="H5230" i="1"/>
  <c r="I5226" i="1"/>
  <c r="H5226" i="1"/>
  <c r="I5222" i="1"/>
  <c r="H5222" i="1"/>
  <c r="I5211" i="1"/>
  <c r="H5211" i="1"/>
  <c r="I5206" i="1"/>
  <c r="H5206" i="1"/>
  <c r="I5201" i="1"/>
  <c r="H5201" i="1"/>
  <c r="I5194" i="1"/>
  <c r="H5194" i="1"/>
  <c r="I5190" i="1"/>
  <c r="H5190" i="1"/>
  <c r="I5186" i="1"/>
  <c r="H5186" i="1"/>
  <c r="I5182" i="1"/>
  <c r="H5182" i="1"/>
  <c r="I5177" i="1"/>
  <c r="H5177" i="1"/>
  <c r="I5173" i="1"/>
  <c r="H5173" i="1"/>
  <c r="I5169" i="1"/>
  <c r="H5169" i="1"/>
  <c r="I5165" i="1"/>
  <c r="H5165" i="1"/>
  <c r="I5161" i="1"/>
  <c r="H5161" i="1"/>
  <c r="I5153" i="1"/>
  <c r="H5153" i="1"/>
  <c r="I5149" i="1"/>
  <c r="H5149" i="1"/>
  <c r="I5143" i="1"/>
  <c r="H5143" i="1"/>
  <c r="I5139" i="1"/>
  <c r="H5139" i="1"/>
  <c r="I5135" i="1"/>
  <c r="H5135" i="1"/>
  <c r="I5131" i="1"/>
  <c r="H5131" i="1"/>
  <c r="I5127" i="1"/>
  <c r="H5127" i="1"/>
  <c r="I5123" i="1"/>
  <c r="H5123" i="1"/>
  <c r="I5119" i="1"/>
  <c r="H5119" i="1"/>
  <c r="I5115" i="1"/>
  <c r="H5115" i="1"/>
  <c r="I5111" i="1"/>
  <c r="H5111" i="1"/>
  <c r="I5107" i="1"/>
  <c r="H5107" i="1"/>
  <c r="I5103" i="1"/>
  <c r="H5103" i="1"/>
  <c r="I5099" i="1"/>
  <c r="H5099" i="1"/>
  <c r="I5095" i="1"/>
  <c r="H5095" i="1"/>
  <c r="I5091" i="1"/>
  <c r="H5091" i="1"/>
  <c r="I5087" i="1"/>
  <c r="H5087" i="1"/>
  <c r="I5083" i="1"/>
  <c r="H5083" i="1"/>
  <c r="I5079" i="1"/>
  <c r="H5079" i="1"/>
  <c r="I5075" i="1"/>
  <c r="H5075" i="1"/>
  <c r="I5071" i="1"/>
  <c r="H5071" i="1"/>
  <c r="I5067" i="1"/>
  <c r="H5067" i="1"/>
  <c r="I5063" i="1"/>
  <c r="H5063" i="1"/>
  <c r="I5059" i="1"/>
  <c r="H5059" i="1"/>
  <c r="I5055" i="1"/>
  <c r="H5055" i="1"/>
  <c r="I5050" i="1"/>
  <c r="H5050" i="1"/>
  <c r="I5043" i="1"/>
  <c r="H5043" i="1"/>
  <c r="I5039" i="1"/>
  <c r="H5039" i="1"/>
  <c r="I5035" i="1"/>
  <c r="H5035" i="1"/>
  <c r="I5031" i="1"/>
  <c r="H5031" i="1"/>
  <c r="I5026" i="1"/>
  <c r="H5026" i="1"/>
  <c r="I5022" i="1"/>
  <c r="H5022" i="1"/>
  <c r="I5009" i="1"/>
  <c r="H5009" i="1"/>
  <c r="I5005" i="1"/>
  <c r="H5005" i="1"/>
  <c r="I5000" i="1"/>
  <c r="H5000" i="1"/>
  <c r="I4996" i="1"/>
  <c r="H4996" i="1"/>
  <c r="I4991" i="1"/>
  <c r="H4991" i="1"/>
  <c r="I4987" i="1"/>
  <c r="H4987" i="1"/>
  <c r="I4981" i="1"/>
  <c r="H4981" i="1"/>
  <c r="I4975" i="1"/>
  <c r="H4975" i="1"/>
  <c r="I4971" i="1"/>
  <c r="H4971" i="1"/>
  <c r="I4965" i="1"/>
  <c r="H4965" i="1"/>
  <c r="I4961" i="1"/>
  <c r="H4961" i="1"/>
  <c r="I4957" i="1"/>
  <c r="H4957" i="1"/>
  <c r="I4953" i="1"/>
  <c r="H4953" i="1"/>
  <c r="I4939" i="1"/>
  <c r="H4939" i="1"/>
  <c r="I4935" i="1"/>
  <c r="H4935" i="1"/>
  <c r="I4926" i="1"/>
  <c r="H4926" i="1"/>
  <c r="I4922" i="1"/>
  <c r="H4922" i="1"/>
  <c r="I4916" i="1"/>
  <c r="H4916" i="1"/>
  <c r="I4907" i="1"/>
  <c r="H4907" i="1"/>
  <c r="I4900" i="1"/>
  <c r="H4900" i="1"/>
  <c r="I4889" i="1"/>
  <c r="H4889" i="1"/>
  <c r="I4885" i="1"/>
  <c r="H4885" i="1"/>
  <c r="I4880" i="1"/>
  <c r="H4880" i="1"/>
  <c r="I4876" i="1"/>
  <c r="H4876" i="1"/>
  <c r="I4869" i="1"/>
  <c r="H4869" i="1"/>
  <c r="I4860" i="1"/>
  <c r="H4860" i="1"/>
  <c r="I4835" i="1"/>
  <c r="H4835" i="1"/>
  <c r="I4828" i="1"/>
  <c r="H4828" i="1"/>
  <c r="I4824" i="1"/>
  <c r="H4824" i="1"/>
  <c r="I4820" i="1"/>
  <c r="H4820" i="1"/>
  <c r="I4816" i="1"/>
  <c r="H4816" i="1"/>
  <c r="I4812" i="1"/>
  <c r="H4812" i="1"/>
  <c r="I4808" i="1"/>
  <c r="H4808" i="1"/>
  <c r="I4804" i="1"/>
  <c r="H4804" i="1"/>
  <c r="I4799" i="1"/>
  <c r="H4799" i="1"/>
  <c r="I4794" i="1"/>
  <c r="H4794" i="1"/>
  <c r="I4789" i="1"/>
  <c r="H4789" i="1"/>
  <c r="I4784" i="1"/>
  <c r="H4784" i="1"/>
  <c r="I4780" i="1"/>
  <c r="H4780" i="1"/>
  <c r="I4772" i="1"/>
  <c r="H4772" i="1"/>
  <c r="I4766" i="1"/>
  <c r="H4766" i="1"/>
  <c r="I4762" i="1"/>
  <c r="H4762" i="1"/>
  <c r="I4758" i="1"/>
  <c r="H4758" i="1"/>
  <c r="I4753" i="1"/>
  <c r="H4753" i="1"/>
  <c r="I4748" i="1"/>
  <c r="H4748" i="1"/>
  <c r="I4743" i="1"/>
  <c r="H4743" i="1"/>
  <c r="I4738" i="1"/>
  <c r="H4738" i="1"/>
  <c r="I4733" i="1"/>
  <c r="H4733" i="1"/>
  <c r="I4728" i="1"/>
  <c r="H4728" i="1"/>
  <c r="I4723" i="1"/>
  <c r="H4723" i="1"/>
  <c r="I4718" i="1"/>
  <c r="H4718" i="1"/>
  <c r="I4713" i="1"/>
  <c r="H4713" i="1"/>
  <c r="I4708" i="1"/>
  <c r="H4708" i="1"/>
  <c r="I4703" i="1"/>
  <c r="H4703" i="1"/>
  <c r="I4698" i="1"/>
  <c r="H4698" i="1"/>
  <c r="I4693" i="1"/>
  <c r="H4693" i="1"/>
  <c r="I4688" i="1"/>
  <c r="H4688" i="1"/>
  <c r="I4683" i="1"/>
  <c r="H4683" i="1"/>
  <c r="I4678" i="1"/>
  <c r="H4678" i="1"/>
  <c r="I4673" i="1"/>
  <c r="H4673" i="1"/>
  <c r="I4668" i="1"/>
  <c r="H4668" i="1"/>
  <c r="I4663" i="1"/>
  <c r="H4663" i="1"/>
  <c r="I4659" i="1"/>
  <c r="H4659" i="1"/>
  <c r="I4655" i="1"/>
  <c r="H4655" i="1"/>
  <c r="I4651" i="1"/>
  <c r="H4651" i="1"/>
  <c r="I4647" i="1"/>
  <c r="H4647" i="1"/>
  <c r="I4643" i="1"/>
  <c r="H4643" i="1"/>
  <c r="I4639" i="1"/>
  <c r="H4639" i="1"/>
  <c r="I4628" i="1"/>
  <c r="H4628" i="1"/>
  <c r="I4614" i="1"/>
  <c r="H4614" i="1"/>
  <c r="I4608" i="1"/>
  <c r="H4608" i="1"/>
  <c r="I4602" i="1"/>
  <c r="H4602" i="1"/>
  <c r="I4596" i="1"/>
  <c r="H4596" i="1"/>
  <c r="I4592" i="1"/>
  <c r="H4592" i="1"/>
  <c r="I4588" i="1"/>
  <c r="H4588" i="1"/>
  <c r="I4584" i="1"/>
  <c r="H4584" i="1"/>
  <c r="I4580" i="1"/>
  <c r="H4580" i="1"/>
  <c r="I4576" i="1"/>
  <c r="H4576" i="1"/>
  <c r="I4572" i="1"/>
  <c r="H4572" i="1"/>
  <c r="I4568" i="1"/>
  <c r="H4568" i="1"/>
  <c r="I4562" i="1"/>
  <c r="H4562" i="1"/>
  <c r="I4556" i="1"/>
  <c r="H4556" i="1"/>
  <c r="I4552" i="1"/>
  <c r="H4552" i="1"/>
  <c r="I4547" i="1"/>
  <c r="H4547" i="1"/>
  <c r="I4539" i="1"/>
  <c r="H4539" i="1"/>
  <c r="I4533" i="1"/>
  <c r="H4533" i="1"/>
  <c r="I4529" i="1"/>
  <c r="H4529" i="1"/>
  <c r="I4525" i="1"/>
  <c r="H4525" i="1"/>
  <c r="I4521" i="1"/>
  <c r="H4521" i="1"/>
  <c r="I4517" i="1"/>
  <c r="H4517" i="1"/>
  <c r="I4511" i="1"/>
  <c r="H4511" i="1"/>
  <c r="I4505" i="1"/>
  <c r="H4505" i="1"/>
  <c r="I4501" i="1"/>
  <c r="H4501" i="1"/>
  <c r="I4497" i="1"/>
  <c r="H4497" i="1"/>
  <c r="I4487" i="1"/>
  <c r="H4487" i="1"/>
  <c r="I4483" i="1"/>
  <c r="H4483" i="1"/>
  <c r="I4479" i="1"/>
  <c r="H4479" i="1"/>
  <c r="I4475" i="1"/>
  <c r="H4475" i="1"/>
  <c r="I4471" i="1"/>
  <c r="H4471" i="1"/>
  <c r="I4467" i="1"/>
  <c r="H4467" i="1"/>
  <c r="I4463" i="1"/>
  <c r="H4463" i="1"/>
  <c r="I4455" i="1"/>
  <c r="H4455" i="1"/>
  <c r="I4451" i="1"/>
  <c r="H4451" i="1"/>
  <c r="I4447" i="1"/>
  <c r="H4447" i="1"/>
  <c r="I4443" i="1"/>
  <c r="H4443" i="1"/>
  <c r="I4439" i="1"/>
  <c r="H4439" i="1"/>
  <c r="I4435" i="1"/>
  <c r="H4435" i="1"/>
  <c r="I4430" i="1"/>
  <c r="H4430" i="1"/>
  <c r="I4422" i="1"/>
  <c r="H4422" i="1"/>
  <c r="I4418" i="1"/>
  <c r="H4418" i="1"/>
  <c r="I4414" i="1"/>
  <c r="H4414" i="1"/>
  <c r="I4410" i="1"/>
  <c r="H4410" i="1"/>
  <c r="I4406" i="1"/>
  <c r="H4406" i="1"/>
  <c r="I4401" i="1"/>
  <c r="H4401" i="1"/>
  <c r="I4396" i="1"/>
  <c r="H4396" i="1"/>
  <c r="I4391" i="1"/>
  <c r="H4391" i="1"/>
  <c r="I4386" i="1"/>
  <c r="H4386" i="1"/>
  <c r="I4381" i="1"/>
  <c r="H4381" i="1"/>
  <c r="I4376" i="1"/>
  <c r="H4376" i="1"/>
  <c r="I4371" i="1"/>
  <c r="H4371" i="1"/>
  <c r="I4366" i="1"/>
  <c r="H4366" i="1"/>
  <c r="I4361" i="1"/>
  <c r="H4361" i="1"/>
  <c r="I4356" i="1"/>
  <c r="H4356" i="1"/>
  <c r="I4351" i="1"/>
  <c r="H4351" i="1"/>
  <c r="I4346" i="1"/>
  <c r="H4346" i="1"/>
  <c r="I4341" i="1"/>
  <c r="H4341" i="1"/>
  <c r="I4336" i="1"/>
  <c r="H4336" i="1"/>
  <c r="I4331" i="1"/>
  <c r="H4331" i="1"/>
  <c r="I4321" i="1"/>
  <c r="H4321" i="1"/>
  <c r="I4317" i="1"/>
  <c r="H4317" i="1"/>
  <c r="I4313" i="1"/>
  <c r="H4313" i="1"/>
  <c r="I4309" i="1"/>
  <c r="H4309" i="1"/>
  <c r="I4305" i="1"/>
  <c r="H4305" i="1"/>
  <c r="I4299" i="1"/>
  <c r="H4299" i="1"/>
  <c r="I4293" i="1"/>
  <c r="H4293" i="1"/>
  <c r="I4288" i="1"/>
  <c r="H4288" i="1"/>
  <c r="I4284" i="1"/>
  <c r="H4284" i="1"/>
  <c r="I4279" i="1"/>
  <c r="H4279" i="1"/>
  <c r="I4274" i="1"/>
  <c r="H4274" i="1"/>
  <c r="I4269" i="1"/>
  <c r="H4269" i="1"/>
  <c r="I4264" i="1"/>
  <c r="H4264" i="1"/>
  <c r="I4259" i="1"/>
  <c r="H4259" i="1"/>
  <c r="I4251" i="1"/>
  <c r="H4251" i="1"/>
  <c r="I4247" i="1"/>
  <c r="H4247" i="1"/>
  <c r="I4242" i="1"/>
  <c r="H4242" i="1"/>
  <c r="I4238" i="1"/>
  <c r="H4238" i="1"/>
  <c r="I4234" i="1"/>
  <c r="H4234" i="1"/>
  <c r="I4230" i="1"/>
  <c r="H4230" i="1"/>
  <c r="I4226" i="1"/>
  <c r="H4226" i="1"/>
  <c r="I4222" i="1"/>
  <c r="H4222" i="1"/>
  <c r="I4218" i="1"/>
  <c r="H4218" i="1"/>
  <c r="I4214" i="1"/>
  <c r="H4214" i="1"/>
  <c r="I4210" i="1"/>
  <c r="H4210" i="1"/>
  <c r="I4203" i="1"/>
  <c r="H4203" i="1"/>
  <c r="I4199" i="1"/>
  <c r="H4199" i="1"/>
  <c r="I4191" i="1"/>
  <c r="H4191" i="1"/>
  <c r="I4187" i="1"/>
  <c r="H4187" i="1"/>
  <c r="I4181" i="1"/>
  <c r="H4181" i="1"/>
  <c r="I4177" i="1"/>
  <c r="H4177" i="1"/>
  <c r="I4173" i="1"/>
  <c r="H4173" i="1"/>
  <c r="I4161" i="1"/>
  <c r="H4161" i="1"/>
  <c r="I4157" i="1"/>
  <c r="H4157" i="1"/>
  <c r="I4153" i="1"/>
  <c r="H4153" i="1"/>
  <c r="I4149" i="1"/>
  <c r="H4149" i="1"/>
  <c r="I4145" i="1"/>
  <c r="H4145" i="1"/>
  <c r="I4141" i="1"/>
  <c r="H4141" i="1"/>
  <c r="I4137" i="1"/>
  <c r="H4137" i="1"/>
  <c r="I4132" i="1"/>
  <c r="H4132" i="1"/>
  <c r="I4128" i="1"/>
  <c r="H4128" i="1"/>
  <c r="I4124" i="1"/>
  <c r="H4124" i="1"/>
  <c r="I4120" i="1"/>
  <c r="H4120" i="1"/>
  <c r="I4116" i="1"/>
  <c r="H4116" i="1"/>
  <c r="I4112" i="1"/>
  <c r="H4112" i="1"/>
  <c r="I4108" i="1"/>
  <c r="H4108" i="1"/>
  <c r="I4104" i="1"/>
  <c r="H4104" i="1"/>
  <c r="I4100" i="1"/>
  <c r="H4100" i="1"/>
  <c r="I4096" i="1"/>
  <c r="H4096" i="1"/>
  <c r="I4092" i="1"/>
  <c r="H4092" i="1"/>
  <c r="I4088" i="1"/>
  <c r="H4088" i="1"/>
  <c r="I4084" i="1"/>
  <c r="H4084" i="1"/>
  <c r="I4080" i="1"/>
  <c r="H4080" i="1"/>
  <c r="I4076" i="1"/>
  <c r="H4076" i="1"/>
  <c r="I4072" i="1"/>
  <c r="H4072" i="1"/>
  <c r="I4065" i="1"/>
  <c r="H4065" i="1"/>
  <c r="I4037" i="1"/>
  <c r="H4037" i="1"/>
  <c r="I4033" i="1"/>
  <c r="H4033" i="1"/>
  <c r="I4026" i="1"/>
  <c r="H4026" i="1"/>
  <c r="I4022" i="1"/>
  <c r="H4022" i="1"/>
  <c r="I4018" i="1"/>
  <c r="H4018" i="1"/>
  <c r="I4012" i="1"/>
  <c r="H4012" i="1"/>
  <c r="I4008" i="1"/>
  <c r="H4008" i="1"/>
  <c r="I4004" i="1"/>
  <c r="H4004" i="1"/>
  <c r="I4000" i="1"/>
  <c r="H4000" i="1"/>
  <c r="I3996" i="1"/>
  <c r="H3996" i="1"/>
  <c r="I3992" i="1"/>
  <c r="H3992" i="1"/>
  <c r="I3988" i="1"/>
  <c r="H3988" i="1"/>
  <c r="I3984" i="1"/>
  <c r="H3984" i="1"/>
  <c r="I3980" i="1"/>
  <c r="H3980" i="1"/>
  <c r="I3975" i="1"/>
  <c r="H3975" i="1"/>
  <c r="I3971" i="1"/>
  <c r="H3971" i="1"/>
  <c r="I3967" i="1"/>
  <c r="H3967" i="1"/>
  <c r="I3960" i="1"/>
  <c r="H3960" i="1"/>
  <c r="I3952" i="1"/>
  <c r="H3952" i="1"/>
  <c r="I3947" i="1"/>
  <c r="H3947" i="1"/>
  <c r="I3942" i="1"/>
  <c r="H3942" i="1"/>
  <c r="I3938" i="1"/>
  <c r="H3938" i="1"/>
  <c r="I3934" i="1"/>
  <c r="H3934" i="1"/>
  <c r="I3930" i="1"/>
  <c r="H3930" i="1"/>
  <c r="I3926" i="1"/>
  <c r="H3926" i="1"/>
  <c r="I3920" i="1"/>
  <c r="H3920" i="1"/>
  <c r="I3915" i="1"/>
  <c r="H3915" i="1"/>
  <c r="I3906" i="1"/>
  <c r="H3906" i="1"/>
  <c r="I3900" i="1"/>
  <c r="H3900" i="1"/>
  <c r="I3896" i="1"/>
  <c r="H3896" i="1"/>
  <c r="I3889" i="1"/>
  <c r="H3889" i="1"/>
  <c r="I3885" i="1"/>
  <c r="H3885" i="1"/>
  <c r="I3881" i="1"/>
  <c r="H3881" i="1"/>
  <c r="I3877" i="1"/>
  <c r="H3877" i="1"/>
  <c r="I3873" i="1"/>
  <c r="H3873" i="1"/>
  <c r="I3868" i="1"/>
  <c r="H3868" i="1"/>
  <c r="I3863" i="1"/>
  <c r="H3863" i="1"/>
  <c r="I3858" i="1"/>
  <c r="H3858" i="1"/>
  <c r="I3853" i="1"/>
  <c r="H3853" i="1"/>
  <c r="I3849" i="1"/>
  <c r="H3849" i="1"/>
  <c r="I3845" i="1"/>
  <c r="H3845" i="1"/>
  <c r="I3841" i="1"/>
  <c r="H3841" i="1"/>
  <c r="I3837" i="1"/>
  <c r="H3837" i="1"/>
  <c r="I3833" i="1"/>
  <c r="H3833" i="1"/>
  <c r="I3829" i="1"/>
  <c r="H3829" i="1"/>
  <c r="I3821" i="1"/>
  <c r="H3821" i="1"/>
  <c r="I3817" i="1"/>
  <c r="H3817" i="1"/>
  <c r="I3813" i="1"/>
  <c r="H3813" i="1"/>
  <c r="I3809" i="1"/>
  <c r="H3809" i="1"/>
  <c r="I3804" i="1"/>
  <c r="H3804" i="1"/>
  <c r="I3800" i="1"/>
  <c r="H3800" i="1"/>
  <c r="I3796" i="1"/>
  <c r="H3796" i="1"/>
  <c r="I3791" i="1"/>
  <c r="H3791" i="1"/>
  <c r="I3779" i="1"/>
  <c r="H3779" i="1"/>
  <c r="I3775" i="1"/>
  <c r="H3775" i="1"/>
  <c r="I3771" i="1"/>
  <c r="H3771" i="1"/>
  <c r="I3767" i="1"/>
  <c r="H3767" i="1"/>
  <c r="I3763" i="1"/>
  <c r="H3763" i="1"/>
  <c r="I3759" i="1"/>
  <c r="H3759" i="1"/>
  <c r="I3755" i="1"/>
  <c r="H3755" i="1"/>
  <c r="I3751" i="1"/>
  <c r="H3751" i="1"/>
  <c r="I3746" i="1"/>
  <c r="H3746" i="1"/>
  <c r="I3741" i="1"/>
  <c r="H3741" i="1"/>
  <c r="I3737" i="1"/>
  <c r="H3737" i="1"/>
  <c r="I3733" i="1"/>
  <c r="H3733" i="1"/>
  <c r="I3729" i="1"/>
  <c r="H3729" i="1"/>
  <c r="I3725" i="1"/>
  <c r="H3725" i="1"/>
  <c r="I3721" i="1"/>
  <c r="H3721" i="1"/>
  <c r="I3717" i="1"/>
  <c r="H3717" i="1"/>
  <c r="I3713" i="1"/>
  <c r="H3713" i="1"/>
  <c r="I3709" i="1"/>
  <c r="H3709" i="1"/>
  <c r="I3705" i="1"/>
  <c r="H3705" i="1"/>
  <c r="I3701" i="1"/>
  <c r="H3701" i="1"/>
  <c r="I3696" i="1"/>
  <c r="H3696" i="1"/>
  <c r="I3690" i="1"/>
  <c r="H3690" i="1"/>
  <c r="I3686" i="1"/>
  <c r="H3686" i="1"/>
  <c r="I3682" i="1"/>
  <c r="H3682" i="1"/>
  <c r="I3678" i="1"/>
  <c r="H3678" i="1"/>
  <c r="I3674" i="1"/>
  <c r="H3674" i="1"/>
  <c r="I3670" i="1"/>
  <c r="H3670" i="1"/>
  <c r="I3665" i="1"/>
  <c r="H3665" i="1"/>
  <c r="I3661" i="1"/>
  <c r="H3661" i="1"/>
  <c r="I3657" i="1"/>
  <c r="H3657" i="1"/>
  <c r="I3653" i="1"/>
  <c r="H3653" i="1"/>
  <c r="I3649" i="1"/>
  <c r="H3649" i="1"/>
  <c r="I3645" i="1"/>
  <c r="H3645" i="1"/>
  <c r="I3641" i="1"/>
  <c r="H3641" i="1"/>
  <c r="I3637" i="1"/>
  <c r="H3637" i="1"/>
  <c r="I3633" i="1"/>
  <c r="H3633" i="1"/>
  <c r="I3629" i="1"/>
  <c r="H3629" i="1"/>
  <c r="I3625" i="1"/>
  <c r="H3625" i="1"/>
  <c r="I3619" i="1"/>
  <c r="H3619" i="1"/>
  <c r="I3613" i="1"/>
  <c r="H3613" i="1"/>
  <c r="I3609" i="1"/>
  <c r="H3609" i="1"/>
  <c r="I3600" i="1"/>
  <c r="H3600" i="1"/>
  <c r="I3596" i="1"/>
  <c r="H3596" i="1"/>
  <c r="I3592" i="1"/>
  <c r="H3592" i="1"/>
  <c r="I3588" i="1"/>
  <c r="H3588" i="1"/>
  <c r="I3584" i="1"/>
  <c r="H3584" i="1"/>
  <c r="I3580" i="1"/>
  <c r="H3580" i="1"/>
  <c r="I3576" i="1"/>
  <c r="H3576" i="1"/>
  <c r="I3572" i="1"/>
  <c r="H3572" i="1"/>
  <c r="I3568" i="1"/>
  <c r="H3568" i="1"/>
  <c r="I3558" i="1"/>
  <c r="H3558" i="1"/>
  <c r="I3554" i="1"/>
  <c r="H3554" i="1"/>
  <c r="I3550" i="1"/>
  <c r="H3550" i="1"/>
  <c r="I3546" i="1"/>
  <c r="H3546" i="1"/>
  <c r="I3542" i="1"/>
  <c r="H3542" i="1"/>
  <c r="I3538" i="1"/>
  <c r="H3538" i="1"/>
  <c r="I3534" i="1"/>
  <c r="H3534" i="1"/>
  <c r="I3530" i="1"/>
  <c r="H3530" i="1"/>
  <c r="I3523" i="1"/>
  <c r="H3523" i="1"/>
  <c r="I3519" i="1"/>
  <c r="H3519" i="1"/>
  <c r="I3513" i="1"/>
  <c r="H3513" i="1"/>
  <c r="I3509" i="1"/>
  <c r="H3509" i="1"/>
  <c r="I3505" i="1"/>
  <c r="H3505" i="1"/>
  <c r="I3499" i="1"/>
  <c r="H3499" i="1"/>
  <c r="I3495" i="1"/>
  <c r="H3495" i="1"/>
  <c r="I3490" i="1"/>
  <c r="H3490" i="1"/>
  <c r="I3486" i="1"/>
  <c r="H3486" i="1"/>
  <c r="I3482" i="1"/>
  <c r="H3482" i="1"/>
  <c r="I3476" i="1"/>
  <c r="H3476" i="1"/>
  <c r="I3472" i="1"/>
  <c r="H3472" i="1"/>
  <c r="I3468" i="1"/>
  <c r="H3468" i="1"/>
  <c r="I3464" i="1"/>
  <c r="H3464" i="1"/>
  <c r="I3458" i="1"/>
  <c r="H3458" i="1"/>
  <c r="I3454" i="1"/>
  <c r="H3454" i="1"/>
  <c r="I3449" i="1"/>
  <c r="H3449" i="1"/>
  <c r="I3445" i="1"/>
  <c r="H3445" i="1"/>
  <c r="I3438" i="1"/>
  <c r="H3438" i="1"/>
  <c r="I3415" i="1"/>
  <c r="H3415" i="1"/>
  <c r="I3409" i="1"/>
  <c r="H3409" i="1"/>
  <c r="I3405" i="1"/>
  <c r="H3405" i="1"/>
  <c r="I3398" i="1"/>
  <c r="H3398" i="1"/>
  <c r="I3394" i="1"/>
  <c r="H3394" i="1"/>
  <c r="I3390" i="1"/>
  <c r="H3390" i="1"/>
  <c r="I3384" i="1"/>
  <c r="H3384" i="1"/>
  <c r="I3380" i="1"/>
  <c r="H3380" i="1"/>
  <c r="I3376" i="1"/>
  <c r="H3376" i="1"/>
  <c r="I3366" i="1"/>
  <c r="H3366" i="1"/>
  <c r="I3362" i="1"/>
  <c r="H3362" i="1"/>
  <c r="I3358" i="1"/>
  <c r="H3358" i="1"/>
  <c r="I3354" i="1"/>
  <c r="H3354" i="1"/>
  <c r="I3350" i="1"/>
  <c r="H3350" i="1"/>
  <c r="I3346" i="1"/>
  <c r="H3346" i="1"/>
  <c r="I3342" i="1"/>
  <c r="H3342" i="1"/>
  <c r="I3337" i="1"/>
  <c r="H3337" i="1"/>
  <c r="I3333" i="1"/>
  <c r="H3333" i="1"/>
  <c r="I3329" i="1"/>
  <c r="H3329" i="1"/>
  <c r="I3325" i="1"/>
  <c r="H3325" i="1"/>
  <c r="I3320" i="1"/>
  <c r="H3320" i="1"/>
  <c r="I3316" i="1"/>
  <c r="H3316" i="1"/>
  <c r="I3312" i="1"/>
  <c r="H3312" i="1"/>
  <c r="I3308" i="1"/>
  <c r="H3308" i="1"/>
  <c r="I3304" i="1"/>
  <c r="H3304" i="1"/>
  <c r="I3299" i="1"/>
  <c r="H3299" i="1"/>
  <c r="I3295" i="1"/>
  <c r="H3295" i="1"/>
  <c r="I3290" i="1"/>
  <c r="H3290" i="1"/>
  <c r="I3286" i="1"/>
  <c r="H3286" i="1"/>
  <c r="I3282" i="1"/>
  <c r="H3282" i="1"/>
  <c r="I3278" i="1"/>
  <c r="H3278" i="1"/>
  <c r="I3274" i="1"/>
  <c r="H3274" i="1"/>
  <c r="I3269" i="1"/>
  <c r="H3269" i="1"/>
  <c r="I3264" i="1"/>
  <c r="H3264" i="1"/>
  <c r="I3259" i="1"/>
  <c r="H3259" i="1"/>
  <c r="I3254" i="1"/>
  <c r="H3254" i="1"/>
  <c r="I3249" i="1"/>
  <c r="H3249" i="1"/>
  <c r="I3244" i="1"/>
  <c r="H3244" i="1"/>
  <c r="I3239" i="1"/>
  <c r="H3239" i="1"/>
  <c r="I3235" i="1"/>
  <c r="H3235" i="1"/>
  <c r="I3231" i="1"/>
  <c r="H3231" i="1"/>
  <c r="I3227" i="1"/>
  <c r="H3227" i="1"/>
  <c r="I3223" i="1"/>
  <c r="H3223" i="1"/>
  <c r="I3219" i="1"/>
  <c r="H3219" i="1"/>
  <c r="I3215" i="1"/>
  <c r="H3215" i="1"/>
  <c r="I3211" i="1"/>
  <c r="H3211" i="1"/>
  <c r="I3207" i="1"/>
  <c r="H3207" i="1"/>
  <c r="I3200" i="1"/>
  <c r="H3200" i="1"/>
  <c r="I3195" i="1"/>
  <c r="H3195" i="1"/>
  <c r="I3190" i="1"/>
  <c r="H3190" i="1"/>
  <c r="I3185" i="1"/>
  <c r="H3185" i="1"/>
  <c r="I3173" i="1"/>
  <c r="H3173" i="1"/>
  <c r="I3168" i="1"/>
  <c r="H3168" i="1"/>
  <c r="I3163" i="1"/>
  <c r="H3163" i="1"/>
  <c r="I3158" i="1"/>
  <c r="H3158" i="1"/>
  <c r="I3153" i="1"/>
  <c r="H3153" i="1"/>
  <c r="I3148" i="1"/>
  <c r="H3148" i="1"/>
  <c r="I3143" i="1"/>
  <c r="H3143" i="1"/>
  <c r="I3138" i="1"/>
  <c r="H3138" i="1"/>
  <c r="I3133" i="1"/>
  <c r="H3133" i="1"/>
  <c r="I3128" i="1"/>
  <c r="H3128" i="1"/>
  <c r="I3115" i="1"/>
  <c r="H3115" i="1"/>
  <c r="I3110" i="1"/>
  <c r="H3110" i="1"/>
  <c r="I3104" i="1"/>
  <c r="H3104" i="1"/>
  <c r="I3100" i="1"/>
  <c r="H3100" i="1"/>
  <c r="I3096" i="1"/>
  <c r="H3096" i="1"/>
  <c r="I3092" i="1"/>
  <c r="H3092" i="1"/>
  <c r="I3088" i="1"/>
  <c r="H3088" i="1"/>
  <c r="I3084" i="1"/>
  <c r="H3084" i="1"/>
  <c r="I3080" i="1"/>
  <c r="H3080" i="1"/>
  <c r="I3076" i="1"/>
  <c r="H3076" i="1"/>
  <c r="I3071" i="1"/>
  <c r="H3071" i="1"/>
  <c r="I3067" i="1"/>
  <c r="H3067" i="1"/>
  <c r="I3063" i="1"/>
  <c r="H3063" i="1"/>
  <c r="I3059" i="1"/>
  <c r="H3059" i="1"/>
  <c r="I3055" i="1"/>
  <c r="H3055" i="1"/>
  <c r="I3051" i="1"/>
  <c r="H3051" i="1"/>
  <c r="I3047" i="1"/>
  <c r="H3047" i="1"/>
  <c r="I3043" i="1"/>
  <c r="H3043" i="1"/>
  <c r="I3039" i="1"/>
  <c r="H3039" i="1"/>
  <c r="I3034" i="1"/>
  <c r="H3034" i="1"/>
  <c r="I3030" i="1"/>
  <c r="H3030" i="1"/>
  <c r="I3013" i="1"/>
  <c r="H3013" i="1"/>
  <c r="I2998" i="1"/>
  <c r="H2998" i="1"/>
  <c r="I2993" i="1"/>
  <c r="H2993" i="1"/>
  <c r="I2989" i="1"/>
  <c r="H2989" i="1"/>
  <c r="I2985" i="1"/>
  <c r="H2985" i="1"/>
  <c r="I2981" i="1"/>
  <c r="H2981" i="1"/>
  <c r="I2977" i="1"/>
  <c r="H2977" i="1"/>
  <c r="I2973" i="1"/>
  <c r="H2973" i="1"/>
  <c r="I2968" i="1"/>
  <c r="H2968" i="1"/>
  <c r="I2964" i="1"/>
  <c r="H2964" i="1"/>
  <c r="I2960" i="1"/>
  <c r="H2960" i="1"/>
  <c r="I2954" i="1"/>
  <c r="H2954" i="1"/>
  <c r="I2950" i="1"/>
  <c r="H2950" i="1"/>
  <c r="I2936" i="1"/>
  <c r="H2936" i="1"/>
  <c r="I2932" i="1"/>
  <c r="H2932" i="1"/>
  <c r="I2928" i="1"/>
  <c r="H2928" i="1"/>
  <c r="I2924" i="1"/>
  <c r="H2924" i="1"/>
  <c r="I2918" i="1"/>
  <c r="H2918" i="1"/>
  <c r="I2914" i="1"/>
  <c r="H2914" i="1"/>
  <c r="I2910" i="1"/>
  <c r="H2910" i="1"/>
  <c r="I2906" i="1"/>
  <c r="H2906" i="1"/>
  <c r="I2902" i="1"/>
  <c r="H2902" i="1"/>
  <c r="I2898" i="1"/>
  <c r="H2898" i="1"/>
  <c r="I2894" i="1"/>
  <c r="H2894" i="1"/>
  <c r="I2890" i="1"/>
  <c r="H2890" i="1"/>
  <c r="I2886" i="1"/>
  <c r="H2886" i="1"/>
  <c r="I2882" i="1"/>
  <c r="H2882" i="1"/>
  <c r="I2878" i="1"/>
  <c r="H2878" i="1"/>
  <c r="I2874" i="1"/>
  <c r="H2874" i="1"/>
  <c r="I2870" i="1"/>
  <c r="H2870" i="1"/>
  <c r="I2866" i="1"/>
  <c r="H2866" i="1"/>
  <c r="I2860" i="1"/>
  <c r="H2860" i="1"/>
  <c r="I2855" i="1"/>
  <c r="H2855" i="1"/>
  <c r="I2848" i="1"/>
  <c r="H2848" i="1"/>
  <c r="I2826" i="1"/>
  <c r="H2826" i="1"/>
  <c r="I2805" i="1"/>
  <c r="H2805" i="1"/>
  <c r="I2780" i="1"/>
  <c r="H2780" i="1"/>
  <c r="I2776" i="1"/>
  <c r="H2776" i="1"/>
  <c r="I2772" i="1"/>
  <c r="H2772" i="1"/>
  <c r="I2768" i="1"/>
  <c r="H2768" i="1"/>
  <c r="I2764" i="1"/>
  <c r="H2764" i="1"/>
  <c r="I2760" i="1"/>
  <c r="H2760" i="1"/>
  <c r="I2756" i="1"/>
  <c r="H2756" i="1"/>
  <c r="I2752" i="1"/>
  <c r="H2752" i="1"/>
  <c r="I2747" i="1"/>
  <c r="H2747" i="1"/>
  <c r="I2743" i="1"/>
  <c r="H2743" i="1"/>
  <c r="I2739" i="1"/>
  <c r="H2739" i="1"/>
  <c r="I2735" i="1"/>
  <c r="H2735" i="1"/>
  <c r="I2730" i="1"/>
  <c r="H2730" i="1"/>
  <c r="I2726" i="1"/>
  <c r="H2726" i="1"/>
  <c r="I2722" i="1"/>
  <c r="H2722" i="1"/>
  <c r="I2718" i="1"/>
  <c r="H2718" i="1"/>
  <c r="I2714" i="1"/>
  <c r="H2714" i="1"/>
  <c r="I2710" i="1"/>
  <c r="H2710" i="1"/>
  <c r="I2704" i="1"/>
  <c r="H2704" i="1"/>
  <c r="I2699" i="1"/>
  <c r="H2699" i="1"/>
  <c r="I2695" i="1"/>
  <c r="H2695" i="1"/>
  <c r="I2691" i="1"/>
  <c r="H2691" i="1"/>
  <c r="I2685" i="1"/>
  <c r="H2685" i="1"/>
  <c r="I2680" i="1"/>
  <c r="H2680" i="1"/>
  <c r="I2675" i="1"/>
  <c r="H2675" i="1"/>
  <c r="I2671" i="1"/>
  <c r="H2671" i="1"/>
  <c r="I2666" i="1"/>
  <c r="H2666" i="1"/>
  <c r="I2662" i="1"/>
  <c r="H2662" i="1"/>
  <c r="I2658" i="1"/>
  <c r="H2658" i="1"/>
  <c r="I2654" i="1"/>
  <c r="H2654" i="1"/>
  <c r="I2650" i="1"/>
  <c r="H2650" i="1"/>
  <c r="I2645" i="1"/>
  <c r="H2645" i="1"/>
  <c r="I2641" i="1"/>
  <c r="H2641" i="1"/>
  <c r="I2637" i="1"/>
  <c r="H2637" i="1"/>
  <c r="I2633" i="1"/>
  <c r="H2633" i="1"/>
  <c r="I2629" i="1"/>
  <c r="H2629" i="1"/>
  <c r="I2625" i="1"/>
  <c r="H2625" i="1"/>
  <c r="I2621" i="1"/>
  <c r="H2621" i="1"/>
  <c r="I2617" i="1"/>
  <c r="H2617" i="1"/>
  <c r="I2613" i="1"/>
  <c r="H2613" i="1"/>
  <c r="I2608" i="1"/>
  <c r="H2608" i="1"/>
  <c r="I2604" i="1"/>
  <c r="H2604" i="1"/>
  <c r="I2600" i="1"/>
  <c r="H2600" i="1"/>
  <c r="I2596" i="1"/>
  <c r="H2596" i="1"/>
  <c r="I2588" i="1"/>
  <c r="H2588" i="1"/>
  <c r="I2584" i="1"/>
  <c r="H2584" i="1"/>
  <c r="I2580" i="1"/>
  <c r="H2580" i="1"/>
  <c r="I2574" i="1"/>
  <c r="H2574" i="1"/>
  <c r="I2570" i="1"/>
  <c r="H2570" i="1"/>
  <c r="I2566" i="1"/>
  <c r="H2566" i="1"/>
  <c r="I2562" i="1"/>
  <c r="H2562" i="1"/>
  <c r="I2555" i="1"/>
  <c r="H2555" i="1"/>
  <c r="I2551" i="1"/>
  <c r="H2551" i="1"/>
  <c r="I2547" i="1"/>
  <c r="H2547" i="1"/>
  <c r="I2541" i="1"/>
  <c r="H2541" i="1"/>
  <c r="I2537" i="1"/>
  <c r="H2537" i="1"/>
  <c r="I2533" i="1"/>
  <c r="H2533" i="1"/>
  <c r="I2529" i="1"/>
  <c r="H2529" i="1"/>
  <c r="I2525" i="1"/>
  <c r="H2525" i="1"/>
  <c r="I2521" i="1"/>
  <c r="H2521" i="1"/>
  <c r="I2517" i="1"/>
  <c r="H2517" i="1"/>
  <c r="I2513" i="1"/>
  <c r="H2513" i="1"/>
  <c r="I2507" i="1"/>
  <c r="H2507" i="1"/>
  <c r="I2503" i="1"/>
  <c r="H2503" i="1"/>
  <c r="I2499" i="1"/>
  <c r="H2499" i="1"/>
  <c r="I2495" i="1"/>
  <c r="H2495" i="1"/>
  <c r="I2491" i="1"/>
  <c r="H2491" i="1"/>
  <c r="I2487" i="1"/>
  <c r="H2487" i="1"/>
  <c r="I2483" i="1"/>
  <c r="H2483" i="1"/>
  <c r="I2479" i="1"/>
  <c r="H2479" i="1"/>
  <c r="I2475" i="1"/>
  <c r="H2475" i="1"/>
  <c r="I2471" i="1"/>
  <c r="H2471" i="1"/>
  <c r="I2467" i="1"/>
  <c r="H2467" i="1"/>
  <c r="I2463" i="1"/>
  <c r="H2463" i="1"/>
  <c r="I2459" i="1"/>
  <c r="H2459" i="1"/>
  <c r="I2455" i="1"/>
  <c r="H2455" i="1"/>
  <c r="I2451" i="1"/>
  <c r="H2451" i="1"/>
  <c r="I2447" i="1"/>
  <c r="H2447" i="1"/>
  <c r="I2443" i="1"/>
  <c r="H2443" i="1"/>
  <c r="I2439" i="1"/>
  <c r="H2439" i="1"/>
  <c r="I2435" i="1"/>
  <c r="H2435" i="1"/>
  <c r="I2431" i="1"/>
  <c r="H2431" i="1"/>
  <c r="I2427" i="1"/>
  <c r="H2427" i="1"/>
  <c r="I2423" i="1"/>
  <c r="H2423" i="1"/>
  <c r="I2419" i="1"/>
  <c r="H2419" i="1"/>
  <c r="I2413" i="1"/>
  <c r="H2413" i="1"/>
  <c r="I2409" i="1"/>
  <c r="H2409" i="1"/>
  <c r="I2405" i="1"/>
  <c r="H2405" i="1"/>
  <c r="I2401" i="1"/>
  <c r="H2401" i="1"/>
  <c r="I2397" i="1"/>
  <c r="H2397" i="1"/>
  <c r="I2393" i="1"/>
  <c r="H2393" i="1"/>
  <c r="I2387" i="1"/>
  <c r="H2387" i="1"/>
  <c r="I2383" i="1"/>
  <c r="H2383" i="1"/>
  <c r="I2379" i="1"/>
  <c r="H2379" i="1"/>
  <c r="I2375" i="1"/>
  <c r="H2375" i="1"/>
  <c r="I2371" i="1"/>
  <c r="H2371" i="1"/>
  <c r="I2367" i="1"/>
  <c r="H2367" i="1"/>
  <c r="I2363" i="1"/>
  <c r="H2363" i="1"/>
  <c r="I2359" i="1"/>
  <c r="H2359" i="1"/>
  <c r="I2355" i="1"/>
  <c r="H2355" i="1"/>
  <c r="I2351" i="1"/>
  <c r="H2351" i="1"/>
  <c r="I2347" i="1"/>
  <c r="H2347" i="1"/>
  <c r="I2343" i="1"/>
  <c r="H2343" i="1"/>
  <c r="I2339" i="1"/>
  <c r="H2339" i="1"/>
  <c r="I2335" i="1"/>
  <c r="H2335" i="1"/>
  <c r="I2331" i="1"/>
  <c r="H2331" i="1"/>
  <c r="I2327" i="1"/>
  <c r="H2327" i="1"/>
  <c r="I2323" i="1"/>
  <c r="H2323" i="1"/>
  <c r="I2319" i="1"/>
  <c r="H2319" i="1"/>
  <c r="I2314" i="1"/>
  <c r="H2314" i="1"/>
  <c r="I2309" i="1"/>
  <c r="H2309" i="1"/>
  <c r="I2305" i="1"/>
  <c r="H2305" i="1"/>
  <c r="I2301" i="1"/>
  <c r="H2301" i="1"/>
  <c r="I2297" i="1"/>
  <c r="H2297" i="1"/>
  <c r="I2293" i="1"/>
  <c r="H2293" i="1"/>
  <c r="I2287" i="1"/>
  <c r="H2287" i="1"/>
  <c r="I2283" i="1"/>
  <c r="H2283" i="1"/>
  <c r="I2269" i="1"/>
  <c r="H2269" i="1"/>
  <c r="I2265" i="1"/>
  <c r="H2265" i="1"/>
  <c r="I2261" i="1"/>
  <c r="H2261" i="1"/>
  <c r="I2257" i="1"/>
  <c r="H2257" i="1"/>
  <c r="I2253" i="1"/>
  <c r="H2253" i="1"/>
  <c r="I2247" i="1"/>
  <c r="H2247" i="1"/>
  <c r="I2241" i="1"/>
  <c r="H2241" i="1"/>
  <c r="I2237" i="1"/>
  <c r="H2237" i="1"/>
  <c r="I2231" i="1"/>
  <c r="H2231" i="1"/>
  <c r="I2225" i="1"/>
  <c r="H2225" i="1"/>
  <c r="I2221" i="1"/>
  <c r="H2221" i="1"/>
  <c r="I2217" i="1"/>
  <c r="H2217" i="1"/>
  <c r="I2200" i="1"/>
  <c r="H2200" i="1"/>
  <c r="I2196" i="1"/>
  <c r="H2196" i="1"/>
  <c r="I2188" i="1"/>
  <c r="H2188" i="1"/>
  <c r="I2184" i="1"/>
  <c r="H2184" i="1"/>
  <c r="I2180" i="1"/>
  <c r="H2180" i="1"/>
  <c r="I2176" i="1"/>
  <c r="H2176" i="1"/>
  <c r="I2172" i="1"/>
  <c r="H2172" i="1"/>
  <c r="I2167" i="1"/>
  <c r="H2167" i="1"/>
  <c r="I2162" i="1"/>
  <c r="H2162" i="1"/>
  <c r="I2158" i="1"/>
  <c r="H2158" i="1"/>
  <c r="I2154" i="1"/>
  <c r="H2154" i="1"/>
  <c r="I2150" i="1"/>
  <c r="H2150" i="1"/>
  <c r="I2146" i="1"/>
  <c r="H2146" i="1"/>
  <c r="I2142" i="1"/>
  <c r="H2142" i="1"/>
  <c r="I2124" i="1"/>
  <c r="H2124" i="1"/>
  <c r="I2116" i="1"/>
  <c r="H2116" i="1"/>
  <c r="I2112" i="1"/>
  <c r="H2112" i="1"/>
  <c r="I2108" i="1"/>
  <c r="H2108" i="1"/>
  <c r="I2103" i="1"/>
  <c r="H2103" i="1"/>
  <c r="I2099" i="1"/>
  <c r="H2099" i="1"/>
  <c r="I2095" i="1"/>
  <c r="H2095" i="1"/>
  <c r="I2091" i="1"/>
  <c r="H2091" i="1"/>
  <c r="I2087" i="1"/>
  <c r="H2087" i="1"/>
  <c r="I2083" i="1"/>
  <c r="H2083" i="1"/>
  <c r="I2079" i="1"/>
  <c r="H2079" i="1"/>
  <c r="I2075" i="1"/>
  <c r="H2075" i="1"/>
  <c r="I2071" i="1"/>
  <c r="H2071" i="1"/>
  <c r="I2067" i="1"/>
  <c r="H2067" i="1"/>
  <c r="I2063" i="1"/>
  <c r="H2063" i="1"/>
  <c r="I2058" i="1"/>
  <c r="H2058" i="1"/>
  <c r="I2054" i="1"/>
  <c r="H2054" i="1"/>
  <c r="I2050" i="1"/>
  <c r="H2050" i="1"/>
  <c r="I2046" i="1"/>
  <c r="H2046" i="1"/>
  <c r="I2042" i="1"/>
  <c r="H2042" i="1"/>
  <c r="I2038" i="1"/>
  <c r="H2038" i="1"/>
  <c r="I2034" i="1"/>
  <c r="H2034" i="1"/>
  <c r="I2030" i="1"/>
  <c r="H2030" i="1"/>
  <c r="I2026" i="1"/>
  <c r="H2026" i="1"/>
  <c r="I2022" i="1"/>
  <c r="H2022" i="1"/>
  <c r="I2018" i="1"/>
  <c r="H2018" i="1"/>
  <c r="I2014" i="1"/>
  <c r="H2014" i="1"/>
  <c r="I2010" i="1"/>
  <c r="H2010" i="1"/>
  <c r="I2006" i="1"/>
  <c r="H2006" i="1"/>
  <c r="I2002" i="1"/>
  <c r="H2002" i="1"/>
  <c r="I1996" i="1"/>
  <c r="H1996" i="1"/>
  <c r="I1992" i="1"/>
  <c r="H1992" i="1"/>
  <c r="I1988" i="1"/>
  <c r="H1988" i="1"/>
  <c r="I1984" i="1"/>
  <c r="H1984" i="1"/>
  <c r="I1980" i="1"/>
  <c r="H1980" i="1"/>
  <c r="I1976" i="1"/>
  <c r="H1976" i="1"/>
  <c r="I1972" i="1"/>
  <c r="H1972" i="1"/>
  <c r="I1968" i="1"/>
  <c r="H1968" i="1"/>
  <c r="I1964" i="1"/>
  <c r="H1964" i="1"/>
  <c r="I1960" i="1"/>
  <c r="H1960" i="1"/>
  <c r="I1955" i="1"/>
  <c r="H1955" i="1"/>
  <c r="I1951" i="1"/>
  <c r="H1951" i="1"/>
  <c r="I1947" i="1"/>
  <c r="H1947" i="1"/>
  <c r="I1943" i="1"/>
  <c r="H1943" i="1"/>
  <c r="I1939" i="1"/>
  <c r="H1939" i="1"/>
  <c r="I1935" i="1"/>
  <c r="H1935" i="1"/>
  <c r="I1931" i="1"/>
  <c r="H1931" i="1"/>
  <c r="I1926" i="1"/>
  <c r="H1926" i="1"/>
  <c r="I1922" i="1"/>
  <c r="H1922" i="1"/>
  <c r="I1918" i="1"/>
  <c r="H1918" i="1"/>
  <c r="I1913" i="1"/>
  <c r="H1913" i="1"/>
  <c r="I1909" i="1"/>
  <c r="H1909" i="1"/>
  <c r="I1905" i="1"/>
  <c r="H1905" i="1"/>
  <c r="I1897" i="1"/>
  <c r="H1897" i="1"/>
  <c r="I1893" i="1"/>
  <c r="H1893" i="1"/>
  <c r="I1888" i="1"/>
  <c r="H1888" i="1"/>
  <c r="I1884" i="1"/>
  <c r="H1884" i="1"/>
  <c r="I1880" i="1"/>
  <c r="H1880" i="1"/>
  <c r="I1875" i="1"/>
  <c r="H1875" i="1"/>
  <c r="I1871" i="1"/>
  <c r="H1871" i="1"/>
  <c r="I1867" i="1"/>
  <c r="H1867" i="1"/>
  <c r="I1861" i="1"/>
  <c r="H1861" i="1"/>
  <c r="I1857" i="1"/>
  <c r="H1857" i="1"/>
  <c r="I1853" i="1"/>
  <c r="H1853" i="1"/>
  <c r="I1849" i="1"/>
  <c r="H1849" i="1"/>
  <c r="I1843" i="1"/>
  <c r="H1843" i="1"/>
  <c r="I1839" i="1"/>
  <c r="H1839" i="1"/>
  <c r="I1835" i="1"/>
  <c r="H1835" i="1"/>
  <c r="I1831" i="1"/>
  <c r="H1831" i="1"/>
  <c r="I1827" i="1"/>
  <c r="H1827" i="1"/>
  <c r="I1823" i="1"/>
  <c r="H1823" i="1"/>
  <c r="I1819" i="1"/>
  <c r="H1819" i="1"/>
  <c r="I1815" i="1"/>
  <c r="H1815" i="1"/>
  <c r="I1809" i="1"/>
  <c r="H1809" i="1"/>
  <c r="I1805" i="1"/>
  <c r="H1805" i="1"/>
  <c r="I1801" i="1"/>
  <c r="H1801" i="1"/>
  <c r="I1796" i="1"/>
  <c r="H1796" i="1"/>
  <c r="I1792" i="1"/>
  <c r="H1792" i="1"/>
  <c r="I1787" i="1"/>
  <c r="H1787" i="1"/>
  <c r="I1783" i="1"/>
  <c r="H1783" i="1"/>
  <c r="I1779" i="1"/>
  <c r="H1779" i="1"/>
  <c r="I1775" i="1"/>
  <c r="H1775" i="1"/>
  <c r="I1771" i="1"/>
  <c r="H1771" i="1"/>
  <c r="I1767" i="1"/>
  <c r="H1767" i="1"/>
  <c r="I1763" i="1"/>
  <c r="H1763" i="1"/>
  <c r="I1758" i="1"/>
  <c r="H1758" i="1"/>
  <c r="I1754" i="1"/>
  <c r="H1754" i="1"/>
  <c r="I1750" i="1"/>
  <c r="H1750" i="1"/>
  <c r="I1744" i="1"/>
  <c r="H1744" i="1"/>
  <c r="I1740" i="1"/>
  <c r="H1740" i="1"/>
  <c r="I1736" i="1"/>
  <c r="H1736" i="1"/>
  <c r="I1729" i="1"/>
  <c r="H1729" i="1"/>
  <c r="I1725" i="1"/>
  <c r="H1725" i="1"/>
  <c r="I1721" i="1"/>
  <c r="H1721" i="1"/>
  <c r="I1717" i="1"/>
  <c r="H1717" i="1"/>
  <c r="I1713" i="1"/>
  <c r="H1713" i="1"/>
  <c r="I1705" i="1"/>
  <c r="H1705" i="1"/>
  <c r="I1701" i="1"/>
  <c r="H1701" i="1"/>
  <c r="I1697" i="1"/>
  <c r="H1697" i="1"/>
  <c r="I1693" i="1"/>
  <c r="H1693" i="1"/>
  <c r="I1687" i="1"/>
  <c r="H1687" i="1"/>
  <c r="I1683" i="1"/>
  <c r="H1683" i="1"/>
  <c r="I1679" i="1"/>
  <c r="H1679" i="1"/>
  <c r="I1672" i="1"/>
  <c r="H1672" i="1"/>
  <c r="I1668" i="1"/>
  <c r="H1668" i="1"/>
  <c r="I1664" i="1"/>
  <c r="H1664" i="1"/>
  <c r="I1649" i="1"/>
  <c r="H1649" i="1"/>
  <c r="I1645" i="1"/>
  <c r="H1645" i="1"/>
  <c r="I1641" i="1"/>
  <c r="H1641" i="1"/>
  <c r="I1637" i="1"/>
  <c r="H1637" i="1"/>
  <c r="I1633" i="1"/>
  <c r="H1633" i="1"/>
  <c r="I1629" i="1"/>
  <c r="H1629" i="1"/>
  <c r="I1625" i="1"/>
  <c r="H1625" i="1"/>
  <c r="I1621" i="1"/>
  <c r="H1621" i="1"/>
  <c r="I1617" i="1"/>
  <c r="H1617" i="1"/>
  <c r="I1613" i="1"/>
  <c r="H1613" i="1"/>
  <c r="I1609" i="1"/>
  <c r="H1609" i="1"/>
  <c r="I1605" i="1"/>
  <c r="H1605" i="1"/>
  <c r="I1601" i="1"/>
  <c r="H1601" i="1"/>
  <c r="I1597" i="1"/>
  <c r="H1597" i="1"/>
  <c r="I1592" i="1"/>
  <c r="H1592" i="1"/>
  <c r="I1588" i="1"/>
  <c r="H1588" i="1"/>
  <c r="I1584" i="1"/>
  <c r="H1584" i="1"/>
  <c r="I1580" i="1"/>
  <c r="H1580" i="1"/>
  <c r="I1576" i="1"/>
  <c r="H1576" i="1"/>
  <c r="I1572" i="1"/>
  <c r="H1572" i="1"/>
  <c r="I1566" i="1"/>
  <c r="H1566" i="1"/>
  <c r="I1562" i="1"/>
  <c r="H1562" i="1"/>
  <c r="I1558" i="1"/>
  <c r="H1558" i="1"/>
  <c r="I1554" i="1"/>
  <c r="H1554" i="1"/>
  <c r="I1548" i="1"/>
  <c r="H1548" i="1"/>
  <c r="I1544" i="1"/>
  <c r="H1544" i="1"/>
  <c r="I1540" i="1"/>
  <c r="H1540" i="1"/>
  <c r="I1536" i="1"/>
  <c r="H1536" i="1"/>
  <c r="I1519" i="1"/>
  <c r="H1519" i="1"/>
  <c r="I1511" i="1"/>
  <c r="H1511" i="1"/>
  <c r="I1507" i="1"/>
  <c r="H1507" i="1"/>
  <c r="I1502" i="1"/>
  <c r="H1502" i="1"/>
  <c r="I1497" i="1"/>
  <c r="H1497" i="1"/>
  <c r="I1493" i="1"/>
  <c r="H1493" i="1"/>
  <c r="I1489" i="1"/>
  <c r="H1489" i="1"/>
  <c r="I1485" i="1"/>
  <c r="H1485" i="1"/>
  <c r="I1481" i="1"/>
  <c r="H1481" i="1"/>
  <c r="I1477" i="1"/>
  <c r="H1477" i="1"/>
  <c r="I1473" i="1"/>
  <c r="H1473" i="1"/>
  <c r="I1469" i="1"/>
  <c r="H1469" i="1"/>
  <c r="I1465" i="1"/>
  <c r="H1465" i="1"/>
  <c r="I1461" i="1"/>
  <c r="H1461" i="1"/>
  <c r="I1457" i="1"/>
  <c r="H1457" i="1"/>
  <c r="I1453" i="1"/>
  <c r="H1453" i="1"/>
  <c r="I1449" i="1"/>
  <c r="H1449" i="1"/>
  <c r="I1445" i="1"/>
  <c r="H1445" i="1"/>
  <c r="I1440" i="1"/>
  <c r="H1440" i="1"/>
  <c r="I1436" i="1"/>
  <c r="H1436" i="1"/>
  <c r="I1432" i="1"/>
  <c r="H1432" i="1"/>
  <c r="I1428" i="1"/>
  <c r="H1428" i="1"/>
  <c r="I1424" i="1"/>
  <c r="H1424" i="1"/>
  <c r="I1420" i="1"/>
  <c r="H1420" i="1"/>
  <c r="I1416" i="1"/>
  <c r="H1416" i="1"/>
  <c r="I1412" i="1"/>
  <c r="H1412" i="1"/>
  <c r="I1407" i="1"/>
  <c r="H1407" i="1"/>
  <c r="I1403" i="1"/>
  <c r="H1403" i="1"/>
  <c r="I1399" i="1"/>
  <c r="H1399" i="1"/>
  <c r="I1395" i="1"/>
  <c r="H1395" i="1"/>
  <c r="I1391" i="1"/>
  <c r="H1391" i="1"/>
  <c r="I1386" i="1"/>
  <c r="H1386" i="1"/>
  <c r="I1382" i="1"/>
  <c r="H1382" i="1"/>
  <c r="I1378" i="1"/>
  <c r="H1378" i="1"/>
  <c r="I1374" i="1"/>
  <c r="H1374" i="1"/>
  <c r="I1369" i="1"/>
  <c r="H1369" i="1"/>
  <c r="I1360" i="1"/>
  <c r="H1360" i="1"/>
  <c r="I1356" i="1"/>
  <c r="H1356" i="1"/>
  <c r="I1352" i="1"/>
  <c r="H1352" i="1"/>
  <c r="I1348" i="1"/>
  <c r="H1348" i="1"/>
  <c r="I1341" i="1"/>
  <c r="H1341" i="1"/>
  <c r="I1337" i="1"/>
  <c r="H1337" i="1"/>
  <c r="I1333" i="1"/>
  <c r="H1333" i="1"/>
  <c r="I1328" i="1"/>
  <c r="H1328" i="1"/>
  <c r="I1324" i="1"/>
  <c r="H1324" i="1"/>
  <c r="I1320" i="1"/>
  <c r="H1320" i="1"/>
  <c r="I1316" i="1"/>
  <c r="H1316" i="1"/>
  <c r="I1312" i="1"/>
  <c r="H1312" i="1"/>
  <c r="I1308" i="1"/>
  <c r="H1308" i="1"/>
  <c r="I1304" i="1"/>
  <c r="H1304" i="1"/>
  <c r="I1290" i="1"/>
  <c r="H1290" i="1"/>
  <c r="I1286" i="1"/>
  <c r="H1286" i="1"/>
  <c r="I1282" i="1"/>
  <c r="H1282" i="1"/>
  <c r="I1278" i="1"/>
  <c r="H1278" i="1"/>
  <c r="I1274" i="1"/>
  <c r="H1274" i="1"/>
  <c r="I1270" i="1"/>
  <c r="H1270" i="1"/>
  <c r="I1266" i="1"/>
  <c r="H1266" i="1"/>
  <c r="I1262" i="1"/>
  <c r="H1262" i="1"/>
  <c r="I1258" i="1"/>
  <c r="H1258" i="1"/>
  <c r="I1243" i="1"/>
  <c r="H1243" i="1"/>
  <c r="I1235" i="1"/>
  <c r="H1235" i="1"/>
  <c r="I1231" i="1"/>
  <c r="H1231" i="1"/>
  <c r="I1226" i="1"/>
  <c r="H1226" i="1"/>
  <c r="I1222" i="1"/>
  <c r="H1222" i="1"/>
  <c r="I1218" i="1"/>
  <c r="H1218" i="1"/>
  <c r="I1214" i="1"/>
  <c r="H1214" i="1"/>
  <c r="I1210" i="1"/>
  <c r="H1210" i="1"/>
  <c r="I1206" i="1"/>
  <c r="H1206" i="1"/>
  <c r="I1202" i="1"/>
  <c r="H1202" i="1"/>
  <c r="I1198" i="1"/>
  <c r="H1198" i="1"/>
  <c r="I1194" i="1"/>
  <c r="H1194" i="1"/>
  <c r="I1190" i="1"/>
  <c r="H1190" i="1"/>
  <c r="I1186" i="1"/>
  <c r="H1186" i="1"/>
  <c r="I1182" i="1"/>
  <c r="H1182" i="1"/>
  <c r="I1178" i="1"/>
  <c r="H1178" i="1"/>
  <c r="I1174" i="1"/>
  <c r="H1174" i="1"/>
  <c r="I1170" i="1"/>
  <c r="H1170" i="1"/>
  <c r="I1166" i="1"/>
  <c r="H1166" i="1"/>
  <c r="I1162" i="1"/>
  <c r="H1162" i="1"/>
  <c r="I1158" i="1"/>
  <c r="H1158" i="1"/>
  <c r="I1154" i="1"/>
  <c r="H1154" i="1"/>
  <c r="I1146" i="1"/>
  <c r="H1146" i="1"/>
  <c r="I1140" i="1"/>
  <c r="H1140" i="1"/>
  <c r="I1136" i="1"/>
  <c r="H1136" i="1"/>
  <c r="I1130" i="1"/>
  <c r="H1130" i="1"/>
  <c r="I1126" i="1"/>
  <c r="H1126" i="1"/>
  <c r="I1122" i="1"/>
  <c r="H1122" i="1"/>
  <c r="I1118" i="1"/>
  <c r="H1118" i="1"/>
  <c r="I1114" i="1"/>
  <c r="H1114" i="1"/>
  <c r="I1110" i="1"/>
  <c r="H1110" i="1"/>
  <c r="I1106" i="1"/>
  <c r="H1106" i="1"/>
  <c r="I1102" i="1"/>
  <c r="H1102" i="1"/>
  <c r="I1098" i="1"/>
  <c r="H1098" i="1"/>
  <c r="I1094" i="1"/>
  <c r="H1094" i="1"/>
  <c r="I1072" i="1"/>
  <c r="H1072" i="1"/>
  <c r="I1067" i="1"/>
  <c r="H1067" i="1"/>
  <c r="I1063" i="1"/>
  <c r="H1063" i="1"/>
  <c r="I1059" i="1"/>
  <c r="H1059" i="1"/>
  <c r="I1054" i="1"/>
  <c r="H1054" i="1"/>
  <c r="I1050" i="1"/>
  <c r="H1050" i="1"/>
  <c r="I1046" i="1"/>
  <c r="H1046" i="1"/>
  <c r="I1042" i="1"/>
  <c r="H1042" i="1"/>
  <c r="I1038" i="1"/>
  <c r="H1038" i="1"/>
  <c r="I1034" i="1"/>
  <c r="H1034" i="1"/>
  <c r="I1030" i="1"/>
  <c r="H1030" i="1"/>
  <c r="I1024" i="1"/>
  <c r="H1024" i="1"/>
  <c r="I1020" i="1"/>
  <c r="H1020" i="1"/>
  <c r="I1016" i="1"/>
  <c r="H1016" i="1"/>
  <c r="I1011" i="1"/>
  <c r="H1011" i="1"/>
  <c r="I1007" i="1"/>
  <c r="H1007" i="1"/>
  <c r="I1003" i="1"/>
  <c r="H1003" i="1"/>
  <c r="I999" i="1"/>
  <c r="H999" i="1"/>
  <c r="I995" i="1"/>
  <c r="H995" i="1"/>
  <c r="I990" i="1"/>
  <c r="H990" i="1"/>
  <c r="I985" i="1"/>
  <c r="H985" i="1"/>
  <c r="I981" i="1"/>
  <c r="H981" i="1"/>
  <c r="I966" i="1"/>
  <c r="H966" i="1"/>
  <c r="I961" i="1"/>
  <c r="H961" i="1"/>
  <c r="I957" i="1"/>
  <c r="H957" i="1"/>
  <c r="I953" i="1"/>
  <c r="H953" i="1"/>
  <c r="I949" i="1"/>
  <c r="H949" i="1"/>
  <c r="I945" i="1"/>
  <c r="H945" i="1"/>
  <c r="I941" i="1"/>
  <c r="H941" i="1"/>
  <c r="I937" i="1"/>
  <c r="H937" i="1"/>
  <c r="I932" i="1"/>
  <c r="H932" i="1"/>
  <c r="I928" i="1"/>
  <c r="H928" i="1"/>
  <c r="I924" i="1"/>
  <c r="H924" i="1"/>
  <c r="I920" i="1"/>
  <c r="H920" i="1"/>
  <c r="I916" i="1"/>
  <c r="H916" i="1"/>
  <c r="I909" i="1"/>
  <c r="H909" i="1"/>
  <c r="I905" i="1"/>
  <c r="H905" i="1"/>
  <c r="I901" i="1"/>
  <c r="H901" i="1"/>
  <c r="I897" i="1"/>
  <c r="H897" i="1"/>
  <c r="I881" i="1"/>
  <c r="H881" i="1"/>
  <c r="I873" i="1"/>
  <c r="H873" i="1"/>
  <c r="I869" i="1"/>
  <c r="H869" i="1"/>
  <c r="I865" i="1"/>
  <c r="H865" i="1"/>
  <c r="I861" i="1"/>
  <c r="H861" i="1"/>
  <c r="I856" i="1"/>
  <c r="H856" i="1"/>
  <c r="I852" i="1"/>
  <c r="H852" i="1"/>
  <c r="I848" i="1"/>
  <c r="H848" i="1"/>
  <c r="I843" i="1"/>
  <c r="H843" i="1"/>
  <c r="I839" i="1"/>
  <c r="H839" i="1"/>
  <c r="I834" i="1"/>
  <c r="H834" i="1"/>
  <c r="I830" i="1"/>
  <c r="H830" i="1"/>
  <c r="I826" i="1"/>
  <c r="H826" i="1"/>
  <c r="I818" i="1"/>
  <c r="H818" i="1"/>
  <c r="I813" i="1"/>
  <c r="H813" i="1"/>
  <c r="I809" i="1"/>
  <c r="H809" i="1"/>
  <c r="I805" i="1"/>
  <c r="H805" i="1"/>
  <c r="I800" i="1"/>
  <c r="H800" i="1"/>
  <c r="I796" i="1"/>
  <c r="H796" i="1"/>
  <c r="I792" i="1"/>
  <c r="H792" i="1"/>
  <c r="I788" i="1"/>
  <c r="H788" i="1"/>
  <c r="I784" i="1"/>
  <c r="H784" i="1"/>
  <c r="I780" i="1"/>
  <c r="H780" i="1"/>
  <c r="I775" i="1"/>
  <c r="H775" i="1"/>
  <c r="I771" i="1"/>
  <c r="H771" i="1"/>
  <c r="I767" i="1"/>
  <c r="H767" i="1"/>
  <c r="I763" i="1"/>
  <c r="H763" i="1"/>
  <c r="I759" i="1"/>
  <c r="H759" i="1"/>
  <c r="I755" i="1"/>
  <c r="H755" i="1"/>
  <c r="I751" i="1"/>
  <c r="H751" i="1"/>
  <c r="I747" i="1"/>
  <c r="H747" i="1"/>
  <c r="I743" i="1"/>
  <c r="H743" i="1"/>
  <c r="I739" i="1"/>
  <c r="H739" i="1"/>
  <c r="I735" i="1"/>
  <c r="H735" i="1"/>
  <c r="I731" i="1"/>
  <c r="H731" i="1"/>
  <c r="I727" i="1"/>
  <c r="H727" i="1"/>
  <c r="I723" i="1"/>
  <c r="H723" i="1"/>
  <c r="I719" i="1"/>
  <c r="H719" i="1"/>
  <c r="I715" i="1"/>
  <c r="H715" i="1"/>
  <c r="I711" i="1"/>
  <c r="H711" i="1"/>
  <c r="I707" i="1"/>
  <c r="H707" i="1"/>
  <c r="I702" i="1"/>
  <c r="H702" i="1"/>
  <c r="I698" i="1"/>
  <c r="H698" i="1"/>
  <c r="I694" i="1"/>
  <c r="H694" i="1"/>
  <c r="I690" i="1"/>
  <c r="H690" i="1"/>
  <c r="I672" i="1"/>
  <c r="H672" i="1"/>
  <c r="I668" i="1"/>
  <c r="H668" i="1"/>
  <c r="I649" i="1"/>
  <c r="H649" i="1"/>
  <c r="I639" i="1"/>
  <c r="H639" i="1"/>
  <c r="I635" i="1"/>
  <c r="H635" i="1"/>
  <c r="I631" i="1"/>
  <c r="H631" i="1"/>
  <c r="I627" i="1"/>
  <c r="H627" i="1"/>
  <c r="I623" i="1"/>
  <c r="H623" i="1"/>
  <c r="I619" i="1"/>
  <c r="H619" i="1"/>
  <c r="I614" i="1"/>
  <c r="H614" i="1"/>
  <c r="I608" i="1"/>
  <c r="H608" i="1"/>
  <c r="I602" i="1"/>
  <c r="H602" i="1"/>
  <c r="I598" i="1"/>
  <c r="H598" i="1"/>
  <c r="I592" i="1"/>
  <c r="H592" i="1"/>
  <c r="I588" i="1"/>
  <c r="H588" i="1"/>
  <c r="I582" i="1"/>
  <c r="H582" i="1"/>
  <c r="I578" i="1"/>
  <c r="H578" i="1"/>
  <c r="I574" i="1"/>
  <c r="H574" i="1"/>
  <c r="I570" i="1"/>
  <c r="H570" i="1"/>
  <c r="I566" i="1"/>
  <c r="H566" i="1"/>
  <c r="I562" i="1"/>
  <c r="H562" i="1"/>
  <c r="I558" i="1"/>
  <c r="H558" i="1"/>
  <c r="I554" i="1"/>
  <c r="H554" i="1"/>
  <c r="I550" i="1"/>
  <c r="H550" i="1"/>
  <c r="I546" i="1"/>
  <c r="H546" i="1"/>
  <c r="I542" i="1"/>
  <c r="H542" i="1"/>
  <c r="I538" i="1"/>
  <c r="H538" i="1"/>
  <c r="I524" i="1"/>
  <c r="H524" i="1"/>
  <c r="I518" i="1"/>
  <c r="H518" i="1"/>
  <c r="I510" i="1"/>
  <c r="H510" i="1"/>
  <c r="I495" i="1"/>
  <c r="H495" i="1"/>
  <c r="I491" i="1"/>
  <c r="H491" i="1"/>
  <c r="I485" i="1"/>
  <c r="H485" i="1"/>
  <c r="I480" i="1"/>
  <c r="H480" i="1"/>
  <c r="I476" i="1"/>
  <c r="H476" i="1"/>
  <c r="I472" i="1"/>
  <c r="H472" i="1"/>
  <c r="I468" i="1"/>
  <c r="H468" i="1"/>
  <c r="I462" i="1"/>
  <c r="H462" i="1"/>
  <c r="I457" i="1"/>
  <c r="H457" i="1"/>
  <c r="I448" i="1"/>
  <c r="H448" i="1"/>
  <c r="I443" i="1"/>
  <c r="H443" i="1"/>
  <c r="I437" i="1"/>
  <c r="H437" i="1"/>
  <c r="I433" i="1"/>
  <c r="H433" i="1"/>
  <c r="I429" i="1"/>
  <c r="H429" i="1"/>
  <c r="I425" i="1"/>
  <c r="H425" i="1"/>
  <c r="I421" i="1"/>
  <c r="H421" i="1"/>
  <c r="I409" i="1"/>
  <c r="H409" i="1"/>
  <c r="I405" i="1"/>
  <c r="H405" i="1"/>
  <c r="I401" i="1"/>
  <c r="H401" i="1"/>
  <c r="I388" i="1"/>
  <c r="H388" i="1"/>
  <c r="I376" i="1"/>
  <c r="H376" i="1"/>
  <c r="I371" i="1"/>
  <c r="H371" i="1"/>
  <c r="I363" i="1"/>
  <c r="H363" i="1"/>
  <c r="I355" i="1"/>
  <c r="H355" i="1"/>
  <c r="I351" i="1"/>
  <c r="H351" i="1"/>
  <c r="I346" i="1"/>
  <c r="H346" i="1"/>
  <c r="I339" i="1"/>
  <c r="H339" i="1"/>
  <c r="I331" i="1"/>
  <c r="H331" i="1"/>
  <c r="I323" i="1"/>
  <c r="H323" i="1"/>
  <c r="I317" i="1"/>
  <c r="H317" i="1"/>
  <c r="I307" i="1"/>
  <c r="H307" i="1"/>
  <c r="I297" i="1"/>
  <c r="H297" i="1"/>
  <c r="I293" i="1"/>
  <c r="H293" i="1"/>
  <c r="I284" i="1"/>
  <c r="H284" i="1"/>
  <c r="I278" i="1"/>
  <c r="H278" i="1"/>
  <c r="I272" i="1"/>
  <c r="H272" i="1"/>
  <c r="I265" i="1"/>
  <c r="H265" i="1"/>
  <c r="I258" i="1"/>
  <c r="H258" i="1"/>
  <c r="I254" i="1"/>
  <c r="H254" i="1"/>
  <c r="I246" i="1"/>
  <c r="H246" i="1"/>
  <c r="I237" i="1"/>
  <c r="H237" i="1"/>
  <c r="I225" i="1"/>
  <c r="H225" i="1"/>
  <c r="I216" i="1"/>
  <c r="H216" i="1"/>
  <c r="I211" i="1"/>
  <c r="H211" i="1"/>
  <c r="I207" i="1"/>
  <c r="H207" i="1"/>
  <c r="I199" i="1"/>
  <c r="H199" i="1"/>
  <c r="I195" i="1"/>
  <c r="H195" i="1"/>
  <c r="I191" i="1"/>
  <c r="H191" i="1"/>
  <c r="I187" i="1"/>
  <c r="H187" i="1"/>
  <c r="I181" i="1"/>
  <c r="H181" i="1"/>
  <c r="I176" i="1"/>
  <c r="H176" i="1"/>
  <c r="I170" i="1"/>
  <c r="H170" i="1"/>
  <c r="I164" i="1"/>
  <c r="H164" i="1"/>
  <c r="I144" i="1"/>
  <c r="H144" i="1"/>
  <c r="I138" i="1"/>
  <c r="H138" i="1"/>
  <c r="I133" i="1"/>
  <c r="H133" i="1"/>
  <c r="I128" i="1"/>
  <c r="H128" i="1"/>
  <c r="I124" i="1"/>
  <c r="H124" i="1"/>
  <c r="I117" i="1"/>
  <c r="H117" i="1"/>
  <c r="I111" i="1"/>
  <c r="H111" i="1"/>
  <c r="I106" i="1"/>
  <c r="H106" i="1"/>
  <c r="I101" i="1"/>
  <c r="H101" i="1"/>
  <c r="I94" i="1"/>
  <c r="H94" i="1"/>
  <c r="I88" i="1"/>
  <c r="H88" i="1"/>
  <c r="I81" i="1"/>
  <c r="H81" i="1"/>
  <c r="I77" i="1"/>
  <c r="H77" i="1"/>
  <c r="I70" i="1"/>
  <c r="H70" i="1"/>
  <c r="I65" i="1"/>
  <c r="H65" i="1"/>
  <c r="I61" i="1"/>
  <c r="H61" i="1"/>
  <c r="I57" i="1"/>
  <c r="H57" i="1"/>
  <c r="I46" i="1"/>
  <c r="H46" i="1"/>
  <c r="I42" i="1"/>
  <c r="H42" i="1"/>
  <c r="I30" i="1"/>
  <c r="H30" i="1"/>
  <c r="I26" i="1"/>
  <c r="H26" i="1"/>
  <c r="I22" i="1"/>
  <c r="H22" i="1"/>
  <c r="I18" i="1"/>
  <c r="H18" i="1"/>
  <c r="I12" i="1"/>
  <c r="H12" i="1"/>
  <c r="I5" i="1"/>
  <c r="H5" i="1"/>
</calcChain>
</file>

<file path=xl/sharedStrings.xml><?xml version="1.0" encoding="utf-8"?>
<sst xmlns="http://schemas.openxmlformats.org/spreadsheetml/2006/main" count="27376" uniqueCount="5931">
  <si>
    <t>Transaction date</t>
  </si>
  <si>
    <t>Transaction type</t>
  </si>
  <si>
    <t>JV Number</t>
  </si>
  <si>
    <t>Memo/Description</t>
  </si>
  <si>
    <t>Distribution account number</t>
  </si>
  <si>
    <t>Account full name</t>
  </si>
  <si>
    <t>Debit</t>
  </si>
  <si>
    <t>Credit</t>
  </si>
  <si>
    <t>2</t>
  </si>
  <si>
    <t>01/01/2025</t>
  </si>
  <si>
    <t>Journal Entry</t>
  </si>
  <si>
    <t>1</t>
  </si>
  <si>
    <t>Opening Shared capital by the shareholders.</t>
  </si>
  <si>
    <t>10100</t>
  </si>
  <si>
    <t>10000 Cash and cash equivalents:10100 Cash on Hand</t>
  </si>
  <si>
    <t>30100</t>
  </si>
  <si>
    <t>30100 Opening Balance Equity</t>
  </si>
  <si>
    <t>Total for 2</t>
  </si>
  <si>
    <t>3</t>
  </si>
  <si>
    <t>Paid one month rent as security deposit to the office house owner.</t>
  </si>
  <si>
    <t>14000</t>
  </si>
  <si>
    <t>14000 Security Deposits Receivable</t>
  </si>
  <si>
    <t>Paid house rent for the month of Qaws 1403</t>
  </si>
  <si>
    <t>61001</t>
  </si>
  <si>
    <t>61000 Rent:61001 Office Rent</t>
  </si>
  <si>
    <t>Prepaid house rent for the month of Jadi 1403</t>
  </si>
  <si>
    <t>13100</t>
  </si>
  <si>
    <t>13000 Advances:13100 Prepayments</t>
  </si>
  <si>
    <t>Withheld house rent tax for the month of Qaws 1404</t>
  </si>
  <si>
    <t>21200</t>
  </si>
  <si>
    <t>21000 Withheld Taxes:21200 Rent Withholding Tax Payable</t>
  </si>
  <si>
    <t>Paid house rent for the month of Qaws and prepaid for Jadi 1403 and one month security deposit.</t>
  </si>
  <si>
    <t>Total for 3</t>
  </si>
  <si>
    <t>4</t>
  </si>
  <si>
    <t>Printing stamps with machin</t>
  </si>
  <si>
    <t>60501</t>
  </si>
  <si>
    <t>60500 Office Supplies:60501 Stationery</t>
  </si>
  <si>
    <t>Printing stamps with machine</t>
  </si>
  <si>
    <t>Printing UV ID Cards both sides high quality</t>
  </si>
  <si>
    <t>Total for 4</t>
  </si>
  <si>
    <t>5</t>
  </si>
  <si>
    <t>Printing UV ID Cards and card strap with logo and plastic cover both sides high quality</t>
  </si>
  <si>
    <t>Total for 5</t>
  </si>
  <si>
    <t>6</t>
  </si>
  <si>
    <t>Purchased Carpet for the office including fitting and glue</t>
  </si>
  <si>
    <t>17301</t>
  </si>
  <si>
    <t>17000 Property, plant and equipment:17300 Furniture &amp; Fixture:17301 Cost of Furniture &amp; Fixtures</t>
  </si>
  <si>
    <t>Total for 6</t>
  </si>
  <si>
    <t>7</t>
  </si>
  <si>
    <t>Purchased bulbs for the office lighting.</t>
  </si>
  <si>
    <t>61300</t>
  </si>
  <si>
    <t>61300 Repairs and Maintenance</t>
  </si>
  <si>
    <t>Total for 7</t>
  </si>
  <si>
    <t>8</t>
  </si>
  <si>
    <t>Purchased Pipe and sandals for office use.</t>
  </si>
  <si>
    <t>60500</t>
  </si>
  <si>
    <t>60500 Office Supplies</t>
  </si>
  <si>
    <t>Paid for 6000 + 6000 water tanker for the office use.</t>
  </si>
  <si>
    <t>61104</t>
  </si>
  <si>
    <t>61100 Utilities:61104 City water</t>
  </si>
  <si>
    <t>Paid for lunch during the office opening.</t>
  </si>
  <si>
    <t>60601</t>
  </si>
  <si>
    <t>60600 Food &amp; Hospitality:60601 Staff lunches</t>
  </si>
  <si>
    <t>Paid for the office cleaning with opening the office.</t>
  </si>
  <si>
    <t>60504</t>
  </si>
  <si>
    <t>60500 Office Supplies:60504 Cleaning supplies</t>
  </si>
  <si>
    <t>Taxi used for the office work.</t>
  </si>
  <si>
    <t>60802</t>
  </si>
  <si>
    <t>60800 Local Transport:60802 Taxis</t>
  </si>
  <si>
    <t>Purchased cold drinks for the guests.</t>
  </si>
  <si>
    <t>60603</t>
  </si>
  <si>
    <t>60600 Food &amp; Hospitality:60603 Tea &amp; refreshments</t>
  </si>
  <si>
    <t>Paid for miscellaneous small expenses used during the office opening.</t>
  </si>
  <si>
    <t>80103</t>
  </si>
  <si>
    <t>80100 Other Expenses:80103 Miscellaneous expense</t>
  </si>
  <si>
    <t>Paid for truck rent to transport office equipment.</t>
  </si>
  <si>
    <t>Purchased electric materials for the office electricity system.</t>
  </si>
  <si>
    <t>Paid for different expenses during office opening.</t>
  </si>
  <si>
    <t>Total for 8</t>
  </si>
  <si>
    <t>9</t>
  </si>
  <si>
    <t>Purchased one water tanker for water storage for the office use.</t>
  </si>
  <si>
    <t>17201</t>
  </si>
  <si>
    <t>17000 Property, plant and equipment:17200 Office Equipment:17201 Cost of Office Equipment</t>
  </si>
  <si>
    <t>Total for 9</t>
  </si>
  <si>
    <t>10</t>
  </si>
  <si>
    <t>Purchased 1 DVR with 6 security cameras of 2 mega pixels with all other necessary parts.</t>
  </si>
  <si>
    <t>Purchased one ruck 12u 450/450 used condition</t>
  </si>
  <si>
    <t>17101</t>
  </si>
  <si>
    <t>17000 Property, plant and equipment:17100 Computers &amp; IT:17101 Cost of Computers &amp; IT</t>
  </si>
  <si>
    <t>Purchased two access points Unifi AP AC Pro S/N RJS S/NVDi</t>
  </si>
  <si>
    <t>RJ45 Connectors Infinl</t>
  </si>
  <si>
    <t>Cramping Tolls D/Net</t>
  </si>
  <si>
    <t>PCI Express Network Card GIGABIT SN/5411</t>
  </si>
  <si>
    <t>Purchased UPS Marcary 1500AV</t>
  </si>
  <si>
    <t>Purchase of cables and some other small parts for IT</t>
  </si>
  <si>
    <t>61207</t>
  </si>
  <si>
    <t>61200 ICT Costs:61207 Other IT/computer expenses</t>
  </si>
  <si>
    <t>Purchased security cameras, Ruck, Assess points, UPS, network card, cables and some other parts</t>
  </si>
  <si>
    <t>Total for 10</t>
  </si>
  <si>
    <t>11</t>
  </si>
  <si>
    <t>Purchased ThinkPad Laptops</t>
  </si>
  <si>
    <t>Total for 11</t>
  </si>
  <si>
    <t>12</t>
  </si>
  <si>
    <t>Purchased HDMI cables, splitters, bracket and some other parts</t>
  </si>
  <si>
    <t>Total for 12</t>
  </si>
  <si>
    <t>13</t>
  </si>
  <si>
    <t>Taxi used for the office work</t>
  </si>
  <si>
    <t>Paid for staff lunch during office opening.</t>
  </si>
  <si>
    <t>Paid for taxi and lunch.</t>
  </si>
  <si>
    <t>Total for 13</t>
  </si>
  <si>
    <t>14</t>
  </si>
  <si>
    <t>Paid for staff lunch by Haji Sanger</t>
  </si>
  <si>
    <t>Paid for liquid gas purchas</t>
  </si>
  <si>
    <t>61102</t>
  </si>
  <si>
    <t>61100 Utilities:61102 Gas</t>
  </si>
  <si>
    <t>Paid for the Power generator fuel</t>
  </si>
  <si>
    <t>61103</t>
  </si>
  <si>
    <t>61100 Utilities:61103 Generator fuel</t>
  </si>
  <si>
    <t>Taxi used to Kart e Chahar for MIS.</t>
  </si>
  <si>
    <t>Paid for staff lunch, liquid gas, fuel for the power generator and taxi charges.</t>
  </si>
  <si>
    <t>Total for 14</t>
  </si>
  <si>
    <t>15</t>
  </si>
  <si>
    <t>Purchased HDMI Cable.</t>
  </si>
  <si>
    <t>Total for 15</t>
  </si>
  <si>
    <t>16</t>
  </si>
  <si>
    <t>Paid for lunch expense of staff</t>
  </si>
  <si>
    <t>for liquid gas.</t>
  </si>
  <si>
    <t>Purchased toilet paper.</t>
  </si>
  <si>
    <t>Paid for drinking water.</t>
  </si>
  <si>
    <t>61108</t>
  </si>
  <si>
    <t>61100 Utilities:61108 Drinking Water</t>
  </si>
  <si>
    <t>Total for 16</t>
  </si>
  <si>
    <t>17</t>
  </si>
  <si>
    <t>Paid for breads for lunch.</t>
  </si>
  <si>
    <t>Paid for fuel for the power generator.</t>
  </si>
  <si>
    <t>Paid for one tanker water for the house</t>
  </si>
  <si>
    <t>Paid for breads, fuel, and water.</t>
  </si>
  <si>
    <t>Total for 17</t>
  </si>
  <si>
    <t>18</t>
  </si>
  <si>
    <t>Paid for the liquid gas.</t>
  </si>
  <si>
    <t>Paid for the power generator fuel.</t>
  </si>
  <si>
    <t>Paid for gas, breads, drinking water, and fuel.</t>
  </si>
  <si>
    <t>Total for 18</t>
  </si>
  <si>
    <t>19</t>
  </si>
  <si>
    <t>Purchased ink for the Epson inkjet printer 003</t>
  </si>
  <si>
    <t>60502</t>
  </si>
  <si>
    <t>60500 Office Supplies:60502 Toner</t>
  </si>
  <si>
    <t>Taxi used to purchase printer ink.</t>
  </si>
  <si>
    <t>Purchased ink for printer and taxi charges.</t>
  </si>
  <si>
    <t>Total for 19</t>
  </si>
  <si>
    <t>20</t>
  </si>
  <si>
    <t>Purchased tissue papers.</t>
  </si>
  <si>
    <t>Purchased tissue papers and lunch expense</t>
  </si>
  <si>
    <t>Total for 20</t>
  </si>
  <si>
    <t>21</t>
  </si>
  <si>
    <t>Purchased fuel for the power generator.</t>
  </si>
  <si>
    <t>Purchased breads for lunch.</t>
  </si>
  <si>
    <t>Paid for liquid gas.</t>
  </si>
  <si>
    <t>Paid for fuel, breads, liquid gas.</t>
  </si>
  <si>
    <t>Total for 21</t>
  </si>
  <si>
    <t>22</t>
  </si>
  <si>
    <t>Purchased breads.</t>
  </si>
  <si>
    <t>Paid for breads, fuel, liquid gas, and drinking water.</t>
  </si>
  <si>
    <t>Total for 22</t>
  </si>
  <si>
    <t>23</t>
  </si>
  <si>
    <t>Printed Business cards, ID Cards, Flags, and Stand Banners.</t>
  </si>
  <si>
    <t>61602</t>
  </si>
  <si>
    <t>61600 Promotion &amp; Advertisement:61602 Promotional supplies &amp; material</t>
  </si>
  <si>
    <t>Total for 23</t>
  </si>
  <si>
    <t>24</t>
  </si>
  <si>
    <t>Paid for staff lunch expenses</t>
  </si>
  <si>
    <t>Taxi charges use for the office work.</t>
  </si>
  <si>
    <t>Taxi charges use for the office work and breads for staff lunch</t>
  </si>
  <si>
    <t>Total for 24</t>
  </si>
  <si>
    <t>25</t>
  </si>
  <si>
    <t>Internet fee paid for the month of December 2024</t>
  </si>
  <si>
    <t>61202</t>
  </si>
  <si>
    <t>61200 ICT Costs:61202 Internet</t>
  </si>
  <si>
    <t>Purchased a Mikrotic Router</t>
  </si>
  <si>
    <t>Paid for internet fee and purchased Mikrotic router</t>
  </si>
  <si>
    <t>Total for 25</t>
  </si>
  <si>
    <t>26</t>
  </si>
  <si>
    <t>Purchased 30 miter Iranian carpet for the office use, including fitting and transportation charges.</t>
  </si>
  <si>
    <t>Purchased two sets sofa for the office use</t>
  </si>
  <si>
    <t>Paid for staff lunch</t>
  </si>
  <si>
    <t>Paid for sofa sets purchase and lunch expense.</t>
  </si>
  <si>
    <t>Total for 26</t>
  </si>
  <si>
    <t>27</t>
  </si>
  <si>
    <t>Purchase of one set sofa for 7 person</t>
  </si>
  <si>
    <t>Big size office for the president's office.</t>
  </si>
  <si>
    <t>Big size table for COO office.</t>
  </si>
  <si>
    <t>Office chair for COO Office</t>
  </si>
  <si>
    <t>Rug for COO office</t>
  </si>
  <si>
    <t>Rug for Administration dept.</t>
  </si>
  <si>
    <t>Frege for President's office.</t>
  </si>
  <si>
    <t>Rug for presidents office</t>
  </si>
  <si>
    <t>Sony TV for COO office .</t>
  </si>
  <si>
    <t>Dell monitor for COO office</t>
  </si>
  <si>
    <t>Epson printer for COO Office.</t>
  </si>
  <si>
    <t>Big size electric heather</t>
  </si>
  <si>
    <t>Purchase of 3 gas silanders</t>
  </si>
  <si>
    <t>Purchase of 4 Ukrainia heather with Silander</t>
  </si>
  <si>
    <t>Purchase of Power Generator</t>
  </si>
  <si>
    <t>Purchase of Dish Antena with receiver</t>
  </si>
  <si>
    <t>Purchase of Table small size</t>
  </si>
  <si>
    <t>Purchased different office equipment second had</t>
  </si>
  <si>
    <t>Total for 27</t>
  </si>
  <si>
    <t>28</t>
  </si>
  <si>
    <t>01/02/2025</t>
  </si>
  <si>
    <t>Purchased 3 KG liquid gas for the office use.</t>
  </si>
  <si>
    <t>Purchase of fuel for the power generator</t>
  </si>
  <si>
    <t>Purchased 3 KG liquid gas, fuel and taxi charges.</t>
  </si>
  <si>
    <t>Total for 28</t>
  </si>
  <si>
    <t>29</t>
  </si>
  <si>
    <t>01/04/2025</t>
  </si>
  <si>
    <t>Purchased breads for the office use.</t>
  </si>
  <si>
    <t>Paid for 10 KG liquid gas</t>
  </si>
  <si>
    <t>Paid for fuel for the car.</t>
  </si>
  <si>
    <t>60901</t>
  </si>
  <si>
    <t>60900 Vehicle Costs:60901 Vehicle fuel</t>
  </si>
  <si>
    <t>Paid for Breads, Liquid gas, and car fuel.</t>
  </si>
  <si>
    <t>Total for 29</t>
  </si>
  <si>
    <t>30</t>
  </si>
  <si>
    <t>Purchased wall power extension, material for driller.</t>
  </si>
  <si>
    <t>Purchased papers.</t>
  </si>
  <si>
    <t>Paid for purchase of power extensions, material for driller and stationery.</t>
  </si>
  <si>
    <t>Total for 30</t>
  </si>
  <si>
    <t>31</t>
  </si>
  <si>
    <t>01/05/2025</t>
  </si>
  <si>
    <t>4 KG Liquid Gas purchased.</t>
  </si>
  <si>
    <t>Paid for staff lunch expenses.</t>
  </si>
  <si>
    <t>Paid for liquid, gas, and fue.</t>
  </si>
  <si>
    <t>Total for 31</t>
  </si>
  <si>
    <t>32</t>
  </si>
  <si>
    <t>01/06/2025</t>
  </si>
  <si>
    <t>Purchased curtain, fence, curtain rod, and taxi charges for HQ office windows.</t>
  </si>
  <si>
    <t>Total for 32</t>
  </si>
  <si>
    <t>33</t>
  </si>
  <si>
    <t>Purchased guard room, including transport, crane</t>
  </si>
  <si>
    <t>Total for 33</t>
  </si>
  <si>
    <t>34</t>
  </si>
  <si>
    <t>Purchased stationery for the month.</t>
  </si>
  <si>
    <t>Total for 34</t>
  </si>
  <si>
    <t>35</t>
  </si>
  <si>
    <t>Purchased gas for the office use.</t>
  </si>
  <si>
    <t>Paid for breads and vegetables.</t>
  </si>
  <si>
    <t>Paid for purchase of one tanker water.</t>
  </si>
  <si>
    <t>Taxi used by Musafer.</t>
  </si>
  <si>
    <t>Purchased gas, breads, vegetables, water, and used taxi.</t>
  </si>
  <si>
    <t>Total for 35</t>
  </si>
  <si>
    <t>36</t>
  </si>
  <si>
    <t>Purchased B-Light 519gr High Quality s:116x250cm for the office yard.</t>
  </si>
  <si>
    <t>Total for 36</t>
  </si>
  <si>
    <t>37</t>
  </si>
  <si>
    <t>Purchased big gas heather for the office use.</t>
  </si>
  <si>
    <t>Purchased electric heather for the office use.</t>
  </si>
  <si>
    <t>60505</t>
  </si>
  <si>
    <t>60500 Office Supplies:60505 Other office supplies</t>
  </si>
  <si>
    <t>Purchased big gas and electric heather for the office use.</t>
  </si>
  <si>
    <t>Total for 37</t>
  </si>
  <si>
    <t>38</t>
  </si>
  <si>
    <t>01/09/2025</t>
  </si>
  <si>
    <t>Purchased fuel for the power generator</t>
  </si>
  <si>
    <t>Purchased Ink, Brush, and oil for the office painting.</t>
  </si>
  <si>
    <t>Paid for purchase of breads for the office staff</t>
  </si>
  <si>
    <t>Purcahsed stationery for the office use.</t>
  </si>
  <si>
    <t>Purchased cleaning items for the office use</t>
  </si>
  <si>
    <t>Purchased flowers, and sandals for the offices</t>
  </si>
  <si>
    <t>Purchased, Fuel, painting items, breads, stationery, and cleaning items.</t>
  </si>
  <si>
    <t>Total for 38</t>
  </si>
  <si>
    <t>39</t>
  </si>
  <si>
    <t>01/10/2025</t>
  </si>
  <si>
    <t>Purchased breads and food for staff lunch.</t>
  </si>
  <si>
    <t>Cleaning supply</t>
  </si>
  <si>
    <t>Liquid gas</t>
  </si>
  <si>
    <t>Purchased office table and chair</t>
  </si>
  <si>
    <t>Purchased stationery for the office use.</t>
  </si>
  <si>
    <t>Purchased uniforms for the security guards.</t>
  </si>
  <si>
    <t>60403</t>
  </si>
  <si>
    <t>60100 Admin Costs:60403 Security costs</t>
  </si>
  <si>
    <t>Paid bounes to staff by Shahpoor.</t>
  </si>
  <si>
    <t>60404</t>
  </si>
  <si>
    <t>60100 Admin Costs:60404 Gifts</t>
  </si>
  <si>
    <t>Purchased drinking water.</t>
  </si>
  <si>
    <t>Make Iron frame for the sign board in the office yard.</t>
  </si>
  <si>
    <t>Purchased food, stationery, uniforms, paid bounes, and purchased drinking water.</t>
  </si>
  <si>
    <t>Total for 39</t>
  </si>
  <si>
    <t>40</t>
  </si>
  <si>
    <t>01/11/2025</t>
  </si>
  <si>
    <t>Purchased one office table and chair</t>
  </si>
  <si>
    <t>Paid for taxi charges used for the office work.</t>
  </si>
  <si>
    <t>Paid for the liquid gas used for the office</t>
  </si>
  <si>
    <t>Purchased tissue paper</t>
  </si>
  <si>
    <t>Paid for Unti Ice Cover and wages for fitting.</t>
  </si>
  <si>
    <t>Paid for purchase of breads.</t>
  </si>
  <si>
    <t>Purchased office table and chair, taxi, gas, tissue paper, breads, and Unti Ice cover.</t>
  </si>
  <si>
    <t>Total for 40</t>
  </si>
  <si>
    <t>41</t>
  </si>
  <si>
    <t>01/13/2025</t>
  </si>
  <si>
    <t>Purchased bulbs for the office use.</t>
  </si>
  <si>
    <t>Purchased wired and wireless mouses for the office use.</t>
  </si>
  <si>
    <t>Purchased bulbs, wired and wireless mouses, fuel, breads, and gas.</t>
  </si>
  <si>
    <t>Total for 41</t>
  </si>
  <si>
    <t>42</t>
  </si>
  <si>
    <t>Internet fee paid for the month of Jan 2025</t>
  </si>
  <si>
    <t>Total for 42</t>
  </si>
  <si>
    <t>43</t>
  </si>
  <si>
    <t>01/14/2025</t>
  </si>
  <si>
    <t>Purchased liquid gas.</t>
  </si>
  <si>
    <t>Purchased small batteries.</t>
  </si>
  <si>
    <t>Purchased Gas, Breads, Drinking Water, and Small batteries.</t>
  </si>
  <si>
    <t>Total for 43</t>
  </si>
  <si>
    <t>44</t>
  </si>
  <si>
    <t>01/15/2025</t>
  </si>
  <si>
    <t>Paid for purchase of liquid gas, and breads for lunch.</t>
  </si>
  <si>
    <t>Purchased attendance machine for the office use</t>
  </si>
  <si>
    <t>Total for 44</t>
  </si>
  <si>
    <t>45</t>
  </si>
  <si>
    <t>01/16/2025</t>
  </si>
  <si>
    <t>Paid for lunch expenses of the day.</t>
  </si>
  <si>
    <t>Paid for drinking water, gas and lunch expense</t>
  </si>
  <si>
    <t>Total for 45</t>
  </si>
  <si>
    <t>46</t>
  </si>
  <si>
    <t>01/18/2025</t>
  </si>
  <si>
    <t>Purchased one tanker water for office use.</t>
  </si>
  <si>
    <t>Paid for the staff lunch expenses.</t>
  </si>
  <si>
    <t>Paid for water, lunch, and liquid gas.</t>
  </si>
  <si>
    <t>Total for 46</t>
  </si>
  <si>
    <t>47</t>
  </si>
  <si>
    <t>01/20/2025</t>
  </si>
  <si>
    <t>Paid for power generator fuel.</t>
  </si>
  <si>
    <t>Purchased tissue paper, disposible plastic bags, cloves.</t>
  </si>
  <si>
    <t>Purchased tea, chocolate, and Sugar for staff refreshments.</t>
  </si>
  <si>
    <t>Purchased two buckets for the office use.</t>
  </si>
  <si>
    <t>Purchased plates, sugar cans, glasses, and spoons. for the kitchen.</t>
  </si>
  <si>
    <t>60503</t>
  </si>
  <si>
    <t>60500 Office Supplies:60503 Kitchen supplies</t>
  </si>
  <si>
    <t>Purchased fuel, cleaning items, refreshments, stationery, buckets and kitchen items.</t>
  </si>
  <si>
    <t>Total for 47</t>
  </si>
  <si>
    <t>48</t>
  </si>
  <si>
    <t>Purchased office tables and chairs for the office use.</t>
  </si>
  <si>
    <t>Total for 48</t>
  </si>
  <si>
    <t>49</t>
  </si>
  <si>
    <t>Purchased liquid gas for the office use.</t>
  </si>
  <si>
    <t>Paid for the staff lunch expense.</t>
  </si>
  <si>
    <t>Purchased pens for the staff.</t>
  </si>
  <si>
    <t>Paid for fuel, gas, lunch expenses, and stationery.</t>
  </si>
  <si>
    <t>House Rent was prepaid for the month of Jadi 1403</t>
  </si>
  <si>
    <t>House Rent Tax withheld for the month of Jadi 1403</t>
  </si>
  <si>
    <t>Total for 49</t>
  </si>
  <si>
    <t>50</t>
  </si>
  <si>
    <t>01/22/2025</t>
  </si>
  <si>
    <t>Purchased food item for lunch.</t>
  </si>
  <si>
    <t>Paid rent for the CEO's transportation.</t>
  </si>
  <si>
    <t>60803</t>
  </si>
  <si>
    <t>60800 Local Transport:60803 Vehicle rental &amp; associated cost</t>
  </si>
  <si>
    <t>Paid for purchase of small electiric materials for the office use.</t>
  </si>
  <si>
    <t>Purchased electric materials for the office use.</t>
  </si>
  <si>
    <t>Paid for office guest refreshments.</t>
  </si>
  <si>
    <t>60602</t>
  </si>
  <si>
    <t>60600 Food &amp; Hospitality:60602 Meals and entertainment</t>
  </si>
  <si>
    <t>Paid for gas, lunch, taxi, CEO transportation, electric materials, office painting and refreshme...</t>
  </si>
  <si>
    <t>Total for 50</t>
  </si>
  <si>
    <t>51</t>
  </si>
  <si>
    <t>Purchased 3 kg gas,</t>
  </si>
  <si>
    <t>Paid for lunch expenses.</t>
  </si>
  <si>
    <t>Paid gas, lunch, and fuel.</t>
  </si>
  <si>
    <t>Total for 51</t>
  </si>
  <si>
    <t>52</t>
  </si>
  <si>
    <t>01/25/2025</t>
  </si>
  <si>
    <t>Purchased 3 HP printers 141 A for the office use.</t>
  </si>
  <si>
    <t>Purchased Dell charger.</t>
  </si>
  <si>
    <t>80001</t>
  </si>
  <si>
    <t>80000 Capital Expenditure:80001 Purchase of Computers &amp; IT</t>
  </si>
  <si>
    <t>Purchased power extensions, bulbs, and other small electric materials.</t>
  </si>
  <si>
    <t>Purchased HDD for the office.</t>
  </si>
  <si>
    <t>Paid to purchase 3 HP printers, dell charger, electric materials, taxi and HDD.</t>
  </si>
  <si>
    <t>Total for 52</t>
  </si>
  <si>
    <t>53</t>
  </si>
  <si>
    <t>Paid for lunch, water, gas, small batteries, and fuel.</t>
  </si>
  <si>
    <t>Total for 53</t>
  </si>
  <si>
    <t>54</t>
  </si>
  <si>
    <t>01/26/2025</t>
  </si>
  <si>
    <t>Paid for gas and lunch expenses.</t>
  </si>
  <si>
    <t>Paid for Canva subscription</t>
  </si>
  <si>
    <t>60405</t>
  </si>
  <si>
    <t>60100 Admin Costs:60405 Membership fees</t>
  </si>
  <si>
    <t>Total for 54</t>
  </si>
  <si>
    <t>55</t>
  </si>
  <si>
    <t>01/27/2025</t>
  </si>
  <si>
    <t>Paid for food expense for the lunch.</t>
  </si>
  <si>
    <t>Paid for the power generator fuel</t>
  </si>
  <si>
    <t>Paid for staff lunch and fuel.</t>
  </si>
  <si>
    <t>Total for 55</t>
  </si>
  <si>
    <t>56</t>
  </si>
  <si>
    <t>Paid for office painting including ink, painting materials, and purchase of electric materials.</t>
  </si>
  <si>
    <t>Total for 56</t>
  </si>
  <si>
    <t>57</t>
  </si>
  <si>
    <t>01/28/2025</t>
  </si>
  <si>
    <t>Purchased DDMPD 11 in 1 connector for the CFO Laptop.</t>
  </si>
  <si>
    <t>Purchased 1 box A4 paper, pilot pens, box files.</t>
  </si>
  <si>
    <t>Taxi used for purchase of materials.</t>
  </si>
  <si>
    <t>Purchase wireless mouse for the office use</t>
  </si>
  <si>
    <t>Purchased Airfresher</t>
  </si>
  <si>
    <t>Paid for purchase of 1 connector, stationery, taxi, and mouse.</t>
  </si>
  <si>
    <t>Total for 57</t>
  </si>
  <si>
    <t>58</t>
  </si>
  <si>
    <t>Paid for the engine oil for the power generator.</t>
  </si>
  <si>
    <t>Paid for the drinking water.</t>
  </si>
  <si>
    <t>Paid for liquid gas, fuel, lunch expense, engine oil, and drinking water.</t>
  </si>
  <si>
    <t>Total for 58</t>
  </si>
  <si>
    <t>59</t>
  </si>
  <si>
    <t>01/29/2025</t>
  </si>
  <si>
    <t>Paid expenses made for staff lunch.</t>
  </si>
  <si>
    <t>Paid for purchase of one tanker water for the office.</t>
  </si>
  <si>
    <t>Paid for the lunch expenses, and water.</t>
  </si>
  <si>
    <t>Total for 59</t>
  </si>
  <si>
    <t>63</t>
  </si>
  <si>
    <t>01/30/2025</t>
  </si>
  <si>
    <t>Two months office rent paid for the month of Dalwa and Hoot 1403</t>
  </si>
  <si>
    <t>Electricity bill paid for the month of Jadi 1403</t>
  </si>
  <si>
    <t>61101</t>
  </si>
  <si>
    <t>61100 Utilities:61101 Electricity</t>
  </si>
  <si>
    <t>Paid for gas, taxi and electricity.</t>
  </si>
  <si>
    <t>Depreciation charged for the month of Jan 2025</t>
  </si>
  <si>
    <t>61900</t>
  </si>
  <si>
    <t>61900 Depreciation Expense</t>
  </si>
  <si>
    <t>17202</t>
  </si>
  <si>
    <t>17000 Property, plant and equipment:17200 Office Equipment:17202 Accum. Depre. of Office Equip.</t>
  </si>
  <si>
    <t>17302</t>
  </si>
  <si>
    <t>17000 Property, plant and equipment:17300 Furniture &amp; Fixture:17302 Accum. Depre. Furniture &amp; Fixtu</t>
  </si>
  <si>
    <t>17102</t>
  </si>
  <si>
    <t>17000 Property, plant and equipment:17100 Computers &amp; IT:17102 Accum. Depreciation of Compu&amp;IT</t>
  </si>
  <si>
    <t>Total for 63</t>
  </si>
  <si>
    <t>64</t>
  </si>
  <si>
    <t>60</t>
  </si>
  <si>
    <t>Salary payable for the month of Jan 2025</t>
  </si>
  <si>
    <t>60001</t>
  </si>
  <si>
    <t>60000 Personnel Costs:60001 Salaries &amp; wages</t>
  </si>
  <si>
    <t>20151</t>
  </si>
  <si>
    <t>20150 Salaries and Wages Payable:20151 Zuhra Saba</t>
  </si>
  <si>
    <t>20152</t>
  </si>
  <si>
    <t>20150 Salaries and Wages Payable:20152 Shahpoor Khan</t>
  </si>
  <si>
    <t>20153</t>
  </si>
  <si>
    <t>20150 Salaries and Wages Payable:20153 Mujeeb u Rahman Barakzai</t>
  </si>
  <si>
    <t>20154</t>
  </si>
  <si>
    <t>20150 Salaries and Wages Payable:20154 Hanifullah Momand</t>
  </si>
  <si>
    <t>20155</t>
  </si>
  <si>
    <t>20150 Salaries and Wages Payable:20155 Musafer Momand</t>
  </si>
  <si>
    <t>20156</t>
  </si>
  <si>
    <t>20150 Salaries and Wages Payable:20156 Zubaida Dawlat Zada</t>
  </si>
  <si>
    <t>20157</t>
  </si>
  <si>
    <t>20150 Salaries and Wages Payable:20157 M. Afzal Mohammadi</t>
  </si>
  <si>
    <t>20158</t>
  </si>
  <si>
    <t>20150 Salaries and Wages Payable:20158 Lateefullah Salarzai</t>
  </si>
  <si>
    <t>20160</t>
  </si>
  <si>
    <t>20150 Salaries and Wages Payable:20160 Adil Momand</t>
  </si>
  <si>
    <t>21100</t>
  </si>
  <si>
    <t>21000 Withheld Taxes:21100 Wage Withholding Tax Payable</t>
  </si>
  <si>
    <t>Total for 64</t>
  </si>
  <si>
    <t>65</t>
  </si>
  <si>
    <t>02/02/2025</t>
  </si>
  <si>
    <t>61</t>
  </si>
  <si>
    <t>Paid for making date and logo stamps.</t>
  </si>
  <si>
    <t>Total for 65</t>
  </si>
  <si>
    <t>68</t>
  </si>
  <si>
    <t>02/03/2025</t>
  </si>
  <si>
    <t>Purchased cable for HDD.</t>
  </si>
  <si>
    <t>Total for 68</t>
  </si>
  <si>
    <t>66</t>
  </si>
  <si>
    <t>02/04/2025</t>
  </si>
  <si>
    <t>62</t>
  </si>
  <si>
    <t>Salary paid for the month of Jan 2025</t>
  </si>
  <si>
    <t>Total for 66</t>
  </si>
  <si>
    <t>67</t>
  </si>
  <si>
    <t>02/09/2025</t>
  </si>
  <si>
    <t>Purchased HDD 1TB Sata for the office desktop PC</t>
  </si>
  <si>
    <t>Total for 67</t>
  </si>
  <si>
    <t>69</t>
  </si>
  <si>
    <t>02/13/2025</t>
  </si>
  <si>
    <t>Purchased 28 chairs for the meeting room.</t>
  </si>
  <si>
    <t>Total for 69</t>
  </si>
  <si>
    <t>70</t>
  </si>
  <si>
    <t>02/14/2025</t>
  </si>
  <si>
    <t>Paid for the office lunch expenses.</t>
  </si>
  <si>
    <t>Total for 70</t>
  </si>
  <si>
    <t>71</t>
  </si>
  <si>
    <t>02/16/2025</t>
  </si>
  <si>
    <t>Paid for office lunch expenses.</t>
  </si>
  <si>
    <t>Total for 71</t>
  </si>
  <si>
    <t>72</t>
  </si>
  <si>
    <t>02/17/2025</t>
  </si>
  <si>
    <t>Paid for fuel for the office power generator.</t>
  </si>
  <si>
    <t>Paid for drining water, fuel, and lunch expenses.</t>
  </si>
  <si>
    <t>Total for 72</t>
  </si>
  <si>
    <t>73</t>
  </si>
  <si>
    <t>02/18/2025</t>
  </si>
  <si>
    <t>Paid for the liquid gas and lunch expenses.</t>
  </si>
  <si>
    <t>Total for 73</t>
  </si>
  <si>
    <t>74</t>
  </si>
  <si>
    <t>02/19/2025</t>
  </si>
  <si>
    <t>Taxi used to received letter.</t>
  </si>
  <si>
    <t>Paid for lunch expense of staff.</t>
  </si>
  <si>
    <t>Paid for fuel used for the power generator</t>
  </si>
  <si>
    <t>Paid for fuel used for the power generator, lunch, and taxi.</t>
  </si>
  <si>
    <t>House rent prepaid for the month of Dalwa 1403</t>
  </si>
  <si>
    <t>House rent tax withheld for the month of Dalwa 1403</t>
  </si>
  <si>
    <t>Total for 74</t>
  </si>
  <si>
    <t>75</t>
  </si>
  <si>
    <t>02/20/2025</t>
  </si>
  <si>
    <t>Purchased breads for lunch and liquid gas.</t>
  </si>
  <si>
    <t>Total for 75</t>
  </si>
  <si>
    <t>76</t>
  </si>
  <si>
    <t>02/21/2025</t>
  </si>
  <si>
    <t>Purchased water for the office use.</t>
  </si>
  <si>
    <t>Paid for Shahpoor's dinner food</t>
  </si>
  <si>
    <t>Purchased some stationery for the office use.</t>
  </si>
  <si>
    <t>Purchased some stationery for the office use, food, and water.</t>
  </si>
  <si>
    <t>Total for 76</t>
  </si>
  <si>
    <t>77</t>
  </si>
  <si>
    <t>02/22/2025</t>
  </si>
  <si>
    <t>Purchased conference table for the office use.</t>
  </si>
  <si>
    <t>Total for 77</t>
  </si>
  <si>
    <t>78</t>
  </si>
  <si>
    <t>02/23/2025</t>
  </si>
  <si>
    <t>Total for 78</t>
  </si>
  <si>
    <t>79</t>
  </si>
  <si>
    <t>02/24/2025</t>
  </si>
  <si>
    <t>Paid for staff lunch expense.</t>
  </si>
  <si>
    <t>Total for 79</t>
  </si>
  <si>
    <t>80</t>
  </si>
  <si>
    <t>02/26/2025</t>
  </si>
  <si>
    <t>Purchased chocolates for the staff use.</t>
  </si>
  <si>
    <t>Paid for lunch expenses</t>
  </si>
  <si>
    <t>Paid for lunch expenses and chocolate</t>
  </si>
  <si>
    <t>Total for 80</t>
  </si>
  <si>
    <t>81</t>
  </si>
  <si>
    <t>Paid for lunch epxenses</t>
  </si>
  <si>
    <t>Paid for lunch expenses, power generator fuel, drinking water.</t>
  </si>
  <si>
    <t>Total for 81</t>
  </si>
  <si>
    <t>82</t>
  </si>
  <si>
    <t>02/27/2025</t>
  </si>
  <si>
    <t>Paid to guards dinner expenses for 5 days during Ramadan</t>
  </si>
  <si>
    <t>Total for 82</t>
  </si>
  <si>
    <t>83</t>
  </si>
  <si>
    <t>02/28/2025</t>
  </si>
  <si>
    <t>Salary payable for the month of Feb 2025</t>
  </si>
  <si>
    <t>20159</t>
  </si>
  <si>
    <t>20150 Salaries and Wages Payable:20159 Abdul Shokoor</t>
  </si>
  <si>
    <t>20161</t>
  </si>
  <si>
    <t>20150 Salaries and Wages Payable:20161 Omid Ahmadzai</t>
  </si>
  <si>
    <t>Salary tax payable for the month of Feb 2025</t>
  </si>
  <si>
    <t>Total for 83</t>
  </si>
  <si>
    <t>84</t>
  </si>
  <si>
    <t>Paid for monthly internet fee for the month of Feb 2025</t>
  </si>
  <si>
    <t>Depreciation expense charged for the month of Feb 2025</t>
  </si>
  <si>
    <t>Total for 84</t>
  </si>
  <si>
    <t>85</t>
  </si>
  <si>
    <t>03/05/2025</t>
  </si>
  <si>
    <t>Paid for liquid gas</t>
  </si>
  <si>
    <t>Paid for breads</t>
  </si>
  <si>
    <t>Paid for drinking water</t>
  </si>
  <si>
    <t>Paid for gas, breads, and drinking water.</t>
  </si>
  <si>
    <t>Total for 85</t>
  </si>
  <si>
    <t>86</t>
  </si>
  <si>
    <t>Salary paid for the month of Feb 2025</t>
  </si>
  <si>
    <t>Total for 86</t>
  </si>
  <si>
    <t>87</t>
  </si>
  <si>
    <t>03/06/2025</t>
  </si>
  <si>
    <t>Paid for monthly electricity bill</t>
  </si>
  <si>
    <t>Total for 87</t>
  </si>
  <si>
    <t>88</t>
  </si>
  <si>
    <t>Paid for staff lunch expense</t>
  </si>
  <si>
    <t>Total for 88</t>
  </si>
  <si>
    <t>89</t>
  </si>
  <si>
    <t>03/08/2025</t>
  </si>
  <si>
    <t>Total for 89</t>
  </si>
  <si>
    <t>90</t>
  </si>
  <si>
    <t>03/09/2025</t>
  </si>
  <si>
    <t>Paid for stuff lunch</t>
  </si>
  <si>
    <t>Total for 90</t>
  </si>
  <si>
    <t>91</t>
  </si>
  <si>
    <t>Total for 91</t>
  </si>
  <si>
    <t>92</t>
  </si>
  <si>
    <t>03/10/2025</t>
  </si>
  <si>
    <t>Purchased one monitor for the office</t>
  </si>
  <si>
    <t>Total for 92</t>
  </si>
  <si>
    <t>93</t>
  </si>
  <si>
    <t>Total for 93</t>
  </si>
  <si>
    <t>94</t>
  </si>
  <si>
    <t>Paid for staff food expenses</t>
  </si>
  <si>
    <t>Total for 94</t>
  </si>
  <si>
    <t>95</t>
  </si>
  <si>
    <t>Paid for the liquid gas</t>
  </si>
  <si>
    <t>Total for 95</t>
  </si>
  <si>
    <t>96</t>
  </si>
  <si>
    <t>Total for 96</t>
  </si>
  <si>
    <t>97</t>
  </si>
  <si>
    <t>03/12/2025</t>
  </si>
  <si>
    <t>Purchased second hand sony projector</t>
  </si>
  <si>
    <t>Total for 97</t>
  </si>
  <si>
    <t>98</t>
  </si>
  <si>
    <t>Paid internet fee for the month of Mar 2025</t>
  </si>
  <si>
    <t>Total for 98</t>
  </si>
  <si>
    <t>99</t>
  </si>
  <si>
    <t>03/13/2025</t>
  </si>
  <si>
    <t>Paid for the staff lunch</t>
  </si>
  <si>
    <t>Total for 99</t>
  </si>
  <si>
    <t>100</t>
  </si>
  <si>
    <t>03/15/2025</t>
  </si>
  <si>
    <t>Paid for subscription</t>
  </si>
  <si>
    <t>Total for 100</t>
  </si>
  <si>
    <t>101</t>
  </si>
  <si>
    <t>Taxi used for the office wor</t>
  </si>
  <si>
    <t>Total for 101</t>
  </si>
  <si>
    <t>102</t>
  </si>
  <si>
    <t>03/16/2025</t>
  </si>
  <si>
    <t>Paid staff lunch epxense</t>
  </si>
  <si>
    <t>Paid for changing the company ownership</t>
  </si>
  <si>
    <t>60406</t>
  </si>
  <si>
    <t>60100 Admin Costs:60406 Licences and permits</t>
  </si>
  <si>
    <t>Total for 102</t>
  </si>
  <si>
    <t>103</t>
  </si>
  <si>
    <t>03/17/2025</t>
  </si>
  <si>
    <t>Paid for the staff lunch expense</t>
  </si>
  <si>
    <t>Total for 103</t>
  </si>
  <si>
    <t>104</t>
  </si>
  <si>
    <t>03/20/2025</t>
  </si>
  <si>
    <t>House Rent was prepaid for the month of Hoot 1403</t>
  </si>
  <si>
    <t>House Rent tax withheld for the month of Hoot 1403</t>
  </si>
  <si>
    <t>Total for 104</t>
  </si>
  <si>
    <t>105</t>
  </si>
  <si>
    <t>03/22/2025</t>
  </si>
  <si>
    <t>Total for 105</t>
  </si>
  <si>
    <t>106</t>
  </si>
  <si>
    <t>03/25/2025</t>
  </si>
  <si>
    <t>Paid for lunch expense</t>
  </si>
  <si>
    <t>Total for 106</t>
  </si>
  <si>
    <t>107</t>
  </si>
  <si>
    <t>03/26/2025</t>
  </si>
  <si>
    <t>Total for 107</t>
  </si>
  <si>
    <t>108</t>
  </si>
  <si>
    <t>Paid for stationery used for the office work</t>
  </si>
  <si>
    <t>Total for 108</t>
  </si>
  <si>
    <t>109</t>
  </si>
  <si>
    <t>Total for 109</t>
  </si>
  <si>
    <t>110</t>
  </si>
  <si>
    <t>03/27/2025</t>
  </si>
  <si>
    <t>Paid for account opening in USD Account</t>
  </si>
  <si>
    <t>10201</t>
  </si>
  <si>
    <t>10000 Cash and cash equivalents:10200 Cash at Bank:10201 Cash at Bank (AUB-USD)</t>
  </si>
  <si>
    <t>Depreciation expense charged for the month of Mar 2025</t>
  </si>
  <si>
    <t>Total for 110</t>
  </si>
  <si>
    <t>111</t>
  </si>
  <si>
    <t>Salary payable for the month of Mar 2025</t>
  </si>
  <si>
    <t>20162</t>
  </si>
  <si>
    <t>20150 Salaries and Wages Payable:20162 Ahmad Wali Alokozay</t>
  </si>
  <si>
    <t>20163</t>
  </si>
  <si>
    <t>20150 Salaries and Wages Payable:20163 Sangar Rahimi</t>
  </si>
  <si>
    <t>20164</t>
  </si>
  <si>
    <t>20150 Salaries and Wages Payable:20164 M. Nawab stanikzai</t>
  </si>
  <si>
    <t>20165</t>
  </si>
  <si>
    <t>20150 Salaries and Wages Payable:20165 Mirwais Tahirzada</t>
  </si>
  <si>
    <t>Total for 111</t>
  </si>
  <si>
    <t>112</t>
  </si>
  <si>
    <t>04/05/2025</t>
  </si>
  <si>
    <t>Total for 112</t>
  </si>
  <si>
    <t>113</t>
  </si>
  <si>
    <t>Salary paid for the month of Mar 2025</t>
  </si>
  <si>
    <t>Total for 113</t>
  </si>
  <si>
    <t>114</t>
  </si>
  <si>
    <t>Lunch paid for staff</t>
  </si>
  <si>
    <t>Total for 114</t>
  </si>
  <si>
    <t>115</t>
  </si>
  <si>
    <t>Paid for water used for house</t>
  </si>
  <si>
    <t>Total for 115</t>
  </si>
  <si>
    <t>116</t>
  </si>
  <si>
    <t>04/06/2025</t>
  </si>
  <si>
    <t>Total for 116</t>
  </si>
  <si>
    <t>117</t>
  </si>
  <si>
    <t>Paid for dish washing liquid and lunch</t>
  </si>
  <si>
    <t>Total for 117</t>
  </si>
  <si>
    <t>118</t>
  </si>
  <si>
    <t>04/07/2025</t>
  </si>
  <si>
    <t>Paid for 13 job announcements on ACBAR website</t>
  </si>
  <si>
    <t>61605</t>
  </si>
  <si>
    <t>61600 Promotion &amp; Advertisement:61605 Job announcements</t>
  </si>
  <si>
    <t>Total for 118</t>
  </si>
  <si>
    <t>119</t>
  </si>
  <si>
    <t>Total for 119</t>
  </si>
  <si>
    <t>120</t>
  </si>
  <si>
    <t>04/08/2025</t>
  </si>
  <si>
    <t>Total for 120</t>
  </si>
  <si>
    <t>121</t>
  </si>
  <si>
    <t>Paid for taxi charges</t>
  </si>
  <si>
    <t>Total for 121</t>
  </si>
  <si>
    <t>122</t>
  </si>
  <si>
    <t>04/09/2025</t>
  </si>
  <si>
    <t>Total for 122</t>
  </si>
  <si>
    <t>123</t>
  </si>
  <si>
    <t>taxi use for the office work</t>
  </si>
  <si>
    <t>Total for 123</t>
  </si>
  <si>
    <t>124</t>
  </si>
  <si>
    <t>04/10/2025</t>
  </si>
  <si>
    <t>Total for 124</t>
  </si>
  <si>
    <t>125</t>
  </si>
  <si>
    <t>Paid for taxi charges.</t>
  </si>
  <si>
    <t>Total for 125</t>
  </si>
  <si>
    <t>126</t>
  </si>
  <si>
    <t>04/12/2025</t>
  </si>
  <si>
    <t>Paid for lunch expens</t>
  </si>
  <si>
    <t>Total for 126</t>
  </si>
  <si>
    <t>127</t>
  </si>
  <si>
    <t>Paid for electricity expenses for the month of Dalwa 1403</t>
  </si>
  <si>
    <t>Total for 127</t>
  </si>
  <si>
    <t>128</t>
  </si>
  <si>
    <t>Total for 128</t>
  </si>
  <si>
    <t>129</t>
  </si>
  <si>
    <t>Total for 129</t>
  </si>
  <si>
    <t>130</t>
  </si>
  <si>
    <t>Total for 130</t>
  </si>
  <si>
    <t>131</t>
  </si>
  <si>
    <t>04/14/2025</t>
  </si>
  <si>
    <t>Total for 131</t>
  </si>
  <si>
    <t>132</t>
  </si>
  <si>
    <t>Taxi used by Musafer for the office work</t>
  </si>
  <si>
    <t>Total for 132</t>
  </si>
  <si>
    <t>133</t>
  </si>
  <si>
    <t>Purchase of macaroni for lunch</t>
  </si>
  <si>
    <t>Total for 133</t>
  </si>
  <si>
    <t>134</t>
  </si>
  <si>
    <t>Food expense for the staff lunch</t>
  </si>
  <si>
    <t>Total for 134</t>
  </si>
  <si>
    <t>135</t>
  </si>
  <si>
    <t>04/15/2025</t>
  </si>
  <si>
    <t>Purchase of stationery</t>
  </si>
  <si>
    <t>Purchase of stationery and Paid for taxi charges</t>
  </si>
  <si>
    <t>Total for 135</t>
  </si>
  <si>
    <t>136</t>
  </si>
  <si>
    <t>Paid for painting of COO's room</t>
  </si>
  <si>
    <t>Total for 136</t>
  </si>
  <si>
    <t>137</t>
  </si>
  <si>
    <t>04/16/2025</t>
  </si>
  <si>
    <t>Paid for purchase of vegetable for lunch</t>
  </si>
  <si>
    <t>Total for 137</t>
  </si>
  <si>
    <t>138</t>
  </si>
  <si>
    <t>04/19/2025</t>
  </si>
  <si>
    <t>Paid for stall lunch expense</t>
  </si>
  <si>
    <t>Total for 138</t>
  </si>
  <si>
    <t>139</t>
  </si>
  <si>
    <t>Total for 139</t>
  </si>
  <si>
    <t>140</t>
  </si>
  <si>
    <t>04/20/2025</t>
  </si>
  <si>
    <t>Total for 140</t>
  </si>
  <si>
    <t>141</t>
  </si>
  <si>
    <t>Purchase of one tanker water for house</t>
  </si>
  <si>
    <t>Total for 141</t>
  </si>
  <si>
    <t>142</t>
  </si>
  <si>
    <t>Car fuel used for CEO transportation</t>
  </si>
  <si>
    <t>Total for 142</t>
  </si>
  <si>
    <t>143</t>
  </si>
  <si>
    <t>House Rent prepaid for the months of Hamal and Sawr 1404</t>
  </si>
  <si>
    <t>Total for 143</t>
  </si>
  <si>
    <t>144</t>
  </si>
  <si>
    <t>House Rent prepaid for the month of Hamal 1404</t>
  </si>
  <si>
    <t>House Rent tax withheld the month of Hamal 1404</t>
  </si>
  <si>
    <t>Total for 144</t>
  </si>
  <si>
    <t>145</t>
  </si>
  <si>
    <t>04/21/2025</t>
  </si>
  <si>
    <t>Taxi used by the CFO to MTO for tax matter</t>
  </si>
  <si>
    <t>Paid for staff chocolate</t>
  </si>
  <si>
    <t>Taxi used for the office work and lunch</t>
  </si>
  <si>
    <t>Total for 145</t>
  </si>
  <si>
    <t>146</t>
  </si>
  <si>
    <t>04/22/2025</t>
  </si>
  <si>
    <t>Food expense for lunch</t>
  </si>
  <si>
    <t>Total for 146</t>
  </si>
  <si>
    <t>147</t>
  </si>
  <si>
    <t>04/23/2025</t>
  </si>
  <si>
    <t>Total for 147</t>
  </si>
  <si>
    <t>148</t>
  </si>
  <si>
    <t>Food expense for lunch and taxi</t>
  </si>
  <si>
    <t>Total for 148</t>
  </si>
  <si>
    <t>149</t>
  </si>
  <si>
    <t>04/24/2025</t>
  </si>
  <si>
    <t>Paid BOS member's breackfast</t>
  </si>
  <si>
    <t>Total for 149</t>
  </si>
  <si>
    <t>150</t>
  </si>
  <si>
    <t>04/26/2025</t>
  </si>
  <si>
    <t>Paid for food item for staff lunch</t>
  </si>
  <si>
    <t>Paid for drinking water and lunch</t>
  </si>
  <si>
    <t>Total for 150</t>
  </si>
  <si>
    <t>151</t>
  </si>
  <si>
    <t>04/27/2025</t>
  </si>
  <si>
    <t>Food expense made for the day</t>
  </si>
  <si>
    <t>Total for 151</t>
  </si>
  <si>
    <t>152</t>
  </si>
  <si>
    <t>Paid for Gurad's food expense old bill</t>
  </si>
  <si>
    <t>Total for 152</t>
  </si>
  <si>
    <t>153</t>
  </si>
  <si>
    <t>04/28/2025</t>
  </si>
  <si>
    <t>Paid for food item for lunch</t>
  </si>
  <si>
    <t>Paid for drinking water=</t>
  </si>
  <si>
    <t>Total for 153</t>
  </si>
  <si>
    <t>154</t>
  </si>
  <si>
    <t>Advance paid to COO for kunduz travel</t>
  </si>
  <si>
    <t>Total for 154</t>
  </si>
  <si>
    <t>155</t>
  </si>
  <si>
    <t>04/29/2025</t>
  </si>
  <si>
    <t>Paid for car fuel</t>
  </si>
  <si>
    <t>Total for 155</t>
  </si>
  <si>
    <t>156</t>
  </si>
  <si>
    <t>Total for 156</t>
  </si>
  <si>
    <t>157</t>
  </si>
  <si>
    <t>04/30/2025</t>
  </si>
  <si>
    <t>Depreciation expense charged for the month of April 2025</t>
  </si>
  <si>
    <t>Total for 157</t>
  </si>
  <si>
    <t>158</t>
  </si>
  <si>
    <t>Salary payable for the month of Apr 2025</t>
  </si>
  <si>
    <t>Total for 158</t>
  </si>
  <si>
    <t>159</t>
  </si>
  <si>
    <t>05/01/2025</t>
  </si>
  <si>
    <t>Paid for staff food expense</t>
  </si>
  <si>
    <t>Total for 159</t>
  </si>
  <si>
    <t>160</t>
  </si>
  <si>
    <t>Purchased 4 Bajaj Rkshaw 200 CC (1 Syllander Engine) Modal 2022 for Qard Ul Hasana</t>
  </si>
  <si>
    <t>12200</t>
  </si>
  <si>
    <t>12000 Inventory:12200 Qard ul Hasana</t>
  </si>
  <si>
    <t>Total for 160</t>
  </si>
  <si>
    <t>161</t>
  </si>
  <si>
    <t>Purchased Toyota Crolla (4 Syllander Engine) Model 1994 Grean Color</t>
  </si>
  <si>
    <t>12100</t>
  </si>
  <si>
    <t>12000 Inventory:12100 Murabaha</t>
  </si>
  <si>
    <t>Total for 161</t>
  </si>
  <si>
    <t>162</t>
  </si>
  <si>
    <t>05/03/2025</t>
  </si>
  <si>
    <t>Paid for staff lunch expesnes</t>
  </si>
  <si>
    <t>Purchase small batteries</t>
  </si>
  <si>
    <t>Taxi used for collecting quotations</t>
  </si>
  <si>
    <t>Paid to Musafer for lunch during quotation collection</t>
  </si>
  <si>
    <t>Purchase small batteries and lunch expenses</t>
  </si>
  <si>
    <t>Total for 162</t>
  </si>
  <si>
    <t>163</t>
  </si>
  <si>
    <t>05/04/2025</t>
  </si>
  <si>
    <t>Invoice</t>
  </si>
  <si>
    <t>LCI001</t>
  </si>
  <si>
    <t>Qard Ul Hasana paid to Jamal by purchasing Bajaj Rekshaw for 17 months on monthly installments</t>
  </si>
  <si>
    <t>11000</t>
  </si>
  <si>
    <t>11000 Accounts Receivable</t>
  </si>
  <si>
    <t>Total for 163</t>
  </si>
  <si>
    <t>164</t>
  </si>
  <si>
    <t>LCI002</t>
  </si>
  <si>
    <t>Qard Ul Hasana paid to Zubair for 17 months on monthly instalments</t>
  </si>
  <si>
    <t>Total for 164</t>
  </si>
  <si>
    <t>165</t>
  </si>
  <si>
    <t>LCI003</t>
  </si>
  <si>
    <t>Qard Ul Hasana paid to Esmaullah by purchasing Bajaj Rekshaw on monthly installments</t>
  </si>
  <si>
    <t>Total for 165</t>
  </si>
  <si>
    <t>166</t>
  </si>
  <si>
    <t>LCI004</t>
  </si>
  <si>
    <t>Qard Ul Hasana paid to Abdullah by purchasing Bajaj Rekshaw on monthly installments.</t>
  </si>
  <si>
    <t>Total for 166</t>
  </si>
  <si>
    <t>167</t>
  </si>
  <si>
    <t>LCI005</t>
  </si>
  <si>
    <t>Purchased a taxi for Mr. Ebadullah on Murabaha</t>
  </si>
  <si>
    <t xml:space="preserve">Murabaha loan paid to Ebadullah by purchasing Toyota Crollah on monthly installements.
</t>
  </si>
  <si>
    <t>9% CGS  on the sale of the product.</t>
  </si>
  <si>
    <t>20900</t>
  </si>
  <si>
    <t>20900 Deferred Murabaha Income</t>
  </si>
  <si>
    <t>Total for 167</t>
  </si>
  <si>
    <t>168</t>
  </si>
  <si>
    <t>LCI006</t>
  </si>
  <si>
    <t>Loan paid to Mohammad Asif for as investment on Cricket bats production factory setup and Raw materials</t>
  </si>
  <si>
    <t>Loan given to customer on Mudarabah based on the contract made.</t>
  </si>
  <si>
    <t>Total for 168</t>
  </si>
  <si>
    <t>169</t>
  </si>
  <si>
    <t>Total for 169</t>
  </si>
  <si>
    <t>170</t>
  </si>
  <si>
    <t>Taxi used by Shokoor to collect quotations</t>
  </si>
  <si>
    <t>Total for 170</t>
  </si>
  <si>
    <t>171</t>
  </si>
  <si>
    <t>Total for 171</t>
  </si>
  <si>
    <t>172</t>
  </si>
  <si>
    <t>Paid for a job announcement</t>
  </si>
  <si>
    <t>Total for 172</t>
  </si>
  <si>
    <t>173</t>
  </si>
  <si>
    <t>05/05/2025</t>
  </si>
  <si>
    <t>Total for 173</t>
  </si>
  <si>
    <t>174</t>
  </si>
  <si>
    <t>05/06/2025</t>
  </si>
  <si>
    <t>Paid for toilet paper and dish washing liquid</t>
  </si>
  <si>
    <t>Total for 174</t>
  </si>
  <si>
    <t>175</t>
  </si>
  <si>
    <t>Salary paid for the month of Apr 2025</t>
  </si>
  <si>
    <t>Total for 175</t>
  </si>
  <si>
    <t>176</t>
  </si>
  <si>
    <t>05/07/2025</t>
  </si>
  <si>
    <t>Internet fee paid for the month of Apri 2025  (USD 100 @70.4088)</t>
  </si>
  <si>
    <t>Total for 176</t>
  </si>
  <si>
    <t>177</t>
  </si>
  <si>
    <t>Paid for mineral water for the office us</t>
  </si>
  <si>
    <t>Taxi used by Musafer for office work</t>
  </si>
  <si>
    <t>Total for 177</t>
  </si>
  <si>
    <t>178</t>
  </si>
  <si>
    <t>Paid for staff the day lunch expense</t>
  </si>
  <si>
    <t>Paid for liquid gas for the office use.</t>
  </si>
  <si>
    <t>Paid for liquid gas for the office use and staff lunch.</t>
  </si>
  <si>
    <t>Total for 178</t>
  </si>
  <si>
    <t>179</t>
  </si>
  <si>
    <t>05/08/2025</t>
  </si>
  <si>
    <t>Paid for car fuel used for the office work.</t>
  </si>
  <si>
    <t>Total for 179</t>
  </si>
  <si>
    <t>180</t>
  </si>
  <si>
    <t>Total for 180</t>
  </si>
  <si>
    <t>181</t>
  </si>
  <si>
    <t>05/09/2025</t>
  </si>
  <si>
    <t>Paid for staff dinner working on friday</t>
  </si>
  <si>
    <t>Total for 181</t>
  </si>
  <si>
    <t>182</t>
  </si>
  <si>
    <t>05/10/2025</t>
  </si>
  <si>
    <t>Total for 182</t>
  </si>
  <si>
    <t>183</t>
  </si>
  <si>
    <t>05/11/2025</t>
  </si>
  <si>
    <t>Paid for lunch expense and mineral water</t>
  </si>
  <si>
    <t>Total for 183</t>
  </si>
  <si>
    <t>184</t>
  </si>
  <si>
    <t>Purchased 6 photo frames for the office use.</t>
  </si>
  <si>
    <t>Total for 184</t>
  </si>
  <si>
    <t>185</t>
  </si>
  <si>
    <t>Paid for printing of stand banner and UV ID cards</t>
  </si>
  <si>
    <t>Total for 185</t>
  </si>
  <si>
    <t>186</t>
  </si>
  <si>
    <t>Purchased bills for the office use.</t>
  </si>
  <si>
    <t>Purchased some soft drinks, water for office guest use.</t>
  </si>
  <si>
    <t>Total for 186</t>
  </si>
  <si>
    <t>187</t>
  </si>
  <si>
    <t>Total for 187</t>
  </si>
  <si>
    <t>188</t>
  </si>
  <si>
    <t>Total for 188</t>
  </si>
  <si>
    <t>189</t>
  </si>
  <si>
    <t>Paid for city water 2 tanker ( 1 old payment)</t>
  </si>
  <si>
    <t>Total for 189</t>
  </si>
  <si>
    <t>190</t>
  </si>
  <si>
    <t>05/12/2025</t>
  </si>
  <si>
    <t>Paid for the office staff lunch expense</t>
  </si>
  <si>
    <t>Total for 190</t>
  </si>
  <si>
    <t>191</t>
  </si>
  <si>
    <t>Paid for staff lunch expense old bill</t>
  </si>
  <si>
    <t>Total for 191</t>
  </si>
  <si>
    <t>192</t>
  </si>
  <si>
    <t>05/13/2025</t>
  </si>
  <si>
    <t>Total for 192</t>
  </si>
  <si>
    <t>193</t>
  </si>
  <si>
    <t>05/14/2025</t>
  </si>
  <si>
    <t>Paid for staff lunch expense and drinking water</t>
  </si>
  <si>
    <t>Total for 193</t>
  </si>
  <si>
    <t>194</t>
  </si>
  <si>
    <t>05/15/2025</t>
  </si>
  <si>
    <t>Paid for guards friday expenes</t>
  </si>
  <si>
    <t>Total for 194</t>
  </si>
  <si>
    <t>195</t>
  </si>
  <si>
    <t>05/17/2025</t>
  </si>
  <si>
    <t>Total for 195</t>
  </si>
  <si>
    <t>196</t>
  </si>
  <si>
    <t>Purchased gift for CEO</t>
  </si>
  <si>
    <t>Purchased cack for the CEO party</t>
  </si>
  <si>
    <t>Total for 196</t>
  </si>
  <si>
    <t>197</t>
  </si>
  <si>
    <t>Trasportation charges of staff to Mazar to join Microfinance Exhabition held by DAB.</t>
  </si>
  <si>
    <t>Paid for expenses during the travel</t>
  </si>
  <si>
    <t>Printed brochures, banners,</t>
  </si>
  <si>
    <t>Rented tables and chairs for three days.</t>
  </si>
  <si>
    <t>61002</t>
  </si>
  <si>
    <t>61000 Rent:61002 Equipment rental</t>
  </si>
  <si>
    <t>Rented car for equipment transportation</t>
  </si>
  <si>
    <t>60804</t>
  </si>
  <si>
    <t>60800 Local Transport:60804 Truck Rental</t>
  </si>
  <si>
    <t>Rented TV for 3 days for the even</t>
  </si>
  <si>
    <t>Hotel rent for 3 nights</t>
  </si>
  <si>
    <t>60703</t>
  </si>
  <si>
    <t>60700 Travel &amp; Accommodation:60703 Accommodation</t>
  </si>
  <si>
    <t>Paid for food expenses during the stay</t>
  </si>
  <si>
    <t>Expenses made during the travel to Mazar</t>
  </si>
  <si>
    <t>Paid for food expenses during the travel to Kunduz</t>
  </si>
  <si>
    <t>Rented vehicles for transportation of equipments.</t>
  </si>
  <si>
    <t>Printed brochures for promotion</t>
  </si>
  <si>
    <t>Paid iron frame for the banners</t>
  </si>
  <si>
    <t>Transportation charges Kabul to Kunduz to Kabul</t>
  </si>
  <si>
    <t>Expenses made during the way.</t>
  </si>
  <si>
    <t>Paid for car fuel.</t>
  </si>
  <si>
    <t>Expenses made during the travel to Kunduz</t>
  </si>
  <si>
    <t>Paid by Shapoor for Mazar and Kunduz travel expense</t>
  </si>
  <si>
    <t>Total for 197</t>
  </si>
  <si>
    <t>198</t>
  </si>
  <si>
    <t>Purchased 6 fan for the office use and transportation cost.</t>
  </si>
  <si>
    <t>Total for 198</t>
  </si>
  <si>
    <t>199</t>
  </si>
  <si>
    <t>05/18/2025</t>
  </si>
  <si>
    <t>Total for 199</t>
  </si>
  <si>
    <t>200</t>
  </si>
  <si>
    <t>Total for 200</t>
  </si>
  <si>
    <t>201</t>
  </si>
  <si>
    <t>Total for 201</t>
  </si>
  <si>
    <t>202</t>
  </si>
  <si>
    <t>05/19/2025</t>
  </si>
  <si>
    <t>Paid for the staff lunch expenses</t>
  </si>
  <si>
    <t>Total for 202</t>
  </si>
  <si>
    <t>203</t>
  </si>
  <si>
    <t>Total for 203</t>
  </si>
  <si>
    <t>204</t>
  </si>
  <si>
    <t>Paid for the staff drinking water</t>
  </si>
  <si>
    <t>Total for 204</t>
  </si>
  <si>
    <t>205</t>
  </si>
  <si>
    <t>Paid for juice for guest</t>
  </si>
  <si>
    <t>Total for 205</t>
  </si>
  <si>
    <t>206</t>
  </si>
  <si>
    <t>Purchased glassed, Juck for the kitchen use.</t>
  </si>
  <si>
    <t>Total for 206</t>
  </si>
  <si>
    <t>207</t>
  </si>
  <si>
    <t>05/21/2025</t>
  </si>
  <si>
    <t>Advance payment of Shapoor Khan for personal use.</t>
  </si>
  <si>
    <t>Advance paid to Haji Romal for Jalalabad branch Opening</t>
  </si>
  <si>
    <t>20168</t>
  </si>
  <si>
    <t>20150 Salaries and Wages Payable:20168 Noor Muhammad</t>
  </si>
  <si>
    <t>Total for 207</t>
  </si>
  <si>
    <t>208</t>
  </si>
  <si>
    <t>Paid for the staff the day lunch expense</t>
  </si>
  <si>
    <t>Total for 208</t>
  </si>
  <si>
    <t>209</t>
  </si>
  <si>
    <t>Purchased 3 toners for the HQ office HP printers</t>
  </si>
  <si>
    <t>Paid for taxi used Musafer for the office work</t>
  </si>
  <si>
    <t>Paid for 3 toners, stationery, and taxi charge</t>
  </si>
  <si>
    <t>Total for 209</t>
  </si>
  <si>
    <t>210</t>
  </si>
  <si>
    <t>Purchased chocolate for the office use.</t>
  </si>
  <si>
    <t>Purchased dry food for the lunch use.</t>
  </si>
  <si>
    <t>Purchased dry food for the lunch use. and chocolate.</t>
  </si>
  <si>
    <t>House rent prepaid for the month of Sawr 1404</t>
  </si>
  <si>
    <t>House rent withheld for the month of Sawr 1404</t>
  </si>
  <si>
    <t>Total for 210</t>
  </si>
  <si>
    <t>211</t>
  </si>
  <si>
    <t>05/22/2025</t>
  </si>
  <si>
    <t>Purchased stationery for the HQ Office use.</t>
  </si>
  <si>
    <t>Total for 211</t>
  </si>
  <si>
    <t>212</t>
  </si>
  <si>
    <t>Paid for lunch on the day of meeting with UNAMA</t>
  </si>
  <si>
    <t>Total for 212</t>
  </si>
  <si>
    <t>213</t>
  </si>
  <si>
    <t>Paid for the car fuel to UNAMA Meeting</t>
  </si>
  <si>
    <t>Total for 213</t>
  </si>
  <si>
    <t>214</t>
  </si>
  <si>
    <t>05/24/2025</t>
  </si>
  <si>
    <t>Paid for the day lunch expense</t>
  </si>
  <si>
    <t>Total for 214</t>
  </si>
  <si>
    <t>215</t>
  </si>
  <si>
    <t>Paid for the guards Friday expense</t>
  </si>
  <si>
    <t>Total for 215</t>
  </si>
  <si>
    <t>216</t>
  </si>
  <si>
    <t>Purchase of power bank for office wifi</t>
  </si>
  <si>
    <t>Total for 216</t>
  </si>
  <si>
    <t>217</t>
  </si>
  <si>
    <t>05/25/2025</t>
  </si>
  <si>
    <t>Amount paid to Mahalat shahre cleaning service company for the month of Hamal, Saor, Jawza 1404</t>
  </si>
  <si>
    <t>Total for 217</t>
  </si>
  <si>
    <t>218</t>
  </si>
  <si>
    <t>Paid for one tanker water for the office use</t>
  </si>
  <si>
    <t>Total for 218</t>
  </si>
  <si>
    <t>219</t>
  </si>
  <si>
    <t>05/26/2025</t>
  </si>
  <si>
    <t>Total for 219</t>
  </si>
  <si>
    <t>220</t>
  </si>
  <si>
    <t>Paid for the purchase of breads for the month of April 2025</t>
  </si>
  <si>
    <t>Total for 220</t>
  </si>
  <si>
    <t>221</t>
  </si>
  <si>
    <t>Total for 221</t>
  </si>
  <si>
    <t>222</t>
  </si>
  <si>
    <t>Paid for the daily lunch expense</t>
  </si>
  <si>
    <t>Total for 222</t>
  </si>
  <si>
    <t>223</t>
  </si>
  <si>
    <t>Taxi used by Musafer to AUB bank to collect bank card</t>
  </si>
  <si>
    <t>Total for 223</t>
  </si>
  <si>
    <t>224</t>
  </si>
  <si>
    <t>05/27/2025</t>
  </si>
  <si>
    <t>Taxi used by Musafer to DAB to receive letter</t>
  </si>
  <si>
    <t>Total for 224</t>
  </si>
  <si>
    <t>225</t>
  </si>
  <si>
    <t>Paid for the liquid gas used in the kitchen</t>
  </si>
  <si>
    <t>Total for 225</t>
  </si>
  <si>
    <t>226</t>
  </si>
  <si>
    <t>Total for 226</t>
  </si>
  <si>
    <t>227</t>
  </si>
  <si>
    <t>Paid to Shokoor Khan for lunch expense made for guest</t>
  </si>
  <si>
    <t>Total for 227</t>
  </si>
  <si>
    <t>228</t>
  </si>
  <si>
    <t>05/28/2025</t>
  </si>
  <si>
    <t>Paid for Staff lunch expense</t>
  </si>
  <si>
    <t>Total for 228</t>
  </si>
  <si>
    <t>229</t>
  </si>
  <si>
    <t>05/31/2025</t>
  </si>
  <si>
    <t>Dish washing liquid</t>
  </si>
  <si>
    <t>Paid for Staff lunch expense and shampoo</t>
  </si>
  <si>
    <t>Total for 229</t>
  </si>
  <si>
    <t>230</t>
  </si>
  <si>
    <t>Paid for Guard's Friday food expense.</t>
  </si>
  <si>
    <t>Total for 230</t>
  </si>
  <si>
    <t>231</t>
  </si>
  <si>
    <t>Taxi used by Musafer to DAB</t>
  </si>
  <si>
    <t>Depreciation expense occurred for the month of May 2025</t>
  </si>
  <si>
    <t>Total for 231</t>
  </si>
  <si>
    <t>232</t>
  </si>
  <si>
    <t>Salary payable for the month of May 2025</t>
  </si>
  <si>
    <t>Salary taxi payable for the month of May 2025</t>
  </si>
  <si>
    <t>Total for 232</t>
  </si>
  <si>
    <t>233</t>
  </si>
  <si>
    <t>06/01/2025</t>
  </si>
  <si>
    <t>Total for 233</t>
  </si>
  <si>
    <t>234</t>
  </si>
  <si>
    <t>06/02/2025</t>
  </si>
  <si>
    <t>Paid for the electricity bill for the month of Hamal and Sawr 1404</t>
  </si>
  <si>
    <t>Total for 234</t>
  </si>
  <si>
    <t>235</t>
  </si>
  <si>
    <t>Paid for daily food expense of staff</t>
  </si>
  <si>
    <t>Total for 235</t>
  </si>
  <si>
    <t>236</t>
  </si>
  <si>
    <t>06/03/2025</t>
  </si>
  <si>
    <t>Total for 236</t>
  </si>
  <si>
    <t>237</t>
  </si>
  <si>
    <t>06/04/2025</t>
  </si>
  <si>
    <t>Paid for daily food expense of staff and drinking water</t>
  </si>
  <si>
    <t>Total for 237</t>
  </si>
  <si>
    <t>238</t>
  </si>
  <si>
    <t>06/05/2025</t>
  </si>
  <si>
    <t>Paid for purchasing note book for Hanifullah Momand</t>
  </si>
  <si>
    <t>Total for 238</t>
  </si>
  <si>
    <t>239</t>
  </si>
  <si>
    <t>Paid for taxi used by Musafer</t>
  </si>
  <si>
    <t>Total for 239</t>
  </si>
  <si>
    <t>240</t>
  </si>
  <si>
    <t>Paid for Breads purchase for the month of May 2025</t>
  </si>
  <si>
    <t>Total for 240</t>
  </si>
  <si>
    <t>241</t>
  </si>
  <si>
    <t>Salary Paid for the month of May 2025 (AFN3000 deducted for the salary advance)</t>
  </si>
  <si>
    <t>Salary Paid for the month of May 2025</t>
  </si>
  <si>
    <t>Total for 241</t>
  </si>
  <si>
    <t>242</t>
  </si>
  <si>
    <t>House rent prepaid for the months of Jawza and Saratan 1404</t>
  </si>
  <si>
    <t>Total for 242</t>
  </si>
  <si>
    <t>243</t>
  </si>
  <si>
    <t>06/11/2025</t>
  </si>
  <si>
    <t>Paid 100USD to Easy Connect for the month of May-2025 internet fee @ 69.86 based on DAB exchange rate of the day.</t>
  </si>
  <si>
    <t>Total for 243</t>
  </si>
  <si>
    <t>244</t>
  </si>
  <si>
    <t>Paid for daily lunch expense</t>
  </si>
  <si>
    <t>Total for 244</t>
  </si>
  <si>
    <t>245</t>
  </si>
  <si>
    <t>06/14/2025</t>
  </si>
  <si>
    <t>Total for 245</t>
  </si>
  <si>
    <t>246</t>
  </si>
  <si>
    <t>06/15/2025</t>
  </si>
  <si>
    <t>Total for 246</t>
  </si>
  <si>
    <t>247</t>
  </si>
  <si>
    <t>06/17/2025</t>
  </si>
  <si>
    <t>Paid to Shahpoor for personal use</t>
  </si>
  <si>
    <t>Total for 247</t>
  </si>
  <si>
    <t>248</t>
  </si>
  <si>
    <t>Purchased Chocolate, Green Tea, Sugar, and Nutri-c</t>
  </si>
  <si>
    <t>Paid for staff lunch expenses and some refreshment Items</t>
  </si>
  <si>
    <t>Total for 248</t>
  </si>
  <si>
    <t>249</t>
  </si>
  <si>
    <t>06/18/2025</t>
  </si>
  <si>
    <t>Paid for staff daily food expense</t>
  </si>
  <si>
    <t>Total for 249</t>
  </si>
  <si>
    <t>250</t>
  </si>
  <si>
    <t>Total for 250</t>
  </si>
  <si>
    <t>251</t>
  </si>
  <si>
    <t>Paid for the Power Generator Fuel</t>
  </si>
  <si>
    <t>Paid for Gas used for the kitchen</t>
  </si>
  <si>
    <t>Taxi used by Musafer to bring the items</t>
  </si>
  <si>
    <t>Paid for Gas, fuel, food expense, and taxi charges</t>
  </si>
  <si>
    <t>Total for 251</t>
  </si>
  <si>
    <t>252</t>
  </si>
  <si>
    <t>Total for 252</t>
  </si>
  <si>
    <t>253</t>
  </si>
  <si>
    <t>Paid for taxi charges used by Musafer DAB</t>
  </si>
  <si>
    <t>Total for 253</t>
  </si>
  <si>
    <t>254</t>
  </si>
  <si>
    <t>Paid for taxi charges by Musafer to Minsistry of Interior</t>
  </si>
  <si>
    <t>Total for 254</t>
  </si>
  <si>
    <t>255</t>
  </si>
  <si>
    <t>06/19/2025</t>
  </si>
  <si>
    <t>Paid for tissue paper</t>
  </si>
  <si>
    <t>Paid for the staff lunch expense and tissue paper during Eid ul Adha</t>
  </si>
  <si>
    <t>Paid for security guards lunch expense during Eid ul Adha</t>
  </si>
  <si>
    <t>Total for 255</t>
  </si>
  <si>
    <t>256</t>
  </si>
  <si>
    <t>Salary advances paid to Mashal Achakzai</t>
  </si>
  <si>
    <t>20166</t>
  </si>
  <si>
    <t>20150 Salaries and Wages Payable:20166 Mashal Achakzai</t>
  </si>
  <si>
    <t>Salary advances paid to Faisal Achakzai</t>
  </si>
  <si>
    <t>20167</t>
  </si>
  <si>
    <t>20150 Salaries and Wages Payable:20167 Faisal Achakzai</t>
  </si>
  <si>
    <t>Salary advances paid to Faisal Achakzai and Faisal Achakzai</t>
  </si>
  <si>
    <t>Total for 256</t>
  </si>
  <si>
    <t>257</t>
  </si>
  <si>
    <t>Paid for stationery for the office use</t>
  </si>
  <si>
    <t>Total for 257</t>
  </si>
  <si>
    <t>258</t>
  </si>
  <si>
    <t>Drinking water for office staff use</t>
  </si>
  <si>
    <t>Total for 258</t>
  </si>
  <si>
    <t>259</t>
  </si>
  <si>
    <t>06/20/2025</t>
  </si>
  <si>
    <t>Guards Friday food expense</t>
  </si>
  <si>
    <t>Total for 259</t>
  </si>
  <si>
    <t>260</t>
  </si>
  <si>
    <t>06/21/2025</t>
  </si>
  <si>
    <t>Office rent prepaid for the month of Jawza 1404</t>
  </si>
  <si>
    <t>House rent tax withheld for the month of Jawza 1404</t>
  </si>
  <si>
    <t>Total for 260</t>
  </si>
  <si>
    <t>261</t>
  </si>
  <si>
    <t>Total for 261</t>
  </si>
  <si>
    <t>262</t>
  </si>
  <si>
    <t>Paid for purchasing Nutri-C for the guests</t>
  </si>
  <si>
    <t>Total for 262</t>
  </si>
  <si>
    <t>263</t>
  </si>
  <si>
    <t>Paid for purchasing one tanker water for the office us</t>
  </si>
  <si>
    <t>Total for 263</t>
  </si>
  <si>
    <t>264</t>
  </si>
  <si>
    <t>Taxi used by Musafer to DAB to received some letters</t>
  </si>
  <si>
    <t>Total for 264</t>
  </si>
  <si>
    <t>265</t>
  </si>
  <si>
    <t>Paid for daily food expense</t>
  </si>
  <si>
    <t>Paid for purchasing Nutri-C for guest</t>
  </si>
  <si>
    <t>Paid for purchasing Nutri-C for guest and staff the day lunch expense</t>
  </si>
  <si>
    <t>Total for 265</t>
  </si>
  <si>
    <t>266</t>
  </si>
  <si>
    <t>Salary Advance paid to Shahpoor</t>
  </si>
  <si>
    <t>Total for 266</t>
  </si>
  <si>
    <t>267</t>
  </si>
  <si>
    <t>Lunch expense paid to Guards for Friday, old bill</t>
  </si>
  <si>
    <t>Total for 267</t>
  </si>
  <si>
    <t>268</t>
  </si>
  <si>
    <t>06/22/2025</t>
  </si>
  <si>
    <t>Paid for internet fee for the month of (07 June to 07 July 2025)</t>
  </si>
  <si>
    <t>Total for 268</t>
  </si>
  <si>
    <t>269</t>
  </si>
  <si>
    <t>Paid for lunch expense of the HQ staff</t>
  </si>
  <si>
    <t>Total for 269</t>
  </si>
  <si>
    <t>270</t>
  </si>
  <si>
    <t>Total for 270</t>
  </si>
  <si>
    <t>271</t>
  </si>
  <si>
    <t>06/23/2025</t>
  </si>
  <si>
    <t>Total for 271</t>
  </si>
  <si>
    <t>272</t>
  </si>
  <si>
    <t>Daily food expense for the office staff</t>
  </si>
  <si>
    <t>Total for 272</t>
  </si>
  <si>
    <t>273</t>
  </si>
  <si>
    <t>06/24/2025</t>
  </si>
  <si>
    <t>JV-263</t>
  </si>
  <si>
    <t>Paid to Lateef for Tea on Eid days expense old bill</t>
  </si>
  <si>
    <t>Paid to Lateef for eggs purchase on Eid days old bill</t>
  </si>
  <si>
    <t>Paid to Lateef for eggs and Tea purchase on Eid days old bill</t>
  </si>
  <si>
    <t>Total for 273</t>
  </si>
  <si>
    <t>274</t>
  </si>
  <si>
    <t>JV-264</t>
  </si>
  <si>
    <t>Paid for Car fuel used by Shahpoor for the office work in two different days</t>
  </si>
  <si>
    <t>Total for 274</t>
  </si>
  <si>
    <t>275</t>
  </si>
  <si>
    <t>JV-265</t>
  </si>
  <si>
    <t>Car fuel used by Shahpoor for meeting in UNAMA</t>
  </si>
  <si>
    <t>Total for 275</t>
  </si>
  <si>
    <t>276</t>
  </si>
  <si>
    <t>JV-266</t>
  </si>
  <si>
    <t>Total for 276</t>
  </si>
  <si>
    <t>277</t>
  </si>
  <si>
    <t>JV-267</t>
  </si>
  <si>
    <t>Paid to Liaqat for taxi charges to Jalalabad bus station</t>
  </si>
  <si>
    <t>Total for 277</t>
  </si>
  <si>
    <t>278</t>
  </si>
  <si>
    <t>JV-268</t>
  </si>
  <si>
    <t>Total for 278</t>
  </si>
  <si>
    <t>279</t>
  </si>
  <si>
    <t>06/25/2025</t>
  </si>
  <si>
    <t>JV-269</t>
  </si>
  <si>
    <t>Paid for the power generator fuel (Petrol A92)</t>
  </si>
  <si>
    <t>Total for 279</t>
  </si>
  <si>
    <t>280</t>
  </si>
  <si>
    <t>JV-270</t>
  </si>
  <si>
    <t>Total for 280</t>
  </si>
  <si>
    <t>281</t>
  </si>
  <si>
    <t>06/26/2025</t>
  </si>
  <si>
    <t>JV-271</t>
  </si>
  <si>
    <t>Taxi Charges paid to Musafer to DAB to collect some documents</t>
  </si>
  <si>
    <t>Total for 281</t>
  </si>
  <si>
    <t>282</t>
  </si>
  <si>
    <t>JV-272</t>
  </si>
  <si>
    <t>Taxi charge paid to Musafer for documents delivery to Jalalabad</t>
  </si>
  <si>
    <t>Total for 282</t>
  </si>
  <si>
    <t>283</t>
  </si>
  <si>
    <t>06/27/2025</t>
  </si>
  <si>
    <t>JV-273</t>
  </si>
  <si>
    <t>Lunch expense paid</t>
  </si>
  <si>
    <t>Total for 283</t>
  </si>
  <si>
    <t>284</t>
  </si>
  <si>
    <t>06/28/2025</t>
  </si>
  <si>
    <t>JV-274</t>
  </si>
  <si>
    <t>Office staff daily lunch expense paid</t>
  </si>
  <si>
    <t>Total for 284</t>
  </si>
  <si>
    <t>285</t>
  </si>
  <si>
    <t>06/29/2025</t>
  </si>
  <si>
    <t>JV-275</t>
  </si>
  <si>
    <t>Advance Paid to Noor Muhammad for Jalalabad Branch Expenses</t>
  </si>
  <si>
    <t>Total for 285</t>
  </si>
  <si>
    <t>286</t>
  </si>
  <si>
    <t>JV-276</t>
  </si>
  <si>
    <t>Taxi charges paid to Musafer Momand to DAB for delivering documents</t>
  </si>
  <si>
    <t>Total for 286</t>
  </si>
  <si>
    <t>287</t>
  </si>
  <si>
    <t>JV-277</t>
  </si>
  <si>
    <t>Purchased rubber for the pressure cooker.</t>
  </si>
  <si>
    <t>Total for 287</t>
  </si>
  <si>
    <t>288</t>
  </si>
  <si>
    <t>06/30/2025</t>
  </si>
  <si>
    <t>JV-278</t>
  </si>
  <si>
    <t>Paid for staff daily food expenses</t>
  </si>
  <si>
    <t>Purchased dish washing liquid</t>
  </si>
  <si>
    <t>Purchased dish washing liquid and staff daily lunch expenses</t>
  </si>
  <si>
    <t>Total for 288</t>
  </si>
  <si>
    <t>289</t>
  </si>
  <si>
    <t>JV-279</t>
  </si>
  <si>
    <t>Paid to Faisal Achakzai for personal use</t>
  </si>
  <si>
    <t>Total for 289</t>
  </si>
  <si>
    <t>290</t>
  </si>
  <si>
    <t>JV-280</t>
  </si>
  <si>
    <t>Paid to Mashal Achakzai for personal use</t>
  </si>
  <si>
    <t>Depreciation expense occurred for the month of June  2025</t>
  </si>
  <si>
    <t>Total for 290</t>
  </si>
  <si>
    <t>318</t>
  </si>
  <si>
    <t>JV-281</t>
  </si>
  <si>
    <t>The financing Officers' salary for the month of June 2025 (Mr. Abdul Shakoor and Faisal Achakzai)</t>
  </si>
  <si>
    <t>51200</t>
  </si>
  <si>
    <t>51000 Cost of sales:51200 Financing Officer's Salary</t>
  </si>
  <si>
    <t>Salary payable for the month of June 2025</t>
  </si>
  <si>
    <t>Salary payable for the month of June 2025 for 15 days of the month</t>
  </si>
  <si>
    <t>20169</t>
  </si>
  <si>
    <t>20150 Salaries and Wages Payable:20169 Ajmal Khan Momand</t>
  </si>
  <si>
    <t>Salary payable for the month of June 2025 (2000 AdvanceAdjusted Against Salary)</t>
  </si>
  <si>
    <t>20170</t>
  </si>
  <si>
    <t>20150 Salaries and Wages Payable:20170 Muhebullah Mohammadi</t>
  </si>
  <si>
    <t>Total for 318</t>
  </si>
  <si>
    <t>291</t>
  </si>
  <si>
    <t>07/01/2025</t>
  </si>
  <si>
    <t>JV-282</t>
  </si>
  <si>
    <t>Paid for Generator Fuel</t>
  </si>
  <si>
    <t>Total for 291</t>
  </si>
  <si>
    <t>292</t>
  </si>
  <si>
    <t>JV-283</t>
  </si>
  <si>
    <t>Paid for Nutri-C for guest</t>
  </si>
  <si>
    <t>Total for 292</t>
  </si>
  <si>
    <t>293</t>
  </si>
  <si>
    <t>JV-284</t>
  </si>
  <si>
    <t>Paid for staff Lunch</t>
  </si>
  <si>
    <t>Total for 293</t>
  </si>
  <si>
    <t>294</t>
  </si>
  <si>
    <t>07/02/2025</t>
  </si>
  <si>
    <t>JV-285</t>
  </si>
  <si>
    <t>Paid to purchase Paid to purchase Name Lable for CEO, Name lable for staff,</t>
  </si>
  <si>
    <t>Paid to purchase , Ink for Epson printer</t>
  </si>
  <si>
    <t>Taxi charges</t>
  </si>
  <si>
    <t>Paid for purchase of Name Lable for CEO, name lable for staff, Ink for Eqson printer, and taxi charges.</t>
  </si>
  <si>
    <t>Total for 294</t>
  </si>
  <si>
    <t>295</t>
  </si>
  <si>
    <t>JV-286</t>
  </si>
  <si>
    <t>Taxi Charges paid to Liaqat to Jalalabad bus station</t>
  </si>
  <si>
    <t>Total for 295</t>
  </si>
  <si>
    <t>296</t>
  </si>
  <si>
    <t>JV-287</t>
  </si>
  <si>
    <t>Paid to Shakoor for taxi to Printing press</t>
  </si>
  <si>
    <t>Total for 296</t>
  </si>
  <si>
    <t>297</t>
  </si>
  <si>
    <t>JV-288</t>
  </si>
  <si>
    <t>Paid to Shahpoor to DAB</t>
  </si>
  <si>
    <t>Total for 297</t>
  </si>
  <si>
    <t>298</t>
  </si>
  <si>
    <t>JV-289</t>
  </si>
  <si>
    <t>Paid for Daily lunch expenses</t>
  </si>
  <si>
    <t>Paid for tissue and toilet paper for the office use</t>
  </si>
  <si>
    <t>Paid for two pairs of small batteries</t>
  </si>
  <si>
    <t>Paid for Daily lunch expenses, tissue, toilet paper, and small batteries</t>
  </si>
  <si>
    <t>Total for 298</t>
  </si>
  <si>
    <t>299</t>
  </si>
  <si>
    <t>JV-290</t>
  </si>
  <si>
    <t>Paid to Faisal to taxi to Bank</t>
  </si>
  <si>
    <t>Total for 299</t>
  </si>
  <si>
    <t>300</t>
  </si>
  <si>
    <t>JV-291</t>
  </si>
  <si>
    <t>Paid for liquid Gas</t>
  </si>
  <si>
    <t>Total for 300</t>
  </si>
  <si>
    <t>301</t>
  </si>
  <si>
    <t>JV-292</t>
  </si>
  <si>
    <t>Total for 301</t>
  </si>
  <si>
    <t>302</t>
  </si>
  <si>
    <t>JV-293</t>
  </si>
  <si>
    <t>Paid for Metal work of the office sign board</t>
  </si>
  <si>
    <t>Total for 302</t>
  </si>
  <si>
    <t>303</t>
  </si>
  <si>
    <t>JV-294</t>
  </si>
  <si>
    <t>Paid for installation of the Receiver</t>
  </si>
  <si>
    <t>Total for 303</t>
  </si>
  <si>
    <t>304</t>
  </si>
  <si>
    <t>JV-297</t>
  </si>
  <si>
    <t>Owner withdrawal</t>
  </si>
  <si>
    <t>Total for 304</t>
  </si>
  <si>
    <t>305</t>
  </si>
  <si>
    <t>JV-296</t>
  </si>
  <si>
    <t>Total for 305</t>
  </si>
  <si>
    <t>306</t>
  </si>
  <si>
    <t>JV-295</t>
  </si>
  <si>
    <t>Deposited by the Owners in AUB USD Bank account (@70.5)</t>
  </si>
  <si>
    <t>Total for 306</t>
  </si>
  <si>
    <t>307</t>
  </si>
  <si>
    <t>JV-298</t>
  </si>
  <si>
    <t>Fuel for the power generator</t>
  </si>
  <si>
    <t>Total for 307</t>
  </si>
  <si>
    <t>308</t>
  </si>
  <si>
    <t>07/03/2025</t>
  </si>
  <si>
    <t>JV-299</t>
  </si>
  <si>
    <t>Paid for taxi to Mashal to DAB</t>
  </si>
  <si>
    <t>Total for 308</t>
  </si>
  <si>
    <t>309</t>
  </si>
  <si>
    <t>JV-300</t>
  </si>
  <si>
    <t>Total for 309</t>
  </si>
  <si>
    <t>310</t>
  </si>
  <si>
    <t>JV-301</t>
  </si>
  <si>
    <t>Paid taxi charges to Liaqat to Jalalabad bus station</t>
  </si>
  <si>
    <t>Total for 310</t>
  </si>
  <si>
    <t>311</t>
  </si>
  <si>
    <t>JV-302</t>
  </si>
  <si>
    <t>Total for 311</t>
  </si>
  <si>
    <t>312</t>
  </si>
  <si>
    <t>JV-303</t>
  </si>
  <si>
    <t>Total for 312</t>
  </si>
  <si>
    <t>313</t>
  </si>
  <si>
    <t>JV-304</t>
  </si>
  <si>
    <t>Cash Withdrawal from Bank</t>
  </si>
  <si>
    <t>Total for 313</t>
  </si>
  <si>
    <t>314</t>
  </si>
  <si>
    <t>07/05/2025</t>
  </si>
  <si>
    <t>JV-305</t>
  </si>
  <si>
    <t>Cash withdrawal form bank</t>
  </si>
  <si>
    <t>Total for 314</t>
  </si>
  <si>
    <t>315</t>
  </si>
  <si>
    <t>JV-306</t>
  </si>
  <si>
    <t>Paid for staff lunch expenses and one note book</t>
  </si>
  <si>
    <t>Total for 315</t>
  </si>
  <si>
    <t>316</t>
  </si>
  <si>
    <t>JV-307</t>
  </si>
  <si>
    <t>Paid for the generator fuel</t>
  </si>
  <si>
    <t>Total for 316</t>
  </si>
  <si>
    <t>317</t>
  </si>
  <si>
    <t>JV-308</t>
  </si>
  <si>
    <t>Purchased cack and milk for guests</t>
  </si>
  <si>
    <t>Total for 317</t>
  </si>
  <si>
    <t>319</t>
  </si>
  <si>
    <t>JV-309</t>
  </si>
  <si>
    <t>Salary Paid for the month of June 2025</t>
  </si>
  <si>
    <t>Salary Paid for the month of June 2025 (Advance deduction applied)</t>
  </si>
  <si>
    <t>Salary Paid for the month of June 2025 (Salary Advance Applied)</t>
  </si>
  <si>
    <t>Total for 319</t>
  </si>
  <si>
    <t>320</t>
  </si>
  <si>
    <t>JV-310</t>
  </si>
  <si>
    <t>Paid for lunch expenses of staff</t>
  </si>
  <si>
    <t>Total for 320</t>
  </si>
  <si>
    <t>321</t>
  </si>
  <si>
    <t>07/06/2025</t>
  </si>
  <si>
    <t>JV-311</t>
  </si>
  <si>
    <t>Taxi charges paid to Mashal Achakzai for the delivery of documents to DAB</t>
  </si>
  <si>
    <t>Total for 321</t>
  </si>
  <si>
    <t>322</t>
  </si>
  <si>
    <t>JV-312</t>
  </si>
  <si>
    <t>Paid for printing UV ID, Business Card, Flayers, Back Light, for HQ Office</t>
  </si>
  <si>
    <t>Paid for printing Business Cards.</t>
  </si>
  <si>
    <t>Paid for printing flag</t>
  </si>
  <si>
    <t>Paid for printing flag and business cards</t>
  </si>
  <si>
    <t>Total for 322</t>
  </si>
  <si>
    <t>323</t>
  </si>
  <si>
    <t>JV-313</t>
  </si>
  <si>
    <t>Salary advance paid to Omid Ahmadzai</t>
  </si>
  <si>
    <t>Total for 323</t>
  </si>
  <si>
    <t>324</t>
  </si>
  <si>
    <t>JV-314</t>
  </si>
  <si>
    <t>Paid to the Bakery for the month of Saratan 1404 breads supply</t>
  </si>
  <si>
    <t>Total for 324</t>
  </si>
  <si>
    <t>325</t>
  </si>
  <si>
    <t>JV-315</t>
  </si>
  <si>
    <t>Quickbook Online subscription payment for the month of June 2025</t>
  </si>
  <si>
    <t>70000</t>
  </si>
  <si>
    <t>70000 Dues and subscriptions</t>
  </si>
  <si>
    <t>Taxi used by Mashal for delivery of documents to DAB</t>
  </si>
  <si>
    <t>Total for 325</t>
  </si>
  <si>
    <t>326</t>
  </si>
  <si>
    <t>07/07/2025</t>
  </si>
  <si>
    <t>JV-316</t>
  </si>
  <si>
    <t>Purchased car spare parts for Mr. Safiullah on Murabaha</t>
  </si>
  <si>
    <t>Total for 326</t>
  </si>
  <si>
    <t>327</t>
  </si>
  <si>
    <t>JV-317</t>
  </si>
  <si>
    <t>Paid for the day lunch</t>
  </si>
  <si>
    <t>Total for 327</t>
  </si>
  <si>
    <t>328</t>
  </si>
  <si>
    <t>JV-318</t>
  </si>
  <si>
    <t>Internet fee paid for the month of (02 July to 07 Aug 2025)</t>
  </si>
  <si>
    <t>Total for 328</t>
  </si>
  <si>
    <t>329</t>
  </si>
  <si>
    <t>JV-319</t>
  </si>
  <si>
    <t>Paid for the office staff drinking water</t>
  </si>
  <si>
    <t>Paid to Faisal for taxi charges to Pashtani bank to deliver documents</t>
  </si>
  <si>
    <t>Paid for taxi charges to Shakoor for purchase of car spare parts</t>
  </si>
  <si>
    <t>Total for 329</t>
  </si>
  <si>
    <t>330</t>
  </si>
  <si>
    <t>JV-320</t>
  </si>
  <si>
    <t>Paid to Shahpoor for his personal use (USD 220 @ 70.3674)</t>
  </si>
  <si>
    <t>Total for 330</t>
  </si>
  <si>
    <t>331</t>
  </si>
  <si>
    <t>07/08/2025</t>
  </si>
  <si>
    <t>JV-321</t>
  </si>
  <si>
    <t>Total for 331</t>
  </si>
  <si>
    <t>332</t>
  </si>
  <si>
    <t>JV-322</t>
  </si>
  <si>
    <t>Purchased one sponge Mop and one broom</t>
  </si>
  <si>
    <t>Total for 332</t>
  </si>
  <si>
    <t>333</t>
  </si>
  <si>
    <t>JV-323</t>
  </si>
  <si>
    <t>Paid for the purchase of 2 box tissue paper for the office use.</t>
  </si>
  <si>
    <t>Total for 333</t>
  </si>
  <si>
    <t>334</t>
  </si>
  <si>
    <t>JV-324</t>
  </si>
  <si>
    <t>Paid for the purchase of tea and coffee for the opening ceremony</t>
  </si>
  <si>
    <t>Purchased two bottle air fresher</t>
  </si>
  <si>
    <t>Purchased two shoe shelfs for the office use</t>
  </si>
  <si>
    <t>Purchased disposable glasses and plates for the ceremony</t>
  </si>
  <si>
    <t>Paid for the purchase of tea, coffee, air fresher, shoe shelfs, and disposable glass and plates</t>
  </si>
  <si>
    <t>Total for 334</t>
  </si>
  <si>
    <t>335</t>
  </si>
  <si>
    <t>JV-325</t>
  </si>
  <si>
    <t>Total for 335</t>
  </si>
  <si>
    <t>336</t>
  </si>
  <si>
    <t>07/09/2025</t>
  </si>
  <si>
    <t>JV-326</t>
  </si>
  <si>
    <t>Purchased cake, biscuits, and cold drink</t>
  </si>
  <si>
    <t>Total for 336</t>
  </si>
  <si>
    <t>337</t>
  </si>
  <si>
    <t>JV-327</t>
  </si>
  <si>
    <t>Paid for the staff's day lunch expesne</t>
  </si>
  <si>
    <t>Purchased sugar for the office use</t>
  </si>
  <si>
    <t>Purchased drinking water</t>
  </si>
  <si>
    <t>Paid for lunch, sugar and drinking water</t>
  </si>
  <si>
    <t>Total for 337</t>
  </si>
  <si>
    <t>338</t>
  </si>
  <si>
    <t>JV-328</t>
  </si>
  <si>
    <t>Purchased juice and disposable spoons for the ceremony</t>
  </si>
  <si>
    <t>Total for 338</t>
  </si>
  <si>
    <t>339</t>
  </si>
  <si>
    <t>JV-329</t>
  </si>
  <si>
    <t>Purchased note book, and pen</t>
  </si>
  <si>
    <t>Total for 339</t>
  </si>
  <si>
    <t>340</t>
  </si>
  <si>
    <t>LCI007</t>
  </si>
  <si>
    <t>Purchased car spare parts Safiullah s/o Najeebullah for loan on murabaha contract on 18% Profit.</t>
  </si>
  <si>
    <t xml:space="preserve">Purchased car spare parts Safiullah s/o Najeebullah for loan on murabaha contract on 18% Profit. </t>
  </si>
  <si>
    <t>Total for 340</t>
  </si>
  <si>
    <t>341</t>
  </si>
  <si>
    <t>LCI008</t>
  </si>
  <si>
    <t>Laon paid to Mr. Zabihullah Hashemi as Musharakah for 12 months on 50% profit sharing on 4 installments in Chicken Farming,</t>
  </si>
  <si>
    <t>Total for 341</t>
  </si>
  <si>
    <t>342</t>
  </si>
  <si>
    <t>07/12/2025</t>
  </si>
  <si>
    <t>JV-330</t>
  </si>
  <si>
    <t>Paid for the lunch expenses</t>
  </si>
  <si>
    <t>Total for 342</t>
  </si>
  <si>
    <t>343</t>
  </si>
  <si>
    <t>JV-331</t>
  </si>
  <si>
    <t>Paid to Liaqat for delivery of documents to Jalalabad branch</t>
  </si>
  <si>
    <t>Total for 343</t>
  </si>
  <si>
    <t>344</t>
  </si>
  <si>
    <t>JV-332</t>
  </si>
  <si>
    <t>Total for 344</t>
  </si>
  <si>
    <t>345</t>
  </si>
  <si>
    <t>JV-333</t>
  </si>
  <si>
    <t>Paid to Mashal Achakzai for taxi charges to DAB and 3 days training</t>
  </si>
  <si>
    <t>Total for 345</t>
  </si>
  <si>
    <t>346</t>
  </si>
  <si>
    <t>07/13/2025</t>
  </si>
  <si>
    <t>JV-334</t>
  </si>
  <si>
    <t>Total for 346</t>
  </si>
  <si>
    <t>347</t>
  </si>
  <si>
    <t>07/14/2025</t>
  </si>
  <si>
    <t>JV-335</t>
  </si>
  <si>
    <t>Paid for the lunch expense</t>
  </si>
  <si>
    <t>Paid for the lunch expense and fuel for the power generator</t>
  </si>
  <si>
    <t>Total for 347</t>
  </si>
  <si>
    <t>348</t>
  </si>
  <si>
    <t>07/15/2025</t>
  </si>
  <si>
    <t>JV-336</t>
  </si>
  <si>
    <t>Provision for loan loss for 8 customers to date.</t>
  </si>
  <si>
    <t>80102</t>
  </si>
  <si>
    <t>80100 Other Expenses:80102 Loan loss provision expense</t>
  </si>
  <si>
    <t>18000</t>
  </si>
  <si>
    <t>18000 Provision for Loan Loss</t>
  </si>
  <si>
    <t>Total for 348</t>
  </si>
  <si>
    <t>349</t>
  </si>
  <si>
    <t>JV-337</t>
  </si>
  <si>
    <t>Paid for the purchase of small battery and rubber tape</t>
  </si>
  <si>
    <t>Total for 349</t>
  </si>
  <si>
    <t>350</t>
  </si>
  <si>
    <t>JV-338</t>
  </si>
  <si>
    <t>Total for 350</t>
  </si>
  <si>
    <t>351</t>
  </si>
  <si>
    <t>JV-339</t>
  </si>
  <si>
    <t>Salary Advance paid Omid Ahmadzai</t>
  </si>
  <si>
    <t>Total for 351</t>
  </si>
  <si>
    <t>352</t>
  </si>
  <si>
    <t>07/16/2025</t>
  </si>
  <si>
    <t>JV-340</t>
  </si>
  <si>
    <t>Paid for the staff lunch of the day</t>
  </si>
  <si>
    <t>Paid class cleaning liquid for windows cleaning</t>
  </si>
  <si>
    <t>Purchased 1.5 meter dinning spread for staff lunch</t>
  </si>
  <si>
    <t>Purchased 1.5 meter dinning spread for staff lunch, glass cleaning liquid, and lunch food expenses.</t>
  </si>
  <si>
    <t>Total for 352</t>
  </si>
  <si>
    <t>353</t>
  </si>
  <si>
    <t>JV-341</t>
  </si>
  <si>
    <t>Paid for liquid gas for the kitchen</t>
  </si>
  <si>
    <t>Total for 353</t>
  </si>
  <si>
    <t>354</t>
  </si>
  <si>
    <t>JV-342</t>
  </si>
  <si>
    <t>Paid for fuel for the power generator</t>
  </si>
  <si>
    <t>Total for 354</t>
  </si>
  <si>
    <t>355</t>
  </si>
  <si>
    <t>JV-343</t>
  </si>
  <si>
    <t>Taxi used by Shakoor to bring cash</t>
  </si>
  <si>
    <t>Total for 355</t>
  </si>
  <si>
    <t>356</t>
  </si>
  <si>
    <t>JV-344</t>
  </si>
  <si>
    <t>Cash Received CR# 32 for the office daily expenses</t>
  </si>
  <si>
    <t>10101</t>
  </si>
  <si>
    <t>10000 Cash and cash equivalents:10100 Cash on Hand:10101 Petty Cash</t>
  </si>
  <si>
    <t>Total for 356</t>
  </si>
  <si>
    <t>357</t>
  </si>
  <si>
    <t>JV-345</t>
  </si>
  <si>
    <t>Cash Received CR# 33 for salary advance to Lateef for the month of July 2025</t>
  </si>
  <si>
    <t>Cash Received CR# 33for salary advance to Lateef for the month of July 2025</t>
  </si>
  <si>
    <t>Total for 357</t>
  </si>
  <si>
    <t>358</t>
  </si>
  <si>
    <t>JV-346</t>
  </si>
  <si>
    <t>Salary advance Paid to Lateef ullah for the month of July 2025</t>
  </si>
  <si>
    <t>Total for 358</t>
  </si>
  <si>
    <t>359</t>
  </si>
  <si>
    <t>07/18/2025</t>
  </si>
  <si>
    <t>JV-347</t>
  </si>
  <si>
    <t>Paid the lunch expense of the staff</t>
  </si>
  <si>
    <t>Total for 359</t>
  </si>
  <si>
    <t>360</t>
  </si>
  <si>
    <t>07/19/2025</t>
  </si>
  <si>
    <t>JV-348</t>
  </si>
  <si>
    <t>Paid for chocolate and green tea for guest and staff use</t>
  </si>
  <si>
    <t>Paid for toilet paper</t>
  </si>
  <si>
    <t>Paid for Chocolate, green tea, toilet paper, and staff lanch expenses.</t>
  </si>
  <si>
    <t>Total for 360</t>
  </si>
  <si>
    <t>361</t>
  </si>
  <si>
    <t>JV-349</t>
  </si>
  <si>
    <t>Paid for taxi to Faisal Achakzai for the delivery of printer to street 7 Qala Fathullah</t>
  </si>
  <si>
    <t>Total for 361</t>
  </si>
  <si>
    <t>362</t>
  </si>
  <si>
    <t>JV-350</t>
  </si>
  <si>
    <t>Cash Received CR# 34 for PCR users three months payment</t>
  </si>
  <si>
    <t>Total for 362</t>
  </si>
  <si>
    <t>363</t>
  </si>
  <si>
    <t>JV-351</t>
  </si>
  <si>
    <t>Paid for PCR users for three months</t>
  </si>
  <si>
    <t>Total for 363</t>
  </si>
  <si>
    <t>364</t>
  </si>
  <si>
    <t>07/20/2025</t>
  </si>
  <si>
    <t>JV-352</t>
  </si>
  <si>
    <t>Paid for taxi to Mashal Achakzai for the payment of PCR users</t>
  </si>
  <si>
    <t>To MISFA Office for the delivery of proposal documents</t>
  </si>
  <si>
    <t>Total for 364</t>
  </si>
  <si>
    <t>365</t>
  </si>
  <si>
    <t>JV-353</t>
  </si>
  <si>
    <t>Paid to Omid Ahmadzai for taxi to MISFA Office for the delivery of proposal documents</t>
  </si>
  <si>
    <t>Total for 365</t>
  </si>
  <si>
    <t>366</t>
  </si>
  <si>
    <t>JV-354</t>
  </si>
  <si>
    <t>Paid for the dinner of the guests</t>
  </si>
  <si>
    <t>Total for 366</t>
  </si>
  <si>
    <t>367</t>
  </si>
  <si>
    <t>JV-355</t>
  </si>
  <si>
    <t>Paid for the day staff lunch</t>
  </si>
  <si>
    <t>Paid for tissue paper and for the day lunch expense</t>
  </si>
  <si>
    <t>Total for 367</t>
  </si>
  <si>
    <t>368</t>
  </si>
  <si>
    <t>JV-356</t>
  </si>
  <si>
    <t>Total for 368</t>
  </si>
  <si>
    <t>369</t>
  </si>
  <si>
    <t>JV-357</t>
  </si>
  <si>
    <t>Advance Paid to Omid Ahmadzai for personal use</t>
  </si>
  <si>
    <t>Total for 369</t>
  </si>
  <si>
    <t>370</t>
  </si>
  <si>
    <t>JV-358</t>
  </si>
  <si>
    <t>Salary Advance paid to Mashal Achakzai</t>
  </si>
  <si>
    <t>Salary Advance paid to Faisal Achakzai</t>
  </si>
  <si>
    <t>"Salary Advance paid to Mashal 
Achakzai and Faisal Achakzai"</t>
  </si>
  <si>
    <t>Total for 370</t>
  </si>
  <si>
    <t>371</t>
  </si>
  <si>
    <t>JV-359</t>
  </si>
  <si>
    <t>Cash Received in USD CR# 35 for the payment of website development (@ 69.1440)</t>
  </si>
  <si>
    <t>Total for 371</t>
  </si>
  <si>
    <t>372</t>
  </si>
  <si>
    <t>JV-360</t>
  </si>
  <si>
    <t>Paid for drinking of 5 invoices</t>
  </si>
  <si>
    <t>Cold drinks for guests</t>
  </si>
  <si>
    <t>Taxi used by Shakoor to receive cash</t>
  </si>
  <si>
    <t>Total for 372</t>
  </si>
  <si>
    <t>373</t>
  </si>
  <si>
    <t>07/21/2025</t>
  </si>
  <si>
    <t>JV-361</t>
  </si>
  <si>
    <t>Cash received CR# 36 for daily office expenses</t>
  </si>
  <si>
    <t>Total for 373</t>
  </si>
  <si>
    <t>374</t>
  </si>
  <si>
    <t>07/22/2025</t>
  </si>
  <si>
    <t>JV-362</t>
  </si>
  <si>
    <t>Website development in English language fully dynamic with Admin panel</t>
  </si>
  <si>
    <t>61603</t>
  </si>
  <si>
    <t>61600 Promotion &amp; Advertisement:61603 Social media costs</t>
  </si>
  <si>
    <t>Total for 374</t>
  </si>
  <si>
    <t>375</t>
  </si>
  <si>
    <t>JV-363</t>
  </si>
  <si>
    <t>Prepaid office rent for the month of Saratan 1404</t>
  </si>
  <si>
    <t>House rent tax payable for the month of Saratan 1404</t>
  </si>
  <si>
    <t>Total for 375</t>
  </si>
  <si>
    <t>376</t>
  </si>
  <si>
    <t>JV-364</t>
  </si>
  <si>
    <t>Paid for repairing the power generator</t>
  </si>
  <si>
    <t>Total for 376</t>
  </si>
  <si>
    <t>377</t>
  </si>
  <si>
    <t>JV-365</t>
  </si>
  <si>
    <t>Staff lunch expense on 21 July 2025</t>
  </si>
  <si>
    <t>Total for 377</t>
  </si>
  <si>
    <t>378</t>
  </si>
  <si>
    <t>JV-366</t>
  </si>
  <si>
    <t>Purchased on bottle of 4 liters dish washing liquid</t>
  </si>
  <si>
    <t>Paid for the day staff lunch expenses</t>
  </si>
  <si>
    <t>Paid for the day staff lunch expenses and Purchased on bottle of 4 liters dish washing liquid</t>
  </si>
  <si>
    <t>Total for 378</t>
  </si>
  <si>
    <t>379</t>
  </si>
  <si>
    <t>JV-367</t>
  </si>
  <si>
    <t>Paid for the taxi to Mustafa Khairkhwah to deliver documents to FMFB</t>
  </si>
  <si>
    <t>Total for 379</t>
  </si>
  <si>
    <t>380</t>
  </si>
  <si>
    <t>JV-368</t>
  </si>
  <si>
    <t>Paid for taxi use to Faisal Achakzai to bring cash</t>
  </si>
  <si>
    <t>Total for 380</t>
  </si>
  <si>
    <t>381</t>
  </si>
  <si>
    <t>JV-369</t>
  </si>
  <si>
    <t>AUB bank's monthly maintenance fee for the months of Mar, April, May and Jun 2025</t>
  </si>
  <si>
    <t>61801</t>
  </si>
  <si>
    <t>61800 Financial Costs:61801 Bank charges &amp; fees</t>
  </si>
  <si>
    <t>Total for 381</t>
  </si>
  <si>
    <t>382</t>
  </si>
  <si>
    <t>JV-370</t>
  </si>
  <si>
    <t>Total for 382</t>
  </si>
  <si>
    <t>383</t>
  </si>
  <si>
    <t>JV-371</t>
  </si>
  <si>
    <t>Paid for the tanker water</t>
  </si>
  <si>
    <t>Total for 383</t>
  </si>
  <si>
    <t>384</t>
  </si>
  <si>
    <t>JV-372</t>
  </si>
  <si>
    <t>Total for 384</t>
  </si>
  <si>
    <t>385</t>
  </si>
  <si>
    <t>07/23/2025</t>
  </si>
  <si>
    <t>JV-373</t>
  </si>
  <si>
    <t>Paid for two pairs of batteries</t>
  </si>
  <si>
    <t>Paid for two pairs of batteries and lunch expenses</t>
  </si>
  <si>
    <t>Total for 385</t>
  </si>
  <si>
    <t>386</t>
  </si>
  <si>
    <t>JV-374</t>
  </si>
  <si>
    <t>Salary advance paid to Shahpoor Khan</t>
  </si>
  <si>
    <t>Total for 386</t>
  </si>
  <si>
    <t>387</t>
  </si>
  <si>
    <t>JV-375</t>
  </si>
  <si>
    <t>Salary advance paid to Abdul Shokoor</t>
  </si>
  <si>
    <t>Total for 387</t>
  </si>
  <si>
    <t>388</t>
  </si>
  <si>
    <t>JV-376</t>
  </si>
  <si>
    <t>Deposited to FMFB Afghani account as initial payment as part of account opening.</t>
  </si>
  <si>
    <t>10204</t>
  </si>
  <si>
    <t>10000 Cash and cash equivalents:10200 Cash at Bank:10204 Cash at Bank (FMFB-AFN)</t>
  </si>
  <si>
    <t>Total for 388</t>
  </si>
  <si>
    <t>389</t>
  </si>
  <si>
    <t>JV-377</t>
  </si>
  <si>
    <t>Deposited USD 50 @ 69 to the FMFB USD account as part of Initial payment for the account opening.</t>
  </si>
  <si>
    <t>10203</t>
  </si>
  <si>
    <t>10000 Cash and cash equivalents:10200 Cash at Bank:10203 Cash at Bank (FMFB-USD)</t>
  </si>
  <si>
    <t>Total for 389</t>
  </si>
  <si>
    <t>390</t>
  </si>
  <si>
    <t>JV-378</t>
  </si>
  <si>
    <t>Purchased Nuti-c for the office guests.</t>
  </si>
  <si>
    <t>Total for 390</t>
  </si>
  <si>
    <t>391</t>
  </si>
  <si>
    <t>JV-379</t>
  </si>
  <si>
    <t>Purchased spare part for the power generator and wages.</t>
  </si>
  <si>
    <t>Total for 391</t>
  </si>
  <si>
    <t>392</t>
  </si>
  <si>
    <t>JV-380</t>
  </si>
  <si>
    <t>Paid Mustafa Khairkhwa for the taxi use to FMFB for the documents delivery</t>
  </si>
  <si>
    <t>Total for 392</t>
  </si>
  <si>
    <t>393</t>
  </si>
  <si>
    <t>07/24/2025</t>
  </si>
  <si>
    <t>JV-381</t>
  </si>
  <si>
    <t>Cash received CR# 37 for the Jalalabad and Kunar Provinces expenses</t>
  </si>
  <si>
    <t>Total for 393</t>
  </si>
  <si>
    <t>394</t>
  </si>
  <si>
    <t>JV-382</t>
  </si>
  <si>
    <t>Advance paid to Noor Muhammad for the Kunar Banch opening</t>
  </si>
  <si>
    <t>Total for 394</t>
  </si>
  <si>
    <t>395</t>
  </si>
  <si>
    <t>07/26/2025</t>
  </si>
  <si>
    <t>JV-383</t>
  </si>
  <si>
    <t>Total for 395</t>
  </si>
  <si>
    <t>396</t>
  </si>
  <si>
    <t>JV-384</t>
  </si>
  <si>
    <t>Paid for the lunch expense of the staff</t>
  </si>
  <si>
    <t>Total for 396</t>
  </si>
  <si>
    <t>397</t>
  </si>
  <si>
    <t>JV-385</t>
  </si>
  <si>
    <t>Cash received CR# 38 for the daily office expenses, two laptop purchase, Kunar and Jalalabad travel expense for Shahpoor Khan</t>
  </si>
  <si>
    <t>Total for 397</t>
  </si>
  <si>
    <t>398</t>
  </si>
  <si>
    <t>JV-386</t>
  </si>
  <si>
    <t>Purchased two ThinkPad Laptop Computers for the Nangarhar and Kunar Branches use</t>
  </si>
  <si>
    <t>Total for 398</t>
  </si>
  <si>
    <t>399</t>
  </si>
  <si>
    <t>JV-387</t>
  </si>
  <si>
    <t>Travel Advance paid to Shahpoor Khan to Kunar and Nangarhar branches</t>
  </si>
  <si>
    <t>Total for 399</t>
  </si>
  <si>
    <t>400</t>
  </si>
  <si>
    <t>JV-388</t>
  </si>
  <si>
    <t>Total for 400</t>
  </si>
  <si>
    <t>401</t>
  </si>
  <si>
    <t>JV-389</t>
  </si>
  <si>
    <t>Taxi used by Mashal Achakzai for delivery to DAB  and purchase of Laptops</t>
  </si>
  <si>
    <t>Total for 401</t>
  </si>
  <si>
    <t>402</t>
  </si>
  <si>
    <t>07/27/2025</t>
  </si>
  <si>
    <t>JV-390</t>
  </si>
  <si>
    <t>Cash received CR# 39 for the office daily expenses</t>
  </si>
  <si>
    <t>Total for 402</t>
  </si>
  <si>
    <t>403</t>
  </si>
  <si>
    <t>JV-391</t>
  </si>
  <si>
    <t>Taxi used by Mashal Achakzai for delivery to DAB on 16th July 2025</t>
  </si>
  <si>
    <t>Total for 403</t>
  </si>
  <si>
    <t>404</t>
  </si>
  <si>
    <t>JV-392</t>
  </si>
  <si>
    <t>Taxi used by Faisal Achakzai to receive cash</t>
  </si>
  <si>
    <t>Total for 404</t>
  </si>
  <si>
    <t>405</t>
  </si>
  <si>
    <t>JV-393</t>
  </si>
  <si>
    <t>Total for 405</t>
  </si>
  <si>
    <t>406</t>
  </si>
  <si>
    <t>JV-394</t>
  </si>
  <si>
    <t>Taxi used by Liaqat for delivery of documents to Jalalabad</t>
  </si>
  <si>
    <t>Total for 406</t>
  </si>
  <si>
    <t>407</t>
  </si>
  <si>
    <t>07/28/2025</t>
  </si>
  <si>
    <t>JV-395</t>
  </si>
  <si>
    <t>Paid for the fuel for the power generator</t>
  </si>
  <si>
    <t>Total for 407</t>
  </si>
  <si>
    <t>408</t>
  </si>
  <si>
    <t>JV-396</t>
  </si>
  <si>
    <t>Paid the the staff lunch expenses</t>
  </si>
  <si>
    <t>Total for 408</t>
  </si>
  <si>
    <t>409</t>
  </si>
  <si>
    <t>JV-397</t>
  </si>
  <si>
    <t>Paid for the drinking water</t>
  </si>
  <si>
    <t>Total for 409</t>
  </si>
  <si>
    <t>410</t>
  </si>
  <si>
    <t>JV-398</t>
  </si>
  <si>
    <t>Paid for the purchase of photo paper for photo printing outside</t>
  </si>
  <si>
    <t>Taxi used by Faisal Achakzai to DAB for the documents delivery</t>
  </si>
  <si>
    <t>Taxi used by Faisal Achakzai to DAB for the document's delivery and purchase of photo paper</t>
  </si>
  <si>
    <t>Total for 410</t>
  </si>
  <si>
    <t>411</t>
  </si>
  <si>
    <t>JV-399</t>
  </si>
  <si>
    <t>Taxi Charges paid to Mustafa Khairkhwa to Street 7 Qala e Fathullah</t>
  </si>
  <si>
    <t>Total for 411</t>
  </si>
  <si>
    <t>412</t>
  </si>
  <si>
    <t>07/29/2025</t>
  </si>
  <si>
    <t>JV-400</t>
  </si>
  <si>
    <t>Staff lunch expenses</t>
  </si>
  <si>
    <t>Total for 412</t>
  </si>
  <si>
    <t>413</t>
  </si>
  <si>
    <t>JV-401</t>
  </si>
  <si>
    <t>Taxi used by Mustafa to Street 7 Qalai Fathullah</t>
  </si>
  <si>
    <t>Total for 413</t>
  </si>
  <si>
    <t>414</t>
  </si>
  <si>
    <t>JV-402</t>
  </si>
  <si>
    <t>Taxi used by CFO to MTO office for tax clearance</t>
  </si>
  <si>
    <t>Total for 414</t>
  </si>
  <si>
    <t>415</t>
  </si>
  <si>
    <t>JV-403</t>
  </si>
  <si>
    <t>Taxi used by Faisal Achakzai for the delivery of documents to DAB</t>
  </si>
  <si>
    <t>Total for 415</t>
  </si>
  <si>
    <t>416</t>
  </si>
  <si>
    <t>07/30/2025</t>
  </si>
  <si>
    <t>JV-404</t>
  </si>
  <si>
    <t>Cash Received CR#40 for loan disbursement to two clients</t>
  </si>
  <si>
    <t>Total for 416</t>
  </si>
  <si>
    <t>417</t>
  </si>
  <si>
    <t>JV-406</t>
  </si>
  <si>
    <t>Total for 417</t>
  </si>
  <si>
    <t>418</t>
  </si>
  <si>
    <t>JV-407</t>
  </si>
  <si>
    <t>Water spray pump for flowers</t>
  </si>
  <si>
    <t>60407</t>
  </si>
  <si>
    <t>60100 Admin Costs:60407 Landscaping and gardening</t>
  </si>
  <si>
    <t>Total for 418</t>
  </si>
  <si>
    <t>419</t>
  </si>
  <si>
    <t>JV-408</t>
  </si>
  <si>
    <t>Liquid Gas for cooking</t>
  </si>
  <si>
    <t>Total for 419</t>
  </si>
  <si>
    <t>420</t>
  </si>
  <si>
    <t>JV-409</t>
  </si>
  <si>
    <t>Power generator Fuel</t>
  </si>
  <si>
    <t>Total for 420</t>
  </si>
  <si>
    <t>428</t>
  </si>
  <si>
    <t>JV-405</t>
  </si>
  <si>
    <t>Cash Advance paid to Shahpoor Khan for clients' Disbursement</t>
  </si>
  <si>
    <t>Cash transfer charges</t>
  </si>
  <si>
    <t>51300</t>
  </si>
  <si>
    <t>51000 Cost of sales:51300 Hawala Cost CGS</t>
  </si>
  <si>
    <t>Cash Advance paid to Shahpoor Khan for clients' Disbursements and Cash transfer charges</t>
  </si>
  <si>
    <t>Total for 428</t>
  </si>
  <si>
    <t>421</t>
  </si>
  <si>
    <t>07/31/2025</t>
  </si>
  <si>
    <t>JV-410</t>
  </si>
  <si>
    <t>Paid for cooking oil</t>
  </si>
  <si>
    <t>Total for 421</t>
  </si>
  <si>
    <t>422</t>
  </si>
  <si>
    <t>JV-411</t>
  </si>
  <si>
    <t>Paid for lunch to Hanifullah for lunch with MISFA</t>
  </si>
  <si>
    <t>Total for 422</t>
  </si>
  <si>
    <t>423</t>
  </si>
  <si>
    <t>JV-412</t>
  </si>
  <si>
    <t>Cash Received CR# 43 for salary payment to Liaqat</t>
  </si>
  <si>
    <t>Depreciation expense occurred in the month of July 2025</t>
  </si>
  <si>
    <t>Total for 423</t>
  </si>
  <si>
    <t>424</t>
  </si>
  <si>
    <t>JV-413</t>
  </si>
  <si>
    <t>Financing Officer Salary for the month of July 2025 (Abdul Shakoor and Faisal Achakzai)</t>
  </si>
  <si>
    <t>Salary Payable for the month of July 2025</t>
  </si>
  <si>
    <t>Salary Payable for the month of July 2025 (5100 Advance ajdustment)</t>
  </si>
  <si>
    <t>Salary Payable for the month of July 2025 (1000 advance adjustment)</t>
  </si>
  <si>
    <t>Salary Payable for the month of July 2025 ( 4,500 advance adjustment)</t>
  </si>
  <si>
    <t>20171</t>
  </si>
  <si>
    <t>20150 Salaries and Wages Payable:20171 Liaqat Ogra Khil</t>
  </si>
  <si>
    <t>Salary tax Payable for the month of July 2025</t>
  </si>
  <si>
    <t>Total for 424</t>
  </si>
  <si>
    <t>425</t>
  </si>
  <si>
    <t>JV-414</t>
  </si>
  <si>
    <t>Cash paid to Liaqat for July 2025 salary</t>
  </si>
  <si>
    <t>Total for 425</t>
  </si>
  <si>
    <t>426</t>
  </si>
  <si>
    <t>08/01/2025</t>
  </si>
  <si>
    <t>JV-415</t>
  </si>
  <si>
    <t>Purchased Sewing and Tailoring materials to Hosain Pari on Murabaha</t>
  </si>
  <si>
    <t>Total for 426</t>
  </si>
  <si>
    <t>427</t>
  </si>
  <si>
    <t>JV-416</t>
  </si>
  <si>
    <t>Purchased Spare parts for Haqiqat Amirzai on Murabaha</t>
  </si>
  <si>
    <t>Total for 427</t>
  </si>
  <si>
    <t>429</t>
  </si>
  <si>
    <t>JV-417</t>
  </si>
  <si>
    <t>Lunch Expense for HQ Gurards on friday</t>
  </si>
  <si>
    <t>Total for 429</t>
  </si>
  <si>
    <t>430</t>
  </si>
  <si>
    <t>JV-418</t>
  </si>
  <si>
    <t>Purchased charging fan for the CEO office</t>
  </si>
  <si>
    <t>Total for 430</t>
  </si>
  <si>
    <t>437</t>
  </si>
  <si>
    <t>LCI009</t>
  </si>
  <si>
    <t>Purchased sewing and tailoring materials for female clothing dress</t>
  </si>
  <si>
    <t>Total for 437</t>
  </si>
  <si>
    <t>438</t>
  </si>
  <si>
    <t>LCI010</t>
  </si>
  <si>
    <t>Purchased vehicle spare parts for Haqiqat Amirzai on Murabaha loan</t>
  </si>
  <si>
    <t>Cost occurred on purchased product on loan for customers</t>
  </si>
  <si>
    <t>Total for 438</t>
  </si>
  <si>
    <t>431</t>
  </si>
  <si>
    <t>08/02/2025</t>
  </si>
  <si>
    <t>JV-419</t>
  </si>
  <si>
    <t>Purcashed Rod and materials for the curtain</t>
  </si>
  <si>
    <t>Total for 431</t>
  </si>
  <si>
    <t>432</t>
  </si>
  <si>
    <t>JV-420</t>
  </si>
  <si>
    <t>Total for 432</t>
  </si>
  <si>
    <t>433</t>
  </si>
  <si>
    <t>JV-421</t>
  </si>
  <si>
    <t>Paid for lunch expense and tissue paper</t>
  </si>
  <si>
    <t>Total for 433</t>
  </si>
  <si>
    <t>434</t>
  </si>
  <si>
    <t>JV-422</t>
  </si>
  <si>
    <t>Cash Received CR# 44 for load disbursement in Kunar</t>
  </si>
  <si>
    <t>Total for 434</t>
  </si>
  <si>
    <t>435</t>
  </si>
  <si>
    <t>JV-423</t>
  </si>
  <si>
    <t>Advance paid to Shapoor for Kunar branch for clients disbursements.</t>
  </si>
  <si>
    <t>Cash transfer costs</t>
  </si>
  <si>
    <t>Advance paid to Shapoor for Kunar branch for clients disbursements. and Cash transfer costs</t>
  </si>
  <si>
    <t>Advance paid to Shapoor for Kunar branch expeses</t>
  </si>
  <si>
    <t>Total for 435</t>
  </si>
  <si>
    <t>436</t>
  </si>
  <si>
    <t>JV-424</t>
  </si>
  <si>
    <t>Cash Received CR# 41 for Jalalabad expense payments</t>
  </si>
  <si>
    <t>Total for 436</t>
  </si>
  <si>
    <t>441</t>
  </si>
  <si>
    <t>JV-425</t>
  </si>
  <si>
    <t>Purchased 8 meter carpet and foam for the Jalalabad branch.</t>
  </si>
  <si>
    <t>Purchased 2 office chairs.</t>
  </si>
  <si>
    <t>Purchased one set sofa, to office tables, 2 office cabinets and transportation charges.</t>
  </si>
  <si>
    <t>Paid for the office painting.</t>
  </si>
  <si>
    <t>Paid for one month office expense of the branch staff.</t>
  </si>
  <si>
    <t>Purchased one office chair made in Korya</t>
  </si>
  <si>
    <t>Paid for one set sofa for the branch use.</t>
  </si>
  <si>
    <t>Paid for bulbs for the branch lighting</t>
  </si>
  <si>
    <t>Paid for the three months office rent (Jawza, Saratan and Assad 1404)</t>
  </si>
  <si>
    <t>paid for printing the stickers for the branch</t>
  </si>
  <si>
    <t>Paid for taxi for the delivery of materials</t>
  </si>
  <si>
    <t>Paid wages for the painting</t>
  </si>
  <si>
    <t>Paid for the broken glasses</t>
  </si>
  <si>
    <t>Adjusted advance payment (JV - 197)</t>
  </si>
  <si>
    <t>Paid for the Jalalabad multiple expenses while branch opening.</t>
  </si>
  <si>
    <t>Total for 441</t>
  </si>
  <si>
    <t>442</t>
  </si>
  <si>
    <t>08/03/2025</t>
  </si>
  <si>
    <t>JV-426</t>
  </si>
  <si>
    <t>Paid for the washing of Mattress and pillow covers</t>
  </si>
  <si>
    <t>Total for 442</t>
  </si>
  <si>
    <t>443</t>
  </si>
  <si>
    <t>JV-427</t>
  </si>
  <si>
    <t>Cash Received CR# 47 for salary payment to BOS members for the first quarter (Jan, Feb, and Mar 2025)</t>
  </si>
  <si>
    <t>Total for 443</t>
  </si>
  <si>
    <t>444</t>
  </si>
  <si>
    <t>JV-428</t>
  </si>
  <si>
    <t>First Quarter 2025 fee paid to BOM( Ahmad Wali Alokozay, Shagar Rahimi, and Nawab Stanikzai)</t>
  </si>
  <si>
    <t>61500</t>
  </si>
  <si>
    <t>61500 Professional Services</t>
  </si>
  <si>
    <t>Total for 444</t>
  </si>
  <si>
    <t>445</t>
  </si>
  <si>
    <t>JV-429</t>
  </si>
  <si>
    <t>First Quarter 2025 fee paid to Ahmad Wali Alokozay</t>
  </si>
  <si>
    <t>First Quarter 2025 fee paid to Sangar Rahimi</t>
  </si>
  <si>
    <t>First Quarter 2025 fee paid to Nawab Stanikzai</t>
  </si>
  <si>
    <t>First Quarter 2025 fee paid to Ahmad Wali Alokozai, Sangar Rahimi and Nawab Stanikzai</t>
  </si>
  <si>
    <t>Total for 445</t>
  </si>
  <si>
    <t>446</t>
  </si>
  <si>
    <t>JV-430</t>
  </si>
  <si>
    <t>BoS  member's salary payable for the month of June 2025</t>
  </si>
  <si>
    <t>Total for 446</t>
  </si>
  <si>
    <t>447</t>
  </si>
  <si>
    <t>JV-431</t>
  </si>
  <si>
    <t>Cash Received CR# 48 for salary payment to BOS members for the Second quarter (Apr, May, and Jun 2025)</t>
  </si>
  <si>
    <t>Total for 447</t>
  </si>
  <si>
    <t>448</t>
  </si>
  <si>
    <t>JV-432</t>
  </si>
  <si>
    <t>Second Quarter 2025 salary paid to Ahmad Wali Alokozay</t>
  </si>
  <si>
    <t>Second Quarter 2025 salary paid to Sangar Rahimi</t>
  </si>
  <si>
    <t>Second Quarter 2025 salary paid to Nawab Stanikzai</t>
  </si>
  <si>
    <t>Second Quarter 2025 salary paid to Ahmad Wali Alokozay, Sangar Rahimi, and Nawab Stanikzai</t>
  </si>
  <si>
    <t>Total for 448</t>
  </si>
  <si>
    <t>449</t>
  </si>
  <si>
    <t>JV-433</t>
  </si>
  <si>
    <t>Paid for lunch expense of the day</t>
  </si>
  <si>
    <t>Total for 449</t>
  </si>
  <si>
    <t>450</t>
  </si>
  <si>
    <t>08/04/2025</t>
  </si>
  <si>
    <t>JV-434</t>
  </si>
  <si>
    <t>Cash Received CR# 45 for house rent payment</t>
  </si>
  <si>
    <t>Total for 450</t>
  </si>
  <si>
    <t>451</t>
  </si>
  <si>
    <t>JV-435</t>
  </si>
  <si>
    <t>House rent prepaid for the month of Assad and Sunbulah 1404</t>
  </si>
  <si>
    <t>Total for 451</t>
  </si>
  <si>
    <t>452</t>
  </si>
  <si>
    <t>JV-436</t>
  </si>
  <si>
    <t>Cash Received CR# 46 for staff salary payment for the month of July 2025</t>
  </si>
  <si>
    <t>Total for 452</t>
  </si>
  <si>
    <t>453</t>
  </si>
  <si>
    <t>JV-437</t>
  </si>
  <si>
    <t>July 2025 salary paid</t>
  </si>
  <si>
    <t>Total for 453</t>
  </si>
  <si>
    <t>454</t>
  </si>
  <si>
    <t>JV-438</t>
  </si>
  <si>
    <t>Total for 454</t>
  </si>
  <si>
    <t>455</t>
  </si>
  <si>
    <t>JV-439</t>
  </si>
  <si>
    <t>Paid for Cake and coffee for guests</t>
  </si>
  <si>
    <t>Paid for taxi by Faisal Achakzai to bring cash</t>
  </si>
  <si>
    <t>Total for 455</t>
  </si>
  <si>
    <t>456</t>
  </si>
  <si>
    <t>JV-440</t>
  </si>
  <si>
    <t>Total for 456</t>
  </si>
  <si>
    <t>457</t>
  </si>
  <si>
    <t>JV-441</t>
  </si>
  <si>
    <t>Total for 457</t>
  </si>
  <si>
    <t>458</t>
  </si>
  <si>
    <t>JV-442</t>
  </si>
  <si>
    <t>Cash Received CR# 49 for Kunar branch expenses</t>
  </si>
  <si>
    <t>Total for 458</t>
  </si>
  <si>
    <t>459</t>
  </si>
  <si>
    <t>JV-443</t>
  </si>
  <si>
    <t>Advance paid to Shahpoor Khan for Kunar Branch expenses</t>
  </si>
  <si>
    <t>Total for 459</t>
  </si>
  <si>
    <t>439</t>
  </si>
  <si>
    <t>08/05/2025</t>
  </si>
  <si>
    <t>LCI011</t>
  </si>
  <si>
    <t>Purchased grocery materials for sale on Murabaha for Ms. Taiba on 12 installments</t>
  </si>
  <si>
    <t>Purchased grocery materials for sale on Murabaha for Ms. Taiba on 12 installments on 18% profit</t>
  </si>
  <si>
    <t>Total for 439</t>
  </si>
  <si>
    <t>440</t>
  </si>
  <si>
    <t>LCI012</t>
  </si>
  <si>
    <t>Purchased grocery materials for sale on Murabaha for Mr. Ansarullah Majidi on 12 installments</t>
  </si>
  <si>
    <t>Purchased grocery materials for sale on Murabaha for Mr. Ansarullah Majidi on 12 installments on 18% profit</t>
  </si>
  <si>
    <t>Total for 440</t>
  </si>
  <si>
    <t>460</t>
  </si>
  <si>
    <t>JV-444</t>
  </si>
  <si>
    <t>Paid for lunch expense to Lateef</t>
  </si>
  <si>
    <t>Total for 460</t>
  </si>
  <si>
    <t>461</t>
  </si>
  <si>
    <t>JV-445</t>
  </si>
  <si>
    <t>Loan disbursed Taiba and Ansarullah Majidi on Murabaha</t>
  </si>
  <si>
    <t>Total for 461</t>
  </si>
  <si>
    <t>462</t>
  </si>
  <si>
    <t>JV-446</t>
  </si>
  <si>
    <t>Internet fee for Shamal telecom 4 days end of the contract</t>
  </si>
  <si>
    <t>Total for 462</t>
  </si>
  <si>
    <t>463</t>
  </si>
  <si>
    <t>08/06/2025</t>
  </si>
  <si>
    <t>JV-447</t>
  </si>
  <si>
    <t>Purchase of internet cable</t>
  </si>
  <si>
    <t>Total for 463</t>
  </si>
  <si>
    <t>464</t>
  </si>
  <si>
    <t>JV-448</t>
  </si>
  <si>
    <t>Staff daily food item</t>
  </si>
  <si>
    <t>Total for 464</t>
  </si>
  <si>
    <t>465</t>
  </si>
  <si>
    <t>08/07/2025</t>
  </si>
  <si>
    <t>JV-449</t>
  </si>
  <si>
    <t>Cash Received CR#42 for the purchase of two epson Printers</t>
  </si>
  <si>
    <t>Total for 465</t>
  </si>
  <si>
    <t>466</t>
  </si>
  <si>
    <t>JV-450</t>
  </si>
  <si>
    <t>Cash Received CR#50 for the office daily expenses</t>
  </si>
  <si>
    <t>Total for 466</t>
  </si>
  <si>
    <t>467</t>
  </si>
  <si>
    <t>JV-451</t>
  </si>
  <si>
    <t>Taxi paid to Mustafa for documents delivery</t>
  </si>
  <si>
    <t>Total for 467</t>
  </si>
  <si>
    <t>468</t>
  </si>
  <si>
    <t>JV-452</t>
  </si>
  <si>
    <t>Total for 468</t>
  </si>
  <si>
    <t>469</t>
  </si>
  <si>
    <t>JV-453</t>
  </si>
  <si>
    <t>Total for 469</t>
  </si>
  <si>
    <t>470</t>
  </si>
  <si>
    <t>08/08/2025</t>
  </si>
  <si>
    <t>JV-454</t>
  </si>
  <si>
    <t>Total for 470</t>
  </si>
  <si>
    <t>471</t>
  </si>
  <si>
    <t>JV-455</t>
  </si>
  <si>
    <t>Total for 471</t>
  </si>
  <si>
    <t>472</t>
  </si>
  <si>
    <t>08/09/2025</t>
  </si>
  <si>
    <t>JV-456</t>
  </si>
  <si>
    <t>Total for 472</t>
  </si>
  <si>
    <t>473</t>
  </si>
  <si>
    <t>JV-457</t>
  </si>
  <si>
    <t>Total for 473</t>
  </si>
  <si>
    <t>474</t>
  </si>
  <si>
    <t>08/10/2025</t>
  </si>
  <si>
    <t>JV-458</t>
  </si>
  <si>
    <t>Cash Received CR# 51 for Advance payment to COO for Jalalabad Branch</t>
  </si>
  <si>
    <t>Total for 474</t>
  </si>
  <si>
    <t>475</t>
  </si>
  <si>
    <t>JV-459</t>
  </si>
  <si>
    <t>Advance Paid to Shahpoor Khan for Jalalabad Branch expenses and hawala cost</t>
  </si>
  <si>
    <t>Total for 475</t>
  </si>
  <si>
    <t>476</t>
  </si>
  <si>
    <t>JV-460</t>
  </si>
  <si>
    <t>Purchased a complete solar system for the office to Give 10KW/hour</t>
  </si>
  <si>
    <t>17501</t>
  </si>
  <si>
    <t>17000 Property, plant and equipment:17500 Plant and Equipment:17501 Cost of Plant and Equipment</t>
  </si>
  <si>
    <t>20100</t>
  </si>
  <si>
    <t>20100 Accounts Payable</t>
  </si>
  <si>
    <t>Total for 476</t>
  </si>
  <si>
    <t>477</t>
  </si>
  <si>
    <t>JV-461</t>
  </si>
  <si>
    <t>Paid to Mustafa for taxi use for the repair of printer</t>
  </si>
  <si>
    <t>Total for 477</t>
  </si>
  <si>
    <t>478</t>
  </si>
  <si>
    <t>JV-462</t>
  </si>
  <si>
    <t>Taxi paid to Mashal Achakzai for MISFA Assessment From Jalalabad and Kunar branches</t>
  </si>
  <si>
    <t>Total for 478</t>
  </si>
  <si>
    <t>479</t>
  </si>
  <si>
    <t>JV-463</t>
  </si>
  <si>
    <t>Cash Received CR-54 for the purchase of furniture for CEO office</t>
  </si>
  <si>
    <t>Total for 479</t>
  </si>
  <si>
    <t>480</t>
  </si>
  <si>
    <t>JV-464</t>
  </si>
  <si>
    <t>Purchase of furniture for the president office</t>
  </si>
  <si>
    <t>Total for 480</t>
  </si>
  <si>
    <t>481</t>
  </si>
  <si>
    <t>JV-465</t>
  </si>
  <si>
    <t>Purchase of parket for the president office</t>
  </si>
  <si>
    <t>Total for 481</t>
  </si>
  <si>
    <t>482</t>
  </si>
  <si>
    <t>JV-466</t>
  </si>
  <si>
    <t>Taxi paid for the delivery of wooden planks</t>
  </si>
  <si>
    <t>Total for 482</t>
  </si>
  <si>
    <t>483</t>
  </si>
  <si>
    <t>JV-467</t>
  </si>
  <si>
    <t>Paid for taxi by Shakoor to Kunar and Jalalabad branches during MISFA Assessment</t>
  </si>
  <si>
    <t>Paid for the Carpentry to shift the CEO to COO office and some other carpentry job</t>
  </si>
  <si>
    <t>Total for 483</t>
  </si>
  <si>
    <t>484</t>
  </si>
  <si>
    <t>JV-468</t>
  </si>
  <si>
    <t>Paid for the purchase of power stip, switch, and rubber tape</t>
  </si>
  <si>
    <t>Total for 484</t>
  </si>
  <si>
    <t>485</t>
  </si>
  <si>
    <t>08/11/2025</t>
  </si>
  <si>
    <t>JV-469</t>
  </si>
  <si>
    <t>Purchased two epson L3258 all 1 wireless color inkjet printers</t>
  </si>
  <si>
    <t>Total for 485</t>
  </si>
  <si>
    <t>486</t>
  </si>
  <si>
    <t>JV-470</t>
  </si>
  <si>
    <t>Total for 486</t>
  </si>
  <si>
    <t>487</t>
  </si>
  <si>
    <t>JV-471</t>
  </si>
  <si>
    <t>Gas for the kitchen</t>
  </si>
  <si>
    <t>Total for 487</t>
  </si>
  <si>
    <t>488</t>
  </si>
  <si>
    <t>JV-472</t>
  </si>
  <si>
    <t>Purchase of AC for CEO office (USD450@ 68.3)</t>
  </si>
  <si>
    <t>Total for 488</t>
  </si>
  <si>
    <t>489</t>
  </si>
  <si>
    <t>JV-473</t>
  </si>
  <si>
    <t>Paid for the purchase of cooling for the COO Laptop and one tripod</t>
  </si>
  <si>
    <t>Total for 489</t>
  </si>
  <si>
    <t>490</t>
  </si>
  <si>
    <t>JV-474</t>
  </si>
  <si>
    <t>Paid to purchase dry food for the CEO office</t>
  </si>
  <si>
    <t>Total for 490</t>
  </si>
  <si>
    <t>491</t>
  </si>
  <si>
    <t>JV-475</t>
  </si>
  <si>
    <t>Salary Advance paid to Omid Ahmadzai</t>
  </si>
  <si>
    <t>Total for 491</t>
  </si>
  <si>
    <t>492</t>
  </si>
  <si>
    <t>JV-476</t>
  </si>
  <si>
    <t>Paid for Guard's Friday food expense old bill</t>
  </si>
  <si>
    <t>Total for 492</t>
  </si>
  <si>
    <t>493</t>
  </si>
  <si>
    <t>JV-477</t>
  </si>
  <si>
    <t>Cash Received CR-53 for the purchase of AC for COO office</t>
  </si>
  <si>
    <t>Total for 493</t>
  </si>
  <si>
    <t>494</t>
  </si>
  <si>
    <t>JV-478</t>
  </si>
  <si>
    <t>Purchased AC for COO office</t>
  </si>
  <si>
    <t>Total for 494</t>
  </si>
  <si>
    <t>495</t>
  </si>
  <si>
    <t>08/12/2025</t>
  </si>
  <si>
    <t>JV-479</t>
  </si>
  <si>
    <t>Total for 495</t>
  </si>
  <si>
    <t>496</t>
  </si>
  <si>
    <t>JV-480</t>
  </si>
  <si>
    <t>Taxi paid by Mustafa to Shahr e now for printer repairing</t>
  </si>
  <si>
    <t>Total for 496</t>
  </si>
  <si>
    <t>497</t>
  </si>
  <si>
    <t>JV-481</t>
  </si>
  <si>
    <t>Repaired the Head of the printer</t>
  </si>
  <si>
    <t>Total for 497</t>
  </si>
  <si>
    <t>498</t>
  </si>
  <si>
    <t>JV-482</t>
  </si>
  <si>
    <t>Paid for coffee and cake for guests</t>
  </si>
  <si>
    <t>Total for 498</t>
  </si>
  <si>
    <t>499</t>
  </si>
  <si>
    <t>08/13/2025</t>
  </si>
  <si>
    <t>JV-483</t>
  </si>
  <si>
    <t>Total for 499</t>
  </si>
  <si>
    <t>500</t>
  </si>
  <si>
    <t>JV-484</t>
  </si>
  <si>
    <t>Paid for cake and mill for guests</t>
  </si>
  <si>
    <t>Total for 500</t>
  </si>
  <si>
    <t>501</t>
  </si>
  <si>
    <t>JV-485</t>
  </si>
  <si>
    <t>Paid to Municipality for taking out the garbage</t>
  </si>
  <si>
    <t>Total for 501</t>
  </si>
  <si>
    <t>502</t>
  </si>
  <si>
    <t>08/15/2025</t>
  </si>
  <si>
    <t>JV-486</t>
  </si>
  <si>
    <t>Total for 502</t>
  </si>
  <si>
    <t>503</t>
  </si>
  <si>
    <t>08/16/2025</t>
  </si>
  <si>
    <t>JV-487</t>
  </si>
  <si>
    <t>Cash received CR-55 for the office daily expenses</t>
  </si>
  <si>
    <t>Total for 503</t>
  </si>
  <si>
    <t>504</t>
  </si>
  <si>
    <t>JV-488</t>
  </si>
  <si>
    <t>Cash received CR-56 for the purchase of one laptop computer</t>
  </si>
  <si>
    <t>Total for 504</t>
  </si>
  <si>
    <t>505</t>
  </si>
  <si>
    <t>JV-489</t>
  </si>
  <si>
    <t>Purchased one Thinkpad Laptops I390</t>
  </si>
  <si>
    <t>Total for 505</t>
  </si>
  <si>
    <t>506</t>
  </si>
  <si>
    <t>JV-490</t>
  </si>
  <si>
    <t>Paid for taxi use to Faisal Achakzai</t>
  </si>
  <si>
    <t>Total for 506</t>
  </si>
  <si>
    <t>507</t>
  </si>
  <si>
    <t>08/17/2025</t>
  </si>
  <si>
    <t>JV-491</t>
  </si>
  <si>
    <t>Total for 507</t>
  </si>
  <si>
    <t>508</t>
  </si>
  <si>
    <t>JV-492</t>
  </si>
  <si>
    <t>Purchased two power extensions</t>
  </si>
  <si>
    <t>Total for 508</t>
  </si>
  <si>
    <t>509</t>
  </si>
  <si>
    <t>JV-493</t>
  </si>
  <si>
    <t>Purchased Milk and Biscuits</t>
  </si>
  <si>
    <t>Total for 509</t>
  </si>
  <si>
    <t>510</t>
  </si>
  <si>
    <t>JV-494</t>
  </si>
  <si>
    <t>Paid for taxi to abdul Shakoor to replace the Acs</t>
  </si>
  <si>
    <t>Total for 510</t>
  </si>
  <si>
    <t>511</t>
  </si>
  <si>
    <t>JV-495</t>
  </si>
  <si>
    <t>Total for 511</t>
  </si>
  <si>
    <t>512</t>
  </si>
  <si>
    <t>JV-496</t>
  </si>
  <si>
    <t>Total for 512</t>
  </si>
  <si>
    <t>513</t>
  </si>
  <si>
    <t>JV-497</t>
  </si>
  <si>
    <t>Paid to Liaqat for taxi use to Jalalabad Bus Station</t>
  </si>
  <si>
    <t>Total for 513</t>
  </si>
  <si>
    <t>514</t>
  </si>
  <si>
    <t>08/18/2025</t>
  </si>
  <si>
    <t>JV-498</t>
  </si>
  <si>
    <t>Purchased TIP C 65w charger for CFO Laptop</t>
  </si>
  <si>
    <t>Total for 514</t>
  </si>
  <si>
    <t>515</t>
  </si>
  <si>
    <t>JV-499</t>
  </si>
  <si>
    <t>Taxi used by CFO to MTO office for tax clearance and district 4 taxi office</t>
  </si>
  <si>
    <t>Total for 515</t>
  </si>
  <si>
    <t>516</t>
  </si>
  <si>
    <t>JV-500</t>
  </si>
  <si>
    <t>Cash Received CR-57 for Kunar and Jalalabad branches expenses</t>
  </si>
  <si>
    <t>Total for 516</t>
  </si>
  <si>
    <t>517</t>
  </si>
  <si>
    <t>JV-501</t>
  </si>
  <si>
    <t>Advance payment to Noor Muhammad for  Jalalabad Branches expenses</t>
  </si>
  <si>
    <t>Advance payment to Noor Muhammad for Kunar Branches expenses</t>
  </si>
  <si>
    <t>Hawala expense payment to Noor Muhammad for Kunar Branches</t>
  </si>
  <si>
    <t>61807</t>
  </si>
  <si>
    <t>61800 Financial Costs:61807 Hawala Cost</t>
  </si>
  <si>
    <t>Hawala expense payment to Noor Muhammad for Jalalabad Branches</t>
  </si>
  <si>
    <t>Advance payment to Noor Muhammad for  Kunar and Jalalabad Branches expenses and Hawalla expenses</t>
  </si>
  <si>
    <t>Total for 517</t>
  </si>
  <si>
    <t>518</t>
  </si>
  <si>
    <t>08/19/2025</t>
  </si>
  <si>
    <t>JV-502</t>
  </si>
  <si>
    <t>Total for 518</t>
  </si>
  <si>
    <t>519</t>
  </si>
  <si>
    <t>08/20/2025</t>
  </si>
  <si>
    <t>JV-503</t>
  </si>
  <si>
    <t>Paid to Faisal Achakzai for taxi to receive cash</t>
  </si>
  <si>
    <t>Total for 519</t>
  </si>
  <si>
    <t>520</t>
  </si>
  <si>
    <t>JV-504</t>
  </si>
  <si>
    <t>Cash Received CR-58 for the purchase of one laptop and bag</t>
  </si>
  <si>
    <t>Total for 520</t>
  </si>
  <si>
    <t>521</t>
  </si>
  <si>
    <t>JV-505</t>
  </si>
  <si>
    <t>Purchased one Lenovo xl carbun I7-6rh-Gon,</t>
  </si>
  <si>
    <t>Purchased one laptop bag</t>
  </si>
  <si>
    <t>Purchased two keyboard stickers</t>
  </si>
  <si>
    <t>Purchased one Lenovo xl carbun I7-6rh-Gon, Laptop bag, keyboard stickers and two keyboard stickers</t>
  </si>
  <si>
    <t>Total for 521</t>
  </si>
  <si>
    <t>522</t>
  </si>
  <si>
    <t>JV-506</t>
  </si>
  <si>
    <t>Cash Received CR-52 for the QuickBooks subscription payment for one year.</t>
  </si>
  <si>
    <t>Total for 522</t>
  </si>
  <si>
    <t>523</t>
  </si>
  <si>
    <t>JV-507</t>
  </si>
  <si>
    <t>Paid for QuickBooks subscription payment for one year.</t>
  </si>
  <si>
    <t>Total for 523</t>
  </si>
  <si>
    <t>524</t>
  </si>
  <si>
    <t>JV-508</t>
  </si>
  <si>
    <t>Paid for lunch expense, tissue paper, and toilet paper</t>
  </si>
  <si>
    <t>Officer rent prepaid for the month of Assad 1404</t>
  </si>
  <si>
    <t>Rent tax payable for the month of Assad 1404</t>
  </si>
  <si>
    <t>Total for 524</t>
  </si>
  <si>
    <t>525</t>
  </si>
  <si>
    <t>08/23/2025</t>
  </si>
  <si>
    <t>JV-509</t>
  </si>
  <si>
    <t>Cash received CR-59 for advance payment to Shahpoor Khan for travel to Jalalabad</t>
  </si>
  <si>
    <t>Total for 525</t>
  </si>
  <si>
    <t>526</t>
  </si>
  <si>
    <t>JV-510</t>
  </si>
  <si>
    <t>Advance payment to Shahpoor Khan for travel to Jalalabad</t>
  </si>
  <si>
    <t>Total for 526</t>
  </si>
  <si>
    <t>527</t>
  </si>
  <si>
    <t>JV-511</t>
  </si>
  <si>
    <t>Paid for taxi to Faisal to bring cash</t>
  </si>
  <si>
    <t>Total for 527</t>
  </si>
  <si>
    <t>528</t>
  </si>
  <si>
    <t>JV-512</t>
  </si>
  <si>
    <t>Pad for gas for the kitchen</t>
  </si>
  <si>
    <t>Pad for gas for the kitchen and the day lunch expenses</t>
  </si>
  <si>
    <t>Total for 528</t>
  </si>
  <si>
    <t>529</t>
  </si>
  <si>
    <t>JV-513</t>
  </si>
  <si>
    <t>Paid for the Friday food expenses</t>
  </si>
  <si>
    <t>Total for 529</t>
  </si>
  <si>
    <t>530</t>
  </si>
  <si>
    <t>JV-514</t>
  </si>
  <si>
    <t>Total for 530</t>
  </si>
  <si>
    <t>531</t>
  </si>
  <si>
    <t>JV-515</t>
  </si>
  <si>
    <t>Total for 531</t>
  </si>
  <si>
    <t>532</t>
  </si>
  <si>
    <t>JV-516</t>
  </si>
  <si>
    <t>Paid for the purchase of one tanker water old bill</t>
  </si>
  <si>
    <t>Total for 532</t>
  </si>
  <si>
    <t>533</t>
  </si>
  <si>
    <t>JV-517</t>
  </si>
  <si>
    <t>Paid for the purchase of one tanker water</t>
  </si>
  <si>
    <t>Total for 533</t>
  </si>
  <si>
    <t>534</t>
  </si>
  <si>
    <t>08/24/2025</t>
  </si>
  <si>
    <t>JV-518</t>
  </si>
  <si>
    <t>Paid for purchase of AC 1800/BE Pipe, Installation for the new AC replaced and delivery fee (Added cost to JV 472 and 478)</t>
  </si>
  <si>
    <t>Total for 534</t>
  </si>
  <si>
    <t>535</t>
  </si>
  <si>
    <t>JV-519</t>
  </si>
  <si>
    <t>Total for 535</t>
  </si>
  <si>
    <t>536</t>
  </si>
  <si>
    <t>JV-520</t>
  </si>
  <si>
    <t>Cash Received CR# 60 for Wifi Setup, Stationery, and some printing materials in Jalalabad Branch</t>
  </si>
  <si>
    <t>Total for 536</t>
  </si>
  <si>
    <t>537</t>
  </si>
  <si>
    <t>JV-521</t>
  </si>
  <si>
    <t>Cash advance paid to Shahpoor Khan for the purchase of Wifi Connection, Stationery, and some printing materials for Jalalabad Branch.</t>
  </si>
  <si>
    <t>Hawala Cost</t>
  </si>
  <si>
    <t>Total for 537</t>
  </si>
  <si>
    <t>538</t>
  </si>
  <si>
    <t>08/25/2025</t>
  </si>
  <si>
    <t>JV-522</t>
  </si>
  <si>
    <t>Paid for the day lunch and one bottle mineral water</t>
  </si>
  <si>
    <t>Total for 538</t>
  </si>
  <si>
    <t>539</t>
  </si>
  <si>
    <t>JV-523</t>
  </si>
  <si>
    <t>Paid to Faisal for taxi to bring cash</t>
  </si>
  <si>
    <t>Total for 539</t>
  </si>
  <si>
    <t>540</t>
  </si>
  <si>
    <t>JV-524</t>
  </si>
  <si>
    <t>Cash Received CR-61 for the office daily expenses</t>
  </si>
  <si>
    <t>Total for 540</t>
  </si>
  <si>
    <t>541</t>
  </si>
  <si>
    <t>JV-525</t>
  </si>
  <si>
    <t>Cash Received CR-62 for the loan disbursement in Jalalabad</t>
  </si>
  <si>
    <t>Total for 541</t>
  </si>
  <si>
    <t>542</t>
  </si>
  <si>
    <t>JV-526</t>
  </si>
  <si>
    <t>Advance paid to Shahpoor Khan for Loan disbursement in Jalalabad</t>
  </si>
  <si>
    <t>Cost of Hawala to Jalalabad</t>
  </si>
  <si>
    <t>Total for 542</t>
  </si>
  <si>
    <t>543</t>
  </si>
  <si>
    <t>08/26/2025</t>
  </si>
  <si>
    <t>JV-527</t>
  </si>
  <si>
    <t>Cash Received CR-63 for the loan disbursement in Jalalabad</t>
  </si>
  <si>
    <t>Total for 543</t>
  </si>
  <si>
    <t>544</t>
  </si>
  <si>
    <t>JV-528</t>
  </si>
  <si>
    <t>Hawala cost</t>
  </si>
  <si>
    <t>Total for 544</t>
  </si>
  <si>
    <t>545</t>
  </si>
  <si>
    <t>JV-529</t>
  </si>
  <si>
    <t>Paid for stationery for the month September 2025 and taxi for delivery.</t>
  </si>
  <si>
    <t>Taxi charges paid for stationery purchase.</t>
  </si>
  <si>
    <t>Total for 545</t>
  </si>
  <si>
    <t>546</t>
  </si>
  <si>
    <t>JV-530</t>
  </si>
  <si>
    <t>Paid for the day lunch expenses</t>
  </si>
  <si>
    <t>Paid for mobile top up for Mr. Hanifulalh Momand</t>
  </si>
  <si>
    <t>60005</t>
  </si>
  <si>
    <t>60000 Personnel Costs:60005 Mobile Phone charges</t>
  </si>
  <si>
    <t>Total for 546</t>
  </si>
  <si>
    <t>547</t>
  </si>
  <si>
    <t>JV-531</t>
  </si>
  <si>
    <t>Paid for nine days drinking water</t>
  </si>
  <si>
    <t>Total for 547</t>
  </si>
  <si>
    <t>548</t>
  </si>
  <si>
    <t>JV-532</t>
  </si>
  <si>
    <t>Purchased cold drinks for Mr. Abdul Ghafar on Murabaha for 12 monthly installments</t>
  </si>
  <si>
    <t>Total for 548</t>
  </si>
  <si>
    <t>572</t>
  </si>
  <si>
    <t>LCI013</t>
  </si>
  <si>
    <t>Purchased cold drinks on Murabaha for Mr. Abdul Ghafar  Paendakhil on 12 months monthly installments.</t>
  </si>
  <si>
    <t>Purchased cold drinks on Murabaha for Mr. Abdul Ghafar  Paendakhil on 12 months monthly  installments. on 18% Profit Margin</t>
  </si>
  <si>
    <t>Total for 572</t>
  </si>
  <si>
    <t>549</t>
  </si>
  <si>
    <t>08/27/2025</t>
  </si>
  <si>
    <t>JV-533</t>
  </si>
  <si>
    <t>Paid for the purchase of lock for the COO office cabinet</t>
  </si>
  <si>
    <t>Total for 549</t>
  </si>
  <si>
    <t>550</t>
  </si>
  <si>
    <t>JV-534</t>
  </si>
  <si>
    <t>Purchased mobile phones on Murabaha for Mr. Laiq Ashna for one year monthly installments.</t>
  </si>
  <si>
    <t>Total for 550</t>
  </si>
  <si>
    <t>551</t>
  </si>
  <si>
    <t>JV-535</t>
  </si>
  <si>
    <t>Paid for the opening of blockage in septic tank</t>
  </si>
  <si>
    <t>Total for 551</t>
  </si>
  <si>
    <t>552</t>
  </si>
  <si>
    <t>JV-536</t>
  </si>
  <si>
    <t>Cash Received CR# 64 for the office daily expenses</t>
  </si>
  <si>
    <t>Total for 552</t>
  </si>
  <si>
    <t>553</t>
  </si>
  <si>
    <t>JV-537</t>
  </si>
  <si>
    <t>Cash Received CR# 65 for COO salary advance for the month of Aug 2025</t>
  </si>
  <si>
    <t>Total for 553</t>
  </si>
  <si>
    <t>554</t>
  </si>
  <si>
    <t>JV-538</t>
  </si>
  <si>
    <t>Paid salary to Shahpoor (COO) for the month of Aug 2025</t>
  </si>
  <si>
    <t>Total for 554</t>
  </si>
  <si>
    <t>573</t>
  </si>
  <si>
    <t>LCI014</t>
  </si>
  <si>
    <t>Purchased mobile phone for Mr. Laiq Ashna on Murabaha on 12 months monthly installments.</t>
  </si>
  <si>
    <t>Total for 573</t>
  </si>
  <si>
    <t>555</t>
  </si>
  <si>
    <t>08/29/2025</t>
  </si>
  <si>
    <t>JV-539</t>
  </si>
  <si>
    <t>Paid for the day food expenses</t>
  </si>
  <si>
    <t>Total for 555</t>
  </si>
  <si>
    <t>556</t>
  </si>
  <si>
    <t>08/30/2025</t>
  </si>
  <si>
    <t>JV-540</t>
  </si>
  <si>
    <t>Paid for the day food expenses and cooking oil</t>
  </si>
  <si>
    <t>Total for 556</t>
  </si>
  <si>
    <t>557</t>
  </si>
  <si>
    <t>JV-541</t>
  </si>
  <si>
    <t>Total for 557</t>
  </si>
  <si>
    <t>558</t>
  </si>
  <si>
    <t>JV-542</t>
  </si>
  <si>
    <t>Activation of DSL Connection including all equipment and services.</t>
  </si>
  <si>
    <t>61201</t>
  </si>
  <si>
    <t>61200 ICT Costs:61201 Telephone</t>
  </si>
  <si>
    <t>Internet package of 400GB</t>
  </si>
  <si>
    <t>Paid for the Activation of DSL connection including all equipment and services, and one month internet data 400 GP + communication.</t>
  </si>
  <si>
    <t>Total for 558</t>
  </si>
  <si>
    <t>559</t>
  </si>
  <si>
    <t>08/31/2025</t>
  </si>
  <si>
    <t>JV-543</t>
  </si>
  <si>
    <t>Cash received CR# 66 for AMA Annual membership fee payment for the year 2025</t>
  </si>
  <si>
    <t>Total for 559</t>
  </si>
  <si>
    <t>560</t>
  </si>
  <si>
    <t>JV-544</t>
  </si>
  <si>
    <t>AMA Annual membership fee payment for the year 2025</t>
  </si>
  <si>
    <t>Total for 560</t>
  </si>
  <si>
    <t>561</t>
  </si>
  <si>
    <t>JV-545</t>
  </si>
  <si>
    <t>Paid to Faisal Achakzai for taxi used to make payment AMA</t>
  </si>
  <si>
    <t>Total for 561</t>
  </si>
  <si>
    <t>562</t>
  </si>
  <si>
    <t>JV-546</t>
  </si>
  <si>
    <t>Paid to Faisal Achakzai for taxi used to received cash</t>
  </si>
  <si>
    <t>Total for 562</t>
  </si>
  <si>
    <t>563</t>
  </si>
  <si>
    <t>JV-547</t>
  </si>
  <si>
    <t>Total for 563</t>
  </si>
  <si>
    <t>564</t>
  </si>
  <si>
    <t>JV-548</t>
  </si>
  <si>
    <t>Paid for tanker water</t>
  </si>
  <si>
    <t>Total for 564</t>
  </si>
  <si>
    <t>565</t>
  </si>
  <si>
    <t>JV-549</t>
  </si>
  <si>
    <t>QuickBooks Online payment for the month of 16 July to 31 Aug 2025</t>
  </si>
  <si>
    <t>Total for 565</t>
  </si>
  <si>
    <t>566</t>
  </si>
  <si>
    <t>JV-550</t>
  </si>
  <si>
    <t>Financing Officer's Salary for the month of August 2025</t>
  </si>
  <si>
    <t>Salary payable for the month of August 2025</t>
  </si>
  <si>
    <t>20172</t>
  </si>
  <si>
    <t>20150 Salaries and Wages Payable:20172 Zuhra Nadeem</t>
  </si>
  <si>
    <t>20174</t>
  </si>
  <si>
    <t>20150 Salaries and Wages Payable:20174 Sahil Salarzai</t>
  </si>
  <si>
    <t>20173</t>
  </si>
  <si>
    <t>20150 Salaries and Wages Payable:20173 Hedayatullah</t>
  </si>
  <si>
    <t>20175</t>
  </si>
  <si>
    <t>20150 Salaries and Wages Payable:20175 Sadaqat Khan</t>
  </si>
  <si>
    <t>Salary taxi payable for the month of August 2025</t>
  </si>
  <si>
    <t>Total for 566</t>
  </si>
  <si>
    <t>567</t>
  </si>
  <si>
    <t>JV-551</t>
  </si>
  <si>
    <t>Purchased dishes for Jalalabad Branch</t>
  </si>
  <si>
    <t>Purchased one fan for the office cooling</t>
  </si>
  <si>
    <t>Purchased stationery for the office use</t>
  </si>
  <si>
    <t>Purchased water pot</t>
  </si>
  <si>
    <t>Paid for juice for the office guests</t>
  </si>
  <si>
    <t>Paid for making stamps for Jalalabad Branch</t>
  </si>
  <si>
    <t>Paid for the month Food expenses</t>
  </si>
  <si>
    <t>Paid for some cold drinks</t>
  </si>
  <si>
    <t>Purchased stationery for the Jalalabad Office</t>
  </si>
  <si>
    <t>Purchases some small items</t>
  </si>
  <si>
    <t>Paid for the office cleaning</t>
  </si>
  <si>
    <t>Paid for mobile card</t>
  </si>
  <si>
    <t>Paid for the Kunar branch food expense</t>
  </si>
  <si>
    <t>Paid for some refreshments</t>
  </si>
  <si>
    <t>Paid station and photo</t>
  </si>
  <si>
    <t>Paid for the purchase of some small items</t>
  </si>
  <si>
    <t>Paid for car fuel during travel to Kunar for branch opening</t>
  </si>
  <si>
    <t>Noor Muhammad expenses in Jalalabad and Kunar Branches cleared against 20,000 advance given.</t>
  </si>
  <si>
    <t>Total for 567</t>
  </si>
  <si>
    <t>568</t>
  </si>
  <si>
    <t>JV-552</t>
  </si>
  <si>
    <t>Paid for the purchase of purchase of painting items</t>
  </si>
  <si>
    <t>Purchased plastic chairs</t>
  </si>
  <si>
    <t>Purchased 3 office chairs</t>
  </si>
  <si>
    <t>Purchased office cabinet for the office use and 300 for transportation cost</t>
  </si>
  <si>
    <t>Purchased some items for office painting</t>
  </si>
  <si>
    <t>Purchased three office tables, Big, Small, and medium sizes</t>
  </si>
  <si>
    <t>Purchased drinking water cooler, water glass, small plastic chair, and water pot for the office use</t>
  </si>
  <si>
    <t>Purchased some small items, switches, plastic hand pressure water pump,</t>
  </si>
  <si>
    <t>Purchased frame for the sign board</t>
  </si>
  <si>
    <t>Purchased carpet, foam and paid for fitting wages</t>
  </si>
  <si>
    <t>80100</t>
  </si>
  <si>
    <t>80100 Other Expenses</t>
  </si>
  <si>
    <t>Purchased electronic items for electricity</t>
  </si>
  <si>
    <t>Paid for wire</t>
  </si>
  <si>
    <t>Paid for stationery items</t>
  </si>
  <si>
    <t>Office rent paid for the month of Asad 1404</t>
  </si>
  <si>
    <t>Prepaid rent for the month of Sunbula, Mizan, Aqrab 1404</t>
  </si>
  <si>
    <t>Paid for july 2025 food expense of staff</t>
  </si>
  <si>
    <t>Rented track to carry equipment from Jalalabad to Kunar branch</t>
  </si>
  <si>
    <t>50,000 advances paid for the Kunar office opening adjustment.</t>
  </si>
  <si>
    <t>Total for 568</t>
  </si>
  <si>
    <t>569</t>
  </si>
  <si>
    <t>JV-553</t>
  </si>
  <si>
    <t>Depreciation expense for the month of Aug 2025</t>
  </si>
  <si>
    <t>17502</t>
  </si>
  <si>
    <t>17000 Property, plant and equipment:17500 Plant and Equipment:17502 Accum. Plant and Equipment</t>
  </si>
  <si>
    <t>Total for 569</t>
  </si>
  <si>
    <t>570</t>
  </si>
  <si>
    <t>JV-554</t>
  </si>
  <si>
    <t>Booking 2% provision on 123,520.65 loan disbursements to 4 Kunar customers.</t>
  </si>
  <si>
    <t>Booking 2% provision on 37,935.60 loan disbursements to 2 Jalalabad customers.</t>
  </si>
  <si>
    <t>Booking 2% provision on 161,456.25 loan disbursements to 6 Kunar and Jalalabad customers.</t>
  </si>
  <si>
    <t>Total for 570</t>
  </si>
  <si>
    <t>571</t>
  </si>
  <si>
    <t>JV-555</t>
  </si>
  <si>
    <t>Bank Service charge for the month of Aug 2025</t>
  </si>
  <si>
    <t>Total for 571</t>
  </si>
  <si>
    <t>574</t>
  </si>
  <si>
    <t>09/01/2025</t>
  </si>
  <si>
    <t>JV-556</t>
  </si>
  <si>
    <t>Total for 574</t>
  </si>
  <si>
    <t>575</t>
  </si>
  <si>
    <t>JV-557</t>
  </si>
  <si>
    <t>Paid for gas for the kitchen</t>
  </si>
  <si>
    <t>Total for 575</t>
  </si>
  <si>
    <t>576</t>
  </si>
  <si>
    <t>09/02/2025</t>
  </si>
  <si>
    <t>JV-558</t>
  </si>
  <si>
    <t>Total for 576</t>
  </si>
  <si>
    <t>577</t>
  </si>
  <si>
    <t>JV-559</t>
  </si>
  <si>
    <t>Paid for lunch with MISFA Staff</t>
  </si>
  <si>
    <t>Total for 577</t>
  </si>
  <si>
    <t>578</t>
  </si>
  <si>
    <t>09/03/2025</t>
  </si>
  <si>
    <t>JV-560</t>
  </si>
  <si>
    <t>Total for 578</t>
  </si>
  <si>
    <t>579</t>
  </si>
  <si>
    <t>JV-561</t>
  </si>
  <si>
    <t>Cash received CR-68 for advance payment to Shahpoor Khan for travel expense to Kunar</t>
  </si>
  <si>
    <t>Total for 579</t>
  </si>
  <si>
    <t>580</t>
  </si>
  <si>
    <t>JV-562</t>
  </si>
  <si>
    <t>Cash advance paid to Shahpoor Khan for travel expenses to Kunar.</t>
  </si>
  <si>
    <t>Total for 580</t>
  </si>
  <si>
    <t>581</t>
  </si>
  <si>
    <t>09/05/2025</t>
  </si>
  <si>
    <t>JV-563</t>
  </si>
  <si>
    <t>Paid for lunch expenses on Friday.</t>
  </si>
  <si>
    <t>Total for 581</t>
  </si>
  <si>
    <t>582</t>
  </si>
  <si>
    <t>09/07/2025</t>
  </si>
  <si>
    <t>JV-564</t>
  </si>
  <si>
    <t>Paid for lunch expenses, and tissue paper for the office use.</t>
  </si>
  <si>
    <t>Total for 582</t>
  </si>
  <si>
    <t>583</t>
  </si>
  <si>
    <t>JV-565</t>
  </si>
  <si>
    <t>Total for 583</t>
  </si>
  <si>
    <t>584</t>
  </si>
  <si>
    <t>09/08/2025</t>
  </si>
  <si>
    <t>JV-566</t>
  </si>
  <si>
    <t>Total for 584</t>
  </si>
  <si>
    <t>585</t>
  </si>
  <si>
    <t>JV-567</t>
  </si>
  <si>
    <t>Cash Received CR-70 for Kunar expenses.</t>
  </si>
  <si>
    <t>Total for 585</t>
  </si>
  <si>
    <t>586</t>
  </si>
  <si>
    <t>JV-568</t>
  </si>
  <si>
    <t>Advance paid to Shahpoor for Kunar Branch expenses and Hawal cost</t>
  </si>
  <si>
    <t>Total for 586</t>
  </si>
  <si>
    <t>587</t>
  </si>
  <si>
    <t>09/09/2025</t>
  </si>
  <si>
    <t>JV-569</t>
  </si>
  <si>
    <t>Paid to Abdul Rahman Rahimi for taxi to Sediq Omar Market for Laptop Repair</t>
  </si>
  <si>
    <t>Total for 587</t>
  </si>
  <si>
    <t>588</t>
  </si>
  <si>
    <t>JV-570</t>
  </si>
  <si>
    <t>First installment paid by Taiba</t>
  </si>
  <si>
    <t>50300</t>
  </si>
  <si>
    <t>50000 Operating income:50300 Murabaha Income (Earned)</t>
  </si>
  <si>
    <t>Total for 588</t>
  </si>
  <si>
    <t>589</t>
  </si>
  <si>
    <t>JV-571</t>
  </si>
  <si>
    <t>Cash Received CR-71 for staff salary for the month of Aug 2025</t>
  </si>
  <si>
    <t>Total for 589</t>
  </si>
  <si>
    <t>590</t>
  </si>
  <si>
    <t>JV-572</t>
  </si>
  <si>
    <t>Paid for taxi to CFO to bring cash</t>
  </si>
  <si>
    <t>Total for 590</t>
  </si>
  <si>
    <t>591</t>
  </si>
  <si>
    <t>JV-573</t>
  </si>
  <si>
    <t>Salary paid for the month of Aug 2025</t>
  </si>
  <si>
    <t>Total for 591</t>
  </si>
  <si>
    <t>601</t>
  </si>
  <si>
    <t>Payment</t>
  </si>
  <si>
    <t>R-001</t>
  </si>
  <si>
    <t>First Installment is deposited in Azizi Bank</t>
  </si>
  <si>
    <t>10206</t>
  </si>
  <si>
    <t>10000 Cash and cash equivalents:10200 Cash at Bank:10206 Cash at Bank (Azizi-AFN)</t>
  </si>
  <si>
    <t/>
  </si>
  <si>
    <t>Total for 601</t>
  </si>
  <si>
    <t>592</t>
  </si>
  <si>
    <t>09/10/2025</t>
  </si>
  <si>
    <t>JV-574</t>
  </si>
  <si>
    <t>Paid for daily Lunch expense</t>
  </si>
  <si>
    <t>First installment paid by Mr. Haqiqat Amirzai</t>
  </si>
  <si>
    <t>Total for 592</t>
  </si>
  <si>
    <t>602</t>
  </si>
  <si>
    <t>R-002</t>
  </si>
  <si>
    <t>Total for 602</t>
  </si>
  <si>
    <t>593</t>
  </si>
  <si>
    <t>09/12/2025</t>
  </si>
  <si>
    <t>JV-575</t>
  </si>
  <si>
    <t>Total for 593</t>
  </si>
  <si>
    <t>594</t>
  </si>
  <si>
    <t>09/13/2025</t>
  </si>
  <si>
    <t>JV-576</t>
  </si>
  <si>
    <t>Paid for the purchase of LAMEN Flag for AMA</t>
  </si>
  <si>
    <t>Paid for taxi by Abdul Rahman for the Delivery of Flag to AMA</t>
  </si>
  <si>
    <t>Paid for taxi by Abdul Rahman and purchased one Lamen Flag for AMA</t>
  </si>
  <si>
    <t>Total for 594</t>
  </si>
  <si>
    <t>595</t>
  </si>
  <si>
    <t>JV-577</t>
  </si>
  <si>
    <t>Total for 595</t>
  </si>
  <si>
    <t>596</t>
  </si>
  <si>
    <t>JV-578</t>
  </si>
  <si>
    <t>Paid for the liquid gas for the kitchen</t>
  </si>
  <si>
    <t>Total for 596</t>
  </si>
  <si>
    <t>597</t>
  </si>
  <si>
    <t>09/14/2025</t>
  </si>
  <si>
    <t>JV-579</t>
  </si>
  <si>
    <t>Total for 597</t>
  </si>
  <si>
    <t>598</t>
  </si>
  <si>
    <t>09/15/2025</t>
  </si>
  <si>
    <t>JV-580</t>
  </si>
  <si>
    <t>Total for 598</t>
  </si>
  <si>
    <t>599</t>
  </si>
  <si>
    <t>09/16/2025</t>
  </si>
  <si>
    <t>JV-581</t>
  </si>
  <si>
    <t>Taxi used by Muhammad Gulzar for the delivery of documents to DAB</t>
  </si>
  <si>
    <t>Total for 599</t>
  </si>
  <si>
    <t>600</t>
  </si>
  <si>
    <t>JV-582</t>
  </si>
  <si>
    <t>Paid for lunch expense, Milk, Cream, and Drinking water</t>
  </si>
  <si>
    <t>Total for 600</t>
  </si>
  <si>
    <t>607</t>
  </si>
  <si>
    <t>09/17/2025</t>
  </si>
  <si>
    <t>JV-583</t>
  </si>
  <si>
    <t>Lunch expense paid for 14 meal</t>
  </si>
  <si>
    <t>Taxi used by Noor Muhammad for travel from Jalalabad to Kunar to Jalalabad</t>
  </si>
  <si>
    <t>Lunch expense paid for 8 meal</t>
  </si>
  <si>
    <t>Lunch expense during the month of Aug</t>
  </si>
  <si>
    <t>Paid for photo copies.</t>
  </si>
  <si>
    <t>lunch expense</t>
  </si>
  <si>
    <t>Purchased A4 paper, plastic cover, and photo copies</t>
  </si>
  <si>
    <t>Purchased A4 paper ram</t>
  </si>
  <si>
    <t>Electricity payment for the month of Saratan 1404</t>
  </si>
  <si>
    <t>Extra cash paid expensed by Noor Muhammad in addition to 10,000 Advance taken</t>
  </si>
  <si>
    <t>10,000 advance adjustment</t>
  </si>
  <si>
    <t>Total for 607</t>
  </si>
  <si>
    <t>608</t>
  </si>
  <si>
    <t>JV-584</t>
  </si>
  <si>
    <t>Paid staff food expenses</t>
  </si>
  <si>
    <t>Purchased plastic cover</t>
  </si>
  <si>
    <t>Paid for refreshment items</t>
  </si>
  <si>
    <t>Paid for plastic cover for tazkera</t>
  </si>
  <si>
    <t>Purchase gas Salander,  baking dish</t>
  </si>
  <si>
    <t>laptop repair</t>
  </si>
  <si>
    <t>Purchased box files for the office use</t>
  </si>
  <si>
    <t>Extra cash paid to Noor Muhammd for additional expense he made</t>
  </si>
  <si>
    <t>Advance adjustment of 10,000 Afghani</t>
  </si>
  <si>
    <t>Total for 608</t>
  </si>
  <si>
    <t>609</t>
  </si>
  <si>
    <t>JV-585</t>
  </si>
  <si>
    <t>Taxi used by Liaqat to DAB for the delivery of documents</t>
  </si>
  <si>
    <t>Total for 609</t>
  </si>
  <si>
    <t>610</t>
  </si>
  <si>
    <t>JV-586</t>
  </si>
  <si>
    <t>Paid for the lunch expense and dish washing liquid</t>
  </si>
  <si>
    <t>Total for 610</t>
  </si>
  <si>
    <t>611</t>
  </si>
  <si>
    <t>09/18/2025</t>
  </si>
  <si>
    <t>JV-587</t>
  </si>
  <si>
    <t>Cash Received CR# 67 for two months breads payment</t>
  </si>
  <si>
    <t>Total for 611</t>
  </si>
  <si>
    <t>612</t>
  </si>
  <si>
    <t>JV-588</t>
  </si>
  <si>
    <t>Cash Received CR# 72 for daily office expenses and electricity payment</t>
  </si>
  <si>
    <t>Total for 612</t>
  </si>
  <si>
    <t>613</t>
  </si>
  <si>
    <t>JV-589</t>
  </si>
  <si>
    <t>Paid for 900 breads @10 each for two months Saratan and Assad 1404</t>
  </si>
  <si>
    <t>Total for 613</t>
  </si>
  <si>
    <t>614</t>
  </si>
  <si>
    <t>JV-590</t>
  </si>
  <si>
    <t>Taxi used by Liaqat to bring cash</t>
  </si>
  <si>
    <t>Total for 614</t>
  </si>
  <si>
    <t>615</t>
  </si>
  <si>
    <t>JV-591</t>
  </si>
  <si>
    <t>Taxi used by Noor Muhammad for Kabul Jalalabad two way travel expenses</t>
  </si>
  <si>
    <t>Total for 615</t>
  </si>
  <si>
    <t>616</t>
  </si>
  <si>
    <t>JV-592</t>
  </si>
  <si>
    <t>Taxi used by Noor Muhammad for a Kunar staff from Kunar to Jalalabad to Kabul</t>
  </si>
  <si>
    <t>Total for 616</t>
  </si>
  <si>
    <t>617</t>
  </si>
  <si>
    <t>09/19/2025</t>
  </si>
  <si>
    <t>JV-593</t>
  </si>
  <si>
    <t>Total for 617</t>
  </si>
  <si>
    <t>618</t>
  </si>
  <si>
    <t>09/20/2025</t>
  </si>
  <si>
    <t>JV-594</t>
  </si>
  <si>
    <t>Cash received CR# 73 for disbursement in Kunar Branch and AFN 350 transfer charges</t>
  </si>
  <si>
    <t>Total for 618</t>
  </si>
  <si>
    <t>619</t>
  </si>
  <si>
    <t>JV-595</t>
  </si>
  <si>
    <t>Cash transferred to Hedayatullah Branch manager for loan disbursements</t>
  </si>
  <si>
    <t>Hawala cost for the transfer of cash to Kunar branch</t>
  </si>
  <si>
    <t>Cash transferred to Hedayatullah Branch manager for loan disbursements including transfer charges</t>
  </si>
  <si>
    <t>Total for 619</t>
  </si>
  <si>
    <t>620</t>
  </si>
  <si>
    <t>JV-596</t>
  </si>
  <si>
    <t>Total for 620</t>
  </si>
  <si>
    <t>621</t>
  </si>
  <si>
    <t>JV-597</t>
  </si>
  <si>
    <t>Paid for taxi used by Abdul Shakoor to Shahre now for DSL phone wire purchase</t>
  </si>
  <si>
    <t>Total for 621</t>
  </si>
  <si>
    <t>603</t>
  </si>
  <si>
    <t>09/21/2025</t>
  </si>
  <si>
    <t>R-003</t>
  </si>
  <si>
    <t>Total for 603</t>
  </si>
  <si>
    <t>604</t>
  </si>
  <si>
    <t>R-004</t>
  </si>
  <si>
    <t>Total for 604</t>
  </si>
  <si>
    <t>605</t>
  </si>
  <si>
    <t>R-005</t>
  </si>
  <si>
    <t>Total for 605</t>
  </si>
  <si>
    <t>606</t>
  </si>
  <si>
    <t>R-006</t>
  </si>
  <si>
    <t>Total for 606</t>
  </si>
  <si>
    <t>622</t>
  </si>
  <si>
    <t>JV-598</t>
  </si>
  <si>
    <t>Purchased RJ11 cable for DSL phone</t>
  </si>
  <si>
    <t>Total for 622</t>
  </si>
  <si>
    <t>623</t>
  </si>
  <si>
    <t>JV-599</t>
  </si>
  <si>
    <t>Paid for two months electricity bill</t>
  </si>
  <si>
    <t>Paid for lunch and toilet paper used for the office</t>
  </si>
  <si>
    <t>Total for 623</t>
  </si>
  <si>
    <t>624</t>
  </si>
  <si>
    <t>JV-600</t>
  </si>
  <si>
    <t>Office prepaid for the month of Sunbula 1404</t>
  </si>
  <si>
    <t>House rent tax withheld for the month of Sunbula 1404</t>
  </si>
  <si>
    <t>Total for 624</t>
  </si>
  <si>
    <t>625</t>
  </si>
  <si>
    <t>JV-601</t>
  </si>
  <si>
    <t>Purchased cold drinks and some other material on Murabaha for Mr. Bahawar Khan Qazi</t>
  </si>
  <si>
    <t>Purchased cold drinks and some other material on Murabaha for Mr. Nuhzatullah Zaheer</t>
  </si>
  <si>
    <t>Purchase of resale materials on Murabaha for Mr. Mujeeb u Rahman Safi</t>
  </si>
  <si>
    <t>Purchased cold drinks and some other material on Murabaha for Mr. Israr Ahmad</t>
  </si>
  <si>
    <t>Purchased cold drinks and some other material on Murabaha for Mr. Naseerullah Safi</t>
  </si>
  <si>
    <t>Purchased cold drinks and some other material on Murabaha for Mr. Ayoub Khan Shinwari</t>
  </si>
  <si>
    <t>Purchased cold drinks and some other material on Murabaha for Mr. Naqibullah Hamdard</t>
  </si>
  <si>
    <t>Adjusted against 125,000 Advance payment</t>
  </si>
  <si>
    <t>Purchased Crockery equipment for Mr. Hewad Salarzai on Murabaha.</t>
  </si>
  <si>
    <t>Purchased small track for Mr. Imal Khan Salarzai on Murabaha.</t>
  </si>
  <si>
    <t>Purchased Crockery items Mr. Hewad Salarzai and Small track for Mr. Imal Khan Salarzai on Murabaha.</t>
  </si>
  <si>
    <t>Total for 625</t>
  </si>
  <si>
    <t>639</t>
  </si>
  <si>
    <t>LCI015</t>
  </si>
  <si>
    <t>Purchased cold drinks and other resale Item form Mr. Bawar Khan Qazi on Murabaha for 12 months on 18% profit margin.</t>
  </si>
  <si>
    <t>Purchased cold drinks and other resale Item form Mr. Bawar Khan Qazi on Murabaha for 12 months.</t>
  </si>
  <si>
    <t>Total for 639</t>
  </si>
  <si>
    <t>640</t>
  </si>
  <si>
    <t>LCI016</t>
  </si>
  <si>
    <t>Purchased resale items for Mr. Nuhzatullah Zaheer's shop on Murabaha for 12 months, on 18% profit margin.</t>
  </si>
  <si>
    <t>Purchased resale items for Mr. Nuhzatullah Zaheer's shop on Murabaha for 12 months.</t>
  </si>
  <si>
    <t>Total for 640</t>
  </si>
  <si>
    <t>641</t>
  </si>
  <si>
    <t>LCI017</t>
  </si>
  <si>
    <t>Purchased resale items for Mr. Mujeeb ul Rahman Safi on Murabaha for 12 months, on 18% profit margin</t>
  </si>
  <si>
    <t>Purchased resale items for Mr. Mujeeb ul Rahman Safi on Murabaha for 12 months.</t>
  </si>
  <si>
    <t>Total for 641</t>
  </si>
  <si>
    <t>642</t>
  </si>
  <si>
    <t>LCI018</t>
  </si>
  <si>
    <t>Purchased resale items for Mr. Mujeeb ul Rahman Safi on Murabaha for 12 months, on 18% profit margin.</t>
  </si>
  <si>
    <t>Total for 642</t>
  </si>
  <si>
    <t>643</t>
  </si>
  <si>
    <t>LCI019</t>
  </si>
  <si>
    <t>Purchased inventory items for resale for Mr. Ayoub Khan Shinwari, for 12 months, on 18% profit margin.</t>
  </si>
  <si>
    <t>Purchased inventory items for resale for Mr. Ayoub Khan Shinwari, for 12 months.</t>
  </si>
  <si>
    <t>Total for 643</t>
  </si>
  <si>
    <t>644</t>
  </si>
  <si>
    <t>LCI020</t>
  </si>
  <si>
    <t>Purchased inventory items for resale for Mr. Naqeebullah Hamdard, for 12 months, on 18% profit margin.</t>
  </si>
  <si>
    <t>Purchased inventory items for resale for Mr. Naqeebullah Hamdard, for 12 months.</t>
  </si>
  <si>
    <t>Total for 644</t>
  </si>
  <si>
    <t>645</t>
  </si>
  <si>
    <t>LCI021</t>
  </si>
  <si>
    <t>Purchased Crockery equipment for Mr. Hewad Salarzai, for 21 months, on 18% profit margin.</t>
  </si>
  <si>
    <t>Total for 645</t>
  </si>
  <si>
    <t>646</t>
  </si>
  <si>
    <t>LCI022</t>
  </si>
  <si>
    <t>Purchased small track for Mr. Imal Khan Salarzai, for 21 months, on 18% profit margin.</t>
  </si>
  <si>
    <t>Purchased small track for Mr. Imal Khan Salarzai, for 21 months.</t>
  </si>
  <si>
    <t>Total for 646</t>
  </si>
  <si>
    <t>626</t>
  </si>
  <si>
    <t>09/22/2025</t>
  </si>
  <si>
    <t>JV-602</t>
  </si>
  <si>
    <t>Paid the delivery of documents from Jalalabad to Kabul</t>
  </si>
  <si>
    <t>60402</t>
  </si>
  <si>
    <t>60100 Admin Costs:60402 Shipping &amp; postage</t>
  </si>
  <si>
    <t>Paid for taxi used by Liaqat to receive documents from Jalalabad</t>
  </si>
  <si>
    <t>Total for 626</t>
  </si>
  <si>
    <t>628</t>
  </si>
  <si>
    <t>JV-603</t>
  </si>
  <si>
    <t>Purchased Inventory item for Murabaha for Tawheedullah Hashimi</t>
  </si>
  <si>
    <t>Purchased Inventory item for Murabaha for Saeeduyllah Mohammadi</t>
  </si>
  <si>
    <t>Purchased Inventory item for Murabaha for KaKa gul mullah Gury</t>
  </si>
  <si>
    <t>Purchased Inventory item for Murabaha Ehsanullah Majboor</t>
  </si>
  <si>
    <t>Purchased Inventory item for Murabaha for Wali Khan Manood</t>
  </si>
  <si>
    <t>Purchased Inventory item for Murabaha for Abdul Baqi</t>
  </si>
  <si>
    <t>Purchased Inventory item for Murabaha Attaulrahman Mohammdi</t>
  </si>
  <si>
    <t>Purchased Inventory item for Murabaha for Noorzaman Safi</t>
  </si>
  <si>
    <t>Purchased Inventory item for Murabaha</t>
  </si>
  <si>
    <t>Total for 628</t>
  </si>
  <si>
    <t>647</t>
  </si>
  <si>
    <t>LCI023</t>
  </si>
  <si>
    <t>Purchased cold drink and some other resale items for Mr. Naseerullah Safi, for 12 months, on 18% profit margin.</t>
  </si>
  <si>
    <t>Total for 647</t>
  </si>
  <si>
    <t>648</t>
  </si>
  <si>
    <t>LCI024</t>
  </si>
  <si>
    <t xml:space="preserve">Purchased inventory items </t>
  </si>
  <si>
    <t>Total for 648</t>
  </si>
  <si>
    <t>649</t>
  </si>
  <si>
    <t>LCI025</t>
  </si>
  <si>
    <t>Purchased asset for customer on loan</t>
  </si>
  <si>
    <t>Total for 649</t>
  </si>
  <si>
    <t>627</t>
  </si>
  <si>
    <t>09/23/2025</t>
  </si>
  <si>
    <t>JV-604</t>
  </si>
  <si>
    <t>Cash Received CR# 76 for Jalalabad Office rent payment and transfer cost</t>
  </si>
  <si>
    <t>Advance paid to Noor Muhammad for the office rent payment for the month of Sunbula and Mizan 1404</t>
  </si>
  <si>
    <t>Cash transfer cost</t>
  </si>
  <si>
    <t>Advance paid to Noor Muhammad for the office rent payment for the month of Sunbula and Mizan 1404 and hawala cost</t>
  </si>
  <si>
    <t>Total for 627</t>
  </si>
  <si>
    <t>629</t>
  </si>
  <si>
    <t>JV-605</t>
  </si>
  <si>
    <t>Taxi used by CFO to DAB multiple times</t>
  </si>
  <si>
    <t>Total for 629</t>
  </si>
  <si>
    <t>630</t>
  </si>
  <si>
    <t>JV-606</t>
  </si>
  <si>
    <t>Taxi used by Abdul Shakoor for search about a AC</t>
  </si>
  <si>
    <t>Total for 630</t>
  </si>
  <si>
    <t>631</t>
  </si>
  <si>
    <t>JV-607</t>
  </si>
  <si>
    <t>Paid for repairing of power generator on 28th August 2025</t>
  </si>
  <si>
    <t>Total for 631</t>
  </si>
  <si>
    <t>632</t>
  </si>
  <si>
    <t>JV-608</t>
  </si>
  <si>
    <t>Paid for taxi used by Abdul Shakoor to Qaifathullah</t>
  </si>
  <si>
    <t>Total for 632</t>
  </si>
  <si>
    <t>633</t>
  </si>
  <si>
    <t>JV-609</t>
  </si>
  <si>
    <t>Paid for the repairing oil change of the power generator</t>
  </si>
  <si>
    <t>Total for 633</t>
  </si>
  <si>
    <t>634</t>
  </si>
  <si>
    <t>JV-610</t>
  </si>
  <si>
    <t>Paid for plumbing work to open the waste water blockage</t>
  </si>
  <si>
    <t>Total for 634</t>
  </si>
  <si>
    <t>635</t>
  </si>
  <si>
    <t>JV-611</t>
  </si>
  <si>
    <t>Salary for the month of Aug 2025 paid</t>
  </si>
  <si>
    <t>Total for 635</t>
  </si>
  <si>
    <t>636</t>
  </si>
  <si>
    <t>JV-612</t>
  </si>
  <si>
    <t>Paid for food expense used on 22 Sep 2025</t>
  </si>
  <si>
    <t>Total for 636</t>
  </si>
  <si>
    <t>637</t>
  </si>
  <si>
    <t>JV-613</t>
  </si>
  <si>
    <t>Purchased 5 set small batteries</t>
  </si>
  <si>
    <t>Purchased 5 set small batteries and the day food expense</t>
  </si>
  <si>
    <t>Total for 637</t>
  </si>
  <si>
    <t>650</t>
  </si>
  <si>
    <t>LCI026</t>
  </si>
  <si>
    <t>Total for 650</t>
  </si>
  <si>
    <t>651</t>
  </si>
  <si>
    <t>LCI027</t>
  </si>
  <si>
    <t>Total for 651</t>
  </si>
  <si>
    <t>652</t>
  </si>
  <si>
    <t>LCI028</t>
  </si>
  <si>
    <t>Total for 652</t>
  </si>
  <si>
    <t>653</t>
  </si>
  <si>
    <t>LCI029</t>
  </si>
  <si>
    <t>Total for 653</t>
  </si>
  <si>
    <t>654</t>
  </si>
  <si>
    <t>LCI030</t>
  </si>
  <si>
    <t>Total for 654</t>
  </si>
  <si>
    <t>655</t>
  </si>
  <si>
    <t>LCI031</t>
  </si>
  <si>
    <t>Total for 655</t>
  </si>
  <si>
    <t>638</t>
  </si>
  <si>
    <t>09/24/2025</t>
  </si>
  <si>
    <t>JV-614</t>
  </si>
  <si>
    <t>Paid for the day food expense</t>
  </si>
  <si>
    <t>Total for 638</t>
  </si>
  <si>
    <t>656</t>
  </si>
  <si>
    <t>JV-615</t>
  </si>
  <si>
    <t>Cash Received CR# 77 for disbursement to Client on Murabaha</t>
  </si>
  <si>
    <t>Total for 656</t>
  </si>
  <si>
    <t>657</t>
  </si>
  <si>
    <t>JV-616</t>
  </si>
  <si>
    <t>Total for 657</t>
  </si>
  <si>
    <t>658</t>
  </si>
  <si>
    <t>09/25/2025</t>
  </si>
  <si>
    <t>JV-617</t>
  </si>
  <si>
    <t>Purchased cold drinks and other resale items for Mr. Khoda Dost on Murabaha</t>
  </si>
  <si>
    <t>Total for 658</t>
  </si>
  <si>
    <t>659</t>
  </si>
  <si>
    <t>LCI032</t>
  </si>
  <si>
    <t>Total for 659</t>
  </si>
  <si>
    <t>660</t>
  </si>
  <si>
    <t>JV-618</t>
  </si>
  <si>
    <t>Cash Received CR #78 for advance payment to Noor Muhammad for office expense and on Murabaha Car purchase commission.</t>
  </si>
  <si>
    <t>Total for 660</t>
  </si>
  <si>
    <t>661</t>
  </si>
  <si>
    <t>JV-619</t>
  </si>
  <si>
    <t>Advance paid to Noor Muhammad for the office expense and on Murabaha Car purchase commission payment</t>
  </si>
  <si>
    <t>Total for 661</t>
  </si>
  <si>
    <t>662</t>
  </si>
  <si>
    <t>09/27/2025</t>
  </si>
  <si>
    <t>JV-620</t>
  </si>
  <si>
    <t>Cash Received CR# 74 for CEO salary</t>
  </si>
  <si>
    <t>Total for 662</t>
  </si>
  <si>
    <t>663</t>
  </si>
  <si>
    <t>JV-621</t>
  </si>
  <si>
    <t>Salary for the month of Aug 2025 paid to CEO</t>
  </si>
  <si>
    <t>Total for 663</t>
  </si>
  <si>
    <t>664</t>
  </si>
  <si>
    <t>JV-622</t>
  </si>
  <si>
    <t>Cash Received CR # 79 for Loan disbursement on Murabaha to Mr. Rohullah Hazrati</t>
  </si>
  <si>
    <t>Total for 664</t>
  </si>
  <si>
    <t>665</t>
  </si>
  <si>
    <t>JV-623</t>
  </si>
  <si>
    <t>Purchased equipment for Mr. Rohullah Hazrati in Murabaha</t>
  </si>
  <si>
    <t>Total for 665</t>
  </si>
  <si>
    <t>666</t>
  </si>
  <si>
    <t>LCI033</t>
  </si>
  <si>
    <t>Total for 666</t>
  </si>
  <si>
    <t>667</t>
  </si>
  <si>
    <t>JV-624</t>
  </si>
  <si>
    <t>Paid for 27 bottles water for the office use</t>
  </si>
  <si>
    <t>Total for 667</t>
  </si>
  <si>
    <t>668</t>
  </si>
  <si>
    <t>JV-625</t>
  </si>
  <si>
    <t>Paid for liquid gas for the office use</t>
  </si>
  <si>
    <t>Total for 668</t>
  </si>
  <si>
    <t>669</t>
  </si>
  <si>
    <t>JV-626</t>
  </si>
  <si>
    <t>Paid for staff Friday expense</t>
  </si>
  <si>
    <t>Total for 669</t>
  </si>
  <si>
    <t>670</t>
  </si>
  <si>
    <t>JV-627</t>
  </si>
  <si>
    <t>Paid taxi and documents delivery cost from Jalalabad to Kabul</t>
  </si>
  <si>
    <t>51100</t>
  </si>
  <si>
    <t>51000 Cost of sales:51100 Postage and Shipping</t>
  </si>
  <si>
    <t>Total for 670</t>
  </si>
  <si>
    <t>671</t>
  </si>
  <si>
    <t>JV-628</t>
  </si>
  <si>
    <t>Total for 671</t>
  </si>
  <si>
    <t>672</t>
  </si>
  <si>
    <t>JV-629</t>
  </si>
  <si>
    <t>Cash received CR# 80 for the house rent</t>
  </si>
  <si>
    <t>Total for 672</t>
  </si>
  <si>
    <t>673</t>
  </si>
  <si>
    <t>09/28/2025</t>
  </si>
  <si>
    <t>JV-630</t>
  </si>
  <si>
    <t>Office rent paid for the month of Mezan and Aqrab 1404</t>
  </si>
  <si>
    <t>Total for 673</t>
  </si>
  <si>
    <t>674</t>
  </si>
  <si>
    <t>JV-631</t>
  </si>
  <si>
    <t>Total for 674</t>
  </si>
  <si>
    <t>675</t>
  </si>
  <si>
    <t>JV-632</t>
  </si>
  <si>
    <t>First Installment paid by Laiq Ashna</t>
  </si>
  <si>
    <t>Total for 675</t>
  </si>
  <si>
    <t>688</t>
  </si>
  <si>
    <t>R-007</t>
  </si>
  <si>
    <t>Total for 688</t>
  </si>
  <si>
    <t>676</t>
  </si>
  <si>
    <t>09/29/2025</t>
  </si>
  <si>
    <t>JV-633</t>
  </si>
  <si>
    <t>Paid for taxi use to Liaqat to bring documents sent by Jalalabad branch and documents' delivery cost</t>
  </si>
  <si>
    <t>Etisalat mobile card use by COO</t>
  </si>
  <si>
    <t>Paid for car fuel for the office work use</t>
  </si>
  <si>
    <t>Total for 676</t>
  </si>
  <si>
    <t>677</t>
  </si>
  <si>
    <t>JV-634</t>
  </si>
  <si>
    <t>First and second installments paid by Safiullah</t>
  </si>
  <si>
    <t>Total for 677</t>
  </si>
  <si>
    <t>678</t>
  </si>
  <si>
    <t>JV-635</t>
  </si>
  <si>
    <t>Cash Received CR# 82 for 12 KW solar complete system for the HQ office recorded in the accounts payable.</t>
  </si>
  <si>
    <t>Total for 678</t>
  </si>
  <si>
    <t>679</t>
  </si>
  <si>
    <t>JV-636</t>
  </si>
  <si>
    <t>Discount received</t>
  </si>
  <si>
    <t>40500</t>
  </si>
  <si>
    <t>40500 Discount Received</t>
  </si>
  <si>
    <t>Gain on USD exchange rate based on DAB exchange rate.</t>
  </si>
  <si>
    <t>61802</t>
  </si>
  <si>
    <t>61800 Financial Costs:61802 Exchange (gain)/loss</t>
  </si>
  <si>
    <t>Total for 679</t>
  </si>
  <si>
    <t>684</t>
  </si>
  <si>
    <t>R-008</t>
  </si>
  <si>
    <t>Received the first and second installments together but shorter with 81 Afghani</t>
  </si>
  <si>
    <t>Total for 684</t>
  </si>
  <si>
    <t>680</t>
  </si>
  <si>
    <t>09/30/2025</t>
  </si>
  <si>
    <t>JV-637</t>
  </si>
  <si>
    <t>Paid for lunch and tissue paper for the office use</t>
  </si>
  <si>
    <t>Total for 680</t>
  </si>
  <si>
    <t>681</t>
  </si>
  <si>
    <t>JV-638</t>
  </si>
  <si>
    <t>Booked depreciation expense for the month of Sep 2025</t>
  </si>
  <si>
    <t>Total for 681</t>
  </si>
  <si>
    <t>682</t>
  </si>
  <si>
    <t>JV-639</t>
  </si>
  <si>
    <t>Jalalabad Office rent prepaid for the month of Sunbula 1404</t>
  </si>
  <si>
    <t>Total for 682</t>
  </si>
  <si>
    <t>683</t>
  </si>
  <si>
    <t>JV-640</t>
  </si>
  <si>
    <t>Loan provision booked for the month of Sep 2025 for Kabul</t>
  </si>
  <si>
    <t>Loan provision booked for the month of Sep 2025 for Kunar</t>
  </si>
  <si>
    <t>Loan provision booked for the month of Sep 2025 for Jalalabad</t>
  </si>
  <si>
    <t>Loan provision booked for the month of Sep 2025 for Kabul, Kunar, Jalalabad</t>
  </si>
  <si>
    <t>Total for 683</t>
  </si>
  <si>
    <t>689</t>
  </si>
  <si>
    <t>JV-641</t>
  </si>
  <si>
    <t>Kabul Financing officer's salary payable for the month of Sep 2025</t>
  </si>
  <si>
    <t>Kunar Financing officer's salary payable for the month of Sep 2025</t>
  </si>
  <si>
    <t>Jalalabad Financing officer's salary payable for the month of Sep 2025</t>
  </si>
  <si>
    <t>Staff salary payable for the month of Sep 2025</t>
  </si>
  <si>
    <t>Total for 689</t>
  </si>
  <si>
    <t>690</t>
  </si>
  <si>
    <t>JV-642</t>
  </si>
  <si>
    <t>Bank charges for the month of Sep 2025</t>
  </si>
  <si>
    <t>Total for 690</t>
  </si>
  <si>
    <t>697</t>
  </si>
  <si>
    <t>10/02/2025</t>
  </si>
  <si>
    <t>JV-643</t>
  </si>
  <si>
    <t>Received Cash CR # 84 advance payment to Hidayat</t>
  </si>
  <si>
    <t>Total for 697</t>
  </si>
  <si>
    <t>698</t>
  </si>
  <si>
    <t>JV-644</t>
  </si>
  <si>
    <t>Advance paid to Hidayat for Kunar branch expenses</t>
  </si>
  <si>
    <t>Cost of cash transfer</t>
  </si>
  <si>
    <t>Advance paid to Hidayat for Kunar branch expenses and cost of cash transfer</t>
  </si>
  <si>
    <t>Total for 698</t>
  </si>
  <si>
    <t>699</t>
  </si>
  <si>
    <t>JV-645</t>
  </si>
  <si>
    <t>Received Cash CR # 83 for the daily office expenses</t>
  </si>
  <si>
    <t>Total for 699</t>
  </si>
  <si>
    <t>700</t>
  </si>
  <si>
    <t>JV-646</t>
  </si>
  <si>
    <t>Paid for lunch, tissue paper and battery cells for the office use</t>
  </si>
  <si>
    <t>Total for 700</t>
  </si>
  <si>
    <t>701</t>
  </si>
  <si>
    <t>JV-647</t>
  </si>
  <si>
    <t>Paid for taxi used by Liaqat to bring documents sent by Jalalabad</t>
  </si>
  <si>
    <t>Total for 701</t>
  </si>
  <si>
    <t>685</t>
  </si>
  <si>
    <t>10/04/2025</t>
  </si>
  <si>
    <t>Total for 685</t>
  </si>
  <si>
    <t>702</t>
  </si>
  <si>
    <t>JV-648</t>
  </si>
  <si>
    <t>First installment paid by Abdul Ghafar Payenda Khil</t>
  </si>
  <si>
    <t>Total for 702</t>
  </si>
  <si>
    <t>703</t>
  </si>
  <si>
    <t>JV-649</t>
  </si>
  <si>
    <t>Paid for the internet bill for the month of Oct 2025</t>
  </si>
  <si>
    <t>Total for 703</t>
  </si>
  <si>
    <t>704</t>
  </si>
  <si>
    <t>JV-650</t>
  </si>
  <si>
    <t>Paid for taxi and documents delivery charges to Liaqat for bring documents delivered from Jalalabad</t>
  </si>
  <si>
    <t>Total for 704</t>
  </si>
  <si>
    <t>705</t>
  </si>
  <si>
    <t>10/05/2025</t>
  </si>
  <si>
    <t>JV-651</t>
  </si>
  <si>
    <t>Total for 705</t>
  </si>
  <si>
    <t>706</t>
  </si>
  <si>
    <t>JV-652</t>
  </si>
  <si>
    <t>Paid for Kunar and Jalalabad branches employees' dinner visiting HQ</t>
  </si>
  <si>
    <t>Total for 706</t>
  </si>
  <si>
    <t>707</t>
  </si>
  <si>
    <t>JV-653</t>
  </si>
  <si>
    <t>Taxi used by Gulzar for the office work</t>
  </si>
  <si>
    <t>Total for 707</t>
  </si>
  <si>
    <t>708</t>
  </si>
  <si>
    <t>10/06/2025</t>
  </si>
  <si>
    <t>JV-654</t>
  </si>
  <si>
    <t>Paid for the day lunch and shampoo for dishwashing</t>
  </si>
  <si>
    <t>Total for 708</t>
  </si>
  <si>
    <t>709</t>
  </si>
  <si>
    <t>JV-655</t>
  </si>
  <si>
    <t>Paid for stationery</t>
  </si>
  <si>
    <t>Total for 709</t>
  </si>
  <si>
    <t>710</t>
  </si>
  <si>
    <t>JV-656</t>
  </si>
  <si>
    <t>Paid for 22 bottles drinking water</t>
  </si>
  <si>
    <t>Total for 710</t>
  </si>
  <si>
    <t>711</t>
  </si>
  <si>
    <t>10/07/2025</t>
  </si>
  <si>
    <t>JV-657</t>
  </si>
  <si>
    <t>Paid Sep 2025 salary to Mr. Liaqat Ogra Khil</t>
  </si>
  <si>
    <t>Paid Sep 2025 salary to Mr. Afzal Muhammadi</t>
  </si>
  <si>
    <t>Paid Sep 2025 salary to Mr. Zubaida Dawlat Zada</t>
  </si>
  <si>
    <t>Paid Sep 2025 salary to Mr. Zubaida Dawlat Zada, Liaqat, and Afzal Muhammadi</t>
  </si>
  <si>
    <t>Total for 711</t>
  </si>
  <si>
    <t>712</t>
  </si>
  <si>
    <t>JV-658</t>
  </si>
  <si>
    <t>Cash Received CR# 86 for advance payment to Noor Muhammad for Jalalabad</t>
  </si>
  <si>
    <t>Total for 712</t>
  </si>
  <si>
    <t>713</t>
  </si>
  <si>
    <t>JV-659</t>
  </si>
  <si>
    <t>Advance payment to Mr. Noor Muhammad for electricity, internet, stationery, and taxi expenses of Jalalabad branch</t>
  </si>
  <si>
    <t>Taxi used by Noor Muhammad  from Jalalabad to Kabul to Jalalabad</t>
  </si>
  <si>
    <t>Taxi used by Noor Muhammad multiple times in between Jalalabad to Kunar</t>
  </si>
  <si>
    <t>Hawala cost for the transfer of cash</t>
  </si>
  <si>
    <t>Advance payment to Mr. Noor Muhammad for electricity, internet, stationery, and taxi expenses of Jalalabad branch and Taxi used by him multiple times in between Jalalabad to Kunar, Jalalabad to Kabul</t>
  </si>
  <si>
    <t>Total for 713</t>
  </si>
  <si>
    <t>714</t>
  </si>
  <si>
    <t>10/08/2025</t>
  </si>
  <si>
    <t>JV-660</t>
  </si>
  <si>
    <t>Paid for taxi used by Hedayatullah from Kunar to Jalalabad to Kabul and return</t>
  </si>
  <si>
    <t>Total for 714</t>
  </si>
  <si>
    <t>715</t>
  </si>
  <si>
    <t>JV-661</t>
  </si>
  <si>
    <t>Paid for taxi used by Liaqat to DAB to submit the monthly financial report</t>
  </si>
  <si>
    <t>Total for 715</t>
  </si>
  <si>
    <t>716</t>
  </si>
  <si>
    <t>JV-662</t>
  </si>
  <si>
    <t>Total for 716</t>
  </si>
  <si>
    <t>717</t>
  </si>
  <si>
    <t>JV-663</t>
  </si>
  <si>
    <t>Paid for gas used for the kitchen</t>
  </si>
  <si>
    <t>Total for 717</t>
  </si>
  <si>
    <t>718</t>
  </si>
  <si>
    <t>JV-664</t>
  </si>
  <si>
    <t>Total for 718</t>
  </si>
  <si>
    <t>719</t>
  </si>
  <si>
    <t>JV-665</t>
  </si>
  <si>
    <t>Paid for reginal staff food expenses while traveling to Kabul</t>
  </si>
  <si>
    <t>Total for 719</t>
  </si>
  <si>
    <t>720</t>
  </si>
  <si>
    <t>JV-666</t>
  </si>
  <si>
    <t>Cash Received CR# 85 for HQ staff September 2025 salaries payment</t>
  </si>
  <si>
    <t>Total for 720</t>
  </si>
  <si>
    <t>721</t>
  </si>
  <si>
    <t>JV-667</t>
  </si>
  <si>
    <t>Salary for the month of Sep 2025 Paid</t>
  </si>
  <si>
    <t>Total for 721</t>
  </si>
  <si>
    <t>691</t>
  </si>
  <si>
    <t>10/09/2025</t>
  </si>
  <si>
    <t>Second installment paid</t>
  </si>
  <si>
    <t>Total for 691</t>
  </si>
  <si>
    <t>692</t>
  </si>
  <si>
    <t>Cash deposited to AZIZI Bank by customer for second installment.</t>
  </si>
  <si>
    <t>Total for 692</t>
  </si>
  <si>
    <t>693</t>
  </si>
  <si>
    <t>Total for 693</t>
  </si>
  <si>
    <t>694</t>
  </si>
  <si>
    <t>Total for 694</t>
  </si>
  <si>
    <t>695</t>
  </si>
  <si>
    <t>Cash deposit to bank by customer for first installment</t>
  </si>
  <si>
    <t>Total for 695</t>
  </si>
  <si>
    <t>696</t>
  </si>
  <si>
    <t>Total for 696</t>
  </si>
  <si>
    <t>722</t>
  </si>
  <si>
    <t>JV-668</t>
  </si>
  <si>
    <t>Total for 722</t>
  </si>
  <si>
    <t>723</t>
  </si>
  <si>
    <t>JV-669</t>
  </si>
  <si>
    <t>Cash Received CR# 87 for Kunar and Jalalabad Salary food allowance payments</t>
  </si>
  <si>
    <t>Total for 723</t>
  </si>
  <si>
    <t>724</t>
  </si>
  <si>
    <t>JV-670</t>
  </si>
  <si>
    <t>Aug and September 2025 Salary paid to Noor Muhammad</t>
  </si>
  <si>
    <t>Aug and September 2025 Salary paid to Sahil Salarzai</t>
  </si>
  <si>
    <t>Aug and September 2025 Salary paid to Hedayatullah</t>
  </si>
  <si>
    <t>Aug and September 2025 Salary paid to Sadaqat Khan</t>
  </si>
  <si>
    <t>Aug and September 2025 Food expense of Kunar branchs paid AFN 3000 monthly each</t>
  </si>
  <si>
    <t>Aug and September 2025 Food expense of Jalalabad branch paid AFN 3000 monthly each</t>
  </si>
  <si>
    <t>Aug and September 2025 salary and food expenses of Jalalabad and Kunar branches are paid</t>
  </si>
  <si>
    <t>Total for 724</t>
  </si>
  <si>
    <t>725</t>
  </si>
  <si>
    <t>JV-671</t>
  </si>
  <si>
    <t>September 2025 salary paid to Omid Ahmadzai</t>
  </si>
  <si>
    <t>Total for 725</t>
  </si>
  <si>
    <t>726</t>
  </si>
  <si>
    <t>JV-672</t>
  </si>
  <si>
    <t>First installment paid by Ebadullah</t>
  </si>
  <si>
    <t>Second installment paid by Taiba</t>
  </si>
  <si>
    <t>Total for 726</t>
  </si>
  <si>
    <t>727</t>
  </si>
  <si>
    <t>JV-673</t>
  </si>
  <si>
    <t>Paid for credit card for CCO for customer's calling</t>
  </si>
  <si>
    <t>Total for 727</t>
  </si>
  <si>
    <t>728</t>
  </si>
  <si>
    <t>JV-674</t>
  </si>
  <si>
    <t>Repaired the Epson printer</t>
  </si>
  <si>
    <t>Total for 728</t>
  </si>
  <si>
    <t>729</t>
  </si>
  <si>
    <t>JV-675</t>
  </si>
  <si>
    <t>Paid for taxi to Gulzar for printer repair and stationery purchase</t>
  </si>
  <si>
    <t>Total for 729</t>
  </si>
  <si>
    <t>730</t>
  </si>
  <si>
    <t>JV-676</t>
  </si>
  <si>
    <t>Cash Received CR# 69 for the website development payment (Dari and Pashto languages)</t>
  </si>
  <si>
    <t>Total for 730</t>
  </si>
  <si>
    <t>731</t>
  </si>
  <si>
    <t>JV-677</t>
  </si>
  <si>
    <t>Paid for breads for the month of Sep 2025</t>
  </si>
  <si>
    <t>Total for 731</t>
  </si>
  <si>
    <t>732</t>
  </si>
  <si>
    <t>JV-678</t>
  </si>
  <si>
    <t>Paid for lunch expense of staff and MISFA team</t>
  </si>
  <si>
    <t>Total for 732</t>
  </si>
  <si>
    <t>733</t>
  </si>
  <si>
    <t>JV-679</t>
  </si>
  <si>
    <t>Total for 733</t>
  </si>
  <si>
    <t>734</t>
  </si>
  <si>
    <t>10/10/2025</t>
  </si>
  <si>
    <t>JV-680</t>
  </si>
  <si>
    <t>Total for 734</t>
  </si>
  <si>
    <t>735</t>
  </si>
  <si>
    <t>10/11/2025</t>
  </si>
  <si>
    <t>JV-681</t>
  </si>
  <si>
    <t>Total for 735</t>
  </si>
  <si>
    <t>736</t>
  </si>
  <si>
    <t>JV-682</t>
  </si>
  <si>
    <t>Paid for credit card for Zuhra Nadeem to contact customers</t>
  </si>
  <si>
    <t>Total for 736</t>
  </si>
  <si>
    <t>737</t>
  </si>
  <si>
    <t>10/12/2025</t>
  </si>
  <si>
    <t>JV-683</t>
  </si>
  <si>
    <t>Paid for the website development payment (Dari and Pashto languages)</t>
  </si>
  <si>
    <t>Total for 737</t>
  </si>
  <si>
    <t>738</t>
  </si>
  <si>
    <t>JV-684</t>
  </si>
  <si>
    <t>Paid for refreshment for guests</t>
  </si>
  <si>
    <t>Paid for refreshment for guests and the day lunch expenses</t>
  </si>
  <si>
    <t>Total for 738</t>
  </si>
  <si>
    <t>739</t>
  </si>
  <si>
    <t>10/13/2025</t>
  </si>
  <si>
    <t>JV-685</t>
  </si>
  <si>
    <t>Total for 739</t>
  </si>
  <si>
    <t>740</t>
  </si>
  <si>
    <t>JV-686</t>
  </si>
  <si>
    <t>Paid for the purchase of stationery</t>
  </si>
  <si>
    <t>Total for 740</t>
  </si>
  <si>
    <t>741</t>
  </si>
  <si>
    <t>JV-687</t>
  </si>
  <si>
    <t>Paid for taxi used for training in AIBF</t>
  </si>
  <si>
    <t>Total for 741</t>
  </si>
  <si>
    <t>742</t>
  </si>
  <si>
    <t>JV-688</t>
  </si>
  <si>
    <t>Total for 742</t>
  </si>
  <si>
    <t>743</t>
  </si>
  <si>
    <t>JV-689</t>
  </si>
  <si>
    <t>Total for 743</t>
  </si>
  <si>
    <t>752</t>
  </si>
  <si>
    <t>10/14/2025</t>
  </si>
  <si>
    <t>JV-690</t>
  </si>
  <si>
    <t>paid for the car fuel used by Hedayat for HQ staff visit the Kunar branch</t>
  </si>
  <si>
    <t>Paid for food expense for HQ staff visiting Kunar Branch</t>
  </si>
  <si>
    <t>Received cash back</t>
  </si>
  <si>
    <t>Paid for the car fuel used by Hedayat for HQ staff visit the Kunar branch and food expense 217 AFN cash back</t>
  </si>
  <si>
    <t>Total for 752</t>
  </si>
  <si>
    <t>753</t>
  </si>
  <si>
    <t>10/15/2025</t>
  </si>
  <si>
    <t>JV-691</t>
  </si>
  <si>
    <t>Paid for the purchase of cleaning item toilets</t>
  </si>
  <si>
    <t>Paid for the purchase of cleaning item toilets and staff lunch expenses</t>
  </si>
  <si>
    <t>Total for 753</t>
  </si>
  <si>
    <t>755</t>
  </si>
  <si>
    <t>JV-692</t>
  </si>
  <si>
    <t>Taxi used by Liaqat to deliver laptop to AIBF office</t>
  </si>
  <si>
    <t>Total for 755</t>
  </si>
  <si>
    <t>756</t>
  </si>
  <si>
    <t>JV-693</t>
  </si>
  <si>
    <t>Paid for taxi by Gulzar for training in AIBF</t>
  </si>
  <si>
    <t>Total for 756</t>
  </si>
  <si>
    <t>762</t>
  </si>
  <si>
    <t>JV-694</t>
  </si>
  <si>
    <t>Taxi used by Abdul Shakoor to bring cash</t>
  </si>
  <si>
    <t>Total for 762</t>
  </si>
  <si>
    <t>763</t>
  </si>
  <si>
    <t>10/16/2025</t>
  </si>
  <si>
    <t>JV-695</t>
  </si>
  <si>
    <t>Purchased one TP-Link Archer C60, 5 Antina Router</t>
  </si>
  <si>
    <t>Total for 763</t>
  </si>
  <si>
    <t>764</t>
  </si>
  <si>
    <t>JV-696</t>
  </si>
  <si>
    <t>Cash Received CR# 90 for the office daily expenses</t>
  </si>
  <si>
    <t>Total for 764</t>
  </si>
  <si>
    <t>765</t>
  </si>
  <si>
    <t>JV-697</t>
  </si>
  <si>
    <t>Paid for milk and cake for the guests</t>
  </si>
  <si>
    <t>Total for 765</t>
  </si>
  <si>
    <t>766</t>
  </si>
  <si>
    <t>10/17/2025</t>
  </si>
  <si>
    <t>JV-698</t>
  </si>
  <si>
    <t>Total for 766</t>
  </si>
  <si>
    <t>767</t>
  </si>
  <si>
    <t>10/18/2025</t>
  </si>
  <si>
    <t>JV-699</t>
  </si>
  <si>
    <t>Taxi used by Abdul Shakoor for the purchase of routers</t>
  </si>
  <si>
    <t>Total for 767</t>
  </si>
  <si>
    <t>768</t>
  </si>
  <si>
    <t>JV-700</t>
  </si>
  <si>
    <t>Total for 768</t>
  </si>
  <si>
    <t>769</t>
  </si>
  <si>
    <t>JV-701</t>
  </si>
  <si>
    <t>Cash received CR # 88 for Kunar office new contract commission payment</t>
  </si>
  <si>
    <t>Total for 769</t>
  </si>
  <si>
    <t>770</t>
  </si>
  <si>
    <t>JV-702</t>
  </si>
  <si>
    <t>Advance paid to Noor Muhammad for Kunar office new contract commission payment</t>
  </si>
  <si>
    <t>Hawala cost for the transfer of cash to Jalalabad</t>
  </si>
  <si>
    <t>Total for 770</t>
  </si>
  <si>
    <t>771</t>
  </si>
  <si>
    <t>10/19/2025</t>
  </si>
  <si>
    <t>JV-703</t>
  </si>
  <si>
    <t>Paid for Lunch expense of the staff</t>
  </si>
  <si>
    <t>Paid for the toilet paper</t>
  </si>
  <si>
    <t>Paid for the toilet paper and Paid for Lunch expense of the staff</t>
  </si>
  <si>
    <t>Total for 771</t>
  </si>
  <si>
    <t>772</t>
  </si>
  <si>
    <t>JV-704</t>
  </si>
  <si>
    <t>Paid for the purchase of power supply for the Microtich router</t>
  </si>
  <si>
    <t>Total for 772</t>
  </si>
  <si>
    <t>773</t>
  </si>
  <si>
    <t>JV-705</t>
  </si>
  <si>
    <t>Total for 773</t>
  </si>
  <si>
    <t>744</t>
  </si>
  <si>
    <t>10/20/2025</t>
  </si>
  <si>
    <t>Total for 744</t>
  </si>
  <si>
    <t>745</t>
  </si>
  <si>
    <t>Total for 745</t>
  </si>
  <si>
    <t>746</t>
  </si>
  <si>
    <t>Total for 746</t>
  </si>
  <si>
    <t>747</t>
  </si>
  <si>
    <t>Total for 747</t>
  </si>
  <si>
    <t>748</t>
  </si>
  <si>
    <t>Total for 748</t>
  </si>
  <si>
    <t>774</t>
  </si>
  <si>
    <t>JV-706</t>
  </si>
  <si>
    <t>First installment paid by Naqibullah Hamdard</t>
  </si>
  <si>
    <t>First installment paid by Mujeeb ul Rahman Safi</t>
  </si>
  <si>
    <t>First installment paid by Naseerullah Safi</t>
  </si>
  <si>
    <t>First installment paid by Bawar Khan Qazi</t>
  </si>
  <si>
    <t>Second and third installments paid by Safiullah</t>
  </si>
  <si>
    <t>Total for 774</t>
  </si>
  <si>
    <t>775</t>
  </si>
  <si>
    <t>JV-707</t>
  </si>
  <si>
    <t>Paid for the office lunch expenses</t>
  </si>
  <si>
    <t>Paid for the purchase of tissue</t>
  </si>
  <si>
    <t>Paid for the purchase of office lunch expenses and tissue</t>
  </si>
  <si>
    <t>Total for 775</t>
  </si>
  <si>
    <t>776</t>
  </si>
  <si>
    <t>JV-708</t>
  </si>
  <si>
    <t>Paid for the purchase of gas for the office use</t>
  </si>
  <si>
    <t>Total for 776</t>
  </si>
  <si>
    <t>777</t>
  </si>
  <si>
    <t>JV-709</t>
  </si>
  <si>
    <t>Paid for guests meal by Hanifullah</t>
  </si>
  <si>
    <t>Total for 777</t>
  </si>
  <si>
    <t>778</t>
  </si>
  <si>
    <t>JV-710</t>
  </si>
  <si>
    <t>Paid for the lunch expense, tissue paper, air fresher, and drinking water</t>
  </si>
  <si>
    <t>Total for 778</t>
  </si>
  <si>
    <t>749</t>
  </si>
  <si>
    <t>10/21/2025</t>
  </si>
  <si>
    <t>Total for 749</t>
  </si>
  <si>
    <t>750</t>
  </si>
  <si>
    <t>Total for 750</t>
  </si>
  <si>
    <t>751</t>
  </si>
  <si>
    <t>Payment for the first three installments.</t>
  </si>
  <si>
    <t>Total for 751</t>
  </si>
  <si>
    <t>779</t>
  </si>
  <si>
    <t>JV-711</t>
  </si>
  <si>
    <t>First Installment paid by Ayoub Khan Shinwari</t>
  </si>
  <si>
    <t>First Installment paid by Israr Ahmad</t>
  </si>
  <si>
    <t>First, Second, and Third Installments paid by Hosain Pari</t>
  </si>
  <si>
    <t>Total for 779</t>
  </si>
  <si>
    <t>780</t>
  </si>
  <si>
    <t>JV-712</t>
  </si>
  <si>
    <t>Cash received CR# 75 for COO July 2025 salary payment</t>
  </si>
  <si>
    <t>Total for 780</t>
  </si>
  <si>
    <t>781</t>
  </si>
  <si>
    <t>JV-713</t>
  </si>
  <si>
    <t>Cash received CR# 89 for COO September 2025 salary payment</t>
  </si>
  <si>
    <t>Total for 781</t>
  </si>
  <si>
    <t>782</t>
  </si>
  <si>
    <t>JV-714</t>
  </si>
  <si>
    <t>Paid salary to Shahpoor (COO) for the month of July 2025 after advances adjustments</t>
  </si>
  <si>
    <t>Total for 782</t>
  </si>
  <si>
    <t>783</t>
  </si>
  <si>
    <t>JV-715</t>
  </si>
  <si>
    <t>Paid salary to Shahpoor (COO) for the month of September 2025</t>
  </si>
  <si>
    <t>Total for 783</t>
  </si>
  <si>
    <t>784</t>
  </si>
  <si>
    <t>JV-716</t>
  </si>
  <si>
    <t>Paid for the taxi used by Latif to deliver the CEO laptop</t>
  </si>
  <si>
    <t>Total for 784</t>
  </si>
  <si>
    <t>785</t>
  </si>
  <si>
    <t>JV-717</t>
  </si>
  <si>
    <t>Total for 785</t>
  </si>
  <si>
    <t>796</t>
  </si>
  <si>
    <t>LCI034</t>
  </si>
  <si>
    <t>Sold floor on margin for Mr. Hanifullah Tanweer for 12 months on 18% profit margin.</t>
  </si>
  <si>
    <t>Total for 796</t>
  </si>
  <si>
    <t>797</t>
  </si>
  <si>
    <t>LCI035</t>
  </si>
  <si>
    <t>Sold floor on Murabaha for Mr. Hameedullah Alokozay for 12 months on 18% profit margin.</t>
  </si>
  <si>
    <t>Total for 797</t>
  </si>
  <si>
    <t>798</t>
  </si>
  <si>
    <t>LCI036</t>
  </si>
  <si>
    <t>Sold Grocery items on Murabaha to Mr. Waser ullah Safi for 12 months on 18% profit margin.</t>
  </si>
  <si>
    <t>Total for 798</t>
  </si>
  <si>
    <t>786</t>
  </si>
  <si>
    <t>10/22/2025</t>
  </si>
  <si>
    <t>JV-718</t>
  </si>
  <si>
    <t>Paid for dish washing liquid</t>
  </si>
  <si>
    <t>Paid for dish washing liquid Paid for the day lunch expense</t>
  </si>
  <si>
    <t>Total for 786</t>
  </si>
  <si>
    <t>787</t>
  </si>
  <si>
    <t>JV-719</t>
  </si>
  <si>
    <t>Paid for the purchase of laptop charger</t>
  </si>
  <si>
    <t>Total for 787</t>
  </si>
  <si>
    <t>788</t>
  </si>
  <si>
    <t>JV-720</t>
  </si>
  <si>
    <t>Paid for taxi used by Gulzar to bring laptop from repair shop</t>
  </si>
  <si>
    <t>Total for 788</t>
  </si>
  <si>
    <t>789</t>
  </si>
  <si>
    <t>10/23/2025</t>
  </si>
  <si>
    <t>JV-721</t>
  </si>
  <si>
    <t>Paid for taxi used by Lateef for the delivery of some office documents</t>
  </si>
  <si>
    <t>Paid for taxi used by Lateedf for the delivery of some office documents</t>
  </si>
  <si>
    <t>Total for 789</t>
  </si>
  <si>
    <t>790</t>
  </si>
  <si>
    <t>10/24/2025</t>
  </si>
  <si>
    <t>JV-722</t>
  </si>
  <si>
    <t>Paid for food expense made by guards on Friday</t>
  </si>
  <si>
    <t>Total for 790</t>
  </si>
  <si>
    <t>791</t>
  </si>
  <si>
    <t>JV-723</t>
  </si>
  <si>
    <t>Office rent prepaid for the month of Mezan 1404</t>
  </si>
  <si>
    <t>Kunar Office Rent prepaid for the month of Mezan 1404</t>
  </si>
  <si>
    <t>Total for 791</t>
  </si>
  <si>
    <t>754</t>
  </si>
  <si>
    <t>10/25/2025</t>
  </si>
  <si>
    <t>Paid the first installment</t>
  </si>
  <si>
    <t>Total for 754</t>
  </si>
  <si>
    <t>792</t>
  </si>
  <si>
    <t>JV-724</t>
  </si>
  <si>
    <t>Cash withdrawal from Azizi Bank by CEO and CFO</t>
  </si>
  <si>
    <t>Bank deducted for one cheque book printing</t>
  </si>
  <si>
    <t>Total for 792</t>
  </si>
  <si>
    <t>793</t>
  </si>
  <si>
    <t>JV-725</t>
  </si>
  <si>
    <t>Advance paid to Hedayatullah for Loan Disbursements to three murabaha customers (Hanifullah tanweer, Hameedullah Alokozay, and Waser ullah Safi)</t>
  </si>
  <si>
    <t>Paid for hawala cost for the cash transfer to Jalalabad</t>
  </si>
  <si>
    <t>Purchased floor on Murabaha loan disbursement to Hanifullah Tanweer</t>
  </si>
  <si>
    <t>Purchased medicine on Murabaha loan disbursement to Hamidullah Alokozay</t>
  </si>
  <si>
    <t>Purchased kinds' cloths on Murabaha loan disbursement to Waser ullah Safi</t>
  </si>
  <si>
    <t>Advance paid to for hawala cost for the cash transfer to Jalalabad</t>
  </si>
  <si>
    <t>Total for 793</t>
  </si>
  <si>
    <t>794</t>
  </si>
  <si>
    <t>JV-726</t>
  </si>
  <si>
    <t>First installment paid by Nuhzatullah</t>
  </si>
  <si>
    <t>Total for 794</t>
  </si>
  <si>
    <t>795</t>
  </si>
  <si>
    <t>JV-727</t>
  </si>
  <si>
    <t>Paid to Gulzar for the purchase of materials for loan disbrusement on Murabaha to Mustafa Khairkhwa</t>
  </si>
  <si>
    <t>Paid to Gulzar for the purchase of materials for loan disbursement on Murabaha to Mustafa Khairkhwa</t>
  </si>
  <si>
    <t>Paid to Gulzar for the purchase of Kids' cloths on Murabaha loan disbursement to Naseer Jan Kashmiri</t>
  </si>
  <si>
    <t>Total for 795</t>
  </si>
  <si>
    <t>801</t>
  </si>
  <si>
    <t>JV-728</t>
  </si>
  <si>
    <t>Total for 801</t>
  </si>
  <si>
    <t>757</t>
  </si>
  <si>
    <t>10/26/2025</t>
  </si>
  <si>
    <t>Paid his first installment</t>
  </si>
  <si>
    <t>Total for 757</t>
  </si>
  <si>
    <t>758</t>
  </si>
  <si>
    <t>Total for 758</t>
  </si>
  <si>
    <t>759</t>
  </si>
  <si>
    <t>Total for 759</t>
  </si>
  <si>
    <t>799</t>
  </si>
  <si>
    <t>LCI037</t>
  </si>
  <si>
    <t>Sold Kids' Cloths on Murabaha to Mr. Naseer Jan Kashmiri for 15 months on 18% profit margin.</t>
  </si>
  <si>
    <t>Total for 799</t>
  </si>
  <si>
    <t>800</t>
  </si>
  <si>
    <t>LCI038</t>
  </si>
  <si>
    <t>Sold Grocery Items on Murabaha to Mr. Mustafa Khairkhwa for 15 months on 18% profit margin.</t>
  </si>
  <si>
    <t>Total for 800</t>
  </si>
  <si>
    <t>802</t>
  </si>
  <si>
    <t>JV-729</t>
  </si>
  <si>
    <t>First installment paid by Tawheedullah Hashimi</t>
  </si>
  <si>
    <t>Total for 802</t>
  </si>
  <si>
    <t>803</t>
  </si>
  <si>
    <t>JV-730</t>
  </si>
  <si>
    <t>Hawala cost to Kunar</t>
  </si>
  <si>
    <t>Paid for Hawala Cost for cash transfer to Kunar for Murabaha Loan for JV # 604</t>
  </si>
  <si>
    <t>Total for 803</t>
  </si>
  <si>
    <t>804</t>
  </si>
  <si>
    <t>JV-731</t>
  </si>
  <si>
    <t>Paid for taxi used by Gulzar to purchase items for clients on murabaha</t>
  </si>
  <si>
    <t>Total for 804</t>
  </si>
  <si>
    <t>805</t>
  </si>
  <si>
    <t>JV-732</t>
  </si>
  <si>
    <t>Total for 805</t>
  </si>
  <si>
    <t>806</t>
  </si>
  <si>
    <t>JV-733</t>
  </si>
  <si>
    <t>Paid for taxi by Gulzar to bring the delivered documents from Jalalabad from city</t>
  </si>
  <si>
    <t>Total for 806</t>
  </si>
  <si>
    <t>807</t>
  </si>
  <si>
    <t>JV-734</t>
  </si>
  <si>
    <t>Taxi used by Gulzar for purchase of items for Murabaha customers</t>
  </si>
  <si>
    <t>Total for 807</t>
  </si>
  <si>
    <t>808</t>
  </si>
  <si>
    <t>10/27/2025</t>
  </si>
  <si>
    <t>JV-735</t>
  </si>
  <si>
    <t>Total for 808</t>
  </si>
  <si>
    <t>810</t>
  </si>
  <si>
    <t>Paid his second installment</t>
  </si>
  <si>
    <t>Total for 810</t>
  </si>
  <si>
    <t>811</t>
  </si>
  <si>
    <t>JV-736</t>
  </si>
  <si>
    <t>First installment paid by Layeq Ashna</t>
  </si>
  <si>
    <t>Total for 811</t>
  </si>
  <si>
    <t>760</t>
  </si>
  <si>
    <t>10/28/2025</t>
  </si>
  <si>
    <t>Total for 760</t>
  </si>
  <si>
    <t>761</t>
  </si>
  <si>
    <t>Total for 761</t>
  </si>
  <si>
    <t>812</t>
  </si>
  <si>
    <t>JV-737</t>
  </si>
  <si>
    <t>Paid for the lunch expense and drinking water</t>
  </si>
  <si>
    <t>Total for 812</t>
  </si>
  <si>
    <t>813</t>
  </si>
  <si>
    <t>JV-738</t>
  </si>
  <si>
    <t>Paid taxi used by liaqat for stationery purchase</t>
  </si>
  <si>
    <t>Total for 813</t>
  </si>
  <si>
    <t>814</t>
  </si>
  <si>
    <t>JV-739</t>
  </si>
  <si>
    <t>Firs installment paid by Attaulrahman Muhammadi</t>
  </si>
  <si>
    <t>Firs installment paid by Noorzaman Safi</t>
  </si>
  <si>
    <t>Total for 814</t>
  </si>
  <si>
    <t>815</t>
  </si>
  <si>
    <t>10/29/2025</t>
  </si>
  <si>
    <t>JV-740</t>
  </si>
  <si>
    <t>Paid for the lunch expense for the day</t>
  </si>
  <si>
    <t>Total for 815</t>
  </si>
  <si>
    <t>816</t>
  </si>
  <si>
    <t>10/31/2025</t>
  </si>
  <si>
    <t>JV-741</t>
  </si>
  <si>
    <t>Total for 816</t>
  </si>
  <si>
    <t>817</t>
  </si>
  <si>
    <t>JV-742</t>
  </si>
  <si>
    <t>Bank charges for the month of Oct 2025</t>
  </si>
  <si>
    <t>Total for 817</t>
  </si>
  <si>
    <t>818</t>
  </si>
  <si>
    <t>JV-743</t>
  </si>
  <si>
    <t>Provision expense booked for the month of Oct 2025</t>
  </si>
  <si>
    <t>Total for 818</t>
  </si>
  <si>
    <t>819</t>
  </si>
  <si>
    <t>JV-744</t>
  </si>
  <si>
    <t>Kabul Financing officer's salary payable for the month of Oct 2025</t>
  </si>
  <si>
    <t>Kunar Financing officer's salary payable for the month of Oct 2025</t>
  </si>
  <si>
    <t>Jalalabad Financing officer's salary payable for the month of Oct 2025</t>
  </si>
  <si>
    <t>Staff salary payable for the month of Oct 2025</t>
  </si>
  <si>
    <t>20176</t>
  </si>
  <si>
    <t>20150 Salaries and Wages Payable:20176 Ayaz Salarzay</t>
  </si>
  <si>
    <t>Staff salary withheld for the month of Oct 2025</t>
  </si>
  <si>
    <t>Fee paid to Members for the second Third Quarter 2025</t>
  </si>
  <si>
    <t>60410</t>
  </si>
  <si>
    <t>60100 Admin Costs:60410 Board of Directors Fees / Governance Expenses</t>
  </si>
  <si>
    <t>Total for 819</t>
  </si>
  <si>
    <t>820</t>
  </si>
  <si>
    <t>JV-745</t>
  </si>
  <si>
    <t>Depreciation expense booked for the month of Oct 2025</t>
  </si>
  <si>
    <t>Total for 820</t>
  </si>
  <si>
    <t>821</t>
  </si>
  <si>
    <t>JV-746</t>
  </si>
  <si>
    <t>QuickBooks subscription booked for the month of Oct 2025</t>
  </si>
  <si>
    <t>Total for 821</t>
  </si>
  <si>
    <t>822</t>
  </si>
  <si>
    <t>11/01/2025</t>
  </si>
  <si>
    <t>JV-747</t>
  </si>
  <si>
    <t>Total for 822</t>
  </si>
  <si>
    <t>823</t>
  </si>
  <si>
    <t>11/02/2025</t>
  </si>
  <si>
    <t>JV-748</t>
  </si>
  <si>
    <t>Paid for lunch and toilet material</t>
  </si>
  <si>
    <t>Total for 823</t>
  </si>
  <si>
    <t>824</t>
  </si>
  <si>
    <t>JV-749</t>
  </si>
  <si>
    <t>Paid for taxi used by Gulzar to bring cash</t>
  </si>
  <si>
    <t>Total for 824</t>
  </si>
  <si>
    <t>825</t>
  </si>
  <si>
    <t>Total for 825</t>
  </si>
  <si>
    <t>826</t>
  </si>
  <si>
    <t>JV-750</t>
  </si>
  <si>
    <t>Collected the first installment from Mr. Khoda Dost</t>
  </si>
  <si>
    <t>Total for 826</t>
  </si>
  <si>
    <t>827</t>
  </si>
  <si>
    <t>JV-751</t>
  </si>
  <si>
    <t>Total for 827</t>
  </si>
  <si>
    <t>828</t>
  </si>
  <si>
    <t>JV-752</t>
  </si>
  <si>
    <t>Paid for internet fee for the month of November 2025</t>
  </si>
  <si>
    <t>Total for 828</t>
  </si>
  <si>
    <t>829</t>
  </si>
  <si>
    <t>JV-753</t>
  </si>
  <si>
    <t>Cash Received CR# 95 for daily office expenses</t>
  </si>
  <si>
    <t>Total for 829</t>
  </si>
  <si>
    <t>830</t>
  </si>
  <si>
    <t>11/03/2025</t>
  </si>
  <si>
    <t>JV-754</t>
  </si>
  <si>
    <t>Paid for taxi used by Shakoor to bring cash</t>
  </si>
  <si>
    <t>Total for 830</t>
  </si>
  <si>
    <t>831</t>
  </si>
  <si>
    <t>JV-755</t>
  </si>
  <si>
    <t>Paid for the purchase of cartridge for the office</t>
  </si>
  <si>
    <t>Total for 831</t>
  </si>
  <si>
    <t>832</t>
  </si>
  <si>
    <t>JV-756</t>
  </si>
  <si>
    <t>Total for 832</t>
  </si>
  <si>
    <t>833</t>
  </si>
  <si>
    <t>JV-757</t>
  </si>
  <si>
    <t>Paid for the purchase of lock the office basement door</t>
  </si>
  <si>
    <t>Total for 833</t>
  </si>
  <si>
    <t>834</t>
  </si>
  <si>
    <t>11/04/2025</t>
  </si>
  <si>
    <t>JV-758</t>
  </si>
  <si>
    <t>Total for 834</t>
  </si>
  <si>
    <t>835</t>
  </si>
  <si>
    <t>JV-759</t>
  </si>
  <si>
    <t>Paid for the breads used during the month of Oct 2025</t>
  </si>
  <si>
    <t>Total for 835</t>
  </si>
  <si>
    <t>836</t>
  </si>
  <si>
    <t>11/05/2025</t>
  </si>
  <si>
    <t>JV-760</t>
  </si>
  <si>
    <t>Paid for the staff tea</t>
  </si>
  <si>
    <t>Paid for the staff tea and lunch</t>
  </si>
  <si>
    <t>Total for 836</t>
  </si>
  <si>
    <t>837</t>
  </si>
  <si>
    <t>11/07/2025</t>
  </si>
  <si>
    <t>JV-761</t>
  </si>
  <si>
    <t>Total for 837</t>
  </si>
  <si>
    <t>838</t>
  </si>
  <si>
    <t>11/08/2025</t>
  </si>
  <si>
    <t>JV-762</t>
  </si>
  <si>
    <t>Total for 838</t>
  </si>
  <si>
    <t>840</t>
  </si>
  <si>
    <t>Received the second installment</t>
  </si>
  <si>
    <t>Total for 840</t>
  </si>
  <si>
    <t>841</t>
  </si>
  <si>
    <t>JV-764</t>
  </si>
  <si>
    <t>Received second installment from Abdul Ghafar Payenda khil</t>
  </si>
  <si>
    <t>Total for 841</t>
  </si>
  <si>
    <t>839</t>
  </si>
  <si>
    <t>11/09/2025</t>
  </si>
  <si>
    <t>JV-763</t>
  </si>
  <si>
    <t>Total for 839</t>
  </si>
  <si>
    <t>842</t>
  </si>
  <si>
    <t>JV-765</t>
  </si>
  <si>
    <t>Cash Received CR# 92 for Oct 2025 staff salary</t>
  </si>
  <si>
    <t>Total for 842</t>
  </si>
  <si>
    <t>843</t>
  </si>
  <si>
    <t>JV-766</t>
  </si>
  <si>
    <t>Salary paid for the month of Oct 2025</t>
  </si>
  <si>
    <t>Total for 843</t>
  </si>
  <si>
    <t>844</t>
  </si>
  <si>
    <t>Total for 844</t>
  </si>
  <si>
    <t>845</t>
  </si>
  <si>
    <t>Total for 845</t>
  </si>
  <si>
    <t>846</t>
  </si>
  <si>
    <t>JV-767</t>
  </si>
  <si>
    <t>Received third installment from Taiba</t>
  </si>
  <si>
    <t>Received first installment from Ansarullah</t>
  </si>
  <si>
    <t>Total for 846</t>
  </si>
  <si>
    <t>847</t>
  </si>
  <si>
    <t>11/10/2025</t>
  </si>
  <si>
    <t>JV-768</t>
  </si>
  <si>
    <t>Cash Received CR# 93 for Jalalabad Oct 2025 staff salary and food allowance</t>
  </si>
  <si>
    <t>Total for 847</t>
  </si>
  <si>
    <t>848</t>
  </si>
  <si>
    <t>JV-769</t>
  </si>
  <si>
    <t>Food expense paid for the month of Oct 2025</t>
  </si>
  <si>
    <t>Salary and Food expense paid for the month of Oct 2025</t>
  </si>
  <si>
    <t>Total for 848</t>
  </si>
  <si>
    <t>849</t>
  </si>
  <si>
    <t>JV-770</t>
  </si>
  <si>
    <t>Cash Received CR# 94 for Kunar Oct 2025 staff salary and food allowance</t>
  </si>
  <si>
    <t>Total for 849</t>
  </si>
  <si>
    <t>850</t>
  </si>
  <si>
    <t>JV-771</t>
  </si>
  <si>
    <t>Total for 850</t>
  </si>
  <si>
    <t>851</t>
  </si>
  <si>
    <t>JV-772</t>
  </si>
  <si>
    <t>Purchased monthly food for staff lunch expenses</t>
  </si>
  <si>
    <t>Total for 851</t>
  </si>
  <si>
    <t>852</t>
  </si>
  <si>
    <t>JV-773</t>
  </si>
  <si>
    <t>Total for 852</t>
  </si>
  <si>
    <t>853</t>
  </si>
  <si>
    <t>JV-774</t>
  </si>
  <si>
    <t>Total for 853</t>
  </si>
  <si>
    <t>854</t>
  </si>
  <si>
    <t>11/11/2025</t>
  </si>
  <si>
    <t>JV-775</t>
  </si>
  <si>
    <t>Vegetable for staff lunch</t>
  </si>
  <si>
    <t>Total for 854</t>
  </si>
  <si>
    <t>855</t>
  </si>
  <si>
    <t>11/12/2025</t>
  </si>
  <si>
    <t>JV-776</t>
  </si>
  <si>
    <t>Paid for the repair of electric heater</t>
  </si>
  <si>
    <t>Total for 855</t>
  </si>
  <si>
    <t>856</t>
  </si>
  <si>
    <t>JV-777</t>
  </si>
  <si>
    <t>Paid for the plumbing expenses</t>
  </si>
  <si>
    <t>Total for 856</t>
  </si>
  <si>
    <t>857</t>
  </si>
  <si>
    <t>JV-778</t>
  </si>
  <si>
    <t>Paid for the purchase of toner for HP printer</t>
  </si>
  <si>
    <t>Total for 857</t>
  </si>
  <si>
    <t>858</t>
  </si>
  <si>
    <t>JV-779</t>
  </si>
  <si>
    <t>Paid for taxi to purchase toner for HP printer</t>
  </si>
  <si>
    <t>Total for 858</t>
  </si>
  <si>
    <t>859</t>
  </si>
  <si>
    <t>11/13/2025</t>
  </si>
  <si>
    <t>JV-780</t>
  </si>
  <si>
    <t>Cash sent to Jalalabad Branch office for loan disbursements</t>
  </si>
  <si>
    <t>10103</t>
  </si>
  <si>
    <t>10000 Cash and cash equivalents:10100 Cash on Hand:10103 Cash on Hand - Jalalabad</t>
  </si>
  <si>
    <t>10104</t>
  </si>
  <si>
    <t>10000 Cash and cash equivalents:10100 Cash on Hand:10104 Cash on Hand - Kunar</t>
  </si>
  <si>
    <t>Total for 859</t>
  </si>
  <si>
    <t>860</t>
  </si>
  <si>
    <t>11/15/2025</t>
  </si>
  <si>
    <t>JV-781</t>
  </si>
  <si>
    <t>Total for 860</t>
  </si>
  <si>
    <t>861</t>
  </si>
  <si>
    <t>JV-782</t>
  </si>
  <si>
    <t>Purchased grocery and drinks items on Murabaha to Rahimullah Shinwari</t>
  </si>
  <si>
    <t>Purchased medicine on Murabaha to Anwarul Haq Sana</t>
  </si>
  <si>
    <t>Purchased grocery and drinks items on Murabaha to Rahimullah Mamoond</t>
  </si>
  <si>
    <t>Purchased grocery and drinks items on Murabaha to Hafizullah Safi</t>
  </si>
  <si>
    <t>Purchased grocery and drinks items on Murabaha to Dawood Mamoond</t>
  </si>
  <si>
    <t>Purchased grocery and drinks items on Murabaha to 5 clients in Kunar</t>
  </si>
  <si>
    <t>Total for 861</t>
  </si>
  <si>
    <t>862</t>
  </si>
  <si>
    <t>LCI039</t>
  </si>
  <si>
    <t>Purchased Grocery and drinks items on Murabaha to Mr. Rahimullah Shinwari for 12 months, monthly installments, on 16% profit margin.</t>
  </si>
  <si>
    <t>Total for 862</t>
  </si>
  <si>
    <t>863</t>
  </si>
  <si>
    <t>LCI040</t>
  </si>
  <si>
    <t>Purchased Medicine on Murabaha to Mr. Anwarulhaq Sana for 12 months, monthly installments, on 16% profit margin.</t>
  </si>
  <si>
    <t>Total for 863</t>
  </si>
  <si>
    <t>864</t>
  </si>
  <si>
    <t>LCI041</t>
  </si>
  <si>
    <t>Purchased Grocery and drinks items on Murabaha to Mr. Rahimullah Mamoond for 12 months, monthly installments, on 16% profit margin.</t>
  </si>
  <si>
    <t>Total for 864</t>
  </si>
  <si>
    <t>865</t>
  </si>
  <si>
    <t>LCI042</t>
  </si>
  <si>
    <t>Purchased Grocery and drinks items on Murabaha to Mr. Hafizullah Safi for 12 months, monthly installments, on 16% profit margin.</t>
  </si>
  <si>
    <t>Total for 865</t>
  </si>
  <si>
    <t>866</t>
  </si>
  <si>
    <t>LCI043</t>
  </si>
  <si>
    <t>Purchased Grocery and drinks items on Murabaha to Mr. Dawood Mamoond for 12 months, monthly installments, on 16% profit margin.</t>
  </si>
  <si>
    <t>Total for 866</t>
  </si>
  <si>
    <t>867</t>
  </si>
  <si>
    <t>11/16/2025</t>
  </si>
  <si>
    <t>JV-783</t>
  </si>
  <si>
    <t>Cash Received CR# 96 to Noor Muhammad for Jalalabad Branch Expenses</t>
  </si>
  <si>
    <t>Total for 867</t>
  </si>
  <si>
    <t>869</t>
  </si>
  <si>
    <t>JV-784</t>
  </si>
  <si>
    <t>Total for 869</t>
  </si>
  <si>
    <t>870</t>
  </si>
  <si>
    <t>JV-785</t>
  </si>
  <si>
    <t>Cash Received CR# 97 to Hedayat for Kunar Branch Expenses</t>
  </si>
  <si>
    <t>Advance Paid to Hedayat for Kunar Branch Expenses</t>
  </si>
  <si>
    <t>Total for 870</t>
  </si>
  <si>
    <t>871</t>
  </si>
  <si>
    <t>JV-786</t>
  </si>
  <si>
    <t>Taxi paid to CFO for taxi to DAB Meeting</t>
  </si>
  <si>
    <t>Total for 871</t>
  </si>
  <si>
    <t>872</t>
  </si>
  <si>
    <t>JV-787</t>
  </si>
  <si>
    <t>Paid for the purchase of liquid gas</t>
  </si>
  <si>
    <t>Total for 872</t>
  </si>
  <si>
    <t>873</t>
  </si>
  <si>
    <t>11/18/2025</t>
  </si>
  <si>
    <t>JV-788</t>
  </si>
  <si>
    <t>Cash deposited to AUB bank</t>
  </si>
  <si>
    <t>10202</t>
  </si>
  <si>
    <t>10000 Cash and cash equivalents:10200 Cash at Bank:10202 Cash at Bank (AUB-AFN)</t>
  </si>
  <si>
    <t>Total for 873</t>
  </si>
  <si>
    <t>874</t>
  </si>
  <si>
    <t>11/20/2025</t>
  </si>
  <si>
    <t>JV-789</t>
  </si>
  <si>
    <t>Cash Received CR# 99 for CEO Salary of the month of Oct 2025</t>
  </si>
  <si>
    <t>Total for 874</t>
  </si>
  <si>
    <t>875</t>
  </si>
  <si>
    <t>JV-790</t>
  </si>
  <si>
    <t>Paid CEO salary for the month of Oct 2025</t>
  </si>
  <si>
    <t>Total for 875</t>
  </si>
  <si>
    <t>876</t>
  </si>
  <si>
    <t>JV-791</t>
  </si>
  <si>
    <t>Purchased materials for 14 Clients on Murabaha</t>
  </si>
  <si>
    <t>Cash Received CR# 100 for loan disbursement in Kunar for 1 client</t>
  </si>
  <si>
    <t>Purchased materials for 1 Client on Murabaha</t>
  </si>
  <si>
    <t>Total for 876</t>
  </si>
  <si>
    <t>877</t>
  </si>
  <si>
    <t>LCI045</t>
  </si>
  <si>
    <t>Total for 877</t>
  </si>
  <si>
    <t>878</t>
  </si>
  <si>
    <t>LCI046</t>
  </si>
  <si>
    <t>Total for 878</t>
  </si>
  <si>
    <t>879</t>
  </si>
  <si>
    <t>LCI047</t>
  </si>
  <si>
    <t>Total for 879</t>
  </si>
  <si>
    <t>880</t>
  </si>
  <si>
    <t>LCI048</t>
  </si>
  <si>
    <t>Total for 880</t>
  </si>
  <si>
    <t>881</t>
  </si>
  <si>
    <t>LCI049</t>
  </si>
  <si>
    <t>Total for 881</t>
  </si>
  <si>
    <t>882</t>
  </si>
  <si>
    <t>LCI050</t>
  </si>
  <si>
    <t>Total for 882</t>
  </si>
  <si>
    <t>883</t>
  </si>
  <si>
    <t>LCI051</t>
  </si>
  <si>
    <t>Total for 883</t>
  </si>
  <si>
    <t>884</t>
  </si>
  <si>
    <t>LCI052</t>
  </si>
  <si>
    <t>Total for 884</t>
  </si>
  <si>
    <t>885</t>
  </si>
  <si>
    <t>LCI053</t>
  </si>
  <si>
    <t>Total for 885</t>
  </si>
  <si>
    <t>886</t>
  </si>
  <si>
    <t>LCI054</t>
  </si>
  <si>
    <t>Total for 886</t>
  </si>
  <si>
    <t>887</t>
  </si>
  <si>
    <t>LCI055</t>
  </si>
  <si>
    <t>Total for 887</t>
  </si>
  <si>
    <t>888</t>
  </si>
  <si>
    <t>LCI056</t>
  </si>
  <si>
    <t>Total for 888</t>
  </si>
  <si>
    <t>889</t>
  </si>
  <si>
    <t>LCI057</t>
  </si>
  <si>
    <t>Total for 889</t>
  </si>
  <si>
    <t>890</t>
  </si>
  <si>
    <t>LCI058</t>
  </si>
  <si>
    <t>Total for 890</t>
  </si>
  <si>
    <t>891</t>
  </si>
  <si>
    <t>LCI059</t>
  </si>
  <si>
    <t>Total for 891</t>
  </si>
  <si>
    <t>892</t>
  </si>
  <si>
    <t>JV-792</t>
  </si>
  <si>
    <t>Cash Withdrawal from Azizi Bank by Latifullah Cheque # 02065401</t>
  </si>
  <si>
    <t>Total for 892</t>
  </si>
  <si>
    <t>893</t>
  </si>
  <si>
    <t>Total for 893</t>
  </si>
  <si>
    <t>894</t>
  </si>
  <si>
    <t>Total for 894</t>
  </si>
  <si>
    <t>895</t>
  </si>
  <si>
    <t>Total for 895</t>
  </si>
  <si>
    <t>903</t>
  </si>
  <si>
    <t>JV-793</t>
  </si>
  <si>
    <t>Paid by Hameed ullah Alokozy</t>
  </si>
  <si>
    <t>Paid by Naqeebullah Hamdard</t>
  </si>
  <si>
    <t>Paid by Waserullah</t>
  </si>
  <si>
    <t>Total for 903</t>
  </si>
  <si>
    <t>906</t>
  </si>
  <si>
    <t>JV-794</t>
  </si>
  <si>
    <t>Paid for last week vegetable expenses for lunch</t>
  </si>
  <si>
    <t>Purchased battery</t>
  </si>
  <si>
    <t>Total for 906</t>
  </si>
  <si>
    <t>907</t>
  </si>
  <si>
    <t>JV-795</t>
  </si>
  <si>
    <t>Paid taxi charges used by Liaqat to bring cash</t>
  </si>
  <si>
    <t>Total for 907</t>
  </si>
  <si>
    <t>908</t>
  </si>
  <si>
    <t>JV-796</t>
  </si>
  <si>
    <t>Paid for taxi to Ahmad Shahir Mukhtar to collect quotations for a client from the Market</t>
  </si>
  <si>
    <t>Total for 908</t>
  </si>
  <si>
    <t>896</t>
  </si>
  <si>
    <t>11/22/2025</t>
  </si>
  <si>
    <t>Total for 896</t>
  </si>
  <si>
    <t>897</t>
  </si>
  <si>
    <t>Total for 897</t>
  </si>
  <si>
    <t>898</t>
  </si>
  <si>
    <t>Total for 898</t>
  </si>
  <si>
    <t>904</t>
  </si>
  <si>
    <t>JV-797</t>
  </si>
  <si>
    <t>Paid by Wasirullah</t>
  </si>
  <si>
    <t>Paid by Sayeedullah</t>
  </si>
  <si>
    <t>Paid by Abul Baqi</t>
  </si>
  <si>
    <t>Total for 904</t>
  </si>
  <si>
    <t>909</t>
  </si>
  <si>
    <t>JV-798</t>
  </si>
  <si>
    <t>Paid for credit card for CCO</t>
  </si>
  <si>
    <t>Total for 909</t>
  </si>
  <si>
    <t>910</t>
  </si>
  <si>
    <t>JV-799</t>
  </si>
  <si>
    <t>Cash withdrawal from AUB for loan disbursements</t>
  </si>
  <si>
    <t>Total for 910</t>
  </si>
  <si>
    <t>899</t>
  </si>
  <si>
    <t>11/23/2025</t>
  </si>
  <si>
    <t>Total for 899</t>
  </si>
  <si>
    <t>900</t>
  </si>
  <si>
    <t>Total for 900</t>
  </si>
  <si>
    <t>901</t>
  </si>
  <si>
    <t>Total for 901</t>
  </si>
  <si>
    <t>902</t>
  </si>
  <si>
    <t>Total for 902</t>
  </si>
  <si>
    <t>905</t>
  </si>
  <si>
    <t>JV-800</t>
  </si>
  <si>
    <t>Paid by Noor zaman</t>
  </si>
  <si>
    <t>Paid by Ataul rahman</t>
  </si>
  <si>
    <t>Paid by Naseer</t>
  </si>
  <si>
    <t>Paid by Ayoub Khan</t>
  </si>
  <si>
    <t>Total for 905</t>
  </si>
  <si>
    <t>911</t>
  </si>
  <si>
    <t>JV-801</t>
  </si>
  <si>
    <t>Cash Received CR# 101 for loan disbursement to Mr. Abdul Majid Nabizada</t>
  </si>
  <si>
    <t>Total for 911</t>
  </si>
  <si>
    <t>912</t>
  </si>
  <si>
    <t>JV-802</t>
  </si>
  <si>
    <t>Purchased inventory on Murabaha for Mr. Abdul Majid Nabizada</t>
  </si>
  <si>
    <t>Total for 912</t>
  </si>
  <si>
    <t>913</t>
  </si>
  <si>
    <t>JV-803</t>
  </si>
  <si>
    <t>Cash withdrawal from AUB for loan disbursement in Jalalabad</t>
  </si>
  <si>
    <t>Received cash back from Jalalabad Branch</t>
  </si>
  <si>
    <t>Total for 913</t>
  </si>
  <si>
    <t>914</t>
  </si>
  <si>
    <t>JV-804</t>
  </si>
  <si>
    <t>Paid for taxi by Hanifullah for Job announcements</t>
  </si>
  <si>
    <t>Paid for Liquid gas for the office heating</t>
  </si>
  <si>
    <t>Total for 914</t>
  </si>
  <si>
    <t>915</t>
  </si>
  <si>
    <t>JV-805</t>
  </si>
  <si>
    <t>Total for 915</t>
  </si>
  <si>
    <t>916</t>
  </si>
  <si>
    <t>JV-806</t>
  </si>
  <si>
    <t>Paid for 5 Job announcements in Jobs.af</t>
  </si>
  <si>
    <t>Total for 916</t>
  </si>
  <si>
    <t>917</t>
  </si>
  <si>
    <t>JV-807</t>
  </si>
  <si>
    <t>Paid for the purchase of USB Extender 100, Wireless Mouse, Maintenance of Security Cameras</t>
  </si>
  <si>
    <t>61203</t>
  </si>
  <si>
    <t>61200 ICT Costs:61203 IT services</t>
  </si>
  <si>
    <t>Total for 917</t>
  </si>
  <si>
    <t>918</t>
  </si>
  <si>
    <t>JV-808</t>
  </si>
  <si>
    <t>Paid for taxi use by Ahmad Shahir Mukhtar for late office working</t>
  </si>
  <si>
    <t>Total for 918</t>
  </si>
  <si>
    <t>919</t>
  </si>
  <si>
    <t>JV-809</t>
  </si>
  <si>
    <t>Paid by Ayoub Khan Shinwari</t>
  </si>
  <si>
    <t>Paid by Israr Ahmad</t>
  </si>
  <si>
    <t>Total for 919</t>
  </si>
  <si>
    <t>920</t>
  </si>
  <si>
    <t>JV-810</t>
  </si>
  <si>
    <t>Paid for lunch of staff</t>
  </si>
  <si>
    <t>Total for 920</t>
  </si>
  <si>
    <t>928</t>
  </si>
  <si>
    <t>LCI060</t>
  </si>
  <si>
    <t>Total for 928</t>
  </si>
  <si>
    <t>977</t>
  </si>
  <si>
    <t>Paid second installment</t>
  </si>
  <si>
    <t>Total for 977</t>
  </si>
  <si>
    <t>921</t>
  </si>
  <si>
    <t>11/24/2025</t>
  </si>
  <si>
    <t>JV-811</t>
  </si>
  <si>
    <t>Paid for Mineral water</t>
  </si>
  <si>
    <t>Total for 921</t>
  </si>
  <si>
    <t>922</t>
  </si>
  <si>
    <t>JV-812</t>
  </si>
  <si>
    <t>Paid by Mujeeb ul Rahman Safi</t>
  </si>
  <si>
    <t>Paid by Walikhan Mamoond</t>
  </si>
  <si>
    <t>Total for 922</t>
  </si>
  <si>
    <t>978</t>
  </si>
  <si>
    <t>Total for 978</t>
  </si>
  <si>
    <t>979</t>
  </si>
  <si>
    <t>Total for 979</t>
  </si>
  <si>
    <t>923</t>
  </si>
  <si>
    <t>11/25/2025</t>
  </si>
  <si>
    <t>JV-813</t>
  </si>
  <si>
    <t>Total for 923</t>
  </si>
  <si>
    <t>924</t>
  </si>
  <si>
    <t>JV-814</t>
  </si>
  <si>
    <t>Paid for mobile card for Zuhra Nadeem</t>
  </si>
  <si>
    <t>Total for 924</t>
  </si>
  <si>
    <t>925</t>
  </si>
  <si>
    <t>JV-815</t>
  </si>
  <si>
    <t>Cash withdrawal from AUB for Loan disbursements</t>
  </si>
  <si>
    <t>Total for 925</t>
  </si>
  <si>
    <t>926</t>
  </si>
  <si>
    <t>JV-816</t>
  </si>
  <si>
    <t>Total for 926</t>
  </si>
  <si>
    <t>929</t>
  </si>
  <si>
    <t>JV-817</t>
  </si>
  <si>
    <t>Paid to taxi to Hanifullah Mommand to visit client business</t>
  </si>
  <si>
    <t>Total for 929</t>
  </si>
  <si>
    <t>930</t>
  </si>
  <si>
    <t>JV-818</t>
  </si>
  <si>
    <t>Paid to CFO for taxi to DAB for meeting</t>
  </si>
  <si>
    <t>Paid to liquid gas for the office use</t>
  </si>
  <si>
    <t>Total for 930</t>
  </si>
  <si>
    <t>927</t>
  </si>
  <si>
    <t>11/26/2025</t>
  </si>
  <si>
    <t>JV-819</t>
  </si>
  <si>
    <t>Cash sent to Kunar for Loan disbursements</t>
  </si>
  <si>
    <t>Cash withdrawal from AUB</t>
  </si>
  <si>
    <t>Total for 927</t>
  </si>
  <si>
    <t>931</t>
  </si>
  <si>
    <t>JV-820</t>
  </si>
  <si>
    <t>Paid by Hanifullah Tanweer</t>
  </si>
  <si>
    <t>Paid by Ihsanullah</t>
  </si>
  <si>
    <t>Total for 931</t>
  </si>
  <si>
    <t>932</t>
  </si>
  <si>
    <t>JV-821</t>
  </si>
  <si>
    <t>Purchased for inventory for Mr. Hayatullah on Murabaha</t>
  </si>
  <si>
    <t>Purchased for inventory for Mr. Shafiqullah Hemmat on Murabaha</t>
  </si>
  <si>
    <t>Purchased for inventory for Mr. Ikramullah on Murabaha</t>
  </si>
  <si>
    <t>Purchased for inventory for Mr. Muhammad Naeem Khamoosh on Murabaha</t>
  </si>
  <si>
    <t>Purchased for inventory for Mr. Hameedullah Mamoond on Murabaha</t>
  </si>
  <si>
    <t>Purchased for inventory for Mr. Sukurllah Muhammadi on Murabaha</t>
  </si>
  <si>
    <t>Purchased for inventory for Mr. Abdul Salaam Shinwari on Murabaha</t>
  </si>
  <si>
    <t>Purchased for inventory for Mr. Faridulah Qazikhil on Murabaha</t>
  </si>
  <si>
    <t>Purchased for inventory for Mr. Naseer Ahmad Akhundzada on Murabaha</t>
  </si>
  <si>
    <t>Purchased for inventory for Mr. Nisar Qazikhil on Murabaha</t>
  </si>
  <si>
    <t>Purchased for inventory for Mr. Mohammad Bilal Yousofzai on Murabaha</t>
  </si>
  <si>
    <t>Purchased for inventory for 11 clients on Murabaha</t>
  </si>
  <si>
    <t>Total for 932</t>
  </si>
  <si>
    <t>933</t>
  </si>
  <si>
    <t>JV-822</t>
  </si>
  <si>
    <t>Purchased inventory for Mr. Gulagha Shinwari on Murabaha</t>
  </si>
  <si>
    <t>Purchased inventory for Mr. Subhanullah Kohestani on Murabaha</t>
  </si>
  <si>
    <t>Purchased inventory for Mr. Noor Agha on Murabaha</t>
  </si>
  <si>
    <t>Purchased inventory for Mr. Sobwoon Ashrafi on Murabaha</t>
  </si>
  <si>
    <t>Purchased inventory for Mr. Ali Asghar on Murabaha</t>
  </si>
  <si>
    <t>Purchased inventory for Mr. Zeerak Safi on Murabaha</t>
  </si>
  <si>
    <t>Purchased inventory for Mr. Jamil Mamoond on Murabaha</t>
  </si>
  <si>
    <t>Purchased inventory for Mr. Tasal Safi on Murabaha</t>
  </si>
  <si>
    <t>Purchased inventory for eight Clients on Murabaha</t>
  </si>
  <si>
    <t>Total for 933</t>
  </si>
  <si>
    <t>934</t>
  </si>
  <si>
    <t>JV-823</t>
  </si>
  <si>
    <t>Purchased power stip for Omid</t>
  </si>
  <si>
    <t>Total for 934</t>
  </si>
  <si>
    <t>935</t>
  </si>
  <si>
    <t>JV-824</t>
  </si>
  <si>
    <t>Purchased pressure cooker</t>
  </si>
  <si>
    <t>Total for 935</t>
  </si>
  <si>
    <t>936</t>
  </si>
  <si>
    <t>JV-825</t>
  </si>
  <si>
    <t>Paid for dinner for staff late working</t>
  </si>
  <si>
    <t>Total for 936</t>
  </si>
  <si>
    <t>980</t>
  </si>
  <si>
    <t>Total for 980</t>
  </si>
  <si>
    <t>981</t>
  </si>
  <si>
    <t>Total for 981</t>
  </si>
  <si>
    <t>937</t>
  </si>
  <si>
    <t>11/27/2025</t>
  </si>
  <si>
    <t>JV-826</t>
  </si>
  <si>
    <t>Paid to taxi to Hidayat from Kunar to HQ to Kunar</t>
  </si>
  <si>
    <t>Total for 937</t>
  </si>
  <si>
    <t>950</t>
  </si>
  <si>
    <t>LCI061</t>
  </si>
  <si>
    <t>Total for 950</t>
  </si>
  <si>
    <t>951</t>
  </si>
  <si>
    <t>LCI062</t>
  </si>
  <si>
    <t>Total for 951</t>
  </si>
  <si>
    <t>952</t>
  </si>
  <si>
    <t>LCI063</t>
  </si>
  <si>
    <t>Total for 952</t>
  </si>
  <si>
    <t>953</t>
  </si>
  <si>
    <t>LCI064</t>
  </si>
  <si>
    <t>Total for 953</t>
  </si>
  <si>
    <t>954</t>
  </si>
  <si>
    <t>LCI065</t>
  </si>
  <si>
    <t>Total for 954</t>
  </si>
  <si>
    <t>955</t>
  </si>
  <si>
    <t>LCI066</t>
  </si>
  <si>
    <t>Total for 955</t>
  </si>
  <si>
    <t>956</t>
  </si>
  <si>
    <t>LCI067</t>
  </si>
  <si>
    <t>Total for 956</t>
  </si>
  <si>
    <t>957</t>
  </si>
  <si>
    <t>LCI068</t>
  </si>
  <si>
    <t>Total for 957</t>
  </si>
  <si>
    <t>958</t>
  </si>
  <si>
    <t>LCI069</t>
  </si>
  <si>
    <t>Total for 958</t>
  </si>
  <si>
    <t>959</t>
  </si>
  <si>
    <t>LCI070</t>
  </si>
  <si>
    <t>Total for 959</t>
  </si>
  <si>
    <t>960</t>
  </si>
  <si>
    <t>LCI071</t>
  </si>
  <si>
    <t>Total for 960</t>
  </si>
  <si>
    <t>961</t>
  </si>
  <si>
    <t>LCI072</t>
  </si>
  <si>
    <t>Total for 961</t>
  </si>
  <si>
    <t>962</t>
  </si>
  <si>
    <t>LCI073</t>
  </si>
  <si>
    <t>Total for 962</t>
  </si>
  <si>
    <t>963</t>
  </si>
  <si>
    <t>LCI074</t>
  </si>
  <si>
    <t>Total for 963</t>
  </si>
  <si>
    <t>964</t>
  </si>
  <si>
    <t>LCI075</t>
  </si>
  <si>
    <t>Total for 964</t>
  </si>
  <si>
    <t>965</t>
  </si>
  <si>
    <t>LCI076</t>
  </si>
  <si>
    <t>Total for 965</t>
  </si>
  <si>
    <t>966</t>
  </si>
  <si>
    <t>LCI077</t>
  </si>
  <si>
    <t>Total for 966</t>
  </si>
  <si>
    <t>967</t>
  </si>
  <si>
    <t>LCI078</t>
  </si>
  <si>
    <t>Total for 967</t>
  </si>
  <si>
    <t>968</t>
  </si>
  <si>
    <t>LCI079</t>
  </si>
  <si>
    <t>Total for 968</t>
  </si>
  <si>
    <t>938</t>
  </si>
  <si>
    <t>11/29/2025</t>
  </si>
  <si>
    <t>JV-827</t>
  </si>
  <si>
    <t>Total for 938</t>
  </si>
  <si>
    <t>939</t>
  </si>
  <si>
    <t>JV-828</t>
  </si>
  <si>
    <t>Total for 939</t>
  </si>
  <si>
    <t>940</t>
  </si>
  <si>
    <t>JV-829</t>
  </si>
  <si>
    <t>Paid taxi charges used by Ahmad Shahir Mukhhar for quotations collection</t>
  </si>
  <si>
    <t>Purchased computer portable mouse for office use</t>
  </si>
  <si>
    <t>Total for 940</t>
  </si>
  <si>
    <t>941</t>
  </si>
  <si>
    <t>JV-830</t>
  </si>
  <si>
    <t>Purchased Inventory for Mr. Rafiullah on Murabaha</t>
  </si>
  <si>
    <t>Purchased Inventory for Mr. Hazeerull Stoman on Murabaha</t>
  </si>
  <si>
    <t>Purchased Inventory for Mr. Gul Omar Ameerzada on Murabaha</t>
  </si>
  <si>
    <t>Purchased Inventory for Mr. Akbar Khan Safi on Murabaha</t>
  </si>
  <si>
    <t>Purchased Inventory for Mr. Mohammad Fahim Pardis</t>
  </si>
  <si>
    <t>Purchased Inventory for 5 Clients on Murabaha</t>
  </si>
  <si>
    <t>Total for 941</t>
  </si>
  <si>
    <t>942</t>
  </si>
  <si>
    <t>JV-831</t>
  </si>
  <si>
    <t>Paid by Mr. Laiq Ashan</t>
  </si>
  <si>
    <t>Total for 942</t>
  </si>
  <si>
    <t>969</t>
  </si>
  <si>
    <t>LCI080</t>
  </si>
  <si>
    <t>Total for 969</t>
  </si>
  <si>
    <t>970</t>
  </si>
  <si>
    <t>LCI081</t>
  </si>
  <si>
    <t>Total for 970</t>
  </si>
  <si>
    <t>971</t>
  </si>
  <si>
    <t>LCI082</t>
  </si>
  <si>
    <t>Total for 971</t>
  </si>
  <si>
    <t>972</t>
  </si>
  <si>
    <t>LCI083</t>
  </si>
  <si>
    <t>Total for 972</t>
  </si>
  <si>
    <t>982</t>
  </si>
  <si>
    <t>Total for 982</t>
  </si>
  <si>
    <t>943</t>
  </si>
  <si>
    <t>11/30/2025</t>
  </si>
  <si>
    <t>JV-832</t>
  </si>
  <si>
    <t>Paid taxi used by Hanifullah Momand to receive documents from DAB</t>
  </si>
  <si>
    <t>Total for 943</t>
  </si>
  <si>
    <t>944</t>
  </si>
  <si>
    <t>JV-833</t>
  </si>
  <si>
    <t>Total for 944</t>
  </si>
  <si>
    <t>945</t>
  </si>
  <si>
    <t>JV-834</t>
  </si>
  <si>
    <t>Purchased Gas/Electronic Heather for the CEO office</t>
  </si>
  <si>
    <t>Total for 945</t>
  </si>
  <si>
    <t>946</t>
  </si>
  <si>
    <t>JV-835</t>
  </si>
  <si>
    <t>Total for 946</t>
  </si>
  <si>
    <t>947</t>
  </si>
  <si>
    <t>JV-836</t>
  </si>
  <si>
    <t>Paid by Abdul Ghafoor Payenda Khil</t>
  </si>
  <si>
    <t>Total for 947</t>
  </si>
  <si>
    <t>948</t>
  </si>
  <si>
    <t>JV-837</t>
  </si>
  <si>
    <t>Bank charges for the month of Nov 2025</t>
  </si>
  <si>
    <t>Total for 948</t>
  </si>
  <si>
    <t>949</t>
  </si>
  <si>
    <t>JV-838</t>
  </si>
  <si>
    <t>Kabul Financing officer's salary payable for the month of Nov 2025</t>
  </si>
  <si>
    <t>Kunar Financing officer's salary payable for the month of Nov 2025</t>
  </si>
  <si>
    <t>Jalalabad Financing officer's salary payable for the month of Nov 2025</t>
  </si>
  <si>
    <t>HQ Staff salary payable for the month of Nov 2025</t>
  </si>
  <si>
    <t>20177</t>
  </si>
  <si>
    <t>20150 Salaries and Wages Payable:20177 Ahmad Shahir Mukhtar</t>
  </si>
  <si>
    <t>Jalalabad Staff salary payable for the month of Nov 2025</t>
  </si>
  <si>
    <t>Kunar Staff salary payable for the month of Nov 2025</t>
  </si>
  <si>
    <t>Total for 949</t>
  </si>
  <si>
    <t>973</t>
  </si>
  <si>
    <t>JV-839</t>
  </si>
  <si>
    <t>HQ Office rent for the month of Aqrab 1404</t>
  </si>
  <si>
    <t>Jalalabad Office rent for the month of Aqrab 1404</t>
  </si>
  <si>
    <t>Booking Quickbooks subscription free expense for the month of Nov 2025</t>
  </si>
  <si>
    <t>Total for 973</t>
  </si>
  <si>
    <t>974</t>
  </si>
  <si>
    <t>JV-840</t>
  </si>
  <si>
    <t>Depreciation expense booked for the month of Nov 2025</t>
  </si>
  <si>
    <t>Total for 974</t>
  </si>
  <si>
    <t>975</t>
  </si>
  <si>
    <t>JV-841</t>
  </si>
  <si>
    <t>Booked provision expense for the month of Nov 2025</t>
  </si>
  <si>
    <t>Total for 975</t>
  </si>
  <si>
    <t>976</t>
  </si>
  <si>
    <t>LCI084</t>
  </si>
  <si>
    <t>Total for 976</t>
  </si>
  <si>
    <t>983</t>
  </si>
  <si>
    <t>Total for 983</t>
  </si>
  <si>
    <t>984</t>
  </si>
  <si>
    <t>12/01/2025</t>
  </si>
  <si>
    <t>JV-842</t>
  </si>
  <si>
    <t>Purchased stationery and ink for epson</t>
  </si>
  <si>
    <t>Repaired office PC for Kunar office</t>
  </si>
  <si>
    <t>Repaired office PC for Kunar office and puchase of stationery</t>
  </si>
  <si>
    <t>Electricity bill paid for 4 months of Kunar office</t>
  </si>
  <si>
    <t>Paid for stationery for the Kunar office</t>
  </si>
  <si>
    <t>Advance clearance by Noor Muhammad</t>
  </si>
  <si>
    <t>Total for 984</t>
  </si>
  <si>
    <t>985</t>
  </si>
  <si>
    <t>JV-843</t>
  </si>
  <si>
    <t>Paid for purchase of office small tools</t>
  </si>
  <si>
    <t>Paid for truck rent and loading and unloading of truck.</t>
  </si>
  <si>
    <t>Total for 985</t>
  </si>
  <si>
    <t>986</t>
  </si>
  <si>
    <t>JV-844</t>
  </si>
  <si>
    <t>Taxi used by Latifullah for documents to Azizi Bank</t>
  </si>
  <si>
    <t>Purchased blanket, Mattress, pillow for the office use in Kunar</t>
  </si>
  <si>
    <t>Paid office rent for the month of Sunbula, Mizan, Aqrab and Qaws 1404</t>
  </si>
  <si>
    <t>Jadi 1404 office rent prepaid by Noor Muhammad</t>
  </si>
  <si>
    <t>Internet fee paid for the month of Oct and Dec 2025</t>
  </si>
  <si>
    <t>Total for 986</t>
  </si>
  <si>
    <t>987</t>
  </si>
  <si>
    <t>JV-845</t>
  </si>
  <si>
    <t>Purchase of sheep for charity</t>
  </si>
  <si>
    <t>Salary paid for Mr. Afzal for the month of Nov 2025</t>
  </si>
  <si>
    <t>Total for 987</t>
  </si>
  <si>
    <t>988</t>
  </si>
  <si>
    <t>12/02/2025</t>
  </si>
  <si>
    <t>JV-846</t>
  </si>
  <si>
    <t>Cash withdrawal from AUB for Disbursements in Jalalabad</t>
  </si>
  <si>
    <t>Total for 988</t>
  </si>
  <si>
    <t>989</t>
  </si>
  <si>
    <t>12/03/2025</t>
  </si>
  <si>
    <t>JV-847</t>
  </si>
  <si>
    <t>Paid commission for the purchase of two cars on Murabaha</t>
  </si>
  <si>
    <t>51400</t>
  </si>
  <si>
    <t>51000 Cost of sales:51400 Commission</t>
  </si>
  <si>
    <t>Paid for three months internet fee of Kunar Branch</t>
  </si>
  <si>
    <t>Paid for three months electricity bill of Kunar branch</t>
  </si>
  <si>
    <t>Paid for the branch stationery</t>
  </si>
  <si>
    <t>Total for 989</t>
  </si>
  <si>
    <t>990</t>
  </si>
  <si>
    <t>JV-848</t>
  </si>
  <si>
    <t>Cash received CR# 103 for staff November salary</t>
  </si>
  <si>
    <t>Total for 990</t>
  </si>
  <si>
    <t>991</t>
  </si>
  <si>
    <t>JV-849</t>
  </si>
  <si>
    <t>Staff November 2025 Salary paid</t>
  </si>
  <si>
    <t>Staff October 2025 Salary paid</t>
  </si>
  <si>
    <t>Total for 991</t>
  </si>
  <si>
    <t>1042</t>
  </si>
  <si>
    <t>Total for 1042</t>
  </si>
  <si>
    <t>992</t>
  </si>
  <si>
    <t>12/04/2025</t>
  </si>
  <si>
    <t>JV-850</t>
  </si>
  <si>
    <t>Lunch expense paid for the day</t>
  </si>
  <si>
    <t>Total for 992</t>
  </si>
  <si>
    <t>993</t>
  </si>
  <si>
    <t>JV-851</t>
  </si>
  <si>
    <t>Cash received CR# 104 for Kunar Staff salary for the month of Nov 2025</t>
  </si>
  <si>
    <t>Total for 993</t>
  </si>
  <si>
    <t>994</t>
  </si>
  <si>
    <t>JV-852</t>
  </si>
  <si>
    <t>Kunar staff salary paid for the month of Nov 2025</t>
  </si>
  <si>
    <t>Paid for Hawala cost for Kunar staff salary Nov 2025 cash transfer</t>
  </si>
  <si>
    <t>Total for 994</t>
  </si>
  <si>
    <t>995</t>
  </si>
  <si>
    <t>JV-853</t>
  </si>
  <si>
    <t>Cash received CR# 105 for Jalalabad Staff salary for the month of Nov 2025</t>
  </si>
  <si>
    <t>Total for 995</t>
  </si>
  <si>
    <t>996</t>
  </si>
  <si>
    <t>JV-854</t>
  </si>
  <si>
    <t>Jalalabad Staff salary paid for the month of Nov 2025</t>
  </si>
  <si>
    <t>Total for 996</t>
  </si>
  <si>
    <t>997</t>
  </si>
  <si>
    <t>12/06/2025</t>
  </si>
  <si>
    <t>JV-855</t>
  </si>
  <si>
    <t>Paid for mineral water for staff use</t>
  </si>
  <si>
    <t>Total for 997</t>
  </si>
  <si>
    <t>998</t>
  </si>
  <si>
    <t>JV-856</t>
  </si>
  <si>
    <t>Cash withdrawal from AUB for disbursement in Kunar</t>
  </si>
  <si>
    <t>Total for 998</t>
  </si>
  <si>
    <t>999</t>
  </si>
  <si>
    <t>12/07/2025</t>
  </si>
  <si>
    <t>JV-857</t>
  </si>
  <si>
    <t>Purchased attendance machine K60 Model ZKTeco SN 207</t>
  </si>
  <si>
    <t>Taxi used to purchase the machine</t>
  </si>
  <si>
    <t>Total for 999</t>
  </si>
  <si>
    <t>1000</t>
  </si>
  <si>
    <t>JV-858</t>
  </si>
  <si>
    <t>Paid for breads expense for one month to date</t>
  </si>
  <si>
    <t>Total for 1000</t>
  </si>
  <si>
    <t>1001</t>
  </si>
  <si>
    <t>JV-859</t>
  </si>
  <si>
    <t>Small batteries</t>
  </si>
  <si>
    <t>Paid for staff lunch expenses and small batteries</t>
  </si>
  <si>
    <t>Total for 1001</t>
  </si>
  <si>
    <t>1002</t>
  </si>
  <si>
    <t>JV-860</t>
  </si>
  <si>
    <t>Total for 1002</t>
  </si>
  <si>
    <t>1003</t>
  </si>
  <si>
    <t>JV-861</t>
  </si>
  <si>
    <t>Cash received CR #106 for Jalalabad office rent, internet, electicity, stationery, taxi, branch food allowances for Nov 2025 and Noor Muhammad travel allowances</t>
  </si>
  <si>
    <t>Paid for Nov food allowances</t>
  </si>
  <si>
    <t>Advance paid to Noor Muhammad for Jalalabad office rent, internet, electricity, stationery, taxi, and Noor Muhammad travel allowances</t>
  </si>
  <si>
    <t>Cash Received CR# 107 for Internet, Electricity, Laptop repair, and office rent for the month of Qaws and Jadi 2025 and staff food allowance for the month of Nov 2025</t>
  </si>
  <si>
    <t>Food allowance paid for the month of Nov 2025</t>
  </si>
  <si>
    <t>Advance paid to Hedayat for Internet, Electricity, Laptop repair, and office rent for the month of Qaws and Jadi 2025</t>
  </si>
  <si>
    <t>Total for 1003</t>
  </si>
  <si>
    <t>1004</t>
  </si>
  <si>
    <t>12/08/2025</t>
  </si>
  <si>
    <t>JV-862</t>
  </si>
  <si>
    <t>Paid for stationery for HQ office use</t>
  </si>
  <si>
    <t>Total for 1004</t>
  </si>
  <si>
    <t>1005</t>
  </si>
  <si>
    <t>JV-863</t>
  </si>
  <si>
    <t>Paid for staff lunch and loading of car</t>
  </si>
  <si>
    <t>Total for 1005</t>
  </si>
  <si>
    <t>1006</t>
  </si>
  <si>
    <t>JV-864</t>
  </si>
  <si>
    <t>Total for 1006</t>
  </si>
  <si>
    <t>1007</t>
  </si>
  <si>
    <t>JV-865</t>
  </si>
  <si>
    <t>Paid for cleaning items and food expense</t>
  </si>
  <si>
    <t>Total for 1007</t>
  </si>
  <si>
    <t>1008</t>
  </si>
  <si>
    <t>JV-866</t>
  </si>
  <si>
    <t>Cash Received for Murabaha Loan Disbursement (CR-110)</t>
  </si>
  <si>
    <t>Total for 1008</t>
  </si>
  <si>
    <t>1009</t>
  </si>
  <si>
    <t>JV-867</t>
  </si>
  <si>
    <t>Murabaha Loan paid to Zarmina Obaidi</t>
  </si>
  <si>
    <t>Taxi used for the purchase of inventory</t>
  </si>
  <si>
    <t>Paid for truck rent loading and unloading for Murabaha inventory</t>
  </si>
  <si>
    <t>Total for 1009</t>
  </si>
  <si>
    <t>1010</t>
  </si>
  <si>
    <t>LCI085</t>
  </si>
  <si>
    <t>Total for 1010</t>
  </si>
  <si>
    <t>1011</t>
  </si>
  <si>
    <t>JV-868</t>
  </si>
  <si>
    <t>Taxi used by Mujeeb u Rahman Barakzai for training in Kabul star Hotel</t>
  </si>
  <si>
    <t>Total for 1011</t>
  </si>
  <si>
    <t>1012</t>
  </si>
  <si>
    <t>12/09/2025</t>
  </si>
  <si>
    <t>JV-869</t>
  </si>
  <si>
    <t>Paid for electricity bill for the month of Aqrab 1404</t>
  </si>
  <si>
    <t>Total for 1012</t>
  </si>
  <si>
    <t>1013</t>
  </si>
  <si>
    <t>JV-870</t>
  </si>
  <si>
    <t>Paid internet fee for the month of Dec 2025</t>
  </si>
  <si>
    <t>Total for 1013</t>
  </si>
  <si>
    <t>1043</t>
  </si>
  <si>
    <t>Total for 1043</t>
  </si>
  <si>
    <t>1044</t>
  </si>
  <si>
    <t>Total for 1044</t>
  </si>
  <si>
    <t>1045</t>
  </si>
  <si>
    <t>Total for 1045</t>
  </si>
  <si>
    <t>1014</t>
  </si>
  <si>
    <t>12/10/2025</t>
  </si>
  <si>
    <t>JV-871</t>
  </si>
  <si>
    <t>Cash Withdrawal from Azizi Bank by Latifullah Cheque # 02065403</t>
  </si>
  <si>
    <t>Total for 1014</t>
  </si>
  <si>
    <t>1015</t>
  </si>
  <si>
    <t>JV-872</t>
  </si>
  <si>
    <t>Paid for liquid gas for the office warming</t>
  </si>
  <si>
    <t>Total for 1015</t>
  </si>
  <si>
    <t>1016</t>
  </si>
  <si>
    <t>JV-873</t>
  </si>
  <si>
    <t>Paid for purchase of 3 power extensions</t>
  </si>
  <si>
    <t>Total for 1016</t>
  </si>
  <si>
    <t>1017</t>
  </si>
  <si>
    <t>JV-874</t>
  </si>
  <si>
    <t>Paid for the maintenance of biometric attendance machine</t>
  </si>
  <si>
    <t>Total for 1017</t>
  </si>
  <si>
    <t>1018</t>
  </si>
  <si>
    <t>JV-875</t>
  </si>
  <si>
    <t>Purchased three Dell 7410 Core I5 10th Generation 16GB RAM, 512GB SSD Laptop for the office use</t>
  </si>
  <si>
    <t>Total for 1018</t>
  </si>
  <si>
    <t>1019</t>
  </si>
  <si>
    <t>JV-876</t>
  </si>
  <si>
    <t>Purchased one mouse and 2 mouse pads for the finance department</t>
  </si>
  <si>
    <t>Total for 1019</t>
  </si>
  <si>
    <t>1020</t>
  </si>
  <si>
    <t>12/11/2025</t>
  </si>
  <si>
    <t>JV-877</t>
  </si>
  <si>
    <t>Purchased Contract cover for MISFA contract</t>
  </si>
  <si>
    <t>Total for 1020</t>
  </si>
  <si>
    <t>1021</t>
  </si>
  <si>
    <t>JV-878</t>
  </si>
  <si>
    <t>Taxi used by Liaqat for Shahr e Now and Qalai e Fathullah for the office work</t>
  </si>
  <si>
    <t>Total for 1021</t>
  </si>
  <si>
    <t>1022</t>
  </si>
  <si>
    <t>JV-879</t>
  </si>
  <si>
    <t>Taxi used by Gulzar for purchase of Contract cover for MISFA</t>
  </si>
  <si>
    <t>Total for 1022</t>
  </si>
  <si>
    <t>1023</t>
  </si>
  <si>
    <t>12/13/2025</t>
  </si>
  <si>
    <t>JV-880</t>
  </si>
  <si>
    <t>Paid for the purchase of meal for guests</t>
  </si>
  <si>
    <t>Total for 1023</t>
  </si>
  <si>
    <t>1024</t>
  </si>
  <si>
    <t>JV-881</t>
  </si>
  <si>
    <t>Paid for Liquid gas</t>
  </si>
  <si>
    <t>Total for 1024</t>
  </si>
  <si>
    <t>1025</t>
  </si>
  <si>
    <t>JV-882</t>
  </si>
  <si>
    <t>Total for 1025</t>
  </si>
  <si>
    <t>1026</t>
  </si>
  <si>
    <t>JV-883</t>
  </si>
  <si>
    <t>Paid for taxi used by Guzar, Omid Ahmadzai, Liaqat Ogra Khil and Wahidullah for the purchase of furniture</t>
  </si>
  <si>
    <t>Total for 1026</t>
  </si>
  <si>
    <t>1027</t>
  </si>
  <si>
    <t>12/14/2025</t>
  </si>
  <si>
    <t>JV-884</t>
  </si>
  <si>
    <t>Total for 1027</t>
  </si>
  <si>
    <t>1028</t>
  </si>
  <si>
    <t>JV-885</t>
  </si>
  <si>
    <t>Paid for lunch expense and purchase of cells</t>
  </si>
  <si>
    <t>Total for 1028</t>
  </si>
  <si>
    <t>1029</t>
  </si>
  <si>
    <t>JV-886</t>
  </si>
  <si>
    <t>Withdrawal from AUB AFN Account</t>
  </si>
  <si>
    <t>Total for 1029</t>
  </si>
  <si>
    <t>1030</t>
  </si>
  <si>
    <t>JV-887</t>
  </si>
  <si>
    <t>Purchased hanging files for the customer's files</t>
  </si>
  <si>
    <t>Purchased 2 file cabinets for customer's file storages</t>
  </si>
  <si>
    <t>Purchased one office chair</t>
  </si>
  <si>
    <t>Total for 1030</t>
  </si>
  <si>
    <t>1031</t>
  </si>
  <si>
    <t>12/15/2025</t>
  </si>
  <si>
    <t>JV-888</t>
  </si>
  <si>
    <t>Purchased monthly food for staff lunch</t>
  </si>
  <si>
    <t>Total for 1031</t>
  </si>
  <si>
    <t>1032</t>
  </si>
  <si>
    <t>JV-889</t>
  </si>
  <si>
    <t>Purchased thermos, plastic tray, tea glasses, plates and feeder for the kitchen</t>
  </si>
  <si>
    <t>Purchased dustbin</t>
  </si>
  <si>
    <t>Paid for lunch food</t>
  </si>
  <si>
    <t>Paid for gas for the office worming</t>
  </si>
  <si>
    <t>Purchased some items for repairing and plumbing work</t>
  </si>
  <si>
    <t>Total for 1032</t>
  </si>
  <si>
    <t>1033</t>
  </si>
  <si>
    <t>JV-890</t>
  </si>
  <si>
    <t>Salary advance paid to Liaqat Ogra Khil</t>
  </si>
  <si>
    <t>Total for 1033</t>
  </si>
  <si>
    <t>1046</t>
  </si>
  <si>
    <t>Total for 1046</t>
  </si>
  <si>
    <t>1047</t>
  </si>
  <si>
    <t>Total for 1047</t>
  </si>
  <si>
    <t>1048</t>
  </si>
  <si>
    <t>Total for 1048</t>
  </si>
  <si>
    <t>1034</t>
  </si>
  <si>
    <t>12/16/2025</t>
  </si>
  <si>
    <t>JV-891</t>
  </si>
  <si>
    <t>Purchased collateral logbook, and key registration book</t>
  </si>
  <si>
    <t>Paid for lunch expenses and purchase of collateral logbook and key registration book</t>
  </si>
  <si>
    <t>Total for 1034</t>
  </si>
  <si>
    <t>1035</t>
  </si>
  <si>
    <t>JV-892</t>
  </si>
  <si>
    <t>Cash withdrawal from Azizi Bank Cheque # 02065404</t>
  </si>
  <si>
    <t>Total for 1035</t>
  </si>
  <si>
    <t>1036</t>
  </si>
  <si>
    <t>JV-893</t>
  </si>
  <si>
    <t>Car fuel used by Shahpoor khan for multiple office work during months.</t>
  </si>
  <si>
    <t>Total for 1036</t>
  </si>
  <si>
    <t>1037</t>
  </si>
  <si>
    <t>JV-894</t>
  </si>
  <si>
    <t>Paid for credit cards</t>
  </si>
  <si>
    <t>Total for 1037</t>
  </si>
  <si>
    <t>1038</t>
  </si>
  <si>
    <t>JV-895</t>
  </si>
  <si>
    <t>Hotel stay for 16 night of Shahpoor in Kunar</t>
  </si>
  <si>
    <t>60700</t>
  </si>
  <si>
    <t>60700 Travel &amp; Accommodation</t>
  </si>
  <si>
    <t>Paid for food expense by Shapoor during the travel</t>
  </si>
  <si>
    <t>Purchased one mouse for the office use</t>
  </si>
  <si>
    <t>Purchased stationery for office use in Kunar</t>
  </si>
  <si>
    <t>Total for 1038</t>
  </si>
  <si>
    <t>1039</t>
  </si>
  <si>
    <t>JV-896</t>
  </si>
  <si>
    <t>Paid by Shahpoor for 4 night in Jalalabad</t>
  </si>
  <si>
    <t>Paid by Shahpoor for Lunch during th travel</t>
  </si>
  <si>
    <t>Paid by Shahpoor for Lunch and night stay in Jalalabad</t>
  </si>
  <si>
    <t>Total for 1039</t>
  </si>
  <si>
    <t>1040</t>
  </si>
  <si>
    <t>JV-897</t>
  </si>
  <si>
    <t>Internet fee for the month of Sep 2025 Jalalabad office</t>
  </si>
  <si>
    <t>Paid for router and cable for the Jalalabad office</t>
  </si>
  <si>
    <t>Paid for router and cable for the Jalalabad office and internet fee for the month of Sep 2025</t>
  </si>
  <si>
    <t>Total for 1040</t>
  </si>
  <si>
    <t>1041</t>
  </si>
  <si>
    <t>JV-898</t>
  </si>
  <si>
    <t>Paid by Shahpoor for printing materials in Jalalabad</t>
  </si>
  <si>
    <t>Paid by Shahpoor for stationery for the office use in Jalalabad</t>
  </si>
  <si>
    <t>Paid by Shahpoor for the purchase of some cleaning materials, dustbins, sandals etc for the office use</t>
  </si>
  <si>
    <t>Paid by Shahpoor for his lunch expense during the travel</t>
  </si>
  <si>
    <t>Paid by Shahpoor for room rent</t>
  </si>
  <si>
    <t>Paid by Shahpoor for taxi for the office work</t>
  </si>
  <si>
    <t>Paid by Shahpoor for credit card used for the office work</t>
  </si>
  <si>
    <t>Paid by Shahpoor for refreshment</t>
  </si>
  <si>
    <t>Paid by Shahpoor for travel expenses during his travel to Jalalabad</t>
  </si>
  <si>
    <t>Total for 1041</t>
  </si>
  <si>
    <t>1049</t>
  </si>
  <si>
    <t>Total for 1049</t>
  </si>
  <si>
    <t>1050</t>
  </si>
  <si>
    <t>Total for 1050</t>
  </si>
  <si>
    <t>1051</t>
  </si>
  <si>
    <t>Total for 1051</t>
  </si>
  <si>
    <t>1052</t>
  </si>
  <si>
    <t>Total for 1052</t>
  </si>
  <si>
    <t>1053</t>
  </si>
  <si>
    <t>Total for 1053</t>
  </si>
  <si>
    <t>1062</t>
  </si>
  <si>
    <t>JV-899</t>
  </si>
  <si>
    <t>Paid for red meat for lunch</t>
  </si>
  <si>
    <t>Total for 1062</t>
  </si>
  <si>
    <t>1063</t>
  </si>
  <si>
    <t>JV-900</t>
  </si>
  <si>
    <t>Paid for gas by Wahidullah and wages for delivery</t>
  </si>
  <si>
    <t>Total for 1063</t>
  </si>
  <si>
    <t>1064</t>
  </si>
  <si>
    <t>JV-901</t>
  </si>
  <si>
    <t>Total for 1064</t>
  </si>
  <si>
    <t>1054</t>
  </si>
  <si>
    <t>12/17/2025</t>
  </si>
  <si>
    <t>Paid the first installement only the principle amount</t>
  </si>
  <si>
    <t>Total for 1054</t>
  </si>
  <si>
    <t>1055</t>
  </si>
  <si>
    <t>Total for 1055</t>
  </si>
  <si>
    <t>1056</t>
  </si>
  <si>
    <t>Total for 1056</t>
  </si>
  <si>
    <t>1057</t>
  </si>
  <si>
    <t>Total for 1057</t>
  </si>
  <si>
    <t>1058</t>
  </si>
  <si>
    <t>Total for 1058</t>
  </si>
  <si>
    <t>1059</t>
  </si>
  <si>
    <t>Total for 1059</t>
  </si>
  <si>
    <t>1060</t>
  </si>
  <si>
    <t>Total for 1060</t>
  </si>
  <si>
    <t>1061</t>
  </si>
  <si>
    <t>Total for 1061</t>
  </si>
  <si>
    <t>1065</t>
  </si>
  <si>
    <t>JV-902</t>
  </si>
  <si>
    <t>Total for 1065</t>
  </si>
  <si>
    <t>1066</t>
  </si>
  <si>
    <t>12/18/2025</t>
  </si>
  <si>
    <t>JV-903</t>
  </si>
  <si>
    <t>Purchase of Heater for COO office</t>
  </si>
  <si>
    <t>Purchase of gas ballons for the office use</t>
  </si>
  <si>
    <t>60408</t>
  </si>
  <si>
    <t>60100 Admin Costs:60408 Small tools, furnishings, &amp; equipment</t>
  </si>
  <si>
    <t>Purchase of pipe and circulation for heater</t>
  </si>
  <si>
    <t>Purchase of heater, gas ballon, and pipe and circulation for heater</t>
  </si>
  <si>
    <t>Total for 1066</t>
  </si>
  <si>
    <t>1067</t>
  </si>
  <si>
    <t>JV-904</t>
  </si>
  <si>
    <t>Paid for taxi by Gulzar Khan for the purchase of heaters</t>
  </si>
  <si>
    <t>Total for 1067</t>
  </si>
  <si>
    <t>1095</t>
  </si>
  <si>
    <t>Paid five installments together, 4, 5, 6, 7 and 8.</t>
  </si>
  <si>
    <t>Total for 1095</t>
  </si>
  <si>
    <t>1096</t>
  </si>
  <si>
    <t>Total for 1096</t>
  </si>
  <si>
    <t>1097</t>
  </si>
  <si>
    <t>Total for 1097</t>
  </si>
  <si>
    <t>1100</t>
  </si>
  <si>
    <t>Total for 1100</t>
  </si>
  <si>
    <t>1068</t>
  </si>
  <si>
    <t>12/20/2025</t>
  </si>
  <si>
    <t>JV-905</t>
  </si>
  <si>
    <t>Purchased liquid gas for the office heating</t>
  </si>
  <si>
    <t>Purchased circulation for heaters</t>
  </si>
  <si>
    <t>Purchased circulation for heaters and gas</t>
  </si>
  <si>
    <t>Total for 1068</t>
  </si>
  <si>
    <t>1069</t>
  </si>
  <si>
    <t>JV-906</t>
  </si>
  <si>
    <t>Paid for food for lunch</t>
  </si>
  <si>
    <t>Total for 1069</t>
  </si>
  <si>
    <t>1070</t>
  </si>
  <si>
    <t>JV-907</t>
  </si>
  <si>
    <t>Purchased heater for CEO office</t>
  </si>
  <si>
    <t>Paid for liquid gas for the office heating</t>
  </si>
  <si>
    <t>Purchased pipe and circulation</t>
  </si>
  <si>
    <t>Purchased Heater, Gas and pipe and circulation</t>
  </si>
  <si>
    <t>Total for 1070</t>
  </si>
  <si>
    <t>1101</t>
  </si>
  <si>
    <t>Total for 1101</t>
  </si>
  <si>
    <t>1102</t>
  </si>
  <si>
    <t>Total for 1102</t>
  </si>
  <si>
    <t>1071</t>
  </si>
  <si>
    <t>12/21/2025</t>
  </si>
  <si>
    <t>JV-908</t>
  </si>
  <si>
    <t>Cash Received CR# 111 for the office rent for 2 months Qaws and Jadi 1404</t>
  </si>
  <si>
    <t>Prepaid office rent for the month of Jadi 1404</t>
  </si>
  <si>
    <t>Office rent paid for the month of Qaws 1404</t>
  </si>
  <si>
    <t>Rent taxi payable for the month of Qaws 1404</t>
  </si>
  <si>
    <t>Office rent paid for the month of Qaws and Jadi 1404</t>
  </si>
  <si>
    <t>Total for 1071</t>
  </si>
  <si>
    <t>1072</t>
  </si>
  <si>
    <t>JV-909</t>
  </si>
  <si>
    <t>Paid for lunch expenses of the day</t>
  </si>
  <si>
    <t>Total for 1072</t>
  </si>
  <si>
    <t>1073</t>
  </si>
  <si>
    <t>JV-910</t>
  </si>
  <si>
    <t>Paid for liquid gas for heating and delivery wage</t>
  </si>
  <si>
    <t>Total for 1073</t>
  </si>
  <si>
    <t>1074</t>
  </si>
  <si>
    <t>JV-911</t>
  </si>
  <si>
    <t>Paid for taxi by Latif to bring cash</t>
  </si>
  <si>
    <t>Total for 1074</t>
  </si>
  <si>
    <t>1075</t>
  </si>
  <si>
    <t>JV-912</t>
  </si>
  <si>
    <t>Paid for taxi for the purchase of heaters from city</t>
  </si>
  <si>
    <t>Total for 1075</t>
  </si>
  <si>
    <t>1103</t>
  </si>
  <si>
    <t>Total for 1103</t>
  </si>
  <si>
    <t>1104</t>
  </si>
  <si>
    <t>Total for 1104</t>
  </si>
  <si>
    <t>1105</t>
  </si>
  <si>
    <t>Total for 1105</t>
  </si>
  <si>
    <t>1106</t>
  </si>
  <si>
    <t>Total for 1106</t>
  </si>
  <si>
    <t>1107</t>
  </si>
  <si>
    <t>Total for 1107</t>
  </si>
  <si>
    <t>1076</t>
  </si>
  <si>
    <t>12/22/2025</t>
  </si>
  <si>
    <t>JV-913</t>
  </si>
  <si>
    <t>Paid for tissue paper and lunch expense</t>
  </si>
  <si>
    <t>Total for 1076</t>
  </si>
  <si>
    <t>1077</t>
  </si>
  <si>
    <t>JV-914</t>
  </si>
  <si>
    <t>Paid for taxi by Gulzar for the purchase of heaters</t>
  </si>
  <si>
    <t>Total for 1077</t>
  </si>
  <si>
    <t>1078</t>
  </si>
  <si>
    <t>JV-915</t>
  </si>
  <si>
    <t>Paid travel advance to Hanifullah Momand to Kunar and Nanagarhar</t>
  </si>
  <si>
    <t>Total for 1078</t>
  </si>
  <si>
    <t>1108</t>
  </si>
  <si>
    <t>Total for 1108</t>
  </si>
  <si>
    <t>1079</t>
  </si>
  <si>
    <t>12/23/2025</t>
  </si>
  <si>
    <t>JV-916</t>
  </si>
  <si>
    <t>Paid for the power generator</t>
  </si>
  <si>
    <t>Cake and milk for BOS meeting</t>
  </si>
  <si>
    <t>Paid for the power generator and cake and milk for BOS meeting</t>
  </si>
  <si>
    <t>Total for 1079</t>
  </si>
  <si>
    <t>1080</t>
  </si>
  <si>
    <t>JV-917</t>
  </si>
  <si>
    <t>Paid for fuel for the power generator and refreshment for BOS meeting</t>
  </si>
  <si>
    <t>Total for 1080</t>
  </si>
  <si>
    <t>1081</t>
  </si>
  <si>
    <t>JV-918</t>
  </si>
  <si>
    <t>Fund received from MISFA on Qard ul Hasana</t>
  </si>
  <si>
    <t>10207</t>
  </si>
  <si>
    <t>10000 Cash and cash equivalents:10200 Cash at Bank:10207 Cash at Bank (Azizi-AFN-MISFA)</t>
  </si>
  <si>
    <t>20121</t>
  </si>
  <si>
    <t>20120 Donor's Funds:20121 MISFA</t>
  </si>
  <si>
    <t>Total for 1081</t>
  </si>
  <si>
    <t>1082</t>
  </si>
  <si>
    <t>JV-919</t>
  </si>
  <si>
    <t>MISFA Fund transfer charges to the joint account</t>
  </si>
  <si>
    <t>Paid for cheque book printing</t>
  </si>
  <si>
    <t>Total for 1082</t>
  </si>
  <si>
    <t>1083</t>
  </si>
  <si>
    <t>JV-920</t>
  </si>
  <si>
    <t>Paid for taxi by Latif Salarzai for the delivery of documents to Azizi Bank</t>
  </si>
  <si>
    <t>Total for 1083</t>
  </si>
  <si>
    <t>1084</t>
  </si>
  <si>
    <t>JV-921</t>
  </si>
  <si>
    <t>Taxi used by Gulzar for delivery of documents to DAB</t>
  </si>
  <si>
    <t>Total for 1084</t>
  </si>
  <si>
    <t>1085</t>
  </si>
  <si>
    <t>JV-922</t>
  </si>
  <si>
    <t>Total for 1085</t>
  </si>
  <si>
    <t>1109</t>
  </si>
  <si>
    <t>Total for 1109</t>
  </si>
  <si>
    <t>1110</t>
  </si>
  <si>
    <t>Total for 1110</t>
  </si>
  <si>
    <t>1111</t>
  </si>
  <si>
    <t>Total for 1111</t>
  </si>
  <si>
    <t>1112</t>
  </si>
  <si>
    <t>Total for 1112</t>
  </si>
  <si>
    <t>1086</t>
  </si>
  <si>
    <t>12/24/2025</t>
  </si>
  <si>
    <t>JV-923</t>
  </si>
  <si>
    <t>Taxi used by Gulzar Khan for delivery of documents to DAB</t>
  </si>
  <si>
    <t>Total for 1086</t>
  </si>
  <si>
    <t>1087</t>
  </si>
  <si>
    <t>JV-924</t>
  </si>
  <si>
    <t>Paid for staff food expense for late stay</t>
  </si>
  <si>
    <t>Paid for liquid gas for office warming</t>
  </si>
  <si>
    <t>Total for 1087</t>
  </si>
  <si>
    <t>1113</t>
  </si>
  <si>
    <t>Total for 1113</t>
  </si>
  <si>
    <t>1114</t>
  </si>
  <si>
    <t>Total for 1114</t>
  </si>
  <si>
    <t>1088</t>
  </si>
  <si>
    <t>12/25/2025</t>
  </si>
  <si>
    <t>JV-925</t>
  </si>
  <si>
    <t>Total for 1088</t>
  </si>
  <si>
    <t>1089</t>
  </si>
  <si>
    <t>JV-926</t>
  </si>
  <si>
    <t>Total for 1089</t>
  </si>
  <si>
    <t>1090</t>
  </si>
  <si>
    <t>12/27/2025</t>
  </si>
  <si>
    <t>JV-927</t>
  </si>
  <si>
    <t>Paid for taxi by Gulzar khan for delivery of documents to DAB</t>
  </si>
  <si>
    <t>Total for 1090</t>
  </si>
  <si>
    <t>1115</t>
  </si>
  <si>
    <t>Total for 1115</t>
  </si>
  <si>
    <t>1091</t>
  </si>
  <si>
    <t>12/28/2025</t>
  </si>
  <si>
    <t>JV-928</t>
  </si>
  <si>
    <t>Paid staff lunch in market</t>
  </si>
  <si>
    <t>Paid for lunch expense of the staff</t>
  </si>
  <si>
    <t>Paid for gas for the office heating</t>
  </si>
  <si>
    <t>Paid for gas for the office heating and staff lunch expense</t>
  </si>
  <si>
    <t>Taxi used by Gulzar and Laiqat for delivery of documents to DAB</t>
  </si>
  <si>
    <t>Total for 1091</t>
  </si>
  <si>
    <t>1092</t>
  </si>
  <si>
    <t>JV-929</t>
  </si>
  <si>
    <t>Cash received from Azizi Bank for daily office expenses</t>
  </si>
  <si>
    <t>Total for 1092</t>
  </si>
  <si>
    <t>1093</t>
  </si>
  <si>
    <t>JV-930</t>
  </si>
  <si>
    <t>Purchased two Computers for the office staff</t>
  </si>
  <si>
    <t>Total for 1093</t>
  </si>
  <si>
    <t>1116</t>
  </si>
  <si>
    <t>Total for 1116</t>
  </si>
  <si>
    <t>1117</t>
  </si>
  <si>
    <t>Total for 1117</t>
  </si>
  <si>
    <t>1118</t>
  </si>
  <si>
    <t>Total for 1118</t>
  </si>
  <si>
    <t>1119</t>
  </si>
  <si>
    <t>Total for 1119</t>
  </si>
  <si>
    <t>1094</t>
  </si>
  <si>
    <t>12/29/2025</t>
  </si>
  <si>
    <t>JV-931</t>
  </si>
  <si>
    <t>Total for 1094</t>
  </si>
  <si>
    <t>1120</t>
  </si>
  <si>
    <t>12/30/2025</t>
  </si>
  <si>
    <t>JV-932</t>
  </si>
  <si>
    <t>Taxi used by Zuhra Nadeem to Kabul Star Training</t>
  </si>
  <si>
    <t>Total for 1120</t>
  </si>
  <si>
    <t>1121</t>
  </si>
  <si>
    <t>JV-933</t>
  </si>
  <si>
    <t>Purchased Vacuum cleaner for the HQ office</t>
  </si>
  <si>
    <t>Paid for gas for the office warming</t>
  </si>
  <si>
    <t>Paid for gas for the office warming and purchased one vacuum cleaner</t>
  </si>
  <si>
    <t>Total for 1121</t>
  </si>
  <si>
    <t>1122</t>
  </si>
  <si>
    <t>JV-934</t>
  </si>
  <si>
    <t>Taxi used by Liaqat for delivery of documents to Dehmazng DAB office</t>
  </si>
  <si>
    <t>Taxi used by Liaqat for the purchase of equipment of the HQ Office and delivery of documents</t>
  </si>
  <si>
    <t>Total for 1122</t>
  </si>
  <si>
    <t>1123</t>
  </si>
  <si>
    <t>JV-935</t>
  </si>
  <si>
    <t>Total for 1123</t>
  </si>
  <si>
    <t>1124</t>
  </si>
  <si>
    <t>12/31/2025</t>
  </si>
  <si>
    <t>JV-936</t>
  </si>
  <si>
    <t>Staff had lunch during official working outside office</t>
  </si>
  <si>
    <t>Total for 1124</t>
  </si>
  <si>
    <t>1125</t>
  </si>
  <si>
    <t>JV-937</t>
  </si>
  <si>
    <t>Paid for fuel of power generator</t>
  </si>
  <si>
    <t>Paid for gas for the office warming and fuel for the power generator</t>
  </si>
  <si>
    <t>Total for 1125</t>
  </si>
  <si>
    <t>1126</t>
  </si>
  <si>
    <t>JV-938</t>
  </si>
  <si>
    <t>Paid for the mineral water used by staff</t>
  </si>
  <si>
    <t>Total for 1126</t>
  </si>
  <si>
    <t>1127</t>
  </si>
  <si>
    <t>JV-939</t>
  </si>
  <si>
    <t>Paid staff lunch expense</t>
  </si>
  <si>
    <t>Paid staff lunch expense and fuel for the power generator</t>
  </si>
  <si>
    <t>Total for 1127</t>
  </si>
  <si>
    <t>1128</t>
  </si>
  <si>
    <t>JV-940</t>
  </si>
  <si>
    <t>Paid for guards Friday lunch expense</t>
  </si>
  <si>
    <t>Total for 1128</t>
  </si>
  <si>
    <t>1129</t>
  </si>
  <si>
    <t>JV-941</t>
  </si>
  <si>
    <t>Food expense made by staff during travel to Nangarhar and Kunar branches</t>
  </si>
  <si>
    <t>Premium paid to Hanifullah for traveling to Kunar and Jalalabad</t>
  </si>
  <si>
    <t>60002</t>
  </si>
  <si>
    <t>60000 Personnel Costs:60002 Stipends</t>
  </si>
  <si>
    <t>Taxi used by Hanifullah for traveling to Kunar and Jalalabad</t>
  </si>
  <si>
    <t>Received cash back from Hanifullah Momand</t>
  </si>
  <si>
    <t>Travel expenses by Hanifullah to Kunar and Jalalabad</t>
  </si>
  <si>
    <t>Total for 1129</t>
  </si>
  <si>
    <t>1130</t>
  </si>
  <si>
    <t>JV-942</t>
  </si>
  <si>
    <t>Kabul Financing officer's salary payable for the month of Dec 2025</t>
  </si>
  <si>
    <t>Kunar Financing officer's salary payable for the month of Dec 2025</t>
  </si>
  <si>
    <t>Jalalabad Financing officer's salary payable for the month of Dec 2025</t>
  </si>
  <si>
    <t>HQ Staff salary payable for the month of Dec 2025</t>
  </si>
  <si>
    <t>20178</t>
  </si>
  <si>
    <t>20150 Salaries and Wages Payable:20178 Omid Habibi</t>
  </si>
  <si>
    <t>20179</t>
  </si>
  <si>
    <t>20150 Salaries and Wages Payable:20179 Zabihullah Ahmadi</t>
  </si>
  <si>
    <t>20180</t>
  </si>
  <si>
    <t>20150 Salaries and Wages Payable:20180 Mohammad Gulzar Amiri</t>
  </si>
  <si>
    <t>20181</t>
  </si>
  <si>
    <t>20150 Salaries and Wages Payable:20181 Wahidullah</t>
  </si>
  <si>
    <t>Jalalabad Staff salary payable for the month of Dec 2025</t>
  </si>
  <si>
    <t>20182</t>
  </si>
  <si>
    <t>20150 Salaries and Wages Payable:20182 Ihsanullah Shinwari</t>
  </si>
  <si>
    <t>Kunar Staff salary payable for the month of Dec 2025</t>
  </si>
  <si>
    <t>Staff salary withheld for the month of Dec 2025</t>
  </si>
  <si>
    <t>Total for 1130</t>
  </si>
  <si>
    <t>1133</t>
  </si>
  <si>
    <t>JV-943</t>
  </si>
  <si>
    <t>Bank Charges for the month of Dec 2025</t>
  </si>
  <si>
    <t>Total for 1133</t>
  </si>
  <si>
    <t>1134</t>
  </si>
  <si>
    <t>JV-944</t>
  </si>
  <si>
    <t>2% provision booked for the month of Dec 2025</t>
  </si>
  <si>
    <t>Total for 1134</t>
  </si>
  <si>
    <t>1135</t>
  </si>
  <si>
    <t>JV-945</t>
  </si>
  <si>
    <t>Depreciation booked for the month of Dec 2025</t>
  </si>
  <si>
    <t>Total for 1135</t>
  </si>
  <si>
    <t>1136</t>
  </si>
  <si>
    <t>JV-946</t>
  </si>
  <si>
    <t>Adjustment to bank charges missed to book in previous months of 2025</t>
  </si>
  <si>
    <t>Total for 1136</t>
  </si>
  <si>
    <t>1137</t>
  </si>
  <si>
    <t>JV-947</t>
  </si>
  <si>
    <t>Purchased inventory on murabaha loan for Mr. Abdul Zahir</t>
  </si>
  <si>
    <t>Purchased inventory on murabaha loan for Abdulllah</t>
  </si>
  <si>
    <t>Purchased inventory on murabaha loan for Ismail Khan</t>
  </si>
  <si>
    <t>Purchased inventory on murabaha loan for Mr. Jamil</t>
  </si>
  <si>
    <t>Purchased inventory on murabaha loan for Mr. Shir Ahmad</t>
  </si>
  <si>
    <t>Purchased inventory on murabaha loan for Mr. Waheedulah</t>
  </si>
  <si>
    <t>Purchased inventory on murabaha loan for Mr. Walayat</t>
  </si>
  <si>
    <t>Purchased inventory on murabaha loan for Abdul Bayes</t>
  </si>
  <si>
    <t>Purchased inventory on murabaha loan In Nangarhar</t>
  </si>
  <si>
    <t>Total for 1137</t>
  </si>
  <si>
    <t>1138</t>
  </si>
  <si>
    <t>JV-948</t>
  </si>
  <si>
    <t>Purchased inventory on Murabaha for Mr. Abdullah</t>
  </si>
  <si>
    <t>Purchased inventory on Murabaha for Mr. Amanullah</t>
  </si>
  <si>
    <t>Purchased inventory on Murabaha for Mr. Badam Khan</t>
  </si>
  <si>
    <t>Purchased inventory on Murabaha for Mr. Taj Muhammad Hassan Khan</t>
  </si>
  <si>
    <t>Purchased inventory on Murabaha for Mr. Hassan Khan</t>
  </si>
  <si>
    <t>Purchased inventory on Murabaha for Mr. Khair Muhammad</t>
  </si>
  <si>
    <t>Purchased inventory on Murabaha for Mr. Zakerullah</t>
  </si>
  <si>
    <t>Purchased inventory on Murabaha for Mr. Rahmatullah</t>
  </si>
  <si>
    <t>Purchased inventory on Murabaha for Mr. Muhammad Khitab</t>
  </si>
  <si>
    <t>Purchased inventory on Murabaha for Mr. Izatullah</t>
  </si>
  <si>
    <t>Purchased inventory on Murabaha for Mr. Muhammad Khan</t>
  </si>
  <si>
    <t>Purchased inventory on Murabaha in Kunar</t>
  </si>
  <si>
    <t>Total for 1138</t>
  </si>
  <si>
    <t>1139</t>
  </si>
  <si>
    <t>JV-949</t>
  </si>
  <si>
    <t>Purchase inventory for Mr. Safiullah Momand</t>
  </si>
  <si>
    <t>Total for 1139</t>
  </si>
  <si>
    <t>1140</t>
  </si>
  <si>
    <t>LCI086</t>
  </si>
  <si>
    <t>Total for 1140</t>
  </si>
  <si>
    <t>1141</t>
  </si>
  <si>
    <t>LCI087</t>
  </si>
  <si>
    <t>Total for 1141</t>
  </si>
  <si>
    <t>1142</t>
  </si>
  <si>
    <t>LCI088</t>
  </si>
  <si>
    <t>Total for 1142</t>
  </si>
  <si>
    <t>1143</t>
  </si>
  <si>
    <t>LCI089</t>
  </si>
  <si>
    <t>Total for 1143</t>
  </si>
  <si>
    <t>1144</t>
  </si>
  <si>
    <t>LCI090</t>
  </si>
  <si>
    <t>Total for 1144</t>
  </si>
  <si>
    <t>1145</t>
  </si>
  <si>
    <t>LCI091</t>
  </si>
  <si>
    <t>Total for 1145</t>
  </si>
  <si>
    <t>1146</t>
  </si>
  <si>
    <t>LCI092</t>
  </si>
  <si>
    <t>Total for 1146</t>
  </si>
  <si>
    <t>1147</t>
  </si>
  <si>
    <t>LCI093</t>
  </si>
  <si>
    <t>Total for 1147</t>
  </si>
  <si>
    <t>1148</t>
  </si>
  <si>
    <t>LCI094</t>
  </si>
  <si>
    <t>Total for 1148</t>
  </si>
  <si>
    <t>1149</t>
  </si>
  <si>
    <t>LCI095</t>
  </si>
  <si>
    <t>Total for 1149</t>
  </si>
  <si>
    <t>1150</t>
  </si>
  <si>
    <t>LCI096</t>
  </si>
  <si>
    <t>Total for 1150</t>
  </si>
  <si>
    <t>1151</t>
  </si>
  <si>
    <t>LCI097</t>
  </si>
  <si>
    <t>Total for 1151</t>
  </si>
  <si>
    <t>1152</t>
  </si>
  <si>
    <t>LCI098</t>
  </si>
  <si>
    <t>Total for 1152</t>
  </si>
  <si>
    <t>1153</t>
  </si>
  <si>
    <t>LCI099</t>
  </si>
  <si>
    <t>Total for 1153</t>
  </si>
  <si>
    <t>1154</t>
  </si>
  <si>
    <t>LCI100</t>
  </si>
  <si>
    <t>Total for 1154</t>
  </si>
  <si>
    <t>1155</t>
  </si>
  <si>
    <t>LCI101</t>
  </si>
  <si>
    <t>Total for 1155</t>
  </si>
  <si>
    <t>1156</t>
  </si>
  <si>
    <t>LCI102</t>
  </si>
  <si>
    <t>Total for 1156</t>
  </si>
  <si>
    <t>1157</t>
  </si>
  <si>
    <t>LCI103</t>
  </si>
  <si>
    <t>Total for 1157</t>
  </si>
  <si>
    <t>1158</t>
  </si>
  <si>
    <t>LCI104</t>
  </si>
  <si>
    <t>Total for 1158</t>
  </si>
  <si>
    <t>1159</t>
  </si>
  <si>
    <t>LCI105</t>
  </si>
  <si>
    <t>Total for 1159</t>
  </si>
  <si>
    <t>1161</t>
  </si>
  <si>
    <t>LCI107</t>
  </si>
  <si>
    <t>Total for 1161</t>
  </si>
  <si>
    <t>1162</t>
  </si>
  <si>
    <t>JV-950</t>
  </si>
  <si>
    <t>PCR user fee paid</t>
  </si>
  <si>
    <t>Booking Quickbooks subscription free expense for the month of Dec 2025</t>
  </si>
  <si>
    <t>Total for 1162</t>
  </si>
  <si>
    <t>1163</t>
  </si>
  <si>
    <t>JV-951</t>
  </si>
  <si>
    <t>Murabaha margin collected for the month of Dec 2025</t>
  </si>
  <si>
    <t>Total for 1163</t>
  </si>
  <si>
    <t>1164</t>
  </si>
  <si>
    <t>01/01/2026</t>
  </si>
  <si>
    <t>JV-952</t>
  </si>
  <si>
    <t>Cash Received  CR# 114 for staff salary</t>
  </si>
  <si>
    <t>Total for 1164</t>
  </si>
  <si>
    <t>1165</t>
  </si>
  <si>
    <t>JV-953</t>
  </si>
  <si>
    <t>Salary paid for the month of Dec 2025</t>
  </si>
  <si>
    <t>Total for 1165</t>
  </si>
  <si>
    <t>1166</t>
  </si>
  <si>
    <t>JV-954</t>
  </si>
  <si>
    <t>Paid for the purchase of small locks for office doors, and changing location of AC</t>
  </si>
  <si>
    <t>Paid for board of directors' fee</t>
  </si>
  <si>
    <t>Total for 1166</t>
  </si>
  <si>
    <t>1167</t>
  </si>
  <si>
    <t>JV-955</t>
  </si>
  <si>
    <t>Paid for taxi charges to Liaqat for office to city</t>
  </si>
  <si>
    <t>Total for 1167</t>
  </si>
  <si>
    <t>1251</t>
  </si>
  <si>
    <t>Total for 1251</t>
  </si>
  <si>
    <t>1253</t>
  </si>
  <si>
    <t>Total for 1253</t>
  </si>
  <si>
    <t>1168</t>
  </si>
  <si>
    <t>01/03/2026</t>
  </si>
  <si>
    <t>JV-956</t>
  </si>
  <si>
    <t>Paid for power generator fuel</t>
  </si>
  <si>
    <t>Paid for staff lunch working on Friday</t>
  </si>
  <si>
    <t>Paid for staff lunch working on Friday and power generator fuel</t>
  </si>
  <si>
    <t>Purchase of pot for water boiler, thermos for tea, glass for tea</t>
  </si>
  <si>
    <t>Total for 1168</t>
  </si>
  <si>
    <t>1169</t>
  </si>
  <si>
    <t>JV-957</t>
  </si>
  <si>
    <t>Paid for small cells</t>
  </si>
  <si>
    <t>Paid for office lunch expenses</t>
  </si>
  <si>
    <t>Paid for gas for the office heaters and kitchen</t>
  </si>
  <si>
    <t>Paid for lunch expense, gas, and small batteries</t>
  </si>
  <si>
    <t>Total for 1169</t>
  </si>
  <si>
    <t>1170</t>
  </si>
  <si>
    <t>JV-958</t>
  </si>
  <si>
    <t>Cash Received CR# 113 for the purchase of furniture</t>
  </si>
  <si>
    <t>Total for 1170</t>
  </si>
  <si>
    <t>1171</t>
  </si>
  <si>
    <t>JV-959</t>
  </si>
  <si>
    <t>Paid for the purchase of furniture for HQ third floor</t>
  </si>
  <si>
    <t>Discount received on the purchased assets</t>
  </si>
  <si>
    <t>Paid for the purchase of furniture for HQ third floor
 and Discount received on the purchased assets</t>
  </si>
  <si>
    <t>Total for 1171</t>
  </si>
  <si>
    <t>1172</t>
  </si>
  <si>
    <t>JV-960</t>
  </si>
  <si>
    <t>Paid for gas for heaters</t>
  </si>
  <si>
    <t>Paid for Mobile card of Mr. Hanifullah Momand</t>
  </si>
  <si>
    <t>Paid for taxi used by Gulzar Khan for purchasing log books</t>
  </si>
  <si>
    <t>Paid for taxi used by Gulzar Khan for purchasing log books and mobile card</t>
  </si>
  <si>
    <t>Total for 1172</t>
  </si>
  <si>
    <t>1173</t>
  </si>
  <si>
    <t>01/04/2026</t>
  </si>
  <si>
    <t>JV-961</t>
  </si>
  <si>
    <t>Cash received from Azizi Bank Collection account Cheque # 02065406</t>
  </si>
  <si>
    <t>Total for 1173</t>
  </si>
  <si>
    <t>1174</t>
  </si>
  <si>
    <t>JV-962</t>
  </si>
  <si>
    <t>Salary paid to Mufti Muhebullah Muhammadi</t>
  </si>
  <si>
    <t>Total for 1174</t>
  </si>
  <si>
    <t>1175</t>
  </si>
  <si>
    <t>JV-963</t>
  </si>
  <si>
    <t>Paid for taxi used by Omid Ahmadzai to withdraw cash from bank</t>
  </si>
  <si>
    <t>Total for 1175</t>
  </si>
  <si>
    <t>1176</t>
  </si>
  <si>
    <t>JV-964</t>
  </si>
  <si>
    <t>Paid for PCR use fee</t>
  </si>
  <si>
    <t>Total for 1176</t>
  </si>
  <si>
    <t>1177</t>
  </si>
  <si>
    <t>JV-965</t>
  </si>
  <si>
    <t>Cash Received CR# 112 for daily office expenses</t>
  </si>
  <si>
    <t>Total for 1177</t>
  </si>
  <si>
    <t>1178</t>
  </si>
  <si>
    <t>JV-966</t>
  </si>
  <si>
    <t>Paid for guests meal</t>
  </si>
  <si>
    <t>Paid for the purchase of cleaning items</t>
  </si>
  <si>
    <t>Purchased some kitchen items</t>
  </si>
  <si>
    <t>Purchased some kitchen items, cleaning times, meal</t>
  </si>
  <si>
    <t>Total for 1178</t>
  </si>
  <si>
    <t>1179</t>
  </si>
  <si>
    <t>JV-967</t>
  </si>
  <si>
    <t>Expense made during market research for Islamic products</t>
  </si>
  <si>
    <t>Total for 1179</t>
  </si>
  <si>
    <t>1180</t>
  </si>
  <si>
    <t>JV-968</t>
  </si>
  <si>
    <t>Travel expense of staff to Jalalabd</t>
  </si>
  <si>
    <t>Total for 1180</t>
  </si>
  <si>
    <t>1181</t>
  </si>
  <si>
    <t>JV-969</t>
  </si>
  <si>
    <t>Office monthly food expenses</t>
  </si>
  <si>
    <t>Total for 1181</t>
  </si>
  <si>
    <t>1182</t>
  </si>
  <si>
    <t>JV-970</t>
  </si>
  <si>
    <t>Paid for taxi by staff for office work</t>
  </si>
  <si>
    <t>Paid for taxi by staff for office work and gas purchase</t>
  </si>
  <si>
    <t>Total for 1182</t>
  </si>
  <si>
    <t>1183</t>
  </si>
  <si>
    <t>JV-971</t>
  </si>
  <si>
    <t>Paid for the repair of the power generator</t>
  </si>
  <si>
    <t>Total for 1183</t>
  </si>
  <si>
    <t>1184</t>
  </si>
  <si>
    <t>JV-972</t>
  </si>
  <si>
    <t>Purchased 21 Kg liquid gas for the office heating.</t>
  </si>
  <si>
    <t>Total for 1184</t>
  </si>
  <si>
    <t>1185</t>
  </si>
  <si>
    <t>JV-973</t>
  </si>
  <si>
    <t>Paid for taxi used by Liaqat for PCR Payment to DAB</t>
  </si>
  <si>
    <t>Total for 1185</t>
  </si>
  <si>
    <t>1186</t>
  </si>
  <si>
    <t>JV-974</t>
  </si>
  <si>
    <t>Paid for purchase of food item for lunch</t>
  </si>
  <si>
    <t>Total for 1186</t>
  </si>
  <si>
    <t>1187</t>
  </si>
  <si>
    <t>01/05/2026</t>
  </si>
  <si>
    <t>JV-975</t>
  </si>
  <si>
    <t>Paid for the purchase of credit for the digital phone</t>
  </si>
  <si>
    <t>Paid for meal of guests visiting the branch from HQ</t>
  </si>
  <si>
    <t>Paid for the office cleaning for 5 months</t>
  </si>
  <si>
    <t>Paid for refreshment of guest from Kabul</t>
  </si>
  <si>
    <t>Purchased one file cabinet for the Kunar office</t>
  </si>
  <si>
    <t>Paid for the office cleaning for 5 months and meal for guest from HQ, refreshment and purchase of file cabinet</t>
  </si>
  <si>
    <t>Total for 1187</t>
  </si>
  <si>
    <t>1188</t>
  </si>
  <si>
    <t>JV-976</t>
  </si>
  <si>
    <t>Paid for taxi used for the purchase of credit card for the digital phone</t>
  </si>
  <si>
    <t>Paid for meal for guest visiting the brach</t>
  </si>
  <si>
    <t>Paid for food by Sadaqat while visiting clients during 12 days</t>
  </si>
  <si>
    <t>Paid for meal for guest visiting the branch and staff food expense visiting client</t>
  </si>
  <si>
    <t>Total for 1188</t>
  </si>
  <si>
    <t>1189</t>
  </si>
  <si>
    <t>JV-977</t>
  </si>
  <si>
    <t>Paid for for bread cost for one month</t>
  </si>
  <si>
    <t>Paid two months Kunar branch rent</t>
  </si>
  <si>
    <t>Purchased heater for the office</t>
  </si>
  <si>
    <t>Purchase gas Salander</t>
  </si>
  <si>
    <t>Purchased tools for gas heater</t>
  </si>
  <si>
    <t>Paid for Kunar branch rent, Heater, gas and some tools</t>
  </si>
  <si>
    <t>Total for 1189</t>
  </si>
  <si>
    <t>1190</t>
  </si>
  <si>
    <t>JV-978</t>
  </si>
  <si>
    <t>Cash received CR #115 for the CEO Salary for the month of Dec 2025</t>
  </si>
  <si>
    <t>Total for 1190</t>
  </si>
  <si>
    <t>1191</t>
  </si>
  <si>
    <t>JV-979</t>
  </si>
  <si>
    <t>Salary paid to CEO for the month of Dec 2025</t>
  </si>
  <si>
    <t>Total for 1191</t>
  </si>
  <si>
    <t>1192</t>
  </si>
  <si>
    <t>01/06/2026</t>
  </si>
  <si>
    <t>JV-980</t>
  </si>
  <si>
    <t>Taxi used by Omid Ahmadzai for cheque withdrawal from Azizi Bank</t>
  </si>
  <si>
    <t>Total for 1192</t>
  </si>
  <si>
    <t>1193</t>
  </si>
  <si>
    <t>JV-981</t>
  </si>
  <si>
    <t>Cash received CR# 116 for Jalalabad branch staff salary for the month of Dec 2025 and Food allowance</t>
  </si>
  <si>
    <t>Total for 1193</t>
  </si>
  <si>
    <t>1194</t>
  </si>
  <si>
    <t>JV-982</t>
  </si>
  <si>
    <t>Dec 2025 salary paid</t>
  </si>
  <si>
    <t>Dec 2025 Food allowance paid</t>
  </si>
  <si>
    <t>Paid for hawala for cash transfer</t>
  </si>
  <si>
    <t>Salary and food allowance for the month of Dec 2025 paid</t>
  </si>
  <si>
    <t>Total for 1194</t>
  </si>
  <si>
    <t>1195</t>
  </si>
  <si>
    <t>JV-983</t>
  </si>
  <si>
    <t>Cash received CR# 117 for Kunar branch staff salary for the month of Dec 2025 and Food allowance</t>
  </si>
  <si>
    <t>Total for 1195</t>
  </si>
  <si>
    <t>1196</t>
  </si>
  <si>
    <t>JV-984</t>
  </si>
  <si>
    <t>Salary for the month of Dec 2025 paid</t>
  </si>
  <si>
    <t>Food allowance for the month of Dec 2025 paid</t>
  </si>
  <si>
    <t>Hawala cost paid for cash transfer</t>
  </si>
  <si>
    <t>Salary and food allowance for Dec 2025 paid and Hawala cost paid for cash transfer</t>
  </si>
  <si>
    <t>Total for 1196</t>
  </si>
  <si>
    <t>1197</t>
  </si>
  <si>
    <t>JV-985</t>
  </si>
  <si>
    <t>Lunch expense paid to Noor Muhammad for traveling to Kunar</t>
  </si>
  <si>
    <t>Total for 1197</t>
  </si>
  <si>
    <t>1198</t>
  </si>
  <si>
    <t>JV-986</t>
  </si>
  <si>
    <t>Taxi used by Gulzar to purchase Collateral log book</t>
  </si>
  <si>
    <t>Total for 1198</t>
  </si>
  <si>
    <t>1199</t>
  </si>
  <si>
    <t>JV-987</t>
  </si>
  <si>
    <t>Paid for the purchase of stationery for the HQ office</t>
  </si>
  <si>
    <t>Total for 1199</t>
  </si>
  <si>
    <t>1252</t>
  </si>
  <si>
    <t>Total for 1252</t>
  </si>
  <si>
    <t>1254</t>
  </si>
  <si>
    <t>Total for 1254</t>
  </si>
  <si>
    <t>1255</t>
  </si>
  <si>
    <t>Total for 1255</t>
  </si>
  <si>
    <t>1256</t>
  </si>
  <si>
    <t>Total for 1256</t>
  </si>
  <si>
    <t>1257</t>
  </si>
  <si>
    <t>Total for 1257</t>
  </si>
  <si>
    <t>1258</t>
  </si>
  <si>
    <t>Total for 1258</t>
  </si>
  <si>
    <t>1259</t>
  </si>
  <si>
    <t>Total for 1259</t>
  </si>
  <si>
    <t>1260</t>
  </si>
  <si>
    <t>Total for 1260</t>
  </si>
  <si>
    <t>1261</t>
  </si>
  <si>
    <t>Total for 1261</t>
  </si>
  <si>
    <t>1262</t>
  </si>
  <si>
    <t>Total for 1262</t>
  </si>
  <si>
    <t>1263</t>
  </si>
  <si>
    <t>Total for 1263</t>
  </si>
  <si>
    <t>1264</t>
  </si>
  <si>
    <t>Total for 1264</t>
  </si>
  <si>
    <t>1265</t>
  </si>
  <si>
    <t>Total for 1265</t>
  </si>
  <si>
    <t>1266</t>
  </si>
  <si>
    <t>Total for 1266</t>
  </si>
  <si>
    <t>1267</t>
  </si>
  <si>
    <t>Total for 1267</t>
  </si>
  <si>
    <t>1268</t>
  </si>
  <si>
    <t>Total for 1268</t>
  </si>
  <si>
    <t>1269</t>
  </si>
  <si>
    <t>Total for 1269</t>
  </si>
  <si>
    <t>1270</t>
  </si>
  <si>
    <t>Total for 1270</t>
  </si>
  <si>
    <t>1271</t>
  </si>
  <si>
    <t>Total for 1271</t>
  </si>
  <si>
    <t>1272</t>
  </si>
  <si>
    <t>Total for 1272</t>
  </si>
  <si>
    <t>1273</t>
  </si>
  <si>
    <t>Total for 1273</t>
  </si>
  <si>
    <t>1274</t>
  </si>
  <si>
    <t>Total for 1274</t>
  </si>
  <si>
    <t>1275</t>
  </si>
  <si>
    <t>Total for 1275</t>
  </si>
  <si>
    <t>1200</t>
  </si>
  <si>
    <t>01/07/2026</t>
  </si>
  <si>
    <t>JV-988</t>
  </si>
  <si>
    <t>Total for 1200</t>
  </si>
  <si>
    <t>1201</t>
  </si>
  <si>
    <t>JV-989</t>
  </si>
  <si>
    <t>Paid for taxi used by Gulzar to bring letters from DAB</t>
  </si>
  <si>
    <t>Paid to Hanifullah Momand and Omid Habibi for one day per diem to Kunar and Nangarhar.</t>
  </si>
  <si>
    <t>Paid to Hanifullah Momand and Omid Habibi for one day food expense 500 AFN each to Kunar and Nangarhar.</t>
  </si>
  <si>
    <t>Paid to Hanifullah Momand and Omid Habibi for taxi used to Kunar and Nangarhar.</t>
  </si>
  <si>
    <t>Paid to Hanifullah Momand and Omid Habibi for taxi used to Kunar and Nangarhar, food and per diem for one day.</t>
  </si>
  <si>
    <t>Total for 1201</t>
  </si>
  <si>
    <t>1202</t>
  </si>
  <si>
    <t>JV-990</t>
  </si>
  <si>
    <t>Paid for internet fee for the month of Dec 2025</t>
  </si>
  <si>
    <t>Total for 1202</t>
  </si>
  <si>
    <t>1203</t>
  </si>
  <si>
    <t>JV-991</t>
  </si>
  <si>
    <t>Cash transferred from Jalalabad to Kabul</t>
  </si>
  <si>
    <t>Cash transferred from Kunar to Kabul</t>
  </si>
  <si>
    <t>Purchased inventory for Sirajudin Almas on Murabaha</t>
  </si>
  <si>
    <t>Purchased inventory for Hijratullah Adil on Murabaha</t>
  </si>
  <si>
    <t>Purchased inventory for Muhebullah Haqyar on Murabaha</t>
  </si>
  <si>
    <t>Purchased inventory for Muhebullah Safi on Murabaha</t>
  </si>
  <si>
    <t>Purchased inventory for four customers on Murabaha</t>
  </si>
  <si>
    <t>Total for 1203</t>
  </si>
  <si>
    <t>1204</t>
  </si>
  <si>
    <t>JV-992</t>
  </si>
  <si>
    <t>Purchased inventory in Murabaha for Mr. Hizbullah Niyazai</t>
  </si>
  <si>
    <t>Purchased inventory in Murabaha for Mr. Fayaz Momand</t>
  </si>
  <si>
    <t>Purchased inventory in Murabaha for Mr. Muhebullah Salihi</t>
  </si>
  <si>
    <t>Purchased inventory in Murabaha for three clients</t>
  </si>
  <si>
    <t>Total for 1204</t>
  </si>
  <si>
    <t>1205</t>
  </si>
  <si>
    <t>LCI108</t>
  </si>
  <si>
    <t>Total for 1205</t>
  </si>
  <si>
    <t>1206</t>
  </si>
  <si>
    <t>LCI109</t>
  </si>
  <si>
    <t>Total for 1206</t>
  </si>
  <si>
    <t>1207</t>
  </si>
  <si>
    <t>LCI110</t>
  </si>
  <si>
    <t>Total for 1207</t>
  </si>
  <si>
    <t>1208</t>
  </si>
  <si>
    <t>LCI111</t>
  </si>
  <si>
    <t>Total for 1208</t>
  </si>
  <si>
    <t>1209</t>
  </si>
  <si>
    <t>LCI112</t>
  </si>
  <si>
    <t>Total for 1209</t>
  </si>
  <si>
    <t>1210</t>
  </si>
  <si>
    <t>LCI113</t>
  </si>
  <si>
    <t>Total for 1210</t>
  </si>
  <si>
    <t>1211</t>
  </si>
  <si>
    <t>LCI114</t>
  </si>
  <si>
    <t>Total for 1211</t>
  </si>
  <si>
    <t>1276</t>
  </si>
  <si>
    <t>Total for 1276</t>
  </si>
  <si>
    <t>1277</t>
  </si>
  <si>
    <t>Total for 1277</t>
  </si>
  <si>
    <t>1278</t>
  </si>
  <si>
    <t>Total for 1278</t>
  </si>
  <si>
    <t>1279</t>
  </si>
  <si>
    <t>Total for 1279</t>
  </si>
  <si>
    <t>1212</t>
  </si>
  <si>
    <t>01/08/2026</t>
  </si>
  <si>
    <t>JV-993</t>
  </si>
  <si>
    <t>Cash Received CR# 118 for Advance payment to Sahil Salarzai for branch expenses but cash it handled by Ihsanullah Shinwari the Branch Manager</t>
  </si>
  <si>
    <t>Total for 1212</t>
  </si>
  <si>
    <t>1213</t>
  </si>
  <si>
    <t>JV-994</t>
  </si>
  <si>
    <t>Advance payment to Sahil Salarzai for branch expenses but cash it handled by Ihsanullah Shinwari the Branch Manager</t>
  </si>
  <si>
    <t>Paid for hawala cost for cash transfer</t>
  </si>
  <si>
    <t>Advance payment to Sahil Salarzai for branch expenses but cash it handled by Ihsanullah Shinwari the Branch Manager and it hawala cost</t>
  </si>
  <si>
    <t>Total for 1213</t>
  </si>
  <si>
    <t>1214</t>
  </si>
  <si>
    <t>JV-995</t>
  </si>
  <si>
    <t>Cash Received CR# 119 for Advance payment to Sadaqat for branch expenses but cash it handled by Noor Muhammad Sawji Zone Coordinator</t>
  </si>
  <si>
    <t>Total for 1214</t>
  </si>
  <si>
    <t>1215</t>
  </si>
  <si>
    <t>JV-996</t>
  </si>
  <si>
    <t>Advance payment to Sadaqat for branch expenses but cash it handled by Noor Muhammad Sawji Zone Coordinator</t>
  </si>
  <si>
    <t>Advance payment to Sadaqat for branch expenses but cash it handled by Noor Muhammad Sawji Zone Coordinator and its hawala cost</t>
  </si>
  <si>
    <t>Total for 1215</t>
  </si>
  <si>
    <t>1280</t>
  </si>
  <si>
    <t>Total for 1280</t>
  </si>
  <si>
    <t>1216</t>
  </si>
  <si>
    <t>01/09/2026</t>
  </si>
  <si>
    <t>JV-997</t>
  </si>
  <si>
    <t>Paid for Gas used for the office heating</t>
  </si>
  <si>
    <t>Paid for the office staff lunch</t>
  </si>
  <si>
    <t>Total for 1216</t>
  </si>
  <si>
    <t>1217</t>
  </si>
  <si>
    <t>01/10/2026</t>
  </si>
  <si>
    <t>JV-998</t>
  </si>
  <si>
    <t>Paid for the repair of kitchen, and toilets water system</t>
  </si>
  <si>
    <t>Taxi used by Hidayatullah between Kunar and Nangarhar for the office work paid by Noor Muhammad</t>
  </si>
  <si>
    <t>Taxi used by Hidayatullah between Kunar and Nangarhar for the office work</t>
  </si>
  <si>
    <t>Paid for the HQ staff lunch</t>
  </si>
  <si>
    <t>Total for 1217</t>
  </si>
  <si>
    <t>1218</t>
  </si>
  <si>
    <t>01/11/2026</t>
  </si>
  <si>
    <t>JV-999</t>
  </si>
  <si>
    <t>Paid for monthly dry food for the month of Jan 2025</t>
  </si>
  <si>
    <t>Total for 1218</t>
  </si>
  <si>
    <t>1219</t>
  </si>
  <si>
    <t>JV-1000</t>
  </si>
  <si>
    <t>Cash Received CR# 120 for the payment of BOS fee for 2 quarter's of three members</t>
  </si>
  <si>
    <t>BOS fee paid for two quarters</t>
  </si>
  <si>
    <t>Total for 1219</t>
  </si>
  <si>
    <t>1281</t>
  </si>
  <si>
    <t>Total for 1281</t>
  </si>
  <si>
    <t>1282</t>
  </si>
  <si>
    <t>Total for 1282</t>
  </si>
  <si>
    <t>1283</t>
  </si>
  <si>
    <t>Total for 1283</t>
  </si>
  <si>
    <t>1220</t>
  </si>
  <si>
    <t>01/12/2026</t>
  </si>
  <si>
    <t>JV-1001</t>
  </si>
  <si>
    <t>Paid for eggs for HQ staff lunch</t>
  </si>
  <si>
    <t>Total for 1220</t>
  </si>
  <si>
    <t>1284</t>
  </si>
  <si>
    <t>Total for 1284</t>
  </si>
  <si>
    <t>1221</t>
  </si>
  <si>
    <t>01/13/2026</t>
  </si>
  <si>
    <t>JV-1002</t>
  </si>
  <si>
    <t>Taxi used by Noor Muhammad for HQ office for advances clearance</t>
  </si>
  <si>
    <t>Cash received back from Noor Muhammad for his payment for short expenses</t>
  </si>
  <si>
    <t>Adjusted hawala fee paid in JV 785 was counted as advance to Noor Muhammad Mistakenly</t>
  </si>
  <si>
    <t>Cash deducted from his payment for short expenses</t>
  </si>
  <si>
    <t>Total for 1221</t>
  </si>
  <si>
    <t>1222</t>
  </si>
  <si>
    <t>JV-1003</t>
  </si>
  <si>
    <t>Lunch expense paid to Noor Muhammad Sawji for traveling to Kunar</t>
  </si>
  <si>
    <t>Total for 1222</t>
  </si>
  <si>
    <t>1223</t>
  </si>
  <si>
    <t>JV-1004</t>
  </si>
  <si>
    <t>Paid to Sadaqat for taxi used to Kunar districts to visit clients</t>
  </si>
  <si>
    <t>Total for 1223</t>
  </si>
  <si>
    <t>1224</t>
  </si>
  <si>
    <t>JV-1005</t>
  </si>
  <si>
    <t>Taxi used by Noor Muhammad between Kunar and Nangarhar</t>
  </si>
  <si>
    <t>Total for 1224</t>
  </si>
  <si>
    <t>1226</t>
  </si>
  <si>
    <t>JV-1007</t>
  </si>
  <si>
    <t>Paid for gas for office heating</t>
  </si>
  <si>
    <t>Total for 1226</t>
  </si>
  <si>
    <t>1227</t>
  </si>
  <si>
    <t>JV-1008</t>
  </si>
  <si>
    <t>Paid for lunch for staff visiting HQ from Kunar and Nangarhar</t>
  </si>
  <si>
    <t>Total for 1227</t>
  </si>
  <si>
    <t>1228</t>
  </si>
  <si>
    <t>JV-1009</t>
  </si>
  <si>
    <t>Paid for Lunch for fuel for the power generator</t>
  </si>
  <si>
    <t>Total for 1228</t>
  </si>
  <si>
    <t>1229</t>
  </si>
  <si>
    <t>JV-1010</t>
  </si>
  <si>
    <t>Paid for lunch for MIS makers</t>
  </si>
  <si>
    <t>Total for 1229</t>
  </si>
  <si>
    <t>1285</t>
  </si>
  <si>
    <t>Total for 1285</t>
  </si>
  <si>
    <t>1225</t>
  </si>
  <si>
    <t>01/14/2026</t>
  </si>
  <si>
    <t>JV-1006</t>
  </si>
  <si>
    <t>Deposited cash to Laman Disbursement account in Azizi Bank</t>
  </si>
  <si>
    <t>10208</t>
  </si>
  <si>
    <t>10000 Cash and cash equivalents:10200 Cash at Bank:10208 Cash In Bank (Azizi-AFN - Disbursement)</t>
  </si>
  <si>
    <t>Balancing</t>
  </si>
  <si>
    <t>Total for 1225</t>
  </si>
  <si>
    <t>1230</t>
  </si>
  <si>
    <t>JV-1011</t>
  </si>
  <si>
    <t>Total for 1230</t>
  </si>
  <si>
    <t>1231</t>
  </si>
  <si>
    <t>JV-1012</t>
  </si>
  <si>
    <t>Total for 1231</t>
  </si>
  <si>
    <t>1286</t>
  </si>
  <si>
    <t>Total for 1286</t>
  </si>
  <si>
    <t>1287</t>
  </si>
  <si>
    <t>Total for 1287</t>
  </si>
  <si>
    <t>1288</t>
  </si>
  <si>
    <t>Total for 1288</t>
  </si>
  <si>
    <t>1289</t>
  </si>
  <si>
    <t>Total for 1289</t>
  </si>
  <si>
    <t>1290</t>
  </si>
  <si>
    <t>Total for 1290</t>
  </si>
  <si>
    <t>1291</t>
  </si>
  <si>
    <t>Total for 1291</t>
  </si>
  <si>
    <t>1232</t>
  </si>
  <si>
    <t>01/15/2026</t>
  </si>
  <si>
    <t>JV-1013</t>
  </si>
  <si>
    <t>Paid to Gulzar for the delivery of letter to DAB</t>
  </si>
  <si>
    <t>Paid for cartridge for printer</t>
  </si>
  <si>
    <t>Total for 1232</t>
  </si>
  <si>
    <t>1233</t>
  </si>
  <si>
    <t>JV-1014</t>
  </si>
  <si>
    <t>Purchased inventory for Mr. Azeemullah Momand</t>
  </si>
  <si>
    <t>Purchased inventory for Mr. Abdulrahman Tayeb</t>
  </si>
  <si>
    <t>Total for 1233</t>
  </si>
  <si>
    <t>1234</t>
  </si>
  <si>
    <t>JV-1015</t>
  </si>
  <si>
    <t>Paid for lunch</t>
  </si>
  <si>
    <t>CHEQUE BOOKS FEE</t>
  </si>
  <si>
    <t>Total for 1234</t>
  </si>
  <si>
    <t>1235</t>
  </si>
  <si>
    <t>JV-1016</t>
  </si>
  <si>
    <t>Total for 1235</t>
  </si>
  <si>
    <t>1248</t>
  </si>
  <si>
    <t>LCI115</t>
  </si>
  <si>
    <t>Total for 1248</t>
  </si>
  <si>
    <t>1249</t>
  </si>
  <si>
    <t>LCI116</t>
  </si>
  <si>
    <t>Total for 1249</t>
  </si>
  <si>
    <t>1250</t>
  </si>
  <si>
    <t>LCI117</t>
  </si>
  <si>
    <t>Total for 1250</t>
  </si>
  <si>
    <t>1236</t>
  </si>
  <si>
    <t>01/16/2026</t>
  </si>
  <si>
    <t>JV-1017</t>
  </si>
  <si>
    <t>Paid for lunch expenses of HQ staff</t>
  </si>
  <si>
    <t>Total for 1236</t>
  </si>
  <si>
    <t>1237</t>
  </si>
  <si>
    <t>JV-1018</t>
  </si>
  <si>
    <t>Total for 1237</t>
  </si>
  <si>
    <t>1292</t>
  </si>
  <si>
    <t>01/17/2026</t>
  </si>
  <si>
    <t>Total for 1292</t>
  </si>
  <si>
    <t>1293</t>
  </si>
  <si>
    <t>Total for 1293</t>
  </si>
  <si>
    <t>1294</t>
  </si>
  <si>
    <t>Total for 1294</t>
  </si>
  <si>
    <t>1295</t>
  </si>
  <si>
    <t>Total for 1295</t>
  </si>
  <si>
    <t>1304</t>
  </si>
  <si>
    <t>Total for 1304</t>
  </si>
  <si>
    <t>1238</t>
  </si>
  <si>
    <t>01/18/2026</t>
  </si>
  <si>
    <t>JV-1019</t>
  </si>
  <si>
    <t>Paid for Meal for guests</t>
  </si>
  <si>
    <t>Paid for 29 bottles of drinking water</t>
  </si>
  <si>
    <t>Total for 1238</t>
  </si>
  <si>
    <t>1239</t>
  </si>
  <si>
    <t>JV-1020</t>
  </si>
  <si>
    <t>Paid fuel for the power generator</t>
  </si>
  <si>
    <t>Paid for gas for the office heating and fuel for the power generator</t>
  </si>
  <si>
    <t>Total for 1239</t>
  </si>
  <si>
    <t>1240</t>
  </si>
  <si>
    <t>JV-1021</t>
  </si>
  <si>
    <t>Cash withdrawal from Azizi Bank Disbursement account</t>
  </si>
  <si>
    <t>Total for 1240</t>
  </si>
  <si>
    <t>1241</t>
  </si>
  <si>
    <t>JV-1022</t>
  </si>
  <si>
    <t>Paid for Company license adding new shareholder</t>
  </si>
  <si>
    <t>Total for 1241</t>
  </si>
  <si>
    <t>1242</t>
  </si>
  <si>
    <t>JV-1023</t>
  </si>
  <si>
    <t>Paid for HQ staff lunch expense</t>
  </si>
  <si>
    <t>Paid for glue for the electrician</t>
  </si>
  <si>
    <t>Total for 1242</t>
  </si>
  <si>
    <t>1243</t>
  </si>
  <si>
    <t>JV-1024</t>
  </si>
  <si>
    <t>Paid for vegetable for lunch</t>
  </si>
  <si>
    <t>Paid for liquid gas for heating</t>
  </si>
  <si>
    <t>Paid for liquid gas for heating, for fuel and lunch</t>
  </si>
  <si>
    <t>Total for 1243</t>
  </si>
  <si>
    <t>1244</t>
  </si>
  <si>
    <t>JV-1025</t>
  </si>
  <si>
    <t>MISFA fund transferred from LAMEN-MISFA joint account to Disbrusement account for disbursement</t>
  </si>
  <si>
    <t>Total for 1244</t>
  </si>
  <si>
    <t>1245</t>
  </si>
  <si>
    <t>JV-1026</t>
  </si>
  <si>
    <t>Fund transferred from disbursement account to Kunar Azizi bank account for client disbursement and staff expenses</t>
  </si>
  <si>
    <t>10209</t>
  </si>
  <si>
    <t>10000 Cash and cash equivalents:10200 Cash at Bank:10209 Cash at Bank (Azizi-AFN-Kunar)</t>
  </si>
  <si>
    <t>Total for 1245</t>
  </si>
  <si>
    <t>1246</t>
  </si>
  <si>
    <t>JV-1027</t>
  </si>
  <si>
    <t>Fund transferred for loan disbursements to clients in Nangarhar</t>
  </si>
  <si>
    <t>10210</t>
  </si>
  <si>
    <t>10000 Cash and cash equivalents:10200 Cash at Bank:10210 Cash at Bank (Azizi-AFN-Nangarhar)</t>
  </si>
  <si>
    <t>Total for 1246</t>
  </si>
  <si>
    <t>1296</t>
  </si>
  <si>
    <t>Total for 1296</t>
  </si>
  <si>
    <t>1297</t>
  </si>
  <si>
    <t>Total for 1297</t>
  </si>
  <si>
    <t>1298</t>
  </si>
  <si>
    <t>Total for 1298</t>
  </si>
  <si>
    <t>1301</t>
  </si>
  <si>
    <t>Total for 1301</t>
  </si>
  <si>
    <t>1302</t>
  </si>
  <si>
    <t>Total for 1302</t>
  </si>
  <si>
    <t>1303</t>
  </si>
  <si>
    <t>Total for 1303</t>
  </si>
  <si>
    <t>1328</t>
  </si>
  <si>
    <t>Total for 1328</t>
  </si>
  <si>
    <t>1247</t>
  </si>
  <si>
    <t>01/19/2026</t>
  </si>
  <si>
    <t>JV-1028</t>
  </si>
  <si>
    <t>Paid for taxi used by Ihsanullah Jalalabd and Kunar</t>
  </si>
  <si>
    <t>Paid for taxi used by Hidayat between Kunar and Jalalabad for official work</t>
  </si>
  <si>
    <t>Taxi used by Ihsanullah Jalalabad Branch Manager visiting HQ</t>
  </si>
  <si>
    <t>Taxi used by Fazlullah visiting HQ officer</t>
  </si>
  <si>
    <t>Food allowance paid to Noor Muhammad during travel to Kunar</t>
  </si>
  <si>
    <t>Purchased inventory on Murabaha for clients in Kunar</t>
  </si>
  <si>
    <t>Total for 1247</t>
  </si>
  <si>
    <t>1299</t>
  </si>
  <si>
    <t>Total for 1299</t>
  </si>
  <si>
    <t>1305</t>
  </si>
  <si>
    <t>JV-1029</t>
  </si>
  <si>
    <t>Purchased inventory for Murabaha clients in Nangarhar</t>
  </si>
  <si>
    <t>Total for 1305</t>
  </si>
  <si>
    <t>1388</t>
  </si>
  <si>
    <t>LCI118</t>
  </si>
  <si>
    <t>Total for 1388</t>
  </si>
  <si>
    <t>1389</t>
  </si>
  <si>
    <t>LCI119</t>
  </si>
  <si>
    <t>Total for 1389</t>
  </si>
  <si>
    <t>1390</t>
  </si>
  <si>
    <t>LCI120</t>
  </si>
  <si>
    <t>Total for 1390</t>
  </si>
  <si>
    <t>1391</t>
  </si>
  <si>
    <t>LCI121</t>
  </si>
  <si>
    <t>Total for 1391</t>
  </si>
  <si>
    <t>1392</t>
  </si>
  <si>
    <t>LCI122</t>
  </si>
  <si>
    <t>Total for 1392</t>
  </si>
  <si>
    <t>1393</t>
  </si>
  <si>
    <t>LCI123</t>
  </si>
  <si>
    <t>Total for 1393</t>
  </si>
  <si>
    <t>1394</t>
  </si>
  <si>
    <t>LCI124</t>
  </si>
  <si>
    <t>Total for 1394</t>
  </si>
  <si>
    <t>1395</t>
  </si>
  <si>
    <t>LCI125</t>
  </si>
  <si>
    <t>Total for 1395</t>
  </si>
  <si>
    <t>1396</t>
  </si>
  <si>
    <t>LCI126</t>
  </si>
  <si>
    <t>Total for 1396</t>
  </si>
  <si>
    <t>1397</t>
  </si>
  <si>
    <t>LCI127</t>
  </si>
  <si>
    <t>Total for 1397</t>
  </si>
  <si>
    <t>1398</t>
  </si>
  <si>
    <t>LCI128</t>
  </si>
  <si>
    <t>Total for 1398</t>
  </si>
  <si>
    <t>1399</t>
  </si>
  <si>
    <t>LCI129</t>
  </si>
  <si>
    <t>Total for 1399</t>
  </si>
  <si>
    <t>1400</t>
  </si>
  <si>
    <t>LCI130</t>
  </si>
  <si>
    <t>Total for 1400</t>
  </si>
  <si>
    <t>1306</t>
  </si>
  <si>
    <t>01/20/2026</t>
  </si>
  <si>
    <t>JV-1030</t>
  </si>
  <si>
    <t>Paid for liquid gas for heating and staff lunch</t>
  </si>
  <si>
    <t>Paid for to Gulzar for taxi use to print ID cards and bringing letters from DAB</t>
  </si>
  <si>
    <t>Total for 1306</t>
  </si>
  <si>
    <t>1307</t>
  </si>
  <si>
    <t>JV-1031</t>
  </si>
  <si>
    <t>Paid for printing ID cards, ID card covers, and making logo for ID cards</t>
  </si>
  <si>
    <t>Total for 1307</t>
  </si>
  <si>
    <t>1331</t>
  </si>
  <si>
    <t>Total for 1331</t>
  </si>
  <si>
    <t>1332</t>
  </si>
  <si>
    <t>Total for 1332</t>
  </si>
  <si>
    <t>1333</t>
  </si>
  <si>
    <t>Total for 1333</t>
  </si>
  <si>
    <t>1334</t>
  </si>
  <si>
    <t>Total for 1334</t>
  </si>
  <si>
    <t>1308</t>
  </si>
  <si>
    <t>01/21/2026</t>
  </si>
  <si>
    <t>JV-1032</t>
  </si>
  <si>
    <t>Total for 1308</t>
  </si>
  <si>
    <t>1309</t>
  </si>
  <si>
    <t>JV-1033</t>
  </si>
  <si>
    <t>Total for 1309</t>
  </si>
  <si>
    <t>1335</t>
  </si>
  <si>
    <t>Total for 1335</t>
  </si>
  <si>
    <t>1336</t>
  </si>
  <si>
    <t>Total for 1336</t>
  </si>
  <si>
    <t>1337</t>
  </si>
  <si>
    <t>Total for 1337</t>
  </si>
  <si>
    <t>1310</t>
  </si>
  <si>
    <t>01/22/2026</t>
  </si>
  <si>
    <t>JV-1034</t>
  </si>
  <si>
    <t>Advance salary paid to Liaqat Ogra Khil</t>
  </si>
  <si>
    <t>Total for 1310</t>
  </si>
  <si>
    <t>1311</t>
  </si>
  <si>
    <t>JV-1035</t>
  </si>
  <si>
    <t>Total for 1311</t>
  </si>
  <si>
    <t>1312</t>
  </si>
  <si>
    <t>JV-1036</t>
  </si>
  <si>
    <t>Total for 1312</t>
  </si>
  <si>
    <t>1338</t>
  </si>
  <si>
    <t>Total for 1338</t>
  </si>
  <si>
    <t>1339</t>
  </si>
  <si>
    <t>Total for 1339</t>
  </si>
  <si>
    <t>1313</t>
  </si>
  <si>
    <t>01/23/2026</t>
  </si>
  <si>
    <t>JV-1037</t>
  </si>
  <si>
    <t>Total for 1313</t>
  </si>
  <si>
    <t>1314</t>
  </si>
  <si>
    <t>01/24/2026</t>
  </si>
  <si>
    <t>JV-1038</t>
  </si>
  <si>
    <t>Paid for gas for heating</t>
  </si>
  <si>
    <t>ink for printer</t>
  </si>
  <si>
    <t>lunch expense, gas, and ink for printer</t>
  </si>
  <si>
    <t>Total for 1314</t>
  </si>
  <si>
    <t>1315</t>
  </si>
  <si>
    <t>JV-1039</t>
  </si>
  <si>
    <t>Paid for the purchase of heater, Salander for the office</t>
  </si>
  <si>
    <t>Total for 1315</t>
  </si>
  <si>
    <t>1316</t>
  </si>
  <si>
    <t>JV-1040</t>
  </si>
  <si>
    <t>Total for 1316</t>
  </si>
  <si>
    <t>1340</t>
  </si>
  <si>
    <t>Total for 1340</t>
  </si>
  <si>
    <t>1341</t>
  </si>
  <si>
    <t>Total for 1341</t>
  </si>
  <si>
    <t>1342</t>
  </si>
  <si>
    <t>Total for 1342</t>
  </si>
  <si>
    <t>1343</t>
  </si>
  <si>
    <t>Total for 1343</t>
  </si>
  <si>
    <t>1344</t>
  </si>
  <si>
    <t>Total for 1344</t>
  </si>
  <si>
    <t>1345</t>
  </si>
  <si>
    <t>Total for 1345</t>
  </si>
  <si>
    <t>1346</t>
  </si>
  <si>
    <t>Total for 1346</t>
  </si>
  <si>
    <t>1317</t>
  </si>
  <si>
    <t>01/25/2026</t>
  </si>
  <si>
    <t>JV-1041</t>
  </si>
  <si>
    <t>Paid for card for the digital phone</t>
  </si>
  <si>
    <t>Paid for card for the digital phone, lunch expense and gas for heating</t>
  </si>
  <si>
    <t>Total for 1317</t>
  </si>
  <si>
    <t>1347</t>
  </si>
  <si>
    <t>Total for 1347</t>
  </si>
  <si>
    <t>1348</t>
  </si>
  <si>
    <t>Total for 1348</t>
  </si>
  <si>
    <t>1318</t>
  </si>
  <si>
    <t>01/26/2026</t>
  </si>
  <si>
    <t>JV-1042</t>
  </si>
  <si>
    <t>Total for 1318</t>
  </si>
  <si>
    <t>1349</t>
  </si>
  <si>
    <t>Total for 1349</t>
  </si>
  <si>
    <t>1350</t>
  </si>
  <si>
    <t>Total for 1350</t>
  </si>
  <si>
    <t>1319</t>
  </si>
  <si>
    <t>01/27/2026</t>
  </si>
  <si>
    <t>JV-1043</t>
  </si>
  <si>
    <t>Paid for lunch and gas expenses</t>
  </si>
  <si>
    <t>Total for 1319</t>
  </si>
  <si>
    <t>1320</t>
  </si>
  <si>
    <t>JV-1044</t>
  </si>
  <si>
    <t>Paid for job announcements</t>
  </si>
  <si>
    <t>Total for 1320</t>
  </si>
  <si>
    <t>1351</t>
  </si>
  <si>
    <t>Total for 1351</t>
  </si>
  <si>
    <t>1352</t>
  </si>
  <si>
    <t>Total for 1352</t>
  </si>
  <si>
    <t>1353</t>
  </si>
  <si>
    <t>Total for 1353</t>
  </si>
  <si>
    <t>1354</t>
  </si>
  <si>
    <t>Total for 1354</t>
  </si>
  <si>
    <t>1355</t>
  </si>
  <si>
    <t>Total for 1355</t>
  </si>
  <si>
    <t>1356</t>
  </si>
  <si>
    <t>Total for 1356</t>
  </si>
  <si>
    <t>1357</t>
  </si>
  <si>
    <t>Total for 1357</t>
  </si>
  <si>
    <t>1358</t>
  </si>
  <si>
    <t>Total for 1358</t>
  </si>
  <si>
    <t>1359</t>
  </si>
  <si>
    <t>Total for 1359</t>
  </si>
  <si>
    <t>1360</t>
  </si>
  <si>
    <t>Total for 1360</t>
  </si>
  <si>
    <t>1321</t>
  </si>
  <si>
    <t>01/28/2026</t>
  </si>
  <si>
    <t>JV-1045</t>
  </si>
  <si>
    <t>Cash withdrawal Azizi Bank Disbursement account for office expenses Cheque # 02090653</t>
  </si>
  <si>
    <t>Total for 1321</t>
  </si>
  <si>
    <t>1322</t>
  </si>
  <si>
    <t>JV-1046</t>
  </si>
  <si>
    <t>Fund transferred to Azizi Bank Kunar account for disbursement to clients.</t>
  </si>
  <si>
    <t>Fund transferred to Azizi Bank Nangarhar account for disbursement to clients.</t>
  </si>
  <si>
    <t>Fund transferred to Azizi Bank Disbursement account was mistakenly withdrawn for expenses Cheque # 02065407</t>
  </si>
  <si>
    <t>Total for 1322</t>
  </si>
  <si>
    <t>1323</t>
  </si>
  <si>
    <t>JV-1047</t>
  </si>
  <si>
    <t>Total for 1323</t>
  </si>
  <si>
    <t>1324</t>
  </si>
  <si>
    <t>JV-1048</t>
  </si>
  <si>
    <t>Paid for lunch expense for guests working on MIS</t>
  </si>
  <si>
    <t>Total for 1324</t>
  </si>
  <si>
    <t>1325</t>
  </si>
  <si>
    <t>JV-1049</t>
  </si>
  <si>
    <t>Paid for taxi to Zabihullah Ahmad and Almas for Marketing</t>
  </si>
  <si>
    <t>Total for 1325</t>
  </si>
  <si>
    <t>1361</t>
  </si>
  <si>
    <t>Total for 1361</t>
  </si>
  <si>
    <t>1362</t>
  </si>
  <si>
    <t>Total for 1362</t>
  </si>
  <si>
    <t>1363</t>
  </si>
  <si>
    <t>Total for 1363</t>
  </si>
  <si>
    <t>1364</t>
  </si>
  <si>
    <t>Total for 1364</t>
  </si>
  <si>
    <t>1365</t>
  </si>
  <si>
    <t>Total for 1365</t>
  </si>
  <si>
    <t>1366</t>
  </si>
  <si>
    <t>Total for 1366</t>
  </si>
  <si>
    <t>1367</t>
  </si>
  <si>
    <t>Total for 1367</t>
  </si>
  <si>
    <t>1368</t>
  </si>
  <si>
    <t>Total for 1368</t>
  </si>
  <si>
    <t>1369</t>
  </si>
  <si>
    <t>Total for 1369</t>
  </si>
  <si>
    <t>1370</t>
  </si>
  <si>
    <t>Total for 1370</t>
  </si>
  <si>
    <t>1371</t>
  </si>
  <si>
    <t>Total for 1371</t>
  </si>
  <si>
    <t>1372</t>
  </si>
  <si>
    <t>Total for 1372</t>
  </si>
  <si>
    <t>1373</t>
  </si>
  <si>
    <t>Total for 1373</t>
  </si>
  <si>
    <t>1374</t>
  </si>
  <si>
    <t>Total for 1374</t>
  </si>
  <si>
    <t>1375</t>
  </si>
  <si>
    <t>Total for 1375</t>
  </si>
  <si>
    <t>1376</t>
  </si>
  <si>
    <t>Total for 1376</t>
  </si>
  <si>
    <t>1377</t>
  </si>
  <si>
    <t>Total for 1377</t>
  </si>
  <si>
    <t>1378</t>
  </si>
  <si>
    <t>Total for 1378</t>
  </si>
  <si>
    <t>1379</t>
  </si>
  <si>
    <t>Total for 1379</t>
  </si>
  <si>
    <t>1380</t>
  </si>
  <si>
    <t>Total for 1380</t>
  </si>
  <si>
    <t>1326</t>
  </si>
  <si>
    <t>01/29/2026</t>
  </si>
  <si>
    <t>JV-1050</t>
  </si>
  <si>
    <t>Purchased inventory on Murabaha for Mr. Muhammad Hamayoon Parwani</t>
  </si>
  <si>
    <t>Purchased inventory on Murabaha for Mr. Musharaf Safi</t>
  </si>
  <si>
    <t>Purchased inventory on Murabaha for Mr. Muhibullah Momand</t>
  </si>
  <si>
    <t>Purchased inventory on Murabaha for 7 clients</t>
  </si>
  <si>
    <t>Total for 1326</t>
  </si>
  <si>
    <t>1381</t>
  </si>
  <si>
    <t>Total for 1381</t>
  </si>
  <si>
    <t>1382</t>
  </si>
  <si>
    <t>Total for 1382</t>
  </si>
  <si>
    <t>1383</t>
  </si>
  <si>
    <t>Total for 1383</t>
  </si>
  <si>
    <t>1327</t>
  </si>
  <si>
    <t>01/31/2026</t>
  </si>
  <si>
    <t>JV-1051</t>
  </si>
  <si>
    <t>Fund transferred to Kunar for disbursement</t>
  </si>
  <si>
    <t>Total for 1327</t>
  </si>
  <si>
    <t>1384</t>
  </si>
  <si>
    <t>Total for 1384</t>
  </si>
  <si>
    <t>1385</t>
  </si>
  <si>
    <t>Total for 1385</t>
  </si>
  <si>
    <t>1386</t>
  </si>
  <si>
    <t>Total for 1386</t>
  </si>
  <si>
    <t>1387</t>
  </si>
  <si>
    <t>Total for 1387</t>
  </si>
  <si>
    <t>1401</t>
  </si>
  <si>
    <t>JV-1052</t>
  </si>
  <si>
    <t>Bank charges for the month of Jan 2026</t>
  </si>
  <si>
    <t>Total for 1401</t>
  </si>
  <si>
    <t>1402</t>
  </si>
  <si>
    <t>JV-1053</t>
  </si>
  <si>
    <t>Purchased inventory on Murabaha for Said Gul Sahil</t>
  </si>
  <si>
    <t>Purchased inventory on Murabaha for Mr. Sherzaman Safi</t>
  </si>
  <si>
    <t>Purchased inventory on Murabaha for Mr. Bilal safi</t>
  </si>
  <si>
    <t>Purchased inventory on Murabaha for Mr. Attaurahman Safi</t>
  </si>
  <si>
    <t>Cash Withdrawal for client disbursement</t>
  </si>
  <si>
    <t>Purchased inventory on Murabaha for 4 clients</t>
  </si>
  <si>
    <t>Total for 1402</t>
  </si>
  <si>
    <t>TOTAL</t>
  </si>
  <si>
    <t xml:space="preserve"> Tuesday, February 03, 2026 09:57 AM GMTZ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</si>
</sst>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2"/>
      <color theme="1"/>
      <name val="Calibri"/>
      <family val="2"/>
      <scheme val="minor"/>
    </font>
    <font>
      <b/>
      <sz val="12"/>
      <color theme="1"/>
      <name val="Calibri"/>
      <family val="2"/>
      <scheme val="minor"/>
    </font>
    <font>
      <b/>
      <sz val="9"/>
      <color theme="1"/>
      <name val="Arial"/>
      <family val="2"/>
    </font>
    <font>
      <sz val="8"/>
      <color theme="1"/>
      <name val="Arial"/>
      <family val="2"/>
    </font>
    <font>
      <b/>
      <sz val="8"/>
      <color theme="1"/>
      <name val="Arial"/>
      <family val="2"/>
    </font>
  </fonts>
  <fills count="2">
    <fill>
      <patternFill patternType="none"/>
    </fill>
    <fill>
      <patternFill patternType="gray125"/>
    </fill>
  </fills>
  <borders count="3">
    <border>
      <left/>
      <right/>
      <top/>
      <bottom/>
      <diagonal/>
    </border>
    <border>
      <left/>
      <right/>
      <top/>
      <bottom style="thin">
        <color auto="1"/>
      </bottom>
      <diagonal/>
    </border>
    <border>
      <left/>
      <right/>
      <top style="thin">
        <color auto="1"/>
      </top>
      <bottom/>
      <diagonal/>
    </border>
  </borders>
  <cellStyleXfs count="2">
    <xf numFmtId="0" fontId="0" fillId="0" borderId="0"/>
    <xf numFmtId="0" fontId="1" fillId="0" borderId="1"/>
  </cellStyleXfs>
  <cellXfs count="10">
    <xf numFmtId="0" fontId="0" fillId="0" borderId="0" xfId="0"/>
    <xf numFmtId="0" fontId="0" fillId="0" borderId="0" xfId="0" applyAlignment="1">
      <alignment wrapText="1"/>
    </xf>
    <xf numFmtId="0" fontId="0" fillId="0" borderId="0" xfId="0" applyAlignment="1">
      <alignment wrapText="1"/>
    </xf>
    <xf numFmtId="0" fontId="2" fillId="0" borderId="1" xfId="1" applyFont="1" applyAlignment="1">
      <alignment horizontal="center" wrapText="1"/>
    </xf>
    <xf numFmtId="0" fontId="3" fillId="0" borderId="0" xfId="0" applyFont="1" applyAlignment="1">
      <alignment horizontal="left" wrapText="1"/>
    </xf>
    <xf numFmtId="0" fontId="3" fillId="0" borderId="0" xfId="0" applyFont="1" applyAlignment="1">
      <alignment wrapText="1"/>
    </xf>
    <xf numFmtId="4" fontId="3" fillId="0" borderId="0" xfId="0" applyNumberFormat="1" applyFont="1" applyAlignment="1">
      <alignment wrapText="1"/>
    </xf>
    <xf numFmtId="0" fontId="4" fillId="0" borderId="0" xfId="0" applyFont="1" applyAlignment="1">
      <alignment horizontal="left" wrapText="1"/>
    </xf>
    <xf numFmtId="0" fontId="4" fillId="0" borderId="2" xfId="0" applyFont="1" applyBorder="1" applyAlignment="1">
      <alignment wrapText="1"/>
    </xf>
    <xf numFmtId="0" fontId="3" fillId="0" borderId="0" xfId="0" applyFont="1" applyAlignment="1">
      <alignment horizontal="center" wrapText="1"/>
    </xf>
  </cellXfs>
  <cellStyles count="2">
    <cellStyle name="HeaderCellStyle"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877"/>
  <sheetViews>
    <sheetView tabSelected="1" zoomScale="90" zoomScaleNormal="90" workbookViewId="0">
      <pane xSplit="1" ySplit="1" topLeftCell="B2" activePane="bottomRight" state="frozen"/>
      <selection pane="topRight" activeCell="B1" sqref="B1"/>
      <selection pane="bottomLeft" activeCell="A2" sqref="A2"/>
      <selection pane="bottomRight" activeCell="H1" sqref="H1:I1048576"/>
    </sheetView>
  </sheetViews>
  <sheetFormatPr defaultColWidth="11.19921875" defaultRowHeight="15.6" x14ac:dyDescent="0.3"/>
  <cols>
    <col min="1" max="1" width="12.59765625" style="2" customWidth="1"/>
    <col min="2" max="3" width="14.3984375" style="2" customWidth="1"/>
    <col min="4" max="4" width="7.5" style="2" customWidth="1"/>
    <col min="5" max="5" width="64.8984375" style="2" customWidth="1"/>
    <col min="6" max="6" width="16" style="2" customWidth="1"/>
    <col min="7" max="7" width="85.69921875" style="2" customWidth="1"/>
    <col min="8" max="9" width="16.09765625" style="2" customWidth="1"/>
  </cols>
  <sheetData>
    <row r="1" spans="1:9" ht="24.6" x14ac:dyDescent="0.3">
      <c r="B1" s="3" t="s">
        <v>0</v>
      </c>
      <c r="C1" s="3" t="s">
        <v>1</v>
      </c>
      <c r="D1" s="3" t="s">
        <v>2</v>
      </c>
      <c r="E1" s="3" t="s">
        <v>3</v>
      </c>
      <c r="F1" s="3" t="s">
        <v>4</v>
      </c>
      <c r="G1" s="3" t="s">
        <v>5</v>
      </c>
      <c r="H1" s="3" t="s">
        <v>6</v>
      </c>
      <c r="I1" s="3" t="s">
        <v>7</v>
      </c>
    </row>
    <row r="2" spans="1:9" x14ac:dyDescent="0.3">
      <c r="A2" s="4" t="s">
        <v>8</v>
      </c>
    </row>
    <row r="3" spans="1:9" x14ac:dyDescent="0.3">
      <c r="B3" s="5" t="s">
        <v>9</v>
      </c>
      <c r="C3" s="5" t="s">
        <v>10</v>
      </c>
      <c r="D3" s="5" t="s">
        <v>11</v>
      </c>
      <c r="E3" s="5" t="s">
        <v>12</v>
      </c>
      <c r="F3" s="5" t="s">
        <v>13</v>
      </c>
      <c r="G3" s="5" t="s">
        <v>14</v>
      </c>
      <c r="H3" s="6">
        <v>51000000</v>
      </c>
      <c r="I3" s="5"/>
    </row>
    <row r="4" spans="1:9" x14ac:dyDescent="0.3">
      <c r="B4" s="5" t="s">
        <v>9</v>
      </c>
      <c r="C4" s="5" t="s">
        <v>10</v>
      </c>
      <c r="D4" s="5" t="s">
        <v>11</v>
      </c>
      <c r="E4" s="5" t="s">
        <v>12</v>
      </c>
      <c r="F4" s="5" t="s">
        <v>15</v>
      </c>
      <c r="G4" s="5" t="s">
        <v>16</v>
      </c>
      <c r="H4" s="5"/>
      <c r="I4" s="6">
        <v>51000000</v>
      </c>
    </row>
    <row r="5" spans="1:9" x14ac:dyDescent="0.3">
      <c r="A5" s="7" t="s">
        <v>17</v>
      </c>
      <c r="H5" s="8">
        <f>H3+H4</f>
        <v>51000000</v>
      </c>
      <c r="I5" s="8">
        <f>I3+I4</f>
        <v>51000000</v>
      </c>
    </row>
    <row r="6" spans="1:9" x14ac:dyDescent="0.3">
      <c r="A6" s="4" t="s">
        <v>18</v>
      </c>
    </row>
    <row r="7" spans="1:9" x14ac:dyDescent="0.3">
      <c r="B7" s="5" t="s">
        <v>9</v>
      </c>
      <c r="C7" s="5" t="s">
        <v>10</v>
      </c>
      <c r="D7" s="5" t="s">
        <v>8</v>
      </c>
      <c r="E7" s="5" t="s">
        <v>19</v>
      </c>
      <c r="F7" s="5" t="s">
        <v>20</v>
      </c>
      <c r="G7" s="5" t="s">
        <v>21</v>
      </c>
      <c r="H7" s="6">
        <v>30000</v>
      </c>
      <c r="I7" s="5"/>
    </row>
    <row r="8" spans="1:9" x14ac:dyDescent="0.3">
      <c r="B8" s="5" t="s">
        <v>9</v>
      </c>
      <c r="C8" s="5" t="s">
        <v>10</v>
      </c>
      <c r="D8" s="5" t="s">
        <v>8</v>
      </c>
      <c r="E8" s="5" t="s">
        <v>22</v>
      </c>
      <c r="F8" s="5" t="s">
        <v>23</v>
      </c>
      <c r="G8" s="5" t="s">
        <v>24</v>
      </c>
      <c r="H8" s="6">
        <v>33000</v>
      </c>
      <c r="I8" s="5"/>
    </row>
    <row r="9" spans="1:9" x14ac:dyDescent="0.3">
      <c r="B9" s="5" t="s">
        <v>9</v>
      </c>
      <c r="C9" s="5" t="s">
        <v>10</v>
      </c>
      <c r="D9" s="5" t="s">
        <v>8</v>
      </c>
      <c r="E9" s="5" t="s">
        <v>25</v>
      </c>
      <c r="F9" s="5" t="s">
        <v>26</v>
      </c>
      <c r="G9" s="5" t="s">
        <v>27</v>
      </c>
      <c r="H9" s="6">
        <v>30000</v>
      </c>
      <c r="I9" s="5"/>
    </row>
    <row r="10" spans="1:9" x14ac:dyDescent="0.3">
      <c r="B10" s="5" t="s">
        <v>9</v>
      </c>
      <c r="C10" s="5" t="s">
        <v>10</v>
      </c>
      <c r="D10" s="5" t="s">
        <v>8</v>
      </c>
      <c r="E10" s="5" t="s">
        <v>28</v>
      </c>
      <c r="F10" s="5" t="s">
        <v>29</v>
      </c>
      <c r="G10" s="5" t="s">
        <v>30</v>
      </c>
      <c r="H10" s="5"/>
      <c r="I10" s="6">
        <v>3000</v>
      </c>
    </row>
    <row r="11" spans="1:9" x14ac:dyDescent="0.3">
      <c r="B11" s="5" t="s">
        <v>9</v>
      </c>
      <c r="C11" s="5" t="s">
        <v>10</v>
      </c>
      <c r="D11" s="5" t="s">
        <v>8</v>
      </c>
      <c r="E11" s="5" t="s">
        <v>31</v>
      </c>
      <c r="F11" s="5" t="s">
        <v>13</v>
      </c>
      <c r="G11" s="5" t="s">
        <v>14</v>
      </c>
      <c r="H11" s="5"/>
      <c r="I11" s="6">
        <v>90000</v>
      </c>
    </row>
    <row r="12" spans="1:9" x14ac:dyDescent="0.3">
      <c r="A12" s="7" t="s">
        <v>32</v>
      </c>
      <c r="H12" s="8">
        <f>H7+H8+H9+H10+H11</f>
        <v>93000</v>
      </c>
      <c r="I12" s="8">
        <f>I7+I8+I9+I10+I11</f>
        <v>93000</v>
      </c>
    </row>
    <row r="13" spans="1:9" x14ac:dyDescent="0.3">
      <c r="A13" s="4" t="s">
        <v>33</v>
      </c>
    </row>
    <row r="14" spans="1:9" x14ac:dyDescent="0.3">
      <c r="B14" s="5" t="s">
        <v>9</v>
      </c>
      <c r="C14" s="5" t="s">
        <v>10</v>
      </c>
      <c r="D14" s="5" t="s">
        <v>18</v>
      </c>
      <c r="E14" s="5" t="s">
        <v>34</v>
      </c>
      <c r="F14" s="5" t="s">
        <v>35</v>
      </c>
      <c r="G14" s="5" t="s">
        <v>36</v>
      </c>
      <c r="H14" s="6">
        <v>800</v>
      </c>
      <c r="I14" s="5"/>
    </row>
    <row r="15" spans="1:9" x14ac:dyDescent="0.3">
      <c r="B15" s="5" t="s">
        <v>9</v>
      </c>
      <c r="C15" s="5" t="s">
        <v>10</v>
      </c>
      <c r="D15" s="5" t="s">
        <v>18</v>
      </c>
      <c r="E15" s="5" t="s">
        <v>37</v>
      </c>
      <c r="F15" s="5" t="s">
        <v>13</v>
      </c>
      <c r="G15" s="5" t="s">
        <v>14</v>
      </c>
      <c r="H15" s="5"/>
      <c r="I15" s="6">
        <v>800</v>
      </c>
    </row>
    <row r="16" spans="1:9" x14ac:dyDescent="0.3">
      <c r="B16" s="5" t="s">
        <v>9</v>
      </c>
      <c r="C16" s="5" t="s">
        <v>10</v>
      </c>
      <c r="D16" s="5" t="s">
        <v>18</v>
      </c>
      <c r="E16" s="5" t="s">
        <v>38</v>
      </c>
      <c r="F16" s="5" t="s">
        <v>35</v>
      </c>
      <c r="G16" s="5" t="s">
        <v>36</v>
      </c>
      <c r="H16" s="6">
        <v>1980</v>
      </c>
      <c r="I16" s="5"/>
    </row>
    <row r="17" spans="1:9" x14ac:dyDescent="0.3">
      <c r="B17" s="5" t="s">
        <v>9</v>
      </c>
      <c r="C17" s="5" t="s">
        <v>10</v>
      </c>
      <c r="D17" s="5" t="s">
        <v>18</v>
      </c>
      <c r="E17" s="5" t="s">
        <v>38</v>
      </c>
      <c r="F17" s="5" t="s">
        <v>13</v>
      </c>
      <c r="G17" s="5" t="s">
        <v>14</v>
      </c>
      <c r="H17" s="5"/>
      <c r="I17" s="6">
        <v>1980</v>
      </c>
    </row>
    <row r="18" spans="1:9" x14ac:dyDescent="0.3">
      <c r="A18" s="7" t="s">
        <v>39</v>
      </c>
      <c r="H18" s="8">
        <f>H14+H15+H16+H17</f>
        <v>2780</v>
      </c>
      <c r="I18" s="8">
        <f>I14+I15+I16+I17</f>
        <v>2780</v>
      </c>
    </row>
    <row r="19" spans="1:9" x14ac:dyDescent="0.3">
      <c r="A19" s="4" t="s">
        <v>40</v>
      </c>
    </row>
    <row r="20" spans="1:9" x14ac:dyDescent="0.3">
      <c r="B20" s="5" t="s">
        <v>9</v>
      </c>
      <c r="C20" s="5" t="s">
        <v>10</v>
      </c>
      <c r="D20" s="5" t="s">
        <v>33</v>
      </c>
      <c r="E20" s="5" t="s">
        <v>41</v>
      </c>
      <c r="F20" s="5" t="s">
        <v>35</v>
      </c>
      <c r="G20" s="5" t="s">
        <v>36</v>
      </c>
      <c r="H20" s="6">
        <v>700</v>
      </c>
      <c r="I20" s="5"/>
    </row>
    <row r="21" spans="1:9" x14ac:dyDescent="0.3">
      <c r="B21" s="5" t="s">
        <v>9</v>
      </c>
      <c r="C21" s="5" t="s">
        <v>10</v>
      </c>
      <c r="D21" s="5" t="s">
        <v>33</v>
      </c>
      <c r="E21" s="5" t="s">
        <v>41</v>
      </c>
      <c r="F21" s="5" t="s">
        <v>13</v>
      </c>
      <c r="G21" s="5" t="s">
        <v>14</v>
      </c>
      <c r="H21" s="5"/>
      <c r="I21" s="6">
        <v>700</v>
      </c>
    </row>
    <row r="22" spans="1:9" x14ac:dyDescent="0.3">
      <c r="A22" s="7" t="s">
        <v>42</v>
      </c>
      <c r="H22" s="8">
        <f>H20+H21</f>
        <v>700</v>
      </c>
      <c r="I22" s="8">
        <f>I20+I21</f>
        <v>700</v>
      </c>
    </row>
    <row r="23" spans="1:9" x14ac:dyDescent="0.3">
      <c r="A23" s="4" t="s">
        <v>43</v>
      </c>
    </row>
    <row r="24" spans="1:9" x14ac:dyDescent="0.3">
      <c r="B24" s="5" t="s">
        <v>9</v>
      </c>
      <c r="C24" s="5" t="s">
        <v>10</v>
      </c>
      <c r="D24" s="5" t="s">
        <v>40</v>
      </c>
      <c r="E24" s="5" t="s">
        <v>44</v>
      </c>
      <c r="F24" s="5" t="s">
        <v>45</v>
      </c>
      <c r="G24" s="5" t="s">
        <v>46</v>
      </c>
      <c r="H24" s="6">
        <v>33800</v>
      </c>
      <c r="I24" s="5"/>
    </row>
    <row r="25" spans="1:9" x14ac:dyDescent="0.3">
      <c r="B25" s="5" t="s">
        <v>9</v>
      </c>
      <c r="C25" s="5" t="s">
        <v>10</v>
      </c>
      <c r="D25" s="5" t="s">
        <v>40</v>
      </c>
      <c r="E25" s="5" t="s">
        <v>44</v>
      </c>
      <c r="F25" s="5" t="s">
        <v>13</v>
      </c>
      <c r="G25" s="5" t="s">
        <v>14</v>
      </c>
      <c r="H25" s="5"/>
      <c r="I25" s="6">
        <v>33800</v>
      </c>
    </row>
    <row r="26" spans="1:9" x14ac:dyDescent="0.3">
      <c r="A26" s="7" t="s">
        <v>47</v>
      </c>
      <c r="H26" s="8">
        <f>H24+H25</f>
        <v>33800</v>
      </c>
      <c r="I26" s="8">
        <f>I24+I25</f>
        <v>33800</v>
      </c>
    </row>
    <row r="27" spans="1:9" x14ac:dyDescent="0.3">
      <c r="A27" s="4" t="s">
        <v>48</v>
      </c>
    </row>
    <row r="28" spans="1:9" x14ac:dyDescent="0.3">
      <c r="B28" s="5" t="s">
        <v>9</v>
      </c>
      <c r="C28" s="5" t="s">
        <v>10</v>
      </c>
      <c r="D28" s="5" t="s">
        <v>43</v>
      </c>
      <c r="E28" s="5" t="s">
        <v>49</v>
      </c>
      <c r="F28" s="5" t="s">
        <v>50</v>
      </c>
      <c r="G28" s="5" t="s">
        <v>51</v>
      </c>
      <c r="H28" s="6">
        <v>3200</v>
      </c>
      <c r="I28" s="5"/>
    </row>
    <row r="29" spans="1:9" x14ac:dyDescent="0.3">
      <c r="B29" s="5" t="s">
        <v>9</v>
      </c>
      <c r="C29" s="5" t="s">
        <v>10</v>
      </c>
      <c r="D29" s="5" t="s">
        <v>43</v>
      </c>
      <c r="E29" s="5" t="s">
        <v>49</v>
      </c>
      <c r="F29" s="5" t="s">
        <v>13</v>
      </c>
      <c r="G29" s="5" t="s">
        <v>14</v>
      </c>
      <c r="H29" s="5"/>
      <c r="I29" s="6">
        <v>3200</v>
      </c>
    </row>
    <row r="30" spans="1:9" x14ac:dyDescent="0.3">
      <c r="A30" s="7" t="s">
        <v>52</v>
      </c>
      <c r="H30" s="8">
        <f>H28+H29</f>
        <v>3200</v>
      </c>
      <c r="I30" s="8">
        <f>I28+I29</f>
        <v>3200</v>
      </c>
    </row>
    <row r="31" spans="1:9" x14ac:dyDescent="0.3">
      <c r="A31" s="4" t="s">
        <v>53</v>
      </c>
    </row>
    <row r="32" spans="1:9" x14ac:dyDescent="0.3">
      <c r="B32" s="5" t="s">
        <v>9</v>
      </c>
      <c r="C32" s="5" t="s">
        <v>10</v>
      </c>
      <c r="D32" s="5" t="s">
        <v>48</v>
      </c>
      <c r="E32" s="5" t="s">
        <v>54</v>
      </c>
      <c r="F32" s="5" t="s">
        <v>55</v>
      </c>
      <c r="G32" s="5" t="s">
        <v>56</v>
      </c>
      <c r="H32" s="6">
        <v>1430</v>
      </c>
      <c r="I32" s="5"/>
    </row>
    <row r="33" spans="1:9" x14ac:dyDescent="0.3">
      <c r="B33" s="5" t="s">
        <v>9</v>
      </c>
      <c r="C33" s="5" t="s">
        <v>10</v>
      </c>
      <c r="D33" s="5" t="s">
        <v>48</v>
      </c>
      <c r="E33" s="5" t="s">
        <v>57</v>
      </c>
      <c r="F33" s="5" t="s">
        <v>58</v>
      </c>
      <c r="G33" s="5" t="s">
        <v>59</v>
      </c>
      <c r="H33" s="6">
        <v>3000</v>
      </c>
      <c r="I33" s="5"/>
    </row>
    <row r="34" spans="1:9" x14ac:dyDescent="0.3">
      <c r="B34" s="5" t="s">
        <v>9</v>
      </c>
      <c r="C34" s="5" t="s">
        <v>10</v>
      </c>
      <c r="D34" s="5" t="s">
        <v>48</v>
      </c>
      <c r="E34" s="5" t="s">
        <v>60</v>
      </c>
      <c r="F34" s="5" t="s">
        <v>61</v>
      </c>
      <c r="G34" s="5" t="s">
        <v>62</v>
      </c>
      <c r="H34" s="6">
        <v>1400</v>
      </c>
      <c r="I34" s="5"/>
    </row>
    <row r="35" spans="1:9" x14ac:dyDescent="0.3">
      <c r="B35" s="5" t="s">
        <v>9</v>
      </c>
      <c r="C35" s="5" t="s">
        <v>10</v>
      </c>
      <c r="D35" s="5" t="s">
        <v>48</v>
      </c>
      <c r="E35" s="5" t="s">
        <v>63</v>
      </c>
      <c r="F35" s="5" t="s">
        <v>64</v>
      </c>
      <c r="G35" s="5" t="s">
        <v>65</v>
      </c>
      <c r="H35" s="6">
        <v>3480</v>
      </c>
      <c r="I35" s="5"/>
    </row>
    <row r="36" spans="1:9" x14ac:dyDescent="0.3">
      <c r="B36" s="5" t="s">
        <v>9</v>
      </c>
      <c r="C36" s="5" t="s">
        <v>10</v>
      </c>
      <c r="D36" s="5" t="s">
        <v>48</v>
      </c>
      <c r="E36" s="5" t="s">
        <v>66</v>
      </c>
      <c r="F36" s="5" t="s">
        <v>67</v>
      </c>
      <c r="G36" s="5" t="s">
        <v>68</v>
      </c>
      <c r="H36" s="6">
        <v>150</v>
      </c>
      <c r="I36" s="5"/>
    </row>
    <row r="37" spans="1:9" x14ac:dyDescent="0.3">
      <c r="B37" s="5" t="s">
        <v>9</v>
      </c>
      <c r="C37" s="5" t="s">
        <v>10</v>
      </c>
      <c r="D37" s="5" t="s">
        <v>48</v>
      </c>
      <c r="E37" s="5" t="s">
        <v>69</v>
      </c>
      <c r="F37" s="5" t="s">
        <v>70</v>
      </c>
      <c r="G37" s="5" t="s">
        <v>71</v>
      </c>
      <c r="H37" s="6">
        <v>500</v>
      </c>
      <c r="I37" s="5"/>
    </row>
    <row r="38" spans="1:9" x14ac:dyDescent="0.3">
      <c r="B38" s="5" t="s">
        <v>9</v>
      </c>
      <c r="C38" s="5" t="s">
        <v>10</v>
      </c>
      <c r="D38" s="5" t="s">
        <v>48</v>
      </c>
      <c r="E38" s="5" t="s">
        <v>72</v>
      </c>
      <c r="F38" s="5" t="s">
        <v>73</v>
      </c>
      <c r="G38" s="5" t="s">
        <v>74</v>
      </c>
      <c r="H38" s="6">
        <v>6700</v>
      </c>
      <c r="I38" s="5"/>
    </row>
    <row r="39" spans="1:9" x14ac:dyDescent="0.3">
      <c r="B39" s="5" t="s">
        <v>9</v>
      </c>
      <c r="C39" s="5" t="s">
        <v>10</v>
      </c>
      <c r="D39" s="5" t="s">
        <v>48</v>
      </c>
      <c r="E39" s="5" t="s">
        <v>75</v>
      </c>
      <c r="F39" s="5" t="s">
        <v>67</v>
      </c>
      <c r="G39" s="5" t="s">
        <v>68</v>
      </c>
      <c r="H39" s="6">
        <v>3500</v>
      </c>
      <c r="I39" s="5"/>
    </row>
    <row r="40" spans="1:9" x14ac:dyDescent="0.3">
      <c r="B40" s="5" t="s">
        <v>9</v>
      </c>
      <c r="C40" s="5" t="s">
        <v>10</v>
      </c>
      <c r="D40" s="5" t="s">
        <v>48</v>
      </c>
      <c r="E40" s="5" t="s">
        <v>76</v>
      </c>
      <c r="F40" s="5" t="s">
        <v>50</v>
      </c>
      <c r="G40" s="5" t="s">
        <v>51</v>
      </c>
      <c r="H40" s="6">
        <v>1750</v>
      </c>
      <c r="I40" s="5"/>
    </row>
    <row r="41" spans="1:9" x14ac:dyDescent="0.3">
      <c r="B41" s="5" t="s">
        <v>9</v>
      </c>
      <c r="C41" s="5" t="s">
        <v>10</v>
      </c>
      <c r="D41" s="5" t="s">
        <v>48</v>
      </c>
      <c r="E41" s="5" t="s">
        <v>77</v>
      </c>
      <c r="F41" s="5" t="s">
        <v>13</v>
      </c>
      <c r="G41" s="5" t="s">
        <v>14</v>
      </c>
      <c r="H41" s="5"/>
      <c r="I41" s="6">
        <v>21910</v>
      </c>
    </row>
    <row r="42" spans="1:9" x14ac:dyDescent="0.3">
      <c r="A42" s="7" t="s">
        <v>78</v>
      </c>
      <c r="H42" s="8">
        <f>H32+H33+H34+H35+H36+H37+H38+H39+H40+H41</f>
        <v>21910</v>
      </c>
      <c r="I42" s="8">
        <f>I32+I33+I34+I35+I36+I37+I38+I39+I40+I41</f>
        <v>21910</v>
      </c>
    </row>
    <row r="43" spans="1:9" x14ac:dyDescent="0.3">
      <c r="A43" s="4" t="s">
        <v>79</v>
      </c>
    </row>
    <row r="44" spans="1:9" x14ac:dyDescent="0.3">
      <c r="B44" s="5" t="s">
        <v>9</v>
      </c>
      <c r="C44" s="5" t="s">
        <v>10</v>
      </c>
      <c r="D44" s="5" t="s">
        <v>53</v>
      </c>
      <c r="E44" s="5" t="s">
        <v>80</v>
      </c>
      <c r="F44" s="5" t="s">
        <v>81</v>
      </c>
      <c r="G44" s="5" t="s">
        <v>82</v>
      </c>
      <c r="H44" s="6">
        <v>11500</v>
      </c>
      <c r="I44" s="5"/>
    </row>
    <row r="45" spans="1:9" x14ac:dyDescent="0.3">
      <c r="B45" s="5" t="s">
        <v>9</v>
      </c>
      <c r="C45" s="5" t="s">
        <v>10</v>
      </c>
      <c r="D45" s="5" t="s">
        <v>53</v>
      </c>
      <c r="E45" s="5" t="s">
        <v>80</v>
      </c>
      <c r="F45" s="5" t="s">
        <v>13</v>
      </c>
      <c r="G45" s="5" t="s">
        <v>14</v>
      </c>
      <c r="H45" s="5"/>
      <c r="I45" s="6">
        <v>11500</v>
      </c>
    </row>
    <row r="46" spans="1:9" x14ac:dyDescent="0.3">
      <c r="A46" s="7" t="s">
        <v>83</v>
      </c>
      <c r="H46" s="8">
        <f>H44+H45</f>
        <v>11500</v>
      </c>
      <c r="I46" s="8">
        <f>I44+I45</f>
        <v>11500</v>
      </c>
    </row>
    <row r="47" spans="1:9" x14ac:dyDescent="0.3">
      <c r="A47" s="4" t="s">
        <v>84</v>
      </c>
    </row>
    <row r="48" spans="1:9" x14ac:dyDescent="0.3">
      <c r="B48" s="5" t="s">
        <v>9</v>
      </c>
      <c r="C48" s="5" t="s">
        <v>10</v>
      </c>
      <c r="D48" s="5" t="s">
        <v>79</v>
      </c>
      <c r="E48" s="5" t="s">
        <v>85</v>
      </c>
      <c r="F48" s="5" t="s">
        <v>81</v>
      </c>
      <c r="G48" s="5" t="s">
        <v>82</v>
      </c>
      <c r="H48" s="6">
        <v>13840</v>
      </c>
      <c r="I48" s="5"/>
    </row>
    <row r="49" spans="1:9" x14ac:dyDescent="0.3">
      <c r="B49" s="5" t="s">
        <v>9</v>
      </c>
      <c r="C49" s="5" t="s">
        <v>10</v>
      </c>
      <c r="D49" s="5" t="s">
        <v>79</v>
      </c>
      <c r="E49" s="5" t="s">
        <v>86</v>
      </c>
      <c r="F49" s="5" t="s">
        <v>87</v>
      </c>
      <c r="G49" s="5" t="s">
        <v>88</v>
      </c>
      <c r="H49" s="6">
        <v>7480</v>
      </c>
      <c r="I49" s="5"/>
    </row>
    <row r="50" spans="1:9" x14ac:dyDescent="0.3">
      <c r="B50" s="5" t="s">
        <v>9</v>
      </c>
      <c r="C50" s="5" t="s">
        <v>10</v>
      </c>
      <c r="D50" s="5" t="s">
        <v>79</v>
      </c>
      <c r="E50" s="5" t="s">
        <v>89</v>
      </c>
      <c r="F50" s="5" t="s">
        <v>87</v>
      </c>
      <c r="G50" s="5" t="s">
        <v>88</v>
      </c>
      <c r="H50" s="6">
        <v>14280</v>
      </c>
      <c r="I50" s="5"/>
    </row>
    <row r="51" spans="1:9" x14ac:dyDescent="0.3">
      <c r="B51" s="5" t="s">
        <v>9</v>
      </c>
      <c r="C51" s="5" t="s">
        <v>10</v>
      </c>
      <c r="D51" s="5" t="s">
        <v>79</v>
      </c>
      <c r="E51" s="5" t="s">
        <v>90</v>
      </c>
      <c r="F51" s="5" t="s">
        <v>87</v>
      </c>
      <c r="G51" s="5" t="s">
        <v>88</v>
      </c>
      <c r="H51" s="6">
        <v>2300</v>
      </c>
      <c r="I51" s="5"/>
    </row>
    <row r="52" spans="1:9" x14ac:dyDescent="0.3">
      <c r="B52" s="5" t="s">
        <v>9</v>
      </c>
      <c r="C52" s="5" t="s">
        <v>10</v>
      </c>
      <c r="D52" s="5" t="s">
        <v>79</v>
      </c>
      <c r="E52" s="5" t="s">
        <v>91</v>
      </c>
      <c r="F52" s="5" t="s">
        <v>87</v>
      </c>
      <c r="G52" s="5" t="s">
        <v>88</v>
      </c>
      <c r="H52" s="6">
        <v>1000</v>
      </c>
      <c r="I52" s="5"/>
    </row>
    <row r="53" spans="1:9" x14ac:dyDescent="0.3">
      <c r="B53" s="5" t="s">
        <v>9</v>
      </c>
      <c r="C53" s="5" t="s">
        <v>10</v>
      </c>
      <c r="D53" s="5" t="s">
        <v>79</v>
      </c>
      <c r="E53" s="5" t="s">
        <v>92</v>
      </c>
      <c r="F53" s="5" t="s">
        <v>87</v>
      </c>
      <c r="G53" s="5" t="s">
        <v>88</v>
      </c>
      <c r="H53" s="6">
        <v>1400</v>
      </c>
      <c r="I53" s="5"/>
    </row>
    <row r="54" spans="1:9" x14ac:dyDescent="0.3">
      <c r="B54" s="5" t="s">
        <v>9</v>
      </c>
      <c r="C54" s="5" t="s">
        <v>10</v>
      </c>
      <c r="D54" s="5" t="s">
        <v>79</v>
      </c>
      <c r="E54" s="5" t="s">
        <v>93</v>
      </c>
      <c r="F54" s="5" t="s">
        <v>87</v>
      </c>
      <c r="G54" s="5" t="s">
        <v>88</v>
      </c>
      <c r="H54" s="6">
        <v>5780</v>
      </c>
      <c r="I54" s="5"/>
    </row>
    <row r="55" spans="1:9" x14ac:dyDescent="0.3">
      <c r="B55" s="5" t="s">
        <v>9</v>
      </c>
      <c r="C55" s="5" t="s">
        <v>10</v>
      </c>
      <c r="D55" s="5" t="s">
        <v>79</v>
      </c>
      <c r="E55" s="5" t="s">
        <v>94</v>
      </c>
      <c r="F55" s="5" t="s">
        <v>95</v>
      </c>
      <c r="G55" s="5" t="s">
        <v>96</v>
      </c>
      <c r="H55" s="6">
        <v>5240</v>
      </c>
      <c r="I55" s="5"/>
    </row>
    <row r="56" spans="1:9" x14ac:dyDescent="0.3">
      <c r="B56" s="5" t="s">
        <v>9</v>
      </c>
      <c r="C56" s="5" t="s">
        <v>10</v>
      </c>
      <c r="D56" s="5" t="s">
        <v>79</v>
      </c>
      <c r="E56" s="5" t="s">
        <v>97</v>
      </c>
      <c r="F56" s="5" t="s">
        <v>13</v>
      </c>
      <c r="G56" s="5" t="s">
        <v>14</v>
      </c>
      <c r="H56" s="5"/>
      <c r="I56" s="6">
        <v>51320</v>
      </c>
    </row>
    <row r="57" spans="1:9" x14ac:dyDescent="0.3">
      <c r="A57" s="7" t="s">
        <v>98</v>
      </c>
      <c r="H57" s="8">
        <f>H48+H49+H50+H51+H52+H53+H54+H55+H56</f>
        <v>51320</v>
      </c>
      <c r="I57" s="8">
        <f>I48+I49+I50+I51+I52+I53+I54+I55+I56</f>
        <v>51320</v>
      </c>
    </row>
    <row r="58" spans="1:9" x14ac:dyDescent="0.3">
      <c r="A58" s="4" t="s">
        <v>99</v>
      </c>
    </row>
    <row r="59" spans="1:9" x14ac:dyDescent="0.3">
      <c r="B59" s="5" t="s">
        <v>9</v>
      </c>
      <c r="C59" s="5" t="s">
        <v>10</v>
      </c>
      <c r="D59" s="5" t="s">
        <v>84</v>
      </c>
      <c r="E59" s="5" t="s">
        <v>100</v>
      </c>
      <c r="F59" s="5" t="s">
        <v>87</v>
      </c>
      <c r="G59" s="5" t="s">
        <v>88</v>
      </c>
      <c r="H59" s="6">
        <v>40000</v>
      </c>
      <c r="I59" s="5"/>
    </row>
    <row r="60" spans="1:9" x14ac:dyDescent="0.3">
      <c r="B60" s="5" t="s">
        <v>9</v>
      </c>
      <c r="C60" s="5" t="s">
        <v>10</v>
      </c>
      <c r="D60" s="5" t="s">
        <v>84</v>
      </c>
      <c r="E60" s="5" t="s">
        <v>100</v>
      </c>
      <c r="F60" s="5" t="s">
        <v>13</v>
      </c>
      <c r="G60" s="5" t="s">
        <v>14</v>
      </c>
      <c r="H60" s="5"/>
      <c r="I60" s="6">
        <v>40000</v>
      </c>
    </row>
    <row r="61" spans="1:9" x14ac:dyDescent="0.3">
      <c r="A61" s="7" t="s">
        <v>101</v>
      </c>
      <c r="H61" s="8">
        <f>H59+H60</f>
        <v>40000</v>
      </c>
      <c r="I61" s="8">
        <f>I59+I60</f>
        <v>40000</v>
      </c>
    </row>
    <row r="62" spans="1:9" x14ac:dyDescent="0.3">
      <c r="A62" s="4" t="s">
        <v>102</v>
      </c>
    </row>
    <row r="63" spans="1:9" x14ac:dyDescent="0.3">
      <c r="B63" s="5" t="s">
        <v>9</v>
      </c>
      <c r="C63" s="5" t="s">
        <v>10</v>
      </c>
      <c r="D63" s="5" t="s">
        <v>99</v>
      </c>
      <c r="E63" s="5" t="s">
        <v>103</v>
      </c>
      <c r="F63" s="5" t="s">
        <v>95</v>
      </c>
      <c r="G63" s="5" t="s">
        <v>96</v>
      </c>
      <c r="H63" s="6">
        <v>3800</v>
      </c>
      <c r="I63" s="5"/>
    </row>
    <row r="64" spans="1:9" x14ac:dyDescent="0.3">
      <c r="B64" s="5" t="s">
        <v>9</v>
      </c>
      <c r="C64" s="5" t="s">
        <v>10</v>
      </c>
      <c r="D64" s="5" t="s">
        <v>99</v>
      </c>
      <c r="E64" s="5" t="s">
        <v>103</v>
      </c>
      <c r="F64" s="5" t="s">
        <v>13</v>
      </c>
      <c r="G64" s="5" t="s">
        <v>14</v>
      </c>
      <c r="H64" s="5"/>
      <c r="I64" s="6">
        <v>3800</v>
      </c>
    </row>
    <row r="65" spans="1:9" x14ac:dyDescent="0.3">
      <c r="A65" s="7" t="s">
        <v>104</v>
      </c>
      <c r="H65" s="8">
        <f>H63+H64</f>
        <v>3800</v>
      </c>
      <c r="I65" s="8">
        <f>I63+I64</f>
        <v>3800</v>
      </c>
    </row>
    <row r="66" spans="1:9" x14ac:dyDescent="0.3">
      <c r="A66" s="4" t="s">
        <v>105</v>
      </c>
    </row>
    <row r="67" spans="1:9" x14ac:dyDescent="0.3">
      <c r="B67" s="5" t="s">
        <v>9</v>
      </c>
      <c r="C67" s="5" t="s">
        <v>10</v>
      </c>
      <c r="D67" s="5" t="s">
        <v>102</v>
      </c>
      <c r="E67" s="5" t="s">
        <v>106</v>
      </c>
      <c r="F67" s="5" t="s">
        <v>67</v>
      </c>
      <c r="G67" s="5" t="s">
        <v>68</v>
      </c>
      <c r="H67" s="6">
        <v>150</v>
      </c>
      <c r="I67" s="5"/>
    </row>
    <row r="68" spans="1:9" x14ac:dyDescent="0.3">
      <c r="B68" s="5" t="s">
        <v>9</v>
      </c>
      <c r="C68" s="5" t="s">
        <v>10</v>
      </c>
      <c r="D68" s="5" t="s">
        <v>102</v>
      </c>
      <c r="E68" s="5" t="s">
        <v>107</v>
      </c>
      <c r="F68" s="5" t="s">
        <v>61</v>
      </c>
      <c r="G68" s="5" t="s">
        <v>62</v>
      </c>
      <c r="H68" s="6">
        <v>400</v>
      </c>
      <c r="I68" s="5"/>
    </row>
    <row r="69" spans="1:9" x14ac:dyDescent="0.3">
      <c r="B69" s="5" t="s">
        <v>9</v>
      </c>
      <c r="C69" s="5" t="s">
        <v>10</v>
      </c>
      <c r="D69" s="5" t="s">
        <v>102</v>
      </c>
      <c r="E69" s="5" t="s">
        <v>108</v>
      </c>
      <c r="F69" s="5" t="s">
        <v>13</v>
      </c>
      <c r="G69" s="5" t="s">
        <v>14</v>
      </c>
      <c r="H69" s="5"/>
      <c r="I69" s="6">
        <v>550</v>
      </c>
    </row>
    <row r="70" spans="1:9" x14ac:dyDescent="0.3">
      <c r="A70" s="7" t="s">
        <v>109</v>
      </c>
      <c r="H70" s="8">
        <f>H67+H68+H69</f>
        <v>550</v>
      </c>
      <c r="I70" s="8">
        <f>I67+I68+I69</f>
        <v>550</v>
      </c>
    </row>
    <row r="71" spans="1:9" x14ac:dyDescent="0.3">
      <c r="A71" s="4" t="s">
        <v>110</v>
      </c>
    </row>
    <row r="72" spans="1:9" x14ac:dyDescent="0.3">
      <c r="B72" s="5" t="s">
        <v>9</v>
      </c>
      <c r="C72" s="5" t="s">
        <v>10</v>
      </c>
      <c r="D72" s="5" t="s">
        <v>105</v>
      </c>
      <c r="E72" s="5" t="s">
        <v>111</v>
      </c>
      <c r="F72" s="5" t="s">
        <v>61</v>
      </c>
      <c r="G72" s="5" t="s">
        <v>62</v>
      </c>
      <c r="H72" s="6">
        <v>1000</v>
      </c>
      <c r="I72" s="5"/>
    </row>
    <row r="73" spans="1:9" x14ac:dyDescent="0.3">
      <c r="B73" s="5" t="s">
        <v>9</v>
      </c>
      <c r="C73" s="5" t="s">
        <v>10</v>
      </c>
      <c r="D73" s="5" t="s">
        <v>105</v>
      </c>
      <c r="E73" s="5" t="s">
        <v>112</v>
      </c>
      <c r="F73" s="5" t="s">
        <v>113</v>
      </c>
      <c r="G73" s="5" t="s">
        <v>114</v>
      </c>
      <c r="H73" s="6">
        <v>230</v>
      </c>
      <c r="I73" s="5"/>
    </row>
    <row r="74" spans="1:9" x14ac:dyDescent="0.3">
      <c r="B74" s="5" t="s">
        <v>9</v>
      </c>
      <c r="C74" s="5" t="s">
        <v>10</v>
      </c>
      <c r="D74" s="5" t="s">
        <v>105</v>
      </c>
      <c r="E74" s="5" t="s">
        <v>115</v>
      </c>
      <c r="F74" s="5" t="s">
        <v>116</v>
      </c>
      <c r="G74" s="5" t="s">
        <v>117</v>
      </c>
      <c r="H74" s="6">
        <v>500</v>
      </c>
      <c r="I74" s="5"/>
    </row>
    <row r="75" spans="1:9" x14ac:dyDescent="0.3">
      <c r="B75" s="5" t="s">
        <v>9</v>
      </c>
      <c r="C75" s="5" t="s">
        <v>10</v>
      </c>
      <c r="D75" s="5" t="s">
        <v>105</v>
      </c>
      <c r="E75" s="5" t="s">
        <v>118</v>
      </c>
      <c r="F75" s="5" t="s">
        <v>67</v>
      </c>
      <c r="G75" s="5" t="s">
        <v>68</v>
      </c>
      <c r="H75" s="6">
        <v>390</v>
      </c>
      <c r="I75" s="5"/>
    </row>
    <row r="76" spans="1:9" x14ac:dyDescent="0.3">
      <c r="B76" s="5" t="s">
        <v>9</v>
      </c>
      <c r="C76" s="5" t="s">
        <v>10</v>
      </c>
      <c r="D76" s="5" t="s">
        <v>105</v>
      </c>
      <c r="E76" s="5" t="s">
        <v>119</v>
      </c>
      <c r="F76" s="5" t="s">
        <v>13</v>
      </c>
      <c r="G76" s="5" t="s">
        <v>14</v>
      </c>
      <c r="H76" s="5"/>
      <c r="I76" s="6">
        <v>2120</v>
      </c>
    </row>
    <row r="77" spans="1:9" x14ac:dyDescent="0.3">
      <c r="A77" s="7" t="s">
        <v>120</v>
      </c>
      <c r="H77" s="8">
        <f>H72+H73+H74+H75+H76</f>
        <v>2120</v>
      </c>
      <c r="I77" s="8">
        <f>I72+I73+I74+I75+I76</f>
        <v>2120</v>
      </c>
    </row>
    <row r="78" spans="1:9" x14ac:dyDescent="0.3">
      <c r="A78" s="4" t="s">
        <v>121</v>
      </c>
    </row>
    <row r="79" spans="1:9" x14ac:dyDescent="0.3">
      <c r="B79" s="5" t="s">
        <v>9</v>
      </c>
      <c r="C79" s="5" t="s">
        <v>10</v>
      </c>
      <c r="D79" s="5" t="s">
        <v>110</v>
      </c>
      <c r="E79" s="5" t="s">
        <v>122</v>
      </c>
      <c r="F79" s="5" t="s">
        <v>95</v>
      </c>
      <c r="G79" s="5" t="s">
        <v>96</v>
      </c>
      <c r="H79" s="6">
        <v>1800</v>
      </c>
      <c r="I79" s="5"/>
    </row>
    <row r="80" spans="1:9" x14ac:dyDescent="0.3">
      <c r="B80" s="5" t="s">
        <v>9</v>
      </c>
      <c r="C80" s="5" t="s">
        <v>10</v>
      </c>
      <c r="D80" s="5" t="s">
        <v>110</v>
      </c>
      <c r="E80" s="5" t="s">
        <v>122</v>
      </c>
      <c r="F80" s="5" t="s">
        <v>13</v>
      </c>
      <c r="G80" s="5" t="s">
        <v>14</v>
      </c>
      <c r="H80" s="5"/>
      <c r="I80" s="6">
        <v>1800</v>
      </c>
    </row>
    <row r="81" spans="1:9" x14ac:dyDescent="0.3">
      <c r="A81" s="7" t="s">
        <v>123</v>
      </c>
      <c r="H81" s="8">
        <f>H79+H80</f>
        <v>1800</v>
      </c>
      <c r="I81" s="8">
        <f>I79+I80</f>
        <v>1800</v>
      </c>
    </row>
    <row r="82" spans="1:9" x14ac:dyDescent="0.3">
      <c r="A82" s="4" t="s">
        <v>124</v>
      </c>
    </row>
    <row r="83" spans="1:9" x14ac:dyDescent="0.3">
      <c r="B83" s="5" t="s">
        <v>9</v>
      </c>
      <c r="C83" s="5" t="s">
        <v>10</v>
      </c>
      <c r="D83" s="5" t="s">
        <v>121</v>
      </c>
      <c r="E83" s="5" t="s">
        <v>125</v>
      </c>
      <c r="F83" s="5" t="s">
        <v>61</v>
      </c>
      <c r="G83" s="5" t="s">
        <v>62</v>
      </c>
      <c r="H83" s="6">
        <v>100</v>
      </c>
      <c r="I83" s="5"/>
    </row>
    <row r="84" spans="1:9" x14ac:dyDescent="0.3">
      <c r="B84" s="5" t="s">
        <v>9</v>
      </c>
      <c r="C84" s="5" t="s">
        <v>10</v>
      </c>
      <c r="D84" s="5" t="s">
        <v>121</v>
      </c>
      <c r="E84" s="5" t="s">
        <v>126</v>
      </c>
      <c r="F84" s="5" t="s">
        <v>113</v>
      </c>
      <c r="G84" s="5" t="s">
        <v>114</v>
      </c>
      <c r="H84" s="6">
        <v>230</v>
      </c>
      <c r="I84" s="5"/>
    </row>
    <row r="85" spans="1:9" x14ac:dyDescent="0.3">
      <c r="B85" s="5" t="s">
        <v>9</v>
      </c>
      <c r="C85" s="5" t="s">
        <v>10</v>
      </c>
      <c r="D85" s="5" t="s">
        <v>121</v>
      </c>
      <c r="E85" s="5" t="s">
        <v>127</v>
      </c>
      <c r="F85" s="5" t="s">
        <v>64</v>
      </c>
      <c r="G85" s="5" t="s">
        <v>65</v>
      </c>
      <c r="H85" s="6">
        <v>30</v>
      </c>
      <c r="I85" s="5"/>
    </row>
    <row r="86" spans="1:9" x14ac:dyDescent="0.3">
      <c r="B86" s="5" t="s">
        <v>9</v>
      </c>
      <c r="C86" s="5" t="s">
        <v>10</v>
      </c>
      <c r="D86" s="5" t="s">
        <v>121</v>
      </c>
      <c r="E86" s="5" t="s">
        <v>128</v>
      </c>
      <c r="F86" s="5" t="s">
        <v>129</v>
      </c>
      <c r="G86" s="5" t="s">
        <v>130</v>
      </c>
      <c r="H86" s="6">
        <v>50</v>
      </c>
      <c r="I86" s="5"/>
    </row>
    <row r="87" spans="1:9" x14ac:dyDescent="0.3">
      <c r="B87" s="5" t="s">
        <v>9</v>
      </c>
      <c r="C87" s="5" t="s">
        <v>10</v>
      </c>
      <c r="D87" s="5" t="s">
        <v>121</v>
      </c>
      <c r="E87" s="5" t="s">
        <v>128</v>
      </c>
      <c r="F87" s="5" t="s">
        <v>13</v>
      </c>
      <c r="G87" s="5" t="s">
        <v>14</v>
      </c>
      <c r="H87" s="5"/>
      <c r="I87" s="6">
        <v>410</v>
      </c>
    </row>
    <row r="88" spans="1:9" x14ac:dyDescent="0.3">
      <c r="A88" s="7" t="s">
        <v>131</v>
      </c>
      <c r="H88" s="8">
        <f>H83+H84+H85+H86+H87</f>
        <v>410</v>
      </c>
      <c r="I88" s="8">
        <f>I83+I84+I85+I86+I87</f>
        <v>410</v>
      </c>
    </row>
    <row r="89" spans="1:9" x14ac:dyDescent="0.3">
      <c r="A89" s="4" t="s">
        <v>132</v>
      </c>
    </row>
    <row r="90" spans="1:9" x14ac:dyDescent="0.3">
      <c r="B90" s="5" t="s">
        <v>9</v>
      </c>
      <c r="C90" s="5" t="s">
        <v>10</v>
      </c>
      <c r="D90" s="5" t="s">
        <v>124</v>
      </c>
      <c r="E90" s="5" t="s">
        <v>133</v>
      </c>
      <c r="F90" s="5" t="s">
        <v>61</v>
      </c>
      <c r="G90" s="5" t="s">
        <v>62</v>
      </c>
      <c r="H90" s="6">
        <v>100</v>
      </c>
      <c r="I90" s="5"/>
    </row>
    <row r="91" spans="1:9" x14ac:dyDescent="0.3">
      <c r="B91" s="5" t="s">
        <v>9</v>
      </c>
      <c r="C91" s="5" t="s">
        <v>10</v>
      </c>
      <c r="D91" s="5" t="s">
        <v>124</v>
      </c>
      <c r="E91" s="5" t="s">
        <v>134</v>
      </c>
      <c r="F91" s="5" t="s">
        <v>116</v>
      </c>
      <c r="G91" s="5" t="s">
        <v>117</v>
      </c>
      <c r="H91" s="6">
        <v>400</v>
      </c>
      <c r="I91" s="5"/>
    </row>
    <row r="92" spans="1:9" x14ac:dyDescent="0.3">
      <c r="B92" s="5" t="s">
        <v>9</v>
      </c>
      <c r="C92" s="5" t="s">
        <v>10</v>
      </c>
      <c r="D92" s="5" t="s">
        <v>124</v>
      </c>
      <c r="E92" s="5" t="s">
        <v>135</v>
      </c>
      <c r="F92" s="5" t="s">
        <v>58</v>
      </c>
      <c r="G92" s="5" t="s">
        <v>59</v>
      </c>
      <c r="H92" s="6">
        <v>800</v>
      </c>
      <c r="I92" s="5"/>
    </row>
    <row r="93" spans="1:9" x14ac:dyDescent="0.3">
      <c r="B93" s="5" t="s">
        <v>9</v>
      </c>
      <c r="C93" s="5" t="s">
        <v>10</v>
      </c>
      <c r="D93" s="5" t="s">
        <v>124</v>
      </c>
      <c r="E93" s="5" t="s">
        <v>136</v>
      </c>
      <c r="F93" s="5" t="s">
        <v>13</v>
      </c>
      <c r="G93" s="5" t="s">
        <v>14</v>
      </c>
      <c r="H93" s="5"/>
      <c r="I93" s="6">
        <v>1300</v>
      </c>
    </row>
    <row r="94" spans="1:9" x14ac:dyDescent="0.3">
      <c r="A94" s="7" t="s">
        <v>137</v>
      </c>
      <c r="H94" s="8">
        <f>H90+H91+H92+H93</f>
        <v>1300</v>
      </c>
      <c r="I94" s="8">
        <f>I90+I91+I92+I93</f>
        <v>1300</v>
      </c>
    </row>
    <row r="95" spans="1:9" x14ac:dyDescent="0.3">
      <c r="A95" s="4" t="s">
        <v>138</v>
      </c>
    </row>
    <row r="96" spans="1:9" x14ac:dyDescent="0.3">
      <c r="B96" s="5" t="s">
        <v>9</v>
      </c>
      <c r="C96" s="5" t="s">
        <v>10</v>
      </c>
      <c r="D96" s="5" t="s">
        <v>132</v>
      </c>
      <c r="E96" s="5" t="s">
        <v>139</v>
      </c>
      <c r="F96" s="5" t="s">
        <v>113</v>
      </c>
      <c r="G96" s="5" t="s">
        <v>114</v>
      </c>
      <c r="H96" s="6">
        <v>800</v>
      </c>
      <c r="I96" s="5"/>
    </row>
    <row r="97" spans="1:9" x14ac:dyDescent="0.3">
      <c r="B97" s="5" t="s">
        <v>9</v>
      </c>
      <c r="C97" s="5" t="s">
        <v>10</v>
      </c>
      <c r="D97" s="5" t="s">
        <v>132</v>
      </c>
      <c r="E97" s="5" t="s">
        <v>133</v>
      </c>
      <c r="F97" s="5" t="s">
        <v>61</v>
      </c>
      <c r="G97" s="5" t="s">
        <v>62</v>
      </c>
      <c r="H97" s="6">
        <v>430</v>
      </c>
      <c r="I97" s="5"/>
    </row>
    <row r="98" spans="1:9" x14ac:dyDescent="0.3">
      <c r="B98" s="5" t="s">
        <v>9</v>
      </c>
      <c r="C98" s="5" t="s">
        <v>10</v>
      </c>
      <c r="D98" s="5" t="s">
        <v>132</v>
      </c>
      <c r="E98" s="5" t="s">
        <v>128</v>
      </c>
      <c r="F98" s="5" t="s">
        <v>129</v>
      </c>
      <c r="G98" s="5" t="s">
        <v>130</v>
      </c>
      <c r="H98" s="6">
        <v>50</v>
      </c>
      <c r="I98" s="5"/>
    </row>
    <row r="99" spans="1:9" x14ac:dyDescent="0.3">
      <c r="B99" s="5" t="s">
        <v>9</v>
      </c>
      <c r="C99" s="5" t="s">
        <v>10</v>
      </c>
      <c r="D99" s="5" t="s">
        <v>132</v>
      </c>
      <c r="E99" s="5" t="s">
        <v>140</v>
      </c>
      <c r="F99" s="5" t="s">
        <v>116</v>
      </c>
      <c r="G99" s="5" t="s">
        <v>117</v>
      </c>
      <c r="H99" s="6">
        <v>500</v>
      </c>
      <c r="I99" s="5"/>
    </row>
    <row r="100" spans="1:9" x14ac:dyDescent="0.3">
      <c r="B100" s="5" t="s">
        <v>9</v>
      </c>
      <c r="C100" s="5" t="s">
        <v>10</v>
      </c>
      <c r="D100" s="5" t="s">
        <v>132</v>
      </c>
      <c r="E100" s="5" t="s">
        <v>141</v>
      </c>
      <c r="F100" s="5" t="s">
        <v>13</v>
      </c>
      <c r="G100" s="5" t="s">
        <v>14</v>
      </c>
      <c r="H100" s="5"/>
      <c r="I100" s="6">
        <v>1780</v>
      </c>
    </row>
    <row r="101" spans="1:9" x14ac:dyDescent="0.3">
      <c r="A101" s="7" t="s">
        <v>142</v>
      </c>
      <c r="H101" s="8">
        <f>H96+H97+H98+H99+H100</f>
        <v>1780</v>
      </c>
      <c r="I101" s="8">
        <f>I96+I97+I98+I99+I100</f>
        <v>1780</v>
      </c>
    </row>
    <row r="102" spans="1:9" x14ac:dyDescent="0.3">
      <c r="A102" s="4" t="s">
        <v>143</v>
      </c>
    </row>
    <row r="103" spans="1:9" x14ac:dyDescent="0.3">
      <c r="B103" s="5" t="s">
        <v>9</v>
      </c>
      <c r="C103" s="5" t="s">
        <v>10</v>
      </c>
      <c r="D103" s="5" t="s">
        <v>138</v>
      </c>
      <c r="E103" s="5" t="s">
        <v>144</v>
      </c>
      <c r="F103" s="5" t="s">
        <v>145</v>
      </c>
      <c r="G103" s="5" t="s">
        <v>146</v>
      </c>
      <c r="H103" s="6">
        <v>450</v>
      </c>
      <c r="I103" s="5"/>
    </row>
    <row r="104" spans="1:9" x14ac:dyDescent="0.3">
      <c r="B104" s="5" t="s">
        <v>9</v>
      </c>
      <c r="C104" s="5" t="s">
        <v>10</v>
      </c>
      <c r="D104" s="5" t="s">
        <v>138</v>
      </c>
      <c r="E104" s="5" t="s">
        <v>147</v>
      </c>
      <c r="F104" s="5" t="s">
        <v>67</v>
      </c>
      <c r="G104" s="5" t="s">
        <v>68</v>
      </c>
      <c r="H104" s="6">
        <v>50</v>
      </c>
      <c r="I104" s="5"/>
    </row>
    <row r="105" spans="1:9" x14ac:dyDescent="0.3">
      <c r="B105" s="5" t="s">
        <v>9</v>
      </c>
      <c r="C105" s="5" t="s">
        <v>10</v>
      </c>
      <c r="D105" s="5" t="s">
        <v>138</v>
      </c>
      <c r="E105" s="5" t="s">
        <v>148</v>
      </c>
      <c r="F105" s="5" t="s">
        <v>13</v>
      </c>
      <c r="G105" s="5" t="s">
        <v>14</v>
      </c>
      <c r="H105" s="5"/>
      <c r="I105" s="6">
        <v>500</v>
      </c>
    </row>
    <row r="106" spans="1:9" x14ac:dyDescent="0.3">
      <c r="A106" s="7" t="s">
        <v>149</v>
      </c>
      <c r="H106" s="8">
        <f>H103+H104+H105</f>
        <v>500</v>
      </c>
      <c r="I106" s="8">
        <f>I103+I104+I105</f>
        <v>500</v>
      </c>
    </row>
    <row r="107" spans="1:9" x14ac:dyDescent="0.3">
      <c r="A107" s="4" t="s">
        <v>150</v>
      </c>
    </row>
    <row r="108" spans="1:9" x14ac:dyDescent="0.3">
      <c r="B108" s="5" t="s">
        <v>9</v>
      </c>
      <c r="C108" s="5" t="s">
        <v>10</v>
      </c>
      <c r="D108" s="5" t="s">
        <v>143</v>
      </c>
      <c r="E108" s="5" t="s">
        <v>133</v>
      </c>
      <c r="F108" s="5" t="s">
        <v>61</v>
      </c>
      <c r="G108" s="5" t="s">
        <v>62</v>
      </c>
      <c r="H108" s="6">
        <v>50</v>
      </c>
      <c r="I108" s="5"/>
    </row>
    <row r="109" spans="1:9" x14ac:dyDescent="0.3">
      <c r="B109" s="5" t="s">
        <v>9</v>
      </c>
      <c r="C109" s="5" t="s">
        <v>10</v>
      </c>
      <c r="D109" s="5" t="s">
        <v>143</v>
      </c>
      <c r="E109" s="5" t="s">
        <v>151</v>
      </c>
      <c r="F109" s="5" t="s">
        <v>64</v>
      </c>
      <c r="G109" s="5" t="s">
        <v>65</v>
      </c>
      <c r="H109" s="6">
        <v>80</v>
      </c>
      <c r="I109" s="5"/>
    </row>
    <row r="110" spans="1:9" x14ac:dyDescent="0.3">
      <c r="B110" s="5" t="s">
        <v>9</v>
      </c>
      <c r="C110" s="5" t="s">
        <v>10</v>
      </c>
      <c r="D110" s="5" t="s">
        <v>143</v>
      </c>
      <c r="E110" s="5" t="s">
        <v>152</v>
      </c>
      <c r="F110" s="5" t="s">
        <v>13</v>
      </c>
      <c r="G110" s="5" t="s">
        <v>14</v>
      </c>
      <c r="H110" s="5"/>
      <c r="I110" s="6">
        <v>130</v>
      </c>
    </row>
    <row r="111" spans="1:9" x14ac:dyDescent="0.3">
      <c r="A111" s="7" t="s">
        <v>153</v>
      </c>
      <c r="H111" s="8">
        <f>H108+H109+H110</f>
        <v>130</v>
      </c>
      <c r="I111" s="8">
        <f>I108+I109+I110</f>
        <v>130</v>
      </c>
    </row>
    <row r="112" spans="1:9" x14ac:dyDescent="0.3">
      <c r="A112" s="4" t="s">
        <v>154</v>
      </c>
    </row>
    <row r="113" spans="1:9" x14ac:dyDescent="0.3">
      <c r="B113" s="5" t="s">
        <v>9</v>
      </c>
      <c r="C113" s="5" t="s">
        <v>10</v>
      </c>
      <c r="D113" s="5" t="s">
        <v>150</v>
      </c>
      <c r="E113" s="5" t="s">
        <v>155</v>
      </c>
      <c r="F113" s="5" t="s">
        <v>116</v>
      </c>
      <c r="G113" s="5" t="s">
        <v>117</v>
      </c>
      <c r="H113" s="6">
        <v>500</v>
      </c>
      <c r="I113" s="5"/>
    </row>
    <row r="114" spans="1:9" x14ac:dyDescent="0.3">
      <c r="B114" s="5" t="s">
        <v>9</v>
      </c>
      <c r="C114" s="5" t="s">
        <v>10</v>
      </c>
      <c r="D114" s="5" t="s">
        <v>150</v>
      </c>
      <c r="E114" s="5" t="s">
        <v>156</v>
      </c>
      <c r="F114" s="5" t="s">
        <v>61</v>
      </c>
      <c r="G114" s="5" t="s">
        <v>62</v>
      </c>
      <c r="H114" s="6">
        <v>120</v>
      </c>
      <c r="I114" s="5"/>
    </row>
    <row r="115" spans="1:9" x14ac:dyDescent="0.3">
      <c r="B115" s="5" t="s">
        <v>9</v>
      </c>
      <c r="C115" s="5" t="s">
        <v>10</v>
      </c>
      <c r="D115" s="5" t="s">
        <v>150</v>
      </c>
      <c r="E115" s="5" t="s">
        <v>157</v>
      </c>
      <c r="F115" s="5" t="s">
        <v>113</v>
      </c>
      <c r="G115" s="5" t="s">
        <v>114</v>
      </c>
      <c r="H115" s="6">
        <v>340</v>
      </c>
      <c r="I115" s="5"/>
    </row>
    <row r="116" spans="1:9" x14ac:dyDescent="0.3">
      <c r="B116" s="5" t="s">
        <v>9</v>
      </c>
      <c r="C116" s="5" t="s">
        <v>10</v>
      </c>
      <c r="D116" s="5" t="s">
        <v>150</v>
      </c>
      <c r="E116" s="5" t="s">
        <v>158</v>
      </c>
      <c r="F116" s="5" t="s">
        <v>13</v>
      </c>
      <c r="G116" s="5" t="s">
        <v>14</v>
      </c>
      <c r="H116" s="5"/>
      <c r="I116" s="6">
        <v>960</v>
      </c>
    </row>
    <row r="117" spans="1:9" x14ac:dyDescent="0.3">
      <c r="A117" s="7" t="s">
        <v>159</v>
      </c>
      <c r="H117" s="8">
        <f>H113+H114+H115+H116</f>
        <v>960</v>
      </c>
      <c r="I117" s="8">
        <f>I113+I114+I115+I116</f>
        <v>960</v>
      </c>
    </row>
    <row r="118" spans="1:9" x14ac:dyDescent="0.3">
      <c r="A118" s="4" t="s">
        <v>160</v>
      </c>
    </row>
    <row r="119" spans="1:9" x14ac:dyDescent="0.3">
      <c r="B119" s="5" t="s">
        <v>9</v>
      </c>
      <c r="C119" s="5" t="s">
        <v>10</v>
      </c>
      <c r="D119" s="5" t="s">
        <v>154</v>
      </c>
      <c r="E119" s="5" t="s">
        <v>140</v>
      </c>
      <c r="F119" s="5" t="s">
        <v>116</v>
      </c>
      <c r="G119" s="5" t="s">
        <v>117</v>
      </c>
      <c r="H119" s="6">
        <v>500</v>
      </c>
      <c r="I119" s="5"/>
    </row>
    <row r="120" spans="1:9" x14ac:dyDescent="0.3">
      <c r="B120" s="5" t="s">
        <v>9</v>
      </c>
      <c r="C120" s="5" t="s">
        <v>10</v>
      </c>
      <c r="D120" s="5" t="s">
        <v>154</v>
      </c>
      <c r="E120" s="5" t="s">
        <v>161</v>
      </c>
      <c r="F120" s="5" t="s">
        <v>61</v>
      </c>
      <c r="G120" s="5" t="s">
        <v>62</v>
      </c>
      <c r="H120" s="6">
        <v>100</v>
      </c>
      <c r="I120" s="5"/>
    </row>
    <row r="121" spans="1:9" x14ac:dyDescent="0.3">
      <c r="B121" s="5" t="s">
        <v>9</v>
      </c>
      <c r="C121" s="5" t="s">
        <v>10</v>
      </c>
      <c r="D121" s="5" t="s">
        <v>154</v>
      </c>
      <c r="E121" s="5" t="s">
        <v>139</v>
      </c>
      <c r="F121" s="5" t="s">
        <v>113</v>
      </c>
      <c r="G121" s="5" t="s">
        <v>114</v>
      </c>
      <c r="H121" s="6">
        <v>330</v>
      </c>
      <c r="I121" s="5"/>
    </row>
    <row r="122" spans="1:9" x14ac:dyDescent="0.3">
      <c r="B122" s="5" t="s">
        <v>9</v>
      </c>
      <c r="C122" s="5" t="s">
        <v>10</v>
      </c>
      <c r="D122" s="5" t="s">
        <v>154</v>
      </c>
      <c r="E122" s="5" t="s">
        <v>128</v>
      </c>
      <c r="F122" s="5" t="s">
        <v>129</v>
      </c>
      <c r="G122" s="5" t="s">
        <v>130</v>
      </c>
      <c r="H122" s="6">
        <v>50</v>
      </c>
      <c r="I122" s="5"/>
    </row>
    <row r="123" spans="1:9" x14ac:dyDescent="0.3">
      <c r="B123" s="5" t="s">
        <v>9</v>
      </c>
      <c r="C123" s="5" t="s">
        <v>10</v>
      </c>
      <c r="D123" s="5" t="s">
        <v>154</v>
      </c>
      <c r="E123" s="5" t="s">
        <v>162</v>
      </c>
      <c r="F123" s="5" t="s">
        <v>13</v>
      </c>
      <c r="G123" s="5" t="s">
        <v>14</v>
      </c>
      <c r="H123" s="5"/>
      <c r="I123" s="6">
        <v>980</v>
      </c>
    </row>
    <row r="124" spans="1:9" x14ac:dyDescent="0.3">
      <c r="A124" s="7" t="s">
        <v>163</v>
      </c>
      <c r="H124" s="8">
        <f>H119+H120+H121+H122+H123</f>
        <v>980</v>
      </c>
      <c r="I124" s="8">
        <f>I119+I120+I121+I122+I123</f>
        <v>980</v>
      </c>
    </row>
    <row r="125" spans="1:9" x14ac:dyDescent="0.3">
      <c r="A125" s="4" t="s">
        <v>164</v>
      </c>
    </row>
    <row r="126" spans="1:9" x14ac:dyDescent="0.3">
      <c r="B126" s="5" t="s">
        <v>9</v>
      </c>
      <c r="C126" s="5" t="s">
        <v>10</v>
      </c>
      <c r="D126" s="5" t="s">
        <v>160</v>
      </c>
      <c r="E126" s="5" t="s">
        <v>165</v>
      </c>
      <c r="F126" s="5" t="s">
        <v>166</v>
      </c>
      <c r="G126" s="5" t="s">
        <v>167</v>
      </c>
      <c r="H126" s="6">
        <v>26270</v>
      </c>
      <c r="I126" s="5"/>
    </row>
    <row r="127" spans="1:9" x14ac:dyDescent="0.3">
      <c r="B127" s="5" t="s">
        <v>9</v>
      </c>
      <c r="C127" s="5" t="s">
        <v>10</v>
      </c>
      <c r="D127" s="5" t="s">
        <v>160</v>
      </c>
      <c r="E127" s="5" t="s">
        <v>165</v>
      </c>
      <c r="F127" s="5" t="s">
        <v>13</v>
      </c>
      <c r="G127" s="5" t="s">
        <v>14</v>
      </c>
      <c r="H127" s="5"/>
      <c r="I127" s="6">
        <v>26270</v>
      </c>
    </row>
    <row r="128" spans="1:9" x14ac:dyDescent="0.3">
      <c r="A128" s="7" t="s">
        <v>168</v>
      </c>
      <c r="H128" s="8">
        <f>H126+H127</f>
        <v>26270</v>
      </c>
      <c r="I128" s="8">
        <f>I126+I127</f>
        <v>26270</v>
      </c>
    </row>
    <row r="129" spans="1:9" x14ac:dyDescent="0.3">
      <c r="A129" s="4" t="s">
        <v>169</v>
      </c>
    </row>
    <row r="130" spans="1:9" x14ac:dyDescent="0.3">
      <c r="B130" s="5" t="s">
        <v>9</v>
      </c>
      <c r="C130" s="5" t="s">
        <v>10</v>
      </c>
      <c r="D130" s="5" t="s">
        <v>164</v>
      </c>
      <c r="E130" s="5" t="s">
        <v>170</v>
      </c>
      <c r="F130" s="5" t="s">
        <v>61</v>
      </c>
      <c r="G130" s="5" t="s">
        <v>62</v>
      </c>
      <c r="H130" s="6">
        <v>50</v>
      </c>
      <c r="I130" s="5"/>
    </row>
    <row r="131" spans="1:9" x14ac:dyDescent="0.3">
      <c r="B131" s="5" t="s">
        <v>9</v>
      </c>
      <c r="C131" s="5" t="s">
        <v>10</v>
      </c>
      <c r="D131" s="5" t="s">
        <v>164</v>
      </c>
      <c r="E131" s="5" t="s">
        <v>171</v>
      </c>
      <c r="F131" s="5" t="s">
        <v>67</v>
      </c>
      <c r="G131" s="5" t="s">
        <v>68</v>
      </c>
      <c r="H131" s="6">
        <v>350</v>
      </c>
      <c r="I131" s="5"/>
    </row>
    <row r="132" spans="1:9" x14ac:dyDescent="0.3">
      <c r="B132" s="5" t="s">
        <v>9</v>
      </c>
      <c r="C132" s="5" t="s">
        <v>10</v>
      </c>
      <c r="D132" s="5" t="s">
        <v>164</v>
      </c>
      <c r="E132" s="5" t="s">
        <v>172</v>
      </c>
      <c r="F132" s="5" t="s">
        <v>13</v>
      </c>
      <c r="G132" s="5" t="s">
        <v>14</v>
      </c>
      <c r="H132" s="5"/>
      <c r="I132" s="6">
        <v>400</v>
      </c>
    </row>
    <row r="133" spans="1:9" x14ac:dyDescent="0.3">
      <c r="A133" s="7" t="s">
        <v>173</v>
      </c>
      <c r="H133" s="8">
        <f>H130+H131+H132</f>
        <v>400</v>
      </c>
      <c r="I133" s="8">
        <f>I130+I131+I132</f>
        <v>400</v>
      </c>
    </row>
    <row r="134" spans="1:9" x14ac:dyDescent="0.3">
      <c r="A134" s="4" t="s">
        <v>174</v>
      </c>
    </row>
    <row r="135" spans="1:9" x14ac:dyDescent="0.3">
      <c r="B135" s="5" t="s">
        <v>9</v>
      </c>
      <c r="C135" s="5" t="s">
        <v>10</v>
      </c>
      <c r="D135" s="5" t="s">
        <v>169</v>
      </c>
      <c r="E135" s="5" t="s">
        <v>175</v>
      </c>
      <c r="F135" s="5" t="s">
        <v>176</v>
      </c>
      <c r="G135" s="5" t="s">
        <v>177</v>
      </c>
      <c r="H135" s="6">
        <v>7011</v>
      </c>
      <c r="I135" s="5"/>
    </row>
    <row r="136" spans="1:9" x14ac:dyDescent="0.3">
      <c r="B136" s="5" t="s">
        <v>9</v>
      </c>
      <c r="C136" s="5" t="s">
        <v>10</v>
      </c>
      <c r="D136" s="5" t="s">
        <v>169</v>
      </c>
      <c r="E136" s="5" t="s">
        <v>178</v>
      </c>
      <c r="F136" s="5" t="s">
        <v>87</v>
      </c>
      <c r="G136" s="5" t="s">
        <v>88</v>
      </c>
      <c r="H136" s="6">
        <v>7011</v>
      </c>
      <c r="I136" s="5"/>
    </row>
    <row r="137" spans="1:9" x14ac:dyDescent="0.3">
      <c r="B137" s="5" t="s">
        <v>9</v>
      </c>
      <c r="C137" s="5" t="s">
        <v>10</v>
      </c>
      <c r="D137" s="5" t="s">
        <v>169</v>
      </c>
      <c r="E137" s="5" t="s">
        <v>179</v>
      </c>
      <c r="F137" s="5" t="s">
        <v>13</v>
      </c>
      <c r="G137" s="5" t="s">
        <v>14</v>
      </c>
      <c r="H137" s="5"/>
      <c r="I137" s="6">
        <v>14022</v>
      </c>
    </row>
    <row r="138" spans="1:9" x14ac:dyDescent="0.3">
      <c r="A138" s="7" t="s">
        <v>180</v>
      </c>
      <c r="H138" s="8">
        <f>H135+H136+H137</f>
        <v>14022</v>
      </c>
      <c r="I138" s="8">
        <f>I135+I136+I137</f>
        <v>14022</v>
      </c>
    </row>
    <row r="139" spans="1:9" x14ac:dyDescent="0.3">
      <c r="A139" s="4" t="s">
        <v>181</v>
      </c>
    </row>
    <row r="140" spans="1:9" x14ac:dyDescent="0.3">
      <c r="B140" s="5" t="s">
        <v>9</v>
      </c>
      <c r="C140" s="5" t="s">
        <v>10</v>
      </c>
      <c r="D140" s="5" t="s">
        <v>174</v>
      </c>
      <c r="E140" s="5" t="s">
        <v>182</v>
      </c>
      <c r="F140" s="5" t="s">
        <v>45</v>
      </c>
      <c r="G140" s="5" t="s">
        <v>46</v>
      </c>
      <c r="H140" s="6">
        <v>14300</v>
      </c>
      <c r="I140" s="5"/>
    </row>
    <row r="141" spans="1:9" x14ac:dyDescent="0.3">
      <c r="B141" s="5" t="s">
        <v>9</v>
      </c>
      <c r="C141" s="5" t="s">
        <v>10</v>
      </c>
      <c r="D141" s="5" t="s">
        <v>174</v>
      </c>
      <c r="E141" s="5" t="s">
        <v>183</v>
      </c>
      <c r="F141" s="5" t="s">
        <v>45</v>
      </c>
      <c r="G141" s="5" t="s">
        <v>46</v>
      </c>
      <c r="H141" s="6">
        <v>23700</v>
      </c>
      <c r="I141" s="5"/>
    </row>
    <row r="142" spans="1:9" x14ac:dyDescent="0.3">
      <c r="B142" s="5" t="s">
        <v>9</v>
      </c>
      <c r="C142" s="5" t="s">
        <v>10</v>
      </c>
      <c r="D142" s="5" t="s">
        <v>174</v>
      </c>
      <c r="E142" s="5" t="s">
        <v>184</v>
      </c>
      <c r="F142" s="5" t="s">
        <v>61</v>
      </c>
      <c r="G142" s="5" t="s">
        <v>62</v>
      </c>
      <c r="H142" s="6">
        <v>800</v>
      </c>
      <c r="I142" s="5"/>
    </row>
    <row r="143" spans="1:9" x14ac:dyDescent="0.3">
      <c r="B143" s="5" t="s">
        <v>9</v>
      </c>
      <c r="C143" s="5" t="s">
        <v>10</v>
      </c>
      <c r="D143" s="5" t="s">
        <v>174</v>
      </c>
      <c r="E143" s="5" t="s">
        <v>185</v>
      </c>
      <c r="F143" s="5" t="s">
        <v>13</v>
      </c>
      <c r="G143" s="5" t="s">
        <v>14</v>
      </c>
      <c r="H143" s="5"/>
      <c r="I143" s="6">
        <v>38800</v>
      </c>
    </row>
    <row r="144" spans="1:9" x14ac:dyDescent="0.3">
      <c r="A144" s="7" t="s">
        <v>186</v>
      </c>
      <c r="H144" s="8">
        <f>H140+H141+H142+H143</f>
        <v>38800</v>
      </c>
      <c r="I144" s="8">
        <f>I140+I141+I142+I143</f>
        <v>38800</v>
      </c>
    </row>
    <row r="145" spans="1:9" x14ac:dyDescent="0.3">
      <c r="A145" s="4" t="s">
        <v>187</v>
      </c>
    </row>
    <row r="146" spans="1:9" x14ac:dyDescent="0.3">
      <c r="B146" s="5" t="s">
        <v>9</v>
      </c>
      <c r="C146" s="5" t="s">
        <v>10</v>
      </c>
      <c r="D146" s="5" t="s">
        <v>181</v>
      </c>
      <c r="E146" s="5" t="s">
        <v>188</v>
      </c>
      <c r="F146" s="5" t="s">
        <v>45</v>
      </c>
      <c r="G146" s="5" t="s">
        <v>46</v>
      </c>
      <c r="H146" s="6">
        <v>8000</v>
      </c>
      <c r="I146" s="5"/>
    </row>
    <row r="147" spans="1:9" x14ac:dyDescent="0.3">
      <c r="B147" s="5" t="s">
        <v>9</v>
      </c>
      <c r="C147" s="5" t="s">
        <v>10</v>
      </c>
      <c r="D147" s="5" t="s">
        <v>181</v>
      </c>
      <c r="E147" s="5" t="s">
        <v>189</v>
      </c>
      <c r="F147" s="5" t="s">
        <v>45</v>
      </c>
      <c r="G147" s="5" t="s">
        <v>46</v>
      </c>
      <c r="H147" s="6">
        <v>25000</v>
      </c>
      <c r="I147" s="5"/>
    </row>
    <row r="148" spans="1:9" x14ac:dyDescent="0.3">
      <c r="B148" s="5" t="s">
        <v>9</v>
      </c>
      <c r="C148" s="5" t="s">
        <v>10</v>
      </c>
      <c r="D148" s="5" t="s">
        <v>181</v>
      </c>
      <c r="E148" s="5" t="s">
        <v>190</v>
      </c>
      <c r="F148" s="5" t="s">
        <v>45</v>
      </c>
      <c r="G148" s="5" t="s">
        <v>46</v>
      </c>
      <c r="H148" s="6">
        <v>15000</v>
      </c>
      <c r="I148" s="5"/>
    </row>
    <row r="149" spans="1:9" x14ac:dyDescent="0.3">
      <c r="B149" s="5" t="s">
        <v>9</v>
      </c>
      <c r="C149" s="5" t="s">
        <v>10</v>
      </c>
      <c r="D149" s="5" t="s">
        <v>181</v>
      </c>
      <c r="E149" s="5" t="s">
        <v>191</v>
      </c>
      <c r="F149" s="5" t="s">
        <v>45</v>
      </c>
      <c r="G149" s="5" t="s">
        <v>46</v>
      </c>
      <c r="H149" s="6">
        <v>2500</v>
      </c>
      <c r="I149" s="5"/>
    </row>
    <row r="150" spans="1:9" x14ac:dyDescent="0.3">
      <c r="B150" s="5" t="s">
        <v>9</v>
      </c>
      <c r="C150" s="5" t="s">
        <v>10</v>
      </c>
      <c r="D150" s="5" t="s">
        <v>181</v>
      </c>
      <c r="E150" s="5" t="s">
        <v>192</v>
      </c>
      <c r="F150" s="5" t="s">
        <v>45</v>
      </c>
      <c r="G150" s="5" t="s">
        <v>46</v>
      </c>
      <c r="H150" s="6">
        <v>7000</v>
      </c>
      <c r="I150" s="5"/>
    </row>
    <row r="151" spans="1:9" x14ac:dyDescent="0.3">
      <c r="B151" s="5" t="s">
        <v>9</v>
      </c>
      <c r="C151" s="5" t="s">
        <v>10</v>
      </c>
      <c r="D151" s="5" t="s">
        <v>181</v>
      </c>
      <c r="E151" s="5" t="s">
        <v>193</v>
      </c>
      <c r="F151" s="5" t="s">
        <v>45</v>
      </c>
      <c r="G151" s="5" t="s">
        <v>46</v>
      </c>
      <c r="H151" s="6">
        <v>5000</v>
      </c>
      <c r="I151" s="5"/>
    </row>
    <row r="152" spans="1:9" x14ac:dyDescent="0.3">
      <c r="B152" s="5" t="s">
        <v>9</v>
      </c>
      <c r="C152" s="5" t="s">
        <v>10</v>
      </c>
      <c r="D152" s="5" t="s">
        <v>181</v>
      </c>
      <c r="E152" s="5" t="s">
        <v>194</v>
      </c>
      <c r="F152" s="5" t="s">
        <v>81</v>
      </c>
      <c r="G152" s="5" t="s">
        <v>82</v>
      </c>
      <c r="H152" s="6">
        <v>3000</v>
      </c>
      <c r="I152" s="5"/>
    </row>
    <row r="153" spans="1:9" x14ac:dyDescent="0.3">
      <c r="B153" s="5" t="s">
        <v>9</v>
      </c>
      <c r="C153" s="5" t="s">
        <v>10</v>
      </c>
      <c r="D153" s="5" t="s">
        <v>181</v>
      </c>
      <c r="E153" s="5" t="s">
        <v>195</v>
      </c>
      <c r="F153" s="5" t="s">
        <v>45</v>
      </c>
      <c r="G153" s="5" t="s">
        <v>46</v>
      </c>
      <c r="H153" s="6">
        <v>10000</v>
      </c>
      <c r="I153" s="5"/>
    </row>
    <row r="154" spans="1:9" x14ac:dyDescent="0.3">
      <c r="B154" s="5" t="s">
        <v>9</v>
      </c>
      <c r="C154" s="5" t="s">
        <v>10</v>
      </c>
      <c r="D154" s="5" t="s">
        <v>181</v>
      </c>
      <c r="E154" s="5" t="s">
        <v>196</v>
      </c>
      <c r="F154" s="5" t="s">
        <v>81</v>
      </c>
      <c r="G154" s="5" t="s">
        <v>82</v>
      </c>
      <c r="H154" s="6">
        <v>6000</v>
      </c>
      <c r="I154" s="5"/>
    </row>
    <row r="155" spans="1:9" x14ac:dyDescent="0.3">
      <c r="B155" s="5" t="s">
        <v>9</v>
      </c>
      <c r="C155" s="5" t="s">
        <v>10</v>
      </c>
      <c r="D155" s="5" t="s">
        <v>181</v>
      </c>
      <c r="E155" s="5" t="s">
        <v>197</v>
      </c>
      <c r="F155" s="5" t="s">
        <v>87</v>
      </c>
      <c r="G155" s="5" t="s">
        <v>88</v>
      </c>
      <c r="H155" s="6">
        <v>2000</v>
      </c>
      <c r="I155" s="5"/>
    </row>
    <row r="156" spans="1:9" x14ac:dyDescent="0.3">
      <c r="B156" s="5" t="s">
        <v>9</v>
      </c>
      <c r="C156" s="5" t="s">
        <v>10</v>
      </c>
      <c r="D156" s="5" t="s">
        <v>181</v>
      </c>
      <c r="E156" s="5" t="s">
        <v>198</v>
      </c>
      <c r="F156" s="5" t="s">
        <v>81</v>
      </c>
      <c r="G156" s="5" t="s">
        <v>82</v>
      </c>
      <c r="H156" s="6">
        <v>8000</v>
      </c>
      <c r="I156" s="5"/>
    </row>
    <row r="157" spans="1:9" x14ac:dyDescent="0.3">
      <c r="B157" s="5" t="s">
        <v>9</v>
      </c>
      <c r="C157" s="5" t="s">
        <v>10</v>
      </c>
      <c r="D157" s="5" t="s">
        <v>181</v>
      </c>
      <c r="E157" s="5" t="s">
        <v>199</v>
      </c>
      <c r="F157" s="5" t="s">
        <v>81</v>
      </c>
      <c r="G157" s="5" t="s">
        <v>82</v>
      </c>
      <c r="H157" s="6">
        <v>5000</v>
      </c>
      <c r="I157" s="5"/>
    </row>
    <row r="158" spans="1:9" x14ac:dyDescent="0.3">
      <c r="B158" s="5" t="s">
        <v>9</v>
      </c>
      <c r="C158" s="5" t="s">
        <v>10</v>
      </c>
      <c r="D158" s="5" t="s">
        <v>181</v>
      </c>
      <c r="E158" s="5" t="s">
        <v>200</v>
      </c>
      <c r="F158" s="5" t="s">
        <v>81</v>
      </c>
      <c r="G158" s="5" t="s">
        <v>82</v>
      </c>
      <c r="H158" s="6">
        <v>3000</v>
      </c>
      <c r="I158" s="5"/>
    </row>
    <row r="159" spans="1:9" x14ac:dyDescent="0.3">
      <c r="B159" s="5" t="s">
        <v>9</v>
      </c>
      <c r="C159" s="5" t="s">
        <v>10</v>
      </c>
      <c r="D159" s="5" t="s">
        <v>181</v>
      </c>
      <c r="E159" s="5" t="s">
        <v>201</v>
      </c>
      <c r="F159" s="5" t="s">
        <v>81</v>
      </c>
      <c r="G159" s="5" t="s">
        <v>82</v>
      </c>
      <c r="H159" s="6">
        <v>8000</v>
      </c>
      <c r="I159" s="5"/>
    </row>
    <row r="160" spans="1:9" x14ac:dyDescent="0.3">
      <c r="B160" s="5" t="s">
        <v>9</v>
      </c>
      <c r="C160" s="5" t="s">
        <v>10</v>
      </c>
      <c r="D160" s="5" t="s">
        <v>181</v>
      </c>
      <c r="E160" s="5" t="s">
        <v>202</v>
      </c>
      <c r="F160" s="5" t="s">
        <v>81</v>
      </c>
      <c r="G160" s="5" t="s">
        <v>82</v>
      </c>
      <c r="H160" s="6">
        <v>13000</v>
      </c>
      <c r="I160" s="5"/>
    </row>
    <row r="161" spans="1:9" x14ac:dyDescent="0.3">
      <c r="B161" s="5" t="s">
        <v>9</v>
      </c>
      <c r="C161" s="5" t="s">
        <v>10</v>
      </c>
      <c r="D161" s="5" t="s">
        <v>181</v>
      </c>
      <c r="E161" s="5" t="s">
        <v>203</v>
      </c>
      <c r="F161" s="5" t="s">
        <v>81</v>
      </c>
      <c r="G161" s="5" t="s">
        <v>82</v>
      </c>
      <c r="H161" s="6">
        <v>4000</v>
      </c>
      <c r="I161" s="5"/>
    </row>
    <row r="162" spans="1:9" x14ac:dyDescent="0.3">
      <c r="B162" s="5" t="s">
        <v>9</v>
      </c>
      <c r="C162" s="5" t="s">
        <v>10</v>
      </c>
      <c r="D162" s="5" t="s">
        <v>181</v>
      </c>
      <c r="E162" s="5" t="s">
        <v>204</v>
      </c>
      <c r="F162" s="5" t="s">
        <v>45</v>
      </c>
      <c r="G162" s="5" t="s">
        <v>46</v>
      </c>
      <c r="H162" s="6">
        <v>1500</v>
      </c>
      <c r="I162" s="5"/>
    </row>
    <row r="163" spans="1:9" x14ac:dyDescent="0.3">
      <c r="B163" s="5" t="s">
        <v>9</v>
      </c>
      <c r="C163" s="5" t="s">
        <v>10</v>
      </c>
      <c r="D163" s="5" t="s">
        <v>181</v>
      </c>
      <c r="E163" s="5" t="s">
        <v>205</v>
      </c>
      <c r="F163" s="5" t="s">
        <v>13</v>
      </c>
      <c r="G163" s="5" t="s">
        <v>14</v>
      </c>
      <c r="H163" s="5"/>
      <c r="I163" s="6">
        <v>126000</v>
      </c>
    </row>
    <row r="164" spans="1:9" x14ac:dyDescent="0.3">
      <c r="A164" s="7" t="s">
        <v>206</v>
      </c>
      <c r="H164" s="8">
        <f>H146+H147+H148+H149+H150+H151+H152+H153+H154+H155+H156+H157+H158+H159+H160+H161+H162+H163</f>
        <v>126000</v>
      </c>
      <c r="I164" s="8">
        <f>I146+I147+I148+I149+I150+I151+I152+I153+I154+I155+I156+I157+I158+I159+I160+I161+I162+I163</f>
        <v>126000</v>
      </c>
    </row>
    <row r="165" spans="1:9" x14ac:dyDescent="0.3">
      <c r="A165" s="4" t="s">
        <v>207</v>
      </c>
    </row>
    <row r="166" spans="1:9" x14ac:dyDescent="0.3">
      <c r="B166" s="5" t="s">
        <v>208</v>
      </c>
      <c r="C166" s="5" t="s">
        <v>10</v>
      </c>
      <c r="D166" s="5" t="s">
        <v>187</v>
      </c>
      <c r="E166" s="5" t="s">
        <v>209</v>
      </c>
      <c r="F166" s="5" t="s">
        <v>113</v>
      </c>
      <c r="G166" s="5" t="s">
        <v>114</v>
      </c>
      <c r="H166" s="6">
        <v>160</v>
      </c>
      <c r="I166" s="5"/>
    </row>
    <row r="167" spans="1:9" x14ac:dyDescent="0.3">
      <c r="B167" s="5" t="s">
        <v>208</v>
      </c>
      <c r="C167" s="5" t="s">
        <v>10</v>
      </c>
      <c r="D167" s="5" t="s">
        <v>187</v>
      </c>
      <c r="E167" s="5" t="s">
        <v>210</v>
      </c>
      <c r="F167" s="5" t="s">
        <v>116</v>
      </c>
      <c r="G167" s="5" t="s">
        <v>117</v>
      </c>
      <c r="H167" s="6">
        <v>500</v>
      </c>
      <c r="I167" s="5"/>
    </row>
    <row r="168" spans="1:9" x14ac:dyDescent="0.3">
      <c r="B168" s="5" t="s">
        <v>208</v>
      </c>
      <c r="C168" s="5" t="s">
        <v>10</v>
      </c>
      <c r="D168" s="5" t="s">
        <v>187</v>
      </c>
      <c r="E168" s="5" t="s">
        <v>106</v>
      </c>
      <c r="F168" s="5" t="s">
        <v>67</v>
      </c>
      <c r="G168" s="5" t="s">
        <v>68</v>
      </c>
      <c r="H168" s="6">
        <v>100</v>
      </c>
      <c r="I168" s="5"/>
    </row>
    <row r="169" spans="1:9" x14ac:dyDescent="0.3">
      <c r="B169" s="5" t="s">
        <v>208</v>
      </c>
      <c r="C169" s="5" t="s">
        <v>10</v>
      </c>
      <c r="D169" s="5" t="s">
        <v>187</v>
      </c>
      <c r="E169" s="5" t="s">
        <v>211</v>
      </c>
      <c r="F169" s="5" t="s">
        <v>13</v>
      </c>
      <c r="G169" s="5" t="s">
        <v>14</v>
      </c>
      <c r="H169" s="5"/>
      <c r="I169" s="6">
        <v>760</v>
      </c>
    </row>
    <row r="170" spans="1:9" x14ac:dyDescent="0.3">
      <c r="A170" s="7" t="s">
        <v>212</v>
      </c>
      <c r="H170" s="8">
        <f>H166+H167+H168+H169</f>
        <v>760</v>
      </c>
      <c r="I170" s="8">
        <f>I166+I167+I168+I169</f>
        <v>760</v>
      </c>
    </row>
    <row r="171" spans="1:9" x14ac:dyDescent="0.3">
      <c r="A171" s="4" t="s">
        <v>213</v>
      </c>
    </row>
    <row r="172" spans="1:9" x14ac:dyDescent="0.3">
      <c r="B172" s="5" t="s">
        <v>214</v>
      </c>
      <c r="C172" s="5" t="s">
        <v>10</v>
      </c>
      <c r="D172" s="5" t="s">
        <v>207</v>
      </c>
      <c r="E172" s="5" t="s">
        <v>215</v>
      </c>
      <c r="F172" s="5" t="s">
        <v>61</v>
      </c>
      <c r="G172" s="5" t="s">
        <v>62</v>
      </c>
      <c r="H172" s="6">
        <v>110</v>
      </c>
      <c r="I172" s="5"/>
    </row>
    <row r="173" spans="1:9" x14ac:dyDescent="0.3">
      <c r="B173" s="5" t="s">
        <v>214</v>
      </c>
      <c r="C173" s="5" t="s">
        <v>10</v>
      </c>
      <c r="D173" s="5" t="s">
        <v>207</v>
      </c>
      <c r="E173" s="5" t="s">
        <v>216</v>
      </c>
      <c r="F173" s="5" t="s">
        <v>113</v>
      </c>
      <c r="G173" s="5" t="s">
        <v>114</v>
      </c>
      <c r="H173" s="6">
        <v>570</v>
      </c>
      <c r="I173" s="5"/>
    </row>
    <row r="174" spans="1:9" x14ac:dyDescent="0.3">
      <c r="B174" s="5" t="s">
        <v>214</v>
      </c>
      <c r="C174" s="5" t="s">
        <v>10</v>
      </c>
      <c r="D174" s="5" t="s">
        <v>207</v>
      </c>
      <c r="E174" s="5" t="s">
        <v>217</v>
      </c>
      <c r="F174" s="5" t="s">
        <v>218</v>
      </c>
      <c r="G174" s="5" t="s">
        <v>219</v>
      </c>
      <c r="H174" s="6">
        <v>1000</v>
      </c>
      <c r="I174" s="5"/>
    </row>
    <row r="175" spans="1:9" x14ac:dyDescent="0.3">
      <c r="B175" s="5" t="s">
        <v>214</v>
      </c>
      <c r="C175" s="5" t="s">
        <v>10</v>
      </c>
      <c r="D175" s="5" t="s">
        <v>207</v>
      </c>
      <c r="E175" s="5" t="s">
        <v>220</v>
      </c>
      <c r="F175" s="5" t="s">
        <v>13</v>
      </c>
      <c r="G175" s="5" t="s">
        <v>14</v>
      </c>
      <c r="H175" s="5"/>
      <c r="I175" s="6">
        <v>1680</v>
      </c>
    </row>
    <row r="176" spans="1:9" x14ac:dyDescent="0.3">
      <c r="A176" s="7" t="s">
        <v>221</v>
      </c>
      <c r="H176" s="8">
        <f>H172+H173+H174+H175</f>
        <v>1680</v>
      </c>
      <c r="I176" s="8">
        <f>I172+I173+I174+I175</f>
        <v>1680</v>
      </c>
    </row>
    <row r="177" spans="1:9" x14ac:dyDescent="0.3">
      <c r="A177" s="4" t="s">
        <v>222</v>
      </c>
    </row>
    <row r="178" spans="1:9" x14ac:dyDescent="0.3">
      <c r="B178" s="5" t="s">
        <v>214</v>
      </c>
      <c r="C178" s="5" t="s">
        <v>10</v>
      </c>
      <c r="D178" s="5" t="s">
        <v>213</v>
      </c>
      <c r="E178" s="5" t="s">
        <v>223</v>
      </c>
      <c r="F178" s="5" t="s">
        <v>50</v>
      </c>
      <c r="G178" s="5" t="s">
        <v>51</v>
      </c>
      <c r="H178" s="6">
        <v>220</v>
      </c>
      <c r="I178" s="5"/>
    </row>
    <row r="179" spans="1:9" x14ac:dyDescent="0.3">
      <c r="B179" s="5" t="s">
        <v>214</v>
      </c>
      <c r="C179" s="5" t="s">
        <v>10</v>
      </c>
      <c r="D179" s="5" t="s">
        <v>213</v>
      </c>
      <c r="E179" s="5" t="s">
        <v>224</v>
      </c>
      <c r="F179" s="5" t="s">
        <v>35</v>
      </c>
      <c r="G179" s="5" t="s">
        <v>36</v>
      </c>
      <c r="H179" s="6">
        <v>100</v>
      </c>
      <c r="I179" s="5"/>
    </row>
    <row r="180" spans="1:9" x14ac:dyDescent="0.3">
      <c r="B180" s="5" t="s">
        <v>214</v>
      </c>
      <c r="C180" s="5" t="s">
        <v>10</v>
      </c>
      <c r="D180" s="5" t="s">
        <v>213</v>
      </c>
      <c r="E180" s="5" t="s">
        <v>225</v>
      </c>
      <c r="F180" s="5" t="s">
        <v>13</v>
      </c>
      <c r="G180" s="5" t="s">
        <v>14</v>
      </c>
      <c r="H180" s="5"/>
      <c r="I180" s="6">
        <v>320</v>
      </c>
    </row>
    <row r="181" spans="1:9" x14ac:dyDescent="0.3">
      <c r="A181" s="7" t="s">
        <v>226</v>
      </c>
      <c r="H181" s="8">
        <f>H178+H179+H180</f>
        <v>320</v>
      </c>
      <c r="I181" s="8">
        <f>I178+I179+I180</f>
        <v>320</v>
      </c>
    </row>
    <row r="182" spans="1:9" x14ac:dyDescent="0.3">
      <c r="A182" s="4" t="s">
        <v>227</v>
      </c>
    </row>
    <row r="183" spans="1:9" x14ac:dyDescent="0.3">
      <c r="B183" s="5" t="s">
        <v>228</v>
      </c>
      <c r="C183" s="5" t="s">
        <v>10</v>
      </c>
      <c r="D183" s="5" t="s">
        <v>222</v>
      </c>
      <c r="E183" s="5" t="s">
        <v>229</v>
      </c>
      <c r="F183" s="5" t="s">
        <v>113</v>
      </c>
      <c r="G183" s="5" t="s">
        <v>114</v>
      </c>
      <c r="H183" s="6">
        <v>230</v>
      </c>
      <c r="I183" s="5"/>
    </row>
    <row r="184" spans="1:9" x14ac:dyDescent="0.3">
      <c r="B184" s="5" t="s">
        <v>228</v>
      </c>
      <c r="C184" s="5" t="s">
        <v>10</v>
      </c>
      <c r="D184" s="5" t="s">
        <v>222</v>
      </c>
      <c r="E184" s="5" t="s">
        <v>230</v>
      </c>
      <c r="F184" s="5" t="s">
        <v>61</v>
      </c>
      <c r="G184" s="5" t="s">
        <v>62</v>
      </c>
      <c r="H184" s="6">
        <v>540</v>
      </c>
      <c r="I184" s="5"/>
    </row>
    <row r="185" spans="1:9" x14ac:dyDescent="0.3">
      <c r="B185" s="5" t="s">
        <v>228</v>
      </c>
      <c r="C185" s="5" t="s">
        <v>10</v>
      </c>
      <c r="D185" s="5" t="s">
        <v>222</v>
      </c>
      <c r="E185" s="5" t="s">
        <v>140</v>
      </c>
      <c r="F185" s="5" t="s">
        <v>116</v>
      </c>
      <c r="G185" s="5" t="s">
        <v>117</v>
      </c>
      <c r="H185" s="6">
        <v>500</v>
      </c>
      <c r="I185" s="5"/>
    </row>
    <row r="186" spans="1:9" x14ac:dyDescent="0.3">
      <c r="B186" s="5" t="s">
        <v>228</v>
      </c>
      <c r="C186" s="5" t="s">
        <v>10</v>
      </c>
      <c r="D186" s="5" t="s">
        <v>222</v>
      </c>
      <c r="E186" s="5" t="s">
        <v>231</v>
      </c>
      <c r="F186" s="5" t="s">
        <v>13</v>
      </c>
      <c r="G186" s="5" t="s">
        <v>14</v>
      </c>
      <c r="H186" s="5"/>
      <c r="I186" s="6">
        <v>1270</v>
      </c>
    </row>
    <row r="187" spans="1:9" x14ac:dyDescent="0.3">
      <c r="A187" s="7" t="s">
        <v>232</v>
      </c>
      <c r="H187" s="8">
        <f>H183+H184+H185+H186</f>
        <v>1270</v>
      </c>
      <c r="I187" s="8">
        <f>I183+I184+I185+I186</f>
        <v>1270</v>
      </c>
    </row>
    <row r="188" spans="1:9" x14ac:dyDescent="0.3">
      <c r="A188" s="4" t="s">
        <v>233</v>
      </c>
    </row>
    <row r="189" spans="1:9" x14ac:dyDescent="0.3">
      <c r="B189" s="5" t="s">
        <v>234</v>
      </c>
      <c r="C189" s="5" t="s">
        <v>10</v>
      </c>
      <c r="D189" s="5" t="s">
        <v>227</v>
      </c>
      <c r="E189" s="5" t="s">
        <v>235</v>
      </c>
      <c r="F189" s="5" t="s">
        <v>45</v>
      </c>
      <c r="G189" s="5" t="s">
        <v>46</v>
      </c>
      <c r="H189" s="6">
        <v>50342</v>
      </c>
      <c r="I189" s="5"/>
    </row>
    <row r="190" spans="1:9" x14ac:dyDescent="0.3">
      <c r="B190" s="5" t="s">
        <v>234</v>
      </c>
      <c r="C190" s="5" t="s">
        <v>10</v>
      </c>
      <c r="D190" s="5" t="s">
        <v>227</v>
      </c>
      <c r="E190" s="5" t="s">
        <v>235</v>
      </c>
      <c r="F190" s="5" t="s">
        <v>13</v>
      </c>
      <c r="G190" s="5" t="s">
        <v>14</v>
      </c>
      <c r="H190" s="5"/>
      <c r="I190" s="6">
        <v>50342</v>
      </c>
    </row>
    <row r="191" spans="1:9" x14ac:dyDescent="0.3">
      <c r="A191" s="7" t="s">
        <v>236</v>
      </c>
      <c r="H191" s="8">
        <f>H189+H190</f>
        <v>50342</v>
      </c>
      <c r="I191" s="8">
        <f>I189+I190</f>
        <v>50342</v>
      </c>
    </row>
    <row r="192" spans="1:9" x14ac:dyDescent="0.3">
      <c r="A192" s="4" t="s">
        <v>237</v>
      </c>
    </row>
    <row r="193" spans="1:9" x14ac:dyDescent="0.3">
      <c r="B193" s="5" t="s">
        <v>234</v>
      </c>
      <c r="C193" s="5" t="s">
        <v>10</v>
      </c>
      <c r="D193" s="5" t="s">
        <v>233</v>
      </c>
      <c r="E193" s="5" t="s">
        <v>238</v>
      </c>
      <c r="F193" s="5" t="s">
        <v>45</v>
      </c>
      <c r="G193" s="5" t="s">
        <v>46</v>
      </c>
      <c r="H193" s="6">
        <v>88390</v>
      </c>
      <c r="I193" s="5"/>
    </row>
    <row r="194" spans="1:9" x14ac:dyDescent="0.3">
      <c r="B194" s="5" t="s">
        <v>234</v>
      </c>
      <c r="C194" s="5" t="s">
        <v>10</v>
      </c>
      <c r="D194" s="5" t="s">
        <v>233</v>
      </c>
      <c r="E194" s="5" t="s">
        <v>238</v>
      </c>
      <c r="F194" s="5" t="s">
        <v>13</v>
      </c>
      <c r="G194" s="5" t="s">
        <v>14</v>
      </c>
      <c r="H194" s="5"/>
      <c r="I194" s="6">
        <v>88390</v>
      </c>
    </row>
    <row r="195" spans="1:9" x14ac:dyDescent="0.3">
      <c r="A195" s="7" t="s">
        <v>239</v>
      </c>
      <c r="H195" s="8">
        <f>H193+H194</f>
        <v>88390</v>
      </c>
      <c r="I195" s="8">
        <f>I193+I194</f>
        <v>88390</v>
      </c>
    </row>
    <row r="196" spans="1:9" x14ac:dyDescent="0.3">
      <c r="A196" s="4" t="s">
        <v>240</v>
      </c>
    </row>
    <row r="197" spans="1:9" x14ac:dyDescent="0.3">
      <c r="B197" s="5" t="s">
        <v>234</v>
      </c>
      <c r="C197" s="5" t="s">
        <v>10</v>
      </c>
      <c r="D197" s="5" t="s">
        <v>237</v>
      </c>
      <c r="E197" s="5" t="s">
        <v>241</v>
      </c>
      <c r="F197" s="5" t="s">
        <v>35</v>
      </c>
      <c r="G197" s="5" t="s">
        <v>36</v>
      </c>
      <c r="H197" s="6">
        <v>3070</v>
      </c>
      <c r="I197" s="5"/>
    </row>
    <row r="198" spans="1:9" x14ac:dyDescent="0.3">
      <c r="B198" s="5" t="s">
        <v>234</v>
      </c>
      <c r="C198" s="5" t="s">
        <v>10</v>
      </c>
      <c r="D198" s="5" t="s">
        <v>237</v>
      </c>
      <c r="E198" s="5" t="s">
        <v>241</v>
      </c>
      <c r="F198" s="5" t="s">
        <v>13</v>
      </c>
      <c r="G198" s="5" t="s">
        <v>14</v>
      </c>
      <c r="H198" s="5"/>
      <c r="I198" s="6">
        <v>3070</v>
      </c>
    </row>
    <row r="199" spans="1:9" x14ac:dyDescent="0.3">
      <c r="A199" s="7" t="s">
        <v>242</v>
      </c>
      <c r="H199" s="8">
        <f>H197+H198</f>
        <v>3070</v>
      </c>
      <c r="I199" s="8">
        <f>I197+I198</f>
        <v>3070</v>
      </c>
    </row>
    <row r="200" spans="1:9" x14ac:dyDescent="0.3">
      <c r="A200" s="4" t="s">
        <v>243</v>
      </c>
    </row>
    <row r="201" spans="1:9" x14ac:dyDescent="0.3">
      <c r="B201" s="5" t="s">
        <v>234</v>
      </c>
      <c r="C201" s="5" t="s">
        <v>10</v>
      </c>
      <c r="D201" s="5" t="s">
        <v>240</v>
      </c>
      <c r="E201" s="5" t="s">
        <v>244</v>
      </c>
      <c r="F201" s="5" t="s">
        <v>113</v>
      </c>
      <c r="G201" s="5" t="s">
        <v>114</v>
      </c>
      <c r="H201" s="6">
        <v>1020</v>
      </c>
      <c r="I201" s="5"/>
    </row>
    <row r="202" spans="1:9" x14ac:dyDescent="0.3">
      <c r="B202" s="5" t="s">
        <v>234</v>
      </c>
      <c r="C202" s="5" t="s">
        <v>10</v>
      </c>
      <c r="D202" s="5" t="s">
        <v>240</v>
      </c>
      <c r="E202" s="5" t="s">
        <v>245</v>
      </c>
      <c r="F202" s="5" t="s">
        <v>61</v>
      </c>
      <c r="G202" s="5" t="s">
        <v>62</v>
      </c>
      <c r="H202" s="6">
        <v>550</v>
      </c>
      <c r="I202" s="5"/>
    </row>
    <row r="203" spans="1:9" x14ac:dyDescent="0.3">
      <c r="B203" s="5" t="s">
        <v>234</v>
      </c>
      <c r="C203" s="5" t="s">
        <v>10</v>
      </c>
      <c r="D203" s="5" t="s">
        <v>240</v>
      </c>
      <c r="E203" s="5" t="s">
        <v>128</v>
      </c>
      <c r="F203" s="5" t="s">
        <v>129</v>
      </c>
      <c r="G203" s="5" t="s">
        <v>130</v>
      </c>
      <c r="H203" s="6">
        <v>50</v>
      </c>
      <c r="I203" s="5"/>
    </row>
    <row r="204" spans="1:9" x14ac:dyDescent="0.3">
      <c r="B204" s="5" t="s">
        <v>234</v>
      </c>
      <c r="C204" s="5" t="s">
        <v>10</v>
      </c>
      <c r="D204" s="5" t="s">
        <v>240</v>
      </c>
      <c r="E204" s="5" t="s">
        <v>246</v>
      </c>
      <c r="F204" s="5" t="s">
        <v>58</v>
      </c>
      <c r="G204" s="5" t="s">
        <v>59</v>
      </c>
      <c r="H204" s="6">
        <v>800</v>
      </c>
      <c r="I204" s="5"/>
    </row>
    <row r="205" spans="1:9" x14ac:dyDescent="0.3">
      <c r="B205" s="5" t="s">
        <v>234</v>
      </c>
      <c r="C205" s="5" t="s">
        <v>10</v>
      </c>
      <c r="D205" s="5" t="s">
        <v>240</v>
      </c>
      <c r="E205" s="5" t="s">
        <v>247</v>
      </c>
      <c r="F205" s="5" t="s">
        <v>67</v>
      </c>
      <c r="G205" s="5" t="s">
        <v>68</v>
      </c>
      <c r="H205" s="6">
        <v>170</v>
      </c>
      <c r="I205" s="5"/>
    </row>
    <row r="206" spans="1:9" x14ac:dyDescent="0.3">
      <c r="B206" s="5" t="s">
        <v>234</v>
      </c>
      <c r="C206" s="5" t="s">
        <v>10</v>
      </c>
      <c r="D206" s="5" t="s">
        <v>240</v>
      </c>
      <c r="E206" s="5" t="s">
        <v>248</v>
      </c>
      <c r="F206" s="5" t="s">
        <v>13</v>
      </c>
      <c r="G206" s="5" t="s">
        <v>14</v>
      </c>
      <c r="H206" s="5"/>
      <c r="I206" s="6">
        <v>2590</v>
      </c>
    </row>
    <row r="207" spans="1:9" x14ac:dyDescent="0.3">
      <c r="A207" s="7" t="s">
        <v>249</v>
      </c>
      <c r="H207" s="8">
        <f>H201+H202+H203+H204+H205+H206</f>
        <v>2590</v>
      </c>
      <c r="I207" s="8">
        <f>I201+I202+I203+I204+I205+I206</f>
        <v>2590</v>
      </c>
    </row>
    <row r="208" spans="1:9" x14ac:dyDescent="0.3">
      <c r="A208" s="4" t="s">
        <v>250</v>
      </c>
    </row>
    <row r="209" spans="1:9" x14ac:dyDescent="0.3">
      <c r="B209" s="5" t="s">
        <v>234</v>
      </c>
      <c r="C209" s="5" t="s">
        <v>10</v>
      </c>
      <c r="D209" s="5" t="s">
        <v>243</v>
      </c>
      <c r="E209" s="5" t="s">
        <v>251</v>
      </c>
      <c r="F209" s="5" t="s">
        <v>166</v>
      </c>
      <c r="G209" s="5" t="s">
        <v>167</v>
      </c>
      <c r="H209" s="6">
        <v>920</v>
      </c>
      <c r="I209" s="5"/>
    </row>
    <row r="210" spans="1:9" x14ac:dyDescent="0.3">
      <c r="B210" s="5" t="s">
        <v>234</v>
      </c>
      <c r="C210" s="5" t="s">
        <v>10</v>
      </c>
      <c r="D210" s="5" t="s">
        <v>243</v>
      </c>
      <c r="E210" s="5" t="s">
        <v>251</v>
      </c>
      <c r="F210" s="5" t="s">
        <v>13</v>
      </c>
      <c r="G210" s="5" t="s">
        <v>14</v>
      </c>
      <c r="H210" s="5"/>
      <c r="I210" s="6">
        <v>920</v>
      </c>
    </row>
    <row r="211" spans="1:9" x14ac:dyDescent="0.3">
      <c r="A211" s="7" t="s">
        <v>252</v>
      </c>
      <c r="H211" s="8">
        <f>H209+H210</f>
        <v>920</v>
      </c>
      <c r="I211" s="8">
        <f>I209+I210</f>
        <v>920</v>
      </c>
    </row>
    <row r="212" spans="1:9" x14ac:dyDescent="0.3">
      <c r="A212" s="4" t="s">
        <v>253</v>
      </c>
    </row>
    <row r="213" spans="1:9" x14ac:dyDescent="0.3">
      <c r="B213" s="5" t="s">
        <v>234</v>
      </c>
      <c r="C213" s="5" t="s">
        <v>10</v>
      </c>
      <c r="D213" s="5" t="s">
        <v>250</v>
      </c>
      <c r="E213" s="5" t="s">
        <v>254</v>
      </c>
      <c r="F213" s="5" t="s">
        <v>81</v>
      </c>
      <c r="G213" s="5" t="s">
        <v>82</v>
      </c>
      <c r="H213" s="6">
        <v>12000</v>
      </c>
      <c r="I213" s="5"/>
    </row>
    <row r="214" spans="1:9" x14ac:dyDescent="0.3">
      <c r="B214" s="5" t="s">
        <v>234</v>
      </c>
      <c r="C214" s="5" t="s">
        <v>10</v>
      </c>
      <c r="D214" s="5" t="s">
        <v>250</v>
      </c>
      <c r="E214" s="5" t="s">
        <v>255</v>
      </c>
      <c r="F214" s="5" t="s">
        <v>256</v>
      </c>
      <c r="G214" s="5" t="s">
        <v>257</v>
      </c>
      <c r="H214" s="6">
        <v>450</v>
      </c>
      <c r="I214" s="5"/>
    </row>
    <row r="215" spans="1:9" x14ac:dyDescent="0.3">
      <c r="B215" s="5" t="s">
        <v>234</v>
      </c>
      <c r="C215" s="5" t="s">
        <v>10</v>
      </c>
      <c r="D215" s="5" t="s">
        <v>250</v>
      </c>
      <c r="E215" s="5" t="s">
        <v>258</v>
      </c>
      <c r="F215" s="5" t="s">
        <v>13</v>
      </c>
      <c r="G215" s="5" t="s">
        <v>14</v>
      </c>
      <c r="H215" s="5"/>
      <c r="I215" s="6">
        <v>12450</v>
      </c>
    </row>
    <row r="216" spans="1:9" x14ac:dyDescent="0.3">
      <c r="A216" s="7" t="s">
        <v>259</v>
      </c>
      <c r="H216" s="8">
        <f>H213+H214+H215</f>
        <v>12450</v>
      </c>
      <c r="I216" s="8">
        <f>I213+I214+I215</f>
        <v>12450</v>
      </c>
    </row>
    <row r="217" spans="1:9" x14ac:dyDescent="0.3">
      <c r="A217" s="4" t="s">
        <v>260</v>
      </c>
    </row>
    <row r="218" spans="1:9" x14ac:dyDescent="0.3">
      <c r="B218" s="5" t="s">
        <v>261</v>
      </c>
      <c r="C218" s="5" t="s">
        <v>10</v>
      </c>
      <c r="D218" s="5" t="s">
        <v>253</v>
      </c>
      <c r="E218" s="5" t="s">
        <v>262</v>
      </c>
      <c r="F218" s="5" t="s">
        <v>116</v>
      </c>
      <c r="G218" s="5" t="s">
        <v>117</v>
      </c>
      <c r="H218" s="6">
        <v>500</v>
      </c>
      <c r="I218" s="5"/>
    </row>
    <row r="219" spans="1:9" x14ac:dyDescent="0.3">
      <c r="B219" s="5" t="s">
        <v>261</v>
      </c>
      <c r="C219" s="5" t="s">
        <v>10</v>
      </c>
      <c r="D219" s="5" t="s">
        <v>253</v>
      </c>
      <c r="E219" s="5" t="s">
        <v>263</v>
      </c>
      <c r="F219" s="5" t="s">
        <v>50</v>
      </c>
      <c r="G219" s="5" t="s">
        <v>51</v>
      </c>
      <c r="H219" s="6">
        <v>190</v>
      </c>
      <c r="I219" s="5"/>
    </row>
    <row r="220" spans="1:9" x14ac:dyDescent="0.3">
      <c r="B220" s="5" t="s">
        <v>261</v>
      </c>
      <c r="C220" s="5" t="s">
        <v>10</v>
      </c>
      <c r="D220" s="5" t="s">
        <v>253</v>
      </c>
      <c r="E220" s="5" t="s">
        <v>264</v>
      </c>
      <c r="F220" s="5" t="s">
        <v>61</v>
      </c>
      <c r="G220" s="5" t="s">
        <v>62</v>
      </c>
      <c r="H220" s="6">
        <v>100</v>
      </c>
      <c r="I220" s="5"/>
    </row>
    <row r="221" spans="1:9" x14ac:dyDescent="0.3">
      <c r="B221" s="5" t="s">
        <v>261</v>
      </c>
      <c r="C221" s="5" t="s">
        <v>10</v>
      </c>
      <c r="D221" s="5" t="s">
        <v>253</v>
      </c>
      <c r="E221" s="5" t="s">
        <v>265</v>
      </c>
      <c r="F221" s="5" t="s">
        <v>35</v>
      </c>
      <c r="G221" s="5" t="s">
        <v>36</v>
      </c>
      <c r="H221" s="6">
        <v>320</v>
      </c>
      <c r="I221" s="5"/>
    </row>
    <row r="222" spans="1:9" x14ac:dyDescent="0.3">
      <c r="B222" s="5" t="s">
        <v>261</v>
      </c>
      <c r="C222" s="5" t="s">
        <v>10</v>
      </c>
      <c r="D222" s="5" t="s">
        <v>253</v>
      </c>
      <c r="E222" s="5" t="s">
        <v>266</v>
      </c>
      <c r="F222" s="5" t="s">
        <v>64</v>
      </c>
      <c r="G222" s="5" t="s">
        <v>65</v>
      </c>
      <c r="H222" s="6">
        <v>460</v>
      </c>
      <c r="I222" s="5"/>
    </row>
    <row r="223" spans="1:9" x14ac:dyDescent="0.3">
      <c r="B223" s="5" t="s">
        <v>261</v>
      </c>
      <c r="C223" s="5" t="s">
        <v>10</v>
      </c>
      <c r="D223" s="5" t="s">
        <v>253</v>
      </c>
      <c r="E223" s="5" t="s">
        <v>267</v>
      </c>
      <c r="F223" s="5" t="s">
        <v>256</v>
      </c>
      <c r="G223" s="5" t="s">
        <v>257</v>
      </c>
      <c r="H223" s="6">
        <v>620</v>
      </c>
      <c r="I223" s="5"/>
    </row>
    <row r="224" spans="1:9" x14ac:dyDescent="0.3">
      <c r="B224" s="5" t="s">
        <v>261</v>
      </c>
      <c r="C224" s="5" t="s">
        <v>10</v>
      </c>
      <c r="D224" s="5" t="s">
        <v>253</v>
      </c>
      <c r="E224" s="5" t="s">
        <v>268</v>
      </c>
      <c r="F224" s="5" t="s">
        <v>13</v>
      </c>
      <c r="G224" s="5" t="s">
        <v>14</v>
      </c>
      <c r="H224" s="5"/>
      <c r="I224" s="6">
        <v>2190</v>
      </c>
    </row>
    <row r="225" spans="1:9" x14ac:dyDescent="0.3">
      <c r="A225" s="7" t="s">
        <v>269</v>
      </c>
      <c r="H225" s="8">
        <f>H218+H219+H220+H221+H222+H223+H224</f>
        <v>2190</v>
      </c>
      <c r="I225" s="8">
        <f>I218+I219+I220+I221+I222+I223+I224</f>
        <v>2190</v>
      </c>
    </row>
    <row r="226" spans="1:9" x14ac:dyDescent="0.3">
      <c r="A226" s="4" t="s">
        <v>270</v>
      </c>
    </row>
    <row r="227" spans="1:9" x14ac:dyDescent="0.3">
      <c r="B227" s="5" t="s">
        <v>271</v>
      </c>
      <c r="C227" s="5" t="s">
        <v>10</v>
      </c>
      <c r="D227" s="5" t="s">
        <v>260</v>
      </c>
      <c r="E227" s="5" t="s">
        <v>272</v>
      </c>
      <c r="F227" s="5" t="s">
        <v>61</v>
      </c>
      <c r="G227" s="5" t="s">
        <v>62</v>
      </c>
      <c r="H227" s="6">
        <v>1050</v>
      </c>
      <c r="I227" s="5"/>
    </row>
    <row r="228" spans="1:9" x14ac:dyDescent="0.3">
      <c r="B228" s="5" t="s">
        <v>271</v>
      </c>
      <c r="C228" s="5" t="s">
        <v>10</v>
      </c>
      <c r="D228" s="5" t="s">
        <v>260</v>
      </c>
      <c r="E228" s="5" t="s">
        <v>273</v>
      </c>
      <c r="F228" s="5" t="s">
        <v>64</v>
      </c>
      <c r="G228" s="5" t="s">
        <v>65</v>
      </c>
      <c r="H228" s="6">
        <v>30</v>
      </c>
      <c r="I228" s="5"/>
    </row>
    <row r="229" spans="1:9" x14ac:dyDescent="0.3">
      <c r="B229" s="5" t="s">
        <v>271</v>
      </c>
      <c r="C229" s="5" t="s">
        <v>10</v>
      </c>
      <c r="D229" s="5" t="s">
        <v>260</v>
      </c>
      <c r="E229" s="5" t="s">
        <v>274</v>
      </c>
      <c r="F229" s="5" t="s">
        <v>113</v>
      </c>
      <c r="G229" s="5" t="s">
        <v>114</v>
      </c>
      <c r="H229" s="6">
        <v>400</v>
      </c>
      <c r="I229" s="5"/>
    </row>
    <row r="230" spans="1:9" x14ac:dyDescent="0.3">
      <c r="B230" s="5" t="s">
        <v>271</v>
      </c>
      <c r="C230" s="5" t="s">
        <v>10</v>
      </c>
      <c r="D230" s="5" t="s">
        <v>260</v>
      </c>
      <c r="E230" s="5" t="s">
        <v>275</v>
      </c>
      <c r="F230" s="5" t="s">
        <v>45</v>
      </c>
      <c r="G230" s="5" t="s">
        <v>46</v>
      </c>
      <c r="H230" s="6">
        <v>3740</v>
      </c>
      <c r="I230" s="5"/>
    </row>
    <row r="231" spans="1:9" x14ac:dyDescent="0.3">
      <c r="B231" s="5" t="s">
        <v>271</v>
      </c>
      <c r="C231" s="5" t="s">
        <v>10</v>
      </c>
      <c r="D231" s="5" t="s">
        <v>260</v>
      </c>
      <c r="E231" s="5" t="s">
        <v>276</v>
      </c>
      <c r="F231" s="5" t="s">
        <v>35</v>
      </c>
      <c r="G231" s="5" t="s">
        <v>36</v>
      </c>
      <c r="H231" s="6">
        <v>500</v>
      </c>
      <c r="I231" s="5"/>
    </row>
    <row r="232" spans="1:9" x14ac:dyDescent="0.3">
      <c r="B232" s="5" t="s">
        <v>271</v>
      </c>
      <c r="C232" s="5" t="s">
        <v>10</v>
      </c>
      <c r="D232" s="5" t="s">
        <v>260</v>
      </c>
      <c r="E232" s="5" t="s">
        <v>277</v>
      </c>
      <c r="F232" s="5" t="s">
        <v>278</v>
      </c>
      <c r="G232" s="5" t="s">
        <v>279</v>
      </c>
      <c r="H232" s="6">
        <v>4340</v>
      </c>
      <c r="I232" s="5"/>
    </row>
    <row r="233" spans="1:9" x14ac:dyDescent="0.3">
      <c r="B233" s="5" t="s">
        <v>271</v>
      </c>
      <c r="C233" s="5" t="s">
        <v>10</v>
      </c>
      <c r="D233" s="5" t="s">
        <v>260</v>
      </c>
      <c r="E233" s="5" t="s">
        <v>280</v>
      </c>
      <c r="F233" s="5" t="s">
        <v>281</v>
      </c>
      <c r="G233" s="5" t="s">
        <v>282</v>
      </c>
      <c r="H233" s="6">
        <v>1000</v>
      </c>
      <c r="I233" s="5"/>
    </row>
    <row r="234" spans="1:9" x14ac:dyDescent="0.3">
      <c r="B234" s="5" t="s">
        <v>271</v>
      </c>
      <c r="C234" s="5" t="s">
        <v>10</v>
      </c>
      <c r="D234" s="5" t="s">
        <v>260</v>
      </c>
      <c r="E234" s="5" t="s">
        <v>283</v>
      </c>
      <c r="F234" s="5" t="s">
        <v>129</v>
      </c>
      <c r="G234" s="5" t="s">
        <v>130</v>
      </c>
      <c r="H234" s="6">
        <v>50</v>
      </c>
      <c r="I234" s="5"/>
    </row>
    <row r="235" spans="1:9" x14ac:dyDescent="0.3">
      <c r="B235" s="5" t="s">
        <v>271</v>
      </c>
      <c r="C235" s="5" t="s">
        <v>10</v>
      </c>
      <c r="D235" s="5" t="s">
        <v>260</v>
      </c>
      <c r="E235" s="5" t="s">
        <v>284</v>
      </c>
      <c r="F235" s="5" t="s">
        <v>45</v>
      </c>
      <c r="G235" s="5" t="s">
        <v>46</v>
      </c>
      <c r="H235" s="6">
        <v>1800</v>
      </c>
      <c r="I235" s="5"/>
    </row>
    <row r="236" spans="1:9" x14ac:dyDescent="0.3">
      <c r="B236" s="5" t="s">
        <v>271</v>
      </c>
      <c r="C236" s="5" t="s">
        <v>10</v>
      </c>
      <c r="D236" s="5" t="s">
        <v>260</v>
      </c>
      <c r="E236" s="5" t="s">
        <v>285</v>
      </c>
      <c r="F236" s="5" t="s">
        <v>13</v>
      </c>
      <c r="G236" s="5" t="s">
        <v>14</v>
      </c>
      <c r="H236" s="5"/>
      <c r="I236" s="6">
        <v>12910</v>
      </c>
    </row>
    <row r="237" spans="1:9" x14ac:dyDescent="0.3">
      <c r="A237" s="7" t="s">
        <v>286</v>
      </c>
      <c r="H237" s="8">
        <f>H227+H228+H229+H230+H231+H232+H233+H234+H235+H236</f>
        <v>12910</v>
      </c>
      <c r="I237" s="8">
        <f>I227+I228+I229+I230+I231+I232+I233+I234+I235+I236</f>
        <v>12910</v>
      </c>
    </row>
    <row r="238" spans="1:9" x14ac:dyDescent="0.3">
      <c r="A238" s="4" t="s">
        <v>287</v>
      </c>
    </row>
    <row r="239" spans="1:9" x14ac:dyDescent="0.3">
      <c r="B239" s="5" t="s">
        <v>288</v>
      </c>
      <c r="C239" s="5" t="s">
        <v>10</v>
      </c>
      <c r="D239" s="5" t="s">
        <v>270</v>
      </c>
      <c r="E239" s="5" t="s">
        <v>289</v>
      </c>
      <c r="F239" s="5" t="s">
        <v>45</v>
      </c>
      <c r="G239" s="5" t="s">
        <v>46</v>
      </c>
      <c r="H239" s="6">
        <v>4200</v>
      </c>
      <c r="I239" s="5"/>
    </row>
    <row r="240" spans="1:9" x14ac:dyDescent="0.3">
      <c r="B240" s="5" t="s">
        <v>288</v>
      </c>
      <c r="C240" s="5" t="s">
        <v>10</v>
      </c>
      <c r="D240" s="5" t="s">
        <v>270</v>
      </c>
      <c r="E240" s="5" t="s">
        <v>290</v>
      </c>
      <c r="F240" s="5" t="s">
        <v>67</v>
      </c>
      <c r="G240" s="5" t="s">
        <v>68</v>
      </c>
      <c r="H240" s="6">
        <v>60</v>
      </c>
      <c r="I240" s="5"/>
    </row>
    <row r="241" spans="1:9" x14ac:dyDescent="0.3">
      <c r="B241" s="5" t="s">
        <v>288</v>
      </c>
      <c r="C241" s="5" t="s">
        <v>10</v>
      </c>
      <c r="D241" s="5" t="s">
        <v>270</v>
      </c>
      <c r="E241" s="5" t="s">
        <v>291</v>
      </c>
      <c r="F241" s="5" t="s">
        <v>113</v>
      </c>
      <c r="G241" s="5" t="s">
        <v>114</v>
      </c>
      <c r="H241" s="6">
        <v>320</v>
      </c>
      <c r="I241" s="5"/>
    </row>
    <row r="242" spans="1:9" x14ac:dyDescent="0.3">
      <c r="B242" s="5" t="s">
        <v>288</v>
      </c>
      <c r="C242" s="5" t="s">
        <v>10</v>
      </c>
      <c r="D242" s="5" t="s">
        <v>270</v>
      </c>
      <c r="E242" s="5" t="s">
        <v>292</v>
      </c>
      <c r="F242" s="5" t="s">
        <v>64</v>
      </c>
      <c r="G242" s="5" t="s">
        <v>65</v>
      </c>
      <c r="H242" s="6">
        <v>30</v>
      </c>
      <c r="I242" s="5"/>
    </row>
    <row r="243" spans="1:9" x14ac:dyDescent="0.3">
      <c r="B243" s="5" t="s">
        <v>288</v>
      </c>
      <c r="C243" s="5" t="s">
        <v>10</v>
      </c>
      <c r="D243" s="5" t="s">
        <v>270</v>
      </c>
      <c r="E243" s="5" t="s">
        <v>293</v>
      </c>
      <c r="F243" s="5" t="s">
        <v>50</v>
      </c>
      <c r="G243" s="5" t="s">
        <v>51</v>
      </c>
      <c r="H243" s="6">
        <v>940</v>
      </c>
      <c r="I243" s="5"/>
    </row>
    <row r="244" spans="1:9" x14ac:dyDescent="0.3">
      <c r="B244" s="5" t="s">
        <v>288</v>
      </c>
      <c r="C244" s="5" t="s">
        <v>10</v>
      </c>
      <c r="D244" s="5" t="s">
        <v>270</v>
      </c>
      <c r="E244" s="5" t="s">
        <v>294</v>
      </c>
      <c r="F244" s="5" t="s">
        <v>61</v>
      </c>
      <c r="G244" s="5" t="s">
        <v>62</v>
      </c>
      <c r="H244" s="6">
        <v>100</v>
      </c>
      <c r="I244" s="5"/>
    </row>
    <row r="245" spans="1:9" x14ac:dyDescent="0.3">
      <c r="B245" s="5" t="s">
        <v>288</v>
      </c>
      <c r="C245" s="5" t="s">
        <v>10</v>
      </c>
      <c r="D245" s="5" t="s">
        <v>270</v>
      </c>
      <c r="E245" s="5" t="s">
        <v>295</v>
      </c>
      <c r="F245" s="5" t="s">
        <v>13</v>
      </c>
      <c r="G245" s="5" t="s">
        <v>14</v>
      </c>
      <c r="H245" s="5"/>
      <c r="I245" s="6">
        <v>5650</v>
      </c>
    </row>
    <row r="246" spans="1:9" x14ac:dyDescent="0.3">
      <c r="A246" s="7" t="s">
        <v>296</v>
      </c>
      <c r="H246" s="8">
        <f>H239+H240+H241+H242+H243+H244+H245</f>
        <v>5650</v>
      </c>
      <c r="I246" s="8">
        <f>I239+I240+I241+I242+I243+I244+I245</f>
        <v>5650</v>
      </c>
    </row>
    <row r="247" spans="1:9" x14ac:dyDescent="0.3">
      <c r="A247" s="4" t="s">
        <v>297</v>
      </c>
    </row>
    <row r="248" spans="1:9" x14ac:dyDescent="0.3">
      <c r="B248" s="5" t="s">
        <v>298</v>
      </c>
      <c r="C248" s="5" t="s">
        <v>10</v>
      </c>
      <c r="D248" s="5" t="s">
        <v>287</v>
      </c>
      <c r="E248" s="5" t="s">
        <v>299</v>
      </c>
      <c r="F248" s="5" t="s">
        <v>50</v>
      </c>
      <c r="G248" s="5" t="s">
        <v>51</v>
      </c>
      <c r="H248" s="6">
        <v>1200</v>
      </c>
      <c r="I248" s="5"/>
    </row>
    <row r="249" spans="1:9" x14ac:dyDescent="0.3">
      <c r="B249" s="5" t="s">
        <v>298</v>
      </c>
      <c r="C249" s="5" t="s">
        <v>10</v>
      </c>
      <c r="D249" s="5" t="s">
        <v>287</v>
      </c>
      <c r="E249" s="5" t="s">
        <v>300</v>
      </c>
      <c r="F249" s="5" t="s">
        <v>95</v>
      </c>
      <c r="G249" s="5" t="s">
        <v>96</v>
      </c>
      <c r="H249" s="6">
        <v>300</v>
      </c>
      <c r="I249" s="5"/>
    </row>
    <row r="250" spans="1:9" x14ac:dyDescent="0.3">
      <c r="B250" s="5" t="s">
        <v>298</v>
      </c>
      <c r="C250" s="5" t="s">
        <v>10</v>
      </c>
      <c r="D250" s="5" t="s">
        <v>287</v>
      </c>
      <c r="E250" s="5" t="s">
        <v>134</v>
      </c>
      <c r="F250" s="5" t="s">
        <v>116</v>
      </c>
      <c r="G250" s="5" t="s">
        <v>117</v>
      </c>
      <c r="H250" s="6">
        <v>500</v>
      </c>
      <c r="I250" s="5"/>
    </row>
    <row r="251" spans="1:9" x14ac:dyDescent="0.3">
      <c r="B251" s="5" t="s">
        <v>298</v>
      </c>
      <c r="C251" s="5" t="s">
        <v>10</v>
      </c>
      <c r="D251" s="5" t="s">
        <v>287</v>
      </c>
      <c r="E251" s="5" t="s">
        <v>156</v>
      </c>
      <c r="F251" s="5" t="s">
        <v>61</v>
      </c>
      <c r="G251" s="5" t="s">
        <v>62</v>
      </c>
      <c r="H251" s="6">
        <v>140</v>
      </c>
      <c r="I251" s="5"/>
    </row>
    <row r="252" spans="1:9" x14ac:dyDescent="0.3">
      <c r="B252" s="5" t="s">
        <v>298</v>
      </c>
      <c r="C252" s="5" t="s">
        <v>10</v>
      </c>
      <c r="D252" s="5" t="s">
        <v>287</v>
      </c>
      <c r="E252" s="5" t="s">
        <v>244</v>
      </c>
      <c r="F252" s="5" t="s">
        <v>113</v>
      </c>
      <c r="G252" s="5" t="s">
        <v>114</v>
      </c>
      <c r="H252" s="6">
        <v>360</v>
      </c>
      <c r="I252" s="5"/>
    </row>
    <row r="253" spans="1:9" x14ac:dyDescent="0.3">
      <c r="B253" s="5" t="s">
        <v>298</v>
      </c>
      <c r="C253" s="5" t="s">
        <v>10</v>
      </c>
      <c r="D253" s="5" t="s">
        <v>287</v>
      </c>
      <c r="E253" s="5" t="s">
        <v>301</v>
      </c>
      <c r="F253" s="5" t="s">
        <v>13</v>
      </c>
      <c r="G253" s="5" t="s">
        <v>14</v>
      </c>
      <c r="H253" s="5"/>
      <c r="I253" s="6">
        <v>2500</v>
      </c>
    </row>
    <row r="254" spans="1:9" x14ac:dyDescent="0.3">
      <c r="A254" s="7" t="s">
        <v>302</v>
      </c>
      <c r="H254" s="8">
        <f>H248+H249+H250+H251+H252+H253</f>
        <v>2500</v>
      </c>
      <c r="I254" s="8">
        <f>I248+I249+I250+I251+I252+I253</f>
        <v>2500</v>
      </c>
    </row>
    <row r="255" spans="1:9" x14ac:dyDescent="0.3">
      <c r="A255" s="4" t="s">
        <v>303</v>
      </c>
    </row>
    <row r="256" spans="1:9" x14ac:dyDescent="0.3">
      <c r="B256" s="5" t="s">
        <v>298</v>
      </c>
      <c r="C256" s="5" t="s">
        <v>10</v>
      </c>
      <c r="D256" s="5" t="s">
        <v>297</v>
      </c>
      <c r="E256" s="5" t="s">
        <v>304</v>
      </c>
      <c r="F256" s="5" t="s">
        <v>176</v>
      </c>
      <c r="G256" s="5" t="s">
        <v>177</v>
      </c>
      <c r="H256" s="6">
        <v>7211</v>
      </c>
      <c r="I256" s="5"/>
    </row>
    <row r="257" spans="1:9" x14ac:dyDescent="0.3">
      <c r="B257" s="5" t="s">
        <v>298</v>
      </c>
      <c r="C257" s="5" t="s">
        <v>10</v>
      </c>
      <c r="D257" s="5" t="s">
        <v>297</v>
      </c>
      <c r="E257" s="5" t="s">
        <v>304</v>
      </c>
      <c r="F257" s="5" t="s">
        <v>13</v>
      </c>
      <c r="G257" s="5" t="s">
        <v>14</v>
      </c>
      <c r="H257" s="5"/>
      <c r="I257" s="6">
        <v>7211</v>
      </c>
    </row>
    <row r="258" spans="1:9" x14ac:dyDescent="0.3">
      <c r="A258" s="7" t="s">
        <v>305</v>
      </c>
      <c r="H258" s="8">
        <f>H256+H257</f>
        <v>7211</v>
      </c>
      <c r="I258" s="8">
        <f>I256+I257</f>
        <v>7211</v>
      </c>
    </row>
    <row r="259" spans="1:9" x14ac:dyDescent="0.3">
      <c r="A259" s="4" t="s">
        <v>306</v>
      </c>
    </row>
    <row r="260" spans="1:9" x14ac:dyDescent="0.3">
      <c r="B260" s="5" t="s">
        <v>307</v>
      </c>
      <c r="C260" s="5" t="s">
        <v>10</v>
      </c>
      <c r="D260" s="5" t="s">
        <v>303</v>
      </c>
      <c r="E260" s="5" t="s">
        <v>308</v>
      </c>
      <c r="F260" s="5" t="s">
        <v>113</v>
      </c>
      <c r="G260" s="5" t="s">
        <v>114</v>
      </c>
      <c r="H260" s="6">
        <v>960</v>
      </c>
      <c r="I260" s="5"/>
    </row>
    <row r="261" spans="1:9" x14ac:dyDescent="0.3">
      <c r="B261" s="5" t="s">
        <v>307</v>
      </c>
      <c r="C261" s="5" t="s">
        <v>10</v>
      </c>
      <c r="D261" s="5" t="s">
        <v>303</v>
      </c>
      <c r="E261" s="5" t="s">
        <v>156</v>
      </c>
      <c r="F261" s="5" t="s">
        <v>61</v>
      </c>
      <c r="G261" s="5" t="s">
        <v>62</v>
      </c>
      <c r="H261" s="6">
        <v>110</v>
      </c>
      <c r="I261" s="5"/>
    </row>
    <row r="262" spans="1:9" x14ac:dyDescent="0.3">
      <c r="B262" s="5" t="s">
        <v>307</v>
      </c>
      <c r="C262" s="5" t="s">
        <v>10</v>
      </c>
      <c r="D262" s="5" t="s">
        <v>303</v>
      </c>
      <c r="E262" s="5" t="s">
        <v>128</v>
      </c>
      <c r="F262" s="5" t="s">
        <v>129</v>
      </c>
      <c r="G262" s="5" t="s">
        <v>130</v>
      </c>
      <c r="H262" s="6">
        <v>50</v>
      </c>
      <c r="I262" s="5"/>
    </row>
    <row r="263" spans="1:9" x14ac:dyDescent="0.3">
      <c r="B263" s="5" t="s">
        <v>307</v>
      </c>
      <c r="C263" s="5" t="s">
        <v>10</v>
      </c>
      <c r="D263" s="5" t="s">
        <v>303</v>
      </c>
      <c r="E263" s="5" t="s">
        <v>309</v>
      </c>
      <c r="F263" s="5" t="s">
        <v>256</v>
      </c>
      <c r="G263" s="5" t="s">
        <v>257</v>
      </c>
      <c r="H263" s="6">
        <v>60</v>
      </c>
      <c r="I263" s="5"/>
    </row>
    <row r="264" spans="1:9" x14ac:dyDescent="0.3">
      <c r="B264" s="5" t="s">
        <v>307</v>
      </c>
      <c r="C264" s="5" t="s">
        <v>10</v>
      </c>
      <c r="D264" s="5" t="s">
        <v>303</v>
      </c>
      <c r="E264" s="5" t="s">
        <v>310</v>
      </c>
      <c r="F264" s="5" t="s">
        <v>13</v>
      </c>
      <c r="G264" s="5" t="s">
        <v>14</v>
      </c>
      <c r="H264" s="5"/>
      <c r="I264" s="6">
        <v>1180</v>
      </c>
    </row>
    <row r="265" spans="1:9" x14ac:dyDescent="0.3">
      <c r="A265" s="7" t="s">
        <v>311</v>
      </c>
      <c r="H265" s="8">
        <f>H260+H261+H262+H263+H264</f>
        <v>1180</v>
      </c>
      <c r="I265" s="8">
        <f>I260+I261+I262+I263+I264</f>
        <v>1180</v>
      </c>
    </row>
    <row r="266" spans="1:9" x14ac:dyDescent="0.3">
      <c r="A266" s="4" t="s">
        <v>312</v>
      </c>
    </row>
    <row r="267" spans="1:9" x14ac:dyDescent="0.3">
      <c r="B267" s="5" t="s">
        <v>313</v>
      </c>
      <c r="C267" s="5" t="s">
        <v>10</v>
      </c>
      <c r="D267" s="5" t="s">
        <v>306</v>
      </c>
      <c r="E267" s="5" t="s">
        <v>308</v>
      </c>
      <c r="F267" s="5" t="s">
        <v>113</v>
      </c>
      <c r="G267" s="5" t="s">
        <v>114</v>
      </c>
      <c r="H267" s="6">
        <v>300</v>
      </c>
      <c r="I267" s="5"/>
    </row>
    <row r="268" spans="1:9" x14ac:dyDescent="0.3">
      <c r="B268" s="5" t="s">
        <v>313</v>
      </c>
      <c r="C268" s="5" t="s">
        <v>10</v>
      </c>
      <c r="D268" s="5" t="s">
        <v>306</v>
      </c>
      <c r="E268" s="5" t="s">
        <v>161</v>
      </c>
      <c r="F268" s="5" t="s">
        <v>61</v>
      </c>
      <c r="G268" s="5" t="s">
        <v>62</v>
      </c>
      <c r="H268" s="6">
        <v>100</v>
      </c>
      <c r="I268" s="5"/>
    </row>
    <row r="269" spans="1:9" x14ac:dyDescent="0.3">
      <c r="B269" s="5" t="s">
        <v>313</v>
      </c>
      <c r="C269" s="5" t="s">
        <v>10</v>
      </c>
      <c r="D269" s="5" t="s">
        <v>306</v>
      </c>
      <c r="E269" s="5" t="s">
        <v>314</v>
      </c>
      <c r="F269" s="5" t="s">
        <v>13</v>
      </c>
      <c r="G269" s="5" t="s">
        <v>14</v>
      </c>
      <c r="H269" s="5"/>
      <c r="I269" s="6">
        <v>400</v>
      </c>
    </row>
    <row r="270" spans="1:9" x14ac:dyDescent="0.3">
      <c r="B270" s="5" t="s">
        <v>313</v>
      </c>
      <c r="C270" s="5" t="s">
        <v>10</v>
      </c>
      <c r="D270" s="5" t="s">
        <v>306</v>
      </c>
      <c r="E270" s="5" t="s">
        <v>315</v>
      </c>
      <c r="F270" s="5" t="s">
        <v>81</v>
      </c>
      <c r="G270" s="5" t="s">
        <v>82</v>
      </c>
      <c r="H270" s="6">
        <v>9193</v>
      </c>
      <c r="I270" s="5"/>
    </row>
    <row r="271" spans="1:9" x14ac:dyDescent="0.3">
      <c r="B271" s="5" t="s">
        <v>313</v>
      </c>
      <c r="C271" s="5" t="s">
        <v>10</v>
      </c>
      <c r="D271" s="5" t="s">
        <v>306</v>
      </c>
      <c r="E271" s="5" t="s">
        <v>315</v>
      </c>
      <c r="F271" s="5" t="s">
        <v>13</v>
      </c>
      <c r="G271" s="5" t="s">
        <v>14</v>
      </c>
      <c r="H271" s="5"/>
      <c r="I271" s="6">
        <v>9193</v>
      </c>
    </row>
    <row r="272" spans="1:9" x14ac:dyDescent="0.3">
      <c r="A272" s="7" t="s">
        <v>316</v>
      </c>
      <c r="H272" s="8">
        <f>H267+H268+H269+H270+H271</f>
        <v>9593</v>
      </c>
      <c r="I272" s="8">
        <f>I267+I268+I269+I270+I271</f>
        <v>9593</v>
      </c>
    </row>
    <row r="273" spans="1:9" x14ac:dyDescent="0.3">
      <c r="A273" s="4" t="s">
        <v>317</v>
      </c>
    </row>
    <row r="274" spans="1:9" x14ac:dyDescent="0.3">
      <c r="B274" s="5" t="s">
        <v>318</v>
      </c>
      <c r="C274" s="5" t="s">
        <v>10</v>
      </c>
      <c r="D274" s="5" t="s">
        <v>312</v>
      </c>
      <c r="E274" s="5" t="s">
        <v>308</v>
      </c>
      <c r="F274" s="5" t="s">
        <v>113</v>
      </c>
      <c r="G274" s="5" t="s">
        <v>114</v>
      </c>
      <c r="H274" s="6">
        <v>360</v>
      </c>
      <c r="I274" s="5"/>
    </row>
    <row r="275" spans="1:9" x14ac:dyDescent="0.3">
      <c r="B275" s="5" t="s">
        <v>318</v>
      </c>
      <c r="C275" s="5" t="s">
        <v>10</v>
      </c>
      <c r="D275" s="5" t="s">
        <v>312</v>
      </c>
      <c r="E275" s="5" t="s">
        <v>319</v>
      </c>
      <c r="F275" s="5" t="s">
        <v>61</v>
      </c>
      <c r="G275" s="5" t="s">
        <v>62</v>
      </c>
      <c r="H275" s="6">
        <v>680</v>
      </c>
      <c r="I275" s="5"/>
    </row>
    <row r="276" spans="1:9" x14ac:dyDescent="0.3">
      <c r="B276" s="5" t="s">
        <v>318</v>
      </c>
      <c r="C276" s="5" t="s">
        <v>10</v>
      </c>
      <c r="D276" s="5" t="s">
        <v>312</v>
      </c>
      <c r="E276" s="5" t="s">
        <v>128</v>
      </c>
      <c r="F276" s="5" t="s">
        <v>129</v>
      </c>
      <c r="G276" s="5" t="s">
        <v>130</v>
      </c>
      <c r="H276" s="6">
        <v>50</v>
      </c>
      <c r="I276" s="5"/>
    </row>
    <row r="277" spans="1:9" x14ac:dyDescent="0.3">
      <c r="B277" s="5" t="s">
        <v>318</v>
      </c>
      <c r="C277" s="5" t="s">
        <v>10</v>
      </c>
      <c r="D277" s="5" t="s">
        <v>312</v>
      </c>
      <c r="E277" s="5" t="s">
        <v>320</v>
      </c>
      <c r="F277" s="5" t="s">
        <v>13</v>
      </c>
      <c r="G277" s="5" t="s">
        <v>14</v>
      </c>
      <c r="H277" s="5"/>
      <c r="I277" s="6">
        <v>1090</v>
      </c>
    </row>
    <row r="278" spans="1:9" x14ac:dyDescent="0.3">
      <c r="A278" s="7" t="s">
        <v>321</v>
      </c>
      <c r="H278" s="8">
        <f>H274+H275+H276+H277</f>
        <v>1090</v>
      </c>
      <c r="I278" s="8">
        <f>I274+I275+I276+I277</f>
        <v>1090</v>
      </c>
    </row>
    <row r="279" spans="1:9" x14ac:dyDescent="0.3">
      <c r="A279" s="4" t="s">
        <v>322</v>
      </c>
    </row>
    <row r="280" spans="1:9" x14ac:dyDescent="0.3">
      <c r="B280" s="5" t="s">
        <v>323</v>
      </c>
      <c r="C280" s="5" t="s">
        <v>10</v>
      </c>
      <c r="D280" s="5" t="s">
        <v>317</v>
      </c>
      <c r="E280" s="5" t="s">
        <v>324</v>
      </c>
      <c r="F280" s="5" t="s">
        <v>58</v>
      </c>
      <c r="G280" s="5" t="s">
        <v>59</v>
      </c>
      <c r="H280" s="6">
        <v>800</v>
      </c>
      <c r="I280" s="5"/>
    </row>
    <row r="281" spans="1:9" x14ac:dyDescent="0.3">
      <c r="B281" s="5" t="s">
        <v>323</v>
      </c>
      <c r="C281" s="5" t="s">
        <v>10</v>
      </c>
      <c r="D281" s="5" t="s">
        <v>317</v>
      </c>
      <c r="E281" s="5" t="s">
        <v>325</v>
      </c>
      <c r="F281" s="5" t="s">
        <v>61</v>
      </c>
      <c r="G281" s="5" t="s">
        <v>62</v>
      </c>
      <c r="H281" s="6">
        <v>380</v>
      </c>
      <c r="I281" s="5"/>
    </row>
    <row r="282" spans="1:9" x14ac:dyDescent="0.3">
      <c r="B282" s="5" t="s">
        <v>323</v>
      </c>
      <c r="C282" s="5" t="s">
        <v>10</v>
      </c>
      <c r="D282" s="5" t="s">
        <v>317</v>
      </c>
      <c r="E282" s="5" t="s">
        <v>139</v>
      </c>
      <c r="F282" s="5" t="s">
        <v>113</v>
      </c>
      <c r="G282" s="5" t="s">
        <v>114</v>
      </c>
      <c r="H282" s="6">
        <v>900</v>
      </c>
      <c r="I282" s="5"/>
    </row>
    <row r="283" spans="1:9" x14ac:dyDescent="0.3">
      <c r="B283" s="5" t="s">
        <v>323</v>
      </c>
      <c r="C283" s="5" t="s">
        <v>10</v>
      </c>
      <c r="D283" s="5" t="s">
        <v>317</v>
      </c>
      <c r="E283" s="5" t="s">
        <v>326</v>
      </c>
      <c r="F283" s="5" t="s">
        <v>13</v>
      </c>
      <c r="G283" s="5" t="s">
        <v>14</v>
      </c>
      <c r="H283" s="5"/>
      <c r="I283" s="6">
        <v>2080</v>
      </c>
    </row>
    <row r="284" spans="1:9" x14ac:dyDescent="0.3">
      <c r="A284" s="7" t="s">
        <v>327</v>
      </c>
      <c r="H284" s="8">
        <f>H280+H281+H282+H283</f>
        <v>2080</v>
      </c>
      <c r="I284" s="8">
        <f>I280+I281+I282+I283</f>
        <v>2080</v>
      </c>
    </row>
    <row r="285" spans="1:9" x14ac:dyDescent="0.3">
      <c r="A285" s="4" t="s">
        <v>328</v>
      </c>
    </row>
    <row r="286" spans="1:9" x14ac:dyDescent="0.3">
      <c r="B286" s="5" t="s">
        <v>329</v>
      </c>
      <c r="C286" s="5" t="s">
        <v>10</v>
      </c>
      <c r="D286" s="5" t="s">
        <v>322</v>
      </c>
      <c r="E286" s="5" t="s">
        <v>330</v>
      </c>
      <c r="F286" s="5" t="s">
        <v>116</v>
      </c>
      <c r="G286" s="5" t="s">
        <v>117</v>
      </c>
      <c r="H286" s="6">
        <v>500</v>
      </c>
      <c r="I286" s="5"/>
    </row>
    <row r="287" spans="1:9" x14ac:dyDescent="0.3">
      <c r="B287" s="5" t="s">
        <v>329</v>
      </c>
      <c r="C287" s="5" t="s">
        <v>10</v>
      </c>
      <c r="D287" s="5" t="s">
        <v>322</v>
      </c>
      <c r="E287" s="5" t="s">
        <v>331</v>
      </c>
      <c r="F287" s="5" t="s">
        <v>64</v>
      </c>
      <c r="G287" s="5" t="s">
        <v>65</v>
      </c>
      <c r="H287" s="6">
        <v>670</v>
      </c>
      <c r="I287" s="5"/>
    </row>
    <row r="288" spans="1:9" x14ac:dyDescent="0.3">
      <c r="B288" s="5" t="s">
        <v>329</v>
      </c>
      <c r="C288" s="5" t="s">
        <v>10</v>
      </c>
      <c r="D288" s="5" t="s">
        <v>322</v>
      </c>
      <c r="E288" s="5" t="s">
        <v>332</v>
      </c>
      <c r="F288" s="5" t="s">
        <v>70</v>
      </c>
      <c r="G288" s="5" t="s">
        <v>71</v>
      </c>
      <c r="H288" s="6">
        <v>1000</v>
      </c>
      <c r="I288" s="5"/>
    </row>
    <row r="289" spans="1:9" x14ac:dyDescent="0.3">
      <c r="B289" s="5" t="s">
        <v>329</v>
      </c>
      <c r="C289" s="5" t="s">
        <v>10</v>
      </c>
      <c r="D289" s="5" t="s">
        <v>322</v>
      </c>
      <c r="E289" s="5" t="s">
        <v>224</v>
      </c>
      <c r="F289" s="5" t="s">
        <v>35</v>
      </c>
      <c r="G289" s="5" t="s">
        <v>36</v>
      </c>
      <c r="H289" s="6">
        <v>100</v>
      </c>
      <c r="I289" s="5"/>
    </row>
    <row r="290" spans="1:9" x14ac:dyDescent="0.3">
      <c r="B290" s="5" t="s">
        <v>329</v>
      </c>
      <c r="C290" s="5" t="s">
        <v>10</v>
      </c>
      <c r="D290" s="5" t="s">
        <v>322</v>
      </c>
      <c r="E290" s="5" t="s">
        <v>333</v>
      </c>
      <c r="F290" s="5" t="s">
        <v>256</v>
      </c>
      <c r="G290" s="5" t="s">
        <v>257</v>
      </c>
      <c r="H290" s="6">
        <v>1000</v>
      </c>
      <c r="I290" s="5"/>
    </row>
    <row r="291" spans="1:9" x14ac:dyDescent="0.3">
      <c r="B291" s="5" t="s">
        <v>329</v>
      </c>
      <c r="C291" s="5" t="s">
        <v>10</v>
      </c>
      <c r="D291" s="5" t="s">
        <v>322</v>
      </c>
      <c r="E291" s="5" t="s">
        <v>334</v>
      </c>
      <c r="F291" s="5" t="s">
        <v>335</v>
      </c>
      <c r="G291" s="5" t="s">
        <v>336</v>
      </c>
      <c r="H291" s="6">
        <v>980</v>
      </c>
      <c r="I291" s="5"/>
    </row>
    <row r="292" spans="1:9" x14ac:dyDescent="0.3">
      <c r="B292" s="5" t="s">
        <v>329</v>
      </c>
      <c r="C292" s="5" t="s">
        <v>10</v>
      </c>
      <c r="D292" s="5" t="s">
        <v>322</v>
      </c>
      <c r="E292" s="5" t="s">
        <v>337</v>
      </c>
      <c r="F292" s="5" t="s">
        <v>13</v>
      </c>
      <c r="G292" s="5" t="s">
        <v>14</v>
      </c>
      <c r="H292" s="5"/>
      <c r="I292" s="6">
        <v>4250</v>
      </c>
    </row>
    <row r="293" spans="1:9" x14ac:dyDescent="0.3">
      <c r="A293" s="7" t="s">
        <v>338</v>
      </c>
      <c r="H293" s="8">
        <f>H286+H287+H288+H289+H290+H291+H292</f>
        <v>4250</v>
      </c>
      <c r="I293" s="8">
        <f>I286+I287+I288+I289+I290+I291+I292</f>
        <v>4250</v>
      </c>
    </row>
    <row r="294" spans="1:9" x14ac:dyDescent="0.3">
      <c r="A294" s="4" t="s">
        <v>339</v>
      </c>
    </row>
    <row r="295" spans="1:9" x14ac:dyDescent="0.3">
      <c r="B295" s="5" t="s">
        <v>329</v>
      </c>
      <c r="C295" s="5" t="s">
        <v>10</v>
      </c>
      <c r="D295" s="5" t="s">
        <v>328</v>
      </c>
      <c r="E295" s="5" t="s">
        <v>340</v>
      </c>
      <c r="F295" s="5" t="s">
        <v>45</v>
      </c>
      <c r="G295" s="5" t="s">
        <v>46</v>
      </c>
      <c r="H295" s="6">
        <v>40500</v>
      </c>
      <c r="I295" s="5"/>
    </row>
    <row r="296" spans="1:9" x14ac:dyDescent="0.3">
      <c r="B296" s="5" t="s">
        <v>329</v>
      </c>
      <c r="C296" s="5" t="s">
        <v>10</v>
      </c>
      <c r="D296" s="5" t="s">
        <v>328</v>
      </c>
      <c r="E296" s="5" t="s">
        <v>340</v>
      </c>
      <c r="F296" s="5" t="s">
        <v>13</v>
      </c>
      <c r="G296" s="5" t="s">
        <v>14</v>
      </c>
      <c r="H296" s="5"/>
      <c r="I296" s="6">
        <v>40500</v>
      </c>
    </row>
    <row r="297" spans="1:9" x14ac:dyDescent="0.3">
      <c r="A297" s="7" t="s">
        <v>341</v>
      </c>
      <c r="H297" s="8">
        <f>H295+H296</f>
        <v>40500</v>
      </c>
      <c r="I297" s="8">
        <f>I295+I296</f>
        <v>40500</v>
      </c>
    </row>
    <row r="298" spans="1:9" x14ac:dyDescent="0.3">
      <c r="A298" s="4" t="s">
        <v>342</v>
      </c>
    </row>
    <row r="299" spans="1:9" x14ac:dyDescent="0.3">
      <c r="B299" s="5" t="s">
        <v>329</v>
      </c>
      <c r="C299" s="5" t="s">
        <v>10</v>
      </c>
      <c r="D299" s="5" t="s">
        <v>339</v>
      </c>
      <c r="E299" s="5" t="s">
        <v>155</v>
      </c>
      <c r="F299" s="5" t="s">
        <v>116</v>
      </c>
      <c r="G299" s="5" t="s">
        <v>117</v>
      </c>
      <c r="H299" s="6">
        <v>520</v>
      </c>
      <c r="I299" s="5"/>
    </row>
    <row r="300" spans="1:9" x14ac:dyDescent="0.3">
      <c r="B300" s="5" t="s">
        <v>329</v>
      </c>
      <c r="C300" s="5" t="s">
        <v>10</v>
      </c>
      <c r="D300" s="5" t="s">
        <v>339</v>
      </c>
      <c r="E300" s="5" t="s">
        <v>343</v>
      </c>
      <c r="F300" s="5" t="s">
        <v>113</v>
      </c>
      <c r="G300" s="5" t="s">
        <v>114</v>
      </c>
      <c r="H300" s="6">
        <v>360</v>
      </c>
      <c r="I300" s="5"/>
    </row>
    <row r="301" spans="1:9" x14ac:dyDescent="0.3">
      <c r="B301" s="5" t="s">
        <v>329</v>
      </c>
      <c r="C301" s="5" t="s">
        <v>10</v>
      </c>
      <c r="D301" s="5" t="s">
        <v>339</v>
      </c>
      <c r="E301" s="5" t="s">
        <v>344</v>
      </c>
      <c r="F301" s="5" t="s">
        <v>61</v>
      </c>
      <c r="G301" s="5" t="s">
        <v>62</v>
      </c>
      <c r="H301" s="6">
        <v>190</v>
      </c>
      <c r="I301" s="5"/>
    </row>
    <row r="302" spans="1:9" x14ac:dyDescent="0.3">
      <c r="B302" s="5" t="s">
        <v>329</v>
      </c>
      <c r="C302" s="5" t="s">
        <v>10</v>
      </c>
      <c r="D302" s="5" t="s">
        <v>339</v>
      </c>
      <c r="E302" s="5" t="s">
        <v>345</v>
      </c>
      <c r="F302" s="5" t="s">
        <v>35</v>
      </c>
      <c r="G302" s="5" t="s">
        <v>36</v>
      </c>
      <c r="H302" s="6">
        <v>160</v>
      </c>
      <c r="I302" s="5"/>
    </row>
    <row r="303" spans="1:9" x14ac:dyDescent="0.3">
      <c r="B303" s="5" t="s">
        <v>329</v>
      </c>
      <c r="C303" s="5" t="s">
        <v>10</v>
      </c>
      <c r="D303" s="5" t="s">
        <v>339</v>
      </c>
      <c r="E303" s="5" t="s">
        <v>346</v>
      </c>
      <c r="F303" s="5" t="s">
        <v>13</v>
      </c>
      <c r="G303" s="5" t="s">
        <v>14</v>
      </c>
      <c r="H303" s="5"/>
      <c r="I303" s="6">
        <v>1230</v>
      </c>
    </row>
    <row r="304" spans="1:9" x14ac:dyDescent="0.3">
      <c r="B304" s="5" t="s">
        <v>329</v>
      </c>
      <c r="C304" s="5" t="s">
        <v>10</v>
      </c>
      <c r="D304" s="5" t="s">
        <v>339</v>
      </c>
      <c r="E304" s="5" t="s">
        <v>347</v>
      </c>
      <c r="F304" s="5" t="s">
        <v>23</v>
      </c>
      <c r="G304" s="5" t="s">
        <v>24</v>
      </c>
      <c r="H304" s="6">
        <v>33000</v>
      </c>
      <c r="I304" s="5"/>
    </row>
    <row r="305" spans="1:9" x14ac:dyDescent="0.3">
      <c r="B305" s="5" t="s">
        <v>329</v>
      </c>
      <c r="C305" s="5" t="s">
        <v>10</v>
      </c>
      <c r="D305" s="5" t="s">
        <v>339</v>
      </c>
      <c r="E305" s="5" t="s">
        <v>348</v>
      </c>
      <c r="F305" s="5" t="s">
        <v>29</v>
      </c>
      <c r="G305" s="5" t="s">
        <v>30</v>
      </c>
      <c r="H305" s="5"/>
      <c r="I305" s="6">
        <v>3000</v>
      </c>
    </row>
    <row r="306" spans="1:9" x14ac:dyDescent="0.3">
      <c r="B306" s="5" t="s">
        <v>329</v>
      </c>
      <c r="C306" s="5" t="s">
        <v>10</v>
      </c>
      <c r="D306" s="5" t="s">
        <v>339</v>
      </c>
      <c r="E306" s="5" t="s">
        <v>347</v>
      </c>
      <c r="F306" s="5" t="s">
        <v>26</v>
      </c>
      <c r="G306" s="5" t="s">
        <v>27</v>
      </c>
      <c r="H306" s="5"/>
      <c r="I306" s="6">
        <v>30000</v>
      </c>
    </row>
    <row r="307" spans="1:9" x14ac:dyDescent="0.3">
      <c r="A307" s="7" t="s">
        <v>349</v>
      </c>
      <c r="H307" s="8">
        <f>H299+H300+H301+H302+H303+H304+H305+H306</f>
        <v>34230</v>
      </c>
      <c r="I307" s="8">
        <f>I299+I300+I301+I302+I303+I304+I305+I306</f>
        <v>34230</v>
      </c>
    </row>
    <row r="308" spans="1:9" x14ac:dyDescent="0.3">
      <c r="A308" s="4" t="s">
        <v>350</v>
      </c>
    </row>
    <row r="309" spans="1:9" x14ac:dyDescent="0.3">
      <c r="B309" s="5" t="s">
        <v>351</v>
      </c>
      <c r="C309" s="5" t="s">
        <v>10</v>
      </c>
      <c r="D309" s="5" t="s">
        <v>342</v>
      </c>
      <c r="E309" s="5" t="s">
        <v>308</v>
      </c>
      <c r="F309" s="5" t="s">
        <v>113</v>
      </c>
      <c r="G309" s="5" t="s">
        <v>114</v>
      </c>
      <c r="H309" s="6">
        <v>500</v>
      </c>
      <c r="I309" s="5"/>
    </row>
    <row r="310" spans="1:9" x14ac:dyDescent="0.3">
      <c r="B310" s="5" t="s">
        <v>351</v>
      </c>
      <c r="C310" s="5" t="s">
        <v>10</v>
      </c>
      <c r="D310" s="5" t="s">
        <v>342</v>
      </c>
      <c r="E310" s="5" t="s">
        <v>352</v>
      </c>
      <c r="F310" s="5" t="s">
        <v>61</v>
      </c>
      <c r="G310" s="5" t="s">
        <v>62</v>
      </c>
      <c r="H310" s="6">
        <v>1250</v>
      </c>
      <c r="I310" s="5"/>
    </row>
    <row r="311" spans="1:9" x14ac:dyDescent="0.3">
      <c r="B311" s="5" t="s">
        <v>351</v>
      </c>
      <c r="C311" s="5" t="s">
        <v>10</v>
      </c>
      <c r="D311" s="5" t="s">
        <v>342</v>
      </c>
      <c r="E311" s="5" t="s">
        <v>66</v>
      </c>
      <c r="F311" s="5" t="s">
        <v>67</v>
      </c>
      <c r="G311" s="5" t="s">
        <v>68</v>
      </c>
      <c r="H311" s="6">
        <v>800</v>
      </c>
      <c r="I311" s="5"/>
    </row>
    <row r="312" spans="1:9" x14ac:dyDescent="0.3">
      <c r="B312" s="5" t="s">
        <v>351</v>
      </c>
      <c r="C312" s="5" t="s">
        <v>10</v>
      </c>
      <c r="D312" s="5" t="s">
        <v>342</v>
      </c>
      <c r="E312" s="5" t="s">
        <v>353</v>
      </c>
      <c r="F312" s="5" t="s">
        <v>354</v>
      </c>
      <c r="G312" s="5" t="s">
        <v>355</v>
      </c>
      <c r="H312" s="6">
        <v>6000</v>
      </c>
      <c r="I312" s="5"/>
    </row>
    <row r="313" spans="1:9" x14ac:dyDescent="0.3">
      <c r="B313" s="5" t="s">
        <v>351</v>
      </c>
      <c r="C313" s="5" t="s">
        <v>10</v>
      </c>
      <c r="D313" s="5" t="s">
        <v>342</v>
      </c>
      <c r="E313" s="5" t="s">
        <v>356</v>
      </c>
      <c r="F313" s="5" t="s">
        <v>50</v>
      </c>
      <c r="G313" s="5" t="s">
        <v>51</v>
      </c>
      <c r="H313" s="6">
        <v>4650</v>
      </c>
      <c r="I313" s="5"/>
    </row>
    <row r="314" spans="1:9" x14ac:dyDescent="0.3">
      <c r="B314" s="5" t="s">
        <v>351</v>
      </c>
      <c r="C314" s="5" t="s">
        <v>10</v>
      </c>
      <c r="D314" s="5" t="s">
        <v>342</v>
      </c>
      <c r="E314" s="5" t="s">
        <v>357</v>
      </c>
      <c r="F314" s="5" t="s">
        <v>50</v>
      </c>
      <c r="G314" s="5" t="s">
        <v>51</v>
      </c>
      <c r="H314" s="6">
        <v>18255</v>
      </c>
      <c r="I314" s="5"/>
    </row>
    <row r="315" spans="1:9" x14ac:dyDescent="0.3">
      <c r="B315" s="5" t="s">
        <v>351</v>
      </c>
      <c r="C315" s="5" t="s">
        <v>10</v>
      </c>
      <c r="D315" s="5" t="s">
        <v>342</v>
      </c>
      <c r="E315" s="5" t="s">
        <v>358</v>
      </c>
      <c r="F315" s="5" t="s">
        <v>359</v>
      </c>
      <c r="G315" s="5" t="s">
        <v>360</v>
      </c>
      <c r="H315" s="6">
        <v>1000</v>
      </c>
      <c r="I315" s="5"/>
    </row>
    <row r="316" spans="1:9" x14ac:dyDescent="0.3">
      <c r="B316" s="5" t="s">
        <v>351</v>
      </c>
      <c r="C316" s="5" t="s">
        <v>10</v>
      </c>
      <c r="D316" s="5" t="s">
        <v>342</v>
      </c>
      <c r="E316" s="5" t="s">
        <v>361</v>
      </c>
      <c r="F316" s="5" t="s">
        <v>13</v>
      </c>
      <c r="G316" s="5" t="s">
        <v>14</v>
      </c>
      <c r="H316" s="5"/>
      <c r="I316" s="6">
        <v>32455</v>
      </c>
    </row>
    <row r="317" spans="1:9" x14ac:dyDescent="0.3">
      <c r="A317" s="7" t="s">
        <v>362</v>
      </c>
      <c r="H317" s="8">
        <f>H309+H310+H311+H312+H313+H314+H315+H316</f>
        <v>32455</v>
      </c>
      <c r="I317" s="8">
        <f>I309+I310+I311+I312+I313+I314+I315+I316</f>
        <v>32455</v>
      </c>
    </row>
    <row r="318" spans="1:9" x14ac:dyDescent="0.3">
      <c r="A318" s="4" t="s">
        <v>363</v>
      </c>
    </row>
    <row r="319" spans="1:9" x14ac:dyDescent="0.3">
      <c r="B319" s="5" t="s">
        <v>351</v>
      </c>
      <c r="C319" s="5" t="s">
        <v>10</v>
      </c>
      <c r="D319" s="5" t="s">
        <v>350</v>
      </c>
      <c r="E319" s="5" t="s">
        <v>364</v>
      </c>
      <c r="F319" s="5" t="s">
        <v>113</v>
      </c>
      <c r="G319" s="5" t="s">
        <v>114</v>
      </c>
      <c r="H319" s="6">
        <v>180</v>
      </c>
      <c r="I319" s="5"/>
    </row>
    <row r="320" spans="1:9" x14ac:dyDescent="0.3">
      <c r="B320" s="5" t="s">
        <v>351</v>
      </c>
      <c r="C320" s="5" t="s">
        <v>10</v>
      </c>
      <c r="D320" s="5" t="s">
        <v>350</v>
      </c>
      <c r="E320" s="5" t="s">
        <v>365</v>
      </c>
      <c r="F320" s="5" t="s">
        <v>61</v>
      </c>
      <c r="G320" s="5" t="s">
        <v>62</v>
      </c>
      <c r="H320" s="6">
        <v>230</v>
      </c>
      <c r="I320" s="5"/>
    </row>
    <row r="321" spans="1:9" x14ac:dyDescent="0.3">
      <c r="B321" s="5" t="s">
        <v>351</v>
      </c>
      <c r="C321" s="5" t="s">
        <v>10</v>
      </c>
      <c r="D321" s="5" t="s">
        <v>350</v>
      </c>
      <c r="E321" s="5" t="s">
        <v>134</v>
      </c>
      <c r="F321" s="5" t="s">
        <v>116</v>
      </c>
      <c r="G321" s="5" t="s">
        <v>117</v>
      </c>
      <c r="H321" s="6">
        <v>500</v>
      </c>
      <c r="I321" s="5"/>
    </row>
    <row r="322" spans="1:9" x14ac:dyDescent="0.3">
      <c r="B322" s="5" t="s">
        <v>351</v>
      </c>
      <c r="C322" s="5" t="s">
        <v>10</v>
      </c>
      <c r="D322" s="5" t="s">
        <v>350</v>
      </c>
      <c r="E322" s="5" t="s">
        <v>366</v>
      </c>
      <c r="F322" s="5" t="s">
        <v>13</v>
      </c>
      <c r="G322" s="5" t="s">
        <v>14</v>
      </c>
      <c r="H322" s="5"/>
      <c r="I322" s="6">
        <v>910</v>
      </c>
    </row>
    <row r="323" spans="1:9" x14ac:dyDescent="0.3">
      <c r="A323" s="7" t="s">
        <v>367</v>
      </c>
      <c r="H323" s="8">
        <f>H319+H320+H321+H322</f>
        <v>910</v>
      </c>
      <c r="I323" s="8">
        <f>I319+I320+I321+I322</f>
        <v>910</v>
      </c>
    </row>
    <row r="324" spans="1:9" x14ac:dyDescent="0.3">
      <c r="A324" s="4" t="s">
        <v>368</v>
      </c>
    </row>
    <row r="325" spans="1:9" x14ac:dyDescent="0.3">
      <c r="B325" s="5" t="s">
        <v>369</v>
      </c>
      <c r="C325" s="5" t="s">
        <v>10</v>
      </c>
      <c r="D325" s="5" t="s">
        <v>363</v>
      </c>
      <c r="E325" s="5" t="s">
        <v>370</v>
      </c>
      <c r="F325" s="5" t="s">
        <v>81</v>
      </c>
      <c r="G325" s="5" t="s">
        <v>82</v>
      </c>
      <c r="H325" s="6">
        <v>33060</v>
      </c>
      <c r="I325" s="5"/>
    </row>
    <row r="326" spans="1:9" x14ac:dyDescent="0.3">
      <c r="B326" s="5" t="s">
        <v>369</v>
      </c>
      <c r="C326" s="5" t="s">
        <v>10</v>
      </c>
      <c r="D326" s="5" t="s">
        <v>363</v>
      </c>
      <c r="E326" s="5" t="s">
        <v>371</v>
      </c>
      <c r="F326" s="5" t="s">
        <v>372</v>
      </c>
      <c r="G326" s="5" t="s">
        <v>373</v>
      </c>
      <c r="H326" s="6">
        <v>1000</v>
      </c>
      <c r="I326" s="5"/>
    </row>
    <row r="327" spans="1:9" x14ac:dyDescent="0.3">
      <c r="B327" s="5" t="s">
        <v>369</v>
      </c>
      <c r="C327" s="5" t="s">
        <v>10</v>
      </c>
      <c r="D327" s="5" t="s">
        <v>363</v>
      </c>
      <c r="E327" s="5" t="s">
        <v>374</v>
      </c>
      <c r="F327" s="5" t="s">
        <v>50</v>
      </c>
      <c r="G327" s="5" t="s">
        <v>51</v>
      </c>
      <c r="H327" s="6">
        <v>2890</v>
      </c>
      <c r="I327" s="5"/>
    </row>
    <row r="328" spans="1:9" x14ac:dyDescent="0.3">
      <c r="B328" s="5" t="s">
        <v>369</v>
      </c>
      <c r="C328" s="5" t="s">
        <v>10</v>
      </c>
      <c r="D328" s="5" t="s">
        <v>363</v>
      </c>
      <c r="E328" s="5" t="s">
        <v>374</v>
      </c>
      <c r="F328" s="5" t="s">
        <v>67</v>
      </c>
      <c r="G328" s="5" t="s">
        <v>68</v>
      </c>
      <c r="H328" s="6">
        <v>400</v>
      </c>
      <c r="I328" s="5"/>
    </row>
    <row r="329" spans="1:9" x14ac:dyDescent="0.3">
      <c r="B329" s="5" t="s">
        <v>369</v>
      </c>
      <c r="C329" s="5" t="s">
        <v>10</v>
      </c>
      <c r="D329" s="5" t="s">
        <v>363</v>
      </c>
      <c r="E329" s="5" t="s">
        <v>375</v>
      </c>
      <c r="F329" s="5" t="s">
        <v>372</v>
      </c>
      <c r="G329" s="5" t="s">
        <v>373</v>
      </c>
      <c r="H329" s="6">
        <v>500</v>
      </c>
      <c r="I329" s="5"/>
    </row>
    <row r="330" spans="1:9" x14ac:dyDescent="0.3">
      <c r="B330" s="5" t="s">
        <v>369</v>
      </c>
      <c r="C330" s="5" t="s">
        <v>10</v>
      </c>
      <c r="D330" s="5" t="s">
        <v>363</v>
      </c>
      <c r="E330" s="5" t="s">
        <v>376</v>
      </c>
      <c r="F330" s="5" t="s">
        <v>13</v>
      </c>
      <c r="G330" s="5" t="s">
        <v>14</v>
      </c>
      <c r="H330" s="5"/>
      <c r="I330" s="6">
        <v>37850</v>
      </c>
    </row>
    <row r="331" spans="1:9" x14ac:dyDescent="0.3">
      <c r="A331" s="7" t="s">
        <v>377</v>
      </c>
      <c r="H331" s="8">
        <f>H325+H326+H327+H328+H329+H330</f>
        <v>37850</v>
      </c>
      <c r="I331" s="8">
        <f>I325+I326+I327+I328+I329+I330</f>
        <v>37850</v>
      </c>
    </row>
    <row r="332" spans="1:9" x14ac:dyDescent="0.3">
      <c r="A332" s="4" t="s">
        <v>378</v>
      </c>
    </row>
    <row r="333" spans="1:9" x14ac:dyDescent="0.3">
      <c r="B333" s="5" t="s">
        <v>369</v>
      </c>
      <c r="C333" s="5" t="s">
        <v>10</v>
      </c>
      <c r="D333" s="5" t="s">
        <v>368</v>
      </c>
      <c r="E333" s="5" t="s">
        <v>352</v>
      </c>
      <c r="F333" s="5" t="s">
        <v>61</v>
      </c>
      <c r="G333" s="5" t="s">
        <v>62</v>
      </c>
      <c r="H333" s="6">
        <v>210</v>
      </c>
      <c r="I333" s="5"/>
    </row>
    <row r="334" spans="1:9" x14ac:dyDescent="0.3">
      <c r="B334" s="5" t="s">
        <v>369</v>
      </c>
      <c r="C334" s="5" t="s">
        <v>10</v>
      </c>
      <c r="D334" s="5" t="s">
        <v>368</v>
      </c>
      <c r="E334" s="5" t="s">
        <v>283</v>
      </c>
      <c r="F334" s="5" t="s">
        <v>129</v>
      </c>
      <c r="G334" s="5" t="s">
        <v>130</v>
      </c>
      <c r="H334" s="6">
        <v>100</v>
      </c>
      <c r="I334" s="5"/>
    </row>
    <row r="335" spans="1:9" x14ac:dyDescent="0.3">
      <c r="B335" s="5" t="s">
        <v>369</v>
      </c>
      <c r="C335" s="5" t="s">
        <v>10</v>
      </c>
      <c r="D335" s="5" t="s">
        <v>368</v>
      </c>
      <c r="E335" s="5" t="s">
        <v>308</v>
      </c>
      <c r="F335" s="5" t="s">
        <v>113</v>
      </c>
      <c r="G335" s="5" t="s">
        <v>114</v>
      </c>
      <c r="H335" s="6">
        <v>860</v>
      </c>
      <c r="I335" s="5"/>
    </row>
    <row r="336" spans="1:9" x14ac:dyDescent="0.3">
      <c r="B336" s="5" t="s">
        <v>369</v>
      </c>
      <c r="C336" s="5" t="s">
        <v>10</v>
      </c>
      <c r="D336" s="5" t="s">
        <v>368</v>
      </c>
      <c r="E336" s="5" t="s">
        <v>309</v>
      </c>
      <c r="F336" s="5" t="s">
        <v>50</v>
      </c>
      <c r="G336" s="5" t="s">
        <v>51</v>
      </c>
      <c r="H336" s="6">
        <v>20</v>
      </c>
      <c r="I336" s="5"/>
    </row>
    <row r="337" spans="1:9" x14ac:dyDescent="0.3">
      <c r="B337" s="5" t="s">
        <v>369</v>
      </c>
      <c r="C337" s="5" t="s">
        <v>10</v>
      </c>
      <c r="D337" s="5" t="s">
        <v>368</v>
      </c>
      <c r="E337" s="5" t="s">
        <v>155</v>
      </c>
      <c r="F337" s="5" t="s">
        <v>116</v>
      </c>
      <c r="G337" s="5" t="s">
        <v>117</v>
      </c>
      <c r="H337" s="6">
        <v>500</v>
      </c>
      <c r="I337" s="5"/>
    </row>
    <row r="338" spans="1:9" x14ac:dyDescent="0.3">
      <c r="B338" s="5" t="s">
        <v>369</v>
      </c>
      <c r="C338" s="5" t="s">
        <v>10</v>
      </c>
      <c r="D338" s="5" t="s">
        <v>368</v>
      </c>
      <c r="E338" s="5" t="s">
        <v>379</v>
      </c>
      <c r="F338" s="5" t="s">
        <v>13</v>
      </c>
      <c r="G338" s="5" t="s">
        <v>14</v>
      </c>
      <c r="H338" s="5"/>
      <c r="I338" s="6">
        <v>1690</v>
      </c>
    </row>
    <row r="339" spans="1:9" x14ac:dyDescent="0.3">
      <c r="A339" s="7" t="s">
        <v>380</v>
      </c>
      <c r="H339" s="8">
        <f>H333+H334+H335+H336+H337+H338</f>
        <v>1690</v>
      </c>
      <c r="I339" s="8">
        <f>I333+I334+I335+I336+I337+I338</f>
        <v>1690</v>
      </c>
    </row>
    <row r="340" spans="1:9" x14ac:dyDescent="0.3">
      <c r="A340" s="4" t="s">
        <v>381</v>
      </c>
    </row>
    <row r="341" spans="1:9" x14ac:dyDescent="0.3">
      <c r="B341" s="5" t="s">
        <v>382</v>
      </c>
      <c r="C341" s="5" t="s">
        <v>10</v>
      </c>
      <c r="D341" s="5" t="s">
        <v>378</v>
      </c>
      <c r="E341" s="5" t="s">
        <v>343</v>
      </c>
      <c r="F341" s="5" t="s">
        <v>113</v>
      </c>
      <c r="G341" s="5" t="s">
        <v>114</v>
      </c>
      <c r="H341" s="6">
        <v>500</v>
      </c>
      <c r="I341" s="5"/>
    </row>
    <row r="342" spans="1:9" x14ac:dyDescent="0.3">
      <c r="B342" s="5" t="s">
        <v>382</v>
      </c>
      <c r="C342" s="5" t="s">
        <v>10</v>
      </c>
      <c r="D342" s="5" t="s">
        <v>378</v>
      </c>
      <c r="E342" s="5" t="s">
        <v>325</v>
      </c>
      <c r="F342" s="5" t="s">
        <v>61</v>
      </c>
      <c r="G342" s="5" t="s">
        <v>62</v>
      </c>
      <c r="H342" s="6">
        <v>150</v>
      </c>
      <c r="I342" s="5"/>
    </row>
    <row r="343" spans="1:9" x14ac:dyDescent="0.3">
      <c r="B343" s="5" t="s">
        <v>382</v>
      </c>
      <c r="C343" s="5" t="s">
        <v>10</v>
      </c>
      <c r="D343" s="5" t="s">
        <v>378</v>
      </c>
      <c r="E343" s="5" t="s">
        <v>383</v>
      </c>
      <c r="F343" s="5" t="s">
        <v>13</v>
      </c>
      <c r="G343" s="5" t="s">
        <v>14</v>
      </c>
      <c r="H343" s="5"/>
      <c r="I343" s="6">
        <v>650</v>
      </c>
    </row>
    <row r="344" spans="1:9" x14ac:dyDescent="0.3">
      <c r="B344" s="5" t="s">
        <v>382</v>
      </c>
      <c r="C344" s="5" t="s">
        <v>10</v>
      </c>
      <c r="D344" s="5" t="s">
        <v>378</v>
      </c>
      <c r="E344" s="5" t="s">
        <v>384</v>
      </c>
      <c r="F344" s="5" t="s">
        <v>385</v>
      </c>
      <c r="G344" s="5" t="s">
        <v>386</v>
      </c>
      <c r="H344" s="6">
        <v>9863</v>
      </c>
      <c r="I344" s="5"/>
    </row>
    <row r="345" spans="1:9" x14ac:dyDescent="0.3">
      <c r="B345" s="5" t="s">
        <v>382</v>
      </c>
      <c r="C345" s="5" t="s">
        <v>10</v>
      </c>
      <c r="D345" s="5" t="s">
        <v>378</v>
      </c>
      <c r="E345" s="5" t="s">
        <v>384</v>
      </c>
      <c r="F345" s="5" t="s">
        <v>13</v>
      </c>
      <c r="G345" s="5" t="s">
        <v>14</v>
      </c>
      <c r="H345" s="5"/>
      <c r="I345" s="6">
        <v>9863</v>
      </c>
    </row>
    <row r="346" spans="1:9" x14ac:dyDescent="0.3">
      <c r="A346" s="7" t="s">
        <v>387</v>
      </c>
      <c r="H346" s="8">
        <f>H341+H342+H343+H344+H345</f>
        <v>10513</v>
      </c>
      <c r="I346" s="8">
        <f>I341+I342+I343+I344+I345</f>
        <v>10513</v>
      </c>
    </row>
    <row r="347" spans="1:9" x14ac:dyDescent="0.3">
      <c r="A347" s="4" t="s">
        <v>388</v>
      </c>
    </row>
    <row r="348" spans="1:9" x14ac:dyDescent="0.3">
      <c r="B348" s="5" t="s">
        <v>389</v>
      </c>
      <c r="C348" s="5" t="s">
        <v>10</v>
      </c>
      <c r="D348" s="5" t="s">
        <v>381</v>
      </c>
      <c r="E348" s="5" t="s">
        <v>390</v>
      </c>
      <c r="F348" s="5" t="s">
        <v>61</v>
      </c>
      <c r="G348" s="5" t="s">
        <v>62</v>
      </c>
      <c r="H348" s="6">
        <v>250</v>
      </c>
      <c r="I348" s="5"/>
    </row>
    <row r="349" spans="1:9" x14ac:dyDescent="0.3">
      <c r="B349" s="5" t="s">
        <v>389</v>
      </c>
      <c r="C349" s="5" t="s">
        <v>10</v>
      </c>
      <c r="D349" s="5" t="s">
        <v>381</v>
      </c>
      <c r="E349" s="5" t="s">
        <v>391</v>
      </c>
      <c r="F349" s="5" t="s">
        <v>116</v>
      </c>
      <c r="G349" s="5" t="s">
        <v>117</v>
      </c>
      <c r="H349" s="6">
        <v>500</v>
      </c>
      <c r="I349" s="5"/>
    </row>
    <row r="350" spans="1:9" x14ac:dyDescent="0.3">
      <c r="B350" s="5" t="s">
        <v>389</v>
      </c>
      <c r="C350" s="5" t="s">
        <v>10</v>
      </c>
      <c r="D350" s="5" t="s">
        <v>381</v>
      </c>
      <c r="E350" s="5" t="s">
        <v>392</v>
      </c>
      <c r="F350" s="5" t="s">
        <v>13</v>
      </c>
      <c r="G350" s="5" t="s">
        <v>14</v>
      </c>
      <c r="H350" s="5"/>
      <c r="I350" s="6">
        <v>750</v>
      </c>
    </row>
    <row r="351" spans="1:9" x14ac:dyDescent="0.3">
      <c r="A351" s="7" t="s">
        <v>393</v>
      </c>
      <c r="H351" s="8">
        <f>H348+H349+H350</f>
        <v>750</v>
      </c>
      <c r="I351" s="8">
        <f>I348+I349+I350</f>
        <v>750</v>
      </c>
    </row>
    <row r="352" spans="1:9" x14ac:dyDescent="0.3">
      <c r="A352" s="4" t="s">
        <v>394</v>
      </c>
    </row>
    <row r="353" spans="1:9" x14ac:dyDescent="0.3">
      <c r="B353" s="5" t="s">
        <v>389</v>
      </c>
      <c r="C353" s="5" t="s">
        <v>10</v>
      </c>
      <c r="D353" s="5" t="s">
        <v>388</v>
      </c>
      <c r="E353" s="5" t="s">
        <v>395</v>
      </c>
      <c r="F353" s="5" t="s">
        <v>50</v>
      </c>
      <c r="G353" s="5" t="s">
        <v>51</v>
      </c>
      <c r="H353" s="6">
        <v>35460</v>
      </c>
      <c r="I353" s="5"/>
    </row>
    <row r="354" spans="1:9" x14ac:dyDescent="0.3">
      <c r="B354" s="5" t="s">
        <v>389</v>
      </c>
      <c r="C354" s="5" t="s">
        <v>10</v>
      </c>
      <c r="D354" s="5" t="s">
        <v>388</v>
      </c>
      <c r="E354" s="5" t="s">
        <v>395</v>
      </c>
      <c r="F354" s="5" t="s">
        <v>13</v>
      </c>
      <c r="G354" s="5" t="s">
        <v>14</v>
      </c>
      <c r="H354" s="5"/>
      <c r="I354" s="6">
        <v>35460</v>
      </c>
    </row>
    <row r="355" spans="1:9" x14ac:dyDescent="0.3">
      <c r="A355" s="7" t="s">
        <v>396</v>
      </c>
      <c r="H355" s="8">
        <f>H353+H354</f>
        <v>35460</v>
      </c>
      <c r="I355" s="8">
        <f>I353+I354</f>
        <v>35460</v>
      </c>
    </row>
    <row r="356" spans="1:9" x14ac:dyDescent="0.3">
      <c r="A356" s="4" t="s">
        <v>397</v>
      </c>
    </row>
    <row r="357" spans="1:9" x14ac:dyDescent="0.3">
      <c r="B357" s="5" t="s">
        <v>398</v>
      </c>
      <c r="C357" s="5" t="s">
        <v>10</v>
      </c>
      <c r="D357" s="5" t="s">
        <v>394</v>
      </c>
      <c r="E357" s="5" t="s">
        <v>399</v>
      </c>
      <c r="F357" s="5" t="s">
        <v>95</v>
      </c>
      <c r="G357" s="5" t="s">
        <v>96</v>
      </c>
      <c r="H357" s="6">
        <v>1700</v>
      </c>
      <c r="I357" s="5"/>
    </row>
    <row r="358" spans="1:9" x14ac:dyDescent="0.3">
      <c r="B358" s="5" t="s">
        <v>398</v>
      </c>
      <c r="C358" s="5" t="s">
        <v>10</v>
      </c>
      <c r="D358" s="5" t="s">
        <v>394</v>
      </c>
      <c r="E358" s="5" t="s">
        <v>400</v>
      </c>
      <c r="F358" s="5" t="s">
        <v>35</v>
      </c>
      <c r="G358" s="5" t="s">
        <v>36</v>
      </c>
      <c r="H358" s="6">
        <v>2620</v>
      </c>
      <c r="I358" s="5"/>
    </row>
    <row r="359" spans="1:9" x14ac:dyDescent="0.3">
      <c r="B359" s="5" t="s">
        <v>398</v>
      </c>
      <c r="C359" s="5" t="s">
        <v>10</v>
      </c>
      <c r="D359" s="5" t="s">
        <v>394</v>
      </c>
      <c r="E359" s="5" t="s">
        <v>401</v>
      </c>
      <c r="F359" s="5" t="s">
        <v>67</v>
      </c>
      <c r="G359" s="5" t="s">
        <v>68</v>
      </c>
      <c r="H359" s="6">
        <v>230</v>
      </c>
      <c r="I359" s="5"/>
    </row>
    <row r="360" spans="1:9" x14ac:dyDescent="0.3">
      <c r="B360" s="5" t="s">
        <v>398</v>
      </c>
      <c r="C360" s="5" t="s">
        <v>10</v>
      </c>
      <c r="D360" s="5" t="s">
        <v>394</v>
      </c>
      <c r="E360" s="5" t="s">
        <v>402</v>
      </c>
      <c r="F360" s="5" t="s">
        <v>95</v>
      </c>
      <c r="G360" s="5" t="s">
        <v>96</v>
      </c>
      <c r="H360" s="6">
        <v>360</v>
      </c>
      <c r="I360" s="5"/>
    </row>
    <row r="361" spans="1:9" x14ac:dyDescent="0.3">
      <c r="B361" s="5" t="s">
        <v>398</v>
      </c>
      <c r="C361" s="5" t="s">
        <v>10</v>
      </c>
      <c r="D361" s="5" t="s">
        <v>394</v>
      </c>
      <c r="E361" s="5" t="s">
        <v>403</v>
      </c>
      <c r="F361" s="5" t="s">
        <v>50</v>
      </c>
      <c r="G361" s="5" t="s">
        <v>51</v>
      </c>
      <c r="H361" s="6">
        <v>150</v>
      </c>
      <c r="I361" s="5"/>
    </row>
    <row r="362" spans="1:9" x14ac:dyDescent="0.3">
      <c r="B362" s="5" t="s">
        <v>398</v>
      </c>
      <c r="C362" s="5" t="s">
        <v>10</v>
      </c>
      <c r="D362" s="5" t="s">
        <v>394</v>
      </c>
      <c r="E362" s="5" t="s">
        <v>404</v>
      </c>
      <c r="F362" s="5" t="s">
        <v>13</v>
      </c>
      <c r="G362" s="5" t="s">
        <v>14</v>
      </c>
      <c r="H362" s="5"/>
      <c r="I362" s="6">
        <v>5060</v>
      </c>
    </row>
    <row r="363" spans="1:9" x14ac:dyDescent="0.3">
      <c r="A363" s="7" t="s">
        <v>405</v>
      </c>
      <c r="H363" s="8">
        <f>H357+H358+H359+H360+H361+H362</f>
        <v>5060</v>
      </c>
      <c r="I363" s="8">
        <f>I357+I358+I359+I360+I361+I362</f>
        <v>5060</v>
      </c>
    </row>
    <row r="364" spans="1:9" x14ac:dyDescent="0.3">
      <c r="A364" s="4" t="s">
        <v>406</v>
      </c>
    </row>
    <row r="365" spans="1:9" x14ac:dyDescent="0.3">
      <c r="B365" s="5" t="s">
        <v>398</v>
      </c>
      <c r="C365" s="5" t="s">
        <v>10</v>
      </c>
      <c r="D365" s="5" t="s">
        <v>397</v>
      </c>
      <c r="E365" s="5" t="s">
        <v>308</v>
      </c>
      <c r="F365" s="5" t="s">
        <v>113</v>
      </c>
      <c r="G365" s="5" t="s">
        <v>114</v>
      </c>
      <c r="H365" s="6">
        <v>1640</v>
      </c>
      <c r="I365" s="5"/>
    </row>
    <row r="366" spans="1:9" x14ac:dyDescent="0.3">
      <c r="B366" s="5" t="s">
        <v>398</v>
      </c>
      <c r="C366" s="5" t="s">
        <v>10</v>
      </c>
      <c r="D366" s="5" t="s">
        <v>397</v>
      </c>
      <c r="E366" s="5" t="s">
        <v>155</v>
      </c>
      <c r="F366" s="5" t="s">
        <v>116</v>
      </c>
      <c r="G366" s="5" t="s">
        <v>117</v>
      </c>
      <c r="H366" s="6">
        <v>500</v>
      </c>
      <c r="I366" s="5"/>
    </row>
    <row r="367" spans="1:9" x14ac:dyDescent="0.3">
      <c r="B367" s="5" t="s">
        <v>398</v>
      </c>
      <c r="C367" s="5" t="s">
        <v>10</v>
      </c>
      <c r="D367" s="5" t="s">
        <v>397</v>
      </c>
      <c r="E367" s="5" t="s">
        <v>230</v>
      </c>
      <c r="F367" s="5" t="s">
        <v>61</v>
      </c>
      <c r="G367" s="5" t="s">
        <v>62</v>
      </c>
      <c r="H367" s="6">
        <v>1190</v>
      </c>
      <c r="I367" s="5"/>
    </row>
    <row r="368" spans="1:9" x14ac:dyDescent="0.3">
      <c r="B368" s="5" t="s">
        <v>398</v>
      </c>
      <c r="C368" s="5" t="s">
        <v>10</v>
      </c>
      <c r="D368" s="5" t="s">
        <v>397</v>
      </c>
      <c r="E368" s="5" t="s">
        <v>407</v>
      </c>
      <c r="F368" s="5" t="s">
        <v>50</v>
      </c>
      <c r="G368" s="5" t="s">
        <v>51</v>
      </c>
      <c r="H368" s="6">
        <v>150</v>
      </c>
      <c r="I368" s="5"/>
    </row>
    <row r="369" spans="1:9" x14ac:dyDescent="0.3">
      <c r="B369" s="5" t="s">
        <v>398</v>
      </c>
      <c r="C369" s="5" t="s">
        <v>10</v>
      </c>
      <c r="D369" s="5" t="s">
        <v>397</v>
      </c>
      <c r="E369" s="5" t="s">
        <v>408</v>
      </c>
      <c r="F369" s="5" t="s">
        <v>129</v>
      </c>
      <c r="G369" s="5" t="s">
        <v>130</v>
      </c>
      <c r="H369" s="6">
        <v>40</v>
      </c>
      <c r="I369" s="5"/>
    </row>
    <row r="370" spans="1:9" x14ac:dyDescent="0.3">
      <c r="B370" s="5" t="s">
        <v>398</v>
      </c>
      <c r="C370" s="5" t="s">
        <v>10</v>
      </c>
      <c r="D370" s="5" t="s">
        <v>397</v>
      </c>
      <c r="E370" s="5" t="s">
        <v>409</v>
      </c>
      <c r="F370" s="5" t="s">
        <v>13</v>
      </c>
      <c r="G370" s="5" t="s">
        <v>14</v>
      </c>
      <c r="H370" s="5"/>
      <c r="I370" s="6">
        <v>3520</v>
      </c>
    </row>
    <row r="371" spans="1:9" x14ac:dyDescent="0.3">
      <c r="A371" s="7" t="s">
        <v>410</v>
      </c>
      <c r="H371" s="8">
        <f>H365+H366+H367+H368+H369+H370</f>
        <v>3520</v>
      </c>
      <c r="I371" s="8">
        <f>I365+I366+I367+I368+I369+I370</f>
        <v>3520</v>
      </c>
    </row>
    <row r="372" spans="1:9" x14ac:dyDescent="0.3">
      <c r="A372" s="4" t="s">
        <v>411</v>
      </c>
    </row>
    <row r="373" spans="1:9" x14ac:dyDescent="0.3">
      <c r="B373" s="5" t="s">
        <v>412</v>
      </c>
      <c r="C373" s="5" t="s">
        <v>10</v>
      </c>
      <c r="D373" s="5" t="s">
        <v>406</v>
      </c>
      <c r="E373" s="5" t="s">
        <v>413</v>
      </c>
      <c r="F373" s="5" t="s">
        <v>61</v>
      </c>
      <c r="G373" s="5" t="s">
        <v>62</v>
      </c>
      <c r="H373" s="6">
        <v>750</v>
      </c>
      <c r="I373" s="5"/>
    </row>
    <row r="374" spans="1:9" x14ac:dyDescent="0.3">
      <c r="B374" s="5" t="s">
        <v>412</v>
      </c>
      <c r="C374" s="5" t="s">
        <v>10</v>
      </c>
      <c r="D374" s="5" t="s">
        <v>406</v>
      </c>
      <c r="E374" s="5" t="s">
        <v>414</v>
      </c>
      <c r="F374" s="5" t="s">
        <v>58</v>
      </c>
      <c r="G374" s="5" t="s">
        <v>59</v>
      </c>
      <c r="H374" s="6">
        <v>800</v>
      </c>
      <c r="I374" s="5"/>
    </row>
    <row r="375" spans="1:9" x14ac:dyDescent="0.3">
      <c r="B375" s="5" t="s">
        <v>412</v>
      </c>
      <c r="C375" s="5" t="s">
        <v>10</v>
      </c>
      <c r="D375" s="5" t="s">
        <v>406</v>
      </c>
      <c r="E375" s="5" t="s">
        <v>415</v>
      </c>
      <c r="F375" s="5" t="s">
        <v>13</v>
      </c>
      <c r="G375" s="5" t="s">
        <v>14</v>
      </c>
      <c r="H375" s="5"/>
      <c r="I375" s="6">
        <v>1550</v>
      </c>
    </row>
    <row r="376" spans="1:9" x14ac:dyDescent="0.3">
      <c r="A376" s="7" t="s">
        <v>416</v>
      </c>
      <c r="H376" s="8">
        <f>H373+H374+H375</f>
        <v>1550</v>
      </c>
      <c r="I376" s="8">
        <f>I373+I374+I375</f>
        <v>1550</v>
      </c>
    </row>
    <row r="377" spans="1:9" x14ac:dyDescent="0.3">
      <c r="A377" s="4" t="s">
        <v>417</v>
      </c>
    </row>
    <row r="378" spans="1:9" x14ac:dyDescent="0.3">
      <c r="B378" s="5" t="s">
        <v>418</v>
      </c>
      <c r="C378" s="5" t="s">
        <v>10</v>
      </c>
      <c r="D378" s="5" t="s">
        <v>411</v>
      </c>
      <c r="E378" s="5" t="s">
        <v>419</v>
      </c>
      <c r="F378" s="5" t="s">
        <v>26</v>
      </c>
      <c r="G378" s="5" t="s">
        <v>27</v>
      </c>
      <c r="H378" s="6">
        <v>60000</v>
      </c>
      <c r="I378" s="5"/>
    </row>
    <row r="379" spans="1:9" x14ac:dyDescent="0.3">
      <c r="B379" s="5" t="s">
        <v>418</v>
      </c>
      <c r="C379" s="5" t="s">
        <v>10</v>
      </c>
      <c r="D379" s="5" t="s">
        <v>411</v>
      </c>
      <c r="E379" s="5" t="s">
        <v>419</v>
      </c>
      <c r="F379" s="5" t="s">
        <v>13</v>
      </c>
      <c r="G379" s="5" t="s">
        <v>14</v>
      </c>
      <c r="H379" s="5"/>
      <c r="I379" s="6">
        <v>60000</v>
      </c>
    </row>
    <row r="380" spans="1:9" x14ac:dyDescent="0.3">
      <c r="B380" s="5" t="s">
        <v>418</v>
      </c>
      <c r="C380" s="5" t="s">
        <v>10</v>
      </c>
      <c r="D380" s="5" t="s">
        <v>411</v>
      </c>
      <c r="E380" s="5" t="s">
        <v>139</v>
      </c>
      <c r="F380" s="5" t="s">
        <v>113</v>
      </c>
      <c r="G380" s="5" t="s">
        <v>114</v>
      </c>
      <c r="H380" s="6">
        <v>560</v>
      </c>
      <c r="I380" s="5"/>
    </row>
    <row r="381" spans="1:9" x14ac:dyDescent="0.3">
      <c r="B381" s="5" t="s">
        <v>418</v>
      </c>
      <c r="C381" s="5" t="s">
        <v>10</v>
      </c>
      <c r="D381" s="5" t="s">
        <v>411</v>
      </c>
      <c r="E381" s="5" t="s">
        <v>66</v>
      </c>
      <c r="F381" s="5" t="s">
        <v>67</v>
      </c>
      <c r="G381" s="5" t="s">
        <v>68</v>
      </c>
      <c r="H381" s="6">
        <v>150</v>
      </c>
      <c r="I381" s="5"/>
    </row>
    <row r="382" spans="1:9" x14ac:dyDescent="0.3">
      <c r="B382" s="5" t="s">
        <v>418</v>
      </c>
      <c r="C382" s="5" t="s">
        <v>10</v>
      </c>
      <c r="D382" s="5" t="s">
        <v>411</v>
      </c>
      <c r="E382" s="5" t="s">
        <v>420</v>
      </c>
      <c r="F382" s="5" t="s">
        <v>421</v>
      </c>
      <c r="G382" s="5" t="s">
        <v>422</v>
      </c>
      <c r="H382" s="6">
        <v>1370</v>
      </c>
      <c r="I382" s="5"/>
    </row>
    <row r="383" spans="1:9" x14ac:dyDescent="0.3">
      <c r="B383" s="5" t="s">
        <v>418</v>
      </c>
      <c r="C383" s="5" t="s">
        <v>10</v>
      </c>
      <c r="D383" s="5" t="s">
        <v>411</v>
      </c>
      <c r="E383" s="5" t="s">
        <v>423</v>
      </c>
      <c r="F383" s="5" t="s">
        <v>13</v>
      </c>
      <c r="G383" s="5" t="s">
        <v>14</v>
      </c>
      <c r="H383" s="5"/>
      <c r="I383" s="6">
        <v>2080</v>
      </c>
    </row>
    <row r="384" spans="1:9" x14ac:dyDescent="0.3">
      <c r="B384" s="5" t="s">
        <v>418</v>
      </c>
      <c r="C384" s="5" t="s">
        <v>10</v>
      </c>
      <c r="D384" s="5" t="s">
        <v>411</v>
      </c>
      <c r="E384" s="5" t="s">
        <v>424</v>
      </c>
      <c r="F384" s="5" t="s">
        <v>425</v>
      </c>
      <c r="G384" s="5" t="s">
        <v>426</v>
      </c>
      <c r="H384" s="6">
        <v>10939.51</v>
      </c>
      <c r="I384" s="5"/>
    </row>
    <row r="385" spans="1:9" x14ac:dyDescent="0.3">
      <c r="B385" s="5" t="s">
        <v>418</v>
      </c>
      <c r="C385" s="5" t="s">
        <v>10</v>
      </c>
      <c r="D385" s="5" t="s">
        <v>411</v>
      </c>
      <c r="E385" s="5" t="s">
        <v>424</v>
      </c>
      <c r="F385" s="5" t="s">
        <v>427</v>
      </c>
      <c r="G385" s="5" t="s">
        <v>428</v>
      </c>
      <c r="H385" s="5"/>
      <c r="I385" s="6">
        <v>3309.25</v>
      </c>
    </row>
    <row r="386" spans="1:9" x14ac:dyDescent="0.3">
      <c r="B386" s="5" t="s">
        <v>418</v>
      </c>
      <c r="C386" s="5" t="s">
        <v>10</v>
      </c>
      <c r="D386" s="5" t="s">
        <v>411</v>
      </c>
      <c r="E386" s="5" t="s">
        <v>424</v>
      </c>
      <c r="F386" s="5" t="s">
        <v>429</v>
      </c>
      <c r="G386" s="5" t="s">
        <v>430</v>
      </c>
      <c r="H386" s="5"/>
      <c r="I386" s="6">
        <v>5373.71</v>
      </c>
    </row>
    <row r="387" spans="1:9" x14ac:dyDescent="0.3">
      <c r="B387" s="5" t="s">
        <v>418</v>
      </c>
      <c r="C387" s="5" t="s">
        <v>10</v>
      </c>
      <c r="D387" s="5" t="s">
        <v>411</v>
      </c>
      <c r="E387" s="5" t="s">
        <v>424</v>
      </c>
      <c r="F387" s="5" t="s">
        <v>431</v>
      </c>
      <c r="G387" s="5" t="s">
        <v>432</v>
      </c>
      <c r="H387" s="5"/>
      <c r="I387" s="6">
        <v>2256.5500000000002</v>
      </c>
    </row>
    <row r="388" spans="1:9" x14ac:dyDescent="0.3">
      <c r="A388" s="7" t="s">
        <v>433</v>
      </c>
      <c r="H388" s="8">
        <f>H378+H379+H380+H381+H382+H383+H384+H385+H386+H387</f>
        <v>73019.509999999995</v>
      </c>
      <c r="I388" s="8">
        <f>I378+I379+I380+I381+I382+I383+I384+I385+I386+I387</f>
        <v>73019.510000000009</v>
      </c>
    </row>
    <row r="389" spans="1:9" x14ac:dyDescent="0.3">
      <c r="A389" s="4" t="s">
        <v>434</v>
      </c>
    </row>
    <row r="390" spans="1:9" x14ac:dyDescent="0.3">
      <c r="B390" s="5" t="s">
        <v>418</v>
      </c>
      <c r="C390" s="5" t="s">
        <v>10</v>
      </c>
      <c r="D390" s="5" t="s">
        <v>435</v>
      </c>
      <c r="E390" s="5" t="s">
        <v>436</v>
      </c>
      <c r="F390" s="5" t="s">
        <v>437</v>
      </c>
      <c r="G390" s="5" t="s">
        <v>438</v>
      </c>
      <c r="H390" s="6">
        <v>299972</v>
      </c>
      <c r="I390" s="5"/>
    </row>
    <row r="391" spans="1:9" x14ac:dyDescent="0.3">
      <c r="B391" s="5" t="s">
        <v>418</v>
      </c>
      <c r="C391" s="5" t="s">
        <v>10</v>
      </c>
      <c r="D391" s="5" t="s">
        <v>435</v>
      </c>
      <c r="E391" s="5" t="s">
        <v>436</v>
      </c>
      <c r="F391" s="5" t="s">
        <v>439</v>
      </c>
      <c r="G391" s="5" t="s">
        <v>440</v>
      </c>
      <c r="H391" s="5"/>
      <c r="I391" s="6">
        <v>80000</v>
      </c>
    </row>
    <row r="392" spans="1:9" x14ac:dyDescent="0.3">
      <c r="B392" s="5" t="s">
        <v>418</v>
      </c>
      <c r="C392" s="5" t="s">
        <v>10</v>
      </c>
      <c r="D392" s="5" t="s">
        <v>435</v>
      </c>
      <c r="E392" s="5" t="s">
        <v>436</v>
      </c>
      <c r="F392" s="5" t="s">
        <v>441</v>
      </c>
      <c r="G392" s="5" t="s">
        <v>442</v>
      </c>
      <c r="H392" s="5"/>
      <c r="I392" s="6">
        <v>50600</v>
      </c>
    </row>
    <row r="393" spans="1:9" x14ac:dyDescent="0.3">
      <c r="B393" s="5" t="s">
        <v>418</v>
      </c>
      <c r="C393" s="5" t="s">
        <v>10</v>
      </c>
      <c r="D393" s="5" t="s">
        <v>435</v>
      </c>
      <c r="E393" s="5" t="s">
        <v>436</v>
      </c>
      <c r="F393" s="5" t="s">
        <v>443</v>
      </c>
      <c r="G393" s="5" t="s">
        <v>444</v>
      </c>
      <c r="H393" s="5"/>
      <c r="I393" s="6">
        <v>50600</v>
      </c>
    </row>
    <row r="394" spans="1:9" x14ac:dyDescent="0.3">
      <c r="B394" s="5" t="s">
        <v>418</v>
      </c>
      <c r="C394" s="5" t="s">
        <v>10</v>
      </c>
      <c r="D394" s="5" t="s">
        <v>435</v>
      </c>
      <c r="E394" s="5" t="s">
        <v>436</v>
      </c>
      <c r="F394" s="5" t="s">
        <v>445</v>
      </c>
      <c r="G394" s="5" t="s">
        <v>446</v>
      </c>
      <c r="H394" s="5"/>
      <c r="I394" s="6">
        <v>50600</v>
      </c>
    </row>
    <row r="395" spans="1:9" x14ac:dyDescent="0.3">
      <c r="B395" s="5" t="s">
        <v>418</v>
      </c>
      <c r="C395" s="5" t="s">
        <v>10</v>
      </c>
      <c r="D395" s="5" t="s">
        <v>435</v>
      </c>
      <c r="E395" s="5" t="s">
        <v>436</v>
      </c>
      <c r="F395" s="5" t="s">
        <v>447</v>
      </c>
      <c r="G395" s="5" t="s">
        <v>448</v>
      </c>
      <c r="H395" s="5"/>
      <c r="I395" s="6">
        <v>11860</v>
      </c>
    </row>
    <row r="396" spans="1:9" x14ac:dyDescent="0.3">
      <c r="B396" s="5" t="s">
        <v>418</v>
      </c>
      <c r="C396" s="5" t="s">
        <v>10</v>
      </c>
      <c r="D396" s="5" t="s">
        <v>435</v>
      </c>
      <c r="E396" s="5" t="s">
        <v>436</v>
      </c>
      <c r="F396" s="5" t="s">
        <v>449</v>
      </c>
      <c r="G396" s="5" t="s">
        <v>450</v>
      </c>
      <c r="H396" s="5"/>
      <c r="I396" s="6">
        <v>6960</v>
      </c>
    </row>
    <row r="397" spans="1:9" x14ac:dyDescent="0.3">
      <c r="B397" s="5" t="s">
        <v>418</v>
      </c>
      <c r="C397" s="5" t="s">
        <v>10</v>
      </c>
      <c r="D397" s="5" t="s">
        <v>435</v>
      </c>
      <c r="E397" s="5" t="s">
        <v>436</v>
      </c>
      <c r="F397" s="5" t="s">
        <v>451</v>
      </c>
      <c r="G397" s="5" t="s">
        <v>452</v>
      </c>
      <c r="H397" s="5"/>
      <c r="I397" s="6">
        <v>6960</v>
      </c>
    </row>
    <row r="398" spans="1:9" x14ac:dyDescent="0.3">
      <c r="B398" s="5" t="s">
        <v>418</v>
      </c>
      <c r="C398" s="5" t="s">
        <v>10</v>
      </c>
      <c r="D398" s="5" t="s">
        <v>435</v>
      </c>
      <c r="E398" s="5" t="s">
        <v>436</v>
      </c>
      <c r="F398" s="5" t="s">
        <v>453</v>
      </c>
      <c r="G398" s="5" t="s">
        <v>454</v>
      </c>
      <c r="H398" s="5"/>
      <c r="I398" s="6">
        <v>6960</v>
      </c>
    </row>
    <row r="399" spans="1:9" x14ac:dyDescent="0.3">
      <c r="B399" s="5" t="s">
        <v>418</v>
      </c>
      <c r="C399" s="5" t="s">
        <v>10</v>
      </c>
      <c r="D399" s="5" t="s">
        <v>435</v>
      </c>
      <c r="E399" s="5" t="s">
        <v>436</v>
      </c>
      <c r="F399" s="5" t="s">
        <v>455</v>
      </c>
      <c r="G399" s="5" t="s">
        <v>456</v>
      </c>
      <c r="H399" s="5"/>
      <c r="I399" s="6">
        <v>13975</v>
      </c>
    </row>
    <row r="400" spans="1:9" x14ac:dyDescent="0.3">
      <c r="B400" s="5" t="s">
        <v>418</v>
      </c>
      <c r="C400" s="5" t="s">
        <v>10</v>
      </c>
      <c r="D400" s="5" t="s">
        <v>435</v>
      </c>
      <c r="E400" s="5" t="s">
        <v>436</v>
      </c>
      <c r="F400" s="5" t="s">
        <v>457</v>
      </c>
      <c r="G400" s="5" t="s">
        <v>458</v>
      </c>
      <c r="H400" s="5"/>
      <c r="I400" s="6">
        <v>21457</v>
      </c>
    </row>
    <row r="401" spans="1:9" x14ac:dyDescent="0.3">
      <c r="A401" s="7" t="s">
        <v>459</v>
      </c>
      <c r="H401" s="8">
        <f>H390+H391+H392+H393+H394+H395+H396+H397+H398+H399+H400</f>
        <v>299972</v>
      </c>
      <c r="I401" s="8">
        <f>I390+I391+I392+I393+I394+I395+I396+I397+I398+I399+I400</f>
        <v>299972</v>
      </c>
    </row>
    <row r="402" spans="1:9" x14ac:dyDescent="0.3">
      <c r="A402" s="4" t="s">
        <v>460</v>
      </c>
    </row>
    <row r="403" spans="1:9" x14ac:dyDescent="0.3">
      <c r="B403" s="5" t="s">
        <v>461</v>
      </c>
      <c r="C403" s="5" t="s">
        <v>10</v>
      </c>
      <c r="D403" s="5" t="s">
        <v>462</v>
      </c>
      <c r="E403" s="5" t="s">
        <v>463</v>
      </c>
      <c r="F403" s="5" t="s">
        <v>35</v>
      </c>
      <c r="G403" s="5" t="s">
        <v>36</v>
      </c>
      <c r="H403" s="6">
        <v>3750</v>
      </c>
      <c r="I403" s="5"/>
    </row>
    <row r="404" spans="1:9" x14ac:dyDescent="0.3">
      <c r="B404" s="5" t="s">
        <v>461</v>
      </c>
      <c r="C404" s="5" t="s">
        <v>10</v>
      </c>
      <c r="D404" s="5" t="s">
        <v>462</v>
      </c>
      <c r="E404" s="5" t="s">
        <v>463</v>
      </c>
      <c r="F404" s="5" t="s">
        <v>13</v>
      </c>
      <c r="G404" s="5" t="s">
        <v>14</v>
      </c>
      <c r="H404" s="5"/>
      <c r="I404" s="6">
        <v>3750</v>
      </c>
    </row>
    <row r="405" spans="1:9" x14ac:dyDescent="0.3">
      <c r="A405" s="7" t="s">
        <v>464</v>
      </c>
      <c r="H405" s="8">
        <f>H403+H404</f>
        <v>3750</v>
      </c>
      <c r="I405" s="8">
        <f>I403+I404</f>
        <v>3750</v>
      </c>
    </row>
    <row r="406" spans="1:9" x14ac:dyDescent="0.3">
      <c r="A406" s="4" t="s">
        <v>465</v>
      </c>
    </row>
    <row r="407" spans="1:9" x14ac:dyDescent="0.3">
      <c r="B407" s="5" t="s">
        <v>466</v>
      </c>
      <c r="C407" s="5" t="s">
        <v>10</v>
      </c>
      <c r="D407" s="5" t="s">
        <v>434</v>
      </c>
      <c r="E407" s="5" t="s">
        <v>467</v>
      </c>
      <c r="F407" s="5" t="s">
        <v>95</v>
      </c>
      <c r="G407" s="5" t="s">
        <v>96</v>
      </c>
      <c r="H407" s="6">
        <v>250</v>
      </c>
      <c r="I407" s="5"/>
    </row>
    <row r="408" spans="1:9" x14ac:dyDescent="0.3">
      <c r="B408" s="5" t="s">
        <v>466</v>
      </c>
      <c r="C408" s="5" t="s">
        <v>10</v>
      </c>
      <c r="D408" s="5" t="s">
        <v>434</v>
      </c>
      <c r="E408" s="5" t="s">
        <v>467</v>
      </c>
      <c r="F408" s="5" t="s">
        <v>13</v>
      </c>
      <c r="G408" s="5" t="s">
        <v>14</v>
      </c>
      <c r="H408" s="5"/>
      <c r="I408" s="6">
        <v>250</v>
      </c>
    </row>
    <row r="409" spans="1:9" x14ac:dyDescent="0.3">
      <c r="A409" s="7" t="s">
        <v>468</v>
      </c>
      <c r="H409" s="8">
        <f>H407+H408</f>
        <v>250</v>
      </c>
      <c r="I409" s="8">
        <f>I407+I408</f>
        <v>250</v>
      </c>
    </row>
    <row r="410" spans="1:9" x14ac:dyDescent="0.3">
      <c r="A410" s="4" t="s">
        <v>469</v>
      </c>
    </row>
    <row r="411" spans="1:9" x14ac:dyDescent="0.3">
      <c r="B411" s="5" t="s">
        <v>470</v>
      </c>
      <c r="C411" s="5" t="s">
        <v>10</v>
      </c>
      <c r="D411" s="5" t="s">
        <v>471</v>
      </c>
      <c r="E411" s="5" t="s">
        <v>472</v>
      </c>
      <c r="F411" s="5" t="s">
        <v>439</v>
      </c>
      <c r="G411" s="5" t="s">
        <v>440</v>
      </c>
      <c r="H411" s="6">
        <v>80000</v>
      </c>
      <c r="I411" s="5"/>
    </row>
    <row r="412" spans="1:9" x14ac:dyDescent="0.3">
      <c r="B412" s="5" t="s">
        <v>470</v>
      </c>
      <c r="C412" s="5" t="s">
        <v>10</v>
      </c>
      <c r="D412" s="5" t="s">
        <v>471</v>
      </c>
      <c r="E412" s="5" t="s">
        <v>472</v>
      </c>
      <c r="F412" s="5" t="s">
        <v>441</v>
      </c>
      <c r="G412" s="5" t="s">
        <v>442</v>
      </c>
      <c r="H412" s="6">
        <v>50600</v>
      </c>
      <c r="I412" s="5"/>
    </row>
    <row r="413" spans="1:9" x14ac:dyDescent="0.3">
      <c r="B413" s="5" t="s">
        <v>470</v>
      </c>
      <c r="C413" s="5" t="s">
        <v>10</v>
      </c>
      <c r="D413" s="5" t="s">
        <v>471</v>
      </c>
      <c r="E413" s="5" t="s">
        <v>472</v>
      </c>
      <c r="F413" s="5" t="s">
        <v>443</v>
      </c>
      <c r="G413" s="5" t="s">
        <v>444</v>
      </c>
      <c r="H413" s="6">
        <v>50600</v>
      </c>
      <c r="I413" s="5"/>
    </row>
    <row r="414" spans="1:9" x14ac:dyDescent="0.3">
      <c r="B414" s="5" t="s">
        <v>470</v>
      </c>
      <c r="C414" s="5" t="s">
        <v>10</v>
      </c>
      <c r="D414" s="5" t="s">
        <v>471</v>
      </c>
      <c r="E414" s="5" t="s">
        <v>472</v>
      </c>
      <c r="F414" s="5" t="s">
        <v>445</v>
      </c>
      <c r="G414" s="5" t="s">
        <v>446</v>
      </c>
      <c r="H414" s="6">
        <v>50600</v>
      </c>
      <c r="I414" s="5"/>
    </row>
    <row r="415" spans="1:9" x14ac:dyDescent="0.3">
      <c r="B415" s="5" t="s">
        <v>470</v>
      </c>
      <c r="C415" s="5" t="s">
        <v>10</v>
      </c>
      <c r="D415" s="5" t="s">
        <v>471</v>
      </c>
      <c r="E415" s="5" t="s">
        <v>472</v>
      </c>
      <c r="F415" s="5" t="s">
        <v>447</v>
      </c>
      <c r="G415" s="5" t="s">
        <v>448</v>
      </c>
      <c r="H415" s="6">
        <v>11860</v>
      </c>
      <c r="I415" s="5"/>
    </row>
    <row r="416" spans="1:9" x14ac:dyDescent="0.3">
      <c r="B416" s="5" t="s">
        <v>470</v>
      </c>
      <c r="C416" s="5" t="s">
        <v>10</v>
      </c>
      <c r="D416" s="5" t="s">
        <v>471</v>
      </c>
      <c r="E416" s="5" t="s">
        <v>472</v>
      </c>
      <c r="F416" s="5" t="s">
        <v>449</v>
      </c>
      <c r="G416" s="5" t="s">
        <v>450</v>
      </c>
      <c r="H416" s="6">
        <v>6960</v>
      </c>
      <c r="I416" s="5"/>
    </row>
    <row r="417" spans="1:9" x14ac:dyDescent="0.3">
      <c r="B417" s="5" t="s">
        <v>470</v>
      </c>
      <c r="C417" s="5" t="s">
        <v>10</v>
      </c>
      <c r="D417" s="5" t="s">
        <v>471</v>
      </c>
      <c r="E417" s="5" t="s">
        <v>472</v>
      </c>
      <c r="F417" s="5" t="s">
        <v>451</v>
      </c>
      <c r="G417" s="5" t="s">
        <v>452</v>
      </c>
      <c r="H417" s="6">
        <v>6960</v>
      </c>
      <c r="I417" s="5"/>
    </row>
    <row r="418" spans="1:9" x14ac:dyDescent="0.3">
      <c r="B418" s="5" t="s">
        <v>470</v>
      </c>
      <c r="C418" s="5" t="s">
        <v>10</v>
      </c>
      <c r="D418" s="5" t="s">
        <v>471</v>
      </c>
      <c r="E418" s="5" t="s">
        <v>472</v>
      </c>
      <c r="F418" s="5" t="s">
        <v>453</v>
      </c>
      <c r="G418" s="5" t="s">
        <v>454</v>
      </c>
      <c r="H418" s="6">
        <v>6960</v>
      </c>
      <c r="I418" s="5"/>
    </row>
    <row r="419" spans="1:9" x14ac:dyDescent="0.3">
      <c r="B419" s="5" t="s">
        <v>470</v>
      </c>
      <c r="C419" s="5" t="s">
        <v>10</v>
      </c>
      <c r="D419" s="5" t="s">
        <v>471</v>
      </c>
      <c r="E419" s="5" t="s">
        <v>472</v>
      </c>
      <c r="F419" s="5" t="s">
        <v>455</v>
      </c>
      <c r="G419" s="5" t="s">
        <v>456</v>
      </c>
      <c r="H419" s="6">
        <v>13975</v>
      </c>
      <c r="I419" s="5"/>
    </row>
    <row r="420" spans="1:9" x14ac:dyDescent="0.3">
      <c r="B420" s="5" t="s">
        <v>470</v>
      </c>
      <c r="C420" s="5" t="s">
        <v>10</v>
      </c>
      <c r="D420" s="5" t="s">
        <v>471</v>
      </c>
      <c r="E420" s="5" t="s">
        <v>472</v>
      </c>
      <c r="F420" s="5" t="s">
        <v>13</v>
      </c>
      <c r="G420" s="5" t="s">
        <v>14</v>
      </c>
      <c r="H420" s="5"/>
      <c r="I420" s="6">
        <v>278515</v>
      </c>
    </row>
    <row r="421" spans="1:9" x14ac:dyDescent="0.3">
      <c r="A421" s="7" t="s">
        <v>473</v>
      </c>
      <c r="H421" s="8">
        <f>H411+H412+H413+H414+H415+H416+H417+H418+H419+H420</f>
        <v>278515</v>
      </c>
      <c r="I421" s="8">
        <f>I411+I412+I413+I414+I415+I416+I417+I418+I419+I420</f>
        <v>278515</v>
      </c>
    </row>
    <row r="422" spans="1:9" x14ac:dyDescent="0.3">
      <c r="A422" s="4" t="s">
        <v>474</v>
      </c>
    </row>
    <row r="423" spans="1:9" x14ac:dyDescent="0.3">
      <c r="B423" s="5" t="s">
        <v>475</v>
      </c>
      <c r="C423" s="5" t="s">
        <v>10</v>
      </c>
      <c r="D423" s="5" t="s">
        <v>417</v>
      </c>
      <c r="E423" s="5" t="s">
        <v>476</v>
      </c>
      <c r="F423" s="5" t="s">
        <v>372</v>
      </c>
      <c r="G423" s="5" t="s">
        <v>373</v>
      </c>
      <c r="H423" s="6">
        <v>1200</v>
      </c>
      <c r="I423" s="5"/>
    </row>
    <row r="424" spans="1:9" x14ac:dyDescent="0.3">
      <c r="B424" s="5" t="s">
        <v>475</v>
      </c>
      <c r="C424" s="5" t="s">
        <v>10</v>
      </c>
      <c r="D424" s="5" t="s">
        <v>417</v>
      </c>
      <c r="E424" s="5" t="s">
        <v>476</v>
      </c>
      <c r="F424" s="5" t="s">
        <v>13</v>
      </c>
      <c r="G424" s="5" t="s">
        <v>14</v>
      </c>
      <c r="H424" s="5"/>
      <c r="I424" s="6">
        <v>1200</v>
      </c>
    </row>
    <row r="425" spans="1:9" x14ac:dyDescent="0.3">
      <c r="A425" s="7" t="s">
        <v>477</v>
      </c>
      <c r="H425" s="8">
        <f>H423+H424</f>
        <v>1200</v>
      </c>
      <c r="I425" s="8">
        <f>I423+I424</f>
        <v>1200</v>
      </c>
    </row>
    <row r="426" spans="1:9" x14ac:dyDescent="0.3">
      <c r="A426" s="4" t="s">
        <v>478</v>
      </c>
    </row>
    <row r="427" spans="1:9" x14ac:dyDescent="0.3">
      <c r="B427" s="5" t="s">
        <v>479</v>
      </c>
      <c r="C427" s="5" t="s">
        <v>10</v>
      </c>
      <c r="D427" s="5" t="s">
        <v>460</v>
      </c>
      <c r="E427" s="5" t="s">
        <v>480</v>
      </c>
      <c r="F427" s="5" t="s">
        <v>45</v>
      </c>
      <c r="G427" s="5" t="s">
        <v>46</v>
      </c>
      <c r="H427" s="6">
        <v>42000</v>
      </c>
      <c r="I427" s="5"/>
    </row>
    <row r="428" spans="1:9" x14ac:dyDescent="0.3">
      <c r="B428" s="5" t="s">
        <v>479</v>
      </c>
      <c r="C428" s="5" t="s">
        <v>10</v>
      </c>
      <c r="D428" s="5" t="s">
        <v>460</v>
      </c>
      <c r="E428" s="5" t="s">
        <v>480</v>
      </c>
      <c r="F428" s="5" t="s">
        <v>13</v>
      </c>
      <c r="G428" s="5" t="s">
        <v>14</v>
      </c>
      <c r="H428" s="5"/>
      <c r="I428" s="6">
        <v>42000</v>
      </c>
    </row>
    <row r="429" spans="1:9" x14ac:dyDescent="0.3">
      <c r="A429" s="7" t="s">
        <v>481</v>
      </c>
      <c r="H429" s="8">
        <f>H427+H428</f>
        <v>42000</v>
      </c>
      <c r="I429" s="8">
        <f>I427+I428</f>
        <v>42000</v>
      </c>
    </row>
    <row r="430" spans="1:9" x14ac:dyDescent="0.3">
      <c r="A430" s="4" t="s">
        <v>482</v>
      </c>
    </row>
    <row r="431" spans="1:9" x14ac:dyDescent="0.3">
      <c r="B431" s="5" t="s">
        <v>483</v>
      </c>
      <c r="C431" s="5" t="s">
        <v>10</v>
      </c>
      <c r="D431" s="5" t="s">
        <v>469</v>
      </c>
      <c r="E431" s="5" t="s">
        <v>484</v>
      </c>
      <c r="F431" s="5" t="s">
        <v>61</v>
      </c>
      <c r="G431" s="5" t="s">
        <v>62</v>
      </c>
      <c r="H431" s="6">
        <v>800</v>
      </c>
      <c r="I431" s="5"/>
    </row>
    <row r="432" spans="1:9" x14ac:dyDescent="0.3">
      <c r="B432" s="5" t="s">
        <v>483</v>
      </c>
      <c r="C432" s="5" t="s">
        <v>10</v>
      </c>
      <c r="D432" s="5" t="s">
        <v>469</v>
      </c>
      <c r="E432" s="5" t="s">
        <v>484</v>
      </c>
      <c r="F432" s="5" t="s">
        <v>13</v>
      </c>
      <c r="G432" s="5" t="s">
        <v>14</v>
      </c>
      <c r="H432" s="5"/>
      <c r="I432" s="6">
        <v>800</v>
      </c>
    </row>
    <row r="433" spans="1:9" x14ac:dyDescent="0.3">
      <c r="A433" s="7" t="s">
        <v>485</v>
      </c>
      <c r="H433" s="8">
        <f>H431+H432</f>
        <v>800</v>
      </c>
      <c r="I433" s="8">
        <f>I431+I432</f>
        <v>800</v>
      </c>
    </row>
    <row r="434" spans="1:9" x14ac:dyDescent="0.3">
      <c r="A434" s="4" t="s">
        <v>486</v>
      </c>
    </row>
    <row r="435" spans="1:9" x14ac:dyDescent="0.3">
      <c r="B435" s="5" t="s">
        <v>487</v>
      </c>
      <c r="C435" s="5" t="s">
        <v>10</v>
      </c>
      <c r="D435" s="5" t="s">
        <v>474</v>
      </c>
      <c r="E435" s="5" t="s">
        <v>488</v>
      </c>
      <c r="F435" s="5" t="s">
        <v>61</v>
      </c>
      <c r="G435" s="5" t="s">
        <v>62</v>
      </c>
      <c r="H435" s="6">
        <v>500</v>
      </c>
      <c r="I435" s="5"/>
    </row>
    <row r="436" spans="1:9" x14ac:dyDescent="0.3">
      <c r="B436" s="5" t="s">
        <v>487</v>
      </c>
      <c r="C436" s="5" t="s">
        <v>10</v>
      </c>
      <c r="D436" s="5" t="s">
        <v>474</v>
      </c>
      <c r="E436" s="5" t="s">
        <v>488</v>
      </c>
      <c r="F436" s="5" t="s">
        <v>13</v>
      </c>
      <c r="G436" s="5" t="s">
        <v>14</v>
      </c>
      <c r="H436" s="5"/>
      <c r="I436" s="6">
        <v>500</v>
      </c>
    </row>
    <row r="437" spans="1:9" x14ac:dyDescent="0.3">
      <c r="A437" s="7" t="s">
        <v>489</v>
      </c>
      <c r="H437" s="8">
        <f>H435+H436</f>
        <v>500</v>
      </c>
      <c r="I437" s="8">
        <f>I435+I436</f>
        <v>500</v>
      </c>
    </row>
    <row r="438" spans="1:9" x14ac:dyDescent="0.3">
      <c r="A438" s="4" t="s">
        <v>490</v>
      </c>
    </row>
    <row r="439" spans="1:9" x14ac:dyDescent="0.3">
      <c r="B439" s="5" t="s">
        <v>491</v>
      </c>
      <c r="C439" s="5" t="s">
        <v>10</v>
      </c>
      <c r="D439" s="5" t="s">
        <v>465</v>
      </c>
      <c r="E439" s="5" t="s">
        <v>488</v>
      </c>
      <c r="F439" s="5" t="s">
        <v>61</v>
      </c>
      <c r="G439" s="5" t="s">
        <v>62</v>
      </c>
      <c r="H439" s="6">
        <v>215</v>
      </c>
      <c r="I439" s="5"/>
    </row>
    <row r="440" spans="1:9" x14ac:dyDescent="0.3">
      <c r="B440" s="5" t="s">
        <v>491</v>
      </c>
      <c r="C440" s="5" t="s">
        <v>10</v>
      </c>
      <c r="D440" s="5" t="s">
        <v>465</v>
      </c>
      <c r="E440" s="5" t="s">
        <v>492</v>
      </c>
      <c r="F440" s="5" t="s">
        <v>218</v>
      </c>
      <c r="G440" s="5" t="s">
        <v>219</v>
      </c>
      <c r="H440" s="6">
        <v>500</v>
      </c>
      <c r="I440" s="5"/>
    </row>
    <row r="441" spans="1:9" x14ac:dyDescent="0.3">
      <c r="B441" s="5" t="s">
        <v>491</v>
      </c>
      <c r="C441" s="5" t="s">
        <v>10</v>
      </c>
      <c r="D441" s="5" t="s">
        <v>465</v>
      </c>
      <c r="E441" s="5" t="s">
        <v>128</v>
      </c>
      <c r="F441" s="5" t="s">
        <v>129</v>
      </c>
      <c r="G441" s="5" t="s">
        <v>130</v>
      </c>
      <c r="H441" s="6">
        <v>50</v>
      </c>
      <c r="I441" s="5"/>
    </row>
    <row r="442" spans="1:9" x14ac:dyDescent="0.3">
      <c r="B442" s="5" t="s">
        <v>491</v>
      </c>
      <c r="C442" s="5" t="s">
        <v>10</v>
      </c>
      <c r="D442" s="5" t="s">
        <v>465</v>
      </c>
      <c r="E442" s="5" t="s">
        <v>493</v>
      </c>
      <c r="F442" s="5" t="s">
        <v>13</v>
      </c>
      <c r="G442" s="5" t="s">
        <v>14</v>
      </c>
      <c r="H442" s="5"/>
      <c r="I442" s="6">
        <v>765</v>
      </c>
    </row>
    <row r="443" spans="1:9" x14ac:dyDescent="0.3">
      <c r="A443" s="7" t="s">
        <v>494</v>
      </c>
      <c r="H443" s="8">
        <f>H439+H440+H441+H442</f>
        <v>765</v>
      </c>
      <c r="I443" s="8">
        <f>I439+I440+I441+I442</f>
        <v>765</v>
      </c>
    </row>
    <row r="444" spans="1:9" x14ac:dyDescent="0.3">
      <c r="A444" s="4" t="s">
        <v>495</v>
      </c>
    </row>
    <row r="445" spans="1:9" x14ac:dyDescent="0.3">
      <c r="B445" s="5" t="s">
        <v>496</v>
      </c>
      <c r="C445" s="5" t="s">
        <v>10</v>
      </c>
      <c r="D445" s="5" t="s">
        <v>478</v>
      </c>
      <c r="E445" s="5" t="s">
        <v>230</v>
      </c>
      <c r="F445" s="5" t="s">
        <v>61</v>
      </c>
      <c r="G445" s="5" t="s">
        <v>62</v>
      </c>
      <c r="H445" s="6">
        <v>350</v>
      </c>
      <c r="I445" s="5"/>
    </row>
    <row r="446" spans="1:9" x14ac:dyDescent="0.3">
      <c r="B446" s="5" t="s">
        <v>496</v>
      </c>
      <c r="C446" s="5" t="s">
        <v>10</v>
      </c>
      <c r="D446" s="5" t="s">
        <v>478</v>
      </c>
      <c r="E446" s="5" t="s">
        <v>139</v>
      </c>
      <c r="F446" s="5" t="s">
        <v>113</v>
      </c>
      <c r="G446" s="5" t="s">
        <v>114</v>
      </c>
      <c r="H446" s="6">
        <v>1000</v>
      </c>
      <c r="I446" s="5"/>
    </row>
    <row r="447" spans="1:9" x14ac:dyDescent="0.3">
      <c r="B447" s="5" t="s">
        <v>496</v>
      </c>
      <c r="C447" s="5" t="s">
        <v>10</v>
      </c>
      <c r="D447" s="5" t="s">
        <v>478</v>
      </c>
      <c r="E447" s="5" t="s">
        <v>497</v>
      </c>
      <c r="F447" s="5" t="s">
        <v>13</v>
      </c>
      <c r="G447" s="5" t="s">
        <v>14</v>
      </c>
      <c r="H447" s="5"/>
      <c r="I447" s="6">
        <v>1350</v>
      </c>
    </row>
    <row r="448" spans="1:9" x14ac:dyDescent="0.3">
      <c r="A448" s="7" t="s">
        <v>498</v>
      </c>
      <c r="H448" s="8">
        <f>H445+H446+H447</f>
        <v>1350</v>
      </c>
      <c r="I448" s="8">
        <f>I445+I446+I447</f>
        <v>1350</v>
      </c>
    </row>
    <row r="449" spans="1:9" x14ac:dyDescent="0.3">
      <c r="A449" s="4" t="s">
        <v>499</v>
      </c>
    </row>
    <row r="450" spans="1:9" x14ac:dyDescent="0.3">
      <c r="B450" s="5" t="s">
        <v>500</v>
      </c>
      <c r="C450" s="5" t="s">
        <v>10</v>
      </c>
      <c r="D450" s="5" t="s">
        <v>482</v>
      </c>
      <c r="E450" s="5" t="s">
        <v>501</v>
      </c>
      <c r="F450" s="5" t="s">
        <v>67</v>
      </c>
      <c r="G450" s="5" t="s">
        <v>68</v>
      </c>
      <c r="H450" s="6">
        <v>150</v>
      </c>
      <c r="I450" s="5"/>
    </row>
    <row r="451" spans="1:9" x14ac:dyDescent="0.3">
      <c r="B451" s="5" t="s">
        <v>500</v>
      </c>
      <c r="C451" s="5" t="s">
        <v>10</v>
      </c>
      <c r="D451" s="5" t="s">
        <v>482</v>
      </c>
      <c r="E451" s="5" t="s">
        <v>502</v>
      </c>
      <c r="F451" s="5" t="s">
        <v>61</v>
      </c>
      <c r="G451" s="5" t="s">
        <v>62</v>
      </c>
      <c r="H451" s="6">
        <v>80</v>
      </c>
      <c r="I451" s="5"/>
    </row>
    <row r="452" spans="1:9" x14ac:dyDescent="0.3">
      <c r="B452" s="5" t="s">
        <v>500</v>
      </c>
      <c r="C452" s="5" t="s">
        <v>10</v>
      </c>
      <c r="D452" s="5" t="s">
        <v>482</v>
      </c>
      <c r="E452" s="5" t="s">
        <v>503</v>
      </c>
      <c r="F452" s="5" t="s">
        <v>116</v>
      </c>
      <c r="G452" s="5" t="s">
        <v>117</v>
      </c>
      <c r="H452" s="6">
        <v>500</v>
      </c>
      <c r="I452" s="5"/>
    </row>
    <row r="453" spans="1:9" x14ac:dyDescent="0.3">
      <c r="B453" s="5" t="s">
        <v>500</v>
      </c>
      <c r="C453" s="5" t="s">
        <v>10</v>
      </c>
      <c r="D453" s="5" t="s">
        <v>482</v>
      </c>
      <c r="E453" s="5" t="s">
        <v>504</v>
      </c>
      <c r="F453" s="5" t="s">
        <v>13</v>
      </c>
      <c r="G453" s="5" t="s">
        <v>14</v>
      </c>
      <c r="H453" s="5"/>
      <c r="I453" s="6">
        <v>730</v>
      </c>
    </row>
    <row r="454" spans="1:9" x14ac:dyDescent="0.3">
      <c r="B454" s="5" t="s">
        <v>500</v>
      </c>
      <c r="C454" s="5" t="s">
        <v>10</v>
      </c>
      <c r="D454" s="5" t="s">
        <v>482</v>
      </c>
      <c r="E454" s="5" t="s">
        <v>505</v>
      </c>
      <c r="F454" s="5" t="s">
        <v>23</v>
      </c>
      <c r="G454" s="5" t="s">
        <v>24</v>
      </c>
      <c r="H454" s="6">
        <v>33000</v>
      </c>
      <c r="I454" s="5"/>
    </row>
    <row r="455" spans="1:9" x14ac:dyDescent="0.3">
      <c r="B455" s="5" t="s">
        <v>500</v>
      </c>
      <c r="C455" s="5" t="s">
        <v>10</v>
      </c>
      <c r="D455" s="5" t="s">
        <v>482</v>
      </c>
      <c r="E455" s="5" t="s">
        <v>506</v>
      </c>
      <c r="F455" s="5" t="s">
        <v>29</v>
      </c>
      <c r="G455" s="5" t="s">
        <v>30</v>
      </c>
      <c r="H455" s="5"/>
      <c r="I455" s="6">
        <v>3000</v>
      </c>
    </row>
    <row r="456" spans="1:9" x14ac:dyDescent="0.3">
      <c r="B456" s="5" t="s">
        <v>500</v>
      </c>
      <c r="C456" s="5" t="s">
        <v>10</v>
      </c>
      <c r="D456" s="5" t="s">
        <v>482</v>
      </c>
      <c r="E456" s="5" t="s">
        <v>505</v>
      </c>
      <c r="F456" s="5" t="s">
        <v>26</v>
      </c>
      <c r="G456" s="5" t="s">
        <v>27</v>
      </c>
      <c r="H456" s="5"/>
      <c r="I456" s="6">
        <v>30000</v>
      </c>
    </row>
    <row r="457" spans="1:9" x14ac:dyDescent="0.3">
      <c r="A457" s="7" t="s">
        <v>507</v>
      </c>
      <c r="H457" s="8">
        <f>H450+H451+H452+H453+H454+H455+H456</f>
        <v>33730</v>
      </c>
      <c r="I457" s="8">
        <f>I450+I451+I452+I453+I454+I455+I456</f>
        <v>33730</v>
      </c>
    </row>
    <row r="458" spans="1:9" x14ac:dyDescent="0.3">
      <c r="A458" s="4" t="s">
        <v>508</v>
      </c>
    </row>
    <row r="459" spans="1:9" x14ac:dyDescent="0.3">
      <c r="B459" s="5" t="s">
        <v>509</v>
      </c>
      <c r="C459" s="5" t="s">
        <v>10</v>
      </c>
      <c r="D459" s="5" t="s">
        <v>486</v>
      </c>
      <c r="E459" s="5" t="s">
        <v>139</v>
      </c>
      <c r="F459" s="5" t="s">
        <v>113</v>
      </c>
      <c r="G459" s="5" t="s">
        <v>114</v>
      </c>
      <c r="H459" s="6">
        <v>500</v>
      </c>
      <c r="I459" s="5"/>
    </row>
    <row r="460" spans="1:9" x14ac:dyDescent="0.3">
      <c r="B460" s="5" t="s">
        <v>509</v>
      </c>
      <c r="C460" s="5" t="s">
        <v>10</v>
      </c>
      <c r="D460" s="5" t="s">
        <v>486</v>
      </c>
      <c r="E460" s="5" t="s">
        <v>156</v>
      </c>
      <c r="F460" s="5" t="s">
        <v>61</v>
      </c>
      <c r="G460" s="5" t="s">
        <v>62</v>
      </c>
      <c r="H460" s="6">
        <v>90</v>
      </c>
      <c r="I460" s="5"/>
    </row>
    <row r="461" spans="1:9" x14ac:dyDescent="0.3">
      <c r="B461" s="5" t="s">
        <v>509</v>
      </c>
      <c r="C461" s="5" t="s">
        <v>10</v>
      </c>
      <c r="D461" s="5" t="s">
        <v>486</v>
      </c>
      <c r="E461" s="5" t="s">
        <v>510</v>
      </c>
      <c r="F461" s="5" t="s">
        <v>13</v>
      </c>
      <c r="G461" s="5" t="s">
        <v>14</v>
      </c>
      <c r="H461" s="5"/>
      <c r="I461" s="6">
        <v>590</v>
      </c>
    </row>
    <row r="462" spans="1:9" x14ac:dyDescent="0.3">
      <c r="A462" s="7" t="s">
        <v>511</v>
      </c>
      <c r="H462" s="8">
        <f>H459+H460+H461</f>
        <v>590</v>
      </c>
      <c r="I462" s="8">
        <f>I459+I460+I461</f>
        <v>590</v>
      </c>
    </row>
    <row r="463" spans="1:9" x14ac:dyDescent="0.3">
      <c r="A463" s="4" t="s">
        <v>512</v>
      </c>
    </row>
    <row r="464" spans="1:9" x14ac:dyDescent="0.3">
      <c r="B464" s="5" t="s">
        <v>513</v>
      </c>
      <c r="C464" s="5" t="s">
        <v>10</v>
      </c>
      <c r="D464" s="5" t="s">
        <v>490</v>
      </c>
      <c r="E464" s="5" t="s">
        <v>514</v>
      </c>
      <c r="F464" s="5" t="s">
        <v>58</v>
      </c>
      <c r="G464" s="5" t="s">
        <v>59</v>
      </c>
      <c r="H464" s="6">
        <v>800</v>
      </c>
      <c r="I464" s="5"/>
    </row>
    <row r="465" spans="1:9" x14ac:dyDescent="0.3">
      <c r="B465" s="5" t="s">
        <v>513</v>
      </c>
      <c r="C465" s="5" t="s">
        <v>10</v>
      </c>
      <c r="D465" s="5" t="s">
        <v>490</v>
      </c>
      <c r="E465" s="5" t="s">
        <v>515</v>
      </c>
      <c r="F465" s="5" t="s">
        <v>61</v>
      </c>
      <c r="G465" s="5" t="s">
        <v>62</v>
      </c>
      <c r="H465" s="6">
        <v>100</v>
      </c>
      <c r="I465" s="5"/>
    </row>
    <row r="466" spans="1:9" x14ac:dyDescent="0.3">
      <c r="B466" s="5" t="s">
        <v>513</v>
      </c>
      <c r="C466" s="5" t="s">
        <v>10</v>
      </c>
      <c r="D466" s="5" t="s">
        <v>490</v>
      </c>
      <c r="E466" s="5" t="s">
        <v>516</v>
      </c>
      <c r="F466" s="5" t="s">
        <v>35</v>
      </c>
      <c r="G466" s="5" t="s">
        <v>36</v>
      </c>
      <c r="H466" s="6">
        <v>180</v>
      </c>
      <c r="I466" s="5"/>
    </row>
    <row r="467" spans="1:9" x14ac:dyDescent="0.3">
      <c r="B467" s="5" t="s">
        <v>513</v>
      </c>
      <c r="C467" s="5" t="s">
        <v>10</v>
      </c>
      <c r="D467" s="5" t="s">
        <v>490</v>
      </c>
      <c r="E467" s="5" t="s">
        <v>517</v>
      </c>
      <c r="F467" s="5" t="s">
        <v>13</v>
      </c>
      <c r="G467" s="5" t="s">
        <v>14</v>
      </c>
      <c r="H467" s="5"/>
      <c r="I467" s="6">
        <v>1080</v>
      </c>
    </row>
    <row r="468" spans="1:9" x14ac:dyDescent="0.3">
      <c r="A468" s="7" t="s">
        <v>518</v>
      </c>
      <c r="H468" s="8">
        <f>H464+H465+H466+H467</f>
        <v>1080</v>
      </c>
      <c r="I468" s="8">
        <f>I464+I465+I466+I467</f>
        <v>1080</v>
      </c>
    </row>
    <row r="469" spans="1:9" x14ac:dyDescent="0.3">
      <c r="A469" s="4" t="s">
        <v>519</v>
      </c>
    </row>
    <row r="470" spans="1:9" x14ac:dyDescent="0.3">
      <c r="B470" s="5" t="s">
        <v>520</v>
      </c>
      <c r="C470" s="5" t="s">
        <v>10</v>
      </c>
      <c r="D470" s="5" t="s">
        <v>495</v>
      </c>
      <c r="E470" s="5" t="s">
        <v>521</v>
      </c>
      <c r="F470" s="5" t="s">
        <v>45</v>
      </c>
      <c r="G470" s="5" t="s">
        <v>46</v>
      </c>
      <c r="H470" s="6">
        <v>37000</v>
      </c>
      <c r="I470" s="5"/>
    </row>
    <row r="471" spans="1:9" x14ac:dyDescent="0.3">
      <c r="B471" s="5" t="s">
        <v>520</v>
      </c>
      <c r="C471" s="5" t="s">
        <v>10</v>
      </c>
      <c r="D471" s="5" t="s">
        <v>495</v>
      </c>
      <c r="E471" s="5" t="s">
        <v>521</v>
      </c>
      <c r="F471" s="5" t="s">
        <v>13</v>
      </c>
      <c r="G471" s="5" t="s">
        <v>14</v>
      </c>
      <c r="H471" s="5"/>
      <c r="I471" s="6">
        <v>37000</v>
      </c>
    </row>
    <row r="472" spans="1:9" x14ac:dyDescent="0.3">
      <c r="A472" s="7" t="s">
        <v>522</v>
      </c>
      <c r="H472" s="8">
        <f>H470+H471</f>
        <v>37000</v>
      </c>
      <c r="I472" s="8">
        <f>I470+I471</f>
        <v>37000</v>
      </c>
    </row>
    <row r="473" spans="1:9" x14ac:dyDescent="0.3">
      <c r="A473" s="4" t="s">
        <v>523</v>
      </c>
    </row>
    <row r="474" spans="1:9" x14ac:dyDescent="0.3">
      <c r="B474" s="5" t="s">
        <v>524</v>
      </c>
      <c r="C474" s="5" t="s">
        <v>10</v>
      </c>
      <c r="D474" s="5" t="s">
        <v>499</v>
      </c>
      <c r="E474" s="5" t="s">
        <v>352</v>
      </c>
      <c r="F474" s="5" t="s">
        <v>61</v>
      </c>
      <c r="G474" s="5" t="s">
        <v>62</v>
      </c>
      <c r="H474" s="6">
        <v>640</v>
      </c>
      <c r="I474" s="5"/>
    </row>
    <row r="475" spans="1:9" x14ac:dyDescent="0.3">
      <c r="B475" s="5" t="s">
        <v>524</v>
      </c>
      <c r="C475" s="5" t="s">
        <v>10</v>
      </c>
      <c r="D475" s="5" t="s">
        <v>499</v>
      </c>
      <c r="E475" s="5" t="s">
        <v>352</v>
      </c>
      <c r="F475" s="5" t="s">
        <v>13</v>
      </c>
      <c r="G475" s="5" t="s">
        <v>14</v>
      </c>
      <c r="H475" s="5"/>
      <c r="I475" s="6">
        <v>640</v>
      </c>
    </row>
    <row r="476" spans="1:9" x14ac:dyDescent="0.3">
      <c r="A476" s="7" t="s">
        <v>525</v>
      </c>
      <c r="H476" s="8">
        <f>H474+H475</f>
        <v>640</v>
      </c>
      <c r="I476" s="8">
        <f>I474+I475</f>
        <v>640</v>
      </c>
    </row>
    <row r="477" spans="1:9" x14ac:dyDescent="0.3">
      <c r="A477" s="4" t="s">
        <v>526</v>
      </c>
    </row>
    <row r="478" spans="1:9" x14ac:dyDescent="0.3">
      <c r="B478" s="5" t="s">
        <v>527</v>
      </c>
      <c r="C478" s="5" t="s">
        <v>10</v>
      </c>
      <c r="D478" s="5" t="s">
        <v>508</v>
      </c>
      <c r="E478" s="5" t="s">
        <v>528</v>
      </c>
      <c r="F478" s="5" t="s">
        <v>61</v>
      </c>
      <c r="G478" s="5" t="s">
        <v>62</v>
      </c>
      <c r="H478" s="6">
        <v>400</v>
      </c>
      <c r="I478" s="5"/>
    </row>
    <row r="479" spans="1:9" x14ac:dyDescent="0.3">
      <c r="B479" s="5" t="s">
        <v>527</v>
      </c>
      <c r="C479" s="5" t="s">
        <v>10</v>
      </c>
      <c r="D479" s="5" t="s">
        <v>508</v>
      </c>
      <c r="E479" s="5" t="s">
        <v>528</v>
      </c>
      <c r="F479" s="5" t="s">
        <v>13</v>
      </c>
      <c r="G479" s="5" t="s">
        <v>14</v>
      </c>
      <c r="H479" s="5"/>
      <c r="I479" s="6">
        <v>400</v>
      </c>
    </row>
    <row r="480" spans="1:9" x14ac:dyDescent="0.3">
      <c r="A480" s="7" t="s">
        <v>529</v>
      </c>
      <c r="H480" s="8">
        <f>H478+H479</f>
        <v>400</v>
      </c>
      <c r="I480" s="8">
        <f>I478+I479</f>
        <v>400</v>
      </c>
    </row>
    <row r="481" spans="1:9" x14ac:dyDescent="0.3">
      <c r="A481" s="4" t="s">
        <v>530</v>
      </c>
    </row>
    <row r="482" spans="1:9" x14ac:dyDescent="0.3">
      <c r="B482" s="5" t="s">
        <v>531</v>
      </c>
      <c r="C482" s="5" t="s">
        <v>10</v>
      </c>
      <c r="D482" s="5" t="s">
        <v>512</v>
      </c>
      <c r="E482" s="5" t="s">
        <v>532</v>
      </c>
      <c r="F482" s="5" t="s">
        <v>70</v>
      </c>
      <c r="G482" s="5" t="s">
        <v>71</v>
      </c>
      <c r="H482" s="6">
        <v>240</v>
      </c>
      <c r="I482" s="5"/>
    </row>
    <row r="483" spans="1:9" x14ac:dyDescent="0.3">
      <c r="B483" s="5" t="s">
        <v>531</v>
      </c>
      <c r="C483" s="5" t="s">
        <v>10</v>
      </c>
      <c r="D483" s="5" t="s">
        <v>512</v>
      </c>
      <c r="E483" s="5" t="s">
        <v>533</v>
      </c>
      <c r="F483" s="5" t="s">
        <v>61</v>
      </c>
      <c r="G483" s="5" t="s">
        <v>62</v>
      </c>
      <c r="H483" s="6">
        <v>500</v>
      </c>
      <c r="I483" s="5"/>
    </row>
    <row r="484" spans="1:9" x14ac:dyDescent="0.3">
      <c r="B484" s="5" t="s">
        <v>531</v>
      </c>
      <c r="C484" s="5" t="s">
        <v>10</v>
      </c>
      <c r="D484" s="5" t="s">
        <v>512</v>
      </c>
      <c r="E484" s="5" t="s">
        <v>534</v>
      </c>
      <c r="F484" s="5" t="s">
        <v>13</v>
      </c>
      <c r="G484" s="5" t="s">
        <v>14</v>
      </c>
      <c r="H484" s="5"/>
      <c r="I484" s="6">
        <v>740</v>
      </c>
    </row>
    <row r="485" spans="1:9" x14ac:dyDescent="0.3">
      <c r="A485" s="7" t="s">
        <v>535</v>
      </c>
      <c r="H485" s="8">
        <f>H482+H483+H484</f>
        <v>740</v>
      </c>
      <c r="I485" s="8">
        <f>I482+I483+I484</f>
        <v>740</v>
      </c>
    </row>
    <row r="486" spans="1:9" x14ac:dyDescent="0.3">
      <c r="A486" s="4" t="s">
        <v>536</v>
      </c>
    </row>
    <row r="487" spans="1:9" x14ac:dyDescent="0.3">
      <c r="B487" s="5" t="s">
        <v>531</v>
      </c>
      <c r="C487" s="5" t="s">
        <v>10</v>
      </c>
      <c r="D487" s="5" t="s">
        <v>519</v>
      </c>
      <c r="E487" s="5" t="s">
        <v>537</v>
      </c>
      <c r="F487" s="5" t="s">
        <v>61</v>
      </c>
      <c r="G487" s="5" t="s">
        <v>62</v>
      </c>
      <c r="H487" s="6">
        <v>1060</v>
      </c>
      <c r="I487" s="5"/>
    </row>
    <row r="488" spans="1:9" x14ac:dyDescent="0.3">
      <c r="B488" s="5" t="s">
        <v>531</v>
      </c>
      <c r="C488" s="5" t="s">
        <v>10</v>
      </c>
      <c r="D488" s="5" t="s">
        <v>519</v>
      </c>
      <c r="E488" s="5" t="s">
        <v>391</v>
      </c>
      <c r="F488" s="5" t="s">
        <v>116</v>
      </c>
      <c r="G488" s="5" t="s">
        <v>117</v>
      </c>
      <c r="H488" s="6">
        <v>1000</v>
      </c>
      <c r="I488" s="5"/>
    </row>
    <row r="489" spans="1:9" x14ac:dyDescent="0.3">
      <c r="B489" s="5" t="s">
        <v>531</v>
      </c>
      <c r="C489" s="5" t="s">
        <v>10</v>
      </c>
      <c r="D489" s="5" t="s">
        <v>519</v>
      </c>
      <c r="E489" s="5" t="s">
        <v>128</v>
      </c>
      <c r="F489" s="5" t="s">
        <v>129</v>
      </c>
      <c r="G489" s="5" t="s">
        <v>130</v>
      </c>
      <c r="H489" s="6">
        <v>50</v>
      </c>
      <c r="I489" s="5"/>
    </row>
    <row r="490" spans="1:9" x14ac:dyDescent="0.3">
      <c r="B490" s="5" t="s">
        <v>531</v>
      </c>
      <c r="C490" s="5" t="s">
        <v>10</v>
      </c>
      <c r="D490" s="5" t="s">
        <v>519</v>
      </c>
      <c r="E490" s="5" t="s">
        <v>538</v>
      </c>
      <c r="F490" s="5" t="s">
        <v>13</v>
      </c>
      <c r="G490" s="5" t="s">
        <v>14</v>
      </c>
      <c r="H490" s="5"/>
      <c r="I490" s="6">
        <v>2110</v>
      </c>
    </row>
    <row r="491" spans="1:9" x14ac:dyDescent="0.3">
      <c r="A491" s="7" t="s">
        <v>539</v>
      </c>
      <c r="H491" s="8">
        <f>H487+H488+H489+H490</f>
        <v>2110</v>
      </c>
      <c r="I491" s="8">
        <f>I487+I488+I489+I490</f>
        <v>2110</v>
      </c>
    </row>
    <row r="492" spans="1:9" x14ac:dyDescent="0.3">
      <c r="A492" s="4" t="s">
        <v>540</v>
      </c>
    </row>
    <row r="493" spans="1:9" x14ac:dyDescent="0.3">
      <c r="B493" s="5" t="s">
        <v>541</v>
      </c>
      <c r="C493" s="5" t="s">
        <v>10</v>
      </c>
      <c r="D493" s="5" t="s">
        <v>523</v>
      </c>
      <c r="E493" s="5" t="s">
        <v>542</v>
      </c>
      <c r="F493" s="5" t="s">
        <v>61</v>
      </c>
      <c r="G493" s="5" t="s">
        <v>62</v>
      </c>
      <c r="H493" s="6">
        <v>850</v>
      </c>
      <c r="I493" s="5"/>
    </row>
    <row r="494" spans="1:9" x14ac:dyDescent="0.3">
      <c r="B494" s="5" t="s">
        <v>541</v>
      </c>
      <c r="C494" s="5" t="s">
        <v>10</v>
      </c>
      <c r="D494" s="5" t="s">
        <v>523</v>
      </c>
      <c r="E494" s="5" t="s">
        <v>542</v>
      </c>
      <c r="F494" s="5" t="s">
        <v>13</v>
      </c>
      <c r="G494" s="5" t="s">
        <v>14</v>
      </c>
      <c r="H494" s="5"/>
      <c r="I494" s="6">
        <v>850</v>
      </c>
    </row>
    <row r="495" spans="1:9" x14ac:dyDescent="0.3">
      <c r="A495" s="7" t="s">
        <v>543</v>
      </c>
      <c r="H495" s="8">
        <f>H493+H494</f>
        <v>850</v>
      </c>
      <c r="I495" s="8">
        <f>I493+I494</f>
        <v>850</v>
      </c>
    </row>
    <row r="496" spans="1:9" x14ac:dyDescent="0.3">
      <c r="A496" s="4" t="s">
        <v>544</v>
      </c>
    </row>
    <row r="497" spans="1:9" x14ac:dyDescent="0.3">
      <c r="B497" s="5" t="s">
        <v>545</v>
      </c>
      <c r="C497" s="5" t="s">
        <v>10</v>
      </c>
      <c r="D497" s="5" t="s">
        <v>526</v>
      </c>
      <c r="E497" s="5" t="s">
        <v>546</v>
      </c>
      <c r="F497" s="5" t="s">
        <v>437</v>
      </c>
      <c r="G497" s="5" t="s">
        <v>438</v>
      </c>
      <c r="H497" s="6">
        <v>328167</v>
      </c>
      <c r="I497" s="5"/>
    </row>
    <row r="498" spans="1:9" x14ac:dyDescent="0.3">
      <c r="B498" s="5" t="s">
        <v>545</v>
      </c>
      <c r="C498" s="5" t="s">
        <v>10</v>
      </c>
      <c r="D498" s="5" t="s">
        <v>526</v>
      </c>
      <c r="E498" s="5" t="s">
        <v>546</v>
      </c>
      <c r="F498" s="5" t="s">
        <v>439</v>
      </c>
      <c r="G498" s="5" t="s">
        <v>440</v>
      </c>
      <c r="H498" s="5"/>
      <c r="I498" s="6">
        <v>80000</v>
      </c>
    </row>
    <row r="499" spans="1:9" x14ac:dyDescent="0.3">
      <c r="B499" s="5" t="s">
        <v>545</v>
      </c>
      <c r="C499" s="5" t="s">
        <v>10</v>
      </c>
      <c r="D499" s="5" t="s">
        <v>526</v>
      </c>
      <c r="E499" s="5" t="s">
        <v>546</v>
      </c>
      <c r="F499" s="5" t="s">
        <v>441</v>
      </c>
      <c r="G499" s="5" t="s">
        <v>442</v>
      </c>
      <c r="H499" s="5"/>
      <c r="I499" s="6">
        <v>50600</v>
      </c>
    </row>
    <row r="500" spans="1:9" x14ac:dyDescent="0.3">
      <c r="B500" s="5" t="s">
        <v>545</v>
      </c>
      <c r="C500" s="5" t="s">
        <v>10</v>
      </c>
      <c r="D500" s="5" t="s">
        <v>526</v>
      </c>
      <c r="E500" s="5" t="s">
        <v>546</v>
      </c>
      <c r="F500" s="5" t="s">
        <v>443</v>
      </c>
      <c r="G500" s="5" t="s">
        <v>444</v>
      </c>
      <c r="H500" s="5"/>
      <c r="I500" s="6">
        <v>50600</v>
      </c>
    </row>
    <row r="501" spans="1:9" x14ac:dyDescent="0.3">
      <c r="B501" s="5" t="s">
        <v>545</v>
      </c>
      <c r="C501" s="5" t="s">
        <v>10</v>
      </c>
      <c r="D501" s="5" t="s">
        <v>526</v>
      </c>
      <c r="E501" s="5" t="s">
        <v>546</v>
      </c>
      <c r="F501" s="5" t="s">
        <v>445</v>
      </c>
      <c r="G501" s="5" t="s">
        <v>446</v>
      </c>
      <c r="H501" s="5"/>
      <c r="I501" s="6">
        <v>50600</v>
      </c>
    </row>
    <row r="502" spans="1:9" x14ac:dyDescent="0.3">
      <c r="B502" s="5" t="s">
        <v>545</v>
      </c>
      <c r="C502" s="5" t="s">
        <v>10</v>
      </c>
      <c r="D502" s="5" t="s">
        <v>526</v>
      </c>
      <c r="E502" s="5" t="s">
        <v>546</v>
      </c>
      <c r="F502" s="5" t="s">
        <v>447</v>
      </c>
      <c r="G502" s="5" t="s">
        <v>448</v>
      </c>
      <c r="H502" s="5"/>
      <c r="I502" s="6">
        <v>11860</v>
      </c>
    </row>
    <row r="503" spans="1:9" x14ac:dyDescent="0.3">
      <c r="B503" s="5" t="s">
        <v>545</v>
      </c>
      <c r="C503" s="5" t="s">
        <v>10</v>
      </c>
      <c r="D503" s="5" t="s">
        <v>526</v>
      </c>
      <c r="E503" s="5" t="s">
        <v>546</v>
      </c>
      <c r="F503" s="5" t="s">
        <v>449</v>
      </c>
      <c r="G503" s="5" t="s">
        <v>450</v>
      </c>
      <c r="H503" s="5"/>
      <c r="I503" s="6">
        <v>6960</v>
      </c>
    </row>
    <row r="504" spans="1:9" x14ac:dyDescent="0.3">
      <c r="B504" s="5" t="s">
        <v>545</v>
      </c>
      <c r="C504" s="5" t="s">
        <v>10</v>
      </c>
      <c r="D504" s="5" t="s">
        <v>526</v>
      </c>
      <c r="E504" s="5" t="s">
        <v>546</v>
      </c>
      <c r="F504" s="5" t="s">
        <v>451</v>
      </c>
      <c r="G504" s="5" t="s">
        <v>452</v>
      </c>
      <c r="H504" s="5"/>
      <c r="I504" s="6">
        <v>6960</v>
      </c>
    </row>
    <row r="505" spans="1:9" x14ac:dyDescent="0.3">
      <c r="B505" s="5" t="s">
        <v>545</v>
      </c>
      <c r="C505" s="5" t="s">
        <v>10</v>
      </c>
      <c r="D505" s="5" t="s">
        <v>526</v>
      </c>
      <c r="E505" s="5" t="s">
        <v>546</v>
      </c>
      <c r="F505" s="5" t="s">
        <v>453</v>
      </c>
      <c r="G505" s="5" t="s">
        <v>454</v>
      </c>
      <c r="H505" s="5"/>
      <c r="I505" s="6">
        <v>6960</v>
      </c>
    </row>
    <row r="506" spans="1:9" x14ac:dyDescent="0.3">
      <c r="B506" s="5" t="s">
        <v>545</v>
      </c>
      <c r="C506" s="5" t="s">
        <v>10</v>
      </c>
      <c r="D506" s="5" t="s">
        <v>526</v>
      </c>
      <c r="E506" s="5" t="s">
        <v>546</v>
      </c>
      <c r="F506" s="5" t="s">
        <v>547</v>
      </c>
      <c r="G506" s="5" t="s">
        <v>548</v>
      </c>
      <c r="H506" s="5"/>
      <c r="I506" s="6">
        <v>9900</v>
      </c>
    </row>
    <row r="507" spans="1:9" x14ac:dyDescent="0.3">
      <c r="B507" s="5" t="s">
        <v>545</v>
      </c>
      <c r="C507" s="5" t="s">
        <v>10</v>
      </c>
      <c r="D507" s="5" t="s">
        <v>526</v>
      </c>
      <c r="E507" s="5" t="s">
        <v>546</v>
      </c>
      <c r="F507" s="5" t="s">
        <v>455</v>
      </c>
      <c r="G507" s="5" t="s">
        <v>456</v>
      </c>
      <c r="H507" s="5"/>
      <c r="I507" s="6">
        <v>28100</v>
      </c>
    </row>
    <row r="508" spans="1:9" x14ac:dyDescent="0.3">
      <c r="B508" s="5" t="s">
        <v>545</v>
      </c>
      <c r="C508" s="5" t="s">
        <v>10</v>
      </c>
      <c r="D508" s="5" t="s">
        <v>526</v>
      </c>
      <c r="E508" s="5" t="s">
        <v>546</v>
      </c>
      <c r="F508" s="5" t="s">
        <v>549</v>
      </c>
      <c r="G508" s="5" t="s">
        <v>550</v>
      </c>
      <c r="H508" s="5"/>
      <c r="I508" s="6">
        <v>2500</v>
      </c>
    </row>
    <row r="509" spans="1:9" x14ac:dyDescent="0.3">
      <c r="B509" s="5" t="s">
        <v>545</v>
      </c>
      <c r="C509" s="5" t="s">
        <v>10</v>
      </c>
      <c r="D509" s="5" t="s">
        <v>526</v>
      </c>
      <c r="E509" s="5" t="s">
        <v>551</v>
      </c>
      <c r="F509" s="5" t="s">
        <v>457</v>
      </c>
      <c r="G509" s="5" t="s">
        <v>458</v>
      </c>
      <c r="H509" s="5"/>
      <c r="I509" s="6">
        <v>23127</v>
      </c>
    </row>
    <row r="510" spans="1:9" x14ac:dyDescent="0.3">
      <c r="A510" s="7" t="s">
        <v>552</v>
      </c>
      <c r="H510" s="8">
        <f>H497+H498+H499+H500+H501+H502+H503+H504+H505+H506+H507+H508+H509</f>
        <v>328167</v>
      </c>
      <c r="I510" s="8">
        <f>I497+I498+I499+I500+I501+I502+I503+I504+I505+I506+I507+I508+I509</f>
        <v>328167</v>
      </c>
    </row>
    <row r="511" spans="1:9" x14ac:dyDescent="0.3">
      <c r="A511" s="4" t="s">
        <v>553</v>
      </c>
    </row>
    <row r="512" spans="1:9" x14ac:dyDescent="0.3">
      <c r="B512" s="5" t="s">
        <v>545</v>
      </c>
      <c r="C512" s="5" t="s">
        <v>10</v>
      </c>
      <c r="D512" s="5" t="s">
        <v>530</v>
      </c>
      <c r="E512" s="5" t="s">
        <v>554</v>
      </c>
      <c r="F512" s="5" t="s">
        <v>176</v>
      </c>
      <c r="G512" s="5" t="s">
        <v>177</v>
      </c>
      <c r="H512" s="6">
        <v>7372</v>
      </c>
      <c r="I512" s="5"/>
    </row>
    <row r="513" spans="1:9" x14ac:dyDescent="0.3">
      <c r="B513" s="5" t="s">
        <v>545</v>
      </c>
      <c r="C513" s="5" t="s">
        <v>10</v>
      </c>
      <c r="D513" s="5" t="s">
        <v>530</v>
      </c>
      <c r="E513" s="5" t="s">
        <v>554</v>
      </c>
      <c r="F513" s="5" t="s">
        <v>13</v>
      </c>
      <c r="G513" s="5" t="s">
        <v>14</v>
      </c>
      <c r="H513" s="5"/>
      <c r="I513" s="6">
        <v>7372</v>
      </c>
    </row>
    <row r="514" spans="1:9" x14ac:dyDescent="0.3">
      <c r="B514" s="5" t="s">
        <v>545</v>
      </c>
      <c r="C514" s="5" t="s">
        <v>10</v>
      </c>
      <c r="D514" s="5" t="s">
        <v>530</v>
      </c>
      <c r="E514" s="5" t="s">
        <v>555</v>
      </c>
      <c r="F514" s="5" t="s">
        <v>425</v>
      </c>
      <c r="G514" s="5" t="s">
        <v>426</v>
      </c>
      <c r="H514" s="6">
        <v>12422.84</v>
      </c>
      <c r="I514" s="5"/>
    </row>
    <row r="515" spans="1:9" x14ac:dyDescent="0.3">
      <c r="B515" s="5" t="s">
        <v>545</v>
      </c>
      <c r="C515" s="5" t="s">
        <v>10</v>
      </c>
      <c r="D515" s="5" t="s">
        <v>530</v>
      </c>
      <c r="E515" s="5" t="s">
        <v>555</v>
      </c>
      <c r="F515" s="5" t="s">
        <v>427</v>
      </c>
      <c r="G515" s="5" t="s">
        <v>428</v>
      </c>
      <c r="H515" s="5"/>
      <c r="I515" s="6">
        <v>3309.25</v>
      </c>
    </row>
    <row r="516" spans="1:9" x14ac:dyDescent="0.3">
      <c r="B516" s="5" t="s">
        <v>545</v>
      </c>
      <c r="C516" s="5" t="s">
        <v>10</v>
      </c>
      <c r="D516" s="5" t="s">
        <v>530</v>
      </c>
      <c r="E516" s="5" t="s">
        <v>555</v>
      </c>
      <c r="F516" s="5" t="s">
        <v>429</v>
      </c>
      <c r="G516" s="5" t="s">
        <v>430</v>
      </c>
      <c r="H516" s="5"/>
      <c r="I516" s="6">
        <v>6857.04</v>
      </c>
    </row>
    <row r="517" spans="1:9" x14ac:dyDescent="0.3">
      <c r="B517" s="5" t="s">
        <v>545</v>
      </c>
      <c r="C517" s="5" t="s">
        <v>10</v>
      </c>
      <c r="D517" s="5" t="s">
        <v>530</v>
      </c>
      <c r="E517" s="5" t="s">
        <v>555</v>
      </c>
      <c r="F517" s="5" t="s">
        <v>431</v>
      </c>
      <c r="G517" s="5" t="s">
        <v>432</v>
      </c>
      <c r="H517" s="5"/>
      <c r="I517" s="6">
        <v>2256.5500000000002</v>
      </c>
    </row>
    <row r="518" spans="1:9" x14ac:dyDescent="0.3">
      <c r="A518" s="7" t="s">
        <v>556</v>
      </c>
      <c r="H518" s="8">
        <f>H512+H513+H514+H515+H516+H517</f>
        <v>19794.84</v>
      </c>
      <c r="I518" s="8">
        <f>I512+I513+I514+I515+I516+I517</f>
        <v>19794.84</v>
      </c>
    </row>
    <row r="519" spans="1:9" x14ac:dyDescent="0.3">
      <c r="A519" s="4" t="s">
        <v>557</v>
      </c>
    </row>
    <row r="520" spans="1:9" x14ac:dyDescent="0.3">
      <c r="B520" s="5" t="s">
        <v>558</v>
      </c>
      <c r="C520" s="5" t="s">
        <v>10</v>
      </c>
      <c r="D520" s="5" t="s">
        <v>536</v>
      </c>
      <c r="E520" s="5" t="s">
        <v>559</v>
      </c>
      <c r="F520" s="5" t="s">
        <v>113</v>
      </c>
      <c r="G520" s="5" t="s">
        <v>114</v>
      </c>
      <c r="H520" s="6">
        <v>360</v>
      </c>
      <c r="I520" s="5"/>
    </row>
    <row r="521" spans="1:9" x14ac:dyDescent="0.3">
      <c r="B521" s="5" t="s">
        <v>558</v>
      </c>
      <c r="C521" s="5" t="s">
        <v>10</v>
      </c>
      <c r="D521" s="5" t="s">
        <v>536</v>
      </c>
      <c r="E521" s="5" t="s">
        <v>560</v>
      </c>
      <c r="F521" s="5" t="s">
        <v>61</v>
      </c>
      <c r="G521" s="5" t="s">
        <v>62</v>
      </c>
      <c r="H521" s="6">
        <v>90</v>
      </c>
      <c r="I521" s="5"/>
    </row>
    <row r="522" spans="1:9" x14ac:dyDescent="0.3">
      <c r="B522" s="5" t="s">
        <v>558</v>
      </c>
      <c r="C522" s="5" t="s">
        <v>10</v>
      </c>
      <c r="D522" s="5" t="s">
        <v>536</v>
      </c>
      <c r="E522" s="5" t="s">
        <v>561</v>
      </c>
      <c r="F522" s="5" t="s">
        <v>129</v>
      </c>
      <c r="G522" s="5" t="s">
        <v>130</v>
      </c>
      <c r="H522" s="6">
        <v>50</v>
      </c>
      <c r="I522" s="5"/>
    </row>
    <row r="523" spans="1:9" x14ac:dyDescent="0.3">
      <c r="B523" s="5" t="s">
        <v>558</v>
      </c>
      <c r="C523" s="5" t="s">
        <v>10</v>
      </c>
      <c r="D523" s="5" t="s">
        <v>536</v>
      </c>
      <c r="E523" s="5" t="s">
        <v>562</v>
      </c>
      <c r="F523" s="5" t="s">
        <v>13</v>
      </c>
      <c r="G523" s="5" t="s">
        <v>14</v>
      </c>
      <c r="H523" s="5"/>
      <c r="I523" s="6">
        <v>500</v>
      </c>
    </row>
    <row r="524" spans="1:9" x14ac:dyDescent="0.3">
      <c r="A524" s="7" t="s">
        <v>563</v>
      </c>
      <c r="H524" s="8">
        <f>H520+H521+H522+H523</f>
        <v>500</v>
      </c>
      <c r="I524" s="8">
        <f>I520+I521+I522+I523</f>
        <v>500</v>
      </c>
    </row>
    <row r="525" spans="1:9" x14ac:dyDescent="0.3">
      <c r="A525" s="4" t="s">
        <v>564</v>
      </c>
    </row>
    <row r="526" spans="1:9" x14ac:dyDescent="0.3">
      <c r="B526" s="5" t="s">
        <v>558</v>
      </c>
      <c r="C526" s="5" t="s">
        <v>10</v>
      </c>
      <c r="D526" s="5" t="s">
        <v>540</v>
      </c>
      <c r="E526" s="5" t="s">
        <v>565</v>
      </c>
      <c r="F526" s="5" t="s">
        <v>439</v>
      </c>
      <c r="G526" s="5" t="s">
        <v>440</v>
      </c>
      <c r="H526" s="6">
        <v>80000</v>
      </c>
      <c r="I526" s="5"/>
    </row>
    <row r="527" spans="1:9" x14ac:dyDescent="0.3">
      <c r="B527" s="5" t="s">
        <v>558</v>
      </c>
      <c r="C527" s="5" t="s">
        <v>10</v>
      </c>
      <c r="D527" s="5" t="s">
        <v>540</v>
      </c>
      <c r="E527" s="5" t="s">
        <v>565</v>
      </c>
      <c r="F527" s="5" t="s">
        <v>441</v>
      </c>
      <c r="G527" s="5" t="s">
        <v>442</v>
      </c>
      <c r="H527" s="6">
        <v>50600</v>
      </c>
      <c r="I527" s="5"/>
    </row>
    <row r="528" spans="1:9" x14ac:dyDescent="0.3">
      <c r="B528" s="5" t="s">
        <v>558</v>
      </c>
      <c r="C528" s="5" t="s">
        <v>10</v>
      </c>
      <c r="D528" s="5" t="s">
        <v>540</v>
      </c>
      <c r="E528" s="5" t="s">
        <v>565</v>
      </c>
      <c r="F528" s="5" t="s">
        <v>443</v>
      </c>
      <c r="G528" s="5" t="s">
        <v>444</v>
      </c>
      <c r="H528" s="6">
        <v>50600</v>
      </c>
      <c r="I528" s="5"/>
    </row>
    <row r="529" spans="1:9" x14ac:dyDescent="0.3">
      <c r="B529" s="5" t="s">
        <v>558</v>
      </c>
      <c r="C529" s="5" t="s">
        <v>10</v>
      </c>
      <c r="D529" s="5" t="s">
        <v>540</v>
      </c>
      <c r="E529" s="5" t="s">
        <v>565</v>
      </c>
      <c r="F529" s="5" t="s">
        <v>445</v>
      </c>
      <c r="G529" s="5" t="s">
        <v>446</v>
      </c>
      <c r="H529" s="6">
        <v>50600</v>
      </c>
      <c r="I529" s="5"/>
    </row>
    <row r="530" spans="1:9" x14ac:dyDescent="0.3">
      <c r="B530" s="5" t="s">
        <v>558</v>
      </c>
      <c r="C530" s="5" t="s">
        <v>10</v>
      </c>
      <c r="D530" s="5" t="s">
        <v>540</v>
      </c>
      <c r="E530" s="5" t="s">
        <v>565</v>
      </c>
      <c r="F530" s="5" t="s">
        <v>447</v>
      </c>
      <c r="G530" s="5" t="s">
        <v>448</v>
      </c>
      <c r="H530" s="6">
        <v>11860</v>
      </c>
      <c r="I530" s="5"/>
    </row>
    <row r="531" spans="1:9" x14ac:dyDescent="0.3">
      <c r="B531" s="5" t="s">
        <v>558</v>
      </c>
      <c r="C531" s="5" t="s">
        <v>10</v>
      </c>
      <c r="D531" s="5" t="s">
        <v>540</v>
      </c>
      <c r="E531" s="5" t="s">
        <v>565</v>
      </c>
      <c r="F531" s="5" t="s">
        <v>449</v>
      </c>
      <c r="G531" s="5" t="s">
        <v>450</v>
      </c>
      <c r="H531" s="6">
        <v>6960</v>
      </c>
      <c r="I531" s="5"/>
    </row>
    <row r="532" spans="1:9" x14ac:dyDescent="0.3">
      <c r="B532" s="5" t="s">
        <v>558</v>
      </c>
      <c r="C532" s="5" t="s">
        <v>10</v>
      </c>
      <c r="D532" s="5" t="s">
        <v>540</v>
      </c>
      <c r="E532" s="5" t="s">
        <v>565</v>
      </c>
      <c r="F532" s="5" t="s">
        <v>451</v>
      </c>
      <c r="G532" s="5" t="s">
        <v>452</v>
      </c>
      <c r="H532" s="6">
        <v>6960</v>
      </c>
      <c r="I532" s="5"/>
    </row>
    <row r="533" spans="1:9" x14ac:dyDescent="0.3">
      <c r="B533" s="5" t="s">
        <v>558</v>
      </c>
      <c r="C533" s="5" t="s">
        <v>10</v>
      </c>
      <c r="D533" s="5" t="s">
        <v>540</v>
      </c>
      <c r="E533" s="5" t="s">
        <v>565</v>
      </c>
      <c r="F533" s="5" t="s">
        <v>453</v>
      </c>
      <c r="G533" s="5" t="s">
        <v>454</v>
      </c>
      <c r="H533" s="6">
        <v>6960</v>
      </c>
      <c r="I533" s="5"/>
    </row>
    <row r="534" spans="1:9" x14ac:dyDescent="0.3">
      <c r="B534" s="5" t="s">
        <v>558</v>
      </c>
      <c r="C534" s="5" t="s">
        <v>10</v>
      </c>
      <c r="D534" s="5" t="s">
        <v>540</v>
      </c>
      <c r="E534" s="5" t="s">
        <v>565</v>
      </c>
      <c r="F534" s="5" t="s">
        <v>547</v>
      </c>
      <c r="G534" s="5" t="s">
        <v>548</v>
      </c>
      <c r="H534" s="6">
        <v>9900</v>
      </c>
      <c r="I534" s="5"/>
    </row>
    <row r="535" spans="1:9" x14ac:dyDescent="0.3">
      <c r="B535" s="5" t="s">
        <v>558</v>
      </c>
      <c r="C535" s="5" t="s">
        <v>10</v>
      </c>
      <c r="D535" s="5" t="s">
        <v>540</v>
      </c>
      <c r="E535" s="5" t="s">
        <v>565</v>
      </c>
      <c r="F535" s="5" t="s">
        <v>455</v>
      </c>
      <c r="G535" s="5" t="s">
        <v>456</v>
      </c>
      <c r="H535" s="6">
        <v>28100</v>
      </c>
      <c r="I535" s="5"/>
    </row>
    <row r="536" spans="1:9" x14ac:dyDescent="0.3">
      <c r="B536" s="5" t="s">
        <v>558</v>
      </c>
      <c r="C536" s="5" t="s">
        <v>10</v>
      </c>
      <c r="D536" s="5" t="s">
        <v>540</v>
      </c>
      <c r="E536" s="5" t="s">
        <v>565</v>
      </c>
      <c r="F536" s="5" t="s">
        <v>549</v>
      </c>
      <c r="G536" s="5" t="s">
        <v>550</v>
      </c>
      <c r="H536" s="6">
        <v>2500</v>
      </c>
      <c r="I536" s="5"/>
    </row>
    <row r="537" spans="1:9" x14ac:dyDescent="0.3">
      <c r="B537" s="5" t="s">
        <v>558</v>
      </c>
      <c r="C537" s="5" t="s">
        <v>10</v>
      </c>
      <c r="D537" s="5" t="s">
        <v>540</v>
      </c>
      <c r="E537" s="5" t="s">
        <v>565</v>
      </c>
      <c r="F537" s="5" t="s">
        <v>13</v>
      </c>
      <c r="G537" s="5" t="s">
        <v>14</v>
      </c>
      <c r="H537" s="5"/>
      <c r="I537" s="6">
        <v>305040</v>
      </c>
    </row>
    <row r="538" spans="1:9" x14ac:dyDescent="0.3">
      <c r="A538" s="7" t="s">
        <v>566</v>
      </c>
      <c r="H538" s="8">
        <f>H526+H527+H528+H529+H530+H531+H532+H533+H534+H535+H536+H537</f>
        <v>305040</v>
      </c>
      <c r="I538" s="8">
        <f>I526+I527+I528+I529+I530+I531+I532+I533+I534+I535+I536+I537</f>
        <v>305040</v>
      </c>
    </row>
    <row r="539" spans="1:9" x14ac:dyDescent="0.3">
      <c r="A539" s="4" t="s">
        <v>567</v>
      </c>
    </row>
    <row r="540" spans="1:9" x14ac:dyDescent="0.3">
      <c r="B540" s="5" t="s">
        <v>568</v>
      </c>
      <c r="C540" s="5" t="s">
        <v>10</v>
      </c>
      <c r="D540" s="5" t="s">
        <v>544</v>
      </c>
      <c r="E540" s="5" t="s">
        <v>569</v>
      </c>
      <c r="F540" s="5" t="s">
        <v>421</v>
      </c>
      <c r="G540" s="5" t="s">
        <v>422</v>
      </c>
      <c r="H540" s="6">
        <v>3740</v>
      </c>
      <c r="I540" s="5"/>
    </row>
    <row r="541" spans="1:9" x14ac:dyDescent="0.3">
      <c r="B541" s="5" t="s">
        <v>568</v>
      </c>
      <c r="C541" s="5" t="s">
        <v>10</v>
      </c>
      <c r="D541" s="5" t="s">
        <v>544</v>
      </c>
      <c r="E541" s="5" t="s">
        <v>569</v>
      </c>
      <c r="F541" s="5" t="s">
        <v>13</v>
      </c>
      <c r="G541" s="5" t="s">
        <v>14</v>
      </c>
      <c r="H541" s="5"/>
      <c r="I541" s="6">
        <v>3740</v>
      </c>
    </row>
    <row r="542" spans="1:9" x14ac:dyDescent="0.3">
      <c r="A542" s="7" t="s">
        <v>570</v>
      </c>
      <c r="H542" s="8">
        <f>H540+H541</f>
        <v>3740</v>
      </c>
      <c r="I542" s="8">
        <f>I540+I541</f>
        <v>3740</v>
      </c>
    </row>
    <row r="543" spans="1:9" x14ac:dyDescent="0.3">
      <c r="A543" s="4" t="s">
        <v>571</v>
      </c>
    </row>
    <row r="544" spans="1:9" x14ac:dyDescent="0.3">
      <c r="B544" s="5" t="s">
        <v>568</v>
      </c>
      <c r="C544" s="5" t="s">
        <v>10</v>
      </c>
      <c r="D544" s="5" t="s">
        <v>553</v>
      </c>
      <c r="E544" s="5" t="s">
        <v>572</v>
      </c>
      <c r="F544" s="5" t="s">
        <v>61</v>
      </c>
      <c r="G544" s="5" t="s">
        <v>62</v>
      </c>
      <c r="H544" s="6">
        <v>260</v>
      </c>
      <c r="I544" s="5"/>
    </row>
    <row r="545" spans="1:9" x14ac:dyDescent="0.3">
      <c r="B545" s="5" t="s">
        <v>568</v>
      </c>
      <c r="C545" s="5" t="s">
        <v>10</v>
      </c>
      <c r="D545" s="5" t="s">
        <v>553</v>
      </c>
      <c r="E545" s="5" t="s">
        <v>572</v>
      </c>
      <c r="F545" s="5" t="s">
        <v>13</v>
      </c>
      <c r="G545" s="5" t="s">
        <v>14</v>
      </c>
      <c r="H545" s="5"/>
      <c r="I545" s="6">
        <v>260</v>
      </c>
    </row>
    <row r="546" spans="1:9" x14ac:dyDescent="0.3">
      <c r="A546" s="7" t="s">
        <v>573</v>
      </c>
      <c r="H546" s="8">
        <f>H544+H545</f>
        <v>260</v>
      </c>
      <c r="I546" s="8">
        <f>I544+I545</f>
        <v>260</v>
      </c>
    </row>
    <row r="547" spans="1:9" x14ac:dyDescent="0.3">
      <c r="A547" s="4" t="s">
        <v>574</v>
      </c>
    </row>
    <row r="548" spans="1:9" x14ac:dyDescent="0.3">
      <c r="B548" s="5" t="s">
        <v>575</v>
      </c>
      <c r="C548" s="5" t="s">
        <v>10</v>
      </c>
      <c r="D548" s="5" t="s">
        <v>557</v>
      </c>
      <c r="E548" s="5" t="s">
        <v>572</v>
      </c>
      <c r="F548" s="5" t="s">
        <v>61</v>
      </c>
      <c r="G548" s="5" t="s">
        <v>62</v>
      </c>
      <c r="H548" s="6">
        <v>300</v>
      </c>
      <c r="I548" s="5"/>
    </row>
    <row r="549" spans="1:9" x14ac:dyDescent="0.3">
      <c r="B549" s="5" t="s">
        <v>575</v>
      </c>
      <c r="C549" s="5" t="s">
        <v>10</v>
      </c>
      <c r="D549" s="5" t="s">
        <v>557</v>
      </c>
      <c r="E549" s="5" t="s">
        <v>572</v>
      </c>
      <c r="F549" s="5" t="s">
        <v>13</v>
      </c>
      <c r="G549" s="5" t="s">
        <v>14</v>
      </c>
      <c r="H549" s="5"/>
      <c r="I549" s="6">
        <v>300</v>
      </c>
    </row>
    <row r="550" spans="1:9" x14ac:dyDescent="0.3">
      <c r="A550" s="7" t="s">
        <v>576</v>
      </c>
      <c r="H550" s="8">
        <f>H548+H549</f>
        <v>300</v>
      </c>
      <c r="I550" s="8">
        <f>I548+I549</f>
        <v>300</v>
      </c>
    </row>
    <row r="551" spans="1:9" x14ac:dyDescent="0.3">
      <c r="A551" s="4" t="s">
        <v>577</v>
      </c>
    </row>
    <row r="552" spans="1:9" x14ac:dyDescent="0.3">
      <c r="B552" s="5" t="s">
        <v>578</v>
      </c>
      <c r="C552" s="5" t="s">
        <v>10</v>
      </c>
      <c r="D552" s="5" t="s">
        <v>564</v>
      </c>
      <c r="E552" s="5" t="s">
        <v>579</v>
      </c>
      <c r="F552" s="5" t="s">
        <v>61</v>
      </c>
      <c r="G552" s="5" t="s">
        <v>62</v>
      </c>
      <c r="H552" s="6">
        <v>150</v>
      </c>
      <c r="I552" s="5"/>
    </row>
    <row r="553" spans="1:9" x14ac:dyDescent="0.3">
      <c r="B553" s="5" t="s">
        <v>578</v>
      </c>
      <c r="C553" s="5" t="s">
        <v>10</v>
      </c>
      <c r="D553" s="5" t="s">
        <v>564</v>
      </c>
      <c r="E553" s="5" t="s">
        <v>579</v>
      </c>
      <c r="F553" s="5" t="s">
        <v>13</v>
      </c>
      <c r="G553" s="5" t="s">
        <v>14</v>
      </c>
      <c r="H553" s="5"/>
      <c r="I553" s="6">
        <v>150</v>
      </c>
    </row>
    <row r="554" spans="1:9" x14ac:dyDescent="0.3">
      <c r="A554" s="7" t="s">
        <v>580</v>
      </c>
      <c r="H554" s="8">
        <f>H552+H553</f>
        <v>150</v>
      </c>
      <c r="I554" s="8">
        <f>I552+I553</f>
        <v>150</v>
      </c>
    </row>
    <row r="555" spans="1:9" x14ac:dyDescent="0.3">
      <c r="A555" s="4" t="s">
        <v>581</v>
      </c>
    </row>
    <row r="556" spans="1:9" x14ac:dyDescent="0.3">
      <c r="B556" s="5" t="s">
        <v>578</v>
      </c>
      <c r="C556" s="5" t="s">
        <v>10</v>
      </c>
      <c r="D556" s="5" t="s">
        <v>567</v>
      </c>
      <c r="E556" s="5" t="s">
        <v>391</v>
      </c>
      <c r="F556" s="5" t="s">
        <v>116</v>
      </c>
      <c r="G556" s="5" t="s">
        <v>117</v>
      </c>
      <c r="H556" s="6">
        <v>500</v>
      </c>
      <c r="I556" s="5"/>
    </row>
    <row r="557" spans="1:9" x14ac:dyDescent="0.3">
      <c r="B557" s="5" t="s">
        <v>578</v>
      </c>
      <c r="C557" s="5" t="s">
        <v>10</v>
      </c>
      <c r="D557" s="5" t="s">
        <v>567</v>
      </c>
      <c r="E557" s="5" t="s">
        <v>391</v>
      </c>
      <c r="F557" s="5" t="s">
        <v>13</v>
      </c>
      <c r="G557" s="5" t="s">
        <v>14</v>
      </c>
      <c r="H557" s="5"/>
      <c r="I557" s="6">
        <v>500</v>
      </c>
    </row>
    <row r="558" spans="1:9" x14ac:dyDescent="0.3">
      <c r="A558" s="7" t="s">
        <v>582</v>
      </c>
      <c r="H558" s="8">
        <f>H556+H557</f>
        <v>500</v>
      </c>
      <c r="I558" s="8">
        <f>I556+I557</f>
        <v>500</v>
      </c>
    </row>
    <row r="559" spans="1:9" x14ac:dyDescent="0.3">
      <c r="A559" s="4" t="s">
        <v>583</v>
      </c>
    </row>
    <row r="560" spans="1:9" x14ac:dyDescent="0.3">
      <c r="B560" s="5" t="s">
        <v>584</v>
      </c>
      <c r="C560" s="5" t="s">
        <v>10</v>
      </c>
      <c r="D560" s="5" t="s">
        <v>571</v>
      </c>
      <c r="E560" s="5" t="s">
        <v>184</v>
      </c>
      <c r="F560" s="5" t="s">
        <v>61</v>
      </c>
      <c r="G560" s="5" t="s">
        <v>62</v>
      </c>
      <c r="H560" s="6">
        <v>1000</v>
      </c>
      <c r="I560" s="5"/>
    </row>
    <row r="561" spans="1:9" x14ac:dyDescent="0.3">
      <c r="B561" s="5" t="s">
        <v>584</v>
      </c>
      <c r="C561" s="5" t="s">
        <v>10</v>
      </c>
      <c r="D561" s="5" t="s">
        <v>571</v>
      </c>
      <c r="E561" s="5" t="s">
        <v>585</v>
      </c>
      <c r="F561" s="5" t="s">
        <v>13</v>
      </c>
      <c r="G561" s="5" t="s">
        <v>14</v>
      </c>
      <c r="H561" s="5"/>
      <c r="I561" s="6">
        <v>1000</v>
      </c>
    </row>
    <row r="562" spans="1:9" x14ac:dyDescent="0.3">
      <c r="A562" s="7" t="s">
        <v>586</v>
      </c>
      <c r="H562" s="8">
        <f>H560+H561</f>
        <v>1000</v>
      </c>
      <c r="I562" s="8">
        <f>I560+I561</f>
        <v>1000</v>
      </c>
    </row>
    <row r="563" spans="1:9" x14ac:dyDescent="0.3">
      <c r="A563" s="4" t="s">
        <v>587</v>
      </c>
    </row>
    <row r="564" spans="1:9" x14ac:dyDescent="0.3">
      <c r="B564" s="5" t="s">
        <v>584</v>
      </c>
      <c r="C564" s="5" t="s">
        <v>10</v>
      </c>
      <c r="D564" s="5" t="s">
        <v>574</v>
      </c>
      <c r="E564" s="5" t="s">
        <v>585</v>
      </c>
      <c r="F564" s="5" t="s">
        <v>87</v>
      </c>
      <c r="G564" s="5" t="s">
        <v>88</v>
      </c>
      <c r="H564" s="6">
        <v>1000</v>
      </c>
      <c r="I564" s="5"/>
    </row>
    <row r="565" spans="1:9" x14ac:dyDescent="0.3">
      <c r="B565" s="5" t="s">
        <v>584</v>
      </c>
      <c r="C565" s="5" t="s">
        <v>10</v>
      </c>
      <c r="D565" s="5" t="s">
        <v>574</v>
      </c>
      <c r="E565" s="5" t="s">
        <v>585</v>
      </c>
      <c r="F565" s="5" t="s">
        <v>13</v>
      </c>
      <c r="G565" s="5" t="s">
        <v>14</v>
      </c>
      <c r="H565" s="5"/>
      <c r="I565" s="6">
        <v>1000</v>
      </c>
    </row>
    <row r="566" spans="1:9" x14ac:dyDescent="0.3">
      <c r="A566" s="7" t="s">
        <v>588</v>
      </c>
      <c r="H566" s="8">
        <f>H564+H565</f>
        <v>1000</v>
      </c>
      <c r="I566" s="8">
        <f>I564+I565</f>
        <v>1000</v>
      </c>
    </row>
    <row r="567" spans="1:9" x14ac:dyDescent="0.3">
      <c r="A567" s="4" t="s">
        <v>589</v>
      </c>
    </row>
    <row r="568" spans="1:9" x14ac:dyDescent="0.3">
      <c r="B568" s="5" t="s">
        <v>584</v>
      </c>
      <c r="C568" s="5" t="s">
        <v>10</v>
      </c>
      <c r="D568" s="5" t="s">
        <v>577</v>
      </c>
      <c r="E568" s="5" t="s">
        <v>590</v>
      </c>
      <c r="F568" s="5" t="s">
        <v>61</v>
      </c>
      <c r="G568" s="5" t="s">
        <v>62</v>
      </c>
      <c r="H568" s="6">
        <v>220</v>
      </c>
      <c r="I568" s="5"/>
    </row>
    <row r="569" spans="1:9" x14ac:dyDescent="0.3">
      <c r="B569" s="5" t="s">
        <v>584</v>
      </c>
      <c r="C569" s="5" t="s">
        <v>10</v>
      </c>
      <c r="D569" s="5" t="s">
        <v>577</v>
      </c>
      <c r="E569" s="5" t="s">
        <v>590</v>
      </c>
      <c r="F569" s="5" t="s">
        <v>13</v>
      </c>
      <c r="G569" s="5" t="s">
        <v>14</v>
      </c>
      <c r="H569" s="5"/>
      <c r="I569" s="6">
        <v>220</v>
      </c>
    </row>
    <row r="570" spans="1:9" x14ac:dyDescent="0.3">
      <c r="A570" s="7" t="s">
        <v>591</v>
      </c>
      <c r="H570" s="8">
        <f>H568+H569</f>
        <v>220</v>
      </c>
      <c r="I570" s="8">
        <f>I568+I569</f>
        <v>220</v>
      </c>
    </row>
    <row r="571" spans="1:9" x14ac:dyDescent="0.3">
      <c r="A571" s="4" t="s">
        <v>592</v>
      </c>
    </row>
    <row r="572" spans="1:9" x14ac:dyDescent="0.3">
      <c r="B572" s="5" t="s">
        <v>584</v>
      </c>
      <c r="C572" s="5" t="s">
        <v>10</v>
      </c>
      <c r="D572" s="5" t="s">
        <v>581</v>
      </c>
      <c r="E572" s="5" t="s">
        <v>593</v>
      </c>
      <c r="F572" s="5" t="s">
        <v>113</v>
      </c>
      <c r="G572" s="5" t="s">
        <v>114</v>
      </c>
      <c r="H572" s="6">
        <v>930</v>
      </c>
      <c r="I572" s="5"/>
    </row>
    <row r="573" spans="1:9" x14ac:dyDescent="0.3">
      <c r="B573" s="5" t="s">
        <v>584</v>
      </c>
      <c r="C573" s="5" t="s">
        <v>10</v>
      </c>
      <c r="D573" s="5" t="s">
        <v>581</v>
      </c>
      <c r="E573" s="5" t="s">
        <v>593</v>
      </c>
      <c r="F573" s="5" t="s">
        <v>13</v>
      </c>
      <c r="G573" s="5" t="s">
        <v>14</v>
      </c>
      <c r="H573" s="5"/>
      <c r="I573" s="6">
        <v>930</v>
      </c>
    </row>
    <row r="574" spans="1:9" x14ac:dyDescent="0.3">
      <c r="A574" s="7" t="s">
        <v>594</v>
      </c>
      <c r="H574" s="8">
        <f>H572+H573</f>
        <v>930</v>
      </c>
      <c r="I574" s="8">
        <f>I572+I573</f>
        <v>930</v>
      </c>
    </row>
    <row r="575" spans="1:9" x14ac:dyDescent="0.3">
      <c r="A575" s="4" t="s">
        <v>595</v>
      </c>
    </row>
    <row r="576" spans="1:9" x14ac:dyDescent="0.3">
      <c r="B576" s="5" t="s">
        <v>584</v>
      </c>
      <c r="C576" s="5" t="s">
        <v>10</v>
      </c>
      <c r="D576" s="5" t="s">
        <v>583</v>
      </c>
      <c r="E576" s="5" t="s">
        <v>184</v>
      </c>
      <c r="F576" s="5" t="s">
        <v>61</v>
      </c>
      <c r="G576" s="5" t="s">
        <v>62</v>
      </c>
      <c r="H576" s="6">
        <v>1140</v>
      </c>
      <c r="I576" s="5"/>
    </row>
    <row r="577" spans="1:9" x14ac:dyDescent="0.3">
      <c r="B577" s="5" t="s">
        <v>584</v>
      </c>
      <c r="C577" s="5" t="s">
        <v>10</v>
      </c>
      <c r="D577" s="5" t="s">
        <v>583</v>
      </c>
      <c r="E577" s="5" t="s">
        <v>184</v>
      </c>
      <c r="F577" s="5" t="s">
        <v>13</v>
      </c>
      <c r="G577" s="5" t="s">
        <v>14</v>
      </c>
      <c r="H577" s="5"/>
      <c r="I577" s="6">
        <v>1140</v>
      </c>
    </row>
    <row r="578" spans="1:9" x14ac:dyDescent="0.3">
      <c r="A578" s="7" t="s">
        <v>596</v>
      </c>
      <c r="H578" s="8">
        <f>H576+H577</f>
        <v>1140</v>
      </c>
      <c r="I578" s="8">
        <f>I576+I577</f>
        <v>1140</v>
      </c>
    </row>
    <row r="579" spans="1:9" x14ac:dyDescent="0.3">
      <c r="A579" s="4" t="s">
        <v>597</v>
      </c>
    </row>
    <row r="580" spans="1:9" x14ac:dyDescent="0.3">
      <c r="B580" s="5" t="s">
        <v>598</v>
      </c>
      <c r="C580" s="5" t="s">
        <v>10</v>
      </c>
      <c r="D580" s="5" t="s">
        <v>587</v>
      </c>
      <c r="E580" s="5" t="s">
        <v>599</v>
      </c>
      <c r="F580" s="5" t="s">
        <v>81</v>
      </c>
      <c r="G580" s="5" t="s">
        <v>82</v>
      </c>
      <c r="H580" s="6">
        <v>29350</v>
      </c>
      <c r="I580" s="5"/>
    </row>
    <row r="581" spans="1:9" x14ac:dyDescent="0.3">
      <c r="B581" s="5" t="s">
        <v>598</v>
      </c>
      <c r="C581" s="5" t="s">
        <v>10</v>
      </c>
      <c r="D581" s="5" t="s">
        <v>587</v>
      </c>
      <c r="E581" s="5" t="s">
        <v>599</v>
      </c>
      <c r="F581" s="5" t="s">
        <v>13</v>
      </c>
      <c r="G581" s="5" t="s">
        <v>14</v>
      </c>
      <c r="H581" s="5"/>
      <c r="I581" s="6">
        <v>29350</v>
      </c>
    </row>
    <row r="582" spans="1:9" x14ac:dyDescent="0.3">
      <c r="A582" s="7" t="s">
        <v>600</v>
      </c>
      <c r="H582" s="8">
        <f>H580+H581</f>
        <v>29350</v>
      </c>
      <c r="I582" s="8">
        <f>I580+I581</f>
        <v>29350</v>
      </c>
    </row>
    <row r="583" spans="1:9" x14ac:dyDescent="0.3">
      <c r="A583" s="4" t="s">
        <v>601</v>
      </c>
    </row>
    <row r="584" spans="1:9" x14ac:dyDescent="0.3">
      <c r="B584" s="5" t="s">
        <v>598</v>
      </c>
      <c r="C584" s="5" t="s">
        <v>10</v>
      </c>
      <c r="D584" s="5" t="s">
        <v>589</v>
      </c>
      <c r="E584" s="5" t="s">
        <v>572</v>
      </c>
      <c r="F584" s="5" t="s">
        <v>61</v>
      </c>
      <c r="G584" s="5" t="s">
        <v>62</v>
      </c>
      <c r="H584" s="6">
        <v>300</v>
      </c>
      <c r="I584" s="5"/>
    </row>
    <row r="585" spans="1:9" x14ac:dyDescent="0.3">
      <c r="B585" s="5" t="s">
        <v>598</v>
      </c>
      <c r="C585" s="5" t="s">
        <v>10</v>
      </c>
      <c r="D585" s="5" t="s">
        <v>589</v>
      </c>
      <c r="E585" s="5" t="s">
        <v>572</v>
      </c>
      <c r="F585" s="5" t="s">
        <v>13</v>
      </c>
      <c r="G585" s="5" t="s">
        <v>14</v>
      </c>
      <c r="H585" s="5"/>
      <c r="I585" s="6">
        <v>300</v>
      </c>
    </row>
    <row r="586" spans="1:9" x14ac:dyDescent="0.3">
      <c r="B586" s="5" t="s">
        <v>598</v>
      </c>
      <c r="C586" s="5" t="s">
        <v>10</v>
      </c>
      <c r="D586" s="5" t="s">
        <v>589</v>
      </c>
      <c r="E586" s="5" t="s">
        <v>602</v>
      </c>
      <c r="F586" s="5" t="s">
        <v>176</v>
      </c>
      <c r="G586" s="5" t="s">
        <v>177</v>
      </c>
      <c r="H586" s="6">
        <v>7337</v>
      </c>
      <c r="I586" s="5"/>
    </row>
    <row r="587" spans="1:9" x14ac:dyDescent="0.3">
      <c r="B587" s="5" t="s">
        <v>598</v>
      </c>
      <c r="C587" s="5" t="s">
        <v>10</v>
      </c>
      <c r="D587" s="5" t="s">
        <v>589</v>
      </c>
      <c r="E587" s="5" t="s">
        <v>602</v>
      </c>
      <c r="F587" s="5" t="s">
        <v>13</v>
      </c>
      <c r="G587" s="5" t="s">
        <v>14</v>
      </c>
      <c r="H587" s="5"/>
      <c r="I587" s="6">
        <v>7337</v>
      </c>
    </row>
    <row r="588" spans="1:9" x14ac:dyDescent="0.3">
      <c r="A588" s="7" t="s">
        <v>603</v>
      </c>
      <c r="H588" s="8">
        <f>H584+H585+H586+H587</f>
        <v>7637</v>
      </c>
      <c r="I588" s="8">
        <f>I584+I585+I586+I587</f>
        <v>7637</v>
      </c>
    </row>
    <row r="589" spans="1:9" x14ac:dyDescent="0.3">
      <c r="A589" s="4" t="s">
        <v>604</v>
      </c>
    </row>
    <row r="590" spans="1:9" x14ac:dyDescent="0.3">
      <c r="B590" s="5" t="s">
        <v>605</v>
      </c>
      <c r="C590" s="5" t="s">
        <v>10</v>
      </c>
      <c r="D590" s="5" t="s">
        <v>592</v>
      </c>
      <c r="E590" s="5" t="s">
        <v>606</v>
      </c>
      <c r="F590" s="5" t="s">
        <v>61</v>
      </c>
      <c r="G590" s="5" t="s">
        <v>62</v>
      </c>
      <c r="H590" s="6">
        <v>250</v>
      </c>
      <c r="I590" s="5"/>
    </row>
    <row r="591" spans="1:9" x14ac:dyDescent="0.3">
      <c r="B591" s="5" t="s">
        <v>605</v>
      </c>
      <c r="C591" s="5" t="s">
        <v>10</v>
      </c>
      <c r="D591" s="5" t="s">
        <v>592</v>
      </c>
      <c r="E591" s="5" t="s">
        <v>606</v>
      </c>
      <c r="F591" s="5" t="s">
        <v>13</v>
      </c>
      <c r="G591" s="5" t="s">
        <v>14</v>
      </c>
      <c r="H591" s="5"/>
      <c r="I591" s="6">
        <v>250</v>
      </c>
    </row>
    <row r="592" spans="1:9" x14ac:dyDescent="0.3">
      <c r="A592" s="7" t="s">
        <v>607</v>
      </c>
      <c r="H592" s="8">
        <f>H590+H591</f>
        <v>250</v>
      </c>
      <c r="I592" s="8">
        <f>I590+I591</f>
        <v>250</v>
      </c>
    </row>
    <row r="593" spans="1:9" x14ac:dyDescent="0.3">
      <c r="A593" s="4" t="s">
        <v>608</v>
      </c>
    </row>
    <row r="594" spans="1:9" x14ac:dyDescent="0.3">
      <c r="B594" s="5" t="s">
        <v>609</v>
      </c>
      <c r="C594" s="5" t="s">
        <v>10</v>
      </c>
      <c r="D594" s="5" t="s">
        <v>595</v>
      </c>
      <c r="E594" s="5" t="s">
        <v>184</v>
      </c>
      <c r="F594" s="5" t="s">
        <v>61</v>
      </c>
      <c r="G594" s="5" t="s">
        <v>62</v>
      </c>
      <c r="H594" s="6">
        <v>170</v>
      </c>
      <c r="I594" s="5"/>
    </row>
    <row r="595" spans="1:9" x14ac:dyDescent="0.3">
      <c r="B595" s="5" t="s">
        <v>609</v>
      </c>
      <c r="C595" s="5" t="s">
        <v>10</v>
      </c>
      <c r="D595" s="5" t="s">
        <v>595</v>
      </c>
      <c r="E595" s="5" t="s">
        <v>184</v>
      </c>
      <c r="F595" s="5" t="s">
        <v>13</v>
      </c>
      <c r="G595" s="5" t="s">
        <v>14</v>
      </c>
      <c r="H595" s="5"/>
      <c r="I595" s="6">
        <v>170</v>
      </c>
    </row>
    <row r="596" spans="1:9" x14ac:dyDescent="0.3">
      <c r="B596" s="5" t="s">
        <v>609</v>
      </c>
      <c r="C596" s="5" t="s">
        <v>10</v>
      </c>
      <c r="D596" s="5" t="s">
        <v>595</v>
      </c>
      <c r="E596" s="5" t="s">
        <v>610</v>
      </c>
      <c r="F596" s="5" t="s">
        <v>385</v>
      </c>
      <c r="G596" s="5" t="s">
        <v>386</v>
      </c>
      <c r="H596" s="6">
        <v>1047</v>
      </c>
      <c r="I596" s="5"/>
    </row>
    <row r="597" spans="1:9" x14ac:dyDescent="0.3">
      <c r="B597" s="5" t="s">
        <v>609</v>
      </c>
      <c r="C597" s="5" t="s">
        <v>10</v>
      </c>
      <c r="D597" s="5" t="s">
        <v>595</v>
      </c>
      <c r="E597" s="5" t="s">
        <v>610</v>
      </c>
      <c r="F597" s="5" t="s">
        <v>13</v>
      </c>
      <c r="G597" s="5" t="s">
        <v>14</v>
      </c>
      <c r="H597" s="5"/>
      <c r="I597" s="6">
        <v>1047</v>
      </c>
    </row>
    <row r="598" spans="1:9" x14ac:dyDescent="0.3">
      <c r="A598" s="7" t="s">
        <v>611</v>
      </c>
      <c r="H598" s="8">
        <f>H594+H595+H596+H597</f>
        <v>1217</v>
      </c>
      <c r="I598" s="8">
        <f>I594+I595+I596+I597</f>
        <v>1217</v>
      </c>
    </row>
    <row r="599" spans="1:9" x14ac:dyDescent="0.3">
      <c r="A599" s="4" t="s">
        <v>612</v>
      </c>
    </row>
    <row r="600" spans="1:9" x14ac:dyDescent="0.3">
      <c r="B600" s="5" t="s">
        <v>609</v>
      </c>
      <c r="C600" s="5" t="s">
        <v>10</v>
      </c>
      <c r="D600" s="5" t="s">
        <v>597</v>
      </c>
      <c r="E600" s="5" t="s">
        <v>613</v>
      </c>
      <c r="F600" s="5" t="s">
        <v>67</v>
      </c>
      <c r="G600" s="5" t="s">
        <v>68</v>
      </c>
      <c r="H600" s="6">
        <v>150</v>
      </c>
      <c r="I600" s="5"/>
    </row>
    <row r="601" spans="1:9" x14ac:dyDescent="0.3">
      <c r="B601" s="5" t="s">
        <v>609</v>
      </c>
      <c r="C601" s="5" t="s">
        <v>10</v>
      </c>
      <c r="D601" s="5" t="s">
        <v>597</v>
      </c>
      <c r="E601" s="5" t="s">
        <v>613</v>
      </c>
      <c r="F601" s="5" t="s">
        <v>13</v>
      </c>
      <c r="G601" s="5" t="s">
        <v>14</v>
      </c>
      <c r="H601" s="5"/>
      <c r="I601" s="6">
        <v>150</v>
      </c>
    </row>
    <row r="602" spans="1:9" x14ac:dyDescent="0.3">
      <c r="A602" s="7" t="s">
        <v>614</v>
      </c>
      <c r="H602" s="8">
        <f>H600+H601</f>
        <v>150</v>
      </c>
      <c r="I602" s="8">
        <f>I600+I601</f>
        <v>150</v>
      </c>
    </row>
    <row r="603" spans="1:9" x14ac:dyDescent="0.3">
      <c r="A603" s="4" t="s">
        <v>615</v>
      </c>
    </row>
    <row r="604" spans="1:9" x14ac:dyDescent="0.3">
      <c r="B604" s="5" t="s">
        <v>616</v>
      </c>
      <c r="C604" s="5" t="s">
        <v>10</v>
      </c>
      <c r="D604" s="5" t="s">
        <v>601</v>
      </c>
      <c r="E604" s="5" t="s">
        <v>617</v>
      </c>
      <c r="F604" s="5" t="s">
        <v>61</v>
      </c>
      <c r="G604" s="5" t="s">
        <v>62</v>
      </c>
      <c r="H604" s="6">
        <v>200</v>
      </c>
      <c r="I604" s="5"/>
    </row>
    <row r="605" spans="1:9" x14ac:dyDescent="0.3">
      <c r="B605" s="5" t="s">
        <v>616</v>
      </c>
      <c r="C605" s="5" t="s">
        <v>10</v>
      </c>
      <c r="D605" s="5" t="s">
        <v>601</v>
      </c>
      <c r="E605" s="5" t="s">
        <v>617</v>
      </c>
      <c r="F605" s="5" t="s">
        <v>13</v>
      </c>
      <c r="G605" s="5" t="s">
        <v>14</v>
      </c>
      <c r="H605" s="5"/>
      <c r="I605" s="6">
        <v>200</v>
      </c>
    </row>
    <row r="606" spans="1:9" x14ac:dyDescent="0.3">
      <c r="B606" s="5" t="s">
        <v>616</v>
      </c>
      <c r="C606" s="5" t="s">
        <v>10</v>
      </c>
      <c r="D606" s="5" t="s">
        <v>601</v>
      </c>
      <c r="E606" s="5" t="s">
        <v>618</v>
      </c>
      <c r="F606" s="5" t="s">
        <v>619</v>
      </c>
      <c r="G606" s="5" t="s">
        <v>620</v>
      </c>
      <c r="H606" s="6">
        <v>50000</v>
      </c>
      <c r="I606" s="5"/>
    </row>
    <row r="607" spans="1:9" x14ac:dyDescent="0.3">
      <c r="B607" s="5" t="s">
        <v>616</v>
      </c>
      <c r="C607" s="5" t="s">
        <v>10</v>
      </c>
      <c r="D607" s="5" t="s">
        <v>601</v>
      </c>
      <c r="E607" s="5" t="s">
        <v>618</v>
      </c>
      <c r="F607" s="5" t="s">
        <v>13</v>
      </c>
      <c r="G607" s="5" t="s">
        <v>14</v>
      </c>
      <c r="H607" s="5"/>
      <c r="I607" s="6">
        <v>50000</v>
      </c>
    </row>
    <row r="608" spans="1:9" x14ac:dyDescent="0.3">
      <c r="A608" s="7" t="s">
        <v>621</v>
      </c>
      <c r="H608" s="8">
        <f>H604+H605+H606+H607</f>
        <v>50200</v>
      </c>
      <c r="I608" s="8">
        <f>I604+I605+I606+I607</f>
        <v>50200</v>
      </c>
    </row>
    <row r="609" spans="1:9" x14ac:dyDescent="0.3">
      <c r="A609" s="4" t="s">
        <v>622</v>
      </c>
    </row>
    <row r="610" spans="1:9" x14ac:dyDescent="0.3">
      <c r="B610" s="5" t="s">
        <v>623</v>
      </c>
      <c r="C610" s="5" t="s">
        <v>10</v>
      </c>
      <c r="D610" s="5" t="s">
        <v>604</v>
      </c>
      <c r="E610" s="5" t="s">
        <v>391</v>
      </c>
      <c r="F610" s="5" t="s">
        <v>116</v>
      </c>
      <c r="G610" s="5" t="s">
        <v>117</v>
      </c>
      <c r="H610" s="6">
        <v>500</v>
      </c>
      <c r="I610" s="5"/>
    </row>
    <row r="611" spans="1:9" x14ac:dyDescent="0.3">
      <c r="B611" s="5" t="s">
        <v>623</v>
      </c>
      <c r="C611" s="5" t="s">
        <v>10</v>
      </c>
      <c r="D611" s="5" t="s">
        <v>604</v>
      </c>
      <c r="E611" s="5" t="s">
        <v>391</v>
      </c>
      <c r="F611" s="5" t="s">
        <v>13</v>
      </c>
      <c r="G611" s="5" t="s">
        <v>14</v>
      </c>
      <c r="H611" s="5"/>
      <c r="I611" s="6">
        <v>500</v>
      </c>
    </row>
    <row r="612" spans="1:9" x14ac:dyDescent="0.3">
      <c r="B612" s="5" t="s">
        <v>623</v>
      </c>
      <c r="C612" s="5" t="s">
        <v>10</v>
      </c>
      <c r="D612" s="5" t="s">
        <v>604</v>
      </c>
      <c r="E612" s="5" t="s">
        <v>624</v>
      </c>
      <c r="F612" s="5" t="s">
        <v>61</v>
      </c>
      <c r="G612" s="5" t="s">
        <v>62</v>
      </c>
      <c r="H612" s="6">
        <v>130</v>
      </c>
      <c r="I612" s="5"/>
    </row>
    <row r="613" spans="1:9" x14ac:dyDescent="0.3">
      <c r="B613" s="5" t="s">
        <v>623</v>
      </c>
      <c r="C613" s="5" t="s">
        <v>10</v>
      </c>
      <c r="D613" s="5" t="s">
        <v>604</v>
      </c>
      <c r="E613" s="5" t="s">
        <v>624</v>
      </c>
      <c r="F613" s="5" t="s">
        <v>13</v>
      </c>
      <c r="G613" s="5" t="s">
        <v>14</v>
      </c>
      <c r="H613" s="5"/>
      <c r="I613" s="6">
        <v>130</v>
      </c>
    </row>
    <row r="614" spans="1:9" x14ac:dyDescent="0.3">
      <c r="A614" s="7" t="s">
        <v>625</v>
      </c>
      <c r="H614" s="8">
        <f>H610+H611+H612+H613</f>
        <v>630</v>
      </c>
      <c r="I614" s="8">
        <f>I610+I611+I612+I613</f>
        <v>630</v>
      </c>
    </row>
    <row r="615" spans="1:9" x14ac:dyDescent="0.3">
      <c r="A615" s="4" t="s">
        <v>626</v>
      </c>
    </row>
    <row r="616" spans="1:9" x14ac:dyDescent="0.3">
      <c r="B616" s="5" t="s">
        <v>627</v>
      </c>
      <c r="C616" s="5" t="s">
        <v>10</v>
      </c>
      <c r="D616" s="5" t="s">
        <v>608</v>
      </c>
      <c r="E616" s="5" t="s">
        <v>628</v>
      </c>
      <c r="F616" s="5" t="s">
        <v>23</v>
      </c>
      <c r="G616" s="5" t="s">
        <v>24</v>
      </c>
      <c r="H616" s="6">
        <v>33000</v>
      </c>
      <c r="I616" s="5"/>
    </row>
    <row r="617" spans="1:9" x14ac:dyDescent="0.3">
      <c r="B617" s="5" t="s">
        <v>627</v>
      </c>
      <c r="C617" s="5" t="s">
        <v>10</v>
      </c>
      <c r="D617" s="5" t="s">
        <v>608</v>
      </c>
      <c r="E617" s="5" t="s">
        <v>629</v>
      </c>
      <c r="F617" s="5" t="s">
        <v>29</v>
      </c>
      <c r="G617" s="5" t="s">
        <v>30</v>
      </c>
      <c r="H617" s="5"/>
      <c r="I617" s="6">
        <v>3000</v>
      </c>
    </row>
    <row r="618" spans="1:9" x14ac:dyDescent="0.3">
      <c r="B618" s="5" t="s">
        <v>627</v>
      </c>
      <c r="C618" s="5" t="s">
        <v>10</v>
      </c>
      <c r="D618" s="5" t="s">
        <v>608</v>
      </c>
      <c r="E618" s="5" t="s">
        <v>628</v>
      </c>
      <c r="F618" s="5" t="s">
        <v>26</v>
      </c>
      <c r="G618" s="5" t="s">
        <v>27</v>
      </c>
      <c r="H618" s="5"/>
      <c r="I618" s="6">
        <v>30000</v>
      </c>
    </row>
    <row r="619" spans="1:9" x14ac:dyDescent="0.3">
      <c r="A619" s="7" t="s">
        <v>630</v>
      </c>
      <c r="H619" s="8">
        <f>H616+H617+H618</f>
        <v>33000</v>
      </c>
      <c r="I619" s="8">
        <f>I616+I617+I618</f>
        <v>33000</v>
      </c>
    </row>
    <row r="620" spans="1:9" x14ac:dyDescent="0.3">
      <c r="A620" s="4" t="s">
        <v>631</v>
      </c>
    </row>
    <row r="621" spans="1:9" x14ac:dyDescent="0.3">
      <c r="B621" s="5" t="s">
        <v>632</v>
      </c>
      <c r="C621" s="5" t="s">
        <v>10</v>
      </c>
      <c r="D621" s="5" t="s">
        <v>612</v>
      </c>
      <c r="E621" s="5" t="s">
        <v>391</v>
      </c>
      <c r="F621" s="5" t="s">
        <v>116</v>
      </c>
      <c r="G621" s="5" t="s">
        <v>117</v>
      </c>
      <c r="H621" s="6">
        <v>500</v>
      </c>
      <c r="I621" s="5"/>
    </row>
    <row r="622" spans="1:9" x14ac:dyDescent="0.3">
      <c r="B622" s="5" t="s">
        <v>632</v>
      </c>
      <c r="C622" s="5" t="s">
        <v>10</v>
      </c>
      <c r="D622" s="5" t="s">
        <v>612</v>
      </c>
      <c r="E622" s="5" t="s">
        <v>391</v>
      </c>
      <c r="F622" s="5" t="s">
        <v>13</v>
      </c>
      <c r="G622" s="5" t="s">
        <v>14</v>
      </c>
      <c r="H622" s="5"/>
      <c r="I622" s="6">
        <v>500</v>
      </c>
    </row>
    <row r="623" spans="1:9" x14ac:dyDescent="0.3">
      <c r="A623" s="7" t="s">
        <v>633</v>
      </c>
      <c r="H623" s="8">
        <f>H621+H622</f>
        <v>500</v>
      </c>
      <c r="I623" s="8">
        <f>I621+I622</f>
        <v>500</v>
      </c>
    </row>
    <row r="624" spans="1:9" x14ac:dyDescent="0.3">
      <c r="A624" s="4" t="s">
        <v>634</v>
      </c>
    </row>
    <row r="625" spans="1:9" x14ac:dyDescent="0.3">
      <c r="B625" s="5" t="s">
        <v>635</v>
      </c>
      <c r="C625" s="5" t="s">
        <v>10</v>
      </c>
      <c r="D625" s="5" t="s">
        <v>615</v>
      </c>
      <c r="E625" s="5" t="s">
        <v>636</v>
      </c>
      <c r="F625" s="5" t="s">
        <v>61</v>
      </c>
      <c r="G625" s="5" t="s">
        <v>62</v>
      </c>
      <c r="H625" s="6">
        <v>100</v>
      </c>
      <c r="I625" s="5"/>
    </row>
    <row r="626" spans="1:9" x14ac:dyDescent="0.3">
      <c r="B626" s="5" t="s">
        <v>635</v>
      </c>
      <c r="C626" s="5" t="s">
        <v>10</v>
      </c>
      <c r="D626" s="5" t="s">
        <v>615</v>
      </c>
      <c r="E626" s="5" t="s">
        <v>636</v>
      </c>
      <c r="F626" s="5" t="s">
        <v>13</v>
      </c>
      <c r="G626" s="5" t="s">
        <v>14</v>
      </c>
      <c r="H626" s="5"/>
      <c r="I626" s="6">
        <v>100</v>
      </c>
    </row>
    <row r="627" spans="1:9" x14ac:dyDescent="0.3">
      <c r="A627" s="7" t="s">
        <v>637</v>
      </c>
      <c r="H627" s="8">
        <f>H625+H626</f>
        <v>100</v>
      </c>
      <c r="I627" s="8">
        <f>I625+I626</f>
        <v>100</v>
      </c>
    </row>
    <row r="628" spans="1:9" x14ac:dyDescent="0.3">
      <c r="A628" s="4" t="s">
        <v>638</v>
      </c>
    </row>
    <row r="629" spans="1:9" x14ac:dyDescent="0.3">
      <c r="B629" s="5" t="s">
        <v>639</v>
      </c>
      <c r="C629" s="5" t="s">
        <v>10</v>
      </c>
      <c r="D629" s="5" t="s">
        <v>622</v>
      </c>
      <c r="E629" s="5" t="s">
        <v>106</v>
      </c>
      <c r="F629" s="5" t="s">
        <v>67</v>
      </c>
      <c r="G629" s="5" t="s">
        <v>68</v>
      </c>
      <c r="H629" s="6">
        <v>50</v>
      </c>
      <c r="I629" s="5"/>
    </row>
    <row r="630" spans="1:9" x14ac:dyDescent="0.3">
      <c r="B630" s="5" t="s">
        <v>639</v>
      </c>
      <c r="C630" s="5" t="s">
        <v>10</v>
      </c>
      <c r="D630" s="5" t="s">
        <v>622</v>
      </c>
      <c r="E630" s="5" t="s">
        <v>106</v>
      </c>
      <c r="F630" s="5" t="s">
        <v>13</v>
      </c>
      <c r="G630" s="5" t="s">
        <v>14</v>
      </c>
      <c r="H630" s="5"/>
      <c r="I630" s="6">
        <v>50</v>
      </c>
    </row>
    <row r="631" spans="1:9" x14ac:dyDescent="0.3">
      <c r="A631" s="7" t="s">
        <v>640</v>
      </c>
      <c r="H631" s="8">
        <f>H629+H630</f>
        <v>50</v>
      </c>
      <c r="I631" s="8">
        <f>I629+I630</f>
        <v>50</v>
      </c>
    </row>
    <row r="632" spans="1:9" x14ac:dyDescent="0.3">
      <c r="A632" s="4" t="s">
        <v>641</v>
      </c>
    </row>
    <row r="633" spans="1:9" x14ac:dyDescent="0.3">
      <c r="B633" s="5" t="s">
        <v>639</v>
      </c>
      <c r="C633" s="5" t="s">
        <v>10</v>
      </c>
      <c r="D633" s="5" t="s">
        <v>626</v>
      </c>
      <c r="E633" s="5" t="s">
        <v>642</v>
      </c>
      <c r="F633" s="5" t="s">
        <v>35</v>
      </c>
      <c r="G633" s="5" t="s">
        <v>36</v>
      </c>
      <c r="H633" s="6">
        <v>160</v>
      </c>
      <c r="I633" s="5"/>
    </row>
    <row r="634" spans="1:9" x14ac:dyDescent="0.3">
      <c r="B634" s="5" t="s">
        <v>639</v>
      </c>
      <c r="C634" s="5" t="s">
        <v>10</v>
      </c>
      <c r="D634" s="5" t="s">
        <v>626</v>
      </c>
      <c r="E634" s="5" t="s">
        <v>642</v>
      </c>
      <c r="F634" s="5" t="s">
        <v>13</v>
      </c>
      <c r="G634" s="5" t="s">
        <v>14</v>
      </c>
      <c r="H634" s="5"/>
      <c r="I634" s="6">
        <v>160</v>
      </c>
    </row>
    <row r="635" spans="1:9" x14ac:dyDescent="0.3">
      <c r="A635" s="7" t="s">
        <v>643</v>
      </c>
      <c r="H635" s="8">
        <f>H633+H634</f>
        <v>160</v>
      </c>
      <c r="I635" s="8">
        <f>I633+I634</f>
        <v>160</v>
      </c>
    </row>
    <row r="636" spans="1:9" x14ac:dyDescent="0.3">
      <c r="A636" s="4" t="s">
        <v>644</v>
      </c>
    </row>
    <row r="637" spans="1:9" x14ac:dyDescent="0.3">
      <c r="B637" s="5" t="s">
        <v>639</v>
      </c>
      <c r="C637" s="5" t="s">
        <v>10</v>
      </c>
      <c r="D637" s="5" t="s">
        <v>631</v>
      </c>
      <c r="E637" s="5" t="s">
        <v>572</v>
      </c>
      <c r="F637" s="5" t="s">
        <v>61</v>
      </c>
      <c r="G637" s="5" t="s">
        <v>62</v>
      </c>
      <c r="H637" s="6">
        <v>100</v>
      </c>
      <c r="I637" s="5"/>
    </row>
    <row r="638" spans="1:9" x14ac:dyDescent="0.3">
      <c r="B638" s="5" t="s">
        <v>639</v>
      </c>
      <c r="C638" s="5" t="s">
        <v>10</v>
      </c>
      <c r="D638" s="5" t="s">
        <v>631</v>
      </c>
      <c r="E638" s="5" t="s">
        <v>572</v>
      </c>
      <c r="F638" s="5" t="s">
        <v>13</v>
      </c>
      <c r="G638" s="5" t="s">
        <v>14</v>
      </c>
      <c r="H638" s="5"/>
      <c r="I638" s="6">
        <v>100</v>
      </c>
    </row>
    <row r="639" spans="1:9" x14ac:dyDescent="0.3">
      <c r="A639" s="7" t="s">
        <v>645</v>
      </c>
      <c r="H639" s="8">
        <f>H637+H638</f>
        <v>100</v>
      </c>
      <c r="I639" s="8">
        <f>I637+I638</f>
        <v>100</v>
      </c>
    </row>
    <row r="640" spans="1:9" x14ac:dyDescent="0.3">
      <c r="A640" s="4" t="s">
        <v>646</v>
      </c>
    </row>
    <row r="641" spans="1:9" x14ac:dyDescent="0.3">
      <c r="B641" s="5" t="s">
        <v>647</v>
      </c>
      <c r="C641" s="5" t="s">
        <v>10</v>
      </c>
      <c r="D641" s="5" t="s">
        <v>634</v>
      </c>
      <c r="E641" s="5" t="s">
        <v>106</v>
      </c>
      <c r="F641" s="5" t="s">
        <v>67</v>
      </c>
      <c r="G641" s="5" t="s">
        <v>68</v>
      </c>
      <c r="H641" s="6">
        <v>50</v>
      </c>
      <c r="I641" s="5"/>
    </row>
    <row r="642" spans="1:9" x14ac:dyDescent="0.3">
      <c r="B642" s="5" t="s">
        <v>647</v>
      </c>
      <c r="C642" s="5" t="s">
        <v>10</v>
      </c>
      <c r="D642" s="5" t="s">
        <v>634</v>
      </c>
      <c r="E642" s="5" t="s">
        <v>106</v>
      </c>
      <c r="F642" s="5" t="s">
        <v>13</v>
      </c>
      <c r="G642" s="5" t="s">
        <v>14</v>
      </c>
      <c r="H642" s="5"/>
      <c r="I642" s="6">
        <v>50</v>
      </c>
    </row>
    <row r="643" spans="1:9" x14ac:dyDescent="0.3">
      <c r="B643" s="5" t="s">
        <v>647</v>
      </c>
      <c r="C643" s="5" t="s">
        <v>10</v>
      </c>
      <c r="D643" s="5" t="s">
        <v>634</v>
      </c>
      <c r="E643" s="5" t="s">
        <v>648</v>
      </c>
      <c r="F643" s="5" t="s">
        <v>649</v>
      </c>
      <c r="G643" s="5" t="s">
        <v>650</v>
      </c>
      <c r="H643" s="6">
        <v>7106</v>
      </c>
      <c r="I643" s="5"/>
    </row>
    <row r="644" spans="1:9" x14ac:dyDescent="0.3">
      <c r="B644" s="5" t="s">
        <v>647</v>
      </c>
      <c r="C644" s="5" t="s">
        <v>10</v>
      </c>
      <c r="D644" s="5" t="s">
        <v>634</v>
      </c>
      <c r="E644" s="5" t="s">
        <v>648</v>
      </c>
      <c r="F644" s="5" t="s">
        <v>13</v>
      </c>
      <c r="G644" s="5" t="s">
        <v>14</v>
      </c>
      <c r="H644" s="5"/>
      <c r="I644" s="6">
        <v>7106</v>
      </c>
    </row>
    <row r="645" spans="1:9" x14ac:dyDescent="0.3">
      <c r="B645" s="5" t="s">
        <v>647</v>
      </c>
      <c r="C645" s="5" t="s">
        <v>10</v>
      </c>
      <c r="D645" s="5" t="s">
        <v>634</v>
      </c>
      <c r="E645" s="5" t="s">
        <v>651</v>
      </c>
      <c r="F645" s="5" t="s">
        <v>425</v>
      </c>
      <c r="G645" s="5" t="s">
        <v>426</v>
      </c>
      <c r="H645" s="6">
        <v>13172.22</v>
      </c>
      <c r="I645" s="5"/>
    </row>
    <row r="646" spans="1:9" x14ac:dyDescent="0.3">
      <c r="B646" s="5" t="s">
        <v>647</v>
      </c>
      <c r="C646" s="5" t="s">
        <v>10</v>
      </c>
      <c r="D646" s="5" t="s">
        <v>634</v>
      </c>
      <c r="E646" s="5" t="s">
        <v>651</v>
      </c>
      <c r="F646" s="5" t="s">
        <v>427</v>
      </c>
      <c r="G646" s="5" t="s">
        <v>428</v>
      </c>
      <c r="H646" s="5"/>
      <c r="I646" s="6">
        <v>4033.88</v>
      </c>
    </row>
    <row r="647" spans="1:9" x14ac:dyDescent="0.3">
      <c r="B647" s="5" t="s">
        <v>647</v>
      </c>
      <c r="C647" s="5" t="s">
        <v>10</v>
      </c>
      <c r="D647" s="5" t="s">
        <v>634</v>
      </c>
      <c r="E647" s="5" t="s">
        <v>651</v>
      </c>
      <c r="F647" s="5" t="s">
        <v>429</v>
      </c>
      <c r="G647" s="5" t="s">
        <v>430</v>
      </c>
      <c r="H647" s="5"/>
      <c r="I647" s="6">
        <v>6857.04</v>
      </c>
    </row>
    <row r="648" spans="1:9" x14ac:dyDescent="0.3">
      <c r="B648" s="5" t="s">
        <v>647</v>
      </c>
      <c r="C648" s="5" t="s">
        <v>10</v>
      </c>
      <c r="D648" s="5" t="s">
        <v>634</v>
      </c>
      <c r="E648" s="5" t="s">
        <v>651</v>
      </c>
      <c r="F648" s="5" t="s">
        <v>431</v>
      </c>
      <c r="G648" s="5" t="s">
        <v>432</v>
      </c>
      <c r="H648" s="5"/>
      <c r="I648" s="6">
        <v>2281.3000000000002</v>
      </c>
    </row>
    <row r="649" spans="1:9" x14ac:dyDescent="0.3">
      <c r="A649" s="7" t="s">
        <v>652</v>
      </c>
      <c r="H649" s="8">
        <f>H641+H642+H643+H644+H645+H646+H647+H648</f>
        <v>20328.22</v>
      </c>
      <c r="I649" s="8">
        <f>I641+I642+I643+I644+I645+I646+I647+I648</f>
        <v>20328.22</v>
      </c>
    </row>
    <row r="650" spans="1:9" x14ac:dyDescent="0.3">
      <c r="A650" s="4" t="s">
        <v>653</v>
      </c>
    </row>
    <row r="651" spans="1:9" x14ac:dyDescent="0.3">
      <c r="B651" s="5" t="s">
        <v>647</v>
      </c>
      <c r="C651" s="5" t="s">
        <v>10</v>
      </c>
      <c r="D651" s="5" t="s">
        <v>638</v>
      </c>
      <c r="E651" s="5" t="s">
        <v>654</v>
      </c>
      <c r="F651" s="5" t="s">
        <v>437</v>
      </c>
      <c r="G651" s="5" t="s">
        <v>438</v>
      </c>
      <c r="H651" s="6">
        <v>445667</v>
      </c>
      <c r="I651" s="5"/>
    </row>
    <row r="652" spans="1:9" x14ac:dyDescent="0.3">
      <c r="B652" s="5" t="s">
        <v>647</v>
      </c>
      <c r="C652" s="5" t="s">
        <v>10</v>
      </c>
      <c r="D652" s="5" t="s">
        <v>638</v>
      </c>
      <c r="E652" s="5" t="s">
        <v>654</v>
      </c>
      <c r="F652" s="5" t="s">
        <v>439</v>
      </c>
      <c r="G652" s="5" t="s">
        <v>440</v>
      </c>
      <c r="H652" s="5"/>
      <c r="I652" s="6">
        <v>80000</v>
      </c>
    </row>
    <row r="653" spans="1:9" x14ac:dyDescent="0.3">
      <c r="B653" s="5" t="s">
        <v>647</v>
      </c>
      <c r="C653" s="5" t="s">
        <v>10</v>
      </c>
      <c r="D653" s="5" t="s">
        <v>638</v>
      </c>
      <c r="E653" s="5" t="s">
        <v>654</v>
      </c>
      <c r="F653" s="5" t="s">
        <v>441</v>
      </c>
      <c r="G653" s="5" t="s">
        <v>442</v>
      </c>
      <c r="H653" s="5"/>
      <c r="I653" s="6">
        <v>50600</v>
      </c>
    </row>
    <row r="654" spans="1:9" x14ac:dyDescent="0.3">
      <c r="B654" s="5" t="s">
        <v>647</v>
      </c>
      <c r="C654" s="5" t="s">
        <v>10</v>
      </c>
      <c r="D654" s="5" t="s">
        <v>638</v>
      </c>
      <c r="E654" s="5" t="s">
        <v>654</v>
      </c>
      <c r="F654" s="5" t="s">
        <v>443</v>
      </c>
      <c r="G654" s="5" t="s">
        <v>444</v>
      </c>
      <c r="H654" s="5"/>
      <c r="I654" s="6">
        <v>50600</v>
      </c>
    </row>
    <row r="655" spans="1:9" x14ac:dyDescent="0.3">
      <c r="B655" s="5" t="s">
        <v>647</v>
      </c>
      <c r="C655" s="5" t="s">
        <v>10</v>
      </c>
      <c r="D655" s="5" t="s">
        <v>638</v>
      </c>
      <c r="E655" s="5" t="s">
        <v>654</v>
      </c>
      <c r="F655" s="5" t="s">
        <v>445</v>
      </c>
      <c r="G655" s="5" t="s">
        <v>446</v>
      </c>
      <c r="H655" s="5"/>
      <c r="I655" s="6">
        <v>50600</v>
      </c>
    </row>
    <row r="656" spans="1:9" x14ac:dyDescent="0.3">
      <c r="B656" s="5" t="s">
        <v>647</v>
      </c>
      <c r="C656" s="5" t="s">
        <v>10</v>
      </c>
      <c r="D656" s="5" t="s">
        <v>638</v>
      </c>
      <c r="E656" s="5" t="s">
        <v>654</v>
      </c>
      <c r="F656" s="5" t="s">
        <v>447</v>
      </c>
      <c r="G656" s="5" t="s">
        <v>448</v>
      </c>
      <c r="H656" s="5"/>
      <c r="I656" s="6">
        <v>11860</v>
      </c>
    </row>
    <row r="657" spans="1:9" x14ac:dyDescent="0.3">
      <c r="B657" s="5" t="s">
        <v>647</v>
      </c>
      <c r="C657" s="5" t="s">
        <v>10</v>
      </c>
      <c r="D657" s="5" t="s">
        <v>638</v>
      </c>
      <c r="E657" s="5" t="s">
        <v>654</v>
      </c>
      <c r="F657" s="5" t="s">
        <v>449</v>
      </c>
      <c r="G657" s="5" t="s">
        <v>450</v>
      </c>
      <c r="H657" s="5"/>
      <c r="I657" s="6">
        <v>6960</v>
      </c>
    </row>
    <row r="658" spans="1:9" x14ac:dyDescent="0.3">
      <c r="B658" s="5" t="s">
        <v>647</v>
      </c>
      <c r="C658" s="5" t="s">
        <v>10</v>
      </c>
      <c r="D658" s="5" t="s">
        <v>638</v>
      </c>
      <c r="E658" s="5" t="s">
        <v>654</v>
      </c>
      <c r="F658" s="5" t="s">
        <v>451</v>
      </c>
      <c r="G658" s="5" t="s">
        <v>452</v>
      </c>
      <c r="H658" s="5"/>
      <c r="I658" s="6">
        <v>6960</v>
      </c>
    </row>
    <row r="659" spans="1:9" x14ac:dyDescent="0.3">
      <c r="B659" s="5" t="s">
        <v>647</v>
      </c>
      <c r="C659" s="5" t="s">
        <v>10</v>
      </c>
      <c r="D659" s="5" t="s">
        <v>638</v>
      </c>
      <c r="E659" s="5" t="s">
        <v>654</v>
      </c>
      <c r="F659" s="5" t="s">
        <v>453</v>
      </c>
      <c r="G659" s="5" t="s">
        <v>454</v>
      </c>
      <c r="H659" s="5"/>
      <c r="I659" s="6">
        <v>6960</v>
      </c>
    </row>
    <row r="660" spans="1:9" x14ac:dyDescent="0.3">
      <c r="B660" s="5" t="s">
        <v>647</v>
      </c>
      <c r="C660" s="5" t="s">
        <v>10</v>
      </c>
      <c r="D660" s="5" t="s">
        <v>638</v>
      </c>
      <c r="E660" s="5" t="s">
        <v>654</v>
      </c>
      <c r="F660" s="5" t="s">
        <v>547</v>
      </c>
      <c r="G660" s="5" t="s">
        <v>548</v>
      </c>
      <c r="H660" s="5"/>
      <c r="I660" s="6">
        <v>9900</v>
      </c>
    </row>
    <row r="661" spans="1:9" x14ac:dyDescent="0.3">
      <c r="B661" s="5" t="s">
        <v>647</v>
      </c>
      <c r="C661" s="5" t="s">
        <v>10</v>
      </c>
      <c r="D661" s="5" t="s">
        <v>638</v>
      </c>
      <c r="E661" s="5" t="s">
        <v>654</v>
      </c>
      <c r="F661" s="5" t="s">
        <v>455</v>
      </c>
      <c r="G661" s="5" t="s">
        <v>456</v>
      </c>
      <c r="H661" s="5"/>
      <c r="I661" s="6">
        <v>28100</v>
      </c>
    </row>
    <row r="662" spans="1:9" x14ac:dyDescent="0.3">
      <c r="B662" s="5" t="s">
        <v>647</v>
      </c>
      <c r="C662" s="5" t="s">
        <v>10</v>
      </c>
      <c r="D662" s="5" t="s">
        <v>638</v>
      </c>
      <c r="E662" s="5" t="s">
        <v>654</v>
      </c>
      <c r="F662" s="5" t="s">
        <v>549</v>
      </c>
      <c r="G662" s="5" t="s">
        <v>550</v>
      </c>
      <c r="H662" s="5"/>
      <c r="I662" s="6">
        <v>28100</v>
      </c>
    </row>
    <row r="663" spans="1:9" x14ac:dyDescent="0.3">
      <c r="B663" s="5" t="s">
        <v>647</v>
      </c>
      <c r="C663" s="5" t="s">
        <v>10</v>
      </c>
      <c r="D663" s="5" t="s">
        <v>638</v>
      </c>
      <c r="E663" s="5" t="s">
        <v>654</v>
      </c>
      <c r="F663" s="5" t="s">
        <v>655</v>
      </c>
      <c r="G663" s="5" t="s">
        <v>656</v>
      </c>
      <c r="H663" s="5"/>
      <c r="I663" s="6">
        <v>23600</v>
      </c>
    </row>
    <row r="664" spans="1:9" x14ac:dyDescent="0.3">
      <c r="B664" s="5" t="s">
        <v>647</v>
      </c>
      <c r="C664" s="5" t="s">
        <v>10</v>
      </c>
      <c r="D664" s="5" t="s">
        <v>638</v>
      </c>
      <c r="E664" s="5" t="s">
        <v>654</v>
      </c>
      <c r="F664" s="5" t="s">
        <v>657</v>
      </c>
      <c r="G664" s="5" t="s">
        <v>658</v>
      </c>
      <c r="H664" s="5"/>
      <c r="I664" s="6">
        <v>23600</v>
      </c>
    </row>
    <row r="665" spans="1:9" x14ac:dyDescent="0.3">
      <c r="B665" s="5" t="s">
        <v>647</v>
      </c>
      <c r="C665" s="5" t="s">
        <v>10</v>
      </c>
      <c r="D665" s="5" t="s">
        <v>638</v>
      </c>
      <c r="E665" s="5" t="s">
        <v>654</v>
      </c>
      <c r="F665" s="5" t="s">
        <v>659</v>
      </c>
      <c r="G665" s="5" t="s">
        <v>660</v>
      </c>
      <c r="H665" s="5"/>
      <c r="I665" s="6">
        <v>23600</v>
      </c>
    </row>
    <row r="666" spans="1:9" x14ac:dyDescent="0.3">
      <c r="B666" s="5" t="s">
        <v>647</v>
      </c>
      <c r="C666" s="5" t="s">
        <v>10</v>
      </c>
      <c r="D666" s="5" t="s">
        <v>638</v>
      </c>
      <c r="E666" s="5" t="s">
        <v>654</v>
      </c>
      <c r="F666" s="5" t="s">
        <v>661</v>
      </c>
      <c r="G666" s="5" t="s">
        <v>662</v>
      </c>
      <c r="H666" s="5"/>
      <c r="I666" s="6">
        <v>14600</v>
      </c>
    </row>
    <row r="667" spans="1:9" x14ac:dyDescent="0.3">
      <c r="B667" s="5" t="s">
        <v>647</v>
      </c>
      <c r="C667" s="5" t="s">
        <v>10</v>
      </c>
      <c r="D667" s="5" t="s">
        <v>638</v>
      </c>
      <c r="E667" s="5" t="s">
        <v>654</v>
      </c>
      <c r="F667" s="5" t="s">
        <v>457</v>
      </c>
      <c r="G667" s="5" t="s">
        <v>458</v>
      </c>
      <c r="H667" s="5"/>
      <c r="I667" s="6">
        <v>29627</v>
      </c>
    </row>
    <row r="668" spans="1:9" x14ac:dyDescent="0.3">
      <c r="A668" s="7" t="s">
        <v>663</v>
      </c>
      <c r="H668" s="8">
        <f>H651+H652+H653+H654+H655+H656+H657+H658+H659+H660+H661+H662+H663+H664+H665+H666+H667</f>
        <v>445667</v>
      </c>
      <c r="I668" s="8">
        <f>I651+I652+I653+I654+I655+I656+I657+I658+I659+I660+I661+I662+I663+I664+I665+I666+I667</f>
        <v>445667</v>
      </c>
    </row>
    <row r="669" spans="1:9" x14ac:dyDescent="0.3">
      <c r="A669" s="4" t="s">
        <v>664</v>
      </c>
    </row>
    <row r="670" spans="1:9" x14ac:dyDescent="0.3">
      <c r="B670" s="5" t="s">
        <v>665</v>
      </c>
      <c r="C670" s="5" t="s">
        <v>10</v>
      </c>
      <c r="D670" s="5" t="s">
        <v>641</v>
      </c>
      <c r="E670" s="5" t="s">
        <v>106</v>
      </c>
      <c r="F670" s="5" t="s">
        <v>67</v>
      </c>
      <c r="G670" s="5" t="s">
        <v>68</v>
      </c>
      <c r="H670" s="6">
        <v>40</v>
      </c>
      <c r="I670" s="5"/>
    </row>
    <row r="671" spans="1:9" x14ac:dyDescent="0.3">
      <c r="B671" s="5" t="s">
        <v>665</v>
      </c>
      <c r="C671" s="5" t="s">
        <v>10</v>
      </c>
      <c r="D671" s="5" t="s">
        <v>641</v>
      </c>
      <c r="E671" s="5" t="s">
        <v>106</v>
      </c>
      <c r="F671" s="5" t="s">
        <v>13</v>
      </c>
      <c r="G671" s="5" t="s">
        <v>14</v>
      </c>
      <c r="H671" s="5"/>
      <c r="I671" s="6">
        <v>40</v>
      </c>
    </row>
    <row r="672" spans="1:9" x14ac:dyDescent="0.3">
      <c r="A672" s="7" t="s">
        <v>666</v>
      </c>
      <c r="H672" s="8">
        <f>H670+H671</f>
        <v>40</v>
      </c>
      <c r="I672" s="8">
        <f>I670+I671</f>
        <v>40</v>
      </c>
    </row>
    <row r="673" spans="1:9" x14ac:dyDescent="0.3">
      <c r="A673" s="4" t="s">
        <v>667</v>
      </c>
    </row>
    <row r="674" spans="1:9" x14ac:dyDescent="0.3">
      <c r="B674" s="5" t="s">
        <v>665</v>
      </c>
      <c r="C674" s="5" t="s">
        <v>10</v>
      </c>
      <c r="D674" s="5" t="s">
        <v>644</v>
      </c>
      <c r="E674" s="5" t="s">
        <v>668</v>
      </c>
      <c r="F674" s="5" t="s">
        <v>439</v>
      </c>
      <c r="G674" s="5" t="s">
        <v>440</v>
      </c>
      <c r="H674" s="6">
        <v>80000</v>
      </c>
      <c r="I674" s="5"/>
    </row>
    <row r="675" spans="1:9" x14ac:dyDescent="0.3">
      <c r="B675" s="5" t="s">
        <v>665</v>
      </c>
      <c r="C675" s="5" t="s">
        <v>10</v>
      </c>
      <c r="D675" s="5" t="s">
        <v>644</v>
      </c>
      <c r="E675" s="5" t="s">
        <v>668</v>
      </c>
      <c r="F675" s="5" t="s">
        <v>441</v>
      </c>
      <c r="G675" s="5" t="s">
        <v>442</v>
      </c>
      <c r="H675" s="6">
        <v>50600</v>
      </c>
      <c r="I675" s="5"/>
    </row>
    <row r="676" spans="1:9" x14ac:dyDescent="0.3">
      <c r="B676" s="5" t="s">
        <v>665</v>
      </c>
      <c r="C676" s="5" t="s">
        <v>10</v>
      </c>
      <c r="D676" s="5" t="s">
        <v>644</v>
      </c>
      <c r="E676" s="5" t="s">
        <v>668</v>
      </c>
      <c r="F676" s="5" t="s">
        <v>443</v>
      </c>
      <c r="G676" s="5" t="s">
        <v>444</v>
      </c>
      <c r="H676" s="6">
        <v>50600</v>
      </c>
      <c r="I676" s="5"/>
    </row>
    <row r="677" spans="1:9" x14ac:dyDescent="0.3">
      <c r="B677" s="5" t="s">
        <v>665</v>
      </c>
      <c r="C677" s="5" t="s">
        <v>10</v>
      </c>
      <c r="D677" s="5" t="s">
        <v>644</v>
      </c>
      <c r="E677" s="5" t="s">
        <v>668</v>
      </c>
      <c r="F677" s="5" t="s">
        <v>445</v>
      </c>
      <c r="G677" s="5" t="s">
        <v>446</v>
      </c>
      <c r="H677" s="6">
        <v>50600</v>
      </c>
      <c r="I677" s="5"/>
    </row>
    <row r="678" spans="1:9" x14ac:dyDescent="0.3">
      <c r="B678" s="5" t="s">
        <v>665</v>
      </c>
      <c r="C678" s="5" t="s">
        <v>10</v>
      </c>
      <c r="D678" s="5" t="s">
        <v>644</v>
      </c>
      <c r="E678" s="5" t="s">
        <v>668</v>
      </c>
      <c r="F678" s="5" t="s">
        <v>447</v>
      </c>
      <c r="G678" s="5" t="s">
        <v>448</v>
      </c>
      <c r="H678" s="6">
        <v>11860</v>
      </c>
      <c r="I678" s="5"/>
    </row>
    <row r="679" spans="1:9" x14ac:dyDescent="0.3">
      <c r="B679" s="5" t="s">
        <v>665</v>
      </c>
      <c r="C679" s="5" t="s">
        <v>10</v>
      </c>
      <c r="D679" s="5" t="s">
        <v>644</v>
      </c>
      <c r="E679" s="5" t="s">
        <v>668</v>
      </c>
      <c r="F679" s="5" t="s">
        <v>449</v>
      </c>
      <c r="G679" s="5" t="s">
        <v>450</v>
      </c>
      <c r="H679" s="6">
        <v>6960</v>
      </c>
      <c r="I679" s="5"/>
    </row>
    <row r="680" spans="1:9" x14ac:dyDescent="0.3">
      <c r="B680" s="5" t="s">
        <v>665</v>
      </c>
      <c r="C680" s="5" t="s">
        <v>10</v>
      </c>
      <c r="D680" s="5" t="s">
        <v>644</v>
      </c>
      <c r="E680" s="5" t="s">
        <v>668</v>
      </c>
      <c r="F680" s="5" t="s">
        <v>451</v>
      </c>
      <c r="G680" s="5" t="s">
        <v>452</v>
      </c>
      <c r="H680" s="6">
        <v>6960</v>
      </c>
      <c r="I680" s="5"/>
    </row>
    <row r="681" spans="1:9" x14ac:dyDescent="0.3">
      <c r="B681" s="5" t="s">
        <v>665</v>
      </c>
      <c r="C681" s="5" t="s">
        <v>10</v>
      </c>
      <c r="D681" s="5" t="s">
        <v>644</v>
      </c>
      <c r="E681" s="5" t="s">
        <v>668</v>
      </c>
      <c r="F681" s="5" t="s">
        <v>453</v>
      </c>
      <c r="G681" s="5" t="s">
        <v>454</v>
      </c>
      <c r="H681" s="6">
        <v>6960</v>
      </c>
      <c r="I681" s="5"/>
    </row>
    <row r="682" spans="1:9" x14ac:dyDescent="0.3">
      <c r="B682" s="5" t="s">
        <v>665</v>
      </c>
      <c r="C682" s="5" t="s">
        <v>10</v>
      </c>
      <c r="D682" s="5" t="s">
        <v>644</v>
      </c>
      <c r="E682" s="5" t="s">
        <v>668</v>
      </c>
      <c r="F682" s="5" t="s">
        <v>547</v>
      </c>
      <c r="G682" s="5" t="s">
        <v>548</v>
      </c>
      <c r="H682" s="6">
        <v>9900</v>
      </c>
      <c r="I682" s="5"/>
    </row>
    <row r="683" spans="1:9" x14ac:dyDescent="0.3">
      <c r="B683" s="5" t="s">
        <v>665</v>
      </c>
      <c r="C683" s="5" t="s">
        <v>10</v>
      </c>
      <c r="D683" s="5" t="s">
        <v>644</v>
      </c>
      <c r="E683" s="5" t="s">
        <v>668</v>
      </c>
      <c r="F683" s="5" t="s">
        <v>455</v>
      </c>
      <c r="G683" s="5" t="s">
        <v>456</v>
      </c>
      <c r="H683" s="6">
        <v>28100</v>
      </c>
      <c r="I683" s="5"/>
    </row>
    <row r="684" spans="1:9" x14ac:dyDescent="0.3">
      <c r="B684" s="5" t="s">
        <v>665</v>
      </c>
      <c r="C684" s="5" t="s">
        <v>10</v>
      </c>
      <c r="D684" s="5" t="s">
        <v>644</v>
      </c>
      <c r="E684" s="5" t="s">
        <v>668</v>
      </c>
      <c r="F684" s="5" t="s">
        <v>549</v>
      </c>
      <c r="G684" s="5" t="s">
        <v>550</v>
      </c>
      <c r="H684" s="6">
        <v>28100</v>
      </c>
      <c r="I684" s="5"/>
    </row>
    <row r="685" spans="1:9" x14ac:dyDescent="0.3">
      <c r="B685" s="5" t="s">
        <v>665</v>
      </c>
      <c r="C685" s="5" t="s">
        <v>10</v>
      </c>
      <c r="D685" s="5" t="s">
        <v>644</v>
      </c>
      <c r="E685" s="5" t="s">
        <v>668</v>
      </c>
      <c r="F685" s="5" t="s">
        <v>655</v>
      </c>
      <c r="G685" s="5" t="s">
        <v>656</v>
      </c>
      <c r="H685" s="6">
        <v>23600</v>
      </c>
      <c r="I685" s="5"/>
    </row>
    <row r="686" spans="1:9" x14ac:dyDescent="0.3">
      <c r="B686" s="5" t="s">
        <v>665</v>
      </c>
      <c r="C686" s="5" t="s">
        <v>10</v>
      </c>
      <c r="D686" s="5" t="s">
        <v>644</v>
      </c>
      <c r="E686" s="5" t="s">
        <v>668</v>
      </c>
      <c r="F686" s="5" t="s">
        <v>657</v>
      </c>
      <c r="G686" s="5" t="s">
        <v>658</v>
      </c>
      <c r="H686" s="6">
        <v>23600</v>
      </c>
      <c r="I686" s="5"/>
    </row>
    <row r="687" spans="1:9" x14ac:dyDescent="0.3">
      <c r="B687" s="5" t="s">
        <v>665</v>
      </c>
      <c r="C687" s="5" t="s">
        <v>10</v>
      </c>
      <c r="D687" s="5" t="s">
        <v>644</v>
      </c>
      <c r="E687" s="5" t="s">
        <v>668</v>
      </c>
      <c r="F687" s="5" t="s">
        <v>659</v>
      </c>
      <c r="G687" s="5" t="s">
        <v>660</v>
      </c>
      <c r="H687" s="6">
        <v>23600</v>
      </c>
      <c r="I687" s="5"/>
    </row>
    <row r="688" spans="1:9" x14ac:dyDescent="0.3">
      <c r="B688" s="5" t="s">
        <v>665</v>
      </c>
      <c r="C688" s="5" t="s">
        <v>10</v>
      </c>
      <c r="D688" s="5" t="s">
        <v>644</v>
      </c>
      <c r="E688" s="5" t="s">
        <v>668</v>
      </c>
      <c r="F688" s="5" t="s">
        <v>661</v>
      </c>
      <c r="G688" s="5" t="s">
        <v>662</v>
      </c>
      <c r="H688" s="6">
        <v>14600</v>
      </c>
      <c r="I688" s="5"/>
    </row>
    <row r="689" spans="1:9" x14ac:dyDescent="0.3">
      <c r="B689" s="5" t="s">
        <v>665</v>
      </c>
      <c r="C689" s="5" t="s">
        <v>10</v>
      </c>
      <c r="D689" s="5" t="s">
        <v>644</v>
      </c>
      <c r="E689" s="5" t="s">
        <v>668</v>
      </c>
      <c r="F689" s="5" t="s">
        <v>13</v>
      </c>
      <c r="G689" s="5" t="s">
        <v>14</v>
      </c>
      <c r="H689" s="5"/>
      <c r="I689" s="6">
        <v>416040</v>
      </c>
    </row>
    <row r="690" spans="1:9" x14ac:dyDescent="0.3">
      <c r="A690" s="7" t="s">
        <v>669</v>
      </c>
      <c r="H690" s="8">
        <f>H674+H675+H676+H677+H678+H679+H680+H681+H682+H683+H684+H685+H686+H687+H688+H689</f>
        <v>416040</v>
      </c>
      <c r="I690" s="8">
        <f>I674+I675+I676+I677+I678+I679+I680+I681+I682+I683+I684+I685+I686+I687+I688+I689</f>
        <v>416040</v>
      </c>
    </row>
    <row r="691" spans="1:9" x14ac:dyDescent="0.3">
      <c r="A691" s="4" t="s">
        <v>670</v>
      </c>
    </row>
    <row r="692" spans="1:9" x14ac:dyDescent="0.3">
      <c r="B692" s="5" t="s">
        <v>665</v>
      </c>
      <c r="C692" s="5" t="s">
        <v>10</v>
      </c>
      <c r="D692" s="5" t="s">
        <v>646</v>
      </c>
      <c r="E692" s="5" t="s">
        <v>671</v>
      </c>
      <c r="F692" s="5" t="s">
        <v>61</v>
      </c>
      <c r="G692" s="5" t="s">
        <v>62</v>
      </c>
      <c r="H692" s="6">
        <v>400</v>
      </c>
      <c r="I692" s="5"/>
    </row>
    <row r="693" spans="1:9" x14ac:dyDescent="0.3">
      <c r="B693" s="5" t="s">
        <v>665</v>
      </c>
      <c r="C693" s="5" t="s">
        <v>10</v>
      </c>
      <c r="D693" s="5" t="s">
        <v>646</v>
      </c>
      <c r="E693" s="5" t="s">
        <v>671</v>
      </c>
      <c r="F693" s="5" t="s">
        <v>13</v>
      </c>
      <c r="G693" s="5" t="s">
        <v>14</v>
      </c>
      <c r="H693" s="5"/>
      <c r="I693" s="6">
        <v>400</v>
      </c>
    </row>
    <row r="694" spans="1:9" x14ac:dyDescent="0.3">
      <c r="A694" s="7" t="s">
        <v>672</v>
      </c>
      <c r="H694" s="8">
        <f>H692+H693</f>
        <v>400</v>
      </c>
      <c r="I694" s="8">
        <f>I692+I693</f>
        <v>400</v>
      </c>
    </row>
    <row r="695" spans="1:9" x14ac:dyDescent="0.3">
      <c r="A695" s="4" t="s">
        <v>673</v>
      </c>
    </row>
    <row r="696" spans="1:9" x14ac:dyDescent="0.3">
      <c r="B696" s="5" t="s">
        <v>665</v>
      </c>
      <c r="C696" s="5" t="s">
        <v>10</v>
      </c>
      <c r="D696" s="5" t="s">
        <v>653</v>
      </c>
      <c r="E696" s="5" t="s">
        <v>674</v>
      </c>
      <c r="F696" s="5" t="s">
        <v>58</v>
      </c>
      <c r="G696" s="5" t="s">
        <v>59</v>
      </c>
      <c r="H696" s="6">
        <v>800</v>
      </c>
      <c r="I696" s="5"/>
    </row>
    <row r="697" spans="1:9" x14ac:dyDescent="0.3">
      <c r="B697" s="5" t="s">
        <v>665</v>
      </c>
      <c r="C697" s="5" t="s">
        <v>10</v>
      </c>
      <c r="D697" s="5" t="s">
        <v>653</v>
      </c>
      <c r="E697" s="5" t="s">
        <v>674</v>
      </c>
      <c r="F697" s="5" t="s">
        <v>13</v>
      </c>
      <c r="G697" s="5" t="s">
        <v>14</v>
      </c>
      <c r="H697" s="5"/>
      <c r="I697" s="6">
        <v>800</v>
      </c>
    </row>
    <row r="698" spans="1:9" x14ac:dyDescent="0.3">
      <c r="A698" s="7" t="s">
        <v>675</v>
      </c>
      <c r="H698" s="8">
        <f>H696+H697</f>
        <v>800</v>
      </c>
      <c r="I698" s="8">
        <f>I696+I697</f>
        <v>800</v>
      </c>
    </row>
    <row r="699" spans="1:9" x14ac:dyDescent="0.3">
      <c r="A699" s="4" t="s">
        <v>676</v>
      </c>
    </row>
    <row r="700" spans="1:9" x14ac:dyDescent="0.3">
      <c r="B700" s="5" t="s">
        <v>677</v>
      </c>
      <c r="C700" s="5" t="s">
        <v>10</v>
      </c>
      <c r="D700" s="5" t="s">
        <v>664</v>
      </c>
      <c r="E700" s="5" t="s">
        <v>184</v>
      </c>
      <c r="F700" s="5" t="s">
        <v>61</v>
      </c>
      <c r="G700" s="5" t="s">
        <v>62</v>
      </c>
      <c r="H700" s="6">
        <v>340</v>
      </c>
      <c r="I700" s="5"/>
    </row>
    <row r="701" spans="1:9" x14ac:dyDescent="0.3">
      <c r="B701" s="5" t="s">
        <v>677</v>
      </c>
      <c r="C701" s="5" t="s">
        <v>10</v>
      </c>
      <c r="D701" s="5" t="s">
        <v>664</v>
      </c>
      <c r="E701" s="5" t="s">
        <v>184</v>
      </c>
      <c r="F701" s="5" t="s">
        <v>13</v>
      </c>
      <c r="G701" s="5" t="s">
        <v>14</v>
      </c>
      <c r="H701" s="5"/>
      <c r="I701" s="6">
        <v>340</v>
      </c>
    </row>
    <row r="702" spans="1:9" x14ac:dyDescent="0.3">
      <c r="A702" s="7" t="s">
        <v>678</v>
      </c>
      <c r="H702" s="8">
        <f>H700+H701</f>
        <v>340</v>
      </c>
      <c r="I702" s="8">
        <f>I700+I701</f>
        <v>340</v>
      </c>
    </row>
    <row r="703" spans="1:9" x14ac:dyDescent="0.3">
      <c r="A703" s="4" t="s">
        <v>679</v>
      </c>
    </row>
    <row r="704" spans="1:9" x14ac:dyDescent="0.3">
      <c r="B704" s="5" t="s">
        <v>677</v>
      </c>
      <c r="C704" s="5" t="s">
        <v>10</v>
      </c>
      <c r="D704" s="5" t="s">
        <v>667</v>
      </c>
      <c r="E704" s="5" t="s">
        <v>184</v>
      </c>
      <c r="F704" s="5" t="s">
        <v>61</v>
      </c>
      <c r="G704" s="5" t="s">
        <v>62</v>
      </c>
      <c r="H704" s="6">
        <v>790</v>
      </c>
      <c r="I704" s="5"/>
    </row>
    <row r="705" spans="1:9" x14ac:dyDescent="0.3">
      <c r="B705" s="5" t="s">
        <v>677</v>
      </c>
      <c r="C705" s="5" t="s">
        <v>10</v>
      </c>
      <c r="D705" s="5" t="s">
        <v>667</v>
      </c>
      <c r="E705" s="5" t="s">
        <v>184</v>
      </c>
      <c r="F705" s="5" t="s">
        <v>64</v>
      </c>
      <c r="G705" s="5" t="s">
        <v>65</v>
      </c>
      <c r="H705" s="6">
        <v>130</v>
      </c>
      <c r="I705" s="5"/>
    </row>
    <row r="706" spans="1:9" x14ac:dyDescent="0.3">
      <c r="B706" s="5" t="s">
        <v>677</v>
      </c>
      <c r="C706" s="5" t="s">
        <v>10</v>
      </c>
      <c r="D706" s="5" t="s">
        <v>667</v>
      </c>
      <c r="E706" s="5" t="s">
        <v>680</v>
      </c>
      <c r="F706" s="5" t="s">
        <v>13</v>
      </c>
      <c r="G706" s="5" t="s">
        <v>14</v>
      </c>
      <c r="H706" s="5"/>
      <c r="I706" s="6">
        <v>920</v>
      </c>
    </row>
    <row r="707" spans="1:9" x14ac:dyDescent="0.3">
      <c r="A707" s="7" t="s">
        <v>681</v>
      </c>
      <c r="H707" s="8">
        <f>H704+H705+H706</f>
        <v>920</v>
      </c>
      <c r="I707" s="8">
        <f>I704+I705+I706</f>
        <v>920</v>
      </c>
    </row>
    <row r="708" spans="1:9" x14ac:dyDescent="0.3">
      <c r="A708" s="4" t="s">
        <v>682</v>
      </c>
    </row>
    <row r="709" spans="1:9" x14ac:dyDescent="0.3">
      <c r="B709" s="5" t="s">
        <v>683</v>
      </c>
      <c r="C709" s="5" t="s">
        <v>10</v>
      </c>
      <c r="D709" s="5" t="s">
        <v>670</v>
      </c>
      <c r="E709" s="5" t="s">
        <v>684</v>
      </c>
      <c r="F709" s="5" t="s">
        <v>685</v>
      </c>
      <c r="G709" s="5" t="s">
        <v>686</v>
      </c>
      <c r="H709" s="6">
        <v>13500</v>
      </c>
      <c r="I709" s="5"/>
    </row>
    <row r="710" spans="1:9" x14ac:dyDescent="0.3">
      <c r="B710" s="5" t="s">
        <v>683</v>
      </c>
      <c r="C710" s="5" t="s">
        <v>10</v>
      </c>
      <c r="D710" s="5" t="s">
        <v>670</v>
      </c>
      <c r="E710" s="5" t="s">
        <v>684</v>
      </c>
      <c r="F710" s="5" t="s">
        <v>13</v>
      </c>
      <c r="G710" s="5" t="s">
        <v>14</v>
      </c>
      <c r="H710" s="5"/>
      <c r="I710" s="6">
        <v>13500</v>
      </c>
    </row>
    <row r="711" spans="1:9" x14ac:dyDescent="0.3">
      <c r="A711" s="7" t="s">
        <v>687</v>
      </c>
      <c r="H711" s="8">
        <f>H709+H710</f>
        <v>13500</v>
      </c>
      <c r="I711" s="8">
        <f>I709+I710</f>
        <v>13500</v>
      </c>
    </row>
    <row r="712" spans="1:9" x14ac:dyDescent="0.3">
      <c r="A712" s="4" t="s">
        <v>688</v>
      </c>
    </row>
    <row r="713" spans="1:9" x14ac:dyDescent="0.3">
      <c r="B713" s="5" t="s">
        <v>683</v>
      </c>
      <c r="C713" s="5" t="s">
        <v>10</v>
      </c>
      <c r="D713" s="5" t="s">
        <v>673</v>
      </c>
      <c r="E713" s="5" t="s">
        <v>184</v>
      </c>
      <c r="F713" s="5" t="s">
        <v>61</v>
      </c>
      <c r="G713" s="5" t="s">
        <v>62</v>
      </c>
      <c r="H713" s="6">
        <v>500</v>
      </c>
      <c r="I713" s="5"/>
    </row>
    <row r="714" spans="1:9" x14ac:dyDescent="0.3">
      <c r="B714" s="5" t="s">
        <v>683</v>
      </c>
      <c r="C714" s="5" t="s">
        <v>10</v>
      </c>
      <c r="D714" s="5" t="s">
        <v>673</v>
      </c>
      <c r="E714" s="5" t="s">
        <v>184</v>
      </c>
      <c r="F714" s="5" t="s">
        <v>13</v>
      </c>
      <c r="G714" s="5" t="s">
        <v>14</v>
      </c>
      <c r="H714" s="5"/>
      <c r="I714" s="6">
        <v>500</v>
      </c>
    </row>
    <row r="715" spans="1:9" x14ac:dyDescent="0.3">
      <c r="A715" s="7" t="s">
        <v>689</v>
      </c>
      <c r="H715" s="8">
        <f>H713+H714</f>
        <v>500</v>
      </c>
      <c r="I715" s="8">
        <f>I713+I714</f>
        <v>500</v>
      </c>
    </row>
    <row r="716" spans="1:9" x14ac:dyDescent="0.3">
      <c r="A716" s="4" t="s">
        <v>690</v>
      </c>
    </row>
    <row r="717" spans="1:9" x14ac:dyDescent="0.3">
      <c r="B717" s="5" t="s">
        <v>691</v>
      </c>
      <c r="C717" s="5" t="s">
        <v>10</v>
      </c>
      <c r="D717" s="5" t="s">
        <v>676</v>
      </c>
      <c r="E717" s="5" t="s">
        <v>170</v>
      </c>
      <c r="F717" s="5" t="s">
        <v>61</v>
      </c>
      <c r="G717" s="5" t="s">
        <v>62</v>
      </c>
      <c r="H717" s="6">
        <v>150</v>
      </c>
      <c r="I717" s="5"/>
    </row>
    <row r="718" spans="1:9" x14ac:dyDescent="0.3">
      <c r="B718" s="5" t="s">
        <v>691</v>
      </c>
      <c r="C718" s="5" t="s">
        <v>10</v>
      </c>
      <c r="D718" s="5" t="s">
        <v>676</v>
      </c>
      <c r="E718" s="5" t="s">
        <v>170</v>
      </c>
      <c r="F718" s="5" t="s">
        <v>13</v>
      </c>
      <c r="G718" s="5" t="s">
        <v>14</v>
      </c>
      <c r="H718" s="5"/>
      <c r="I718" s="6">
        <v>150</v>
      </c>
    </row>
    <row r="719" spans="1:9" x14ac:dyDescent="0.3">
      <c r="A719" s="7" t="s">
        <v>692</v>
      </c>
      <c r="H719" s="8">
        <f>H717+H718</f>
        <v>150</v>
      </c>
      <c r="I719" s="8">
        <f>I717+I718</f>
        <v>150</v>
      </c>
    </row>
    <row r="720" spans="1:9" x14ac:dyDescent="0.3">
      <c r="A720" s="4" t="s">
        <v>693</v>
      </c>
    </row>
    <row r="721" spans="1:9" x14ac:dyDescent="0.3">
      <c r="B721" s="5" t="s">
        <v>691</v>
      </c>
      <c r="C721" s="5" t="s">
        <v>10</v>
      </c>
      <c r="D721" s="5" t="s">
        <v>679</v>
      </c>
      <c r="E721" s="5" t="s">
        <v>694</v>
      </c>
      <c r="F721" s="5" t="s">
        <v>67</v>
      </c>
      <c r="G721" s="5" t="s">
        <v>68</v>
      </c>
      <c r="H721" s="6">
        <v>40</v>
      </c>
      <c r="I721" s="5"/>
    </row>
    <row r="722" spans="1:9" x14ac:dyDescent="0.3">
      <c r="B722" s="5" t="s">
        <v>691</v>
      </c>
      <c r="C722" s="5" t="s">
        <v>10</v>
      </c>
      <c r="D722" s="5" t="s">
        <v>679</v>
      </c>
      <c r="E722" s="5" t="s">
        <v>694</v>
      </c>
      <c r="F722" s="5" t="s">
        <v>13</v>
      </c>
      <c r="G722" s="5" t="s">
        <v>14</v>
      </c>
      <c r="H722" s="5"/>
      <c r="I722" s="6">
        <v>40</v>
      </c>
    </row>
    <row r="723" spans="1:9" x14ac:dyDescent="0.3">
      <c r="A723" s="7" t="s">
        <v>695</v>
      </c>
      <c r="H723" s="8">
        <f>H721+H722</f>
        <v>40</v>
      </c>
      <c r="I723" s="8">
        <f>I721+I722</f>
        <v>40</v>
      </c>
    </row>
    <row r="724" spans="1:9" x14ac:dyDescent="0.3">
      <c r="A724" s="4" t="s">
        <v>696</v>
      </c>
    </row>
    <row r="725" spans="1:9" x14ac:dyDescent="0.3">
      <c r="B725" s="5" t="s">
        <v>697</v>
      </c>
      <c r="C725" s="5" t="s">
        <v>10</v>
      </c>
      <c r="D725" s="5" t="s">
        <v>682</v>
      </c>
      <c r="E725" s="5" t="s">
        <v>184</v>
      </c>
      <c r="F725" s="5" t="s">
        <v>61</v>
      </c>
      <c r="G725" s="5" t="s">
        <v>62</v>
      </c>
      <c r="H725" s="6">
        <v>100</v>
      </c>
      <c r="I725" s="5"/>
    </row>
    <row r="726" spans="1:9" x14ac:dyDescent="0.3">
      <c r="B726" s="5" t="s">
        <v>697</v>
      </c>
      <c r="C726" s="5" t="s">
        <v>10</v>
      </c>
      <c r="D726" s="5" t="s">
        <v>682</v>
      </c>
      <c r="E726" s="5" t="s">
        <v>184</v>
      </c>
      <c r="F726" s="5" t="s">
        <v>13</v>
      </c>
      <c r="G726" s="5" t="s">
        <v>14</v>
      </c>
      <c r="H726" s="5"/>
      <c r="I726" s="6">
        <v>100</v>
      </c>
    </row>
    <row r="727" spans="1:9" x14ac:dyDescent="0.3">
      <c r="A727" s="7" t="s">
        <v>698</v>
      </c>
      <c r="H727" s="8">
        <f>H725+H726</f>
        <v>100</v>
      </c>
      <c r="I727" s="8">
        <f>I725+I726</f>
        <v>100</v>
      </c>
    </row>
    <row r="728" spans="1:9" x14ac:dyDescent="0.3">
      <c r="A728" s="4" t="s">
        <v>699</v>
      </c>
    </row>
    <row r="729" spans="1:9" x14ac:dyDescent="0.3">
      <c r="B729" s="5" t="s">
        <v>697</v>
      </c>
      <c r="C729" s="5" t="s">
        <v>10</v>
      </c>
      <c r="D729" s="5" t="s">
        <v>688</v>
      </c>
      <c r="E729" s="5" t="s">
        <v>700</v>
      </c>
      <c r="F729" s="5" t="s">
        <v>67</v>
      </c>
      <c r="G729" s="5" t="s">
        <v>68</v>
      </c>
      <c r="H729" s="6">
        <v>100</v>
      </c>
      <c r="I729" s="5"/>
    </row>
    <row r="730" spans="1:9" x14ac:dyDescent="0.3">
      <c r="B730" s="5" t="s">
        <v>697</v>
      </c>
      <c r="C730" s="5" t="s">
        <v>10</v>
      </c>
      <c r="D730" s="5" t="s">
        <v>688</v>
      </c>
      <c r="E730" s="5" t="s">
        <v>700</v>
      </c>
      <c r="F730" s="5" t="s">
        <v>13</v>
      </c>
      <c r="G730" s="5" t="s">
        <v>14</v>
      </c>
      <c r="H730" s="5"/>
      <c r="I730" s="6">
        <v>100</v>
      </c>
    </row>
    <row r="731" spans="1:9" x14ac:dyDescent="0.3">
      <c r="A731" s="7" t="s">
        <v>701</v>
      </c>
      <c r="H731" s="8">
        <f>H729+H730</f>
        <v>100</v>
      </c>
      <c r="I731" s="8">
        <f>I729+I730</f>
        <v>100</v>
      </c>
    </row>
    <row r="732" spans="1:9" x14ac:dyDescent="0.3">
      <c r="A732" s="4" t="s">
        <v>702</v>
      </c>
    </row>
    <row r="733" spans="1:9" x14ac:dyDescent="0.3">
      <c r="B733" s="5" t="s">
        <v>703</v>
      </c>
      <c r="C733" s="5" t="s">
        <v>10</v>
      </c>
      <c r="D733" s="5" t="s">
        <v>690</v>
      </c>
      <c r="E733" s="5" t="s">
        <v>184</v>
      </c>
      <c r="F733" s="5" t="s">
        <v>61</v>
      </c>
      <c r="G733" s="5" t="s">
        <v>62</v>
      </c>
      <c r="H733" s="6">
        <v>150</v>
      </c>
      <c r="I733" s="5"/>
    </row>
    <row r="734" spans="1:9" x14ac:dyDescent="0.3">
      <c r="B734" s="5" t="s">
        <v>703</v>
      </c>
      <c r="C734" s="5" t="s">
        <v>10</v>
      </c>
      <c r="D734" s="5" t="s">
        <v>690</v>
      </c>
      <c r="E734" s="5" t="s">
        <v>184</v>
      </c>
      <c r="F734" s="5" t="s">
        <v>13</v>
      </c>
      <c r="G734" s="5" t="s">
        <v>14</v>
      </c>
      <c r="H734" s="5"/>
      <c r="I734" s="6">
        <v>150</v>
      </c>
    </row>
    <row r="735" spans="1:9" x14ac:dyDescent="0.3">
      <c r="A735" s="7" t="s">
        <v>704</v>
      </c>
      <c r="H735" s="8">
        <f>H733+H734</f>
        <v>150</v>
      </c>
      <c r="I735" s="8">
        <f>I733+I734</f>
        <v>150</v>
      </c>
    </row>
    <row r="736" spans="1:9" x14ac:dyDescent="0.3">
      <c r="A736" s="4" t="s">
        <v>705</v>
      </c>
    </row>
    <row r="737" spans="1:9" x14ac:dyDescent="0.3">
      <c r="B737" s="5" t="s">
        <v>703</v>
      </c>
      <c r="C737" s="5" t="s">
        <v>10</v>
      </c>
      <c r="D737" s="5" t="s">
        <v>693</v>
      </c>
      <c r="E737" s="5" t="s">
        <v>706</v>
      </c>
      <c r="F737" s="5" t="s">
        <v>67</v>
      </c>
      <c r="G737" s="5" t="s">
        <v>68</v>
      </c>
      <c r="H737" s="6">
        <v>40</v>
      </c>
      <c r="I737" s="5"/>
    </row>
    <row r="738" spans="1:9" x14ac:dyDescent="0.3">
      <c r="B738" s="5" t="s">
        <v>703</v>
      </c>
      <c r="C738" s="5" t="s">
        <v>10</v>
      </c>
      <c r="D738" s="5" t="s">
        <v>693</v>
      </c>
      <c r="E738" s="5" t="s">
        <v>706</v>
      </c>
      <c r="F738" s="5" t="s">
        <v>13</v>
      </c>
      <c r="G738" s="5" t="s">
        <v>14</v>
      </c>
      <c r="H738" s="5"/>
      <c r="I738" s="6">
        <v>40</v>
      </c>
    </row>
    <row r="739" spans="1:9" x14ac:dyDescent="0.3">
      <c r="A739" s="7" t="s">
        <v>707</v>
      </c>
      <c r="H739" s="8">
        <f>H737+H738</f>
        <v>40</v>
      </c>
      <c r="I739" s="8">
        <f>I737+I738</f>
        <v>40</v>
      </c>
    </row>
    <row r="740" spans="1:9" x14ac:dyDescent="0.3">
      <c r="A740" s="4" t="s">
        <v>708</v>
      </c>
    </row>
    <row r="741" spans="1:9" x14ac:dyDescent="0.3">
      <c r="B741" s="5" t="s">
        <v>709</v>
      </c>
      <c r="C741" s="5" t="s">
        <v>10</v>
      </c>
      <c r="D741" s="5" t="s">
        <v>696</v>
      </c>
      <c r="E741" s="5" t="s">
        <v>710</v>
      </c>
      <c r="F741" s="5" t="s">
        <v>61</v>
      </c>
      <c r="G741" s="5" t="s">
        <v>62</v>
      </c>
      <c r="H741" s="6">
        <v>450</v>
      </c>
      <c r="I741" s="5"/>
    </row>
    <row r="742" spans="1:9" x14ac:dyDescent="0.3">
      <c r="B742" s="5" t="s">
        <v>709</v>
      </c>
      <c r="C742" s="5" t="s">
        <v>10</v>
      </c>
      <c r="D742" s="5" t="s">
        <v>696</v>
      </c>
      <c r="E742" s="5" t="s">
        <v>710</v>
      </c>
      <c r="F742" s="5" t="s">
        <v>13</v>
      </c>
      <c r="G742" s="5" t="s">
        <v>14</v>
      </c>
      <c r="H742" s="5"/>
      <c r="I742" s="6">
        <v>450</v>
      </c>
    </row>
    <row r="743" spans="1:9" x14ac:dyDescent="0.3">
      <c r="A743" s="7" t="s">
        <v>711</v>
      </c>
      <c r="H743" s="8">
        <f>H741+H742</f>
        <v>450</v>
      </c>
      <c r="I743" s="8">
        <f>I741+I742</f>
        <v>450</v>
      </c>
    </row>
    <row r="744" spans="1:9" x14ac:dyDescent="0.3">
      <c r="A744" s="4" t="s">
        <v>712</v>
      </c>
    </row>
    <row r="745" spans="1:9" x14ac:dyDescent="0.3">
      <c r="B745" s="5" t="s">
        <v>709</v>
      </c>
      <c r="C745" s="5" t="s">
        <v>10</v>
      </c>
      <c r="D745" s="5" t="s">
        <v>699</v>
      </c>
      <c r="E745" s="5" t="s">
        <v>713</v>
      </c>
      <c r="F745" s="5" t="s">
        <v>421</v>
      </c>
      <c r="G745" s="5" t="s">
        <v>422</v>
      </c>
      <c r="H745" s="6">
        <v>4334</v>
      </c>
      <c r="I745" s="5"/>
    </row>
    <row r="746" spans="1:9" x14ac:dyDescent="0.3">
      <c r="B746" s="5" t="s">
        <v>709</v>
      </c>
      <c r="C746" s="5" t="s">
        <v>10</v>
      </c>
      <c r="D746" s="5" t="s">
        <v>699</v>
      </c>
      <c r="E746" s="5" t="s">
        <v>713</v>
      </c>
      <c r="F746" s="5" t="s">
        <v>13</v>
      </c>
      <c r="G746" s="5" t="s">
        <v>14</v>
      </c>
      <c r="H746" s="5"/>
      <c r="I746" s="6">
        <v>4334</v>
      </c>
    </row>
    <row r="747" spans="1:9" x14ac:dyDescent="0.3">
      <c r="A747" s="7" t="s">
        <v>714</v>
      </c>
      <c r="H747" s="8">
        <f>H745+H746</f>
        <v>4334</v>
      </c>
      <c r="I747" s="8">
        <f>I745+I746</f>
        <v>4334</v>
      </c>
    </row>
    <row r="748" spans="1:9" x14ac:dyDescent="0.3">
      <c r="A748" s="4" t="s">
        <v>715</v>
      </c>
    </row>
    <row r="749" spans="1:9" x14ac:dyDescent="0.3">
      <c r="B749" s="5" t="s">
        <v>709</v>
      </c>
      <c r="C749" s="5" t="s">
        <v>10</v>
      </c>
      <c r="D749" s="5" t="s">
        <v>702</v>
      </c>
      <c r="E749" s="5" t="s">
        <v>572</v>
      </c>
      <c r="F749" s="5" t="s">
        <v>61</v>
      </c>
      <c r="G749" s="5" t="s">
        <v>62</v>
      </c>
      <c r="H749" s="6">
        <v>100</v>
      </c>
      <c r="I749" s="5"/>
    </row>
    <row r="750" spans="1:9" x14ac:dyDescent="0.3">
      <c r="B750" s="5" t="s">
        <v>709</v>
      </c>
      <c r="C750" s="5" t="s">
        <v>10</v>
      </c>
      <c r="D750" s="5" t="s">
        <v>702</v>
      </c>
      <c r="E750" s="5" t="s">
        <v>572</v>
      </c>
      <c r="F750" s="5" t="s">
        <v>13</v>
      </c>
      <c r="G750" s="5" t="s">
        <v>14</v>
      </c>
      <c r="H750" s="5"/>
      <c r="I750" s="6">
        <v>100</v>
      </c>
    </row>
    <row r="751" spans="1:9" x14ac:dyDescent="0.3">
      <c r="A751" s="7" t="s">
        <v>716</v>
      </c>
      <c r="H751" s="8">
        <f>H749+H750</f>
        <v>100</v>
      </c>
      <c r="I751" s="8">
        <f>I749+I750</f>
        <v>100</v>
      </c>
    </row>
    <row r="752" spans="1:9" x14ac:dyDescent="0.3">
      <c r="A752" s="4" t="s">
        <v>717</v>
      </c>
    </row>
    <row r="753" spans="1:9" x14ac:dyDescent="0.3">
      <c r="B753" s="5" t="s">
        <v>709</v>
      </c>
      <c r="C753" s="5" t="s">
        <v>10</v>
      </c>
      <c r="D753" s="5" t="s">
        <v>705</v>
      </c>
      <c r="E753" s="5" t="s">
        <v>106</v>
      </c>
      <c r="F753" s="5" t="s">
        <v>67</v>
      </c>
      <c r="G753" s="5" t="s">
        <v>68</v>
      </c>
      <c r="H753" s="6">
        <v>50</v>
      </c>
      <c r="I753" s="5"/>
    </row>
    <row r="754" spans="1:9" x14ac:dyDescent="0.3">
      <c r="B754" s="5" t="s">
        <v>709</v>
      </c>
      <c r="C754" s="5" t="s">
        <v>10</v>
      </c>
      <c r="D754" s="5" t="s">
        <v>705</v>
      </c>
      <c r="E754" s="5" t="s">
        <v>106</v>
      </c>
      <c r="F754" s="5" t="s">
        <v>13</v>
      </c>
      <c r="G754" s="5" t="s">
        <v>14</v>
      </c>
      <c r="H754" s="5"/>
      <c r="I754" s="6">
        <v>50</v>
      </c>
    </row>
    <row r="755" spans="1:9" x14ac:dyDescent="0.3">
      <c r="A755" s="7" t="s">
        <v>718</v>
      </c>
      <c r="H755" s="8">
        <f>H753+H754</f>
        <v>50</v>
      </c>
      <c r="I755" s="8">
        <f>I753+I754</f>
        <v>50</v>
      </c>
    </row>
    <row r="756" spans="1:9" x14ac:dyDescent="0.3">
      <c r="A756" s="4" t="s">
        <v>719</v>
      </c>
    </row>
    <row r="757" spans="1:9" x14ac:dyDescent="0.3">
      <c r="B757" s="5" t="s">
        <v>709</v>
      </c>
      <c r="C757" s="5" t="s">
        <v>10</v>
      </c>
      <c r="D757" s="5" t="s">
        <v>708</v>
      </c>
      <c r="E757" s="5" t="s">
        <v>106</v>
      </c>
      <c r="F757" s="5" t="s">
        <v>67</v>
      </c>
      <c r="G757" s="5" t="s">
        <v>68</v>
      </c>
      <c r="H757" s="6">
        <v>100</v>
      </c>
      <c r="I757" s="5"/>
    </row>
    <row r="758" spans="1:9" x14ac:dyDescent="0.3">
      <c r="B758" s="5" t="s">
        <v>709</v>
      </c>
      <c r="C758" s="5" t="s">
        <v>10</v>
      </c>
      <c r="D758" s="5" t="s">
        <v>708</v>
      </c>
      <c r="E758" s="5" t="s">
        <v>106</v>
      </c>
      <c r="F758" s="5" t="s">
        <v>13</v>
      </c>
      <c r="G758" s="5" t="s">
        <v>14</v>
      </c>
      <c r="H758" s="5"/>
      <c r="I758" s="6">
        <v>100</v>
      </c>
    </row>
    <row r="759" spans="1:9" x14ac:dyDescent="0.3">
      <c r="A759" s="7" t="s">
        <v>720</v>
      </c>
      <c r="H759" s="8">
        <f>H757+H758</f>
        <v>100</v>
      </c>
      <c r="I759" s="8">
        <f>I757+I758</f>
        <v>100</v>
      </c>
    </row>
    <row r="760" spans="1:9" x14ac:dyDescent="0.3">
      <c r="A760" s="4" t="s">
        <v>721</v>
      </c>
    </row>
    <row r="761" spans="1:9" x14ac:dyDescent="0.3">
      <c r="B761" s="5" t="s">
        <v>722</v>
      </c>
      <c r="C761" s="5" t="s">
        <v>10</v>
      </c>
      <c r="D761" s="5" t="s">
        <v>712</v>
      </c>
      <c r="E761" s="5" t="s">
        <v>636</v>
      </c>
      <c r="F761" s="5" t="s">
        <v>61</v>
      </c>
      <c r="G761" s="5" t="s">
        <v>62</v>
      </c>
      <c r="H761" s="6">
        <v>60</v>
      </c>
      <c r="I761" s="5"/>
    </row>
    <row r="762" spans="1:9" x14ac:dyDescent="0.3">
      <c r="B762" s="5" t="s">
        <v>722</v>
      </c>
      <c r="C762" s="5" t="s">
        <v>10</v>
      </c>
      <c r="D762" s="5" t="s">
        <v>712</v>
      </c>
      <c r="E762" s="5" t="s">
        <v>636</v>
      </c>
      <c r="F762" s="5" t="s">
        <v>13</v>
      </c>
      <c r="G762" s="5" t="s">
        <v>14</v>
      </c>
      <c r="H762" s="5"/>
      <c r="I762" s="6">
        <v>60</v>
      </c>
    </row>
    <row r="763" spans="1:9" x14ac:dyDescent="0.3">
      <c r="A763" s="7" t="s">
        <v>723</v>
      </c>
      <c r="H763" s="8">
        <f>H761+H762</f>
        <v>60</v>
      </c>
      <c r="I763" s="8">
        <f>I761+I762</f>
        <v>60</v>
      </c>
    </row>
    <row r="764" spans="1:9" x14ac:dyDescent="0.3">
      <c r="A764" s="4" t="s">
        <v>724</v>
      </c>
    </row>
    <row r="765" spans="1:9" x14ac:dyDescent="0.3">
      <c r="B765" s="5" t="s">
        <v>722</v>
      </c>
      <c r="C765" s="5" t="s">
        <v>10</v>
      </c>
      <c r="D765" s="5" t="s">
        <v>715</v>
      </c>
      <c r="E765" s="5" t="s">
        <v>725</v>
      </c>
      <c r="F765" s="5" t="s">
        <v>67</v>
      </c>
      <c r="G765" s="5" t="s">
        <v>68</v>
      </c>
      <c r="H765" s="6">
        <v>140</v>
      </c>
      <c r="I765" s="5"/>
    </row>
    <row r="766" spans="1:9" x14ac:dyDescent="0.3">
      <c r="B766" s="5" t="s">
        <v>722</v>
      </c>
      <c r="C766" s="5" t="s">
        <v>10</v>
      </c>
      <c r="D766" s="5" t="s">
        <v>715</v>
      </c>
      <c r="E766" s="5" t="s">
        <v>725</v>
      </c>
      <c r="F766" s="5" t="s">
        <v>13</v>
      </c>
      <c r="G766" s="5" t="s">
        <v>14</v>
      </c>
      <c r="H766" s="5"/>
      <c r="I766" s="6">
        <v>140</v>
      </c>
    </row>
    <row r="767" spans="1:9" x14ac:dyDescent="0.3">
      <c r="A767" s="7" t="s">
        <v>726</v>
      </c>
      <c r="H767" s="8">
        <f>H765+H766</f>
        <v>140</v>
      </c>
      <c r="I767" s="8">
        <f>I765+I766</f>
        <v>140</v>
      </c>
    </row>
    <row r="768" spans="1:9" x14ac:dyDescent="0.3">
      <c r="A768" s="4" t="s">
        <v>727</v>
      </c>
    </row>
    <row r="769" spans="1:9" x14ac:dyDescent="0.3">
      <c r="B769" s="5" t="s">
        <v>722</v>
      </c>
      <c r="C769" s="5" t="s">
        <v>10</v>
      </c>
      <c r="D769" s="5" t="s">
        <v>717</v>
      </c>
      <c r="E769" s="5" t="s">
        <v>728</v>
      </c>
      <c r="F769" s="5" t="s">
        <v>61</v>
      </c>
      <c r="G769" s="5" t="s">
        <v>62</v>
      </c>
      <c r="H769" s="6">
        <v>60</v>
      </c>
      <c r="I769" s="5"/>
    </row>
    <row r="770" spans="1:9" x14ac:dyDescent="0.3">
      <c r="B770" s="5" t="s">
        <v>722</v>
      </c>
      <c r="C770" s="5" t="s">
        <v>10</v>
      </c>
      <c r="D770" s="5" t="s">
        <v>717</v>
      </c>
      <c r="E770" s="5" t="s">
        <v>728</v>
      </c>
      <c r="F770" s="5" t="s">
        <v>13</v>
      </c>
      <c r="G770" s="5" t="s">
        <v>14</v>
      </c>
      <c r="H770" s="5"/>
      <c r="I770" s="6">
        <v>60</v>
      </c>
    </row>
    <row r="771" spans="1:9" x14ac:dyDescent="0.3">
      <c r="A771" s="7" t="s">
        <v>729</v>
      </c>
      <c r="H771" s="8">
        <f>H769+H770</f>
        <v>60</v>
      </c>
      <c r="I771" s="8">
        <f>I769+I770</f>
        <v>60</v>
      </c>
    </row>
    <row r="772" spans="1:9" x14ac:dyDescent="0.3">
      <c r="A772" s="4" t="s">
        <v>730</v>
      </c>
    </row>
    <row r="773" spans="1:9" x14ac:dyDescent="0.3">
      <c r="B773" s="5" t="s">
        <v>722</v>
      </c>
      <c r="C773" s="5" t="s">
        <v>10</v>
      </c>
      <c r="D773" s="5" t="s">
        <v>719</v>
      </c>
      <c r="E773" s="5" t="s">
        <v>731</v>
      </c>
      <c r="F773" s="5" t="s">
        <v>61</v>
      </c>
      <c r="G773" s="5" t="s">
        <v>62</v>
      </c>
      <c r="H773" s="6">
        <v>150</v>
      </c>
      <c r="I773" s="5"/>
    </row>
    <row r="774" spans="1:9" x14ac:dyDescent="0.3">
      <c r="B774" s="5" t="s">
        <v>722</v>
      </c>
      <c r="C774" s="5" t="s">
        <v>10</v>
      </c>
      <c r="D774" s="5" t="s">
        <v>719</v>
      </c>
      <c r="E774" s="5" t="s">
        <v>731</v>
      </c>
      <c r="F774" s="5" t="s">
        <v>13</v>
      </c>
      <c r="G774" s="5" t="s">
        <v>14</v>
      </c>
      <c r="H774" s="5"/>
      <c r="I774" s="6">
        <v>150</v>
      </c>
    </row>
    <row r="775" spans="1:9" x14ac:dyDescent="0.3">
      <c r="A775" s="7" t="s">
        <v>732</v>
      </c>
      <c r="H775" s="8">
        <f>H773+H774</f>
        <v>150</v>
      </c>
      <c r="I775" s="8">
        <f>I773+I774</f>
        <v>150</v>
      </c>
    </row>
    <row r="776" spans="1:9" x14ac:dyDescent="0.3">
      <c r="A776" s="4" t="s">
        <v>733</v>
      </c>
    </row>
    <row r="777" spans="1:9" x14ac:dyDescent="0.3">
      <c r="B777" s="5" t="s">
        <v>734</v>
      </c>
      <c r="C777" s="5" t="s">
        <v>10</v>
      </c>
      <c r="D777" s="5" t="s">
        <v>721</v>
      </c>
      <c r="E777" s="5" t="s">
        <v>735</v>
      </c>
      <c r="F777" s="5" t="s">
        <v>35</v>
      </c>
      <c r="G777" s="5" t="s">
        <v>36</v>
      </c>
      <c r="H777" s="6">
        <v>3980</v>
      </c>
      <c r="I777" s="5"/>
    </row>
    <row r="778" spans="1:9" x14ac:dyDescent="0.3">
      <c r="B778" s="5" t="s">
        <v>734</v>
      </c>
      <c r="C778" s="5" t="s">
        <v>10</v>
      </c>
      <c r="D778" s="5" t="s">
        <v>721</v>
      </c>
      <c r="E778" s="5" t="s">
        <v>694</v>
      </c>
      <c r="F778" s="5" t="s">
        <v>67</v>
      </c>
      <c r="G778" s="5" t="s">
        <v>68</v>
      </c>
      <c r="H778" s="6">
        <v>100</v>
      </c>
      <c r="I778" s="5"/>
    </row>
    <row r="779" spans="1:9" x14ac:dyDescent="0.3">
      <c r="B779" s="5" t="s">
        <v>734</v>
      </c>
      <c r="C779" s="5" t="s">
        <v>10</v>
      </c>
      <c r="D779" s="5" t="s">
        <v>721</v>
      </c>
      <c r="E779" s="5" t="s">
        <v>736</v>
      </c>
      <c r="F779" s="5" t="s">
        <v>13</v>
      </c>
      <c r="G779" s="5" t="s">
        <v>14</v>
      </c>
      <c r="H779" s="5"/>
      <c r="I779" s="6">
        <v>4080</v>
      </c>
    </row>
    <row r="780" spans="1:9" x14ac:dyDescent="0.3">
      <c r="A780" s="7" t="s">
        <v>737</v>
      </c>
      <c r="H780" s="8">
        <f>H777+H778+H779</f>
        <v>4080</v>
      </c>
      <c r="I780" s="8">
        <f>I777+I778+I779</f>
        <v>4080</v>
      </c>
    </row>
    <row r="781" spans="1:9" x14ac:dyDescent="0.3">
      <c r="A781" s="4" t="s">
        <v>738</v>
      </c>
    </row>
    <row r="782" spans="1:9" x14ac:dyDescent="0.3">
      <c r="B782" s="5" t="s">
        <v>734</v>
      </c>
      <c r="C782" s="5" t="s">
        <v>10</v>
      </c>
      <c r="D782" s="5" t="s">
        <v>724</v>
      </c>
      <c r="E782" s="5" t="s">
        <v>739</v>
      </c>
      <c r="F782" s="5" t="s">
        <v>50</v>
      </c>
      <c r="G782" s="5" t="s">
        <v>51</v>
      </c>
      <c r="H782" s="6">
        <v>9990</v>
      </c>
      <c r="I782" s="5"/>
    </row>
    <row r="783" spans="1:9" x14ac:dyDescent="0.3">
      <c r="B783" s="5" t="s">
        <v>734</v>
      </c>
      <c r="C783" s="5" t="s">
        <v>10</v>
      </c>
      <c r="D783" s="5" t="s">
        <v>724</v>
      </c>
      <c r="E783" s="5" t="s">
        <v>739</v>
      </c>
      <c r="F783" s="5" t="s">
        <v>13</v>
      </c>
      <c r="G783" s="5" t="s">
        <v>14</v>
      </c>
      <c r="H783" s="5"/>
      <c r="I783" s="6">
        <v>9990</v>
      </c>
    </row>
    <row r="784" spans="1:9" x14ac:dyDescent="0.3">
      <c r="A784" s="7" t="s">
        <v>740</v>
      </c>
      <c r="H784" s="8">
        <f>H782+H783</f>
        <v>9990</v>
      </c>
      <c r="I784" s="8">
        <f>I782+I783</f>
        <v>9990</v>
      </c>
    </row>
    <row r="785" spans="1:9" x14ac:dyDescent="0.3">
      <c r="A785" s="4" t="s">
        <v>741</v>
      </c>
    </row>
    <row r="786" spans="1:9" x14ac:dyDescent="0.3">
      <c r="B786" s="5" t="s">
        <v>742</v>
      </c>
      <c r="C786" s="5" t="s">
        <v>10</v>
      </c>
      <c r="D786" s="5" t="s">
        <v>727</v>
      </c>
      <c r="E786" s="5" t="s">
        <v>743</v>
      </c>
      <c r="F786" s="5" t="s">
        <v>61</v>
      </c>
      <c r="G786" s="5" t="s">
        <v>62</v>
      </c>
      <c r="H786" s="6">
        <v>170</v>
      </c>
      <c r="I786" s="5"/>
    </row>
    <row r="787" spans="1:9" x14ac:dyDescent="0.3">
      <c r="B787" s="5" t="s">
        <v>742</v>
      </c>
      <c r="C787" s="5" t="s">
        <v>10</v>
      </c>
      <c r="D787" s="5" t="s">
        <v>727</v>
      </c>
      <c r="E787" s="5" t="s">
        <v>743</v>
      </c>
      <c r="F787" s="5" t="s">
        <v>13</v>
      </c>
      <c r="G787" s="5" t="s">
        <v>14</v>
      </c>
      <c r="H787" s="5"/>
      <c r="I787" s="6">
        <v>170</v>
      </c>
    </row>
    <row r="788" spans="1:9" x14ac:dyDescent="0.3">
      <c r="A788" s="7" t="s">
        <v>744</v>
      </c>
      <c r="H788" s="8">
        <f>H786+H787</f>
        <v>170</v>
      </c>
      <c r="I788" s="8">
        <f>I786+I787</f>
        <v>170</v>
      </c>
    </row>
    <row r="789" spans="1:9" x14ac:dyDescent="0.3">
      <c r="A789" s="4" t="s">
        <v>745</v>
      </c>
    </row>
    <row r="790" spans="1:9" x14ac:dyDescent="0.3">
      <c r="B790" s="5" t="s">
        <v>746</v>
      </c>
      <c r="C790" s="5" t="s">
        <v>10</v>
      </c>
      <c r="D790" s="5" t="s">
        <v>730</v>
      </c>
      <c r="E790" s="5" t="s">
        <v>747</v>
      </c>
      <c r="F790" s="5" t="s">
        <v>61</v>
      </c>
      <c r="G790" s="5" t="s">
        <v>62</v>
      </c>
      <c r="H790" s="6">
        <v>660</v>
      </c>
      <c r="I790" s="5"/>
    </row>
    <row r="791" spans="1:9" x14ac:dyDescent="0.3">
      <c r="B791" s="5" t="s">
        <v>746</v>
      </c>
      <c r="C791" s="5" t="s">
        <v>10</v>
      </c>
      <c r="D791" s="5" t="s">
        <v>730</v>
      </c>
      <c r="E791" s="5" t="s">
        <v>747</v>
      </c>
      <c r="F791" s="5" t="s">
        <v>13</v>
      </c>
      <c r="G791" s="5" t="s">
        <v>14</v>
      </c>
      <c r="H791" s="5"/>
      <c r="I791" s="6">
        <v>660</v>
      </c>
    </row>
    <row r="792" spans="1:9" x14ac:dyDescent="0.3">
      <c r="A792" s="7" t="s">
        <v>748</v>
      </c>
      <c r="H792" s="8">
        <f>H790+H791</f>
        <v>660</v>
      </c>
      <c r="I792" s="8">
        <f>I790+I791</f>
        <v>660</v>
      </c>
    </row>
    <row r="793" spans="1:9" x14ac:dyDescent="0.3">
      <c r="A793" s="4" t="s">
        <v>749</v>
      </c>
    </row>
    <row r="794" spans="1:9" x14ac:dyDescent="0.3">
      <c r="B794" s="5" t="s">
        <v>746</v>
      </c>
      <c r="C794" s="5" t="s">
        <v>10</v>
      </c>
      <c r="D794" s="5" t="s">
        <v>733</v>
      </c>
      <c r="E794" s="5" t="s">
        <v>561</v>
      </c>
      <c r="F794" s="5" t="s">
        <v>129</v>
      </c>
      <c r="G794" s="5" t="s">
        <v>130</v>
      </c>
      <c r="H794" s="6">
        <v>60</v>
      </c>
      <c r="I794" s="5"/>
    </row>
    <row r="795" spans="1:9" x14ac:dyDescent="0.3">
      <c r="B795" s="5" t="s">
        <v>746</v>
      </c>
      <c r="C795" s="5" t="s">
        <v>10</v>
      </c>
      <c r="D795" s="5" t="s">
        <v>733</v>
      </c>
      <c r="E795" s="5" t="s">
        <v>561</v>
      </c>
      <c r="F795" s="5" t="s">
        <v>13</v>
      </c>
      <c r="G795" s="5" t="s">
        <v>14</v>
      </c>
      <c r="H795" s="5"/>
      <c r="I795" s="6">
        <v>60</v>
      </c>
    </row>
    <row r="796" spans="1:9" x14ac:dyDescent="0.3">
      <c r="A796" s="7" t="s">
        <v>750</v>
      </c>
      <c r="H796" s="8">
        <f>H794+H795</f>
        <v>60</v>
      </c>
      <c r="I796" s="8">
        <f>I794+I795</f>
        <v>60</v>
      </c>
    </row>
    <row r="797" spans="1:9" x14ac:dyDescent="0.3">
      <c r="A797" s="4" t="s">
        <v>751</v>
      </c>
    </row>
    <row r="798" spans="1:9" x14ac:dyDescent="0.3">
      <c r="B798" s="5" t="s">
        <v>752</v>
      </c>
      <c r="C798" s="5" t="s">
        <v>10</v>
      </c>
      <c r="D798" s="5" t="s">
        <v>738</v>
      </c>
      <c r="E798" s="5" t="s">
        <v>533</v>
      </c>
      <c r="F798" s="5" t="s">
        <v>61</v>
      </c>
      <c r="G798" s="5" t="s">
        <v>62</v>
      </c>
      <c r="H798" s="6">
        <v>770</v>
      </c>
      <c r="I798" s="5"/>
    </row>
    <row r="799" spans="1:9" x14ac:dyDescent="0.3">
      <c r="B799" s="5" t="s">
        <v>752</v>
      </c>
      <c r="C799" s="5" t="s">
        <v>10</v>
      </c>
      <c r="D799" s="5" t="s">
        <v>738</v>
      </c>
      <c r="E799" s="5" t="s">
        <v>533</v>
      </c>
      <c r="F799" s="5" t="s">
        <v>13</v>
      </c>
      <c r="G799" s="5" t="s">
        <v>14</v>
      </c>
      <c r="H799" s="5"/>
      <c r="I799" s="6">
        <v>770</v>
      </c>
    </row>
    <row r="800" spans="1:9" x14ac:dyDescent="0.3">
      <c r="A800" s="7" t="s">
        <v>753</v>
      </c>
      <c r="H800" s="8">
        <f>H798+H799</f>
        <v>770</v>
      </c>
      <c r="I800" s="8">
        <f>I798+I799</f>
        <v>770</v>
      </c>
    </row>
    <row r="801" spans="1:9" x14ac:dyDescent="0.3">
      <c r="A801" s="4" t="s">
        <v>754</v>
      </c>
    </row>
    <row r="802" spans="1:9" x14ac:dyDescent="0.3">
      <c r="B802" s="5" t="s">
        <v>752</v>
      </c>
      <c r="C802" s="5" t="s">
        <v>10</v>
      </c>
      <c r="D802" s="5" t="s">
        <v>741</v>
      </c>
      <c r="E802" s="5" t="s">
        <v>755</v>
      </c>
      <c r="F802" s="5" t="s">
        <v>58</v>
      </c>
      <c r="G802" s="5" t="s">
        <v>59</v>
      </c>
      <c r="H802" s="6">
        <v>800</v>
      </c>
      <c r="I802" s="5"/>
    </row>
    <row r="803" spans="1:9" x14ac:dyDescent="0.3">
      <c r="B803" s="5" t="s">
        <v>752</v>
      </c>
      <c r="C803" s="5" t="s">
        <v>10</v>
      </c>
      <c r="D803" s="5" t="s">
        <v>741</v>
      </c>
      <c r="E803" s="5" t="s">
        <v>106</v>
      </c>
      <c r="F803" s="5" t="s">
        <v>67</v>
      </c>
      <c r="G803" s="5" t="s">
        <v>68</v>
      </c>
      <c r="H803" s="6">
        <v>90</v>
      </c>
      <c r="I803" s="5"/>
    </row>
    <row r="804" spans="1:9" x14ac:dyDescent="0.3">
      <c r="B804" s="5" t="s">
        <v>752</v>
      </c>
      <c r="C804" s="5" t="s">
        <v>10</v>
      </c>
      <c r="D804" s="5" t="s">
        <v>741</v>
      </c>
      <c r="E804" s="5" t="s">
        <v>106</v>
      </c>
      <c r="F804" s="5" t="s">
        <v>13</v>
      </c>
      <c r="G804" s="5" t="s">
        <v>14</v>
      </c>
      <c r="H804" s="5"/>
      <c r="I804" s="6">
        <v>890</v>
      </c>
    </row>
    <row r="805" spans="1:9" x14ac:dyDescent="0.3">
      <c r="A805" s="7" t="s">
        <v>756</v>
      </c>
      <c r="H805" s="8">
        <f>H802+H803+H804</f>
        <v>890</v>
      </c>
      <c r="I805" s="8">
        <f>I802+I803+I804</f>
        <v>890</v>
      </c>
    </row>
    <row r="806" spans="1:9" x14ac:dyDescent="0.3">
      <c r="A806" s="4" t="s">
        <v>757</v>
      </c>
    </row>
    <row r="807" spans="1:9" x14ac:dyDescent="0.3">
      <c r="B807" s="5" t="s">
        <v>752</v>
      </c>
      <c r="C807" s="5" t="s">
        <v>10</v>
      </c>
      <c r="D807" s="5" t="s">
        <v>745</v>
      </c>
      <c r="E807" s="5" t="s">
        <v>758</v>
      </c>
      <c r="F807" s="5" t="s">
        <v>218</v>
      </c>
      <c r="G807" s="5" t="s">
        <v>219</v>
      </c>
      <c r="H807" s="6">
        <v>500</v>
      </c>
      <c r="I807" s="5"/>
    </row>
    <row r="808" spans="1:9" x14ac:dyDescent="0.3">
      <c r="B808" s="5" t="s">
        <v>752</v>
      </c>
      <c r="C808" s="5" t="s">
        <v>10</v>
      </c>
      <c r="D808" s="5" t="s">
        <v>745</v>
      </c>
      <c r="E808" s="5" t="s">
        <v>758</v>
      </c>
      <c r="F808" s="5" t="s">
        <v>13</v>
      </c>
      <c r="G808" s="5" t="s">
        <v>14</v>
      </c>
      <c r="H808" s="5"/>
      <c r="I808" s="6">
        <v>500</v>
      </c>
    </row>
    <row r="809" spans="1:9" x14ac:dyDescent="0.3">
      <c r="A809" s="7" t="s">
        <v>759</v>
      </c>
      <c r="H809" s="8">
        <f>H807+H808</f>
        <v>500</v>
      </c>
      <c r="I809" s="8">
        <f>I807+I808</f>
        <v>500</v>
      </c>
    </row>
    <row r="810" spans="1:9" x14ac:dyDescent="0.3">
      <c r="A810" s="4" t="s">
        <v>760</v>
      </c>
    </row>
    <row r="811" spans="1:9" x14ac:dyDescent="0.3">
      <c r="B811" s="5" t="s">
        <v>752</v>
      </c>
      <c r="C811" s="5" t="s">
        <v>10</v>
      </c>
      <c r="D811" s="5" t="s">
        <v>749</v>
      </c>
      <c r="E811" s="5" t="s">
        <v>761</v>
      </c>
      <c r="F811" s="5" t="s">
        <v>26</v>
      </c>
      <c r="G811" s="5" t="s">
        <v>27</v>
      </c>
      <c r="H811" s="6">
        <v>60000</v>
      </c>
      <c r="I811" s="5"/>
    </row>
    <row r="812" spans="1:9" x14ac:dyDescent="0.3">
      <c r="B812" s="5" t="s">
        <v>752</v>
      </c>
      <c r="C812" s="5" t="s">
        <v>10</v>
      </c>
      <c r="D812" s="5" t="s">
        <v>749</v>
      </c>
      <c r="E812" s="5" t="s">
        <v>761</v>
      </c>
      <c r="F812" s="5" t="s">
        <v>13</v>
      </c>
      <c r="G812" s="5" t="s">
        <v>14</v>
      </c>
      <c r="H812" s="5"/>
      <c r="I812" s="6">
        <v>60000</v>
      </c>
    </row>
    <row r="813" spans="1:9" x14ac:dyDescent="0.3">
      <c r="A813" s="7" t="s">
        <v>762</v>
      </c>
      <c r="H813" s="8">
        <f>H811+H812</f>
        <v>60000</v>
      </c>
      <c r="I813" s="8">
        <f>I811+I812</f>
        <v>60000</v>
      </c>
    </row>
    <row r="814" spans="1:9" x14ac:dyDescent="0.3">
      <c r="A814" s="4" t="s">
        <v>763</v>
      </c>
    </row>
    <row r="815" spans="1:9" x14ac:dyDescent="0.3">
      <c r="B815" s="5" t="s">
        <v>752</v>
      </c>
      <c r="C815" s="5" t="s">
        <v>10</v>
      </c>
      <c r="D815" s="5" t="s">
        <v>751</v>
      </c>
      <c r="E815" s="5" t="s">
        <v>764</v>
      </c>
      <c r="F815" s="5" t="s">
        <v>23</v>
      </c>
      <c r="G815" s="5" t="s">
        <v>24</v>
      </c>
      <c r="H815" s="6">
        <v>33000</v>
      </c>
      <c r="I815" s="5"/>
    </row>
    <row r="816" spans="1:9" x14ac:dyDescent="0.3">
      <c r="B816" s="5" t="s">
        <v>752</v>
      </c>
      <c r="C816" s="5" t="s">
        <v>10</v>
      </c>
      <c r="D816" s="5" t="s">
        <v>751</v>
      </c>
      <c r="E816" s="5" t="s">
        <v>765</v>
      </c>
      <c r="F816" s="5" t="s">
        <v>29</v>
      </c>
      <c r="G816" s="5" t="s">
        <v>30</v>
      </c>
      <c r="H816" s="5"/>
      <c r="I816" s="6">
        <v>3000</v>
      </c>
    </row>
    <row r="817" spans="1:9" x14ac:dyDescent="0.3">
      <c r="B817" s="5" t="s">
        <v>752</v>
      </c>
      <c r="C817" s="5" t="s">
        <v>10</v>
      </c>
      <c r="D817" s="5" t="s">
        <v>751</v>
      </c>
      <c r="E817" s="5" t="s">
        <v>765</v>
      </c>
      <c r="F817" s="5" t="s">
        <v>26</v>
      </c>
      <c r="G817" s="5" t="s">
        <v>27</v>
      </c>
      <c r="H817" s="5"/>
      <c r="I817" s="6">
        <v>30000</v>
      </c>
    </row>
    <row r="818" spans="1:9" x14ac:dyDescent="0.3">
      <c r="A818" s="7" t="s">
        <v>766</v>
      </c>
      <c r="H818" s="8">
        <f>H815+H816+H817</f>
        <v>33000</v>
      </c>
      <c r="I818" s="8">
        <f>I815+I816+I817</f>
        <v>33000</v>
      </c>
    </row>
    <row r="819" spans="1:9" x14ac:dyDescent="0.3">
      <c r="A819" s="4" t="s">
        <v>767</v>
      </c>
    </row>
    <row r="820" spans="1:9" x14ac:dyDescent="0.3">
      <c r="B820" s="5" t="s">
        <v>768</v>
      </c>
      <c r="C820" s="5" t="s">
        <v>10</v>
      </c>
      <c r="D820" s="5" t="s">
        <v>754</v>
      </c>
      <c r="E820" s="5" t="s">
        <v>769</v>
      </c>
      <c r="F820" s="5" t="s">
        <v>67</v>
      </c>
      <c r="G820" s="5" t="s">
        <v>68</v>
      </c>
      <c r="H820" s="6">
        <v>530</v>
      </c>
      <c r="I820" s="5"/>
    </row>
    <row r="821" spans="1:9" x14ac:dyDescent="0.3">
      <c r="B821" s="5" t="s">
        <v>768</v>
      </c>
      <c r="C821" s="5" t="s">
        <v>10</v>
      </c>
      <c r="D821" s="5" t="s">
        <v>754</v>
      </c>
      <c r="E821" s="5" t="s">
        <v>769</v>
      </c>
      <c r="F821" s="5" t="s">
        <v>13</v>
      </c>
      <c r="G821" s="5" t="s">
        <v>14</v>
      </c>
      <c r="H821" s="5"/>
      <c r="I821" s="6">
        <v>530</v>
      </c>
    </row>
    <row r="822" spans="1:9" x14ac:dyDescent="0.3">
      <c r="B822" s="5" t="s">
        <v>768</v>
      </c>
      <c r="C822" s="5" t="s">
        <v>10</v>
      </c>
      <c r="D822" s="5" t="s">
        <v>754</v>
      </c>
      <c r="E822" s="5" t="s">
        <v>184</v>
      </c>
      <c r="F822" s="5" t="s">
        <v>61</v>
      </c>
      <c r="G822" s="5" t="s">
        <v>62</v>
      </c>
      <c r="H822" s="6">
        <v>280</v>
      </c>
      <c r="I822" s="5"/>
    </row>
    <row r="823" spans="1:9" x14ac:dyDescent="0.3">
      <c r="B823" s="5" t="s">
        <v>768</v>
      </c>
      <c r="C823" s="5" t="s">
        <v>10</v>
      </c>
      <c r="D823" s="5" t="s">
        <v>754</v>
      </c>
      <c r="E823" s="5" t="s">
        <v>770</v>
      </c>
      <c r="F823" s="5" t="s">
        <v>70</v>
      </c>
      <c r="G823" s="5" t="s">
        <v>71</v>
      </c>
      <c r="H823" s="6">
        <v>300</v>
      </c>
      <c r="I823" s="5"/>
    </row>
    <row r="824" spans="1:9" x14ac:dyDescent="0.3">
      <c r="B824" s="5" t="s">
        <v>768</v>
      </c>
      <c r="C824" s="5" t="s">
        <v>10</v>
      </c>
      <c r="D824" s="5" t="s">
        <v>754</v>
      </c>
      <c r="E824" s="5" t="s">
        <v>106</v>
      </c>
      <c r="F824" s="5" t="s">
        <v>67</v>
      </c>
      <c r="G824" s="5" t="s">
        <v>68</v>
      </c>
      <c r="H824" s="6">
        <v>90</v>
      </c>
      <c r="I824" s="5"/>
    </row>
    <row r="825" spans="1:9" x14ac:dyDescent="0.3">
      <c r="B825" s="5" t="s">
        <v>768</v>
      </c>
      <c r="C825" s="5" t="s">
        <v>10</v>
      </c>
      <c r="D825" s="5" t="s">
        <v>754</v>
      </c>
      <c r="E825" s="5" t="s">
        <v>771</v>
      </c>
      <c r="F825" s="5" t="s">
        <v>13</v>
      </c>
      <c r="G825" s="5" t="s">
        <v>14</v>
      </c>
      <c r="H825" s="5"/>
      <c r="I825" s="6">
        <v>670</v>
      </c>
    </row>
    <row r="826" spans="1:9" x14ac:dyDescent="0.3">
      <c r="A826" s="7" t="s">
        <v>772</v>
      </c>
      <c r="H826" s="8">
        <f>H820+H821+H822+H823+H824+H825</f>
        <v>1200</v>
      </c>
      <c r="I826" s="8">
        <f>I820+I821+I822+I823+I824+I825</f>
        <v>1200</v>
      </c>
    </row>
    <row r="827" spans="1:9" x14ac:dyDescent="0.3">
      <c r="A827" s="4" t="s">
        <v>773</v>
      </c>
    </row>
    <row r="828" spans="1:9" x14ac:dyDescent="0.3">
      <c r="B828" s="5" t="s">
        <v>774</v>
      </c>
      <c r="C828" s="5" t="s">
        <v>10</v>
      </c>
      <c r="D828" s="5" t="s">
        <v>757</v>
      </c>
      <c r="E828" s="5" t="s">
        <v>775</v>
      </c>
      <c r="F828" s="5" t="s">
        <v>61</v>
      </c>
      <c r="G828" s="5" t="s">
        <v>62</v>
      </c>
      <c r="H828" s="6">
        <v>130</v>
      </c>
      <c r="I828" s="5"/>
    </row>
    <row r="829" spans="1:9" x14ac:dyDescent="0.3">
      <c r="B829" s="5" t="s">
        <v>774</v>
      </c>
      <c r="C829" s="5" t="s">
        <v>10</v>
      </c>
      <c r="D829" s="5" t="s">
        <v>757</v>
      </c>
      <c r="E829" s="5" t="s">
        <v>775</v>
      </c>
      <c r="F829" s="5" t="s">
        <v>13</v>
      </c>
      <c r="G829" s="5" t="s">
        <v>14</v>
      </c>
      <c r="H829" s="5"/>
      <c r="I829" s="6">
        <v>130</v>
      </c>
    </row>
    <row r="830" spans="1:9" x14ac:dyDescent="0.3">
      <c r="A830" s="7" t="s">
        <v>776</v>
      </c>
      <c r="H830" s="8">
        <f>H828+H829</f>
        <v>130</v>
      </c>
      <c r="I830" s="8">
        <f>I828+I829</f>
        <v>130</v>
      </c>
    </row>
    <row r="831" spans="1:9" x14ac:dyDescent="0.3">
      <c r="A831" s="4" t="s">
        <v>777</v>
      </c>
    </row>
    <row r="832" spans="1:9" x14ac:dyDescent="0.3">
      <c r="B832" s="5" t="s">
        <v>778</v>
      </c>
      <c r="C832" s="5" t="s">
        <v>10</v>
      </c>
      <c r="D832" s="5" t="s">
        <v>760</v>
      </c>
      <c r="E832" s="5" t="s">
        <v>758</v>
      </c>
      <c r="F832" s="5" t="s">
        <v>218</v>
      </c>
      <c r="G832" s="5" t="s">
        <v>219</v>
      </c>
      <c r="H832" s="6">
        <v>500</v>
      </c>
      <c r="I832" s="5"/>
    </row>
    <row r="833" spans="1:9" x14ac:dyDescent="0.3">
      <c r="B833" s="5" t="s">
        <v>778</v>
      </c>
      <c r="C833" s="5" t="s">
        <v>10</v>
      </c>
      <c r="D833" s="5" t="s">
        <v>760</v>
      </c>
      <c r="E833" s="5" t="s">
        <v>758</v>
      </c>
      <c r="F833" s="5" t="s">
        <v>13</v>
      </c>
      <c r="G833" s="5" t="s">
        <v>14</v>
      </c>
      <c r="H833" s="5"/>
      <c r="I833" s="6">
        <v>500</v>
      </c>
    </row>
    <row r="834" spans="1:9" x14ac:dyDescent="0.3">
      <c r="A834" s="7" t="s">
        <v>779</v>
      </c>
      <c r="H834" s="8">
        <f>H832+H833</f>
        <v>500</v>
      </c>
      <c r="I834" s="8">
        <f>I832+I833</f>
        <v>500</v>
      </c>
    </row>
    <row r="835" spans="1:9" x14ac:dyDescent="0.3">
      <c r="A835" s="4" t="s">
        <v>780</v>
      </c>
    </row>
    <row r="836" spans="1:9" x14ac:dyDescent="0.3">
      <c r="B836" s="5" t="s">
        <v>778</v>
      </c>
      <c r="C836" s="5" t="s">
        <v>10</v>
      </c>
      <c r="D836" s="5" t="s">
        <v>763</v>
      </c>
      <c r="E836" s="5" t="s">
        <v>775</v>
      </c>
      <c r="F836" s="5" t="s">
        <v>61</v>
      </c>
      <c r="G836" s="5" t="s">
        <v>62</v>
      </c>
      <c r="H836" s="6">
        <v>100</v>
      </c>
      <c r="I836" s="5"/>
    </row>
    <row r="837" spans="1:9" x14ac:dyDescent="0.3">
      <c r="B837" s="5" t="s">
        <v>778</v>
      </c>
      <c r="C837" s="5" t="s">
        <v>10</v>
      </c>
      <c r="D837" s="5" t="s">
        <v>763</v>
      </c>
      <c r="E837" s="5" t="s">
        <v>106</v>
      </c>
      <c r="F837" s="5" t="s">
        <v>67</v>
      </c>
      <c r="G837" s="5" t="s">
        <v>68</v>
      </c>
      <c r="H837" s="6">
        <v>90</v>
      </c>
      <c r="I837" s="5"/>
    </row>
    <row r="838" spans="1:9" x14ac:dyDescent="0.3">
      <c r="B838" s="5" t="s">
        <v>778</v>
      </c>
      <c r="C838" s="5" t="s">
        <v>10</v>
      </c>
      <c r="D838" s="5" t="s">
        <v>763</v>
      </c>
      <c r="E838" s="5" t="s">
        <v>781</v>
      </c>
      <c r="F838" s="5" t="s">
        <v>13</v>
      </c>
      <c r="G838" s="5" t="s">
        <v>14</v>
      </c>
      <c r="H838" s="5"/>
      <c r="I838" s="6">
        <v>190</v>
      </c>
    </row>
    <row r="839" spans="1:9" x14ac:dyDescent="0.3">
      <c r="A839" s="7" t="s">
        <v>782</v>
      </c>
      <c r="H839" s="8">
        <f>H836+H837+H838</f>
        <v>190</v>
      </c>
      <c r="I839" s="8">
        <f>I836+I837+I838</f>
        <v>190</v>
      </c>
    </row>
    <row r="840" spans="1:9" x14ac:dyDescent="0.3">
      <c r="A840" s="4" t="s">
        <v>783</v>
      </c>
    </row>
    <row r="841" spans="1:9" x14ac:dyDescent="0.3">
      <c r="B841" s="5" t="s">
        <v>784</v>
      </c>
      <c r="C841" s="5" t="s">
        <v>10</v>
      </c>
      <c r="D841" s="5" t="s">
        <v>767</v>
      </c>
      <c r="E841" s="5" t="s">
        <v>785</v>
      </c>
      <c r="F841" s="5" t="s">
        <v>61</v>
      </c>
      <c r="G841" s="5" t="s">
        <v>62</v>
      </c>
      <c r="H841" s="6">
        <v>350</v>
      </c>
      <c r="I841" s="5"/>
    </row>
    <row r="842" spans="1:9" x14ac:dyDescent="0.3">
      <c r="B842" s="5" t="s">
        <v>784</v>
      </c>
      <c r="C842" s="5" t="s">
        <v>10</v>
      </c>
      <c r="D842" s="5" t="s">
        <v>767</v>
      </c>
      <c r="E842" s="5" t="s">
        <v>785</v>
      </c>
      <c r="F842" s="5" t="s">
        <v>13</v>
      </c>
      <c r="G842" s="5" t="s">
        <v>14</v>
      </c>
      <c r="H842" s="5"/>
      <c r="I842" s="6">
        <v>350</v>
      </c>
    </row>
    <row r="843" spans="1:9" x14ac:dyDescent="0.3">
      <c r="A843" s="7" t="s">
        <v>786</v>
      </c>
      <c r="H843" s="8">
        <f>H841+H842</f>
        <v>350</v>
      </c>
      <c r="I843" s="8">
        <f>I841+I842</f>
        <v>350</v>
      </c>
    </row>
    <row r="844" spans="1:9" x14ac:dyDescent="0.3">
      <c r="A844" s="4" t="s">
        <v>787</v>
      </c>
    </row>
    <row r="845" spans="1:9" x14ac:dyDescent="0.3">
      <c r="B845" s="5" t="s">
        <v>788</v>
      </c>
      <c r="C845" s="5" t="s">
        <v>10</v>
      </c>
      <c r="D845" s="5" t="s">
        <v>773</v>
      </c>
      <c r="E845" s="5" t="s">
        <v>789</v>
      </c>
      <c r="F845" s="5" t="s">
        <v>61</v>
      </c>
      <c r="G845" s="5" t="s">
        <v>62</v>
      </c>
      <c r="H845" s="6">
        <v>990</v>
      </c>
      <c r="I845" s="5"/>
    </row>
    <row r="846" spans="1:9" x14ac:dyDescent="0.3">
      <c r="B846" s="5" t="s">
        <v>788</v>
      </c>
      <c r="C846" s="5" t="s">
        <v>10</v>
      </c>
      <c r="D846" s="5" t="s">
        <v>773</v>
      </c>
      <c r="E846" s="5" t="s">
        <v>561</v>
      </c>
      <c r="F846" s="5" t="s">
        <v>129</v>
      </c>
      <c r="G846" s="5" t="s">
        <v>130</v>
      </c>
      <c r="H846" s="6">
        <v>50</v>
      </c>
      <c r="I846" s="5"/>
    </row>
    <row r="847" spans="1:9" x14ac:dyDescent="0.3">
      <c r="B847" s="5" t="s">
        <v>788</v>
      </c>
      <c r="C847" s="5" t="s">
        <v>10</v>
      </c>
      <c r="D847" s="5" t="s">
        <v>773</v>
      </c>
      <c r="E847" s="5" t="s">
        <v>790</v>
      </c>
      <c r="F847" s="5" t="s">
        <v>13</v>
      </c>
      <c r="G847" s="5" t="s">
        <v>14</v>
      </c>
      <c r="H847" s="5"/>
      <c r="I847" s="6">
        <v>1040</v>
      </c>
    </row>
    <row r="848" spans="1:9" x14ac:dyDescent="0.3">
      <c r="A848" s="7" t="s">
        <v>791</v>
      </c>
      <c r="H848" s="8">
        <f>H845+H846+H847</f>
        <v>1040</v>
      </c>
      <c r="I848" s="8">
        <f>I845+I846+I847</f>
        <v>1040</v>
      </c>
    </row>
    <row r="849" spans="1:9" x14ac:dyDescent="0.3">
      <c r="A849" s="4" t="s">
        <v>792</v>
      </c>
    </row>
    <row r="850" spans="1:9" x14ac:dyDescent="0.3">
      <c r="B850" s="5" t="s">
        <v>793</v>
      </c>
      <c r="C850" s="5" t="s">
        <v>10</v>
      </c>
      <c r="D850" s="5" t="s">
        <v>777</v>
      </c>
      <c r="E850" s="5" t="s">
        <v>794</v>
      </c>
      <c r="F850" s="5" t="s">
        <v>61</v>
      </c>
      <c r="G850" s="5" t="s">
        <v>62</v>
      </c>
      <c r="H850" s="6">
        <v>690</v>
      </c>
      <c r="I850" s="5"/>
    </row>
    <row r="851" spans="1:9" x14ac:dyDescent="0.3">
      <c r="B851" s="5" t="s">
        <v>793</v>
      </c>
      <c r="C851" s="5" t="s">
        <v>10</v>
      </c>
      <c r="D851" s="5" t="s">
        <v>777</v>
      </c>
      <c r="E851" s="5" t="s">
        <v>794</v>
      </c>
      <c r="F851" s="5" t="s">
        <v>13</v>
      </c>
      <c r="G851" s="5" t="s">
        <v>14</v>
      </c>
      <c r="H851" s="5"/>
      <c r="I851" s="6">
        <v>690</v>
      </c>
    </row>
    <row r="852" spans="1:9" x14ac:dyDescent="0.3">
      <c r="A852" s="7" t="s">
        <v>795</v>
      </c>
      <c r="H852" s="8">
        <f>H850+H851</f>
        <v>690</v>
      </c>
      <c r="I852" s="8">
        <f>I850+I851</f>
        <v>690</v>
      </c>
    </row>
    <row r="853" spans="1:9" x14ac:dyDescent="0.3">
      <c r="A853" s="4" t="s">
        <v>796</v>
      </c>
    </row>
    <row r="854" spans="1:9" x14ac:dyDescent="0.3">
      <c r="B854" s="5" t="s">
        <v>793</v>
      </c>
      <c r="C854" s="5" t="s">
        <v>10</v>
      </c>
      <c r="D854" s="5" t="s">
        <v>780</v>
      </c>
      <c r="E854" s="5" t="s">
        <v>797</v>
      </c>
      <c r="F854" s="5" t="s">
        <v>61</v>
      </c>
      <c r="G854" s="5" t="s">
        <v>62</v>
      </c>
      <c r="H854" s="6">
        <v>80</v>
      </c>
      <c r="I854" s="5"/>
    </row>
    <row r="855" spans="1:9" x14ac:dyDescent="0.3">
      <c r="B855" s="5" t="s">
        <v>793</v>
      </c>
      <c r="C855" s="5" t="s">
        <v>10</v>
      </c>
      <c r="D855" s="5" t="s">
        <v>780</v>
      </c>
      <c r="E855" s="5" t="s">
        <v>797</v>
      </c>
      <c r="F855" s="5" t="s">
        <v>13</v>
      </c>
      <c r="G855" s="5" t="s">
        <v>14</v>
      </c>
      <c r="H855" s="5"/>
      <c r="I855" s="6">
        <v>80</v>
      </c>
    </row>
    <row r="856" spans="1:9" x14ac:dyDescent="0.3">
      <c r="A856" s="7" t="s">
        <v>798</v>
      </c>
      <c r="H856" s="8">
        <f>H854+H855</f>
        <v>80</v>
      </c>
      <c r="I856" s="8">
        <f>I854+I855</f>
        <v>80</v>
      </c>
    </row>
    <row r="857" spans="1:9" x14ac:dyDescent="0.3">
      <c r="A857" s="4" t="s">
        <v>799</v>
      </c>
    </row>
    <row r="858" spans="1:9" x14ac:dyDescent="0.3">
      <c r="B858" s="5" t="s">
        <v>800</v>
      </c>
      <c r="C858" s="5" t="s">
        <v>10</v>
      </c>
      <c r="D858" s="5" t="s">
        <v>783</v>
      </c>
      <c r="E858" s="5" t="s">
        <v>801</v>
      </c>
      <c r="F858" s="5" t="s">
        <v>61</v>
      </c>
      <c r="G858" s="5" t="s">
        <v>62</v>
      </c>
      <c r="H858" s="6">
        <v>120</v>
      </c>
      <c r="I858" s="5"/>
    </row>
    <row r="859" spans="1:9" x14ac:dyDescent="0.3">
      <c r="B859" s="5" t="s">
        <v>800</v>
      </c>
      <c r="C859" s="5" t="s">
        <v>10</v>
      </c>
      <c r="D859" s="5" t="s">
        <v>783</v>
      </c>
      <c r="E859" s="5" t="s">
        <v>802</v>
      </c>
      <c r="F859" s="5" t="s">
        <v>129</v>
      </c>
      <c r="G859" s="5" t="s">
        <v>130</v>
      </c>
      <c r="H859" s="6">
        <v>60</v>
      </c>
      <c r="I859" s="5"/>
    </row>
    <row r="860" spans="1:9" x14ac:dyDescent="0.3">
      <c r="B860" s="5" t="s">
        <v>800</v>
      </c>
      <c r="C860" s="5" t="s">
        <v>10</v>
      </c>
      <c r="D860" s="5" t="s">
        <v>783</v>
      </c>
      <c r="E860" s="5" t="s">
        <v>790</v>
      </c>
      <c r="F860" s="5" t="s">
        <v>13</v>
      </c>
      <c r="G860" s="5" t="s">
        <v>14</v>
      </c>
      <c r="H860" s="5"/>
      <c r="I860" s="6">
        <v>180</v>
      </c>
    </row>
    <row r="861" spans="1:9" x14ac:dyDescent="0.3">
      <c r="A861" s="7" t="s">
        <v>803</v>
      </c>
      <c r="H861" s="8">
        <f>H858+H859+H860</f>
        <v>180</v>
      </c>
      <c r="I861" s="8">
        <f>I858+I859+I860</f>
        <v>180</v>
      </c>
    </row>
    <row r="862" spans="1:9" x14ac:dyDescent="0.3">
      <c r="A862" s="4" t="s">
        <v>804</v>
      </c>
    </row>
    <row r="863" spans="1:9" x14ac:dyDescent="0.3">
      <c r="B863" s="5" t="s">
        <v>800</v>
      </c>
      <c r="C863" s="5" t="s">
        <v>10</v>
      </c>
      <c r="D863" s="5" t="s">
        <v>787</v>
      </c>
      <c r="E863" s="5" t="s">
        <v>805</v>
      </c>
      <c r="F863" s="5" t="s">
        <v>441</v>
      </c>
      <c r="G863" s="5" t="s">
        <v>442</v>
      </c>
      <c r="H863" s="6">
        <v>3000</v>
      </c>
      <c r="I863" s="5"/>
    </row>
    <row r="864" spans="1:9" x14ac:dyDescent="0.3">
      <c r="B864" s="5" t="s">
        <v>800</v>
      </c>
      <c r="C864" s="5" t="s">
        <v>10</v>
      </c>
      <c r="D864" s="5" t="s">
        <v>787</v>
      </c>
      <c r="E864" s="5" t="s">
        <v>805</v>
      </c>
      <c r="F864" s="5" t="s">
        <v>13</v>
      </c>
      <c r="G864" s="5" t="s">
        <v>14</v>
      </c>
      <c r="H864" s="5"/>
      <c r="I864" s="6">
        <v>3000</v>
      </c>
    </row>
    <row r="865" spans="1:9" x14ac:dyDescent="0.3">
      <c r="A865" s="7" t="s">
        <v>806</v>
      </c>
      <c r="H865" s="8">
        <f>H863+H864</f>
        <v>3000</v>
      </c>
      <c r="I865" s="8">
        <f>I863+I864</f>
        <v>3000</v>
      </c>
    </row>
    <row r="866" spans="1:9" x14ac:dyDescent="0.3">
      <c r="A866" s="4" t="s">
        <v>807</v>
      </c>
    </row>
    <row r="867" spans="1:9" x14ac:dyDescent="0.3">
      <c r="B867" s="5" t="s">
        <v>808</v>
      </c>
      <c r="C867" s="5" t="s">
        <v>10</v>
      </c>
      <c r="D867" s="5" t="s">
        <v>792</v>
      </c>
      <c r="E867" s="5" t="s">
        <v>809</v>
      </c>
      <c r="F867" s="5" t="s">
        <v>218</v>
      </c>
      <c r="G867" s="5" t="s">
        <v>219</v>
      </c>
      <c r="H867" s="6">
        <v>500</v>
      </c>
      <c r="I867" s="5"/>
    </row>
    <row r="868" spans="1:9" x14ac:dyDescent="0.3">
      <c r="B868" s="5" t="s">
        <v>808</v>
      </c>
      <c r="C868" s="5" t="s">
        <v>10</v>
      </c>
      <c r="D868" s="5" t="s">
        <v>792</v>
      </c>
      <c r="E868" s="5" t="s">
        <v>809</v>
      </c>
      <c r="F868" s="5" t="s">
        <v>13</v>
      </c>
      <c r="G868" s="5" t="s">
        <v>14</v>
      </c>
      <c r="H868" s="5"/>
      <c r="I868" s="6">
        <v>500</v>
      </c>
    </row>
    <row r="869" spans="1:9" x14ac:dyDescent="0.3">
      <c r="A869" s="7" t="s">
        <v>810</v>
      </c>
      <c r="H869" s="8">
        <f>H867+H868</f>
        <v>500</v>
      </c>
      <c r="I869" s="8">
        <f>I867+I868</f>
        <v>500</v>
      </c>
    </row>
    <row r="870" spans="1:9" x14ac:dyDescent="0.3">
      <c r="A870" s="4" t="s">
        <v>811</v>
      </c>
    </row>
    <row r="871" spans="1:9" x14ac:dyDescent="0.3">
      <c r="B871" s="5" t="s">
        <v>808</v>
      </c>
      <c r="C871" s="5" t="s">
        <v>10</v>
      </c>
      <c r="D871" s="5" t="s">
        <v>796</v>
      </c>
      <c r="E871" s="5" t="s">
        <v>801</v>
      </c>
      <c r="F871" s="5" t="s">
        <v>61</v>
      </c>
      <c r="G871" s="5" t="s">
        <v>62</v>
      </c>
      <c r="H871" s="6">
        <v>210</v>
      </c>
      <c r="I871" s="5"/>
    </row>
    <row r="872" spans="1:9" x14ac:dyDescent="0.3">
      <c r="B872" s="5" t="s">
        <v>808</v>
      </c>
      <c r="C872" s="5" t="s">
        <v>10</v>
      </c>
      <c r="D872" s="5" t="s">
        <v>796</v>
      </c>
      <c r="E872" s="5" t="s">
        <v>801</v>
      </c>
      <c r="F872" s="5" t="s">
        <v>13</v>
      </c>
      <c r="G872" s="5" t="s">
        <v>14</v>
      </c>
      <c r="H872" s="5"/>
      <c r="I872" s="6">
        <v>210</v>
      </c>
    </row>
    <row r="873" spans="1:9" x14ac:dyDescent="0.3">
      <c r="A873" s="7" t="s">
        <v>812</v>
      </c>
      <c r="H873" s="8">
        <f>H871+H872</f>
        <v>210</v>
      </c>
      <c r="I873" s="8">
        <f>I871+I872</f>
        <v>210</v>
      </c>
    </row>
    <row r="874" spans="1:9" x14ac:dyDescent="0.3">
      <c r="A874" s="4" t="s">
        <v>813</v>
      </c>
    </row>
    <row r="875" spans="1:9" x14ac:dyDescent="0.3">
      <c r="B875" s="5" t="s">
        <v>814</v>
      </c>
      <c r="C875" s="5" t="s">
        <v>10</v>
      </c>
      <c r="D875" s="5" t="s">
        <v>799</v>
      </c>
      <c r="E875" s="5" t="s">
        <v>801</v>
      </c>
      <c r="F875" s="5" t="s">
        <v>61</v>
      </c>
      <c r="G875" s="5" t="s">
        <v>62</v>
      </c>
      <c r="H875" s="6">
        <v>390</v>
      </c>
      <c r="I875" s="5"/>
    </row>
    <row r="876" spans="1:9" x14ac:dyDescent="0.3">
      <c r="B876" s="5" t="s">
        <v>814</v>
      </c>
      <c r="C876" s="5" t="s">
        <v>10</v>
      </c>
      <c r="D876" s="5" t="s">
        <v>799</v>
      </c>
      <c r="E876" s="5" t="s">
        <v>801</v>
      </c>
      <c r="F876" s="5" t="s">
        <v>13</v>
      </c>
      <c r="G876" s="5" t="s">
        <v>14</v>
      </c>
      <c r="H876" s="5"/>
      <c r="I876" s="6">
        <v>390</v>
      </c>
    </row>
    <row r="877" spans="1:9" x14ac:dyDescent="0.3">
      <c r="B877" s="5" t="s">
        <v>814</v>
      </c>
      <c r="C877" s="5" t="s">
        <v>10</v>
      </c>
      <c r="D877" s="5" t="s">
        <v>799</v>
      </c>
      <c r="E877" s="5" t="s">
        <v>815</v>
      </c>
      <c r="F877" s="5" t="s">
        <v>425</v>
      </c>
      <c r="G877" s="5" t="s">
        <v>426</v>
      </c>
      <c r="H877" s="6">
        <v>13172.22</v>
      </c>
      <c r="I877" s="5"/>
    </row>
    <row r="878" spans="1:9" x14ac:dyDescent="0.3">
      <c r="B878" s="5" t="s">
        <v>814</v>
      </c>
      <c r="C878" s="5" t="s">
        <v>10</v>
      </c>
      <c r="D878" s="5" t="s">
        <v>799</v>
      </c>
      <c r="E878" s="5" t="s">
        <v>815</v>
      </c>
      <c r="F878" s="5" t="s">
        <v>427</v>
      </c>
      <c r="G878" s="5" t="s">
        <v>428</v>
      </c>
      <c r="H878" s="5"/>
      <c r="I878" s="6">
        <v>4033.88</v>
      </c>
    </row>
    <row r="879" spans="1:9" x14ac:dyDescent="0.3">
      <c r="B879" s="5" t="s">
        <v>814</v>
      </c>
      <c r="C879" s="5" t="s">
        <v>10</v>
      </c>
      <c r="D879" s="5" t="s">
        <v>799</v>
      </c>
      <c r="E879" s="5" t="s">
        <v>815</v>
      </c>
      <c r="F879" s="5" t="s">
        <v>429</v>
      </c>
      <c r="G879" s="5" t="s">
        <v>430</v>
      </c>
      <c r="H879" s="5"/>
      <c r="I879" s="6">
        <v>6857.04</v>
      </c>
    </row>
    <row r="880" spans="1:9" x14ac:dyDescent="0.3">
      <c r="B880" s="5" t="s">
        <v>814</v>
      </c>
      <c r="C880" s="5" t="s">
        <v>10</v>
      </c>
      <c r="D880" s="5" t="s">
        <v>799</v>
      </c>
      <c r="E880" s="5" t="s">
        <v>815</v>
      </c>
      <c r="F880" s="5" t="s">
        <v>431</v>
      </c>
      <c r="G880" s="5" t="s">
        <v>432</v>
      </c>
      <c r="H880" s="5"/>
      <c r="I880" s="6">
        <v>2281.3000000000002</v>
      </c>
    </row>
    <row r="881" spans="1:9" x14ac:dyDescent="0.3">
      <c r="A881" s="7" t="s">
        <v>816</v>
      </c>
      <c r="H881" s="8">
        <f>H875+H876+H877+H878+H879+H880</f>
        <v>13562.22</v>
      </c>
      <c r="I881" s="8">
        <f>I875+I876+I877+I878+I879+I880</f>
        <v>13562.220000000001</v>
      </c>
    </row>
    <row r="882" spans="1:9" x14ac:dyDescent="0.3">
      <c r="A882" s="4" t="s">
        <v>817</v>
      </c>
    </row>
    <row r="883" spans="1:9" x14ac:dyDescent="0.3">
      <c r="B883" s="5" t="s">
        <v>814</v>
      </c>
      <c r="C883" s="5" t="s">
        <v>10</v>
      </c>
      <c r="D883" s="5" t="s">
        <v>804</v>
      </c>
      <c r="E883" s="5" t="s">
        <v>818</v>
      </c>
      <c r="F883" s="5" t="s">
        <v>437</v>
      </c>
      <c r="G883" s="5" t="s">
        <v>438</v>
      </c>
      <c r="H883" s="6">
        <v>385667</v>
      </c>
      <c r="I883" s="5"/>
    </row>
    <row r="884" spans="1:9" x14ac:dyDescent="0.3">
      <c r="B884" s="5" t="s">
        <v>814</v>
      </c>
      <c r="C884" s="5" t="s">
        <v>10</v>
      </c>
      <c r="D884" s="5" t="s">
        <v>804</v>
      </c>
      <c r="E884" s="5" t="s">
        <v>818</v>
      </c>
      <c r="F884" s="5" t="s">
        <v>439</v>
      </c>
      <c r="G884" s="5" t="s">
        <v>440</v>
      </c>
      <c r="H884" s="5"/>
      <c r="I884" s="6">
        <v>80000</v>
      </c>
    </row>
    <row r="885" spans="1:9" x14ac:dyDescent="0.3">
      <c r="B885" s="5" t="s">
        <v>814</v>
      </c>
      <c r="C885" s="5" t="s">
        <v>10</v>
      </c>
      <c r="D885" s="5" t="s">
        <v>804</v>
      </c>
      <c r="E885" s="5" t="s">
        <v>818</v>
      </c>
      <c r="F885" s="5" t="s">
        <v>441</v>
      </c>
      <c r="G885" s="5" t="s">
        <v>442</v>
      </c>
      <c r="H885" s="5"/>
      <c r="I885" s="6">
        <v>50600</v>
      </c>
    </row>
    <row r="886" spans="1:9" x14ac:dyDescent="0.3">
      <c r="B886" s="5" t="s">
        <v>814</v>
      </c>
      <c r="C886" s="5" t="s">
        <v>10</v>
      </c>
      <c r="D886" s="5" t="s">
        <v>804</v>
      </c>
      <c r="E886" s="5" t="s">
        <v>818</v>
      </c>
      <c r="F886" s="5" t="s">
        <v>443</v>
      </c>
      <c r="G886" s="5" t="s">
        <v>444</v>
      </c>
      <c r="H886" s="5"/>
      <c r="I886" s="6">
        <v>50600</v>
      </c>
    </row>
    <row r="887" spans="1:9" x14ac:dyDescent="0.3">
      <c r="B887" s="5" t="s">
        <v>814</v>
      </c>
      <c r="C887" s="5" t="s">
        <v>10</v>
      </c>
      <c r="D887" s="5" t="s">
        <v>804</v>
      </c>
      <c r="E887" s="5" t="s">
        <v>818</v>
      </c>
      <c r="F887" s="5" t="s">
        <v>445</v>
      </c>
      <c r="G887" s="5" t="s">
        <v>446</v>
      </c>
      <c r="H887" s="5"/>
      <c r="I887" s="6">
        <v>50600</v>
      </c>
    </row>
    <row r="888" spans="1:9" x14ac:dyDescent="0.3">
      <c r="B888" s="5" t="s">
        <v>814</v>
      </c>
      <c r="C888" s="5" t="s">
        <v>10</v>
      </c>
      <c r="D888" s="5" t="s">
        <v>804</v>
      </c>
      <c r="E888" s="5" t="s">
        <v>818</v>
      </c>
      <c r="F888" s="5" t="s">
        <v>447</v>
      </c>
      <c r="G888" s="5" t="s">
        <v>448</v>
      </c>
      <c r="H888" s="5"/>
      <c r="I888" s="6">
        <v>11860</v>
      </c>
    </row>
    <row r="889" spans="1:9" x14ac:dyDescent="0.3">
      <c r="B889" s="5" t="s">
        <v>814</v>
      </c>
      <c r="C889" s="5" t="s">
        <v>10</v>
      </c>
      <c r="D889" s="5" t="s">
        <v>804</v>
      </c>
      <c r="E889" s="5" t="s">
        <v>818</v>
      </c>
      <c r="F889" s="5" t="s">
        <v>449</v>
      </c>
      <c r="G889" s="5" t="s">
        <v>450</v>
      </c>
      <c r="H889" s="5"/>
      <c r="I889" s="6">
        <v>6960</v>
      </c>
    </row>
    <row r="890" spans="1:9" x14ac:dyDescent="0.3">
      <c r="B890" s="5" t="s">
        <v>814</v>
      </c>
      <c r="C890" s="5" t="s">
        <v>10</v>
      </c>
      <c r="D890" s="5" t="s">
        <v>804</v>
      </c>
      <c r="E890" s="5" t="s">
        <v>818</v>
      </c>
      <c r="F890" s="5" t="s">
        <v>451</v>
      </c>
      <c r="G890" s="5" t="s">
        <v>452</v>
      </c>
      <c r="H890" s="5"/>
      <c r="I890" s="6">
        <v>6960</v>
      </c>
    </row>
    <row r="891" spans="1:9" x14ac:dyDescent="0.3">
      <c r="B891" s="5" t="s">
        <v>814</v>
      </c>
      <c r="C891" s="5" t="s">
        <v>10</v>
      </c>
      <c r="D891" s="5" t="s">
        <v>804</v>
      </c>
      <c r="E891" s="5" t="s">
        <v>818</v>
      </c>
      <c r="F891" s="5" t="s">
        <v>453</v>
      </c>
      <c r="G891" s="5" t="s">
        <v>454</v>
      </c>
      <c r="H891" s="5"/>
      <c r="I891" s="6">
        <v>6960</v>
      </c>
    </row>
    <row r="892" spans="1:9" x14ac:dyDescent="0.3">
      <c r="B892" s="5" t="s">
        <v>814</v>
      </c>
      <c r="C892" s="5" t="s">
        <v>10</v>
      </c>
      <c r="D892" s="5" t="s">
        <v>804</v>
      </c>
      <c r="E892" s="5" t="s">
        <v>818</v>
      </c>
      <c r="F892" s="5" t="s">
        <v>547</v>
      </c>
      <c r="G892" s="5" t="s">
        <v>548</v>
      </c>
      <c r="H892" s="5"/>
      <c r="I892" s="6">
        <v>9900</v>
      </c>
    </row>
    <row r="893" spans="1:9" x14ac:dyDescent="0.3">
      <c r="B893" s="5" t="s">
        <v>814</v>
      </c>
      <c r="C893" s="5" t="s">
        <v>10</v>
      </c>
      <c r="D893" s="5" t="s">
        <v>804</v>
      </c>
      <c r="E893" s="5" t="s">
        <v>818</v>
      </c>
      <c r="F893" s="5" t="s">
        <v>455</v>
      </c>
      <c r="G893" s="5" t="s">
        <v>456</v>
      </c>
      <c r="H893" s="5"/>
      <c r="I893" s="6">
        <v>28100</v>
      </c>
    </row>
    <row r="894" spans="1:9" x14ac:dyDescent="0.3">
      <c r="B894" s="5" t="s">
        <v>814</v>
      </c>
      <c r="C894" s="5" t="s">
        <v>10</v>
      </c>
      <c r="D894" s="5" t="s">
        <v>804</v>
      </c>
      <c r="E894" s="5" t="s">
        <v>818</v>
      </c>
      <c r="F894" s="5" t="s">
        <v>549</v>
      </c>
      <c r="G894" s="5" t="s">
        <v>550</v>
      </c>
      <c r="H894" s="5"/>
      <c r="I894" s="6">
        <v>28100</v>
      </c>
    </row>
    <row r="895" spans="1:9" x14ac:dyDescent="0.3">
      <c r="B895" s="5" t="s">
        <v>814</v>
      </c>
      <c r="C895" s="5" t="s">
        <v>10</v>
      </c>
      <c r="D895" s="5" t="s">
        <v>804</v>
      </c>
      <c r="E895" s="5" t="s">
        <v>818</v>
      </c>
      <c r="F895" s="5" t="s">
        <v>661</v>
      </c>
      <c r="G895" s="5" t="s">
        <v>662</v>
      </c>
      <c r="H895" s="5"/>
      <c r="I895" s="6">
        <v>28100</v>
      </c>
    </row>
    <row r="896" spans="1:9" x14ac:dyDescent="0.3">
      <c r="B896" s="5" t="s">
        <v>814</v>
      </c>
      <c r="C896" s="5" t="s">
        <v>10</v>
      </c>
      <c r="D896" s="5" t="s">
        <v>804</v>
      </c>
      <c r="E896" s="5" t="s">
        <v>818</v>
      </c>
      <c r="F896" s="5" t="s">
        <v>457</v>
      </c>
      <c r="G896" s="5" t="s">
        <v>458</v>
      </c>
      <c r="H896" s="5"/>
      <c r="I896" s="6">
        <v>26927</v>
      </c>
    </row>
    <row r="897" spans="1:9" x14ac:dyDescent="0.3">
      <c r="A897" s="7" t="s">
        <v>819</v>
      </c>
      <c r="H897" s="8">
        <f>H883+H884+H885+H886+H887+H888+H889+H890+H891+H892+H893+H894+H895+H896</f>
        <v>385667</v>
      </c>
      <c r="I897" s="8">
        <f>I883+I884+I885+I886+I887+I888+I889+I890+I891+I892+I893+I894+I895+I896</f>
        <v>385667</v>
      </c>
    </row>
    <row r="898" spans="1:9" x14ac:dyDescent="0.3">
      <c r="A898" s="4" t="s">
        <v>820</v>
      </c>
    </row>
    <row r="899" spans="1:9" x14ac:dyDescent="0.3">
      <c r="B899" s="5" t="s">
        <v>821</v>
      </c>
      <c r="C899" s="5" t="s">
        <v>10</v>
      </c>
      <c r="D899" s="5" t="s">
        <v>807</v>
      </c>
      <c r="E899" s="5" t="s">
        <v>822</v>
      </c>
      <c r="F899" s="5" t="s">
        <v>61</v>
      </c>
      <c r="G899" s="5" t="s">
        <v>62</v>
      </c>
      <c r="H899" s="6">
        <v>70</v>
      </c>
      <c r="I899" s="5"/>
    </row>
    <row r="900" spans="1:9" x14ac:dyDescent="0.3">
      <c r="B900" s="5" t="s">
        <v>821</v>
      </c>
      <c r="C900" s="5" t="s">
        <v>10</v>
      </c>
      <c r="D900" s="5" t="s">
        <v>807</v>
      </c>
      <c r="E900" s="5" t="s">
        <v>822</v>
      </c>
      <c r="F900" s="5" t="s">
        <v>13</v>
      </c>
      <c r="G900" s="5" t="s">
        <v>14</v>
      </c>
      <c r="H900" s="5"/>
      <c r="I900" s="6">
        <v>70</v>
      </c>
    </row>
    <row r="901" spans="1:9" x14ac:dyDescent="0.3">
      <c r="A901" s="7" t="s">
        <v>823</v>
      </c>
      <c r="H901" s="8">
        <f>H899+H900</f>
        <v>70</v>
      </c>
      <c r="I901" s="8">
        <f>I899+I900</f>
        <v>70</v>
      </c>
    </row>
    <row r="902" spans="1:9" x14ac:dyDescent="0.3">
      <c r="A902" s="4" t="s">
        <v>824</v>
      </c>
    </row>
    <row r="903" spans="1:9" x14ac:dyDescent="0.3">
      <c r="B903" s="5" t="s">
        <v>821</v>
      </c>
      <c r="C903" s="5" t="s">
        <v>10</v>
      </c>
      <c r="D903" s="5" t="s">
        <v>811</v>
      </c>
      <c r="E903" s="5" t="s">
        <v>825</v>
      </c>
      <c r="F903" s="5" t="s">
        <v>826</v>
      </c>
      <c r="G903" s="5" t="s">
        <v>827</v>
      </c>
      <c r="H903" s="6">
        <v>860766.01</v>
      </c>
      <c r="I903" s="5"/>
    </row>
    <row r="904" spans="1:9" x14ac:dyDescent="0.3">
      <c r="B904" s="5" t="s">
        <v>821</v>
      </c>
      <c r="C904" s="5" t="s">
        <v>10</v>
      </c>
      <c r="D904" s="5" t="s">
        <v>811</v>
      </c>
      <c r="E904" s="5" t="s">
        <v>825</v>
      </c>
      <c r="F904" s="5" t="s">
        <v>13</v>
      </c>
      <c r="G904" s="5" t="s">
        <v>14</v>
      </c>
      <c r="H904" s="5"/>
      <c r="I904" s="6">
        <v>860766.01</v>
      </c>
    </row>
    <row r="905" spans="1:9" x14ac:dyDescent="0.3">
      <c r="A905" s="7" t="s">
        <v>828</v>
      </c>
      <c r="H905" s="8">
        <f>H903+H904</f>
        <v>860766.01</v>
      </c>
      <c r="I905" s="8">
        <f>I903+I904</f>
        <v>860766.01</v>
      </c>
    </row>
    <row r="906" spans="1:9" x14ac:dyDescent="0.3">
      <c r="A906" s="4" t="s">
        <v>829</v>
      </c>
    </row>
    <row r="907" spans="1:9" x14ac:dyDescent="0.3">
      <c r="B907" s="5" t="s">
        <v>821</v>
      </c>
      <c r="C907" s="5" t="s">
        <v>10</v>
      </c>
      <c r="D907" s="5" t="s">
        <v>813</v>
      </c>
      <c r="E907" s="5" t="s">
        <v>830</v>
      </c>
      <c r="F907" s="5" t="s">
        <v>831</v>
      </c>
      <c r="G907" s="5" t="s">
        <v>832</v>
      </c>
      <c r="H907" s="6">
        <v>345600</v>
      </c>
      <c r="I907" s="5"/>
    </row>
    <row r="908" spans="1:9" x14ac:dyDescent="0.3">
      <c r="B908" s="5" t="s">
        <v>821</v>
      </c>
      <c r="C908" s="5" t="s">
        <v>10</v>
      </c>
      <c r="D908" s="5" t="s">
        <v>813</v>
      </c>
      <c r="E908" s="5" t="s">
        <v>830</v>
      </c>
      <c r="F908" s="5" t="s">
        <v>13</v>
      </c>
      <c r="G908" s="5" t="s">
        <v>14</v>
      </c>
      <c r="H908" s="5"/>
      <c r="I908" s="6">
        <v>345600</v>
      </c>
    </row>
    <row r="909" spans="1:9" x14ac:dyDescent="0.3">
      <c r="A909" s="7" t="s">
        <v>833</v>
      </c>
      <c r="H909" s="8">
        <f>H907+H908</f>
        <v>345600</v>
      </c>
      <c r="I909" s="8">
        <f>I907+I908</f>
        <v>345600</v>
      </c>
    </row>
    <row r="910" spans="1:9" x14ac:dyDescent="0.3">
      <c r="A910" s="4" t="s">
        <v>834</v>
      </c>
    </row>
    <row r="911" spans="1:9" x14ac:dyDescent="0.3">
      <c r="B911" s="5" t="s">
        <v>835</v>
      </c>
      <c r="C911" s="5" t="s">
        <v>10</v>
      </c>
      <c r="D911" s="5" t="s">
        <v>817</v>
      </c>
      <c r="E911" s="5" t="s">
        <v>836</v>
      </c>
      <c r="F911" s="5" t="s">
        <v>61</v>
      </c>
      <c r="G911" s="5" t="s">
        <v>62</v>
      </c>
      <c r="H911" s="6">
        <v>110</v>
      </c>
      <c r="I911" s="5"/>
    </row>
    <row r="912" spans="1:9" x14ac:dyDescent="0.3">
      <c r="B912" s="5" t="s">
        <v>835</v>
      </c>
      <c r="C912" s="5" t="s">
        <v>10</v>
      </c>
      <c r="D912" s="5" t="s">
        <v>817</v>
      </c>
      <c r="E912" s="5" t="s">
        <v>837</v>
      </c>
      <c r="F912" s="5" t="s">
        <v>50</v>
      </c>
      <c r="G912" s="5" t="s">
        <v>51</v>
      </c>
      <c r="H912" s="6">
        <v>20</v>
      </c>
      <c r="I912" s="5"/>
    </row>
    <row r="913" spans="1:9" x14ac:dyDescent="0.3">
      <c r="B913" s="5" t="s">
        <v>835</v>
      </c>
      <c r="C913" s="5" t="s">
        <v>10</v>
      </c>
      <c r="D913" s="5" t="s">
        <v>817</v>
      </c>
      <c r="E913" s="5" t="s">
        <v>838</v>
      </c>
      <c r="F913" s="5" t="s">
        <v>67</v>
      </c>
      <c r="G913" s="5" t="s">
        <v>68</v>
      </c>
      <c r="H913" s="6">
        <v>330</v>
      </c>
      <c r="I913" s="5"/>
    </row>
    <row r="914" spans="1:9" x14ac:dyDescent="0.3">
      <c r="B914" s="5" t="s">
        <v>835</v>
      </c>
      <c r="C914" s="5" t="s">
        <v>10</v>
      </c>
      <c r="D914" s="5" t="s">
        <v>817</v>
      </c>
      <c r="E914" s="5" t="s">
        <v>839</v>
      </c>
      <c r="F914" s="5" t="s">
        <v>61</v>
      </c>
      <c r="G914" s="5" t="s">
        <v>62</v>
      </c>
      <c r="H914" s="6">
        <v>100</v>
      </c>
      <c r="I914" s="5"/>
    </row>
    <row r="915" spans="1:9" x14ac:dyDescent="0.3">
      <c r="B915" s="5" t="s">
        <v>835</v>
      </c>
      <c r="C915" s="5" t="s">
        <v>10</v>
      </c>
      <c r="D915" s="5" t="s">
        <v>817</v>
      </c>
      <c r="E915" s="5" t="s">
        <v>840</v>
      </c>
      <c r="F915" s="5" t="s">
        <v>13</v>
      </c>
      <c r="G915" s="5" t="s">
        <v>14</v>
      </c>
      <c r="H915" s="5"/>
      <c r="I915" s="6">
        <v>560</v>
      </c>
    </row>
    <row r="916" spans="1:9" x14ac:dyDescent="0.3">
      <c r="A916" s="7" t="s">
        <v>841</v>
      </c>
      <c r="H916" s="8">
        <f>H911+H912+H913+H914+H915</f>
        <v>560</v>
      </c>
      <c r="I916" s="8">
        <f>I911+I912+I913+I914+I915</f>
        <v>560</v>
      </c>
    </row>
    <row r="917" spans="1:9" x14ac:dyDescent="0.3">
      <c r="A917" s="4" t="s">
        <v>842</v>
      </c>
    </row>
    <row r="918" spans="1:9" x14ac:dyDescent="0.3">
      <c r="B918" s="5" t="s">
        <v>843</v>
      </c>
      <c r="C918" s="5" t="s">
        <v>844</v>
      </c>
      <c r="D918" s="5" t="s">
        <v>845</v>
      </c>
      <c r="E918" s="5" t="s">
        <v>846</v>
      </c>
      <c r="F918" s="5" t="s">
        <v>847</v>
      </c>
      <c r="G918" s="5" t="s">
        <v>848</v>
      </c>
      <c r="H918" s="6">
        <v>212089</v>
      </c>
      <c r="I918" s="5"/>
    </row>
    <row r="919" spans="1:9" x14ac:dyDescent="0.3">
      <c r="B919" s="5" t="s">
        <v>843</v>
      </c>
      <c r="C919" s="5" t="s">
        <v>844</v>
      </c>
      <c r="D919" s="5" t="s">
        <v>845</v>
      </c>
      <c r="E919" s="5" t="s">
        <v>846</v>
      </c>
      <c r="F919" s="5" t="s">
        <v>826</v>
      </c>
      <c r="G919" s="5" t="s">
        <v>827</v>
      </c>
      <c r="H919" s="5"/>
      <c r="I919" s="6">
        <v>212089</v>
      </c>
    </row>
    <row r="920" spans="1:9" x14ac:dyDescent="0.3">
      <c r="A920" s="7" t="s">
        <v>849</v>
      </c>
      <c r="H920" s="8">
        <f>H918+H919</f>
        <v>212089</v>
      </c>
      <c r="I920" s="8">
        <f>I918+I919</f>
        <v>212089</v>
      </c>
    </row>
    <row r="921" spans="1:9" x14ac:dyDescent="0.3">
      <c r="A921" s="4" t="s">
        <v>850</v>
      </c>
    </row>
    <row r="922" spans="1:9" x14ac:dyDescent="0.3">
      <c r="B922" s="5" t="s">
        <v>843</v>
      </c>
      <c r="C922" s="5" t="s">
        <v>844</v>
      </c>
      <c r="D922" s="5" t="s">
        <v>851</v>
      </c>
      <c r="E922" s="5" t="s">
        <v>852</v>
      </c>
      <c r="F922" s="5" t="s">
        <v>847</v>
      </c>
      <c r="G922" s="5" t="s">
        <v>848</v>
      </c>
      <c r="H922" s="6">
        <v>212089</v>
      </c>
      <c r="I922" s="5"/>
    </row>
    <row r="923" spans="1:9" x14ac:dyDescent="0.3">
      <c r="B923" s="5" t="s">
        <v>843</v>
      </c>
      <c r="C923" s="5" t="s">
        <v>844</v>
      </c>
      <c r="D923" s="5" t="s">
        <v>851</v>
      </c>
      <c r="E923" s="5" t="s">
        <v>852</v>
      </c>
      <c r="F923" s="5" t="s">
        <v>826</v>
      </c>
      <c r="G923" s="5" t="s">
        <v>827</v>
      </c>
      <c r="H923" s="5"/>
      <c r="I923" s="6">
        <v>212089</v>
      </c>
    </row>
    <row r="924" spans="1:9" x14ac:dyDescent="0.3">
      <c r="A924" s="7" t="s">
        <v>853</v>
      </c>
      <c r="H924" s="8">
        <f>H922+H923</f>
        <v>212089</v>
      </c>
      <c r="I924" s="8">
        <f>I922+I923</f>
        <v>212089</v>
      </c>
    </row>
    <row r="925" spans="1:9" x14ac:dyDescent="0.3">
      <c r="A925" s="4" t="s">
        <v>854</v>
      </c>
    </row>
    <row r="926" spans="1:9" x14ac:dyDescent="0.3">
      <c r="B926" s="5" t="s">
        <v>843</v>
      </c>
      <c r="C926" s="5" t="s">
        <v>844</v>
      </c>
      <c r="D926" s="5" t="s">
        <v>855</v>
      </c>
      <c r="E926" s="5" t="s">
        <v>856</v>
      </c>
      <c r="F926" s="5" t="s">
        <v>847</v>
      </c>
      <c r="G926" s="5" t="s">
        <v>848</v>
      </c>
      <c r="H926" s="6">
        <v>224500</v>
      </c>
      <c r="I926" s="5"/>
    </row>
    <row r="927" spans="1:9" x14ac:dyDescent="0.3">
      <c r="B927" s="5" t="s">
        <v>843</v>
      </c>
      <c r="C927" s="5" t="s">
        <v>844</v>
      </c>
      <c r="D927" s="5" t="s">
        <v>855</v>
      </c>
      <c r="E927" s="5" t="s">
        <v>856</v>
      </c>
      <c r="F927" s="5" t="s">
        <v>826</v>
      </c>
      <c r="G927" s="5" t="s">
        <v>827</v>
      </c>
      <c r="H927" s="5"/>
      <c r="I927" s="6">
        <v>224500</v>
      </c>
    </row>
    <row r="928" spans="1:9" x14ac:dyDescent="0.3">
      <c r="A928" s="7" t="s">
        <v>857</v>
      </c>
      <c r="H928" s="8">
        <f>H926+H927</f>
        <v>224500</v>
      </c>
      <c r="I928" s="8">
        <f>I926+I927</f>
        <v>224500</v>
      </c>
    </row>
    <row r="929" spans="1:9" x14ac:dyDescent="0.3">
      <c r="A929" s="4" t="s">
        <v>858</v>
      </c>
    </row>
    <row r="930" spans="1:9" x14ac:dyDescent="0.3">
      <c r="B930" s="5" t="s">
        <v>843</v>
      </c>
      <c r="C930" s="5" t="s">
        <v>844</v>
      </c>
      <c r="D930" s="5" t="s">
        <v>859</v>
      </c>
      <c r="E930" s="5" t="s">
        <v>860</v>
      </c>
      <c r="F930" s="5" t="s">
        <v>847</v>
      </c>
      <c r="G930" s="5" t="s">
        <v>848</v>
      </c>
      <c r="H930" s="6">
        <v>212088.01</v>
      </c>
      <c r="I930" s="5"/>
    </row>
    <row r="931" spans="1:9" x14ac:dyDescent="0.3">
      <c r="B931" s="5" t="s">
        <v>843</v>
      </c>
      <c r="C931" s="5" t="s">
        <v>844</v>
      </c>
      <c r="D931" s="5" t="s">
        <v>859</v>
      </c>
      <c r="E931" s="5" t="s">
        <v>860</v>
      </c>
      <c r="F931" s="5" t="s">
        <v>826</v>
      </c>
      <c r="G931" s="5" t="s">
        <v>827</v>
      </c>
      <c r="H931" s="5"/>
      <c r="I931" s="6">
        <v>212088.01</v>
      </c>
    </row>
    <row r="932" spans="1:9" x14ac:dyDescent="0.3">
      <c r="A932" s="7" t="s">
        <v>861</v>
      </c>
      <c r="H932" s="8">
        <f>H930+H931</f>
        <v>212088.01</v>
      </c>
      <c r="I932" s="8">
        <f>I930+I931</f>
        <v>212088.01</v>
      </c>
    </row>
    <row r="933" spans="1:9" x14ac:dyDescent="0.3">
      <c r="A933" s="4" t="s">
        <v>862</v>
      </c>
    </row>
    <row r="934" spans="1:9" x14ac:dyDescent="0.3">
      <c r="B934" s="5" t="s">
        <v>843</v>
      </c>
      <c r="C934" s="5" t="s">
        <v>844</v>
      </c>
      <c r="D934" s="5" t="s">
        <v>863</v>
      </c>
      <c r="E934" s="5" t="s">
        <v>864</v>
      </c>
      <c r="F934" s="5" t="s">
        <v>847</v>
      </c>
      <c r="G934" s="5" t="s">
        <v>848</v>
      </c>
      <c r="H934" s="6">
        <v>376704</v>
      </c>
      <c r="I934" s="5"/>
    </row>
    <row r="935" spans="1:9" ht="21.6" x14ac:dyDescent="0.3">
      <c r="B935" s="5" t="s">
        <v>843</v>
      </c>
      <c r="C935" s="5" t="s">
        <v>844</v>
      </c>
      <c r="D935" s="5" t="s">
        <v>863</v>
      </c>
      <c r="E935" s="5" t="s">
        <v>865</v>
      </c>
      <c r="F935" s="5" t="s">
        <v>831</v>
      </c>
      <c r="G935" s="5" t="s">
        <v>832</v>
      </c>
      <c r="H935" s="5"/>
      <c r="I935" s="6">
        <v>345600</v>
      </c>
    </row>
    <row r="936" spans="1:9" x14ac:dyDescent="0.3">
      <c r="B936" s="5" t="s">
        <v>843</v>
      </c>
      <c r="C936" s="5" t="s">
        <v>844</v>
      </c>
      <c r="D936" s="5" t="s">
        <v>863</v>
      </c>
      <c r="E936" s="5" t="s">
        <v>866</v>
      </c>
      <c r="F936" s="5" t="s">
        <v>867</v>
      </c>
      <c r="G936" s="5" t="s">
        <v>868</v>
      </c>
      <c r="H936" s="5"/>
      <c r="I936" s="6">
        <v>31104</v>
      </c>
    </row>
    <row r="937" spans="1:9" x14ac:dyDescent="0.3">
      <c r="A937" s="7" t="s">
        <v>869</v>
      </c>
      <c r="H937" s="8">
        <f>H934+H935+H936</f>
        <v>376704</v>
      </c>
      <c r="I937" s="8">
        <f>I934+I935+I936</f>
        <v>376704</v>
      </c>
    </row>
    <row r="938" spans="1:9" x14ac:dyDescent="0.3">
      <c r="A938" s="4" t="s">
        <v>870</v>
      </c>
    </row>
    <row r="939" spans="1:9" x14ac:dyDescent="0.3">
      <c r="B939" s="5" t="s">
        <v>843</v>
      </c>
      <c r="C939" s="5" t="s">
        <v>844</v>
      </c>
      <c r="D939" s="5" t="s">
        <v>871</v>
      </c>
      <c r="E939" s="5" t="s">
        <v>872</v>
      </c>
      <c r="F939" s="5" t="s">
        <v>847</v>
      </c>
      <c r="G939" s="5" t="s">
        <v>848</v>
      </c>
      <c r="H939" s="6">
        <v>1500000</v>
      </c>
      <c r="I939" s="5"/>
    </row>
    <row r="940" spans="1:9" x14ac:dyDescent="0.3">
      <c r="B940" s="5" t="s">
        <v>843</v>
      </c>
      <c r="C940" s="5" t="s">
        <v>844</v>
      </c>
      <c r="D940" s="5" t="s">
        <v>871</v>
      </c>
      <c r="E940" s="5" t="s">
        <v>873</v>
      </c>
      <c r="F940" s="5" t="s">
        <v>13</v>
      </c>
      <c r="G940" s="5" t="s">
        <v>14</v>
      </c>
      <c r="H940" s="5"/>
      <c r="I940" s="6">
        <v>1500000</v>
      </c>
    </row>
    <row r="941" spans="1:9" x14ac:dyDescent="0.3">
      <c r="A941" s="7" t="s">
        <v>874</v>
      </c>
      <c r="H941" s="8">
        <f>H939+H940</f>
        <v>1500000</v>
      </c>
      <c r="I941" s="8">
        <f>I939+I940</f>
        <v>1500000</v>
      </c>
    </row>
    <row r="942" spans="1:9" x14ac:dyDescent="0.3">
      <c r="A942" s="4" t="s">
        <v>875</v>
      </c>
    </row>
    <row r="943" spans="1:9" x14ac:dyDescent="0.3">
      <c r="B943" s="5" t="s">
        <v>843</v>
      </c>
      <c r="C943" s="5" t="s">
        <v>10</v>
      </c>
      <c r="D943" s="5" t="s">
        <v>820</v>
      </c>
      <c r="E943" s="5" t="s">
        <v>572</v>
      </c>
      <c r="F943" s="5" t="s">
        <v>61</v>
      </c>
      <c r="G943" s="5" t="s">
        <v>62</v>
      </c>
      <c r="H943" s="6">
        <v>670</v>
      </c>
      <c r="I943" s="5"/>
    </row>
    <row r="944" spans="1:9" x14ac:dyDescent="0.3">
      <c r="B944" s="5" t="s">
        <v>843</v>
      </c>
      <c r="C944" s="5" t="s">
        <v>10</v>
      </c>
      <c r="D944" s="5" t="s">
        <v>820</v>
      </c>
      <c r="E944" s="5" t="s">
        <v>572</v>
      </c>
      <c r="F944" s="5" t="s">
        <v>13</v>
      </c>
      <c r="G944" s="5" t="s">
        <v>14</v>
      </c>
      <c r="H944" s="5"/>
      <c r="I944" s="6">
        <v>670</v>
      </c>
    </row>
    <row r="945" spans="1:9" x14ac:dyDescent="0.3">
      <c r="A945" s="7" t="s">
        <v>876</v>
      </c>
      <c r="H945" s="8">
        <f>H943+H944</f>
        <v>670</v>
      </c>
      <c r="I945" s="8">
        <f>I943+I944</f>
        <v>670</v>
      </c>
    </row>
    <row r="946" spans="1:9" x14ac:dyDescent="0.3">
      <c r="A946" s="4" t="s">
        <v>877</v>
      </c>
    </row>
    <row r="947" spans="1:9" x14ac:dyDescent="0.3">
      <c r="B947" s="5" t="s">
        <v>843</v>
      </c>
      <c r="C947" s="5" t="s">
        <v>10</v>
      </c>
      <c r="D947" s="5" t="s">
        <v>824</v>
      </c>
      <c r="E947" s="5" t="s">
        <v>878</v>
      </c>
      <c r="F947" s="5" t="s">
        <v>67</v>
      </c>
      <c r="G947" s="5" t="s">
        <v>68</v>
      </c>
      <c r="H947" s="6">
        <v>390</v>
      </c>
      <c r="I947" s="5"/>
    </row>
    <row r="948" spans="1:9" x14ac:dyDescent="0.3">
      <c r="B948" s="5" t="s">
        <v>843</v>
      </c>
      <c r="C948" s="5" t="s">
        <v>10</v>
      </c>
      <c r="D948" s="5" t="s">
        <v>824</v>
      </c>
      <c r="E948" s="5" t="s">
        <v>878</v>
      </c>
      <c r="F948" s="5" t="s">
        <v>13</v>
      </c>
      <c r="G948" s="5" t="s">
        <v>14</v>
      </c>
      <c r="H948" s="5"/>
      <c r="I948" s="6">
        <v>390</v>
      </c>
    </row>
    <row r="949" spans="1:9" x14ac:dyDescent="0.3">
      <c r="A949" s="7" t="s">
        <v>879</v>
      </c>
      <c r="H949" s="8">
        <f>H947+H948</f>
        <v>390</v>
      </c>
      <c r="I949" s="8">
        <f>I947+I948</f>
        <v>390</v>
      </c>
    </row>
    <row r="950" spans="1:9" x14ac:dyDescent="0.3">
      <c r="A950" s="4" t="s">
        <v>880</v>
      </c>
    </row>
    <row r="951" spans="1:9" x14ac:dyDescent="0.3">
      <c r="B951" s="5" t="s">
        <v>843</v>
      </c>
      <c r="C951" s="5" t="s">
        <v>10</v>
      </c>
      <c r="D951" s="5" t="s">
        <v>829</v>
      </c>
      <c r="E951" s="5" t="s">
        <v>694</v>
      </c>
      <c r="F951" s="5" t="s">
        <v>67</v>
      </c>
      <c r="G951" s="5" t="s">
        <v>68</v>
      </c>
      <c r="H951" s="6">
        <v>40</v>
      </c>
      <c r="I951" s="5"/>
    </row>
    <row r="952" spans="1:9" x14ac:dyDescent="0.3">
      <c r="B952" s="5" t="s">
        <v>843</v>
      </c>
      <c r="C952" s="5" t="s">
        <v>10</v>
      </c>
      <c r="D952" s="5" t="s">
        <v>829</v>
      </c>
      <c r="E952" s="5" t="s">
        <v>694</v>
      </c>
      <c r="F952" s="5" t="s">
        <v>13</v>
      </c>
      <c r="G952" s="5" t="s">
        <v>14</v>
      </c>
      <c r="H952" s="5"/>
      <c r="I952" s="6">
        <v>40</v>
      </c>
    </row>
    <row r="953" spans="1:9" x14ac:dyDescent="0.3">
      <c r="A953" s="7" t="s">
        <v>881</v>
      </c>
      <c r="H953" s="8">
        <f>H951+H952</f>
        <v>40</v>
      </c>
      <c r="I953" s="8">
        <f>I951+I952</f>
        <v>40</v>
      </c>
    </row>
    <row r="954" spans="1:9" x14ac:dyDescent="0.3">
      <c r="A954" s="4" t="s">
        <v>882</v>
      </c>
    </row>
    <row r="955" spans="1:9" x14ac:dyDescent="0.3">
      <c r="B955" s="5" t="s">
        <v>843</v>
      </c>
      <c r="C955" s="5" t="s">
        <v>10</v>
      </c>
      <c r="D955" s="5" t="s">
        <v>834</v>
      </c>
      <c r="E955" s="5" t="s">
        <v>883</v>
      </c>
      <c r="F955" s="5" t="s">
        <v>685</v>
      </c>
      <c r="G955" s="5" t="s">
        <v>686</v>
      </c>
      <c r="H955" s="6">
        <v>1350</v>
      </c>
      <c r="I955" s="5"/>
    </row>
    <row r="956" spans="1:9" x14ac:dyDescent="0.3">
      <c r="B956" s="5" t="s">
        <v>843</v>
      </c>
      <c r="C956" s="5" t="s">
        <v>10</v>
      </c>
      <c r="D956" s="5" t="s">
        <v>834</v>
      </c>
      <c r="E956" s="5" t="s">
        <v>883</v>
      </c>
      <c r="F956" s="5" t="s">
        <v>13</v>
      </c>
      <c r="G956" s="5" t="s">
        <v>14</v>
      </c>
      <c r="H956" s="5"/>
      <c r="I956" s="6">
        <v>1350</v>
      </c>
    </row>
    <row r="957" spans="1:9" x14ac:dyDescent="0.3">
      <c r="A957" s="7" t="s">
        <v>884</v>
      </c>
      <c r="H957" s="8">
        <f>H955+H956</f>
        <v>1350</v>
      </c>
      <c r="I957" s="8">
        <f>I955+I956</f>
        <v>1350</v>
      </c>
    </row>
    <row r="958" spans="1:9" x14ac:dyDescent="0.3">
      <c r="A958" s="4" t="s">
        <v>885</v>
      </c>
    </row>
    <row r="959" spans="1:9" x14ac:dyDescent="0.3">
      <c r="B959" s="5" t="s">
        <v>886</v>
      </c>
      <c r="C959" s="5" t="s">
        <v>10</v>
      </c>
      <c r="D959" s="5" t="s">
        <v>842</v>
      </c>
      <c r="E959" s="5" t="s">
        <v>572</v>
      </c>
      <c r="F959" s="5" t="s">
        <v>61</v>
      </c>
      <c r="G959" s="5" t="s">
        <v>62</v>
      </c>
      <c r="H959" s="6">
        <v>160</v>
      </c>
      <c r="I959" s="5"/>
    </row>
    <row r="960" spans="1:9" x14ac:dyDescent="0.3">
      <c r="B960" s="5" t="s">
        <v>886</v>
      </c>
      <c r="C960" s="5" t="s">
        <v>10</v>
      </c>
      <c r="D960" s="5" t="s">
        <v>842</v>
      </c>
      <c r="E960" s="5" t="s">
        <v>572</v>
      </c>
      <c r="F960" s="5" t="s">
        <v>13</v>
      </c>
      <c r="G960" s="5" t="s">
        <v>14</v>
      </c>
      <c r="H960" s="5"/>
      <c r="I960" s="6">
        <v>160</v>
      </c>
    </row>
    <row r="961" spans="1:9" x14ac:dyDescent="0.3">
      <c r="A961" s="7" t="s">
        <v>887</v>
      </c>
      <c r="H961" s="8">
        <f>H959+H960</f>
        <v>160</v>
      </c>
      <c r="I961" s="8">
        <f>I959+I960</f>
        <v>160</v>
      </c>
    </row>
    <row r="962" spans="1:9" x14ac:dyDescent="0.3">
      <c r="A962" s="4" t="s">
        <v>888</v>
      </c>
    </row>
    <row r="963" spans="1:9" x14ac:dyDescent="0.3">
      <c r="B963" s="5" t="s">
        <v>889</v>
      </c>
      <c r="C963" s="5" t="s">
        <v>10</v>
      </c>
      <c r="D963" s="5" t="s">
        <v>850</v>
      </c>
      <c r="E963" s="5" t="s">
        <v>184</v>
      </c>
      <c r="F963" s="5" t="s">
        <v>61</v>
      </c>
      <c r="G963" s="5" t="s">
        <v>62</v>
      </c>
      <c r="H963" s="6">
        <v>230</v>
      </c>
      <c r="I963" s="5"/>
    </row>
    <row r="964" spans="1:9" x14ac:dyDescent="0.3">
      <c r="B964" s="5" t="s">
        <v>889</v>
      </c>
      <c r="C964" s="5" t="s">
        <v>10</v>
      </c>
      <c r="D964" s="5" t="s">
        <v>850</v>
      </c>
      <c r="E964" s="5" t="s">
        <v>890</v>
      </c>
      <c r="F964" s="5" t="s">
        <v>64</v>
      </c>
      <c r="G964" s="5" t="s">
        <v>65</v>
      </c>
      <c r="H964" s="6">
        <v>130</v>
      </c>
      <c r="I964" s="5"/>
    </row>
    <row r="965" spans="1:9" x14ac:dyDescent="0.3">
      <c r="B965" s="5" t="s">
        <v>889</v>
      </c>
      <c r="C965" s="5" t="s">
        <v>10</v>
      </c>
      <c r="D965" s="5" t="s">
        <v>850</v>
      </c>
      <c r="E965" s="5" t="s">
        <v>890</v>
      </c>
      <c r="F965" s="5" t="s">
        <v>13</v>
      </c>
      <c r="G965" s="5" t="s">
        <v>14</v>
      </c>
      <c r="H965" s="5"/>
      <c r="I965" s="6">
        <v>360</v>
      </c>
    </row>
    <row r="966" spans="1:9" x14ac:dyDescent="0.3">
      <c r="A966" s="7" t="s">
        <v>891</v>
      </c>
      <c r="H966" s="8">
        <f>H963+H964+H965</f>
        <v>360</v>
      </c>
      <c r="I966" s="8">
        <f>I963+I964+I965</f>
        <v>360</v>
      </c>
    </row>
    <row r="967" spans="1:9" x14ac:dyDescent="0.3">
      <c r="A967" s="4" t="s">
        <v>892</v>
      </c>
    </row>
    <row r="968" spans="1:9" x14ac:dyDescent="0.3">
      <c r="B968" s="5" t="s">
        <v>889</v>
      </c>
      <c r="C968" s="5" t="s">
        <v>10</v>
      </c>
      <c r="D968" s="5" t="s">
        <v>854</v>
      </c>
      <c r="E968" s="5" t="s">
        <v>893</v>
      </c>
      <c r="F968" s="5" t="s">
        <v>439</v>
      </c>
      <c r="G968" s="5" t="s">
        <v>440</v>
      </c>
      <c r="H968" s="6">
        <v>80000</v>
      </c>
      <c r="I968" s="5"/>
    </row>
    <row r="969" spans="1:9" x14ac:dyDescent="0.3">
      <c r="B969" s="5" t="s">
        <v>889</v>
      </c>
      <c r="C969" s="5" t="s">
        <v>10</v>
      </c>
      <c r="D969" s="5" t="s">
        <v>854</v>
      </c>
      <c r="E969" s="5" t="s">
        <v>893</v>
      </c>
      <c r="F969" s="5" t="s">
        <v>441</v>
      </c>
      <c r="G969" s="5" t="s">
        <v>442</v>
      </c>
      <c r="H969" s="6">
        <v>50600</v>
      </c>
      <c r="I969" s="5"/>
    </row>
    <row r="970" spans="1:9" x14ac:dyDescent="0.3">
      <c r="B970" s="5" t="s">
        <v>889</v>
      </c>
      <c r="C970" s="5" t="s">
        <v>10</v>
      </c>
      <c r="D970" s="5" t="s">
        <v>854</v>
      </c>
      <c r="E970" s="5" t="s">
        <v>893</v>
      </c>
      <c r="F970" s="5" t="s">
        <v>443</v>
      </c>
      <c r="G970" s="5" t="s">
        <v>444</v>
      </c>
      <c r="H970" s="6">
        <v>50600</v>
      </c>
      <c r="I970" s="5"/>
    </row>
    <row r="971" spans="1:9" x14ac:dyDescent="0.3">
      <c r="B971" s="5" t="s">
        <v>889</v>
      </c>
      <c r="C971" s="5" t="s">
        <v>10</v>
      </c>
      <c r="D971" s="5" t="s">
        <v>854</v>
      </c>
      <c r="E971" s="5" t="s">
        <v>893</v>
      </c>
      <c r="F971" s="5" t="s">
        <v>445</v>
      </c>
      <c r="G971" s="5" t="s">
        <v>446</v>
      </c>
      <c r="H971" s="6">
        <v>50600</v>
      </c>
      <c r="I971" s="5"/>
    </row>
    <row r="972" spans="1:9" x14ac:dyDescent="0.3">
      <c r="B972" s="5" t="s">
        <v>889</v>
      </c>
      <c r="C972" s="5" t="s">
        <v>10</v>
      </c>
      <c r="D972" s="5" t="s">
        <v>854</v>
      </c>
      <c r="E972" s="5" t="s">
        <v>893</v>
      </c>
      <c r="F972" s="5" t="s">
        <v>447</v>
      </c>
      <c r="G972" s="5" t="s">
        <v>448</v>
      </c>
      <c r="H972" s="6">
        <v>11860</v>
      </c>
      <c r="I972" s="5"/>
    </row>
    <row r="973" spans="1:9" x14ac:dyDescent="0.3">
      <c r="B973" s="5" t="s">
        <v>889</v>
      </c>
      <c r="C973" s="5" t="s">
        <v>10</v>
      </c>
      <c r="D973" s="5" t="s">
        <v>854</v>
      </c>
      <c r="E973" s="5" t="s">
        <v>893</v>
      </c>
      <c r="F973" s="5" t="s">
        <v>449</v>
      </c>
      <c r="G973" s="5" t="s">
        <v>450</v>
      </c>
      <c r="H973" s="6">
        <v>6960</v>
      </c>
      <c r="I973" s="5"/>
    </row>
    <row r="974" spans="1:9" x14ac:dyDescent="0.3">
      <c r="B974" s="5" t="s">
        <v>889</v>
      </c>
      <c r="C974" s="5" t="s">
        <v>10</v>
      </c>
      <c r="D974" s="5" t="s">
        <v>854</v>
      </c>
      <c r="E974" s="5" t="s">
        <v>893</v>
      </c>
      <c r="F974" s="5" t="s">
        <v>451</v>
      </c>
      <c r="G974" s="5" t="s">
        <v>452</v>
      </c>
      <c r="H974" s="6">
        <v>6960</v>
      </c>
      <c r="I974" s="5"/>
    </row>
    <row r="975" spans="1:9" x14ac:dyDescent="0.3">
      <c r="B975" s="5" t="s">
        <v>889</v>
      </c>
      <c r="C975" s="5" t="s">
        <v>10</v>
      </c>
      <c r="D975" s="5" t="s">
        <v>854</v>
      </c>
      <c r="E975" s="5" t="s">
        <v>893</v>
      </c>
      <c r="F975" s="5" t="s">
        <v>453</v>
      </c>
      <c r="G975" s="5" t="s">
        <v>454</v>
      </c>
      <c r="H975" s="6">
        <v>6960</v>
      </c>
      <c r="I975" s="5"/>
    </row>
    <row r="976" spans="1:9" x14ac:dyDescent="0.3">
      <c r="B976" s="5" t="s">
        <v>889</v>
      </c>
      <c r="C976" s="5" t="s">
        <v>10</v>
      </c>
      <c r="D976" s="5" t="s">
        <v>854</v>
      </c>
      <c r="E976" s="5" t="s">
        <v>893</v>
      </c>
      <c r="F976" s="5" t="s">
        <v>547</v>
      </c>
      <c r="G976" s="5" t="s">
        <v>548</v>
      </c>
      <c r="H976" s="6">
        <v>9900</v>
      </c>
      <c r="I976" s="5"/>
    </row>
    <row r="977" spans="1:9" x14ac:dyDescent="0.3">
      <c r="B977" s="5" t="s">
        <v>889</v>
      </c>
      <c r="C977" s="5" t="s">
        <v>10</v>
      </c>
      <c r="D977" s="5" t="s">
        <v>854</v>
      </c>
      <c r="E977" s="5" t="s">
        <v>893</v>
      </c>
      <c r="F977" s="5" t="s">
        <v>455</v>
      </c>
      <c r="G977" s="5" t="s">
        <v>456</v>
      </c>
      <c r="H977" s="6">
        <v>28100</v>
      </c>
      <c r="I977" s="5"/>
    </row>
    <row r="978" spans="1:9" x14ac:dyDescent="0.3">
      <c r="B978" s="5" t="s">
        <v>889</v>
      </c>
      <c r="C978" s="5" t="s">
        <v>10</v>
      </c>
      <c r="D978" s="5" t="s">
        <v>854</v>
      </c>
      <c r="E978" s="5" t="s">
        <v>893</v>
      </c>
      <c r="F978" s="5" t="s">
        <v>549</v>
      </c>
      <c r="G978" s="5" t="s">
        <v>550</v>
      </c>
      <c r="H978" s="6">
        <v>28100</v>
      </c>
      <c r="I978" s="5"/>
    </row>
    <row r="979" spans="1:9" x14ac:dyDescent="0.3">
      <c r="B979" s="5" t="s">
        <v>889</v>
      </c>
      <c r="C979" s="5" t="s">
        <v>10</v>
      </c>
      <c r="D979" s="5" t="s">
        <v>854</v>
      </c>
      <c r="E979" s="5" t="s">
        <v>893</v>
      </c>
      <c r="F979" s="5" t="s">
        <v>661</v>
      </c>
      <c r="G979" s="5" t="s">
        <v>662</v>
      </c>
      <c r="H979" s="6">
        <v>28100</v>
      </c>
      <c r="I979" s="5"/>
    </row>
    <row r="980" spans="1:9" x14ac:dyDescent="0.3">
      <c r="B980" s="5" t="s">
        <v>889</v>
      </c>
      <c r="C980" s="5" t="s">
        <v>10</v>
      </c>
      <c r="D980" s="5" t="s">
        <v>854</v>
      </c>
      <c r="E980" s="5" t="s">
        <v>893</v>
      </c>
      <c r="F980" s="5" t="s">
        <v>13</v>
      </c>
      <c r="G980" s="5" t="s">
        <v>14</v>
      </c>
      <c r="H980" s="5"/>
      <c r="I980" s="6">
        <v>358740</v>
      </c>
    </row>
    <row r="981" spans="1:9" x14ac:dyDescent="0.3">
      <c r="A981" s="7" t="s">
        <v>894</v>
      </c>
      <c r="H981" s="8">
        <f>H968+H969+H970+H971+H972+H973+H974+H975+H976+H977+H978+H979+H980</f>
        <v>358740</v>
      </c>
      <c r="I981" s="8">
        <f>I968+I969+I970+I971+I972+I973+I974+I975+I976+I977+I978+I979+I980</f>
        <v>358740</v>
      </c>
    </row>
    <row r="982" spans="1:9" x14ac:dyDescent="0.3">
      <c r="A982" s="4" t="s">
        <v>895</v>
      </c>
    </row>
    <row r="983" spans="1:9" x14ac:dyDescent="0.3">
      <c r="B983" s="5" t="s">
        <v>896</v>
      </c>
      <c r="C983" s="5" t="s">
        <v>10</v>
      </c>
      <c r="D983" s="5" t="s">
        <v>858</v>
      </c>
      <c r="E983" s="5" t="s">
        <v>897</v>
      </c>
      <c r="F983" s="5" t="s">
        <v>176</v>
      </c>
      <c r="G983" s="5" t="s">
        <v>177</v>
      </c>
      <c r="H983" s="6">
        <v>7041</v>
      </c>
      <c r="I983" s="5"/>
    </row>
    <row r="984" spans="1:9" x14ac:dyDescent="0.3">
      <c r="B984" s="5" t="s">
        <v>896</v>
      </c>
      <c r="C984" s="5" t="s">
        <v>10</v>
      </c>
      <c r="D984" s="5" t="s">
        <v>858</v>
      </c>
      <c r="E984" s="5" t="s">
        <v>897</v>
      </c>
      <c r="F984" s="5" t="s">
        <v>13</v>
      </c>
      <c r="G984" s="5" t="s">
        <v>14</v>
      </c>
      <c r="H984" s="5"/>
      <c r="I984" s="6">
        <v>7041</v>
      </c>
    </row>
    <row r="985" spans="1:9" x14ac:dyDescent="0.3">
      <c r="A985" s="7" t="s">
        <v>898</v>
      </c>
      <c r="H985" s="8">
        <f>H983+H984</f>
        <v>7041</v>
      </c>
      <c r="I985" s="8">
        <f>I983+I984</f>
        <v>7041</v>
      </c>
    </row>
    <row r="986" spans="1:9" x14ac:dyDescent="0.3">
      <c r="A986" s="4" t="s">
        <v>899</v>
      </c>
    </row>
    <row r="987" spans="1:9" x14ac:dyDescent="0.3">
      <c r="B987" s="5" t="s">
        <v>896</v>
      </c>
      <c r="C987" s="5" t="s">
        <v>10</v>
      </c>
      <c r="D987" s="5" t="s">
        <v>862</v>
      </c>
      <c r="E987" s="5" t="s">
        <v>900</v>
      </c>
      <c r="F987" s="5" t="s">
        <v>129</v>
      </c>
      <c r="G987" s="5" t="s">
        <v>130</v>
      </c>
      <c r="H987" s="6">
        <v>180</v>
      </c>
      <c r="I987" s="5"/>
    </row>
    <row r="988" spans="1:9" x14ac:dyDescent="0.3">
      <c r="B988" s="5" t="s">
        <v>896</v>
      </c>
      <c r="C988" s="5" t="s">
        <v>10</v>
      </c>
      <c r="D988" s="5" t="s">
        <v>862</v>
      </c>
      <c r="E988" s="5" t="s">
        <v>901</v>
      </c>
      <c r="F988" s="5" t="s">
        <v>67</v>
      </c>
      <c r="G988" s="5" t="s">
        <v>68</v>
      </c>
      <c r="H988" s="6">
        <v>40</v>
      </c>
      <c r="I988" s="5"/>
    </row>
    <row r="989" spans="1:9" x14ac:dyDescent="0.3">
      <c r="B989" s="5" t="s">
        <v>896</v>
      </c>
      <c r="C989" s="5" t="s">
        <v>10</v>
      </c>
      <c r="D989" s="5" t="s">
        <v>862</v>
      </c>
      <c r="E989" s="5" t="s">
        <v>901</v>
      </c>
      <c r="F989" s="5" t="s">
        <v>13</v>
      </c>
      <c r="G989" s="5" t="s">
        <v>14</v>
      </c>
      <c r="H989" s="5"/>
      <c r="I989" s="6">
        <v>220</v>
      </c>
    </row>
    <row r="990" spans="1:9" x14ac:dyDescent="0.3">
      <c r="A990" s="7" t="s">
        <v>902</v>
      </c>
      <c r="H990" s="8">
        <f>H987+H988+H989</f>
        <v>220</v>
      </c>
      <c r="I990" s="8">
        <f>I987+I988+I989</f>
        <v>220</v>
      </c>
    </row>
    <row r="991" spans="1:9" x14ac:dyDescent="0.3">
      <c r="A991" s="4" t="s">
        <v>903</v>
      </c>
    </row>
    <row r="992" spans="1:9" x14ac:dyDescent="0.3">
      <c r="B992" s="5" t="s">
        <v>896</v>
      </c>
      <c r="C992" s="5" t="s">
        <v>10</v>
      </c>
      <c r="D992" s="5" t="s">
        <v>870</v>
      </c>
      <c r="E992" s="5" t="s">
        <v>904</v>
      </c>
      <c r="F992" s="5" t="s">
        <v>61</v>
      </c>
      <c r="G992" s="5" t="s">
        <v>62</v>
      </c>
      <c r="H992" s="6">
        <v>180</v>
      </c>
      <c r="I992" s="5"/>
    </row>
    <row r="993" spans="1:9" x14ac:dyDescent="0.3">
      <c r="B993" s="5" t="s">
        <v>896</v>
      </c>
      <c r="C993" s="5" t="s">
        <v>10</v>
      </c>
      <c r="D993" s="5" t="s">
        <v>870</v>
      </c>
      <c r="E993" s="5" t="s">
        <v>905</v>
      </c>
      <c r="F993" s="5" t="s">
        <v>113</v>
      </c>
      <c r="G993" s="5" t="s">
        <v>114</v>
      </c>
      <c r="H993" s="6">
        <v>480</v>
      </c>
      <c r="I993" s="5"/>
    </row>
    <row r="994" spans="1:9" x14ac:dyDescent="0.3">
      <c r="B994" s="5" t="s">
        <v>896</v>
      </c>
      <c r="C994" s="5" t="s">
        <v>10</v>
      </c>
      <c r="D994" s="5" t="s">
        <v>870</v>
      </c>
      <c r="E994" s="5" t="s">
        <v>906</v>
      </c>
      <c r="F994" s="5" t="s">
        <v>13</v>
      </c>
      <c r="G994" s="5" t="s">
        <v>14</v>
      </c>
      <c r="H994" s="5"/>
      <c r="I994" s="6">
        <v>660</v>
      </c>
    </row>
    <row r="995" spans="1:9" x14ac:dyDescent="0.3">
      <c r="A995" s="7" t="s">
        <v>907</v>
      </c>
      <c r="H995" s="8">
        <f>H992+H993+H994</f>
        <v>660</v>
      </c>
      <c r="I995" s="8">
        <f>I992+I993+I994</f>
        <v>660</v>
      </c>
    </row>
    <row r="996" spans="1:9" x14ac:dyDescent="0.3">
      <c r="A996" s="4" t="s">
        <v>908</v>
      </c>
    </row>
    <row r="997" spans="1:9" x14ac:dyDescent="0.3">
      <c r="B997" s="5" t="s">
        <v>909</v>
      </c>
      <c r="C997" s="5" t="s">
        <v>10</v>
      </c>
      <c r="D997" s="5" t="s">
        <v>875</v>
      </c>
      <c r="E997" s="5" t="s">
        <v>910</v>
      </c>
      <c r="F997" s="5" t="s">
        <v>218</v>
      </c>
      <c r="G997" s="5" t="s">
        <v>219</v>
      </c>
      <c r="H997" s="6">
        <v>500</v>
      </c>
      <c r="I997" s="5"/>
    </row>
    <row r="998" spans="1:9" x14ac:dyDescent="0.3">
      <c r="B998" s="5" t="s">
        <v>909</v>
      </c>
      <c r="C998" s="5" t="s">
        <v>10</v>
      </c>
      <c r="D998" s="5" t="s">
        <v>875</v>
      </c>
      <c r="E998" s="5" t="s">
        <v>910</v>
      </c>
      <c r="F998" s="5" t="s">
        <v>13</v>
      </c>
      <c r="G998" s="5" t="s">
        <v>14</v>
      </c>
      <c r="H998" s="5"/>
      <c r="I998" s="6">
        <v>500</v>
      </c>
    </row>
    <row r="999" spans="1:9" x14ac:dyDescent="0.3">
      <c r="A999" s="7" t="s">
        <v>911</v>
      </c>
      <c r="H999" s="8">
        <f>H997+H998</f>
        <v>500</v>
      </c>
      <c r="I999" s="8">
        <f>I997+I998</f>
        <v>500</v>
      </c>
    </row>
    <row r="1000" spans="1:9" x14ac:dyDescent="0.3">
      <c r="A1000" s="4" t="s">
        <v>912</v>
      </c>
    </row>
    <row r="1001" spans="1:9" x14ac:dyDescent="0.3">
      <c r="B1001" s="5" t="s">
        <v>909</v>
      </c>
      <c r="C1001" s="5" t="s">
        <v>10</v>
      </c>
      <c r="D1001" s="5" t="s">
        <v>877</v>
      </c>
      <c r="E1001" s="5" t="s">
        <v>572</v>
      </c>
      <c r="F1001" s="5" t="s">
        <v>61</v>
      </c>
      <c r="G1001" s="5" t="s">
        <v>62</v>
      </c>
      <c r="H1001" s="6">
        <v>380</v>
      </c>
      <c r="I1001" s="5"/>
    </row>
    <row r="1002" spans="1:9" x14ac:dyDescent="0.3">
      <c r="B1002" s="5" t="s">
        <v>909</v>
      </c>
      <c r="C1002" s="5" t="s">
        <v>10</v>
      </c>
      <c r="D1002" s="5" t="s">
        <v>877</v>
      </c>
      <c r="E1002" s="5" t="s">
        <v>572</v>
      </c>
      <c r="F1002" s="5" t="s">
        <v>13</v>
      </c>
      <c r="G1002" s="5" t="s">
        <v>14</v>
      </c>
      <c r="H1002" s="5"/>
      <c r="I1002" s="6">
        <v>380</v>
      </c>
    </row>
    <row r="1003" spans="1:9" x14ac:dyDescent="0.3">
      <c r="A1003" s="7" t="s">
        <v>913</v>
      </c>
      <c r="H1003" s="8">
        <f>H1001+H1002</f>
        <v>380</v>
      </c>
      <c r="I1003" s="8">
        <f>I1001+I1002</f>
        <v>380</v>
      </c>
    </row>
    <row r="1004" spans="1:9" x14ac:dyDescent="0.3">
      <c r="A1004" s="4" t="s">
        <v>914</v>
      </c>
    </row>
    <row r="1005" spans="1:9" x14ac:dyDescent="0.3">
      <c r="B1005" s="5" t="s">
        <v>915</v>
      </c>
      <c r="C1005" s="5" t="s">
        <v>10</v>
      </c>
      <c r="D1005" s="5" t="s">
        <v>880</v>
      </c>
      <c r="E1005" s="5" t="s">
        <v>916</v>
      </c>
      <c r="F1005" s="5" t="s">
        <v>61</v>
      </c>
      <c r="G1005" s="5" t="s">
        <v>62</v>
      </c>
      <c r="H1005" s="6">
        <v>1300</v>
      </c>
      <c r="I1005" s="5"/>
    </row>
    <row r="1006" spans="1:9" x14ac:dyDescent="0.3">
      <c r="B1006" s="5" t="s">
        <v>915</v>
      </c>
      <c r="C1006" s="5" t="s">
        <v>10</v>
      </c>
      <c r="D1006" s="5" t="s">
        <v>880</v>
      </c>
      <c r="E1006" s="5" t="s">
        <v>916</v>
      </c>
      <c r="F1006" s="5" t="s">
        <v>13</v>
      </c>
      <c r="G1006" s="5" t="s">
        <v>14</v>
      </c>
      <c r="H1006" s="5"/>
      <c r="I1006" s="6">
        <v>1300</v>
      </c>
    </row>
    <row r="1007" spans="1:9" x14ac:dyDescent="0.3">
      <c r="A1007" s="7" t="s">
        <v>917</v>
      </c>
      <c r="H1007" s="8">
        <f>H1005+H1006</f>
        <v>1300</v>
      </c>
      <c r="I1007" s="8">
        <f>I1005+I1006</f>
        <v>1300</v>
      </c>
    </row>
    <row r="1008" spans="1:9" x14ac:dyDescent="0.3">
      <c r="A1008" s="4" t="s">
        <v>918</v>
      </c>
    </row>
    <row r="1009" spans="1:9" x14ac:dyDescent="0.3">
      <c r="B1009" s="5" t="s">
        <v>919</v>
      </c>
      <c r="C1009" s="5" t="s">
        <v>10</v>
      </c>
      <c r="D1009" s="5" t="s">
        <v>882</v>
      </c>
      <c r="E1009" s="5" t="s">
        <v>170</v>
      </c>
      <c r="F1009" s="5" t="s">
        <v>61</v>
      </c>
      <c r="G1009" s="5" t="s">
        <v>62</v>
      </c>
      <c r="H1009" s="6">
        <v>240</v>
      </c>
      <c r="I1009" s="5"/>
    </row>
    <row r="1010" spans="1:9" x14ac:dyDescent="0.3">
      <c r="B1010" s="5" t="s">
        <v>919</v>
      </c>
      <c r="C1010" s="5" t="s">
        <v>10</v>
      </c>
      <c r="D1010" s="5" t="s">
        <v>882</v>
      </c>
      <c r="E1010" s="5" t="s">
        <v>170</v>
      </c>
      <c r="F1010" s="5" t="s">
        <v>13</v>
      </c>
      <c r="G1010" s="5" t="s">
        <v>14</v>
      </c>
      <c r="H1010" s="5"/>
      <c r="I1010" s="6">
        <v>240</v>
      </c>
    </row>
    <row r="1011" spans="1:9" x14ac:dyDescent="0.3">
      <c r="A1011" s="7" t="s">
        <v>920</v>
      </c>
      <c r="H1011" s="8">
        <f>H1009+H1010</f>
        <v>240</v>
      </c>
      <c r="I1011" s="8">
        <f>I1009+I1010</f>
        <v>240</v>
      </c>
    </row>
    <row r="1012" spans="1:9" x14ac:dyDescent="0.3">
      <c r="A1012" s="4" t="s">
        <v>921</v>
      </c>
    </row>
    <row r="1013" spans="1:9" x14ac:dyDescent="0.3">
      <c r="B1013" s="5" t="s">
        <v>922</v>
      </c>
      <c r="C1013" s="5" t="s">
        <v>10</v>
      </c>
      <c r="D1013" s="5" t="s">
        <v>885</v>
      </c>
      <c r="E1013" s="5" t="s">
        <v>636</v>
      </c>
      <c r="F1013" s="5" t="s">
        <v>61</v>
      </c>
      <c r="G1013" s="5" t="s">
        <v>62</v>
      </c>
      <c r="H1013" s="6">
        <v>225</v>
      </c>
      <c r="I1013" s="5"/>
    </row>
    <row r="1014" spans="1:9" x14ac:dyDescent="0.3">
      <c r="B1014" s="5" t="s">
        <v>922</v>
      </c>
      <c r="C1014" s="5" t="s">
        <v>10</v>
      </c>
      <c r="D1014" s="5" t="s">
        <v>885</v>
      </c>
      <c r="E1014" s="5" t="s">
        <v>561</v>
      </c>
      <c r="F1014" s="5" t="s">
        <v>129</v>
      </c>
      <c r="G1014" s="5" t="s">
        <v>130</v>
      </c>
      <c r="H1014" s="6">
        <v>20</v>
      </c>
      <c r="I1014" s="5"/>
    </row>
    <row r="1015" spans="1:9" x14ac:dyDescent="0.3">
      <c r="B1015" s="5" t="s">
        <v>922</v>
      </c>
      <c r="C1015" s="5" t="s">
        <v>10</v>
      </c>
      <c r="D1015" s="5" t="s">
        <v>885</v>
      </c>
      <c r="E1015" s="5" t="s">
        <v>923</v>
      </c>
      <c r="F1015" s="5" t="s">
        <v>13</v>
      </c>
      <c r="G1015" s="5" t="s">
        <v>14</v>
      </c>
      <c r="H1015" s="5"/>
      <c r="I1015" s="6">
        <v>245</v>
      </c>
    </row>
    <row r="1016" spans="1:9" x14ac:dyDescent="0.3">
      <c r="A1016" s="7" t="s">
        <v>924</v>
      </c>
      <c r="H1016" s="8">
        <f>H1013+H1014+H1015</f>
        <v>245</v>
      </c>
      <c r="I1016" s="8">
        <f>I1013+I1014+I1015</f>
        <v>245</v>
      </c>
    </row>
    <row r="1017" spans="1:9" x14ac:dyDescent="0.3">
      <c r="A1017" s="4" t="s">
        <v>925</v>
      </c>
    </row>
    <row r="1018" spans="1:9" x14ac:dyDescent="0.3">
      <c r="B1018" s="5" t="s">
        <v>922</v>
      </c>
      <c r="C1018" s="5" t="s">
        <v>10</v>
      </c>
      <c r="D1018" s="5" t="s">
        <v>888</v>
      </c>
      <c r="E1018" s="5" t="s">
        <v>926</v>
      </c>
      <c r="F1018" s="5" t="s">
        <v>35</v>
      </c>
      <c r="G1018" s="5" t="s">
        <v>36</v>
      </c>
      <c r="H1018" s="6">
        <v>600</v>
      </c>
      <c r="I1018" s="5"/>
    </row>
    <row r="1019" spans="1:9" x14ac:dyDescent="0.3">
      <c r="B1019" s="5" t="s">
        <v>922</v>
      </c>
      <c r="C1019" s="5" t="s">
        <v>10</v>
      </c>
      <c r="D1019" s="5" t="s">
        <v>888</v>
      </c>
      <c r="E1019" s="5" t="s">
        <v>926</v>
      </c>
      <c r="F1019" s="5" t="s">
        <v>13</v>
      </c>
      <c r="G1019" s="5" t="s">
        <v>14</v>
      </c>
      <c r="H1019" s="5"/>
      <c r="I1019" s="6">
        <v>600</v>
      </c>
    </row>
    <row r="1020" spans="1:9" x14ac:dyDescent="0.3">
      <c r="A1020" s="7" t="s">
        <v>927</v>
      </c>
      <c r="H1020" s="8">
        <f>H1018+H1019</f>
        <v>600</v>
      </c>
      <c r="I1020" s="8">
        <f>I1018+I1019</f>
        <v>600</v>
      </c>
    </row>
    <row r="1021" spans="1:9" x14ac:dyDescent="0.3">
      <c r="A1021" s="4" t="s">
        <v>928</v>
      </c>
    </row>
    <row r="1022" spans="1:9" x14ac:dyDescent="0.3">
      <c r="B1022" s="5" t="s">
        <v>922</v>
      </c>
      <c r="C1022" s="5" t="s">
        <v>10</v>
      </c>
      <c r="D1022" s="5" t="s">
        <v>892</v>
      </c>
      <c r="E1022" s="5" t="s">
        <v>929</v>
      </c>
      <c r="F1022" s="5" t="s">
        <v>35</v>
      </c>
      <c r="G1022" s="5" t="s">
        <v>36</v>
      </c>
      <c r="H1022" s="6">
        <v>3000</v>
      </c>
      <c r="I1022" s="5"/>
    </row>
    <row r="1023" spans="1:9" x14ac:dyDescent="0.3">
      <c r="B1023" s="5" t="s">
        <v>922</v>
      </c>
      <c r="C1023" s="5" t="s">
        <v>10</v>
      </c>
      <c r="D1023" s="5" t="s">
        <v>892</v>
      </c>
      <c r="E1023" s="5" t="s">
        <v>929</v>
      </c>
      <c r="F1023" s="5" t="s">
        <v>13</v>
      </c>
      <c r="G1023" s="5" t="s">
        <v>14</v>
      </c>
      <c r="H1023" s="5"/>
      <c r="I1023" s="6">
        <v>3000</v>
      </c>
    </row>
    <row r="1024" spans="1:9" x14ac:dyDescent="0.3">
      <c r="A1024" s="7" t="s">
        <v>930</v>
      </c>
      <c r="H1024" s="8">
        <f>H1022+H1023</f>
        <v>3000</v>
      </c>
      <c r="I1024" s="8">
        <f>I1022+I1023</f>
        <v>3000</v>
      </c>
    </row>
    <row r="1025" spans="1:9" x14ac:dyDescent="0.3">
      <c r="A1025" s="4" t="s">
        <v>931</v>
      </c>
    </row>
    <row r="1026" spans="1:9" x14ac:dyDescent="0.3">
      <c r="B1026" s="5" t="s">
        <v>922</v>
      </c>
      <c r="C1026" s="5" t="s">
        <v>10</v>
      </c>
      <c r="D1026" s="5" t="s">
        <v>895</v>
      </c>
      <c r="E1026" s="5" t="s">
        <v>276</v>
      </c>
      <c r="F1026" s="5" t="s">
        <v>35</v>
      </c>
      <c r="G1026" s="5" t="s">
        <v>36</v>
      </c>
      <c r="H1026" s="6">
        <v>1030</v>
      </c>
      <c r="I1026" s="5"/>
    </row>
    <row r="1027" spans="1:9" x14ac:dyDescent="0.3">
      <c r="B1027" s="5" t="s">
        <v>922</v>
      </c>
      <c r="C1027" s="5" t="s">
        <v>10</v>
      </c>
      <c r="D1027" s="5" t="s">
        <v>895</v>
      </c>
      <c r="E1027" s="5" t="s">
        <v>932</v>
      </c>
      <c r="F1027" s="5" t="s">
        <v>256</v>
      </c>
      <c r="G1027" s="5" t="s">
        <v>257</v>
      </c>
      <c r="H1027" s="6">
        <v>830</v>
      </c>
      <c r="I1027" s="5"/>
    </row>
    <row r="1028" spans="1:9" x14ac:dyDescent="0.3">
      <c r="B1028" s="5" t="s">
        <v>922</v>
      </c>
      <c r="C1028" s="5" t="s">
        <v>10</v>
      </c>
      <c r="D1028" s="5" t="s">
        <v>895</v>
      </c>
      <c r="E1028" s="5" t="s">
        <v>933</v>
      </c>
      <c r="F1028" s="5" t="s">
        <v>359</v>
      </c>
      <c r="G1028" s="5" t="s">
        <v>360</v>
      </c>
      <c r="H1028" s="6">
        <v>2850</v>
      </c>
      <c r="I1028" s="5"/>
    </row>
    <row r="1029" spans="1:9" x14ac:dyDescent="0.3">
      <c r="B1029" s="5" t="s">
        <v>922</v>
      </c>
      <c r="C1029" s="5" t="s">
        <v>10</v>
      </c>
      <c r="D1029" s="5" t="s">
        <v>895</v>
      </c>
      <c r="E1029" s="5" t="s">
        <v>933</v>
      </c>
      <c r="F1029" s="5" t="s">
        <v>13</v>
      </c>
      <c r="G1029" s="5" t="s">
        <v>14</v>
      </c>
      <c r="H1029" s="5"/>
      <c r="I1029" s="6">
        <v>4710</v>
      </c>
    </row>
    <row r="1030" spans="1:9" x14ac:dyDescent="0.3">
      <c r="A1030" s="7" t="s">
        <v>934</v>
      </c>
      <c r="H1030" s="8">
        <f>H1026+H1027+H1028+H1029</f>
        <v>4710</v>
      </c>
      <c r="I1030" s="8">
        <f>I1026+I1027+I1028+I1029</f>
        <v>4710</v>
      </c>
    </row>
    <row r="1031" spans="1:9" x14ac:dyDescent="0.3">
      <c r="A1031" s="4" t="s">
        <v>935</v>
      </c>
    </row>
    <row r="1032" spans="1:9" x14ac:dyDescent="0.3">
      <c r="B1032" s="5" t="s">
        <v>922</v>
      </c>
      <c r="C1032" s="5" t="s">
        <v>10</v>
      </c>
      <c r="D1032" s="5" t="s">
        <v>899</v>
      </c>
      <c r="E1032" s="5" t="s">
        <v>725</v>
      </c>
      <c r="F1032" s="5" t="s">
        <v>67</v>
      </c>
      <c r="G1032" s="5" t="s">
        <v>68</v>
      </c>
      <c r="H1032" s="6">
        <v>90</v>
      </c>
      <c r="I1032" s="5"/>
    </row>
    <row r="1033" spans="1:9" x14ac:dyDescent="0.3">
      <c r="B1033" s="5" t="s">
        <v>922</v>
      </c>
      <c r="C1033" s="5" t="s">
        <v>10</v>
      </c>
      <c r="D1033" s="5" t="s">
        <v>899</v>
      </c>
      <c r="E1033" s="5" t="s">
        <v>725</v>
      </c>
      <c r="F1033" s="5" t="s">
        <v>13</v>
      </c>
      <c r="G1033" s="5" t="s">
        <v>14</v>
      </c>
      <c r="H1033" s="5"/>
      <c r="I1033" s="6">
        <v>90</v>
      </c>
    </row>
    <row r="1034" spans="1:9" x14ac:dyDescent="0.3">
      <c r="A1034" s="7" t="s">
        <v>936</v>
      </c>
      <c r="H1034" s="8">
        <f>H1032+H1033</f>
        <v>90</v>
      </c>
      <c r="I1034" s="8">
        <f>I1032+I1033</f>
        <v>90</v>
      </c>
    </row>
    <row r="1035" spans="1:9" x14ac:dyDescent="0.3">
      <c r="A1035" s="4" t="s">
        <v>937</v>
      </c>
    </row>
    <row r="1036" spans="1:9" x14ac:dyDescent="0.3">
      <c r="B1036" s="5" t="s">
        <v>922</v>
      </c>
      <c r="C1036" s="5" t="s">
        <v>10</v>
      </c>
      <c r="D1036" s="5" t="s">
        <v>903</v>
      </c>
      <c r="E1036" s="5" t="s">
        <v>561</v>
      </c>
      <c r="F1036" s="5" t="s">
        <v>129</v>
      </c>
      <c r="G1036" s="5" t="s">
        <v>130</v>
      </c>
      <c r="H1036" s="6">
        <v>120</v>
      </c>
      <c r="I1036" s="5"/>
    </row>
    <row r="1037" spans="1:9" x14ac:dyDescent="0.3">
      <c r="B1037" s="5" t="s">
        <v>922</v>
      </c>
      <c r="C1037" s="5" t="s">
        <v>10</v>
      </c>
      <c r="D1037" s="5" t="s">
        <v>903</v>
      </c>
      <c r="E1037" s="5" t="s">
        <v>561</v>
      </c>
      <c r="F1037" s="5" t="s">
        <v>13</v>
      </c>
      <c r="G1037" s="5" t="s">
        <v>14</v>
      </c>
      <c r="H1037" s="5"/>
      <c r="I1037" s="6">
        <v>120</v>
      </c>
    </row>
    <row r="1038" spans="1:9" x14ac:dyDescent="0.3">
      <c r="A1038" s="7" t="s">
        <v>938</v>
      </c>
      <c r="H1038" s="8">
        <f>H1036+H1037</f>
        <v>120</v>
      </c>
      <c r="I1038" s="8">
        <f>I1036+I1037</f>
        <v>120</v>
      </c>
    </row>
    <row r="1039" spans="1:9" x14ac:dyDescent="0.3">
      <c r="A1039" s="4" t="s">
        <v>939</v>
      </c>
    </row>
    <row r="1040" spans="1:9" x14ac:dyDescent="0.3">
      <c r="B1040" s="5" t="s">
        <v>922</v>
      </c>
      <c r="C1040" s="5" t="s">
        <v>10</v>
      </c>
      <c r="D1040" s="5" t="s">
        <v>908</v>
      </c>
      <c r="E1040" s="5" t="s">
        <v>940</v>
      </c>
      <c r="F1040" s="5" t="s">
        <v>58</v>
      </c>
      <c r="G1040" s="5" t="s">
        <v>59</v>
      </c>
      <c r="H1040" s="6">
        <v>1600</v>
      </c>
      <c r="I1040" s="5"/>
    </row>
    <row r="1041" spans="1:9" x14ac:dyDescent="0.3">
      <c r="B1041" s="5" t="s">
        <v>922</v>
      </c>
      <c r="C1041" s="5" t="s">
        <v>10</v>
      </c>
      <c r="D1041" s="5" t="s">
        <v>908</v>
      </c>
      <c r="E1041" s="5" t="s">
        <v>940</v>
      </c>
      <c r="F1041" s="5" t="s">
        <v>13</v>
      </c>
      <c r="G1041" s="5" t="s">
        <v>14</v>
      </c>
      <c r="H1041" s="5"/>
      <c r="I1041" s="6">
        <v>1600</v>
      </c>
    </row>
    <row r="1042" spans="1:9" x14ac:dyDescent="0.3">
      <c r="A1042" s="7" t="s">
        <v>941</v>
      </c>
      <c r="H1042" s="8">
        <f>H1040+H1041</f>
        <v>1600</v>
      </c>
      <c r="I1042" s="8">
        <f>I1040+I1041</f>
        <v>1600</v>
      </c>
    </row>
    <row r="1043" spans="1:9" x14ac:dyDescent="0.3">
      <c r="A1043" s="4" t="s">
        <v>942</v>
      </c>
    </row>
    <row r="1044" spans="1:9" x14ac:dyDescent="0.3">
      <c r="B1044" s="5" t="s">
        <v>943</v>
      </c>
      <c r="C1044" s="5" t="s">
        <v>10</v>
      </c>
      <c r="D1044" s="5" t="s">
        <v>912</v>
      </c>
      <c r="E1044" s="5" t="s">
        <v>944</v>
      </c>
      <c r="F1044" s="5" t="s">
        <v>61</v>
      </c>
      <c r="G1044" s="5" t="s">
        <v>62</v>
      </c>
      <c r="H1044" s="6">
        <v>220</v>
      </c>
      <c r="I1044" s="5"/>
    </row>
    <row r="1045" spans="1:9" x14ac:dyDescent="0.3">
      <c r="B1045" s="5" t="s">
        <v>943</v>
      </c>
      <c r="C1045" s="5" t="s">
        <v>10</v>
      </c>
      <c r="D1045" s="5" t="s">
        <v>912</v>
      </c>
      <c r="E1045" s="5" t="s">
        <v>944</v>
      </c>
      <c r="F1045" s="5" t="s">
        <v>13</v>
      </c>
      <c r="G1045" s="5" t="s">
        <v>14</v>
      </c>
      <c r="H1045" s="5"/>
      <c r="I1045" s="6">
        <v>220</v>
      </c>
    </row>
    <row r="1046" spans="1:9" x14ac:dyDescent="0.3">
      <c r="A1046" s="7" t="s">
        <v>945</v>
      </c>
      <c r="H1046" s="8">
        <f>H1044+H1045</f>
        <v>220</v>
      </c>
      <c r="I1046" s="8">
        <f>I1044+I1045</f>
        <v>220</v>
      </c>
    </row>
    <row r="1047" spans="1:9" x14ac:dyDescent="0.3">
      <c r="A1047" s="4" t="s">
        <v>946</v>
      </c>
    </row>
    <row r="1048" spans="1:9" x14ac:dyDescent="0.3">
      <c r="B1048" s="5" t="s">
        <v>943</v>
      </c>
      <c r="C1048" s="5" t="s">
        <v>10</v>
      </c>
      <c r="D1048" s="5" t="s">
        <v>914</v>
      </c>
      <c r="E1048" s="5" t="s">
        <v>947</v>
      </c>
      <c r="F1048" s="5" t="s">
        <v>61</v>
      </c>
      <c r="G1048" s="5" t="s">
        <v>62</v>
      </c>
      <c r="H1048" s="6">
        <v>70</v>
      </c>
      <c r="I1048" s="5"/>
    </row>
    <row r="1049" spans="1:9" x14ac:dyDescent="0.3">
      <c r="B1049" s="5" t="s">
        <v>943</v>
      </c>
      <c r="C1049" s="5" t="s">
        <v>10</v>
      </c>
      <c r="D1049" s="5" t="s">
        <v>914</v>
      </c>
      <c r="E1049" s="5" t="s">
        <v>947</v>
      </c>
      <c r="F1049" s="5" t="s">
        <v>13</v>
      </c>
      <c r="G1049" s="5" t="s">
        <v>14</v>
      </c>
      <c r="H1049" s="5"/>
      <c r="I1049" s="6">
        <v>70</v>
      </c>
    </row>
    <row r="1050" spans="1:9" x14ac:dyDescent="0.3">
      <c r="A1050" s="7" t="s">
        <v>948</v>
      </c>
      <c r="H1050" s="8">
        <f>H1048+H1049</f>
        <v>70</v>
      </c>
      <c r="I1050" s="8">
        <f>I1048+I1049</f>
        <v>70</v>
      </c>
    </row>
    <row r="1051" spans="1:9" x14ac:dyDescent="0.3">
      <c r="A1051" s="4" t="s">
        <v>949</v>
      </c>
    </row>
    <row r="1052" spans="1:9" x14ac:dyDescent="0.3">
      <c r="B1052" s="5" t="s">
        <v>950</v>
      </c>
      <c r="C1052" s="5" t="s">
        <v>10</v>
      </c>
      <c r="D1052" s="5" t="s">
        <v>918</v>
      </c>
      <c r="E1052" s="5" t="s">
        <v>572</v>
      </c>
      <c r="F1052" s="5" t="s">
        <v>61</v>
      </c>
      <c r="G1052" s="5" t="s">
        <v>62</v>
      </c>
      <c r="H1052" s="6">
        <v>630</v>
      </c>
      <c r="I1052" s="5"/>
    </row>
    <row r="1053" spans="1:9" x14ac:dyDescent="0.3">
      <c r="B1053" s="5" t="s">
        <v>950</v>
      </c>
      <c r="C1053" s="5" t="s">
        <v>10</v>
      </c>
      <c r="D1053" s="5" t="s">
        <v>918</v>
      </c>
      <c r="E1053" s="5" t="s">
        <v>572</v>
      </c>
      <c r="F1053" s="5" t="s">
        <v>13</v>
      </c>
      <c r="G1053" s="5" t="s">
        <v>14</v>
      </c>
      <c r="H1053" s="5"/>
      <c r="I1053" s="6">
        <v>630</v>
      </c>
    </row>
    <row r="1054" spans="1:9" x14ac:dyDescent="0.3">
      <c r="A1054" s="7" t="s">
        <v>951</v>
      </c>
      <c r="H1054" s="8">
        <f>H1052+H1053</f>
        <v>630</v>
      </c>
      <c r="I1054" s="8">
        <f>I1052+I1053</f>
        <v>630</v>
      </c>
    </row>
    <row r="1055" spans="1:9" x14ac:dyDescent="0.3">
      <c r="A1055" s="4" t="s">
        <v>952</v>
      </c>
    </row>
    <row r="1056" spans="1:9" x14ac:dyDescent="0.3">
      <c r="B1056" s="5" t="s">
        <v>953</v>
      </c>
      <c r="C1056" s="5" t="s">
        <v>10</v>
      </c>
      <c r="D1056" s="5" t="s">
        <v>921</v>
      </c>
      <c r="E1056" s="5" t="s">
        <v>561</v>
      </c>
      <c r="F1056" s="5" t="s">
        <v>129</v>
      </c>
      <c r="G1056" s="5" t="s">
        <v>130</v>
      </c>
      <c r="H1056" s="6">
        <v>50</v>
      </c>
      <c r="I1056" s="5"/>
    </row>
    <row r="1057" spans="1:9" x14ac:dyDescent="0.3">
      <c r="B1057" s="5" t="s">
        <v>953</v>
      </c>
      <c r="C1057" s="5" t="s">
        <v>10</v>
      </c>
      <c r="D1057" s="5" t="s">
        <v>921</v>
      </c>
      <c r="E1057" s="5" t="s">
        <v>572</v>
      </c>
      <c r="F1057" s="5" t="s">
        <v>61</v>
      </c>
      <c r="G1057" s="5" t="s">
        <v>62</v>
      </c>
      <c r="H1057" s="6">
        <v>200</v>
      </c>
      <c r="I1057" s="5"/>
    </row>
    <row r="1058" spans="1:9" x14ac:dyDescent="0.3">
      <c r="B1058" s="5" t="s">
        <v>953</v>
      </c>
      <c r="C1058" s="5" t="s">
        <v>10</v>
      </c>
      <c r="D1058" s="5" t="s">
        <v>921</v>
      </c>
      <c r="E1058" s="5" t="s">
        <v>954</v>
      </c>
      <c r="F1058" s="5" t="s">
        <v>13</v>
      </c>
      <c r="G1058" s="5" t="s">
        <v>14</v>
      </c>
      <c r="H1058" s="5"/>
      <c r="I1058" s="6">
        <v>250</v>
      </c>
    </row>
    <row r="1059" spans="1:9" x14ac:dyDescent="0.3">
      <c r="A1059" s="7" t="s">
        <v>955</v>
      </c>
      <c r="H1059" s="8">
        <f>H1056+H1057+H1058</f>
        <v>250</v>
      </c>
      <c r="I1059" s="8">
        <f>I1056+I1057+I1058</f>
        <v>250</v>
      </c>
    </row>
    <row r="1060" spans="1:9" x14ac:dyDescent="0.3">
      <c r="A1060" s="4" t="s">
        <v>956</v>
      </c>
    </row>
    <row r="1061" spans="1:9" x14ac:dyDescent="0.3">
      <c r="B1061" s="5" t="s">
        <v>957</v>
      </c>
      <c r="C1061" s="5" t="s">
        <v>10</v>
      </c>
      <c r="D1061" s="5" t="s">
        <v>925</v>
      </c>
      <c r="E1061" s="5" t="s">
        <v>958</v>
      </c>
      <c r="F1061" s="5" t="s">
        <v>61</v>
      </c>
      <c r="G1061" s="5" t="s">
        <v>62</v>
      </c>
      <c r="H1061" s="6">
        <v>130</v>
      </c>
      <c r="I1061" s="5"/>
    </row>
    <row r="1062" spans="1:9" x14ac:dyDescent="0.3">
      <c r="B1062" s="5" t="s">
        <v>957</v>
      </c>
      <c r="C1062" s="5" t="s">
        <v>10</v>
      </c>
      <c r="D1062" s="5" t="s">
        <v>925</v>
      </c>
      <c r="E1062" s="5" t="s">
        <v>958</v>
      </c>
      <c r="F1062" s="5" t="s">
        <v>13</v>
      </c>
      <c r="G1062" s="5" t="s">
        <v>14</v>
      </c>
      <c r="H1062" s="5"/>
      <c r="I1062" s="6">
        <v>130</v>
      </c>
    </row>
    <row r="1063" spans="1:9" x14ac:dyDescent="0.3">
      <c r="A1063" s="7" t="s">
        <v>959</v>
      </c>
      <c r="H1063" s="8">
        <f>H1061+H1062</f>
        <v>130</v>
      </c>
      <c r="I1063" s="8">
        <f>I1061+I1062</f>
        <v>130</v>
      </c>
    </row>
    <row r="1064" spans="1:9" x14ac:dyDescent="0.3">
      <c r="A1064" s="4" t="s">
        <v>960</v>
      </c>
    </row>
    <row r="1065" spans="1:9" x14ac:dyDescent="0.3">
      <c r="B1065" s="5" t="s">
        <v>961</v>
      </c>
      <c r="C1065" s="5" t="s">
        <v>10</v>
      </c>
      <c r="D1065" s="5" t="s">
        <v>928</v>
      </c>
      <c r="E1065" s="5" t="s">
        <v>572</v>
      </c>
      <c r="F1065" s="5" t="s">
        <v>61</v>
      </c>
      <c r="G1065" s="5" t="s">
        <v>62</v>
      </c>
      <c r="H1065" s="6">
        <v>160</v>
      </c>
      <c r="I1065" s="5"/>
    </row>
    <row r="1066" spans="1:9" x14ac:dyDescent="0.3">
      <c r="B1066" s="5" t="s">
        <v>961</v>
      </c>
      <c r="C1066" s="5" t="s">
        <v>10</v>
      </c>
      <c r="D1066" s="5" t="s">
        <v>928</v>
      </c>
      <c r="E1066" s="5" t="s">
        <v>572</v>
      </c>
      <c r="F1066" s="5" t="s">
        <v>13</v>
      </c>
      <c r="G1066" s="5" t="s">
        <v>14</v>
      </c>
      <c r="H1066" s="5"/>
      <c r="I1066" s="6">
        <v>160</v>
      </c>
    </row>
    <row r="1067" spans="1:9" x14ac:dyDescent="0.3">
      <c r="A1067" s="7" t="s">
        <v>962</v>
      </c>
      <c r="H1067" s="8">
        <f>H1065+H1066</f>
        <v>160</v>
      </c>
      <c r="I1067" s="8">
        <f>I1065+I1066</f>
        <v>160</v>
      </c>
    </row>
    <row r="1068" spans="1:9" x14ac:dyDescent="0.3">
      <c r="A1068" s="4" t="s">
        <v>963</v>
      </c>
    </row>
    <row r="1069" spans="1:9" x14ac:dyDescent="0.3">
      <c r="B1069" s="5" t="s">
        <v>961</v>
      </c>
      <c r="C1069" s="5" t="s">
        <v>10</v>
      </c>
      <c r="D1069" s="5" t="s">
        <v>931</v>
      </c>
      <c r="E1069" s="5" t="s">
        <v>964</v>
      </c>
      <c r="F1069" s="5" t="s">
        <v>281</v>
      </c>
      <c r="G1069" s="5" t="s">
        <v>282</v>
      </c>
      <c r="H1069" s="6">
        <v>250</v>
      </c>
      <c r="I1069" s="5"/>
    </row>
    <row r="1070" spans="1:9" x14ac:dyDescent="0.3">
      <c r="B1070" s="5" t="s">
        <v>961</v>
      </c>
      <c r="C1070" s="5" t="s">
        <v>10</v>
      </c>
      <c r="D1070" s="5" t="s">
        <v>931</v>
      </c>
      <c r="E1070" s="5" t="s">
        <v>965</v>
      </c>
      <c r="F1070" s="5" t="s">
        <v>359</v>
      </c>
      <c r="G1070" s="5" t="s">
        <v>360</v>
      </c>
      <c r="H1070" s="6">
        <v>500</v>
      </c>
      <c r="I1070" s="5"/>
    </row>
    <row r="1071" spans="1:9" x14ac:dyDescent="0.3">
      <c r="B1071" s="5" t="s">
        <v>961</v>
      </c>
      <c r="C1071" s="5" t="s">
        <v>10</v>
      </c>
      <c r="D1071" s="5" t="s">
        <v>931</v>
      </c>
      <c r="E1071" s="5" t="s">
        <v>965</v>
      </c>
      <c r="F1071" s="5" t="s">
        <v>13</v>
      </c>
      <c r="G1071" s="5" t="s">
        <v>14</v>
      </c>
      <c r="H1071" s="5"/>
      <c r="I1071" s="6">
        <v>750</v>
      </c>
    </row>
    <row r="1072" spans="1:9" x14ac:dyDescent="0.3">
      <c r="A1072" s="7" t="s">
        <v>966</v>
      </c>
      <c r="H1072" s="8">
        <f>H1069+H1070+H1071</f>
        <v>750</v>
      </c>
      <c r="I1072" s="8">
        <f>I1069+I1070+I1071</f>
        <v>750</v>
      </c>
    </row>
    <row r="1073" spans="1:9" x14ac:dyDescent="0.3">
      <c r="A1073" s="4" t="s">
        <v>967</v>
      </c>
    </row>
    <row r="1074" spans="1:9" x14ac:dyDescent="0.3">
      <c r="B1074" s="5" t="s">
        <v>961</v>
      </c>
      <c r="C1074" s="5" t="s">
        <v>10</v>
      </c>
      <c r="D1074" s="5" t="s">
        <v>935</v>
      </c>
      <c r="E1074" s="5" t="s">
        <v>968</v>
      </c>
      <c r="F1074" s="5" t="s">
        <v>67</v>
      </c>
      <c r="G1074" s="5" t="s">
        <v>68</v>
      </c>
      <c r="H1074" s="6">
        <v>12000</v>
      </c>
      <c r="I1074" s="5"/>
    </row>
    <row r="1075" spans="1:9" x14ac:dyDescent="0.3">
      <c r="B1075" s="5" t="s">
        <v>961</v>
      </c>
      <c r="C1075" s="5" t="s">
        <v>10</v>
      </c>
      <c r="D1075" s="5" t="s">
        <v>935</v>
      </c>
      <c r="E1075" s="5" t="s">
        <v>969</v>
      </c>
      <c r="F1075" s="5" t="s">
        <v>359</v>
      </c>
      <c r="G1075" s="5" t="s">
        <v>360</v>
      </c>
      <c r="H1075" s="6">
        <v>1180</v>
      </c>
      <c r="I1075" s="5"/>
    </row>
    <row r="1076" spans="1:9" x14ac:dyDescent="0.3">
      <c r="B1076" s="5" t="s">
        <v>961</v>
      </c>
      <c r="C1076" s="5" t="s">
        <v>10</v>
      </c>
      <c r="D1076" s="5" t="s">
        <v>935</v>
      </c>
      <c r="E1076" s="5" t="s">
        <v>970</v>
      </c>
      <c r="F1076" s="5" t="s">
        <v>166</v>
      </c>
      <c r="G1076" s="5" t="s">
        <v>167</v>
      </c>
      <c r="H1076" s="6">
        <v>5650</v>
      </c>
      <c r="I1076" s="5"/>
    </row>
    <row r="1077" spans="1:9" x14ac:dyDescent="0.3">
      <c r="B1077" s="5" t="s">
        <v>961</v>
      </c>
      <c r="C1077" s="5" t="s">
        <v>10</v>
      </c>
      <c r="D1077" s="5" t="s">
        <v>935</v>
      </c>
      <c r="E1077" s="5" t="s">
        <v>971</v>
      </c>
      <c r="F1077" s="5" t="s">
        <v>972</v>
      </c>
      <c r="G1077" s="5" t="s">
        <v>973</v>
      </c>
      <c r="H1077" s="6">
        <v>3600</v>
      </c>
      <c r="I1077" s="5"/>
    </row>
    <row r="1078" spans="1:9" x14ac:dyDescent="0.3">
      <c r="B1078" s="5" t="s">
        <v>961</v>
      </c>
      <c r="C1078" s="5" t="s">
        <v>10</v>
      </c>
      <c r="D1078" s="5" t="s">
        <v>935</v>
      </c>
      <c r="E1078" s="5" t="s">
        <v>974</v>
      </c>
      <c r="F1078" s="5" t="s">
        <v>975</v>
      </c>
      <c r="G1078" s="5" t="s">
        <v>976</v>
      </c>
      <c r="H1078" s="6">
        <v>300</v>
      </c>
      <c r="I1078" s="5"/>
    </row>
    <row r="1079" spans="1:9" x14ac:dyDescent="0.3">
      <c r="B1079" s="5" t="s">
        <v>961</v>
      </c>
      <c r="C1079" s="5" t="s">
        <v>10</v>
      </c>
      <c r="D1079" s="5" t="s">
        <v>935</v>
      </c>
      <c r="E1079" s="5" t="s">
        <v>977</v>
      </c>
      <c r="F1079" s="5" t="s">
        <v>972</v>
      </c>
      <c r="G1079" s="5" t="s">
        <v>973</v>
      </c>
      <c r="H1079" s="6">
        <v>1000</v>
      </c>
      <c r="I1079" s="5"/>
    </row>
    <row r="1080" spans="1:9" x14ac:dyDescent="0.3">
      <c r="B1080" s="5" t="s">
        <v>961</v>
      </c>
      <c r="C1080" s="5" t="s">
        <v>10</v>
      </c>
      <c r="D1080" s="5" t="s">
        <v>935</v>
      </c>
      <c r="E1080" s="5" t="s">
        <v>978</v>
      </c>
      <c r="F1080" s="5" t="s">
        <v>979</v>
      </c>
      <c r="G1080" s="5" t="s">
        <v>980</v>
      </c>
      <c r="H1080" s="6">
        <v>5100</v>
      </c>
      <c r="I1080" s="5"/>
    </row>
    <row r="1081" spans="1:9" x14ac:dyDescent="0.3">
      <c r="B1081" s="5" t="s">
        <v>961</v>
      </c>
      <c r="C1081" s="5" t="s">
        <v>10</v>
      </c>
      <c r="D1081" s="5" t="s">
        <v>935</v>
      </c>
      <c r="E1081" s="5" t="s">
        <v>981</v>
      </c>
      <c r="F1081" s="5" t="s">
        <v>61</v>
      </c>
      <c r="G1081" s="5" t="s">
        <v>62</v>
      </c>
      <c r="H1081" s="6">
        <v>6000</v>
      </c>
      <c r="I1081" s="5"/>
    </row>
    <row r="1082" spans="1:9" x14ac:dyDescent="0.3">
      <c r="B1082" s="5" t="s">
        <v>961</v>
      </c>
      <c r="C1082" s="5" t="s">
        <v>10</v>
      </c>
      <c r="D1082" s="5" t="s">
        <v>935</v>
      </c>
      <c r="E1082" s="5" t="s">
        <v>982</v>
      </c>
      <c r="F1082" s="5" t="s">
        <v>13</v>
      </c>
      <c r="G1082" s="5" t="s">
        <v>14</v>
      </c>
      <c r="H1082" s="5"/>
      <c r="I1082" s="6">
        <v>34830</v>
      </c>
    </row>
    <row r="1083" spans="1:9" x14ac:dyDescent="0.3">
      <c r="B1083" s="5" t="s">
        <v>961</v>
      </c>
      <c r="C1083" s="5" t="s">
        <v>10</v>
      </c>
      <c r="D1083" s="5" t="s">
        <v>935</v>
      </c>
      <c r="E1083" s="5" t="s">
        <v>983</v>
      </c>
      <c r="F1083" s="5" t="s">
        <v>61</v>
      </c>
      <c r="G1083" s="5" t="s">
        <v>62</v>
      </c>
      <c r="H1083" s="6">
        <v>2400</v>
      </c>
      <c r="I1083" s="5"/>
    </row>
    <row r="1084" spans="1:9" x14ac:dyDescent="0.3">
      <c r="B1084" s="5" t="s">
        <v>961</v>
      </c>
      <c r="C1084" s="5" t="s">
        <v>10</v>
      </c>
      <c r="D1084" s="5" t="s">
        <v>935</v>
      </c>
      <c r="E1084" s="5" t="s">
        <v>984</v>
      </c>
      <c r="F1084" s="5" t="s">
        <v>972</v>
      </c>
      <c r="G1084" s="5" t="s">
        <v>973</v>
      </c>
      <c r="H1084" s="6">
        <v>1820</v>
      </c>
      <c r="I1084" s="5"/>
    </row>
    <row r="1085" spans="1:9" x14ac:dyDescent="0.3">
      <c r="B1085" s="5" t="s">
        <v>961</v>
      </c>
      <c r="C1085" s="5" t="s">
        <v>10</v>
      </c>
      <c r="D1085" s="5" t="s">
        <v>935</v>
      </c>
      <c r="E1085" s="5" t="s">
        <v>985</v>
      </c>
      <c r="F1085" s="5" t="s">
        <v>166</v>
      </c>
      <c r="G1085" s="5" t="s">
        <v>167</v>
      </c>
      <c r="H1085" s="6">
        <v>1200</v>
      </c>
      <c r="I1085" s="5"/>
    </row>
    <row r="1086" spans="1:9" x14ac:dyDescent="0.3">
      <c r="B1086" s="5" t="s">
        <v>961</v>
      </c>
      <c r="C1086" s="5" t="s">
        <v>10</v>
      </c>
      <c r="D1086" s="5" t="s">
        <v>935</v>
      </c>
      <c r="E1086" s="5" t="s">
        <v>986</v>
      </c>
      <c r="F1086" s="5" t="s">
        <v>166</v>
      </c>
      <c r="G1086" s="5" t="s">
        <v>167</v>
      </c>
      <c r="H1086" s="6">
        <v>4700</v>
      </c>
      <c r="I1086" s="5"/>
    </row>
    <row r="1087" spans="1:9" x14ac:dyDescent="0.3">
      <c r="B1087" s="5" t="s">
        <v>961</v>
      </c>
      <c r="C1087" s="5" t="s">
        <v>10</v>
      </c>
      <c r="D1087" s="5" t="s">
        <v>935</v>
      </c>
      <c r="E1087" s="5" t="s">
        <v>987</v>
      </c>
      <c r="F1087" s="5" t="s">
        <v>67</v>
      </c>
      <c r="G1087" s="5" t="s">
        <v>68</v>
      </c>
      <c r="H1087" s="6">
        <v>12150</v>
      </c>
      <c r="I1087" s="5"/>
    </row>
    <row r="1088" spans="1:9" x14ac:dyDescent="0.3">
      <c r="B1088" s="5" t="s">
        <v>961</v>
      </c>
      <c r="C1088" s="5" t="s">
        <v>10</v>
      </c>
      <c r="D1088" s="5" t="s">
        <v>935</v>
      </c>
      <c r="E1088" s="5" t="s">
        <v>988</v>
      </c>
      <c r="F1088" s="5" t="s">
        <v>359</v>
      </c>
      <c r="G1088" s="5" t="s">
        <v>360</v>
      </c>
      <c r="H1088" s="6">
        <v>500</v>
      </c>
      <c r="I1088" s="5"/>
    </row>
    <row r="1089" spans="1:9" x14ac:dyDescent="0.3">
      <c r="B1089" s="5" t="s">
        <v>961</v>
      </c>
      <c r="C1089" s="5" t="s">
        <v>10</v>
      </c>
      <c r="D1089" s="5" t="s">
        <v>935</v>
      </c>
      <c r="E1089" s="5" t="s">
        <v>988</v>
      </c>
      <c r="F1089" s="5" t="s">
        <v>359</v>
      </c>
      <c r="G1089" s="5" t="s">
        <v>360</v>
      </c>
      <c r="H1089" s="6">
        <v>550</v>
      </c>
      <c r="I1089" s="5"/>
    </row>
    <row r="1090" spans="1:9" x14ac:dyDescent="0.3">
      <c r="B1090" s="5" t="s">
        <v>961</v>
      </c>
      <c r="C1090" s="5" t="s">
        <v>10</v>
      </c>
      <c r="D1090" s="5" t="s">
        <v>935</v>
      </c>
      <c r="E1090" s="5" t="s">
        <v>989</v>
      </c>
      <c r="F1090" s="5" t="s">
        <v>218</v>
      </c>
      <c r="G1090" s="5" t="s">
        <v>219</v>
      </c>
      <c r="H1090" s="6">
        <v>1000</v>
      </c>
      <c r="I1090" s="5"/>
    </row>
    <row r="1091" spans="1:9" x14ac:dyDescent="0.3">
      <c r="B1091" s="5" t="s">
        <v>961</v>
      </c>
      <c r="C1091" s="5" t="s">
        <v>10</v>
      </c>
      <c r="D1091" s="5" t="s">
        <v>935</v>
      </c>
      <c r="E1091" s="5" t="s">
        <v>990</v>
      </c>
      <c r="F1091" s="5" t="s">
        <v>13</v>
      </c>
      <c r="G1091" s="5" t="s">
        <v>14</v>
      </c>
      <c r="H1091" s="5"/>
      <c r="I1091" s="6">
        <v>24320</v>
      </c>
    </row>
    <row r="1092" spans="1:9" x14ac:dyDescent="0.3">
      <c r="B1092" s="5" t="s">
        <v>961</v>
      </c>
      <c r="C1092" s="5" t="s">
        <v>10</v>
      </c>
      <c r="D1092" s="5" t="s">
        <v>935</v>
      </c>
      <c r="E1092" s="5" t="s">
        <v>991</v>
      </c>
      <c r="F1092" s="5" t="s">
        <v>67</v>
      </c>
      <c r="G1092" s="5" t="s">
        <v>68</v>
      </c>
      <c r="H1092" s="6">
        <v>3000</v>
      </c>
      <c r="I1092" s="5"/>
    </row>
    <row r="1093" spans="1:9" x14ac:dyDescent="0.3">
      <c r="B1093" s="5" t="s">
        <v>961</v>
      </c>
      <c r="C1093" s="5" t="s">
        <v>10</v>
      </c>
      <c r="D1093" s="5" t="s">
        <v>935</v>
      </c>
      <c r="E1093" s="5" t="s">
        <v>991</v>
      </c>
      <c r="F1093" s="5" t="s">
        <v>441</v>
      </c>
      <c r="G1093" s="5" t="s">
        <v>442</v>
      </c>
      <c r="H1093" s="5"/>
      <c r="I1093" s="6">
        <v>3000</v>
      </c>
    </row>
    <row r="1094" spans="1:9" x14ac:dyDescent="0.3">
      <c r="A1094" s="7" t="s">
        <v>992</v>
      </c>
      <c r="H1094" s="8">
        <f>H1074+H1075+H1076+H1077+H1078+H1079+H1080+H1081+H1082+H1083+H1084+H1085+H1086+H1087+H1088+H1089+H1090+H1091+H1092+H1093</f>
        <v>62150</v>
      </c>
      <c r="I1094" s="8">
        <f>I1074+I1075+I1076+I1077+I1078+I1079+I1080+I1081+I1082+I1083+I1084+I1085+I1086+I1087+I1088+I1089+I1090+I1091+I1092+I1093</f>
        <v>62150</v>
      </c>
    </row>
    <row r="1095" spans="1:9" x14ac:dyDescent="0.3">
      <c r="A1095" s="4" t="s">
        <v>993</v>
      </c>
    </row>
    <row r="1096" spans="1:9" x14ac:dyDescent="0.3">
      <c r="B1096" s="5" t="s">
        <v>961</v>
      </c>
      <c r="C1096" s="5" t="s">
        <v>10</v>
      </c>
      <c r="D1096" s="5" t="s">
        <v>937</v>
      </c>
      <c r="E1096" s="5" t="s">
        <v>994</v>
      </c>
      <c r="F1096" s="5" t="s">
        <v>81</v>
      </c>
      <c r="G1096" s="5" t="s">
        <v>82</v>
      </c>
      <c r="H1096" s="6">
        <v>13670</v>
      </c>
      <c r="I1096" s="5"/>
    </row>
    <row r="1097" spans="1:9" x14ac:dyDescent="0.3">
      <c r="B1097" s="5" t="s">
        <v>961</v>
      </c>
      <c r="C1097" s="5" t="s">
        <v>10</v>
      </c>
      <c r="D1097" s="5" t="s">
        <v>937</v>
      </c>
      <c r="E1097" s="5" t="s">
        <v>994</v>
      </c>
      <c r="F1097" s="5" t="s">
        <v>13</v>
      </c>
      <c r="G1097" s="5" t="s">
        <v>14</v>
      </c>
      <c r="H1097" s="5"/>
      <c r="I1097" s="6">
        <v>13670</v>
      </c>
    </row>
    <row r="1098" spans="1:9" x14ac:dyDescent="0.3">
      <c r="A1098" s="7" t="s">
        <v>995</v>
      </c>
      <c r="H1098" s="8">
        <f>H1096+H1097</f>
        <v>13670</v>
      </c>
      <c r="I1098" s="8">
        <f>I1096+I1097</f>
        <v>13670</v>
      </c>
    </row>
    <row r="1099" spans="1:9" x14ac:dyDescent="0.3">
      <c r="A1099" s="4" t="s">
        <v>996</v>
      </c>
    </row>
    <row r="1100" spans="1:9" x14ac:dyDescent="0.3">
      <c r="B1100" s="5" t="s">
        <v>997</v>
      </c>
      <c r="C1100" s="5" t="s">
        <v>10</v>
      </c>
      <c r="D1100" s="5" t="s">
        <v>939</v>
      </c>
      <c r="E1100" s="5" t="s">
        <v>170</v>
      </c>
      <c r="F1100" s="5" t="s">
        <v>61</v>
      </c>
      <c r="G1100" s="5" t="s">
        <v>62</v>
      </c>
      <c r="H1100" s="6">
        <v>1210</v>
      </c>
      <c r="I1100" s="5"/>
    </row>
    <row r="1101" spans="1:9" x14ac:dyDescent="0.3">
      <c r="B1101" s="5" t="s">
        <v>997</v>
      </c>
      <c r="C1101" s="5" t="s">
        <v>10</v>
      </c>
      <c r="D1101" s="5" t="s">
        <v>939</v>
      </c>
      <c r="E1101" s="5" t="s">
        <v>170</v>
      </c>
      <c r="F1101" s="5" t="s">
        <v>13</v>
      </c>
      <c r="G1101" s="5" t="s">
        <v>14</v>
      </c>
      <c r="H1101" s="5"/>
      <c r="I1101" s="6">
        <v>1210</v>
      </c>
    </row>
    <row r="1102" spans="1:9" x14ac:dyDescent="0.3">
      <c r="A1102" s="7" t="s">
        <v>998</v>
      </c>
      <c r="H1102" s="8">
        <f>H1100+H1101</f>
        <v>1210</v>
      </c>
      <c r="I1102" s="8">
        <f>I1100+I1101</f>
        <v>1210</v>
      </c>
    </row>
    <row r="1103" spans="1:9" x14ac:dyDescent="0.3">
      <c r="A1103" s="4" t="s">
        <v>999</v>
      </c>
    </row>
    <row r="1104" spans="1:9" x14ac:dyDescent="0.3">
      <c r="B1104" s="5" t="s">
        <v>997</v>
      </c>
      <c r="C1104" s="5" t="s">
        <v>10</v>
      </c>
      <c r="D1104" s="5" t="s">
        <v>942</v>
      </c>
      <c r="E1104" s="5" t="s">
        <v>725</v>
      </c>
      <c r="F1104" s="5" t="s">
        <v>67</v>
      </c>
      <c r="G1104" s="5" t="s">
        <v>68</v>
      </c>
      <c r="H1104" s="6">
        <v>40</v>
      </c>
      <c r="I1104" s="5"/>
    </row>
    <row r="1105" spans="1:9" x14ac:dyDescent="0.3">
      <c r="B1105" s="5" t="s">
        <v>997</v>
      </c>
      <c r="C1105" s="5" t="s">
        <v>10</v>
      </c>
      <c r="D1105" s="5" t="s">
        <v>942</v>
      </c>
      <c r="E1105" s="5" t="s">
        <v>725</v>
      </c>
      <c r="F1105" s="5" t="s">
        <v>13</v>
      </c>
      <c r="G1105" s="5" t="s">
        <v>14</v>
      </c>
      <c r="H1105" s="5"/>
      <c r="I1105" s="6">
        <v>40</v>
      </c>
    </row>
    <row r="1106" spans="1:9" x14ac:dyDescent="0.3">
      <c r="A1106" s="7" t="s">
        <v>1000</v>
      </c>
      <c r="H1106" s="8">
        <f>H1104+H1105</f>
        <v>40</v>
      </c>
      <c r="I1106" s="8">
        <f>I1104+I1105</f>
        <v>40</v>
      </c>
    </row>
    <row r="1107" spans="1:9" x14ac:dyDescent="0.3">
      <c r="A1107" s="4" t="s">
        <v>1001</v>
      </c>
    </row>
    <row r="1108" spans="1:9" x14ac:dyDescent="0.3">
      <c r="B1108" s="5" t="s">
        <v>997</v>
      </c>
      <c r="C1108" s="5" t="s">
        <v>10</v>
      </c>
      <c r="D1108" s="5" t="s">
        <v>946</v>
      </c>
      <c r="E1108" s="5" t="s">
        <v>391</v>
      </c>
      <c r="F1108" s="5" t="s">
        <v>116</v>
      </c>
      <c r="G1108" s="5" t="s">
        <v>117</v>
      </c>
      <c r="H1108" s="6">
        <v>500</v>
      </c>
      <c r="I1108" s="5"/>
    </row>
    <row r="1109" spans="1:9" x14ac:dyDescent="0.3">
      <c r="B1109" s="5" t="s">
        <v>997</v>
      </c>
      <c r="C1109" s="5" t="s">
        <v>10</v>
      </c>
      <c r="D1109" s="5" t="s">
        <v>946</v>
      </c>
      <c r="E1109" s="5" t="s">
        <v>391</v>
      </c>
      <c r="F1109" s="5" t="s">
        <v>13</v>
      </c>
      <c r="G1109" s="5" t="s">
        <v>14</v>
      </c>
      <c r="H1109" s="5"/>
      <c r="I1109" s="6">
        <v>500</v>
      </c>
    </row>
    <row r="1110" spans="1:9" x14ac:dyDescent="0.3">
      <c r="A1110" s="7" t="s">
        <v>1002</v>
      </c>
      <c r="H1110" s="8">
        <f>H1108+H1109</f>
        <v>500</v>
      </c>
      <c r="I1110" s="8">
        <f>I1108+I1109</f>
        <v>500</v>
      </c>
    </row>
    <row r="1111" spans="1:9" x14ac:dyDescent="0.3">
      <c r="A1111" s="4" t="s">
        <v>1003</v>
      </c>
    </row>
    <row r="1112" spans="1:9" x14ac:dyDescent="0.3">
      <c r="B1112" s="5" t="s">
        <v>1004</v>
      </c>
      <c r="C1112" s="5" t="s">
        <v>10</v>
      </c>
      <c r="D1112" s="5" t="s">
        <v>949</v>
      </c>
      <c r="E1112" s="5" t="s">
        <v>1005</v>
      </c>
      <c r="F1112" s="5" t="s">
        <v>61</v>
      </c>
      <c r="G1112" s="5" t="s">
        <v>62</v>
      </c>
      <c r="H1112" s="6">
        <v>185</v>
      </c>
      <c r="I1112" s="5"/>
    </row>
    <row r="1113" spans="1:9" x14ac:dyDescent="0.3">
      <c r="B1113" s="5" t="s">
        <v>1004</v>
      </c>
      <c r="C1113" s="5" t="s">
        <v>10</v>
      </c>
      <c r="D1113" s="5" t="s">
        <v>949</v>
      </c>
      <c r="E1113" s="5" t="s">
        <v>1005</v>
      </c>
      <c r="F1113" s="5" t="s">
        <v>13</v>
      </c>
      <c r="G1113" s="5" t="s">
        <v>14</v>
      </c>
      <c r="H1113" s="5"/>
      <c r="I1113" s="6">
        <v>185</v>
      </c>
    </row>
    <row r="1114" spans="1:9" x14ac:dyDescent="0.3">
      <c r="A1114" s="7" t="s">
        <v>1006</v>
      </c>
      <c r="H1114" s="8">
        <f>H1112+H1113</f>
        <v>185</v>
      </c>
      <c r="I1114" s="8">
        <f>I1112+I1113</f>
        <v>185</v>
      </c>
    </row>
    <row r="1115" spans="1:9" x14ac:dyDescent="0.3">
      <c r="A1115" s="4" t="s">
        <v>1007</v>
      </c>
    </row>
    <row r="1116" spans="1:9" x14ac:dyDescent="0.3">
      <c r="B1116" s="5" t="s">
        <v>1004</v>
      </c>
      <c r="C1116" s="5" t="s">
        <v>10</v>
      </c>
      <c r="D1116" s="5" t="s">
        <v>952</v>
      </c>
      <c r="E1116" s="5" t="s">
        <v>391</v>
      </c>
      <c r="F1116" s="5" t="s">
        <v>116</v>
      </c>
      <c r="G1116" s="5" t="s">
        <v>117</v>
      </c>
      <c r="H1116" s="6">
        <v>500</v>
      </c>
      <c r="I1116" s="5"/>
    </row>
    <row r="1117" spans="1:9" x14ac:dyDescent="0.3">
      <c r="B1117" s="5" t="s">
        <v>1004</v>
      </c>
      <c r="C1117" s="5" t="s">
        <v>10</v>
      </c>
      <c r="D1117" s="5" t="s">
        <v>952</v>
      </c>
      <c r="E1117" s="5" t="s">
        <v>391</v>
      </c>
      <c r="F1117" s="5" t="s">
        <v>13</v>
      </c>
      <c r="G1117" s="5" t="s">
        <v>14</v>
      </c>
      <c r="H1117" s="5"/>
      <c r="I1117" s="6">
        <v>500</v>
      </c>
    </row>
    <row r="1118" spans="1:9" x14ac:dyDescent="0.3">
      <c r="A1118" s="7" t="s">
        <v>1008</v>
      </c>
      <c r="H1118" s="8">
        <f>H1116+H1117</f>
        <v>500</v>
      </c>
      <c r="I1118" s="8">
        <f>I1116+I1117</f>
        <v>500</v>
      </c>
    </row>
    <row r="1119" spans="1:9" x14ac:dyDescent="0.3">
      <c r="A1119" s="4" t="s">
        <v>1009</v>
      </c>
    </row>
    <row r="1120" spans="1:9" x14ac:dyDescent="0.3">
      <c r="B1120" s="5" t="s">
        <v>1004</v>
      </c>
      <c r="C1120" s="5" t="s">
        <v>10</v>
      </c>
      <c r="D1120" s="5" t="s">
        <v>956</v>
      </c>
      <c r="E1120" s="5" t="s">
        <v>1010</v>
      </c>
      <c r="F1120" s="5" t="s">
        <v>129</v>
      </c>
      <c r="G1120" s="5" t="s">
        <v>130</v>
      </c>
      <c r="H1120" s="6">
        <v>120</v>
      </c>
      <c r="I1120" s="5"/>
    </row>
    <row r="1121" spans="1:9" x14ac:dyDescent="0.3">
      <c r="B1121" s="5" t="s">
        <v>1004</v>
      </c>
      <c r="C1121" s="5" t="s">
        <v>10</v>
      </c>
      <c r="D1121" s="5" t="s">
        <v>956</v>
      </c>
      <c r="E1121" s="5" t="s">
        <v>1010</v>
      </c>
      <c r="F1121" s="5" t="s">
        <v>13</v>
      </c>
      <c r="G1121" s="5" t="s">
        <v>14</v>
      </c>
      <c r="H1121" s="5"/>
      <c r="I1121" s="6">
        <v>120</v>
      </c>
    </row>
    <row r="1122" spans="1:9" x14ac:dyDescent="0.3">
      <c r="A1122" s="7" t="s">
        <v>1011</v>
      </c>
      <c r="H1122" s="8">
        <f>H1120+H1121</f>
        <v>120</v>
      </c>
      <c r="I1122" s="8">
        <f>I1120+I1121</f>
        <v>120</v>
      </c>
    </row>
    <row r="1123" spans="1:9" x14ac:dyDescent="0.3">
      <c r="A1123" s="4" t="s">
        <v>1012</v>
      </c>
    </row>
    <row r="1124" spans="1:9" x14ac:dyDescent="0.3">
      <c r="B1124" s="5" t="s">
        <v>1004</v>
      </c>
      <c r="C1124" s="5" t="s">
        <v>10</v>
      </c>
      <c r="D1124" s="5" t="s">
        <v>960</v>
      </c>
      <c r="E1124" s="5" t="s">
        <v>1013</v>
      </c>
      <c r="F1124" s="5" t="s">
        <v>70</v>
      </c>
      <c r="G1124" s="5" t="s">
        <v>71</v>
      </c>
      <c r="H1124" s="6">
        <v>380</v>
      </c>
      <c r="I1124" s="5"/>
    </row>
    <row r="1125" spans="1:9" x14ac:dyDescent="0.3">
      <c r="B1125" s="5" t="s">
        <v>1004</v>
      </c>
      <c r="C1125" s="5" t="s">
        <v>10</v>
      </c>
      <c r="D1125" s="5" t="s">
        <v>960</v>
      </c>
      <c r="E1125" s="5" t="s">
        <v>1013</v>
      </c>
      <c r="F1125" s="5" t="s">
        <v>13</v>
      </c>
      <c r="G1125" s="5" t="s">
        <v>14</v>
      </c>
      <c r="H1125" s="5"/>
      <c r="I1125" s="6">
        <v>380</v>
      </c>
    </row>
    <row r="1126" spans="1:9" x14ac:dyDescent="0.3">
      <c r="A1126" s="7" t="s">
        <v>1014</v>
      </c>
      <c r="H1126" s="8">
        <f>H1124+H1125</f>
        <v>380</v>
      </c>
      <c r="I1126" s="8">
        <f>I1124+I1125</f>
        <v>380</v>
      </c>
    </row>
    <row r="1127" spans="1:9" x14ac:dyDescent="0.3">
      <c r="A1127" s="4" t="s">
        <v>1015</v>
      </c>
    </row>
    <row r="1128" spans="1:9" x14ac:dyDescent="0.3">
      <c r="B1128" s="5" t="s">
        <v>1004</v>
      </c>
      <c r="C1128" s="5" t="s">
        <v>10</v>
      </c>
      <c r="D1128" s="5" t="s">
        <v>963</v>
      </c>
      <c r="E1128" s="5" t="s">
        <v>1016</v>
      </c>
      <c r="F1128" s="5" t="s">
        <v>335</v>
      </c>
      <c r="G1128" s="5" t="s">
        <v>336</v>
      </c>
      <c r="H1128" s="6">
        <v>2600</v>
      </c>
      <c r="I1128" s="5"/>
    </row>
    <row r="1129" spans="1:9" x14ac:dyDescent="0.3">
      <c r="B1129" s="5" t="s">
        <v>1004</v>
      </c>
      <c r="C1129" s="5" t="s">
        <v>10</v>
      </c>
      <c r="D1129" s="5" t="s">
        <v>963</v>
      </c>
      <c r="E1129" s="5" t="s">
        <v>1016</v>
      </c>
      <c r="F1129" s="5" t="s">
        <v>13</v>
      </c>
      <c r="G1129" s="5" t="s">
        <v>14</v>
      </c>
      <c r="H1129" s="5"/>
      <c r="I1129" s="6">
        <v>2600</v>
      </c>
    </row>
    <row r="1130" spans="1:9" x14ac:dyDescent="0.3">
      <c r="A1130" s="7" t="s">
        <v>1017</v>
      </c>
      <c r="H1130" s="8">
        <f>H1128+H1129</f>
        <v>2600</v>
      </c>
      <c r="I1130" s="8">
        <f>I1128+I1129</f>
        <v>2600</v>
      </c>
    </row>
    <row r="1131" spans="1:9" x14ac:dyDescent="0.3">
      <c r="A1131" s="4" t="s">
        <v>1018</v>
      </c>
    </row>
    <row r="1132" spans="1:9" x14ac:dyDescent="0.3">
      <c r="B1132" s="5" t="s">
        <v>1019</v>
      </c>
      <c r="C1132" s="5" t="s">
        <v>10</v>
      </c>
      <c r="D1132" s="5" t="s">
        <v>967</v>
      </c>
      <c r="E1132" s="5" t="s">
        <v>1020</v>
      </c>
      <c r="F1132" s="5" t="s">
        <v>441</v>
      </c>
      <c r="G1132" s="5" t="s">
        <v>442</v>
      </c>
      <c r="H1132" s="6">
        <v>3000</v>
      </c>
      <c r="I1132" s="5"/>
    </row>
    <row r="1133" spans="1:9" x14ac:dyDescent="0.3">
      <c r="B1133" s="5" t="s">
        <v>1019</v>
      </c>
      <c r="C1133" s="5" t="s">
        <v>10</v>
      </c>
      <c r="D1133" s="5" t="s">
        <v>967</v>
      </c>
      <c r="E1133" s="5" t="s">
        <v>1020</v>
      </c>
      <c r="F1133" s="5" t="s">
        <v>13</v>
      </c>
      <c r="G1133" s="5" t="s">
        <v>14</v>
      </c>
      <c r="H1133" s="5"/>
      <c r="I1133" s="6">
        <v>3000</v>
      </c>
    </row>
    <row r="1134" spans="1:9" x14ac:dyDescent="0.3">
      <c r="B1134" s="5" t="s">
        <v>1019</v>
      </c>
      <c r="C1134" s="5" t="s">
        <v>10</v>
      </c>
      <c r="D1134" s="5" t="s">
        <v>967</v>
      </c>
      <c r="E1134" s="5" t="s">
        <v>1021</v>
      </c>
      <c r="F1134" s="5" t="s">
        <v>1022</v>
      </c>
      <c r="G1134" s="5" t="s">
        <v>1023</v>
      </c>
      <c r="H1134" s="6">
        <v>50000</v>
      </c>
      <c r="I1134" s="5"/>
    </row>
    <row r="1135" spans="1:9" x14ac:dyDescent="0.3">
      <c r="B1135" s="5" t="s">
        <v>1019</v>
      </c>
      <c r="C1135" s="5" t="s">
        <v>10</v>
      </c>
      <c r="D1135" s="5" t="s">
        <v>967</v>
      </c>
      <c r="E1135" s="5" t="s">
        <v>1021</v>
      </c>
      <c r="F1135" s="5" t="s">
        <v>13</v>
      </c>
      <c r="G1135" s="5" t="s">
        <v>14</v>
      </c>
      <c r="H1135" s="5"/>
      <c r="I1135" s="6">
        <v>50000</v>
      </c>
    </row>
    <row r="1136" spans="1:9" x14ac:dyDescent="0.3">
      <c r="A1136" s="7" t="s">
        <v>1024</v>
      </c>
      <c r="H1136" s="8">
        <f>H1132+H1133+H1134+H1135</f>
        <v>53000</v>
      </c>
      <c r="I1136" s="8">
        <f>I1132+I1133+I1134+I1135</f>
        <v>53000</v>
      </c>
    </row>
    <row r="1137" spans="1:9" x14ac:dyDescent="0.3">
      <c r="A1137" s="4" t="s">
        <v>1025</v>
      </c>
    </row>
    <row r="1138" spans="1:9" x14ac:dyDescent="0.3">
      <c r="B1138" s="5" t="s">
        <v>1019</v>
      </c>
      <c r="C1138" s="5" t="s">
        <v>10</v>
      </c>
      <c r="D1138" s="5" t="s">
        <v>993</v>
      </c>
      <c r="E1138" s="5" t="s">
        <v>1026</v>
      </c>
      <c r="F1138" s="5" t="s">
        <v>61</v>
      </c>
      <c r="G1138" s="5" t="s">
        <v>62</v>
      </c>
      <c r="H1138" s="6">
        <v>250</v>
      </c>
      <c r="I1138" s="5"/>
    </row>
    <row r="1139" spans="1:9" x14ac:dyDescent="0.3">
      <c r="B1139" s="5" t="s">
        <v>1019</v>
      </c>
      <c r="C1139" s="5" t="s">
        <v>10</v>
      </c>
      <c r="D1139" s="5" t="s">
        <v>993</v>
      </c>
      <c r="E1139" s="5" t="s">
        <v>1026</v>
      </c>
      <c r="F1139" s="5" t="s">
        <v>13</v>
      </c>
      <c r="G1139" s="5" t="s">
        <v>14</v>
      </c>
      <c r="H1139" s="5"/>
      <c r="I1139" s="6">
        <v>250</v>
      </c>
    </row>
    <row r="1140" spans="1:9" x14ac:dyDescent="0.3">
      <c r="A1140" s="7" t="s">
        <v>1027</v>
      </c>
      <c r="H1140" s="8">
        <f>H1138+H1139</f>
        <v>250</v>
      </c>
      <c r="I1140" s="8">
        <f>I1138+I1139</f>
        <v>250</v>
      </c>
    </row>
    <row r="1141" spans="1:9" x14ac:dyDescent="0.3">
      <c r="A1141" s="4" t="s">
        <v>1028</v>
      </c>
    </row>
    <row r="1142" spans="1:9" x14ac:dyDescent="0.3">
      <c r="B1142" s="5" t="s">
        <v>1019</v>
      </c>
      <c r="C1142" s="5" t="s">
        <v>10</v>
      </c>
      <c r="D1142" s="5" t="s">
        <v>996</v>
      </c>
      <c r="E1142" s="5" t="s">
        <v>1029</v>
      </c>
      <c r="F1142" s="5" t="s">
        <v>145</v>
      </c>
      <c r="G1142" s="5" t="s">
        <v>146</v>
      </c>
      <c r="H1142" s="6">
        <v>2250</v>
      </c>
      <c r="I1142" s="5"/>
    </row>
    <row r="1143" spans="1:9" x14ac:dyDescent="0.3">
      <c r="B1143" s="5" t="s">
        <v>1019</v>
      </c>
      <c r="C1143" s="5" t="s">
        <v>10</v>
      </c>
      <c r="D1143" s="5" t="s">
        <v>996</v>
      </c>
      <c r="E1143" s="5" t="s">
        <v>276</v>
      </c>
      <c r="F1143" s="5" t="s">
        <v>35</v>
      </c>
      <c r="G1143" s="5" t="s">
        <v>36</v>
      </c>
      <c r="H1143" s="6">
        <v>550</v>
      </c>
      <c r="I1143" s="5"/>
    </row>
    <row r="1144" spans="1:9" x14ac:dyDescent="0.3">
      <c r="B1144" s="5" t="s">
        <v>1019</v>
      </c>
      <c r="C1144" s="5" t="s">
        <v>10</v>
      </c>
      <c r="D1144" s="5" t="s">
        <v>996</v>
      </c>
      <c r="E1144" s="5" t="s">
        <v>1030</v>
      </c>
      <c r="F1144" s="5" t="s">
        <v>67</v>
      </c>
      <c r="G1144" s="5" t="s">
        <v>68</v>
      </c>
      <c r="H1144" s="6">
        <v>50</v>
      </c>
      <c r="I1144" s="5"/>
    </row>
    <row r="1145" spans="1:9" x14ac:dyDescent="0.3">
      <c r="B1145" s="5" t="s">
        <v>1019</v>
      </c>
      <c r="C1145" s="5" t="s">
        <v>10</v>
      </c>
      <c r="D1145" s="5" t="s">
        <v>996</v>
      </c>
      <c r="E1145" s="5" t="s">
        <v>1031</v>
      </c>
      <c r="F1145" s="5" t="s">
        <v>13</v>
      </c>
      <c r="G1145" s="5" t="s">
        <v>14</v>
      </c>
      <c r="H1145" s="5"/>
      <c r="I1145" s="6">
        <v>2850</v>
      </c>
    </row>
    <row r="1146" spans="1:9" x14ac:dyDescent="0.3">
      <c r="A1146" s="7" t="s">
        <v>1032</v>
      </c>
      <c r="H1146" s="8">
        <f>H1142+H1143+H1144+H1145</f>
        <v>2850</v>
      </c>
      <c r="I1146" s="8">
        <f>I1142+I1143+I1144+I1145</f>
        <v>2850</v>
      </c>
    </row>
    <row r="1147" spans="1:9" x14ac:dyDescent="0.3">
      <c r="A1147" s="4" t="s">
        <v>1033</v>
      </c>
    </row>
    <row r="1148" spans="1:9" x14ac:dyDescent="0.3">
      <c r="B1148" s="5" t="s">
        <v>1019</v>
      </c>
      <c r="C1148" s="5" t="s">
        <v>10</v>
      </c>
      <c r="D1148" s="5" t="s">
        <v>999</v>
      </c>
      <c r="E1148" s="5" t="s">
        <v>1034</v>
      </c>
      <c r="F1148" s="5" t="s">
        <v>70</v>
      </c>
      <c r="G1148" s="5" t="s">
        <v>71</v>
      </c>
      <c r="H1148" s="6">
        <v>150</v>
      </c>
      <c r="I1148" s="5"/>
    </row>
    <row r="1149" spans="1:9" x14ac:dyDescent="0.3">
      <c r="B1149" s="5" t="s">
        <v>1019</v>
      </c>
      <c r="C1149" s="5" t="s">
        <v>10</v>
      </c>
      <c r="D1149" s="5" t="s">
        <v>999</v>
      </c>
      <c r="E1149" s="5" t="s">
        <v>1035</v>
      </c>
      <c r="F1149" s="5" t="s">
        <v>61</v>
      </c>
      <c r="G1149" s="5" t="s">
        <v>62</v>
      </c>
      <c r="H1149" s="6">
        <v>320</v>
      </c>
      <c r="I1149" s="5"/>
    </row>
    <row r="1150" spans="1:9" x14ac:dyDescent="0.3">
      <c r="B1150" s="5" t="s">
        <v>1019</v>
      </c>
      <c r="C1150" s="5" t="s">
        <v>10</v>
      </c>
      <c r="D1150" s="5" t="s">
        <v>999</v>
      </c>
      <c r="E1150" s="5" t="s">
        <v>1036</v>
      </c>
      <c r="F1150" s="5" t="s">
        <v>13</v>
      </c>
      <c r="G1150" s="5" t="s">
        <v>14</v>
      </c>
      <c r="H1150" s="5"/>
      <c r="I1150" s="6">
        <v>470</v>
      </c>
    </row>
    <row r="1151" spans="1:9" x14ac:dyDescent="0.3">
      <c r="B1151" s="5" t="s">
        <v>1019</v>
      </c>
      <c r="C1151" s="5" t="s">
        <v>10</v>
      </c>
      <c r="D1151" s="5" t="s">
        <v>999</v>
      </c>
      <c r="E1151" s="5" t="s">
        <v>1037</v>
      </c>
      <c r="F1151" s="5" t="s">
        <v>23</v>
      </c>
      <c r="G1151" s="5" t="s">
        <v>24</v>
      </c>
      <c r="H1151" s="6">
        <v>33000</v>
      </c>
      <c r="I1151" s="5"/>
    </row>
    <row r="1152" spans="1:9" x14ac:dyDescent="0.3">
      <c r="B1152" s="5" t="s">
        <v>1019</v>
      </c>
      <c r="C1152" s="5" t="s">
        <v>10</v>
      </c>
      <c r="D1152" s="5" t="s">
        <v>999</v>
      </c>
      <c r="E1152" s="5" t="s">
        <v>1038</v>
      </c>
      <c r="F1152" s="5" t="s">
        <v>29</v>
      </c>
      <c r="G1152" s="5" t="s">
        <v>30</v>
      </c>
      <c r="H1152" s="5"/>
      <c r="I1152" s="6">
        <v>3000</v>
      </c>
    </row>
    <row r="1153" spans="1:9" x14ac:dyDescent="0.3">
      <c r="B1153" s="5" t="s">
        <v>1019</v>
      </c>
      <c r="C1153" s="5" t="s">
        <v>10</v>
      </c>
      <c r="D1153" s="5" t="s">
        <v>999</v>
      </c>
      <c r="E1153" s="5" t="s">
        <v>1037</v>
      </c>
      <c r="F1153" s="5" t="s">
        <v>26</v>
      </c>
      <c r="G1153" s="5" t="s">
        <v>27</v>
      </c>
      <c r="H1153" s="5"/>
      <c r="I1153" s="6">
        <v>30000</v>
      </c>
    </row>
    <row r="1154" spans="1:9" x14ac:dyDescent="0.3">
      <c r="A1154" s="7" t="s">
        <v>1039</v>
      </c>
      <c r="H1154" s="8">
        <f>H1148+H1149+H1150+H1151+H1152+H1153</f>
        <v>33470</v>
      </c>
      <c r="I1154" s="8">
        <f>I1148+I1149+I1150+I1151+I1152+I1153</f>
        <v>33470</v>
      </c>
    </row>
    <row r="1155" spans="1:9" x14ac:dyDescent="0.3">
      <c r="A1155" s="4" t="s">
        <v>1040</v>
      </c>
    </row>
    <row r="1156" spans="1:9" x14ac:dyDescent="0.3">
      <c r="B1156" s="5" t="s">
        <v>1041</v>
      </c>
      <c r="C1156" s="5" t="s">
        <v>10</v>
      </c>
      <c r="D1156" s="5" t="s">
        <v>1001</v>
      </c>
      <c r="E1156" s="5" t="s">
        <v>1042</v>
      </c>
      <c r="F1156" s="5" t="s">
        <v>35</v>
      </c>
      <c r="G1156" s="5" t="s">
        <v>36</v>
      </c>
      <c r="H1156" s="6">
        <v>2210</v>
      </c>
      <c r="I1156" s="5"/>
    </row>
    <row r="1157" spans="1:9" x14ac:dyDescent="0.3">
      <c r="B1157" s="5" t="s">
        <v>1041</v>
      </c>
      <c r="C1157" s="5" t="s">
        <v>10</v>
      </c>
      <c r="D1157" s="5" t="s">
        <v>1001</v>
      </c>
      <c r="E1157" s="5" t="s">
        <v>1042</v>
      </c>
      <c r="F1157" s="5" t="s">
        <v>13</v>
      </c>
      <c r="G1157" s="5" t="s">
        <v>14</v>
      </c>
      <c r="H1157" s="5"/>
      <c r="I1157" s="6">
        <v>2210</v>
      </c>
    </row>
    <row r="1158" spans="1:9" x14ac:dyDescent="0.3">
      <c r="A1158" s="7" t="s">
        <v>1043</v>
      </c>
      <c r="H1158" s="8">
        <f>H1156+H1157</f>
        <v>2210</v>
      </c>
      <c r="I1158" s="8">
        <f>I1156+I1157</f>
        <v>2210</v>
      </c>
    </row>
    <row r="1159" spans="1:9" x14ac:dyDescent="0.3">
      <c r="A1159" s="4" t="s">
        <v>1044</v>
      </c>
    </row>
    <row r="1160" spans="1:9" x14ac:dyDescent="0.3">
      <c r="B1160" s="5" t="s">
        <v>1041</v>
      </c>
      <c r="C1160" s="5" t="s">
        <v>10</v>
      </c>
      <c r="D1160" s="5" t="s">
        <v>1003</v>
      </c>
      <c r="E1160" s="5" t="s">
        <v>1045</v>
      </c>
      <c r="F1160" s="5" t="s">
        <v>61</v>
      </c>
      <c r="G1160" s="5" t="s">
        <v>62</v>
      </c>
      <c r="H1160" s="6">
        <v>1410</v>
      </c>
      <c r="I1160" s="5"/>
    </row>
    <row r="1161" spans="1:9" x14ac:dyDescent="0.3">
      <c r="B1161" s="5" t="s">
        <v>1041</v>
      </c>
      <c r="C1161" s="5" t="s">
        <v>10</v>
      </c>
      <c r="D1161" s="5" t="s">
        <v>1003</v>
      </c>
      <c r="E1161" s="5" t="s">
        <v>1045</v>
      </c>
      <c r="F1161" s="5" t="s">
        <v>13</v>
      </c>
      <c r="G1161" s="5" t="s">
        <v>14</v>
      </c>
      <c r="H1161" s="5"/>
      <c r="I1161" s="6">
        <v>1410</v>
      </c>
    </row>
    <row r="1162" spans="1:9" x14ac:dyDescent="0.3">
      <c r="A1162" s="7" t="s">
        <v>1046</v>
      </c>
      <c r="H1162" s="8">
        <f>H1160+H1161</f>
        <v>1410</v>
      </c>
      <c r="I1162" s="8">
        <f>I1160+I1161</f>
        <v>1410</v>
      </c>
    </row>
    <row r="1163" spans="1:9" x14ac:dyDescent="0.3">
      <c r="A1163" s="4" t="s">
        <v>1047</v>
      </c>
    </row>
    <row r="1164" spans="1:9" x14ac:dyDescent="0.3">
      <c r="B1164" s="5" t="s">
        <v>1041</v>
      </c>
      <c r="C1164" s="5" t="s">
        <v>10</v>
      </c>
      <c r="D1164" s="5" t="s">
        <v>1007</v>
      </c>
      <c r="E1164" s="5" t="s">
        <v>1048</v>
      </c>
      <c r="F1164" s="5" t="s">
        <v>218</v>
      </c>
      <c r="G1164" s="5" t="s">
        <v>219</v>
      </c>
      <c r="H1164" s="6">
        <v>500</v>
      </c>
      <c r="I1164" s="5"/>
    </row>
    <row r="1165" spans="1:9" x14ac:dyDescent="0.3">
      <c r="B1165" s="5" t="s">
        <v>1041</v>
      </c>
      <c r="C1165" s="5" t="s">
        <v>10</v>
      </c>
      <c r="D1165" s="5" t="s">
        <v>1007</v>
      </c>
      <c r="E1165" s="5" t="s">
        <v>1048</v>
      </c>
      <c r="F1165" s="5" t="s">
        <v>13</v>
      </c>
      <c r="G1165" s="5" t="s">
        <v>14</v>
      </c>
      <c r="H1165" s="5"/>
      <c r="I1165" s="6">
        <v>500</v>
      </c>
    </row>
    <row r="1166" spans="1:9" x14ac:dyDescent="0.3">
      <c r="A1166" s="7" t="s">
        <v>1049</v>
      </c>
      <c r="H1166" s="8">
        <f>H1164+H1165</f>
        <v>500</v>
      </c>
      <c r="I1166" s="8">
        <f>I1164+I1165</f>
        <v>500</v>
      </c>
    </row>
    <row r="1167" spans="1:9" x14ac:dyDescent="0.3">
      <c r="A1167" s="4" t="s">
        <v>1050</v>
      </c>
    </row>
    <row r="1168" spans="1:9" x14ac:dyDescent="0.3">
      <c r="B1168" s="5" t="s">
        <v>1051</v>
      </c>
      <c r="C1168" s="5" t="s">
        <v>10</v>
      </c>
      <c r="D1168" s="5" t="s">
        <v>1009</v>
      </c>
      <c r="E1168" s="5" t="s">
        <v>1052</v>
      </c>
      <c r="F1168" s="5" t="s">
        <v>61</v>
      </c>
      <c r="G1168" s="5" t="s">
        <v>62</v>
      </c>
      <c r="H1168" s="6">
        <v>150</v>
      </c>
      <c r="I1168" s="5"/>
    </row>
    <row r="1169" spans="1:9" x14ac:dyDescent="0.3">
      <c r="B1169" s="5" t="s">
        <v>1051</v>
      </c>
      <c r="C1169" s="5" t="s">
        <v>10</v>
      </c>
      <c r="D1169" s="5" t="s">
        <v>1009</v>
      </c>
      <c r="E1169" s="5" t="s">
        <v>1052</v>
      </c>
      <c r="F1169" s="5" t="s">
        <v>13</v>
      </c>
      <c r="G1169" s="5" t="s">
        <v>14</v>
      </c>
      <c r="H1169" s="5"/>
      <c r="I1169" s="6">
        <v>150</v>
      </c>
    </row>
    <row r="1170" spans="1:9" x14ac:dyDescent="0.3">
      <c r="A1170" s="7" t="s">
        <v>1053</v>
      </c>
      <c r="H1170" s="8">
        <f>H1168+H1169</f>
        <v>150</v>
      </c>
      <c r="I1170" s="8">
        <f>I1168+I1169</f>
        <v>150</v>
      </c>
    </row>
    <row r="1171" spans="1:9" x14ac:dyDescent="0.3">
      <c r="A1171" s="4" t="s">
        <v>1054</v>
      </c>
    </row>
    <row r="1172" spans="1:9" x14ac:dyDescent="0.3">
      <c r="B1172" s="5" t="s">
        <v>1051</v>
      </c>
      <c r="C1172" s="5" t="s">
        <v>10</v>
      </c>
      <c r="D1172" s="5" t="s">
        <v>1012</v>
      </c>
      <c r="E1172" s="5" t="s">
        <v>1055</v>
      </c>
      <c r="F1172" s="5" t="s">
        <v>61</v>
      </c>
      <c r="G1172" s="5" t="s">
        <v>62</v>
      </c>
      <c r="H1172" s="6">
        <v>130</v>
      </c>
      <c r="I1172" s="5"/>
    </row>
    <row r="1173" spans="1:9" x14ac:dyDescent="0.3">
      <c r="B1173" s="5" t="s">
        <v>1051</v>
      </c>
      <c r="C1173" s="5" t="s">
        <v>10</v>
      </c>
      <c r="D1173" s="5" t="s">
        <v>1012</v>
      </c>
      <c r="E1173" s="5" t="s">
        <v>1055</v>
      </c>
      <c r="F1173" s="5" t="s">
        <v>13</v>
      </c>
      <c r="G1173" s="5" t="s">
        <v>14</v>
      </c>
      <c r="H1173" s="5"/>
      <c r="I1173" s="6">
        <v>130</v>
      </c>
    </row>
    <row r="1174" spans="1:9" x14ac:dyDescent="0.3">
      <c r="A1174" s="7" t="s">
        <v>1056</v>
      </c>
      <c r="H1174" s="8">
        <f>H1172+H1173</f>
        <v>130</v>
      </c>
      <c r="I1174" s="8">
        <f>I1172+I1173</f>
        <v>130</v>
      </c>
    </row>
    <row r="1175" spans="1:9" x14ac:dyDescent="0.3">
      <c r="A1175" s="4" t="s">
        <v>1057</v>
      </c>
    </row>
    <row r="1176" spans="1:9" x14ac:dyDescent="0.3">
      <c r="B1176" s="5" t="s">
        <v>1051</v>
      </c>
      <c r="C1176" s="5" t="s">
        <v>10</v>
      </c>
      <c r="D1176" s="5" t="s">
        <v>1015</v>
      </c>
      <c r="E1176" s="5" t="s">
        <v>1058</v>
      </c>
      <c r="F1176" s="5" t="s">
        <v>87</v>
      </c>
      <c r="G1176" s="5" t="s">
        <v>88</v>
      </c>
      <c r="H1176" s="6">
        <v>1300</v>
      </c>
      <c r="I1176" s="5"/>
    </row>
    <row r="1177" spans="1:9" x14ac:dyDescent="0.3">
      <c r="B1177" s="5" t="s">
        <v>1051</v>
      </c>
      <c r="C1177" s="5" t="s">
        <v>10</v>
      </c>
      <c r="D1177" s="5" t="s">
        <v>1015</v>
      </c>
      <c r="E1177" s="5" t="s">
        <v>1058</v>
      </c>
      <c r="F1177" s="5" t="s">
        <v>13</v>
      </c>
      <c r="G1177" s="5" t="s">
        <v>14</v>
      </c>
      <c r="H1177" s="5"/>
      <c r="I1177" s="6">
        <v>1300</v>
      </c>
    </row>
    <row r="1178" spans="1:9" x14ac:dyDescent="0.3">
      <c r="A1178" s="7" t="s">
        <v>1059</v>
      </c>
      <c r="H1178" s="8">
        <f>H1176+H1177</f>
        <v>1300</v>
      </c>
      <c r="I1178" s="8">
        <f>I1176+I1177</f>
        <v>1300</v>
      </c>
    </row>
    <row r="1179" spans="1:9" x14ac:dyDescent="0.3">
      <c r="A1179" s="4" t="s">
        <v>1060</v>
      </c>
    </row>
    <row r="1180" spans="1:9" x14ac:dyDescent="0.3">
      <c r="B1180" s="5" t="s">
        <v>1061</v>
      </c>
      <c r="C1180" s="5" t="s">
        <v>10</v>
      </c>
      <c r="D1180" s="5" t="s">
        <v>1018</v>
      </c>
      <c r="E1180" s="5" t="s">
        <v>1062</v>
      </c>
      <c r="F1180" s="5" t="s">
        <v>64</v>
      </c>
      <c r="G1180" s="5" t="s">
        <v>65</v>
      </c>
      <c r="H1180" s="6">
        <v>600</v>
      </c>
      <c r="I1180" s="5"/>
    </row>
    <row r="1181" spans="1:9" x14ac:dyDescent="0.3">
      <c r="B1181" s="5" t="s">
        <v>1061</v>
      </c>
      <c r="C1181" s="5" t="s">
        <v>10</v>
      </c>
      <c r="D1181" s="5" t="s">
        <v>1018</v>
      </c>
      <c r="E1181" s="5" t="s">
        <v>1062</v>
      </c>
      <c r="F1181" s="5" t="s">
        <v>13</v>
      </c>
      <c r="G1181" s="5" t="s">
        <v>14</v>
      </c>
      <c r="H1181" s="5"/>
      <c r="I1181" s="6">
        <v>600</v>
      </c>
    </row>
    <row r="1182" spans="1:9" x14ac:dyDescent="0.3">
      <c r="A1182" s="7" t="s">
        <v>1063</v>
      </c>
      <c r="H1182" s="8">
        <f>H1180+H1181</f>
        <v>600</v>
      </c>
      <c r="I1182" s="8">
        <f>I1180+I1181</f>
        <v>600</v>
      </c>
    </row>
    <row r="1183" spans="1:9" x14ac:dyDescent="0.3">
      <c r="A1183" s="4" t="s">
        <v>1064</v>
      </c>
    </row>
    <row r="1184" spans="1:9" x14ac:dyDescent="0.3">
      <c r="B1184" s="5" t="s">
        <v>1061</v>
      </c>
      <c r="C1184" s="5" t="s">
        <v>10</v>
      </c>
      <c r="D1184" s="5" t="s">
        <v>1025</v>
      </c>
      <c r="E1184" s="5" t="s">
        <v>1065</v>
      </c>
      <c r="F1184" s="5" t="s">
        <v>116</v>
      </c>
      <c r="G1184" s="5" t="s">
        <v>117</v>
      </c>
      <c r="H1184" s="6">
        <v>500</v>
      </c>
      <c r="I1184" s="5"/>
    </row>
    <row r="1185" spans="1:9" x14ac:dyDescent="0.3">
      <c r="B1185" s="5" t="s">
        <v>1061</v>
      </c>
      <c r="C1185" s="5" t="s">
        <v>10</v>
      </c>
      <c r="D1185" s="5" t="s">
        <v>1025</v>
      </c>
      <c r="E1185" s="5" t="s">
        <v>1065</v>
      </c>
      <c r="F1185" s="5" t="s">
        <v>13</v>
      </c>
      <c r="G1185" s="5" t="s">
        <v>14</v>
      </c>
      <c r="H1185" s="5"/>
      <c r="I1185" s="6">
        <v>500</v>
      </c>
    </row>
    <row r="1186" spans="1:9" x14ac:dyDescent="0.3">
      <c r="A1186" s="7" t="s">
        <v>1066</v>
      </c>
      <c r="H1186" s="8">
        <f>H1184+H1185</f>
        <v>500</v>
      </c>
      <c r="I1186" s="8">
        <f>I1184+I1185</f>
        <v>500</v>
      </c>
    </row>
    <row r="1187" spans="1:9" x14ac:dyDescent="0.3">
      <c r="A1187" s="4" t="s">
        <v>1067</v>
      </c>
    </row>
    <row r="1188" spans="1:9" x14ac:dyDescent="0.3">
      <c r="B1188" s="5" t="s">
        <v>1068</v>
      </c>
      <c r="C1188" s="5" t="s">
        <v>10</v>
      </c>
      <c r="D1188" s="5" t="s">
        <v>1028</v>
      </c>
      <c r="E1188" s="5" t="s">
        <v>1065</v>
      </c>
      <c r="F1188" s="5" t="s">
        <v>58</v>
      </c>
      <c r="G1188" s="5" t="s">
        <v>59</v>
      </c>
      <c r="H1188" s="6">
        <v>800</v>
      </c>
      <c r="I1188" s="5"/>
    </row>
    <row r="1189" spans="1:9" x14ac:dyDescent="0.3">
      <c r="B1189" s="5" t="s">
        <v>1068</v>
      </c>
      <c r="C1189" s="5" t="s">
        <v>10</v>
      </c>
      <c r="D1189" s="5" t="s">
        <v>1028</v>
      </c>
      <c r="E1189" s="5" t="s">
        <v>1065</v>
      </c>
      <c r="F1189" s="5" t="s">
        <v>13</v>
      </c>
      <c r="G1189" s="5" t="s">
        <v>14</v>
      </c>
      <c r="H1189" s="5"/>
      <c r="I1189" s="6">
        <v>800</v>
      </c>
    </row>
    <row r="1190" spans="1:9" x14ac:dyDescent="0.3">
      <c r="A1190" s="7" t="s">
        <v>1069</v>
      </c>
      <c r="H1190" s="8">
        <f>H1188+H1189</f>
        <v>800</v>
      </c>
      <c r="I1190" s="8">
        <f>I1188+I1189</f>
        <v>800</v>
      </c>
    </row>
    <row r="1191" spans="1:9" x14ac:dyDescent="0.3">
      <c r="A1191" s="4" t="s">
        <v>1070</v>
      </c>
    </row>
    <row r="1192" spans="1:9" x14ac:dyDescent="0.3">
      <c r="B1192" s="5" t="s">
        <v>1068</v>
      </c>
      <c r="C1192" s="5" t="s">
        <v>10</v>
      </c>
      <c r="D1192" s="5" t="s">
        <v>1033</v>
      </c>
      <c r="E1192" s="5" t="s">
        <v>1071</v>
      </c>
      <c r="F1192" s="5" t="s">
        <v>61</v>
      </c>
      <c r="G1192" s="5" t="s">
        <v>62</v>
      </c>
      <c r="H1192" s="6">
        <v>2240</v>
      </c>
      <c r="I1192" s="5"/>
    </row>
    <row r="1193" spans="1:9" x14ac:dyDescent="0.3">
      <c r="B1193" s="5" t="s">
        <v>1068</v>
      </c>
      <c r="C1193" s="5" t="s">
        <v>10</v>
      </c>
      <c r="D1193" s="5" t="s">
        <v>1033</v>
      </c>
      <c r="E1193" s="5" t="s">
        <v>1071</v>
      </c>
      <c r="F1193" s="5" t="s">
        <v>13</v>
      </c>
      <c r="G1193" s="5" t="s">
        <v>14</v>
      </c>
      <c r="H1193" s="5"/>
      <c r="I1193" s="6">
        <v>2240</v>
      </c>
    </row>
    <row r="1194" spans="1:9" x14ac:dyDescent="0.3">
      <c r="A1194" s="7" t="s">
        <v>1072</v>
      </c>
      <c r="H1194" s="8">
        <f>H1192+H1193</f>
        <v>2240</v>
      </c>
      <c r="I1194" s="8">
        <f>I1192+I1193</f>
        <v>2240</v>
      </c>
    </row>
    <row r="1195" spans="1:9" x14ac:dyDescent="0.3">
      <c r="A1195" s="4" t="s">
        <v>1073</v>
      </c>
    </row>
    <row r="1196" spans="1:9" x14ac:dyDescent="0.3">
      <c r="B1196" s="5" t="s">
        <v>1068</v>
      </c>
      <c r="C1196" s="5" t="s">
        <v>10</v>
      </c>
      <c r="D1196" s="5" t="s">
        <v>1040</v>
      </c>
      <c r="E1196" s="5" t="s">
        <v>125</v>
      </c>
      <c r="F1196" s="5" t="s">
        <v>61</v>
      </c>
      <c r="G1196" s="5" t="s">
        <v>62</v>
      </c>
      <c r="H1196" s="6">
        <v>400</v>
      </c>
      <c r="I1196" s="5"/>
    </row>
    <row r="1197" spans="1:9" x14ac:dyDescent="0.3">
      <c r="B1197" s="5" t="s">
        <v>1068</v>
      </c>
      <c r="C1197" s="5" t="s">
        <v>10</v>
      </c>
      <c r="D1197" s="5" t="s">
        <v>1040</v>
      </c>
      <c r="E1197" s="5" t="s">
        <v>125</v>
      </c>
      <c r="F1197" s="5" t="s">
        <v>13</v>
      </c>
      <c r="G1197" s="5" t="s">
        <v>14</v>
      </c>
      <c r="H1197" s="5"/>
      <c r="I1197" s="6">
        <v>400</v>
      </c>
    </row>
    <row r="1198" spans="1:9" x14ac:dyDescent="0.3">
      <c r="A1198" s="7" t="s">
        <v>1074</v>
      </c>
      <c r="H1198" s="8">
        <f>H1196+H1197</f>
        <v>400</v>
      </c>
      <c r="I1198" s="8">
        <f>I1196+I1197</f>
        <v>400</v>
      </c>
    </row>
    <row r="1199" spans="1:9" x14ac:dyDescent="0.3">
      <c r="A1199" s="4" t="s">
        <v>1075</v>
      </c>
    </row>
    <row r="1200" spans="1:9" x14ac:dyDescent="0.3">
      <c r="B1200" s="5" t="s">
        <v>1068</v>
      </c>
      <c r="C1200" s="5" t="s">
        <v>10</v>
      </c>
      <c r="D1200" s="5" t="s">
        <v>1044</v>
      </c>
      <c r="E1200" s="5" t="s">
        <v>1076</v>
      </c>
      <c r="F1200" s="5" t="s">
        <v>61</v>
      </c>
      <c r="G1200" s="5" t="s">
        <v>62</v>
      </c>
      <c r="H1200" s="6">
        <v>630</v>
      </c>
      <c r="I1200" s="5"/>
    </row>
    <row r="1201" spans="1:9" x14ac:dyDescent="0.3">
      <c r="B1201" s="5" t="s">
        <v>1068</v>
      </c>
      <c r="C1201" s="5" t="s">
        <v>10</v>
      </c>
      <c r="D1201" s="5" t="s">
        <v>1044</v>
      </c>
      <c r="E1201" s="5" t="s">
        <v>1076</v>
      </c>
      <c r="F1201" s="5" t="s">
        <v>13</v>
      </c>
      <c r="G1201" s="5" t="s">
        <v>14</v>
      </c>
      <c r="H1201" s="5"/>
      <c r="I1201" s="6">
        <v>630</v>
      </c>
    </row>
    <row r="1202" spans="1:9" x14ac:dyDescent="0.3">
      <c r="A1202" s="7" t="s">
        <v>1077</v>
      </c>
      <c r="H1202" s="8">
        <f>H1200+H1201</f>
        <v>630</v>
      </c>
      <c r="I1202" s="8">
        <f>I1200+I1201</f>
        <v>630</v>
      </c>
    </row>
    <row r="1203" spans="1:9" x14ac:dyDescent="0.3">
      <c r="A1203" s="4" t="s">
        <v>1078</v>
      </c>
    </row>
    <row r="1204" spans="1:9" x14ac:dyDescent="0.3">
      <c r="B1204" s="5" t="s">
        <v>1068</v>
      </c>
      <c r="C1204" s="5" t="s">
        <v>10</v>
      </c>
      <c r="D1204" s="5" t="s">
        <v>1047</v>
      </c>
      <c r="E1204" s="5" t="s">
        <v>1079</v>
      </c>
      <c r="F1204" s="5" t="s">
        <v>67</v>
      </c>
      <c r="G1204" s="5" t="s">
        <v>68</v>
      </c>
      <c r="H1204" s="6">
        <v>40</v>
      </c>
      <c r="I1204" s="5"/>
    </row>
    <row r="1205" spans="1:9" x14ac:dyDescent="0.3">
      <c r="B1205" s="5" t="s">
        <v>1068</v>
      </c>
      <c r="C1205" s="5" t="s">
        <v>10</v>
      </c>
      <c r="D1205" s="5" t="s">
        <v>1047</v>
      </c>
      <c r="E1205" s="5" t="s">
        <v>1079</v>
      </c>
      <c r="F1205" s="5" t="s">
        <v>13</v>
      </c>
      <c r="G1205" s="5" t="s">
        <v>14</v>
      </c>
      <c r="H1205" s="5"/>
      <c r="I1205" s="6">
        <v>40</v>
      </c>
    </row>
    <row r="1206" spans="1:9" x14ac:dyDescent="0.3">
      <c r="A1206" s="7" t="s">
        <v>1080</v>
      </c>
      <c r="H1206" s="8">
        <f>H1204+H1205</f>
        <v>40</v>
      </c>
      <c r="I1206" s="8">
        <f>I1204+I1205</f>
        <v>40</v>
      </c>
    </row>
    <row r="1207" spans="1:9" x14ac:dyDescent="0.3">
      <c r="A1207" s="4" t="s">
        <v>1081</v>
      </c>
    </row>
    <row r="1208" spans="1:9" x14ac:dyDescent="0.3">
      <c r="B1208" s="5" t="s">
        <v>1082</v>
      </c>
      <c r="C1208" s="5" t="s">
        <v>10</v>
      </c>
      <c r="D1208" s="5" t="s">
        <v>1050</v>
      </c>
      <c r="E1208" s="5" t="s">
        <v>1083</v>
      </c>
      <c r="F1208" s="5" t="s">
        <v>67</v>
      </c>
      <c r="G1208" s="5" t="s">
        <v>68</v>
      </c>
      <c r="H1208" s="6">
        <v>50</v>
      </c>
      <c r="I1208" s="5"/>
    </row>
    <row r="1209" spans="1:9" x14ac:dyDescent="0.3">
      <c r="B1209" s="5" t="s">
        <v>1082</v>
      </c>
      <c r="C1209" s="5" t="s">
        <v>10</v>
      </c>
      <c r="D1209" s="5" t="s">
        <v>1050</v>
      </c>
      <c r="E1209" s="5" t="s">
        <v>1083</v>
      </c>
      <c r="F1209" s="5" t="s">
        <v>13</v>
      </c>
      <c r="G1209" s="5" t="s">
        <v>14</v>
      </c>
      <c r="H1209" s="5"/>
      <c r="I1209" s="6">
        <v>50</v>
      </c>
    </row>
    <row r="1210" spans="1:9" x14ac:dyDescent="0.3">
      <c r="A1210" s="7" t="s">
        <v>1084</v>
      </c>
      <c r="H1210" s="8">
        <f>H1208+H1209</f>
        <v>50</v>
      </c>
      <c r="I1210" s="8">
        <f>I1208+I1209</f>
        <v>50</v>
      </c>
    </row>
    <row r="1211" spans="1:9" x14ac:dyDescent="0.3">
      <c r="A1211" s="4" t="s">
        <v>1085</v>
      </c>
    </row>
    <row r="1212" spans="1:9" x14ac:dyDescent="0.3">
      <c r="B1212" s="5" t="s">
        <v>1082</v>
      </c>
      <c r="C1212" s="5" t="s">
        <v>10</v>
      </c>
      <c r="D1212" s="5" t="s">
        <v>1054</v>
      </c>
      <c r="E1212" s="5" t="s">
        <v>1086</v>
      </c>
      <c r="F1212" s="5" t="s">
        <v>113</v>
      </c>
      <c r="G1212" s="5" t="s">
        <v>114</v>
      </c>
      <c r="H1212" s="6">
        <v>500</v>
      </c>
      <c r="I1212" s="5"/>
    </row>
    <row r="1213" spans="1:9" x14ac:dyDescent="0.3">
      <c r="B1213" s="5" t="s">
        <v>1082</v>
      </c>
      <c r="C1213" s="5" t="s">
        <v>10</v>
      </c>
      <c r="D1213" s="5" t="s">
        <v>1054</v>
      </c>
      <c r="E1213" s="5" t="s">
        <v>1086</v>
      </c>
      <c r="F1213" s="5" t="s">
        <v>13</v>
      </c>
      <c r="G1213" s="5" t="s">
        <v>14</v>
      </c>
      <c r="H1213" s="5"/>
      <c r="I1213" s="6">
        <v>500</v>
      </c>
    </row>
    <row r="1214" spans="1:9" x14ac:dyDescent="0.3">
      <c r="A1214" s="7" t="s">
        <v>1087</v>
      </c>
      <c r="H1214" s="8">
        <f>H1212+H1213</f>
        <v>500</v>
      </c>
      <c r="I1214" s="8">
        <f>I1212+I1213</f>
        <v>500</v>
      </c>
    </row>
    <row r="1215" spans="1:9" x14ac:dyDescent="0.3">
      <c r="A1215" s="4" t="s">
        <v>1088</v>
      </c>
    </row>
    <row r="1216" spans="1:9" x14ac:dyDescent="0.3">
      <c r="B1216" s="5" t="s">
        <v>1082</v>
      </c>
      <c r="C1216" s="5" t="s">
        <v>10</v>
      </c>
      <c r="D1216" s="5" t="s">
        <v>1057</v>
      </c>
      <c r="E1216" s="5" t="s">
        <v>170</v>
      </c>
      <c r="F1216" s="5" t="s">
        <v>61</v>
      </c>
      <c r="G1216" s="5" t="s">
        <v>62</v>
      </c>
      <c r="H1216" s="6">
        <v>210</v>
      </c>
      <c r="I1216" s="5"/>
    </row>
    <row r="1217" spans="1:9" x14ac:dyDescent="0.3">
      <c r="B1217" s="5" t="s">
        <v>1082</v>
      </c>
      <c r="C1217" s="5" t="s">
        <v>10</v>
      </c>
      <c r="D1217" s="5" t="s">
        <v>1057</v>
      </c>
      <c r="E1217" s="5" t="s">
        <v>170</v>
      </c>
      <c r="F1217" s="5" t="s">
        <v>13</v>
      </c>
      <c r="G1217" s="5" t="s">
        <v>14</v>
      </c>
      <c r="H1217" s="5"/>
      <c r="I1217" s="6">
        <v>210</v>
      </c>
    </row>
    <row r="1218" spans="1:9" x14ac:dyDescent="0.3">
      <c r="A1218" s="7" t="s">
        <v>1089</v>
      </c>
      <c r="H1218" s="8">
        <f>H1216+H1217</f>
        <v>210</v>
      </c>
      <c r="I1218" s="8">
        <f>I1216+I1217</f>
        <v>210</v>
      </c>
    </row>
    <row r="1219" spans="1:9" x14ac:dyDescent="0.3">
      <c r="A1219" s="4" t="s">
        <v>1090</v>
      </c>
    </row>
    <row r="1220" spans="1:9" x14ac:dyDescent="0.3">
      <c r="B1220" s="5" t="s">
        <v>1082</v>
      </c>
      <c r="C1220" s="5" t="s">
        <v>10</v>
      </c>
      <c r="D1220" s="5" t="s">
        <v>1060</v>
      </c>
      <c r="E1220" s="5" t="s">
        <v>1091</v>
      </c>
      <c r="F1220" s="5" t="s">
        <v>359</v>
      </c>
      <c r="G1220" s="5" t="s">
        <v>360</v>
      </c>
      <c r="H1220" s="6">
        <v>840</v>
      </c>
      <c r="I1220" s="5"/>
    </row>
    <row r="1221" spans="1:9" x14ac:dyDescent="0.3">
      <c r="B1221" s="5" t="s">
        <v>1082</v>
      </c>
      <c r="C1221" s="5" t="s">
        <v>10</v>
      </c>
      <c r="D1221" s="5" t="s">
        <v>1060</v>
      </c>
      <c r="E1221" s="5" t="s">
        <v>1091</v>
      </c>
      <c r="F1221" s="5" t="s">
        <v>13</v>
      </c>
      <c r="G1221" s="5" t="s">
        <v>14</v>
      </c>
      <c r="H1221" s="5"/>
      <c r="I1221" s="6">
        <v>840</v>
      </c>
    </row>
    <row r="1222" spans="1:9" x14ac:dyDescent="0.3">
      <c r="A1222" s="7" t="s">
        <v>1092</v>
      </c>
      <c r="H1222" s="8">
        <f>H1220+H1221</f>
        <v>840</v>
      </c>
      <c r="I1222" s="8">
        <f>I1220+I1221</f>
        <v>840</v>
      </c>
    </row>
    <row r="1223" spans="1:9" x14ac:dyDescent="0.3">
      <c r="A1223" s="4" t="s">
        <v>1093</v>
      </c>
    </row>
    <row r="1224" spans="1:9" x14ac:dyDescent="0.3">
      <c r="B1224" s="5" t="s">
        <v>1094</v>
      </c>
      <c r="C1224" s="5" t="s">
        <v>10</v>
      </c>
      <c r="D1224" s="5" t="s">
        <v>1064</v>
      </c>
      <c r="E1224" s="5" t="s">
        <v>1095</v>
      </c>
      <c r="F1224" s="5" t="s">
        <v>61</v>
      </c>
      <c r="G1224" s="5" t="s">
        <v>62</v>
      </c>
      <c r="H1224" s="6">
        <v>350</v>
      </c>
      <c r="I1224" s="5"/>
    </row>
    <row r="1225" spans="1:9" x14ac:dyDescent="0.3">
      <c r="B1225" s="5" t="s">
        <v>1094</v>
      </c>
      <c r="C1225" s="5" t="s">
        <v>10</v>
      </c>
      <c r="D1225" s="5" t="s">
        <v>1064</v>
      </c>
      <c r="E1225" s="5" t="s">
        <v>1095</v>
      </c>
      <c r="F1225" s="5" t="s">
        <v>13</v>
      </c>
      <c r="G1225" s="5" t="s">
        <v>14</v>
      </c>
      <c r="H1225" s="5"/>
      <c r="I1225" s="6">
        <v>350</v>
      </c>
    </row>
    <row r="1226" spans="1:9" x14ac:dyDescent="0.3">
      <c r="A1226" s="7" t="s">
        <v>1096</v>
      </c>
      <c r="H1226" s="8">
        <f>H1224+H1225</f>
        <v>350</v>
      </c>
      <c r="I1226" s="8">
        <f>I1224+I1225</f>
        <v>350</v>
      </c>
    </row>
    <row r="1227" spans="1:9" x14ac:dyDescent="0.3">
      <c r="A1227" s="4" t="s">
        <v>1097</v>
      </c>
    </row>
    <row r="1228" spans="1:9" x14ac:dyDescent="0.3">
      <c r="B1228" s="5" t="s">
        <v>1098</v>
      </c>
      <c r="C1228" s="5" t="s">
        <v>10</v>
      </c>
      <c r="D1228" s="5" t="s">
        <v>1067</v>
      </c>
      <c r="E1228" s="5" t="s">
        <v>1095</v>
      </c>
      <c r="F1228" s="5" t="s">
        <v>61</v>
      </c>
      <c r="G1228" s="5" t="s">
        <v>62</v>
      </c>
      <c r="H1228" s="6">
        <v>620</v>
      </c>
      <c r="I1228" s="5"/>
    </row>
    <row r="1229" spans="1:9" x14ac:dyDescent="0.3">
      <c r="B1229" s="5" t="s">
        <v>1098</v>
      </c>
      <c r="C1229" s="5" t="s">
        <v>10</v>
      </c>
      <c r="D1229" s="5" t="s">
        <v>1067</v>
      </c>
      <c r="E1229" s="5" t="s">
        <v>1099</v>
      </c>
      <c r="F1229" s="5" t="s">
        <v>64</v>
      </c>
      <c r="G1229" s="5" t="s">
        <v>65</v>
      </c>
      <c r="H1229" s="6">
        <v>100</v>
      </c>
      <c r="I1229" s="5"/>
    </row>
    <row r="1230" spans="1:9" x14ac:dyDescent="0.3">
      <c r="B1230" s="5" t="s">
        <v>1098</v>
      </c>
      <c r="C1230" s="5" t="s">
        <v>10</v>
      </c>
      <c r="D1230" s="5" t="s">
        <v>1067</v>
      </c>
      <c r="E1230" s="5" t="s">
        <v>1100</v>
      </c>
      <c r="F1230" s="5" t="s">
        <v>13</v>
      </c>
      <c r="G1230" s="5" t="s">
        <v>14</v>
      </c>
      <c r="H1230" s="5"/>
      <c r="I1230" s="6">
        <v>720</v>
      </c>
    </row>
    <row r="1231" spans="1:9" x14ac:dyDescent="0.3">
      <c r="A1231" s="7" t="s">
        <v>1101</v>
      </c>
      <c r="H1231" s="8">
        <f>H1228+H1229+H1230</f>
        <v>720</v>
      </c>
      <c r="I1231" s="8">
        <f>I1228+I1229+I1230</f>
        <v>720</v>
      </c>
    </row>
    <row r="1232" spans="1:9" x14ac:dyDescent="0.3">
      <c r="A1232" s="4" t="s">
        <v>1102</v>
      </c>
    </row>
    <row r="1233" spans="1:9" x14ac:dyDescent="0.3">
      <c r="B1233" s="5" t="s">
        <v>1098</v>
      </c>
      <c r="C1233" s="5" t="s">
        <v>10</v>
      </c>
      <c r="D1233" s="5" t="s">
        <v>1070</v>
      </c>
      <c r="E1233" s="5" t="s">
        <v>1103</v>
      </c>
      <c r="F1233" s="5" t="s">
        <v>61</v>
      </c>
      <c r="G1233" s="5" t="s">
        <v>62</v>
      </c>
      <c r="H1233" s="6">
        <v>220</v>
      </c>
      <c r="I1233" s="5"/>
    </row>
    <row r="1234" spans="1:9" x14ac:dyDescent="0.3">
      <c r="B1234" s="5" t="s">
        <v>1098</v>
      </c>
      <c r="C1234" s="5" t="s">
        <v>10</v>
      </c>
      <c r="D1234" s="5" t="s">
        <v>1070</v>
      </c>
      <c r="E1234" s="5" t="s">
        <v>1103</v>
      </c>
      <c r="F1234" s="5" t="s">
        <v>13</v>
      </c>
      <c r="G1234" s="5" t="s">
        <v>14</v>
      </c>
      <c r="H1234" s="5"/>
      <c r="I1234" s="6">
        <v>220</v>
      </c>
    </row>
    <row r="1235" spans="1:9" x14ac:dyDescent="0.3">
      <c r="A1235" s="7" t="s">
        <v>1104</v>
      </c>
      <c r="H1235" s="8">
        <f>H1233+H1234</f>
        <v>220</v>
      </c>
      <c r="I1235" s="8">
        <f>I1233+I1234</f>
        <v>220</v>
      </c>
    </row>
    <row r="1236" spans="1:9" x14ac:dyDescent="0.3">
      <c r="A1236" s="4" t="s">
        <v>1105</v>
      </c>
    </row>
    <row r="1237" spans="1:9" x14ac:dyDescent="0.3">
      <c r="B1237" s="5" t="s">
        <v>1098</v>
      </c>
      <c r="C1237" s="5" t="s">
        <v>10</v>
      </c>
      <c r="D1237" s="5" t="s">
        <v>1073</v>
      </c>
      <c r="E1237" s="5" t="s">
        <v>1106</v>
      </c>
      <c r="F1237" s="5" t="s">
        <v>67</v>
      </c>
      <c r="G1237" s="5" t="s">
        <v>68</v>
      </c>
      <c r="H1237" s="6">
        <v>120</v>
      </c>
      <c r="I1237" s="5"/>
    </row>
    <row r="1238" spans="1:9" x14ac:dyDescent="0.3">
      <c r="B1238" s="5" t="s">
        <v>1098</v>
      </c>
      <c r="C1238" s="5" t="s">
        <v>10</v>
      </c>
      <c r="D1238" s="5" t="s">
        <v>1073</v>
      </c>
      <c r="E1238" s="5" t="s">
        <v>1106</v>
      </c>
      <c r="F1238" s="5" t="s">
        <v>13</v>
      </c>
      <c r="G1238" s="5" t="s">
        <v>14</v>
      </c>
      <c r="H1238" s="5"/>
      <c r="I1238" s="6">
        <v>120</v>
      </c>
    </row>
    <row r="1239" spans="1:9" x14ac:dyDescent="0.3">
      <c r="B1239" s="5" t="s">
        <v>1098</v>
      </c>
      <c r="C1239" s="5" t="s">
        <v>10</v>
      </c>
      <c r="D1239" s="5" t="s">
        <v>1073</v>
      </c>
      <c r="E1239" s="5" t="s">
        <v>1107</v>
      </c>
      <c r="F1239" s="5" t="s">
        <v>425</v>
      </c>
      <c r="G1239" s="5" t="s">
        <v>426</v>
      </c>
      <c r="H1239" s="6">
        <v>13448.68</v>
      </c>
      <c r="I1239" s="5"/>
    </row>
    <row r="1240" spans="1:9" x14ac:dyDescent="0.3">
      <c r="B1240" s="5" t="s">
        <v>1098</v>
      </c>
      <c r="C1240" s="5" t="s">
        <v>10</v>
      </c>
      <c r="D1240" s="5" t="s">
        <v>1073</v>
      </c>
      <c r="E1240" s="5" t="s">
        <v>1107</v>
      </c>
      <c r="F1240" s="5" t="s">
        <v>427</v>
      </c>
      <c r="G1240" s="5" t="s">
        <v>428</v>
      </c>
      <c r="H1240" s="5"/>
      <c r="I1240" s="6">
        <v>4256.17</v>
      </c>
    </row>
    <row r="1241" spans="1:9" x14ac:dyDescent="0.3">
      <c r="B1241" s="5" t="s">
        <v>1098</v>
      </c>
      <c r="C1241" s="5" t="s">
        <v>10</v>
      </c>
      <c r="D1241" s="5" t="s">
        <v>1073</v>
      </c>
      <c r="E1241" s="5" t="s">
        <v>1107</v>
      </c>
      <c r="F1241" s="5" t="s">
        <v>429</v>
      </c>
      <c r="G1241" s="5" t="s">
        <v>430</v>
      </c>
      <c r="H1241" s="5"/>
      <c r="I1241" s="6">
        <v>6857.04</v>
      </c>
    </row>
    <row r="1242" spans="1:9" x14ac:dyDescent="0.3">
      <c r="B1242" s="5" t="s">
        <v>1098</v>
      </c>
      <c r="C1242" s="5" t="s">
        <v>10</v>
      </c>
      <c r="D1242" s="5" t="s">
        <v>1073</v>
      </c>
      <c r="E1242" s="5" t="s">
        <v>1107</v>
      </c>
      <c r="F1242" s="5" t="s">
        <v>431</v>
      </c>
      <c r="G1242" s="5" t="s">
        <v>432</v>
      </c>
      <c r="H1242" s="5"/>
      <c r="I1242" s="6">
        <v>2335.4699999999998</v>
      </c>
    </row>
    <row r="1243" spans="1:9" x14ac:dyDescent="0.3">
      <c r="A1243" s="7" t="s">
        <v>1108</v>
      </c>
      <c r="H1243" s="8">
        <f>H1237+H1238+H1239+H1240+H1241+H1242</f>
        <v>13568.68</v>
      </c>
      <c r="I1243" s="8">
        <f>I1237+I1238+I1239+I1240+I1241+I1242</f>
        <v>13568.679999999998</v>
      </c>
    </row>
    <row r="1244" spans="1:9" x14ac:dyDescent="0.3">
      <c r="A1244" s="4" t="s">
        <v>1109</v>
      </c>
    </row>
    <row r="1245" spans="1:9" x14ac:dyDescent="0.3">
      <c r="B1245" s="5" t="s">
        <v>1098</v>
      </c>
      <c r="C1245" s="5" t="s">
        <v>10</v>
      </c>
      <c r="D1245" s="5" t="s">
        <v>1075</v>
      </c>
      <c r="E1245" s="5" t="s">
        <v>1110</v>
      </c>
      <c r="F1245" s="5" t="s">
        <v>437</v>
      </c>
      <c r="G1245" s="5" t="s">
        <v>438</v>
      </c>
      <c r="H1245" s="6">
        <v>298000</v>
      </c>
      <c r="I1245" s="5"/>
    </row>
    <row r="1246" spans="1:9" x14ac:dyDescent="0.3">
      <c r="B1246" s="5" t="s">
        <v>1098</v>
      </c>
      <c r="C1246" s="5" t="s">
        <v>10</v>
      </c>
      <c r="D1246" s="5" t="s">
        <v>1075</v>
      </c>
      <c r="E1246" s="5" t="s">
        <v>1110</v>
      </c>
      <c r="F1246" s="5" t="s">
        <v>441</v>
      </c>
      <c r="G1246" s="5" t="s">
        <v>442</v>
      </c>
      <c r="H1246" s="5"/>
      <c r="I1246" s="6">
        <v>50600</v>
      </c>
    </row>
    <row r="1247" spans="1:9" x14ac:dyDescent="0.3">
      <c r="B1247" s="5" t="s">
        <v>1098</v>
      </c>
      <c r="C1247" s="5" t="s">
        <v>10</v>
      </c>
      <c r="D1247" s="5" t="s">
        <v>1075</v>
      </c>
      <c r="E1247" s="5" t="s">
        <v>1110</v>
      </c>
      <c r="F1247" s="5" t="s">
        <v>443</v>
      </c>
      <c r="G1247" s="5" t="s">
        <v>444</v>
      </c>
      <c r="H1247" s="5"/>
      <c r="I1247" s="6">
        <v>50600</v>
      </c>
    </row>
    <row r="1248" spans="1:9" x14ac:dyDescent="0.3">
      <c r="B1248" s="5" t="s">
        <v>1098</v>
      </c>
      <c r="C1248" s="5" t="s">
        <v>10</v>
      </c>
      <c r="D1248" s="5" t="s">
        <v>1075</v>
      </c>
      <c r="E1248" s="5" t="s">
        <v>1110</v>
      </c>
      <c r="F1248" s="5" t="s">
        <v>445</v>
      </c>
      <c r="G1248" s="5" t="s">
        <v>446</v>
      </c>
      <c r="H1248" s="5"/>
      <c r="I1248" s="6">
        <v>50600</v>
      </c>
    </row>
    <row r="1249" spans="1:9" x14ac:dyDescent="0.3">
      <c r="B1249" s="5" t="s">
        <v>1098</v>
      </c>
      <c r="C1249" s="5" t="s">
        <v>10</v>
      </c>
      <c r="D1249" s="5" t="s">
        <v>1075</v>
      </c>
      <c r="E1249" s="5" t="s">
        <v>1110</v>
      </c>
      <c r="F1249" s="5" t="s">
        <v>447</v>
      </c>
      <c r="G1249" s="5" t="s">
        <v>448</v>
      </c>
      <c r="H1249" s="5"/>
      <c r="I1249" s="6">
        <v>11860</v>
      </c>
    </row>
    <row r="1250" spans="1:9" x14ac:dyDescent="0.3">
      <c r="B1250" s="5" t="s">
        <v>1098</v>
      </c>
      <c r="C1250" s="5" t="s">
        <v>10</v>
      </c>
      <c r="D1250" s="5" t="s">
        <v>1075</v>
      </c>
      <c r="E1250" s="5" t="s">
        <v>1110</v>
      </c>
      <c r="F1250" s="5" t="s">
        <v>449</v>
      </c>
      <c r="G1250" s="5" t="s">
        <v>450</v>
      </c>
      <c r="H1250" s="5"/>
      <c r="I1250" s="6">
        <v>6960</v>
      </c>
    </row>
    <row r="1251" spans="1:9" x14ac:dyDescent="0.3">
      <c r="B1251" s="5" t="s">
        <v>1098</v>
      </c>
      <c r="C1251" s="5" t="s">
        <v>10</v>
      </c>
      <c r="D1251" s="5" t="s">
        <v>1075</v>
      </c>
      <c r="E1251" s="5" t="s">
        <v>1110</v>
      </c>
      <c r="F1251" s="5" t="s">
        <v>451</v>
      </c>
      <c r="G1251" s="5" t="s">
        <v>452</v>
      </c>
      <c r="H1251" s="5"/>
      <c r="I1251" s="6">
        <v>6960</v>
      </c>
    </row>
    <row r="1252" spans="1:9" x14ac:dyDescent="0.3">
      <c r="B1252" s="5" t="s">
        <v>1098</v>
      </c>
      <c r="C1252" s="5" t="s">
        <v>10</v>
      </c>
      <c r="D1252" s="5" t="s">
        <v>1075</v>
      </c>
      <c r="E1252" s="5" t="s">
        <v>1110</v>
      </c>
      <c r="F1252" s="5" t="s">
        <v>453</v>
      </c>
      <c r="G1252" s="5" t="s">
        <v>454</v>
      </c>
      <c r="H1252" s="5"/>
      <c r="I1252" s="6">
        <v>6960</v>
      </c>
    </row>
    <row r="1253" spans="1:9" x14ac:dyDescent="0.3">
      <c r="B1253" s="5" t="s">
        <v>1098</v>
      </c>
      <c r="C1253" s="5" t="s">
        <v>10</v>
      </c>
      <c r="D1253" s="5" t="s">
        <v>1075</v>
      </c>
      <c r="E1253" s="5" t="s">
        <v>1110</v>
      </c>
      <c r="F1253" s="5" t="s">
        <v>547</v>
      </c>
      <c r="G1253" s="5" t="s">
        <v>548</v>
      </c>
      <c r="H1253" s="5"/>
      <c r="I1253" s="6">
        <v>9900</v>
      </c>
    </row>
    <row r="1254" spans="1:9" x14ac:dyDescent="0.3">
      <c r="B1254" s="5" t="s">
        <v>1098</v>
      </c>
      <c r="C1254" s="5" t="s">
        <v>10</v>
      </c>
      <c r="D1254" s="5" t="s">
        <v>1075</v>
      </c>
      <c r="E1254" s="5" t="s">
        <v>1110</v>
      </c>
      <c r="F1254" s="5" t="s">
        <v>455</v>
      </c>
      <c r="G1254" s="5" t="s">
        <v>456</v>
      </c>
      <c r="H1254" s="5"/>
      <c r="I1254" s="6">
        <v>28100</v>
      </c>
    </row>
    <row r="1255" spans="1:9" x14ac:dyDescent="0.3">
      <c r="B1255" s="5" t="s">
        <v>1098</v>
      </c>
      <c r="C1255" s="5" t="s">
        <v>10</v>
      </c>
      <c r="D1255" s="5" t="s">
        <v>1075</v>
      </c>
      <c r="E1255" s="5" t="s">
        <v>1110</v>
      </c>
      <c r="F1255" s="5" t="s">
        <v>549</v>
      </c>
      <c r="G1255" s="5" t="s">
        <v>550</v>
      </c>
      <c r="H1255" s="5"/>
      <c r="I1255" s="6">
        <v>28100</v>
      </c>
    </row>
    <row r="1256" spans="1:9" x14ac:dyDescent="0.3">
      <c r="B1256" s="5" t="s">
        <v>1098</v>
      </c>
      <c r="C1256" s="5" t="s">
        <v>10</v>
      </c>
      <c r="D1256" s="5" t="s">
        <v>1075</v>
      </c>
      <c r="E1256" s="5" t="s">
        <v>1110</v>
      </c>
      <c r="F1256" s="5" t="s">
        <v>661</v>
      </c>
      <c r="G1256" s="5" t="s">
        <v>662</v>
      </c>
      <c r="H1256" s="5"/>
      <c r="I1256" s="6">
        <v>28100</v>
      </c>
    </row>
    <row r="1257" spans="1:9" x14ac:dyDescent="0.3">
      <c r="B1257" s="5" t="s">
        <v>1098</v>
      </c>
      <c r="C1257" s="5" t="s">
        <v>10</v>
      </c>
      <c r="D1257" s="5" t="s">
        <v>1075</v>
      </c>
      <c r="E1257" s="5" t="s">
        <v>1111</v>
      </c>
      <c r="F1257" s="5" t="s">
        <v>457</v>
      </c>
      <c r="G1257" s="5" t="s">
        <v>458</v>
      </c>
      <c r="H1257" s="5"/>
      <c r="I1257" s="6">
        <v>19260</v>
      </c>
    </row>
    <row r="1258" spans="1:9" x14ac:dyDescent="0.3">
      <c r="A1258" s="7" t="s">
        <v>1112</v>
      </c>
      <c r="H1258" s="8">
        <f>H1245+H1246+H1247+H1248+H1249+H1250+H1251+H1252+H1253+H1254+H1255+H1256+H1257</f>
        <v>298000</v>
      </c>
      <c r="I1258" s="8">
        <f>I1245+I1246+I1247+I1248+I1249+I1250+I1251+I1252+I1253+I1254+I1255+I1256+I1257</f>
        <v>298000</v>
      </c>
    </row>
    <row r="1259" spans="1:9" x14ac:dyDescent="0.3">
      <c r="A1259" s="4" t="s">
        <v>1113</v>
      </c>
    </row>
    <row r="1260" spans="1:9" x14ac:dyDescent="0.3">
      <c r="B1260" s="5" t="s">
        <v>1114</v>
      </c>
      <c r="C1260" s="5" t="s">
        <v>10</v>
      </c>
      <c r="D1260" s="5" t="s">
        <v>1078</v>
      </c>
      <c r="E1260" s="5" t="s">
        <v>1095</v>
      </c>
      <c r="F1260" s="5" t="s">
        <v>61</v>
      </c>
      <c r="G1260" s="5" t="s">
        <v>62</v>
      </c>
      <c r="H1260" s="6">
        <v>250</v>
      </c>
      <c r="I1260" s="5"/>
    </row>
    <row r="1261" spans="1:9" x14ac:dyDescent="0.3">
      <c r="B1261" s="5" t="s">
        <v>1114</v>
      </c>
      <c r="C1261" s="5" t="s">
        <v>10</v>
      </c>
      <c r="D1261" s="5" t="s">
        <v>1078</v>
      </c>
      <c r="E1261" s="5" t="s">
        <v>1095</v>
      </c>
      <c r="F1261" s="5" t="s">
        <v>13</v>
      </c>
      <c r="G1261" s="5" t="s">
        <v>14</v>
      </c>
      <c r="H1261" s="5"/>
      <c r="I1261" s="6">
        <v>250</v>
      </c>
    </row>
    <row r="1262" spans="1:9" x14ac:dyDescent="0.3">
      <c r="A1262" s="7" t="s">
        <v>1115</v>
      </c>
      <c r="H1262" s="8">
        <f>H1260+H1261</f>
        <v>250</v>
      </c>
      <c r="I1262" s="8">
        <f>I1260+I1261</f>
        <v>250</v>
      </c>
    </row>
    <row r="1263" spans="1:9" x14ac:dyDescent="0.3">
      <c r="A1263" s="4" t="s">
        <v>1116</v>
      </c>
    </row>
    <row r="1264" spans="1:9" x14ac:dyDescent="0.3">
      <c r="B1264" s="5" t="s">
        <v>1117</v>
      </c>
      <c r="C1264" s="5" t="s">
        <v>10</v>
      </c>
      <c r="D1264" s="5" t="s">
        <v>1081</v>
      </c>
      <c r="E1264" s="5" t="s">
        <v>1118</v>
      </c>
      <c r="F1264" s="5" t="s">
        <v>421</v>
      </c>
      <c r="G1264" s="5" t="s">
        <v>422</v>
      </c>
      <c r="H1264" s="6">
        <v>5318</v>
      </c>
      <c r="I1264" s="5"/>
    </row>
    <row r="1265" spans="1:9" x14ac:dyDescent="0.3">
      <c r="B1265" s="5" t="s">
        <v>1117</v>
      </c>
      <c r="C1265" s="5" t="s">
        <v>10</v>
      </c>
      <c r="D1265" s="5" t="s">
        <v>1081</v>
      </c>
      <c r="E1265" s="5" t="s">
        <v>1118</v>
      </c>
      <c r="F1265" s="5" t="s">
        <v>13</v>
      </c>
      <c r="G1265" s="5" t="s">
        <v>14</v>
      </c>
      <c r="H1265" s="5"/>
      <c r="I1265" s="6">
        <v>5318</v>
      </c>
    </row>
    <row r="1266" spans="1:9" x14ac:dyDescent="0.3">
      <c r="A1266" s="7" t="s">
        <v>1119</v>
      </c>
      <c r="H1266" s="8">
        <f>H1264+H1265</f>
        <v>5318</v>
      </c>
      <c r="I1266" s="8">
        <f>I1264+I1265</f>
        <v>5318</v>
      </c>
    </row>
    <row r="1267" spans="1:9" x14ac:dyDescent="0.3">
      <c r="A1267" s="4" t="s">
        <v>1120</v>
      </c>
    </row>
    <row r="1268" spans="1:9" x14ac:dyDescent="0.3">
      <c r="B1268" s="5" t="s">
        <v>1117</v>
      </c>
      <c r="C1268" s="5" t="s">
        <v>10</v>
      </c>
      <c r="D1268" s="5" t="s">
        <v>1085</v>
      </c>
      <c r="E1268" s="5" t="s">
        <v>1121</v>
      </c>
      <c r="F1268" s="5" t="s">
        <v>61</v>
      </c>
      <c r="G1268" s="5" t="s">
        <v>62</v>
      </c>
      <c r="H1268" s="6">
        <v>120</v>
      </c>
      <c r="I1268" s="5"/>
    </row>
    <row r="1269" spans="1:9" x14ac:dyDescent="0.3">
      <c r="B1269" s="5" t="s">
        <v>1117</v>
      </c>
      <c r="C1269" s="5" t="s">
        <v>10</v>
      </c>
      <c r="D1269" s="5" t="s">
        <v>1085</v>
      </c>
      <c r="E1269" s="5" t="s">
        <v>1121</v>
      </c>
      <c r="F1269" s="5" t="s">
        <v>13</v>
      </c>
      <c r="G1269" s="5" t="s">
        <v>14</v>
      </c>
      <c r="H1269" s="5"/>
      <c r="I1269" s="6">
        <v>120</v>
      </c>
    </row>
    <row r="1270" spans="1:9" x14ac:dyDescent="0.3">
      <c r="A1270" s="7" t="s">
        <v>1122</v>
      </c>
      <c r="H1270" s="8">
        <f>H1268+H1269</f>
        <v>120</v>
      </c>
      <c r="I1270" s="8">
        <f>I1268+I1269</f>
        <v>120</v>
      </c>
    </row>
    <row r="1271" spans="1:9" x14ac:dyDescent="0.3">
      <c r="A1271" s="4" t="s">
        <v>1123</v>
      </c>
    </row>
    <row r="1272" spans="1:9" x14ac:dyDescent="0.3">
      <c r="B1272" s="5" t="s">
        <v>1124</v>
      </c>
      <c r="C1272" s="5" t="s">
        <v>10</v>
      </c>
      <c r="D1272" s="5" t="s">
        <v>1088</v>
      </c>
      <c r="E1272" s="5" t="s">
        <v>1121</v>
      </c>
      <c r="F1272" s="5" t="s">
        <v>61</v>
      </c>
      <c r="G1272" s="5" t="s">
        <v>62</v>
      </c>
      <c r="H1272" s="6">
        <v>600</v>
      </c>
      <c r="I1272" s="5"/>
    </row>
    <row r="1273" spans="1:9" x14ac:dyDescent="0.3">
      <c r="B1273" s="5" t="s">
        <v>1124</v>
      </c>
      <c r="C1273" s="5" t="s">
        <v>10</v>
      </c>
      <c r="D1273" s="5" t="s">
        <v>1088</v>
      </c>
      <c r="E1273" s="5" t="s">
        <v>1121</v>
      </c>
      <c r="F1273" s="5" t="s">
        <v>13</v>
      </c>
      <c r="G1273" s="5" t="s">
        <v>14</v>
      </c>
      <c r="H1273" s="5"/>
      <c r="I1273" s="6">
        <v>600</v>
      </c>
    </row>
    <row r="1274" spans="1:9" x14ac:dyDescent="0.3">
      <c r="A1274" s="7" t="s">
        <v>1125</v>
      </c>
      <c r="H1274" s="8">
        <f>H1272+H1273</f>
        <v>600</v>
      </c>
      <c r="I1274" s="8">
        <f>I1272+I1273</f>
        <v>600</v>
      </c>
    </row>
    <row r="1275" spans="1:9" x14ac:dyDescent="0.3">
      <c r="A1275" s="4" t="s">
        <v>1126</v>
      </c>
    </row>
    <row r="1276" spans="1:9" x14ac:dyDescent="0.3">
      <c r="B1276" s="5" t="s">
        <v>1127</v>
      </c>
      <c r="C1276" s="5" t="s">
        <v>10</v>
      </c>
      <c r="D1276" s="5" t="s">
        <v>1090</v>
      </c>
      <c r="E1276" s="5" t="s">
        <v>1128</v>
      </c>
      <c r="F1276" s="5" t="s">
        <v>61</v>
      </c>
      <c r="G1276" s="5" t="s">
        <v>62</v>
      </c>
      <c r="H1276" s="6">
        <v>460</v>
      </c>
      <c r="I1276" s="5"/>
    </row>
    <row r="1277" spans="1:9" x14ac:dyDescent="0.3">
      <c r="B1277" s="5" t="s">
        <v>1127</v>
      </c>
      <c r="C1277" s="5" t="s">
        <v>10</v>
      </c>
      <c r="D1277" s="5" t="s">
        <v>1090</v>
      </c>
      <c r="E1277" s="5" t="s">
        <v>1128</v>
      </c>
      <c r="F1277" s="5" t="s">
        <v>13</v>
      </c>
      <c r="G1277" s="5" t="s">
        <v>14</v>
      </c>
      <c r="H1277" s="5"/>
      <c r="I1277" s="6">
        <v>460</v>
      </c>
    </row>
    <row r="1278" spans="1:9" x14ac:dyDescent="0.3">
      <c r="A1278" s="7" t="s">
        <v>1129</v>
      </c>
      <c r="H1278" s="8">
        <f>H1276+H1277</f>
        <v>460</v>
      </c>
      <c r="I1278" s="8">
        <f>I1276+I1277</f>
        <v>460</v>
      </c>
    </row>
    <row r="1279" spans="1:9" x14ac:dyDescent="0.3">
      <c r="A1279" s="4" t="s">
        <v>1130</v>
      </c>
    </row>
    <row r="1280" spans="1:9" x14ac:dyDescent="0.3">
      <c r="B1280" s="5" t="s">
        <v>1131</v>
      </c>
      <c r="C1280" s="5" t="s">
        <v>10</v>
      </c>
      <c r="D1280" s="5" t="s">
        <v>1093</v>
      </c>
      <c r="E1280" s="5" t="s">
        <v>1132</v>
      </c>
      <c r="F1280" s="5" t="s">
        <v>35</v>
      </c>
      <c r="G1280" s="5" t="s">
        <v>36</v>
      </c>
      <c r="H1280" s="6">
        <v>100</v>
      </c>
      <c r="I1280" s="5"/>
    </row>
    <row r="1281" spans="1:9" x14ac:dyDescent="0.3">
      <c r="B1281" s="5" t="s">
        <v>1131</v>
      </c>
      <c r="C1281" s="5" t="s">
        <v>10</v>
      </c>
      <c r="D1281" s="5" t="s">
        <v>1093</v>
      </c>
      <c r="E1281" s="5" t="s">
        <v>1132</v>
      </c>
      <c r="F1281" s="5" t="s">
        <v>13</v>
      </c>
      <c r="G1281" s="5" t="s">
        <v>14</v>
      </c>
      <c r="H1281" s="5"/>
      <c r="I1281" s="6">
        <v>100</v>
      </c>
    </row>
    <row r="1282" spans="1:9" x14ac:dyDescent="0.3">
      <c r="A1282" s="7" t="s">
        <v>1133</v>
      </c>
      <c r="H1282" s="8">
        <f>H1280+H1281</f>
        <v>100</v>
      </c>
      <c r="I1282" s="8">
        <f>I1280+I1281</f>
        <v>100</v>
      </c>
    </row>
    <row r="1283" spans="1:9" x14ac:dyDescent="0.3">
      <c r="A1283" s="4" t="s">
        <v>1134</v>
      </c>
    </row>
    <row r="1284" spans="1:9" x14ac:dyDescent="0.3">
      <c r="B1284" s="5" t="s">
        <v>1131</v>
      </c>
      <c r="C1284" s="5" t="s">
        <v>10</v>
      </c>
      <c r="D1284" s="5" t="s">
        <v>1097</v>
      </c>
      <c r="E1284" s="5" t="s">
        <v>1135</v>
      </c>
      <c r="F1284" s="5" t="s">
        <v>67</v>
      </c>
      <c r="G1284" s="5" t="s">
        <v>68</v>
      </c>
      <c r="H1284" s="6">
        <v>100</v>
      </c>
      <c r="I1284" s="5"/>
    </row>
    <row r="1285" spans="1:9" x14ac:dyDescent="0.3">
      <c r="B1285" s="5" t="s">
        <v>1131</v>
      </c>
      <c r="C1285" s="5" t="s">
        <v>10</v>
      </c>
      <c r="D1285" s="5" t="s">
        <v>1097</v>
      </c>
      <c r="E1285" s="5" t="s">
        <v>1135</v>
      </c>
      <c r="F1285" s="5" t="s">
        <v>13</v>
      </c>
      <c r="G1285" s="5" t="s">
        <v>14</v>
      </c>
      <c r="H1285" s="5"/>
      <c r="I1285" s="6">
        <v>100</v>
      </c>
    </row>
    <row r="1286" spans="1:9" x14ac:dyDescent="0.3">
      <c r="A1286" s="7" t="s">
        <v>1136</v>
      </c>
      <c r="H1286" s="8">
        <f>H1284+H1285</f>
        <v>100</v>
      </c>
      <c r="I1286" s="8">
        <f>I1284+I1285</f>
        <v>100</v>
      </c>
    </row>
    <row r="1287" spans="1:9" x14ac:dyDescent="0.3">
      <c r="A1287" s="4" t="s">
        <v>1137</v>
      </c>
    </row>
    <row r="1288" spans="1:9" x14ac:dyDescent="0.3">
      <c r="B1288" s="5" t="s">
        <v>1131</v>
      </c>
      <c r="C1288" s="5" t="s">
        <v>10</v>
      </c>
      <c r="D1288" s="5" t="s">
        <v>1102</v>
      </c>
      <c r="E1288" s="5" t="s">
        <v>1138</v>
      </c>
      <c r="F1288" s="5" t="s">
        <v>61</v>
      </c>
      <c r="G1288" s="5" t="s">
        <v>62</v>
      </c>
      <c r="H1288" s="6">
        <v>3970</v>
      </c>
      <c r="I1288" s="5"/>
    </row>
    <row r="1289" spans="1:9" x14ac:dyDescent="0.3">
      <c r="B1289" s="5" t="s">
        <v>1131</v>
      </c>
      <c r="C1289" s="5" t="s">
        <v>10</v>
      </c>
      <c r="D1289" s="5" t="s">
        <v>1102</v>
      </c>
      <c r="E1289" s="5" t="s">
        <v>1138</v>
      </c>
      <c r="F1289" s="5" t="s">
        <v>13</v>
      </c>
      <c r="G1289" s="5" t="s">
        <v>14</v>
      </c>
      <c r="H1289" s="5"/>
      <c r="I1289" s="6">
        <v>3970</v>
      </c>
    </row>
    <row r="1290" spans="1:9" x14ac:dyDescent="0.3">
      <c r="A1290" s="7" t="s">
        <v>1139</v>
      </c>
      <c r="H1290" s="8">
        <f>H1288+H1289</f>
        <v>3970</v>
      </c>
      <c r="I1290" s="8">
        <f>I1288+I1289</f>
        <v>3970</v>
      </c>
    </row>
    <row r="1291" spans="1:9" x14ac:dyDescent="0.3">
      <c r="A1291" s="4" t="s">
        <v>1140</v>
      </c>
    </row>
    <row r="1292" spans="1:9" x14ac:dyDescent="0.3">
      <c r="B1292" s="5" t="s">
        <v>1131</v>
      </c>
      <c r="C1292" s="5" t="s">
        <v>10</v>
      </c>
      <c r="D1292" s="5" t="s">
        <v>1105</v>
      </c>
      <c r="E1292" s="5" t="s">
        <v>1141</v>
      </c>
      <c r="F1292" s="5" t="s">
        <v>441</v>
      </c>
      <c r="G1292" s="5" t="s">
        <v>442</v>
      </c>
      <c r="H1292" s="6">
        <v>47600</v>
      </c>
      <c r="I1292" s="5"/>
    </row>
    <row r="1293" spans="1:9" x14ac:dyDescent="0.3">
      <c r="B1293" s="5" t="s">
        <v>1131</v>
      </c>
      <c r="C1293" s="5" t="s">
        <v>10</v>
      </c>
      <c r="D1293" s="5" t="s">
        <v>1105</v>
      </c>
      <c r="E1293" s="5" t="s">
        <v>1142</v>
      </c>
      <c r="F1293" s="5" t="s">
        <v>443</v>
      </c>
      <c r="G1293" s="5" t="s">
        <v>444</v>
      </c>
      <c r="H1293" s="6">
        <v>50600</v>
      </c>
      <c r="I1293" s="5"/>
    </row>
    <row r="1294" spans="1:9" x14ac:dyDescent="0.3">
      <c r="B1294" s="5" t="s">
        <v>1131</v>
      </c>
      <c r="C1294" s="5" t="s">
        <v>10</v>
      </c>
      <c r="D1294" s="5" t="s">
        <v>1105</v>
      </c>
      <c r="E1294" s="5" t="s">
        <v>1142</v>
      </c>
      <c r="F1294" s="5" t="s">
        <v>445</v>
      </c>
      <c r="G1294" s="5" t="s">
        <v>446</v>
      </c>
      <c r="H1294" s="6">
        <v>50600</v>
      </c>
      <c r="I1294" s="5"/>
    </row>
    <row r="1295" spans="1:9" x14ac:dyDescent="0.3">
      <c r="B1295" s="5" t="s">
        <v>1131</v>
      </c>
      <c r="C1295" s="5" t="s">
        <v>10</v>
      </c>
      <c r="D1295" s="5" t="s">
        <v>1105</v>
      </c>
      <c r="E1295" s="5" t="s">
        <v>1142</v>
      </c>
      <c r="F1295" s="5" t="s">
        <v>447</v>
      </c>
      <c r="G1295" s="5" t="s">
        <v>448</v>
      </c>
      <c r="H1295" s="6">
        <v>11860</v>
      </c>
      <c r="I1295" s="5"/>
    </row>
    <row r="1296" spans="1:9" x14ac:dyDescent="0.3">
      <c r="B1296" s="5" t="s">
        <v>1131</v>
      </c>
      <c r="C1296" s="5" t="s">
        <v>10</v>
      </c>
      <c r="D1296" s="5" t="s">
        <v>1105</v>
      </c>
      <c r="E1296" s="5" t="s">
        <v>1142</v>
      </c>
      <c r="F1296" s="5" t="s">
        <v>449</v>
      </c>
      <c r="G1296" s="5" t="s">
        <v>450</v>
      </c>
      <c r="H1296" s="6">
        <v>6960</v>
      </c>
      <c r="I1296" s="5"/>
    </row>
    <row r="1297" spans="1:9" x14ac:dyDescent="0.3">
      <c r="B1297" s="5" t="s">
        <v>1131</v>
      </c>
      <c r="C1297" s="5" t="s">
        <v>10</v>
      </c>
      <c r="D1297" s="5" t="s">
        <v>1105</v>
      </c>
      <c r="E1297" s="5" t="s">
        <v>1142</v>
      </c>
      <c r="F1297" s="5" t="s">
        <v>451</v>
      </c>
      <c r="G1297" s="5" t="s">
        <v>452</v>
      </c>
      <c r="H1297" s="6">
        <v>6960</v>
      </c>
      <c r="I1297" s="5"/>
    </row>
    <row r="1298" spans="1:9" x14ac:dyDescent="0.3">
      <c r="B1298" s="5" t="s">
        <v>1131</v>
      </c>
      <c r="C1298" s="5" t="s">
        <v>10</v>
      </c>
      <c r="D1298" s="5" t="s">
        <v>1105</v>
      </c>
      <c r="E1298" s="5" t="s">
        <v>1142</v>
      </c>
      <c r="F1298" s="5" t="s">
        <v>453</v>
      </c>
      <c r="G1298" s="5" t="s">
        <v>454</v>
      </c>
      <c r="H1298" s="6">
        <v>6960</v>
      </c>
      <c r="I1298" s="5"/>
    </row>
    <row r="1299" spans="1:9" x14ac:dyDescent="0.3">
      <c r="B1299" s="5" t="s">
        <v>1131</v>
      </c>
      <c r="C1299" s="5" t="s">
        <v>10</v>
      </c>
      <c r="D1299" s="5" t="s">
        <v>1105</v>
      </c>
      <c r="E1299" s="5" t="s">
        <v>1142</v>
      </c>
      <c r="F1299" s="5" t="s">
        <v>547</v>
      </c>
      <c r="G1299" s="5" t="s">
        <v>548</v>
      </c>
      <c r="H1299" s="6">
        <v>9900</v>
      </c>
      <c r="I1299" s="5"/>
    </row>
    <row r="1300" spans="1:9" x14ac:dyDescent="0.3">
      <c r="B1300" s="5" t="s">
        <v>1131</v>
      </c>
      <c r="C1300" s="5" t="s">
        <v>10</v>
      </c>
      <c r="D1300" s="5" t="s">
        <v>1105</v>
      </c>
      <c r="E1300" s="5" t="s">
        <v>1142</v>
      </c>
      <c r="F1300" s="5" t="s">
        <v>455</v>
      </c>
      <c r="G1300" s="5" t="s">
        <v>456</v>
      </c>
      <c r="H1300" s="6">
        <v>28100</v>
      </c>
      <c r="I1300" s="5"/>
    </row>
    <row r="1301" spans="1:9" x14ac:dyDescent="0.3">
      <c r="B1301" s="5" t="s">
        <v>1131</v>
      </c>
      <c r="C1301" s="5" t="s">
        <v>10</v>
      </c>
      <c r="D1301" s="5" t="s">
        <v>1105</v>
      </c>
      <c r="E1301" s="5" t="s">
        <v>1142</v>
      </c>
      <c r="F1301" s="5" t="s">
        <v>549</v>
      </c>
      <c r="G1301" s="5" t="s">
        <v>550</v>
      </c>
      <c r="H1301" s="6">
        <v>28100</v>
      </c>
      <c r="I1301" s="5"/>
    </row>
    <row r="1302" spans="1:9" x14ac:dyDescent="0.3">
      <c r="B1302" s="5" t="s">
        <v>1131</v>
      </c>
      <c r="C1302" s="5" t="s">
        <v>10</v>
      </c>
      <c r="D1302" s="5" t="s">
        <v>1105</v>
      </c>
      <c r="E1302" s="5" t="s">
        <v>1142</v>
      </c>
      <c r="F1302" s="5" t="s">
        <v>661</v>
      </c>
      <c r="G1302" s="5" t="s">
        <v>662</v>
      </c>
      <c r="H1302" s="6">
        <v>28100</v>
      </c>
      <c r="I1302" s="5"/>
    </row>
    <row r="1303" spans="1:9" x14ac:dyDescent="0.3">
      <c r="B1303" s="5" t="s">
        <v>1131</v>
      </c>
      <c r="C1303" s="5" t="s">
        <v>10</v>
      </c>
      <c r="D1303" s="5" t="s">
        <v>1105</v>
      </c>
      <c r="E1303" s="5" t="s">
        <v>1142</v>
      </c>
      <c r="F1303" s="5" t="s">
        <v>13</v>
      </c>
      <c r="G1303" s="5" t="s">
        <v>14</v>
      </c>
      <c r="H1303" s="5"/>
      <c r="I1303" s="6">
        <v>275740</v>
      </c>
    </row>
    <row r="1304" spans="1:9" x14ac:dyDescent="0.3">
      <c r="A1304" s="7" t="s">
        <v>1143</v>
      </c>
      <c r="H1304" s="8">
        <f>H1292+H1293+H1294+H1295+H1296+H1297+H1298+H1299+H1300+H1301+H1302+H1303</f>
        <v>275740</v>
      </c>
      <c r="I1304" s="8">
        <f>I1292+I1293+I1294+I1295+I1296+I1297+I1298+I1299+I1300+I1301+I1302+I1303</f>
        <v>275740</v>
      </c>
    </row>
    <row r="1305" spans="1:9" x14ac:dyDescent="0.3">
      <c r="A1305" s="4" t="s">
        <v>1144</v>
      </c>
    </row>
    <row r="1306" spans="1:9" x14ac:dyDescent="0.3">
      <c r="B1306" s="5" t="s">
        <v>1131</v>
      </c>
      <c r="C1306" s="5" t="s">
        <v>10</v>
      </c>
      <c r="D1306" s="5" t="s">
        <v>1109</v>
      </c>
      <c r="E1306" s="5" t="s">
        <v>1145</v>
      </c>
      <c r="F1306" s="5" t="s">
        <v>26</v>
      </c>
      <c r="G1306" s="5" t="s">
        <v>27</v>
      </c>
      <c r="H1306" s="6">
        <v>60000</v>
      </c>
      <c r="I1306" s="5"/>
    </row>
    <row r="1307" spans="1:9" x14ac:dyDescent="0.3">
      <c r="B1307" s="5" t="s">
        <v>1131</v>
      </c>
      <c r="C1307" s="5" t="s">
        <v>10</v>
      </c>
      <c r="D1307" s="5" t="s">
        <v>1109</v>
      </c>
      <c r="E1307" s="5" t="s">
        <v>1145</v>
      </c>
      <c r="F1307" s="5" t="s">
        <v>13</v>
      </c>
      <c r="G1307" s="5" t="s">
        <v>14</v>
      </c>
      <c r="H1307" s="5"/>
      <c r="I1307" s="6">
        <v>60000</v>
      </c>
    </row>
    <row r="1308" spans="1:9" x14ac:dyDescent="0.3">
      <c r="A1308" s="7" t="s">
        <v>1146</v>
      </c>
      <c r="H1308" s="8">
        <f>H1306+H1307</f>
        <v>60000</v>
      </c>
      <c r="I1308" s="8">
        <f>I1306+I1307</f>
        <v>60000</v>
      </c>
    </row>
    <row r="1309" spans="1:9" x14ac:dyDescent="0.3">
      <c r="A1309" s="4" t="s">
        <v>1147</v>
      </c>
    </row>
    <row r="1310" spans="1:9" ht="21.6" x14ac:dyDescent="0.3">
      <c r="B1310" s="5" t="s">
        <v>1148</v>
      </c>
      <c r="C1310" s="5" t="s">
        <v>10</v>
      </c>
      <c r="D1310" s="5" t="s">
        <v>1113</v>
      </c>
      <c r="E1310" s="5" t="s">
        <v>1149</v>
      </c>
      <c r="F1310" s="5" t="s">
        <v>176</v>
      </c>
      <c r="G1310" s="5" t="s">
        <v>177</v>
      </c>
      <c r="H1310" s="6">
        <v>6986</v>
      </c>
      <c r="I1310" s="5"/>
    </row>
    <row r="1311" spans="1:9" ht="21.6" x14ac:dyDescent="0.3">
      <c r="B1311" s="5" t="s">
        <v>1148</v>
      </c>
      <c r="C1311" s="5" t="s">
        <v>10</v>
      </c>
      <c r="D1311" s="5" t="s">
        <v>1113</v>
      </c>
      <c r="E1311" s="5" t="s">
        <v>1149</v>
      </c>
      <c r="F1311" s="5" t="s">
        <v>13</v>
      </c>
      <c r="G1311" s="5" t="s">
        <v>14</v>
      </c>
      <c r="H1311" s="5"/>
      <c r="I1311" s="6">
        <v>6986</v>
      </c>
    </row>
    <row r="1312" spans="1:9" x14ac:dyDescent="0.3">
      <c r="A1312" s="7" t="s">
        <v>1150</v>
      </c>
      <c r="H1312" s="8">
        <f>H1310+H1311</f>
        <v>6986</v>
      </c>
      <c r="I1312" s="8">
        <f>I1310+I1311</f>
        <v>6986</v>
      </c>
    </row>
    <row r="1313" spans="1:9" x14ac:dyDescent="0.3">
      <c r="A1313" s="4" t="s">
        <v>1151</v>
      </c>
    </row>
    <row r="1314" spans="1:9" x14ac:dyDescent="0.3">
      <c r="B1314" s="5" t="s">
        <v>1148</v>
      </c>
      <c r="C1314" s="5" t="s">
        <v>10</v>
      </c>
      <c r="D1314" s="5" t="s">
        <v>1116</v>
      </c>
      <c r="E1314" s="5" t="s">
        <v>1152</v>
      </c>
      <c r="F1314" s="5" t="s">
        <v>61</v>
      </c>
      <c r="G1314" s="5" t="s">
        <v>62</v>
      </c>
      <c r="H1314" s="6">
        <v>150</v>
      </c>
      <c r="I1314" s="5"/>
    </row>
    <row r="1315" spans="1:9" x14ac:dyDescent="0.3">
      <c r="B1315" s="5" t="s">
        <v>1148</v>
      </c>
      <c r="C1315" s="5" t="s">
        <v>10</v>
      </c>
      <c r="D1315" s="5" t="s">
        <v>1116</v>
      </c>
      <c r="E1315" s="5" t="s">
        <v>1152</v>
      </c>
      <c r="F1315" s="5" t="s">
        <v>13</v>
      </c>
      <c r="G1315" s="5" t="s">
        <v>14</v>
      </c>
      <c r="H1315" s="5"/>
      <c r="I1315" s="6">
        <v>150</v>
      </c>
    </row>
    <row r="1316" spans="1:9" x14ac:dyDescent="0.3">
      <c r="A1316" s="7" t="s">
        <v>1153</v>
      </c>
      <c r="H1316" s="8">
        <f>H1314+H1315</f>
        <v>150</v>
      </c>
      <c r="I1316" s="8">
        <f>I1314+I1315</f>
        <v>150</v>
      </c>
    </row>
    <row r="1317" spans="1:9" x14ac:dyDescent="0.3">
      <c r="A1317" s="4" t="s">
        <v>1154</v>
      </c>
    </row>
    <row r="1318" spans="1:9" x14ac:dyDescent="0.3">
      <c r="B1318" s="5" t="s">
        <v>1155</v>
      </c>
      <c r="C1318" s="5" t="s">
        <v>10</v>
      </c>
      <c r="D1318" s="5" t="s">
        <v>1120</v>
      </c>
      <c r="E1318" s="5" t="s">
        <v>1152</v>
      </c>
      <c r="F1318" s="5" t="s">
        <v>61</v>
      </c>
      <c r="G1318" s="5" t="s">
        <v>62</v>
      </c>
      <c r="H1318" s="6">
        <v>340</v>
      </c>
      <c r="I1318" s="5"/>
    </row>
    <row r="1319" spans="1:9" x14ac:dyDescent="0.3">
      <c r="B1319" s="5" t="s">
        <v>1155</v>
      </c>
      <c r="C1319" s="5" t="s">
        <v>10</v>
      </c>
      <c r="D1319" s="5" t="s">
        <v>1120</v>
      </c>
      <c r="E1319" s="5" t="s">
        <v>1152</v>
      </c>
      <c r="F1319" s="5" t="s">
        <v>13</v>
      </c>
      <c r="G1319" s="5" t="s">
        <v>14</v>
      </c>
      <c r="H1319" s="5"/>
      <c r="I1319" s="6">
        <v>340</v>
      </c>
    </row>
    <row r="1320" spans="1:9" x14ac:dyDescent="0.3">
      <c r="A1320" s="7" t="s">
        <v>1156</v>
      </c>
      <c r="H1320" s="8">
        <f>H1318+H1319</f>
        <v>340</v>
      </c>
      <c r="I1320" s="8">
        <f>I1318+I1319</f>
        <v>340</v>
      </c>
    </row>
    <row r="1321" spans="1:9" x14ac:dyDescent="0.3">
      <c r="A1321" s="4" t="s">
        <v>1157</v>
      </c>
    </row>
    <row r="1322" spans="1:9" x14ac:dyDescent="0.3">
      <c r="B1322" s="5" t="s">
        <v>1158</v>
      </c>
      <c r="C1322" s="5" t="s">
        <v>10</v>
      </c>
      <c r="D1322" s="5" t="s">
        <v>1123</v>
      </c>
      <c r="E1322" s="5" t="s">
        <v>1152</v>
      </c>
      <c r="F1322" s="5" t="s">
        <v>61</v>
      </c>
      <c r="G1322" s="5" t="s">
        <v>62</v>
      </c>
      <c r="H1322" s="6">
        <v>240</v>
      </c>
      <c r="I1322" s="5"/>
    </row>
    <row r="1323" spans="1:9" x14ac:dyDescent="0.3">
      <c r="B1323" s="5" t="s">
        <v>1158</v>
      </c>
      <c r="C1323" s="5" t="s">
        <v>10</v>
      </c>
      <c r="D1323" s="5" t="s">
        <v>1123</v>
      </c>
      <c r="E1323" s="5" t="s">
        <v>1152</v>
      </c>
      <c r="F1323" s="5" t="s">
        <v>13</v>
      </c>
      <c r="G1323" s="5" t="s">
        <v>14</v>
      </c>
      <c r="H1323" s="5"/>
      <c r="I1323" s="6">
        <v>240</v>
      </c>
    </row>
    <row r="1324" spans="1:9" x14ac:dyDescent="0.3">
      <c r="A1324" s="7" t="s">
        <v>1159</v>
      </c>
      <c r="H1324" s="8">
        <f>H1322+H1323</f>
        <v>240</v>
      </c>
      <c r="I1324" s="8">
        <f>I1322+I1323</f>
        <v>240</v>
      </c>
    </row>
    <row r="1325" spans="1:9" x14ac:dyDescent="0.3">
      <c r="A1325" s="4" t="s">
        <v>1160</v>
      </c>
    </row>
    <row r="1326" spans="1:9" x14ac:dyDescent="0.3">
      <c r="B1326" s="5" t="s">
        <v>1161</v>
      </c>
      <c r="C1326" s="5" t="s">
        <v>10</v>
      </c>
      <c r="D1326" s="5" t="s">
        <v>1126</v>
      </c>
      <c r="E1326" s="5" t="s">
        <v>1162</v>
      </c>
      <c r="F1326" s="5" t="s">
        <v>441</v>
      </c>
      <c r="G1326" s="5" t="s">
        <v>442</v>
      </c>
      <c r="H1326" s="6">
        <v>1000</v>
      </c>
      <c r="I1326" s="5"/>
    </row>
    <row r="1327" spans="1:9" x14ac:dyDescent="0.3">
      <c r="B1327" s="5" t="s">
        <v>1161</v>
      </c>
      <c r="C1327" s="5" t="s">
        <v>10</v>
      </c>
      <c r="D1327" s="5" t="s">
        <v>1126</v>
      </c>
      <c r="E1327" s="5" t="s">
        <v>1162</v>
      </c>
      <c r="F1327" s="5" t="s">
        <v>13</v>
      </c>
      <c r="G1327" s="5" t="s">
        <v>14</v>
      </c>
      <c r="H1327" s="5"/>
      <c r="I1327" s="6">
        <v>1000</v>
      </c>
    </row>
    <row r="1328" spans="1:9" x14ac:dyDescent="0.3">
      <c r="A1328" s="7" t="s">
        <v>1163</v>
      </c>
      <c r="H1328" s="8">
        <f>H1326+H1327</f>
        <v>1000</v>
      </c>
      <c r="I1328" s="8">
        <f>I1326+I1327</f>
        <v>1000</v>
      </c>
    </row>
    <row r="1329" spans="1:9" x14ac:dyDescent="0.3">
      <c r="A1329" s="4" t="s">
        <v>1164</v>
      </c>
    </row>
    <row r="1330" spans="1:9" x14ac:dyDescent="0.3">
      <c r="B1330" s="5" t="s">
        <v>1161</v>
      </c>
      <c r="C1330" s="5" t="s">
        <v>10</v>
      </c>
      <c r="D1330" s="5" t="s">
        <v>1130</v>
      </c>
      <c r="E1330" s="5" t="s">
        <v>1165</v>
      </c>
      <c r="F1330" s="5" t="s">
        <v>70</v>
      </c>
      <c r="G1330" s="5" t="s">
        <v>71</v>
      </c>
      <c r="H1330" s="6">
        <v>1040</v>
      </c>
      <c r="I1330" s="5"/>
    </row>
    <row r="1331" spans="1:9" x14ac:dyDescent="0.3">
      <c r="B1331" s="5" t="s">
        <v>1161</v>
      </c>
      <c r="C1331" s="5" t="s">
        <v>10</v>
      </c>
      <c r="D1331" s="5" t="s">
        <v>1130</v>
      </c>
      <c r="E1331" s="5" t="s">
        <v>170</v>
      </c>
      <c r="F1331" s="5" t="s">
        <v>61</v>
      </c>
      <c r="G1331" s="5" t="s">
        <v>62</v>
      </c>
      <c r="H1331" s="6">
        <v>260</v>
      </c>
      <c r="I1331" s="5"/>
    </row>
    <row r="1332" spans="1:9" x14ac:dyDescent="0.3">
      <c r="B1332" s="5" t="s">
        <v>1161</v>
      </c>
      <c r="C1332" s="5" t="s">
        <v>10</v>
      </c>
      <c r="D1332" s="5" t="s">
        <v>1130</v>
      </c>
      <c r="E1332" s="5" t="s">
        <v>1166</v>
      </c>
      <c r="F1332" s="5" t="s">
        <v>13</v>
      </c>
      <c r="G1332" s="5" t="s">
        <v>14</v>
      </c>
      <c r="H1332" s="5"/>
      <c r="I1332" s="6">
        <v>1300</v>
      </c>
    </row>
    <row r="1333" spans="1:9" x14ac:dyDescent="0.3">
      <c r="A1333" s="7" t="s">
        <v>1167</v>
      </c>
      <c r="H1333" s="8">
        <f>H1330+H1331+H1332</f>
        <v>1300</v>
      </c>
      <c r="I1333" s="8">
        <f>I1330+I1331+I1332</f>
        <v>1300</v>
      </c>
    </row>
    <row r="1334" spans="1:9" x14ac:dyDescent="0.3">
      <c r="A1334" s="4" t="s">
        <v>1168</v>
      </c>
    </row>
    <row r="1335" spans="1:9" x14ac:dyDescent="0.3">
      <c r="B1335" s="5" t="s">
        <v>1169</v>
      </c>
      <c r="C1335" s="5" t="s">
        <v>10</v>
      </c>
      <c r="D1335" s="5" t="s">
        <v>1134</v>
      </c>
      <c r="E1335" s="5" t="s">
        <v>1170</v>
      </c>
      <c r="F1335" s="5" t="s">
        <v>61</v>
      </c>
      <c r="G1335" s="5" t="s">
        <v>62</v>
      </c>
      <c r="H1335" s="6">
        <v>110</v>
      </c>
      <c r="I1335" s="5"/>
    </row>
    <row r="1336" spans="1:9" x14ac:dyDescent="0.3">
      <c r="B1336" s="5" t="s">
        <v>1169</v>
      </c>
      <c r="C1336" s="5" t="s">
        <v>10</v>
      </c>
      <c r="D1336" s="5" t="s">
        <v>1134</v>
      </c>
      <c r="E1336" s="5" t="s">
        <v>1170</v>
      </c>
      <c r="F1336" s="5" t="s">
        <v>13</v>
      </c>
      <c r="G1336" s="5" t="s">
        <v>14</v>
      </c>
      <c r="H1336" s="5"/>
      <c r="I1336" s="6">
        <v>110</v>
      </c>
    </row>
    <row r="1337" spans="1:9" x14ac:dyDescent="0.3">
      <c r="A1337" s="7" t="s">
        <v>1171</v>
      </c>
      <c r="H1337" s="8">
        <f>H1335+H1336</f>
        <v>110</v>
      </c>
      <c r="I1337" s="8">
        <f>I1335+I1336</f>
        <v>110</v>
      </c>
    </row>
    <row r="1338" spans="1:9" x14ac:dyDescent="0.3">
      <c r="A1338" s="4" t="s">
        <v>1172</v>
      </c>
    </row>
    <row r="1339" spans="1:9" x14ac:dyDescent="0.3">
      <c r="B1339" s="5" t="s">
        <v>1169</v>
      </c>
      <c r="C1339" s="5" t="s">
        <v>10</v>
      </c>
      <c r="D1339" s="5" t="s">
        <v>1137</v>
      </c>
      <c r="E1339" s="5" t="s">
        <v>1170</v>
      </c>
      <c r="F1339" s="5" t="s">
        <v>61</v>
      </c>
      <c r="G1339" s="5" t="s">
        <v>62</v>
      </c>
      <c r="H1339" s="6">
        <v>140</v>
      </c>
      <c r="I1339" s="5"/>
    </row>
    <row r="1340" spans="1:9" x14ac:dyDescent="0.3">
      <c r="B1340" s="5" t="s">
        <v>1169</v>
      </c>
      <c r="C1340" s="5" t="s">
        <v>10</v>
      </c>
      <c r="D1340" s="5" t="s">
        <v>1137</v>
      </c>
      <c r="E1340" s="5" t="s">
        <v>1170</v>
      </c>
      <c r="F1340" s="5" t="s">
        <v>13</v>
      </c>
      <c r="G1340" s="5" t="s">
        <v>14</v>
      </c>
      <c r="H1340" s="5"/>
      <c r="I1340" s="6">
        <v>140</v>
      </c>
    </row>
    <row r="1341" spans="1:9" x14ac:dyDescent="0.3">
      <c r="A1341" s="7" t="s">
        <v>1173</v>
      </c>
      <c r="H1341" s="8">
        <f>H1339+H1340</f>
        <v>140</v>
      </c>
      <c r="I1341" s="8">
        <f>I1339+I1340</f>
        <v>140</v>
      </c>
    </row>
    <row r="1342" spans="1:9" x14ac:dyDescent="0.3">
      <c r="A1342" s="4" t="s">
        <v>1174</v>
      </c>
    </row>
    <row r="1343" spans="1:9" x14ac:dyDescent="0.3">
      <c r="B1343" s="5" t="s">
        <v>1169</v>
      </c>
      <c r="C1343" s="5" t="s">
        <v>10</v>
      </c>
      <c r="D1343" s="5" t="s">
        <v>1140</v>
      </c>
      <c r="E1343" s="5" t="s">
        <v>1175</v>
      </c>
      <c r="F1343" s="5" t="s">
        <v>116</v>
      </c>
      <c r="G1343" s="5" t="s">
        <v>117</v>
      </c>
      <c r="H1343" s="6">
        <v>500</v>
      </c>
      <c r="I1343" s="5"/>
    </row>
    <row r="1344" spans="1:9" x14ac:dyDescent="0.3">
      <c r="B1344" s="5" t="s">
        <v>1169</v>
      </c>
      <c r="C1344" s="5" t="s">
        <v>10</v>
      </c>
      <c r="D1344" s="5" t="s">
        <v>1140</v>
      </c>
      <c r="E1344" s="5" t="s">
        <v>1176</v>
      </c>
      <c r="F1344" s="5" t="s">
        <v>113</v>
      </c>
      <c r="G1344" s="5" t="s">
        <v>114</v>
      </c>
      <c r="H1344" s="6">
        <v>452</v>
      </c>
      <c r="I1344" s="5"/>
    </row>
    <row r="1345" spans="1:9" x14ac:dyDescent="0.3">
      <c r="B1345" s="5" t="s">
        <v>1169</v>
      </c>
      <c r="C1345" s="5" t="s">
        <v>10</v>
      </c>
      <c r="D1345" s="5" t="s">
        <v>1140</v>
      </c>
      <c r="E1345" s="5" t="s">
        <v>1170</v>
      </c>
      <c r="F1345" s="5" t="s">
        <v>61</v>
      </c>
      <c r="G1345" s="5" t="s">
        <v>62</v>
      </c>
      <c r="H1345" s="6">
        <v>650</v>
      </c>
      <c r="I1345" s="5"/>
    </row>
    <row r="1346" spans="1:9" x14ac:dyDescent="0.3">
      <c r="B1346" s="5" t="s">
        <v>1169</v>
      </c>
      <c r="C1346" s="5" t="s">
        <v>10</v>
      </c>
      <c r="D1346" s="5" t="s">
        <v>1140</v>
      </c>
      <c r="E1346" s="5" t="s">
        <v>1177</v>
      </c>
      <c r="F1346" s="5" t="s">
        <v>67</v>
      </c>
      <c r="G1346" s="5" t="s">
        <v>68</v>
      </c>
      <c r="H1346" s="6">
        <v>40</v>
      </c>
      <c r="I1346" s="5"/>
    </row>
    <row r="1347" spans="1:9" x14ac:dyDescent="0.3">
      <c r="B1347" s="5" t="s">
        <v>1169</v>
      </c>
      <c r="C1347" s="5" t="s">
        <v>10</v>
      </c>
      <c r="D1347" s="5" t="s">
        <v>1140</v>
      </c>
      <c r="E1347" s="5" t="s">
        <v>1178</v>
      </c>
      <c r="F1347" s="5" t="s">
        <v>13</v>
      </c>
      <c r="G1347" s="5" t="s">
        <v>14</v>
      </c>
      <c r="H1347" s="5"/>
      <c r="I1347" s="6">
        <v>1642</v>
      </c>
    </row>
    <row r="1348" spans="1:9" x14ac:dyDescent="0.3">
      <c r="A1348" s="7" t="s">
        <v>1179</v>
      </c>
      <c r="H1348" s="8">
        <f>H1343+H1344+H1345+H1346+H1347</f>
        <v>1642</v>
      </c>
      <c r="I1348" s="8">
        <f>I1343+I1344+I1345+I1346+I1347</f>
        <v>1642</v>
      </c>
    </row>
    <row r="1349" spans="1:9" x14ac:dyDescent="0.3">
      <c r="A1349" s="4" t="s">
        <v>1180</v>
      </c>
    </row>
    <row r="1350" spans="1:9" x14ac:dyDescent="0.3">
      <c r="B1350" s="5" t="s">
        <v>1169</v>
      </c>
      <c r="C1350" s="5" t="s">
        <v>10</v>
      </c>
      <c r="D1350" s="5" t="s">
        <v>1144</v>
      </c>
      <c r="E1350" s="5" t="s">
        <v>1065</v>
      </c>
      <c r="F1350" s="5" t="s">
        <v>58</v>
      </c>
      <c r="G1350" s="5" t="s">
        <v>59</v>
      </c>
      <c r="H1350" s="6">
        <v>800</v>
      </c>
      <c r="I1350" s="5"/>
    </row>
    <row r="1351" spans="1:9" x14ac:dyDescent="0.3">
      <c r="B1351" s="5" t="s">
        <v>1169</v>
      </c>
      <c r="C1351" s="5" t="s">
        <v>10</v>
      </c>
      <c r="D1351" s="5" t="s">
        <v>1144</v>
      </c>
      <c r="E1351" s="5" t="s">
        <v>1065</v>
      </c>
      <c r="F1351" s="5" t="s">
        <v>13</v>
      </c>
      <c r="G1351" s="5" t="s">
        <v>14</v>
      </c>
      <c r="H1351" s="5"/>
      <c r="I1351" s="6">
        <v>800</v>
      </c>
    </row>
    <row r="1352" spans="1:9" x14ac:dyDescent="0.3">
      <c r="A1352" s="7" t="s">
        <v>1181</v>
      </c>
      <c r="H1352" s="8">
        <f>H1350+H1351</f>
        <v>800</v>
      </c>
      <c r="I1352" s="8">
        <f>I1350+I1351</f>
        <v>800</v>
      </c>
    </row>
    <row r="1353" spans="1:9" x14ac:dyDescent="0.3">
      <c r="A1353" s="4" t="s">
        <v>1182</v>
      </c>
    </row>
    <row r="1354" spans="1:9" x14ac:dyDescent="0.3">
      <c r="B1354" s="5" t="s">
        <v>1169</v>
      </c>
      <c r="C1354" s="5" t="s">
        <v>10</v>
      </c>
      <c r="D1354" s="5" t="s">
        <v>1147</v>
      </c>
      <c r="E1354" s="5" t="s">
        <v>1183</v>
      </c>
      <c r="F1354" s="5" t="s">
        <v>67</v>
      </c>
      <c r="G1354" s="5" t="s">
        <v>68</v>
      </c>
      <c r="H1354" s="6">
        <v>100</v>
      </c>
      <c r="I1354" s="5"/>
    </row>
    <row r="1355" spans="1:9" x14ac:dyDescent="0.3">
      <c r="B1355" s="5" t="s">
        <v>1169</v>
      </c>
      <c r="C1355" s="5" t="s">
        <v>10</v>
      </c>
      <c r="D1355" s="5" t="s">
        <v>1147</v>
      </c>
      <c r="E1355" s="5" t="s">
        <v>1183</v>
      </c>
      <c r="F1355" s="5" t="s">
        <v>13</v>
      </c>
      <c r="G1355" s="5" t="s">
        <v>14</v>
      </c>
      <c r="H1355" s="5"/>
      <c r="I1355" s="6">
        <v>100</v>
      </c>
    </row>
    <row r="1356" spans="1:9" x14ac:dyDescent="0.3">
      <c r="A1356" s="7" t="s">
        <v>1184</v>
      </c>
      <c r="H1356" s="8">
        <f>H1354+H1355</f>
        <v>100</v>
      </c>
      <c r="I1356" s="8">
        <f>I1354+I1355</f>
        <v>100</v>
      </c>
    </row>
    <row r="1357" spans="1:9" x14ac:dyDescent="0.3">
      <c r="A1357" s="4" t="s">
        <v>1185</v>
      </c>
    </row>
    <row r="1358" spans="1:9" x14ac:dyDescent="0.3">
      <c r="B1358" s="5" t="s">
        <v>1169</v>
      </c>
      <c r="C1358" s="5" t="s">
        <v>10</v>
      </c>
      <c r="D1358" s="5" t="s">
        <v>1151</v>
      </c>
      <c r="E1358" s="5" t="s">
        <v>1186</v>
      </c>
      <c r="F1358" s="5" t="s">
        <v>67</v>
      </c>
      <c r="G1358" s="5" t="s">
        <v>68</v>
      </c>
      <c r="H1358" s="6">
        <v>100</v>
      </c>
      <c r="I1358" s="5"/>
    </row>
    <row r="1359" spans="1:9" x14ac:dyDescent="0.3">
      <c r="B1359" s="5" t="s">
        <v>1169</v>
      </c>
      <c r="C1359" s="5" t="s">
        <v>10</v>
      </c>
      <c r="D1359" s="5" t="s">
        <v>1151</v>
      </c>
      <c r="E1359" s="5" t="s">
        <v>1186</v>
      </c>
      <c r="F1359" s="5" t="s">
        <v>13</v>
      </c>
      <c r="G1359" s="5" t="s">
        <v>14</v>
      </c>
      <c r="H1359" s="5"/>
      <c r="I1359" s="6">
        <v>100</v>
      </c>
    </row>
    <row r="1360" spans="1:9" x14ac:dyDescent="0.3">
      <c r="A1360" s="7" t="s">
        <v>1187</v>
      </c>
      <c r="H1360" s="8">
        <f>H1358+H1359</f>
        <v>100</v>
      </c>
      <c r="I1360" s="8">
        <f>I1358+I1359</f>
        <v>100</v>
      </c>
    </row>
    <row r="1361" spans="1:9" x14ac:dyDescent="0.3">
      <c r="A1361" s="4" t="s">
        <v>1188</v>
      </c>
    </row>
    <row r="1362" spans="1:9" x14ac:dyDescent="0.3">
      <c r="B1362" s="5" t="s">
        <v>1189</v>
      </c>
      <c r="C1362" s="5" t="s">
        <v>10</v>
      </c>
      <c r="D1362" s="5" t="s">
        <v>1154</v>
      </c>
      <c r="E1362" s="5" t="s">
        <v>1190</v>
      </c>
      <c r="F1362" s="5" t="s">
        <v>64</v>
      </c>
      <c r="G1362" s="5" t="s">
        <v>65</v>
      </c>
      <c r="H1362" s="6">
        <v>30</v>
      </c>
      <c r="I1362" s="5"/>
    </row>
    <row r="1363" spans="1:9" x14ac:dyDescent="0.3">
      <c r="B1363" s="5" t="s">
        <v>1189</v>
      </c>
      <c r="C1363" s="5" t="s">
        <v>10</v>
      </c>
      <c r="D1363" s="5" t="s">
        <v>1154</v>
      </c>
      <c r="E1363" s="5" t="s">
        <v>624</v>
      </c>
      <c r="F1363" s="5" t="s">
        <v>61</v>
      </c>
      <c r="G1363" s="5" t="s">
        <v>62</v>
      </c>
      <c r="H1363" s="6">
        <v>180</v>
      </c>
      <c r="I1363" s="5"/>
    </row>
    <row r="1364" spans="1:9" x14ac:dyDescent="0.3">
      <c r="B1364" s="5" t="s">
        <v>1189</v>
      </c>
      <c r="C1364" s="5" t="s">
        <v>10</v>
      </c>
      <c r="D1364" s="5" t="s">
        <v>1154</v>
      </c>
      <c r="E1364" s="5" t="s">
        <v>1191</v>
      </c>
      <c r="F1364" s="5" t="s">
        <v>13</v>
      </c>
      <c r="G1364" s="5" t="s">
        <v>14</v>
      </c>
      <c r="H1364" s="5"/>
      <c r="I1364" s="6">
        <v>210</v>
      </c>
    </row>
    <row r="1365" spans="1:9" x14ac:dyDescent="0.3">
      <c r="B1365" s="5" t="s">
        <v>1189</v>
      </c>
      <c r="C1365" s="5" t="s">
        <v>10</v>
      </c>
      <c r="D1365" s="5" t="s">
        <v>1154</v>
      </c>
      <c r="E1365" s="5" t="s">
        <v>1192</v>
      </c>
      <c r="F1365" s="5" t="s">
        <v>61</v>
      </c>
      <c r="G1365" s="5" t="s">
        <v>62</v>
      </c>
      <c r="H1365" s="6">
        <v>350</v>
      </c>
      <c r="I1365" s="5"/>
    </row>
    <row r="1366" spans="1:9" x14ac:dyDescent="0.3">
      <c r="B1366" s="5" t="s">
        <v>1189</v>
      </c>
      <c r="C1366" s="5" t="s">
        <v>10</v>
      </c>
      <c r="D1366" s="5" t="s">
        <v>1154</v>
      </c>
      <c r="E1366" s="5" t="s">
        <v>1192</v>
      </c>
      <c r="F1366" s="5" t="s">
        <v>13</v>
      </c>
      <c r="G1366" s="5" t="s">
        <v>14</v>
      </c>
      <c r="H1366" s="5"/>
      <c r="I1366" s="6">
        <v>350</v>
      </c>
    </row>
    <row r="1367" spans="1:9" x14ac:dyDescent="0.3">
      <c r="B1367" s="5" t="s">
        <v>1189</v>
      </c>
      <c r="C1367" s="5" t="s">
        <v>10</v>
      </c>
      <c r="D1367" s="5" t="s">
        <v>1154</v>
      </c>
      <c r="E1367" s="5" t="s">
        <v>1192</v>
      </c>
      <c r="F1367" s="5" t="s">
        <v>61</v>
      </c>
      <c r="G1367" s="5" t="s">
        <v>62</v>
      </c>
      <c r="H1367" s="6">
        <v>340</v>
      </c>
      <c r="I1367" s="5"/>
    </row>
    <row r="1368" spans="1:9" x14ac:dyDescent="0.3">
      <c r="B1368" s="5" t="s">
        <v>1189</v>
      </c>
      <c r="C1368" s="5" t="s">
        <v>10</v>
      </c>
      <c r="D1368" s="5" t="s">
        <v>1154</v>
      </c>
      <c r="E1368" s="5" t="s">
        <v>1192</v>
      </c>
      <c r="F1368" s="5" t="s">
        <v>13</v>
      </c>
      <c r="G1368" s="5" t="s">
        <v>14</v>
      </c>
      <c r="H1368" s="5"/>
      <c r="I1368" s="6">
        <v>340</v>
      </c>
    </row>
    <row r="1369" spans="1:9" x14ac:dyDescent="0.3">
      <c r="A1369" s="7" t="s">
        <v>1193</v>
      </c>
      <c r="H1369" s="8">
        <f>H1362+H1363+H1364+H1365+H1366+H1367+H1368</f>
        <v>900</v>
      </c>
      <c r="I1369" s="8">
        <f>I1362+I1363+I1364+I1365+I1366+I1367+I1368</f>
        <v>900</v>
      </c>
    </row>
    <row r="1370" spans="1:9" x14ac:dyDescent="0.3">
      <c r="A1370" s="4" t="s">
        <v>1194</v>
      </c>
    </row>
    <row r="1371" spans="1:9" x14ac:dyDescent="0.3">
      <c r="B1371" s="5" t="s">
        <v>1189</v>
      </c>
      <c r="C1371" s="5" t="s">
        <v>10</v>
      </c>
      <c r="D1371" s="5" t="s">
        <v>1157</v>
      </c>
      <c r="E1371" s="5" t="s">
        <v>1195</v>
      </c>
      <c r="F1371" s="5" t="s">
        <v>1196</v>
      </c>
      <c r="G1371" s="5" t="s">
        <v>1197</v>
      </c>
      <c r="H1371" s="6">
        <v>2000</v>
      </c>
      <c r="I1371" s="5"/>
    </row>
    <row r="1372" spans="1:9" x14ac:dyDescent="0.3">
      <c r="B1372" s="5" t="s">
        <v>1189</v>
      </c>
      <c r="C1372" s="5" t="s">
        <v>10</v>
      </c>
      <c r="D1372" s="5" t="s">
        <v>1157</v>
      </c>
      <c r="E1372" s="5" t="s">
        <v>1198</v>
      </c>
      <c r="F1372" s="5" t="s">
        <v>1199</v>
      </c>
      <c r="G1372" s="5" t="s">
        <v>1200</v>
      </c>
      <c r="H1372" s="6">
        <v>2000</v>
      </c>
      <c r="I1372" s="5"/>
    </row>
    <row r="1373" spans="1:9" x14ac:dyDescent="0.3">
      <c r="B1373" s="5" t="s">
        <v>1189</v>
      </c>
      <c r="C1373" s="5" t="s">
        <v>10</v>
      </c>
      <c r="D1373" s="5" t="s">
        <v>1157</v>
      </c>
      <c r="E1373" s="5" t="s">
        <v>1201</v>
      </c>
      <c r="F1373" s="5" t="s">
        <v>13</v>
      </c>
      <c r="G1373" s="5" t="s">
        <v>14</v>
      </c>
      <c r="H1373" s="5"/>
      <c r="I1373" s="6">
        <v>4000</v>
      </c>
    </row>
    <row r="1374" spans="1:9" x14ac:dyDescent="0.3">
      <c r="A1374" s="7" t="s">
        <v>1202</v>
      </c>
      <c r="H1374" s="8">
        <f>H1371+H1372+H1373</f>
        <v>4000</v>
      </c>
      <c r="I1374" s="8">
        <f>I1371+I1372+I1373</f>
        <v>4000</v>
      </c>
    </row>
    <row r="1375" spans="1:9" x14ac:dyDescent="0.3">
      <c r="A1375" s="4" t="s">
        <v>1203</v>
      </c>
    </row>
    <row r="1376" spans="1:9" x14ac:dyDescent="0.3">
      <c r="B1376" s="5" t="s">
        <v>1189</v>
      </c>
      <c r="C1376" s="5" t="s">
        <v>10</v>
      </c>
      <c r="D1376" s="5" t="s">
        <v>1160</v>
      </c>
      <c r="E1376" s="5" t="s">
        <v>1204</v>
      </c>
      <c r="F1376" s="5" t="s">
        <v>35</v>
      </c>
      <c r="G1376" s="5" t="s">
        <v>36</v>
      </c>
      <c r="H1376" s="6">
        <v>3810</v>
      </c>
      <c r="I1376" s="5"/>
    </row>
    <row r="1377" spans="1:9" x14ac:dyDescent="0.3">
      <c r="B1377" s="5" t="s">
        <v>1189</v>
      </c>
      <c r="C1377" s="5" t="s">
        <v>10</v>
      </c>
      <c r="D1377" s="5" t="s">
        <v>1160</v>
      </c>
      <c r="E1377" s="5" t="s">
        <v>1204</v>
      </c>
      <c r="F1377" s="5" t="s">
        <v>13</v>
      </c>
      <c r="G1377" s="5" t="s">
        <v>14</v>
      </c>
      <c r="H1377" s="5"/>
      <c r="I1377" s="6">
        <v>3810</v>
      </c>
    </row>
    <row r="1378" spans="1:9" x14ac:dyDescent="0.3">
      <c r="A1378" s="7" t="s">
        <v>1205</v>
      </c>
      <c r="H1378" s="8">
        <f>H1376+H1377</f>
        <v>3810</v>
      </c>
      <c r="I1378" s="8">
        <f>I1376+I1377</f>
        <v>3810</v>
      </c>
    </row>
    <row r="1379" spans="1:9" x14ac:dyDescent="0.3">
      <c r="A1379" s="4" t="s">
        <v>1206</v>
      </c>
    </row>
    <row r="1380" spans="1:9" x14ac:dyDescent="0.3">
      <c r="B1380" s="5" t="s">
        <v>1189</v>
      </c>
      <c r="C1380" s="5" t="s">
        <v>10</v>
      </c>
      <c r="D1380" s="5" t="s">
        <v>1164</v>
      </c>
      <c r="E1380" s="5" t="s">
        <v>1207</v>
      </c>
      <c r="F1380" s="5" t="s">
        <v>129</v>
      </c>
      <c r="G1380" s="5" t="s">
        <v>130</v>
      </c>
      <c r="H1380" s="6">
        <v>240</v>
      </c>
      <c r="I1380" s="5"/>
    </row>
    <row r="1381" spans="1:9" x14ac:dyDescent="0.3">
      <c r="B1381" s="5" t="s">
        <v>1189</v>
      </c>
      <c r="C1381" s="5" t="s">
        <v>10</v>
      </c>
      <c r="D1381" s="5" t="s">
        <v>1164</v>
      </c>
      <c r="E1381" s="5" t="s">
        <v>1207</v>
      </c>
      <c r="F1381" s="5" t="s">
        <v>13</v>
      </c>
      <c r="G1381" s="5" t="s">
        <v>14</v>
      </c>
      <c r="H1381" s="5"/>
      <c r="I1381" s="6">
        <v>240</v>
      </c>
    </row>
    <row r="1382" spans="1:9" x14ac:dyDescent="0.3">
      <c r="A1382" s="7" t="s">
        <v>1208</v>
      </c>
      <c r="H1382" s="8">
        <f>H1380+H1381</f>
        <v>240</v>
      </c>
      <c r="I1382" s="8">
        <f>I1380+I1381</f>
        <v>240</v>
      </c>
    </row>
    <row r="1383" spans="1:9" x14ac:dyDescent="0.3">
      <c r="A1383" s="4" t="s">
        <v>1209</v>
      </c>
    </row>
    <row r="1384" spans="1:9" x14ac:dyDescent="0.3">
      <c r="B1384" s="5" t="s">
        <v>1210</v>
      </c>
      <c r="C1384" s="5" t="s">
        <v>10</v>
      </c>
      <c r="D1384" s="5" t="s">
        <v>1168</v>
      </c>
      <c r="E1384" s="5" t="s">
        <v>1211</v>
      </c>
      <c r="F1384" s="5" t="s">
        <v>61</v>
      </c>
      <c r="G1384" s="5" t="s">
        <v>62</v>
      </c>
      <c r="H1384" s="6">
        <v>200</v>
      </c>
      <c r="I1384" s="5"/>
    </row>
    <row r="1385" spans="1:9" x14ac:dyDescent="0.3">
      <c r="B1385" s="5" t="s">
        <v>1210</v>
      </c>
      <c r="C1385" s="5" t="s">
        <v>10</v>
      </c>
      <c r="D1385" s="5" t="s">
        <v>1168</v>
      </c>
      <c r="E1385" s="5" t="s">
        <v>1211</v>
      </c>
      <c r="F1385" s="5" t="s">
        <v>13</v>
      </c>
      <c r="G1385" s="5" t="s">
        <v>14</v>
      </c>
      <c r="H1385" s="5"/>
      <c r="I1385" s="6">
        <v>200</v>
      </c>
    </row>
    <row r="1386" spans="1:9" x14ac:dyDescent="0.3">
      <c r="A1386" s="7" t="s">
        <v>1212</v>
      </c>
      <c r="H1386" s="8">
        <f>H1384+H1385</f>
        <v>200</v>
      </c>
      <c r="I1386" s="8">
        <f>I1384+I1385</f>
        <v>200</v>
      </c>
    </row>
    <row r="1387" spans="1:9" x14ac:dyDescent="0.3">
      <c r="A1387" s="4" t="s">
        <v>1213</v>
      </c>
    </row>
    <row r="1388" spans="1:9" x14ac:dyDescent="0.3">
      <c r="B1388" s="5" t="s">
        <v>1214</v>
      </c>
      <c r="C1388" s="5" t="s">
        <v>10</v>
      </c>
      <c r="D1388" s="5" t="s">
        <v>1172</v>
      </c>
      <c r="E1388" s="5" t="s">
        <v>1215</v>
      </c>
      <c r="F1388" s="5" t="s">
        <v>23</v>
      </c>
      <c r="G1388" s="5" t="s">
        <v>24</v>
      </c>
      <c r="H1388" s="6">
        <v>33000</v>
      </c>
      <c r="I1388" s="5"/>
    </row>
    <row r="1389" spans="1:9" x14ac:dyDescent="0.3">
      <c r="B1389" s="5" t="s">
        <v>1214</v>
      </c>
      <c r="C1389" s="5" t="s">
        <v>10</v>
      </c>
      <c r="D1389" s="5" t="s">
        <v>1172</v>
      </c>
      <c r="E1389" s="5" t="s">
        <v>1216</v>
      </c>
      <c r="F1389" s="5" t="s">
        <v>29</v>
      </c>
      <c r="G1389" s="5" t="s">
        <v>30</v>
      </c>
      <c r="H1389" s="5"/>
      <c r="I1389" s="6">
        <v>3000</v>
      </c>
    </row>
    <row r="1390" spans="1:9" x14ac:dyDescent="0.3">
      <c r="B1390" s="5" t="s">
        <v>1214</v>
      </c>
      <c r="C1390" s="5" t="s">
        <v>10</v>
      </c>
      <c r="D1390" s="5" t="s">
        <v>1172</v>
      </c>
      <c r="E1390" s="5" t="s">
        <v>1215</v>
      </c>
      <c r="F1390" s="5" t="s">
        <v>26</v>
      </c>
      <c r="G1390" s="5" t="s">
        <v>27</v>
      </c>
      <c r="H1390" s="5"/>
      <c r="I1390" s="6">
        <v>30000</v>
      </c>
    </row>
    <row r="1391" spans="1:9" x14ac:dyDescent="0.3">
      <c r="A1391" s="7" t="s">
        <v>1217</v>
      </c>
      <c r="H1391" s="8">
        <f>H1388+H1389+H1390</f>
        <v>33000</v>
      </c>
      <c r="I1391" s="8">
        <f>I1388+I1389+I1390</f>
        <v>33000</v>
      </c>
    </row>
    <row r="1392" spans="1:9" x14ac:dyDescent="0.3">
      <c r="A1392" s="4" t="s">
        <v>1218</v>
      </c>
    </row>
    <row r="1393" spans="1:9" x14ac:dyDescent="0.3">
      <c r="B1393" s="5" t="s">
        <v>1214</v>
      </c>
      <c r="C1393" s="5" t="s">
        <v>10</v>
      </c>
      <c r="D1393" s="5" t="s">
        <v>1174</v>
      </c>
      <c r="E1393" s="5" t="s">
        <v>391</v>
      </c>
      <c r="F1393" s="5" t="s">
        <v>116</v>
      </c>
      <c r="G1393" s="5" t="s">
        <v>117</v>
      </c>
      <c r="H1393" s="6">
        <v>500</v>
      </c>
      <c r="I1393" s="5"/>
    </row>
    <row r="1394" spans="1:9" x14ac:dyDescent="0.3">
      <c r="B1394" s="5" t="s">
        <v>1214</v>
      </c>
      <c r="C1394" s="5" t="s">
        <v>10</v>
      </c>
      <c r="D1394" s="5" t="s">
        <v>1174</v>
      </c>
      <c r="E1394" s="5" t="s">
        <v>391</v>
      </c>
      <c r="F1394" s="5" t="s">
        <v>13</v>
      </c>
      <c r="G1394" s="5" t="s">
        <v>14</v>
      </c>
      <c r="H1394" s="5"/>
      <c r="I1394" s="6">
        <v>500</v>
      </c>
    </row>
    <row r="1395" spans="1:9" x14ac:dyDescent="0.3">
      <c r="A1395" s="7" t="s">
        <v>1219</v>
      </c>
      <c r="H1395" s="8">
        <f>H1393+H1394</f>
        <v>500</v>
      </c>
      <c r="I1395" s="8">
        <f>I1393+I1394</f>
        <v>500</v>
      </c>
    </row>
    <row r="1396" spans="1:9" x14ac:dyDescent="0.3">
      <c r="A1396" s="4" t="s">
        <v>1220</v>
      </c>
    </row>
    <row r="1397" spans="1:9" x14ac:dyDescent="0.3">
      <c r="B1397" s="5" t="s">
        <v>1214</v>
      </c>
      <c r="C1397" s="5" t="s">
        <v>10</v>
      </c>
      <c r="D1397" s="5" t="s">
        <v>1180</v>
      </c>
      <c r="E1397" s="5" t="s">
        <v>1221</v>
      </c>
      <c r="F1397" s="5" t="s">
        <v>70</v>
      </c>
      <c r="G1397" s="5" t="s">
        <v>71</v>
      </c>
      <c r="H1397" s="6">
        <v>360</v>
      </c>
      <c r="I1397" s="5"/>
    </row>
    <row r="1398" spans="1:9" x14ac:dyDescent="0.3">
      <c r="B1398" s="5" t="s">
        <v>1214</v>
      </c>
      <c r="C1398" s="5" t="s">
        <v>10</v>
      </c>
      <c r="D1398" s="5" t="s">
        <v>1180</v>
      </c>
      <c r="E1398" s="5" t="s">
        <v>1221</v>
      </c>
      <c r="F1398" s="5" t="s">
        <v>13</v>
      </c>
      <c r="G1398" s="5" t="s">
        <v>14</v>
      </c>
      <c r="H1398" s="5"/>
      <c r="I1398" s="6">
        <v>360</v>
      </c>
    </row>
    <row r="1399" spans="1:9" x14ac:dyDescent="0.3">
      <c r="A1399" s="7" t="s">
        <v>1222</v>
      </c>
      <c r="H1399" s="8">
        <f>H1397+H1398</f>
        <v>360</v>
      </c>
      <c r="I1399" s="8">
        <f>I1397+I1398</f>
        <v>360</v>
      </c>
    </row>
    <row r="1400" spans="1:9" x14ac:dyDescent="0.3">
      <c r="A1400" s="4" t="s">
        <v>1223</v>
      </c>
    </row>
    <row r="1401" spans="1:9" x14ac:dyDescent="0.3">
      <c r="B1401" s="5" t="s">
        <v>1214</v>
      </c>
      <c r="C1401" s="5" t="s">
        <v>10</v>
      </c>
      <c r="D1401" s="5" t="s">
        <v>1182</v>
      </c>
      <c r="E1401" s="5" t="s">
        <v>1224</v>
      </c>
      <c r="F1401" s="5" t="s">
        <v>58</v>
      </c>
      <c r="G1401" s="5" t="s">
        <v>59</v>
      </c>
      <c r="H1401" s="6">
        <v>1000</v>
      </c>
      <c r="I1401" s="5"/>
    </row>
    <row r="1402" spans="1:9" x14ac:dyDescent="0.3">
      <c r="B1402" s="5" t="s">
        <v>1214</v>
      </c>
      <c r="C1402" s="5" t="s">
        <v>10</v>
      </c>
      <c r="D1402" s="5" t="s">
        <v>1182</v>
      </c>
      <c r="E1402" s="5" t="s">
        <v>1224</v>
      </c>
      <c r="F1402" s="5" t="s">
        <v>13</v>
      </c>
      <c r="G1402" s="5" t="s">
        <v>14</v>
      </c>
      <c r="H1402" s="5"/>
      <c r="I1402" s="6">
        <v>1000</v>
      </c>
    </row>
    <row r="1403" spans="1:9" x14ac:dyDescent="0.3">
      <c r="A1403" s="7" t="s">
        <v>1225</v>
      </c>
      <c r="H1403" s="8">
        <f>H1401+H1402</f>
        <v>1000</v>
      </c>
      <c r="I1403" s="8">
        <f>I1401+I1402</f>
        <v>1000</v>
      </c>
    </row>
    <row r="1404" spans="1:9" x14ac:dyDescent="0.3">
      <c r="A1404" s="4" t="s">
        <v>1226</v>
      </c>
    </row>
    <row r="1405" spans="1:9" x14ac:dyDescent="0.3">
      <c r="B1405" s="5" t="s">
        <v>1214</v>
      </c>
      <c r="C1405" s="5" t="s">
        <v>10</v>
      </c>
      <c r="D1405" s="5" t="s">
        <v>1185</v>
      </c>
      <c r="E1405" s="5" t="s">
        <v>1227</v>
      </c>
      <c r="F1405" s="5" t="s">
        <v>67</v>
      </c>
      <c r="G1405" s="5" t="s">
        <v>68</v>
      </c>
      <c r="H1405" s="6">
        <v>120</v>
      </c>
      <c r="I1405" s="5"/>
    </row>
    <row r="1406" spans="1:9" x14ac:dyDescent="0.3">
      <c r="B1406" s="5" t="s">
        <v>1214</v>
      </c>
      <c r="C1406" s="5" t="s">
        <v>10</v>
      </c>
      <c r="D1406" s="5" t="s">
        <v>1185</v>
      </c>
      <c r="E1406" s="5" t="s">
        <v>1227</v>
      </c>
      <c r="F1406" s="5" t="s">
        <v>13</v>
      </c>
      <c r="G1406" s="5" t="s">
        <v>14</v>
      </c>
      <c r="H1406" s="5"/>
      <c r="I1406" s="6">
        <v>120</v>
      </c>
    </row>
    <row r="1407" spans="1:9" x14ac:dyDescent="0.3">
      <c r="A1407" s="7" t="s">
        <v>1228</v>
      </c>
      <c r="H1407" s="8">
        <f>H1405+H1406</f>
        <v>120</v>
      </c>
      <c r="I1407" s="8">
        <f>I1405+I1406</f>
        <v>120</v>
      </c>
    </row>
    <row r="1408" spans="1:9" x14ac:dyDescent="0.3">
      <c r="A1408" s="4" t="s">
        <v>1229</v>
      </c>
    </row>
    <row r="1409" spans="1:9" x14ac:dyDescent="0.3">
      <c r="B1409" s="5" t="s">
        <v>1214</v>
      </c>
      <c r="C1409" s="5" t="s">
        <v>10</v>
      </c>
      <c r="D1409" s="5" t="s">
        <v>1188</v>
      </c>
      <c r="E1409" s="5" t="s">
        <v>1230</v>
      </c>
      <c r="F1409" s="5" t="s">
        <v>61</v>
      </c>
      <c r="G1409" s="5" t="s">
        <v>62</v>
      </c>
      <c r="H1409" s="6">
        <v>190</v>
      </c>
      <c r="I1409" s="5"/>
    </row>
    <row r="1410" spans="1:9" x14ac:dyDescent="0.3">
      <c r="B1410" s="5" t="s">
        <v>1214</v>
      </c>
      <c r="C1410" s="5" t="s">
        <v>10</v>
      </c>
      <c r="D1410" s="5" t="s">
        <v>1188</v>
      </c>
      <c r="E1410" s="5" t="s">
        <v>1231</v>
      </c>
      <c r="F1410" s="5" t="s">
        <v>70</v>
      </c>
      <c r="G1410" s="5" t="s">
        <v>71</v>
      </c>
      <c r="H1410" s="6">
        <v>90</v>
      </c>
      <c r="I1410" s="5"/>
    </row>
    <row r="1411" spans="1:9" x14ac:dyDescent="0.3">
      <c r="B1411" s="5" t="s">
        <v>1214</v>
      </c>
      <c r="C1411" s="5" t="s">
        <v>10</v>
      </c>
      <c r="D1411" s="5" t="s">
        <v>1188</v>
      </c>
      <c r="E1411" s="5" t="s">
        <v>1232</v>
      </c>
      <c r="F1411" s="5" t="s">
        <v>13</v>
      </c>
      <c r="G1411" s="5" t="s">
        <v>14</v>
      </c>
      <c r="H1411" s="5"/>
      <c r="I1411" s="6">
        <v>280</v>
      </c>
    </row>
    <row r="1412" spans="1:9" x14ac:dyDescent="0.3">
      <c r="A1412" s="7" t="s">
        <v>1233</v>
      </c>
      <c r="H1412" s="8">
        <f>H1409+H1410+H1411</f>
        <v>280</v>
      </c>
      <c r="I1412" s="8">
        <f>I1409+I1410+I1411</f>
        <v>280</v>
      </c>
    </row>
    <row r="1413" spans="1:9" x14ac:dyDescent="0.3">
      <c r="A1413" s="4" t="s">
        <v>1234</v>
      </c>
    </row>
    <row r="1414" spans="1:9" x14ac:dyDescent="0.3">
      <c r="B1414" s="5" t="s">
        <v>1214</v>
      </c>
      <c r="C1414" s="5" t="s">
        <v>10</v>
      </c>
      <c r="D1414" s="5" t="s">
        <v>1194</v>
      </c>
      <c r="E1414" s="5" t="s">
        <v>1235</v>
      </c>
      <c r="F1414" s="5" t="s">
        <v>441</v>
      </c>
      <c r="G1414" s="5" t="s">
        <v>442</v>
      </c>
      <c r="H1414" s="6">
        <v>1000</v>
      </c>
      <c r="I1414" s="5"/>
    </row>
    <row r="1415" spans="1:9" x14ac:dyDescent="0.3">
      <c r="B1415" s="5" t="s">
        <v>1214</v>
      </c>
      <c r="C1415" s="5" t="s">
        <v>10</v>
      </c>
      <c r="D1415" s="5" t="s">
        <v>1194</v>
      </c>
      <c r="E1415" s="5" t="s">
        <v>1235</v>
      </c>
      <c r="F1415" s="5" t="s">
        <v>13</v>
      </c>
      <c r="G1415" s="5" t="s">
        <v>14</v>
      </c>
      <c r="H1415" s="5"/>
      <c r="I1415" s="6">
        <v>1000</v>
      </c>
    </row>
    <row r="1416" spans="1:9" x14ac:dyDescent="0.3">
      <c r="A1416" s="7" t="s">
        <v>1236</v>
      </c>
      <c r="H1416" s="8">
        <f>H1414+H1415</f>
        <v>1000</v>
      </c>
      <c r="I1416" s="8">
        <f>I1414+I1415</f>
        <v>1000</v>
      </c>
    </row>
    <row r="1417" spans="1:9" x14ac:dyDescent="0.3">
      <c r="A1417" s="4" t="s">
        <v>1237</v>
      </c>
    </row>
    <row r="1418" spans="1:9" x14ac:dyDescent="0.3">
      <c r="B1418" s="5" t="s">
        <v>1214</v>
      </c>
      <c r="C1418" s="5" t="s">
        <v>10</v>
      </c>
      <c r="D1418" s="5" t="s">
        <v>1203</v>
      </c>
      <c r="E1418" s="5" t="s">
        <v>1238</v>
      </c>
      <c r="F1418" s="5" t="s">
        <v>61</v>
      </c>
      <c r="G1418" s="5" t="s">
        <v>62</v>
      </c>
      <c r="H1418" s="6">
        <v>150</v>
      </c>
      <c r="I1418" s="5"/>
    </row>
    <row r="1419" spans="1:9" x14ac:dyDescent="0.3">
      <c r="B1419" s="5" t="s">
        <v>1214</v>
      </c>
      <c r="C1419" s="5" t="s">
        <v>10</v>
      </c>
      <c r="D1419" s="5" t="s">
        <v>1203</v>
      </c>
      <c r="E1419" s="5" t="s">
        <v>1238</v>
      </c>
      <c r="F1419" s="5" t="s">
        <v>13</v>
      </c>
      <c r="G1419" s="5" t="s">
        <v>14</v>
      </c>
      <c r="H1419" s="5"/>
      <c r="I1419" s="6">
        <v>150</v>
      </c>
    </row>
    <row r="1420" spans="1:9" x14ac:dyDescent="0.3">
      <c r="A1420" s="7" t="s">
        <v>1239</v>
      </c>
      <c r="H1420" s="8">
        <f>H1418+H1419</f>
        <v>150</v>
      </c>
      <c r="I1420" s="8">
        <f>I1418+I1419</f>
        <v>150</v>
      </c>
    </row>
    <row r="1421" spans="1:9" x14ac:dyDescent="0.3">
      <c r="A1421" s="4" t="s">
        <v>1240</v>
      </c>
    </row>
    <row r="1422" spans="1:9" x14ac:dyDescent="0.3">
      <c r="B1422" s="5" t="s">
        <v>1241</v>
      </c>
      <c r="C1422" s="5" t="s">
        <v>10</v>
      </c>
      <c r="D1422" s="5" t="s">
        <v>1206</v>
      </c>
      <c r="E1422" s="5" t="s">
        <v>1242</v>
      </c>
      <c r="F1422" s="5" t="s">
        <v>176</v>
      </c>
      <c r="G1422" s="5" t="s">
        <v>177</v>
      </c>
      <c r="H1422" s="6">
        <v>6000</v>
      </c>
      <c r="I1422" s="5"/>
    </row>
    <row r="1423" spans="1:9" x14ac:dyDescent="0.3">
      <c r="B1423" s="5" t="s">
        <v>1241</v>
      </c>
      <c r="C1423" s="5" t="s">
        <v>10</v>
      </c>
      <c r="D1423" s="5" t="s">
        <v>1206</v>
      </c>
      <c r="E1423" s="5" t="s">
        <v>1242</v>
      </c>
      <c r="F1423" s="5" t="s">
        <v>13</v>
      </c>
      <c r="G1423" s="5" t="s">
        <v>14</v>
      </c>
      <c r="H1423" s="5"/>
      <c r="I1423" s="6">
        <v>6000</v>
      </c>
    </row>
    <row r="1424" spans="1:9" x14ac:dyDescent="0.3">
      <c r="A1424" s="7" t="s">
        <v>1243</v>
      </c>
      <c r="H1424" s="8">
        <f>H1422+H1423</f>
        <v>6000</v>
      </c>
      <c r="I1424" s="8">
        <f>I1422+I1423</f>
        <v>6000</v>
      </c>
    </row>
    <row r="1425" spans="1:9" x14ac:dyDescent="0.3">
      <c r="A1425" s="4" t="s">
        <v>1244</v>
      </c>
    </row>
    <row r="1426" spans="1:9" x14ac:dyDescent="0.3">
      <c r="B1426" s="5" t="s">
        <v>1241</v>
      </c>
      <c r="C1426" s="5" t="s">
        <v>10</v>
      </c>
      <c r="D1426" s="5" t="s">
        <v>1209</v>
      </c>
      <c r="E1426" s="5" t="s">
        <v>1245</v>
      </c>
      <c r="F1426" s="5" t="s">
        <v>61</v>
      </c>
      <c r="G1426" s="5" t="s">
        <v>62</v>
      </c>
      <c r="H1426" s="6">
        <v>530</v>
      </c>
      <c r="I1426" s="5"/>
    </row>
    <row r="1427" spans="1:9" x14ac:dyDescent="0.3">
      <c r="B1427" s="5" t="s">
        <v>1241</v>
      </c>
      <c r="C1427" s="5" t="s">
        <v>10</v>
      </c>
      <c r="D1427" s="5" t="s">
        <v>1209</v>
      </c>
      <c r="E1427" s="5" t="s">
        <v>1245</v>
      </c>
      <c r="F1427" s="5" t="s">
        <v>13</v>
      </c>
      <c r="G1427" s="5" t="s">
        <v>14</v>
      </c>
      <c r="H1427" s="5"/>
      <c r="I1427" s="6">
        <v>530</v>
      </c>
    </row>
    <row r="1428" spans="1:9" x14ac:dyDescent="0.3">
      <c r="A1428" s="7" t="s">
        <v>1246</v>
      </c>
      <c r="H1428" s="8">
        <f>H1426+H1427</f>
        <v>530</v>
      </c>
      <c r="I1428" s="8">
        <f>I1426+I1427</f>
        <v>530</v>
      </c>
    </row>
    <row r="1429" spans="1:9" x14ac:dyDescent="0.3">
      <c r="A1429" s="4" t="s">
        <v>1247</v>
      </c>
    </row>
    <row r="1430" spans="1:9" x14ac:dyDescent="0.3">
      <c r="B1430" s="5" t="s">
        <v>1241</v>
      </c>
      <c r="C1430" s="5" t="s">
        <v>10</v>
      </c>
      <c r="D1430" s="5" t="s">
        <v>1213</v>
      </c>
      <c r="E1430" s="5" t="s">
        <v>391</v>
      </c>
      <c r="F1430" s="5" t="s">
        <v>116</v>
      </c>
      <c r="G1430" s="5" t="s">
        <v>117</v>
      </c>
      <c r="H1430" s="6">
        <v>500</v>
      </c>
      <c r="I1430" s="5"/>
    </row>
    <row r="1431" spans="1:9" x14ac:dyDescent="0.3">
      <c r="B1431" s="5" t="s">
        <v>1241</v>
      </c>
      <c r="C1431" s="5" t="s">
        <v>10</v>
      </c>
      <c r="D1431" s="5" t="s">
        <v>1213</v>
      </c>
      <c r="E1431" s="5" t="s">
        <v>391</v>
      </c>
      <c r="F1431" s="5" t="s">
        <v>13</v>
      </c>
      <c r="G1431" s="5" t="s">
        <v>14</v>
      </c>
      <c r="H1431" s="5"/>
      <c r="I1431" s="6">
        <v>500</v>
      </c>
    </row>
    <row r="1432" spans="1:9" x14ac:dyDescent="0.3">
      <c r="A1432" s="7" t="s">
        <v>1248</v>
      </c>
      <c r="H1432" s="8">
        <f>H1430+H1431</f>
        <v>500</v>
      </c>
      <c r="I1432" s="8">
        <f>I1430+I1431</f>
        <v>500</v>
      </c>
    </row>
    <row r="1433" spans="1:9" x14ac:dyDescent="0.3">
      <c r="A1433" s="4" t="s">
        <v>1249</v>
      </c>
    </row>
    <row r="1434" spans="1:9" x14ac:dyDescent="0.3">
      <c r="B1434" s="5" t="s">
        <v>1250</v>
      </c>
      <c r="C1434" s="5" t="s">
        <v>10</v>
      </c>
      <c r="D1434" s="5" t="s">
        <v>1218</v>
      </c>
      <c r="E1434" s="5" t="s">
        <v>561</v>
      </c>
      <c r="F1434" s="5" t="s">
        <v>129</v>
      </c>
      <c r="G1434" s="5" t="s">
        <v>130</v>
      </c>
      <c r="H1434" s="6">
        <v>240</v>
      </c>
      <c r="I1434" s="5"/>
    </row>
    <row r="1435" spans="1:9" x14ac:dyDescent="0.3">
      <c r="B1435" s="5" t="s">
        <v>1250</v>
      </c>
      <c r="C1435" s="5" t="s">
        <v>10</v>
      </c>
      <c r="D1435" s="5" t="s">
        <v>1218</v>
      </c>
      <c r="E1435" s="5" t="s">
        <v>561</v>
      </c>
      <c r="F1435" s="5" t="s">
        <v>13</v>
      </c>
      <c r="G1435" s="5" t="s">
        <v>14</v>
      </c>
      <c r="H1435" s="5"/>
      <c r="I1435" s="6">
        <v>240</v>
      </c>
    </row>
    <row r="1436" spans="1:9" x14ac:dyDescent="0.3">
      <c r="A1436" s="7" t="s">
        <v>1251</v>
      </c>
      <c r="H1436" s="8">
        <f>H1434+H1435</f>
        <v>240</v>
      </c>
      <c r="I1436" s="8">
        <f>I1434+I1435</f>
        <v>240</v>
      </c>
    </row>
    <row r="1437" spans="1:9" x14ac:dyDescent="0.3">
      <c r="A1437" s="4" t="s">
        <v>1252</v>
      </c>
    </row>
    <row r="1438" spans="1:9" x14ac:dyDescent="0.3">
      <c r="B1438" s="5" t="s">
        <v>1250</v>
      </c>
      <c r="C1438" s="5" t="s">
        <v>10</v>
      </c>
      <c r="D1438" s="5" t="s">
        <v>1220</v>
      </c>
      <c r="E1438" s="5" t="s">
        <v>1253</v>
      </c>
      <c r="F1438" s="5" t="s">
        <v>61</v>
      </c>
      <c r="G1438" s="5" t="s">
        <v>62</v>
      </c>
      <c r="H1438" s="6">
        <v>390</v>
      </c>
      <c r="I1438" s="5"/>
    </row>
    <row r="1439" spans="1:9" x14ac:dyDescent="0.3">
      <c r="B1439" s="5" t="s">
        <v>1250</v>
      </c>
      <c r="C1439" s="5" t="s">
        <v>10</v>
      </c>
      <c r="D1439" s="5" t="s">
        <v>1220</v>
      </c>
      <c r="E1439" s="5" t="s">
        <v>1253</v>
      </c>
      <c r="F1439" s="5" t="s">
        <v>13</v>
      </c>
      <c r="G1439" s="5" t="s">
        <v>14</v>
      </c>
      <c r="H1439" s="5"/>
      <c r="I1439" s="6">
        <v>390</v>
      </c>
    </row>
    <row r="1440" spans="1:9" x14ac:dyDescent="0.3">
      <c r="A1440" s="7" t="s">
        <v>1254</v>
      </c>
      <c r="H1440" s="8">
        <f>H1438+H1439</f>
        <v>390</v>
      </c>
      <c r="I1440" s="8">
        <f>I1438+I1439</f>
        <v>390</v>
      </c>
    </row>
    <row r="1441" spans="1:9" x14ac:dyDescent="0.3">
      <c r="A1441" s="4" t="s">
        <v>1255</v>
      </c>
    </row>
    <row r="1442" spans="1:9" x14ac:dyDescent="0.3">
      <c r="B1442" s="5" t="s">
        <v>1256</v>
      </c>
      <c r="C1442" s="5" t="s">
        <v>10</v>
      </c>
      <c r="D1442" s="5" t="s">
        <v>1257</v>
      </c>
      <c r="E1442" s="5" t="s">
        <v>1258</v>
      </c>
      <c r="F1442" s="5" t="s">
        <v>70</v>
      </c>
      <c r="G1442" s="5" t="s">
        <v>71</v>
      </c>
      <c r="H1442" s="6">
        <v>50</v>
      </c>
      <c r="I1442" s="5"/>
    </row>
    <row r="1443" spans="1:9" x14ac:dyDescent="0.3">
      <c r="B1443" s="5" t="s">
        <v>1256</v>
      </c>
      <c r="C1443" s="5" t="s">
        <v>10</v>
      </c>
      <c r="D1443" s="5" t="s">
        <v>1257</v>
      </c>
      <c r="E1443" s="5" t="s">
        <v>1259</v>
      </c>
      <c r="F1443" s="5" t="s">
        <v>61</v>
      </c>
      <c r="G1443" s="5" t="s">
        <v>62</v>
      </c>
      <c r="H1443" s="6">
        <v>50</v>
      </c>
      <c r="I1443" s="5"/>
    </row>
    <row r="1444" spans="1:9" x14ac:dyDescent="0.3">
      <c r="B1444" s="5" t="s">
        <v>1256</v>
      </c>
      <c r="C1444" s="5" t="s">
        <v>10</v>
      </c>
      <c r="D1444" s="5" t="s">
        <v>1257</v>
      </c>
      <c r="E1444" s="5" t="s">
        <v>1260</v>
      </c>
      <c r="F1444" s="5" t="s">
        <v>13</v>
      </c>
      <c r="G1444" s="5" t="s">
        <v>14</v>
      </c>
      <c r="H1444" s="5"/>
      <c r="I1444" s="6">
        <v>100</v>
      </c>
    </row>
    <row r="1445" spans="1:9" x14ac:dyDescent="0.3">
      <c r="A1445" s="7" t="s">
        <v>1261</v>
      </c>
      <c r="H1445" s="8">
        <f>H1442+H1443+H1444</f>
        <v>100</v>
      </c>
      <c r="I1445" s="8">
        <f>I1442+I1443+I1444</f>
        <v>100</v>
      </c>
    </row>
    <row r="1446" spans="1:9" x14ac:dyDescent="0.3">
      <c r="A1446" s="4" t="s">
        <v>1262</v>
      </c>
    </row>
    <row r="1447" spans="1:9" x14ac:dyDescent="0.3">
      <c r="B1447" s="5" t="s">
        <v>1256</v>
      </c>
      <c r="C1447" s="5" t="s">
        <v>10</v>
      </c>
      <c r="D1447" s="5" t="s">
        <v>1263</v>
      </c>
      <c r="E1447" s="5" t="s">
        <v>1264</v>
      </c>
      <c r="F1447" s="5" t="s">
        <v>218</v>
      </c>
      <c r="G1447" s="5" t="s">
        <v>219</v>
      </c>
      <c r="H1447" s="6">
        <v>1000</v>
      </c>
      <c r="I1447" s="5"/>
    </row>
    <row r="1448" spans="1:9" x14ac:dyDescent="0.3">
      <c r="B1448" s="5" t="s">
        <v>1256</v>
      </c>
      <c r="C1448" s="5" t="s">
        <v>10</v>
      </c>
      <c r="D1448" s="5" t="s">
        <v>1263</v>
      </c>
      <c r="E1448" s="5" t="s">
        <v>1264</v>
      </c>
      <c r="F1448" s="5" t="s">
        <v>13</v>
      </c>
      <c r="G1448" s="5" t="s">
        <v>14</v>
      </c>
      <c r="H1448" s="5"/>
      <c r="I1448" s="6">
        <v>1000</v>
      </c>
    </row>
    <row r="1449" spans="1:9" x14ac:dyDescent="0.3">
      <c r="A1449" s="7" t="s">
        <v>1265</v>
      </c>
      <c r="H1449" s="8">
        <f>H1447+H1448</f>
        <v>1000</v>
      </c>
      <c r="I1449" s="8">
        <f>I1447+I1448</f>
        <v>1000</v>
      </c>
    </row>
    <row r="1450" spans="1:9" x14ac:dyDescent="0.3">
      <c r="A1450" s="4" t="s">
        <v>1266</v>
      </c>
    </row>
    <row r="1451" spans="1:9" x14ac:dyDescent="0.3">
      <c r="B1451" s="5" t="s">
        <v>1256</v>
      </c>
      <c r="C1451" s="5" t="s">
        <v>10</v>
      </c>
      <c r="D1451" s="5" t="s">
        <v>1267</v>
      </c>
      <c r="E1451" s="5" t="s">
        <v>1268</v>
      </c>
      <c r="F1451" s="5" t="s">
        <v>218</v>
      </c>
      <c r="G1451" s="5" t="s">
        <v>219</v>
      </c>
      <c r="H1451" s="6">
        <v>500</v>
      </c>
      <c r="I1451" s="5"/>
    </row>
    <row r="1452" spans="1:9" x14ac:dyDescent="0.3">
      <c r="B1452" s="5" t="s">
        <v>1256</v>
      </c>
      <c r="C1452" s="5" t="s">
        <v>10</v>
      </c>
      <c r="D1452" s="5" t="s">
        <v>1267</v>
      </c>
      <c r="E1452" s="5" t="s">
        <v>1268</v>
      </c>
      <c r="F1452" s="5" t="s">
        <v>13</v>
      </c>
      <c r="G1452" s="5" t="s">
        <v>14</v>
      </c>
      <c r="H1452" s="5"/>
      <c r="I1452" s="6">
        <v>500</v>
      </c>
    </row>
    <row r="1453" spans="1:9" x14ac:dyDescent="0.3">
      <c r="A1453" s="7" t="s">
        <v>1269</v>
      </c>
      <c r="H1453" s="8">
        <f>H1451+H1452</f>
        <v>500</v>
      </c>
      <c r="I1453" s="8">
        <f>I1451+I1452</f>
        <v>500</v>
      </c>
    </row>
    <row r="1454" spans="1:9" x14ac:dyDescent="0.3">
      <c r="A1454" s="4" t="s">
        <v>1270</v>
      </c>
    </row>
    <row r="1455" spans="1:9" x14ac:dyDescent="0.3">
      <c r="B1455" s="5" t="s">
        <v>1256</v>
      </c>
      <c r="C1455" s="5" t="s">
        <v>10</v>
      </c>
      <c r="D1455" s="5" t="s">
        <v>1271</v>
      </c>
      <c r="E1455" s="5" t="s">
        <v>636</v>
      </c>
      <c r="F1455" s="5" t="s">
        <v>61</v>
      </c>
      <c r="G1455" s="5" t="s">
        <v>62</v>
      </c>
      <c r="H1455" s="6">
        <v>250</v>
      </c>
      <c r="I1455" s="5"/>
    </row>
    <row r="1456" spans="1:9" x14ac:dyDescent="0.3">
      <c r="B1456" s="5" t="s">
        <v>1256</v>
      </c>
      <c r="C1456" s="5" t="s">
        <v>10</v>
      </c>
      <c r="D1456" s="5" t="s">
        <v>1271</v>
      </c>
      <c r="E1456" s="5" t="s">
        <v>636</v>
      </c>
      <c r="F1456" s="5" t="s">
        <v>13</v>
      </c>
      <c r="G1456" s="5" t="s">
        <v>14</v>
      </c>
      <c r="H1456" s="5"/>
      <c r="I1456" s="6">
        <v>250</v>
      </c>
    </row>
    <row r="1457" spans="1:9" x14ac:dyDescent="0.3">
      <c r="A1457" s="7" t="s">
        <v>1272</v>
      </c>
      <c r="H1457" s="8">
        <f>H1455+H1456</f>
        <v>250</v>
      </c>
      <c r="I1457" s="8">
        <f>I1455+I1456</f>
        <v>250</v>
      </c>
    </row>
    <row r="1458" spans="1:9" x14ac:dyDescent="0.3">
      <c r="A1458" s="4" t="s">
        <v>1273</v>
      </c>
    </row>
    <row r="1459" spans="1:9" x14ac:dyDescent="0.3">
      <c r="B1459" s="5" t="s">
        <v>1256</v>
      </c>
      <c r="C1459" s="5" t="s">
        <v>10</v>
      </c>
      <c r="D1459" s="5" t="s">
        <v>1274</v>
      </c>
      <c r="E1459" s="5" t="s">
        <v>1275</v>
      </c>
      <c r="F1459" s="5" t="s">
        <v>67</v>
      </c>
      <c r="G1459" s="5" t="s">
        <v>68</v>
      </c>
      <c r="H1459" s="6">
        <v>500</v>
      </c>
      <c r="I1459" s="5"/>
    </row>
    <row r="1460" spans="1:9" x14ac:dyDescent="0.3">
      <c r="B1460" s="5" t="s">
        <v>1256</v>
      </c>
      <c r="C1460" s="5" t="s">
        <v>10</v>
      </c>
      <c r="D1460" s="5" t="s">
        <v>1274</v>
      </c>
      <c r="E1460" s="5" t="s">
        <v>1275</v>
      </c>
      <c r="F1460" s="5" t="s">
        <v>13</v>
      </c>
      <c r="G1460" s="5" t="s">
        <v>14</v>
      </c>
      <c r="H1460" s="5"/>
      <c r="I1460" s="6">
        <v>500</v>
      </c>
    </row>
    <row r="1461" spans="1:9" x14ac:dyDescent="0.3">
      <c r="A1461" s="7" t="s">
        <v>1276</v>
      </c>
      <c r="H1461" s="8">
        <f>H1459+H1460</f>
        <v>500</v>
      </c>
      <c r="I1461" s="8">
        <f>I1459+I1460</f>
        <v>500</v>
      </c>
    </row>
    <row r="1462" spans="1:9" x14ac:dyDescent="0.3">
      <c r="A1462" s="4" t="s">
        <v>1277</v>
      </c>
    </row>
    <row r="1463" spans="1:9" x14ac:dyDescent="0.3">
      <c r="B1463" s="5" t="s">
        <v>1256</v>
      </c>
      <c r="C1463" s="5" t="s">
        <v>10</v>
      </c>
      <c r="D1463" s="5" t="s">
        <v>1278</v>
      </c>
      <c r="E1463" s="5" t="s">
        <v>725</v>
      </c>
      <c r="F1463" s="5" t="s">
        <v>67</v>
      </c>
      <c r="G1463" s="5" t="s">
        <v>68</v>
      </c>
      <c r="H1463" s="6">
        <v>140</v>
      </c>
      <c r="I1463" s="5"/>
    </row>
    <row r="1464" spans="1:9" x14ac:dyDescent="0.3">
      <c r="B1464" s="5" t="s">
        <v>1256</v>
      </c>
      <c r="C1464" s="5" t="s">
        <v>10</v>
      </c>
      <c r="D1464" s="5" t="s">
        <v>1278</v>
      </c>
      <c r="E1464" s="5" t="s">
        <v>725</v>
      </c>
      <c r="F1464" s="5" t="s">
        <v>13</v>
      </c>
      <c r="G1464" s="5" t="s">
        <v>14</v>
      </c>
      <c r="H1464" s="5"/>
      <c r="I1464" s="6">
        <v>140</v>
      </c>
    </row>
    <row r="1465" spans="1:9" x14ac:dyDescent="0.3">
      <c r="A1465" s="7" t="s">
        <v>1279</v>
      </c>
      <c r="H1465" s="8">
        <f>H1463+H1464</f>
        <v>140</v>
      </c>
      <c r="I1465" s="8">
        <f>I1463+I1464</f>
        <v>140</v>
      </c>
    </row>
    <row r="1466" spans="1:9" x14ac:dyDescent="0.3">
      <c r="A1466" s="4" t="s">
        <v>1280</v>
      </c>
    </row>
    <row r="1467" spans="1:9" x14ac:dyDescent="0.3">
      <c r="B1467" s="5" t="s">
        <v>1281</v>
      </c>
      <c r="C1467" s="5" t="s">
        <v>10</v>
      </c>
      <c r="D1467" s="5" t="s">
        <v>1282</v>
      </c>
      <c r="E1467" s="5" t="s">
        <v>1283</v>
      </c>
      <c r="F1467" s="5" t="s">
        <v>116</v>
      </c>
      <c r="G1467" s="5" t="s">
        <v>117</v>
      </c>
      <c r="H1467" s="6">
        <v>1000</v>
      </c>
      <c r="I1467" s="5"/>
    </row>
    <row r="1468" spans="1:9" x14ac:dyDescent="0.3">
      <c r="B1468" s="5" t="s">
        <v>1281</v>
      </c>
      <c r="C1468" s="5" t="s">
        <v>10</v>
      </c>
      <c r="D1468" s="5" t="s">
        <v>1282</v>
      </c>
      <c r="E1468" s="5" t="s">
        <v>1283</v>
      </c>
      <c r="F1468" s="5" t="s">
        <v>13</v>
      </c>
      <c r="G1468" s="5" t="s">
        <v>14</v>
      </c>
      <c r="H1468" s="5"/>
      <c r="I1468" s="6">
        <v>1000</v>
      </c>
    </row>
    <row r="1469" spans="1:9" x14ac:dyDescent="0.3">
      <c r="A1469" s="7" t="s">
        <v>1284</v>
      </c>
      <c r="H1469" s="8">
        <f>H1467+H1468</f>
        <v>1000</v>
      </c>
      <c r="I1469" s="8">
        <f>I1467+I1468</f>
        <v>1000</v>
      </c>
    </row>
    <row r="1470" spans="1:9" x14ac:dyDescent="0.3">
      <c r="A1470" s="4" t="s">
        <v>1285</v>
      </c>
    </row>
    <row r="1471" spans="1:9" x14ac:dyDescent="0.3">
      <c r="B1471" s="5" t="s">
        <v>1281</v>
      </c>
      <c r="C1471" s="5" t="s">
        <v>10</v>
      </c>
      <c r="D1471" s="5" t="s">
        <v>1286</v>
      </c>
      <c r="E1471" s="5" t="s">
        <v>944</v>
      </c>
      <c r="F1471" s="5" t="s">
        <v>61</v>
      </c>
      <c r="G1471" s="5" t="s">
        <v>62</v>
      </c>
      <c r="H1471" s="6">
        <v>240</v>
      </c>
      <c r="I1471" s="5"/>
    </row>
    <row r="1472" spans="1:9" x14ac:dyDescent="0.3">
      <c r="B1472" s="5" t="s">
        <v>1281</v>
      </c>
      <c r="C1472" s="5" t="s">
        <v>10</v>
      </c>
      <c r="D1472" s="5" t="s">
        <v>1286</v>
      </c>
      <c r="E1472" s="5" t="s">
        <v>944</v>
      </c>
      <c r="F1472" s="5" t="s">
        <v>13</v>
      </c>
      <c r="G1472" s="5" t="s">
        <v>14</v>
      </c>
      <c r="H1472" s="5"/>
      <c r="I1472" s="6">
        <v>240</v>
      </c>
    </row>
    <row r="1473" spans="1:9" x14ac:dyDescent="0.3">
      <c r="A1473" s="7" t="s">
        <v>1287</v>
      </c>
      <c r="H1473" s="8">
        <f>H1471+H1472</f>
        <v>240</v>
      </c>
      <c r="I1473" s="8">
        <f>I1471+I1472</f>
        <v>240</v>
      </c>
    </row>
    <row r="1474" spans="1:9" x14ac:dyDescent="0.3">
      <c r="A1474" s="4" t="s">
        <v>1288</v>
      </c>
    </row>
    <row r="1475" spans="1:9" x14ac:dyDescent="0.3">
      <c r="B1475" s="5" t="s">
        <v>1289</v>
      </c>
      <c r="C1475" s="5" t="s">
        <v>10</v>
      </c>
      <c r="D1475" s="5" t="s">
        <v>1290</v>
      </c>
      <c r="E1475" s="5" t="s">
        <v>1291</v>
      </c>
      <c r="F1475" s="5" t="s">
        <v>67</v>
      </c>
      <c r="G1475" s="5" t="s">
        <v>68</v>
      </c>
      <c r="H1475" s="6">
        <v>100</v>
      </c>
      <c r="I1475" s="5"/>
    </row>
    <row r="1476" spans="1:9" x14ac:dyDescent="0.3">
      <c r="B1476" s="5" t="s">
        <v>1289</v>
      </c>
      <c r="C1476" s="5" t="s">
        <v>10</v>
      </c>
      <c r="D1476" s="5" t="s">
        <v>1290</v>
      </c>
      <c r="E1476" s="5" t="s">
        <v>1291</v>
      </c>
      <c r="F1476" s="5" t="s">
        <v>13</v>
      </c>
      <c r="G1476" s="5" t="s">
        <v>14</v>
      </c>
      <c r="H1476" s="5"/>
      <c r="I1476" s="6">
        <v>100</v>
      </c>
    </row>
    <row r="1477" spans="1:9" x14ac:dyDescent="0.3">
      <c r="A1477" s="7" t="s">
        <v>1292</v>
      </c>
      <c r="H1477" s="8">
        <f>H1475+H1476</f>
        <v>100</v>
      </c>
      <c r="I1477" s="8">
        <f>I1475+I1476</f>
        <v>100</v>
      </c>
    </row>
    <row r="1478" spans="1:9" x14ac:dyDescent="0.3">
      <c r="A1478" s="4" t="s">
        <v>1293</v>
      </c>
    </row>
    <row r="1479" spans="1:9" x14ac:dyDescent="0.3">
      <c r="B1479" s="5" t="s">
        <v>1289</v>
      </c>
      <c r="C1479" s="5" t="s">
        <v>10</v>
      </c>
      <c r="D1479" s="5" t="s">
        <v>1294</v>
      </c>
      <c r="E1479" s="5" t="s">
        <v>1295</v>
      </c>
      <c r="F1479" s="5" t="s">
        <v>67</v>
      </c>
      <c r="G1479" s="5" t="s">
        <v>68</v>
      </c>
      <c r="H1479" s="6">
        <v>100</v>
      </c>
      <c r="I1479" s="5"/>
    </row>
    <row r="1480" spans="1:9" x14ac:dyDescent="0.3">
      <c r="B1480" s="5" t="s">
        <v>1289</v>
      </c>
      <c r="C1480" s="5" t="s">
        <v>10</v>
      </c>
      <c r="D1480" s="5" t="s">
        <v>1294</v>
      </c>
      <c r="E1480" s="5" t="s">
        <v>1295</v>
      </c>
      <c r="F1480" s="5" t="s">
        <v>13</v>
      </c>
      <c r="G1480" s="5" t="s">
        <v>14</v>
      </c>
      <c r="H1480" s="5"/>
      <c r="I1480" s="6">
        <v>100</v>
      </c>
    </row>
    <row r="1481" spans="1:9" x14ac:dyDescent="0.3">
      <c r="A1481" s="7" t="s">
        <v>1296</v>
      </c>
      <c r="H1481" s="8">
        <f>H1479+H1480</f>
        <v>100</v>
      </c>
      <c r="I1481" s="8">
        <f>I1479+I1480</f>
        <v>100</v>
      </c>
    </row>
    <row r="1482" spans="1:9" x14ac:dyDescent="0.3">
      <c r="A1482" s="4" t="s">
        <v>1297</v>
      </c>
    </row>
    <row r="1483" spans="1:9" x14ac:dyDescent="0.3">
      <c r="B1483" s="5" t="s">
        <v>1298</v>
      </c>
      <c r="C1483" s="5" t="s">
        <v>10</v>
      </c>
      <c r="D1483" s="5" t="s">
        <v>1299</v>
      </c>
      <c r="E1483" s="5" t="s">
        <v>1300</v>
      </c>
      <c r="F1483" s="5" t="s">
        <v>61</v>
      </c>
      <c r="G1483" s="5" t="s">
        <v>62</v>
      </c>
      <c r="H1483" s="6">
        <v>310</v>
      </c>
      <c r="I1483" s="5"/>
    </row>
    <row r="1484" spans="1:9" x14ac:dyDescent="0.3">
      <c r="B1484" s="5" t="s">
        <v>1298</v>
      </c>
      <c r="C1484" s="5" t="s">
        <v>10</v>
      </c>
      <c r="D1484" s="5" t="s">
        <v>1299</v>
      </c>
      <c r="E1484" s="5" t="s">
        <v>1300</v>
      </c>
      <c r="F1484" s="5" t="s">
        <v>13</v>
      </c>
      <c r="G1484" s="5" t="s">
        <v>14</v>
      </c>
      <c r="H1484" s="5"/>
      <c r="I1484" s="6">
        <v>310</v>
      </c>
    </row>
    <row r="1485" spans="1:9" x14ac:dyDescent="0.3">
      <c r="A1485" s="7" t="s">
        <v>1301</v>
      </c>
      <c r="H1485" s="8">
        <f>H1483+H1484</f>
        <v>310</v>
      </c>
      <c r="I1485" s="8">
        <f>I1483+I1484</f>
        <v>310</v>
      </c>
    </row>
    <row r="1486" spans="1:9" x14ac:dyDescent="0.3">
      <c r="A1486" s="4" t="s">
        <v>1302</v>
      </c>
    </row>
    <row r="1487" spans="1:9" x14ac:dyDescent="0.3">
      <c r="B1487" s="5" t="s">
        <v>1303</v>
      </c>
      <c r="C1487" s="5" t="s">
        <v>10</v>
      </c>
      <c r="D1487" s="5" t="s">
        <v>1304</v>
      </c>
      <c r="E1487" s="5" t="s">
        <v>1305</v>
      </c>
      <c r="F1487" s="5" t="s">
        <v>61</v>
      </c>
      <c r="G1487" s="5" t="s">
        <v>62</v>
      </c>
      <c r="H1487" s="6">
        <v>720</v>
      </c>
      <c r="I1487" s="5"/>
    </row>
    <row r="1488" spans="1:9" x14ac:dyDescent="0.3">
      <c r="B1488" s="5" t="s">
        <v>1303</v>
      </c>
      <c r="C1488" s="5" t="s">
        <v>10</v>
      </c>
      <c r="D1488" s="5" t="s">
        <v>1304</v>
      </c>
      <c r="E1488" s="5" t="s">
        <v>1305</v>
      </c>
      <c r="F1488" s="5" t="s">
        <v>13</v>
      </c>
      <c r="G1488" s="5" t="s">
        <v>14</v>
      </c>
      <c r="H1488" s="5"/>
      <c r="I1488" s="6">
        <v>720</v>
      </c>
    </row>
    <row r="1489" spans="1:9" x14ac:dyDescent="0.3">
      <c r="A1489" s="7" t="s">
        <v>1306</v>
      </c>
      <c r="H1489" s="8">
        <f>H1487+H1488</f>
        <v>720</v>
      </c>
      <c r="I1489" s="8">
        <f>I1487+I1488</f>
        <v>720</v>
      </c>
    </row>
    <row r="1490" spans="1:9" x14ac:dyDescent="0.3">
      <c r="A1490" s="4" t="s">
        <v>1307</v>
      </c>
    </row>
    <row r="1491" spans="1:9" x14ac:dyDescent="0.3">
      <c r="B1491" s="5" t="s">
        <v>1308</v>
      </c>
      <c r="C1491" s="5" t="s">
        <v>10</v>
      </c>
      <c r="D1491" s="5" t="s">
        <v>1309</v>
      </c>
      <c r="E1491" s="5" t="s">
        <v>1310</v>
      </c>
      <c r="F1491" s="5" t="s">
        <v>1022</v>
      </c>
      <c r="G1491" s="5" t="s">
        <v>1023</v>
      </c>
      <c r="H1491" s="6">
        <v>20000</v>
      </c>
      <c r="I1491" s="5"/>
    </row>
    <row r="1492" spans="1:9" x14ac:dyDescent="0.3">
      <c r="B1492" s="5" t="s">
        <v>1308</v>
      </c>
      <c r="C1492" s="5" t="s">
        <v>10</v>
      </c>
      <c r="D1492" s="5" t="s">
        <v>1309</v>
      </c>
      <c r="E1492" s="5" t="s">
        <v>1310</v>
      </c>
      <c r="F1492" s="5" t="s">
        <v>13</v>
      </c>
      <c r="G1492" s="5" t="s">
        <v>14</v>
      </c>
      <c r="H1492" s="5"/>
      <c r="I1492" s="6">
        <v>20000</v>
      </c>
    </row>
    <row r="1493" spans="1:9" x14ac:dyDescent="0.3">
      <c r="A1493" s="7" t="s">
        <v>1311</v>
      </c>
      <c r="H1493" s="8">
        <f>H1491+H1492</f>
        <v>20000</v>
      </c>
      <c r="I1493" s="8">
        <f>I1491+I1492</f>
        <v>20000</v>
      </c>
    </row>
    <row r="1494" spans="1:9" x14ac:dyDescent="0.3">
      <c r="A1494" s="4" t="s">
        <v>1312</v>
      </c>
    </row>
    <row r="1495" spans="1:9" x14ac:dyDescent="0.3">
      <c r="B1495" s="5" t="s">
        <v>1308</v>
      </c>
      <c r="C1495" s="5" t="s">
        <v>10</v>
      </c>
      <c r="D1495" s="5" t="s">
        <v>1313</v>
      </c>
      <c r="E1495" s="5" t="s">
        <v>1314</v>
      </c>
      <c r="F1495" s="5" t="s">
        <v>67</v>
      </c>
      <c r="G1495" s="5" t="s">
        <v>68</v>
      </c>
      <c r="H1495" s="6">
        <v>100</v>
      </c>
      <c r="I1495" s="5"/>
    </row>
    <row r="1496" spans="1:9" x14ac:dyDescent="0.3">
      <c r="B1496" s="5" t="s">
        <v>1308</v>
      </c>
      <c r="C1496" s="5" t="s">
        <v>10</v>
      </c>
      <c r="D1496" s="5" t="s">
        <v>1313</v>
      </c>
      <c r="E1496" s="5" t="s">
        <v>1314</v>
      </c>
      <c r="F1496" s="5" t="s">
        <v>13</v>
      </c>
      <c r="G1496" s="5" t="s">
        <v>14</v>
      </c>
      <c r="H1496" s="5"/>
      <c r="I1496" s="6">
        <v>100</v>
      </c>
    </row>
    <row r="1497" spans="1:9" x14ac:dyDescent="0.3">
      <c r="A1497" s="7" t="s">
        <v>1315</v>
      </c>
      <c r="H1497" s="8">
        <f>H1495+H1496</f>
        <v>100</v>
      </c>
      <c r="I1497" s="8">
        <f>I1495+I1496</f>
        <v>100</v>
      </c>
    </row>
    <row r="1498" spans="1:9" x14ac:dyDescent="0.3">
      <c r="A1498" s="4" t="s">
        <v>1316</v>
      </c>
    </row>
    <row r="1499" spans="1:9" x14ac:dyDescent="0.3">
      <c r="B1499" s="5" t="s">
        <v>1308</v>
      </c>
      <c r="C1499" s="5" t="s">
        <v>10</v>
      </c>
      <c r="D1499" s="5" t="s">
        <v>1317</v>
      </c>
      <c r="E1499" s="5" t="s">
        <v>1152</v>
      </c>
      <c r="F1499" s="5" t="s">
        <v>61</v>
      </c>
      <c r="G1499" s="5" t="s">
        <v>62</v>
      </c>
      <c r="H1499" s="6">
        <v>550</v>
      </c>
      <c r="I1499" s="5"/>
    </row>
    <row r="1500" spans="1:9" x14ac:dyDescent="0.3">
      <c r="B1500" s="5" t="s">
        <v>1308</v>
      </c>
      <c r="C1500" s="5" t="s">
        <v>10</v>
      </c>
      <c r="D1500" s="5" t="s">
        <v>1317</v>
      </c>
      <c r="E1500" s="5" t="s">
        <v>1318</v>
      </c>
      <c r="F1500" s="5" t="s">
        <v>50</v>
      </c>
      <c r="G1500" s="5" t="s">
        <v>51</v>
      </c>
      <c r="H1500" s="6">
        <v>40</v>
      </c>
      <c r="I1500" s="5"/>
    </row>
    <row r="1501" spans="1:9" x14ac:dyDescent="0.3">
      <c r="B1501" s="5" t="s">
        <v>1308</v>
      </c>
      <c r="C1501" s="5" t="s">
        <v>10</v>
      </c>
      <c r="D1501" s="5" t="s">
        <v>1317</v>
      </c>
      <c r="E1501" s="5" t="s">
        <v>1318</v>
      </c>
      <c r="F1501" s="5" t="s">
        <v>13</v>
      </c>
      <c r="G1501" s="5" t="s">
        <v>14</v>
      </c>
      <c r="H1501" s="5"/>
      <c r="I1501" s="6">
        <v>590</v>
      </c>
    </row>
    <row r="1502" spans="1:9" x14ac:dyDescent="0.3">
      <c r="A1502" s="7" t="s">
        <v>1319</v>
      </c>
      <c r="H1502" s="8">
        <f>H1499+H1500+H1501</f>
        <v>590</v>
      </c>
      <c r="I1502" s="8">
        <f>I1499+I1500+I1501</f>
        <v>590</v>
      </c>
    </row>
    <row r="1503" spans="1:9" x14ac:dyDescent="0.3">
      <c r="A1503" s="4" t="s">
        <v>1320</v>
      </c>
    </row>
    <row r="1504" spans="1:9" x14ac:dyDescent="0.3">
      <c r="B1504" s="5" t="s">
        <v>1321</v>
      </c>
      <c r="C1504" s="5" t="s">
        <v>10</v>
      </c>
      <c r="D1504" s="5" t="s">
        <v>1322</v>
      </c>
      <c r="E1504" s="5" t="s">
        <v>1323</v>
      </c>
      <c r="F1504" s="5" t="s">
        <v>61</v>
      </c>
      <c r="G1504" s="5" t="s">
        <v>62</v>
      </c>
      <c r="H1504" s="6">
        <v>210</v>
      </c>
      <c r="I1504" s="5"/>
    </row>
    <row r="1505" spans="1:9" x14ac:dyDescent="0.3">
      <c r="B1505" s="5" t="s">
        <v>1321</v>
      </c>
      <c r="C1505" s="5" t="s">
        <v>10</v>
      </c>
      <c r="D1505" s="5" t="s">
        <v>1322</v>
      </c>
      <c r="E1505" s="5" t="s">
        <v>1324</v>
      </c>
      <c r="F1505" s="5" t="s">
        <v>64</v>
      </c>
      <c r="G1505" s="5" t="s">
        <v>65</v>
      </c>
      <c r="H1505" s="6">
        <v>100</v>
      </c>
      <c r="I1505" s="5"/>
    </row>
    <row r="1506" spans="1:9" x14ac:dyDescent="0.3">
      <c r="B1506" s="5" t="s">
        <v>1321</v>
      </c>
      <c r="C1506" s="5" t="s">
        <v>10</v>
      </c>
      <c r="D1506" s="5" t="s">
        <v>1322</v>
      </c>
      <c r="E1506" s="5" t="s">
        <v>1325</v>
      </c>
      <c r="F1506" s="5" t="s">
        <v>13</v>
      </c>
      <c r="G1506" s="5" t="s">
        <v>14</v>
      </c>
      <c r="H1506" s="5"/>
      <c r="I1506" s="6">
        <v>310</v>
      </c>
    </row>
    <row r="1507" spans="1:9" x14ac:dyDescent="0.3">
      <c r="A1507" s="7" t="s">
        <v>1326</v>
      </c>
      <c r="H1507" s="8">
        <f>H1504+H1505+H1506</f>
        <v>310</v>
      </c>
      <c r="I1507" s="8">
        <f>I1504+I1505+I1506</f>
        <v>310</v>
      </c>
    </row>
    <row r="1508" spans="1:9" x14ac:dyDescent="0.3">
      <c r="A1508" s="4" t="s">
        <v>1327</v>
      </c>
    </row>
    <row r="1509" spans="1:9" x14ac:dyDescent="0.3">
      <c r="B1509" s="5" t="s">
        <v>1321</v>
      </c>
      <c r="C1509" s="5" t="s">
        <v>10</v>
      </c>
      <c r="D1509" s="5" t="s">
        <v>1328</v>
      </c>
      <c r="E1509" s="5" t="s">
        <v>1329</v>
      </c>
      <c r="F1509" s="5" t="s">
        <v>1199</v>
      </c>
      <c r="G1509" s="5" t="s">
        <v>1200</v>
      </c>
      <c r="H1509" s="6">
        <v>1000</v>
      </c>
      <c r="I1509" s="5"/>
    </row>
    <row r="1510" spans="1:9" x14ac:dyDescent="0.3">
      <c r="B1510" s="5" t="s">
        <v>1321</v>
      </c>
      <c r="C1510" s="5" t="s">
        <v>10</v>
      </c>
      <c r="D1510" s="5" t="s">
        <v>1328</v>
      </c>
      <c r="E1510" s="5" t="s">
        <v>1329</v>
      </c>
      <c r="F1510" s="5" t="s">
        <v>13</v>
      </c>
      <c r="G1510" s="5" t="s">
        <v>14</v>
      </c>
      <c r="H1510" s="5"/>
      <c r="I1510" s="6">
        <v>1000</v>
      </c>
    </row>
    <row r="1511" spans="1:9" x14ac:dyDescent="0.3">
      <c r="A1511" s="7" t="s">
        <v>1330</v>
      </c>
      <c r="H1511" s="8">
        <f>H1509+H1510</f>
        <v>1000</v>
      </c>
      <c r="I1511" s="8">
        <f>I1509+I1510</f>
        <v>1000</v>
      </c>
    </row>
    <row r="1512" spans="1:9" x14ac:dyDescent="0.3">
      <c r="A1512" s="4" t="s">
        <v>1331</v>
      </c>
    </row>
    <row r="1513" spans="1:9" x14ac:dyDescent="0.3">
      <c r="B1513" s="5" t="s">
        <v>1321</v>
      </c>
      <c r="C1513" s="5" t="s">
        <v>10</v>
      </c>
      <c r="D1513" s="5" t="s">
        <v>1332</v>
      </c>
      <c r="E1513" s="5" t="s">
        <v>1333</v>
      </c>
      <c r="F1513" s="5" t="s">
        <v>1196</v>
      </c>
      <c r="G1513" s="5" t="s">
        <v>1197</v>
      </c>
      <c r="H1513" s="6">
        <v>1000</v>
      </c>
      <c r="I1513" s="5"/>
    </row>
    <row r="1514" spans="1:9" x14ac:dyDescent="0.3">
      <c r="B1514" s="5" t="s">
        <v>1321</v>
      </c>
      <c r="C1514" s="5" t="s">
        <v>10</v>
      </c>
      <c r="D1514" s="5" t="s">
        <v>1332</v>
      </c>
      <c r="E1514" s="5" t="s">
        <v>1333</v>
      </c>
      <c r="F1514" s="5" t="s">
        <v>13</v>
      </c>
      <c r="G1514" s="5" t="s">
        <v>14</v>
      </c>
      <c r="H1514" s="5"/>
      <c r="I1514" s="6">
        <v>1000</v>
      </c>
    </row>
    <row r="1515" spans="1:9" x14ac:dyDescent="0.3">
      <c r="B1515" s="5" t="s">
        <v>1321</v>
      </c>
      <c r="C1515" s="5" t="s">
        <v>10</v>
      </c>
      <c r="D1515" s="5" t="s">
        <v>1332</v>
      </c>
      <c r="E1515" s="5" t="s">
        <v>1334</v>
      </c>
      <c r="F1515" s="5" t="s">
        <v>425</v>
      </c>
      <c r="G1515" s="5" t="s">
        <v>426</v>
      </c>
      <c r="H1515" s="6">
        <v>13448.68</v>
      </c>
      <c r="I1515" s="5"/>
    </row>
    <row r="1516" spans="1:9" x14ac:dyDescent="0.3">
      <c r="B1516" s="5" t="s">
        <v>1321</v>
      </c>
      <c r="C1516" s="5" t="s">
        <v>10</v>
      </c>
      <c r="D1516" s="5" t="s">
        <v>1332</v>
      </c>
      <c r="E1516" s="5" t="s">
        <v>1334</v>
      </c>
      <c r="F1516" s="5" t="s">
        <v>427</v>
      </c>
      <c r="G1516" s="5" t="s">
        <v>428</v>
      </c>
      <c r="H1516" s="5"/>
      <c r="I1516" s="6">
        <v>4256.17</v>
      </c>
    </row>
    <row r="1517" spans="1:9" x14ac:dyDescent="0.3">
      <c r="B1517" s="5" t="s">
        <v>1321</v>
      </c>
      <c r="C1517" s="5" t="s">
        <v>10</v>
      </c>
      <c r="D1517" s="5" t="s">
        <v>1332</v>
      </c>
      <c r="E1517" s="5" t="s">
        <v>1334</v>
      </c>
      <c r="F1517" s="5" t="s">
        <v>429</v>
      </c>
      <c r="G1517" s="5" t="s">
        <v>430</v>
      </c>
      <c r="H1517" s="5"/>
      <c r="I1517" s="6">
        <v>6857.04</v>
      </c>
    </row>
    <row r="1518" spans="1:9" x14ac:dyDescent="0.3">
      <c r="B1518" s="5" t="s">
        <v>1321</v>
      </c>
      <c r="C1518" s="5" t="s">
        <v>10</v>
      </c>
      <c r="D1518" s="5" t="s">
        <v>1332</v>
      </c>
      <c r="E1518" s="5" t="s">
        <v>1334</v>
      </c>
      <c r="F1518" s="5" t="s">
        <v>431</v>
      </c>
      <c r="G1518" s="5" t="s">
        <v>432</v>
      </c>
      <c r="H1518" s="5"/>
      <c r="I1518" s="6">
        <v>2335.4699999999998</v>
      </c>
    </row>
    <row r="1519" spans="1:9" x14ac:dyDescent="0.3">
      <c r="A1519" s="7" t="s">
        <v>1335</v>
      </c>
      <c r="H1519" s="8">
        <f>H1513+H1514+H1515+H1516+H1517+H1518</f>
        <v>14448.68</v>
      </c>
      <c r="I1519" s="8">
        <f>I1513+I1514+I1515+I1516+I1517+I1518</f>
        <v>14448.679999999998</v>
      </c>
    </row>
    <row r="1520" spans="1:9" x14ac:dyDescent="0.3">
      <c r="A1520" s="4" t="s">
        <v>1336</v>
      </c>
    </row>
    <row r="1521" spans="1:9" x14ac:dyDescent="0.3">
      <c r="B1521" s="5" t="s">
        <v>1321</v>
      </c>
      <c r="C1521" s="5" t="s">
        <v>10</v>
      </c>
      <c r="D1521" s="5" t="s">
        <v>1337</v>
      </c>
      <c r="E1521" s="5" t="s">
        <v>1338</v>
      </c>
      <c r="F1521" s="5" t="s">
        <v>1339</v>
      </c>
      <c r="G1521" s="5" t="s">
        <v>1340</v>
      </c>
      <c r="H1521" s="6">
        <v>9750</v>
      </c>
      <c r="I1521" s="5"/>
    </row>
    <row r="1522" spans="1:9" x14ac:dyDescent="0.3">
      <c r="B1522" s="5" t="s">
        <v>1321</v>
      </c>
      <c r="C1522" s="5" t="s">
        <v>10</v>
      </c>
      <c r="D1522" s="5" t="s">
        <v>1337</v>
      </c>
      <c r="E1522" s="5" t="s">
        <v>1341</v>
      </c>
      <c r="F1522" s="5" t="s">
        <v>437</v>
      </c>
      <c r="G1522" s="5" t="s">
        <v>438</v>
      </c>
      <c r="H1522" s="6">
        <v>235897</v>
      </c>
      <c r="I1522" s="5"/>
    </row>
    <row r="1523" spans="1:9" x14ac:dyDescent="0.3">
      <c r="B1523" s="5" t="s">
        <v>1321</v>
      </c>
      <c r="C1523" s="5" t="s">
        <v>10</v>
      </c>
      <c r="D1523" s="5" t="s">
        <v>1337</v>
      </c>
      <c r="E1523" s="5" t="s">
        <v>1342</v>
      </c>
      <c r="F1523" s="5" t="s">
        <v>1343</v>
      </c>
      <c r="G1523" s="5" t="s">
        <v>1344</v>
      </c>
      <c r="H1523" s="5"/>
      <c r="I1523" s="6">
        <v>79231</v>
      </c>
    </row>
    <row r="1524" spans="1:9" x14ac:dyDescent="0.3">
      <c r="B1524" s="5" t="s">
        <v>1321</v>
      </c>
      <c r="C1524" s="5" t="s">
        <v>10</v>
      </c>
      <c r="D1524" s="5" t="s">
        <v>1337</v>
      </c>
      <c r="E1524" s="5" t="s">
        <v>1345</v>
      </c>
      <c r="F1524" s="5" t="s">
        <v>441</v>
      </c>
      <c r="G1524" s="5" t="s">
        <v>442</v>
      </c>
      <c r="H1524" s="5"/>
      <c r="I1524" s="6">
        <v>28100</v>
      </c>
    </row>
    <row r="1525" spans="1:9" x14ac:dyDescent="0.3">
      <c r="B1525" s="5" t="s">
        <v>1321</v>
      </c>
      <c r="C1525" s="5" t="s">
        <v>10</v>
      </c>
      <c r="D1525" s="5" t="s">
        <v>1337</v>
      </c>
      <c r="E1525" s="5" t="s">
        <v>1341</v>
      </c>
      <c r="F1525" s="5" t="s">
        <v>443</v>
      </c>
      <c r="G1525" s="5" t="s">
        <v>444</v>
      </c>
      <c r="H1525" s="5"/>
      <c r="I1525" s="6">
        <v>37100</v>
      </c>
    </row>
    <row r="1526" spans="1:9" x14ac:dyDescent="0.3">
      <c r="B1526" s="5" t="s">
        <v>1321</v>
      </c>
      <c r="C1526" s="5" t="s">
        <v>10</v>
      </c>
      <c r="D1526" s="5" t="s">
        <v>1337</v>
      </c>
      <c r="E1526" s="5" t="s">
        <v>1341</v>
      </c>
      <c r="F1526" s="5" t="s">
        <v>445</v>
      </c>
      <c r="G1526" s="5" t="s">
        <v>446</v>
      </c>
      <c r="H1526" s="5"/>
      <c r="I1526" s="6">
        <v>37100</v>
      </c>
    </row>
    <row r="1527" spans="1:9" x14ac:dyDescent="0.3">
      <c r="B1527" s="5" t="s">
        <v>1321</v>
      </c>
      <c r="C1527" s="5" t="s">
        <v>10</v>
      </c>
      <c r="D1527" s="5" t="s">
        <v>1337</v>
      </c>
      <c r="E1527" s="5" t="s">
        <v>1341</v>
      </c>
      <c r="F1527" s="5" t="s">
        <v>447</v>
      </c>
      <c r="G1527" s="5" t="s">
        <v>448</v>
      </c>
      <c r="H1527" s="5"/>
      <c r="I1527" s="6">
        <v>11860</v>
      </c>
    </row>
    <row r="1528" spans="1:9" x14ac:dyDescent="0.3">
      <c r="B1528" s="5" t="s">
        <v>1321</v>
      </c>
      <c r="C1528" s="5" t="s">
        <v>10</v>
      </c>
      <c r="D1528" s="5" t="s">
        <v>1337</v>
      </c>
      <c r="E1528" s="5" t="s">
        <v>1341</v>
      </c>
      <c r="F1528" s="5" t="s">
        <v>449</v>
      </c>
      <c r="G1528" s="5" t="s">
        <v>450</v>
      </c>
      <c r="H1528" s="5"/>
      <c r="I1528" s="6">
        <v>6960</v>
      </c>
    </row>
    <row r="1529" spans="1:9" x14ac:dyDescent="0.3">
      <c r="B1529" s="5" t="s">
        <v>1321</v>
      </c>
      <c r="C1529" s="5" t="s">
        <v>10</v>
      </c>
      <c r="D1529" s="5" t="s">
        <v>1337</v>
      </c>
      <c r="E1529" s="5" t="s">
        <v>1341</v>
      </c>
      <c r="F1529" s="5" t="s">
        <v>451</v>
      </c>
      <c r="G1529" s="5" t="s">
        <v>452</v>
      </c>
      <c r="H1529" s="5"/>
      <c r="I1529" s="6">
        <v>6960</v>
      </c>
    </row>
    <row r="1530" spans="1:9" x14ac:dyDescent="0.3">
      <c r="B1530" s="5" t="s">
        <v>1321</v>
      </c>
      <c r="C1530" s="5" t="s">
        <v>10</v>
      </c>
      <c r="D1530" s="5" t="s">
        <v>1337</v>
      </c>
      <c r="E1530" s="5" t="s">
        <v>1341</v>
      </c>
      <c r="F1530" s="5" t="s">
        <v>453</v>
      </c>
      <c r="G1530" s="5" t="s">
        <v>454</v>
      </c>
      <c r="H1530" s="5"/>
      <c r="I1530" s="6">
        <v>6960</v>
      </c>
    </row>
    <row r="1531" spans="1:9" x14ac:dyDescent="0.3">
      <c r="B1531" s="5" t="s">
        <v>1321</v>
      </c>
      <c r="C1531" s="5" t="s">
        <v>10</v>
      </c>
      <c r="D1531" s="5" t="s">
        <v>1337</v>
      </c>
      <c r="E1531" s="5" t="s">
        <v>1341</v>
      </c>
      <c r="F1531" s="5" t="s">
        <v>547</v>
      </c>
      <c r="G1531" s="5" t="s">
        <v>548</v>
      </c>
      <c r="H1531" s="5"/>
      <c r="I1531" s="6">
        <v>5980</v>
      </c>
    </row>
    <row r="1532" spans="1:9" x14ac:dyDescent="0.3">
      <c r="B1532" s="5" t="s">
        <v>1321</v>
      </c>
      <c r="C1532" s="5" t="s">
        <v>10</v>
      </c>
      <c r="D1532" s="5" t="s">
        <v>1337</v>
      </c>
      <c r="E1532" s="5" t="s">
        <v>1341</v>
      </c>
      <c r="F1532" s="5" t="s">
        <v>1199</v>
      </c>
      <c r="G1532" s="5" t="s">
        <v>1200</v>
      </c>
      <c r="H1532" s="5"/>
      <c r="I1532" s="6">
        <v>3750</v>
      </c>
    </row>
    <row r="1533" spans="1:9" x14ac:dyDescent="0.3">
      <c r="B1533" s="5" t="s">
        <v>1321</v>
      </c>
      <c r="C1533" s="5" t="s">
        <v>10</v>
      </c>
      <c r="D1533" s="5" t="s">
        <v>1337</v>
      </c>
      <c r="E1533" s="5" t="s">
        <v>1341</v>
      </c>
      <c r="F1533" s="5" t="s">
        <v>1196</v>
      </c>
      <c r="G1533" s="5" t="s">
        <v>1197</v>
      </c>
      <c r="H1533" s="5"/>
      <c r="I1533" s="6">
        <v>3750</v>
      </c>
    </row>
    <row r="1534" spans="1:9" x14ac:dyDescent="0.3">
      <c r="B1534" s="5" t="s">
        <v>1321</v>
      </c>
      <c r="C1534" s="5" t="s">
        <v>10</v>
      </c>
      <c r="D1534" s="5" t="s">
        <v>1337</v>
      </c>
      <c r="E1534" s="5" t="s">
        <v>1341</v>
      </c>
      <c r="F1534" s="5" t="s">
        <v>1346</v>
      </c>
      <c r="G1534" s="5" t="s">
        <v>1347</v>
      </c>
      <c r="H1534" s="5"/>
      <c r="I1534" s="6">
        <v>2335</v>
      </c>
    </row>
    <row r="1535" spans="1:9" x14ac:dyDescent="0.3">
      <c r="B1535" s="5" t="s">
        <v>1321</v>
      </c>
      <c r="C1535" s="5" t="s">
        <v>10</v>
      </c>
      <c r="D1535" s="5" t="s">
        <v>1337</v>
      </c>
      <c r="E1535" s="5" t="s">
        <v>1341</v>
      </c>
      <c r="F1535" s="5" t="s">
        <v>457</v>
      </c>
      <c r="G1535" s="5" t="s">
        <v>458</v>
      </c>
      <c r="H1535" s="5"/>
      <c r="I1535" s="6">
        <v>15561</v>
      </c>
    </row>
    <row r="1536" spans="1:9" x14ac:dyDescent="0.3">
      <c r="A1536" s="7" t="s">
        <v>1348</v>
      </c>
      <c r="H1536" s="8">
        <f>H1521+H1522+H1523+H1524+H1525+H1526+H1527+H1528+H1529+H1530+H1531+H1532+H1533+H1534+H1535</f>
        <v>245647</v>
      </c>
      <c r="I1536" s="8">
        <f>I1521+I1522+I1523+I1524+I1525+I1526+I1527+I1528+I1529+I1530+I1531+I1532+I1533+I1534+I1535</f>
        <v>245647</v>
      </c>
    </row>
    <row r="1537" spans="1:9" x14ac:dyDescent="0.3">
      <c r="A1537" s="4" t="s">
        <v>1349</v>
      </c>
    </row>
    <row r="1538" spans="1:9" x14ac:dyDescent="0.3">
      <c r="B1538" s="5" t="s">
        <v>1350</v>
      </c>
      <c r="C1538" s="5" t="s">
        <v>10</v>
      </c>
      <c r="D1538" s="5" t="s">
        <v>1351</v>
      </c>
      <c r="E1538" s="5" t="s">
        <v>1352</v>
      </c>
      <c r="F1538" s="5" t="s">
        <v>116</v>
      </c>
      <c r="G1538" s="5" t="s">
        <v>117</v>
      </c>
      <c r="H1538" s="6">
        <v>500</v>
      </c>
      <c r="I1538" s="5"/>
    </row>
    <row r="1539" spans="1:9" x14ac:dyDescent="0.3">
      <c r="B1539" s="5" t="s">
        <v>1350</v>
      </c>
      <c r="C1539" s="5" t="s">
        <v>10</v>
      </c>
      <c r="D1539" s="5" t="s">
        <v>1351</v>
      </c>
      <c r="E1539" s="5" t="s">
        <v>1352</v>
      </c>
      <c r="F1539" s="5" t="s">
        <v>13</v>
      </c>
      <c r="G1539" s="5" t="s">
        <v>14</v>
      </c>
      <c r="H1539" s="5"/>
      <c r="I1539" s="6">
        <v>500</v>
      </c>
    </row>
    <row r="1540" spans="1:9" x14ac:dyDescent="0.3">
      <c r="A1540" s="7" t="s">
        <v>1353</v>
      </c>
      <c r="H1540" s="8">
        <f>H1538+H1539</f>
        <v>500</v>
      </c>
      <c r="I1540" s="8">
        <f>I1538+I1539</f>
        <v>500</v>
      </c>
    </row>
    <row r="1541" spans="1:9" x14ac:dyDescent="0.3">
      <c r="A1541" s="4" t="s">
        <v>1354</v>
      </c>
    </row>
    <row r="1542" spans="1:9" x14ac:dyDescent="0.3">
      <c r="B1542" s="5" t="s">
        <v>1350</v>
      </c>
      <c r="C1542" s="5" t="s">
        <v>10</v>
      </c>
      <c r="D1542" s="5" t="s">
        <v>1355</v>
      </c>
      <c r="E1542" s="5" t="s">
        <v>1356</v>
      </c>
      <c r="F1542" s="5" t="s">
        <v>70</v>
      </c>
      <c r="G1542" s="5" t="s">
        <v>71</v>
      </c>
      <c r="H1542" s="6">
        <v>300</v>
      </c>
      <c r="I1542" s="5"/>
    </row>
    <row r="1543" spans="1:9" x14ac:dyDescent="0.3">
      <c r="B1543" s="5" t="s">
        <v>1350</v>
      </c>
      <c r="C1543" s="5" t="s">
        <v>10</v>
      </c>
      <c r="D1543" s="5" t="s">
        <v>1355</v>
      </c>
      <c r="E1543" s="5" t="s">
        <v>1356</v>
      </c>
      <c r="F1543" s="5" t="s">
        <v>13</v>
      </c>
      <c r="G1543" s="5" t="s">
        <v>14</v>
      </c>
      <c r="H1543" s="5"/>
      <c r="I1543" s="6">
        <v>300</v>
      </c>
    </row>
    <row r="1544" spans="1:9" x14ac:dyDescent="0.3">
      <c r="A1544" s="7" t="s">
        <v>1357</v>
      </c>
      <c r="H1544" s="8">
        <f>H1542+H1543</f>
        <v>300</v>
      </c>
      <c r="I1544" s="8">
        <f>I1542+I1543</f>
        <v>300</v>
      </c>
    </row>
    <row r="1545" spans="1:9" x14ac:dyDescent="0.3">
      <c r="A1545" s="4" t="s">
        <v>1358</v>
      </c>
    </row>
    <row r="1546" spans="1:9" x14ac:dyDescent="0.3">
      <c r="B1546" s="5" t="s">
        <v>1350</v>
      </c>
      <c r="C1546" s="5" t="s">
        <v>10</v>
      </c>
      <c r="D1546" s="5" t="s">
        <v>1359</v>
      </c>
      <c r="E1546" s="5" t="s">
        <v>1360</v>
      </c>
      <c r="F1546" s="5" t="s">
        <v>61</v>
      </c>
      <c r="G1546" s="5" t="s">
        <v>62</v>
      </c>
      <c r="H1546" s="6">
        <v>140</v>
      </c>
      <c r="I1546" s="5"/>
    </row>
    <row r="1547" spans="1:9" x14ac:dyDescent="0.3">
      <c r="B1547" s="5" t="s">
        <v>1350</v>
      </c>
      <c r="C1547" s="5" t="s">
        <v>10</v>
      </c>
      <c r="D1547" s="5" t="s">
        <v>1359</v>
      </c>
      <c r="E1547" s="5" t="s">
        <v>1360</v>
      </c>
      <c r="F1547" s="5" t="s">
        <v>13</v>
      </c>
      <c r="G1547" s="5" t="s">
        <v>14</v>
      </c>
      <c r="H1547" s="5"/>
      <c r="I1547" s="6">
        <v>140</v>
      </c>
    </row>
    <row r="1548" spans="1:9" x14ac:dyDescent="0.3">
      <c r="A1548" s="7" t="s">
        <v>1361</v>
      </c>
      <c r="H1548" s="8">
        <f>H1546+H1547</f>
        <v>140</v>
      </c>
      <c r="I1548" s="8">
        <f>I1546+I1547</f>
        <v>140</v>
      </c>
    </row>
    <row r="1549" spans="1:9" x14ac:dyDescent="0.3">
      <c r="A1549" s="4" t="s">
        <v>1362</v>
      </c>
    </row>
    <row r="1550" spans="1:9" x14ac:dyDescent="0.3">
      <c r="B1550" s="5" t="s">
        <v>1363</v>
      </c>
      <c r="C1550" s="5" t="s">
        <v>10</v>
      </c>
      <c r="D1550" s="5" t="s">
        <v>1364</v>
      </c>
      <c r="E1550" s="5" t="s">
        <v>1365</v>
      </c>
      <c r="F1550" s="5" t="s">
        <v>35</v>
      </c>
      <c r="G1550" s="5" t="s">
        <v>36</v>
      </c>
      <c r="H1550" s="6">
        <v>1860</v>
      </c>
      <c r="I1550" s="5"/>
    </row>
    <row r="1551" spans="1:9" x14ac:dyDescent="0.3">
      <c r="B1551" s="5" t="s">
        <v>1363</v>
      </c>
      <c r="C1551" s="5" t="s">
        <v>10</v>
      </c>
      <c r="D1551" s="5" t="s">
        <v>1364</v>
      </c>
      <c r="E1551" s="5" t="s">
        <v>1366</v>
      </c>
      <c r="F1551" s="5" t="s">
        <v>145</v>
      </c>
      <c r="G1551" s="5" t="s">
        <v>146</v>
      </c>
      <c r="H1551" s="6">
        <v>400</v>
      </c>
      <c r="I1551" s="5"/>
    </row>
    <row r="1552" spans="1:9" x14ac:dyDescent="0.3">
      <c r="B1552" s="5" t="s">
        <v>1363</v>
      </c>
      <c r="C1552" s="5" t="s">
        <v>10</v>
      </c>
      <c r="D1552" s="5" t="s">
        <v>1364</v>
      </c>
      <c r="E1552" s="5" t="s">
        <v>1367</v>
      </c>
      <c r="F1552" s="5" t="s">
        <v>67</v>
      </c>
      <c r="G1552" s="5" t="s">
        <v>68</v>
      </c>
      <c r="H1552" s="6">
        <v>120</v>
      </c>
      <c r="I1552" s="5"/>
    </row>
    <row r="1553" spans="1:9" x14ac:dyDescent="0.3">
      <c r="B1553" s="5" t="s">
        <v>1363</v>
      </c>
      <c r="C1553" s="5" t="s">
        <v>10</v>
      </c>
      <c r="D1553" s="5" t="s">
        <v>1364</v>
      </c>
      <c r="E1553" s="5" t="s">
        <v>1368</v>
      </c>
      <c r="F1553" s="5" t="s">
        <v>13</v>
      </c>
      <c r="G1553" s="5" t="s">
        <v>14</v>
      </c>
      <c r="H1553" s="5"/>
      <c r="I1553" s="6">
        <v>2380</v>
      </c>
    </row>
    <row r="1554" spans="1:9" x14ac:dyDescent="0.3">
      <c r="A1554" s="7" t="s">
        <v>1369</v>
      </c>
      <c r="H1554" s="8">
        <f>H1550+H1551+H1552+H1553</f>
        <v>2380</v>
      </c>
      <c r="I1554" s="8">
        <f>I1550+I1551+I1552+I1553</f>
        <v>2380</v>
      </c>
    </row>
    <row r="1555" spans="1:9" x14ac:dyDescent="0.3">
      <c r="A1555" s="4" t="s">
        <v>1370</v>
      </c>
    </row>
    <row r="1556" spans="1:9" x14ac:dyDescent="0.3">
      <c r="B1556" s="5" t="s">
        <v>1363</v>
      </c>
      <c r="C1556" s="5" t="s">
        <v>10</v>
      </c>
      <c r="D1556" s="5" t="s">
        <v>1371</v>
      </c>
      <c r="E1556" s="5" t="s">
        <v>1372</v>
      </c>
      <c r="F1556" s="5" t="s">
        <v>67</v>
      </c>
      <c r="G1556" s="5" t="s">
        <v>68</v>
      </c>
      <c r="H1556" s="6">
        <v>350</v>
      </c>
      <c r="I1556" s="5"/>
    </row>
    <row r="1557" spans="1:9" x14ac:dyDescent="0.3">
      <c r="B1557" s="5" t="s">
        <v>1363</v>
      </c>
      <c r="C1557" s="5" t="s">
        <v>10</v>
      </c>
      <c r="D1557" s="5" t="s">
        <v>1371</v>
      </c>
      <c r="E1557" s="5" t="s">
        <v>1372</v>
      </c>
      <c r="F1557" s="5" t="s">
        <v>13</v>
      </c>
      <c r="G1557" s="5" t="s">
        <v>14</v>
      </c>
      <c r="H1557" s="5"/>
      <c r="I1557" s="6">
        <v>350</v>
      </c>
    </row>
    <row r="1558" spans="1:9" x14ac:dyDescent="0.3">
      <c r="A1558" s="7" t="s">
        <v>1373</v>
      </c>
      <c r="H1558" s="8">
        <f>H1556+H1557</f>
        <v>350</v>
      </c>
      <c r="I1558" s="8">
        <f>I1556+I1557</f>
        <v>350</v>
      </c>
    </row>
    <row r="1559" spans="1:9" x14ac:dyDescent="0.3">
      <c r="A1559" s="4" t="s">
        <v>1374</v>
      </c>
    </row>
    <row r="1560" spans="1:9" x14ac:dyDescent="0.3">
      <c r="B1560" s="5" t="s">
        <v>1363</v>
      </c>
      <c r="C1560" s="5" t="s">
        <v>10</v>
      </c>
      <c r="D1560" s="5" t="s">
        <v>1375</v>
      </c>
      <c r="E1560" s="5" t="s">
        <v>1376</v>
      </c>
      <c r="F1560" s="5" t="s">
        <v>67</v>
      </c>
      <c r="G1560" s="5" t="s">
        <v>68</v>
      </c>
      <c r="H1560" s="6">
        <v>240</v>
      </c>
      <c r="I1560" s="5"/>
    </row>
    <row r="1561" spans="1:9" x14ac:dyDescent="0.3">
      <c r="B1561" s="5" t="s">
        <v>1363</v>
      </c>
      <c r="C1561" s="5" t="s">
        <v>10</v>
      </c>
      <c r="D1561" s="5" t="s">
        <v>1375</v>
      </c>
      <c r="E1561" s="5" t="s">
        <v>1376</v>
      </c>
      <c r="F1561" s="5" t="s">
        <v>13</v>
      </c>
      <c r="G1561" s="5" t="s">
        <v>14</v>
      </c>
      <c r="H1561" s="5"/>
      <c r="I1561" s="6">
        <v>240</v>
      </c>
    </row>
    <row r="1562" spans="1:9" x14ac:dyDescent="0.3">
      <c r="A1562" s="7" t="s">
        <v>1377</v>
      </c>
      <c r="H1562" s="8">
        <f>H1560+H1561</f>
        <v>240</v>
      </c>
      <c r="I1562" s="8">
        <f>I1560+I1561</f>
        <v>240</v>
      </c>
    </row>
    <row r="1563" spans="1:9" x14ac:dyDescent="0.3">
      <c r="A1563" s="4" t="s">
        <v>1378</v>
      </c>
    </row>
    <row r="1564" spans="1:9" x14ac:dyDescent="0.3">
      <c r="B1564" s="5" t="s">
        <v>1363</v>
      </c>
      <c r="C1564" s="5" t="s">
        <v>10</v>
      </c>
      <c r="D1564" s="5" t="s">
        <v>1379</v>
      </c>
      <c r="E1564" s="5" t="s">
        <v>1380</v>
      </c>
      <c r="F1564" s="5" t="s">
        <v>67</v>
      </c>
      <c r="G1564" s="5" t="s">
        <v>68</v>
      </c>
      <c r="H1564" s="6">
        <v>150</v>
      </c>
      <c r="I1564" s="5"/>
    </row>
    <row r="1565" spans="1:9" x14ac:dyDescent="0.3">
      <c r="B1565" s="5" t="s">
        <v>1363</v>
      </c>
      <c r="C1565" s="5" t="s">
        <v>10</v>
      </c>
      <c r="D1565" s="5" t="s">
        <v>1379</v>
      </c>
      <c r="E1565" s="5" t="s">
        <v>1380</v>
      </c>
      <c r="F1565" s="5" t="s">
        <v>13</v>
      </c>
      <c r="G1565" s="5" t="s">
        <v>14</v>
      </c>
      <c r="H1565" s="5"/>
      <c r="I1565" s="6">
        <v>150</v>
      </c>
    </row>
    <row r="1566" spans="1:9" x14ac:dyDescent="0.3">
      <c r="A1566" s="7" t="s">
        <v>1381</v>
      </c>
      <c r="H1566" s="8">
        <f>H1564+H1565</f>
        <v>150</v>
      </c>
      <c r="I1566" s="8">
        <f>I1564+I1565</f>
        <v>150</v>
      </c>
    </row>
    <row r="1567" spans="1:9" x14ac:dyDescent="0.3">
      <c r="A1567" s="4" t="s">
        <v>1382</v>
      </c>
    </row>
    <row r="1568" spans="1:9" x14ac:dyDescent="0.3">
      <c r="B1568" s="5" t="s">
        <v>1363</v>
      </c>
      <c r="C1568" s="5" t="s">
        <v>10</v>
      </c>
      <c r="D1568" s="5" t="s">
        <v>1383</v>
      </c>
      <c r="E1568" s="5" t="s">
        <v>1384</v>
      </c>
      <c r="F1568" s="5" t="s">
        <v>61</v>
      </c>
      <c r="G1568" s="5" t="s">
        <v>62</v>
      </c>
      <c r="H1568" s="6">
        <v>530</v>
      </c>
      <c r="I1568" s="5"/>
    </row>
    <row r="1569" spans="1:9" x14ac:dyDescent="0.3">
      <c r="B1569" s="5" t="s">
        <v>1363</v>
      </c>
      <c r="C1569" s="5" t="s">
        <v>10</v>
      </c>
      <c r="D1569" s="5" t="s">
        <v>1383</v>
      </c>
      <c r="E1569" s="5" t="s">
        <v>1385</v>
      </c>
      <c r="F1569" s="5" t="s">
        <v>64</v>
      </c>
      <c r="G1569" s="5" t="s">
        <v>65</v>
      </c>
      <c r="H1569" s="6">
        <v>320</v>
      </c>
      <c r="I1569" s="5"/>
    </row>
    <row r="1570" spans="1:9" x14ac:dyDescent="0.3">
      <c r="B1570" s="5" t="s">
        <v>1363</v>
      </c>
      <c r="C1570" s="5" t="s">
        <v>10</v>
      </c>
      <c r="D1570" s="5" t="s">
        <v>1383</v>
      </c>
      <c r="E1570" s="5" t="s">
        <v>1386</v>
      </c>
      <c r="F1570" s="5" t="s">
        <v>50</v>
      </c>
      <c r="G1570" s="5" t="s">
        <v>51</v>
      </c>
      <c r="H1570" s="6">
        <v>20</v>
      </c>
      <c r="I1570" s="5"/>
    </row>
    <row r="1571" spans="1:9" x14ac:dyDescent="0.3">
      <c r="B1571" s="5" t="s">
        <v>1363</v>
      </c>
      <c r="C1571" s="5" t="s">
        <v>10</v>
      </c>
      <c r="D1571" s="5" t="s">
        <v>1383</v>
      </c>
      <c r="E1571" s="5" t="s">
        <v>1387</v>
      </c>
      <c r="F1571" s="5" t="s">
        <v>13</v>
      </c>
      <c r="G1571" s="5" t="s">
        <v>14</v>
      </c>
      <c r="H1571" s="5"/>
      <c r="I1571" s="6">
        <v>870</v>
      </c>
    </row>
    <row r="1572" spans="1:9" x14ac:dyDescent="0.3">
      <c r="A1572" s="7" t="s">
        <v>1388</v>
      </c>
      <c r="H1572" s="8">
        <f>H1568+H1569+H1570+H1571</f>
        <v>870</v>
      </c>
      <c r="I1572" s="8">
        <f>I1568+I1569+I1570+I1571</f>
        <v>870</v>
      </c>
    </row>
    <row r="1573" spans="1:9" x14ac:dyDescent="0.3">
      <c r="A1573" s="4" t="s">
        <v>1389</v>
      </c>
    </row>
    <row r="1574" spans="1:9" x14ac:dyDescent="0.3">
      <c r="B1574" s="5" t="s">
        <v>1363</v>
      </c>
      <c r="C1574" s="5" t="s">
        <v>10</v>
      </c>
      <c r="D1574" s="5" t="s">
        <v>1390</v>
      </c>
      <c r="E1574" s="5" t="s">
        <v>1391</v>
      </c>
      <c r="F1574" s="5" t="s">
        <v>67</v>
      </c>
      <c r="G1574" s="5" t="s">
        <v>68</v>
      </c>
      <c r="H1574" s="6">
        <v>90</v>
      </c>
      <c r="I1574" s="5"/>
    </row>
    <row r="1575" spans="1:9" x14ac:dyDescent="0.3">
      <c r="B1575" s="5" t="s">
        <v>1363</v>
      </c>
      <c r="C1575" s="5" t="s">
        <v>10</v>
      </c>
      <c r="D1575" s="5" t="s">
        <v>1390</v>
      </c>
      <c r="E1575" s="5" t="s">
        <v>1391</v>
      </c>
      <c r="F1575" s="5" t="s">
        <v>13</v>
      </c>
      <c r="G1575" s="5" t="s">
        <v>14</v>
      </c>
      <c r="H1575" s="5"/>
      <c r="I1575" s="6">
        <v>90</v>
      </c>
    </row>
    <row r="1576" spans="1:9" x14ac:dyDescent="0.3">
      <c r="A1576" s="7" t="s">
        <v>1392</v>
      </c>
      <c r="H1576" s="8">
        <f>H1574+H1575</f>
        <v>90</v>
      </c>
      <c r="I1576" s="8">
        <f>I1574+I1575</f>
        <v>90</v>
      </c>
    </row>
    <row r="1577" spans="1:9" x14ac:dyDescent="0.3">
      <c r="A1577" s="4" t="s">
        <v>1393</v>
      </c>
    </row>
    <row r="1578" spans="1:9" x14ac:dyDescent="0.3">
      <c r="B1578" s="5" t="s">
        <v>1363</v>
      </c>
      <c r="C1578" s="5" t="s">
        <v>10</v>
      </c>
      <c r="D1578" s="5" t="s">
        <v>1394</v>
      </c>
      <c r="E1578" s="5" t="s">
        <v>1395</v>
      </c>
      <c r="F1578" s="5" t="s">
        <v>113</v>
      </c>
      <c r="G1578" s="5" t="s">
        <v>114</v>
      </c>
      <c r="H1578" s="6">
        <v>500</v>
      </c>
      <c r="I1578" s="5"/>
    </row>
    <row r="1579" spans="1:9" x14ac:dyDescent="0.3">
      <c r="B1579" s="5" t="s">
        <v>1363</v>
      </c>
      <c r="C1579" s="5" t="s">
        <v>10</v>
      </c>
      <c r="D1579" s="5" t="s">
        <v>1394</v>
      </c>
      <c r="E1579" s="5" t="s">
        <v>1395</v>
      </c>
      <c r="F1579" s="5" t="s">
        <v>13</v>
      </c>
      <c r="G1579" s="5" t="s">
        <v>14</v>
      </c>
      <c r="H1579" s="5"/>
      <c r="I1579" s="6">
        <v>500</v>
      </c>
    </row>
    <row r="1580" spans="1:9" x14ac:dyDescent="0.3">
      <c r="A1580" s="7" t="s">
        <v>1396</v>
      </c>
      <c r="H1580" s="8">
        <f>H1578+H1579</f>
        <v>500</v>
      </c>
      <c r="I1580" s="8">
        <f>I1578+I1579</f>
        <v>500</v>
      </c>
    </row>
    <row r="1581" spans="1:9" x14ac:dyDescent="0.3">
      <c r="A1581" s="4" t="s">
        <v>1397</v>
      </c>
    </row>
    <row r="1582" spans="1:9" x14ac:dyDescent="0.3">
      <c r="B1582" s="5" t="s">
        <v>1363</v>
      </c>
      <c r="C1582" s="5" t="s">
        <v>10</v>
      </c>
      <c r="D1582" s="5" t="s">
        <v>1398</v>
      </c>
      <c r="E1582" s="5" t="s">
        <v>1065</v>
      </c>
      <c r="F1582" s="5" t="s">
        <v>58</v>
      </c>
      <c r="G1582" s="5" t="s">
        <v>59</v>
      </c>
      <c r="H1582" s="6">
        <v>1000</v>
      </c>
      <c r="I1582" s="5"/>
    </row>
    <row r="1583" spans="1:9" x14ac:dyDescent="0.3">
      <c r="B1583" s="5" t="s">
        <v>1363</v>
      </c>
      <c r="C1583" s="5" t="s">
        <v>10</v>
      </c>
      <c r="D1583" s="5" t="s">
        <v>1398</v>
      </c>
      <c r="E1583" s="5" t="s">
        <v>1065</v>
      </c>
      <c r="F1583" s="5" t="s">
        <v>13</v>
      </c>
      <c r="G1583" s="5" t="s">
        <v>14</v>
      </c>
      <c r="H1583" s="5"/>
      <c r="I1583" s="6">
        <v>1000</v>
      </c>
    </row>
    <row r="1584" spans="1:9" x14ac:dyDescent="0.3">
      <c r="A1584" s="7" t="s">
        <v>1399</v>
      </c>
      <c r="H1584" s="8">
        <f>H1582+H1583</f>
        <v>1000</v>
      </c>
      <c r="I1584" s="8">
        <f>I1582+I1583</f>
        <v>1000</v>
      </c>
    </row>
    <row r="1585" spans="1:9" x14ac:dyDescent="0.3">
      <c r="A1585" s="4" t="s">
        <v>1400</v>
      </c>
    </row>
    <row r="1586" spans="1:9" x14ac:dyDescent="0.3">
      <c r="B1586" s="5" t="s">
        <v>1363</v>
      </c>
      <c r="C1586" s="5" t="s">
        <v>10</v>
      </c>
      <c r="D1586" s="5" t="s">
        <v>1401</v>
      </c>
      <c r="E1586" s="5" t="s">
        <v>1402</v>
      </c>
      <c r="F1586" s="5" t="s">
        <v>166</v>
      </c>
      <c r="G1586" s="5" t="s">
        <v>167</v>
      </c>
      <c r="H1586" s="6">
        <v>7000</v>
      </c>
      <c r="I1586" s="5"/>
    </row>
    <row r="1587" spans="1:9" x14ac:dyDescent="0.3">
      <c r="B1587" s="5" t="s">
        <v>1363</v>
      </c>
      <c r="C1587" s="5" t="s">
        <v>10</v>
      </c>
      <c r="D1587" s="5" t="s">
        <v>1401</v>
      </c>
      <c r="E1587" s="5" t="s">
        <v>1402</v>
      </c>
      <c r="F1587" s="5" t="s">
        <v>13</v>
      </c>
      <c r="G1587" s="5" t="s">
        <v>14</v>
      </c>
      <c r="H1587" s="5"/>
      <c r="I1587" s="6">
        <v>7000</v>
      </c>
    </row>
    <row r="1588" spans="1:9" x14ac:dyDescent="0.3">
      <c r="A1588" s="7" t="s">
        <v>1403</v>
      </c>
      <c r="H1588" s="8">
        <f>H1586+H1587</f>
        <v>7000</v>
      </c>
      <c r="I1588" s="8">
        <f>I1586+I1587</f>
        <v>7000</v>
      </c>
    </row>
    <row r="1589" spans="1:9" x14ac:dyDescent="0.3">
      <c r="A1589" s="4" t="s">
        <v>1404</v>
      </c>
    </row>
    <row r="1590" spans="1:9" x14ac:dyDescent="0.3">
      <c r="B1590" s="5" t="s">
        <v>1363</v>
      </c>
      <c r="C1590" s="5" t="s">
        <v>10</v>
      </c>
      <c r="D1590" s="5" t="s">
        <v>1405</v>
      </c>
      <c r="E1590" s="5" t="s">
        <v>1406</v>
      </c>
      <c r="F1590" s="5" t="s">
        <v>50</v>
      </c>
      <c r="G1590" s="5" t="s">
        <v>51</v>
      </c>
      <c r="H1590" s="6">
        <v>2000</v>
      </c>
      <c r="I1590" s="5"/>
    </row>
    <row r="1591" spans="1:9" x14ac:dyDescent="0.3">
      <c r="B1591" s="5" t="s">
        <v>1363</v>
      </c>
      <c r="C1591" s="5" t="s">
        <v>10</v>
      </c>
      <c r="D1591" s="5" t="s">
        <v>1405</v>
      </c>
      <c r="E1591" s="5" t="s">
        <v>1406</v>
      </c>
      <c r="F1591" s="5" t="s">
        <v>13</v>
      </c>
      <c r="G1591" s="5" t="s">
        <v>14</v>
      </c>
      <c r="H1591" s="5"/>
      <c r="I1591" s="6">
        <v>2000</v>
      </c>
    </row>
    <row r="1592" spans="1:9" x14ac:dyDescent="0.3">
      <c r="A1592" s="7" t="s">
        <v>1407</v>
      </c>
      <c r="H1592" s="8">
        <f>H1590+H1591</f>
        <v>2000</v>
      </c>
      <c r="I1592" s="8">
        <f>I1590+I1591</f>
        <v>2000</v>
      </c>
    </row>
    <row r="1593" spans="1:9" x14ac:dyDescent="0.3">
      <c r="A1593" s="4" t="s">
        <v>1408</v>
      </c>
    </row>
    <row r="1594" spans="1:9" x14ac:dyDescent="0.3">
      <c r="B1594" s="5" t="s">
        <v>1363</v>
      </c>
      <c r="C1594" s="5" t="s">
        <v>10</v>
      </c>
      <c r="D1594" s="5" t="s">
        <v>1409</v>
      </c>
      <c r="E1594" s="5" t="s">
        <v>1410</v>
      </c>
      <c r="F1594" s="5" t="s">
        <v>15</v>
      </c>
      <c r="G1594" s="5" t="s">
        <v>16</v>
      </c>
      <c r="H1594" s="6">
        <v>27300739.82</v>
      </c>
      <c r="I1594" s="5"/>
    </row>
    <row r="1595" spans="1:9" x14ac:dyDescent="0.3">
      <c r="B1595" s="5" t="s">
        <v>1363</v>
      </c>
      <c r="C1595" s="5" t="s">
        <v>10</v>
      </c>
      <c r="D1595" s="5" t="s">
        <v>1409</v>
      </c>
      <c r="E1595" s="5" t="s">
        <v>1410</v>
      </c>
      <c r="F1595" s="5" t="s">
        <v>649</v>
      </c>
      <c r="G1595" s="5" t="s">
        <v>650</v>
      </c>
      <c r="H1595" s="5"/>
      <c r="I1595" s="6">
        <v>7105.83</v>
      </c>
    </row>
    <row r="1596" spans="1:9" x14ac:dyDescent="0.3">
      <c r="B1596" s="5" t="s">
        <v>1363</v>
      </c>
      <c r="C1596" s="5" t="s">
        <v>10</v>
      </c>
      <c r="D1596" s="5" t="s">
        <v>1409</v>
      </c>
      <c r="E1596" s="5" t="s">
        <v>1410</v>
      </c>
      <c r="F1596" s="5" t="s">
        <v>13</v>
      </c>
      <c r="G1596" s="5" t="s">
        <v>14</v>
      </c>
      <c r="H1596" s="5"/>
      <c r="I1596" s="6">
        <v>27293633.989999998</v>
      </c>
    </row>
    <row r="1597" spans="1:9" x14ac:dyDescent="0.3">
      <c r="A1597" s="7" t="s">
        <v>1411</v>
      </c>
      <c r="H1597" s="8">
        <f>H1594+H1595+H1596</f>
        <v>27300739.82</v>
      </c>
      <c r="I1597" s="8">
        <f>I1594+I1595+I1596</f>
        <v>27300739.819999997</v>
      </c>
    </row>
    <row r="1598" spans="1:9" x14ac:dyDescent="0.3">
      <c r="A1598" s="4" t="s">
        <v>1412</v>
      </c>
    </row>
    <row r="1599" spans="1:9" x14ac:dyDescent="0.3">
      <c r="B1599" s="5" t="s">
        <v>1363</v>
      </c>
      <c r="C1599" s="5" t="s">
        <v>10</v>
      </c>
      <c r="D1599" s="5" t="s">
        <v>1413</v>
      </c>
      <c r="E1599" s="5" t="s">
        <v>1410</v>
      </c>
      <c r="F1599" s="5" t="s">
        <v>15</v>
      </c>
      <c r="G1599" s="5" t="s">
        <v>16</v>
      </c>
      <c r="H1599" s="6">
        <v>17796170</v>
      </c>
      <c r="I1599" s="5"/>
    </row>
    <row r="1600" spans="1:9" x14ac:dyDescent="0.3">
      <c r="B1600" s="5" t="s">
        <v>1363</v>
      </c>
      <c r="C1600" s="5" t="s">
        <v>10</v>
      </c>
      <c r="D1600" s="5" t="s">
        <v>1413</v>
      </c>
      <c r="E1600" s="5" t="s">
        <v>1410</v>
      </c>
      <c r="F1600" s="5" t="s">
        <v>13</v>
      </c>
      <c r="G1600" s="5" t="s">
        <v>14</v>
      </c>
      <c r="H1600" s="5"/>
      <c r="I1600" s="6">
        <v>17796170</v>
      </c>
    </row>
    <row r="1601" spans="1:9" x14ac:dyDescent="0.3">
      <c r="A1601" s="7" t="s">
        <v>1414</v>
      </c>
      <c r="H1601" s="8">
        <f>H1599+H1600</f>
        <v>17796170</v>
      </c>
      <c r="I1601" s="8">
        <f>I1599+I1600</f>
        <v>17796170</v>
      </c>
    </row>
    <row r="1602" spans="1:9" x14ac:dyDescent="0.3">
      <c r="A1602" s="4" t="s">
        <v>1415</v>
      </c>
    </row>
    <row r="1603" spans="1:9" x14ac:dyDescent="0.3">
      <c r="B1603" s="5" t="s">
        <v>1363</v>
      </c>
      <c r="C1603" s="5" t="s">
        <v>10</v>
      </c>
      <c r="D1603" s="5" t="s">
        <v>1416</v>
      </c>
      <c r="E1603" s="5" t="s">
        <v>1417</v>
      </c>
      <c r="F1603" s="5" t="s">
        <v>649</v>
      </c>
      <c r="G1603" s="5" t="s">
        <v>650</v>
      </c>
      <c r="H1603" s="6">
        <v>21154230</v>
      </c>
      <c r="I1603" s="5"/>
    </row>
    <row r="1604" spans="1:9" x14ac:dyDescent="0.3">
      <c r="B1604" s="5" t="s">
        <v>1363</v>
      </c>
      <c r="C1604" s="5" t="s">
        <v>10</v>
      </c>
      <c r="D1604" s="5" t="s">
        <v>1416</v>
      </c>
      <c r="E1604" s="5" t="s">
        <v>1417</v>
      </c>
      <c r="F1604" s="5" t="s">
        <v>15</v>
      </c>
      <c r="G1604" s="5" t="s">
        <v>16</v>
      </c>
      <c r="H1604" s="5"/>
      <c r="I1604" s="6">
        <v>21154230</v>
      </c>
    </row>
    <row r="1605" spans="1:9" x14ac:dyDescent="0.3">
      <c r="A1605" s="7" t="s">
        <v>1418</v>
      </c>
      <c r="H1605" s="8">
        <f>H1603+H1604</f>
        <v>21154230</v>
      </c>
      <c r="I1605" s="8">
        <f>I1603+I1604</f>
        <v>21154230</v>
      </c>
    </row>
    <row r="1606" spans="1:9" x14ac:dyDescent="0.3">
      <c r="A1606" s="4" t="s">
        <v>1419</v>
      </c>
    </row>
    <row r="1607" spans="1:9" x14ac:dyDescent="0.3">
      <c r="B1607" s="5" t="s">
        <v>1363</v>
      </c>
      <c r="C1607" s="5" t="s">
        <v>10</v>
      </c>
      <c r="D1607" s="5" t="s">
        <v>1420</v>
      </c>
      <c r="E1607" s="5" t="s">
        <v>1421</v>
      </c>
      <c r="F1607" s="5" t="s">
        <v>116</v>
      </c>
      <c r="G1607" s="5" t="s">
        <v>117</v>
      </c>
      <c r="H1607" s="6">
        <v>500</v>
      </c>
      <c r="I1607" s="5"/>
    </row>
    <row r="1608" spans="1:9" x14ac:dyDescent="0.3">
      <c r="B1608" s="5" t="s">
        <v>1363</v>
      </c>
      <c r="C1608" s="5" t="s">
        <v>10</v>
      </c>
      <c r="D1608" s="5" t="s">
        <v>1420</v>
      </c>
      <c r="E1608" s="5" t="s">
        <v>1421</v>
      </c>
      <c r="F1608" s="5" t="s">
        <v>13</v>
      </c>
      <c r="G1608" s="5" t="s">
        <v>14</v>
      </c>
      <c r="H1608" s="5"/>
      <c r="I1608" s="6">
        <v>500</v>
      </c>
    </row>
    <row r="1609" spans="1:9" x14ac:dyDescent="0.3">
      <c r="A1609" s="7" t="s">
        <v>1422</v>
      </c>
      <c r="H1609" s="8">
        <f>H1607+H1608</f>
        <v>500</v>
      </c>
      <c r="I1609" s="8">
        <f>I1607+I1608</f>
        <v>500</v>
      </c>
    </row>
    <row r="1610" spans="1:9" x14ac:dyDescent="0.3">
      <c r="A1610" s="4" t="s">
        <v>1423</v>
      </c>
    </row>
    <row r="1611" spans="1:9" x14ac:dyDescent="0.3">
      <c r="B1611" s="5" t="s">
        <v>1424</v>
      </c>
      <c r="C1611" s="5" t="s">
        <v>10</v>
      </c>
      <c r="D1611" s="5" t="s">
        <v>1425</v>
      </c>
      <c r="E1611" s="5" t="s">
        <v>1426</v>
      </c>
      <c r="F1611" s="5" t="s">
        <v>67</v>
      </c>
      <c r="G1611" s="5" t="s">
        <v>68</v>
      </c>
      <c r="H1611" s="6">
        <v>100</v>
      </c>
      <c r="I1611" s="5"/>
    </row>
    <row r="1612" spans="1:9" x14ac:dyDescent="0.3">
      <c r="B1612" s="5" t="s">
        <v>1424</v>
      </c>
      <c r="C1612" s="5" t="s">
        <v>10</v>
      </c>
      <c r="D1612" s="5" t="s">
        <v>1425</v>
      </c>
      <c r="E1612" s="5" t="s">
        <v>1426</v>
      </c>
      <c r="F1612" s="5" t="s">
        <v>13</v>
      </c>
      <c r="G1612" s="5" t="s">
        <v>14</v>
      </c>
      <c r="H1612" s="5"/>
      <c r="I1612" s="6">
        <v>100</v>
      </c>
    </row>
    <row r="1613" spans="1:9" x14ac:dyDescent="0.3">
      <c r="A1613" s="7" t="s">
        <v>1427</v>
      </c>
      <c r="H1613" s="8">
        <f>H1611+H1612</f>
        <v>100</v>
      </c>
      <c r="I1613" s="8">
        <f>I1611+I1612</f>
        <v>100</v>
      </c>
    </row>
    <row r="1614" spans="1:9" x14ac:dyDescent="0.3">
      <c r="A1614" s="4" t="s">
        <v>1428</v>
      </c>
    </row>
    <row r="1615" spans="1:9" x14ac:dyDescent="0.3">
      <c r="B1615" s="5" t="s">
        <v>1424</v>
      </c>
      <c r="C1615" s="5" t="s">
        <v>10</v>
      </c>
      <c r="D1615" s="5" t="s">
        <v>1429</v>
      </c>
      <c r="E1615" s="5" t="s">
        <v>636</v>
      </c>
      <c r="F1615" s="5" t="s">
        <v>61</v>
      </c>
      <c r="G1615" s="5" t="s">
        <v>62</v>
      </c>
      <c r="H1615" s="6">
        <v>300</v>
      </c>
      <c r="I1615" s="5"/>
    </row>
    <row r="1616" spans="1:9" x14ac:dyDescent="0.3">
      <c r="B1616" s="5" t="s">
        <v>1424</v>
      </c>
      <c r="C1616" s="5" t="s">
        <v>10</v>
      </c>
      <c r="D1616" s="5" t="s">
        <v>1429</v>
      </c>
      <c r="E1616" s="5" t="s">
        <v>636</v>
      </c>
      <c r="F1616" s="5" t="s">
        <v>13</v>
      </c>
      <c r="G1616" s="5" t="s">
        <v>14</v>
      </c>
      <c r="H1616" s="5"/>
      <c r="I1616" s="6">
        <v>300</v>
      </c>
    </row>
    <row r="1617" spans="1:9" x14ac:dyDescent="0.3">
      <c r="A1617" s="7" t="s">
        <v>1430</v>
      </c>
      <c r="H1617" s="8">
        <f>H1615+H1616</f>
        <v>300</v>
      </c>
      <c r="I1617" s="8">
        <f>I1615+I1616</f>
        <v>300</v>
      </c>
    </row>
    <row r="1618" spans="1:9" x14ac:dyDescent="0.3">
      <c r="A1618" s="4" t="s">
        <v>1431</v>
      </c>
    </row>
    <row r="1619" spans="1:9" x14ac:dyDescent="0.3">
      <c r="B1619" s="5" t="s">
        <v>1424</v>
      </c>
      <c r="C1619" s="5" t="s">
        <v>10</v>
      </c>
      <c r="D1619" s="5" t="s">
        <v>1432</v>
      </c>
      <c r="E1619" s="5" t="s">
        <v>1433</v>
      </c>
      <c r="F1619" s="5" t="s">
        <v>67</v>
      </c>
      <c r="G1619" s="5" t="s">
        <v>68</v>
      </c>
      <c r="H1619" s="6">
        <v>350</v>
      </c>
      <c r="I1619" s="5"/>
    </row>
    <row r="1620" spans="1:9" x14ac:dyDescent="0.3">
      <c r="B1620" s="5" t="s">
        <v>1424</v>
      </c>
      <c r="C1620" s="5" t="s">
        <v>10</v>
      </c>
      <c r="D1620" s="5" t="s">
        <v>1432</v>
      </c>
      <c r="E1620" s="5" t="s">
        <v>1433</v>
      </c>
      <c r="F1620" s="5" t="s">
        <v>13</v>
      </c>
      <c r="G1620" s="5" t="s">
        <v>14</v>
      </c>
      <c r="H1620" s="5"/>
      <c r="I1620" s="6">
        <v>350</v>
      </c>
    </row>
    <row r="1621" spans="1:9" x14ac:dyDescent="0.3">
      <c r="A1621" s="7" t="s">
        <v>1434</v>
      </c>
      <c r="H1621" s="8">
        <f>H1619+H1620</f>
        <v>350</v>
      </c>
      <c r="I1621" s="8">
        <f>I1619+I1620</f>
        <v>350</v>
      </c>
    </row>
    <row r="1622" spans="1:9" x14ac:dyDescent="0.3">
      <c r="A1622" s="4" t="s">
        <v>1435</v>
      </c>
    </row>
    <row r="1623" spans="1:9" x14ac:dyDescent="0.3">
      <c r="B1623" s="5" t="s">
        <v>1424</v>
      </c>
      <c r="C1623" s="5" t="s">
        <v>10</v>
      </c>
      <c r="D1623" s="5" t="s">
        <v>1436</v>
      </c>
      <c r="E1623" s="5" t="s">
        <v>1333</v>
      </c>
      <c r="F1623" s="5" t="s">
        <v>1196</v>
      </c>
      <c r="G1623" s="5" t="s">
        <v>1197</v>
      </c>
      <c r="H1623" s="6">
        <v>2500</v>
      </c>
      <c r="I1623" s="5"/>
    </row>
    <row r="1624" spans="1:9" x14ac:dyDescent="0.3">
      <c r="B1624" s="5" t="s">
        <v>1424</v>
      </c>
      <c r="C1624" s="5" t="s">
        <v>10</v>
      </c>
      <c r="D1624" s="5" t="s">
        <v>1436</v>
      </c>
      <c r="E1624" s="5" t="s">
        <v>1333</v>
      </c>
      <c r="F1624" s="5" t="s">
        <v>13</v>
      </c>
      <c r="G1624" s="5" t="s">
        <v>14</v>
      </c>
      <c r="H1624" s="5"/>
      <c r="I1624" s="6">
        <v>2500</v>
      </c>
    </row>
    <row r="1625" spans="1:9" x14ac:dyDescent="0.3">
      <c r="A1625" s="7" t="s">
        <v>1437</v>
      </c>
      <c r="H1625" s="8">
        <f>H1623+H1624</f>
        <v>2500</v>
      </c>
      <c r="I1625" s="8">
        <f>I1623+I1624</f>
        <v>2500</v>
      </c>
    </row>
    <row r="1626" spans="1:9" x14ac:dyDescent="0.3">
      <c r="A1626" s="4" t="s">
        <v>1438</v>
      </c>
    </row>
    <row r="1627" spans="1:9" x14ac:dyDescent="0.3">
      <c r="B1627" s="5" t="s">
        <v>1424</v>
      </c>
      <c r="C1627" s="5" t="s">
        <v>10</v>
      </c>
      <c r="D1627" s="5" t="s">
        <v>1439</v>
      </c>
      <c r="E1627" s="5" t="s">
        <v>1329</v>
      </c>
      <c r="F1627" s="5" t="s">
        <v>1199</v>
      </c>
      <c r="G1627" s="5" t="s">
        <v>1200</v>
      </c>
      <c r="H1627" s="6">
        <v>2500</v>
      </c>
      <c r="I1627" s="5"/>
    </row>
    <row r="1628" spans="1:9" x14ac:dyDescent="0.3">
      <c r="B1628" s="5" t="s">
        <v>1424</v>
      </c>
      <c r="C1628" s="5" t="s">
        <v>10</v>
      </c>
      <c r="D1628" s="5" t="s">
        <v>1439</v>
      </c>
      <c r="E1628" s="5" t="s">
        <v>1329</v>
      </c>
      <c r="F1628" s="5" t="s">
        <v>13</v>
      </c>
      <c r="G1628" s="5" t="s">
        <v>14</v>
      </c>
      <c r="H1628" s="5"/>
      <c r="I1628" s="6">
        <v>2500</v>
      </c>
    </row>
    <row r="1629" spans="1:9" x14ac:dyDescent="0.3">
      <c r="A1629" s="7" t="s">
        <v>1440</v>
      </c>
      <c r="H1629" s="8">
        <f>H1627+H1628</f>
        <v>2500</v>
      </c>
      <c r="I1629" s="8">
        <f>I1627+I1628</f>
        <v>2500</v>
      </c>
    </row>
    <row r="1630" spans="1:9" x14ac:dyDescent="0.3">
      <c r="A1630" s="4" t="s">
        <v>1441</v>
      </c>
    </row>
    <row r="1631" spans="1:9" x14ac:dyDescent="0.3">
      <c r="B1631" s="5" t="s">
        <v>1424</v>
      </c>
      <c r="C1631" s="5" t="s">
        <v>10</v>
      </c>
      <c r="D1631" s="5" t="s">
        <v>1442</v>
      </c>
      <c r="E1631" s="5" t="s">
        <v>1443</v>
      </c>
      <c r="F1631" s="5" t="s">
        <v>13</v>
      </c>
      <c r="G1631" s="5" t="s">
        <v>14</v>
      </c>
      <c r="H1631" s="6">
        <v>7050000</v>
      </c>
      <c r="I1631" s="5"/>
    </row>
    <row r="1632" spans="1:9" x14ac:dyDescent="0.3">
      <c r="B1632" s="5" t="s">
        <v>1424</v>
      </c>
      <c r="C1632" s="5" t="s">
        <v>10</v>
      </c>
      <c r="D1632" s="5" t="s">
        <v>1442</v>
      </c>
      <c r="E1632" s="5" t="s">
        <v>1443</v>
      </c>
      <c r="F1632" s="5" t="s">
        <v>649</v>
      </c>
      <c r="G1632" s="5" t="s">
        <v>650</v>
      </c>
      <c r="H1632" s="5"/>
      <c r="I1632" s="6">
        <v>7050000</v>
      </c>
    </row>
    <row r="1633" spans="1:9" x14ac:dyDescent="0.3">
      <c r="A1633" s="7" t="s">
        <v>1444</v>
      </c>
      <c r="H1633" s="8">
        <f>H1631+H1632</f>
        <v>7050000</v>
      </c>
      <c r="I1633" s="8">
        <f>I1631+I1632</f>
        <v>7050000</v>
      </c>
    </row>
    <row r="1634" spans="1:9" x14ac:dyDescent="0.3">
      <c r="A1634" s="4" t="s">
        <v>1445</v>
      </c>
    </row>
    <row r="1635" spans="1:9" x14ac:dyDescent="0.3">
      <c r="B1635" s="5" t="s">
        <v>1446</v>
      </c>
      <c r="C1635" s="5" t="s">
        <v>10</v>
      </c>
      <c r="D1635" s="5" t="s">
        <v>1447</v>
      </c>
      <c r="E1635" s="5" t="s">
        <v>1448</v>
      </c>
      <c r="F1635" s="5" t="s">
        <v>13</v>
      </c>
      <c r="G1635" s="5" t="s">
        <v>14</v>
      </c>
      <c r="H1635" s="6">
        <v>14092950</v>
      </c>
      <c r="I1635" s="5"/>
    </row>
    <row r="1636" spans="1:9" x14ac:dyDescent="0.3">
      <c r="B1636" s="5" t="s">
        <v>1446</v>
      </c>
      <c r="C1636" s="5" t="s">
        <v>10</v>
      </c>
      <c r="D1636" s="5" t="s">
        <v>1447</v>
      </c>
      <c r="E1636" s="5" t="s">
        <v>1448</v>
      </c>
      <c r="F1636" s="5" t="s">
        <v>649</v>
      </c>
      <c r="G1636" s="5" t="s">
        <v>650</v>
      </c>
      <c r="H1636" s="5"/>
      <c r="I1636" s="6">
        <v>14092950</v>
      </c>
    </row>
    <row r="1637" spans="1:9" x14ac:dyDescent="0.3">
      <c r="A1637" s="7" t="s">
        <v>1449</v>
      </c>
      <c r="H1637" s="8">
        <f>H1635+H1636</f>
        <v>14092950</v>
      </c>
      <c r="I1637" s="8">
        <f>I1635+I1636</f>
        <v>14092950</v>
      </c>
    </row>
    <row r="1638" spans="1:9" x14ac:dyDescent="0.3">
      <c r="A1638" s="4" t="s">
        <v>1450</v>
      </c>
    </row>
    <row r="1639" spans="1:9" x14ac:dyDescent="0.3">
      <c r="B1639" s="5" t="s">
        <v>1446</v>
      </c>
      <c r="C1639" s="5" t="s">
        <v>10</v>
      </c>
      <c r="D1639" s="5" t="s">
        <v>1451</v>
      </c>
      <c r="E1639" s="5" t="s">
        <v>1452</v>
      </c>
      <c r="F1639" s="5" t="s">
        <v>61</v>
      </c>
      <c r="G1639" s="5" t="s">
        <v>62</v>
      </c>
      <c r="H1639" s="6">
        <v>170</v>
      </c>
      <c r="I1639" s="5"/>
    </row>
    <row r="1640" spans="1:9" x14ac:dyDescent="0.3">
      <c r="B1640" s="5" t="s">
        <v>1446</v>
      </c>
      <c r="C1640" s="5" t="s">
        <v>10</v>
      </c>
      <c r="D1640" s="5" t="s">
        <v>1451</v>
      </c>
      <c r="E1640" s="5" t="s">
        <v>1452</v>
      </c>
      <c r="F1640" s="5" t="s">
        <v>13</v>
      </c>
      <c r="G1640" s="5" t="s">
        <v>14</v>
      </c>
      <c r="H1640" s="5"/>
      <c r="I1640" s="6">
        <v>170</v>
      </c>
    </row>
    <row r="1641" spans="1:9" x14ac:dyDescent="0.3">
      <c r="A1641" s="7" t="s">
        <v>1453</v>
      </c>
      <c r="H1641" s="8">
        <f>H1639+H1640</f>
        <v>170</v>
      </c>
      <c r="I1641" s="8">
        <f>I1639+I1640</f>
        <v>170</v>
      </c>
    </row>
    <row r="1642" spans="1:9" x14ac:dyDescent="0.3">
      <c r="A1642" s="4" t="s">
        <v>1454</v>
      </c>
    </row>
    <row r="1643" spans="1:9" x14ac:dyDescent="0.3">
      <c r="B1643" s="5" t="s">
        <v>1446</v>
      </c>
      <c r="C1643" s="5" t="s">
        <v>10</v>
      </c>
      <c r="D1643" s="5" t="s">
        <v>1455</v>
      </c>
      <c r="E1643" s="5" t="s">
        <v>1456</v>
      </c>
      <c r="F1643" s="5" t="s">
        <v>116</v>
      </c>
      <c r="G1643" s="5" t="s">
        <v>117</v>
      </c>
      <c r="H1643" s="6">
        <v>500</v>
      </c>
      <c r="I1643" s="5"/>
    </row>
    <row r="1644" spans="1:9" x14ac:dyDescent="0.3">
      <c r="B1644" s="5" t="s">
        <v>1446</v>
      </c>
      <c r="C1644" s="5" t="s">
        <v>10</v>
      </c>
      <c r="D1644" s="5" t="s">
        <v>1455</v>
      </c>
      <c r="E1644" s="5" t="s">
        <v>1456</v>
      </c>
      <c r="F1644" s="5" t="s">
        <v>13</v>
      </c>
      <c r="G1644" s="5" t="s">
        <v>14</v>
      </c>
      <c r="H1644" s="5"/>
      <c r="I1644" s="6">
        <v>500</v>
      </c>
    </row>
    <row r="1645" spans="1:9" x14ac:dyDescent="0.3">
      <c r="A1645" s="7" t="s">
        <v>1457</v>
      </c>
      <c r="H1645" s="8">
        <f>H1643+H1644</f>
        <v>500</v>
      </c>
      <c r="I1645" s="8">
        <f>I1643+I1644</f>
        <v>500</v>
      </c>
    </row>
    <row r="1646" spans="1:9" x14ac:dyDescent="0.3">
      <c r="A1646" s="4" t="s">
        <v>1458</v>
      </c>
    </row>
    <row r="1647" spans="1:9" x14ac:dyDescent="0.3">
      <c r="B1647" s="5" t="s">
        <v>1446</v>
      </c>
      <c r="C1647" s="5" t="s">
        <v>10</v>
      </c>
      <c r="D1647" s="5" t="s">
        <v>1459</v>
      </c>
      <c r="E1647" s="5" t="s">
        <v>1460</v>
      </c>
      <c r="F1647" s="5" t="s">
        <v>70</v>
      </c>
      <c r="G1647" s="5" t="s">
        <v>71</v>
      </c>
      <c r="H1647" s="6">
        <v>240</v>
      </c>
      <c r="I1647" s="5"/>
    </row>
    <row r="1648" spans="1:9" x14ac:dyDescent="0.3">
      <c r="B1648" s="5" t="s">
        <v>1446</v>
      </c>
      <c r="C1648" s="5" t="s">
        <v>10</v>
      </c>
      <c r="D1648" s="5" t="s">
        <v>1459</v>
      </c>
      <c r="E1648" s="5" t="s">
        <v>1460</v>
      </c>
      <c r="F1648" s="5" t="s">
        <v>13</v>
      </c>
      <c r="G1648" s="5" t="s">
        <v>14</v>
      </c>
      <c r="H1648" s="5"/>
      <c r="I1648" s="6">
        <v>240</v>
      </c>
    </row>
    <row r="1649" spans="1:9" x14ac:dyDescent="0.3">
      <c r="A1649" s="7" t="s">
        <v>1461</v>
      </c>
      <c r="H1649" s="8">
        <f>H1647+H1648</f>
        <v>240</v>
      </c>
      <c r="I1649" s="8">
        <f>I1647+I1648</f>
        <v>240</v>
      </c>
    </row>
    <row r="1650" spans="1:9" x14ac:dyDescent="0.3">
      <c r="A1650" s="4" t="s">
        <v>1462</v>
      </c>
    </row>
    <row r="1651" spans="1:9" x14ac:dyDescent="0.3">
      <c r="B1651" s="5" t="s">
        <v>1446</v>
      </c>
      <c r="C1651" s="5" t="s">
        <v>10</v>
      </c>
      <c r="D1651" s="5" t="s">
        <v>1463</v>
      </c>
      <c r="E1651" s="5" t="s">
        <v>1464</v>
      </c>
      <c r="F1651" s="5" t="s">
        <v>1343</v>
      </c>
      <c r="G1651" s="5" t="s">
        <v>1344</v>
      </c>
      <c r="H1651" s="6">
        <v>79231</v>
      </c>
      <c r="I1651" s="5"/>
    </row>
    <row r="1652" spans="1:9" x14ac:dyDescent="0.3">
      <c r="B1652" s="5" t="s">
        <v>1446</v>
      </c>
      <c r="C1652" s="5" t="s">
        <v>10</v>
      </c>
      <c r="D1652" s="5" t="s">
        <v>1463</v>
      </c>
      <c r="E1652" s="5" t="s">
        <v>1465</v>
      </c>
      <c r="F1652" s="5" t="s">
        <v>441</v>
      </c>
      <c r="G1652" s="5" t="s">
        <v>442</v>
      </c>
      <c r="H1652" s="6">
        <v>26100</v>
      </c>
      <c r="I1652" s="5"/>
    </row>
    <row r="1653" spans="1:9" x14ac:dyDescent="0.3">
      <c r="B1653" s="5" t="s">
        <v>1446</v>
      </c>
      <c r="C1653" s="5" t="s">
        <v>10</v>
      </c>
      <c r="D1653" s="5" t="s">
        <v>1463</v>
      </c>
      <c r="E1653" s="5" t="s">
        <v>1464</v>
      </c>
      <c r="F1653" s="5" t="s">
        <v>443</v>
      </c>
      <c r="G1653" s="5" t="s">
        <v>444</v>
      </c>
      <c r="H1653" s="6">
        <v>37100</v>
      </c>
      <c r="I1653" s="5"/>
    </row>
    <row r="1654" spans="1:9" x14ac:dyDescent="0.3">
      <c r="B1654" s="5" t="s">
        <v>1446</v>
      </c>
      <c r="C1654" s="5" t="s">
        <v>10</v>
      </c>
      <c r="D1654" s="5" t="s">
        <v>1463</v>
      </c>
      <c r="E1654" s="5" t="s">
        <v>1464</v>
      </c>
      <c r="F1654" s="5" t="s">
        <v>445</v>
      </c>
      <c r="G1654" s="5" t="s">
        <v>446</v>
      </c>
      <c r="H1654" s="6">
        <v>37100</v>
      </c>
      <c r="I1654" s="5"/>
    </row>
    <row r="1655" spans="1:9" x14ac:dyDescent="0.3">
      <c r="B1655" s="5" t="s">
        <v>1446</v>
      </c>
      <c r="C1655" s="5" t="s">
        <v>10</v>
      </c>
      <c r="D1655" s="5" t="s">
        <v>1463</v>
      </c>
      <c r="E1655" s="5" t="s">
        <v>1464</v>
      </c>
      <c r="F1655" s="5" t="s">
        <v>447</v>
      </c>
      <c r="G1655" s="5" t="s">
        <v>448</v>
      </c>
      <c r="H1655" s="6">
        <v>11860</v>
      </c>
      <c r="I1655" s="5"/>
    </row>
    <row r="1656" spans="1:9" x14ac:dyDescent="0.3">
      <c r="B1656" s="5" t="s">
        <v>1446</v>
      </c>
      <c r="C1656" s="5" t="s">
        <v>10</v>
      </c>
      <c r="D1656" s="5" t="s">
        <v>1463</v>
      </c>
      <c r="E1656" s="5" t="s">
        <v>1464</v>
      </c>
      <c r="F1656" s="5" t="s">
        <v>449</v>
      </c>
      <c r="G1656" s="5" t="s">
        <v>450</v>
      </c>
      <c r="H1656" s="6">
        <v>6960</v>
      </c>
      <c r="I1656" s="5"/>
    </row>
    <row r="1657" spans="1:9" x14ac:dyDescent="0.3">
      <c r="B1657" s="5" t="s">
        <v>1446</v>
      </c>
      <c r="C1657" s="5" t="s">
        <v>10</v>
      </c>
      <c r="D1657" s="5" t="s">
        <v>1463</v>
      </c>
      <c r="E1657" s="5" t="s">
        <v>1464</v>
      </c>
      <c r="F1657" s="5" t="s">
        <v>451</v>
      </c>
      <c r="G1657" s="5" t="s">
        <v>452</v>
      </c>
      <c r="H1657" s="6">
        <v>6960</v>
      </c>
      <c r="I1657" s="5"/>
    </row>
    <row r="1658" spans="1:9" x14ac:dyDescent="0.3">
      <c r="B1658" s="5" t="s">
        <v>1446</v>
      </c>
      <c r="C1658" s="5" t="s">
        <v>10</v>
      </c>
      <c r="D1658" s="5" t="s">
        <v>1463</v>
      </c>
      <c r="E1658" s="5" t="s">
        <v>1464</v>
      </c>
      <c r="F1658" s="5" t="s">
        <v>453</v>
      </c>
      <c r="G1658" s="5" t="s">
        <v>454</v>
      </c>
      <c r="H1658" s="6">
        <v>6960</v>
      </c>
      <c r="I1658" s="5"/>
    </row>
    <row r="1659" spans="1:9" x14ac:dyDescent="0.3">
      <c r="B1659" s="5" t="s">
        <v>1446</v>
      </c>
      <c r="C1659" s="5" t="s">
        <v>10</v>
      </c>
      <c r="D1659" s="5" t="s">
        <v>1463</v>
      </c>
      <c r="E1659" s="5" t="s">
        <v>1464</v>
      </c>
      <c r="F1659" s="5" t="s">
        <v>547</v>
      </c>
      <c r="G1659" s="5" t="s">
        <v>548</v>
      </c>
      <c r="H1659" s="6">
        <v>5980</v>
      </c>
      <c r="I1659" s="5"/>
    </row>
    <row r="1660" spans="1:9" x14ac:dyDescent="0.3">
      <c r="B1660" s="5" t="s">
        <v>1446</v>
      </c>
      <c r="C1660" s="5" t="s">
        <v>10</v>
      </c>
      <c r="D1660" s="5" t="s">
        <v>1463</v>
      </c>
      <c r="E1660" s="5" t="s">
        <v>1466</v>
      </c>
      <c r="F1660" s="5" t="s">
        <v>1199</v>
      </c>
      <c r="G1660" s="5" t="s">
        <v>1200</v>
      </c>
      <c r="H1660" s="6">
        <v>750</v>
      </c>
      <c r="I1660" s="5"/>
    </row>
    <row r="1661" spans="1:9" x14ac:dyDescent="0.3">
      <c r="B1661" s="5" t="s">
        <v>1446</v>
      </c>
      <c r="C1661" s="5" t="s">
        <v>10</v>
      </c>
      <c r="D1661" s="5" t="s">
        <v>1463</v>
      </c>
      <c r="E1661" s="5" t="s">
        <v>1466</v>
      </c>
      <c r="F1661" s="5" t="s">
        <v>1196</v>
      </c>
      <c r="G1661" s="5" t="s">
        <v>1197</v>
      </c>
      <c r="H1661" s="6">
        <v>750</v>
      </c>
      <c r="I1661" s="5"/>
    </row>
    <row r="1662" spans="1:9" x14ac:dyDescent="0.3">
      <c r="B1662" s="5" t="s">
        <v>1446</v>
      </c>
      <c r="C1662" s="5" t="s">
        <v>10</v>
      </c>
      <c r="D1662" s="5" t="s">
        <v>1463</v>
      </c>
      <c r="E1662" s="5" t="s">
        <v>1464</v>
      </c>
      <c r="F1662" s="5" t="s">
        <v>1346</v>
      </c>
      <c r="G1662" s="5" t="s">
        <v>1347</v>
      </c>
      <c r="H1662" s="6">
        <v>2335</v>
      </c>
      <c r="I1662" s="5"/>
    </row>
    <row r="1663" spans="1:9" x14ac:dyDescent="0.3">
      <c r="B1663" s="5" t="s">
        <v>1446</v>
      </c>
      <c r="C1663" s="5" t="s">
        <v>10</v>
      </c>
      <c r="D1663" s="5" t="s">
        <v>1463</v>
      </c>
      <c r="E1663" s="5" t="s">
        <v>1464</v>
      </c>
      <c r="F1663" s="5" t="s">
        <v>13</v>
      </c>
      <c r="G1663" s="5" t="s">
        <v>14</v>
      </c>
      <c r="H1663" s="5"/>
      <c r="I1663" s="6">
        <v>222086</v>
      </c>
    </row>
    <row r="1664" spans="1:9" x14ac:dyDescent="0.3">
      <c r="A1664" s="7" t="s">
        <v>1467</v>
      </c>
      <c r="H1664" s="8">
        <f>H1651+H1652+H1653+H1654+H1655+H1656+H1657+H1658+H1659+H1660+H1661+H1662+H1663</f>
        <v>222086</v>
      </c>
      <c r="I1664" s="8">
        <f>I1651+I1652+I1653+I1654+I1655+I1656+I1657+I1658+I1659+I1660+I1661+I1662+I1663</f>
        <v>222086</v>
      </c>
    </row>
    <row r="1665" spans="1:9" x14ac:dyDescent="0.3">
      <c r="A1665" s="4" t="s">
        <v>1468</v>
      </c>
    </row>
    <row r="1666" spans="1:9" x14ac:dyDescent="0.3">
      <c r="B1666" s="5" t="s">
        <v>1446</v>
      </c>
      <c r="C1666" s="5" t="s">
        <v>10</v>
      </c>
      <c r="D1666" s="5" t="s">
        <v>1469</v>
      </c>
      <c r="E1666" s="5" t="s">
        <v>1470</v>
      </c>
      <c r="F1666" s="5" t="s">
        <v>61</v>
      </c>
      <c r="G1666" s="5" t="s">
        <v>62</v>
      </c>
      <c r="H1666" s="6">
        <v>700</v>
      </c>
      <c r="I1666" s="5"/>
    </row>
    <row r="1667" spans="1:9" x14ac:dyDescent="0.3">
      <c r="B1667" s="5" t="s">
        <v>1446</v>
      </c>
      <c r="C1667" s="5" t="s">
        <v>10</v>
      </c>
      <c r="D1667" s="5" t="s">
        <v>1469</v>
      </c>
      <c r="E1667" s="5" t="s">
        <v>1470</v>
      </c>
      <c r="F1667" s="5" t="s">
        <v>13</v>
      </c>
      <c r="G1667" s="5" t="s">
        <v>14</v>
      </c>
      <c r="H1667" s="5"/>
      <c r="I1667" s="6">
        <v>700</v>
      </c>
    </row>
    <row r="1668" spans="1:9" x14ac:dyDescent="0.3">
      <c r="A1668" s="7" t="s">
        <v>1471</v>
      </c>
      <c r="H1668" s="8">
        <f>H1666+H1667</f>
        <v>700</v>
      </c>
      <c r="I1668" s="8">
        <f>I1666+I1667</f>
        <v>700</v>
      </c>
    </row>
    <row r="1669" spans="1:9" x14ac:dyDescent="0.3">
      <c r="A1669" s="4" t="s">
        <v>1472</v>
      </c>
    </row>
    <row r="1670" spans="1:9" x14ac:dyDescent="0.3">
      <c r="B1670" s="5" t="s">
        <v>1473</v>
      </c>
      <c r="C1670" s="5" t="s">
        <v>10</v>
      </c>
      <c r="D1670" s="5" t="s">
        <v>1474</v>
      </c>
      <c r="E1670" s="5" t="s">
        <v>1475</v>
      </c>
      <c r="F1670" s="5" t="s">
        <v>67</v>
      </c>
      <c r="G1670" s="5" t="s">
        <v>68</v>
      </c>
      <c r="H1670" s="6">
        <v>100</v>
      </c>
      <c r="I1670" s="5"/>
    </row>
    <row r="1671" spans="1:9" x14ac:dyDescent="0.3">
      <c r="B1671" s="5" t="s">
        <v>1473</v>
      </c>
      <c r="C1671" s="5" t="s">
        <v>10</v>
      </c>
      <c r="D1671" s="5" t="s">
        <v>1474</v>
      </c>
      <c r="E1671" s="5" t="s">
        <v>1475</v>
      </c>
      <c r="F1671" s="5" t="s">
        <v>13</v>
      </c>
      <c r="G1671" s="5" t="s">
        <v>14</v>
      </c>
      <c r="H1671" s="5"/>
      <c r="I1671" s="6">
        <v>100</v>
      </c>
    </row>
    <row r="1672" spans="1:9" x14ac:dyDescent="0.3">
      <c r="A1672" s="7" t="s">
        <v>1476</v>
      </c>
      <c r="H1672" s="8">
        <f>H1670+H1671</f>
        <v>100</v>
      </c>
      <c r="I1672" s="8">
        <f>I1670+I1671</f>
        <v>100</v>
      </c>
    </row>
    <row r="1673" spans="1:9" x14ac:dyDescent="0.3">
      <c r="A1673" s="4" t="s">
        <v>1477</v>
      </c>
    </row>
    <row r="1674" spans="1:9" x14ac:dyDescent="0.3">
      <c r="B1674" s="5" t="s">
        <v>1473</v>
      </c>
      <c r="C1674" s="5" t="s">
        <v>10</v>
      </c>
      <c r="D1674" s="5" t="s">
        <v>1478</v>
      </c>
      <c r="E1674" s="5" t="s">
        <v>1479</v>
      </c>
      <c r="F1674" s="5" t="s">
        <v>166</v>
      </c>
      <c r="G1674" s="5" t="s">
        <v>167</v>
      </c>
      <c r="H1674" s="6">
        <v>13150</v>
      </c>
      <c r="I1674" s="5"/>
    </row>
    <row r="1675" spans="1:9" x14ac:dyDescent="0.3">
      <c r="B1675" s="5" t="s">
        <v>1473</v>
      </c>
      <c r="C1675" s="5" t="s">
        <v>10</v>
      </c>
      <c r="D1675" s="5" t="s">
        <v>1478</v>
      </c>
      <c r="E1675" s="5" t="s">
        <v>1479</v>
      </c>
      <c r="F1675" s="5" t="s">
        <v>13</v>
      </c>
      <c r="G1675" s="5" t="s">
        <v>14</v>
      </c>
      <c r="H1675" s="5"/>
      <c r="I1675" s="6">
        <v>13150</v>
      </c>
    </row>
    <row r="1676" spans="1:9" x14ac:dyDescent="0.3">
      <c r="B1676" s="5" t="s">
        <v>1473</v>
      </c>
      <c r="C1676" s="5" t="s">
        <v>10</v>
      </c>
      <c r="D1676" s="5" t="s">
        <v>1478</v>
      </c>
      <c r="E1676" s="5" t="s">
        <v>1480</v>
      </c>
      <c r="F1676" s="5" t="s">
        <v>166</v>
      </c>
      <c r="G1676" s="5" t="s">
        <v>167</v>
      </c>
      <c r="H1676" s="6">
        <v>1050</v>
      </c>
      <c r="I1676" s="5"/>
    </row>
    <row r="1677" spans="1:9" x14ac:dyDescent="0.3">
      <c r="B1677" s="5" t="s">
        <v>1473</v>
      </c>
      <c r="C1677" s="5" t="s">
        <v>10</v>
      </c>
      <c r="D1677" s="5" t="s">
        <v>1478</v>
      </c>
      <c r="E1677" s="5" t="s">
        <v>1481</v>
      </c>
      <c r="F1677" s="5" t="s">
        <v>166</v>
      </c>
      <c r="G1677" s="5" t="s">
        <v>167</v>
      </c>
      <c r="H1677" s="6">
        <v>1900</v>
      </c>
      <c r="I1677" s="5"/>
    </row>
    <row r="1678" spans="1:9" x14ac:dyDescent="0.3">
      <c r="B1678" s="5" t="s">
        <v>1473</v>
      </c>
      <c r="C1678" s="5" t="s">
        <v>10</v>
      </c>
      <c r="D1678" s="5" t="s">
        <v>1478</v>
      </c>
      <c r="E1678" s="5" t="s">
        <v>1482</v>
      </c>
      <c r="F1678" s="5" t="s">
        <v>13</v>
      </c>
      <c r="G1678" s="5" t="s">
        <v>14</v>
      </c>
      <c r="H1678" s="5"/>
      <c r="I1678" s="6">
        <v>2950</v>
      </c>
    </row>
    <row r="1679" spans="1:9" x14ac:dyDescent="0.3">
      <c r="A1679" s="7" t="s">
        <v>1483</v>
      </c>
      <c r="H1679" s="8">
        <f>H1674+H1675+H1676+H1677+H1678</f>
        <v>16100</v>
      </c>
      <c r="I1679" s="8">
        <f>I1674+I1675+I1676+I1677+I1678</f>
        <v>16100</v>
      </c>
    </row>
    <row r="1680" spans="1:9" x14ac:dyDescent="0.3">
      <c r="A1680" s="4" t="s">
        <v>1484</v>
      </c>
    </row>
    <row r="1681" spans="1:9" x14ac:dyDescent="0.3">
      <c r="B1681" s="5" t="s">
        <v>1473</v>
      </c>
      <c r="C1681" s="5" t="s">
        <v>10</v>
      </c>
      <c r="D1681" s="5" t="s">
        <v>1485</v>
      </c>
      <c r="E1681" s="5" t="s">
        <v>1486</v>
      </c>
      <c r="F1681" s="5" t="s">
        <v>549</v>
      </c>
      <c r="G1681" s="5" t="s">
        <v>550</v>
      </c>
      <c r="H1681" s="6">
        <v>3000</v>
      </c>
      <c r="I1681" s="5"/>
    </row>
    <row r="1682" spans="1:9" x14ac:dyDescent="0.3">
      <c r="B1682" s="5" t="s">
        <v>1473</v>
      </c>
      <c r="C1682" s="5" t="s">
        <v>10</v>
      </c>
      <c r="D1682" s="5" t="s">
        <v>1485</v>
      </c>
      <c r="E1682" s="5" t="s">
        <v>1486</v>
      </c>
      <c r="F1682" s="5" t="s">
        <v>13</v>
      </c>
      <c r="G1682" s="5" t="s">
        <v>14</v>
      </c>
      <c r="H1682" s="5"/>
      <c r="I1682" s="6">
        <v>3000</v>
      </c>
    </row>
    <row r="1683" spans="1:9" x14ac:dyDescent="0.3">
      <c r="A1683" s="7" t="s">
        <v>1487</v>
      </c>
      <c r="H1683" s="8">
        <f>H1681+H1682</f>
        <v>3000</v>
      </c>
      <c r="I1683" s="8">
        <f>I1681+I1682</f>
        <v>3000</v>
      </c>
    </row>
    <row r="1684" spans="1:9" x14ac:dyDescent="0.3">
      <c r="A1684" s="4" t="s">
        <v>1488</v>
      </c>
    </row>
    <row r="1685" spans="1:9" x14ac:dyDescent="0.3">
      <c r="B1685" s="5" t="s">
        <v>1473</v>
      </c>
      <c r="C1685" s="5" t="s">
        <v>10</v>
      </c>
      <c r="D1685" s="5" t="s">
        <v>1489</v>
      </c>
      <c r="E1685" s="5" t="s">
        <v>1490</v>
      </c>
      <c r="F1685" s="5" t="s">
        <v>61</v>
      </c>
      <c r="G1685" s="5" t="s">
        <v>62</v>
      </c>
      <c r="H1685" s="6">
        <v>3960</v>
      </c>
      <c r="I1685" s="5"/>
    </row>
    <row r="1686" spans="1:9" x14ac:dyDescent="0.3">
      <c r="B1686" s="5" t="s">
        <v>1473</v>
      </c>
      <c r="C1686" s="5" t="s">
        <v>10</v>
      </c>
      <c r="D1686" s="5" t="s">
        <v>1489</v>
      </c>
      <c r="E1686" s="5" t="s">
        <v>1490</v>
      </c>
      <c r="F1686" s="5" t="s">
        <v>13</v>
      </c>
      <c r="G1686" s="5" t="s">
        <v>14</v>
      </c>
      <c r="H1686" s="5"/>
      <c r="I1686" s="6">
        <v>3960</v>
      </c>
    </row>
    <row r="1687" spans="1:9" x14ac:dyDescent="0.3">
      <c r="A1687" s="7" t="s">
        <v>1491</v>
      </c>
      <c r="H1687" s="8">
        <f>H1685+H1686</f>
        <v>3960</v>
      </c>
      <c r="I1687" s="8">
        <f>I1685+I1686</f>
        <v>3960</v>
      </c>
    </row>
    <row r="1688" spans="1:9" x14ac:dyDescent="0.3">
      <c r="A1688" s="4" t="s">
        <v>1492</v>
      </c>
    </row>
    <row r="1689" spans="1:9" x14ac:dyDescent="0.3">
      <c r="B1689" s="5" t="s">
        <v>1473</v>
      </c>
      <c r="C1689" s="5" t="s">
        <v>10</v>
      </c>
      <c r="D1689" s="5" t="s">
        <v>1493</v>
      </c>
      <c r="E1689" s="5" t="s">
        <v>1494</v>
      </c>
      <c r="F1689" s="5" t="s">
        <v>1495</v>
      </c>
      <c r="G1689" s="5" t="s">
        <v>1496</v>
      </c>
      <c r="H1689" s="6">
        <v>5246</v>
      </c>
      <c r="I1689" s="5"/>
    </row>
    <row r="1690" spans="1:9" x14ac:dyDescent="0.3">
      <c r="B1690" s="5" t="s">
        <v>1473</v>
      </c>
      <c r="C1690" s="5" t="s">
        <v>10</v>
      </c>
      <c r="D1690" s="5" t="s">
        <v>1493</v>
      </c>
      <c r="E1690" s="5" t="s">
        <v>1494</v>
      </c>
      <c r="F1690" s="5" t="s">
        <v>13</v>
      </c>
      <c r="G1690" s="5" t="s">
        <v>14</v>
      </c>
      <c r="H1690" s="5"/>
      <c r="I1690" s="6">
        <v>5246</v>
      </c>
    </row>
    <row r="1691" spans="1:9" x14ac:dyDescent="0.3">
      <c r="B1691" s="5" t="s">
        <v>1473</v>
      </c>
      <c r="C1691" s="5" t="s">
        <v>10</v>
      </c>
      <c r="D1691" s="5" t="s">
        <v>1493</v>
      </c>
      <c r="E1691" s="5" t="s">
        <v>1497</v>
      </c>
      <c r="F1691" s="5" t="s">
        <v>67</v>
      </c>
      <c r="G1691" s="5" t="s">
        <v>68</v>
      </c>
      <c r="H1691" s="6">
        <v>100</v>
      </c>
      <c r="I1691" s="5"/>
    </row>
    <row r="1692" spans="1:9" x14ac:dyDescent="0.3">
      <c r="B1692" s="5" t="s">
        <v>1473</v>
      </c>
      <c r="C1692" s="5" t="s">
        <v>10</v>
      </c>
      <c r="D1692" s="5" t="s">
        <v>1493</v>
      </c>
      <c r="E1692" s="5" t="s">
        <v>1497</v>
      </c>
      <c r="F1692" s="5" t="s">
        <v>13</v>
      </c>
      <c r="G1692" s="5" t="s">
        <v>14</v>
      </c>
      <c r="H1692" s="5"/>
      <c r="I1692" s="6">
        <v>100</v>
      </c>
    </row>
    <row r="1693" spans="1:9" x14ac:dyDescent="0.3">
      <c r="A1693" s="7" t="s">
        <v>1498</v>
      </c>
      <c r="H1693" s="8">
        <f>H1689+H1690+H1691+H1692</f>
        <v>5346</v>
      </c>
      <c r="I1693" s="8">
        <f>I1689+I1690+I1691+I1692</f>
        <v>5346</v>
      </c>
    </row>
    <row r="1694" spans="1:9" x14ac:dyDescent="0.3">
      <c r="A1694" s="4" t="s">
        <v>1499</v>
      </c>
    </row>
    <row r="1695" spans="1:9" x14ac:dyDescent="0.3">
      <c r="B1695" s="5" t="s">
        <v>1500</v>
      </c>
      <c r="C1695" s="5" t="s">
        <v>10</v>
      </c>
      <c r="D1695" s="5" t="s">
        <v>1501</v>
      </c>
      <c r="E1695" s="5" t="s">
        <v>1502</v>
      </c>
      <c r="F1695" s="5" t="s">
        <v>831</v>
      </c>
      <c r="G1695" s="5" t="s">
        <v>832</v>
      </c>
      <c r="H1695" s="6">
        <v>70010</v>
      </c>
      <c r="I1695" s="5"/>
    </row>
    <row r="1696" spans="1:9" x14ac:dyDescent="0.3">
      <c r="B1696" s="5" t="s">
        <v>1500</v>
      </c>
      <c r="C1696" s="5" t="s">
        <v>10</v>
      </c>
      <c r="D1696" s="5" t="s">
        <v>1501</v>
      </c>
      <c r="E1696" s="5" t="s">
        <v>1502</v>
      </c>
      <c r="F1696" s="5" t="s">
        <v>13</v>
      </c>
      <c r="G1696" s="5" t="s">
        <v>14</v>
      </c>
      <c r="H1696" s="5"/>
      <c r="I1696" s="6">
        <v>70010</v>
      </c>
    </row>
    <row r="1697" spans="1:9" x14ac:dyDescent="0.3">
      <c r="A1697" s="7" t="s">
        <v>1503</v>
      </c>
      <c r="H1697" s="8">
        <f>H1695+H1696</f>
        <v>70010</v>
      </c>
      <c r="I1697" s="8">
        <f>I1695+I1696</f>
        <v>70010</v>
      </c>
    </row>
    <row r="1698" spans="1:9" x14ac:dyDescent="0.3">
      <c r="A1698" s="4" t="s">
        <v>1504</v>
      </c>
    </row>
    <row r="1699" spans="1:9" x14ac:dyDescent="0.3">
      <c r="B1699" s="5" t="s">
        <v>1500</v>
      </c>
      <c r="C1699" s="5" t="s">
        <v>10</v>
      </c>
      <c r="D1699" s="5" t="s">
        <v>1505</v>
      </c>
      <c r="E1699" s="5" t="s">
        <v>1506</v>
      </c>
      <c r="F1699" s="5" t="s">
        <v>61</v>
      </c>
      <c r="G1699" s="5" t="s">
        <v>62</v>
      </c>
      <c r="H1699" s="6">
        <v>270</v>
      </c>
      <c r="I1699" s="5"/>
    </row>
    <row r="1700" spans="1:9" x14ac:dyDescent="0.3">
      <c r="B1700" s="5" t="s">
        <v>1500</v>
      </c>
      <c r="C1700" s="5" t="s">
        <v>10</v>
      </c>
      <c r="D1700" s="5" t="s">
        <v>1505</v>
      </c>
      <c r="E1700" s="5" t="s">
        <v>1506</v>
      </c>
      <c r="F1700" s="5" t="s">
        <v>13</v>
      </c>
      <c r="G1700" s="5" t="s">
        <v>14</v>
      </c>
      <c r="H1700" s="5"/>
      <c r="I1700" s="6">
        <v>270</v>
      </c>
    </row>
    <row r="1701" spans="1:9" x14ac:dyDescent="0.3">
      <c r="A1701" s="7" t="s">
        <v>1507</v>
      </c>
      <c r="H1701" s="8">
        <f>H1699+H1700</f>
        <v>270</v>
      </c>
      <c r="I1701" s="8">
        <f>I1699+I1700</f>
        <v>270</v>
      </c>
    </row>
    <row r="1702" spans="1:9" x14ac:dyDescent="0.3">
      <c r="A1702" s="4" t="s">
        <v>1508</v>
      </c>
    </row>
    <row r="1703" spans="1:9" x14ac:dyDescent="0.3">
      <c r="B1703" s="5" t="s">
        <v>1500</v>
      </c>
      <c r="C1703" s="5" t="s">
        <v>10</v>
      </c>
      <c r="D1703" s="5" t="s">
        <v>1509</v>
      </c>
      <c r="E1703" s="5" t="s">
        <v>1510</v>
      </c>
      <c r="F1703" s="5" t="s">
        <v>176</v>
      </c>
      <c r="G1703" s="5" t="s">
        <v>177</v>
      </c>
      <c r="H1703" s="6">
        <v>6000</v>
      </c>
      <c r="I1703" s="5"/>
    </row>
    <row r="1704" spans="1:9" x14ac:dyDescent="0.3">
      <c r="B1704" s="5" t="s">
        <v>1500</v>
      </c>
      <c r="C1704" s="5" t="s">
        <v>10</v>
      </c>
      <c r="D1704" s="5" t="s">
        <v>1509</v>
      </c>
      <c r="E1704" s="5" t="s">
        <v>1510</v>
      </c>
      <c r="F1704" s="5" t="s">
        <v>13</v>
      </c>
      <c r="G1704" s="5" t="s">
        <v>14</v>
      </c>
      <c r="H1704" s="5"/>
      <c r="I1704" s="6">
        <v>6000</v>
      </c>
    </row>
    <row r="1705" spans="1:9" x14ac:dyDescent="0.3">
      <c r="A1705" s="7" t="s">
        <v>1511</v>
      </c>
      <c r="H1705" s="8">
        <f>H1703+H1704</f>
        <v>6000</v>
      </c>
      <c r="I1705" s="8">
        <f>I1703+I1704</f>
        <v>6000</v>
      </c>
    </row>
    <row r="1706" spans="1:9" x14ac:dyDescent="0.3">
      <c r="A1706" s="4" t="s">
        <v>1512</v>
      </c>
    </row>
    <row r="1707" spans="1:9" x14ac:dyDescent="0.3">
      <c r="B1707" s="5" t="s">
        <v>1500</v>
      </c>
      <c r="C1707" s="5" t="s">
        <v>10</v>
      </c>
      <c r="D1707" s="5" t="s">
        <v>1513</v>
      </c>
      <c r="E1707" s="5" t="s">
        <v>1514</v>
      </c>
      <c r="F1707" s="5" t="s">
        <v>129</v>
      </c>
      <c r="G1707" s="5" t="s">
        <v>130</v>
      </c>
      <c r="H1707" s="6">
        <v>240</v>
      </c>
      <c r="I1707" s="5"/>
    </row>
    <row r="1708" spans="1:9" x14ac:dyDescent="0.3">
      <c r="B1708" s="5" t="s">
        <v>1500</v>
      </c>
      <c r="C1708" s="5" t="s">
        <v>10</v>
      </c>
      <c r="D1708" s="5" t="s">
        <v>1513</v>
      </c>
      <c r="E1708" s="5" t="s">
        <v>1514</v>
      </c>
      <c r="F1708" s="5" t="s">
        <v>13</v>
      </c>
      <c r="G1708" s="5" t="s">
        <v>14</v>
      </c>
      <c r="H1708" s="5"/>
      <c r="I1708" s="6">
        <v>240</v>
      </c>
    </row>
    <row r="1709" spans="1:9" x14ac:dyDescent="0.3">
      <c r="B1709" s="5" t="s">
        <v>1500</v>
      </c>
      <c r="C1709" s="5" t="s">
        <v>10</v>
      </c>
      <c r="D1709" s="5" t="s">
        <v>1513</v>
      </c>
      <c r="E1709" s="5" t="s">
        <v>1515</v>
      </c>
      <c r="F1709" s="5" t="s">
        <v>67</v>
      </c>
      <c r="G1709" s="5" t="s">
        <v>68</v>
      </c>
      <c r="H1709" s="6">
        <v>430</v>
      </c>
      <c r="I1709" s="5"/>
    </row>
    <row r="1710" spans="1:9" x14ac:dyDescent="0.3">
      <c r="B1710" s="5" t="s">
        <v>1500</v>
      </c>
      <c r="C1710" s="5" t="s">
        <v>10</v>
      </c>
      <c r="D1710" s="5" t="s">
        <v>1513</v>
      </c>
      <c r="E1710" s="5" t="s">
        <v>1515</v>
      </c>
      <c r="F1710" s="5" t="s">
        <v>13</v>
      </c>
      <c r="G1710" s="5" t="s">
        <v>14</v>
      </c>
      <c r="H1710" s="5"/>
      <c r="I1710" s="6">
        <v>430</v>
      </c>
    </row>
    <row r="1711" spans="1:9" x14ac:dyDescent="0.3">
      <c r="B1711" s="5" t="s">
        <v>1500</v>
      </c>
      <c r="C1711" s="5" t="s">
        <v>10</v>
      </c>
      <c r="D1711" s="5" t="s">
        <v>1513</v>
      </c>
      <c r="E1711" s="5" t="s">
        <v>1516</v>
      </c>
      <c r="F1711" s="5" t="s">
        <v>67</v>
      </c>
      <c r="G1711" s="5" t="s">
        <v>68</v>
      </c>
      <c r="H1711" s="6">
        <v>300</v>
      </c>
      <c r="I1711" s="5"/>
    </row>
    <row r="1712" spans="1:9" x14ac:dyDescent="0.3">
      <c r="B1712" s="5" t="s">
        <v>1500</v>
      </c>
      <c r="C1712" s="5" t="s">
        <v>10</v>
      </c>
      <c r="D1712" s="5" t="s">
        <v>1513</v>
      </c>
      <c r="E1712" s="5" t="s">
        <v>1516</v>
      </c>
      <c r="F1712" s="5" t="s">
        <v>13</v>
      </c>
      <c r="G1712" s="5" t="s">
        <v>14</v>
      </c>
      <c r="H1712" s="5"/>
      <c r="I1712" s="6">
        <v>300</v>
      </c>
    </row>
    <row r="1713" spans="1:9" x14ac:dyDescent="0.3">
      <c r="A1713" s="7" t="s">
        <v>1517</v>
      </c>
      <c r="H1713" s="8">
        <f>H1707+H1708+H1709+H1710+H1711+H1712</f>
        <v>970</v>
      </c>
      <c r="I1713" s="8">
        <f>I1707+I1708+I1709+I1710+I1711+I1712</f>
        <v>970</v>
      </c>
    </row>
    <row r="1714" spans="1:9" x14ac:dyDescent="0.3">
      <c r="A1714" s="4" t="s">
        <v>1518</v>
      </c>
    </row>
    <row r="1715" spans="1:9" x14ac:dyDescent="0.3">
      <c r="B1715" s="5" t="s">
        <v>1500</v>
      </c>
      <c r="C1715" s="5" t="s">
        <v>10</v>
      </c>
      <c r="D1715" s="5" t="s">
        <v>1519</v>
      </c>
      <c r="E1715" s="5" t="s">
        <v>1520</v>
      </c>
      <c r="F1715" s="5" t="s">
        <v>441</v>
      </c>
      <c r="G1715" s="5" t="s">
        <v>442</v>
      </c>
      <c r="H1715" s="6">
        <v>15481</v>
      </c>
      <c r="I1715" s="5"/>
    </row>
    <row r="1716" spans="1:9" x14ac:dyDescent="0.3">
      <c r="B1716" s="5" t="s">
        <v>1500</v>
      </c>
      <c r="C1716" s="5" t="s">
        <v>10</v>
      </c>
      <c r="D1716" s="5" t="s">
        <v>1519</v>
      </c>
      <c r="E1716" s="5" t="s">
        <v>1520</v>
      </c>
      <c r="F1716" s="5" t="s">
        <v>13</v>
      </c>
      <c r="G1716" s="5" t="s">
        <v>14</v>
      </c>
      <c r="H1716" s="5"/>
      <c r="I1716" s="6">
        <v>15481</v>
      </c>
    </row>
    <row r="1717" spans="1:9" x14ac:dyDescent="0.3">
      <c r="A1717" s="7" t="s">
        <v>1521</v>
      </c>
      <c r="H1717" s="8">
        <f>H1715+H1716</f>
        <v>15481</v>
      </c>
      <c r="I1717" s="8">
        <f>I1715+I1716</f>
        <v>15481</v>
      </c>
    </row>
    <row r="1718" spans="1:9" x14ac:dyDescent="0.3">
      <c r="A1718" s="4" t="s">
        <v>1522</v>
      </c>
    </row>
    <row r="1719" spans="1:9" x14ac:dyDescent="0.3">
      <c r="B1719" s="5" t="s">
        <v>1523</v>
      </c>
      <c r="C1719" s="5" t="s">
        <v>10</v>
      </c>
      <c r="D1719" s="5" t="s">
        <v>1524</v>
      </c>
      <c r="E1719" s="5" t="s">
        <v>1456</v>
      </c>
      <c r="F1719" s="5" t="s">
        <v>116</v>
      </c>
      <c r="G1719" s="5" t="s">
        <v>117</v>
      </c>
      <c r="H1719" s="6">
        <v>500</v>
      </c>
      <c r="I1719" s="5"/>
    </row>
    <row r="1720" spans="1:9" x14ac:dyDescent="0.3">
      <c r="B1720" s="5" t="s">
        <v>1523</v>
      </c>
      <c r="C1720" s="5" t="s">
        <v>10</v>
      </c>
      <c r="D1720" s="5" t="s">
        <v>1524</v>
      </c>
      <c r="E1720" s="5" t="s">
        <v>1456</v>
      </c>
      <c r="F1720" s="5" t="s">
        <v>13</v>
      </c>
      <c r="G1720" s="5" t="s">
        <v>14</v>
      </c>
      <c r="H1720" s="5"/>
      <c r="I1720" s="6">
        <v>500</v>
      </c>
    </row>
    <row r="1721" spans="1:9" x14ac:dyDescent="0.3">
      <c r="A1721" s="7" t="s">
        <v>1525</v>
      </c>
      <c r="H1721" s="8">
        <f>H1719+H1720</f>
        <v>500</v>
      </c>
      <c r="I1721" s="8">
        <f>I1719+I1720</f>
        <v>500</v>
      </c>
    </row>
    <row r="1722" spans="1:9" x14ac:dyDescent="0.3">
      <c r="A1722" s="4" t="s">
        <v>1526</v>
      </c>
    </row>
    <row r="1723" spans="1:9" x14ac:dyDescent="0.3">
      <c r="B1723" s="5" t="s">
        <v>1523</v>
      </c>
      <c r="C1723" s="5" t="s">
        <v>10</v>
      </c>
      <c r="D1723" s="5" t="s">
        <v>1527</v>
      </c>
      <c r="E1723" s="5" t="s">
        <v>1528</v>
      </c>
      <c r="F1723" s="5" t="s">
        <v>64</v>
      </c>
      <c r="G1723" s="5" t="s">
        <v>65</v>
      </c>
      <c r="H1723" s="6">
        <v>330</v>
      </c>
      <c r="I1723" s="5"/>
    </row>
    <row r="1724" spans="1:9" x14ac:dyDescent="0.3">
      <c r="B1724" s="5" t="s">
        <v>1523</v>
      </c>
      <c r="C1724" s="5" t="s">
        <v>10</v>
      </c>
      <c r="D1724" s="5" t="s">
        <v>1527</v>
      </c>
      <c r="E1724" s="5" t="s">
        <v>1528</v>
      </c>
      <c r="F1724" s="5" t="s">
        <v>13</v>
      </c>
      <c r="G1724" s="5" t="s">
        <v>14</v>
      </c>
      <c r="H1724" s="5"/>
      <c r="I1724" s="6">
        <v>330</v>
      </c>
    </row>
    <row r="1725" spans="1:9" x14ac:dyDescent="0.3">
      <c r="A1725" s="7" t="s">
        <v>1529</v>
      </c>
      <c r="H1725" s="8">
        <f>H1723+H1724</f>
        <v>330</v>
      </c>
      <c r="I1725" s="8">
        <f>I1723+I1724</f>
        <v>330</v>
      </c>
    </row>
    <row r="1726" spans="1:9" x14ac:dyDescent="0.3">
      <c r="A1726" s="4" t="s">
        <v>1530</v>
      </c>
    </row>
    <row r="1727" spans="1:9" x14ac:dyDescent="0.3">
      <c r="B1727" s="5" t="s">
        <v>1523</v>
      </c>
      <c r="C1727" s="5" t="s">
        <v>10</v>
      </c>
      <c r="D1727" s="5" t="s">
        <v>1531</v>
      </c>
      <c r="E1727" s="5" t="s">
        <v>1532</v>
      </c>
      <c r="F1727" s="5" t="s">
        <v>64</v>
      </c>
      <c r="G1727" s="5" t="s">
        <v>65</v>
      </c>
      <c r="H1727" s="6">
        <v>640</v>
      </c>
      <c r="I1727" s="5"/>
    </row>
    <row r="1728" spans="1:9" x14ac:dyDescent="0.3">
      <c r="B1728" s="5" t="s">
        <v>1523</v>
      </c>
      <c r="C1728" s="5" t="s">
        <v>10</v>
      </c>
      <c r="D1728" s="5" t="s">
        <v>1531</v>
      </c>
      <c r="E1728" s="5" t="s">
        <v>1532</v>
      </c>
      <c r="F1728" s="5" t="s">
        <v>13</v>
      </c>
      <c r="G1728" s="5" t="s">
        <v>14</v>
      </c>
      <c r="H1728" s="5"/>
      <c r="I1728" s="6">
        <v>640</v>
      </c>
    </row>
    <row r="1729" spans="1:9" x14ac:dyDescent="0.3">
      <c r="A1729" s="7" t="s">
        <v>1533</v>
      </c>
      <c r="H1729" s="8">
        <f>H1727+H1728</f>
        <v>640</v>
      </c>
      <c r="I1729" s="8">
        <f>I1727+I1728</f>
        <v>640</v>
      </c>
    </row>
    <row r="1730" spans="1:9" x14ac:dyDescent="0.3">
      <c r="A1730" s="4" t="s">
        <v>1534</v>
      </c>
    </row>
    <row r="1731" spans="1:9" x14ac:dyDescent="0.3">
      <c r="B1731" s="5" t="s">
        <v>1523</v>
      </c>
      <c r="C1731" s="5" t="s">
        <v>10</v>
      </c>
      <c r="D1731" s="5" t="s">
        <v>1535</v>
      </c>
      <c r="E1731" s="5" t="s">
        <v>1536</v>
      </c>
      <c r="F1731" s="5" t="s">
        <v>70</v>
      </c>
      <c r="G1731" s="5" t="s">
        <v>71</v>
      </c>
      <c r="H1731" s="6">
        <v>340</v>
      </c>
      <c r="I1731" s="5"/>
    </row>
    <row r="1732" spans="1:9" x14ac:dyDescent="0.3">
      <c r="B1732" s="5" t="s">
        <v>1523</v>
      </c>
      <c r="C1732" s="5" t="s">
        <v>10</v>
      </c>
      <c r="D1732" s="5" t="s">
        <v>1535</v>
      </c>
      <c r="E1732" s="5" t="s">
        <v>1537</v>
      </c>
      <c r="F1732" s="5" t="s">
        <v>55</v>
      </c>
      <c r="G1732" s="5" t="s">
        <v>56</v>
      </c>
      <c r="H1732" s="6">
        <v>230</v>
      </c>
      <c r="I1732" s="5"/>
    </row>
    <row r="1733" spans="1:9" x14ac:dyDescent="0.3">
      <c r="B1733" s="5" t="s">
        <v>1523</v>
      </c>
      <c r="C1733" s="5" t="s">
        <v>10</v>
      </c>
      <c r="D1733" s="5" t="s">
        <v>1535</v>
      </c>
      <c r="E1733" s="5" t="s">
        <v>1538</v>
      </c>
      <c r="F1733" s="5" t="s">
        <v>55</v>
      </c>
      <c r="G1733" s="5" t="s">
        <v>56</v>
      </c>
      <c r="H1733" s="6">
        <v>960</v>
      </c>
      <c r="I1733" s="5"/>
    </row>
    <row r="1734" spans="1:9" x14ac:dyDescent="0.3">
      <c r="B1734" s="5" t="s">
        <v>1523</v>
      </c>
      <c r="C1734" s="5" t="s">
        <v>10</v>
      </c>
      <c r="D1734" s="5" t="s">
        <v>1535</v>
      </c>
      <c r="E1734" s="5" t="s">
        <v>1539</v>
      </c>
      <c r="F1734" s="5" t="s">
        <v>256</v>
      </c>
      <c r="G1734" s="5" t="s">
        <v>257</v>
      </c>
      <c r="H1734" s="6">
        <v>140</v>
      </c>
      <c r="I1734" s="5"/>
    </row>
    <row r="1735" spans="1:9" x14ac:dyDescent="0.3">
      <c r="B1735" s="5" t="s">
        <v>1523</v>
      </c>
      <c r="C1735" s="5" t="s">
        <v>10</v>
      </c>
      <c r="D1735" s="5" t="s">
        <v>1535</v>
      </c>
      <c r="E1735" s="5" t="s">
        <v>1540</v>
      </c>
      <c r="F1735" s="5" t="s">
        <v>13</v>
      </c>
      <c r="G1735" s="5" t="s">
        <v>14</v>
      </c>
      <c r="H1735" s="5"/>
      <c r="I1735" s="6">
        <v>1670</v>
      </c>
    </row>
    <row r="1736" spans="1:9" x14ac:dyDescent="0.3">
      <c r="A1736" s="7" t="s">
        <v>1541</v>
      </c>
      <c r="H1736" s="8">
        <f>H1731+H1732+H1733+H1734+H1735</f>
        <v>1670</v>
      </c>
      <c r="I1736" s="8">
        <f>I1731+I1732+I1733+I1734+I1735</f>
        <v>1670</v>
      </c>
    </row>
    <row r="1737" spans="1:9" x14ac:dyDescent="0.3">
      <c r="A1737" s="4" t="s">
        <v>1542</v>
      </c>
    </row>
    <row r="1738" spans="1:9" x14ac:dyDescent="0.3">
      <c r="B1738" s="5" t="s">
        <v>1523</v>
      </c>
      <c r="C1738" s="5" t="s">
        <v>10</v>
      </c>
      <c r="D1738" s="5" t="s">
        <v>1543</v>
      </c>
      <c r="E1738" s="5" t="s">
        <v>1506</v>
      </c>
      <c r="F1738" s="5" t="s">
        <v>61</v>
      </c>
      <c r="G1738" s="5" t="s">
        <v>62</v>
      </c>
      <c r="H1738" s="6">
        <v>280</v>
      </c>
      <c r="I1738" s="5"/>
    </row>
    <row r="1739" spans="1:9" x14ac:dyDescent="0.3">
      <c r="B1739" s="5" t="s">
        <v>1523</v>
      </c>
      <c r="C1739" s="5" t="s">
        <v>10</v>
      </c>
      <c r="D1739" s="5" t="s">
        <v>1543</v>
      </c>
      <c r="E1739" s="5" t="s">
        <v>1506</v>
      </c>
      <c r="F1739" s="5" t="s">
        <v>13</v>
      </c>
      <c r="G1739" s="5" t="s">
        <v>14</v>
      </c>
      <c r="H1739" s="5"/>
      <c r="I1739" s="6">
        <v>280</v>
      </c>
    </row>
    <row r="1740" spans="1:9" x14ac:dyDescent="0.3">
      <c r="A1740" s="7" t="s">
        <v>1544</v>
      </c>
      <c r="H1740" s="8">
        <f>H1738+H1739</f>
        <v>280</v>
      </c>
      <c r="I1740" s="8">
        <f>I1738+I1739</f>
        <v>280</v>
      </c>
    </row>
    <row r="1741" spans="1:9" x14ac:dyDescent="0.3">
      <c r="A1741" s="4" t="s">
        <v>1545</v>
      </c>
    </row>
    <row r="1742" spans="1:9" x14ac:dyDescent="0.3">
      <c r="B1742" s="5" t="s">
        <v>1546</v>
      </c>
      <c r="C1742" s="5" t="s">
        <v>10</v>
      </c>
      <c r="D1742" s="5" t="s">
        <v>1547</v>
      </c>
      <c r="E1742" s="5" t="s">
        <v>1548</v>
      </c>
      <c r="F1742" s="5" t="s">
        <v>70</v>
      </c>
      <c r="G1742" s="5" t="s">
        <v>71</v>
      </c>
      <c r="H1742" s="6">
        <v>1160</v>
      </c>
      <c r="I1742" s="5"/>
    </row>
    <row r="1743" spans="1:9" x14ac:dyDescent="0.3">
      <c r="B1743" s="5" t="s">
        <v>1546</v>
      </c>
      <c r="C1743" s="5" t="s">
        <v>10</v>
      </c>
      <c r="D1743" s="5" t="s">
        <v>1547</v>
      </c>
      <c r="E1743" s="5" t="s">
        <v>1548</v>
      </c>
      <c r="F1743" s="5" t="s">
        <v>13</v>
      </c>
      <c r="G1743" s="5" t="s">
        <v>14</v>
      </c>
      <c r="H1743" s="5"/>
      <c r="I1743" s="6">
        <v>1160</v>
      </c>
    </row>
    <row r="1744" spans="1:9" x14ac:dyDescent="0.3">
      <c r="A1744" s="7" t="s">
        <v>1549</v>
      </c>
      <c r="H1744" s="8">
        <f>H1742+H1743</f>
        <v>1160</v>
      </c>
      <c r="I1744" s="8">
        <f>I1742+I1743</f>
        <v>1160</v>
      </c>
    </row>
    <row r="1745" spans="1:9" x14ac:dyDescent="0.3">
      <c r="A1745" s="4" t="s">
        <v>1550</v>
      </c>
    </row>
    <row r="1746" spans="1:9" x14ac:dyDescent="0.3">
      <c r="B1746" s="5" t="s">
        <v>1546</v>
      </c>
      <c r="C1746" s="5" t="s">
        <v>10</v>
      </c>
      <c r="D1746" s="5" t="s">
        <v>1551</v>
      </c>
      <c r="E1746" s="5" t="s">
        <v>1552</v>
      </c>
      <c r="F1746" s="5" t="s">
        <v>61</v>
      </c>
      <c r="G1746" s="5" t="s">
        <v>62</v>
      </c>
      <c r="H1746" s="6">
        <v>230</v>
      </c>
      <c r="I1746" s="5"/>
    </row>
    <row r="1747" spans="1:9" x14ac:dyDescent="0.3">
      <c r="B1747" s="5" t="s">
        <v>1546</v>
      </c>
      <c r="C1747" s="5" t="s">
        <v>10</v>
      </c>
      <c r="D1747" s="5" t="s">
        <v>1551</v>
      </c>
      <c r="E1747" s="5" t="s">
        <v>1553</v>
      </c>
      <c r="F1747" s="5" t="s">
        <v>70</v>
      </c>
      <c r="G1747" s="5" t="s">
        <v>71</v>
      </c>
      <c r="H1747" s="6">
        <v>200</v>
      </c>
      <c r="I1747" s="5"/>
    </row>
    <row r="1748" spans="1:9" x14ac:dyDescent="0.3">
      <c r="B1748" s="5" t="s">
        <v>1546</v>
      </c>
      <c r="C1748" s="5" t="s">
        <v>10</v>
      </c>
      <c r="D1748" s="5" t="s">
        <v>1551</v>
      </c>
      <c r="E1748" s="5" t="s">
        <v>1554</v>
      </c>
      <c r="F1748" s="5" t="s">
        <v>129</v>
      </c>
      <c r="G1748" s="5" t="s">
        <v>130</v>
      </c>
      <c r="H1748" s="6">
        <v>100</v>
      </c>
      <c r="I1748" s="5"/>
    </row>
    <row r="1749" spans="1:9" x14ac:dyDescent="0.3">
      <c r="B1749" s="5" t="s">
        <v>1546</v>
      </c>
      <c r="C1749" s="5" t="s">
        <v>10</v>
      </c>
      <c r="D1749" s="5" t="s">
        <v>1551</v>
      </c>
      <c r="E1749" s="5" t="s">
        <v>1555</v>
      </c>
      <c r="F1749" s="5" t="s">
        <v>13</v>
      </c>
      <c r="G1749" s="5" t="s">
        <v>14</v>
      </c>
      <c r="H1749" s="5"/>
      <c r="I1749" s="6">
        <v>530</v>
      </c>
    </row>
    <row r="1750" spans="1:9" x14ac:dyDescent="0.3">
      <c r="A1750" s="7" t="s">
        <v>1556</v>
      </c>
      <c r="H1750" s="8">
        <f>H1746+H1747+H1748+H1749</f>
        <v>530</v>
      </c>
      <c r="I1750" s="8">
        <f>I1746+I1747+I1748+I1749</f>
        <v>530</v>
      </c>
    </row>
    <row r="1751" spans="1:9" x14ac:dyDescent="0.3">
      <c r="A1751" s="4" t="s">
        <v>1557</v>
      </c>
    </row>
    <row r="1752" spans="1:9" x14ac:dyDescent="0.3">
      <c r="B1752" s="5" t="s">
        <v>1546</v>
      </c>
      <c r="C1752" s="5" t="s">
        <v>10</v>
      </c>
      <c r="D1752" s="5" t="s">
        <v>1558</v>
      </c>
      <c r="E1752" s="5" t="s">
        <v>1559</v>
      </c>
      <c r="F1752" s="5" t="s">
        <v>70</v>
      </c>
      <c r="G1752" s="5" t="s">
        <v>71</v>
      </c>
      <c r="H1752" s="6">
        <v>450</v>
      </c>
      <c r="I1752" s="5"/>
    </row>
    <row r="1753" spans="1:9" x14ac:dyDescent="0.3">
      <c r="B1753" s="5" t="s">
        <v>1546</v>
      </c>
      <c r="C1753" s="5" t="s">
        <v>10</v>
      </c>
      <c r="D1753" s="5" t="s">
        <v>1558</v>
      </c>
      <c r="E1753" s="5" t="s">
        <v>1559</v>
      </c>
      <c r="F1753" s="5" t="s">
        <v>13</v>
      </c>
      <c r="G1753" s="5" t="s">
        <v>14</v>
      </c>
      <c r="H1753" s="5"/>
      <c r="I1753" s="6">
        <v>450</v>
      </c>
    </row>
    <row r="1754" spans="1:9" x14ac:dyDescent="0.3">
      <c r="A1754" s="7" t="s">
        <v>1560</v>
      </c>
      <c r="H1754" s="8">
        <f>H1752+H1753</f>
        <v>450</v>
      </c>
      <c r="I1754" s="8">
        <f>I1752+I1753</f>
        <v>450</v>
      </c>
    </row>
    <row r="1755" spans="1:9" x14ac:dyDescent="0.3">
      <c r="A1755" s="4" t="s">
        <v>1561</v>
      </c>
    </row>
    <row r="1756" spans="1:9" x14ac:dyDescent="0.3">
      <c r="B1756" s="5" t="s">
        <v>1546</v>
      </c>
      <c r="C1756" s="5" t="s">
        <v>10</v>
      </c>
      <c r="D1756" s="5" t="s">
        <v>1562</v>
      </c>
      <c r="E1756" s="5" t="s">
        <v>1563</v>
      </c>
      <c r="F1756" s="5" t="s">
        <v>35</v>
      </c>
      <c r="G1756" s="5" t="s">
        <v>36</v>
      </c>
      <c r="H1756" s="6">
        <v>720</v>
      </c>
      <c r="I1756" s="5"/>
    </row>
    <row r="1757" spans="1:9" x14ac:dyDescent="0.3">
      <c r="B1757" s="5" t="s">
        <v>1546</v>
      </c>
      <c r="C1757" s="5" t="s">
        <v>10</v>
      </c>
      <c r="D1757" s="5" t="s">
        <v>1562</v>
      </c>
      <c r="E1757" s="5" t="s">
        <v>1563</v>
      </c>
      <c r="F1757" s="5" t="s">
        <v>13</v>
      </c>
      <c r="G1757" s="5" t="s">
        <v>14</v>
      </c>
      <c r="H1757" s="5"/>
      <c r="I1757" s="6">
        <v>720</v>
      </c>
    </row>
    <row r="1758" spans="1:9" x14ac:dyDescent="0.3">
      <c r="A1758" s="7" t="s">
        <v>1564</v>
      </c>
      <c r="H1758" s="8">
        <f>H1756+H1757</f>
        <v>720</v>
      </c>
      <c r="I1758" s="8">
        <f>I1756+I1757</f>
        <v>720</v>
      </c>
    </row>
    <row r="1759" spans="1:9" x14ac:dyDescent="0.3">
      <c r="A1759" s="4" t="s">
        <v>1565</v>
      </c>
    </row>
    <row r="1760" spans="1:9" x14ac:dyDescent="0.3">
      <c r="B1760" s="5" t="s">
        <v>1546</v>
      </c>
      <c r="C1760" s="5" t="s">
        <v>844</v>
      </c>
      <c r="D1760" s="5" t="s">
        <v>1566</v>
      </c>
      <c r="E1760" s="5" t="s">
        <v>1567</v>
      </c>
      <c r="F1760" s="5" t="s">
        <v>847</v>
      </c>
      <c r="G1760" s="5" t="s">
        <v>848</v>
      </c>
      <c r="H1760" s="6">
        <v>82612</v>
      </c>
      <c r="I1760" s="5"/>
    </row>
    <row r="1761" spans="1:9" x14ac:dyDescent="0.3">
      <c r="B1761" s="5" t="s">
        <v>1546</v>
      </c>
      <c r="C1761" s="5" t="s">
        <v>844</v>
      </c>
      <c r="D1761" s="5" t="s">
        <v>1566</v>
      </c>
      <c r="E1761" s="5" t="s">
        <v>1567</v>
      </c>
      <c r="F1761" s="5" t="s">
        <v>831</v>
      </c>
      <c r="G1761" s="5" t="s">
        <v>832</v>
      </c>
      <c r="H1761" s="5"/>
      <c r="I1761" s="6">
        <v>70010</v>
      </c>
    </row>
    <row r="1762" spans="1:9" x14ac:dyDescent="0.3">
      <c r="B1762" s="5" t="s">
        <v>1546</v>
      </c>
      <c r="C1762" s="5" t="s">
        <v>844</v>
      </c>
      <c r="D1762" s="5" t="s">
        <v>1566</v>
      </c>
      <c r="E1762" s="5" t="s">
        <v>1568</v>
      </c>
      <c r="F1762" s="5" t="s">
        <v>867</v>
      </c>
      <c r="G1762" s="5" t="s">
        <v>868</v>
      </c>
      <c r="H1762" s="5"/>
      <c r="I1762" s="6">
        <v>12602</v>
      </c>
    </row>
    <row r="1763" spans="1:9" x14ac:dyDescent="0.3">
      <c r="A1763" s="7" t="s">
        <v>1569</v>
      </c>
      <c r="H1763" s="8">
        <f>H1760+H1761+H1762</f>
        <v>82612</v>
      </c>
      <c r="I1763" s="8">
        <f>I1760+I1761+I1762</f>
        <v>82612</v>
      </c>
    </row>
    <row r="1764" spans="1:9" x14ac:dyDescent="0.3">
      <c r="A1764" s="4" t="s">
        <v>1570</v>
      </c>
    </row>
    <row r="1765" spans="1:9" ht="21.6" x14ac:dyDescent="0.3">
      <c r="B1765" s="5" t="s">
        <v>1546</v>
      </c>
      <c r="C1765" s="5" t="s">
        <v>844</v>
      </c>
      <c r="D1765" s="5" t="s">
        <v>1571</v>
      </c>
      <c r="E1765" s="5" t="s">
        <v>1572</v>
      </c>
      <c r="F1765" s="5" t="s">
        <v>847</v>
      </c>
      <c r="G1765" s="5" t="s">
        <v>848</v>
      </c>
      <c r="H1765" s="6">
        <v>130000</v>
      </c>
      <c r="I1765" s="5"/>
    </row>
    <row r="1766" spans="1:9" ht="21.6" x14ac:dyDescent="0.3">
      <c r="B1766" s="5" t="s">
        <v>1546</v>
      </c>
      <c r="C1766" s="5" t="s">
        <v>844</v>
      </c>
      <c r="D1766" s="5" t="s">
        <v>1571</v>
      </c>
      <c r="E1766" s="5" t="s">
        <v>1572</v>
      </c>
      <c r="F1766" s="5" t="s">
        <v>13</v>
      </c>
      <c r="G1766" s="5" t="s">
        <v>14</v>
      </c>
      <c r="H1766" s="5"/>
      <c r="I1766" s="6">
        <v>130000</v>
      </c>
    </row>
    <row r="1767" spans="1:9" x14ac:dyDescent="0.3">
      <c r="A1767" s="7" t="s">
        <v>1573</v>
      </c>
      <c r="H1767" s="8">
        <f>H1765+H1766</f>
        <v>130000</v>
      </c>
      <c r="I1767" s="8">
        <f>I1765+I1766</f>
        <v>130000</v>
      </c>
    </row>
    <row r="1768" spans="1:9" x14ac:dyDescent="0.3">
      <c r="A1768" s="4" t="s">
        <v>1574</v>
      </c>
    </row>
    <row r="1769" spans="1:9" x14ac:dyDescent="0.3">
      <c r="B1769" s="5" t="s">
        <v>1575</v>
      </c>
      <c r="C1769" s="5" t="s">
        <v>10</v>
      </c>
      <c r="D1769" s="5" t="s">
        <v>1576</v>
      </c>
      <c r="E1769" s="5" t="s">
        <v>1577</v>
      </c>
      <c r="F1769" s="5" t="s">
        <v>61</v>
      </c>
      <c r="G1769" s="5" t="s">
        <v>62</v>
      </c>
      <c r="H1769" s="6">
        <v>130</v>
      </c>
      <c r="I1769" s="5"/>
    </row>
    <row r="1770" spans="1:9" x14ac:dyDescent="0.3">
      <c r="B1770" s="5" t="s">
        <v>1575</v>
      </c>
      <c r="C1770" s="5" t="s">
        <v>10</v>
      </c>
      <c r="D1770" s="5" t="s">
        <v>1576</v>
      </c>
      <c r="E1770" s="5" t="s">
        <v>1577</v>
      </c>
      <c r="F1770" s="5" t="s">
        <v>13</v>
      </c>
      <c r="G1770" s="5" t="s">
        <v>14</v>
      </c>
      <c r="H1770" s="5"/>
      <c r="I1770" s="6">
        <v>130</v>
      </c>
    </row>
    <row r="1771" spans="1:9" x14ac:dyDescent="0.3">
      <c r="A1771" s="7" t="s">
        <v>1578</v>
      </c>
      <c r="H1771" s="8">
        <f>H1769+H1770</f>
        <v>130</v>
      </c>
      <c r="I1771" s="8">
        <f>I1769+I1770</f>
        <v>130</v>
      </c>
    </row>
    <row r="1772" spans="1:9" x14ac:dyDescent="0.3">
      <c r="A1772" s="4" t="s">
        <v>1579</v>
      </c>
    </row>
    <row r="1773" spans="1:9" x14ac:dyDescent="0.3">
      <c r="B1773" s="5" t="s">
        <v>1575</v>
      </c>
      <c r="C1773" s="5" t="s">
        <v>10</v>
      </c>
      <c r="D1773" s="5" t="s">
        <v>1580</v>
      </c>
      <c r="E1773" s="5" t="s">
        <v>1581</v>
      </c>
      <c r="F1773" s="5" t="s">
        <v>67</v>
      </c>
      <c r="G1773" s="5" t="s">
        <v>68</v>
      </c>
      <c r="H1773" s="6">
        <v>170</v>
      </c>
      <c r="I1773" s="5"/>
    </row>
    <row r="1774" spans="1:9" x14ac:dyDescent="0.3">
      <c r="B1774" s="5" t="s">
        <v>1575</v>
      </c>
      <c r="C1774" s="5" t="s">
        <v>10</v>
      </c>
      <c r="D1774" s="5" t="s">
        <v>1580</v>
      </c>
      <c r="E1774" s="5" t="s">
        <v>1581</v>
      </c>
      <c r="F1774" s="5" t="s">
        <v>13</v>
      </c>
      <c r="G1774" s="5" t="s">
        <v>14</v>
      </c>
      <c r="H1774" s="5"/>
      <c r="I1774" s="6">
        <v>170</v>
      </c>
    </row>
    <row r="1775" spans="1:9" x14ac:dyDescent="0.3">
      <c r="A1775" s="7" t="s">
        <v>1582</v>
      </c>
      <c r="H1775" s="8">
        <f>H1773+H1774</f>
        <v>170</v>
      </c>
      <c r="I1775" s="8">
        <f>I1773+I1774</f>
        <v>170</v>
      </c>
    </row>
    <row r="1776" spans="1:9" x14ac:dyDescent="0.3">
      <c r="A1776" s="4" t="s">
        <v>1583</v>
      </c>
    </row>
    <row r="1777" spans="1:9" x14ac:dyDescent="0.3">
      <c r="B1777" s="5" t="s">
        <v>1575</v>
      </c>
      <c r="C1777" s="5" t="s">
        <v>10</v>
      </c>
      <c r="D1777" s="5" t="s">
        <v>1584</v>
      </c>
      <c r="E1777" s="5" t="s">
        <v>1275</v>
      </c>
      <c r="F1777" s="5" t="s">
        <v>67</v>
      </c>
      <c r="G1777" s="5" t="s">
        <v>68</v>
      </c>
      <c r="H1777" s="6">
        <v>280</v>
      </c>
      <c r="I1777" s="5"/>
    </row>
    <row r="1778" spans="1:9" x14ac:dyDescent="0.3">
      <c r="B1778" s="5" t="s">
        <v>1575</v>
      </c>
      <c r="C1778" s="5" t="s">
        <v>10</v>
      </c>
      <c r="D1778" s="5" t="s">
        <v>1584</v>
      </c>
      <c r="E1778" s="5" t="s">
        <v>1275</v>
      </c>
      <c r="F1778" s="5" t="s">
        <v>13</v>
      </c>
      <c r="G1778" s="5" t="s">
        <v>14</v>
      </c>
      <c r="H1778" s="5"/>
      <c r="I1778" s="6">
        <v>280</v>
      </c>
    </row>
    <row r="1779" spans="1:9" x14ac:dyDescent="0.3">
      <c r="A1779" s="7" t="s">
        <v>1585</v>
      </c>
      <c r="H1779" s="8">
        <f>H1777+H1778</f>
        <v>280</v>
      </c>
      <c r="I1779" s="8">
        <f>I1777+I1778</f>
        <v>280</v>
      </c>
    </row>
    <row r="1780" spans="1:9" x14ac:dyDescent="0.3">
      <c r="A1780" s="4" t="s">
        <v>1586</v>
      </c>
    </row>
    <row r="1781" spans="1:9" x14ac:dyDescent="0.3">
      <c r="B1781" s="5" t="s">
        <v>1575</v>
      </c>
      <c r="C1781" s="5" t="s">
        <v>10</v>
      </c>
      <c r="D1781" s="5" t="s">
        <v>1587</v>
      </c>
      <c r="E1781" s="5" t="s">
        <v>1588</v>
      </c>
      <c r="F1781" s="5" t="s">
        <v>67</v>
      </c>
      <c r="G1781" s="5" t="s">
        <v>68</v>
      </c>
      <c r="H1781" s="6">
        <v>500</v>
      </c>
      <c r="I1781" s="5"/>
    </row>
    <row r="1782" spans="1:9" x14ac:dyDescent="0.3">
      <c r="B1782" s="5" t="s">
        <v>1575</v>
      </c>
      <c r="C1782" s="5" t="s">
        <v>10</v>
      </c>
      <c r="D1782" s="5" t="s">
        <v>1587</v>
      </c>
      <c r="E1782" s="5" t="s">
        <v>1588</v>
      </c>
      <c r="F1782" s="5" t="s">
        <v>13</v>
      </c>
      <c r="G1782" s="5" t="s">
        <v>14</v>
      </c>
      <c r="H1782" s="5"/>
      <c r="I1782" s="6">
        <v>500</v>
      </c>
    </row>
    <row r="1783" spans="1:9" x14ac:dyDescent="0.3">
      <c r="A1783" s="7" t="s">
        <v>1589</v>
      </c>
      <c r="H1783" s="8">
        <f>H1781+H1782</f>
        <v>500</v>
      </c>
      <c r="I1783" s="8">
        <f>I1781+I1782</f>
        <v>500</v>
      </c>
    </row>
    <row r="1784" spans="1:9" x14ac:dyDescent="0.3">
      <c r="A1784" s="4" t="s">
        <v>1590</v>
      </c>
    </row>
    <row r="1785" spans="1:9" x14ac:dyDescent="0.3">
      <c r="B1785" s="5" t="s">
        <v>1591</v>
      </c>
      <c r="C1785" s="5" t="s">
        <v>10</v>
      </c>
      <c r="D1785" s="5" t="s">
        <v>1592</v>
      </c>
      <c r="E1785" s="5" t="s">
        <v>636</v>
      </c>
      <c r="F1785" s="5" t="s">
        <v>61</v>
      </c>
      <c r="G1785" s="5" t="s">
        <v>62</v>
      </c>
      <c r="H1785" s="6">
        <v>440</v>
      </c>
      <c r="I1785" s="5"/>
    </row>
    <row r="1786" spans="1:9" x14ac:dyDescent="0.3">
      <c r="B1786" s="5" t="s">
        <v>1591</v>
      </c>
      <c r="C1786" s="5" t="s">
        <v>10</v>
      </c>
      <c r="D1786" s="5" t="s">
        <v>1592</v>
      </c>
      <c r="E1786" s="5" t="s">
        <v>636</v>
      </c>
      <c r="F1786" s="5" t="s">
        <v>13</v>
      </c>
      <c r="G1786" s="5" t="s">
        <v>14</v>
      </c>
      <c r="H1786" s="5"/>
      <c r="I1786" s="6">
        <v>440</v>
      </c>
    </row>
    <row r="1787" spans="1:9" x14ac:dyDescent="0.3">
      <c r="A1787" s="7" t="s">
        <v>1593</v>
      </c>
      <c r="H1787" s="8">
        <f>H1785+H1786</f>
        <v>440</v>
      </c>
      <c r="I1787" s="8">
        <f>I1785+I1786</f>
        <v>440</v>
      </c>
    </row>
    <row r="1788" spans="1:9" x14ac:dyDescent="0.3">
      <c r="A1788" s="4" t="s">
        <v>1594</v>
      </c>
    </row>
    <row r="1789" spans="1:9" x14ac:dyDescent="0.3">
      <c r="B1789" s="5" t="s">
        <v>1595</v>
      </c>
      <c r="C1789" s="5" t="s">
        <v>10</v>
      </c>
      <c r="D1789" s="5" t="s">
        <v>1596</v>
      </c>
      <c r="E1789" s="5" t="s">
        <v>1421</v>
      </c>
      <c r="F1789" s="5" t="s">
        <v>116</v>
      </c>
      <c r="G1789" s="5" t="s">
        <v>117</v>
      </c>
      <c r="H1789" s="6">
        <v>500</v>
      </c>
      <c r="I1789" s="5"/>
    </row>
    <row r="1790" spans="1:9" x14ac:dyDescent="0.3">
      <c r="B1790" s="5" t="s">
        <v>1595</v>
      </c>
      <c r="C1790" s="5" t="s">
        <v>10</v>
      </c>
      <c r="D1790" s="5" t="s">
        <v>1596</v>
      </c>
      <c r="E1790" s="5" t="s">
        <v>1597</v>
      </c>
      <c r="F1790" s="5" t="s">
        <v>61</v>
      </c>
      <c r="G1790" s="5" t="s">
        <v>62</v>
      </c>
      <c r="H1790" s="6">
        <v>730</v>
      </c>
      <c r="I1790" s="5"/>
    </row>
    <row r="1791" spans="1:9" x14ac:dyDescent="0.3">
      <c r="B1791" s="5" t="s">
        <v>1595</v>
      </c>
      <c r="C1791" s="5" t="s">
        <v>10</v>
      </c>
      <c r="D1791" s="5" t="s">
        <v>1596</v>
      </c>
      <c r="E1791" s="5" t="s">
        <v>1598</v>
      </c>
      <c r="F1791" s="5" t="s">
        <v>13</v>
      </c>
      <c r="G1791" s="5" t="s">
        <v>14</v>
      </c>
      <c r="H1791" s="5"/>
      <c r="I1791" s="6">
        <v>1230</v>
      </c>
    </row>
    <row r="1792" spans="1:9" x14ac:dyDescent="0.3">
      <c r="A1792" s="7" t="s">
        <v>1599</v>
      </c>
      <c r="H1792" s="8">
        <f>H1789+H1790+H1791</f>
        <v>1230</v>
      </c>
      <c r="I1792" s="8">
        <f>I1789+I1790+I1791</f>
        <v>1230</v>
      </c>
    </row>
    <row r="1793" spans="1:9" x14ac:dyDescent="0.3">
      <c r="A1793" s="4" t="s">
        <v>1600</v>
      </c>
    </row>
    <row r="1794" spans="1:9" x14ac:dyDescent="0.3">
      <c r="B1794" s="5" t="s">
        <v>1601</v>
      </c>
      <c r="C1794" s="5" t="s">
        <v>10</v>
      </c>
      <c r="D1794" s="5" t="s">
        <v>1602</v>
      </c>
      <c r="E1794" s="5" t="s">
        <v>1603</v>
      </c>
      <c r="F1794" s="5" t="s">
        <v>1604</v>
      </c>
      <c r="G1794" s="5" t="s">
        <v>1605</v>
      </c>
      <c r="H1794" s="6">
        <v>58127.519999999997</v>
      </c>
      <c r="I1794" s="5"/>
    </row>
    <row r="1795" spans="1:9" x14ac:dyDescent="0.3">
      <c r="B1795" s="5" t="s">
        <v>1601</v>
      </c>
      <c r="C1795" s="5" t="s">
        <v>10</v>
      </c>
      <c r="D1795" s="5" t="s">
        <v>1602</v>
      </c>
      <c r="E1795" s="5" t="s">
        <v>1603</v>
      </c>
      <c r="F1795" s="5" t="s">
        <v>1606</v>
      </c>
      <c r="G1795" s="5" t="s">
        <v>1607</v>
      </c>
      <c r="H1795" s="5"/>
      <c r="I1795" s="6">
        <v>58127.519999999997</v>
      </c>
    </row>
    <row r="1796" spans="1:9" x14ac:dyDescent="0.3">
      <c r="A1796" s="7" t="s">
        <v>1608</v>
      </c>
      <c r="H1796" s="8">
        <f>H1794+H1795</f>
        <v>58127.519999999997</v>
      </c>
      <c r="I1796" s="8">
        <f>I1794+I1795</f>
        <v>58127.519999999997</v>
      </c>
    </row>
    <row r="1797" spans="1:9" x14ac:dyDescent="0.3">
      <c r="A1797" s="4" t="s">
        <v>1609</v>
      </c>
    </row>
    <row r="1798" spans="1:9" x14ac:dyDescent="0.3">
      <c r="B1798" s="5" t="s">
        <v>1601</v>
      </c>
      <c r="C1798" s="5" t="s">
        <v>10</v>
      </c>
      <c r="D1798" s="5" t="s">
        <v>1610</v>
      </c>
      <c r="E1798" s="5" t="s">
        <v>606</v>
      </c>
      <c r="F1798" s="5" t="s">
        <v>61</v>
      </c>
      <c r="G1798" s="5" t="s">
        <v>62</v>
      </c>
      <c r="H1798" s="6">
        <v>250</v>
      </c>
      <c r="I1798" s="5"/>
    </row>
    <row r="1799" spans="1:9" x14ac:dyDescent="0.3">
      <c r="B1799" s="5" t="s">
        <v>1601</v>
      </c>
      <c r="C1799" s="5" t="s">
        <v>10</v>
      </c>
      <c r="D1799" s="5" t="s">
        <v>1610</v>
      </c>
      <c r="E1799" s="5" t="s">
        <v>1611</v>
      </c>
      <c r="F1799" s="5" t="s">
        <v>50</v>
      </c>
      <c r="G1799" s="5" t="s">
        <v>51</v>
      </c>
      <c r="H1799" s="6">
        <v>40</v>
      </c>
      <c r="I1799" s="5"/>
    </row>
    <row r="1800" spans="1:9" x14ac:dyDescent="0.3">
      <c r="B1800" s="5" t="s">
        <v>1601</v>
      </c>
      <c r="C1800" s="5" t="s">
        <v>10</v>
      </c>
      <c r="D1800" s="5" t="s">
        <v>1610</v>
      </c>
      <c r="E1800" s="5" t="s">
        <v>1611</v>
      </c>
      <c r="F1800" s="5" t="s">
        <v>13</v>
      </c>
      <c r="G1800" s="5" t="s">
        <v>14</v>
      </c>
      <c r="H1800" s="5"/>
      <c r="I1800" s="6">
        <v>290</v>
      </c>
    </row>
    <row r="1801" spans="1:9" x14ac:dyDescent="0.3">
      <c r="A1801" s="7" t="s">
        <v>1612</v>
      </c>
      <c r="H1801" s="8">
        <f>H1798+H1799+H1800</f>
        <v>290</v>
      </c>
      <c r="I1801" s="8">
        <f>I1798+I1799+I1800</f>
        <v>290</v>
      </c>
    </row>
    <row r="1802" spans="1:9" x14ac:dyDescent="0.3">
      <c r="A1802" s="4" t="s">
        <v>1613</v>
      </c>
    </row>
    <row r="1803" spans="1:9" x14ac:dyDescent="0.3">
      <c r="B1803" s="5" t="s">
        <v>1601</v>
      </c>
      <c r="C1803" s="5" t="s">
        <v>10</v>
      </c>
      <c r="D1803" s="5" t="s">
        <v>1614</v>
      </c>
      <c r="E1803" s="5" t="s">
        <v>636</v>
      </c>
      <c r="F1803" s="5" t="s">
        <v>61</v>
      </c>
      <c r="G1803" s="5" t="s">
        <v>62</v>
      </c>
      <c r="H1803" s="6">
        <v>220</v>
      </c>
      <c r="I1803" s="5"/>
    </row>
    <row r="1804" spans="1:9" x14ac:dyDescent="0.3">
      <c r="B1804" s="5" t="s">
        <v>1601</v>
      </c>
      <c r="C1804" s="5" t="s">
        <v>10</v>
      </c>
      <c r="D1804" s="5" t="s">
        <v>1614</v>
      </c>
      <c r="E1804" s="5" t="s">
        <v>636</v>
      </c>
      <c r="F1804" s="5" t="s">
        <v>13</v>
      </c>
      <c r="G1804" s="5" t="s">
        <v>14</v>
      </c>
      <c r="H1804" s="5"/>
      <c r="I1804" s="6">
        <v>220</v>
      </c>
    </row>
    <row r="1805" spans="1:9" x14ac:dyDescent="0.3">
      <c r="A1805" s="7" t="s">
        <v>1615</v>
      </c>
      <c r="H1805" s="8">
        <f>H1803+H1804</f>
        <v>220</v>
      </c>
      <c r="I1805" s="8">
        <f>I1803+I1804</f>
        <v>220</v>
      </c>
    </row>
    <row r="1806" spans="1:9" x14ac:dyDescent="0.3">
      <c r="A1806" s="4" t="s">
        <v>1616</v>
      </c>
    </row>
    <row r="1807" spans="1:9" x14ac:dyDescent="0.3">
      <c r="B1807" s="5" t="s">
        <v>1601</v>
      </c>
      <c r="C1807" s="5" t="s">
        <v>10</v>
      </c>
      <c r="D1807" s="5" t="s">
        <v>1617</v>
      </c>
      <c r="E1807" s="5" t="s">
        <v>1618</v>
      </c>
      <c r="F1807" s="5" t="s">
        <v>549</v>
      </c>
      <c r="G1807" s="5" t="s">
        <v>550</v>
      </c>
      <c r="H1807" s="6">
        <v>1000</v>
      </c>
      <c r="I1807" s="5"/>
    </row>
    <row r="1808" spans="1:9" x14ac:dyDescent="0.3">
      <c r="B1808" s="5" t="s">
        <v>1601</v>
      </c>
      <c r="C1808" s="5" t="s">
        <v>10</v>
      </c>
      <c r="D1808" s="5" t="s">
        <v>1617</v>
      </c>
      <c r="E1808" s="5" t="s">
        <v>1618</v>
      </c>
      <c r="F1808" s="5" t="s">
        <v>13</v>
      </c>
      <c r="G1808" s="5" t="s">
        <v>14</v>
      </c>
      <c r="H1808" s="5"/>
      <c r="I1808" s="6">
        <v>1000</v>
      </c>
    </row>
    <row r="1809" spans="1:9" x14ac:dyDescent="0.3">
      <c r="A1809" s="7" t="s">
        <v>1619</v>
      </c>
      <c r="H1809" s="8">
        <f>H1807+H1808</f>
        <v>1000</v>
      </c>
      <c r="I1809" s="8">
        <f>I1807+I1808</f>
        <v>1000</v>
      </c>
    </row>
    <row r="1810" spans="1:9" x14ac:dyDescent="0.3">
      <c r="A1810" s="4" t="s">
        <v>1620</v>
      </c>
    </row>
    <row r="1811" spans="1:9" x14ac:dyDescent="0.3">
      <c r="B1811" s="5" t="s">
        <v>1621</v>
      </c>
      <c r="C1811" s="5" t="s">
        <v>10</v>
      </c>
      <c r="D1811" s="5" t="s">
        <v>1622</v>
      </c>
      <c r="E1811" s="5" t="s">
        <v>1623</v>
      </c>
      <c r="F1811" s="5" t="s">
        <v>61</v>
      </c>
      <c r="G1811" s="5" t="s">
        <v>62</v>
      </c>
      <c r="H1811" s="6">
        <v>340</v>
      </c>
      <c r="I1811" s="5"/>
    </row>
    <row r="1812" spans="1:9" x14ac:dyDescent="0.3">
      <c r="B1812" s="5" t="s">
        <v>1621</v>
      </c>
      <c r="C1812" s="5" t="s">
        <v>10</v>
      </c>
      <c r="D1812" s="5" t="s">
        <v>1622</v>
      </c>
      <c r="E1812" s="5" t="s">
        <v>1624</v>
      </c>
      <c r="F1812" s="5" t="s">
        <v>64</v>
      </c>
      <c r="G1812" s="5" t="s">
        <v>65</v>
      </c>
      <c r="H1812" s="6">
        <v>50</v>
      </c>
      <c r="I1812" s="5"/>
    </row>
    <row r="1813" spans="1:9" x14ac:dyDescent="0.3">
      <c r="B1813" s="5" t="s">
        <v>1621</v>
      </c>
      <c r="C1813" s="5" t="s">
        <v>10</v>
      </c>
      <c r="D1813" s="5" t="s">
        <v>1622</v>
      </c>
      <c r="E1813" s="5" t="s">
        <v>1625</v>
      </c>
      <c r="F1813" s="5" t="s">
        <v>335</v>
      </c>
      <c r="G1813" s="5" t="s">
        <v>336</v>
      </c>
      <c r="H1813" s="6">
        <v>250</v>
      </c>
      <c r="I1813" s="5"/>
    </row>
    <row r="1814" spans="1:9" x14ac:dyDescent="0.3">
      <c r="B1814" s="5" t="s">
        <v>1621</v>
      </c>
      <c r="C1814" s="5" t="s">
        <v>10</v>
      </c>
      <c r="D1814" s="5" t="s">
        <v>1622</v>
      </c>
      <c r="E1814" s="5" t="s">
        <v>1626</v>
      </c>
      <c r="F1814" s="5" t="s">
        <v>13</v>
      </c>
      <c r="G1814" s="5" t="s">
        <v>14</v>
      </c>
      <c r="H1814" s="5"/>
      <c r="I1814" s="6">
        <v>640</v>
      </c>
    </row>
    <row r="1815" spans="1:9" x14ac:dyDescent="0.3">
      <c r="A1815" s="7" t="s">
        <v>1627</v>
      </c>
      <c r="H1815" s="8">
        <f>H1811+H1812+H1813+H1814</f>
        <v>640</v>
      </c>
      <c r="I1815" s="8">
        <f>I1811+I1812+I1813+I1814</f>
        <v>640</v>
      </c>
    </row>
    <row r="1816" spans="1:9" x14ac:dyDescent="0.3">
      <c r="A1816" s="4" t="s">
        <v>1628</v>
      </c>
    </row>
    <row r="1817" spans="1:9" x14ac:dyDescent="0.3">
      <c r="B1817" s="5" t="s">
        <v>1621</v>
      </c>
      <c r="C1817" s="5" t="s">
        <v>10</v>
      </c>
      <c r="D1817" s="5" t="s">
        <v>1629</v>
      </c>
      <c r="E1817" s="5" t="s">
        <v>1630</v>
      </c>
      <c r="F1817" s="5" t="s">
        <v>113</v>
      </c>
      <c r="G1817" s="5" t="s">
        <v>114</v>
      </c>
      <c r="H1817" s="6">
        <v>500</v>
      </c>
      <c r="I1817" s="5"/>
    </row>
    <row r="1818" spans="1:9" x14ac:dyDescent="0.3">
      <c r="B1818" s="5" t="s">
        <v>1621</v>
      </c>
      <c r="C1818" s="5" t="s">
        <v>10</v>
      </c>
      <c r="D1818" s="5" t="s">
        <v>1629</v>
      </c>
      <c r="E1818" s="5" t="s">
        <v>1630</v>
      </c>
      <c r="F1818" s="5" t="s">
        <v>13</v>
      </c>
      <c r="G1818" s="5" t="s">
        <v>14</v>
      </c>
      <c r="H1818" s="5"/>
      <c r="I1818" s="6">
        <v>500</v>
      </c>
    </row>
    <row r="1819" spans="1:9" x14ac:dyDescent="0.3">
      <c r="A1819" s="7" t="s">
        <v>1631</v>
      </c>
      <c r="H1819" s="8">
        <f>H1817+H1818</f>
        <v>500</v>
      </c>
      <c r="I1819" s="8">
        <f>I1817+I1818</f>
        <v>500</v>
      </c>
    </row>
    <row r="1820" spans="1:9" x14ac:dyDescent="0.3">
      <c r="A1820" s="4" t="s">
        <v>1632</v>
      </c>
    </row>
    <row r="1821" spans="1:9" x14ac:dyDescent="0.3">
      <c r="B1821" s="5" t="s">
        <v>1621</v>
      </c>
      <c r="C1821" s="5" t="s">
        <v>10</v>
      </c>
      <c r="D1821" s="5" t="s">
        <v>1633</v>
      </c>
      <c r="E1821" s="5" t="s">
        <v>1634</v>
      </c>
      <c r="F1821" s="5" t="s">
        <v>116</v>
      </c>
      <c r="G1821" s="5" t="s">
        <v>117</v>
      </c>
      <c r="H1821" s="6">
        <v>500</v>
      </c>
      <c r="I1821" s="5"/>
    </row>
    <row r="1822" spans="1:9" x14ac:dyDescent="0.3">
      <c r="B1822" s="5" t="s">
        <v>1621</v>
      </c>
      <c r="C1822" s="5" t="s">
        <v>10</v>
      </c>
      <c r="D1822" s="5" t="s">
        <v>1633</v>
      </c>
      <c r="E1822" s="5" t="s">
        <v>1634</v>
      </c>
      <c r="F1822" s="5" t="s">
        <v>13</v>
      </c>
      <c r="G1822" s="5" t="s">
        <v>14</v>
      </c>
      <c r="H1822" s="5"/>
      <c r="I1822" s="6">
        <v>500</v>
      </c>
    </row>
    <row r="1823" spans="1:9" x14ac:dyDescent="0.3">
      <c r="A1823" s="7" t="s">
        <v>1635</v>
      </c>
      <c r="H1823" s="8">
        <f>H1821+H1822</f>
        <v>500</v>
      </c>
      <c r="I1823" s="8">
        <f>I1821+I1822</f>
        <v>500</v>
      </c>
    </row>
    <row r="1824" spans="1:9" x14ac:dyDescent="0.3">
      <c r="A1824" s="4" t="s">
        <v>1636</v>
      </c>
    </row>
    <row r="1825" spans="1:9" x14ac:dyDescent="0.3">
      <c r="B1825" s="5" t="s">
        <v>1621</v>
      </c>
      <c r="C1825" s="5" t="s">
        <v>10</v>
      </c>
      <c r="D1825" s="5" t="s">
        <v>1637</v>
      </c>
      <c r="E1825" s="5" t="s">
        <v>1638</v>
      </c>
      <c r="F1825" s="5" t="s">
        <v>67</v>
      </c>
      <c r="G1825" s="5" t="s">
        <v>68</v>
      </c>
      <c r="H1825" s="6">
        <v>110</v>
      </c>
      <c r="I1825" s="5"/>
    </row>
    <row r="1826" spans="1:9" x14ac:dyDescent="0.3">
      <c r="B1826" s="5" t="s">
        <v>1621</v>
      </c>
      <c r="C1826" s="5" t="s">
        <v>10</v>
      </c>
      <c r="D1826" s="5" t="s">
        <v>1637</v>
      </c>
      <c r="E1826" s="5" t="s">
        <v>1638</v>
      </c>
      <c r="F1826" s="5" t="s">
        <v>13</v>
      </c>
      <c r="G1826" s="5" t="s">
        <v>14</v>
      </c>
      <c r="H1826" s="5"/>
      <c r="I1826" s="6">
        <v>110</v>
      </c>
    </row>
    <row r="1827" spans="1:9" x14ac:dyDescent="0.3">
      <c r="A1827" s="7" t="s">
        <v>1639</v>
      </c>
      <c r="H1827" s="8">
        <f>H1825+H1826</f>
        <v>110</v>
      </c>
      <c r="I1827" s="8">
        <f>I1825+I1826</f>
        <v>110</v>
      </c>
    </row>
    <row r="1828" spans="1:9" x14ac:dyDescent="0.3">
      <c r="A1828" s="4" t="s">
        <v>1640</v>
      </c>
    </row>
    <row r="1829" spans="1:9" x14ac:dyDescent="0.3">
      <c r="B1829" s="5" t="s">
        <v>1621</v>
      </c>
      <c r="C1829" s="5" t="s">
        <v>10</v>
      </c>
      <c r="D1829" s="5" t="s">
        <v>1641</v>
      </c>
      <c r="E1829" s="5" t="s">
        <v>1642</v>
      </c>
      <c r="F1829" s="5" t="s">
        <v>1643</v>
      </c>
      <c r="G1829" s="5" t="s">
        <v>1644</v>
      </c>
      <c r="H1829" s="6">
        <v>15000</v>
      </c>
      <c r="I1829" s="5"/>
    </row>
    <row r="1830" spans="1:9" x14ac:dyDescent="0.3">
      <c r="B1830" s="5" t="s">
        <v>1621</v>
      </c>
      <c r="C1830" s="5" t="s">
        <v>10</v>
      </c>
      <c r="D1830" s="5" t="s">
        <v>1641</v>
      </c>
      <c r="E1830" s="5" t="s">
        <v>1642</v>
      </c>
      <c r="F1830" s="5" t="s">
        <v>13</v>
      </c>
      <c r="G1830" s="5" t="s">
        <v>14</v>
      </c>
      <c r="H1830" s="5"/>
      <c r="I1830" s="6">
        <v>15000</v>
      </c>
    </row>
    <row r="1831" spans="1:9" x14ac:dyDescent="0.3">
      <c r="A1831" s="7" t="s">
        <v>1645</v>
      </c>
      <c r="H1831" s="8">
        <f>H1829+H1830</f>
        <v>15000</v>
      </c>
      <c r="I1831" s="8">
        <f>I1829+I1830</f>
        <v>15000</v>
      </c>
    </row>
    <row r="1832" spans="1:9" x14ac:dyDescent="0.3">
      <c r="A1832" s="4" t="s">
        <v>1646</v>
      </c>
    </row>
    <row r="1833" spans="1:9" x14ac:dyDescent="0.3">
      <c r="B1833" s="5" t="s">
        <v>1621</v>
      </c>
      <c r="C1833" s="5" t="s">
        <v>10</v>
      </c>
      <c r="D1833" s="5" t="s">
        <v>1647</v>
      </c>
      <c r="E1833" s="5" t="s">
        <v>1648</v>
      </c>
      <c r="F1833" s="5" t="s">
        <v>1643</v>
      </c>
      <c r="G1833" s="5" t="s">
        <v>1644</v>
      </c>
      <c r="H1833" s="6">
        <v>5100</v>
      </c>
      <c r="I1833" s="5"/>
    </row>
    <row r="1834" spans="1:9" x14ac:dyDescent="0.3">
      <c r="B1834" s="5" t="s">
        <v>1621</v>
      </c>
      <c r="C1834" s="5" t="s">
        <v>10</v>
      </c>
      <c r="D1834" s="5" t="s">
        <v>1647</v>
      </c>
      <c r="E1834" s="5" t="s">
        <v>1649</v>
      </c>
      <c r="F1834" s="5" t="s">
        <v>13</v>
      </c>
      <c r="G1834" s="5" t="s">
        <v>14</v>
      </c>
      <c r="H1834" s="5"/>
      <c r="I1834" s="6">
        <v>5100</v>
      </c>
    </row>
    <row r="1835" spans="1:9" x14ac:dyDescent="0.3">
      <c r="A1835" s="7" t="s">
        <v>1650</v>
      </c>
      <c r="H1835" s="8">
        <f>H1833+H1834</f>
        <v>5100</v>
      </c>
      <c r="I1835" s="8">
        <f>I1833+I1834</f>
        <v>5100</v>
      </c>
    </row>
    <row r="1836" spans="1:9" x14ac:dyDescent="0.3">
      <c r="A1836" s="4" t="s">
        <v>1651</v>
      </c>
    </row>
    <row r="1837" spans="1:9" x14ac:dyDescent="0.3">
      <c r="B1837" s="5" t="s">
        <v>1621</v>
      </c>
      <c r="C1837" s="5" t="s">
        <v>10</v>
      </c>
      <c r="D1837" s="5" t="s">
        <v>1652</v>
      </c>
      <c r="E1837" s="5" t="s">
        <v>1653</v>
      </c>
      <c r="F1837" s="5" t="s">
        <v>453</v>
      </c>
      <c r="G1837" s="5" t="s">
        <v>454</v>
      </c>
      <c r="H1837" s="6">
        <v>5100</v>
      </c>
      <c r="I1837" s="5"/>
    </row>
    <row r="1838" spans="1:9" x14ac:dyDescent="0.3">
      <c r="B1838" s="5" t="s">
        <v>1621</v>
      </c>
      <c r="C1838" s="5" t="s">
        <v>10</v>
      </c>
      <c r="D1838" s="5" t="s">
        <v>1652</v>
      </c>
      <c r="E1838" s="5" t="s">
        <v>1653</v>
      </c>
      <c r="F1838" s="5" t="s">
        <v>1643</v>
      </c>
      <c r="G1838" s="5" t="s">
        <v>1644</v>
      </c>
      <c r="H1838" s="5"/>
      <c r="I1838" s="6">
        <v>5100</v>
      </c>
    </row>
    <row r="1839" spans="1:9" x14ac:dyDescent="0.3">
      <c r="A1839" s="7" t="s">
        <v>1654</v>
      </c>
      <c r="H1839" s="8">
        <f>H1837+H1838</f>
        <v>5100</v>
      </c>
      <c r="I1839" s="8">
        <f>I1837+I1838</f>
        <v>5100</v>
      </c>
    </row>
    <row r="1840" spans="1:9" x14ac:dyDescent="0.3">
      <c r="A1840" s="4" t="s">
        <v>1655</v>
      </c>
    </row>
    <row r="1841" spans="1:9" x14ac:dyDescent="0.3">
      <c r="B1841" s="5" t="s">
        <v>1656</v>
      </c>
      <c r="C1841" s="5" t="s">
        <v>10</v>
      </c>
      <c r="D1841" s="5" t="s">
        <v>1657</v>
      </c>
      <c r="E1841" s="5" t="s">
        <v>1658</v>
      </c>
      <c r="F1841" s="5" t="s">
        <v>61</v>
      </c>
      <c r="G1841" s="5" t="s">
        <v>62</v>
      </c>
      <c r="H1841" s="6">
        <v>300</v>
      </c>
      <c r="I1841" s="5"/>
    </row>
    <row r="1842" spans="1:9" x14ac:dyDescent="0.3">
      <c r="B1842" s="5" t="s">
        <v>1656</v>
      </c>
      <c r="C1842" s="5" t="s">
        <v>10</v>
      </c>
      <c r="D1842" s="5" t="s">
        <v>1657</v>
      </c>
      <c r="E1842" s="5" t="s">
        <v>1658</v>
      </c>
      <c r="F1842" s="5" t="s">
        <v>1643</v>
      </c>
      <c r="G1842" s="5" t="s">
        <v>1644</v>
      </c>
      <c r="H1842" s="5"/>
      <c r="I1842" s="6">
        <v>300</v>
      </c>
    </row>
    <row r="1843" spans="1:9" x14ac:dyDescent="0.3">
      <c r="A1843" s="7" t="s">
        <v>1659</v>
      </c>
      <c r="H1843" s="8">
        <f>H1841+H1842</f>
        <v>300</v>
      </c>
      <c r="I1843" s="8">
        <f>I1841+I1842</f>
        <v>300</v>
      </c>
    </row>
    <row r="1844" spans="1:9" x14ac:dyDescent="0.3">
      <c r="A1844" s="4" t="s">
        <v>1660</v>
      </c>
    </row>
    <row r="1845" spans="1:9" x14ac:dyDescent="0.3">
      <c r="B1845" s="5" t="s">
        <v>1661</v>
      </c>
      <c r="C1845" s="5" t="s">
        <v>10</v>
      </c>
      <c r="D1845" s="5" t="s">
        <v>1662</v>
      </c>
      <c r="E1845" s="5" t="s">
        <v>1663</v>
      </c>
      <c r="F1845" s="5" t="s">
        <v>70</v>
      </c>
      <c r="G1845" s="5" t="s">
        <v>71</v>
      </c>
      <c r="H1845" s="6">
        <v>620</v>
      </c>
      <c r="I1845" s="5"/>
    </row>
    <row r="1846" spans="1:9" x14ac:dyDescent="0.3">
      <c r="B1846" s="5" t="s">
        <v>1661</v>
      </c>
      <c r="C1846" s="5" t="s">
        <v>10</v>
      </c>
      <c r="D1846" s="5" t="s">
        <v>1662</v>
      </c>
      <c r="E1846" s="5" t="s">
        <v>1664</v>
      </c>
      <c r="F1846" s="5" t="s">
        <v>64</v>
      </c>
      <c r="G1846" s="5" t="s">
        <v>65</v>
      </c>
      <c r="H1846" s="6">
        <v>30</v>
      </c>
      <c r="I1846" s="5"/>
    </row>
    <row r="1847" spans="1:9" x14ac:dyDescent="0.3">
      <c r="B1847" s="5" t="s">
        <v>1661</v>
      </c>
      <c r="C1847" s="5" t="s">
        <v>10</v>
      </c>
      <c r="D1847" s="5" t="s">
        <v>1662</v>
      </c>
      <c r="E1847" s="5" t="s">
        <v>170</v>
      </c>
      <c r="F1847" s="5" t="s">
        <v>61</v>
      </c>
      <c r="G1847" s="5" t="s">
        <v>62</v>
      </c>
      <c r="H1847" s="6">
        <v>160</v>
      </c>
      <c r="I1847" s="5"/>
    </row>
    <row r="1848" spans="1:9" x14ac:dyDescent="0.3">
      <c r="B1848" s="5" t="s">
        <v>1661</v>
      </c>
      <c r="C1848" s="5" t="s">
        <v>10</v>
      </c>
      <c r="D1848" s="5" t="s">
        <v>1662</v>
      </c>
      <c r="E1848" s="5" t="s">
        <v>1665</v>
      </c>
      <c r="F1848" s="5" t="s">
        <v>1643</v>
      </c>
      <c r="G1848" s="5" t="s">
        <v>1644</v>
      </c>
      <c r="H1848" s="5"/>
      <c r="I1848" s="6">
        <v>810</v>
      </c>
    </row>
    <row r="1849" spans="1:9" x14ac:dyDescent="0.3">
      <c r="A1849" s="7" t="s">
        <v>1666</v>
      </c>
      <c r="H1849" s="8">
        <f>H1845+H1846+H1847+H1848</f>
        <v>810</v>
      </c>
      <c r="I1849" s="8">
        <f>I1845+I1846+I1847+I1848</f>
        <v>810</v>
      </c>
    </row>
    <row r="1850" spans="1:9" x14ac:dyDescent="0.3">
      <c r="A1850" s="4" t="s">
        <v>1667</v>
      </c>
    </row>
    <row r="1851" spans="1:9" x14ac:dyDescent="0.3">
      <c r="B1851" s="5" t="s">
        <v>1661</v>
      </c>
      <c r="C1851" s="5" t="s">
        <v>10</v>
      </c>
      <c r="D1851" s="5" t="s">
        <v>1668</v>
      </c>
      <c r="E1851" s="5" t="s">
        <v>1669</v>
      </c>
      <c r="F1851" s="5" t="s">
        <v>67</v>
      </c>
      <c r="G1851" s="5" t="s">
        <v>68</v>
      </c>
      <c r="H1851" s="6">
        <v>160</v>
      </c>
      <c r="I1851" s="5"/>
    </row>
    <row r="1852" spans="1:9" x14ac:dyDescent="0.3">
      <c r="B1852" s="5" t="s">
        <v>1661</v>
      </c>
      <c r="C1852" s="5" t="s">
        <v>10</v>
      </c>
      <c r="D1852" s="5" t="s">
        <v>1668</v>
      </c>
      <c r="E1852" s="5" t="s">
        <v>1669</v>
      </c>
      <c r="F1852" s="5" t="s">
        <v>1643</v>
      </c>
      <c r="G1852" s="5" t="s">
        <v>1644</v>
      </c>
      <c r="H1852" s="5"/>
      <c r="I1852" s="6">
        <v>160</v>
      </c>
    </row>
    <row r="1853" spans="1:9" x14ac:dyDescent="0.3">
      <c r="A1853" s="7" t="s">
        <v>1670</v>
      </c>
      <c r="H1853" s="8">
        <f>H1851+H1852</f>
        <v>160</v>
      </c>
      <c r="I1853" s="8">
        <f>I1851+I1852</f>
        <v>160</v>
      </c>
    </row>
    <row r="1854" spans="1:9" x14ac:dyDescent="0.3">
      <c r="A1854" s="4" t="s">
        <v>1671</v>
      </c>
    </row>
    <row r="1855" spans="1:9" x14ac:dyDescent="0.3">
      <c r="B1855" s="5" t="s">
        <v>1661</v>
      </c>
      <c r="C1855" s="5" t="s">
        <v>10</v>
      </c>
      <c r="D1855" s="5" t="s">
        <v>1672</v>
      </c>
      <c r="E1855" s="5" t="s">
        <v>1673</v>
      </c>
      <c r="F1855" s="5" t="s">
        <v>1643</v>
      </c>
      <c r="G1855" s="5" t="s">
        <v>1644</v>
      </c>
      <c r="H1855" s="6">
        <v>15000</v>
      </c>
      <c r="I1855" s="5"/>
    </row>
    <row r="1856" spans="1:9" x14ac:dyDescent="0.3">
      <c r="B1856" s="5" t="s">
        <v>1661</v>
      </c>
      <c r="C1856" s="5" t="s">
        <v>10</v>
      </c>
      <c r="D1856" s="5" t="s">
        <v>1672</v>
      </c>
      <c r="E1856" s="5" t="s">
        <v>1673</v>
      </c>
      <c r="F1856" s="5" t="s">
        <v>13</v>
      </c>
      <c r="G1856" s="5" t="s">
        <v>14</v>
      </c>
      <c r="H1856" s="5"/>
      <c r="I1856" s="6">
        <v>15000</v>
      </c>
    </row>
    <row r="1857" spans="1:9" x14ac:dyDescent="0.3">
      <c r="A1857" s="7" t="s">
        <v>1674</v>
      </c>
      <c r="H1857" s="8">
        <f>H1855+H1856</f>
        <v>15000</v>
      </c>
      <c r="I1857" s="8">
        <f>I1855+I1856</f>
        <v>15000</v>
      </c>
    </row>
    <row r="1858" spans="1:9" x14ac:dyDescent="0.3">
      <c r="A1858" s="4" t="s">
        <v>1675</v>
      </c>
    </row>
    <row r="1859" spans="1:9" x14ac:dyDescent="0.3">
      <c r="B1859" s="5" t="s">
        <v>1661</v>
      </c>
      <c r="C1859" s="5" t="s">
        <v>10</v>
      </c>
      <c r="D1859" s="5" t="s">
        <v>1676</v>
      </c>
      <c r="E1859" s="5" t="s">
        <v>1677</v>
      </c>
      <c r="F1859" s="5" t="s">
        <v>1495</v>
      </c>
      <c r="G1859" s="5" t="s">
        <v>1496</v>
      </c>
      <c r="H1859" s="6">
        <v>15000</v>
      </c>
      <c r="I1859" s="5"/>
    </row>
    <row r="1860" spans="1:9" x14ac:dyDescent="0.3">
      <c r="B1860" s="5" t="s">
        <v>1661</v>
      </c>
      <c r="C1860" s="5" t="s">
        <v>10</v>
      </c>
      <c r="D1860" s="5" t="s">
        <v>1676</v>
      </c>
      <c r="E1860" s="5" t="s">
        <v>1677</v>
      </c>
      <c r="F1860" s="5" t="s">
        <v>1643</v>
      </c>
      <c r="G1860" s="5" t="s">
        <v>1644</v>
      </c>
      <c r="H1860" s="5"/>
      <c r="I1860" s="6">
        <v>15000</v>
      </c>
    </row>
    <row r="1861" spans="1:9" x14ac:dyDescent="0.3">
      <c r="A1861" s="7" t="s">
        <v>1678</v>
      </c>
      <c r="H1861" s="8">
        <f>H1859+H1860</f>
        <v>15000</v>
      </c>
      <c r="I1861" s="8">
        <f>I1859+I1860</f>
        <v>15000</v>
      </c>
    </row>
    <row r="1862" spans="1:9" x14ac:dyDescent="0.3">
      <c r="A1862" s="4" t="s">
        <v>1679</v>
      </c>
    </row>
    <row r="1863" spans="1:9" x14ac:dyDescent="0.3">
      <c r="B1863" s="5" t="s">
        <v>1680</v>
      </c>
      <c r="C1863" s="5" t="s">
        <v>10</v>
      </c>
      <c r="D1863" s="5" t="s">
        <v>1681</v>
      </c>
      <c r="E1863" s="5" t="s">
        <v>1682</v>
      </c>
      <c r="F1863" s="5" t="s">
        <v>67</v>
      </c>
      <c r="G1863" s="5" t="s">
        <v>68</v>
      </c>
      <c r="H1863" s="6">
        <v>200</v>
      </c>
      <c r="I1863" s="5"/>
    </row>
    <row r="1864" spans="1:9" x14ac:dyDescent="0.3">
      <c r="B1864" s="5" t="s">
        <v>1680</v>
      </c>
      <c r="C1864" s="5" t="s">
        <v>10</v>
      </c>
      <c r="D1864" s="5" t="s">
        <v>1681</v>
      </c>
      <c r="E1864" s="5" t="s">
        <v>1682</v>
      </c>
      <c r="F1864" s="5" t="s">
        <v>1643</v>
      </c>
      <c r="G1864" s="5" t="s">
        <v>1644</v>
      </c>
      <c r="H1864" s="5"/>
      <c r="I1864" s="6">
        <v>200</v>
      </c>
    </row>
    <row r="1865" spans="1:9" x14ac:dyDescent="0.3">
      <c r="B1865" s="5" t="s">
        <v>1680</v>
      </c>
      <c r="C1865" s="5" t="s">
        <v>10</v>
      </c>
      <c r="D1865" s="5" t="s">
        <v>1681</v>
      </c>
      <c r="E1865" s="5" t="s">
        <v>1683</v>
      </c>
      <c r="F1865" s="5" t="s">
        <v>67</v>
      </c>
      <c r="G1865" s="5" t="s">
        <v>68</v>
      </c>
      <c r="H1865" s="6">
        <v>200</v>
      </c>
      <c r="I1865" s="5"/>
    </row>
    <row r="1866" spans="1:9" x14ac:dyDescent="0.3">
      <c r="B1866" s="5" t="s">
        <v>1680</v>
      </c>
      <c r="C1866" s="5" t="s">
        <v>10</v>
      </c>
      <c r="D1866" s="5" t="s">
        <v>1681</v>
      </c>
      <c r="E1866" s="5" t="s">
        <v>1683</v>
      </c>
      <c r="F1866" s="5" t="s">
        <v>1643</v>
      </c>
      <c r="G1866" s="5" t="s">
        <v>1644</v>
      </c>
      <c r="H1866" s="5"/>
      <c r="I1866" s="6">
        <v>200</v>
      </c>
    </row>
    <row r="1867" spans="1:9" x14ac:dyDescent="0.3">
      <c r="A1867" s="7" t="s">
        <v>1684</v>
      </c>
      <c r="H1867" s="8">
        <f>H1863+H1864+H1865+H1866</f>
        <v>400</v>
      </c>
      <c r="I1867" s="8">
        <f>I1863+I1864+I1865+I1866</f>
        <v>400</v>
      </c>
    </row>
    <row r="1868" spans="1:9" x14ac:dyDescent="0.3">
      <c r="A1868" s="4" t="s">
        <v>1685</v>
      </c>
    </row>
    <row r="1869" spans="1:9" x14ac:dyDescent="0.3">
      <c r="B1869" s="5" t="s">
        <v>1680</v>
      </c>
      <c r="C1869" s="5" t="s">
        <v>10</v>
      </c>
      <c r="D1869" s="5" t="s">
        <v>1686</v>
      </c>
      <c r="E1869" s="5" t="s">
        <v>1687</v>
      </c>
      <c r="F1869" s="5" t="s">
        <v>67</v>
      </c>
      <c r="G1869" s="5" t="s">
        <v>68</v>
      </c>
      <c r="H1869" s="6">
        <v>90</v>
      </c>
      <c r="I1869" s="5"/>
    </row>
    <row r="1870" spans="1:9" x14ac:dyDescent="0.3">
      <c r="B1870" s="5" t="s">
        <v>1680</v>
      </c>
      <c r="C1870" s="5" t="s">
        <v>10</v>
      </c>
      <c r="D1870" s="5" t="s">
        <v>1686</v>
      </c>
      <c r="E1870" s="5" t="s">
        <v>1687</v>
      </c>
      <c r="F1870" s="5" t="s">
        <v>1643</v>
      </c>
      <c r="G1870" s="5" t="s">
        <v>1644</v>
      </c>
      <c r="H1870" s="5"/>
      <c r="I1870" s="6">
        <v>90</v>
      </c>
    </row>
    <row r="1871" spans="1:9" x14ac:dyDescent="0.3">
      <c r="A1871" s="7" t="s">
        <v>1688</v>
      </c>
      <c r="H1871" s="8">
        <f>H1869+H1870</f>
        <v>90</v>
      </c>
      <c r="I1871" s="8">
        <f>I1869+I1870</f>
        <v>90</v>
      </c>
    </row>
    <row r="1872" spans="1:9" x14ac:dyDescent="0.3">
      <c r="A1872" s="4" t="s">
        <v>1689</v>
      </c>
    </row>
    <row r="1873" spans="1:9" x14ac:dyDescent="0.3">
      <c r="B1873" s="5" t="s">
        <v>1680</v>
      </c>
      <c r="C1873" s="5" t="s">
        <v>10</v>
      </c>
      <c r="D1873" s="5" t="s">
        <v>1690</v>
      </c>
      <c r="E1873" s="5" t="s">
        <v>1691</v>
      </c>
      <c r="F1873" s="5" t="s">
        <v>359</v>
      </c>
      <c r="G1873" s="5" t="s">
        <v>360</v>
      </c>
      <c r="H1873" s="6">
        <v>360</v>
      </c>
      <c r="I1873" s="5"/>
    </row>
    <row r="1874" spans="1:9" x14ac:dyDescent="0.3">
      <c r="B1874" s="5" t="s">
        <v>1680</v>
      </c>
      <c r="C1874" s="5" t="s">
        <v>10</v>
      </c>
      <c r="D1874" s="5" t="s">
        <v>1690</v>
      </c>
      <c r="E1874" s="5" t="s">
        <v>1691</v>
      </c>
      <c r="F1874" s="5" t="s">
        <v>1643</v>
      </c>
      <c r="G1874" s="5" t="s">
        <v>1644</v>
      </c>
      <c r="H1874" s="5"/>
      <c r="I1874" s="6">
        <v>360</v>
      </c>
    </row>
    <row r="1875" spans="1:9" x14ac:dyDescent="0.3">
      <c r="A1875" s="7" t="s">
        <v>1692</v>
      </c>
      <c r="H1875" s="8">
        <f>H1873+H1874</f>
        <v>360</v>
      </c>
      <c r="I1875" s="8">
        <f>I1873+I1874</f>
        <v>360</v>
      </c>
    </row>
    <row r="1876" spans="1:9" x14ac:dyDescent="0.3">
      <c r="A1876" s="4" t="s">
        <v>1693</v>
      </c>
    </row>
    <row r="1877" spans="1:9" x14ac:dyDescent="0.3">
      <c r="B1877" s="5" t="s">
        <v>1680</v>
      </c>
      <c r="C1877" s="5" t="s">
        <v>10</v>
      </c>
      <c r="D1877" s="5" t="s">
        <v>1694</v>
      </c>
      <c r="E1877" s="5" t="s">
        <v>1695</v>
      </c>
      <c r="F1877" s="5" t="s">
        <v>61</v>
      </c>
      <c r="G1877" s="5" t="s">
        <v>62</v>
      </c>
      <c r="H1877" s="6">
        <v>600</v>
      </c>
      <c r="I1877" s="5"/>
    </row>
    <row r="1878" spans="1:9" x14ac:dyDescent="0.3">
      <c r="B1878" s="5" t="s">
        <v>1680</v>
      </c>
      <c r="C1878" s="5" t="s">
        <v>10</v>
      </c>
      <c r="D1878" s="5" t="s">
        <v>1694</v>
      </c>
      <c r="E1878" s="5" t="s">
        <v>1190</v>
      </c>
      <c r="F1878" s="5" t="s">
        <v>64</v>
      </c>
      <c r="G1878" s="5" t="s">
        <v>65</v>
      </c>
      <c r="H1878" s="6">
        <v>100</v>
      </c>
      <c r="I1878" s="5"/>
    </row>
    <row r="1879" spans="1:9" x14ac:dyDescent="0.3">
      <c r="B1879" s="5" t="s">
        <v>1680</v>
      </c>
      <c r="C1879" s="5" t="s">
        <v>10</v>
      </c>
      <c r="D1879" s="5" t="s">
        <v>1694</v>
      </c>
      <c r="E1879" s="5" t="s">
        <v>1696</v>
      </c>
      <c r="F1879" s="5" t="s">
        <v>1643</v>
      </c>
      <c r="G1879" s="5" t="s">
        <v>1644</v>
      </c>
      <c r="H1879" s="5"/>
      <c r="I1879" s="6">
        <v>700</v>
      </c>
    </row>
    <row r="1880" spans="1:9" x14ac:dyDescent="0.3">
      <c r="A1880" s="7" t="s">
        <v>1697</v>
      </c>
      <c r="H1880" s="8">
        <f>H1877+H1878+H1879</f>
        <v>700</v>
      </c>
      <c r="I1880" s="8">
        <f>I1877+I1878+I1879</f>
        <v>700</v>
      </c>
    </row>
    <row r="1881" spans="1:9" x14ac:dyDescent="0.3">
      <c r="A1881" s="4" t="s">
        <v>1698</v>
      </c>
    </row>
    <row r="1882" spans="1:9" x14ac:dyDescent="0.3">
      <c r="B1882" s="5" t="s">
        <v>1680</v>
      </c>
      <c r="C1882" s="5" t="s">
        <v>10</v>
      </c>
      <c r="D1882" s="5" t="s">
        <v>1699</v>
      </c>
      <c r="E1882" s="5" t="s">
        <v>391</v>
      </c>
      <c r="F1882" s="5" t="s">
        <v>116</v>
      </c>
      <c r="G1882" s="5" t="s">
        <v>117</v>
      </c>
      <c r="H1882" s="6">
        <v>500</v>
      </c>
      <c r="I1882" s="5"/>
    </row>
    <row r="1883" spans="1:9" x14ac:dyDescent="0.3">
      <c r="B1883" s="5" t="s">
        <v>1680</v>
      </c>
      <c r="C1883" s="5" t="s">
        <v>10</v>
      </c>
      <c r="D1883" s="5" t="s">
        <v>1699</v>
      </c>
      <c r="E1883" s="5" t="s">
        <v>391</v>
      </c>
      <c r="F1883" s="5" t="s">
        <v>1643</v>
      </c>
      <c r="G1883" s="5" t="s">
        <v>1644</v>
      </c>
      <c r="H1883" s="5"/>
      <c r="I1883" s="6">
        <v>500</v>
      </c>
    </row>
    <row r="1884" spans="1:9" x14ac:dyDescent="0.3">
      <c r="A1884" s="7" t="s">
        <v>1700</v>
      </c>
      <c r="H1884" s="8">
        <f>H1882+H1883</f>
        <v>500</v>
      </c>
      <c r="I1884" s="8">
        <f>I1882+I1883</f>
        <v>500</v>
      </c>
    </row>
    <row r="1885" spans="1:9" x14ac:dyDescent="0.3">
      <c r="A1885" s="4" t="s">
        <v>1701</v>
      </c>
    </row>
    <row r="1886" spans="1:9" x14ac:dyDescent="0.3">
      <c r="B1886" s="5" t="s">
        <v>1680</v>
      </c>
      <c r="C1886" s="5" t="s">
        <v>10</v>
      </c>
      <c r="D1886" s="5" t="s">
        <v>1702</v>
      </c>
      <c r="E1886" s="5" t="s">
        <v>1703</v>
      </c>
      <c r="F1886" s="5" t="s">
        <v>549</v>
      </c>
      <c r="G1886" s="5" t="s">
        <v>550</v>
      </c>
      <c r="H1886" s="6">
        <v>1500</v>
      </c>
      <c r="I1886" s="5"/>
    </row>
    <row r="1887" spans="1:9" x14ac:dyDescent="0.3">
      <c r="B1887" s="5" t="s">
        <v>1680</v>
      </c>
      <c r="C1887" s="5" t="s">
        <v>10</v>
      </c>
      <c r="D1887" s="5" t="s">
        <v>1702</v>
      </c>
      <c r="E1887" s="5" t="s">
        <v>1703</v>
      </c>
      <c r="F1887" s="5" t="s">
        <v>1643</v>
      </c>
      <c r="G1887" s="5" t="s">
        <v>1644</v>
      </c>
      <c r="H1887" s="5"/>
      <c r="I1887" s="6">
        <v>1500</v>
      </c>
    </row>
    <row r="1888" spans="1:9" x14ac:dyDescent="0.3">
      <c r="A1888" s="7" t="s">
        <v>1704</v>
      </c>
      <c r="H1888" s="8">
        <f>H1886+H1887</f>
        <v>1500</v>
      </c>
      <c r="I1888" s="8">
        <f>I1886+I1887</f>
        <v>1500</v>
      </c>
    </row>
    <row r="1889" spans="1:9" x14ac:dyDescent="0.3">
      <c r="A1889" s="4" t="s">
        <v>1705</v>
      </c>
    </row>
    <row r="1890" spans="1:9" x14ac:dyDescent="0.3">
      <c r="B1890" s="5" t="s">
        <v>1680</v>
      </c>
      <c r="C1890" s="5" t="s">
        <v>10</v>
      </c>
      <c r="D1890" s="5" t="s">
        <v>1706</v>
      </c>
      <c r="E1890" s="5" t="s">
        <v>1707</v>
      </c>
      <c r="F1890" s="5" t="s">
        <v>1196</v>
      </c>
      <c r="G1890" s="5" t="s">
        <v>1197</v>
      </c>
      <c r="H1890" s="6">
        <v>2000</v>
      </c>
      <c r="I1890" s="5"/>
    </row>
    <row r="1891" spans="1:9" x14ac:dyDescent="0.3">
      <c r="B1891" s="5" t="s">
        <v>1680</v>
      </c>
      <c r="C1891" s="5" t="s">
        <v>10</v>
      </c>
      <c r="D1891" s="5" t="s">
        <v>1706</v>
      </c>
      <c r="E1891" s="5" t="s">
        <v>1708</v>
      </c>
      <c r="F1891" s="5" t="s">
        <v>1199</v>
      </c>
      <c r="G1891" s="5" t="s">
        <v>1200</v>
      </c>
      <c r="H1891" s="6">
        <v>2000</v>
      </c>
      <c r="I1891" s="5"/>
    </row>
    <row r="1892" spans="1:9" ht="21.6" x14ac:dyDescent="0.3">
      <c r="B1892" s="5" t="s">
        <v>1680</v>
      </c>
      <c r="C1892" s="5" t="s">
        <v>10</v>
      </c>
      <c r="D1892" s="5" t="s">
        <v>1706</v>
      </c>
      <c r="E1892" s="5" t="s">
        <v>1709</v>
      </c>
      <c r="F1892" s="5" t="s">
        <v>1643</v>
      </c>
      <c r="G1892" s="5" t="s">
        <v>1644</v>
      </c>
      <c r="H1892" s="5"/>
      <c r="I1892" s="6">
        <v>4000</v>
      </c>
    </row>
    <row r="1893" spans="1:9" x14ac:dyDescent="0.3">
      <c r="A1893" s="7" t="s">
        <v>1710</v>
      </c>
      <c r="H1893" s="8">
        <f>H1890+H1891+H1892</f>
        <v>4000</v>
      </c>
      <c r="I1893" s="8">
        <f>I1890+I1891+I1892</f>
        <v>4000</v>
      </c>
    </row>
    <row r="1894" spans="1:9" x14ac:dyDescent="0.3">
      <c r="A1894" s="4" t="s">
        <v>1711</v>
      </c>
    </row>
    <row r="1895" spans="1:9" x14ac:dyDescent="0.3">
      <c r="B1895" s="5" t="s">
        <v>1680</v>
      </c>
      <c r="C1895" s="5" t="s">
        <v>10</v>
      </c>
      <c r="D1895" s="5" t="s">
        <v>1712</v>
      </c>
      <c r="E1895" s="5" t="s">
        <v>1713</v>
      </c>
      <c r="F1895" s="5" t="s">
        <v>1643</v>
      </c>
      <c r="G1895" s="5" t="s">
        <v>1644</v>
      </c>
      <c r="H1895" s="6">
        <v>6914</v>
      </c>
      <c r="I1895" s="5"/>
    </row>
    <row r="1896" spans="1:9" x14ac:dyDescent="0.3">
      <c r="B1896" s="5" t="s">
        <v>1680</v>
      </c>
      <c r="C1896" s="5" t="s">
        <v>10</v>
      </c>
      <c r="D1896" s="5" t="s">
        <v>1712</v>
      </c>
      <c r="E1896" s="5" t="s">
        <v>1713</v>
      </c>
      <c r="F1896" s="5" t="s">
        <v>13</v>
      </c>
      <c r="G1896" s="5" t="s">
        <v>14</v>
      </c>
      <c r="H1896" s="5"/>
      <c r="I1896" s="6">
        <v>6914</v>
      </c>
    </row>
    <row r="1897" spans="1:9" x14ac:dyDescent="0.3">
      <c r="A1897" s="7" t="s">
        <v>1714</v>
      </c>
      <c r="H1897" s="8">
        <f>H1895+H1896</f>
        <v>6914</v>
      </c>
      <c r="I1897" s="8">
        <f>I1895+I1896</f>
        <v>6914</v>
      </c>
    </row>
    <row r="1898" spans="1:9" x14ac:dyDescent="0.3">
      <c r="A1898" s="4" t="s">
        <v>1715</v>
      </c>
    </row>
    <row r="1899" spans="1:9" x14ac:dyDescent="0.3">
      <c r="B1899" s="5" t="s">
        <v>1680</v>
      </c>
      <c r="C1899" s="5" t="s">
        <v>10</v>
      </c>
      <c r="D1899" s="5" t="s">
        <v>1716</v>
      </c>
      <c r="E1899" s="5" t="s">
        <v>1717</v>
      </c>
      <c r="F1899" s="5" t="s">
        <v>129</v>
      </c>
      <c r="G1899" s="5" t="s">
        <v>130</v>
      </c>
      <c r="H1899" s="6">
        <v>600</v>
      </c>
      <c r="I1899" s="5"/>
    </row>
    <row r="1900" spans="1:9" x14ac:dyDescent="0.3">
      <c r="B1900" s="5" t="s">
        <v>1680</v>
      </c>
      <c r="C1900" s="5" t="s">
        <v>10</v>
      </c>
      <c r="D1900" s="5" t="s">
        <v>1716</v>
      </c>
      <c r="E1900" s="5" t="s">
        <v>1717</v>
      </c>
      <c r="F1900" s="5" t="s">
        <v>1643</v>
      </c>
      <c r="G1900" s="5" t="s">
        <v>1644</v>
      </c>
      <c r="H1900" s="5"/>
      <c r="I1900" s="6">
        <v>600</v>
      </c>
    </row>
    <row r="1901" spans="1:9" x14ac:dyDescent="0.3">
      <c r="B1901" s="5" t="s">
        <v>1680</v>
      </c>
      <c r="C1901" s="5" t="s">
        <v>10</v>
      </c>
      <c r="D1901" s="5" t="s">
        <v>1716</v>
      </c>
      <c r="E1901" s="5" t="s">
        <v>1718</v>
      </c>
      <c r="F1901" s="5" t="s">
        <v>70</v>
      </c>
      <c r="G1901" s="5" t="s">
        <v>71</v>
      </c>
      <c r="H1901" s="6">
        <v>280</v>
      </c>
      <c r="I1901" s="5"/>
    </row>
    <row r="1902" spans="1:9" x14ac:dyDescent="0.3">
      <c r="B1902" s="5" t="s">
        <v>1680</v>
      </c>
      <c r="C1902" s="5" t="s">
        <v>10</v>
      </c>
      <c r="D1902" s="5" t="s">
        <v>1716</v>
      </c>
      <c r="E1902" s="5" t="s">
        <v>1718</v>
      </c>
      <c r="F1902" s="5" t="s">
        <v>1643</v>
      </c>
      <c r="G1902" s="5" t="s">
        <v>1644</v>
      </c>
      <c r="H1902" s="5"/>
      <c r="I1902" s="6">
        <v>280</v>
      </c>
    </row>
    <row r="1903" spans="1:9" x14ac:dyDescent="0.3">
      <c r="B1903" s="5" t="s">
        <v>1680</v>
      </c>
      <c r="C1903" s="5" t="s">
        <v>10</v>
      </c>
      <c r="D1903" s="5" t="s">
        <v>1716</v>
      </c>
      <c r="E1903" s="5" t="s">
        <v>1719</v>
      </c>
      <c r="F1903" s="5" t="s">
        <v>67</v>
      </c>
      <c r="G1903" s="5" t="s">
        <v>68</v>
      </c>
      <c r="H1903" s="6">
        <v>150</v>
      </c>
      <c r="I1903" s="5"/>
    </row>
    <row r="1904" spans="1:9" x14ac:dyDescent="0.3">
      <c r="B1904" s="5" t="s">
        <v>1680</v>
      </c>
      <c r="C1904" s="5" t="s">
        <v>10</v>
      </c>
      <c r="D1904" s="5" t="s">
        <v>1716</v>
      </c>
      <c r="E1904" s="5" t="s">
        <v>1719</v>
      </c>
      <c r="F1904" s="5" t="s">
        <v>1643</v>
      </c>
      <c r="G1904" s="5" t="s">
        <v>1644</v>
      </c>
      <c r="H1904" s="5"/>
      <c r="I1904" s="6">
        <v>150</v>
      </c>
    </row>
    <row r="1905" spans="1:9" x14ac:dyDescent="0.3">
      <c r="A1905" s="7" t="s">
        <v>1720</v>
      </c>
      <c r="H1905" s="8">
        <f>H1899+H1900+H1901+H1902+H1903+H1904</f>
        <v>1030</v>
      </c>
      <c r="I1905" s="8">
        <f>I1899+I1900+I1901+I1902+I1903+I1904</f>
        <v>1030</v>
      </c>
    </row>
    <row r="1906" spans="1:9" x14ac:dyDescent="0.3">
      <c r="A1906" s="4" t="s">
        <v>1721</v>
      </c>
    </row>
    <row r="1907" spans="1:9" x14ac:dyDescent="0.3">
      <c r="B1907" s="5" t="s">
        <v>1722</v>
      </c>
      <c r="C1907" s="5" t="s">
        <v>10</v>
      </c>
      <c r="D1907" s="5" t="s">
        <v>1723</v>
      </c>
      <c r="E1907" s="5" t="s">
        <v>1724</v>
      </c>
      <c r="F1907" s="5" t="s">
        <v>1643</v>
      </c>
      <c r="G1907" s="5" t="s">
        <v>1644</v>
      </c>
      <c r="H1907" s="6">
        <v>15000</v>
      </c>
      <c r="I1907" s="5"/>
    </row>
    <row r="1908" spans="1:9" x14ac:dyDescent="0.3">
      <c r="B1908" s="5" t="s">
        <v>1722</v>
      </c>
      <c r="C1908" s="5" t="s">
        <v>10</v>
      </c>
      <c r="D1908" s="5" t="s">
        <v>1723</v>
      </c>
      <c r="E1908" s="5" t="s">
        <v>1724</v>
      </c>
      <c r="F1908" s="5" t="s">
        <v>13</v>
      </c>
      <c r="G1908" s="5" t="s">
        <v>14</v>
      </c>
      <c r="H1908" s="5"/>
      <c r="I1908" s="6">
        <v>15000</v>
      </c>
    </row>
    <row r="1909" spans="1:9" x14ac:dyDescent="0.3">
      <c r="A1909" s="7" t="s">
        <v>1725</v>
      </c>
      <c r="H1909" s="8">
        <f>H1907+H1908</f>
        <v>15000</v>
      </c>
      <c r="I1909" s="8">
        <f>I1907+I1908</f>
        <v>15000</v>
      </c>
    </row>
    <row r="1910" spans="1:9" x14ac:dyDescent="0.3">
      <c r="A1910" s="4" t="s">
        <v>1726</v>
      </c>
    </row>
    <row r="1911" spans="1:9" x14ac:dyDescent="0.3">
      <c r="B1911" s="5" t="s">
        <v>1727</v>
      </c>
      <c r="C1911" s="5" t="s">
        <v>10</v>
      </c>
      <c r="D1911" s="5" t="s">
        <v>1728</v>
      </c>
      <c r="E1911" s="5" t="s">
        <v>1729</v>
      </c>
      <c r="F1911" s="5" t="s">
        <v>1730</v>
      </c>
      <c r="G1911" s="5" t="s">
        <v>1731</v>
      </c>
      <c r="H1911" s="6">
        <v>6914</v>
      </c>
      <c r="I1911" s="5"/>
    </row>
    <row r="1912" spans="1:9" x14ac:dyDescent="0.3">
      <c r="B1912" s="5" t="s">
        <v>1727</v>
      </c>
      <c r="C1912" s="5" t="s">
        <v>10</v>
      </c>
      <c r="D1912" s="5" t="s">
        <v>1728</v>
      </c>
      <c r="E1912" s="5" t="s">
        <v>1729</v>
      </c>
      <c r="F1912" s="5" t="s">
        <v>1643</v>
      </c>
      <c r="G1912" s="5" t="s">
        <v>1644</v>
      </c>
      <c r="H1912" s="5"/>
      <c r="I1912" s="6">
        <v>6914</v>
      </c>
    </row>
    <row r="1913" spans="1:9" x14ac:dyDescent="0.3">
      <c r="A1913" s="7" t="s">
        <v>1732</v>
      </c>
      <c r="H1913" s="8">
        <f>H1911+H1912</f>
        <v>6914</v>
      </c>
      <c r="I1913" s="8">
        <f>I1911+I1912</f>
        <v>6914</v>
      </c>
    </row>
    <row r="1914" spans="1:9" x14ac:dyDescent="0.3">
      <c r="A1914" s="4" t="s">
        <v>1733</v>
      </c>
    </row>
    <row r="1915" spans="1:9" x14ac:dyDescent="0.3">
      <c r="B1915" s="5" t="s">
        <v>1727</v>
      </c>
      <c r="C1915" s="5" t="s">
        <v>10</v>
      </c>
      <c r="D1915" s="5" t="s">
        <v>1734</v>
      </c>
      <c r="E1915" s="5" t="s">
        <v>1735</v>
      </c>
      <c r="F1915" s="5" t="s">
        <v>23</v>
      </c>
      <c r="G1915" s="5" t="s">
        <v>24</v>
      </c>
      <c r="H1915" s="6">
        <v>33000</v>
      </c>
      <c r="I1915" s="5"/>
    </row>
    <row r="1916" spans="1:9" x14ac:dyDescent="0.3">
      <c r="B1916" s="5" t="s">
        <v>1727</v>
      </c>
      <c r="C1916" s="5" t="s">
        <v>10</v>
      </c>
      <c r="D1916" s="5" t="s">
        <v>1734</v>
      </c>
      <c r="E1916" s="5" t="s">
        <v>1736</v>
      </c>
      <c r="F1916" s="5" t="s">
        <v>29</v>
      </c>
      <c r="G1916" s="5" t="s">
        <v>30</v>
      </c>
      <c r="H1916" s="5"/>
      <c r="I1916" s="6">
        <v>3000</v>
      </c>
    </row>
    <row r="1917" spans="1:9" x14ac:dyDescent="0.3">
      <c r="B1917" s="5" t="s">
        <v>1727</v>
      </c>
      <c r="C1917" s="5" t="s">
        <v>10</v>
      </c>
      <c r="D1917" s="5" t="s">
        <v>1734</v>
      </c>
      <c r="E1917" s="5" t="s">
        <v>1735</v>
      </c>
      <c r="F1917" s="5" t="s">
        <v>26</v>
      </c>
      <c r="G1917" s="5" t="s">
        <v>27</v>
      </c>
      <c r="H1917" s="5"/>
      <c r="I1917" s="6">
        <v>30000</v>
      </c>
    </row>
    <row r="1918" spans="1:9" x14ac:dyDescent="0.3">
      <c r="A1918" s="7" t="s">
        <v>1737</v>
      </c>
      <c r="H1918" s="8">
        <f>H1915+H1916+H1917</f>
        <v>33000</v>
      </c>
      <c r="I1918" s="8">
        <f>I1915+I1916+I1917</f>
        <v>33000</v>
      </c>
    </row>
    <row r="1919" spans="1:9" x14ac:dyDescent="0.3">
      <c r="A1919" s="4" t="s">
        <v>1738</v>
      </c>
    </row>
    <row r="1920" spans="1:9" x14ac:dyDescent="0.3">
      <c r="B1920" s="5" t="s">
        <v>1727</v>
      </c>
      <c r="C1920" s="5" t="s">
        <v>10</v>
      </c>
      <c r="D1920" s="5" t="s">
        <v>1739</v>
      </c>
      <c r="E1920" s="5" t="s">
        <v>1740</v>
      </c>
      <c r="F1920" s="5" t="s">
        <v>50</v>
      </c>
      <c r="G1920" s="5" t="s">
        <v>51</v>
      </c>
      <c r="H1920" s="6">
        <v>1400</v>
      </c>
      <c r="I1920" s="5"/>
    </row>
    <row r="1921" spans="1:9" x14ac:dyDescent="0.3">
      <c r="B1921" s="5" t="s">
        <v>1727</v>
      </c>
      <c r="C1921" s="5" t="s">
        <v>10</v>
      </c>
      <c r="D1921" s="5" t="s">
        <v>1739</v>
      </c>
      <c r="E1921" s="5" t="s">
        <v>1740</v>
      </c>
      <c r="F1921" s="5" t="s">
        <v>1643</v>
      </c>
      <c r="G1921" s="5" t="s">
        <v>1644</v>
      </c>
      <c r="H1921" s="5"/>
      <c r="I1921" s="6">
        <v>1400</v>
      </c>
    </row>
    <row r="1922" spans="1:9" x14ac:dyDescent="0.3">
      <c r="A1922" s="7" t="s">
        <v>1741</v>
      </c>
      <c r="H1922" s="8">
        <f>H1920+H1921</f>
        <v>1400</v>
      </c>
      <c r="I1922" s="8">
        <f>I1920+I1921</f>
        <v>1400</v>
      </c>
    </row>
    <row r="1923" spans="1:9" x14ac:dyDescent="0.3">
      <c r="A1923" s="4" t="s">
        <v>1742</v>
      </c>
    </row>
    <row r="1924" spans="1:9" x14ac:dyDescent="0.3">
      <c r="B1924" s="5" t="s">
        <v>1727</v>
      </c>
      <c r="C1924" s="5" t="s">
        <v>10</v>
      </c>
      <c r="D1924" s="5" t="s">
        <v>1743</v>
      </c>
      <c r="E1924" s="5" t="s">
        <v>1744</v>
      </c>
      <c r="F1924" s="5" t="s">
        <v>61</v>
      </c>
      <c r="G1924" s="5" t="s">
        <v>62</v>
      </c>
      <c r="H1924" s="6">
        <v>270</v>
      </c>
      <c r="I1924" s="5"/>
    </row>
    <row r="1925" spans="1:9" x14ac:dyDescent="0.3">
      <c r="B1925" s="5" t="s">
        <v>1727</v>
      </c>
      <c r="C1925" s="5" t="s">
        <v>10</v>
      </c>
      <c r="D1925" s="5" t="s">
        <v>1743</v>
      </c>
      <c r="E1925" s="5" t="s">
        <v>1744</v>
      </c>
      <c r="F1925" s="5" t="s">
        <v>1643</v>
      </c>
      <c r="G1925" s="5" t="s">
        <v>1644</v>
      </c>
      <c r="H1925" s="5"/>
      <c r="I1925" s="6">
        <v>270</v>
      </c>
    </row>
    <row r="1926" spans="1:9" x14ac:dyDescent="0.3">
      <c r="A1926" s="7" t="s">
        <v>1745</v>
      </c>
      <c r="H1926" s="8">
        <f>H1924+H1925</f>
        <v>270</v>
      </c>
      <c r="I1926" s="8">
        <f>I1924+I1925</f>
        <v>270</v>
      </c>
    </row>
    <row r="1927" spans="1:9" x14ac:dyDescent="0.3">
      <c r="A1927" s="4" t="s">
        <v>1746</v>
      </c>
    </row>
    <row r="1928" spans="1:9" x14ac:dyDescent="0.3">
      <c r="B1928" s="5" t="s">
        <v>1727</v>
      </c>
      <c r="C1928" s="5" t="s">
        <v>10</v>
      </c>
      <c r="D1928" s="5" t="s">
        <v>1747</v>
      </c>
      <c r="E1928" s="5" t="s">
        <v>1748</v>
      </c>
      <c r="F1928" s="5" t="s">
        <v>64</v>
      </c>
      <c r="G1928" s="5" t="s">
        <v>65</v>
      </c>
      <c r="H1928" s="6">
        <v>100</v>
      </c>
      <c r="I1928" s="5"/>
    </row>
    <row r="1929" spans="1:9" x14ac:dyDescent="0.3">
      <c r="B1929" s="5" t="s">
        <v>1727</v>
      </c>
      <c r="C1929" s="5" t="s">
        <v>10</v>
      </c>
      <c r="D1929" s="5" t="s">
        <v>1747</v>
      </c>
      <c r="E1929" s="5" t="s">
        <v>1749</v>
      </c>
      <c r="F1929" s="5" t="s">
        <v>61</v>
      </c>
      <c r="G1929" s="5" t="s">
        <v>62</v>
      </c>
      <c r="H1929" s="6">
        <v>230</v>
      </c>
      <c r="I1929" s="5"/>
    </row>
    <row r="1930" spans="1:9" x14ac:dyDescent="0.3">
      <c r="B1930" s="5" t="s">
        <v>1727</v>
      </c>
      <c r="C1930" s="5" t="s">
        <v>10</v>
      </c>
      <c r="D1930" s="5" t="s">
        <v>1747</v>
      </c>
      <c r="E1930" s="5" t="s">
        <v>1750</v>
      </c>
      <c r="F1930" s="5" t="s">
        <v>1643</v>
      </c>
      <c r="G1930" s="5" t="s">
        <v>1644</v>
      </c>
      <c r="H1930" s="5"/>
      <c r="I1930" s="6">
        <v>330</v>
      </c>
    </row>
    <row r="1931" spans="1:9" x14ac:dyDescent="0.3">
      <c r="A1931" s="7" t="s">
        <v>1751</v>
      </c>
      <c r="H1931" s="8">
        <f>H1928+H1929+H1930</f>
        <v>330</v>
      </c>
      <c r="I1931" s="8">
        <f>I1928+I1929+I1930</f>
        <v>330</v>
      </c>
    </row>
    <row r="1932" spans="1:9" x14ac:dyDescent="0.3">
      <c r="A1932" s="4" t="s">
        <v>1752</v>
      </c>
    </row>
    <row r="1933" spans="1:9" x14ac:dyDescent="0.3">
      <c r="B1933" s="5" t="s">
        <v>1727</v>
      </c>
      <c r="C1933" s="5" t="s">
        <v>10</v>
      </c>
      <c r="D1933" s="5" t="s">
        <v>1753</v>
      </c>
      <c r="E1933" s="5" t="s">
        <v>1754</v>
      </c>
      <c r="F1933" s="5" t="s">
        <v>67</v>
      </c>
      <c r="G1933" s="5" t="s">
        <v>68</v>
      </c>
      <c r="H1933" s="6">
        <v>120</v>
      </c>
      <c r="I1933" s="5"/>
    </row>
    <row r="1934" spans="1:9" x14ac:dyDescent="0.3">
      <c r="B1934" s="5" t="s">
        <v>1727</v>
      </c>
      <c r="C1934" s="5" t="s">
        <v>10</v>
      </c>
      <c r="D1934" s="5" t="s">
        <v>1753</v>
      </c>
      <c r="E1934" s="5" t="s">
        <v>1754</v>
      </c>
      <c r="F1934" s="5" t="s">
        <v>1643</v>
      </c>
      <c r="G1934" s="5" t="s">
        <v>1644</v>
      </c>
      <c r="H1934" s="5"/>
      <c r="I1934" s="6">
        <v>120</v>
      </c>
    </row>
    <row r="1935" spans="1:9" x14ac:dyDescent="0.3">
      <c r="A1935" s="7" t="s">
        <v>1755</v>
      </c>
      <c r="H1935" s="8">
        <f>H1933+H1934</f>
        <v>120</v>
      </c>
      <c r="I1935" s="8">
        <f>I1933+I1934</f>
        <v>120</v>
      </c>
    </row>
    <row r="1936" spans="1:9" x14ac:dyDescent="0.3">
      <c r="A1936" s="4" t="s">
        <v>1756</v>
      </c>
    </row>
    <row r="1937" spans="1:9" x14ac:dyDescent="0.3">
      <c r="B1937" s="5" t="s">
        <v>1727</v>
      </c>
      <c r="C1937" s="5" t="s">
        <v>10</v>
      </c>
      <c r="D1937" s="5" t="s">
        <v>1757</v>
      </c>
      <c r="E1937" s="5" t="s">
        <v>1758</v>
      </c>
      <c r="F1937" s="5" t="s">
        <v>67</v>
      </c>
      <c r="G1937" s="5" t="s">
        <v>68</v>
      </c>
      <c r="H1937" s="6">
        <v>50</v>
      </c>
      <c r="I1937" s="5"/>
    </row>
    <row r="1938" spans="1:9" x14ac:dyDescent="0.3">
      <c r="B1938" s="5" t="s">
        <v>1727</v>
      </c>
      <c r="C1938" s="5" t="s">
        <v>10</v>
      </c>
      <c r="D1938" s="5" t="s">
        <v>1757</v>
      </c>
      <c r="E1938" s="5" t="s">
        <v>1758</v>
      </c>
      <c r="F1938" s="5" t="s">
        <v>1643</v>
      </c>
      <c r="G1938" s="5" t="s">
        <v>1644</v>
      </c>
      <c r="H1938" s="5"/>
      <c r="I1938" s="6">
        <v>50</v>
      </c>
    </row>
    <row r="1939" spans="1:9" x14ac:dyDescent="0.3">
      <c r="A1939" s="7" t="s">
        <v>1759</v>
      </c>
      <c r="H1939" s="8">
        <f>H1937+H1938</f>
        <v>50</v>
      </c>
      <c r="I1939" s="8">
        <f>I1937+I1938</f>
        <v>50</v>
      </c>
    </row>
    <row r="1940" spans="1:9" x14ac:dyDescent="0.3">
      <c r="A1940" s="4" t="s">
        <v>1760</v>
      </c>
    </row>
    <row r="1941" spans="1:9" x14ac:dyDescent="0.3">
      <c r="B1941" s="5" t="s">
        <v>1727</v>
      </c>
      <c r="C1941" s="5" t="s">
        <v>10</v>
      </c>
      <c r="D1941" s="5" t="s">
        <v>1761</v>
      </c>
      <c r="E1941" s="5" t="s">
        <v>1762</v>
      </c>
      <c r="F1941" s="5" t="s">
        <v>1763</v>
      </c>
      <c r="G1941" s="5" t="s">
        <v>1764</v>
      </c>
      <c r="H1941" s="6">
        <v>2822</v>
      </c>
      <c r="I1941" s="5"/>
    </row>
    <row r="1942" spans="1:9" x14ac:dyDescent="0.3">
      <c r="B1942" s="5" t="s">
        <v>1727</v>
      </c>
      <c r="C1942" s="5" t="s">
        <v>10</v>
      </c>
      <c r="D1942" s="5" t="s">
        <v>1761</v>
      </c>
      <c r="E1942" s="5" t="s">
        <v>1762</v>
      </c>
      <c r="F1942" s="5" t="s">
        <v>649</v>
      </c>
      <c r="G1942" s="5" t="s">
        <v>650</v>
      </c>
      <c r="H1942" s="5"/>
      <c r="I1942" s="6">
        <v>2822</v>
      </c>
    </row>
    <row r="1943" spans="1:9" x14ac:dyDescent="0.3">
      <c r="A1943" s="7" t="s">
        <v>1765</v>
      </c>
      <c r="H1943" s="8">
        <f>H1941+H1942</f>
        <v>2822</v>
      </c>
      <c r="I1943" s="8">
        <f>I1941+I1942</f>
        <v>2822</v>
      </c>
    </row>
    <row r="1944" spans="1:9" x14ac:dyDescent="0.3">
      <c r="A1944" s="4" t="s">
        <v>1766</v>
      </c>
    </row>
    <row r="1945" spans="1:9" x14ac:dyDescent="0.3">
      <c r="B1945" s="5" t="s">
        <v>1727</v>
      </c>
      <c r="C1945" s="5" t="s">
        <v>10</v>
      </c>
      <c r="D1945" s="5" t="s">
        <v>1767</v>
      </c>
      <c r="E1945" s="5" t="s">
        <v>1421</v>
      </c>
      <c r="F1945" s="5" t="s">
        <v>116</v>
      </c>
      <c r="G1945" s="5" t="s">
        <v>117</v>
      </c>
      <c r="H1945" s="6">
        <v>500</v>
      </c>
      <c r="I1945" s="5"/>
    </row>
    <row r="1946" spans="1:9" x14ac:dyDescent="0.3">
      <c r="B1946" s="5" t="s">
        <v>1727</v>
      </c>
      <c r="C1946" s="5" t="s">
        <v>10</v>
      </c>
      <c r="D1946" s="5" t="s">
        <v>1767</v>
      </c>
      <c r="E1946" s="5" t="s">
        <v>1421</v>
      </c>
      <c r="F1946" s="5" t="s">
        <v>1643</v>
      </c>
      <c r="G1946" s="5" t="s">
        <v>1644</v>
      </c>
      <c r="H1946" s="5"/>
      <c r="I1946" s="6">
        <v>500</v>
      </c>
    </row>
    <row r="1947" spans="1:9" x14ac:dyDescent="0.3">
      <c r="A1947" s="7" t="s">
        <v>1768</v>
      </c>
      <c r="H1947" s="8">
        <f>H1945+H1946</f>
        <v>500</v>
      </c>
      <c r="I1947" s="8">
        <f>I1945+I1946</f>
        <v>500</v>
      </c>
    </row>
    <row r="1948" spans="1:9" x14ac:dyDescent="0.3">
      <c r="A1948" s="4" t="s">
        <v>1769</v>
      </c>
    </row>
    <row r="1949" spans="1:9" x14ac:dyDescent="0.3">
      <c r="B1949" s="5" t="s">
        <v>1727</v>
      </c>
      <c r="C1949" s="5" t="s">
        <v>10</v>
      </c>
      <c r="D1949" s="5" t="s">
        <v>1770</v>
      </c>
      <c r="E1949" s="5" t="s">
        <v>1771</v>
      </c>
      <c r="F1949" s="5" t="s">
        <v>58</v>
      </c>
      <c r="G1949" s="5" t="s">
        <v>59</v>
      </c>
      <c r="H1949" s="6">
        <v>1000</v>
      </c>
      <c r="I1949" s="5"/>
    </row>
    <row r="1950" spans="1:9" x14ac:dyDescent="0.3">
      <c r="B1950" s="5" t="s">
        <v>1727</v>
      </c>
      <c r="C1950" s="5" t="s">
        <v>10</v>
      </c>
      <c r="D1950" s="5" t="s">
        <v>1770</v>
      </c>
      <c r="E1950" s="5" t="s">
        <v>1771</v>
      </c>
      <c r="F1950" s="5" t="s">
        <v>1643</v>
      </c>
      <c r="G1950" s="5" t="s">
        <v>1644</v>
      </c>
      <c r="H1950" s="5"/>
      <c r="I1950" s="6">
        <v>1000</v>
      </c>
    </row>
    <row r="1951" spans="1:9" x14ac:dyDescent="0.3">
      <c r="A1951" s="7" t="s">
        <v>1772</v>
      </c>
      <c r="H1951" s="8">
        <f>H1949+H1950</f>
        <v>1000</v>
      </c>
      <c r="I1951" s="8">
        <f>I1949+I1950</f>
        <v>1000</v>
      </c>
    </row>
    <row r="1952" spans="1:9" x14ac:dyDescent="0.3">
      <c r="A1952" s="4" t="s">
        <v>1773</v>
      </c>
    </row>
    <row r="1953" spans="1:9" x14ac:dyDescent="0.3">
      <c r="B1953" s="5" t="s">
        <v>1727</v>
      </c>
      <c r="C1953" s="5" t="s">
        <v>10</v>
      </c>
      <c r="D1953" s="5" t="s">
        <v>1774</v>
      </c>
      <c r="E1953" s="5" t="s">
        <v>1771</v>
      </c>
      <c r="F1953" s="5" t="s">
        <v>58</v>
      </c>
      <c r="G1953" s="5" t="s">
        <v>59</v>
      </c>
      <c r="H1953" s="6">
        <v>1000</v>
      </c>
      <c r="I1953" s="5"/>
    </row>
    <row r="1954" spans="1:9" x14ac:dyDescent="0.3">
      <c r="B1954" s="5" t="s">
        <v>1727</v>
      </c>
      <c r="C1954" s="5" t="s">
        <v>10</v>
      </c>
      <c r="D1954" s="5" t="s">
        <v>1774</v>
      </c>
      <c r="E1954" s="5" t="s">
        <v>1771</v>
      </c>
      <c r="F1954" s="5" t="s">
        <v>1643</v>
      </c>
      <c r="G1954" s="5" t="s">
        <v>1644</v>
      </c>
      <c r="H1954" s="5"/>
      <c r="I1954" s="6">
        <v>1000</v>
      </c>
    </row>
    <row r="1955" spans="1:9" x14ac:dyDescent="0.3">
      <c r="A1955" s="7" t="s">
        <v>1775</v>
      </c>
      <c r="H1955" s="8">
        <f>H1953+H1954</f>
        <v>1000</v>
      </c>
      <c r="I1955" s="8">
        <f>I1953+I1954</f>
        <v>1000</v>
      </c>
    </row>
    <row r="1956" spans="1:9" x14ac:dyDescent="0.3">
      <c r="A1956" s="4" t="s">
        <v>1776</v>
      </c>
    </row>
    <row r="1957" spans="1:9" x14ac:dyDescent="0.3">
      <c r="B1957" s="5" t="s">
        <v>1777</v>
      </c>
      <c r="C1957" s="5" t="s">
        <v>10</v>
      </c>
      <c r="D1957" s="5" t="s">
        <v>1778</v>
      </c>
      <c r="E1957" s="5" t="s">
        <v>1005</v>
      </c>
      <c r="F1957" s="5" t="s">
        <v>61</v>
      </c>
      <c r="G1957" s="5" t="s">
        <v>62</v>
      </c>
      <c r="H1957" s="6">
        <v>380</v>
      </c>
      <c r="I1957" s="5"/>
    </row>
    <row r="1958" spans="1:9" x14ac:dyDescent="0.3">
      <c r="B1958" s="5" t="s">
        <v>1777</v>
      </c>
      <c r="C1958" s="5" t="s">
        <v>10</v>
      </c>
      <c r="D1958" s="5" t="s">
        <v>1778</v>
      </c>
      <c r="E1958" s="5" t="s">
        <v>1779</v>
      </c>
      <c r="F1958" s="5" t="s">
        <v>50</v>
      </c>
      <c r="G1958" s="5" t="s">
        <v>51</v>
      </c>
      <c r="H1958" s="6">
        <v>20</v>
      </c>
      <c r="I1958" s="5"/>
    </row>
    <row r="1959" spans="1:9" x14ac:dyDescent="0.3">
      <c r="B1959" s="5" t="s">
        <v>1777</v>
      </c>
      <c r="C1959" s="5" t="s">
        <v>10</v>
      </c>
      <c r="D1959" s="5" t="s">
        <v>1778</v>
      </c>
      <c r="E1959" s="5" t="s">
        <v>1780</v>
      </c>
      <c r="F1959" s="5" t="s">
        <v>1643</v>
      </c>
      <c r="G1959" s="5" t="s">
        <v>1644</v>
      </c>
      <c r="H1959" s="5"/>
      <c r="I1959" s="6">
        <v>400</v>
      </c>
    </row>
    <row r="1960" spans="1:9" x14ac:dyDescent="0.3">
      <c r="A1960" s="7" t="s">
        <v>1781</v>
      </c>
      <c r="H1960" s="8">
        <f>H1957+H1958+H1959</f>
        <v>400</v>
      </c>
      <c r="I1960" s="8">
        <f>I1957+I1958+I1959</f>
        <v>400</v>
      </c>
    </row>
    <row r="1961" spans="1:9" x14ac:dyDescent="0.3">
      <c r="A1961" s="4" t="s">
        <v>1782</v>
      </c>
    </row>
    <row r="1962" spans="1:9" x14ac:dyDescent="0.3">
      <c r="B1962" s="5" t="s">
        <v>1777</v>
      </c>
      <c r="C1962" s="5" t="s">
        <v>10</v>
      </c>
      <c r="D1962" s="5" t="s">
        <v>1783</v>
      </c>
      <c r="E1962" s="5" t="s">
        <v>1784</v>
      </c>
      <c r="F1962" s="5" t="s">
        <v>441</v>
      </c>
      <c r="G1962" s="5" t="s">
        <v>442</v>
      </c>
      <c r="H1962" s="6">
        <v>3000</v>
      </c>
      <c r="I1962" s="5"/>
    </row>
    <row r="1963" spans="1:9" x14ac:dyDescent="0.3">
      <c r="B1963" s="5" t="s">
        <v>1777</v>
      </c>
      <c r="C1963" s="5" t="s">
        <v>10</v>
      </c>
      <c r="D1963" s="5" t="s">
        <v>1783</v>
      </c>
      <c r="E1963" s="5" t="s">
        <v>1784</v>
      </c>
      <c r="F1963" s="5" t="s">
        <v>1643</v>
      </c>
      <c r="G1963" s="5" t="s">
        <v>1644</v>
      </c>
      <c r="H1963" s="5"/>
      <c r="I1963" s="6">
        <v>3000</v>
      </c>
    </row>
    <row r="1964" spans="1:9" x14ac:dyDescent="0.3">
      <c r="A1964" s="7" t="s">
        <v>1785</v>
      </c>
      <c r="H1964" s="8">
        <f>H1962+H1963</f>
        <v>3000</v>
      </c>
      <c r="I1964" s="8">
        <f>I1962+I1963</f>
        <v>3000</v>
      </c>
    </row>
    <row r="1965" spans="1:9" x14ac:dyDescent="0.3">
      <c r="A1965" s="4" t="s">
        <v>1786</v>
      </c>
    </row>
    <row r="1966" spans="1:9" x14ac:dyDescent="0.3">
      <c r="B1966" s="5" t="s">
        <v>1777</v>
      </c>
      <c r="C1966" s="5" t="s">
        <v>10</v>
      </c>
      <c r="D1966" s="5" t="s">
        <v>1787</v>
      </c>
      <c r="E1966" s="5" t="s">
        <v>1788</v>
      </c>
      <c r="F1966" s="5" t="s">
        <v>547</v>
      </c>
      <c r="G1966" s="5" t="s">
        <v>548</v>
      </c>
      <c r="H1966" s="6">
        <v>1000</v>
      </c>
      <c r="I1966" s="5"/>
    </row>
    <row r="1967" spans="1:9" x14ac:dyDescent="0.3">
      <c r="B1967" s="5" t="s">
        <v>1777</v>
      </c>
      <c r="C1967" s="5" t="s">
        <v>10</v>
      </c>
      <c r="D1967" s="5" t="s">
        <v>1787</v>
      </c>
      <c r="E1967" s="5" t="s">
        <v>1788</v>
      </c>
      <c r="F1967" s="5" t="s">
        <v>1643</v>
      </c>
      <c r="G1967" s="5" t="s">
        <v>1644</v>
      </c>
      <c r="H1967" s="5"/>
      <c r="I1967" s="6">
        <v>1000</v>
      </c>
    </row>
    <row r="1968" spans="1:9" x14ac:dyDescent="0.3">
      <c r="A1968" s="7" t="s">
        <v>1789</v>
      </c>
      <c r="H1968" s="8">
        <f>H1966+H1967</f>
        <v>1000</v>
      </c>
      <c r="I1968" s="8">
        <f>I1966+I1967</f>
        <v>1000</v>
      </c>
    </row>
    <row r="1969" spans="1:9" x14ac:dyDescent="0.3">
      <c r="A1969" s="4" t="s">
        <v>1790</v>
      </c>
    </row>
    <row r="1970" spans="1:9" x14ac:dyDescent="0.3">
      <c r="B1970" s="5" t="s">
        <v>1777</v>
      </c>
      <c r="C1970" s="5" t="s">
        <v>10</v>
      </c>
      <c r="D1970" s="5" t="s">
        <v>1791</v>
      </c>
      <c r="E1970" s="5" t="s">
        <v>1792</v>
      </c>
      <c r="F1970" s="5" t="s">
        <v>1793</v>
      </c>
      <c r="G1970" s="5" t="s">
        <v>1794</v>
      </c>
      <c r="H1970" s="6">
        <v>3000</v>
      </c>
      <c r="I1970" s="5"/>
    </row>
    <row r="1971" spans="1:9" x14ac:dyDescent="0.3">
      <c r="B1971" s="5" t="s">
        <v>1777</v>
      </c>
      <c r="C1971" s="5" t="s">
        <v>10</v>
      </c>
      <c r="D1971" s="5" t="s">
        <v>1791</v>
      </c>
      <c r="E1971" s="5" t="s">
        <v>1792</v>
      </c>
      <c r="F1971" s="5" t="s">
        <v>1643</v>
      </c>
      <c r="G1971" s="5" t="s">
        <v>1644</v>
      </c>
      <c r="H1971" s="5"/>
      <c r="I1971" s="6">
        <v>3000</v>
      </c>
    </row>
    <row r="1972" spans="1:9" x14ac:dyDescent="0.3">
      <c r="A1972" s="7" t="s">
        <v>1795</v>
      </c>
      <c r="H1972" s="8">
        <f>H1970+H1971</f>
        <v>3000</v>
      </c>
      <c r="I1972" s="8">
        <f>I1970+I1971</f>
        <v>3000</v>
      </c>
    </row>
    <row r="1973" spans="1:9" x14ac:dyDescent="0.3">
      <c r="A1973" s="4" t="s">
        <v>1796</v>
      </c>
    </row>
    <row r="1974" spans="1:9" x14ac:dyDescent="0.3">
      <c r="B1974" s="5" t="s">
        <v>1777</v>
      </c>
      <c r="C1974" s="5" t="s">
        <v>10</v>
      </c>
      <c r="D1974" s="5" t="s">
        <v>1797</v>
      </c>
      <c r="E1974" s="5" t="s">
        <v>1798</v>
      </c>
      <c r="F1974" s="5" t="s">
        <v>1799</v>
      </c>
      <c r="G1974" s="5" t="s">
        <v>1800</v>
      </c>
      <c r="H1974" s="6">
        <v>3450</v>
      </c>
      <c r="I1974" s="5"/>
    </row>
    <row r="1975" spans="1:9" x14ac:dyDescent="0.3">
      <c r="B1975" s="5" t="s">
        <v>1777</v>
      </c>
      <c r="C1975" s="5" t="s">
        <v>10</v>
      </c>
      <c r="D1975" s="5" t="s">
        <v>1797</v>
      </c>
      <c r="E1975" s="5" t="s">
        <v>1798</v>
      </c>
      <c r="F1975" s="5" t="s">
        <v>1643</v>
      </c>
      <c r="G1975" s="5" t="s">
        <v>1644</v>
      </c>
      <c r="H1975" s="5"/>
      <c r="I1975" s="6">
        <v>3450</v>
      </c>
    </row>
    <row r="1976" spans="1:9" x14ac:dyDescent="0.3">
      <c r="A1976" s="7" t="s">
        <v>1801</v>
      </c>
      <c r="H1976" s="8">
        <f>H1974+H1975</f>
        <v>3450</v>
      </c>
      <c r="I1976" s="8">
        <f>I1974+I1975</f>
        <v>3450</v>
      </c>
    </row>
    <row r="1977" spans="1:9" x14ac:dyDescent="0.3">
      <c r="A1977" s="4" t="s">
        <v>1802</v>
      </c>
    </row>
    <row r="1978" spans="1:9" x14ac:dyDescent="0.3">
      <c r="B1978" s="5" t="s">
        <v>1777</v>
      </c>
      <c r="C1978" s="5" t="s">
        <v>10</v>
      </c>
      <c r="D1978" s="5" t="s">
        <v>1803</v>
      </c>
      <c r="E1978" s="5" t="s">
        <v>1804</v>
      </c>
      <c r="F1978" s="5" t="s">
        <v>70</v>
      </c>
      <c r="G1978" s="5" t="s">
        <v>71</v>
      </c>
      <c r="H1978" s="6">
        <v>300</v>
      </c>
      <c r="I1978" s="5"/>
    </row>
    <row r="1979" spans="1:9" x14ac:dyDescent="0.3">
      <c r="B1979" s="5" t="s">
        <v>1777</v>
      </c>
      <c r="C1979" s="5" t="s">
        <v>10</v>
      </c>
      <c r="D1979" s="5" t="s">
        <v>1803</v>
      </c>
      <c r="E1979" s="5" t="s">
        <v>1804</v>
      </c>
      <c r="F1979" s="5" t="s">
        <v>1643</v>
      </c>
      <c r="G1979" s="5" t="s">
        <v>1644</v>
      </c>
      <c r="H1979" s="5"/>
      <c r="I1979" s="6">
        <v>300</v>
      </c>
    </row>
    <row r="1980" spans="1:9" x14ac:dyDescent="0.3">
      <c r="A1980" s="7" t="s">
        <v>1805</v>
      </c>
      <c r="H1980" s="8">
        <f>H1978+H1979</f>
        <v>300</v>
      </c>
      <c r="I1980" s="8">
        <f>I1978+I1979</f>
        <v>300</v>
      </c>
    </row>
    <row r="1981" spans="1:9" x14ac:dyDescent="0.3">
      <c r="A1981" s="4" t="s">
        <v>1806</v>
      </c>
    </row>
    <row r="1982" spans="1:9" x14ac:dyDescent="0.3">
      <c r="B1982" s="5" t="s">
        <v>1777</v>
      </c>
      <c r="C1982" s="5" t="s">
        <v>10</v>
      </c>
      <c r="D1982" s="5" t="s">
        <v>1807</v>
      </c>
      <c r="E1982" s="5" t="s">
        <v>1808</v>
      </c>
      <c r="F1982" s="5" t="s">
        <v>50</v>
      </c>
      <c r="G1982" s="5" t="s">
        <v>51</v>
      </c>
      <c r="H1982" s="6">
        <v>850</v>
      </c>
      <c r="I1982" s="5"/>
    </row>
    <row r="1983" spans="1:9" x14ac:dyDescent="0.3">
      <c r="B1983" s="5" t="s">
        <v>1777</v>
      </c>
      <c r="C1983" s="5" t="s">
        <v>10</v>
      </c>
      <c r="D1983" s="5" t="s">
        <v>1807</v>
      </c>
      <c r="E1983" s="5" t="s">
        <v>1808</v>
      </c>
      <c r="F1983" s="5" t="s">
        <v>1643</v>
      </c>
      <c r="G1983" s="5" t="s">
        <v>1644</v>
      </c>
      <c r="H1983" s="5"/>
      <c r="I1983" s="6">
        <v>850</v>
      </c>
    </row>
    <row r="1984" spans="1:9" x14ac:dyDescent="0.3">
      <c r="A1984" s="7" t="s">
        <v>1809</v>
      </c>
      <c r="H1984" s="8">
        <f>H1982+H1983</f>
        <v>850</v>
      </c>
      <c r="I1984" s="8">
        <f>I1982+I1983</f>
        <v>850</v>
      </c>
    </row>
    <row r="1985" spans="1:9" x14ac:dyDescent="0.3">
      <c r="A1985" s="4" t="s">
        <v>1810</v>
      </c>
    </row>
    <row r="1986" spans="1:9" x14ac:dyDescent="0.3">
      <c r="B1986" s="5" t="s">
        <v>1777</v>
      </c>
      <c r="C1986" s="5" t="s">
        <v>10</v>
      </c>
      <c r="D1986" s="5" t="s">
        <v>1811</v>
      </c>
      <c r="E1986" s="5" t="s">
        <v>1812</v>
      </c>
      <c r="F1986" s="5" t="s">
        <v>67</v>
      </c>
      <c r="G1986" s="5" t="s">
        <v>68</v>
      </c>
      <c r="H1986" s="6">
        <v>80</v>
      </c>
      <c r="I1986" s="5"/>
    </row>
    <row r="1987" spans="1:9" x14ac:dyDescent="0.3">
      <c r="B1987" s="5" t="s">
        <v>1777</v>
      </c>
      <c r="C1987" s="5" t="s">
        <v>10</v>
      </c>
      <c r="D1987" s="5" t="s">
        <v>1811</v>
      </c>
      <c r="E1987" s="5" t="s">
        <v>1812</v>
      </c>
      <c r="F1987" s="5" t="s">
        <v>1643</v>
      </c>
      <c r="G1987" s="5" t="s">
        <v>1644</v>
      </c>
      <c r="H1987" s="5"/>
      <c r="I1987" s="6">
        <v>80</v>
      </c>
    </row>
    <row r="1988" spans="1:9" x14ac:dyDescent="0.3">
      <c r="A1988" s="7" t="s">
        <v>1813</v>
      </c>
      <c r="H1988" s="8">
        <f>H1986+H1987</f>
        <v>80</v>
      </c>
      <c r="I1988" s="8">
        <f>I1986+I1987</f>
        <v>80</v>
      </c>
    </row>
    <row r="1989" spans="1:9" x14ac:dyDescent="0.3">
      <c r="A1989" s="4" t="s">
        <v>1814</v>
      </c>
    </row>
    <row r="1990" spans="1:9" x14ac:dyDescent="0.3">
      <c r="B1990" s="5" t="s">
        <v>1815</v>
      </c>
      <c r="C1990" s="5" t="s">
        <v>10</v>
      </c>
      <c r="D1990" s="5" t="s">
        <v>1816</v>
      </c>
      <c r="E1990" s="5" t="s">
        <v>1817</v>
      </c>
      <c r="F1990" s="5" t="s">
        <v>1643</v>
      </c>
      <c r="G1990" s="5" t="s">
        <v>1644</v>
      </c>
      <c r="H1990" s="6">
        <v>50000</v>
      </c>
      <c r="I1990" s="5"/>
    </row>
    <row r="1991" spans="1:9" x14ac:dyDescent="0.3">
      <c r="B1991" s="5" t="s">
        <v>1815</v>
      </c>
      <c r="C1991" s="5" t="s">
        <v>10</v>
      </c>
      <c r="D1991" s="5" t="s">
        <v>1816</v>
      </c>
      <c r="E1991" s="5" t="s">
        <v>1817</v>
      </c>
      <c r="F1991" s="5" t="s">
        <v>13</v>
      </c>
      <c r="G1991" s="5" t="s">
        <v>14</v>
      </c>
      <c r="H1991" s="5"/>
      <c r="I1991" s="6">
        <v>50000</v>
      </c>
    </row>
    <row r="1992" spans="1:9" x14ac:dyDescent="0.3">
      <c r="A1992" s="7" t="s">
        <v>1818</v>
      </c>
      <c r="H1992" s="8">
        <f>H1990+H1991</f>
        <v>50000</v>
      </c>
      <c r="I1992" s="8">
        <f>I1990+I1991</f>
        <v>50000</v>
      </c>
    </row>
    <row r="1993" spans="1:9" x14ac:dyDescent="0.3">
      <c r="A1993" s="4" t="s">
        <v>1819</v>
      </c>
    </row>
    <row r="1994" spans="1:9" x14ac:dyDescent="0.3">
      <c r="B1994" s="5" t="s">
        <v>1815</v>
      </c>
      <c r="C1994" s="5" t="s">
        <v>10</v>
      </c>
      <c r="D1994" s="5" t="s">
        <v>1820</v>
      </c>
      <c r="E1994" s="5" t="s">
        <v>1821</v>
      </c>
      <c r="F1994" s="5" t="s">
        <v>1022</v>
      </c>
      <c r="G1994" s="5" t="s">
        <v>1023</v>
      </c>
      <c r="H1994" s="6">
        <v>50000</v>
      </c>
      <c r="I1994" s="5"/>
    </row>
    <row r="1995" spans="1:9" x14ac:dyDescent="0.3">
      <c r="B1995" s="5" t="s">
        <v>1815</v>
      </c>
      <c r="C1995" s="5" t="s">
        <v>10</v>
      </c>
      <c r="D1995" s="5" t="s">
        <v>1820</v>
      </c>
      <c r="E1995" s="5" t="s">
        <v>1821</v>
      </c>
      <c r="F1995" s="5" t="s">
        <v>1643</v>
      </c>
      <c r="G1995" s="5" t="s">
        <v>1644</v>
      </c>
      <c r="H1995" s="5"/>
      <c r="I1995" s="6">
        <v>50000</v>
      </c>
    </row>
    <row r="1996" spans="1:9" x14ac:dyDescent="0.3">
      <c r="A1996" s="7" t="s">
        <v>1822</v>
      </c>
      <c r="H1996" s="8">
        <f>H1994+H1995</f>
        <v>50000</v>
      </c>
      <c r="I1996" s="8">
        <f>I1994+I1995</f>
        <v>50000</v>
      </c>
    </row>
    <row r="1997" spans="1:9" x14ac:dyDescent="0.3">
      <c r="A1997" s="4" t="s">
        <v>1823</v>
      </c>
    </row>
    <row r="1998" spans="1:9" x14ac:dyDescent="0.3">
      <c r="B1998" s="5" t="s">
        <v>1824</v>
      </c>
      <c r="C1998" s="5" t="s">
        <v>10</v>
      </c>
      <c r="D1998" s="5" t="s">
        <v>1825</v>
      </c>
      <c r="E1998" s="5" t="s">
        <v>1634</v>
      </c>
      <c r="F1998" s="5" t="s">
        <v>116</v>
      </c>
      <c r="G1998" s="5" t="s">
        <v>117</v>
      </c>
      <c r="H1998" s="6">
        <v>500</v>
      </c>
      <c r="I1998" s="5"/>
    </row>
    <row r="1999" spans="1:9" x14ac:dyDescent="0.3">
      <c r="B1999" s="5" t="s">
        <v>1824</v>
      </c>
      <c r="C1999" s="5" t="s">
        <v>10</v>
      </c>
      <c r="D1999" s="5" t="s">
        <v>1825</v>
      </c>
      <c r="E1999" s="5" t="s">
        <v>1634</v>
      </c>
      <c r="F1999" s="5" t="s">
        <v>1643</v>
      </c>
      <c r="G1999" s="5" t="s">
        <v>1644</v>
      </c>
      <c r="H1999" s="5"/>
      <c r="I1999" s="6">
        <v>500</v>
      </c>
    </row>
    <row r="2000" spans="1:9" x14ac:dyDescent="0.3">
      <c r="B2000" s="5" t="s">
        <v>1824</v>
      </c>
      <c r="C2000" s="5" t="s">
        <v>10</v>
      </c>
      <c r="D2000" s="5" t="s">
        <v>1825</v>
      </c>
      <c r="E2000" s="5" t="s">
        <v>624</v>
      </c>
      <c r="F2000" s="5" t="s">
        <v>61</v>
      </c>
      <c r="G2000" s="5" t="s">
        <v>62</v>
      </c>
      <c r="H2000" s="6">
        <v>300</v>
      </c>
      <c r="I2000" s="5"/>
    </row>
    <row r="2001" spans="1:9" x14ac:dyDescent="0.3">
      <c r="B2001" s="5" t="s">
        <v>1824</v>
      </c>
      <c r="C2001" s="5" t="s">
        <v>10</v>
      </c>
      <c r="D2001" s="5" t="s">
        <v>1825</v>
      </c>
      <c r="E2001" s="5" t="s">
        <v>624</v>
      </c>
      <c r="F2001" s="5" t="s">
        <v>1643</v>
      </c>
      <c r="G2001" s="5" t="s">
        <v>1644</v>
      </c>
      <c r="H2001" s="5"/>
      <c r="I2001" s="6">
        <v>300</v>
      </c>
    </row>
    <row r="2002" spans="1:9" x14ac:dyDescent="0.3">
      <c r="A2002" s="7" t="s">
        <v>1826</v>
      </c>
      <c r="H2002" s="8">
        <f>H1998+H1999+H2000+H2001</f>
        <v>800</v>
      </c>
      <c r="I2002" s="8">
        <f>I1998+I1999+I2000+I2001</f>
        <v>800</v>
      </c>
    </row>
    <row r="2003" spans="1:9" x14ac:dyDescent="0.3">
      <c r="A2003" s="4" t="s">
        <v>1827</v>
      </c>
    </row>
    <row r="2004" spans="1:9" x14ac:dyDescent="0.3">
      <c r="B2004" s="5" t="s">
        <v>1824</v>
      </c>
      <c r="C2004" s="5" t="s">
        <v>10</v>
      </c>
      <c r="D2004" s="5" t="s">
        <v>1828</v>
      </c>
      <c r="E2004" s="5" t="s">
        <v>1829</v>
      </c>
      <c r="F2004" s="5" t="s">
        <v>61</v>
      </c>
      <c r="G2004" s="5" t="s">
        <v>62</v>
      </c>
      <c r="H2004" s="6">
        <v>310</v>
      </c>
      <c r="I2004" s="5"/>
    </row>
    <row r="2005" spans="1:9" x14ac:dyDescent="0.3">
      <c r="B2005" s="5" t="s">
        <v>1824</v>
      </c>
      <c r="C2005" s="5" t="s">
        <v>10</v>
      </c>
      <c r="D2005" s="5" t="s">
        <v>1828</v>
      </c>
      <c r="E2005" s="5" t="s">
        <v>1829</v>
      </c>
      <c r="F2005" s="5" t="s">
        <v>1643</v>
      </c>
      <c r="G2005" s="5" t="s">
        <v>1644</v>
      </c>
      <c r="H2005" s="5"/>
      <c r="I2005" s="6">
        <v>310</v>
      </c>
    </row>
    <row r="2006" spans="1:9" x14ac:dyDescent="0.3">
      <c r="A2006" s="7" t="s">
        <v>1830</v>
      </c>
      <c r="H2006" s="8">
        <f>H2004+H2005</f>
        <v>310</v>
      </c>
      <c r="I2006" s="8">
        <f>I2004+I2005</f>
        <v>310</v>
      </c>
    </row>
    <row r="2007" spans="1:9" x14ac:dyDescent="0.3">
      <c r="A2007" s="4" t="s">
        <v>1831</v>
      </c>
    </row>
    <row r="2008" spans="1:9" ht="21.6" x14ac:dyDescent="0.3">
      <c r="B2008" s="5" t="s">
        <v>1824</v>
      </c>
      <c r="C2008" s="5" t="s">
        <v>10</v>
      </c>
      <c r="D2008" s="5" t="s">
        <v>1832</v>
      </c>
      <c r="E2008" s="5" t="s">
        <v>1833</v>
      </c>
      <c r="F2008" s="5" t="s">
        <v>1643</v>
      </c>
      <c r="G2008" s="5" t="s">
        <v>1644</v>
      </c>
      <c r="H2008" s="6">
        <v>45000</v>
      </c>
      <c r="I2008" s="5"/>
    </row>
    <row r="2009" spans="1:9" ht="21.6" x14ac:dyDescent="0.3">
      <c r="B2009" s="5" t="s">
        <v>1824</v>
      </c>
      <c r="C2009" s="5" t="s">
        <v>10</v>
      </c>
      <c r="D2009" s="5" t="s">
        <v>1832</v>
      </c>
      <c r="E2009" s="5" t="s">
        <v>1833</v>
      </c>
      <c r="F2009" s="5" t="s">
        <v>13</v>
      </c>
      <c r="G2009" s="5" t="s">
        <v>14</v>
      </c>
      <c r="H2009" s="5"/>
      <c r="I2009" s="6">
        <v>45000</v>
      </c>
    </row>
    <row r="2010" spans="1:9" x14ac:dyDescent="0.3">
      <c r="A2010" s="7" t="s">
        <v>1834</v>
      </c>
      <c r="H2010" s="8">
        <f>H2008+H2009</f>
        <v>45000</v>
      </c>
      <c r="I2010" s="8">
        <f>I2008+I2009</f>
        <v>45000</v>
      </c>
    </row>
    <row r="2011" spans="1:9" x14ac:dyDescent="0.3">
      <c r="A2011" s="4" t="s">
        <v>1835</v>
      </c>
    </row>
    <row r="2012" spans="1:9" x14ac:dyDescent="0.3">
      <c r="B2012" s="5" t="s">
        <v>1824</v>
      </c>
      <c r="C2012" s="5" t="s">
        <v>10</v>
      </c>
      <c r="D2012" s="5" t="s">
        <v>1836</v>
      </c>
      <c r="E2012" s="5" t="s">
        <v>1837</v>
      </c>
      <c r="F2012" s="5" t="s">
        <v>87</v>
      </c>
      <c r="G2012" s="5" t="s">
        <v>88</v>
      </c>
      <c r="H2012" s="6">
        <v>20000</v>
      </c>
      <c r="I2012" s="5"/>
    </row>
    <row r="2013" spans="1:9" x14ac:dyDescent="0.3">
      <c r="B2013" s="5" t="s">
        <v>1824</v>
      </c>
      <c r="C2013" s="5" t="s">
        <v>10</v>
      </c>
      <c r="D2013" s="5" t="s">
        <v>1836</v>
      </c>
      <c r="E2013" s="5" t="s">
        <v>1837</v>
      </c>
      <c r="F2013" s="5" t="s">
        <v>1643</v>
      </c>
      <c r="G2013" s="5" t="s">
        <v>1644</v>
      </c>
      <c r="H2013" s="5"/>
      <c r="I2013" s="6">
        <v>20000</v>
      </c>
    </row>
    <row r="2014" spans="1:9" x14ac:dyDescent="0.3">
      <c r="A2014" s="7" t="s">
        <v>1838</v>
      </c>
      <c r="H2014" s="8">
        <f>H2012+H2013</f>
        <v>20000</v>
      </c>
      <c r="I2014" s="8">
        <f>I2012+I2013</f>
        <v>20000</v>
      </c>
    </row>
    <row r="2015" spans="1:9" x14ac:dyDescent="0.3">
      <c r="A2015" s="4" t="s">
        <v>1839</v>
      </c>
    </row>
    <row r="2016" spans="1:9" x14ac:dyDescent="0.3">
      <c r="B2016" s="5" t="s">
        <v>1824</v>
      </c>
      <c r="C2016" s="5" t="s">
        <v>10</v>
      </c>
      <c r="D2016" s="5" t="s">
        <v>1840</v>
      </c>
      <c r="E2016" s="5" t="s">
        <v>1841</v>
      </c>
      <c r="F2016" s="5" t="s">
        <v>441</v>
      </c>
      <c r="G2016" s="5" t="s">
        <v>442</v>
      </c>
      <c r="H2016" s="6">
        <v>24000</v>
      </c>
      <c r="I2016" s="5"/>
    </row>
    <row r="2017" spans="1:9" x14ac:dyDescent="0.3">
      <c r="B2017" s="5" t="s">
        <v>1824</v>
      </c>
      <c r="C2017" s="5" t="s">
        <v>10</v>
      </c>
      <c r="D2017" s="5" t="s">
        <v>1840</v>
      </c>
      <c r="E2017" s="5" t="s">
        <v>1841</v>
      </c>
      <c r="F2017" s="5" t="s">
        <v>1643</v>
      </c>
      <c r="G2017" s="5" t="s">
        <v>1644</v>
      </c>
      <c r="H2017" s="5"/>
      <c r="I2017" s="6">
        <v>24000</v>
      </c>
    </row>
    <row r="2018" spans="1:9" x14ac:dyDescent="0.3">
      <c r="A2018" s="7" t="s">
        <v>1842</v>
      </c>
      <c r="H2018" s="8">
        <f>H2016+H2017</f>
        <v>24000</v>
      </c>
      <c r="I2018" s="8">
        <f>I2016+I2017</f>
        <v>24000</v>
      </c>
    </row>
    <row r="2019" spans="1:9" x14ac:dyDescent="0.3">
      <c r="A2019" s="4" t="s">
        <v>1843</v>
      </c>
    </row>
    <row r="2020" spans="1:9" x14ac:dyDescent="0.3">
      <c r="B2020" s="5" t="s">
        <v>1824</v>
      </c>
      <c r="C2020" s="5" t="s">
        <v>10</v>
      </c>
      <c r="D2020" s="5" t="s">
        <v>1844</v>
      </c>
      <c r="E2020" s="5" t="s">
        <v>1486</v>
      </c>
      <c r="F2020" s="5" t="s">
        <v>549</v>
      </c>
      <c r="G2020" s="5" t="s">
        <v>550</v>
      </c>
      <c r="H2020" s="6">
        <v>1000</v>
      </c>
      <c r="I2020" s="5"/>
    </row>
    <row r="2021" spans="1:9" x14ac:dyDescent="0.3">
      <c r="B2021" s="5" t="s">
        <v>1824</v>
      </c>
      <c r="C2021" s="5" t="s">
        <v>10</v>
      </c>
      <c r="D2021" s="5" t="s">
        <v>1844</v>
      </c>
      <c r="E2021" s="5" t="s">
        <v>1486</v>
      </c>
      <c r="F2021" s="5" t="s">
        <v>1643</v>
      </c>
      <c r="G2021" s="5" t="s">
        <v>1644</v>
      </c>
      <c r="H2021" s="5"/>
      <c r="I2021" s="6">
        <v>1000</v>
      </c>
    </row>
    <row r="2022" spans="1:9" x14ac:dyDescent="0.3">
      <c r="A2022" s="7" t="s">
        <v>1845</v>
      </c>
      <c r="H2022" s="8">
        <f>H2020+H2021</f>
        <v>1000</v>
      </c>
      <c r="I2022" s="8">
        <f>I2020+I2021</f>
        <v>1000</v>
      </c>
    </row>
    <row r="2023" spans="1:9" x14ac:dyDescent="0.3">
      <c r="A2023" s="4" t="s">
        <v>1846</v>
      </c>
    </row>
    <row r="2024" spans="1:9" x14ac:dyDescent="0.3">
      <c r="B2024" s="5" t="s">
        <v>1824</v>
      </c>
      <c r="C2024" s="5" t="s">
        <v>10</v>
      </c>
      <c r="D2024" s="5" t="s">
        <v>1847</v>
      </c>
      <c r="E2024" s="5" t="s">
        <v>1848</v>
      </c>
      <c r="F2024" s="5" t="s">
        <v>67</v>
      </c>
      <c r="G2024" s="5" t="s">
        <v>68</v>
      </c>
      <c r="H2024" s="6">
        <v>220</v>
      </c>
      <c r="I2024" s="5"/>
    </row>
    <row r="2025" spans="1:9" x14ac:dyDescent="0.3">
      <c r="B2025" s="5" t="s">
        <v>1824</v>
      </c>
      <c r="C2025" s="5" t="s">
        <v>10</v>
      </c>
      <c r="D2025" s="5" t="s">
        <v>1847</v>
      </c>
      <c r="E2025" s="5" t="s">
        <v>1848</v>
      </c>
      <c r="F2025" s="5" t="s">
        <v>1643</v>
      </c>
      <c r="G2025" s="5" t="s">
        <v>1644</v>
      </c>
      <c r="H2025" s="5"/>
      <c r="I2025" s="6">
        <v>220</v>
      </c>
    </row>
    <row r="2026" spans="1:9" x14ac:dyDescent="0.3">
      <c r="A2026" s="7" t="s">
        <v>1849</v>
      </c>
      <c r="H2026" s="8">
        <f>H2024+H2025</f>
        <v>220</v>
      </c>
      <c r="I2026" s="8">
        <f>I2024+I2025</f>
        <v>220</v>
      </c>
    </row>
    <row r="2027" spans="1:9" x14ac:dyDescent="0.3">
      <c r="A2027" s="4" t="s">
        <v>1850</v>
      </c>
    </row>
    <row r="2028" spans="1:9" x14ac:dyDescent="0.3">
      <c r="B2028" s="5" t="s">
        <v>1851</v>
      </c>
      <c r="C2028" s="5" t="s">
        <v>10</v>
      </c>
      <c r="D2028" s="5" t="s">
        <v>1852</v>
      </c>
      <c r="E2028" s="5" t="s">
        <v>1853</v>
      </c>
      <c r="F2028" s="5" t="s">
        <v>1643</v>
      </c>
      <c r="G2028" s="5" t="s">
        <v>1644</v>
      </c>
      <c r="H2028" s="6">
        <v>15000</v>
      </c>
      <c r="I2028" s="5"/>
    </row>
    <row r="2029" spans="1:9" x14ac:dyDescent="0.3">
      <c r="B2029" s="5" t="s">
        <v>1851</v>
      </c>
      <c r="C2029" s="5" t="s">
        <v>10</v>
      </c>
      <c r="D2029" s="5" t="s">
        <v>1852</v>
      </c>
      <c r="E2029" s="5" t="s">
        <v>1853</v>
      </c>
      <c r="F2029" s="5" t="s">
        <v>13</v>
      </c>
      <c r="G2029" s="5" t="s">
        <v>14</v>
      </c>
      <c r="H2029" s="5"/>
      <c r="I2029" s="6">
        <v>15000</v>
      </c>
    </row>
    <row r="2030" spans="1:9" x14ac:dyDescent="0.3">
      <c r="A2030" s="7" t="s">
        <v>1854</v>
      </c>
      <c r="H2030" s="8">
        <f>H2028+H2029</f>
        <v>15000</v>
      </c>
      <c r="I2030" s="8">
        <f>I2028+I2029</f>
        <v>15000</v>
      </c>
    </row>
    <row r="2031" spans="1:9" x14ac:dyDescent="0.3">
      <c r="A2031" s="4" t="s">
        <v>1855</v>
      </c>
    </row>
    <row r="2032" spans="1:9" x14ac:dyDescent="0.3">
      <c r="B2032" s="5" t="s">
        <v>1851</v>
      </c>
      <c r="C2032" s="5" t="s">
        <v>10</v>
      </c>
      <c r="D2032" s="5" t="s">
        <v>1856</v>
      </c>
      <c r="E2032" s="5" t="s">
        <v>1857</v>
      </c>
      <c r="F2032" s="5" t="s">
        <v>67</v>
      </c>
      <c r="G2032" s="5" t="s">
        <v>68</v>
      </c>
      <c r="H2032" s="6">
        <v>100</v>
      </c>
      <c r="I2032" s="5"/>
    </row>
    <row r="2033" spans="1:9" x14ac:dyDescent="0.3">
      <c r="B2033" s="5" t="s">
        <v>1851</v>
      </c>
      <c r="C2033" s="5" t="s">
        <v>10</v>
      </c>
      <c r="D2033" s="5" t="s">
        <v>1856</v>
      </c>
      <c r="E2033" s="5" t="s">
        <v>1857</v>
      </c>
      <c r="F2033" s="5" t="s">
        <v>1643</v>
      </c>
      <c r="G2033" s="5" t="s">
        <v>1644</v>
      </c>
      <c r="H2033" s="5"/>
      <c r="I2033" s="6">
        <v>100</v>
      </c>
    </row>
    <row r="2034" spans="1:9" x14ac:dyDescent="0.3">
      <c r="A2034" s="7" t="s">
        <v>1858</v>
      </c>
      <c r="H2034" s="8">
        <f>H2032+H2033</f>
        <v>100</v>
      </c>
      <c r="I2034" s="8">
        <f>I2032+I2033</f>
        <v>100</v>
      </c>
    </row>
    <row r="2035" spans="1:9" x14ac:dyDescent="0.3">
      <c r="A2035" s="4" t="s">
        <v>1859</v>
      </c>
    </row>
    <row r="2036" spans="1:9" x14ac:dyDescent="0.3">
      <c r="B2036" s="5" t="s">
        <v>1851</v>
      </c>
      <c r="C2036" s="5" t="s">
        <v>10</v>
      </c>
      <c r="D2036" s="5" t="s">
        <v>1860</v>
      </c>
      <c r="E2036" s="5" t="s">
        <v>1861</v>
      </c>
      <c r="F2036" s="5" t="s">
        <v>67</v>
      </c>
      <c r="G2036" s="5" t="s">
        <v>68</v>
      </c>
      <c r="H2036" s="6">
        <v>40</v>
      </c>
      <c r="I2036" s="5"/>
    </row>
    <row r="2037" spans="1:9" x14ac:dyDescent="0.3">
      <c r="B2037" s="5" t="s">
        <v>1851</v>
      </c>
      <c r="C2037" s="5" t="s">
        <v>10</v>
      </c>
      <c r="D2037" s="5" t="s">
        <v>1860</v>
      </c>
      <c r="E2037" s="5" t="s">
        <v>1861</v>
      </c>
      <c r="F2037" s="5" t="s">
        <v>1643</v>
      </c>
      <c r="G2037" s="5" t="s">
        <v>1644</v>
      </c>
      <c r="H2037" s="5"/>
      <c r="I2037" s="6">
        <v>40</v>
      </c>
    </row>
    <row r="2038" spans="1:9" x14ac:dyDescent="0.3">
      <c r="A2038" s="7" t="s">
        <v>1862</v>
      </c>
      <c r="H2038" s="8">
        <f>H2036+H2037</f>
        <v>40</v>
      </c>
      <c r="I2038" s="8">
        <f>I2036+I2037</f>
        <v>40</v>
      </c>
    </row>
    <row r="2039" spans="1:9" x14ac:dyDescent="0.3">
      <c r="A2039" s="4" t="s">
        <v>1863</v>
      </c>
    </row>
    <row r="2040" spans="1:9" x14ac:dyDescent="0.3">
      <c r="B2040" s="5" t="s">
        <v>1851</v>
      </c>
      <c r="C2040" s="5" t="s">
        <v>10</v>
      </c>
      <c r="D2040" s="5" t="s">
        <v>1864</v>
      </c>
      <c r="E2040" s="5" t="s">
        <v>533</v>
      </c>
      <c r="F2040" s="5" t="s">
        <v>61</v>
      </c>
      <c r="G2040" s="5" t="s">
        <v>62</v>
      </c>
      <c r="H2040" s="6">
        <v>490</v>
      </c>
      <c r="I2040" s="5"/>
    </row>
    <row r="2041" spans="1:9" x14ac:dyDescent="0.3">
      <c r="B2041" s="5" t="s">
        <v>1851</v>
      </c>
      <c r="C2041" s="5" t="s">
        <v>10</v>
      </c>
      <c r="D2041" s="5" t="s">
        <v>1864</v>
      </c>
      <c r="E2041" s="5" t="s">
        <v>533</v>
      </c>
      <c r="F2041" s="5" t="s">
        <v>1643</v>
      </c>
      <c r="G2041" s="5" t="s">
        <v>1644</v>
      </c>
      <c r="H2041" s="5"/>
      <c r="I2041" s="6">
        <v>490</v>
      </c>
    </row>
    <row r="2042" spans="1:9" x14ac:dyDescent="0.3">
      <c r="A2042" s="7" t="s">
        <v>1865</v>
      </c>
      <c r="H2042" s="8">
        <f>H2040+H2041</f>
        <v>490</v>
      </c>
      <c r="I2042" s="8">
        <f>I2040+I2041</f>
        <v>490</v>
      </c>
    </row>
    <row r="2043" spans="1:9" x14ac:dyDescent="0.3">
      <c r="A2043" s="4" t="s">
        <v>1866</v>
      </c>
    </row>
    <row r="2044" spans="1:9" x14ac:dyDescent="0.3">
      <c r="B2044" s="5" t="s">
        <v>1851</v>
      </c>
      <c r="C2044" s="5" t="s">
        <v>10</v>
      </c>
      <c r="D2044" s="5" t="s">
        <v>1867</v>
      </c>
      <c r="E2044" s="5" t="s">
        <v>1868</v>
      </c>
      <c r="F2044" s="5" t="s">
        <v>67</v>
      </c>
      <c r="G2044" s="5" t="s">
        <v>68</v>
      </c>
      <c r="H2044" s="6">
        <v>350</v>
      </c>
      <c r="I2044" s="5"/>
    </row>
    <row r="2045" spans="1:9" x14ac:dyDescent="0.3">
      <c r="B2045" s="5" t="s">
        <v>1851</v>
      </c>
      <c r="C2045" s="5" t="s">
        <v>10</v>
      </c>
      <c r="D2045" s="5" t="s">
        <v>1867</v>
      </c>
      <c r="E2045" s="5" t="s">
        <v>1868</v>
      </c>
      <c r="F2045" s="5" t="s">
        <v>1643</v>
      </c>
      <c r="G2045" s="5" t="s">
        <v>1644</v>
      </c>
      <c r="H2045" s="5"/>
      <c r="I2045" s="6">
        <v>350</v>
      </c>
    </row>
    <row r="2046" spans="1:9" x14ac:dyDescent="0.3">
      <c r="A2046" s="7" t="s">
        <v>1869</v>
      </c>
      <c r="H2046" s="8">
        <f>H2044+H2045</f>
        <v>350</v>
      </c>
      <c r="I2046" s="8">
        <f>I2044+I2045</f>
        <v>350</v>
      </c>
    </row>
    <row r="2047" spans="1:9" x14ac:dyDescent="0.3">
      <c r="A2047" s="4" t="s">
        <v>1870</v>
      </c>
    </row>
    <row r="2048" spans="1:9" x14ac:dyDescent="0.3">
      <c r="B2048" s="5" t="s">
        <v>1871</v>
      </c>
      <c r="C2048" s="5" t="s">
        <v>10</v>
      </c>
      <c r="D2048" s="5" t="s">
        <v>1872</v>
      </c>
      <c r="E2048" s="5" t="s">
        <v>1873</v>
      </c>
      <c r="F2048" s="5" t="s">
        <v>116</v>
      </c>
      <c r="G2048" s="5" t="s">
        <v>117</v>
      </c>
      <c r="H2048" s="6">
        <v>500</v>
      </c>
      <c r="I2048" s="5"/>
    </row>
    <row r="2049" spans="1:9" x14ac:dyDescent="0.3">
      <c r="B2049" s="5" t="s">
        <v>1871</v>
      </c>
      <c r="C2049" s="5" t="s">
        <v>10</v>
      </c>
      <c r="D2049" s="5" t="s">
        <v>1872</v>
      </c>
      <c r="E2049" s="5" t="s">
        <v>1873</v>
      </c>
      <c r="F2049" s="5" t="s">
        <v>1643</v>
      </c>
      <c r="G2049" s="5" t="s">
        <v>1644</v>
      </c>
      <c r="H2049" s="5"/>
      <c r="I2049" s="6">
        <v>500</v>
      </c>
    </row>
    <row r="2050" spans="1:9" x14ac:dyDescent="0.3">
      <c r="A2050" s="7" t="s">
        <v>1874</v>
      </c>
      <c r="H2050" s="8">
        <f>H2048+H2049</f>
        <v>500</v>
      </c>
      <c r="I2050" s="8">
        <f>I2048+I2049</f>
        <v>500</v>
      </c>
    </row>
    <row r="2051" spans="1:9" x14ac:dyDescent="0.3">
      <c r="A2051" s="4" t="s">
        <v>1875</v>
      </c>
    </row>
    <row r="2052" spans="1:9" x14ac:dyDescent="0.3">
      <c r="B2052" s="5" t="s">
        <v>1871</v>
      </c>
      <c r="C2052" s="5" t="s">
        <v>10</v>
      </c>
      <c r="D2052" s="5" t="s">
        <v>1876</v>
      </c>
      <c r="E2052" s="5" t="s">
        <v>1877</v>
      </c>
      <c r="F2052" s="5" t="s">
        <v>61</v>
      </c>
      <c r="G2052" s="5" t="s">
        <v>62</v>
      </c>
      <c r="H2052" s="6">
        <v>500</v>
      </c>
      <c r="I2052" s="5"/>
    </row>
    <row r="2053" spans="1:9" x14ac:dyDescent="0.3">
      <c r="B2053" s="5" t="s">
        <v>1871</v>
      </c>
      <c r="C2053" s="5" t="s">
        <v>10</v>
      </c>
      <c r="D2053" s="5" t="s">
        <v>1876</v>
      </c>
      <c r="E2053" s="5" t="s">
        <v>1877</v>
      </c>
      <c r="F2053" s="5" t="s">
        <v>1643</v>
      </c>
      <c r="G2053" s="5" t="s">
        <v>1644</v>
      </c>
      <c r="H2053" s="5"/>
      <c r="I2053" s="6">
        <v>500</v>
      </c>
    </row>
    <row r="2054" spans="1:9" x14ac:dyDescent="0.3">
      <c r="A2054" s="7" t="s">
        <v>1878</v>
      </c>
      <c r="H2054" s="8">
        <f>H2052+H2053</f>
        <v>500</v>
      </c>
      <c r="I2054" s="8">
        <f>I2052+I2053</f>
        <v>500</v>
      </c>
    </row>
    <row r="2055" spans="1:9" x14ac:dyDescent="0.3">
      <c r="A2055" s="4" t="s">
        <v>1879</v>
      </c>
    </row>
    <row r="2056" spans="1:9" x14ac:dyDescent="0.3">
      <c r="B2056" s="5" t="s">
        <v>1871</v>
      </c>
      <c r="C2056" s="5" t="s">
        <v>10</v>
      </c>
      <c r="D2056" s="5" t="s">
        <v>1880</v>
      </c>
      <c r="E2056" s="5" t="s">
        <v>1881</v>
      </c>
      <c r="F2056" s="5" t="s">
        <v>129</v>
      </c>
      <c r="G2056" s="5" t="s">
        <v>130</v>
      </c>
      <c r="H2056" s="6">
        <v>240</v>
      </c>
      <c r="I2056" s="5"/>
    </row>
    <row r="2057" spans="1:9" x14ac:dyDescent="0.3">
      <c r="B2057" s="5" t="s">
        <v>1871</v>
      </c>
      <c r="C2057" s="5" t="s">
        <v>10</v>
      </c>
      <c r="D2057" s="5" t="s">
        <v>1880</v>
      </c>
      <c r="E2057" s="5" t="s">
        <v>1881</v>
      </c>
      <c r="F2057" s="5" t="s">
        <v>1643</v>
      </c>
      <c r="G2057" s="5" t="s">
        <v>1644</v>
      </c>
      <c r="H2057" s="5"/>
      <c r="I2057" s="6">
        <v>240</v>
      </c>
    </row>
    <row r="2058" spans="1:9" x14ac:dyDescent="0.3">
      <c r="A2058" s="7" t="s">
        <v>1882</v>
      </c>
      <c r="H2058" s="8">
        <f>H2056+H2057</f>
        <v>240</v>
      </c>
      <c r="I2058" s="8">
        <f>I2056+I2057</f>
        <v>240</v>
      </c>
    </row>
    <row r="2059" spans="1:9" x14ac:dyDescent="0.3">
      <c r="A2059" s="4" t="s">
        <v>1883</v>
      </c>
    </row>
    <row r="2060" spans="1:9" x14ac:dyDescent="0.3">
      <c r="B2060" s="5" t="s">
        <v>1871</v>
      </c>
      <c r="C2060" s="5" t="s">
        <v>10</v>
      </c>
      <c r="D2060" s="5" t="s">
        <v>1884</v>
      </c>
      <c r="E2060" s="5" t="s">
        <v>1885</v>
      </c>
      <c r="F2060" s="5" t="s">
        <v>35</v>
      </c>
      <c r="G2060" s="5" t="s">
        <v>36</v>
      </c>
      <c r="H2060" s="6">
        <v>50</v>
      </c>
      <c r="I2060" s="5"/>
    </row>
    <row r="2061" spans="1:9" x14ac:dyDescent="0.3">
      <c r="B2061" s="5" t="s">
        <v>1871</v>
      </c>
      <c r="C2061" s="5" t="s">
        <v>10</v>
      </c>
      <c r="D2061" s="5" t="s">
        <v>1884</v>
      </c>
      <c r="E2061" s="5" t="s">
        <v>1886</v>
      </c>
      <c r="F2061" s="5" t="s">
        <v>67</v>
      </c>
      <c r="G2061" s="5" t="s">
        <v>68</v>
      </c>
      <c r="H2061" s="6">
        <v>200</v>
      </c>
      <c r="I2061" s="5"/>
    </row>
    <row r="2062" spans="1:9" x14ac:dyDescent="0.3">
      <c r="B2062" s="5" t="s">
        <v>1871</v>
      </c>
      <c r="C2062" s="5" t="s">
        <v>10</v>
      </c>
      <c r="D2062" s="5" t="s">
        <v>1884</v>
      </c>
      <c r="E2062" s="5" t="s">
        <v>1887</v>
      </c>
      <c r="F2062" s="5" t="s">
        <v>1643</v>
      </c>
      <c r="G2062" s="5" t="s">
        <v>1644</v>
      </c>
      <c r="H2062" s="5"/>
      <c r="I2062" s="6">
        <v>250</v>
      </c>
    </row>
    <row r="2063" spans="1:9" x14ac:dyDescent="0.3">
      <c r="A2063" s="7" t="s">
        <v>1888</v>
      </c>
      <c r="H2063" s="8">
        <f>H2060+H2061+H2062</f>
        <v>250</v>
      </c>
      <c r="I2063" s="8">
        <f>I2060+I2061+I2062</f>
        <v>250</v>
      </c>
    </row>
    <row r="2064" spans="1:9" x14ac:dyDescent="0.3">
      <c r="A2064" s="4" t="s">
        <v>1889</v>
      </c>
    </row>
    <row r="2065" spans="1:9" x14ac:dyDescent="0.3">
      <c r="B2065" s="5" t="s">
        <v>1871</v>
      </c>
      <c r="C2065" s="5" t="s">
        <v>10</v>
      </c>
      <c r="D2065" s="5" t="s">
        <v>1890</v>
      </c>
      <c r="E2065" s="5" t="s">
        <v>1891</v>
      </c>
      <c r="F2065" s="5" t="s">
        <v>67</v>
      </c>
      <c r="G2065" s="5" t="s">
        <v>68</v>
      </c>
      <c r="H2065" s="6">
        <v>60</v>
      </c>
      <c r="I2065" s="5"/>
    </row>
    <row r="2066" spans="1:9" x14ac:dyDescent="0.3">
      <c r="B2066" s="5" t="s">
        <v>1871</v>
      </c>
      <c r="C2066" s="5" t="s">
        <v>10</v>
      </c>
      <c r="D2066" s="5" t="s">
        <v>1890</v>
      </c>
      <c r="E2066" s="5" t="s">
        <v>1891</v>
      </c>
      <c r="F2066" s="5" t="s">
        <v>1643</v>
      </c>
      <c r="G2066" s="5" t="s">
        <v>1644</v>
      </c>
      <c r="H2066" s="5"/>
      <c r="I2066" s="6">
        <v>60</v>
      </c>
    </row>
    <row r="2067" spans="1:9" x14ac:dyDescent="0.3">
      <c r="A2067" s="7" t="s">
        <v>1892</v>
      </c>
      <c r="H2067" s="8">
        <f>H2065+H2066</f>
        <v>60</v>
      </c>
      <c r="I2067" s="8">
        <f>I2065+I2066</f>
        <v>60</v>
      </c>
    </row>
    <row r="2068" spans="1:9" x14ac:dyDescent="0.3">
      <c r="A2068" s="4" t="s">
        <v>1893</v>
      </c>
    </row>
    <row r="2069" spans="1:9" x14ac:dyDescent="0.3">
      <c r="B2069" s="5" t="s">
        <v>1894</v>
      </c>
      <c r="C2069" s="5" t="s">
        <v>10</v>
      </c>
      <c r="D2069" s="5" t="s">
        <v>1895</v>
      </c>
      <c r="E2069" s="5" t="s">
        <v>1896</v>
      </c>
      <c r="F2069" s="5" t="s">
        <v>61</v>
      </c>
      <c r="G2069" s="5" t="s">
        <v>62</v>
      </c>
      <c r="H2069" s="6">
        <v>480</v>
      </c>
      <c r="I2069" s="5"/>
    </row>
    <row r="2070" spans="1:9" x14ac:dyDescent="0.3">
      <c r="B2070" s="5" t="s">
        <v>1894</v>
      </c>
      <c r="C2070" s="5" t="s">
        <v>10</v>
      </c>
      <c r="D2070" s="5" t="s">
        <v>1895</v>
      </c>
      <c r="E2070" s="5" t="s">
        <v>1896</v>
      </c>
      <c r="F2070" s="5" t="s">
        <v>1643</v>
      </c>
      <c r="G2070" s="5" t="s">
        <v>1644</v>
      </c>
      <c r="H2070" s="5"/>
      <c r="I2070" s="6">
        <v>480</v>
      </c>
    </row>
    <row r="2071" spans="1:9" x14ac:dyDescent="0.3">
      <c r="A2071" s="7" t="s">
        <v>1897</v>
      </c>
      <c r="H2071" s="8">
        <f>H2069+H2070</f>
        <v>480</v>
      </c>
      <c r="I2071" s="8">
        <f>I2069+I2070</f>
        <v>480</v>
      </c>
    </row>
    <row r="2072" spans="1:9" x14ac:dyDescent="0.3">
      <c r="A2072" s="4" t="s">
        <v>1898</v>
      </c>
    </row>
    <row r="2073" spans="1:9" x14ac:dyDescent="0.3">
      <c r="B2073" s="5" t="s">
        <v>1894</v>
      </c>
      <c r="C2073" s="5" t="s">
        <v>10</v>
      </c>
      <c r="D2073" s="5" t="s">
        <v>1899</v>
      </c>
      <c r="E2073" s="5" t="s">
        <v>1900</v>
      </c>
      <c r="F2073" s="5" t="s">
        <v>67</v>
      </c>
      <c r="G2073" s="5" t="s">
        <v>68</v>
      </c>
      <c r="H2073" s="6">
        <v>80</v>
      </c>
      <c r="I2073" s="5"/>
    </row>
    <row r="2074" spans="1:9" x14ac:dyDescent="0.3">
      <c r="B2074" s="5" t="s">
        <v>1894</v>
      </c>
      <c r="C2074" s="5" t="s">
        <v>10</v>
      </c>
      <c r="D2074" s="5" t="s">
        <v>1899</v>
      </c>
      <c r="E2074" s="5" t="s">
        <v>1900</v>
      </c>
      <c r="F2074" s="5" t="s">
        <v>1643</v>
      </c>
      <c r="G2074" s="5" t="s">
        <v>1644</v>
      </c>
      <c r="H2074" s="5"/>
      <c r="I2074" s="6">
        <v>80</v>
      </c>
    </row>
    <row r="2075" spans="1:9" x14ac:dyDescent="0.3">
      <c r="A2075" s="7" t="s">
        <v>1901</v>
      </c>
      <c r="H2075" s="8">
        <f>H2073+H2074</f>
        <v>80</v>
      </c>
      <c r="I2075" s="8">
        <f>I2073+I2074</f>
        <v>80</v>
      </c>
    </row>
    <row r="2076" spans="1:9" x14ac:dyDescent="0.3">
      <c r="A2076" s="4" t="s">
        <v>1902</v>
      </c>
    </row>
    <row r="2077" spans="1:9" x14ac:dyDescent="0.3">
      <c r="B2077" s="5" t="s">
        <v>1894</v>
      </c>
      <c r="C2077" s="5" t="s">
        <v>10</v>
      </c>
      <c r="D2077" s="5" t="s">
        <v>1903</v>
      </c>
      <c r="E2077" s="5" t="s">
        <v>1904</v>
      </c>
      <c r="F2077" s="5" t="s">
        <v>67</v>
      </c>
      <c r="G2077" s="5" t="s">
        <v>68</v>
      </c>
      <c r="H2077" s="6">
        <v>200</v>
      </c>
      <c r="I2077" s="5"/>
    </row>
    <row r="2078" spans="1:9" x14ac:dyDescent="0.3">
      <c r="B2078" s="5" t="s">
        <v>1894</v>
      </c>
      <c r="C2078" s="5" t="s">
        <v>10</v>
      </c>
      <c r="D2078" s="5" t="s">
        <v>1903</v>
      </c>
      <c r="E2078" s="5" t="s">
        <v>1904</v>
      </c>
      <c r="F2078" s="5" t="s">
        <v>1643</v>
      </c>
      <c r="G2078" s="5" t="s">
        <v>1644</v>
      </c>
      <c r="H2078" s="5"/>
      <c r="I2078" s="6">
        <v>200</v>
      </c>
    </row>
    <row r="2079" spans="1:9" x14ac:dyDescent="0.3">
      <c r="A2079" s="7" t="s">
        <v>1905</v>
      </c>
      <c r="H2079" s="8">
        <f>H2077+H2078</f>
        <v>200</v>
      </c>
      <c r="I2079" s="8">
        <f>I2077+I2078</f>
        <v>200</v>
      </c>
    </row>
    <row r="2080" spans="1:9" x14ac:dyDescent="0.3">
      <c r="A2080" s="4" t="s">
        <v>1906</v>
      </c>
    </row>
    <row r="2081" spans="1:9" x14ac:dyDescent="0.3">
      <c r="B2081" s="5" t="s">
        <v>1894</v>
      </c>
      <c r="C2081" s="5" t="s">
        <v>10</v>
      </c>
      <c r="D2081" s="5" t="s">
        <v>1907</v>
      </c>
      <c r="E2081" s="5" t="s">
        <v>1908</v>
      </c>
      <c r="F2081" s="5" t="s">
        <v>67</v>
      </c>
      <c r="G2081" s="5" t="s">
        <v>68</v>
      </c>
      <c r="H2081" s="6">
        <v>120</v>
      </c>
      <c r="I2081" s="5"/>
    </row>
    <row r="2082" spans="1:9" x14ac:dyDescent="0.3">
      <c r="B2082" s="5" t="s">
        <v>1894</v>
      </c>
      <c r="C2082" s="5" t="s">
        <v>10</v>
      </c>
      <c r="D2082" s="5" t="s">
        <v>1907</v>
      </c>
      <c r="E2082" s="5" t="s">
        <v>1908</v>
      </c>
      <c r="F2082" s="5" t="s">
        <v>1643</v>
      </c>
      <c r="G2082" s="5" t="s">
        <v>1644</v>
      </c>
      <c r="H2082" s="5"/>
      <c r="I2082" s="6">
        <v>120</v>
      </c>
    </row>
    <row r="2083" spans="1:9" x14ac:dyDescent="0.3">
      <c r="A2083" s="7" t="s">
        <v>1909</v>
      </c>
      <c r="H2083" s="8">
        <f>H2081+H2082</f>
        <v>120</v>
      </c>
      <c r="I2083" s="8">
        <f>I2081+I2082</f>
        <v>120</v>
      </c>
    </row>
    <row r="2084" spans="1:9" x14ac:dyDescent="0.3">
      <c r="A2084" s="4" t="s">
        <v>1910</v>
      </c>
    </row>
    <row r="2085" spans="1:9" x14ac:dyDescent="0.3">
      <c r="B2085" s="5" t="s">
        <v>1911</v>
      </c>
      <c r="C2085" s="5" t="s">
        <v>10</v>
      </c>
      <c r="D2085" s="5" t="s">
        <v>1912</v>
      </c>
      <c r="E2085" s="5" t="s">
        <v>1913</v>
      </c>
      <c r="F2085" s="5" t="s">
        <v>1643</v>
      </c>
      <c r="G2085" s="5" t="s">
        <v>1644</v>
      </c>
      <c r="H2085" s="6">
        <v>80200</v>
      </c>
      <c r="I2085" s="5"/>
    </row>
    <row r="2086" spans="1:9" x14ac:dyDescent="0.3">
      <c r="B2086" s="5" t="s">
        <v>1911</v>
      </c>
      <c r="C2086" s="5" t="s">
        <v>10</v>
      </c>
      <c r="D2086" s="5" t="s">
        <v>1912</v>
      </c>
      <c r="E2086" s="5" t="s">
        <v>1913</v>
      </c>
      <c r="F2086" s="5" t="s">
        <v>13</v>
      </c>
      <c r="G2086" s="5" t="s">
        <v>14</v>
      </c>
      <c r="H2086" s="5"/>
      <c r="I2086" s="6">
        <v>80200</v>
      </c>
    </row>
    <row r="2087" spans="1:9" x14ac:dyDescent="0.3">
      <c r="A2087" s="7" t="s">
        <v>1914</v>
      </c>
      <c r="H2087" s="8">
        <f>H2085+H2086</f>
        <v>80200</v>
      </c>
      <c r="I2087" s="8">
        <f>I2085+I2086</f>
        <v>80200</v>
      </c>
    </row>
    <row r="2088" spans="1:9" x14ac:dyDescent="0.3">
      <c r="A2088" s="4" t="s">
        <v>1915</v>
      </c>
    </row>
    <row r="2089" spans="1:9" x14ac:dyDescent="0.3">
      <c r="B2089" s="5" t="s">
        <v>1911</v>
      </c>
      <c r="C2089" s="5" t="s">
        <v>10</v>
      </c>
      <c r="D2089" s="5" t="s">
        <v>1916</v>
      </c>
      <c r="E2089" s="5" t="s">
        <v>1896</v>
      </c>
      <c r="F2089" s="5" t="s">
        <v>61</v>
      </c>
      <c r="G2089" s="5" t="s">
        <v>62</v>
      </c>
      <c r="H2089" s="6">
        <v>300</v>
      </c>
      <c r="I2089" s="5"/>
    </row>
    <row r="2090" spans="1:9" x14ac:dyDescent="0.3">
      <c r="B2090" s="5" t="s">
        <v>1911</v>
      </c>
      <c r="C2090" s="5" t="s">
        <v>10</v>
      </c>
      <c r="D2090" s="5" t="s">
        <v>1916</v>
      </c>
      <c r="E2090" s="5" t="s">
        <v>1896</v>
      </c>
      <c r="F2090" s="5" t="s">
        <v>1643</v>
      </c>
      <c r="G2090" s="5" t="s">
        <v>1644</v>
      </c>
      <c r="H2090" s="5"/>
      <c r="I2090" s="6">
        <v>300</v>
      </c>
    </row>
    <row r="2091" spans="1:9" x14ac:dyDescent="0.3">
      <c r="A2091" s="7" t="s">
        <v>1917</v>
      </c>
      <c r="H2091" s="8">
        <f>H2089+H2090</f>
        <v>300</v>
      </c>
      <c r="I2091" s="8">
        <f>I2089+I2090</f>
        <v>300</v>
      </c>
    </row>
    <row r="2092" spans="1:9" x14ac:dyDescent="0.3">
      <c r="A2092" s="4" t="s">
        <v>1918</v>
      </c>
    </row>
    <row r="2093" spans="1:9" x14ac:dyDescent="0.3">
      <c r="B2093" s="5" t="s">
        <v>1911</v>
      </c>
      <c r="C2093" s="5" t="s">
        <v>10</v>
      </c>
      <c r="D2093" s="5" t="s">
        <v>1919</v>
      </c>
      <c r="E2093" s="5" t="s">
        <v>1920</v>
      </c>
      <c r="F2093" s="5" t="s">
        <v>1921</v>
      </c>
      <c r="G2093" s="5" t="s">
        <v>1922</v>
      </c>
      <c r="H2093" s="6">
        <v>100</v>
      </c>
      <c r="I2093" s="5"/>
    </row>
    <row r="2094" spans="1:9" x14ac:dyDescent="0.3">
      <c r="B2094" s="5" t="s">
        <v>1911</v>
      </c>
      <c r="C2094" s="5" t="s">
        <v>10</v>
      </c>
      <c r="D2094" s="5" t="s">
        <v>1919</v>
      </c>
      <c r="E2094" s="5" t="s">
        <v>1920</v>
      </c>
      <c r="F2094" s="5" t="s">
        <v>1643</v>
      </c>
      <c r="G2094" s="5" t="s">
        <v>1644</v>
      </c>
      <c r="H2094" s="5"/>
      <c r="I2094" s="6">
        <v>100</v>
      </c>
    </row>
    <row r="2095" spans="1:9" x14ac:dyDescent="0.3">
      <c r="A2095" s="7" t="s">
        <v>1923</v>
      </c>
      <c r="H2095" s="8">
        <f>H2093+H2094</f>
        <v>100</v>
      </c>
      <c r="I2095" s="8">
        <f>I2093+I2094</f>
        <v>100</v>
      </c>
    </row>
    <row r="2096" spans="1:9" x14ac:dyDescent="0.3">
      <c r="A2096" s="4" t="s">
        <v>1924</v>
      </c>
    </row>
    <row r="2097" spans="1:9" x14ac:dyDescent="0.3">
      <c r="B2097" s="5" t="s">
        <v>1911</v>
      </c>
      <c r="C2097" s="5" t="s">
        <v>10</v>
      </c>
      <c r="D2097" s="5" t="s">
        <v>1925</v>
      </c>
      <c r="E2097" s="5" t="s">
        <v>1926</v>
      </c>
      <c r="F2097" s="5" t="s">
        <v>113</v>
      </c>
      <c r="G2097" s="5" t="s">
        <v>114</v>
      </c>
      <c r="H2097" s="6">
        <v>500</v>
      </c>
      <c r="I2097" s="5"/>
    </row>
    <row r="2098" spans="1:9" x14ac:dyDescent="0.3">
      <c r="B2098" s="5" t="s">
        <v>1911</v>
      </c>
      <c r="C2098" s="5" t="s">
        <v>10</v>
      </c>
      <c r="D2098" s="5" t="s">
        <v>1925</v>
      </c>
      <c r="E2098" s="5" t="s">
        <v>1926</v>
      </c>
      <c r="F2098" s="5" t="s">
        <v>1643</v>
      </c>
      <c r="G2098" s="5" t="s">
        <v>1644</v>
      </c>
      <c r="H2098" s="5"/>
      <c r="I2098" s="6">
        <v>500</v>
      </c>
    </row>
    <row r="2099" spans="1:9" x14ac:dyDescent="0.3">
      <c r="A2099" s="7" t="s">
        <v>1927</v>
      </c>
      <c r="H2099" s="8">
        <f>H2097+H2098</f>
        <v>500</v>
      </c>
      <c r="I2099" s="8">
        <f>I2097+I2098</f>
        <v>500</v>
      </c>
    </row>
    <row r="2100" spans="1:9" x14ac:dyDescent="0.3">
      <c r="A2100" s="4" t="s">
        <v>1928</v>
      </c>
    </row>
    <row r="2101" spans="1:9" x14ac:dyDescent="0.3">
      <c r="B2101" s="5" t="s">
        <v>1911</v>
      </c>
      <c r="C2101" s="5" t="s">
        <v>10</v>
      </c>
      <c r="D2101" s="5" t="s">
        <v>1929</v>
      </c>
      <c r="E2101" s="5" t="s">
        <v>1930</v>
      </c>
      <c r="F2101" s="5" t="s">
        <v>116</v>
      </c>
      <c r="G2101" s="5" t="s">
        <v>117</v>
      </c>
      <c r="H2101" s="6">
        <v>500</v>
      </c>
      <c r="I2101" s="5"/>
    </row>
    <row r="2102" spans="1:9" x14ac:dyDescent="0.3">
      <c r="B2102" s="5" t="s">
        <v>1911</v>
      </c>
      <c r="C2102" s="5" t="s">
        <v>10</v>
      </c>
      <c r="D2102" s="5" t="s">
        <v>1929</v>
      </c>
      <c r="E2102" s="5" t="s">
        <v>1930</v>
      </c>
      <c r="F2102" s="5" t="s">
        <v>1643</v>
      </c>
      <c r="G2102" s="5" t="s">
        <v>1644</v>
      </c>
      <c r="H2102" s="5"/>
      <c r="I2102" s="6">
        <v>500</v>
      </c>
    </row>
    <row r="2103" spans="1:9" x14ac:dyDescent="0.3">
      <c r="A2103" s="7" t="s">
        <v>1931</v>
      </c>
      <c r="H2103" s="8">
        <f>H2101+H2102</f>
        <v>500</v>
      </c>
      <c r="I2103" s="8">
        <f>I2101+I2102</f>
        <v>500</v>
      </c>
    </row>
    <row r="2104" spans="1:9" x14ac:dyDescent="0.3">
      <c r="A2104" s="4" t="s">
        <v>1932</v>
      </c>
    </row>
    <row r="2105" spans="1:9" x14ac:dyDescent="0.3">
      <c r="B2105" s="5" t="s">
        <v>1911</v>
      </c>
      <c r="C2105" s="5" t="s">
        <v>10</v>
      </c>
      <c r="D2105" s="5" t="s">
        <v>1933</v>
      </c>
      <c r="E2105" s="5" t="s">
        <v>1934</v>
      </c>
      <c r="F2105" s="5" t="s">
        <v>441</v>
      </c>
      <c r="G2105" s="5" t="s">
        <v>442</v>
      </c>
      <c r="H2105" s="6">
        <v>80000</v>
      </c>
      <c r="I2105" s="5"/>
    </row>
    <row r="2106" spans="1:9" x14ac:dyDescent="0.3">
      <c r="B2106" s="5" t="s">
        <v>1911</v>
      </c>
      <c r="C2106" s="5" t="s">
        <v>10</v>
      </c>
      <c r="D2106" s="5" t="s">
        <v>1933</v>
      </c>
      <c r="E2106" s="5" t="s">
        <v>1935</v>
      </c>
      <c r="F2106" s="5" t="s">
        <v>1936</v>
      </c>
      <c r="G2106" s="5" t="s">
        <v>1937</v>
      </c>
      <c r="H2106" s="6">
        <v>200</v>
      </c>
      <c r="I2106" s="5"/>
    </row>
    <row r="2107" spans="1:9" x14ac:dyDescent="0.3">
      <c r="B2107" s="5" t="s">
        <v>1911</v>
      </c>
      <c r="C2107" s="5" t="s">
        <v>10</v>
      </c>
      <c r="D2107" s="5" t="s">
        <v>1933</v>
      </c>
      <c r="E2107" s="5" t="s">
        <v>1938</v>
      </c>
      <c r="F2107" s="5" t="s">
        <v>1643</v>
      </c>
      <c r="G2107" s="5" t="s">
        <v>1644</v>
      </c>
      <c r="H2107" s="5"/>
      <c r="I2107" s="6">
        <v>80200</v>
      </c>
    </row>
    <row r="2108" spans="1:9" x14ac:dyDescent="0.3">
      <c r="A2108" s="7" t="s">
        <v>1939</v>
      </c>
      <c r="H2108" s="8">
        <f>H2105+H2106+H2107</f>
        <v>80200</v>
      </c>
      <c r="I2108" s="8">
        <f>I2105+I2106+I2107</f>
        <v>80200</v>
      </c>
    </row>
    <row r="2109" spans="1:9" x14ac:dyDescent="0.3">
      <c r="A2109" s="4" t="s">
        <v>1940</v>
      </c>
    </row>
    <row r="2110" spans="1:9" x14ac:dyDescent="0.3">
      <c r="B2110" s="5" t="s">
        <v>1941</v>
      </c>
      <c r="C2110" s="5" t="s">
        <v>10</v>
      </c>
      <c r="D2110" s="5" t="s">
        <v>1942</v>
      </c>
      <c r="E2110" s="5" t="s">
        <v>1943</v>
      </c>
      <c r="F2110" s="5" t="s">
        <v>61</v>
      </c>
      <c r="G2110" s="5" t="s">
        <v>62</v>
      </c>
      <c r="H2110" s="6">
        <v>550</v>
      </c>
      <c r="I2110" s="5"/>
    </row>
    <row r="2111" spans="1:9" x14ac:dyDescent="0.3">
      <c r="B2111" s="5" t="s">
        <v>1941</v>
      </c>
      <c r="C2111" s="5" t="s">
        <v>10</v>
      </c>
      <c r="D2111" s="5" t="s">
        <v>1942</v>
      </c>
      <c r="E2111" s="5" t="s">
        <v>1943</v>
      </c>
      <c r="F2111" s="5" t="s">
        <v>1643</v>
      </c>
      <c r="G2111" s="5" t="s">
        <v>1644</v>
      </c>
      <c r="H2111" s="5"/>
      <c r="I2111" s="6">
        <v>550</v>
      </c>
    </row>
    <row r="2112" spans="1:9" x14ac:dyDescent="0.3">
      <c r="A2112" s="7" t="s">
        <v>1944</v>
      </c>
      <c r="H2112" s="8">
        <f>H2110+H2111</f>
        <v>550</v>
      </c>
      <c r="I2112" s="8">
        <f>I2110+I2111</f>
        <v>550</v>
      </c>
    </row>
    <row r="2113" spans="1:9" x14ac:dyDescent="0.3">
      <c r="A2113" s="4" t="s">
        <v>1945</v>
      </c>
    </row>
    <row r="2114" spans="1:9" x14ac:dyDescent="0.3">
      <c r="B2114" s="5" t="s">
        <v>1941</v>
      </c>
      <c r="C2114" s="5" t="s">
        <v>10</v>
      </c>
      <c r="D2114" s="5" t="s">
        <v>1946</v>
      </c>
      <c r="E2114" s="5" t="s">
        <v>1947</v>
      </c>
      <c r="F2114" s="5" t="s">
        <v>359</v>
      </c>
      <c r="G2114" s="5" t="s">
        <v>360</v>
      </c>
      <c r="H2114" s="6">
        <v>1100</v>
      </c>
      <c r="I2114" s="5"/>
    </row>
    <row r="2115" spans="1:9" x14ac:dyDescent="0.3">
      <c r="B2115" s="5" t="s">
        <v>1941</v>
      </c>
      <c r="C2115" s="5" t="s">
        <v>10</v>
      </c>
      <c r="D2115" s="5" t="s">
        <v>1946</v>
      </c>
      <c r="E2115" s="5" t="s">
        <v>1947</v>
      </c>
      <c r="F2115" s="5" t="s">
        <v>1643</v>
      </c>
      <c r="G2115" s="5" t="s">
        <v>1644</v>
      </c>
      <c r="H2115" s="5"/>
      <c r="I2115" s="6">
        <v>1100</v>
      </c>
    </row>
    <row r="2116" spans="1:9" x14ac:dyDescent="0.3">
      <c r="A2116" s="7" t="s">
        <v>1948</v>
      </c>
      <c r="H2116" s="8">
        <f>H2114+H2115</f>
        <v>1100</v>
      </c>
      <c r="I2116" s="8">
        <f>I2114+I2115</f>
        <v>1100</v>
      </c>
    </row>
    <row r="2117" spans="1:9" x14ac:dyDescent="0.3">
      <c r="A2117" s="4" t="s">
        <v>1949</v>
      </c>
    </row>
    <row r="2118" spans="1:9" x14ac:dyDescent="0.3">
      <c r="B2118" s="5" t="s">
        <v>1941</v>
      </c>
      <c r="C2118" s="5" t="s">
        <v>10</v>
      </c>
      <c r="D2118" s="5" t="s">
        <v>1950</v>
      </c>
      <c r="E2118" s="5" t="s">
        <v>1951</v>
      </c>
      <c r="F2118" s="5" t="s">
        <v>1643</v>
      </c>
      <c r="G2118" s="5" t="s">
        <v>1644</v>
      </c>
      <c r="H2118" s="6">
        <v>6960</v>
      </c>
      <c r="I2118" s="5"/>
    </row>
    <row r="2119" spans="1:9" x14ac:dyDescent="0.3">
      <c r="B2119" s="5" t="s">
        <v>1941</v>
      </c>
      <c r="C2119" s="5" t="s">
        <v>10</v>
      </c>
      <c r="D2119" s="5" t="s">
        <v>1950</v>
      </c>
      <c r="E2119" s="5" t="s">
        <v>1951</v>
      </c>
      <c r="F2119" s="5" t="s">
        <v>13</v>
      </c>
      <c r="G2119" s="5" t="s">
        <v>14</v>
      </c>
      <c r="H2119" s="5"/>
      <c r="I2119" s="6">
        <v>6960</v>
      </c>
    </row>
    <row r="2120" spans="1:9" x14ac:dyDescent="0.3">
      <c r="B2120" s="5" t="s">
        <v>1941</v>
      </c>
      <c r="C2120" s="5" t="s">
        <v>10</v>
      </c>
      <c r="D2120" s="5" t="s">
        <v>1950</v>
      </c>
      <c r="E2120" s="5" t="s">
        <v>1952</v>
      </c>
      <c r="F2120" s="5" t="s">
        <v>425</v>
      </c>
      <c r="G2120" s="5" t="s">
        <v>426</v>
      </c>
      <c r="H2120" s="6">
        <v>13888.68</v>
      </c>
      <c r="I2120" s="5"/>
    </row>
    <row r="2121" spans="1:9" x14ac:dyDescent="0.3">
      <c r="B2121" s="5" t="s">
        <v>1941</v>
      </c>
      <c r="C2121" s="5" t="s">
        <v>10</v>
      </c>
      <c r="D2121" s="5" t="s">
        <v>1950</v>
      </c>
      <c r="E2121" s="5" t="s">
        <v>1952</v>
      </c>
      <c r="F2121" s="5" t="s">
        <v>427</v>
      </c>
      <c r="G2121" s="5" t="s">
        <v>428</v>
      </c>
      <c r="H2121" s="5"/>
      <c r="I2121" s="6">
        <v>4256.17</v>
      </c>
    </row>
    <row r="2122" spans="1:9" x14ac:dyDescent="0.3">
      <c r="B2122" s="5" t="s">
        <v>1941</v>
      </c>
      <c r="C2122" s="5" t="s">
        <v>10</v>
      </c>
      <c r="D2122" s="5" t="s">
        <v>1950</v>
      </c>
      <c r="E2122" s="5" t="s">
        <v>1952</v>
      </c>
      <c r="F2122" s="5" t="s">
        <v>429</v>
      </c>
      <c r="G2122" s="5" t="s">
        <v>430</v>
      </c>
      <c r="H2122" s="5"/>
      <c r="I2122" s="6">
        <v>6857.04</v>
      </c>
    </row>
    <row r="2123" spans="1:9" x14ac:dyDescent="0.3">
      <c r="B2123" s="5" t="s">
        <v>1941</v>
      </c>
      <c r="C2123" s="5" t="s">
        <v>10</v>
      </c>
      <c r="D2123" s="5" t="s">
        <v>1950</v>
      </c>
      <c r="E2123" s="5" t="s">
        <v>1952</v>
      </c>
      <c r="F2123" s="5" t="s">
        <v>431</v>
      </c>
      <c r="G2123" s="5" t="s">
        <v>432</v>
      </c>
      <c r="H2123" s="5"/>
      <c r="I2123" s="6">
        <v>2775.47</v>
      </c>
    </row>
    <row r="2124" spans="1:9" x14ac:dyDescent="0.3">
      <c r="A2124" s="7" t="s">
        <v>1953</v>
      </c>
      <c r="H2124" s="8">
        <f>H2118+H2119+H2120+H2121+H2122+H2123</f>
        <v>20848.68</v>
      </c>
      <c r="I2124" s="8">
        <f>I2118+I2119+I2120+I2121+I2122+I2123</f>
        <v>20848.68</v>
      </c>
    </row>
    <row r="2125" spans="1:9" x14ac:dyDescent="0.3">
      <c r="A2125" s="4" t="s">
        <v>1954</v>
      </c>
    </row>
    <row r="2126" spans="1:9" x14ac:dyDescent="0.3">
      <c r="B2126" s="5" t="s">
        <v>1941</v>
      </c>
      <c r="C2126" s="5" t="s">
        <v>10</v>
      </c>
      <c r="D2126" s="5" t="s">
        <v>1955</v>
      </c>
      <c r="E2126" s="5" t="s">
        <v>1956</v>
      </c>
      <c r="F2126" s="5" t="s">
        <v>1339</v>
      </c>
      <c r="G2126" s="5" t="s">
        <v>1340</v>
      </c>
      <c r="H2126" s="6">
        <v>13500</v>
      </c>
      <c r="I2126" s="5"/>
    </row>
    <row r="2127" spans="1:9" x14ac:dyDescent="0.3">
      <c r="B2127" s="5" t="s">
        <v>1941</v>
      </c>
      <c r="C2127" s="5" t="s">
        <v>10</v>
      </c>
      <c r="D2127" s="5" t="s">
        <v>1955</v>
      </c>
      <c r="E2127" s="5" t="s">
        <v>1957</v>
      </c>
      <c r="F2127" s="5" t="s">
        <v>437</v>
      </c>
      <c r="G2127" s="5" t="s">
        <v>438</v>
      </c>
      <c r="H2127" s="6">
        <v>358236</v>
      </c>
      <c r="I2127" s="5"/>
    </row>
    <row r="2128" spans="1:9" x14ac:dyDescent="0.3">
      <c r="B2128" s="5" t="s">
        <v>1941</v>
      </c>
      <c r="C2128" s="5" t="s">
        <v>10</v>
      </c>
      <c r="D2128" s="5" t="s">
        <v>1955</v>
      </c>
      <c r="E2128" s="5" t="s">
        <v>1957</v>
      </c>
      <c r="F2128" s="5" t="s">
        <v>1343</v>
      </c>
      <c r="G2128" s="5" t="s">
        <v>1344</v>
      </c>
      <c r="H2128" s="5"/>
      <c r="I2128" s="6">
        <v>150000</v>
      </c>
    </row>
    <row r="2129" spans="1:9" x14ac:dyDescent="0.3">
      <c r="B2129" s="5" t="s">
        <v>1941</v>
      </c>
      <c r="C2129" s="5" t="s">
        <v>10</v>
      </c>
      <c r="D2129" s="5" t="s">
        <v>1955</v>
      </c>
      <c r="E2129" s="5" t="s">
        <v>1957</v>
      </c>
      <c r="F2129" s="5" t="s">
        <v>441</v>
      </c>
      <c r="G2129" s="5" t="s">
        <v>442</v>
      </c>
      <c r="H2129" s="5"/>
      <c r="I2129" s="6">
        <v>28100</v>
      </c>
    </row>
    <row r="2130" spans="1:9" x14ac:dyDescent="0.3">
      <c r="B2130" s="5" t="s">
        <v>1941</v>
      </c>
      <c r="C2130" s="5" t="s">
        <v>10</v>
      </c>
      <c r="D2130" s="5" t="s">
        <v>1955</v>
      </c>
      <c r="E2130" s="5" t="s">
        <v>1957</v>
      </c>
      <c r="F2130" s="5" t="s">
        <v>443</v>
      </c>
      <c r="G2130" s="5" t="s">
        <v>444</v>
      </c>
      <c r="H2130" s="5"/>
      <c r="I2130" s="6">
        <v>37100</v>
      </c>
    </row>
    <row r="2131" spans="1:9" x14ac:dyDescent="0.3">
      <c r="B2131" s="5" t="s">
        <v>1941</v>
      </c>
      <c r="C2131" s="5" t="s">
        <v>10</v>
      </c>
      <c r="D2131" s="5" t="s">
        <v>1955</v>
      </c>
      <c r="E2131" s="5" t="s">
        <v>1957</v>
      </c>
      <c r="F2131" s="5" t="s">
        <v>445</v>
      </c>
      <c r="G2131" s="5" t="s">
        <v>446</v>
      </c>
      <c r="H2131" s="5"/>
      <c r="I2131" s="6">
        <v>37100</v>
      </c>
    </row>
    <row r="2132" spans="1:9" x14ac:dyDescent="0.3">
      <c r="B2132" s="5" t="s">
        <v>1941</v>
      </c>
      <c r="C2132" s="5" t="s">
        <v>10</v>
      </c>
      <c r="D2132" s="5" t="s">
        <v>1955</v>
      </c>
      <c r="E2132" s="5" t="s">
        <v>1957</v>
      </c>
      <c r="F2132" s="5" t="s">
        <v>549</v>
      </c>
      <c r="G2132" s="5" t="s">
        <v>550</v>
      </c>
      <c r="H2132" s="5"/>
      <c r="I2132" s="6">
        <v>30000</v>
      </c>
    </row>
    <row r="2133" spans="1:9" x14ac:dyDescent="0.3">
      <c r="B2133" s="5" t="s">
        <v>1941</v>
      </c>
      <c r="C2133" s="5" t="s">
        <v>10</v>
      </c>
      <c r="D2133" s="5" t="s">
        <v>1955</v>
      </c>
      <c r="E2133" s="5" t="s">
        <v>1957</v>
      </c>
      <c r="F2133" s="5" t="s">
        <v>449</v>
      </c>
      <c r="G2133" s="5" t="s">
        <v>450</v>
      </c>
      <c r="H2133" s="5"/>
      <c r="I2133" s="6">
        <v>6960</v>
      </c>
    </row>
    <row r="2134" spans="1:9" x14ac:dyDescent="0.3">
      <c r="B2134" s="5" t="s">
        <v>1941</v>
      </c>
      <c r="C2134" s="5" t="s">
        <v>10</v>
      </c>
      <c r="D2134" s="5" t="s">
        <v>1955</v>
      </c>
      <c r="E2134" s="5" t="s">
        <v>1958</v>
      </c>
      <c r="F2134" s="5" t="s">
        <v>453</v>
      </c>
      <c r="G2134" s="5" t="s">
        <v>454</v>
      </c>
      <c r="H2134" s="5"/>
      <c r="I2134" s="6">
        <v>6960</v>
      </c>
    </row>
    <row r="2135" spans="1:9" x14ac:dyDescent="0.3">
      <c r="B2135" s="5" t="s">
        <v>1941</v>
      </c>
      <c r="C2135" s="5" t="s">
        <v>10</v>
      </c>
      <c r="D2135" s="5" t="s">
        <v>1955</v>
      </c>
      <c r="E2135" s="5" t="s">
        <v>1957</v>
      </c>
      <c r="F2135" s="5" t="s">
        <v>451</v>
      </c>
      <c r="G2135" s="5" t="s">
        <v>452</v>
      </c>
      <c r="H2135" s="5"/>
      <c r="I2135" s="6">
        <v>6960</v>
      </c>
    </row>
    <row r="2136" spans="1:9" x14ac:dyDescent="0.3">
      <c r="B2136" s="5" t="s">
        <v>1941</v>
      </c>
      <c r="C2136" s="5" t="s">
        <v>10</v>
      </c>
      <c r="D2136" s="5" t="s">
        <v>1955</v>
      </c>
      <c r="E2136" s="5" t="s">
        <v>1959</v>
      </c>
      <c r="F2136" s="5" t="s">
        <v>547</v>
      </c>
      <c r="G2136" s="5" t="s">
        <v>548</v>
      </c>
      <c r="H2136" s="5"/>
      <c r="I2136" s="6">
        <v>5980</v>
      </c>
    </row>
    <row r="2137" spans="1:9" x14ac:dyDescent="0.3">
      <c r="B2137" s="5" t="s">
        <v>1941</v>
      </c>
      <c r="C2137" s="5" t="s">
        <v>10</v>
      </c>
      <c r="D2137" s="5" t="s">
        <v>1955</v>
      </c>
      <c r="E2137" s="5" t="s">
        <v>1960</v>
      </c>
      <c r="F2137" s="5" t="s">
        <v>1199</v>
      </c>
      <c r="G2137" s="5" t="s">
        <v>1200</v>
      </c>
      <c r="H2137" s="5"/>
      <c r="I2137" s="6">
        <v>7450</v>
      </c>
    </row>
    <row r="2138" spans="1:9" x14ac:dyDescent="0.3">
      <c r="B2138" s="5" t="s">
        <v>1941</v>
      </c>
      <c r="C2138" s="5" t="s">
        <v>10</v>
      </c>
      <c r="D2138" s="5" t="s">
        <v>1955</v>
      </c>
      <c r="E2138" s="5" t="s">
        <v>1960</v>
      </c>
      <c r="F2138" s="5" t="s">
        <v>1196</v>
      </c>
      <c r="G2138" s="5" t="s">
        <v>1197</v>
      </c>
      <c r="H2138" s="5"/>
      <c r="I2138" s="6">
        <v>7450</v>
      </c>
    </row>
    <row r="2139" spans="1:9" x14ac:dyDescent="0.3">
      <c r="B2139" s="5" t="s">
        <v>1941</v>
      </c>
      <c r="C2139" s="5" t="s">
        <v>10</v>
      </c>
      <c r="D2139" s="5" t="s">
        <v>1955</v>
      </c>
      <c r="E2139" s="5" t="s">
        <v>1957</v>
      </c>
      <c r="F2139" s="5" t="s">
        <v>1346</v>
      </c>
      <c r="G2139" s="5" t="s">
        <v>1347</v>
      </c>
      <c r="H2139" s="5"/>
      <c r="I2139" s="6">
        <v>6960</v>
      </c>
    </row>
    <row r="2140" spans="1:9" x14ac:dyDescent="0.3">
      <c r="B2140" s="5" t="s">
        <v>1941</v>
      </c>
      <c r="C2140" s="5" t="s">
        <v>10</v>
      </c>
      <c r="D2140" s="5" t="s">
        <v>1955</v>
      </c>
      <c r="E2140" s="5" t="s">
        <v>1957</v>
      </c>
      <c r="F2140" s="5" t="s">
        <v>1961</v>
      </c>
      <c r="G2140" s="5" t="s">
        <v>1962</v>
      </c>
      <c r="H2140" s="5"/>
      <c r="I2140" s="6">
        <v>6960</v>
      </c>
    </row>
    <row r="2141" spans="1:9" x14ac:dyDescent="0.3">
      <c r="B2141" s="5" t="s">
        <v>1941</v>
      </c>
      <c r="C2141" s="5" t="s">
        <v>10</v>
      </c>
      <c r="D2141" s="5" t="s">
        <v>1955</v>
      </c>
      <c r="E2141" s="5" t="s">
        <v>1963</v>
      </c>
      <c r="F2141" s="5" t="s">
        <v>457</v>
      </c>
      <c r="G2141" s="5" t="s">
        <v>458</v>
      </c>
      <c r="H2141" s="5"/>
      <c r="I2141" s="6">
        <v>33756</v>
      </c>
    </row>
    <row r="2142" spans="1:9" x14ac:dyDescent="0.3">
      <c r="A2142" s="7" t="s">
        <v>1964</v>
      </c>
      <c r="H2142" s="8">
        <f>H2126+H2127+H2128+H2129+H2130+H2131+H2132+H2133+H2134+H2135+H2136+H2137+H2138+H2139+H2140+H2141</f>
        <v>371736</v>
      </c>
      <c r="I2142" s="8">
        <f>I2126+I2127+I2128+I2129+I2130+I2131+I2132+I2133+I2134+I2135+I2136+I2137+I2138+I2139+I2140+I2141</f>
        <v>371736</v>
      </c>
    </row>
    <row r="2143" spans="1:9" x14ac:dyDescent="0.3">
      <c r="A2143" s="4" t="s">
        <v>1965</v>
      </c>
    </row>
    <row r="2144" spans="1:9" x14ac:dyDescent="0.3">
      <c r="B2144" s="5" t="s">
        <v>1941</v>
      </c>
      <c r="C2144" s="5" t="s">
        <v>10</v>
      </c>
      <c r="D2144" s="5" t="s">
        <v>1966</v>
      </c>
      <c r="E2144" s="5" t="s">
        <v>1967</v>
      </c>
      <c r="F2144" s="5" t="s">
        <v>1961</v>
      </c>
      <c r="G2144" s="5" t="s">
        <v>1962</v>
      </c>
      <c r="H2144" s="6">
        <v>6960</v>
      </c>
      <c r="I2144" s="5"/>
    </row>
    <row r="2145" spans="1:9" x14ac:dyDescent="0.3">
      <c r="B2145" s="5" t="s">
        <v>1941</v>
      </c>
      <c r="C2145" s="5" t="s">
        <v>10</v>
      </c>
      <c r="D2145" s="5" t="s">
        <v>1966</v>
      </c>
      <c r="E2145" s="5" t="s">
        <v>1967</v>
      </c>
      <c r="F2145" s="5" t="s">
        <v>1643</v>
      </c>
      <c r="G2145" s="5" t="s">
        <v>1644</v>
      </c>
      <c r="H2145" s="5"/>
      <c r="I2145" s="6">
        <v>6960</v>
      </c>
    </row>
    <row r="2146" spans="1:9" x14ac:dyDescent="0.3">
      <c r="A2146" s="7" t="s">
        <v>1968</v>
      </c>
      <c r="H2146" s="8">
        <f>H2144+H2145</f>
        <v>6960</v>
      </c>
      <c r="I2146" s="8">
        <f>I2144+I2145</f>
        <v>6960</v>
      </c>
    </row>
    <row r="2147" spans="1:9" x14ac:dyDescent="0.3">
      <c r="A2147" s="4" t="s">
        <v>1969</v>
      </c>
    </row>
    <row r="2148" spans="1:9" x14ac:dyDescent="0.3">
      <c r="B2148" s="5" t="s">
        <v>1970</v>
      </c>
      <c r="C2148" s="5" t="s">
        <v>10</v>
      </c>
      <c r="D2148" s="5" t="s">
        <v>1971</v>
      </c>
      <c r="E2148" s="5" t="s">
        <v>1972</v>
      </c>
      <c r="F2148" s="5" t="s">
        <v>831</v>
      </c>
      <c r="G2148" s="5" t="s">
        <v>832</v>
      </c>
      <c r="H2148" s="6">
        <v>30030</v>
      </c>
      <c r="I2148" s="5"/>
    </row>
    <row r="2149" spans="1:9" x14ac:dyDescent="0.3">
      <c r="B2149" s="5" t="s">
        <v>1970</v>
      </c>
      <c r="C2149" s="5" t="s">
        <v>10</v>
      </c>
      <c r="D2149" s="5" t="s">
        <v>1971</v>
      </c>
      <c r="E2149" s="5" t="s">
        <v>1972</v>
      </c>
      <c r="F2149" s="5" t="s">
        <v>441</v>
      </c>
      <c r="G2149" s="5" t="s">
        <v>442</v>
      </c>
      <c r="H2149" s="5"/>
      <c r="I2149" s="6">
        <v>30030</v>
      </c>
    </row>
    <row r="2150" spans="1:9" x14ac:dyDescent="0.3">
      <c r="A2150" s="7" t="s">
        <v>1973</v>
      </c>
      <c r="H2150" s="8">
        <f>H2148+H2149</f>
        <v>30030</v>
      </c>
      <c r="I2150" s="8">
        <f>I2148+I2149</f>
        <v>30030</v>
      </c>
    </row>
    <row r="2151" spans="1:9" x14ac:dyDescent="0.3">
      <c r="A2151" s="4" t="s">
        <v>1974</v>
      </c>
    </row>
    <row r="2152" spans="1:9" x14ac:dyDescent="0.3">
      <c r="B2152" s="5" t="s">
        <v>1970</v>
      </c>
      <c r="C2152" s="5" t="s">
        <v>10</v>
      </c>
      <c r="D2152" s="5" t="s">
        <v>1975</v>
      </c>
      <c r="E2152" s="5" t="s">
        <v>1976</v>
      </c>
      <c r="F2152" s="5" t="s">
        <v>831</v>
      </c>
      <c r="G2152" s="5" t="s">
        <v>832</v>
      </c>
      <c r="H2152" s="6">
        <v>41450.400000000001</v>
      </c>
      <c r="I2152" s="5"/>
    </row>
    <row r="2153" spans="1:9" x14ac:dyDescent="0.3">
      <c r="B2153" s="5" t="s">
        <v>1970</v>
      </c>
      <c r="C2153" s="5" t="s">
        <v>10</v>
      </c>
      <c r="D2153" s="5" t="s">
        <v>1975</v>
      </c>
      <c r="E2153" s="5" t="s">
        <v>1976</v>
      </c>
      <c r="F2153" s="5" t="s">
        <v>441</v>
      </c>
      <c r="G2153" s="5" t="s">
        <v>442</v>
      </c>
      <c r="H2153" s="5"/>
      <c r="I2153" s="6">
        <v>41450.400000000001</v>
      </c>
    </row>
    <row r="2154" spans="1:9" x14ac:dyDescent="0.3">
      <c r="A2154" s="7" t="s">
        <v>1977</v>
      </c>
      <c r="H2154" s="8">
        <f>H2152+H2153</f>
        <v>41450.400000000001</v>
      </c>
      <c r="I2154" s="8">
        <f>I2152+I2153</f>
        <v>41450.400000000001</v>
      </c>
    </row>
    <row r="2155" spans="1:9" x14ac:dyDescent="0.3">
      <c r="A2155" s="4" t="s">
        <v>1978</v>
      </c>
    </row>
    <row r="2156" spans="1:9" x14ac:dyDescent="0.3">
      <c r="B2156" s="5" t="s">
        <v>1970</v>
      </c>
      <c r="C2156" s="5" t="s">
        <v>10</v>
      </c>
      <c r="D2156" s="5" t="s">
        <v>1979</v>
      </c>
      <c r="E2156" s="5" t="s">
        <v>1980</v>
      </c>
      <c r="F2156" s="5" t="s">
        <v>61</v>
      </c>
      <c r="G2156" s="5" t="s">
        <v>62</v>
      </c>
      <c r="H2156" s="6">
        <v>300</v>
      </c>
      <c r="I2156" s="5"/>
    </row>
    <row r="2157" spans="1:9" x14ac:dyDescent="0.3">
      <c r="B2157" s="5" t="s">
        <v>1970</v>
      </c>
      <c r="C2157" s="5" t="s">
        <v>10</v>
      </c>
      <c r="D2157" s="5" t="s">
        <v>1979</v>
      </c>
      <c r="E2157" s="5" t="s">
        <v>1980</v>
      </c>
      <c r="F2157" s="5" t="s">
        <v>1643</v>
      </c>
      <c r="G2157" s="5" t="s">
        <v>1644</v>
      </c>
      <c r="H2157" s="5"/>
      <c r="I2157" s="6">
        <v>300</v>
      </c>
    </row>
    <row r="2158" spans="1:9" x14ac:dyDescent="0.3">
      <c r="A2158" s="7" t="s">
        <v>1981</v>
      </c>
      <c r="H2158" s="8">
        <f>H2156+H2157</f>
        <v>300</v>
      </c>
      <c r="I2158" s="8">
        <f>I2156+I2157</f>
        <v>300</v>
      </c>
    </row>
    <row r="2159" spans="1:9" x14ac:dyDescent="0.3">
      <c r="A2159" s="4" t="s">
        <v>1982</v>
      </c>
    </row>
    <row r="2160" spans="1:9" x14ac:dyDescent="0.3">
      <c r="B2160" s="5" t="s">
        <v>1970</v>
      </c>
      <c r="C2160" s="5" t="s">
        <v>10</v>
      </c>
      <c r="D2160" s="5" t="s">
        <v>1983</v>
      </c>
      <c r="E2160" s="5" t="s">
        <v>1984</v>
      </c>
      <c r="F2160" s="5" t="s">
        <v>73</v>
      </c>
      <c r="G2160" s="5" t="s">
        <v>74</v>
      </c>
      <c r="H2160" s="6">
        <v>450</v>
      </c>
      <c r="I2160" s="5"/>
    </row>
    <row r="2161" spans="1:9" x14ac:dyDescent="0.3">
      <c r="B2161" s="5" t="s">
        <v>1970</v>
      </c>
      <c r="C2161" s="5" t="s">
        <v>10</v>
      </c>
      <c r="D2161" s="5" t="s">
        <v>1983</v>
      </c>
      <c r="E2161" s="5" t="s">
        <v>1984</v>
      </c>
      <c r="F2161" s="5" t="s">
        <v>1643</v>
      </c>
      <c r="G2161" s="5" t="s">
        <v>1644</v>
      </c>
      <c r="H2161" s="5"/>
      <c r="I2161" s="6">
        <v>450</v>
      </c>
    </row>
    <row r="2162" spans="1:9" x14ac:dyDescent="0.3">
      <c r="A2162" s="7" t="s">
        <v>1985</v>
      </c>
      <c r="H2162" s="8">
        <f>H2160+H2161</f>
        <v>450</v>
      </c>
      <c r="I2162" s="8">
        <f>I2160+I2161</f>
        <v>450</v>
      </c>
    </row>
    <row r="2163" spans="1:9" x14ac:dyDescent="0.3">
      <c r="A2163" s="4" t="s">
        <v>1986</v>
      </c>
    </row>
    <row r="2164" spans="1:9" x14ac:dyDescent="0.3">
      <c r="B2164" s="5" t="s">
        <v>1970</v>
      </c>
      <c r="C2164" s="5" t="s">
        <v>844</v>
      </c>
      <c r="D2164" s="5" t="s">
        <v>1987</v>
      </c>
      <c r="E2164" s="5" t="s">
        <v>1988</v>
      </c>
      <c r="F2164" s="5" t="s">
        <v>847</v>
      </c>
      <c r="G2164" s="5" t="s">
        <v>848</v>
      </c>
      <c r="H2164" s="6">
        <v>35435.4</v>
      </c>
      <c r="I2164" s="5"/>
    </row>
    <row r="2165" spans="1:9" x14ac:dyDescent="0.3">
      <c r="B2165" s="5" t="s">
        <v>1970</v>
      </c>
      <c r="C2165" s="5" t="s">
        <v>844</v>
      </c>
      <c r="D2165" s="5" t="s">
        <v>1987</v>
      </c>
      <c r="E2165" s="5" t="s">
        <v>1988</v>
      </c>
      <c r="F2165" s="5" t="s">
        <v>831</v>
      </c>
      <c r="G2165" s="5" t="s">
        <v>832</v>
      </c>
      <c r="H2165" s="5"/>
      <c r="I2165" s="6">
        <v>30030</v>
      </c>
    </row>
    <row r="2166" spans="1:9" x14ac:dyDescent="0.3">
      <c r="B2166" s="5" t="s">
        <v>1970</v>
      </c>
      <c r="C2166" s="5" t="s">
        <v>844</v>
      </c>
      <c r="D2166" s="5" t="s">
        <v>1987</v>
      </c>
      <c r="E2166" s="5" t="s">
        <v>1988</v>
      </c>
      <c r="F2166" s="5" t="s">
        <v>867</v>
      </c>
      <c r="G2166" s="5" t="s">
        <v>868</v>
      </c>
      <c r="H2166" s="5"/>
      <c r="I2166" s="6">
        <v>5405.4</v>
      </c>
    </row>
    <row r="2167" spans="1:9" x14ac:dyDescent="0.3">
      <c r="A2167" s="7" t="s">
        <v>1989</v>
      </c>
      <c r="H2167" s="8">
        <f>H2164+H2165+H2166</f>
        <v>35435.4</v>
      </c>
      <c r="I2167" s="8">
        <f>I2164+I2165+I2166</f>
        <v>35435.4</v>
      </c>
    </row>
    <row r="2168" spans="1:9" x14ac:dyDescent="0.3">
      <c r="A2168" s="4" t="s">
        <v>1990</v>
      </c>
    </row>
    <row r="2169" spans="1:9" x14ac:dyDescent="0.3">
      <c r="B2169" s="5" t="s">
        <v>1970</v>
      </c>
      <c r="C2169" s="5" t="s">
        <v>844</v>
      </c>
      <c r="D2169" s="5" t="s">
        <v>1991</v>
      </c>
      <c r="E2169" s="5" t="s">
        <v>1992</v>
      </c>
      <c r="F2169" s="5" t="s">
        <v>847</v>
      </c>
      <c r="G2169" s="5" t="s">
        <v>848</v>
      </c>
      <c r="H2169" s="6">
        <v>48911.47</v>
      </c>
      <c r="I2169" s="5"/>
    </row>
    <row r="2170" spans="1:9" x14ac:dyDescent="0.3">
      <c r="B2170" s="5" t="s">
        <v>1970</v>
      </c>
      <c r="C2170" s="5" t="s">
        <v>844</v>
      </c>
      <c r="D2170" s="5" t="s">
        <v>1991</v>
      </c>
      <c r="E2170" s="5" t="s">
        <v>1992</v>
      </c>
      <c r="F2170" s="5" t="s">
        <v>831</v>
      </c>
      <c r="G2170" s="5" t="s">
        <v>832</v>
      </c>
      <c r="H2170" s="5"/>
      <c r="I2170" s="6">
        <v>41450.400000000001</v>
      </c>
    </row>
    <row r="2171" spans="1:9" x14ac:dyDescent="0.3">
      <c r="B2171" s="5" t="s">
        <v>1970</v>
      </c>
      <c r="C2171" s="5" t="s">
        <v>844</v>
      </c>
      <c r="D2171" s="5" t="s">
        <v>1991</v>
      </c>
      <c r="E2171" s="5" t="s">
        <v>1993</v>
      </c>
      <c r="F2171" s="5" t="s">
        <v>867</v>
      </c>
      <c r="G2171" s="5" t="s">
        <v>868</v>
      </c>
      <c r="H2171" s="5"/>
      <c r="I2171" s="6">
        <v>7461.07</v>
      </c>
    </row>
    <row r="2172" spans="1:9" x14ac:dyDescent="0.3">
      <c r="A2172" s="7" t="s">
        <v>1994</v>
      </c>
      <c r="H2172" s="8">
        <f>H2169+H2170+H2171</f>
        <v>48911.47</v>
      </c>
      <c r="I2172" s="8">
        <f>I2169+I2170+I2171</f>
        <v>48911.47</v>
      </c>
    </row>
    <row r="2173" spans="1:9" x14ac:dyDescent="0.3">
      <c r="A2173" s="4" t="s">
        <v>1995</v>
      </c>
    </row>
    <row r="2174" spans="1:9" x14ac:dyDescent="0.3">
      <c r="B2174" s="5" t="s">
        <v>1996</v>
      </c>
      <c r="C2174" s="5" t="s">
        <v>10</v>
      </c>
      <c r="D2174" s="5" t="s">
        <v>1997</v>
      </c>
      <c r="E2174" s="5" t="s">
        <v>1998</v>
      </c>
      <c r="F2174" s="5" t="s">
        <v>50</v>
      </c>
      <c r="G2174" s="5" t="s">
        <v>51</v>
      </c>
      <c r="H2174" s="6">
        <v>410</v>
      </c>
      <c r="I2174" s="5"/>
    </row>
    <row r="2175" spans="1:9" x14ac:dyDescent="0.3">
      <c r="B2175" s="5" t="s">
        <v>1996</v>
      </c>
      <c r="C2175" s="5" t="s">
        <v>10</v>
      </c>
      <c r="D2175" s="5" t="s">
        <v>1997</v>
      </c>
      <c r="E2175" s="5" t="s">
        <v>1998</v>
      </c>
      <c r="F2175" s="5" t="s">
        <v>1643</v>
      </c>
      <c r="G2175" s="5" t="s">
        <v>1644</v>
      </c>
      <c r="H2175" s="5"/>
      <c r="I2175" s="6">
        <v>410</v>
      </c>
    </row>
    <row r="2176" spans="1:9" x14ac:dyDescent="0.3">
      <c r="A2176" s="7" t="s">
        <v>1999</v>
      </c>
      <c r="H2176" s="8">
        <f>H2174+H2175</f>
        <v>410</v>
      </c>
      <c r="I2176" s="8">
        <f>I2174+I2175</f>
        <v>410</v>
      </c>
    </row>
    <row r="2177" spans="1:9" x14ac:dyDescent="0.3">
      <c r="A2177" s="4" t="s">
        <v>2000</v>
      </c>
    </row>
    <row r="2178" spans="1:9" x14ac:dyDescent="0.3">
      <c r="B2178" s="5" t="s">
        <v>1996</v>
      </c>
      <c r="C2178" s="5" t="s">
        <v>10</v>
      </c>
      <c r="D2178" s="5" t="s">
        <v>2001</v>
      </c>
      <c r="E2178" s="5" t="s">
        <v>1065</v>
      </c>
      <c r="F2178" s="5" t="s">
        <v>58</v>
      </c>
      <c r="G2178" s="5" t="s">
        <v>59</v>
      </c>
      <c r="H2178" s="6">
        <v>1000</v>
      </c>
      <c r="I2178" s="5"/>
    </row>
    <row r="2179" spans="1:9" x14ac:dyDescent="0.3">
      <c r="B2179" s="5" t="s">
        <v>1996</v>
      </c>
      <c r="C2179" s="5" t="s">
        <v>10</v>
      </c>
      <c r="D2179" s="5" t="s">
        <v>2001</v>
      </c>
      <c r="E2179" s="5" t="s">
        <v>1065</v>
      </c>
      <c r="F2179" s="5" t="s">
        <v>1643</v>
      </c>
      <c r="G2179" s="5" t="s">
        <v>1644</v>
      </c>
      <c r="H2179" s="5"/>
      <c r="I2179" s="6">
        <v>1000</v>
      </c>
    </row>
    <row r="2180" spans="1:9" x14ac:dyDescent="0.3">
      <c r="A2180" s="7" t="s">
        <v>2002</v>
      </c>
      <c r="H2180" s="8">
        <f>H2178+H2179</f>
        <v>1000</v>
      </c>
      <c r="I2180" s="8">
        <f>I2178+I2179</f>
        <v>1000</v>
      </c>
    </row>
    <row r="2181" spans="1:9" x14ac:dyDescent="0.3">
      <c r="A2181" s="4" t="s">
        <v>2003</v>
      </c>
    </row>
    <row r="2182" spans="1:9" x14ac:dyDescent="0.3">
      <c r="B2182" s="5" t="s">
        <v>1996</v>
      </c>
      <c r="C2182" s="5" t="s">
        <v>10</v>
      </c>
      <c r="D2182" s="5" t="s">
        <v>2004</v>
      </c>
      <c r="E2182" s="5" t="s">
        <v>2005</v>
      </c>
      <c r="F2182" s="5" t="s">
        <v>61</v>
      </c>
      <c r="G2182" s="5" t="s">
        <v>62</v>
      </c>
      <c r="H2182" s="6">
        <v>260</v>
      </c>
      <c r="I2182" s="5"/>
    </row>
    <row r="2183" spans="1:9" x14ac:dyDescent="0.3">
      <c r="B2183" s="5" t="s">
        <v>1996</v>
      </c>
      <c r="C2183" s="5" t="s">
        <v>10</v>
      </c>
      <c r="D2183" s="5" t="s">
        <v>2004</v>
      </c>
      <c r="E2183" s="5" t="s">
        <v>2005</v>
      </c>
      <c r="F2183" s="5" t="s">
        <v>1643</v>
      </c>
      <c r="G2183" s="5" t="s">
        <v>1644</v>
      </c>
      <c r="H2183" s="5"/>
      <c r="I2183" s="6">
        <v>260</v>
      </c>
    </row>
    <row r="2184" spans="1:9" x14ac:dyDescent="0.3">
      <c r="A2184" s="7" t="s">
        <v>2006</v>
      </c>
      <c r="H2184" s="8">
        <f>H2182+H2183</f>
        <v>260</v>
      </c>
      <c r="I2184" s="8">
        <f>I2182+I2183</f>
        <v>260</v>
      </c>
    </row>
    <row r="2185" spans="1:9" x14ac:dyDescent="0.3">
      <c r="A2185" s="4" t="s">
        <v>2007</v>
      </c>
    </row>
    <row r="2186" spans="1:9" x14ac:dyDescent="0.3">
      <c r="B2186" s="5" t="s">
        <v>1996</v>
      </c>
      <c r="C2186" s="5" t="s">
        <v>10</v>
      </c>
      <c r="D2186" s="5" t="s">
        <v>2008</v>
      </c>
      <c r="E2186" s="5" t="s">
        <v>2009</v>
      </c>
      <c r="F2186" s="5" t="s">
        <v>1643</v>
      </c>
      <c r="G2186" s="5" t="s">
        <v>1644</v>
      </c>
      <c r="H2186" s="6">
        <v>110400</v>
      </c>
      <c r="I2186" s="5"/>
    </row>
    <row r="2187" spans="1:9" x14ac:dyDescent="0.3">
      <c r="B2187" s="5" t="s">
        <v>1996</v>
      </c>
      <c r="C2187" s="5" t="s">
        <v>10</v>
      </c>
      <c r="D2187" s="5" t="s">
        <v>2008</v>
      </c>
      <c r="E2187" s="5" t="s">
        <v>2005</v>
      </c>
      <c r="F2187" s="5" t="s">
        <v>13</v>
      </c>
      <c r="G2187" s="5" t="s">
        <v>14</v>
      </c>
      <c r="H2187" s="5"/>
      <c r="I2187" s="6">
        <v>110400</v>
      </c>
    </row>
    <row r="2188" spans="1:9" x14ac:dyDescent="0.3">
      <c r="A2188" s="7" t="s">
        <v>2010</v>
      </c>
      <c r="H2188" s="8">
        <f>H2186+H2187</f>
        <v>110400</v>
      </c>
      <c r="I2188" s="8">
        <f>I2186+I2187</f>
        <v>110400</v>
      </c>
    </row>
    <row r="2189" spans="1:9" x14ac:dyDescent="0.3">
      <c r="A2189" s="4" t="s">
        <v>2011</v>
      </c>
    </row>
    <row r="2190" spans="1:9" x14ac:dyDescent="0.3">
      <c r="B2190" s="5" t="s">
        <v>1996</v>
      </c>
      <c r="C2190" s="5" t="s">
        <v>10</v>
      </c>
      <c r="D2190" s="5" t="s">
        <v>2012</v>
      </c>
      <c r="E2190" s="5" t="s">
        <v>2013</v>
      </c>
      <c r="F2190" s="5" t="s">
        <v>441</v>
      </c>
      <c r="G2190" s="5" t="s">
        <v>442</v>
      </c>
      <c r="H2190" s="6">
        <v>100000</v>
      </c>
      <c r="I2190" s="5"/>
    </row>
    <row r="2191" spans="1:9" x14ac:dyDescent="0.3">
      <c r="B2191" s="5" t="s">
        <v>1996</v>
      </c>
      <c r="C2191" s="5" t="s">
        <v>10</v>
      </c>
      <c r="D2191" s="5" t="s">
        <v>2012</v>
      </c>
      <c r="E2191" s="5" t="s">
        <v>2014</v>
      </c>
      <c r="F2191" s="5" t="s">
        <v>1936</v>
      </c>
      <c r="G2191" s="5" t="s">
        <v>1937</v>
      </c>
      <c r="H2191" s="6">
        <v>350</v>
      </c>
      <c r="I2191" s="5"/>
    </row>
    <row r="2192" spans="1:9" x14ac:dyDescent="0.3">
      <c r="B2192" s="5" t="s">
        <v>1996</v>
      </c>
      <c r="C2192" s="5" t="s">
        <v>10</v>
      </c>
      <c r="D2192" s="5" t="s">
        <v>2012</v>
      </c>
      <c r="E2192" s="5" t="s">
        <v>2015</v>
      </c>
      <c r="F2192" s="5" t="s">
        <v>1643</v>
      </c>
      <c r="G2192" s="5" t="s">
        <v>1644</v>
      </c>
      <c r="H2192" s="5"/>
      <c r="I2192" s="6">
        <v>100350</v>
      </c>
    </row>
    <row r="2193" spans="1:9" x14ac:dyDescent="0.3">
      <c r="B2193" s="5" t="s">
        <v>1996</v>
      </c>
      <c r="C2193" s="5" t="s">
        <v>10</v>
      </c>
      <c r="D2193" s="5" t="s">
        <v>2012</v>
      </c>
      <c r="E2193" s="5" t="s">
        <v>2016</v>
      </c>
      <c r="F2193" s="5" t="s">
        <v>441</v>
      </c>
      <c r="G2193" s="5" t="s">
        <v>442</v>
      </c>
      <c r="H2193" s="6">
        <v>10000</v>
      </c>
      <c r="I2193" s="5"/>
    </row>
    <row r="2194" spans="1:9" x14ac:dyDescent="0.3">
      <c r="B2194" s="5" t="s">
        <v>1996</v>
      </c>
      <c r="C2194" s="5" t="s">
        <v>10</v>
      </c>
      <c r="D2194" s="5" t="s">
        <v>2012</v>
      </c>
      <c r="E2194" s="5" t="s">
        <v>1935</v>
      </c>
      <c r="F2194" s="5" t="s">
        <v>1936</v>
      </c>
      <c r="G2194" s="5" t="s">
        <v>1937</v>
      </c>
      <c r="H2194" s="6">
        <v>50</v>
      </c>
      <c r="I2194" s="5"/>
    </row>
    <row r="2195" spans="1:9" x14ac:dyDescent="0.3">
      <c r="B2195" s="5" t="s">
        <v>1996</v>
      </c>
      <c r="C2195" s="5" t="s">
        <v>10</v>
      </c>
      <c r="D2195" s="5" t="s">
        <v>2012</v>
      </c>
      <c r="E2195" s="5" t="s">
        <v>1935</v>
      </c>
      <c r="F2195" s="5" t="s">
        <v>1643</v>
      </c>
      <c r="G2195" s="5" t="s">
        <v>1644</v>
      </c>
      <c r="H2195" s="5"/>
      <c r="I2195" s="6">
        <v>10050</v>
      </c>
    </row>
    <row r="2196" spans="1:9" x14ac:dyDescent="0.3">
      <c r="A2196" s="7" t="s">
        <v>2017</v>
      </c>
      <c r="H2196" s="8">
        <f>H2190+H2191+H2192+H2193+H2194+H2195</f>
        <v>110400</v>
      </c>
      <c r="I2196" s="8">
        <f>I2190+I2191+I2192+I2193+I2194+I2195</f>
        <v>110400</v>
      </c>
    </row>
    <row r="2197" spans="1:9" x14ac:dyDescent="0.3">
      <c r="A2197" s="4" t="s">
        <v>2018</v>
      </c>
    </row>
    <row r="2198" spans="1:9" x14ac:dyDescent="0.3">
      <c r="B2198" s="5" t="s">
        <v>1996</v>
      </c>
      <c r="C2198" s="5" t="s">
        <v>10</v>
      </c>
      <c r="D2198" s="5" t="s">
        <v>2019</v>
      </c>
      <c r="E2198" s="5" t="s">
        <v>2020</v>
      </c>
      <c r="F2198" s="5" t="s">
        <v>1643</v>
      </c>
      <c r="G2198" s="5" t="s">
        <v>1644</v>
      </c>
      <c r="H2198" s="6">
        <v>29310</v>
      </c>
      <c r="I2198" s="5"/>
    </row>
    <row r="2199" spans="1:9" x14ac:dyDescent="0.3">
      <c r="B2199" s="5" t="s">
        <v>1996</v>
      </c>
      <c r="C2199" s="5" t="s">
        <v>10</v>
      </c>
      <c r="D2199" s="5" t="s">
        <v>2019</v>
      </c>
      <c r="E2199" s="5" t="s">
        <v>2020</v>
      </c>
      <c r="F2199" s="5" t="s">
        <v>13</v>
      </c>
      <c r="G2199" s="5" t="s">
        <v>14</v>
      </c>
      <c r="H2199" s="5"/>
      <c r="I2199" s="6">
        <v>29310</v>
      </c>
    </row>
    <row r="2200" spans="1:9" x14ac:dyDescent="0.3">
      <c r="A2200" s="7" t="s">
        <v>2021</v>
      </c>
      <c r="H2200" s="8">
        <f>H2198+H2199</f>
        <v>29310</v>
      </c>
      <c r="I2200" s="8">
        <f>I2198+I2199</f>
        <v>29310</v>
      </c>
    </row>
    <row r="2201" spans="1:9" x14ac:dyDescent="0.3">
      <c r="A2201" s="4" t="s">
        <v>2022</v>
      </c>
    </row>
    <row r="2202" spans="1:9" x14ac:dyDescent="0.3">
      <c r="B2202" s="5" t="s">
        <v>1996</v>
      </c>
      <c r="C2202" s="5" t="s">
        <v>10</v>
      </c>
      <c r="D2202" s="5" t="s">
        <v>2023</v>
      </c>
      <c r="E2202" s="5" t="s">
        <v>2024</v>
      </c>
      <c r="F2202" s="5" t="s">
        <v>45</v>
      </c>
      <c r="G2202" s="5" t="s">
        <v>46</v>
      </c>
      <c r="H2202" s="6">
        <v>4720</v>
      </c>
      <c r="I2202" s="5"/>
    </row>
    <row r="2203" spans="1:9" x14ac:dyDescent="0.3">
      <c r="B2203" s="5" t="s">
        <v>1996</v>
      </c>
      <c r="C2203" s="5" t="s">
        <v>10</v>
      </c>
      <c r="D2203" s="5" t="s">
        <v>2023</v>
      </c>
      <c r="E2203" s="5" t="s">
        <v>2025</v>
      </c>
      <c r="F2203" s="5" t="s">
        <v>45</v>
      </c>
      <c r="G2203" s="5" t="s">
        <v>46</v>
      </c>
      <c r="H2203" s="6">
        <v>3000</v>
      </c>
      <c r="I2203" s="5"/>
    </row>
    <row r="2204" spans="1:9" x14ac:dyDescent="0.3">
      <c r="B2204" s="5" t="s">
        <v>1996</v>
      </c>
      <c r="C2204" s="5" t="s">
        <v>10</v>
      </c>
      <c r="D2204" s="5" t="s">
        <v>2023</v>
      </c>
      <c r="E2204" s="5" t="s">
        <v>2026</v>
      </c>
      <c r="F2204" s="5" t="s">
        <v>45</v>
      </c>
      <c r="G2204" s="5" t="s">
        <v>46</v>
      </c>
      <c r="H2204" s="6">
        <v>20400</v>
      </c>
      <c r="I2204" s="5"/>
    </row>
    <row r="2205" spans="1:9" x14ac:dyDescent="0.3">
      <c r="B2205" s="5" t="s">
        <v>1996</v>
      </c>
      <c r="C2205" s="5" t="s">
        <v>10</v>
      </c>
      <c r="D2205" s="5" t="s">
        <v>2023</v>
      </c>
      <c r="E2205" s="5" t="s">
        <v>2027</v>
      </c>
      <c r="F2205" s="5" t="s">
        <v>50</v>
      </c>
      <c r="G2205" s="5" t="s">
        <v>51</v>
      </c>
      <c r="H2205" s="6">
        <v>790</v>
      </c>
      <c r="I2205" s="5"/>
    </row>
    <row r="2206" spans="1:9" x14ac:dyDescent="0.3">
      <c r="B2206" s="5" t="s">
        <v>1996</v>
      </c>
      <c r="C2206" s="5" t="s">
        <v>10</v>
      </c>
      <c r="D2206" s="5" t="s">
        <v>2023</v>
      </c>
      <c r="E2206" s="5" t="s">
        <v>2028</v>
      </c>
      <c r="F2206" s="5" t="s">
        <v>61</v>
      </c>
      <c r="G2206" s="5" t="s">
        <v>62</v>
      </c>
      <c r="H2206" s="6">
        <v>2300</v>
      </c>
      <c r="I2206" s="5"/>
    </row>
    <row r="2207" spans="1:9" x14ac:dyDescent="0.3">
      <c r="B2207" s="5" t="s">
        <v>1996</v>
      </c>
      <c r="C2207" s="5" t="s">
        <v>10</v>
      </c>
      <c r="D2207" s="5" t="s">
        <v>2023</v>
      </c>
      <c r="E2207" s="5" t="s">
        <v>2029</v>
      </c>
      <c r="F2207" s="5" t="s">
        <v>45</v>
      </c>
      <c r="G2207" s="5" t="s">
        <v>46</v>
      </c>
      <c r="H2207" s="6">
        <v>1500</v>
      </c>
      <c r="I2207" s="5"/>
    </row>
    <row r="2208" spans="1:9" x14ac:dyDescent="0.3">
      <c r="B2208" s="5" t="s">
        <v>1996</v>
      </c>
      <c r="C2208" s="5" t="s">
        <v>10</v>
      </c>
      <c r="D2208" s="5" t="s">
        <v>2023</v>
      </c>
      <c r="E2208" s="5" t="s">
        <v>2030</v>
      </c>
      <c r="F2208" s="5" t="s">
        <v>45</v>
      </c>
      <c r="G2208" s="5" t="s">
        <v>46</v>
      </c>
      <c r="H2208" s="6">
        <v>10000</v>
      </c>
      <c r="I2208" s="5"/>
    </row>
    <row r="2209" spans="1:9" x14ac:dyDescent="0.3">
      <c r="B2209" s="5" t="s">
        <v>1996</v>
      </c>
      <c r="C2209" s="5" t="s">
        <v>10</v>
      </c>
      <c r="D2209" s="5" t="s">
        <v>2023</v>
      </c>
      <c r="E2209" s="5" t="s">
        <v>2031</v>
      </c>
      <c r="F2209" s="5" t="s">
        <v>50</v>
      </c>
      <c r="G2209" s="5" t="s">
        <v>51</v>
      </c>
      <c r="H2209" s="6">
        <v>600</v>
      </c>
      <c r="I2209" s="5"/>
    </row>
    <row r="2210" spans="1:9" x14ac:dyDescent="0.3">
      <c r="B2210" s="5" t="s">
        <v>1996</v>
      </c>
      <c r="C2210" s="5" t="s">
        <v>10</v>
      </c>
      <c r="D2210" s="5" t="s">
        <v>2023</v>
      </c>
      <c r="E2210" s="5" t="s">
        <v>2032</v>
      </c>
      <c r="F2210" s="5" t="s">
        <v>23</v>
      </c>
      <c r="G2210" s="5" t="s">
        <v>24</v>
      </c>
      <c r="H2210" s="6">
        <v>21000</v>
      </c>
      <c r="I2210" s="5"/>
    </row>
    <row r="2211" spans="1:9" x14ac:dyDescent="0.3">
      <c r="B2211" s="5" t="s">
        <v>1996</v>
      </c>
      <c r="C2211" s="5" t="s">
        <v>10</v>
      </c>
      <c r="D2211" s="5" t="s">
        <v>2023</v>
      </c>
      <c r="E2211" s="5" t="s">
        <v>2033</v>
      </c>
      <c r="F2211" s="5" t="s">
        <v>166</v>
      </c>
      <c r="G2211" s="5" t="s">
        <v>167</v>
      </c>
      <c r="H2211" s="6">
        <v>12400</v>
      </c>
      <c r="I2211" s="5"/>
    </row>
    <row r="2212" spans="1:9" x14ac:dyDescent="0.3">
      <c r="B2212" s="5" t="s">
        <v>1996</v>
      </c>
      <c r="C2212" s="5" t="s">
        <v>10</v>
      </c>
      <c r="D2212" s="5" t="s">
        <v>2023</v>
      </c>
      <c r="E2212" s="5" t="s">
        <v>2034</v>
      </c>
      <c r="F2212" s="5" t="s">
        <v>67</v>
      </c>
      <c r="G2212" s="5" t="s">
        <v>68</v>
      </c>
      <c r="H2212" s="6">
        <v>600</v>
      </c>
      <c r="I2212" s="5"/>
    </row>
    <row r="2213" spans="1:9" x14ac:dyDescent="0.3">
      <c r="B2213" s="5" t="s">
        <v>1996</v>
      </c>
      <c r="C2213" s="5" t="s">
        <v>10</v>
      </c>
      <c r="D2213" s="5" t="s">
        <v>2023</v>
      </c>
      <c r="E2213" s="5" t="s">
        <v>2035</v>
      </c>
      <c r="F2213" s="5" t="s">
        <v>50</v>
      </c>
      <c r="G2213" s="5" t="s">
        <v>51</v>
      </c>
      <c r="H2213" s="6">
        <v>1000</v>
      </c>
      <c r="I2213" s="5"/>
    </row>
    <row r="2214" spans="1:9" x14ac:dyDescent="0.3">
      <c r="B2214" s="5" t="s">
        <v>1996</v>
      </c>
      <c r="C2214" s="5" t="s">
        <v>10</v>
      </c>
      <c r="D2214" s="5" t="s">
        <v>2023</v>
      </c>
      <c r="E2214" s="5" t="s">
        <v>2036</v>
      </c>
      <c r="F2214" s="5" t="s">
        <v>50</v>
      </c>
      <c r="G2214" s="5" t="s">
        <v>51</v>
      </c>
      <c r="H2214" s="6">
        <v>1000</v>
      </c>
      <c r="I2214" s="5"/>
    </row>
    <row r="2215" spans="1:9" x14ac:dyDescent="0.3">
      <c r="B2215" s="5" t="s">
        <v>1996</v>
      </c>
      <c r="C2215" s="5" t="s">
        <v>10</v>
      </c>
      <c r="D2215" s="5" t="s">
        <v>2023</v>
      </c>
      <c r="E2215" s="5" t="s">
        <v>2037</v>
      </c>
      <c r="F2215" s="5" t="s">
        <v>1022</v>
      </c>
      <c r="G2215" s="5" t="s">
        <v>1023</v>
      </c>
      <c r="H2215" s="5"/>
      <c r="I2215" s="6">
        <v>50000</v>
      </c>
    </row>
    <row r="2216" spans="1:9" x14ac:dyDescent="0.3">
      <c r="B2216" s="5" t="s">
        <v>1996</v>
      </c>
      <c r="C2216" s="5" t="s">
        <v>10</v>
      </c>
      <c r="D2216" s="5" t="s">
        <v>2023</v>
      </c>
      <c r="E2216" s="5" t="s">
        <v>2038</v>
      </c>
      <c r="F2216" s="5" t="s">
        <v>1643</v>
      </c>
      <c r="G2216" s="5" t="s">
        <v>1644</v>
      </c>
      <c r="H2216" s="5"/>
      <c r="I2216" s="6">
        <v>29310</v>
      </c>
    </row>
    <row r="2217" spans="1:9" x14ac:dyDescent="0.3">
      <c r="A2217" s="7" t="s">
        <v>2039</v>
      </c>
      <c r="H2217" s="8">
        <f>H2202+H2203+H2204+H2205+H2206+H2207+H2208+H2209+H2210+H2211+H2212+H2213+H2214+H2215+H2216</f>
        <v>79310</v>
      </c>
      <c r="I2217" s="8">
        <f>I2202+I2203+I2204+I2205+I2206+I2207+I2208+I2209+I2210+I2211+I2212+I2213+I2214+I2215+I2216</f>
        <v>79310</v>
      </c>
    </row>
    <row r="2218" spans="1:9" x14ac:dyDescent="0.3">
      <c r="A2218" s="4" t="s">
        <v>2040</v>
      </c>
    </row>
    <row r="2219" spans="1:9" x14ac:dyDescent="0.3">
      <c r="B2219" s="5" t="s">
        <v>2041</v>
      </c>
      <c r="C2219" s="5" t="s">
        <v>10</v>
      </c>
      <c r="D2219" s="5" t="s">
        <v>2042</v>
      </c>
      <c r="E2219" s="5" t="s">
        <v>2043</v>
      </c>
      <c r="F2219" s="5" t="s">
        <v>50</v>
      </c>
      <c r="G2219" s="5" t="s">
        <v>51</v>
      </c>
      <c r="H2219" s="6">
        <v>400</v>
      </c>
      <c r="I2219" s="5"/>
    </row>
    <row r="2220" spans="1:9" x14ac:dyDescent="0.3">
      <c r="B2220" s="5" t="s">
        <v>2041</v>
      </c>
      <c r="C2220" s="5" t="s">
        <v>10</v>
      </c>
      <c r="D2220" s="5" t="s">
        <v>2042</v>
      </c>
      <c r="E2220" s="5" t="s">
        <v>2043</v>
      </c>
      <c r="F2220" s="5" t="s">
        <v>1643</v>
      </c>
      <c r="G2220" s="5" t="s">
        <v>1644</v>
      </c>
      <c r="H2220" s="5"/>
      <c r="I2220" s="6">
        <v>400</v>
      </c>
    </row>
    <row r="2221" spans="1:9" x14ac:dyDescent="0.3">
      <c r="A2221" s="7" t="s">
        <v>2044</v>
      </c>
      <c r="H2221" s="8">
        <f>H2219+H2220</f>
        <v>400</v>
      </c>
      <c r="I2221" s="8">
        <f>I2219+I2220</f>
        <v>400</v>
      </c>
    </row>
    <row r="2222" spans="1:9" x14ac:dyDescent="0.3">
      <c r="A2222" s="4" t="s">
        <v>2045</v>
      </c>
    </row>
    <row r="2223" spans="1:9" x14ac:dyDescent="0.3">
      <c r="B2223" s="5" t="s">
        <v>2041</v>
      </c>
      <c r="C2223" s="5" t="s">
        <v>10</v>
      </c>
      <c r="D2223" s="5" t="s">
        <v>2046</v>
      </c>
      <c r="E2223" s="5" t="s">
        <v>2047</v>
      </c>
      <c r="F2223" s="5" t="s">
        <v>1643</v>
      </c>
      <c r="G2223" s="5" t="s">
        <v>1644</v>
      </c>
      <c r="H2223" s="6">
        <v>70800</v>
      </c>
      <c r="I2223" s="5"/>
    </row>
    <row r="2224" spans="1:9" x14ac:dyDescent="0.3">
      <c r="B2224" s="5" t="s">
        <v>2041</v>
      </c>
      <c r="C2224" s="5" t="s">
        <v>10</v>
      </c>
      <c r="D2224" s="5" t="s">
        <v>2046</v>
      </c>
      <c r="E2224" s="5" t="s">
        <v>2047</v>
      </c>
      <c r="F2224" s="5" t="s">
        <v>13</v>
      </c>
      <c r="G2224" s="5" t="s">
        <v>14</v>
      </c>
      <c r="H2224" s="5"/>
      <c r="I2224" s="6">
        <v>70800</v>
      </c>
    </row>
    <row r="2225" spans="1:9" x14ac:dyDescent="0.3">
      <c r="A2225" s="7" t="s">
        <v>2048</v>
      </c>
      <c r="H2225" s="8">
        <f>H2223+H2224</f>
        <v>70800</v>
      </c>
      <c r="I2225" s="8">
        <f>I2223+I2224</f>
        <v>70800</v>
      </c>
    </row>
    <row r="2226" spans="1:9" x14ac:dyDescent="0.3">
      <c r="A2226" s="4" t="s">
        <v>2049</v>
      </c>
    </row>
    <row r="2227" spans="1:9" x14ac:dyDescent="0.3">
      <c r="B2227" s="5" t="s">
        <v>2041</v>
      </c>
      <c r="C2227" s="5" t="s">
        <v>10</v>
      </c>
      <c r="D2227" s="5" t="s">
        <v>2050</v>
      </c>
      <c r="E2227" s="5" t="s">
        <v>2051</v>
      </c>
      <c r="F2227" s="5" t="s">
        <v>2052</v>
      </c>
      <c r="G2227" s="5" t="s">
        <v>2053</v>
      </c>
      <c r="H2227" s="6">
        <v>70800</v>
      </c>
      <c r="I2227" s="5"/>
    </row>
    <row r="2228" spans="1:9" x14ac:dyDescent="0.3">
      <c r="B2228" s="5" t="s">
        <v>2041</v>
      </c>
      <c r="C2228" s="5" t="s">
        <v>10</v>
      </c>
      <c r="D2228" s="5" t="s">
        <v>2050</v>
      </c>
      <c r="E2228" s="5" t="s">
        <v>2051</v>
      </c>
      <c r="F2228" s="5" t="s">
        <v>655</v>
      </c>
      <c r="G2228" s="5" t="s">
        <v>656</v>
      </c>
      <c r="H2228" s="5"/>
      <c r="I2228" s="6">
        <v>23600</v>
      </c>
    </row>
    <row r="2229" spans="1:9" x14ac:dyDescent="0.3">
      <c r="B2229" s="5" t="s">
        <v>2041</v>
      </c>
      <c r="C2229" s="5" t="s">
        <v>10</v>
      </c>
      <c r="D2229" s="5" t="s">
        <v>2050</v>
      </c>
      <c r="E2229" s="5" t="s">
        <v>2051</v>
      </c>
      <c r="F2229" s="5" t="s">
        <v>657</v>
      </c>
      <c r="G2229" s="5" t="s">
        <v>658</v>
      </c>
      <c r="H2229" s="5"/>
      <c r="I2229" s="6">
        <v>23600</v>
      </c>
    </row>
    <row r="2230" spans="1:9" x14ac:dyDescent="0.3">
      <c r="B2230" s="5" t="s">
        <v>2041</v>
      </c>
      <c r="C2230" s="5" t="s">
        <v>10</v>
      </c>
      <c r="D2230" s="5" t="s">
        <v>2050</v>
      </c>
      <c r="E2230" s="5" t="s">
        <v>2051</v>
      </c>
      <c r="F2230" s="5" t="s">
        <v>659</v>
      </c>
      <c r="G2230" s="5" t="s">
        <v>660</v>
      </c>
      <c r="H2230" s="5"/>
      <c r="I2230" s="6">
        <v>23600</v>
      </c>
    </row>
    <row r="2231" spans="1:9" x14ac:dyDescent="0.3">
      <c r="A2231" s="7" t="s">
        <v>2054</v>
      </c>
      <c r="H2231" s="8">
        <f>H2227+H2228+H2229+H2230</f>
        <v>70800</v>
      </c>
      <c r="I2231" s="8">
        <f>I2227+I2228+I2229+I2230</f>
        <v>70800</v>
      </c>
    </row>
    <row r="2232" spans="1:9" x14ac:dyDescent="0.3">
      <c r="A2232" s="4" t="s">
        <v>2055</v>
      </c>
    </row>
    <row r="2233" spans="1:9" x14ac:dyDescent="0.3">
      <c r="B2233" s="5" t="s">
        <v>2041</v>
      </c>
      <c r="C2233" s="5" t="s">
        <v>10</v>
      </c>
      <c r="D2233" s="5" t="s">
        <v>2056</v>
      </c>
      <c r="E2233" s="5" t="s">
        <v>2057</v>
      </c>
      <c r="F2233" s="5" t="s">
        <v>655</v>
      </c>
      <c r="G2233" s="5" t="s">
        <v>656</v>
      </c>
      <c r="H2233" s="6">
        <v>23600</v>
      </c>
      <c r="I2233" s="5"/>
    </row>
    <row r="2234" spans="1:9" x14ac:dyDescent="0.3">
      <c r="B2234" s="5" t="s">
        <v>2041</v>
      </c>
      <c r="C2234" s="5" t="s">
        <v>10</v>
      </c>
      <c r="D2234" s="5" t="s">
        <v>2056</v>
      </c>
      <c r="E2234" s="5" t="s">
        <v>2058</v>
      </c>
      <c r="F2234" s="5" t="s">
        <v>657</v>
      </c>
      <c r="G2234" s="5" t="s">
        <v>658</v>
      </c>
      <c r="H2234" s="6">
        <v>23600</v>
      </c>
      <c r="I2234" s="5"/>
    </row>
    <row r="2235" spans="1:9" x14ac:dyDescent="0.3">
      <c r="B2235" s="5" t="s">
        <v>2041</v>
      </c>
      <c r="C2235" s="5" t="s">
        <v>10</v>
      </c>
      <c r="D2235" s="5" t="s">
        <v>2056</v>
      </c>
      <c r="E2235" s="5" t="s">
        <v>2059</v>
      </c>
      <c r="F2235" s="5" t="s">
        <v>659</v>
      </c>
      <c r="G2235" s="5" t="s">
        <v>660</v>
      </c>
      <c r="H2235" s="6">
        <v>23600</v>
      </c>
      <c r="I2235" s="5"/>
    </row>
    <row r="2236" spans="1:9" x14ac:dyDescent="0.3">
      <c r="B2236" s="5" t="s">
        <v>2041</v>
      </c>
      <c r="C2236" s="5" t="s">
        <v>10</v>
      </c>
      <c r="D2236" s="5" t="s">
        <v>2056</v>
      </c>
      <c r="E2236" s="5" t="s">
        <v>2060</v>
      </c>
      <c r="F2236" s="5" t="s">
        <v>1643</v>
      </c>
      <c r="G2236" s="5" t="s">
        <v>1644</v>
      </c>
      <c r="H2236" s="5"/>
      <c r="I2236" s="6">
        <v>70800</v>
      </c>
    </row>
    <row r="2237" spans="1:9" x14ac:dyDescent="0.3">
      <c r="A2237" s="7" t="s">
        <v>2061</v>
      </c>
      <c r="H2237" s="8">
        <f>H2233+H2234+H2235+H2236</f>
        <v>70800</v>
      </c>
      <c r="I2237" s="8">
        <f>I2233+I2234+I2235+I2236</f>
        <v>70800</v>
      </c>
    </row>
    <row r="2238" spans="1:9" x14ac:dyDescent="0.3">
      <c r="A2238" s="4" t="s">
        <v>2062</v>
      </c>
    </row>
    <row r="2239" spans="1:9" x14ac:dyDescent="0.3">
      <c r="B2239" s="5" t="s">
        <v>2041</v>
      </c>
      <c r="C2239" s="5" t="s">
        <v>10</v>
      </c>
      <c r="D2239" s="5" t="s">
        <v>2063</v>
      </c>
      <c r="E2239" s="5" t="s">
        <v>2064</v>
      </c>
      <c r="F2239" s="5" t="s">
        <v>1643</v>
      </c>
      <c r="G2239" s="5" t="s">
        <v>1644</v>
      </c>
      <c r="H2239" s="6">
        <v>70800</v>
      </c>
      <c r="I2239" s="5"/>
    </row>
    <row r="2240" spans="1:9" x14ac:dyDescent="0.3">
      <c r="B2240" s="5" t="s">
        <v>2041</v>
      </c>
      <c r="C2240" s="5" t="s">
        <v>10</v>
      </c>
      <c r="D2240" s="5" t="s">
        <v>2063</v>
      </c>
      <c r="E2240" s="5" t="s">
        <v>2064</v>
      </c>
      <c r="F2240" s="5" t="s">
        <v>13</v>
      </c>
      <c r="G2240" s="5" t="s">
        <v>14</v>
      </c>
      <c r="H2240" s="5"/>
      <c r="I2240" s="6">
        <v>70800</v>
      </c>
    </row>
    <row r="2241" spans="1:9" x14ac:dyDescent="0.3">
      <c r="A2241" s="7" t="s">
        <v>2065</v>
      </c>
      <c r="H2241" s="8">
        <f>H2239+H2240</f>
        <v>70800</v>
      </c>
      <c r="I2241" s="8">
        <f>I2239+I2240</f>
        <v>70800</v>
      </c>
    </row>
    <row r="2242" spans="1:9" x14ac:dyDescent="0.3">
      <c r="A2242" s="4" t="s">
        <v>2066</v>
      </c>
    </row>
    <row r="2243" spans="1:9" ht="21.6" x14ac:dyDescent="0.3">
      <c r="B2243" s="5" t="s">
        <v>2041</v>
      </c>
      <c r="C2243" s="5" t="s">
        <v>10</v>
      </c>
      <c r="D2243" s="5" t="s">
        <v>2067</v>
      </c>
      <c r="E2243" s="5" t="s">
        <v>2068</v>
      </c>
      <c r="F2243" s="5" t="s">
        <v>2052</v>
      </c>
      <c r="G2243" s="5" t="s">
        <v>2053</v>
      </c>
      <c r="H2243" s="6">
        <v>70800</v>
      </c>
      <c r="I2243" s="5"/>
    </row>
    <row r="2244" spans="1:9" ht="21.6" x14ac:dyDescent="0.3">
      <c r="B2244" s="5" t="s">
        <v>2041</v>
      </c>
      <c r="C2244" s="5" t="s">
        <v>10</v>
      </c>
      <c r="D2244" s="5" t="s">
        <v>2067</v>
      </c>
      <c r="E2244" s="5" t="s">
        <v>2068</v>
      </c>
      <c r="F2244" s="5" t="s">
        <v>655</v>
      </c>
      <c r="G2244" s="5" t="s">
        <v>656</v>
      </c>
      <c r="H2244" s="5"/>
      <c r="I2244" s="6">
        <v>23600</v>
      </c>
    </row>
    <row r="2245" spans="1:9" ht="21.6" x14ac:dyDescent="0.3">
      <c r="B2245" s="5" t="s">
        <v>2041</v>
      </c>
      <c r="C2245" s="5" t="s">
        <v>10</v>
      </c>
      <c r="D2245" s="5" t="s">
        <v>2067</v>
      </c>
      <c r="E2245" s="5" t="s">
        <v>2068</v>
      </c>
      <c r="F2245" s="5" t="s">
        <v>657</v>
      </c>
      <c r="G2245" s="5" t="s">
        <v>658</v>
      </c>
      <c r="H2245" s="5"/>
      <c r="I2245" s="6">
        <v>23600</v>
      </c>
    </row>
    <row r="2246" spans="1:9" ht="21.6" x14ac:dyDescent="0.3">
      <c r="B2246" s="5" t="s">
        <v>2041</v>
      </c>
      <c r="C2246" s="5" t="s">
        <v>10</v>
      </c>
      <c r="D2246" s="5" t="s">
        <v>2067</v>
      </c>
      <c r="E2246" s="5" t="s">
        <v>2068</v>
      </c>
      <c r="F2246" s="5" t="s">
        <v>659</v>
      </c>
      <c r="G2246" s="5" t="s">
        <v>660</v>
      </c>
      <c r="H2246" s="5"/>
      <c r="I2246" s="6">
        <v>23600</v>
      </c>
    </row>
    <row r="2247" spans="1:9" x14ac:dyDescent="0.3">
      <c r="A2247" s="7" t="s">
        <v>2069</v>
      </c>
      <c r="H2247" s="8">
        <f>H2243+H2244+H2245+H2246</f>
        <v>70800</v>
      </c>
      <c r="I2247" s="8">
        <f>I2243+I2244+I2245+I2246</f>
        <v>70800</v>
      </c>
    </row>
    <row r="2248" spans="1:9" x14ac:dyDescent="0.3">
      <c r="A2248" s="4" t="s">
        <v>2070</v>
      </c>
    </row>
    <row r="2249" spans="1:9" x14ac:dyDescent="0.3">
      <c r="B2249" s="5" t="s">
        <v>2041</v>
      </c>
      <c r="C2249" s="5" t="s">
        <v>10</v>
      </c>
      <c r="D2249" s="5" t="s">
        <v>2071</v>
      </c>
      <c r="E2249" s="5" t="s">
        <v>2072</v>
      </c>
      <c r="F2249" s="5" t="s">
        <v>655</v>
      </c>
      <c r="G2249" s="5" t="s">
        <v>656</v>
      </c>
      <c r="H2249" s="6">
        <v>23600</v>
      </c>
      <c r="I2249" s="5"/>
    </row>
    <row r="2250" spans="1:9" x14ac:dyDescent="0.3">
      <c r="B2250" s="5" t="s">
        <v>2041</v>
      </c>
      <c r="C2250" s="5" t="s">
        <v>10</v>
      </c>
      <c r="D2250" s="5" t="s">
        <v>2071</v>
      </c>
      <c r="E2250" s="5" t="s">
        <v>2073</v>
      </c>
      <c r="F2250" s="5" t="s">
        <v>657</v>
      </c>
      <c r="G2250" s="5" t="s">
        <v>658</v>
      </c>
      <c r="H2250" s="6">
        <v>23600</v>
      </c>
      <c r="I2250" s="5"/>
    </row>
    <row r="2251" spans="1:9" x14ac:dyDescent="0.3">
      <c r="B2251" s="5" t="s">
        <v>2041</v>
      </c>
      <c r="C2251" s="5" t="s">
        <v>10</v>
      </c>
      <c r="D2251" s="5" t="s">
        <v>2071</v>
      </c>
      <c r="E2251" s="5" t="s">
        <v>2074</v>
      </c>
      <c r="F2251" s="5" t="s">
        <v>659</v>
      </c>
      <c r="G2251" s="5" t="s">
        <v>660</v>
      </c>
      <c r="H2251" s="6">
        <v>23600</v>
      </c>
      <c r="I2251" s="5"/>
    </row>
    <row r="2252" spans="1:9" x14ac:dyDescent="0.3">
      <c r="B2252" s="5" t="s">
        <v>2041</v>
      </c>
      <c r="C2252" s="5" t="s">
        <v>10</v>
      </c>
      <c r="D2252" s="5" t="s">
        <v>2071</v>
      </c>
      <c r="E2252" s="5" t="s">
        <v>2075</v>
      </c>
      <c r="F2252" s="5" t="s">
        <v>1643</v>
      </c>
      <c r="G2252" s="5" t="s">
        <v>1644</v>
      </c>
      <c r="H2252" s="5"/>
      <c r="I2252" s="6">
        <v>70800</v>
      </c>
    </row>
    <row r="2253" spans="1:9" x14ac:dyDescent="0.3">
      <c r="A2253" s="7" t="s">
        <v>2076</v>
      </c>
      <c r="H2253" s="8">
        <f>H2249+H2250+H2251+H2252</f>
        <v>70800</v>
      </c>
      <c r="I2253" s="8">
        <f>I2249+I2250+I2251+I2252</f>
        <v>70800</v>
      </c>
    </row>
    <row r="2254" spans="1:9" x14ac:dyDescent="0.3">
      <c r="A2254" s="4" t="s">
        <v>2077</v>
      </c>
    </row>
    <row r="2255" spans="1:9" x14ac:dyDescent="0.3">
      <c r="B2255" s="5" t="s">
        <v>2041</v>
      </c>
      <c r="C2255" s="5" t="s">
        <v>10</v>
      </c>
      <c r="D2255" s="5" t="s">
        <v>2078</v>
      </c>
      <c r="E2255" s="5" t="s">
        <v>2079</v>
      </c>
      <c r="F2255" s="5" t="s">
        <v>61</v>
      </c>
      <c r="G2255" s="5" t="s">
        <v>62</v>
      </c>
      <c r="H2255" s="6">
        <v>670</v>
      </c>
      <c r="I2255" s="5"/>
    </row>
    <row r="2256" spans="1:9" x14ac:dyDescent="0.3">
      <c r="B2256" s="5" t="s">
        <v>2041</v>
      </c>
      <c r="C2256" s="5" t="s">
        <v>10</v>
      </c>
      <c r="D2256" s="5" t="s">
        <v>2078</v>
      </c>
      <c r="E2256" s="5" t="s">
        <v>2079</v>
      </c>
      <c r="F2256" s="5" t="s">
        <v>1643</v>
      </c>
      <c r="G2256" s="5" t="s">
        <v>1644</v>
      </c>
      <c r="H2256" s="5"/>
      <c r="I2256" s="6">
        <v>670</v>
      </c>
    </row>
    <row r="2257" spans="1:9" x14ac:dyDescent="0.3">
      <c r="A2257" s="7" t="s">
        <v>2080</v>
      </c>
      <c r="H2257" s="8">
        <f>H2255+H2256</f>
        <v>670</v>
      </c>
      <c r="I2257" s="8">
        <f>I2255+I2256</f>
        <v>670</v>
      </c>
    </row>
    <row r="2258" spans="1:9" x14ac:dyDescent="0.3">
      <c r="A2258" s="4" t="s">
        <v>2081</v>
      </c>
    </row>
    <row r="2259" spans="1:9" x14ac:dyDescent="0.3">
      <c r="B2259" s="5" t="s">
        <v>2082</v>
      </c>
      <c r="C2259" s="5" t="s">
        <v>10</v>
      </c>
      <c r="D2259" s="5" t="s">
        <v>2083</v>
      </c>
      <c r="E2259" s="5" t="s">
        <v>2084</v>
      </c>
      <c r="F2259" s="5" t="s">
        <v>1643</v>
      </c>
      <c r="G2259" s="5" t="s">
        <v>1644</v>
      </c>
      <c r="H2259" s="6">
        <v>60000</v>
      </c>
      <c r="I2259" s="5"/>
    </row>
    <row r="2260" spans="1:9" x14ac:dyDescent="0.3">
      <c r="B2260" s="5" t="s">
        <v>2082</v>
      </c>
      <c r="C2260" s="5" t="s">
        <v>10</v>
      </c>
      <c r="D2260" s="5" t="s">
        <v>2083</v>
      </c>
      <c r="E2260" s="5" t="s">
        <v>2084</v>
      </c>
      <c r="F2260" s="5" t="s">
        <v>13</v>
      </c>
      <c r="G2260" s="5" t="s">
        <v>14</v>
      </c>
      <c r="H2260" s="5"/>
      <c r="I2260" s="6">
        <v>60000</v>
      </c>
    </row>
    <row r="2261" spans="1:9" x14ac:dyDescent="0.3">
      <c r="A2261" s="7" t="s">
        <v>2085</v>
      </c>
      <c r="H2261" s="8">
        <f>H2259+H2260</f>
        <v>60000</v>
      </c>
      <c r="I2261" s="8">
        <f>I2259+I2260</f>
        <v>60000</v>
      </c>
    </row>
    <row r="2262" spans="1:9" x14ac:dyDescent="0.3">
      <c r="A2262" s="4" t="s">
        <v>2086</v>
      </c>
    </row>
    <row r="2263" spans="1:9" x14ac:dyDescent="0.3">
      <c r="B2263" s="5" t="s">
        <v>2082</v>
      </c>
      <c r="C2263" s="5" t="s">
        <v>10</v>
      </c>
      <c r="D2263" s="5" t="s">
        <v>2087</v>
      </c>
      <c r="E2263" s="5" t="s">
        <v>2088</v>
      </c>
      <c r="F2263" s="5" t="s">
        <v>26</v>
      </c>
      <c r="G2263" s="5" t="s">
        <v>27</v>
      </c>
      <c r="H2263" s="6">
        <v>60000</v>
      </c>
      <c r="I2263" s="5"/>
    </row>
    <row r="2264" spans="1:9" x14ac:dyDescent="0.3">
      <c r="B2264" s="5" t="s">
        <v>2082</v>
      </c>
      <c r="C2264" s="5" t="s">
        <v>10</v>
      </c>
      <c r="D2264" s="5" t="s">
        <v>2087</v>
      </c>
      <c r="E2264" s="5" t="s">
        <v>2088</v>
      </c>
      <c r="F2264" s="5" t="s">
        <v>1643</v>
      </c>
      <c r="G2264" s="5" t="s">
        <v>1644</v>
      </c>
      <c r="H2264" s="5"/>
      <c r="I2264" s="6">
        <v>60000</v>
      </c>
    </row>
    <row r="2265" spans="1:9" x14ac:dyDescent="0.3">
      <c r="A2265" s="7" t="s">
        <v>2089</v>
      </c>
      <c r="H2265" s="8">
        <f>H2263+H2264</f>
        <v>60000</v>
      </c>
      <c r="I2265" s="8">
        <f>I2263+I2264</f>
        <v>60000</v>
      </c>
    </row>
    <row r="2266" spans="1:9" x14ac:dyDescent="0.3">
      <c r="A2266" s="4" t="s">
        <v>2090</v>
      </c>
    </row>
    <row r="2267" spans="1:9" x14ac:dyDescent="0.3">
      <c r="B2267" s="5" t="s">
        <v>2082</v>
      </c>
      <c r="C2267" s="5" t="s">
        <v>10</v>
      </c>
      <c r="D2267" s="5" t="s">
        <v>2091</v>
      </c>
      <c r="E2267" s="5" t="s">
        <v>2092</v>
      </c>
      <c r="F2267" s="5" t="s">
        <v>1643</v>
      </c>
      <c r="G2267" s="5" t="s">
        <v>1644</v>
      </c>
      <c r="H2267" s="6">
        <v>281320</v>
      </c>
      <c r="I2267" s="5"/>
    </row>
    <row r="2268" spans="1:9" x14ac:dyDescent="0.3">
      <c r="B2268" s="5" t="s">
        <v>2082</v>
      </c>
      <c r="C2268" s="5" t="s">
        <v>10</v>
      </c>
      <c r="D2268" s="5" t="s">
        <v>2091</v>
      </c>
      <c r="E2268" s="5" t="s">
        <v>2092</v>
      </c>
      <c r="F2268" s="5" t="s">
        <v>13</v>
      </c>
      <c r="G2268" s="5" t="s">
        <v>14</v>
      </c>
      <c r="H2268" s="5"/>
      <c r="I2268" s="6">
        <v>281320</v>
      </c>
    </row>
    <row r="2269" spans="1:9" x14ac:dyDescent="0.3">
      <c r="A2269" s="7" t="s">
        <v>2093</v>
      </c>
      <c r="H2269" s="8">
        <f>H2267+H2268</f>
        <v>281320</v>
      </c>
      <c r="I2269" s="8">
        <f>I2267+I2268</f>
        <v>281320</v>
      </c>
    </row>
    <row r="2270" spans="1:9" x14ac:dyDescent="0.3">
      <c r="A2270" s="4" t="s">
        <v>2094</v>
      </c>
    </row>
    <row r="2271" spans="1:9" x14ac:dyDescent="0.3">
      <c r="B2271" s="5" t="s">
        <v>2082</v>
      </c>
      <c r="C2271" s="5" t="s">
        <v>10</v>
      </c>
      <c r="D2271" s="5" t="s">
        <v>2095</v>
      </c>
      <c r="E2271" s="5" t="s">
        <v>2096</v>
      </c>
      <c r="F2271" s="5" t="s">
        <v>1343</v>
      </c>
      <c r="G2271" s="5" t="s">
        <v>1344</v>
      </c>
      <c r="H2271" s="6">
        <v>150000</v>
      </c>
      <c r="I2271" s="5"/>
    </row>
    <row r="2272" spans="1:9" x14ac:dyDescent="0.3">
      <c r="B2272" s="5" t="s">
        <v>2082</v>
      </c>
      <c r="C2272" s="5" t="s">
        <v>10</v>
      </c>
      <c r="D2272" s="5" t="s">
        <v>2095</v>
      </c>
      <c r="E2272" s="5" t="s">
        <v>2096</v>
      </c>
      <c r="F2272" s="5" t="s">
        <v>443</v>
      </c>
      <c r="G2272" s="5" t="s">
        <v>444</v>
      </c>
      <c r="H2272" s="6">
        <v>37100</v>
      </c>
      <c r="I2272" s="5"/>
    </row>
    <row r="2273" spans="1:9" x14ac:dyDescent="0.3">
      <c r="B2273" s="5" t="s">
        <v>2082</v>
      </c>
      <c r="C2273" s="5" t="s">
        <v>10</v>
      </c>
      <c r="D2273" s="5" t="s">
        <v>2095</v>
      </c>
      <c r="E2273" s="5" t="s">
        <v>2096</v>
      </c>
      <c r="F2273" s="5" t="s">
        <v>445</v>
      </c>
      <c r="G2273" s="5" t="s">
        <v>446</v>
      </c>
      <c r="H2273" s="6">
        <v>37100</v>
      </c>
      <c r="I2273" s="5"/>
    </row>
    <row r="2274" spans="1:9" x14ac:dyDescent="0.3">
      <c r="B2274" s="5" t="s">
        <v>2082</v>
      </c>
      <c r="C2274" s="5" t="s">
        <v>10</v>
      </c>
      <c r="D2274" s="5" t="s">
        <v>2095</v>
      </c>
      <c r="E2274" s="5" t="s">
        <v>2096</v>
      </c>
      <c r="F2274" s="5" t="s">
        <v>549</v>
      </c>
      <c r="G2274" s="5" t="s">
        <v>550</v>
      </c>
      <c r="H2274" s="6">
        <v>23500</v>
      </c>
      <c r="I2274" s="5"/>
    </row>
    <row r="2275" spans="1:9" x14ac:dyDescent="0.3">
      <c r="B2275" s="5" t="s">
        <v>2082</v>
      </c>
      <c r="C2275" s="5" t="s">
        <v>10</v>
      </c>
      <c r="D2275" s="5" t="s">
        <v>2095</v>
      </c>
      <c r="E2275" s="5" t="s">
        <v>2096</v>
      </c>
      <c r="F2275" s="5" t="s">
        <v>449</v>
      </c>
      <c r="G2275" s="5" t="s">
        <v>450</v>
      </c>
      <c r="H2275" s="6">
        <v>6960</v>
      </c>
      <c r="I2275" s="5"/>
    </row>
    <row r="2276" spans="1:9" x14ac:dyDescent="0.3">
      <c r="B2276" s="5" t="s">
        <v>2082</v>
      </c>
      <c r="C2276" s="5" t="s">
        <v>10</v>
      </c>
      <c r="D2276" s="5" t="s">
        <v>2095</v>
      </c>
      <c r="E2276" s="5" t="s">
        <v>2096</v>
      </c>
      <c r="F2276" s="5" t="s">
        <v>453</v>
      </c>
      <c r="G2276" s="5" t="s">
        <v>454</v>
      </c>
      <c r="H2276" s="6">
        <v>1860</v>
      </c>
      <c r="I2276" s="5"/>
    </row>
    <row r="2277" spans="1:9" x14ac:dyDescent="0.3">
      <c r="B2277" s="5" t="s">
        <v>2082</v>
      </c>
      <c r="C2277" s="5" t="s">
        <v>10</v>
      </c>
      <c r="D2277" s="5" t="s">
        <v>2095</v>
      </c>
      <c r="E2277" s="5" t="s">
        <v>2096</v>
      </c>
      <c r="F2277" s="5" t="s">
        <v>451</v>
      </c>
      <c r="G2277" s="5" t="s">
        <v>452</v>
      </c>
      <c r="H2277" s="6">
        <v>6960</v>
      </c>
      <c r="I2277" s="5"/>
    </row>
    <row r="2278" spans="1:9" x14ac:dyDescent="0.3">
      <c r="B2278" s="5" t="s">
        <v>2082</v>
      </c>
      <c r="C2278" s="5" t="s">
        <v>10</v>
      </c>
      <c r="D2278" s="5" t="s">
        <v>2095</v>
      </c>
      <c r="E2278" s="5" t="s">
        <v>2096</v>
      </c>
      <c r="F2278" s="5" t="s">
        <v>547</v>
      </c>
      <c r="G2278" s="5" t="s">
        <v>548</v>
      </c>
      <c r="H2278" s="6">
        <v>4980</v>
      </c>
      <c r="I2278" s="5"/>
    </row>
    <row r="2279" spans="1:9" x14ac:dyDescent="0.3">
      <c r="B2279" s="5" t="s">
        <v>2082</v>
      </c>
      <c r="C2279" s="5" t="s">
        <v>10</v>
      </c>
      <c r="D2279" s="5" t="s">
        <v>2095</v>
      </c>
      <c r="E2279" s="5" t="s">
        <v>2096</v>
      </c>
      <c r="F2279" s="5" t="s">
        <v>1199</v>
      </c>
      <c r="G2279" s="5" t="s">
        <v>1200</v>
      </c>
      <c r="H2279" s="6">
        <v>2950</v>
      </c>
      <c r="I2279" s="5"/>
    </row>
    <row r="2280" spans="1:9" x14ac:dyDescent="0.3">
      <c r="B2280" s="5" t="s">
        <v>2082</v>
      </c>
      <c r="C2280" s="5" t="s">
        <v>10</v>
      </c>
      <c r="D2280" s="5" t="s">
        <v>2095</v>
      </c>
      <c r="E2280" s="5" t="s">
        <v>2096</v>
      </c>
      <c r="F2280" s="5" t="s">
        <v>1196</v>
      </c>
      <c r="G2280" s="5" t="s">
        <v>1197</v>
      </c>
      <c r="H2280" s="6">
        <v>2950</v>
      </c>
      <c r="I2280" s="5"/>
    </row>
    <row r="2281" spans="1:9" x14ac:dyDescent="0.3">
      <c r="B2281" s="5" t="s">
        <v>2082</v>
      </c>
      <c r="C2281" s="5" t="s">
        <v>10</v>
      </c>
      <c r="D2281" s="5" t="s">
        <v>2095</v>
      </c>
      <c r="E2281" s="5" t="s">
        <v>2096</v>
      </c>
      <c r="F2281" s="5" t="s">
        <v>1346</v>
      </c>
      <c r="G2281" s="5" t="s">
        <v>1347</v>
      </c>
      <c r="H2281" s="6">
        <v>6960</v>
      </c>
      <c r="I2281" s="5"/>
    </row>
    <row r="2282" spans="1:9" x14ac:dyDescent="0.3">
      <c r="B2282" s="5" t="s">
        <v>2082</v>
      </c>
      <c r="C2282" s="5" t="s">
        <v>10</v>
      </c>
      <c r="D2282" s="5" t="s">
        <v>2095</v>
      </c>
      <c r="E2282" s="5" t="s">
        <v>2096</v>
      </c>
      <c r="F2282" s="5" t="s">
        <v>1643</v>
      </c>
      <c r="G2282" s="5" t="s">
        <v>1644</v>
      </c>
      <c r="H2282" s="5"/>
      <c r="I2282" s="6">
        <v>281320</v>
      </c>
    </row>
    <row r="2283" spans="1:9" x14ac:dyDescent="0.3">
      <c r="A2283" s="7" t="s">
        <v>2097</v>
      </c>
      <c r="H2283" s="8">
        <f>H2271+H2272+H2273+H2274+H2275+H2276+H2277+H2278+H2279+H2280+H2281+H2282</f>
        <v>281320</v>
      </c>
      <c r="I2283" s="8">
        <f>I2271+I2272+I2273+I2274+I2275+I2276+I2277+I2278+I2279+I2280+I2281+I2282</f>
        <v>281320</v>
      </c>
    </row>
    <row r="2284" spans="1:9" x14ac:dyDescent="0.3">
      <c r="A2284" s="4" t="s">
        <v>2098</v>
      </c>
    </row>
    <row r="2285" spans="1:9" x14ac:dyDescent="0.3">
      <c r="B2285" s="5" t="s">
        <v>2082</v>
      </c>
      <c r="C2285" s="5" t="s">
        <v>10</v>
      </c>
      <c r="D2285" s="5" t="s">
        <v>2099</v>
      </c>
      <c r="E2285" s="5" t="s">
        <v>2079</v>
      </c>
      <c r="F2285" s="5" t="s">
        <v>61</v>
      </c>
      <c r="G2285" s="5" t="s">
        <v>62</v>
      </c>
      <c r="H2285" s="6">
        <v>210</v>
      </c>
      <c r="I2285" s="5"/>
    </row>
    <row r="2286" spans="1:9" x14ac:dyDescent="0.3">
      <c r="B2286" s="5" t="s">
        <v>2082</v>
      </c>
      <c r="C2286" s="5" t="s">
        <v>10</v>
      </c>
      <c r="D2286" s="5" t="s">
        <v>2099</v>
      </c>
      <c r="E2286" s="5" t="s">
        <v>2079</v>
      </c>
      <c r="F2286" s="5" t="s">
        <v>1643</v>
      </c>
      <c r="G2286" s="5" t="s">
        <v>1644</v>
      </c>
      <c r="H2286" s="5"/>
      <c r="I2286" s="6">
        <v>210</v>
      </c>
    </row>
    <row r="2287" spans="1:9" x14ac:dyDescent="0.3">
      <c r="A2287" s="7" t="s">
        <v>2100</v>
      </c>
      <c r="H2287" s="8">
        <f>H2285+H2286</f>
        <v>210</v>
      </c>
      <c r="I2287" s="8">
        <f>I2285+I2286</f>
        <v>210</v>
      </c>
    </row>
    <row r="2288" spans="1:9" x14ac:dyDescent="0.3">
      <c r="A2288" s="4" t="s">
        <v>2101</v>
      </c>
    </row>
    <row r="2289" spans="1:9" x14ac:dyDescent="0.3">
      <c r="B2289" s="5" t="s">
        <v>2082</v>
      </c>
      <c r="C2289" s="5" t="s">
        <v>10</v>
      </c>
      <c r="D2289" s="5" t="s">
        <v>2102</v>
      </c>
      <c r="E2289" s="5" t="s">
        <v>2103</v>
      </c>
      <c r="F2289" s="5" t="s">
        <v>70</v>
      </c>
      <c r="G2289" s="5" t="s">
        <v>71</v>
      </c>
      <c r="H2289" s="6">
        <v>470</v>
      </c>
      <c r="I2289" s="5"/>
    </row>
    <row r="2290" spans="1:9" x14ac:dyDescent="0.3">
      <c r="B2290" s="5" t="s">
        <v>2082</v>
      </c>
      <c r="C2290" s="5" t="s">
        <v>10</v>
      </c>
      <c r="D2290" s="5" t="s">
        <v>2102</v>
      </c>
      <c r="E2290" s="5" t="s">
        <v>2103</v>
      </c>
      <c r="F2290" s="5" t="s">
        <v>1643</v>
      </c>
      <c r="G2290" s="5" t="s">
        <v>1644</v>
      </c>
      <c r="H2290" s="5"/>
      <c r="I2290" s="6">
        <v>470</v>
      </c>
    </row>
    <row r="2291" spans="1:9" x14ac:dyDescent="0.3">
      <c r="B2291" s="5" t="s">
        <v>2082</v>
      </c>
      <c r="C2291" s="5" t="s">
        <v>10</v>
      </c>
      <c r="D2291" s="5" t="s">
        <v>2102</v>
      </c>
      <c r="E2291" s="5" t="s">
        <v>2104</v>
      </c>
      <c r="F2291" s="5" t="s">
        <v>67</v>
      </c>
      <c r="G2291" s="5" t="s">
        <v>68</v>
      </c>
      <c r="H2291" s="6">
        <v>60</v>
      </c>
      <c r="I2291" s="5"/>
    </row>
    <row r="2292" spans="1:9" x14ac:dyDescent="0.3">
      <c r="B2292" s="5" t="s">
        <v>2082</v>
      </c>
      <c r="C2292" s="5" t="s">
        <v>10</v>
      </c>
      <c r="D2292" s="5" t="s">
        <v>2102</v>
      </c>
      <c r="E2292" s="5" t="s">
        <v>2104</v>
      </c>
      <c r="F2292" s="5" t="s">
        <v>1643</v>
      </c>
      <c r="G2292" s="5" t="s">
        <v>1644</v>
      </c>
      <c r="H2292" s="5"/>
      <c r="I2292" s="6">
        <v>60</v>
      </c>
    </row>
    <row r="2293" spans="1:9" x14ac:dyDescent="0.3">
      <c r="A2293" s="7" t="s">
        <v>2105</v>
      </c>
      <c r="H2293" s="8">
        <f>H2289+H2290+H2291+H2292</f>
        <v>530</v>
      </c>
      <c r="I2293" s="8">
        <f>I2289+I2290+I2291+I2292</f>
        <v>530</v>
      </c>
    </row>
    <row r="2294" spans="1:9" x14ac:dyDescent="0.3">
      <c r="A2294" s="4" t="s">
        <v>2106</v>
      </c>
    </row>
    <row r="2295" spans="1:9" x14ac:dyDescent="0.3">
      <c r="B2295" s="5" t="s">
        <v>2082</v>
      </c>
      <c r="C2295" s="5" t="s">
        <v>10</v>
      </c>
      <c r="D2295" s="5" t="s">
        <v>2107</v>
      </c>
      <c r="E2295" s="5" t="s">
        <v>1638</v>
      </c>
      <c r="F2295" s="5" t="s">
        <v>67</v>
      </c>
      <c r="G2295" s="5" t="s">
        <v>68</v>
      </c>
      <c r="H2295" s="6">
        <v>500</v>
      </c>
      <c r="I2295" s="5"/>
    </row>
    <row r="2296" spans="1:9" x14ac:dyDescent="0.3">
      <c r="B2296" s="5" t="s">
        <v>2082</v>
      </c>
      <c r="C2296" s="5" t="s">
        <v>10</v>
      </c>
      <c r="D2296" s="5" t="s">
        <v>2107</v>
      </c>
      <c r="E2296" s="5" t="s">
        <v>1638</v>
      </c>
      <c r="F2296" s="5" t="s">
        <v>1643</v>
      </c>
      <c r="G2296" s="5" t="s">
        <v>1644</v>
      </c>
      <c r="H2296" s="5"/>
      <c r="I2296" s="6">
        <v>500</v>
      </c>
    </row>
    <row r="2297" spans="1:9" x14ac:dyDescent="0.3">
      <c r="A2297" s="7" t="s">
        <v>2108</v>
      </c>
      <c r="H2297" s="8">
        <f>H2295+H2296</f>
        <v>500</v>
      </c>
      <c r="I2297" s="8">
        <f>I2295+I2296</f>
        <v>500</v>
      </c>
    </row>
    <row r="2298" spans="1:9" x14ac:dyDescent="0.3">
      <c r="A2298" s="4" t="s">
        <v>2109</v>
      </c>
    </row>
    <row r="2299" spans="1:9" x14ac:dyDescent="0.3">
      <c r="B2299" s="5" t="s">
        <v>2082</v>
      </c>
      <c r="C2299" s="5" t="s">
        <v>10</v>
      </c>
      <c r="D2299" s="5" t="s">
        <v>2110</v>
      </c>
      <c r="E2299" s="5" t="s">
        <v>1634</v>
      </c>
      <c r="F2299" s="5" t="s">
        <v>116</v>
      </c>
      <c r="G2299" s="5" t="s">
        <v>117</v>
      </c>
      <c r="H2299" s="6">
        <v>500</v>
      </c>
      <c r="I2299" s="5"/>
    </row>
    <row r="2300" spans="1:9" x14ac:dyDescent="0.3">
      <c r="B2300" s="5" t="s">
        <v>2082</v>
      </c>
      <c r="C2300" s="5" t="s">
        <v>10</v>
      </c>
      <c r="D2300" s="5" t="s">
        <v>2110</v>
      </c>
      <c r="E2300" s="5" t="s">
        <v>1634</v>
      </c>
      <c r="F2300" s="5" t="s">
        <v>1643</v>
      </c>
      <c r="G2300" s="5" t="s">
        <v>1644</v>
      </c>
      <c r="H2300" s="5"/>
      <c r="I2300" s="6">
        <v>500</v>
      </c>
    </row>
    <row r="2301" spans="1:9" x14ac:dyDescent="0.3">
      <c r="A2301" s="7" t="s">
        <v>2111</v>
      </c>
      <c r="H2301" s="8">
        <f>H2299+H2300</f>
        <v>500</v>
      </c>
      <c r="I2301" s="8">
        <f>I2299+I2300</f>
        <v>500</v>
      </c>
    </row>
    <row r="2302" spans="1:9" x14ac:dyDescent="0.3">
      <c r="A2302" s="4" t="s">
        <v>2112</v>
      </c>
    </row>
    <row r="2303" spans="1:9" x14ac:dyDescent="0.3">
      <c r="B2303" s="5" t="s">
        <v>2082</v>
      </c>
      <c r="C2303" s="5" t="s">
        <v>10</v>
      </c>
      <c r="D2303" s="5" t="s">
        <v>2113</v>
      </c>
      <c r="E2303" s="5" t="s">
        <v>2114</v>
      </c>
      <c r="F2303" s="5" t="s">
        <v>1643</v>
      </c>
      <c r="G2303" s="5" t="s">
        <v>1644</v>
      </c>
      <c r="H2303" s="6">
        <v>25150</v>
      </c>
      <c r="I2303" s="5"/>
    </row>
    <row r="2304" spans="1:9" x14ac:dyDescent="0.3">
      <c r="B2304" s="5" t="s">
        <v>2082</v>
      </c>
      <c r="C2304" s="5" t="s">
        <v>10</v>
      </c>
      <c r="D2304" s="5" t="s">
        <v>2113</v>
      </c>
      <c r="E2304" s="5" t="s">
        <v>2114</v>
      </c>
      <c r="F2304" s="5" t="s">
        <v>13</v>
      </c>
      <c r="G2304" s="5" t="s">
        <v>14</v>
      </c>
      <c r="H2304" s="5"/>
      <c r="I2304" s="6">
        <v>25150</v>
      </c>
    </row>
    <row r="2305" spans="1:9" x14ac:dyDescent="0.3">
      <c r="A2305" s="7" t="s">
        <v>2115</v>
      </c>
      <c r="H2305" s="8">
        <f>H2303+H2304</f>
        <v>25150</v>
      </c>
      <c r="I2305" s="8">
        <f>I2303+I2304</f>
        <v>25150</v>
      </c>
    </row>
    <row r="2306" spans="1:9" x14ac:dyDescent="0.3">
      <c r="A2306" s="4" t="s">
        <v>2116</v>
      </c>
    </row>
    <row r="2307" spans="1:9" x14ac:dyDescent="0.3">
      <c r="B2307" s="5" t="s">
        <v>2082</v>
      </c>
      <c r="C2307" s="5" t="s">
        <v>10</v>
      </c>
      <c r="D2307" s="5" t="s">
        <v>2117</v>
      </c>
      <c r="E2307" s="5" t="s">
        <v>2118</v>
      </c>
      <c r="F2307" s="5" t="s">
        <v>441</v>
      </c>
      <c r="G2307" s="5" t="s">
        <v>442</v>
      </c>
      <c r="H2307" s="6">
        <v>25150</v>
      </c>
      <c r="I2307" s="5"/>
    </row>
    <row r="2308" spans="1:9" x14ac:dyDescent="0.3">
      <c r="B2308" s="5" t="s">
        <v>2082</v>
      </c>
      <c r="C2308" s="5" t="s">
        <v>10</v>
      </c>
      <c r="D2308" s="5" t="s">
        <v>2117</v>
      </c>
      <c r="E2308" s="5" t="s">
        <v>2118</v>
      </c>
      <c r="F2308" s="5" t="s">
        <v>1643</v>
      </c>
      <c r="G2308" s="5" t="s">
        <v>1644</v>
      </c>
      <c r="H2308" s="5"/>
      <c r="I2308" s="6">
        <v>25150</v>
      </c>
    </row>
    <row r="2309" spans="1:9" x14ac:dyDescent="0.3">
      <c r="A2309" s="7" t="s">
        <v>2119</v>
      </c>
      <c r="H2309" s="8">
        <f>H2307+H2308</f>
        <v>25150</v>
      </c>
      <c r="I2309" s="8">
        <f>I2307+I2308</f>
        <v>25150</v>
      </c>
    </row>
    <row r="2310" spans="1:9" x14ac:dyDescent="0.3">
      <c r="A2310" s="4" t="s">
        <v>2120</v>
      </c>
    </row>
    <row r="2311" spans="1:9" x14ac:dyDescent="0.3">
      <c r="B2311" s="5" t="s">
        <v>2121</v>
      </c>
      <c r="C2311" s="5" t="s">
        <v>844</v>
      </c>
      <c r="D2311" s="5" t="s">
        <v>2122</v>
      </c>
      <c r="E2311" s="5" t="s">
        <v>2123</v>
      </c>
      <c r="F2311" s="5" t="s">
        <v>847</v>
      </c>
      <c r="G2311" s="5" t="s">
        <v>848</v>
      </c>
      <c r="H2311" s="6">
        <v>25093.35</v>
      </c>
      <c r="I2311" s="5"/>
    </row>
    <row r="2312" spans="1:9" x14ac:dyDescent="0.3">
      <c r="B2312" s="5" t="s">
        <v>2121</v>
      </c>
      <c r="C2312" s="5" t="s">
        <v>844</v>
      </c>
      <c r="D2312" s="5" t="s">
        <v>2122</v>
      </c>
      <c r="E2312" s="5" t="s">
        <v>2123</v>
      </c>
      <c r="F2312" s="5" t="s">
        <v>831</v>
      </c>
      <c r="G2312" s="5" t="s">
        <v>832</v>
      </c>
      <c r="H2312" s="5"/>
      <c r="I2312" s="6">
        <v>21265.55</v>
      </c>
    </row>
    <row r="2313" spans="1:9" x14ac:dyDescent="0.3">
      <c r="B2313" s="5" t="s">
        <v>2121</v>
      </c>
      <c r="C2313" s="5" t="s">
        <v>844</v>
      </c>
      <c r="D2313" s="5" t="s">
        <v>2122</v>
      </c>
      <c r="E2313" s="5" t="s">
        <v>2124</v>
      </c>
      <c r="F2313" s="5" t="s">
        <v>867</v>
      </c>
      <c r="G2313" s="5" t="s">
        <v>868</v>
      </c>
      <c r="H2313" s="5"/>
      <c r="I2313" s="6">
        <v>3827.8</v>
      </c>
    </row>
    <row r="2314" spans="1:9" x14ac:dyDescent="0.3">
      <c r="A2314" s="7" t="s">
        <v>2125</v>
      </c>
      <c r="H2314" s="8">
        <f>H2311+H2312+H2313</f>
        <v>25093.35</v>
      </c>
      <c r="I2314" s="8">
        <f>I2311+I2312+I2313</f>
        <v>25093.35</v>
      </c>
    </row>
    <row r="2315" spans="1:9" x14ac:dyDescent="0.3">
      <c r="A2315" s="4" t="s">
        <v>2126</v>
      </c>
    </row>
    <row r="2316" spans="1:9" x14ac:dyDescent="0.3">
      <c r="B2316" s="5" t="s">
        <v>2121</v>
      </c>
      <c r="C2316" s="5" t="s">
        <v>844</v>
      </c>
      <c r="D2316" s="5" t="s">
        <v>2127</v>
      </c>
      <c r="E2316" s="5" t="s">
        <v>2128</v>
      </c>
      <c r="F2316" s="5" t="s">
        <v>847</v>
      </c>
      <c r="G2316" s="5" t="s">
        <v>848</v>
      </c>
      <c r="H2316" s="6">
        <v>36314.15</v>
      </c>
      <c r="I2316" s="5"/>
    </row>
    <row r="2317" spans="1:9" x14ac:dyDescent="0.3">
      <c r="B2317" s="5" t="s">
        <v>2121</v>
      </c>
      <c r="C2317" s="5" t="s">
        <v>844</v>
      </c>
      <c r="D2317" s="5" t="s">
        <v>2127</v>
      </c>
      <c r="E2317" s="5" t="s">
        <v>2128</v>
      </c>
      <c r="F2317" s="5" t="s">
        <v>831</v>
      </c>
      <c r="G2317" s="5" t="s">
        <v>832</v>
      </c>
      <c r="H2317" s="5"/>
      <c r="I2317" s="6">
        <v>30774.7</v>
      </c>
    </row>
    <row r="2318" spans="1:9" x14ac:dyDescent="0.3">
      <c r="B2318" s="5" t="s">
        <v>2121</v>
      </c>
      <c r="C2318" s="5" t="s">
        <v>844</v>
      </c>
      <c r="D2318" s="5" t="s">
        <v>2127</v>
      </c>
      <c r="E2318" s="5" t="s">
        <v>2129</v>
      </c>
      <c r="F2318" s="5" t="s">
        <v>867</v>
      </c>
      <c r="G2318" s="5" t="s">
        <v>868</v>
      </c>
      <c r="H2318" s="5"/>
      <c r="I2318" s="6">
        <v>5539.45</v>
      </c>
    </row>
    <row r="2319" spans="1:9" x14ac:dyDescent="0.3">
      <c r="A2319" s="7" t="s">
        <v>2130</v>
      </c>
      <c r="H2319" s="8">
        <f>H2316+H2317+H2318</f>
        <v>36314.15</v>
      </c>
      <c r="I2319" s="8">
        <f>I2316+I2317+I2318</f>
        <v>36314.15</v>
      </c>
    </row>
    <row r="2320" spans="1:9" x14ac:dyDescent="0.3">
      <c r="A2320" s="4" t="s">
        <v>2131</v>
      </c>
    </row>
    <row r="2321" spans="1:9" x14ac:dyDescent="0.3">
      <c r="B2321" s="5" t="s">
        <v>2121</v>
      </c>
      <c r="C2321" s="5" t="s">
        <v>10</v>
      </c>
      <c r="D2321" s="5" t="s">
        <v>2132</v>
      </c>
      <c r="E2321" s="5" t="s">
        <v>2133</v>
      </c>
      <c r="F2321" s="5" t="s">
        <v>61</v>
      </c>
      <c r="G2321" s="5" t="s">
        <v>62</v>
      </c>
      <c r="H2321" s="6">
        <v>220</v>
      </c>
      <c r="I2321" s="5"/>
    </row>
    <row r="2322" spans="1:9" x14ac:dyDescent="0.3">
      <c r="B2322" s="5" t="s">
        <v>2121</v>
      </c>
      <c r="C2322" s="5" t="s">
        <v>10</v>
      </c>
      <c r="D2322" s="5" t="s">
        <v>2132</v>
      </c>
      <c r="E2322" s="5" t="s">
        <v>2133</v>
      </c>
      <c r="F2322" s="5" t="s">
        <v>1643</v>
      </c>
      <c r="G2322" s="5" t="s">
        <v>1644</v>
      </c>
      <c r="H2322" s="5"/>
      <c r="I2322" s="6">
        <v>220</v>
      </c>
    </row>
    <row r="2323" spans="1:9" x14ac:dyDescent="0.3">
      <c r="A2323" s="7" t="s">
        <v>2134</v>
      </c>
      <c r="H2323" s="8">
        <f>H2321+H2322</f>
        <v>220</v>
      </c>
      <c r="I2323" s="8">
        <f>I2321+I2322</f>
        <v>220</v>
      </c>
    </row>
    <row r="2324" spans="1:9" x14ac:dyDescent="0.3">
      <c r="A2324" s="4" t="s">
        <v>2135</v>
      </c>
    </row>
    <row r="2325" spans="1:9" x14ac:dyDescent="0.3">
      <c r="B2325" s="5" t="s">
        <v>2121</v>
      </c>
      <c r="C2325" s="5" t="s">
        <v>10</v>
      </c>
      <c r="D2325" s="5" t="s">
        <v>2136</v>
      </c>
      <c r="E2325" s="5" t="s">
        <v>2137</v>
      </c>
      <c r="F2325" s="5" t="s">
        <v>831</v>
      </c>
      <c r="G2325" s="5" t="s">
        <v>832</v>
      </c>
      <c r="H2325" s="6">
        <v>52040.25</v>
      </c>
      <c r="I2325" s="5"/>
    </row>
    <row r="2326" spans="1:9" x14ac:dyDescent="0.3">
      <c r="B2326" s="5" t="s">
        <v>2121</v>
      </c>
      <c r="C2326" s="5" t="s">
        <v>10</v>
      </c>
      <c r="D2326" s="5" t="s">
        <v>2136</v>
      </c>
      <c r="E2326" s="5" t="s">
        <v>2137</v>
      </c>
      <c r="F2326" s="5" t="s">
        <v>441</v>
      </c>
      <c r="G2326" s="5" t="s">
        <v>442</v>
      </c>
      <c r="H2326" s="5"/>
      <c r="I2326" s="6">
        <v>52040.25</v>
      </c>
    </row>
    <row r="2327" spans="1:9" x14ac:dyDescent="0.3">
      <c r="A2327" s="7" t="s">
        <v>2138</v>
      </c>
      <c r="H2327" s="8">
        <f>H2325+H2326</f>
        <v>52040.25</v>
      </c>
      <c r="I2327" s="8">
        <f>I2325+I2326</f>
        <v>52040.25</v>
      </c>
    </row>
    <row r="2328" spans="1:9" x14ac:dyDescent="0.3">
      <c r="A2328" s="4" t="s">
        <v>2139</v>
      </c>
    </row>
    <row r="2329" spans="1:9" x14ac:dyDescent="0.3">
      <c r="B2329" s="5" t="s">
        <v>2121</v>
      </c>
      <c r="C2329" s="5" t="s">
        <v>10</v>
      </c>
      <c r="D2329" s="5" t="s">
        <v>2140</v>
      </c>
      <c r="E2329" s="5" t="s">
        <v>2141</v>
      </c>
      <c r="F2329" s="5" t="s">
        <v>176</v>
      </c>
      <c r="G2329" s="5" t="s">
        <v>177</v>
      </c>
      <c r="H2329" s="6">
        <v>800</v>
      </c>
      <c r="I2329" s="5"/>
    </row>
    <row r="2330" spans="1:9" x14ac:dyDescent="0.3">
      <c r="B2330" s="5" t="s">
        <v>2121</v>
      </c>
      <c r="C2330" s="5" t="s">
        <v>10</v>
      </c>
      <c r="D2330" s="5" t="s">
        <v>2140</v>
      </c>
      <c r="E2330" s="5" t="s">
        <v>2141</v>
      </c>
      <c r="F2330" s="5" t="s">
        <v>1643</v>
      </c>
      <c r="G2330" s="5" t="s">
        <v>1644</v>
      </c>
      <c r="H2330" s="5"/>
      <c r="I2330" s="6">
        <v>800</v>
      </c>
    </row>
    <row r="2331" spans="1:9" x14ac:dyDescent="0.3">
      <c r="A2331" s="7" t="s">
        <v>2142</v>
      </c>
      <c r="H2331" s="8">
        <f>H2329+H2330</f>
        <v>800</v>
      </c>
      <c r="I2331" s="8">
        <f>I2329+I2330</f>
        <v>800</v>
      </c>
    </row>
    <row r="2332" spans="1:9" x14ac:dyDescent="0.3">
      <c r="A2332" s="4" t="s">
        <v>2143</v>
      </c>
    </row>
    <row r="2333" spans="1:9" x14ac:dyDescent="0.3">
      <c r="B2333" s="5" t="s">
        <v>2144</v>
      </c>
      <c r="C2333" s="5" t="s">
        <v>10</v>
      </c>
      <c r="D2333" s="5" t="s">
        <v>2145</v>
      </c>
      <c r="E2333" s="5" t="s">
        <v>2146</v>
      </c>
      <c r="F2333" s="5" t="s">
        <v>95</v>
      </c>
      <c r="G2333" s="5" t="s">
        <v>96</v>
      </c>
      <c r="H2333" s="6">
        <v>640</v>
      </c>
      <c r="I2333" s="5"/>
    </row>
    <row r="2334" spans="1:9" x14ac:dyDescent="0.3">
      <c r="B2334" s="5" t="s">
        <v>2144</v>
      </c>
      <c r="C2334" s="5" t="s">
        <v>10</v>
      </c>
      <c r="D2334" s="5" t="s">
        <v>2145</v>
      </c>
      <c r="E2334" s="5" t="s">
        <v>2146</v>
      </c>
      <c r="F2334" s="5" t="s">
        <v>1643</v>
      </c>
      <c r="G2334" s="5" t="s">
        <v>1644</v>
      </c>
      <c r="H2334" s="5"/>
      <c r="I2334" s="6">
        <v>640</v>
      </c>
    </row>
    <row r="2335" spans="1:9" x14ac:dyDescent="0.3">
      <c r="A2335" s="7" t="s">
        <v>2147</v>
      </c>
      <c r="H2335" s="8">
        <f>H2333+H2334</f>
        <v>640</v>
      </c>
      <c r="I2335" s="8">
        <f>I2333+I2334</f>
        <v>640</v>
      </c>
    </row>
    <row r="2336" spans="1:9" x14ac:dyDescent="0.3">
      <c r="A2336" s="4" t="s">
        <v>2148</v>
      </c>
    </row>
    <row r="2337" spans="1:9" x14ac:dyDescent="0.3">
      <c r="B2337" s="5" t="s">
        <v>2144</v>
      </c>
      <c r="C2337" s="5" t="s">
        <v>10</v>
      </c>
      <c r="D2337" s="5" t="s">
        <v>2149</v>
      </c>
      <c r="E2337" s="5" t="s">
        <v>2150</v>
      </c>
      <c r="F2337" s="5" t="s">
        <v>61</v>
      </c>
      <c r="G2337" s="5" t="s">
        <v>62</v>
      </c>
      <c r="H2337" s="6">
        <v>280</v>
      </c>
      <c r="I2337" s="5"/>
    </row>
    <row r="2338" spans="1:9" x14ac:dyDescent="0.3">
      <c r="B2338" s="5" t="s">
        <v>2144</v>
      </c>
      <c r="C2338" s="5" t="s">
        <v>10</v>
      </c>
      <c r="D2338" s="5" t="s">
        <v>2149</v>
      </c>
      <c r="E2338" s="5" t="s">
        <v>2150</v>
      </c>
      <c r="F2338" s="5" t="s">
        <v>1643</v>
      </c>
      <c r="G2338" s="5" t="s">
        <v>1644</v>
      </c>
      <c r="H2338" s="5"/>
      <c r="I2338" s="6">
        <v>280</v>
      </c>
    </row>
    <row r="2339" spans="1:9" x14ac:dyDescent="0.3">
      <c r="A2339" s="7" t="s">
        <v>2151</v>
      </c>
      <c r="H2339" s="8">
        <f>H2337+H2338</f>
        <v>280</v>
      </c>
      <c r="I2339" s="8">
        <f>I2337+I2338</f>
        <v>280</v>
      </c>
    </row>
    <row r="2340" spans="1:9" x14ac:dyDescent="0.3">
      <c r="A2340" s="4" t="s">
        <v>2152</v>
      </c>
    </row>
    <row r="2341" spans="1:9" x14ac:dyDescent="0.3">
      <c r="B2341" s="5" t="s">
        <v>2153</v>
      </c>
      <c r="C2341" s="5" t="s">
        <v>10</v>
      </c>
      <c r="D2341" s="5" t="s">
        <v>2154</v>
      </c>
      <c r="E2341" s="5" t="s">
        <v>2155</v>
      </c>
      <c r="F2341" s="5" t="s">
        <v>1643</v>
      </c>
      <c r="G2341" s="5" t="s">
        <v>1644</v>
      </c>
      <c r="H2341" s="6">
        <v>23000</v>
      </c>
      <c r="I2341" s="5"/>
    </row>
    <row r="2342" spans="1:9" x14ac:dyDescent="0.3">
      <c r="B2342" s="5" t="s">
        <v>2153</v>
      </c>
      <c r="C2342" s="5" t="s">
        <v>10</v>
      </c>
      <c r="D2342" s="5" t="s">
        <v>2154</v>
      </c>
      <c r="E2342" s="5" t="s">
        <v>2155</v>
      </c>
      <c r="F2342" s="5" t="s">
        <v>13</v>
      </c>
      <c r="G2342" s="5" t="s">
        <v>14</v>
      </c>
      <c r="H2342" s="5"/>
      <c r="I2342" s="6">
        <v>23000</v>
      </c>
    </row>
    <row r="2343" spans="1:9" x14ac:dyDescent="0.3">
      <c r="A2343" s="7" t="s">
        <v>2156</v>
      </c>
      <c r="H2343" s="8">
        <f>H2341+H2342</f>
        <v>23000</v>
      </c>
      <c r="I2343" s="8">
        <f>I2341+I2342</f>
        <v>23000</v>
      </c>
    </row>
    <row r="2344" spans="1:9" x14ac:dyDescent="0.3">
      <c r="A2344" s="4" t="s">
        <v>2157</v>
      </c>
    </row>
    <row r="2345" spans="1:9" x14ac:dyDescent="0.3">
      <c r="B2345" s="5" t="s">
        <v>2153</v>
      </c>
      <c r="C2345" s="5" t="s">
        <v>10</v>
      </c>
      <c r="D2345" s="5" t="s">
        <v>2158</v>
      </c>
      <c r="E2345" s="5" t="s">
        <v>2159</v>
      </c>
      <c r="F2345" s="5" t="s">
        <v>1643</v>
      </c>
      <c r="G2345" s="5" t="s">
        <v>1644</v>
      </c>
      <c r="H2345" s="6">
        <v>15000</v>
      </c>
      <c r="I2345" s="5"/>
    </row>
    <row r="2346" spans="1:9" x14ac:dyDescent="0.3">
      <c r="B2346" s="5" t="s">
        <v>2153</v>
      </c>
      <c r="C2346" s="5" t="s">
        <v>10</v>
      </c>
      <c r="D2346" s="5" t="s">
        <v>2158</v>
      </c>
      <c r="E2346" s="5" t="s">
        <v>2159</v>
      </c>
      <c r="F2346" s="5" t="s">
        <v>13</v>
      </c>
      <c r="G2346" s="5" t="s">
        <v>14</v>
      </c>
      <c r="H2346" s="5"/>
      <c r="I2346" s="6">
        <v>15000</v>
      </c>
    </row>
    <row r="2347" spans="1:9" x14ac:dyDescent="0.3">
      <c r="A2347" s="7" t="s">
        <v>2160</v>
      </c>
      <c r="H2347" s="8">
        <f>H2345+H2346</f>
        <v>15000</v>
      </c>
      <c r="I2347" s="8">
        <f>I2345+I2346</f>
        <v>15000</v>
      </c>
    </row>
    <row r="2348" spans="1:9" x14ac:dyDescent="0.3">
      <c r="A2348" s="4" t="s">
        <v>2161</v>
      </c>
    </row>
    <row r="2349" spans="1:9" x14ac:dyDescent="0.3">
      <c r="B2349" s="5" t="s">
        <v>2153</v>
      </c>
      <c r="C2349" s="5" t="s">
        <v>10</v>
      </c>
      <c r="D2349" s="5" t="s">
        <v>2162</v>
      </c>
      <c r="E2349" s="5" t="s">
        <v>2163</v>
      </c>
      <c r="F2349" s="5" t="s">
        <v>67</v>
      </c>
      <c r="G2349" s="5" t="s">
        <v>68</v>
      </c>
      <c r="H2349" s="6">
        <v>90</v>
      </c>
      <c r="I2349" s="5"/>
    </row>
    <row r="2350" spans="1:9" x14ac:dyDescent="0.3">
      <c r="B2350" s="5" t="s">
        <v>2153</v>
      </c>
      <c r="C2350" s="5" t="s">
        <v>10</v>
      </c>
      <c r="D2350" s="5" t="s">
        <v>2162</v>
      </c>
      <c r="E2350" s="5" t="s">
        <v>2163</v>
      </c>
      <c r="F2350" s="5" t="s">
        <v>1643</v>
      </c>
      <c r="G2350" s="5" t="s">
        <v>1644</v>
      </c>
      <c r="H2350" s="5"/>
      <c r="I2350" s="6">
        <v>90</v>
      </c>
    </row>
    <row r="2351" spans="1:9" x14ac:dyDescent="0.3">
      <c r="A2351" s="7" t="s">
        <v>2164</v>
      </c>
      <c r="H2351" s="8">
        <f>H2349+H2350</f>
        <v>90</v>
      </c>
      <c r="I2351" s="8">
        <f>I2349+I2350</f>
        <v>90</v>
      </c>
    </row>
    <row r="2352" spans="1:9" x14ac:dyDescent="0.3">
      <c r="A2352" s="4" t="s">
        <v>2165</v>
      </c>
    </row>
    <row r="2353" spans="1:9" x14ac:dyDescent="0.3">
      <c r="B2353" s="5" t="s">
        <v>2153</v>
      </c>
      <c r="C2353" s="5" t="s">
        <v>10</v>
      </c>
      <c r="D2353" s="5" t="s">
        <v>2166</v>
      </c>
      <c r="E2353" s="5" t="s">
        <v>1456</v>
      </c>
      <c r="F2353" s="5" t="s">
        <v>116</v>
      </c>
      <c r="G2353" s="5" t="s">
        <v>117</v>
      </c>
      <c r="H2353" s="6">
        <v>500</v>
      </c>
      <c r="I2353" s="5"/>
    </row>
    <row r="2354" spans="1:9" x14ac:dyDescent="0.3">
      <c r="B2354" s="5" t="s">
        <v>2153</v>
      </c>
      <c r="C2354" s="5" t="s">
        <v>10</v>
      </c>
      <c r="D2354" s="5" t="s">
        <v>2166</v>
      </c>
      <c r="E2354" s="5" t="s">
        <v>1456</v>
      </c>
      <c r="F2354" s="5" t="s">
        <v>1643</v>
      </c>
      <c r="G2354" s="5" t="s">
        <v>1644</v>
      </c>
      <c r="H2354" s="5"/>
      <c r="I2354" s="6">
        <v>500</v>
      </c>
    </row>
    <row r="2355" spans="1:9" x14ac:dyDescent="0.3">
      <c r="A2355" s="7" t="s">
        <v>2167</v>
      </c>
      <c r="H2355" s="8">
        <f>H2353+H2354</f>
        <v>500</v>
      </c>
      <c r="I2355" s="8">
        <f>I2353+I2354</f>
        <v>500</v>
      </c>
    </row>
    <row r="2356" spans="1:9" x14ac:dyDescent="0.3">
      <c r="A2356" s="4" t="s">
        <v>2168</v>
      </c>
    </row>
    <row r="2357" spans="1:9" x14ac:dyDescent="0.3">
      <c r="B2357" s="5" t="s">
        <v>2153</v>
      </c>
      <c r="C2357" s="5" t="s">
        <v>10</v>
      </c>
      <c r="D2357" s="5" t="s">
        <v>2169</v>
      </c>
      <c r="E2357" s="5" t="s">
        <v>1881</v>
      </c>
      <c r="F2357" s="5" t="s">
        <v>129</v>
      </c>
      <c r="G2357" s="5" t="s">
        <v>130</v>
      </c>
      <c r="H2357" s="6">
        <v>360</v>
      </c>
      <c r="I2357" s="5"/>
    </row>
    <row r="2358" spans="1:9" x14ac:dyDescent="0.3">
      <c r="B2358" s="5" t="s">
        <v>2153</v>
      </c>
      <c r="C2358" s="5" t="s">
        <v>10</v>
      </c>
      <c r="D2358" s="5" t="s">
        <v>2169</v>
      </c>
      <c r="E2358" s="5" t="s">
        <v>1881</v>
      </c>
      <c r="F2358" s="5" t="s">
        <v>1643</v>
      </c>
      <c r="G2358" s="5" t="s">
        <v>1644</v>
      </c>
      <c r="H2358" s="5"/>
      <c r="I2358" s="6">
        <v>360</v>
      </c>
    </row>
    <row r="2359" spans="1:9" x14ac:dyDescent="0.3">
      <c r="A2359" s="7" t="s">
        <v>2170</v>
      </c>
      <c r="H2359" s="8">
        <f>H2357+H2358</f>
        <v>360</v>
      </c>
      <c r="I2359" s="8">
        <f>I2357+I2358</f>
        <v>360</v>
      </c>
    </row>
    <row r="2360" spans="1:9" x14ac:dyDescent="0.3">
      <c r="A2360" s="4" t="s">
        <v>2171</v>
      </c>
    </row>
    <row r="2361" spans="1:9" x14ac:dyDescent="0.3">
      <c r="B2361" s="5" t="s">
        <v>2172</v>
      </c>
      <c r="C2361" s="5" t="s">
        <v>10</v>
      </c>
      <c r="D2361" s="5" t="s">
        <v>2173</v>
      </c>
      <c r="E2361" s="5" t="s">
        <v>1456</v>
      </c>
      <c r="F2361" s="5" t="s">
        <v>116</v>
      </c>
      <c r="G2361" s="5" t="s">
        <v>117</v>
      </c>
      <c r="H2361" s="6">
        <v>500</v>
      </c>
      <c r="I2361" s="5"/>
    </row>
    <row r="2362" spans="1:9" x14ac:dyDescent="0.3">
      <c r="B2362" s="5" t="s">
        <v>2172</v>
      </c>
      <c r="C2362" s="5" t="s">
        <v>10</v>
      </c>
      <c r="D2362" s="5" t="s">
        <v>2173</v>
      </c>
      <c r="E2362" s="5" t="s">
        <v>1456</v>
      </c>
      <c r="F2362" s="5" t="s">
        <v>1643</v>
      </c>
      <c r="G2362" s="5" t="s">
        <v>1644</v>
      </c>
      <c r="H2362" s="5"/>
      <c r="I2362" s="6">
        <v>500</v>
      </c>
    </row>
    <row r="2363" spans="1:9" x14ac:dyDescent="0.3">
      <c r="A2363" s="7" t="s">
        <v>2174</v>
      </c>
      <c r="H2363" s="8">
        <f>H2361+H2362</f>
        <v>500</v>
      </c>
      <c r="I2363" s="8">
        <f>I2361+I2362</f>
        <v>500</v>
      </c>
    </row>
    <row r="2364" spans="1:9" x14ac:dyDescent="0.3">
      <c r="A2364" s="4" t="s">
        <v>2175</v>
      </c>
    </row>
    <row r="2365" spans="1:9" x14ac:dyDescent="0.3">
      <c r="B2365" s="5" t="s">
        <v>2172</v>
      </c>
      <c r="C2365" s="5" t="s">
        <v>10</v>
      </c>
      <c r="D2365" s="5" t="s">
        <v>2176</v>
      </c>
      <c r="E2365" s="5" t="s">
        <v>2150</v>
      </c>
      <c r="F2365" s="5" t="s">
        <v>61</v>
      </c>
      <c r="G2365" s="5" t="s">
        <v>62</v>
      </c>
      <c r="H2365" s="6">
        <v>310</v>
      </c>
      <c r="I2365" s="5"/>
    </row>
    <row r="2366" spans="1:9" x14ac:dyDescent="0.3">
      <c r="B2366" s="5" t="s">
        <v>2172</v>
      </c>
      <c r="C2366" s="5" t="s">
        <v>10</v>
      </c>
      <c r="D2366" s="5" t="s">
        <v>2176</v>
      </c>
      <c r="E2366" s="5" t="s">
        <v>2150</v>
      </c>
      <c r="F2366" s="5" t="s">
        <v>1643</v>
      </c>
      <c r="G2366" s="5" t="s">
        <v>1644</v>
      </c>
      <c r="H2366" s="5"/>
      <c r="I2366" s="6">
        <v>310</v>
      </c>
    </row>
    <row r="2367" spans="1:9" x14ac:dyDescent="0.3">
      <c r="A2367" s="7" t="s">
        <v>2177</v>
      </c>
      <c r="H2367" s="8">
        <f>H2365+H2366</f>
        <v>310</v>
      </c>
      <c r="I2367" s="8">
        <f>I2365+I2366</f>
        <v>310</v>
      </c>
    </row>
    <row r="2368" spans="1:9" x14ac:dyDescent="0.3">
      <c r="A2368" s="4" t="s">
        <v>2178</v>
      </c>
    </row>
    <row r="2369" spans="1:9" x14ac:dyDescent="0.3">
      <c r="B2369" s="5" t="s">
        <v>2179</v>
      </c>
      <c r="C2369" s="5" t="s">
        <v>10</v>
      </c>
      <c r="D2369" s="5" t="s">
        <v>2180</v>
      </c>
      <c r="E2369" s="5" t="s">
        <v>2163</v>
      </c>
      <c r="F2369" s="5" t="s">
        <v>67</v>
      </c>
      <c r="G2369" s="5" t="s">
        <v>68</v>
      </c>
      <c r="H2369" s="6">
        <v>90</v>
      </c>
      <c r="I2369" s="5"/>
    </row>
    <row r="2370" spans="1:9" x14ac:dyDescent="0.3">
      <c r="B2370" s="5" t="s">
        <v>2179</v>
      </c>
      <c r="C2370" s="5" t="s">
        <v>10</v>
      </c>
      <c r="D2370" s="5" t="s">
        <v>2180</v>
      </c>
      <c r="E2370" s="5" t="s">
        <v>2163</v>
      </c>
      <c r="F2370" s="5" t="s">
        <v>1643</v>
      </c>
      <c r="G2370" s="5" t="s">
        <v>1644</v>
      </c>
      <c r="H2370" s="5"/>
      <c r="I2370" s="6">
        <v>90</v>
      </c>
    </row>
    <row r="2371" spans="1:9" x14ac:dyDescent="0.3">
      <c r="A2371" s="7" t="s">
        <v>2181</v>
      </c>
      <c r="H2371" s="8">
        <f>H2369+H2370</f>
        <v>90</v>
      </c>
      <c r="I2371" s="8">
        <f>I2369+I2370</f>
        <v>90</v>
      </c>
    </row>
    <row r="2372" spans="1:9" x14ac:dyDescent="0.3">
      <c r="A2372" s="4" t="s">
        <v>2182</v>
      </c>
    </row>
    <row r="2373" spans="1:9" x14ac:dyDescent="0.3">
      <c r="B2373" s="5" t="s">
        <v>2179</v>
      </c>
      <c r="C2373" s="5" t="s">
        <v>10</v>
      </c>
      <c r="D2373" s="5" t="s">
        <v>2183</v>
      </c>
      <c r="E2373" s="5" t="s">
        <v>2150</v>
      </c>
      <c r="F2373" s="5" t="s">
        <v>61</v>
      </c>
      <c r="G2373" s="5" t="s">
        <v>62</v>
      </c>
      <c r="H2373" s="6">
        <v>280</v>
      </c>
      <c r="I2373" s="5"/>
    </row>
    <row r="2374" spans="1:9" x14ac:dyDescent="0.3">
      <c r="B2374" s="5" t="s">
        <v>2179</v>
      </c>
      <c r="C2374" s="5" t="s">
        <v>10</v>
      </c>
      <c r="D2374" s="5" t="s">
        <v>2183</v>
      </c>
      <c r="E2374" s="5" t="s">
        <v>2150</v>
      </c>
      <c r="F2374" s="5" t="s">
        <v>1643</v>
      </c>
      <c r="G2374" s="5" t="s">
        <v>1644</v>
      </c>
      <c r="H2374" s="5"/>
      <c r="I2374" s="6">
        <v>280</v>
      </c>
    </row>
    <row r="2375" spans="1:9" x14ac:dyDescent="0.3">
      <c r="A2375" s="7" t="s">
        <v>2184</v>
      </c>
      <c r="H2375" s="8">
        <f>H2373+H2374</f>
        <v>280</v>
      </c>
      <c r="I2375" s="8">
        <f>I2373+I2374</f>
        <v>280</v>
      </c>
    </row>
    <row r="2376" spans="1:9" x14ac:dyDescent="0.3">
      <c r="A2376" s="4" t="s">
        <v>2185</v>
      </c>
    </row>
    <row r="2377" spans="1:9" x14ac:dyDescent="0.3">
      <c r="B2377" s="5" t="s">
        <v>2186</v>
      </c>
      <c r="C2377" s="5" t="s">
        <v>10</v>
      </c>
      <c r="D2377" s="5" t="s">
        <v>2187</v>
      </c>
      <c r="E2377" s="5" t="s">
        <v>2188</v>
      </c>
      <c r="F2377" s="5" t="s">
        <v>1643</v>
      </c>
      <c r="G2377" s="5" t="s">
        <v>1644</v>
      </c>
      <c r="H2377" s="6">
        <v>30150</v>
      </c>
      <c r="I2377" s="5"/>
    </row>
    <row r="2378" spans="1:9" x14ac:dyDescent="0.3">
      <c r="B2378" s="5" t="s">
        <v>2186</v>
      </c>
      <c r="C2378" s="5" t="s">
        <v>10</v>
      </c>
      <c r="D2378" s="5" t="s">
        <v>2187</v>
      </c>
      <c r="E2378" s="5" t="s">
        <v>2188</v>
      </c>
      <c r="F2378" s="5" t="s">
        <v>13</v>
      </c>
      <c r="G2378" s="5" t="s">
        <v>14</v>
      </c>
      <c r="H2378" s="5"/>
      <c r="I2378" s="6">
        <v>30150</v>
      </c>
    </row>
    <row r="2379" spans="1:9" x14ac:dyDescent="0.3">
      <c r="A2379" s="7" t="s">
        <v>2189</v>
      </c>
      <c r="H2379" s="8">
        <f>H2377+H2378</f>
        <v>30150</v>
      </c>
      <c r="I2379" s="8">
        <f>I2377+I2378</f>
        <v>30150</v>
      </c>
    </row>
    <row r="2380" spans="1:9" x14ac:dyDescent="0.3">
      <c r="A2380" s="4" t="s">
        <v>2190</v>
      </c>
    </row>
    <row r="2381" spans="1:9" x14ac:dyDescent="0.3">
      <c r="B2381" s="5" t="s">
        <v>2186</v>
      </c>
      <c r="C2381" s="5" t="s">
        <v>10</v>
      </c>
      <c r="D2381" s="5" t="s">
        <v>2191</v>
      </c>
      <c r="E2381" s="5" t="s">
        <v>2192</v>
      </c>
      <c r="F2381" s="5" t="s">
        <v>441</v>
      </c>
      <c r="G2381" s="5" t="s">
        <v>442</v>
      </c>
      <c r="H2381" s="6">
        <v>30150</v>
      </c>
      <c r="I2381" s="5"/>
    </row>
    <row r="2382" spans="1:9" x14ac:dyDescent="0.3">
      <c r="B2382" s="5" t="s">
        <v>2186</v>
      </c>
      <c r="C2382" s="5" t="s">
        <v>10</v>
      </c>
      <c r="D2382" s="5" t="s">
        <v>2191</v>
      </c>
      <c r="E2382" s="5" t="s">
        <v>2192</v>
      </c>
      <c r="F2382" s="5" t="s">
        <v>1643</v>
      </c>
      <c r="G2382" s="5" t="s">
        <v>1644</v>
      </c>
      <c r="H2382" s="5"/>
      <c r="I2382" s="6">
        <v>30150</v>
      </c>
    </row>
    <row r="2383" spans="1:9" x14ac:dyDescent="0.3">
      <c r="A2383" s="7" t="s">
        <v>2193</v>
      </c>
      <c r="H2383" s="8">
        <f>H2381+H2382</f>
        <v>30150</v>
      </c>
      <c r="I2383" s="8">
        <f>I2381+I2382</f>
        <v>30150</v>
      </c>
    </row>
    <row r="2384" spans="1:9" x14ac:dyDescent="0.3">
      <c r="A2384" s="4" t="s">
        <v>2194</v>
      </c>
    </row>
    <row r="2385" spans="1:9" x14ac:dyDescent="0.3">
      <c r="B2385" s="5" t="s">
        <v>2186</v>
      </c>
      <c r="C2385" s="5" t="s">
        <v>10</v>
      </c>
      <c r="D2385" s="5" t="s">
        <v>2195</v>
      </c>
      <c r="E2385" s="5" t="s">
        <v>2196</v>
      </c>
      <c r="F2385" s="5" t="s">
        <v>2197</v>
      </c>
      <c r="G2385" s="5" t="s">
        <v>2198</v>
      </c>
      <c r="H2385" s="6">
        <v>352457.45</v>
      </c>
      <c r="I2385" s="5"/>
    </row>
    <row r="2386" spans="1:9" x14ac:dyDescent="0.3">
      <c r="B2386" s="5" t="s">
        <v>2186</v>
      </c>
      <c r="C2386" s="5" t="s">
        <v>10</v>
      </c>
      <c r="D2386" s="5" t="s">
        <v>2195</v>
      </c>
      <c r="E2386" s="5" t="s">
        <v>2196</v>
      </c>
      <c r="F2386" s="5" t="s">
        <v>2199</v>
      </c>
      <c r="G2386" s="5" t="s">
        <v>2200</v>
      </c>
      <c r="H2386" s="5"/>
      <c r="I2386" s="6">
        <v>352457.45</v>
      </c>
    </row>
    <row r="2387" spans="1:9" x14ac:dyDescent="0.3">
      <c r="A2387" s="7" t="s">
        <v>2201</v>
      </c>
      <c r="H2387" s="8">
        <f>H2385+H2386</f>
        <v>352457.45</v>
      </c>
      <c r="I2387" s="8">
        <f>I2385+I2386</f>
        <v>352457.45</v>
      </c>
    </row>
    <row r="2388" spans="1:9" x14ac:dyDescent="0.3">
      <c r="A2388" s="4" t="s">
        <v>2202</v>
      </c>
    </row>
    <row r="2389" spans="1:9" x14ac:dyDescent="0.3">
      <c r="B2389" s="5" t="s">
        <v>2186</v>
      </c>
      <c r="C2389" s="5" t="s">
        <v>10</v>
      </c>
      <c r="D2389" s="5" t="s">
        <v>2203</v>
      </c>
      <c r="E2389" s="5" t="s">
        <v>2150</v>
      </c>
      <c r="F2389" s="5" t="s">
        <v>61</v>
      </c>
      <c r="G2389" s="5" t="s">
        <v>62</v>
      </c>
      <c r="H2389" s="6">
        <v>730</v>
      </c>
      <c r="I2389" s="5"/>
    </row>
    <row r="2390" spans="1:9" x14ac:dyDescent="0.3">
      <c r="B2390" s="5" t="s">
        <v>2186</v>
      </c>
      <c r="C2390" s="5" t="s">
        <v>10</v>
      </c>
      <c r="D2390" s="5" t="s">
        <v>2203</v>
      </c>
      <c r="E2390" s="5" t="s">
        <v>2150</v>
      </c>
      <c r="F2390" s="5" t="s">
        <v>1643</v>
      </c>
      <c r="G2390" s="5" t="s">
        <v>1644</v>
      </c>
      <c r="H2390" s="5"/>
      <c r="I2390" s="6">
        <v>730</v>
      </c>
    </row>
    <row r="2391" spans="1:9" x14ac:dyDescent="0.3">
      <c r="B2391" s="5" t="s">
        <v>2186</v>
      </c>
      <c r="C2391" s="5" t="s">
        <v>10</v>
      </c>
      <c r="D2391" s="5" t="s">
        <v>2203</v>
      </c>
      <c r="E2391" s="5" t="s">
        <v>2204</v>
      </c>
      <c r="F2391" s="5" t="s">
        <v>67</v>
      </c>
      <c r="G2391" s="5" t="s">
        <v>68</v>
      </c>
      <c r="H2391" s="6">
        <v>90</v>
      </c>
      <c r="I2391" s="5"/>
    </row>
    <row r="2392" spans="1:9" x14ac:dyDescent="0.3">
      <c r="B2392" s="5" t="s">
        <v>2186</v>
      </c>
      <c r="C2392" s="5" t="s">
        <v>10</v>
      </c>
      <c r="D2392" s="5" t="s">
        <v>2203</v>
      </c>
      <c r="E2392" s="5" t="s">
        <v>2204</v>
      </c>
      <c r="F2392" s="5" t="s">
        <v>1643</v>
      </c>
      <c r="G2392" s="5" t="s">
        <v>1644</v>
      </c>
      <c r="H2392" s="5"/>
      <c r="I2392" s="6">
        <v>90</v>
      </c>
    </row>
    <row r="2393" spans="1:9" x14ac:dyDescent="0.3">
      <c r="A2393" s="7" t="s">
        <v>2205</v>
      </c>
      <c r="H2393" s="8">
        <f>H2389+H2390+H2391+H2392</f>
        <v>820</v>
      </c>
      <c r="I2393" s="8">
        <f>I2389+I2390+I2391+I2392</f>
        <v>820</v>
      </c>
    </row>
    <row r="2394" spans="1:9" x14ac:dyDescent="0.3">
      <c r="A2394" s="4" t="s">
        <v>2206</v>
      </c>
    </row>
    <row r="2395" spans="1:9" x14ac:dyDescent="0.3">
      <c r="B2395" s="5" t="s">
        <v>2186</v>
      </c>
      <c r="C2395" s="5" t="s">
        <v>10</v>
      </c>
      <c r="D2395" s="5" t="s">
        <v>2207</v>
      </c>
      <c r="E2395" s="5" t="s">
        <v>2208</v>
      </c>
      <c r="F2395" s="5" t="s">
        <v>67</v>
      </c>
      <c r="G2395" s="5" t="s">
        <v>68</v>
      </c>
      <c r="H2395" s="6">
        <v>970</v>
      </c>
      <c r="I2395" s="5"/>
    </row>
    <row r="2396" spans="1:9" x14ac:dyDescent="0.3">
      <c r="B2396" s="5" t="s">
        <v>2186</v>
      </c>
      <c r="C2396" s="5" t="s">
        <v>10</v>
      </c>
      <c r="D2396" s="5" t="s">
        <v>2207</v>
      </c>
      <c r="E2396" s="5" t="s">
        <v>2208</v>
      </c>
      <c r="F2396" s="5" t="s">
        <v>1643</v>
      </c>
      <c r="G2396" s="5" t="s">
        <v>1644</v>
      </c>
      <c r="H2396" s="5"/>
      <c r="I2396" s="6">
        <v>970</v>
      </c>
    </row>
    <row r="2397" spans="1:9" x14ac:dyDescent="0.3">
      <c r="A2397" s="7" t="s">
        <v>2209</v>
      </c>
      <c r="H2397" s="8">
        <f>H2395+H2396</f>
        <v>970</v>
      </c>
      <c r="I2397" s="8">
        <f>I2395+I2396</f>
        <v>970</v>
      </c>
    </row>
    <row r="2398" spans="1:9" x14ac:dyDescent="0.3">
      <c r="A2398" s="4" t="s">
        <v>2210</v>
      </c>
    </row>
    <row r="2399" spans="1:9" x14ac:dyDescent="0.3">
      <c r="B2399" s="5" t="s">
        <v>2186</v>
      </c>
      <c r="C2399" s="5" t="s">
        <v>10</v>
      </c>
      <c r="D2399" s="5" t="s">
        <v>2211</v>
      </c>
      <c r="E2399" s="5" t="s">
        <v>2212</v>
      </c>
      <c r="F2399" s="5" t="s">
        <v>1643</v>
      </c>
      <c r="G2399" s="5" t="s">
        <v>1644</v>
      </c>
      <c r="H2399" s="6">
        <v>150260</v>
      </c>
      <c r="I2399" s="5"/>
    </row>
    <row r="2400" spans="1:9" x14ac:dyDescent="0.3">
      <c r="B2400" s="5" t="s">
        <v>2186</v>
      </c>
      <c r="C2400" s="5" t="s">
        <v>10</v>
      </c>
      <c r="D2400" s="5" t="s">
        <v>2211</v>
      </c>
      <c r="E2400" s="5" t="s">
        <v>2212</v>
      </c>
      <c r="F2400" s="5" t="s">
        <v>13</v>
      </c>
      <c r="G2400" s="5" t="s">
        <v>14</v>
      </c>
      <c r="H2400" s="5"/>
      <c r="I2400" s="6">
        <v>150260</v>
      </c>
    </row>
    <row r="2401" spans="1:9" x14ac:dyDescent="0.3">
      <c r="A2401" s="7" t="s">
        <v>2213</v>
      </c>
      <c r="H2401" s="8">
        <f>H2399+H2400</f>
        <v>150260</v>
      </c>
      <c r="I2401" s="8">
        <f>I2399+I2400</f>
        <v>150260</v>
      </c>
    </row>
    <row r="2402" spans="1:9" x14ac:dyDescent="0.3">
      <c r="A2402" s="4" t="s">
        <v>2214</v>
      </c>
    </row>
    <row r="2403" spans="1:9" x14ac:dyDescent="0.3">
      <c r="B2403" s="5" t="s">
        <v>2186</v>
      </c>
      <c r="C2403" s="5" t="s">
        <v>10</v>
      </c>
      <c r="D2403" s="5" t="s">
        <v>2215</v>
      </c>
      <c r="E2403" s="5" t="s">
        <v>2216</v>
      </c>
      <c r="F2403" s="5" t="s">
        <v>45</v>
      </c>
      <c r="G2403" s="5" t="s">
        <v>46</v>
      </c>
      <c r="H2403" s="6">
        <v>94000</v>
      </c>
      <c r="I2403" s="5"/>
    </row>
    <row r="2404" spans="1:9" x14ac:dyDescent="0.3">
      <c r="B2404" s="5" t="s">
        <v>2186</v>
      </c>
      <c r="C2404" s="5" t="s">
        <v>10</v>
      </c>
      <c r="D2404" s="5" t="s">
        <v>2215</v>
      </c>
      <c r="E2404" s="5" t="s">
        <v>2216</v>
      </c>
      <c r="F2404" s="5" t="s">
        <v>1643</v>
      </c>
      <c r="G2404" s="5" t="s">
        <v>1644</v>
      </c>
      <c r="H2404" s="5"/>
      <c r="I2404" s="6">
        <v>94000</v>
      </c>
    </row>
    <row r="2405" spans="1:9" x14ac:dyDescent="0.3">
      <c r="A2405" s="7" t="s">
        <v>2217</v>
      </c>
      <c r="H2405" s="8">
        <f>H2403+H2404</f>
        <v>94000</v>
      </c>
      <c r="I2405" s="8">
        <f>I2403+I2404</f>
        <v>94000</v>
      </c>
    </row>
    <row r="2406" spans="1:9" x14ac:dyDescent="0.3">
      <c r="A2406" s="4" t="s">
        <v>2218</v>
      </c>
    </row>
    <row r="2407" spans="1:9" x14ac:dyDescent="0.3">
      <c r="B2407" s="5" t="s">
        <v>2186</v>
      </c>
      <c r="C2407" s="5" t="s">
        <v>10</v>
      </c>
      <c r="D2407" s="5" t="s">
        <v>2219</v>
      </c>
      <c r="E2407" s="5" t="s">
        <v>2220</v>
      </c>
      <c r="F2407" s="5" t="s">
        <v>45</v>
      </c>
      <c r="G2407" s="5" t="s">
        <v>46</v>
      </c>
      <c r="H2407" s="6">
        <v>21620</v>
      </c>
      <c r="I2407" s="5"/>
    </row>
    <row r="2408" spans="1:9" x14ac:dyDescent="0.3">
      <c r="B2408" s="5" t="s">
        <v>2186</v>
      </c>
      <c r="C2408" s="5" t="s">
        <v>10</v>
      </c>
      <c r="D2408" s="5" t="s">
        <v>2219</v>
      </c>
      <c r="E2408" s="5" t="s">
        <v>2220</v>
      </c>
      <c r="F2408" s="5" t="s">
        <v>1643</v>
      </c>
      <c r="G2408" s="5" t="s">
        <v>1644</v>
      </c>
      <c r="H2408" s="5"/>
      <c r="I2408" s="6">
        <v>21620</v>
      </c>
    </row>
    <row r="2409" spans="1:9" x14ac:dyDescent="0.3">
      <c r="A2409" s="7" t="s">
        <v>2221</v>
      </c>
      <c r="H2409" s="8">
        <f>H2407+H2408</f>
        <v>21620</v>
      </c>
      <c r="I2409" s="8">
        <f>I2407+I2408</f>
        <v>21620</v>
      </c>
    </row>
    <row r="2410" spans="1:9" x14ac:dyDescent="0.3">
      <c r="A2410" s="4" t="s">
        <v>2222</v>
      </c>
    </row>
    <row r="2411" spans="1:9" x14ac:dyDescent="0.3">
      <c r="B2411" s="5" t="s">
        <v>2186</v>
      </c>
      <c r="C2411" s="5" t="s">
        <v>10</v>
      </c>
      <c r="D2411" s="5" t="s">
        <v>2223</v>
      </c>
      <c r="E2411" s="5" t="s">
        <v>2224</v>
      </c>
      <c r="F2411" s="5" t="s">
        <v>67</v>
      </c>
      <c r="G2411" s="5" t="s">
        <v>68</v>
      </c>
      <c r="H2411" s="6">
        <v>100</v>
      </c>
      <c r="I2411" s="5"/>
    </row>
    <row r="2412" spans="1:9" x14ac:dyDescent="0.3">
      <c r="B2412" s="5" t="s">
        <v>2186</v>
      </c>
      <c r="C2412" s="5" t="s">
        <v>10</v>
      </c>
      <c r="D2412" s="5" t="s">
        <v>2223</v>
      </c>
      <c r="E2412" s="5" t="s">
        <v>2224</v>
      </c>
      <c r="F2412" s="5" t="s">
        <v>1643</v>
      </c>
      <c r="G2412" s="5" t="s">
        <v>1644</v>
      </c>
      <c r="H2412" s="5"/>
      <c r="I2412" s="6">
        <v>100</v>
      </c>
    </row>
    <row r="2413" spans="1:9" x14ac:dyDescent="0.3">
      <c r="A2413" s="7" t="s">
        <v>2225</v>
      </c>
      <c r="H2413" s="8">
        <f>H2411+H2412</f>
        <v>100</v>
      </c>
      <c r="I2413" s="8">
        <f>I2411+I2412</f>
        <v>100</v>
      </c>
    </row>
    <row r="2414" spans="1:9" x14ac:dyDescent="0.3">
      <c r="A2414" s="4" t="s">
        <v>2226</v>
      </c>
    </row>
    <row r="2415" spans="1:9" x14ac:dyDescent="0.3">
      <c r="B2415" s="5" t="s">
        <v>2186</v>
      </c>
      <c r="C2415" s="5" t="s">
        <v>10</v>
      </c>
      <c r="D2415" s="5" t="s">
        <v>2227</v>
      </c>
      <c r="E2415" s="5" t="s">
        <v>2228</v>
      </c>
      <c r="F2415" s="5" t="s">
        <v>67</v>
      </c>
      <c r="G2415" s="5" t="s">
        <v>68</v>
      </c>
      <c r="H2415" s="6">
        <v>2250</v>
      </c>
      <c r="I2415" s="5"/>
    </row>
    <row r="2416" spans="1:9" x14ac:dyDescent="0.3">
      <c r="B2416" s="5" t="s">
        <v>2186</v>
      </c>
      <c r="C2416" s="5" t="s">
        <v>10</v>
      </c>
      <c r="D2416" s="5" t="s">
        <v>2227</v>
      </c>
      <c r="E2416" s="5" t="s">
        <v>2228</v>
      </c>
      <c r="F2416" s="5" t="s">
        <v>1643</v>
      </c>
      <c r="G2416" s="5" t="s">
        <v>1644</v>
      </c>
      <c r="H2416" s="5"/>
      <c r="I2416" s="6">
        <v>2250</v>
      </c>
    </row>
    <row r="2417" spans="1:9" x14ac:dyDescent="0.3">
      <c r="B2417" s="5" t="s">
        <v>2186</v>
      </c>
      <c r="C2417" s="5" t="s">
        <v>10</v>
      </c>
      <c r="D2417" s="5" t="s">
        <v>2227</v>
      </c>
      <c r="E2417" s="5" t="s">
        <v>2229</v>
      </c>
      <c r="F2417" s="5" t="s">
        <v>50</v>
      </c>
      <c r="G2417" s="5" t="s">
        <v>51</v>
      </c>
      <c r="H2417" s="6">
        <v>400</v>
      </c>
      <c r="I2417" s="5"/>
    </row>
    <row r="2418" spans="1:9" x14ac:dyDescent="0.3">
      <c r="B2418" s="5" t="s">
        <v>2186</v>
      </c>
      <c r="C2418" s="5" t="s">
        <v>10</v>
      </c>
      <c r="D2418" s="5" t="s">
        <v>2227</v>
      </c>
      <c r="E2418" s="5" t="s">
        <v>2229</v>
      </c>
      <c r="F2418" s="5" t="s">
        <v>1643</v>
      </c>
      <c r="G2418" s="5" t="s">
        <v>1644</v>
      </c>
      <c r="H2418" s="5"/>
      <c r="I2418" s="6">
        <v>400</v>
      </c>
    </row>
    <row r="2419" spans="1:9" x14ac:dyDescent="0.3">
      <c r="A2419" s="7" t="s">
        <v>2230</v>
      </c>
      <c r="H2419" s="8">
        <f>H2415+H2416+H2417+H2418</f>
        <v>2650</v>
      </c>
      <c r="I2419" s="8">
        <f>I2415+I2416+I2417+I2418</f>
        <v>2650</v>
      </c>
    </row>
    <row r="2420" spans="1:9" x14ac:dyDescent="0.3">
      <c r="A2420" s="4" t="s">
        <v>2231</v>
      </c>
    </row>
    <row r="2421" spans="1:9" x14ac:dyDescent="0.3">
      <c r="B2421" s="5" t="s">
        <v>2186</v>
      </c>
      <c r="C2421" s="5" t="s">
        <v>10</v>
      </c>
      <c r="D2421" s="5" t="s">
        <v>2232</v>
      </c>
      <c r="E2421" s="5" t="s">
        <v>2233</v>
      </c>
      <c r="F2421" s="5" t="s">
        <v>50</v>
      </c>
      <c r="G2421" s="5" t="s">
        <v>51</v>
      </c>
      <c r="H2421" s="6">
        <v>130</v>
      </c>
      <c r="I2421" s="5"/>
    </row>
    <row r="2422" spans="1:9" x14ac:dyDescent="0.3">
      <c r="B2422" s="5" t="s">
        <v>2186</v>
      </c>
      <c r="C2422" s="5" t="s">
        <v>10</v>
      </c>
      <c r="D2422" s="5" t="s">
        <v>2232</v>
      </c>
      <c r="E2422" s="5" t="s">
        <v>2233</v>
      </c>
      <c r="F2422" s="5" t="s">
        <v>1643</v>
      </c>
      <c r="G2422" s="5" t="s">
        <v>1644</v>
      </c>
      <c r="H2422" s="5"/>
      <c r="I2422" s="6">
        <v>130</v>
      </c>
    </row>
    <row r="2423" spans="1:9" x14ac:dyDescent="0.3">
      <c r="A2423" s="7" t="s">
        <v>2234</v>
      </c>
      <c r="H2423" s="8">
        <f>H2421+H2422</f>
        <v>130</v>
      </c>
      <c r="I2423" s="8">
        <f>I2421+I2422</f>
        <v>130</v>
      </c>
    </row>
    <row r="2424" spans="1:9" x14ac:dyDescent="0.3">
      <c r="A2424" s="4" t="s">
        <v>2235</v>
      </c>
    </row>
    <row r="2425" spans="1:9" x14ac:dyDescent="0.3">
      <c r="B2425" s="5" t="s">
        <v>2236</v>
      </c>
      <c r="C2425" s="5" t="s">
        <v>10</v>
      </c>
      <c r="D2425" s="5" t="s">
        <v>2237</v>
      </c>
      <c r="E2425" s="5" t="s">
        <v>2238</v>
      </c>
      <c r="F2425" s="5" t="s">
        <v>87</v>
      </c>
      <c r="G2425" s="5" t="s">
        <v>88</v>
      </c>
      <c r="H2425" s="6">
        <v>21920</v>
      </c>
      <c r="I2425" s="5"/>
    </row>
    <row r="2426" spans="1:9" x14ac:dyDescent="0.3">
      <c r="B2426" s="5" t="s">
        <v>2236</v>
      </c>
      <c r="C2426" s="5" t="s">
        <v>10</v>
      </c>
      <c r="D2426" s="5" t="s">
        <v>2237</v>
      </c>
      <c r="E2426" s="5" t="s">
        <v>2238</v>
      </c>
      <c r="F2426" s="5" t="s">
        <v>1643</v>
      </c>
      <c r="G2426" s="5" t="s">
        <v>1644</v>
      </c>
      <c r="H2426" s="5"/>
      <c r="I2426" s="6">
        <v>21920</v>
      </c>
    </row>
    <row r="2427" spans="1:9" x14ac:dyDescent="0.3">
      <c r="A2427" s="7" t="s">
        <v>2239</v>
      </c>
      <c r="H2427" s="8">
        <f>H2425+H2426</f>
        <v>21920</v>
      </c>
      <c r="I2427" s="8">
        <f>I2425+I2426</f>
        <v>21920</v>
      </c>
    </row>
    <row r="2428" spans="1:9" x14ac:dyDescent="0.3">
      <c r="A2428" s="4" t="s">
        <v>2240</v>
      </c>
    </row>
    <row r="2429" spans="1:9" x14ac:dyDescent="0.3">
      <c r="B2429" s="5" t="s">
        <v>2236</v>
      </c>
      <c r="C2429" s="5" t="s">
        <v>10</v>
      </c>
      <c r="D2429" s="5" t="s">
        <v>2241</v>
      </c>
      <c r="E2429" s="5" t="s">
        <v>1896</v>
      </c>
      <c r="F2429" s="5" t="s">
        <v>61</v>
      </c>
      <c r="G2429" s="5" t="s">
        <v>62</v>
      </c>
      <c r="H2429" s="6">
        <v>400</v>
      </c>
      <c r="I2429" s="5"/>
    </row>
    <row r="2430" spans="1:9" x14ac:dyDescent="0.3">
      <c r="B2430" s="5" t="s">
        <v>2236</v>
      </c>
      <c r="C2430" s="5" t="s">
        <v>10</v>
      </c>
      <c r="D2430" s="5" t="s">
        <v>2241</v>
      </c>
      <c r="E2430" s="5" t="s">
        <v>1896</v>
      </c>
      <c r="F2430" s="5" t="s">
        <v>1643</v>
      </c>
      <c r="G2430" s="5" t="s">
        <v>1644</v>
      </c>
      <c r="H2430" s="5"/>
      <c r="I2430" s="6">
        <v>400</v>
      </c>
    </row>
    <row r="2431" spans="1:9" x14ac:dyDescent="0.3">
      <c r="A2431" s="7" t="s">
        <v>2242</v>
      </c>
      <c r="H2431" s="8">
        <f>H2429+H2430</f>
        <v>400</v>
      </c>
      <c r="I2431" s="8">
        <f>I2429+I2430</f>
        <v>400</v>
      </c>
    </row>
    <row r="2432" spans="1:9" x14ac:dyDescent="0.3">
      <c r="A2432" s="4" t="s">
        <v>2243</v>
      </c>
    </row>
    <row r="2433" spans="1:9" x14ac:dyDescent="0.3">
      <c r="B2433" s="5" t="s">
        <v>2236</v>
      </c>
      <c r="C2433" s="5" t="s">
        <v>10</v>
      </c>
      <c r="D2433" s="5" t="s">
        <v>2244</v>
      </c>
      <c r="E2433" s="5" t="s">
        <v>2245</v>
      </c>
      <c r="F2433" s="5" t="s">
        <v>113</v>
      </c>
      <c r="G2433" s="5" t="s">
        <v>114</v>
      </c>
      <c r="H2433" s="6">
        <v>500</v>
      </c>
      <c r="I2433" s="5"/>
    </row>
    <row r="2434" spans="1:9" x14ac:dyDescent="0.3">
      <c r="B2434" s="5" t="s">
        <v>2236</v>
      </c>
      <c r="C2434" s="5" t="s">
        <v>10</v>
      </c>
      <c r="D2434" s="5" t="s">
        <v>2244</v>
      </c>
      <c r="E2434" s="5" t="s">
        <v>2245</v>
      </c>
      <c r="F2434" s="5" t="s">
        <v>1643</v>
      </c>
      <c r="G2434" s="5" t="s">
        <v>1644</v>
      </c>
      <c r="H2434" s="5"/>
      <c r="I2434" s="6">
        <v>500</v>
      </c>
    </row>
    <row r="2435" spans="1:9" x14ac:dyDescent="0.3">
      <c r="A2435" s="7" t="s">
        <v>2246</v>
      </c>
      <c r="H2435" s="8">
        <f>H2433+H2434</f>
        <v>500</v>
      </c>
      <c r="I2435" s="8">
        <f>I2433+I2434</f>
        <v>500</v>
      </c>
    </row>
    <row r="2436" spans="1:9" x14ac:dyDescent="0.3">
      <c r="A2436" s="4" t="s">
        <v>2247</v>
      </c>
    </row>
    <row r="2437" spans="1:9" x14ac:dyDescent="0.3">
      <c r="B2437" s="5" t="s">
        <v>2236</v>
      </c>
      <c r="C2437" s="5" t="s">
        <v>10</v>
      </c>
      <c r="D2437" s="5" t="s">
        <v>2248</v>
      </c>
      <c r="E2437" s="5" t="s">
        <v>2249</v>
      </c>
      <c r="F2437" s="5" t="s">
        <v>45</v>
      </c>
      <c r="G2437" s="5" t="s">
        <v>46</v>
      </c>
      <c r="H2437" s="6">
        <v>32235</v>
      </c>
      <c r="I2437" s="5"/>
    </row>
    <row r="2438" spans="1:9" x14ac:dyDescent="0.3">
      <c r="B2438" s="5" t="s">
        <v>2236</v>
      </c>
      <c r="C2438" s="5" t="s">
        <v>10</v>
      </c>
      <c r="D2438" s="5" t="s">
        <v>2248</v>
      </c>
      <c r="E2438" s="5" t="s">
        <v>2249</v>
      </c>
      <c r="F2438" s="5" t="s">
        <v>1643</v>
      </c>
      <c r="G2438" s="5" t="s">
        <v>1644</v>
      </c>
      <c r="H2438" s="5"/>
      <c r="I2438" s="6">
        <v>32235</v>
      </c>
    </row>
    <row r="2439" spans="1:9" x14ac:dyDescent="0.3">
      <c r="A2439" s="7" t="s">
        <v>2250</v>
      </c>
      <c r="H2439" s="8">
        <f>H2437+H2438</f>
        <v>32235</v>
      </c>
      <c r="I2439" s="8">
        <f>I2437+I2438</f>
        <v>32235</v>
      </c>
    </row>
    <row r="2440" spans="1:9" x14ac:dyDescent="0.3">
      <c r="A2440" s="4" t="s">
        <v>2251</v>
      </c>
    </row>
    <row r="2441" spans="1:9" x14ac:dyDescent="0.3">
      <c r="B2441" s="5" t="s">
        <v>2236</v>
      </c>
      <c r="C2441" s="5" t="s">
        <v>10</v>
      </c>
      <c r="D2441" s="5" t="s">
        <v>2252</v>
      </c>
      <c r="E2441" s="5" t="s">
        <v>2253</v>
      </c>
      <c r="F2441" s="5" t="s">
        <v>73</v>
      </c>
      <c r="G2441" s="5" t="s">
        <v>74</v>
      </c>
      <c r="H2441" s="6">
        <v>800</v>
      </c>
      <c r="I2441" s="5"/>
    </row>
    <row r="2442" spans="1:9" x14ac:dyDescent="0.3">
      <c r="B2442" s="5" t="s">
        <v>2236</v>
      </c>
      <c r="C2442" s="5" t="s">
        <v>10</v>
      </c>
      <c r="D2442" s="5" t="s">
        <v>2252</v>
      </c>
      <c r="E2442" s="5" t="s">
        <v>2253</v>
      </c>
      <c r="F2442" s="5" t="s">
        <v>1643</v>
      </c>
      <c r="G2442" s="5" t="s">
        <v>1644</v>
      </c>
      <c r="H2442" s="5"/>
      <c r="I2442" s="6">
        <v>800</v>
      </c>
    </row>
    <row r="2443" spans="1:9" x14ac:dyDescent="0.3">
      <c r="A2443" s="7" t="s">
        <v>2254</v>
      </c>
      <c r="H2443" s="8">
        <f>H2441+H2442</f>
        <v>800</v>
      </c>
      <c r="I2443" s="8">
        <f>I2441+I2442</f>
        <v>800</v>
      </c>
    </row>
    <row r="2444" spans="1:9" x14ac:dyDescent="0.3">
      <c r="A2444" s="4" t="s">
        <v>2255</v>
      </c>
    </row>
    <row r="2445" spans="1:9" x14ac:dyDescent="0.3">
      <c r="B2445" s="5" t="s">
        <v>2236</v>
      </c>
      <c r="C2445" s="5" t="s">
        <v>10</v>
      </c>
      <c r="D2445" s="5" t="s">
        <v>2256</v>
      </c>
      <c r="E2445" s="5" t="s">
        <v>2257</v>
      </c>
      <c r="F2445" s="5" t="s">
        <v>70</v>
      </c>
      <c r="G2445" s="5" t="s">
        <v>71</v>
      </c>
      <c r="H2445" s="6">
        <v>1730</v>
      </c>
      <c r="I2445" s="5"/>
    </row>
    <row r="2446" spans="1:9" x14ac:dyDescent="0.3">
      <c r="B2446" s="5" t="s">
        <v>2236</v>
      </c>
      <c r="C2446" s="5" t="s">
        <v>10</v>
      </c>
      <c r="D2446" s="5" t="s">
        <v>2256</v>
      </c>
      <c r="E2446" s="5" t="s">
        <v>2257</v>
      </c>
      <c r="F2446" s="5" t="s">
        <v>1643</v>
      </c>
      <c r="G2446" s="5" t="s">
        <v>1644</v>
      </c>
      <c r="H2446" s="5"/>
      <c r="I2446" s="6">
        <v>1730</v>
      </c>
    </row>
    <row r="2447" spans="1:9" x14ac:dyDescent="0.3">
      <c r="A2447" s="7" t="s">
        <v>2258</v>
      </c>
      <c r="H2447" s="8">
        <f>H2445+H2446</f>
        <v>1730</v>
      </c>
      <c r="I2447" s="8">
        <f>I2445+I2446</f>
        <v>1730</v>
      </c>
    </row>
    <row r="2448" spans="1:9" x14ac:dyDescent="0.3">
      <c r="A2448" s="4" t="s">
        <v>2259</v>
      </c>
    </row>
    <row r="2449" spans="1:9" x14ac:dyDescent="0.3">
      <c r="B2449" s="5" t="s">
        <v>2236</v>
      </c>
      <c r="C2449" s="5" t="s">
        <v>10</v>
      </c>
      <c r="D2449" s="5" t="s">
        <v>2260</v>
      </c>
      <c r="E2449" s="5" t="s">
        <v>2261</v>
      </c>
      <c r="F2449" s="5" t="s">
        <v>549</v>
      </c>
      <c r="G2449" s="5" t="s">
        <v>550</v>
      </c>
      <c r="H2449" s="6">
        <v>3500</v>
      </c>
      <c r="I2449" s="5"/>
    </row>
    <row r="2450" spans="1:9" x14ac:dyDescent="0.3">
      <c r="B2450" s="5" t="s">
        <v>2236</v>
      </c>
      <c r="C2450" s="5" t="s">
        <v>10</v>
      </c>
      <c r="D2450" s="5" t="s">
        <v>2260</v>
      </c>
      <c r="E2450" s="5" t="s">
        <v>2261</v>
      </c>
      <c r="F2450" s="5" t="s">
        <v>1643</v>
      </c>
      <c r="G2450" s="5" t="s">
        <v>1644</v>
      </c>
      <c r="H2450" s="5"/>
      <c r="I2450" s="6">
        <v>3500</v>
      </c>
    </row>
    <row r="2451" spans="1:9" x14ac:dyDescent="0.3">
      <c r="A2451" s="7" t="s">
        <v>2262</v>
      </c>
      <c r="H2451" s="8">
        <f>H2449+H2450</f>
        <v>3500</v>
      </c>
      <c r="I2451" s="8">
        <f>I2449+I2450</f>
        <v>3500</v>
      </c>
    </row>
    <row r="2452" spans="1:9" x14ac:dyDescent="0.3">
      <c r="A2452" s="4" t="s">
        <v>2263</v>
      </c>
    </row>
    <row r="2453" spans="1:9" x14ac:dyDescent="0.3">
      <c r="B2453" s="5" t="s">
        <v>2236</v>
      </c>
      <c r="C2453" s="5" t="s">
        <v>10</v>
      </c>
      <c r="D2453" s="5" t="s">
        <v>2264</v>
      </c>
      <c r="E2453" s="5" t="s">
        <v>2265</v>
      </c>
      <c r="F2453" s="5" t="s">
        <v>61</v>
      </c>
      <c r="G2453" s="5" t="s">
        <v>62</v>
      </c>
      <c r="H2453" s="6">
        <v>190</v>
      </c>
      <c r="I2453" s="5"/>
    </row>
    <row r="2454" spans="1:9" x14ac:dyDescent="0.3">
      <c r="B2454" s="5" t="s">
        <v>2236</v>
      </c>
      <c r="C2454" s="5" t="s">
        <v>10</v>
      </c>
      <c r="D2454" s="5" t="s">
        <v>2264</v>
      </c>
      <c r="E2454" s="5" t="s">
        <v>2265</v>
      </c>
      <c r="F2454" s="5" t="s">
        <v>1643</v>
      </c>
      <c r="G2454" s="5" t="s">
        <v>1644</v>
      </c>
      <c r="H2454" s="5"/>
      <c r="I2454" s="6">
        <v>190</v>
      </c>
    </row>
    <row r="2455" spans="1:9" x14ac:dyDescent="0.3">
      <c r="A2455" s="7" t="s">
        <v>2266</v>
      </c>
      <c r="H2455" s="8">
        <f>H2453+H2454</f>
        <v>190</v>
      </c>
      <c r="I2455" s="8">
        <f>I2453+I2454</f>
        <v>190</v>
      </c>
    </row>
    <row r="2456" spans="1:9" x14ac:dyDescent="0.3">
      <c r="A2456" s="4" t="s">
        <v>2267</v>
      </c>
    </row>
    <row r="2457" spans="1:9" x14ac:dyDescent="0.3">
      <c r="B2457" s="5" t="s">
        <v>2236</v>
      </c>
      <c r="C2457" s="5" t="s">
        <v>10</v>
      </c>
      <c r="D2457" s="5" t="s">
        <v>2268</v>
      </c>
      <c r="E2457" s="5" t="s">
        <v>2269</v>
      </c>
      <c r="F2457" s="5" t="s">
        <v>1643</v>
      </c>
      <c r="G2457" s="5" t="s">
        <v>1644</v>
      </c>
      <c r="H2457" s="6">
        <v>30817</v>
      </c>
      <c r="I2457" s="5"/>
    </row>
    <row r="2458" spans="1:9" x14ac:dyDescent="0.3">
      <c r="B2458" s="5" t="s">
        <v>2236</v>
      </c>
      <c r="C2458" s="5" t="s">
        <v>10</v>
      </c>
      <c r="D2458" s="5" t="s">
        <v>2268</v>
      </c>
      <c r="E2458" s="5" t="s">
        <v>2269</v>
      </c>
      <c r="F2458" s="5" t="s">
        <v>13</v>
      </c>
      <c r="G2458" s="5" t="s">
        <v>14</v>
      </c>
      <c r="H2458" s="5"/>
      <c r="I2458" s="6">
        <v>30817</v>
      </c>
    </row>
    <row r="2459" spans="1:9" x14ac:dyDescent="0.3">
      <c r="A2459" s="7" t="s">
        <v>2270</v>
      </c>
      <c r="H2459" s="8">
        <f>H2457+H2458</f>
        <v>30817</v>
      </c>
      <c r="I2459" s="8">
        <f>I2457+I2458</f>
        <v>30817</v>
      </c>
    </row>
    <row r="2460" spans="1:9" x14ac:dyDescent="0.3">
      <c r="A2460" s="4" t="s">
        <v>2271</v>
      </c>
    </row>
    <row r="2461" spans="1:9" x14ac:dyDescent="0.3">
      <c r="B2461" s="5" t="s">
        <v>2236</v>
      </c>
      <c r="C2461" s="5" t="s">
        <v>10</v>
      </c>
      <c r="D2461" s="5" t="s">
        <v>2272</v>
      </c>
      <c r="E2461" s="5" t="s">
        <v>2273</v>
      </c>
      <c r="F2461" s="5" t="s">
        <v>45</v>
      </c>
      <c r="G2461" s="5" t="s">
        <v>46</v>
      </c>
      <c r="H2461" s="6">
        <v>32317</v>
      </c>
      <c r="I2461" s="5"/>
    </row>
    <row r="2462" spans="1:9" x14ac:dyDescent="0.3">
      <c r="B2462" s="5" t="s">
        <v>2236</v>
      </c>
      <c r="C2462" s="5" t="s">
        <v>10</v>
      </c>
      <c r="D2462" s="5" t="s">
        <v>2272</v>
      </c>
      <c r="E2462" s="5" t="s">
        <v>2273</v>
      </c>
      <c r="F2462" s="5" t="s">
        <v>1643</v>
      </c>
      <c r="G2462" s="5" t="s">
        <v>1644</v>
      </c>
      <c r="H2462" s="5"/>
      <c r="I2462" s="6">
        <v>32317</v>
      </c>
    </row>
    <row r="2463" spans="1:9" x14ac:dyDescent="0.3">
      <c r="A2463" s="7" t="s">
        <v>2274</v>
      </c>
      <c r="H2463" s="8">
        <f>H2461+H2462</f>
        <v>32317</v>
      </c>
      <c r="I2463" s="8">
        <f>I2461+I2462</f>
        <v>32317</v>
      </c>
    </row>
    <row r="2464" spans="1:9" x14ac:dyDescent="0.3">
      <c r="A2464" s="4" t="s">
        <v>2275</v>
      </c>
    </row>
    <row r="2465" spans="1:9" x14ac:dyDescent="0.3">
      <c r="B2465" s="5" t="s">
        <v>2276</v>
      </c>
      <c r="C2465" s="5" t="s">
        <v>10</v>
      </c>
      <c r="D2465" s="5" t="s">
        <v>2277</v>
      </c>
      <c r="E2465" s="5" t="s">
        <v>636</v>
      </c>
      <c r="F2465" s="5" t="s">
        <v>61</v>
      </c>
      <c r="G2465" s="5" t="s">
        <v>62</v>
      </c>
      <c r="H2465" s="6">
        <v>230</v>
      </c>
      <c r="I2465" s="5"/>
    </row>
    <row r="2466" spans="1:9" x14ac:dyDescent="0.3">
      <c r="B2466" s="5" t="s">
        <v>2276</v>
      </c>
      <c r="C2466" s="5" t="s">
        <v>10</v>
      </c>
      <c r="D2466" s="5" t="s">
        <v>2277</v>
      </c>
      <c r="E2466" s="5" t="s">
        <v>636</v>
      </c>
      <c r="F2466" s="5" t="s">
        <v>1643</v>
      </c>
      <c r="G2466" s="5" t="s">
        <v>1644</v>
      </c>
      <c r="H2466" s="5"/>
      <c r="I2466" s="6">
        <v>230</v>
      </c>
    </row>
    <row r="2467" spans="1:9" x14ac:dyDescent="0.3">
      <c r="A2467" s="7" t="s">
        <v>2278</v>
      </c>
      <c r="H2467" s="8">
        <f>H2465+H2466</f>
        <v>230</v>
      </c>
      <c r="I2467" s="8">
        <f>I2465+I2466</f>
        <v>230</v>
      </c>
    </row>
    <row r="2468" spans="1:9" x14ac:dyDescent="0.3">
      <c r="A2468" s="4" t="s">
        <v>2279</v>
      </c>
    </row>
    <row r="2469" spans="1:9" x14ac:dyDescent="0.3">
      <c r="B2469" s="5" t="s">
        <v>2276</v>
      </c>
      <c r="C2469" s="5" t="s">
        <v>10</v>
      </c>
      <c r="D2469" s="5" t="s">
        <v>2280</v>
      </c>
      <c r="E2469" s="5" t="s">
        <v>2281</v>
      </c>
      <c r="F2469" s="5" t="s">
        <v>67</v>
      </c>
      <c r="G2469" s="5" t="s">
        <v>68</v>
      </c>
      <c r="H2469" s="6">
        <v>90</v>
      </c>
      <c r="I2469" s="5"/>
    </row>
    <row r="2470" spans="1:9" x14ac:dyDescent="0.3">
      <c r="B2470" s="5" t="s">
        <v>2276</v>
      </c>
      <c r="C2470" s="5" t="s">
        <v>10</v>
      </c>
      <c r="D2470" s="5" t="s">
        <v>2280</v>
      </c>
      <c r="E2470" s="5" t="s">
        <v>2281</v>
      </c>
      <c r="F2470" s="5" t="s">
        <v>1643</v>
      </c>
      <c r="G2470" s="5" t="s">
        <v>1644</v>
      </c>
      <c r="H2470" s="5"/>
      <c r="I2470" s="6">
        <v>90</v>
      </c>
    </row>
    <row r="2471" spans="1:9" x14ac:dyDescent="0.3">
      <c r="A2471" s="7" t="s">
        <v>2282</v>
      </c>
      <c r="H2471" s="8">
        <f>H2469+H2470</f>
        <v>90</v>
      </c>
      <c r="I2471" s="8">
        <f>I2469+I2470</f>
        <v>90</v>
      </c>
    </row>
    <row r="2472" spans="1:9" x14ac:dyDescent="0.3">
      <c r="A2472" s="4" t="s">
        <v>2283</v>
      </c>
    </row>
    <row r="2473" spans="1:9" x14ac:dyDescent="0.3">
      <c r="B2473" s="5" t="s">
        <v>2276</v>
      </c>
      <c r="C2473" s="5" t="s">
        <v>10</v>
      </c>
      <c r="D2473" s="5" t="s">
        <v>2284</v>
      </c>
      <c r="E2473" s="5" t="s">
        <v>2285</v>
      </c>
      <c r="F2473" s="5" t="s">
        <v>50</v>
      </c>
      <c r="G2473" s="5" t="s">
        <v>51</v>
      </c>
      <c r="H2473" s="6">
        <v>600</v>
      </c>
      <c r="I2473" s="5"/>
    </row>
    <row r="2474" spans="1:9" x14ac:dyDescent="0.3">
      <c r="B2474" s="5" t="s">
        <v>2276</v>
      </c>
      <c r="C2474" s="5" t="s">
        <v>10</v>
      </c>
      <c r="D2474" s="5" t="s">
        <v>2284</v>
      </c>
      <c r="E2474" s="5" t="s">
        <v>2285</v>
      </c>
      <c r="F2474" s="5" t="s">
        <v>1643</v>
      </c>
      <c r="G2474" s="5" t="s">
        <v>1644</v>
      </c>
      <c r="H2474" s="5"/>
      <c r="I2474" s="6">
        <v>600</v>
      </c>
    </row>
    <row r="2475" spans="1:9" x14ac:dyDescent="0.3">
      <c r="A2475" s="7" t="s">
        <v>2286</v>
      </c>
      <c r="H2475" s="8">
        <f>H2473+H2474</f>
        <v>600</v>
      </c>
      <c r="I2475" s="8">
        <f>I2473+I2474</f>
        <v>600</v>
      </c>
    </row>
    <row r="2476" spans="1:9" x14ac:dyDescent="0.3">
      <c r="A2476" s="4" t="s">
        <v>2287</v>
      </c>
    </row>
    <row r="2477" spans="1:9" x14ac:dyDescent="0.3">
      <c r="B2477" s="5" t="s">
        <v>2276</v>
      </c>
      <c r="C2477" s="5" t="s">
        <v>10</v>
      </c>
      <c r="D2477" s="5" t="s">
        <v>2288</v>
      </c>
      <c r="E2477" s="5" t="s">
        <v>2289</v>
      </c>
      <c r="F2477" s="5" t="s">
        <v>70</v>
      </c>
      <c r="G2477" s="5" t="s">
        <v>71</v>
      </c>
      <c r="H2477" s="6">
        <v>470</v>
      </c>
      <c r="I2477" s="5"/>
    </row>
    <row r="2478" spans="1:9" x14ac:dyDescent="0.3">
      <c r="B2478" s="5" t="s">
        <v>2276</v>
      </c>
      <c r="C2478" s="5" t="s">
        <v>10</v>
      </c>
      <c r="D2478" s="5" t="s">
        <v>2288</v>
      </c>
      <c r="E2478" s="5" t="s">
        <v>2289</v>
      </c>
      <c r="F2478" s="5" t="s">
        <v>1643</v>
      </c>
      <c r="G2478" s="5" t="s">
        <v>1644</v>
      </c>
      <c r="H2478" s="5"/>
      <c r="I2478" s="6">
        <v>470</v>
      </c>
    </row>
    <row r="2479" spans="1:9" x14ac:dyDescent="0.3">
      <c r="A2479" s="7" t="s">
        <v>2290</v>
      </c>
      <c r="H2479" s="8">
        <f>H2477+H2478</f>
        <v>470</v>
      </c>
      <c r="I2479" s="8">
        <f>I2477+I2478</f>
        <v>470</v>
      </c>
    </row>
    <row r="2480" spans="1:9" x14ac:dyDescent="0.3">
      <c r="A2480" s="4" t="s">
        <v>2291</v>
      </c>
    </row>
    <row r="2481" spans="1:9" x14ac:dyDescent="0.3">
      <c r="B2481" s="5" t="s">
        <v>2292</v>
      </c>
      <c r="C2481" s="5" t="s">
        <v>10</v>
      </c>
      <c r="D2481" s="5" t="s">
        <v>2293</v>
      </c>
      <c r="E2481" s="5" t="s">
        <v>1577</v>
      </c>
      <c r="F2481" s="5" t="s">
        <v>61</v>
      </c>
      <c r="G2481" s="5" t="s">
        <v>62</v>
      </c>
      <c r="H2481" s="6">
        <v>820</v>
      </c>
      <c r="I2481" s="5"/>
    </row>
    <row r="2482" spans="1:9" x14ac:dyDescent="0.3">
      <c r="B2482" s="5" t="s">
        <v>2292</v>
      </c>
      <c r="C2482" s="5" t="s">
        <v>10</v>
      </c>
      <c r="D2482" s="5" t="s">
        <v>2293</v>
      </c>
      <c r="E2482" s="5" t="s">
        <v>1577</v>
      </c>
      <c r="F2482" s="5" t="s">
        <v>1643</v>
      </c>
      <c r="G2482" s="5" t="s">
        <v>1644</v>
      </c>
      <c r="H2482" s="5"/>
      <c r="I2482" s="6">
        <v>820</v>
      </c>
    </row>
    <row r="2483" spans="1:9" x14ac:dyDescent="0.3">
      <c r="A2483" s="7" t="s">
        <v>2294</v>
      </c>
      <c r="H2483" s="8">
        <f>H2481+H2482</f>
        <v>820</v>
      </c>
      <c r="I2483" s="8">
        <f>I2481+I2482</f>
        <v>820</v>
      </c>
    </row>
    <row r="2484" spans="1:9" x14ac:dyDescent="0.3">
      <c r="A2484" s="4" t="s">
        <v>2295</v>
      </c>
    </row>
    <row r="2485" spans="1:9" x14ac:dyDescent="0.3">
      <c r="B2485" s="5" t="s">
        <v>2292</v>
      </c>
      <c r="C2485" s="5" t="s">
        <v>10</v>
      </c>
      <c r="D2485" s="5" t="s">
        <v>2296</v>
      </c>
      <c r="E2485" s="5" t="s">
        <v>2297</v>
      </c>
      <c r="F2485" s="5" t="s">
        <v>70</v>
      </c>
      <c r="G2485" s="5" t="s">
        <v>71</v>
      </c>
      <c r="H2485" s="6">
        <v>230</v>
      </c>
      <c r="I2485" s="5"/>
    </row>
    <row r="2486" spans="1:9" x14ac:dyDescent="0.3">
      <c r="B2486" s="5" t="s">
        <v>2292</v>
      </c>
      <c r="C2486" s="5" t="s">
        <v>10</v>
      </c>
      <c r="D2486" s="5" t="s">
        <v>2296</v>
      </c>
      <c r="E2486" s="5" t="s">
        <v>2297</v>
      </c>
      <c r="F2486" s="5" t="s">
        <v>1643</v>
      </c>
      <c r="G2486" s="5" t="s">
        <v>1644</v>
      </c>
      <c r="H2486" s="5"/>
      <c r="I2486" s="6">
        <v>230</v>
      </c>
    </row>
    <row r="2487" spans="1:9" x14ac:dyDescent="0.3">
      <c r="A2487" s="7" t="s">
        <v>2298</v>
      </c>
      <c r="H2487" s="8">
        <f>H2485+H2486</f>
        <v>230</v>
      </c>
      <c r="I2487" s="8">
        <f>I2485+I2486</f>
        <v>230</v>
      </c>
    </row>
    <row r="2488" spans="1:9" x14ac:dyDescent="0.3">
      <c r="A2488" s="4" t="s">
        <v>2299</v>
      </c>
    </row>
    <row r="2489" spans="1:9" x14ac:dyDescent="0.3">
      <c r="B2489" s="5" t="s">
        <v>2292</v>
      </c>
      <c r="C2489" s="5" t="s">
        <v>10</v>
      </c>
      <c r="D2489" s="5" t="s">
        <v>2300</v>
      </c>
      <c r="E2489" s="5" t="s">
        <v>2301</v>
      </c>
      <c r="F2489" s="5" t="s">
        <v>64</v>
      </c>
      <c r="G2489" s="5" t="s">
        <v>65</v>
      </c>
      <c r="H2489" s="6">
        <v>200</v>
      </c>
      <c r="I2489" s="5"/>
    </row>
    <row r="2490" spans="1:9" x14ac:dyDescent="0.3">
      <c r="B2490" s="5" t="s">
        <v>2292</v>
      </c>
      <c r="C2490" s="5" t="s">
        <v>10</v>
      </c>
      <c r="D2490" s="5" t="s">
        <v>2300</v>
      </c>
      <c r="E2490" s="5" t="s">
        <v>2301</v>
      </c>
      <c r="F2490" s="5" t="s">
        <v>1643</v>
      </c>
      <c r="G2490" s="5" t="s">
        <v>1644</v>
      </c>
      <c r="H2490" s="5"/>
      <c r="I2490" s="6">
        <v>200</v>
      </c>
    </row>
    <row r="2491" spans="1:9" x14ac:dyDescent="0.3">
      <c r="A2491" s="7" t="s">
        <v>2302</v>
      </c>
      <c r="H2491" s="8">
        <f>H2489+H2490</f>
        <v>200</v>
      </c>
      <c r="I2491" s="8">
        <f>I2489+I2490</f>
        <v>200</v>
      </c>
    </row>
    <row r="2492" spans="1:9" x14ac:dyDescent="0.3">
      <c r="A2492" s="4" t="s">
        <v>2303</v>
      </c>
    </row>
    <row r="2493" spans="1:9" x14ac:dyDescent="0.3">
      <c r="B2493" s="5" t="s">
        <v>2304</v>
      </c>
      <c r="C2493" s="5" t="s">
        <v>10</v>
      </c>
      <c r="D2493" s="5" t="s">
        <v>2305</v>
      </c>
      <c r="E2493" s="5" t="s">
        <v>1577</v>
      </c>
      <c r="F2493" s="5" t="s">
        <v>61</v>
      </c>
      <c r="G2493" s="5" t="s">
        <v>62</v>
      </c>
      <c r="H2493" s="6">
        <v>300</v>
      </c>
      <c r="I2493" s="5"/>
    </row>
    <row r="2494" spans="1:9" x14ac:dyDescent="0.3">
      <c r="B2494" s="5" t="s">
        <v>2304</v>
      </c>
      <c r="C2494" s="5" t="s">
        <v>10</v>
      </c>
      <c r="D2494" s="5" t="s">
        <v>2305</v>
      </c>
      <c r="E2494" s="5" t="s">
        <v>1577</v>
      </c>
      <c r="F2494" s="5" t="s">
        <v>1643</v>
      </c>
      <c r="G2494" s="5" t="s">
        <v>1644</v>
      </c>
      <c r="H2494" s="5"/>
      <c r="I2494" s="6">
        <v>300</v>
      </c>
    </row>
    <row r="2495" spans="1:9" x14ac:dyDescent="0.3">
      <c r="A2495" s="7" t="s">
        <v>2306</v>
      </c>
      <c r="H2495" s="8">
        <f>H2493+H2494</f>
        <v>300</v>
      </c>
      <c r="I2495" s="8">
        <f>I2493+I2494</f>
        <v>300</v>
      </c>
    </row>
    <row r="2496" spans="1:9" x14ac:dyDescent="0.3">
      <c r="A2496" s="4" t="s">
        <v>2307</v>
      </c>
    </row>
    <row r="2497" spans="1:9" x14ac:dyDescent="0.3">
      <c r="B2497" s="5" t="s">
        <v>2308</v>
      </c>
      <c r="C2497" s="5" t="s">
        <v>10</v>
      </c>
      <c r="D2497" s="5" t="s">
        <v>2309</v>
      </c>
      <c r="E2497" s="5" t="s">
        <v>2310</v>
      </c>
      <c r="F2497" s="5" t="s">
        <v>1643</v>
      </c>
      <c r="G2497" s="5" t="s">
        <v>1644</v>
      </c>
      <c r="H2497" s="6">
        <v>15000</v>
      </c>
      <c r="I2497" s="5"/>
    </row>
    <row r="2498" spans="1:9" x14ac:dyDescent="0.3">
      <c r="B2498" s="5" t="s">
        <v>2308</v>
      </c>
      <c r="C2498" s="5" t="s">
        <v>10</v>
      </c>
      <c r="D2498" s="5" t="s">
        <v>2309</v>
      </c>
      <c r="E2498" s="5" t="s">
        <v>2310</v>
      </c>
      <c r="F2498" s="5" t="s">
        <v>13</v>
      </c>
      <c r="G2498" s="5" t="s">
        <v>14</v>
      </c>
      <c r="H2498" s="5"/>
      <c r="I2498" s="6">
        <v>15000</v>
      </c>
    </row>
    <row r="2499" spans="1:9" x14ac:dyDescent="0.3">
      <c r="A2499" s="7" t="s">
        <v>2311</v>
      </c>
      <c r="H2499" s="8">
        <f>H2497+H2498</f>
        <v>15000</v>
      </c>
      <c r="I2499" s="8">
        <f>I2497+I2498</f>
        <v>15000</v>
      </c>
    </row>
    <row r="2500" spans="1:9" x14ac:dyDescent="0.3">
      <c r="A2500" s="4" t="s">
        <v>2312</v>
      </c>
    </row>
    <row r="2501" spans="1:9" x14ac:dyDescent="0.3">
      <c r="B2501" s="5" t="s">
        <v>2308</v>
      </c>
      <c r="C2501" s="5" t="s">
        <v>10</v>
      </c>
      <c r="D2501" s="5" t="s">
        <v>2313</v>
      </c>
      <c r="E2501" s="5" t="s">
        <v>2314</v>
      </c>
      <c r="F2501" s="5" t="s">
        <v>1643</v>
      </c>
      <c r="G2501" s="5" t="s">
        <v>1644</v>
      </c>
      <c r="H2501" s="6">
        <v>10000</v>
      </c>
      <c r="I2501" s="5"/>
    </row>
    <row r="2502" spans="1:9" x14ac:dyDescent="0.3">
      <c r="B2502" s="5" t="s">
        <v>2308</v>
      </c>
      <c r="C2502" s="5" t="s">
        <v>10</v>
      </c>
      <c r="D2502" s="5" t="s">
        <v>2313</v>
      </c>
      <c r="E2502" s="5" t="s">
        <v>2314</v>
      </c>
      <c r="F2502" s="5" t="s">
        <v>13</v>
      </c>
      <c r="G2502" s="5" t="s">
        <v>14</v>
      </c>
      <c r="H2502" s="5"/>
      <c r="I2502" s="6">
        <v>10000</v>
      </c>
    </row>
    <row r="2503" spans="1:9" x14ac:dyDescent="0.3">
      <c r="A2503" s="7" t="s">
        <v>2315</v>
      </c>
      <c r="H2503" s="8">
        <f>H2501+H2502</f>
        <v>10000</v>
      </c>
      <c r="I2503" s="8">
        <f>I2501+I2502</f>
        <v>10000</v>
      </c>
    </row>
    <row r="2504" spans="1:9" x14ac:dyDescent="0.3">
      <c r="A2504" s="4" t="s">
        <v>2316</v>
      </c>
    </row>
    <row r="2505" spans="1:9" x14ac:dyDescent="0.3">
      <c r="B2505" s="5" t="s">
        <v>2308</v>
      </c>
      <c r="C2505" s="5" t="s">
        <v>10</v>
      </c>
      <c r="D2505" s="5" t="s">
        <v>2317</v>
      </c>
      <c r="E2505" s="5" t="s">
        <v>2318</v>
      </c>
      <c r="F2505" s="5" t="s">
        <v>87</v>
      </c>
      <c r="G2505" s="5" t="s">
        <v>88</v>
      </c>
      <c r="H2505" s="6">
        <v>9000</v>
      </c>
      <c r="I2505" s="5"/>
    </row>
    <row r="2506" spans="1:9" x14ac:dyDescent="0.3">
      <c r="B2506" s="5" t="s">
        <v>2308</v>
      </c>
      <c r="C2506" s="5" t="s">
        <v>10</v>
      </c>
      <c r="D2506" s="5" t="s">
        <v>2317</v>
      </c>
      <c r="E2506" s="5" t="s">
        <v>2318</v>
      </c>
      <c r="F2506" s="5" t="s">
        <v>1643</v>
      </c>
      <c r="G2506" s="5" t="s">
        <v>1644</v>
      </c>
      <c r="H2506" s="5"/>
      <c r="I2506" s="6">
        <v>9000</v>
      </c>
    </row>
    <row r="2507" spans="1:9" x14ac:dyDescent="0.3">
      <c r="A2507" s="7" t="s">
        <v>2319</v>
      </c>
      <c r="H2507" s="8">
        <f>H2505+H2506</f>
        <v>9000</v>
      </c>
      <c r="I2507" s="8">
        <f>I2505+I2506</f>
        <v>9000</v>
      </c>
    </row>
    <row r="2508" spans="1:9" x14ac:dyDescent="0.3">
      <c r="A2508" s="4" t="s">
        <v>2320</v>
      </c>
    </row>
    <row r="2509" spans="1:9" x14ac:dyDescent="0.3">
      <c r="B2509" s="5" t="s">
        <v>2308</v>
      </c>
      <c r="C2509" s="5" t="s">
        <v>10</v>
      </c>
      <c r="D2509" s="5" t="s">
        <v>2321</v>
      </c>
      <c r="E2509" s="5" t="s">
        <v>2322</v>
      </c>
      <c r="F2509" s="5" t="s">
        <v>67</v>
      </c>
      <c r="G2509" s="5" t="s">
        <v>68</v>
      </c>
      <c r="H2509" s="6">
        <v>60</v>
      </c>
      <c r="I2509" s="5"/>
    </row>
    <row r="2510" spans="1:9" x14ac:dyDescent="0.3">
      <c r="B2510" s="5" t="s">
        <v>2308</v>
      </c>
      <c r="C2510" s="5" t="s">
        <v>10</v>
      </c>
      <c r="D2510" s="5" t="s">
        <v>2321</v>
      </c>
      <c r="E2510" s="5" t="s">
        <v>2322</v>
      </c>
      <c r="F2510" s="5" t="s">
        <v>1643</v>
      </c>
      <c r="G2510" s="5" t="s">
        <v>1644</v>
      </c>
      <c r="H2510" s="5"/>
      <c r="I2510" s="6">
        <v>60</v>
      </c>
    </row>
    <row r="2511" spans="1:9" x14ac:dyDescent="0.3">
      <c r="B2511" s="5" t="s">
        <v>2308</v>
      </c>
      <c r="C2511" s="5" t="s">
        <v>10</v>
      </c>
      <c r="D2511" s="5" t="s">
        <v>2321</v>
      </c>
      <c r="E2511" s="5" t="s">
        <v>1506</v>
      </c>
      <c r="F2511" s="5" t="s">
        <v>61</v>
      </c>
      <c r="G2511" s="5" t="s">
        <v>62</v>
      </c>
      <c r="H2511" s="6">
        <v>840</v>
      </c>
      <c r="I2511" s="5"/>
    </row>
    <row r="2512" spans="1:9" x14ac:dyDescent="0.3">
      <c r="B2512" s="5" t="s">
        <v>2308</v>
      </c>
      <c r="C2512" s="5" t="s">
        <v>10</v>
      </c>
      <c r="D2512" s="5" t="s">
        <v>2321</v>
      </c>
      <c r="E2512" s="5" t="s">
        <v>1506</v>
      </c>
      <c r="F2512" s="5" t="s">
        <v>1643</v>
      </c>
      <c r="G2512" s="5" t="s">
        <v>1644</v>
      </c>
      <c r="H2512" s="5"/>
      <c r="I2512" s="6">
        <v>840</v>
      </c>
    </row>
    <row r="2513" spans="1:9" x14ac:dyDescent="0.3">
      <c r="A2513" s="7" t="s">
        <v>2323</v>
      </c>
      <c r="H2513" s="8">
        <f>H2509+H2510+H2511+H2512</f>
        <v>900</v>
      </c>
      <c r="I2513" s="8">
        <f>I2509+I2510+I2511+I2512</f>
        <v>900</v>
      </c>
    </row>
    <row r="2514" spans="1:9" x14ac:dyDescent="0.3">
      <c r="A2514" s="4" t="s">
        <v>2324</v>
      </c>
    </row>
    <row r="2515" spans="1:9" x14ac:dyDescent="0.3">
      <c r="B2515" s="5" t="s">
        <v>2325</v>
      </c>
      <c r="C2515" s="5" t="s">
        <v>10</v>
      </c>
      <c r="D2515" s="5" t="s">
        <v>2326</v>
      </c>
      <c r="E2515" s="5" t="s">
        <v>533</v>
      </c>
      <c r="F2515" s="5" t="s">
        <v>61</v>
      </c>
      <c r="G2515" s="5" t="s">
        <v>62</v>
      </c>
      <c r="H2515" s="6">
        <v>570</v>
      </c>
      <c r="I2515" s="5"/>
    </row>
    <row r="2516" spans="1:9" x14ac:dyDescent="0.3">
      <c r="B2516" s="5" t="s">
        <v>2325</v>
      </c>
      <c r="C2516" s="5" t="s">
        <v>10</v>
      </c>
      <c r="D2516" s="5" t="s">
        <v>2326</v>
      </c>
      <c r="E2516" s="5" t="s">
        <v>533</v>
      </c>
      <c r="F2516" s="5" t="s">
        <v>1643</v>
      </c>
      <c r="G2516" s="5" t="s">
        <v>1644</v>
      </c>
      <c r="H2516" s="5"/>
      <c r="I2516" s="6">
        <v>570</v>
      </c>
    </row>
    <row r="2517" spans="1:9" x14ac:dyDescent="0.3">
      <c r="A2517" s="7" t="s">
        <v>2327</v>
      </c>
      <c r="H2517" s="8">
        <f>H2515+H2516</f>
        <v>570</v>
      </c>
      <c r="I2517" s="8">
        <f>I2515+I2516</f>
        <v>570</v>
      </c>
    </row>
    <row r="2518" spans="1:9" x14ac:dyDescent="0.3">
      <c r="A2518" s="4" t="s">
        <v>2328</v>
      </c>
    </row>
    <row r="2519" spans="1:9" x14ac:dyDescent="0.3">
      <c r="B2519" s="5" t="s">
        <v>2325</v>
      </c>
      <c r="C2519" s="5" t="s">
        <v>10</v>
      </c>
      <c r="D2519" s="5" t="s">
        <v>2329</v>
      </c>
      <c r="E2519" s="5" t="s">
        <v>2330</v>
      </c>
      <c r="F2519" s="5" t="s">
        <v>50</v>
      </c>
      <c r="G2519" s="5" t="s">
        <v>51</v>
      </c>
      <c r="H2519" s="6">
        <v>460</v>
      </c>
      <c r="I2519" s="5"/>
    </row>
    <row r="2520" spans="1:9" x14ac:dyDescent="0.3">
      <c r="B2520" s="5" t="s">
        <v>2325</v>
      </c>
      <c r="C2520" s="5" t="s">
        <v>10</v>
      </c>
      <c r="D2520" s="5" t="s">
        <v>2329</v>
      </c>
      <c r="E2520" s="5" t="s">
        <v>2330</v>
      </c>
      <c r="F2520" s="5" t="s">
        <v>1643</v>
      </c>
      <c r="G2520" s="5" t="s">
        <v>1644</v>
      </c>
      <c r="H2520" s="5"/>
      <c r="I2520" s="6">
        <v>460</v>
      </c>
    </row>
    <row r="2521" spans="1:9" x14ac:dyDescent="0.3">
      <c r="A2521" s="7" t="s">
        <v>2331</v>
      </c>
      <c r="H2521" s="8">
        <f>H2519+H2520</f>
        <v>460</v>
      </c>
      <c r="I2521" s="8">
        <f>I2519+I2520</f>
        <v>460</v>
      </c>
    </row>
    <row r="2522" spans="1:9" x14ac:dyDescent="0.3">
      <c r="A2522" s="4" t="s">
        <v>2332</v>
      </c>
    </row>
    <row r="2523" spans="1:9" x14ac:dyDescent="0.3">
      <c r="B2523" s="5" t="s">
        <v>2325</v>
      </c>
      <c r="C2523" s="5" t="s">
        <v>10</v>
      </c>
      <c r="D2523" s="5" t="s">
        <v>2333</v>
      </c>
      <c r="E2523" s="5" t="s">
        <v>2334</v>
      </c>
      <c r="F2523" s="5" t="s">
        <v>70</v>
      </c>
      <c r="G2523" s="5" t="s">
        <v>71</v>
      </c>
      <c r="H2523" s="6">
        <v>360</v>
      </c>
      <c r="I2523" s="5"/>
    </row>
    <row r="2524" spans="1:9" x14ac:dyDescent="0.3">
      <c r="B2524" s="5" t="s">
        <v>2325</v>
      </c>
      <c r="C2524" s="5" t="s">
        <v>10</v>
      </c>
      <c r="D2524" s="5" t="s">
        <v>2333</v>
      </c>
      <c r="E2524" s="5" t="s">
        <v>2334</v>
      </c>
      <c r="F2524" s="5" t="s">
        <v>1643</v>
      </c>
      <c r="G2524" s="5" t="s">
        <v>1644</v>
      </c>
      <c r="H2524" s="5"/>
      <c r="I2524" s="6">
        <v>360</v>
      </c>
    </row>
    <row r="2525" spans="1:9" x14ac:dyDescent="0.3">
      <c r="A2525" s="7" t="s">
        <v>2335</v>
      </c>
      <c r="H2525" s="8">
        <f>H2523+H2524</f>
        <v>360</v>
      </c>
      <c r="I2525" s="8">
        <f>I2523+I2524</f>
        <v>360</v>
      </c>
    </row>
    <row r="2526" spans="1:9" x14ac:dyDescent="0.3">
      <c r="A2526" s="4" t="s">
        <v>2336</v>
      </c>
    </row>
    <row r="2527" spans="1:9" x14ac:dyDescent="0.3">
      <c r="B2527" s="5" t="s">
        <v>2325</v>
      </c>
      <c r="C2527" s="5" t="s">
        <v>10</v>
      </c>
      <c r="D2527" s="5" t="s">
        <v>2337</v>
      </c>
      <c r="E2527" s="5" t="s">
        <v>2338</v>
      </c>
      <c r="F2527" s="5" t="s">
        <v>67</v>
      </c>
      <c r="G2527" s="5" t="s">
        <v>68</v>
      </c>
      <c r="H2527" s="6">
        <v>150</v>
      </c>
      <c r="I2527" s="5"/>
    </row>
    <row r="2528" spans="1:9" x14ac:dyDescent="0.3">
      <c r="B2528" s="5" t="s">
        <v>2325</v>
      </c>
      <c r="C2528" s="5" t="s">
        <v>10</v>
      </c>
      <c r="D2528" s="5" t="s">
        <v>2337</v>
      </c>
      <c r="E2528" s="5" t="s">
        <v>2338</v>
      </c>
      <c r="F2528" s="5" t="s">
        <v>1643</v>
      </c>
      <c r="G2528" s="5" t="s">
        <v>1644</v>
      </c>
      <c r="H2528" s="5"/>
      <c r="I2528" s="6">
        <v>150</v>
      </c>
    </row>
    <row r="2529" spans="1:9" x14ac:dyDescent="0.3">
      <c r="A2529" s="7" t="s">
        <v>2339</v>
      </c>
      <c r="H2529" s="8">
        <f>H2527+H2528</f>
        <v>150</v>
      </c>
      <c r="I2529" s="8">
        <f>I2527+I2528</f>
        <v>150</v>
      </c>
    </row>
    <row r="2530" spans="1:9" x14ac:dyDescent="0.3">
      <c r="A2530" s="4" t="s">
        <v>2340</v>
      </c>
    </row>
    <row r="2531" spans="1:9" x14ac:dyDescent="0.3">
      <c r="B2531" s="5" t="s">
        <v>2325</v>
      </c>
      <c r="C2531" s="5" t="s">
        <v>10</v>
      </c>
      <c r="D2531" s="5" t="s">
        <v>2341</v>
      </c>
      <c r="E2531" s="5" t="s">
        <v>2338</v>
      </c>
      <c r="F2531" s="5" t="s">
        <v>67</v>
      </c>
      <c r="G2531" s="5" t="s">
        <v>68</v>
      </c>
      <c r="H2531" s="6">
        <v>160</v>
      </c>
      <c r="I2531" s="5"/>
    </row>
    <row r="2532" spans="1:9" x14ac:dyDescent="0.3">
      <c r="B2532" s="5" t="s">
        <v>2325</v>
      </c>
      <c r="C2532" s="5" t="s">
        <v>10</v>
      </c>
      <c r="D2532" s="5" t="s">
        <v>2341</v>
      </c>
      <c r="E2532" s="5" t="s">
        <v>2338</v>
      </c>
      <c r="F2532" s="5" t="s">
        <v>1643</v>
      </c>
      <c r="G2532" s="5" t="s">
        <v>1644</v>
      </c>
      <c r="H2532" s="5"/>
      <c r="I2532" s="6">
        <v>160</v>
      </c>
    </row>
    <row r="2533" spans="1:9" x14ac:dyDescent="0.3">
      <c r="A2533" s="7" t="s">
        <v>2342</v>
      </c>
      <c r="H2533" s="8">
        <f>H2531+H2532</f>
        <v>160</v>
      </c>
      <c r="I2533" s="8">
        <f>I2531+I2532</f>
        <v>160</v>
      </c>
    </row>
    <row r="2534" spans="1:9" x14ac:dyDescent="0.3">
      <c r="A2534" s="4" t="s">
        <v>2343</v>
      </c>
    </row>
    <row r="2535" spans="1:9" x14ac:dyDescent="0.3">
      <c r="B2535" s="5" t="s">
        <v>2325</v>
      </c>
      <c r="C2535" s="5" t="s">
        <v>10</v>
      </c>
      <c r="D2535" s="5" t="s">
        <v>2344</v>
      </c>
      <c r="E2535" s="5" t="s">
        <v>2338</v>
      </c>
      <c r="F2535" s="5" t="s">
        <v>116</v>
      </c>
      <c r="G2535" s="5" t="s">
        <v>117</v>
      </c>
      <c r="H2535" s="6">
        <v>500</v>
      </c>
      <c r="I2535" s="5"/>
    </row>
    <row r="2536" spans="1:9" x14ac:dyDescent="0.3">
      <c r="B2536" s="5" t="s">
        <v>2325</v>
      </c>
      <c r="C2536" s="5" t="s">
        <v>10</v>
      </c>
      <c r="D2536" s="5" t="s">
        <v>2344</v>
      </c>
      <c r="E2536" s="5" t="s">
        <v>2338</v>
      </c>
      <c r="F2536" s="5" t="s">
        <v>1643</v>
      </c>
      <c r="G2536" s="5" t="s">
        <v>1644</v>
      </c>
      <c r="H2536" s="5"/>
      <c r="I2536" s="6">
        <v>500</v>
      </c>
    </row>
    <row r="2537" spans="1:9" x14ac:dyDescent="0.3">
      <c r="A2537" s="7" t="s">
        <v>2345</v>
      </c>
      <c r="H2537" s="8">
        <f>H2535+H2536</f>
        <v>500</v>
      </c>
      <c r="I2537" s="8">
        <f>I2535+I2536</f>
        <v>500</v>
      </c>
    </row>
    <row r="2538" spans="1:9" x14ac:dyDescent="0.3">
      <c r="A2538" s="4" t="s">
        <v>2346</v>
      </c>
    </row>
    <row r="2539" spans="1:9" x14ac:dyDescent="0.3">
      <c r="B2539" s="5" t="s">
        <v>2325</v>
      </c>
      <c r="C2539" s="5" t="s">
        <v>10</v>
      </c>
      <c r="D2539" s="5" t="s">
        <v>2347</v>
      </c>
      <c r="E2539" s="5" t="s">
        <v>2348</v>
      </c>
      <c r="F2539" s="5" t="s">
        <v>67</v>
      </c>
      <c r="G2539" s="5" t="s">
        <v>68</v>
      </c>
      <c r="H2539" s="6">
        <v>350</v>
      </c>
      <c r="I2539" s="5"/>
    </row>
    <row r="2540" spans="1:9" x14ac:dyDescent="0.3">
      <c r="B2540" s="5" t="s">
        <v>2325</v>
      </c>
      <c r="C2540" s="5" t="s">
        <v>10</v>
      </c>
      <c r="D2540" s="5" t="s">
        <v>2347</v>
      </c>
      <c r="E2540" s="5" t="s">
        <v>2348</v>
      </c>
      <c r="F2540" s="5" t="s">
        <v>1643</v>
      </c>
      <c r="G2540" s="5" t="s">
        <v>1644</v>
      </c>
      <c r="H2540" s="5"/>
      <c r="I2540" s="6">
        <v>350</v>
      </c>
    </row>
    <row r="2541" spans="1:9" x14ac:dyDescent="0.3">
      <c r="A2541" s="7" t="s">
        <v>2349</v>
      </c>
      <c r="H2541" s="8">
        <f>H2539+H2540</f>
        <v>350</v>
      </c>
      <c r="I2541" s="8">
        <f>I2539+I2540</f>
        <v>350</v>
      </c>
    </row>
    <row r="2542" spans="1:9" x14ac:dyDescent="0.3">
      <c r="A2542" s="4" t="s">
        <v>2350</v>
      </c>
    </row>
    <row r="2543" spans="1:9" x14ac:dyDescent="0.3">
      <c r="B2543" s="5" t="s">
        <v>2351</v>
      </c>
      <c r="C2543" s="5" t="s">
        <v>10</v>
      </c>
      <c r="D2543" s="5" t="s">
        <v>2352</v>
      </c>
      <c r="E2543" s="5" t="s">
        <v>636</v>
      </c>
      <c r="F2543" s="5" t="s">
        <v>61</v>
      </c>
      <c r="G2543" s="5" t="s">
        <v>62</v>
      </c>
      <c r="H2543" s="6">
        <v>375</v>
      </c>
      <c r="I2543" s="5"/>
    </row>
    <row r="2544" spans="1:9" x14ac:dyDescent="0.3">
      <c r="B2544" s="5" t="s">
        <v>2351</v>
      </c>
      <c r="C2544" s="5" t="s">
        <v>10</v>
      </c>
      <c r="D2544" s="5" t="s">
        <v>2352</v>
      </c>
      <c r="E2544" s="5" t="s">
        <v>636</v>
      </c>
      <c r="F2544" s="5" t="s">
        <v>1643</v>
      </c>
      <c r="G2544" s="5" t="s">
        <v>1644</v>
      </c>
      <c r="H2544" s="5"/>
      <c r="I2544" s="6">
        <v>375</v>
      </c>
    </row>
    <row r="2545" spans="1:9" x14ac:dyDescent="0.3">
      <c r="B2545" s="5" t="s">
        <v>2351</v>
      </c>
      <c r="C2545" s="5" t="s">
        <v>10</v>
      </c>
      <c r="D2545" s="5" t="s">
        <v>2352</v>
      </c>
      <c r="E2545" s="5" t="s">
        <v>2353</v>
      </c>
      <c r="F2545" s="5" t="s">
        <v>50</v>
      </c>
      <c r="G2545" s="5" t="s">
        <v>51</v>
      </c>
      <c r="H2545" s="6">
        <v>600</v>
      </c>
      <c r="I2545" s="5"/>
    </row>
    <row r="2546" spans="1:9" x14ac:dyDescent="0.3">
      <c r="B2546" s="5" t="s">
        <v>2351</v>
      </c>
      <c r="C2546" s="5" t="s">
        <v>10</v>
      </c>
      <c r="D2546" s="5" t="s">
        <v>2352</v>
      </c>
      <c r="E2546" s="5" t="s">
        <v>2353</v>
      </c>
      <c r="F2546" s="5" t="s">
        <v>1643</v>
      </c>
      <c r="G2546" s="5" t="s">
        <v>1644</v>
      </c>
      <c r="H2546" s="5"/>
      <c r="I2546" s="6">
        <v>600</v>
      </c>
    </row>
    <row r="2547" spans="1:9" x14ac:dyDescent="0.3">
      <c r="A2547" s="7" t="s">
        <v>2354</v>
      </c>
      <c r="H2547" s="8">
        <f>H2543+H2544+H2545+H2546</f>
        <v>975</v>
      </c>
      <c r="I2547" s="8">
        <f>I2543+I2544+I2545+I2546</f>
        <v>975</v>
      </c>
    </row>
    <row r="2548" spans="1:9" x14ac:dyDescent="0.3">
      <c r="A2548" s="4" t="s">
        <v>2355</v>
      </c>
    </row>
    <row r="2549" spans="1:9" x14ac:dyDescent="0.3">
      <c r="B2549" s="5" t="s">
        <v>2351</v>
      </c>
      <c r="C2549" s="5" t="s">
        <v>10</v>
      </c>
      <c r="D2549" s="5" t="s">
        <v>2356</v>
      </c>
      <c r="E2549" s="5" t="s">
        <v>2357</v>
      </c>
      <c r="F2549" s="5" t="s">
        <v>67</v>
      </c>
      <c r="G2549" s="5" t="s">
        <v>68</v>
      </c>
      <c r="H2549" s="6">
        <v>600</v>
      </c>
      <c r="I2549" s="5"/>
    </row>
    <row r="2550" spans="1:9" x14ac:dyDescent="0.3">
      <c r="B2550" s="5" t="s">
        <v>2351</v>
      </c>
      <c r="C2550" s="5" t="s">
        <v>10</v>
      </c>
      <c r="D2550" s="5" t="s">
        <v>2356</v>
      </c>
      <c r="E2550" s="5" t="s">
        <v>2357</v>
      </c>
      <c r="F2550" s="5" t="s">
        <v>1643</v>
      </c>
      <c r="G2550" s="5" t="s">
        <v>1644</v>
      </c>
      <c r="H2550" s="5"/>
      <c r="I2550" s="6">
        <v>600</v>
      </c>
    </row>
    <row r="2551" spans="1:9" x14ac:dyDescent="0.3">
      <c r="A2551" s="7" t="s">
        <v>2358</v>
      </c>
      <c r="H2551" s="8">
        <f>H2549+H2550</f>
        <v>600</v>
      </c>
      <c r="I2551" s="8">
        <f>I2549+I2550</f>
        <v>600</v>
      </c>
    </row>
    <row r="2552" spans="1:9" x14ac:dyDescent="0.3">
      <c r="A2552" s="4" t="s">
        <v>2359</v>
      </c>
    </row>
    <row r="2553" spans="1:9" x14ac:dyDescent="0.3">
      <c r="B2553" s="5" t="s">
        <v>2351</v>
      </c>
      <c r="C2553" s="5" t="s">
        <v>10</v>
      </c>
      <c r="D2553" s="5" t="s">
        <v>2360</v>
      </c>
      <c r="E2553" s="5" t="s">
        <v>2361</v>
      </c>
      <c r="F2553" s="5" t="s">
        <v>1643</v>
      </c>
      <c r="G2553" s="5" t="s">
        <v>1644</v>
      </c>
      <c r="H2553" s="6">
        <v>20100</v>
      </c>
      <c r="I2553" s="5"/>
    </row>
    <row r="2554" spans="1:9" x14ac:dyDescent="0.3">
      <c r="B2554" s="5" t="s">
        <v>2351</v>
      </c>
      <c r="C2554" s="5" t="s">
        <v>10</v>
      </c>
      <c r="D2554" s="5" t="s">
        <v>2360</v>
      </c>
      <c r="E2554" s="5" t="s">
        <v>2361</v>
      </c>
      <c r="F2554" s="5" t="s">
        <v>13</v>
      </c>
      <c r="G2554" s="5" t="s">
        <v>14</v>
      </c>
      <c r="H2554" s="5"/>
      <c r="I2554" s="6">
        <v>20100</v>
      </c>
    </row>
    <row r="2555" spans="1:9" x14ac:dyDescent="0.3">
      <c r="A2555" s="7" t="s">
        <v>2362</v>
      </c>
      <c r="H2555" s="8">
        <f>H2553+H2554</f>
        <v>20100</v>
      </c>
      <c r="I2555" s="8">
        <f>I2553+I2554</f>
        <v>20100</v>
      </c>
    </row>
    <row r="2556" spans="1:9" x14ac:dyDescent="0.3">
      <c r="A2556" s="4" t="s">
        <v>2363</v>
      </c>
    </row>
    <row r="2557" spans="1:9" x14ac:dyDescent="0.3">
      <c r="B2557" s="5" t="s">
        <v>2351</v>
      </c>
      <c r="C2557" s="5" t="s">
        <v>10</v>
      </c>
      <c r="D2557" s="5" t="s">
        <v>2364</v>
      </c>
      <c r="E2557" s="5" t="s">
        <v>2365</v>
      </c>
      <c r="F2557" s="5" t="s">
        <v>1022</v>
      </c>
      <c r="G2557" s="5" t="s">
        <v>1023</v>
      </c>
      <c r="H2557" s="6">
        <v>10000</v>
      </c>
      <c r="I2557" s="5"/>
    </row>
    <row r="2558" spans="1:9" x14ac:dyDescent="0.3">
      <c r="B2558" s="5" t="s">
        <v>2351</v>
      </c>
      <c r="C2558" s="5" t="s">
        <v>10</v>
      </c>
      <c r="D2558" s="5" t="s">
        <v>2364</v>
      </c>
      <c r="E2558" s="5" t="s">
        <v>2366</v>
      </c>
      <c r="F2558" s="5" t="s">
        <v>1022</v>
      </c>
      <c r="G2558" s="5" t="s">
        <v>1023</v>
      </c>
      <c r="H2558" s="6">
        <v>10000</v>
      </c>
      <c r="I2558" s="5"/>
    </row>
    <row r="2559" spans="1:9" x14ac:dyDescent="0.3">
      <c r="B2559" s="5" t="s">
        <v>2351</v>
      </c>
      <c r="C2559" s="5" t="s">
        <v>10</v>
      </c>
      <c r="D2559" s="5" t="s">
        <v>2364</v>
      </c>
      <c r="E2559" s="5" t="s">
        <v>2367</v>
      </c>
      <c r="F2559" s="5" t="s">
        <v>2368</v>
      </c>
      <c r="G2559" s="5" t="s">
        <v>2369</v>
      </c>
      <c r="H2559" s="6">
        <v>50</v>
      </c>
      <c r="I2559" s="5"/>
    </row>
    <row r="2560" spans="1:9" x14ac:dyDescent="0.3">
      <c r="B2560" s="5" t="s">
        <v>2351</v>
      </c>
      <c r="C2560" s="5" t="s">
        <v>10</v>
      </c>
      <c r="D2560" s="5" t="s">
        <v>2364</v>
      </c>
      <c r="E2560" s="5" t="s">
        <v>2370</v>
      </c>
      <c r="F2560" s="5" t="s">
        <v>2368</v>
      </c>
      <c r="G2560" s="5" t="s">
        <v>2369</v>
      </c>
      <c r="H2560" s="6">
        <v>50</v>
      </c>
      <c r="I2560" s="5"/>
    </row>
    <row r="2561" spans="1:9" x14ac:dyDescent="0.3">
      <c r="B2561" s="5" t="s">
        <v>2351</v>
      </c>
      <c r="C2561" s="5" t="s">
        <v>10</v>
      </c>
      <c r="D2561" s="5" t="s">
        <v>2364</v>
      </c>
      <c r="E2561" s="5" t="s">
        <v>2371</v>
      </c>
      <c r="F2561" s="5" t="s">
        <v>1643</v>
      </c>
      <c r="G2561" s="5" t="s">
        <v>1644</v>
      </c>
      <c r="H2561" s="5"/>
      <c r="I2561" s="6">
        <v>20100</v>
      </c>
    </row>
    <row r="2562" spans="1:9" x14ac:dyDescent="0.3">
      <c r="A2562" s="7" t="s">
        <v>2372</v>
      </c>
      <c r="H2562" s="8">
        <f>H2557+H2558+H2559+H2560+H2561</f>
        <v>20100</v>
      </c>
      <c r="I2562" s="8">
        <f>I2557+I2558+I2559+I2560+I2561</f>
        <v>20100</v>
      </c>
    </row>
    <row r="2563" spans="1:9" x14ac:dyDescent="0.3">
      <c r="A2563" s="4" t="s">
        <v>2373</v>
      </c>
    </row>
    <row r="2564" spans="1:9" x14ac:dyDescent="0.3">
      <c r="B2564" s="5" t="s">
        <v>2374</v>
      </c>
      <c r="C2564" s="5" t="s">
        <v>10</v>
      </c>
      <c r="D2564" s="5" t="s">
        <v>2375</v>
      </c>
      <c r="E2564" s="5" t="s">
        <v>533</v>
      </c>
      <c r="F2564" s="5" t="s">
        <v>61</v>
      </c>
      <c r="G2564" s="5" t="s">
        <v>62</v>
      </c>
      <c r="H2564" s="6">
        <v>300</v>
      </c>
      <c r="I2564" s="5"/>
    </row>
    <row r="2565" spans="1:9" x14ac:dyDescent="0.3">
      <c r="B2565" s="5" t="s">
        <v>2374</v>
      </c>
      <c r="C2565" s="5" t="s">
        <v>10</v>
      </c>
      <c r="D2565" s="5" t="s">
        <v>2375</v>
      </c>
      <c r="E2565" s="5" t="s">
        <v>533</v>
      </c>
      <c r="F2565" s="5" t="s">
        <v>1643</v>
      </c>
      <c r="G2565" s="5" t="s">
        <v>1644</v>
      </c>
      <c r="H2565" s="5"/>
      <c r="I2565" s="6">
        <v>300</v>
      </c>
    </row>
    <row r="2566" spans="1:9" x14ac:dyDescent="0.3">
      <c r="A2566" s="7" t="s">
        <v>2376</v>
      </c>
      <c r="H2566" s="8">
        <f>H2564+H2565</f>
        <v>300</v>
      </c>
      <c r="I2566" s="8">
        <f>I2564+I2565</f>
        <v>300</v>
      </c>
    </row>
    <row r="2567" spans="1:9" x14ac:dyDescent="0.3">
      <c r="A2567" s="4" t="s">
        <v>2377</v>
      </c>
    </row>
    <row r="2568" spans="1:9" x14ac:dyDescent="0.3">
      <c r="B2568" s="5" t="s">
        <v>2378</v>
      </c>
      <c r="C2568" s="5" t="s">
        <v>10</v>
      </c>
      <c r="D2568" s="5" t="s">
        <v>2379</v>
      </c>
      <c r="E2568" s="5" t="s">
        <v>2380</v>
      </c>
      <c r="F2568" s="5" t="s">
        <v>67</v>
      </c>
      <c r="G2568" s="5" t="s">
        <v>68</v>
      </c>
      <c r="H2568" s="6">
        <v>60</v>
      </c>
      <c r="I2568" s="5"/>
    </row>
    <row r="2569" spans="1:9" x14ac:dyDescent="0.3">
      <c r="B2569" s="5" t="s">
        <v>2378</v>
      </c>
      <c r="C2569" s="5" t="s">
        <v>10</v>
      </c>
      <c r="D2569" s="5" t="s">
        <v>2379</v>
      </c>
      <c r="E2569" s="5" t="s">
        <v>2380</v>
      </c>
      <c r="F2569" s="5" t="s">
        <v>1643</v>
      </c>
      <c r="G2569" s="5" t="s">
        <v>1644</v>
      </c>
      <c r="H2569" s="5"/>
      <c r="I2569" s="6">
        <v>60</v>
      </c>
    </row>
    <row r="2570" spans="1:9" x14ac:dyDescent="0.3">
      <c r="A2570" s="7" t="s">
        <v>2381</v>
      </c>
      <c r="H2570" s="8">
        <f>H2568+H2569</f>
        <v>60</v>
      </c>
      <c r="I2570" s="8">
        <f>I2568+I2569</f>
        <v>60</v>
      </c>
    </row>
    <row r="2571" spans="1:9" x14ac:dyDescent="0.3">
      <c r="A2571" s="4" t="s">
        <v>2382</v>
      </c>
    </row>
    <row r="2572" spans="1:9" x14ac:dyDescent="0.3">
      <c r="B2572" s="5" t="s">
        <v>2378</v>
      </c>
      <c r="C2572" s="5" t="s">
        <v>10</v>
      </c>
      <c r="D2572" s="5" t="s">
        <v>2383</v>
      </c>
      <c r="E2572" s="5" t="s">
        <v>2384</v>
      </c>
      <c r="F2572" s="5" t="s">
        <v>1643</v>
      </c>
      <c r="G2572" s="5" t="s">
        <v>1644</v>
      </c>
      <c r="H2572" s="6">
        <v>12600</v>
      </c>
      <c r="I2572" s="5"/>
    </row>
    <row r="2573" spans="1:9" x14ac:dyDescent="0.3">
      <c r="B2573" s="5" t="s">
        <v>2378</v>
      </c>
      <c r="C2573" s="5" t="s">
        <v>10</v>
      </c>
      <c r="D2573" s="5" t="s">
        <v>2383</v>
      </c>
      <c r="E2573" s="5" t="s">
        <v>2384</v>
      </c>
      <c r="F2573" s="5" t="s">
        <v>13</v>
      </c>
      <c r="G2573" s="5" t="s">
        <v>14</v>
      </c>
      <c r="H2573" s="5"/>
      <c r="I2573" s="6">
        <v>12600</v>
      </c>
    </row>
    <row r="2574" spans="1:9" x14ac:dyDescent="0.3">
      <c r="A2574" s="7" t="s">
        <v>2385</v>
      </c>
      <c r="H2574" s="8">
        <f>H2572+H2573</f>
        <v>12600</v>
      </c>
      <c r="I2574" s="8">
        <f>I2572+I2573</f>
        <v>12600</v>
      </c>
    </row>
    <row r="2575" spans="1:9" x14ac:dyDescent="0.3">
      <c r="A2575" s="4" t="s">
        <v>2386</v>
      </c>
    </row>
    <row r="2576" spans="1:9" x14ac:dyDescent="0.3">
      <c r="B2576" s="5" t="s">
        <v>2378</v>
      </c>
      <c r="C2576" s="5" t="s">
        <v>10</v>
      </c>
      <c r="D2576" s="5" t="s">
        <v>2387</v>
      </c>
      <c r="E2576" s="5" t="s">
        <v>2388</v>
      </c>
      <c r="F2576" s="5" t="s">
        <v>87</v>
      </c>
      <c r="G2576" s="5" t="s">
        <v>88</v>
      </c>
      <c r="H2576" s="6">
        <v>10000</v>
      </c>
      <c r="I2576" s="5"/>
    </row>
    <row r="2577" spans="1:9" x14ac:dyDescent="0.3">
      <c r="B2577" s="5" t="s">
        <v>2378</v>
      </c>
      <c r="C2577" s="5" t="s">
        <v>10</v>
      </c>
      <c r="D2577" s="5" t="s">
        <v>2387</v>
      </c>
      <c r="E2577" s="5" t="s">
        <v>2389</v>
      </c>
      <c r="F2577" s="5" t="s">
        <v>95</v>
      </c>
      <c r="G2577" s="5" t="s">
        <v>96</v>
      </c>
      <c r="H2577" s="6">
        <v>800</v>
      </c>
      <c r="I2577" s="5"/>
    </row>
    <row r="2578" spans="1:9" x14ac:dyDescent="0.3">
      <c r="B2578" s="5" t="s">
        <v>2378</v>
      </c>
      <c r="C2578" s="5" t="s">
        <v>10</v>
      </c>
      <c r="D2578" s="5" t="s">
        <v>2387</v>
      </c>
      <c r="E2578" s="5" t="s">
        <v>2390</v>
      </c>
      <c r="F2578" s="5" t="s">
        <v>95</v>
      </c>
      <c r="G2578" s="5" t="s">
        <v>96</v>
      </c>
      <c r="H2578" s="6">
        <v>100</v>
      </c>
      <c r="I2578" s="5"/>
    </row>
    <row r="2579" spans="1:9" x14ac:dyDescent="0.3">
      <c r="B2579" s="5" t="s">
        <v>2378</v>
      </c>
      <c r="C2579" s="5" t="s">
        <v>10</v>
      </c>
      <c r="D2579" s="5" t="s">
        <v>2387</v>
      </c>
      <c r="E2579" s="5" t="s">
        <v>2391</v>
      </c>
      <c r="F2579" s="5" t="s">
        <v>1643</v>
      </c>
      <c r="G2579" s="5" t="s">
        <v>1644</v>
      </c>
      <c r="H2579" s="5"/>
      <c r="I2579" s="6">
        <v>10900</v>
      </c>
    </row>
    <row r="2580" spans="1:9" x14ac:dyDescent="0.3">
      <c r="A2580" s="7" t="s">
        <v>2392</v>
      </c>
      <c r="H2580" s="8">
        <f>H2576+H2577+H2578+H2579</f>
        <v>10900</v>
      </c>
      <c r="I2580" s="8">
        <f>I2576+I2577+I2578+I2579</f>
        <v>10900</v>
      </c>
    </row>
    <row r="2581" spans="1:9" x14ac:dyDescent="0.3">
      <c r="A2581" s="4" t="s">
        <v>2393</v>
      </c>
    </row>
    <row r="2582" spans="1:9" x14ac:dyDescent="0.3">
      <c r="B2582" s="5" t="s">
        <v>2378</v>
      </c>
      <c r="C2582" s="5" t="s">
        <v>10</v>
      </c>
      <c r="D2582" s="5" t="s">
        <v>2394</v>
      </c>
      <c r="E2582" s="5" t="s">
        <v>2395</v>
      </c>
      <c r="F2582" s="5" t="s">
        <v>1643</v>
      </c>
      <c r="G2582" s="5" t="s">
        <v>1644</v>
      </c>
      <c r="H2582" s="6">
        <v>20548</v>
      </c>
      <c r="I2582" s="5"/>
    </row>
    <row r="2583" spans="1:9" x14ac:dyDescent="0.3">
      <c r="B2583" s="5" t="s">
        <v>2378</v>
      </c>
      <c r="C2583" s="5" t="s">
        <v>10</v>
      </c>
      <c r="D2583" s="5" t="s">
        <v>2394</v>
      </c>
      <c r="E2583" s="5" t="s">
        <v>2395</v>
      </c>
      <c r="F2583" s="5" t="s">
        <v>13</v>
      </c>
      <c r="G2583" s="5" t="s">
        <v>14</v>
      </c>
      <c r="H2583" s="5"/>
      <c r="I2583" s="6">
        <v>20548</v>
      </c>
    </row>
    <row r="2584" spans="1:9" x14ac:dyDescent="0.3">
      <c r="A2584" s="7" t="s">
        <v>2396</v>
      </c>
      <c r="H2584" s="8">
        <f>H2582+H2583</f>
        <v>20548</v>
      </c>
      <c r="I2584" s="8">
        <f>I2582+I2583</f>
        <v>20548</v>
      </c>
    </row>
    <row r="2585" spans="1:9" x14ac:dyDescent="0.3">
      <c r="A2585" s="4" t="s">
        <v>2397</v>
      </c>
    </row>
    <row r="2586" spans="1:9" x14ac:dyDescent="0.3">
      <c r="B2586" s="5" t="s">
        <v>2378</v>
      </c>
      <c r="C2586" s="5" t="s">
        <v>10</v>
      </c>
      <c r="D2586" s="5" t="s">
        <v>2398</v>
      </c>
      <c r="E2586" s="5" t="s">
        <v>2399</v>
      </c>
      <c r="F2586" s="5" t="s">
        <v>26</v>
      </c>
      <c r="G2586" s="5" t="s">
        <v>27</v>
      </c>
      <c r="H2586" s="6">
        <v>20548</v>
      </c>
      <c r="I2586" s="5"/>
    </row>
    <row r="2587" spans="1:9" x14ac:dyDescent="0.3">
      <c r="B2587" s="5" t="s">
        <v>2378</v>
      </c>
      <c r="C2587" s="5" t="s">
        <v>10</v>
      </c>
      <c r="D2587" s="5" t="s">
        <v>2398</v>
      </c>
      <c r="E2587" s="5" t="s">
        <v>2399</v>
      </c>
      <c r="F2587" s="5" t="s">
        <v>1643</v>
      </c>
      <c r="G2587" s="5" t="s">
        <v>1644</v>
      </c>
      <c r="H2587" s="5"/>
      <c r="I2587" s="6">
        <v>20548</v>
      </c>
    </row>
    <row r="2588" spans="1:9" x14ac:dyDescent="0.3">
      <c r="A2588" s="7" t="s">
        <v>2400</v>
      </c>
      <c r="H2588" s="8">
        <f>H2586+H2587</f>
        <v>20548</v>
      </c>
      <c r="I2588" s="8">
        <f>I2586+I2587</f>
        <v>20548</v>
      </c>
    </row>
    <row r="2589" spans="1:9" x14ac:dyDescent="0.3">
      <c r="A2589" s="4" t="s">
        <v>2401</v>
      </c>
    </row>
    <row r="2590" spans="1:9" x14ac:dyDescent="0.3">
      <c r="B2590" s="5" t="s">
        <v>2378</v>
      </c>
      <c r="C2590" s="5" t="s">
        <v>10</v>
      </c>
      <c r="D2590" s="5" t="s">
        <v>2402</v>
      </c>
      <c r="E2590" s="5" t="s">
        <v>2403</v>
      </c>
      <c r="F2590" s="5" t="s">
        <v>61</v>
      </c>
      <c r="G2590" s="5" t="s">
        <v>62</v>
      </c>
      <c r="H2590" s="6">
        <v>490</v>
      </c>
      <c r="I2590" s="5"/>
    </row>
    <row r="2591" spans="1:9" x14ac:dyDescent="0.3">
      <c r="B2591" s="5" t="s">
        <v>2378</v>
      </c>
      <c r="C2591" s="5" t="s">
        <v>10</v>
      </c>
      <c r="D2591" s="5" t="s">
        <v>2402</v>
      </c>
      <c r="E2591" s="5" t="s">
        <v>2403</v>
      </c>
      <c r="F2591" s="5" t="s">
        <v>64</v>
      </c>
      <c r="G2591" s="5" t="s">
        <v>65</v>
      </c>
      <c r="H2591" s="6">
        <v>510</v>
      </c>
      <c r="I2591" s="5"/>
    </row>
    <row r="2592" spans="1:9" x14ac:dyDescent="0.3">
      <c r="B2592" s="5" t="s">
        <v>2378</v>
      </c>
      <c r="C2592" s="5" t="s">
        <v>10</v>
      </c>
      <c r="D2592" s="5" t="s">
        <v>2402</v>
      </c>
      <c r="E2592" s="5" t="s">
        <v>2403</v>
      </c>
      <c r="F2592" s="5" t="s">
        <v>1643</v>
      </c>
      <c r="G2592" s="5" t="s">
        <v>1644</v>
      </c>
      <c r="H2592" s="5"/>
      <c r="I2592" s="6">
        <v>1000</v>
      </c>
    </row>
    <row r="2593" spans="1:9" x14ac:dyDescent="0.3">
      <c r="B2593" s="5" t="s">
        <v>2378</v>
      </c>
      <c r="C2593" s="5" t="s">
        <v>10</v>
      </c>
      <c r="D2593" s="5" t="s">
        <v>2402</v>
      </c>
      <c r="E2593" s="5" t="s">
        <v>2404</v>
      </c>
      <c r="F2593" s="5" t="s">
        <v>23</v>
      </c>
      <c r="G2593" s="5" t="s">
        <v>24</v>
      </c>
      <c r="H2593" s="6">
        <v>33000</v>
      </c>
      <c r="I2593" s="5"/>
    </row>
    <row r="2594" spans="1:9" x14ac:dyDescent="0.3">
      <c r="B2594" s="5" t="s">
        <v>2378</v>
      </c>
      <c r="C2594" s="5" t="s">
        <v>10</v>
      </c>
      <c r="D2594" s="5" t="s">
        <v>2402</v>
      </c>
      <c r="E2594" s="5" t="s">
        <v>2405</v>
      </c>
      <c r="F2594" s="5" t="s">
        <v>29</v>
      </c>
      <c r="G2594" s="5" t="s">
        <v>30</v>
      </c>
      <c r="H2594" s="5"/>
      <c r="I2594" s="6">
        <v>3000</v>
      </c>
    </row>
    <row r="2595" spans="1:9" x14ac:dyDescent="0.3">
      <c r="B2595" s="5" t="s">
        <v>2378</v>
      </c>
      <c r="C2595" s="5" t="s">
        <v>10</v>
      </c>
      <c r="D2595" s="5" t="s">
        <v>2402</v>
      </c>
      <c r="E2595" s="5" t="s">
        <v>2404</v>
      </c>
      <c r="F2595" s="5" t="s">
        <v>26</v>
      </c>
      <c r="G2595" s="5" t="s">
        <v>27</v>
      </c>
      <c r="H2595" s="5"/>
      <c r="I2595" s="6">
        <v>30000</v>
      </c>
    </row>
    <row r="2596" spans="1:9" x14ac:dyDescent="0.3">
      <c r="A2596" s="7" t="s">
        <v>2406</v>
      </c>
      <c r="H2596" s="8">
        <f>H2590+H2591+H2592+H2593+H2594+H2595</f>
        <v>34000</v>
      </c>
      <c r="I2596" s="8">
        <f>I2590+I2591+I2592+I2593+I2594+I2595</f>
        <v>34000</v>
      </c>
    </row>
    <row r="2597" spans="1:9" x14ac:dyDescent="0.3">
      <c r="A2597" s="4" t="s">
        <v>2407</v>
      </c>
    </row>
    <row r="2598" spans="1:9" x14ac:dyDescent="0.3">
      <c r="B2598" s="5" t="s">
        <v>2408</v>
      </c>
      <c r="C2598" s="5" t="s">
        <v>10</v>
      </c>
      <c r="D2598" s="5" t="s">
        <v>2409</v>
      </c>
      <c r="E2598" s="5" t="s">
        <v>2410</v>
      </c>
      <c r="F2598" s="5" t="s">
        <v>1643</v>
      </c>
      <c r="G2598" s="5" t="s">
        <v>1644</v>
      </c>
      <c r="H2598" s="6">
        <v>10000</v>
      </c>
      <c r="I2598" s="5"/>
    </row>
    <row r="2599" spans="1:9" x14ac:dyDescent="0.3">
      <c r="B2599" s="5" t="s">
        <v>2408</v>
      </c>
      <c r="C2599" s="5" t="s">
        <v>10</v>
      </c>
      <c r="D2599" s="5" t="s">
        <v>2409</v>
      </c>
      <c r="E2599" s="5" t="s">
        <v>2410</v>
      </c>
      <c r="F2599" s="5" t="s">
        <v>13</v>
      </c>
      <c r="G2599" s="5" t="s">
        <v>14</v>
      </c>
      <c r="H2599" s="5"/>
      <c r="I2599" s="6">
        <v>10000</v>
      </c>
    </row>
    <row r="2600" spans="1:9" x14ac:dyDescent="0.3">
      <c r="A2600" s="7" t="s">
        <v>2411</v>
      </c>
      <c r="H2600" s="8">
        <f>H2598+H2599</f>
        <v>10000</v>
      </c>
      <c r="I2600" s="8">
        <f>I2598+I2599</f>
        <v>10000</v>
      </c>
    </row>
    <row r="2601" spans="1:9" x14ac:dyDescent="0.3">
      <c r="A2601" s="4" t="s">
        <v>2412</v>
      </c>
    </row>
    <row r="2602" spans="1:9" x14ac:dyDescent="0.3">
      <c r="B2602" s="5" t="s">
        <v>2408</v>
      </c>
      <c r="C2602" s="5" t="s">
        <v>10</v>
      </c>
      <c r="D2602" s="5" t="s">
        <v>2413</v>
      </c>
      <c r="E2602" s="5" t="s">
        <v>2414</v>
      </c>
      <c r="F2602" s="5" t="s">
        <v>441</v>
      </c>
      <c r="G2602" s="5" t="s">
        <v>442</v>
      </c>
      <c r="H2602" s="6">
        <v>10000</v>
      </c>
      <c r="I2602" s="5"/>
    </row>
    <row r="2603" spans="1:9" x14ac:dyDescent="0.3">
      <c r="B2603" s="5" t="s">
        <v>2408</v>
      </c>
      <c r="C2603" s="5" t="s">
        <v>10</v>
      </c>
      <c r="D2603" s="5" t="s">
        <v>2413</v>
      </c>
      <c r="E2603" s="5" t="s">
        <v>2414</v>
      </c>
      <c r="F2603" s="5" t="s">
        <v>1643</v>
      </c>
      <c r="G2603" s="5" t="s">
        <v>1644</v>
      </c>
      <c r="H2603" s="5"/>
      <c r="I2603" s="6">
        <v>10000</v>
      </c>
    </row>
    <row r="2604" spans="1:9" x14ac:dyDescent="0.3">
      <c r="A2604" s="7" t="s">
        <v>2415</v>
      </c>
      <c r="H2604" s="8">
        <f>H2602+H2603</f>
        <v>10000</v>
      </c>
      <c r="I2604" s="8">
        <f>I2602+I2603</f>
        <v>10000</v>
      </c>
    </row>
    <row r="2605" spans="1:9" x14ac:dyDescent="0.3">
      <c r="A2605" s="4" t="s">
        <v>2416</v>
      </c>
    </row>
    <row r="2606" spans="1:9" x14ac:dyDescent="0.3">
      <c r="B2606" s="5" t="s">
        <v>2408</v>
      </c>
      <c r="C2606" s="5" t="s">
        <v>10</v>
      </c>
      <c r="D2606" s="5" t="s">
        <v>2417</v>
      </c>
      <c r="E2606" s="5" t="s">
        <v>2418</v>
      </c>
      <c r="F2606" s="5" t="s">
        <v>67</v>
      </c>
      <c r="G2606" s="5" t="s">
        <v>68</v>
      </c>
      <c r="H2606" s="6">
        <v>60</v>
      </c>
      <c r="I2606" s="5"/>
    </row>
    <row r="2607" spans="1:9" x14ac:dyDescent="0.3">
      <c r="B2607" s="5" t="s">
        <v>2408</v>
      </c>
      <c r="C2607" s="5" t="s">
        <v>10</v>
      </c>
      <c r="D2607" s="5" t="s">
        <v>2417</v>
      </c>
      <c r="E2607" s="5" t="s">
        <v>2418</v>
      </c>
      <c r="F2607" s="5" t="s">
        <v>1643</v>
      </c>
      <c r="G2607" s="5" t="s">
        <v>1644</v>
      </c>
      <c r="H2607" s="5"/>
      <c r="I2607" s="6">
        <v>60</v>
      </c>
    </row>
    <row r="2608" spans="1:9" x14ac:dyDescent="0.3">
      <c r="A2608" s="7" t="s">
        <v>2419</v>
      </c>
      <c r="H2608" s="8">
        <f>H2606+H2607</f>
        <v>60</v>
      </c>
      <c r="I2608" s="8">
        <f>I2606+I2607</f>
        <v>60</v>
      </c>
    </row>
    <row r="2609" spans="1:9" x14ac:dyDescent="0.3">
      <c r="A2609" s="4" t="s">
        <v>2420</v>
      </c>
    </row>
    <row r="2610" spans="1:9" x14ac:dyDescent="0.3">
      <c r="B2610" s="5" t="s">
        <v>2408</v>
      </c>
      <c r="C2610" s="5" t="s">
        <v>10</v>
      </c>
      <c r="D2610" s="5" t="s">
        <v>2421</v>
      </c>
      <c r="E2610" s="5" t="s">
        <v>1749</v>
      </c>
      <c r="F2610" s="5" t="s">
        <v>61</v>
      </c>
      <c r="G2610" s="5" t="s">
        <v>62</v>
      </c>
      <c r="H2610" s="6">
        <v>380</v>
      </c>
      <c r="I2610" s="5"/>
    </row>
    <row r="2611" spans="1:9" x14ac:dyDescent="0.3">
      <c r="B2611" s="5" t="s">
        <v>2408</v>
      </c>
      <c r="C2611" s="5" t="s">
        <v>10</v>
      </c>
      <c r="D2611" s="5" t="s">
        <v>2421</v>
      </c>
      <c r="E2611" s="5" t="s">
        <v>2422</v>
      </c>
      <c r="F2611" s="5" t="s">
        <v>113</v>
      </c>
      <c r="G2611" s="5" t="s">
        <v>114</v>
      </c>
      <c r="H2611" s="6">
        <v>500</v>
      </c>
      <c r="I2611" s="5"/>
    </row>
    <row r="2612" spans="1:9" x14ac:dyDescent="0.3">
      <c r="B2612" s="5" t="s">
        <v>2408</v>
      </c>
      <c r="C2612" s="5" t="s">
        <v>10</v>
      </c>
      <c r="D2612" s="5" t="s">
        <v>2421</v>
      </c>
      <c r="E2612" s="5" t="s">
        <v>2423</v>
      </c>
      <c r="F2612" s="5" t="s">
        <v>1643</v>
      </c>
      <c r="G2612" s="5" t="s">
        <v>1644</v>
      </c>
      <c r="H2612" s="5"/>
      <c r="I2612" s="6">
        <v>880</v>
      </c>
    </row>
    <row r="2613" spans="1:9" x14ac:dyDescent="0.3">
      <c r="A2613" s="7" t="s">
        <v>2424</v>
      </c>
      <c r="H2613" s="8">
        <f>H2610+H2611+H2612</f>
        <v>880</v>
      </c>
      <c r="I2613" s="8">
        <f>I2610+I2611+I2612</f>
        <v>880</v>
      </c>
    </row>
    <row r="2614" spans="1:9" x14ac:dyDescent="0.3">
      <c r="A2614" s="4" t="s">
        <v>2425</v>
      </c>
    </row>
    <row r="2615" spans="1:9" x14ac:dyDescent="0.3">
      <c r="B2615" s="5" t="s">
        <v>2408</v>
      </c>
      <c r="C2615" s="5" t="s">
        <v>10</v>
      </c>
      <c r="D2615" s="5" t="s">
        <v>2426</v>
      </c>
      <c r="E2615" s="5" t="s">
        <v>2427</v>
      </c>
      <c r="F2615" s="5" t="s">
        <v>61</v>
      </c>
      <c r="G2615" s="5" t="s">
        <v>62</v>
      </c>
      <c r="H2615" s="6">
        <v>300</v>
      </c>
      <c r="I2615" s="5"/>
    </row>
    <row r="2616" spans="1:9" x14ac:dyDescent="0.3">
      <c r="B2616" s="5" t="s">
        <v>2408</v>
      </c>
      <c r="C2616" s="5" t="s">
        <v>10</v>
      </c>
      <c r="D2616" s="5" t="s">
        <v>2426</v>
      </c>
      <c r="E2616" s="5" t="s">
        <v>2427</v>
      </c>
      <c r="F2616" s="5" t="s">
        <v>1643</v>
      </c>
      <c r="G2616" s="5" t="s">
        <v>1644</v>
      </c>
      <c r="H2616" s="5"/>
      <c r="I2616" s="6">
        <v>300</v>
      </c>
    </row>
    <row r="2617" spans="1:9" x14ac:dyDescent="0.3">
      <c r="A2617" s="7" t="s">
        <v>2428</v>
      </c>
      <c r="H2617" s="8">
        <f>H2615+H2616</f>
        <v>300</v>
      </c>
      <c r="I2617" s="8">
        <f>I2615+I2616</f>
        <v>300</v>
      </c>
    </row>
    <row r="2618" spans="1:9" x14ac:dyDescent="0.3">
      <c r="A2618" s="4" t="s">
        <v>2429</v>
      </c>
    </row>
    <row r="2619" spans="1:9" x14ac:dyDescent="0.3">
      <c r="B2619" s="5" t="s">
        <v>2408</v>
      </c>
      <c r="C2619" s="5" t="s">
        <v>10</v>
      </c>
      <c r="D2619" s="5" t="s">
        <v>2430</v>
      </c>
      <c r="E2619" s="5" t="s">
        <v>1634</v>
      </c>
      <c r="F2619" s="5" t="s">
        <v>116</v>
      </c>
      <c r="G2619" s="5" t="s">
        <v>117</v>
      </c>
      <c r="H2619" s="6">
        <v>500</v>
      </c>
      <c r="I2619" s="5"/>
    </row>
    <row r="2620" spans="1:9" x14ac:dyDescent="0.3">
      <c r="B2620" s="5" t="s">
        <v>2408</v>
      </c>
      <c r="C2620" s="5" t="s">
        <v>10</v>
      </c>
      <c r="D2620" s="5" t="s">
        <v>2430</v>
      </c>
      <c r="E2620" s="5" t="s">
        <v>1634</v>
      </c>
      <c r="F2620" s="5" t="s">
        <v>1643</v>
      </c>
      <c r="G2620" s="5" t="s">
        <v>1644</v>
      </c>
      <c r="H2620" s="5"/>
      <c r="I2620" s="6">
        <v>500</v>
      </c>
    </row>
    <row r="2621" spans="1:9" x14ac:dyDescent="0.3">
      <c r="A2621" s="7" t="s">
        <v>2431</v>
      </c>
      <c r="H2621" s="8">
        <f>H2619+H2620</f>
        <v>500</v>
      </c>
      <c r="I2621" s="8">
        <f>I2619+I2620</f>
        <v>500</v>
      </c>
    </row>
    <row r="2622" spans="1:9" x14ac:dyDescent="0.3">
      <c r="A2622" s="4" t="s">
        <v>2432</v>
      </c>
    </row>
    <row r="2623" spans="1:9" x14ac:dyDescent="0.3">
      <c r="B2623" s="5" t="s">
        <v>2408</v>
      </c>
      <c r="C2623" s="5" t="s">
        <v>10</v>
      </c>
      <c r="D2623" s="5" t="s">
        <v>2433</v>
      </c>
      <c r="E2623" s="5" t="s">
        <v>1634</v>
      </c>
      <c r="F2623" s="5" t="s">
        <v>116</v>
      </c>
      <c r="G2623" s="5" t="s">
        <v>117</v>
      </c>
      <c r="H2623" s="6">
        <v>400</v>
      </c>
      <c r="I2623" s="5"/>
    </row>
    <row r="2624" spans="1:9" x14ac:dyDescent="0.3">
      <c r="B2624" s="5" t="s">
        <v>2408</v>
      </c>
      <c r="C2624" s="5" t="s">
        <v>10</v>
      </c>
      <c r="D2624" s="5" t="s">
        <v>2433</v>
      </c>
      <c r="E2624" s="5" t="s">
        <v>1634</v>
      </c>
      <c r="F2624" s="5" t="s">
        <v>1643</v>
      </c>
      <c r="G2624" s="5" t="s">
        <v>1644</v>
      </c>
      <c r="H2624" s="5"/>
      <c r="I2624" s="6">
        <v>400</v>
      </c>
    </row>
    <row r="2625" spans="1:9" x14ac:dyDescent="0.3">
      <c r="A2625" s="7" t="s">
        <v>2434</v>
      </c>
      <c r="H2625" s="8">
        <f>H2623+H2624</f>
        <v>400</v>
      </c>
      <c r="I2625" s="8">
        <f>I2623+I2624</f>
        <v>400</v>
      </c>
    </row>
    <row r="2626" spans="1:9" x14ac:dyDescent="0.3">
      <c r="A2626" s="4" t="s">
        <v>2435</v>
      </c>
    </row>
    <row r="2627" spans="1:9" x14ac:dyDescent="0.3">
      <c r="B2627" s="5" t="s">
        <v>2408</v>
      </c>
      <c r="C2627" s="5" t="s">
        <v>10</v>
      </c>
      <c r="D2627" s="5" t="s">
        <v>2436</v>
      </c>
      <c r="E2627" s="5" t="s">
        <v>2437</v>
      </c>
      <c r="F2627" s="5" t="s">
        <v>58</v>
      </c>
      <c r="G2627" s="5" t="s">
        <v>59</v>
      </c>
      <c r="H2627" s="6">
        <v>1000</v>
      </c>
      <c r="I2627" s="5"/>
    </row>
    <row r="2628" spans="1:9" x14ac:dyDescent="0.3">
      <c r="B2628" s="5" t="s">
        <v>2408</v>
      </c>
      <c r="C2628" s="5" t="s">
        <v>10</v>
      </c>
      <c r="D2628" s="5" t="s">
        <v>2436</v>
      </c>
      <c r="E2628" s="5" t="s">
        <v>2437</v>
      </c>
      <c r="F2628" s="5" t="s">
        <v>1643</v>
      </c>
      <c r="G2628" s="5" t="s">
        <v>1644</v>
      </c>
      <c r="H2628" s="5"/>
      <c r="I2628" s="6">
        <v>1000</v>
      </c>
    </row>
    <row r="2629" spans="1:9" x14ac:dyDescent="0.3">
      <c r="A2629" s="7" t="s">
        <v>2438</v>
      </c>
      <c r="H2629" s="8">
        <f>H2627+H2628</f>
        <v>1000</v>
      </c>
      <c r="I2629" s="8">
        <f>I2627+I2628</f>
        <v>1000</v>
      </c>
    </row>
    <row r="2630" spans="1:9" x14ac:dyDescent="0.3">
      <c r="A2630" s="4" t="s">
        <v>2439</v>
      </c>
    </row>
    <row r="2631" spans="1:9" x14ac:dyDescent="0.3">
      <c r="B2631" s="5" t="s">
        <v>2408</v>
      </c>
      <c r="C2631" s="5" t="s">
        <v>10</v>
      </c>
      <c r="D2631" s="5" t="s">
        <v>2440</v>
      </c>
      <c r="E2631" s="5" t="s">
        <v>2441</v>
      </c>
      <c r="F2631" s="5" t="s">
        <v>58</v>
      </c>
      <c r="G2631" s="5" t="s">
        <v>59</v>
      </c>
      <c r="H2631" s="6">
        <v>1000</v>
      </c>
      <c r="I2631" s="5"/>
    </row>
    <row r="2632" spans="1:9" x14ac:dyDescent="0.3">
      <c r="B2632" s="5" t="s">
        <v>2408</v>
      </c>
      <c r="C2632" s="5" t="s">
        <v>10</v>
      </c>
      <c r="D2632" s="5" t="s">
        <v>2440</v>
      </c>
      <c r="E2632" s="5" t="s">
        <v>2441</v>
      </c>
      <c r="F2632" s="5" t="s">
        <v>1643</v>
      </c>
      <c r="G2632" s="5" t="s">
        <v>1644</v>
      </c>
      <c r="H2632" s="5"/>
      <c r="I2632" s="6">
        <v>1000</v>
      </c>
    </row>
    <row r="2633" spans="1:9" x14ac:dyDescent="0.3">
      <c r="A2633" s="7" t="s">
        <v>2442</v>
      </c>
      <c r="H2633" s="8">
        <f>H2631+H2632</f>
        <v>1000</v>
      </c>
      <c r="I2633" s="8">
        <f>I2631+I2632</f>
        <v>1000</v>
      </c>
    </row>
    <row r="2634" spans="1:9" x14ac:dyDescent="0.3">
      <c r="A2634" s="4" t="s">
        <v>2443</v>
      </c>
    </row>
    <row r="2635" spans="1:9" ht="21.6" x14ac:dyDescent="0.3">
      <c r="B2635" s="5" t="s">
        <v>2444</v>
      </c>
      <c r="C2635" s="5" t="s">
        <v>10</v>
      </c>
      <c r="D2635" s="5" t="s">
        <v>2445</v>
      </c>
      <c r="E2635" s="5" t="s">
        <v>2446</v>
      </c>
      <c r="F2635" s="5" t="s">
        <v>45</v>
      </c>
      <c r="G2635" s="5" t="s">
        <v>46</v>
      </c>
      <c r="H2635" s="6">
        <v>5000</v>
      </c>
      <c r="I2635" s="5"/>
    </row>
    <row r="2636" spans="1:9" ht="21.6" x14ac:dyDescent="0.3">
      <c r="B2636" s="5" t="s">
        <v>2444</v>
      </c>
      <c r="C2636" s="5" t="s">
        <v>10</v>
      </c>
      <c r="D2636" s="5" t="s">
        <v>2445</v>
      </c>
      <c r="E2636" s="5" t="s">
        <v>2446</v>
      </c>
      <c r="F2636" s="5" t="s">
        <v>1643</v>
      </c>
      <c r="G2636" s="5" t="s">
        <v>1644</v>
      </c>
      <c r="H2636" s="5"/>
      <c r="I2636" s="6">
        <v>5000</v>
      </c>
    </row>
    <row r="2637" spans="1:9" x14ac:dyDescent="0.3">
      <c r="A2637" s="7" t="s">
        <v>2447</v>
      </c>
      <c r="H2637" s="8">
        <f>H2635+H2636</f>
        <v>5000</v>
      </c>
      <c r="I2637" s="8">
        <f>I2635+I2636</f>
        <v>5000</v>
      </c>
    </row>
    <row r="2638" spans="1:9" x14ac:dyDescent="0.3">
      <c r="A2638" s="4" t="s">
        <v>2448</v>
      </c>
    </row>
    <row r="2639" spans="1:9" x14ac:dyDescent="0.3">
      <c r="B2639" s="5" t="s">
        <v>2444</v>
      </c>
      <c r="C2639" s="5" t="s">
        <v>10</v>
      </c>
      <c r="D2639" s="5" t="s">
        <v>2449</v>
      </c>
      <c r="E2639" s="5" t="s">
        <v>1506</v>
      </c>
      <c r="F2639" s="5" t="s">
        <v>61</v>
      </c>
      <c r="G2639" s="5" t="s">
        <v>62</v>
      </c>
      <c r="H2639" s="6">
        <v>560</v>
      </c>
      <c r="I2639" s="5"/>
    </row>
    <row r="2640" spans="1:9" x14ac:dyDescent="0.3">
      <c r="B2640" s="5" t="s">
        <v>2444</v>
      </c>
      <c r="C2640" s="5" t="s">
        <v>10</v>
      </c>
      <c r="D2640" s="5" t="s">
        <v>2449</v>
      </c>
      <c r="E2640" s="5" t="s">
        <v>1506</v>
      </c>
      <c r="F2640" s="5" t="s">
        <v>1643</v>
      </c>
      <c r="G2640" s="5" t="s">
        <v>1644</v>
      </c>
      <c r="H2640" s="5"/>
      <c r="I2640" s="6">
        <v>560</v>
      </c>
    </row>
    <row r="2641" spans="1:9" x14ac:dyDescent="0.3">
      <c r="A2641" s="7" t="s">
        <v>2450</v>
      </c>
      <c r="H2641" s="8">
        <f>H2639+H2640</f>
        <v>560</v>
      </c>
      <c r="I2641" s="8">
        <f>I2639+I2640</f>
        <v>560</v>
      </c>
    </row>
    <row r="2642" spans="1:9" x14ac:dyDescent="0.3">
      <c r="A2642" s="4" t="s">
        <v>2451</v>
      </c>
    </row>
    <row r="2643" spans="1:9" x14ac:dyDescent="0.3">
      <c r="B2643" s="5" t="s">
        <v>2444</v>
      </c>
      <c r="C2643" s="5" t="s">
        <v>10</v>
      </c>
      <c r="D2643" s="5" t="s">
        <v>2452</v>
      </c>
      <c r="E2643" s="5" t="s">
        <v>2453</v>
      </c>
      <c r="F2643" s="5" t="s">
        <v>1643</v>
      </c>
      <c r="G2643" s="5" t="s">
        <v>1644</v>
      </c>
      <c r="H2643" s="6">
        <v>20000</v>
      </c>
      <c r="I2643" s="5"/>
    </row>
    <row r="2644" spans="1:9" x14ac:dyDescent="0.3">
      <c r="B2644" s="5" t="s">
        <v>2444</v>
      </c>
      <c r="C2644" s="5" t="s">
        <v>10</v>
      </c>
      <c r="D2644" s="5" t="s">
        <v>2452</v>
      </c>
      <c r="E2644" s="5" t="s">
        <v>2453</v>
      </c>
      <c r="F2644" s="5" t="s">
        <v>13</v>
      </c>
      <c r="G2644" s="5" t="s">
        <v>14</v>
      </c>
      <c r="H2644" s="5"/>
      <c r="I2644" s="6">
        <v>20000</v>
      </c>
    </row>
    <row r="2645" spans="1:9" x14ac:dyDescent="0.3">
      <c r="A2645" s="7" t="s">
        <v>2454</v>
      </c>
      <c r="H2645" s="8">
        <f>H2643+H2644</f>
        <v>20000</v>
      </c>
      <c r="I2645" s="8">
        <f>I2643+I2644</f>
        <v>20000</v>
      </c>
    </row>
    <row r="2646" spans="1:9" x14ac:dyDescent="0.3">
      <c r="A2646" s="4" t="s">
        <v>2455</v>
      </c>
    </row>
    <row r="2647" spans="1:9" ht="21.6" x14ac:dyDescent="0.3">
      <c r="B2647" s="5" t="s">
        <v>2444</v>
      </c>
      <c r="C2647" s="5" t="s">
        <v>10</v>
      </c>
      <c r="D2647" s="5" t="s">
        <v>2456</v>
      </c>
      <c r="E2647" s="5" t="s">
        <v>2457</v>
      </c>
      <c r="F2647" s="5" t="s">
        <v>441</v>
      </c>
      <c r="G2647" s="5" t="s">
        <v>442</v>
      </c>
      <c r="H2647" s="6">
        <v>19900</v>
      </c>
      <c r="I2647" s="5"/>
    </row>
    <row r="2648" spans="1:9" x14ac:dyDescent="0.3">
      <c r="B2648" s="5" t="s">
        <v>2444</v>
      </c>
      <c r="C2648" s="5" t="s">
        <v>10</v>
      </c>
      <c r="D2648" s="5" t="s">
        <v>2456</v>
      </c>
      <c r="E2648" s="5" t="s">
        <v>2458</v>
      </c>
      <c r="F2648" s="5" t="s">
        <v>2368</v>
      </c>
      <c r="G2648" s="5" t="s">
        <v>2369</v>
      </c>
      <c r="H2648" s="6">
        <v>100</v>
      </c>
      <c r="I2648" s="5"/>
    </row>
    <row r="2649" spans="1:9" ht="21.6" x14ac:dyDescent="0.3">
      <c r="B2649" s="5" t="s">
        <v>2444</v>
      </c>
      <c r="C2649" s="5" t="s">
        <v>10</v>
      </c>
      <c r="D2649" s="5" t="s">
        <v>2456</v>
      </c>
      <c r="E2649" s="5" t="s">
        <v>2457</v>
      </c>
      <c r="F2649" s="5" t="s">
        <v>1643</v>
      </c>
      <c r="G2649" s="5" t="s">
        <v>1644</v>
      </c>
      <c r="H2649" s="5"/>
      <c r="I2649" s="6">
        <v>20000</v>
      </c>
    </row>
    <row r="2650" spans="1:9" x14ac:dyDescent="0.3">
      <c r="A2650" s="7" t="s">
        <v>2459</v>
      </c>
      <c r="H2650" s="8">
        <f>H2647+H2648+H2649</f>
        <v>20000</v>
      </c>
      <c r="I2650" s="8">
        <f>I2647+I2648+I2649</f>
        <v>20000</v>
      </c>
    </row>
    <row r="2651" spans="1:9" x14ac:dyDescent="0.3">
      <c r="A2651" s="4" t="s">
        <v>2460</v>
      </c>
    </row>
    <row r="2652" spans="1:9" x14ac:dyDescent="0.3">
      <c r="B2652" s="5" t="s">
        <v>2461</v>
      </c>
      <c r="C2652" s="5" t="s">
        <v>10</v>
      </c>
      <c r="D2652" s="5" t="s">
        <v>2462</v>
      </c>
      <c r="E2652" s="5" t="s">
        <v>2463</v>
      </c>
      <c r="F2652" s="5" t="s">
        <v>129</v>
      </c>
      <c r="G2652" s="5" t="s">
        <v>130</v>
      </c>
      <c r="H2652" s="6">
        <v>670</v>
      </c>
      <c r="I2652" s="5"/>
    </row>
    <row r="2653" spans="1:9" x14ac:dyDescent="0.3">
      <c r="B2653" s="5" t="s">
        <v>2461</v>
      </c>
      <c r="C2653" s="5" t="s">
        <v>10</v>
      </c>
      <c r="D2653" s="5" t="s">
        <v>2462</v>
      </c>
      <c r="E2653" s="5" t="s">
        <v>2463</v>
      </c>
      <c r="F2653" s="5" t="s">
        <v>1643</v>
      </c>
      <c r="G2653" s="5" t="s">
        <v>1644</v>
      </c>
      <c r="H2653" s="5"/>
      <c r="I2653" s="6">
        <v>670</v>
      </c>
    </row>
    <row r="2654" spans="1:9" x14ac:dyDescent="0.3">
      <c r="A2654" s="7" t="s">
        <v>2464</v>
      </c>
      <c r="H2654" s="8">
        <f>H2652+H2653</f>
        <v>670</v>
      </c>
      <c r="I2654" s="8">
        <f>I2652+I2653</f>
        <v>670</v>
      </c>
    </row>
    <row r="2655" spans="1:9" x14ac:dyDescent="0.3">
      <c r="A2655" s="4" t="s">
        <v>2465</v>
      </c>
    </row>
    <row r="2656" spans="1:9" x14ac:dyDescent="0.3">
      <c r="B2656" s="5" t="s">
        <v>2461</v>
      </c>
      <c r="C2656" s="5" t="s">
        <v>10</v>
      </c>
      <c r="D2656" s="5" t="s">
        <v>2466</v>
      </c>
      <c r="E2656" s="5" t="s">
        <v>2467</v>
      </c>
      <c r="F2656" s="5" t="s">
        <v>67</v>
      </c>
      <c r="G2656" s="5" t="s">
        <v>68</v>
      </c>
      <c r="H2656" s="6">
        <v>60</v>
      </c>
      <c r="I2656" s="5"/>
    </row>
    <row r="2657" spans="1:9" x14ac:dyDescent="0.3">
      <c r="B2657" s="5" t="s">
        <v>2461</v>
      </c>
      <c r="C2657" s="5" t="s">
        <v>10</v>
      </c>
      <c r="D2657" s="5" t="s">
        <v>2466</v>
      </c>
      <c r="E2657" s="5" t="s">
        <v>2467</v>
      </c>
      <c r="F2657" s="5" t="s">
        <v>1643</v>
      </c>
      <c r="G2657" s="5" t="s">
        <v>1644</v>
      </c>
      <c r="H2657" s="5"/>
      <c r="I2657" s="6">
        <v>60</v>
      </c>
    </row>
    <row r="2658" spans="1:9" x14ac:dyDescent="0.3">
      <c r="A2658" s="7" t="s">
        <v>2468</v>
      </c>
      <c r="H2658" s="8">
        <f>H2656+H2657</f>
        <v>60</v>
      </c>
      <c r="I2658" s="8">
        <f>I2656+I2657</f>
        <v>60</v>
      </c>
    </row>
    <row r="2659" spans="1:9" x14ac:dyDescent="0.3">
      <c r="A2659" s="4" t="s">
        <v>2469</v>
      </c>
    </row>
    <row r="2660" spans="1:9" x14ac:dyDescent="0.3">
      <c r="B2660" s="5" t="s">
        <v>2461</v>
      </c>
      <c r="C2660" s="5" t="s">
        <v>10</v>
      </c>
      <c r="D2660" s="5" t="s">
        <v>2470</v>
      </c>
      <c r="E2660" s="5" t="s">
        <v>2471</v>
      </c>
      <c r="F2660" s="5" t="s">
        <v>1643</v>
      </c>
      <c r="G2660" s="5" t="s">
        <v>1644</v>
      </c>
      <c r="H2660" s="6">
        <v>14000</v>
      </c>
      <c r="I2660" s="5"/>
    </row>
    <row r="2661" spans="1:9" x14ac:dyDescent="0.3">
      <c r="B2661" s="5" t="s">
        <v>2461</v>
      </c>
      <c r="C2661" s="5" t="s">
        <v>10</v>
      </c>
      <c r="D2661" s="5" t="s">
        <v>2470</v>
      </c>
      <c r="E2661" s="5" t="s">
        <v>2471</v>
      </c>
      <c r="F2661" s="5" t="s">
        <v>13</v>
      </c>
      <c r="G2661" s="5" t="s">
        <v>14</v>
      </c>
      <c r="H2661" s="5"/>
      <c r="I2661" s="6">
        <v>14000</v>
      </c>
    </row>
    <row r="2662" spans="1:9" x14ac:dyDescent="0.3">
      <c r="A2662" s="7" t="s">
        <v>2472</v>
      </c>
      <c r="H2662" s="8">
        <f>H2660+H2661</f>
        <v>14000</v>
      </c>
      <c r="I2662" s="8">
        <f>I2660+I2661</f>
        <v>14000</v>
      </c>
    </row>
    <row r="2663" spans="1:9" x14ac:dyDescent="0.3">
      <c r="A2663" s="4" t="s">
        <v>2473</v>
      </c>
    </row>
    <row r="2664" spans="1:9" x14ac:dyDescent="0.3">
      <c r="B2664" s="5" t="s">
        <v>2461</v>
      </c>
      <c r="C2664" s="5" t="s">
        <v>10</v>
      </c>
      <c r="D2664" s="5" t="s">
        <v>2474</v>
      </c>
      <c r="E2664" s="5" t="s">
        <v>2475</v>
      </c>
      <c r="F2664" s="5" t="s">
        <v>1643</v>
      </c>
      <c r="G2664" s="5" t="s">
        <v>1644</v>
      </c>
      <c r="H2664" s="6">
        <v>15000</v>
      </c>
      <c r="I2664" s="5"/>
    </row>
    <row r="2665" spans="1:9" x14ac:dyDescent="0.3">
      <c r="B2665" s="5" t="s">
        <v>2461</v>
      </c>
      <c r="C2665" s="5" t="s">
        <v>10</v>
      </c>
      <c r="D2665" s="5" t="s">
        <v>2474</v>
      </c>
      <c r="E2665" s="5" t="s">
        <v>2475</v>
      </c>
      <c r="F2665" s="5" t="s">
        <v>13</v>
      </c>
      <c r="G2665" s="5" t="s">
        <v>14</v>
      </c>
      <c r="H2665" s="5"/>
      <c r="I2665" s="6">
        <v>15000</v>
      </c>
    </row>
    <row r="2666" spans="1:9" x14ac:dyDescent="0.3">
      <c r="A2666" s="7" t="s">
        <v>2476</v>
      </c>
      <c r="H2666" s="8">
        <f>H2664+H2665</f>
        <v>15000</v>
      </c>
      <c r="I2666" s="8">
        <f>I2664+I2665</f>
        <v>15000</v>
      </c>
    </row>
    <row r="2667" spans="1:9" x14ac:dyDescent="0.3">
      <c r="A2667" s="4" t="s">
        <v>2477</v>
      </c>
    </row>
    <row r="2668" spans="1:9" x14ac:dyDescent="0.3">
      <c r="B2668" s="5" t="s">
        <v>2461</v>
      </c>
      <c r="C2668" s="5" t="s">
        <v>10</v>
      </c>
      <c r="D2668" s="5" t="s">
        <v>2478</v>
      </c>
      <c r="E2668" s="5" t="s">
        <v>2479</v>
      </c>
      <c r="F2668" s="5" t="s">
        <v>441</v>
      </c>
      <c r="G2668" s="5" t="s">
        <v>442</v>
      </c>
      <c r="H2668" s="6">
        <v>14900</v>
      </c>
      <c r="I2668" s="5"/>
    </row>
    <row r="2669" spans="1:9" x14ac:dyDescent="0.3">
      <c r="B2669" s="5" t="s">
        <v>2461</v>
      </c>
      <c r="C2669" s="5" t="s">
        <v>10</v>
      </c>
      <c r="D2669" s="5" t="s">
        <v>2478</v>
      </c>
      <c r="E2669" s="5" t="s">
        <v>2480</v>
      </c>
      <c r="F2669" s="5" t="s">
        <v>1936</v>
      </c>
      <c r="G2669" s="5" t="s">
        <v>1937</v>
      </c>
      <c r="H2669" s="6">
        <v>100</v>
      </c>
      <c r="I2669" s="5"/>
    </row>
    <row r="2670" spans="1:9" x14ac:dyDescent="0.3">
      <c r="B2670" s="5" t="s">
        <v>2461</v>
      </c>
      <c r="C2670" s="5" t="s">
        <v>10</v>
      </c>
      <c r="D2670" s="5" t="s">
        <v>2478</v>
      </c>
      <c r="E2670" s="5" t="s">
        <v>2479</v>
      </c>
      <c r="F2670" s="5" t="s">
        <v>1643</v>
      </c>
      <c r="G2670" s="5" t="s">
        <v>1644</v>
      </c>
      <c r="H2670" s="5"/>
      <c r="I2670" s="6">
        <v>15000</v>
      </c>
    </row>
    <row r="2671" spans="1:9" x14ac:dyDescent="0.3">
      <c r="A2671" s="7" t="s">
        <v>2481</v>
      </c>
      <c r="H2671" s="8">
        <f>H2668+H2669+H2670</f>
        <v>15000</v>
      </c>
      <c r="I2671" s="8">
        <f>I2668+I2669+I2670</f>
        <v>15000</v>
      </c>
    </row>
    <row r="2672" spans="1:9" x14ac:dyDescent="0.3">
      <c r="A2672" s="4" t="s">
        <v>2482</v>
      </c>
    </row>
    <row r="2673" spans="1:9" x14ac:dyDescent="0.3">
      <c r="B2673" s="5" t="s">
        <v>2483</v>
      </c>
      <c r="C2673" s="5" t="s">
        <v>10</v>
      </c>
      <c r="D2673" s="5" t="s">
        <v>2484</v>
      </c>
      <c r="E2673" s="5" t="s">
        <v>2485</v>
      </c>
      <c r="F2673" s="5" t="s">
        <v>1643</v>
      </c>
      <c r="G2673" s="5" t="s">
        <v>1644</v>
      </c>
      <c r="H2673" s="6">
        <v>25000</v>
      </c>
      <c r="I2673" s="5"/>
    </row>
    <row r="2674" spans="1:9" x14ac:dyDescent="0.3">
      <c r="B2674" s="5" t="s">
        <v>2483</v>
      </c>
      <c r="C2674" s="5" t="s">
        <v>10</v>
      </c>
      <c r="D2674" s="5" t="s">
        <v>2484</v>
      </c>
      <c r="E2674" s="5" t="s">
        <v>2485</v>
      </c>
      <c r="F2674" s="5" t="s">
        <v>13</v>
      </c>
      <c r="G2674" s="5" t="s">
        <v>14</v>
      </c>
      <c r="H2674" s="5"/>
      <c r="I2674" s="6">
        <v>25000</v>
      </c>
    </row>
    <row r="2675" spans="1:9" x14ac:dyDescent="0.3">
      <c r="A2675" s="7" t="s">
        <v>2486</v>
      </c>
      <c r="H2675" s="8">
        <f>H2673+H2674</f>
        <v>25000</v>
      </c>
      <c r="I2675" s="8">
        <f>I2673+I2674</f>
        <v>25000</v>
      </c>
    </row>
    <row r="2676" spans="1:9" x14ac:dyDescent="0.3">
      <c r="A2676" s="4" t="s">
        <v>2487</v>
      </c>
    </row>
    <row r="2677" spans="1:9" x14ac:dyDescent="0.3">
      <c r="B2677" s="5" t="s">
        <v>2483</v>
      </c>
      <c r="C2677" s="5" t="s">
        <v>10</v>
      </c>
      <c r="D2677" s="5" t="s">
        <v>2488</v>
      </c>
      <c r="E2677" s="5" t="s">
        <v>2479</v>
      </c>
      <c r="F2677" s="5" t="s">
        <v>441</v>
      </c>
      <c r="G2677" s="5" t="s">
        <v>442</v>
      </c>
      <c r="H2677" s="6">
        <v>24900</v>
      </c>
      <c r="I2677" s="5"/>
    </row>
    <row r="2678" spans="1:9" x14ac:dyDescent="0.3">
      <c r="B2678" s="5" t="s">
        <v>2483</v>
      </c>
      <c r="C2678" s="5" t="s">
        <v>10</v>
      </c>
      <c r="D2678" s="5" t="s">
        <v>2488</v>
      </c>
      <c r="E2678" s="5" t="s">
        <v>2489</v>
      </c>
      <c r="F2678" s="5" t="s">
        <v>1936</v>
      </c>
      <c r="G2678" s="5" t="s">
        <v>1937</v>
      </c>
      <c r="H2678" s="6">
        <v>100</v>
      </c>
      <c r="I2678" s="5"/>
    </row>
    <row r="2679" spans="1:9" x14ac:dyDescent="0.3">
      <c r="B2679" s="5" t="s">
        <v>2483</v>
      </c>
      <c r="C2679" s="5" t="s">
        <v>10</v>
      </c>
      <c r="D2679" s="5" t="s">
        <v>2488</v>
      </c>
      <c r="E2679" s="5" t="s">
        <v>2479</v>
      </c>
      <c r="F2679" s="5" t="s">
        <v>1643</v>
      </c>
      <c r="G2679" s="5" t="s">
        <v>1644</v>
      </c>
      <c r="H2679" s="5"/>
      <c r="I2679" s="6">
        <v>25000</v>
      </c>
    </row>
    <row r="2680" spans="1:9" x14ac:dyDescent="0.3">
      <c r="A2680" s="7" t="s">
        <v>2490</v>
      </c>
      <c r="H2680" s="8">
        <f>H2677+H2678+H2679</f>
        <v>25000</v>
      </c>
      <c r="I2680" s="8">
        <f>I2677+I2678+I2679</f>
        <v>25000</v>
      </c>
    </row>
    <row r="2681" spans="1:9" x14ac:dyDescent="0.3">
      <c r="A2681" s="4" t="s">
        <v>2491</v>
      </c>
    </row>
    <row r="2682" spans="1:9" x14ac:dyDescent="0.3">
      <c r="B2682" s="5" t="s">
        <v>2483</v>
      </c>
      <c r="C2682" s="5" t="s">
        <v>10</v>
      </c>
      <c r="D2682" s="5" t="s">
        <v>2492</v>
      </c>
      <c r="E2682" s="5" t="s">
        <v>2493</v>
      </c>
      <c r="F2682" s="5" t="s">
        <v>35</v>
      </c>
      <c r="G2682" s="5" t="s">
        <v>36</v>
      </c>
      <c r="H2682" s="6">
        <v>4220</v>
      </c>
      <c r="I2682" s="5"/>
    </row>
    <row r="2683" spans="1:9" x14ac:dyDescent="0.3">
      <c r="B2683" s="5" t="s">
        <v>2483</v>
      </c>
      <c r="C2683" s="5" t="s">
        <v>10</v>
      </c>
      <c r="D2683" s="5" t="s">
        <v>2492</v>
      </c>
      <c r="E2683" s="5" t="s">
        <v>2494</v>
      </c>
      <c r="F2683" s="5" t="s">
        <v>67</v>
      </c>
      <c r="G2683" s="5" t="s">
        <v>68</v>
      </c>
      <c r="H2683" s="6">
        <v>210</v>
      </c>
      <c r="I2683" s="5"/>
    </row>
    <row r="2684" spans="1:9" x14ac:dyDescent="0.3">
      <c r="B2684" s="5" t="s">
        <v>2483</v>
      </c>
      <c r="C2684" s="5" t="s">
        <v>10</v>
      </c>
      <c r="D2684" s="5" t="s">
        <v>2492</v>
      </c>
      <c r="E2684" s="5" t="s">
        <v>2493</v>
      </c>
      <c r="F2684" s="5" t="s">
        <v>1643</v>
      </c>
      <c r="G2684" s="5" t="s">
        <v>1644</v>
      </c>
      <c r="H2684" s="5"/>
      <c r="I2684" s="6">
        <v>4430</v>
      </c>
    </row>
    <row r="2685" spans="1:9" x14ac:dyDescent="0.3">
      <c r="A2685" s="7" t="s">
        <v>2495</v>
      </c>
      <c r="H2685" s="8">
        <f>H2682+H2683+H2684</f>
        <v>4430</v>
      </c>
      <c r="I2685" s="8">
        <f>I2682+I2683+I2684</f>
        <v>4430</v>
      </c>
    </row>
    <row r="2686" spans="1:9" x14ac:dyDescent="0.3">
      <c r="A2686" s="4" t="s">
        <v>2496</v>
      </c>
    </row>
    <row r="2687" spans="1:9" x14ac:dyDescent="0.3">
      <c r="B2687" s="5" t="s">
        <v>2483</v>
      </c>
      <c r="C2687" s="5" t="s">
        <v>10</v>
      </c>
      <c r="D2687" s="5" t="s">
        <v>2497</v>
      </c>
      <c r="E2687" s="5" t="s">
        <v>2498</v>
      </c>
      <c r="F2687" s="5" t="s">
        <v>61</v>
      </c>
      <c r="G2687" s="5" t="s">
        <v>62</v>
      </c>
      <c r="H2687" s="6">
        <v>230</v>
      </c>
      <c r="I2687" s="5"/>
    </row>
    <row r="2688" spans="1:9" x14ac:dyDescent="0.3">
      <c r="B2688" s="5" t="s">
        <v>2483</v>
      </c>
      <c r="C2688" s="5" t="s">
        <v>10</v>
      </c>
      <c r="D2688" s="5" t="s">
        <v>2497</v>
      </c>
      <c r="E2688" s="5" t="s">
        <v>2498</v>
      </c>
      <c r="F2688" s="5" t="s">
        <v>1643</v>
      </c>
      <c r="G2688" s="5" t="s">
        <v>1644</v>
      </c>
      <c r="H2688" s="5"/>
      <c r="I2688" s="6">
        <v>230</v>
      </c>
    </row>
    <row r="2689" spans="1:9" x14ac:dyDescent="0.3">
      <c r="B2689" s="5" t="s">
        <v>2483</v>
      </c>
      <c r="C2689" s="5" t="s">
        <v>10</v>
      </c>
      <c r="D2689" s="5" t="s">
        <v>2497</v>
      </c>
      <c r="E2689" s="5" t="s">
        <v>2499</v>
      </c>
      <c r="F2689" s="5" t="s">
        <v>2500</v>
      </c>
      <c r="G2689" s="5" t="s">
        <v>2501</v>
      </c>
      <c r="H2689" s="6">
        <v>100</v>
      </c>
      <c r="I2689" s="5"/>
    </row>
    <row r="2690" spans="1:9" x14ac:dyDescent="0.3">
      <c r="B2690" s="5" t="s">
        <v>2483</v>
      </c>
      <c r="C2690" s="5" t="s">
        <v>10</v>
      </c>
      <c r="D2690" s="5" t="s">
        <v>2497</v>
      </c>
      <c r="E2690" s="5" t="s">
        <v>2499</v>
      </c>
      <c r="F2690" s="5" t="s">
        <v>1643</v>
      </c>
      <c r="G2690" s="5" t="s">
        <v>1644</v>
      </c>
      <c r="H2690" s="5"/>
      <c r="I2690" s="6">
        <v>100</v>
      </c>
    </row>
    <row r="2691" spans="1:9" x14ac:dyDescent="0.3">
      <c r="A2691" s="7" t="s">
        <v>2502</v>
      </c>
      <c r="H2691" s="8">
        <f>H2687+H2688+H2689+H2690</f>
        <v>330</v>
      </c>
      <c r="I2691" s="8">
        <f>I2687+I2688+I2689+I2690</f>
        <v>330</v>
      </c>
    </row>
    <row r="2692" spans="1:9" x14ac:dyDescent="0.3">
      <c r="A2692" s="4" t="s">
        <v>2503</v>
      </c>
    </row>
    <row r="2693" spans="1:9" x14ac:dyDescent="0.3">
      <c r="B2693" s="5" t="s">
        <v>2483</v>
      </c>
      <c r="C2693" s="5" t="s">
        <v>10</v>
      </c>
      <c r="D2693" s="5" t="s">
        <v>2504</v>
      </c>
      <c r="E2693" s="5" t="s">
        <v>2505</v>
      </c>
      <c r="F2693" s="5" t="s">
        <v>129</v>
      </c>
      <c r="G2693" s="5" t="s">
        <v>130</v>
      </c>
      <c r="H2693" s="6">
        <v>480</v>
      </c>
      <c r="I2693" s="5"/>
    </row>
    <row r="2694" spans="1:9" x14ac:dyDescent="0.3">
      <c r="B2694" s="5" t="s">
        <v>2483</v>
      </c>
      <c r="C2694" s="5" t="s">
        <v>10</v>
      </c>
      <c r="D2694" s="5" t="s">
        <v>2504</v>
      </c>
      <c r="E2694" s="5" t="s">
        <v>2505</v>
      </c>
      <c r="F2694" s="5" t="s">
        <v>1643</v>
      </c>
      <c r="G2694" s="5" t="s">
        <v>1644</v>
      </c>
      <c r="H2694" s="5"/>
      <c r="I2694" s="6">
        <v>480</v>
      </c>
    </row>
    <row r="2695" spans="1:9" x14ac:dyDescent="0.3">
      <c r="A2695" s="7" t="s">
        <v>2506</v>
      </c>
      <c r="H2695" s="8">
        <f>H2693+H2694</f>
        <v>480</v>
      </c>
      <c r="I2695" s="8">
        <f>I2693+I2694</f>
        <v>480</v>
      </c>
    </row>
    <row r="2696" spans="1:9" x14ac:dyDescent="0.3">
      <c r="A2696" s="4" t="s">
        <v>2507</v>
      </c>
    </row>
    <row r="2697" spans="1:9" x14ac:dyDescent="0.3">
      <c r="B2697" s="5" t="s">
        <v>2483</v>
      </c>
      <c r="C2697" s="5" t="s">
        <v>10</v>
      </c>
      <c r="D2697" s="5" t="s">
        <v>2508</v>
      </c>
      <c r="E2697" s="5" t="s">
        <v>2509</v>
      </c>
      <c r="F2697" s="5" t="s">
        <v>831</v>
      </c>
      <c r="G2697" s="5" t="s">
        <v>832</v>
      </c>
      <c r="H2697" s="6">
        <v>12311.9</v>
      </c>
      <c r="I2697" s="5"/>
    </row>
    <row r="2698" spans="1:9" x14ac:dyDescent="0.3">
      <c r="B2698" s="5" t="s">
        <v>2483</v>
      </c>
      <c r="C2698" s="5" t="s">
        <v>10</v>
      </c>
      <c r="D2698" s="5" t="s">
        <v>2508</v>
      </c>
      <c r="E2698" s="5" t="s">
        <v>2509</v>
      </c>
      <c r="F2698" s="5" t="s">
        <v>441</v>
      </c>
      <c r="G2698" s="5" t="s">
        <v>442</v>
      </c>
      <c r="H2698" s="5"/>
      <c r="I2698" s="6">
        <v>12311.9</v>
      </c>
    </row>
    <row r="2699" spans="1:9" x14ac:dyDescent="0.3">
      <c r="A2699" s="7" t="s">
        <v>2510</v>
      </c>
      <c r="H2699" s="8">
        <f>H2697+H2698</f>
        <v>12311.9</v>
      </c>
      <c r="I2699" s="8">
        <f>I2697+I2698</f>
        <v>12311.9</v>
      </c>
    </row>
    <row r="2700" spans="1:9" x14ac:dyDescent="0.3">
      <c r="A2700" s="4" t="s">
        <v>2511</v>
      </c>
    </row>
    <row r="2701" spans="1:9" x14ac:dyDescent="0.3">
      <c r="B2701" s="5" t="s">
        <v>2483</v>
      </c>
      <c r="C2701" s="5" t="s">
        <v>844</v>
      </c>
      <c r="D2701" s="5" t="s">
        <v>2512</v>
      </c>
      <c r="E2701" s="5" t="s">
        <v>2513</v>
      </c>
      <c r="F2701" s="5" t="s">
        <v>847</v>
      </c>
      <c r="G2701" s="5" t="s">
        <v>848</v>
      </c>
      <c r="H2701" s="6">
        <v>14528.04</v>
      </c>
      <c r="I2701" s="5"/>
    </row>
    <row r="2702" spans="1:9" x14ac:dyDescent="0.3">
      <c r="B2702" s="5" t="s">
        <v>2483</v>
      </c>
      <c r="C2702" s="5" t="s">
        <v>844</v>
      </c>
      <c r="D2702" s="5" t="s">
        <v>2512</v>
      </c>
      <c r="E2702" s="5" t="s">
        <v>2513</v>
      </c>
      <c r="F2702" s="5" t="s">
        <v>831</v>
      </c>
      <c r="G2702" s="5" t="s">
        <v>832</v>
      </c>
      <c r="H2702" s="5"/>
      <c r="I2702" s="6">
        <v>12311.9</v>
      </c>
    </row>
    <row r="2703" spans="1:9" ht="21.6" x14ac:dyDescent="0.3">
      <c r="B2703" s="5" t="s">
        <v>2483</v>
      </c>
      <c r="C2703" s="5" t="s">
        <v>844</v>
      </c>
      <c r="D2703" s="5" t="s">
        <v>2512</v>
      </c>
      <c r="E2703" s="5" t="s">
        <v>2514</v>
      </c>
      <c r="F2703" s="5" t="s">
        <v>867</v>
      </c>
      <c r="G2703" s="5" t="s">
        <v>868</v>
      </c>
      <c r="H2703" s="5"/>
      <c r="I2703" s="6">
        <v>2216.14</v>
      </c>
    </row>
    <row r="2704" spans="1:9" x14ac:dyDescent="0.3">
      <c r="A2704" s="7" t="s">
        <v>2515</v>
      </c>
      <c r="H2704" s="8">
        <f>H2701+H2702+H2703</f>
        <v>14528.04</v>
      </c>
      <c r="I2704" s="8">
        <f>I2701+I2702+I2703</f>
        <v>14528.039999999999</v>
      </c>
    </row>
    <row r="2705" spans="1:9" x14ac:dyDescent="0.3">
      <c r="A2705" s="4" t="s">
        <v>2516</v>
      </c>
    </row>
    <row r="2706" spans="1:9" x14ac:dyDescent="0.3">
      <c r="B2706" s="5" t="s">
        <v>2517</v>
      </c>
      <c r="C2706" s="5" t="s">
        <v>10</v>
      </c>
      <c r="D2706" s="5" t="s">
        <v>2518</v>
      </c>
      <c r="E2706" s="5" t="s">
        <v>2498</v>
      </c>
      <c r="F2706" s="5" t="s">
        <v>61</v>
      </c>
      <c r="G2706" s="5" t="s">
        <v>62</v>
      </c>
      <c r="H2706" s="6">
        <v>640</v>
      </c>
      <c r="I2706" s="5"/>
    </row>
    <row r="2707" spans="1:9" x14ac:dyDescent="0.3">
      <c r="B2707" s="5" t="s">
        <v>2517</v>
      </c>
      <c r="C2707" s="5" t="s">
        <v>10</v>
      </c>
      <c r="D2707" s="5" t="s">
        <v>2518</v>
      </c>
      <c r="E2707" s="5" t="s">
        <v>2498</v>
      </c>
      <c r="F2707" s="5" t="s">
        <v>1643</v>
      </c>
      <c r="G2707" s="5" t="s">
        <v>1644</v>
      </c>
      <c r="H2707" s="5"/>
      <c r="I2707" s="6">
        <v>640</v>
      </c>
    </row>
    <row r="2708" spans="1:9" x14ac:dyDescent="0.3">
      <c r="B2708" s="5" t="s">
        <v>2517</v>
      </c>
      <c r="C2708" s="5" t="s">
        <v>10</v>
      </c>
      <c r="D2708" s="5" t="s">
        <v>2518</v>
      </c>
      <c r="E2708" s="5" t="s">
        <v>2519</v>
      </c>
      <c r="F2708" s="5" t="s">
        <v>50</v>
      </c>
      <c r="G2708" s="5" t="s">
        <v>51</v>
      </c>
      <c r="H2708" s="6">
        <v>100</v>
      </c>
      <c r="I2708" s="5"/>
    </row>
    <row r="2709" spans="1:9" x14ac:dyDescent="0.3">
      <c r="B2709" s="5" t="s">
        <v>2517</v>
      </c>
      <c r="C2709" s="5" t="s">
        <v>10</v>
      </c>
      <c r="D2709" s="5" t="s">
        <v>2518</v>
      </c>
      <c r="E2709" s="5" t="s">
        <v>2519</v>
      </c>
      <c r="F2709" s="5" t="s">
        <v>1643</v>
      </c>
      <c r="G2709" s="5" t="s">
        <v>1644</v>
      </c>
      <c r="H2709" s="5"/>
      <c r="I2709" s="6">
        <v>100</v>
      </c>
    </row>
    <row r="2710" spans="1:9" x14ac:dyDescent="0.3">
      <c r="A2710" s="7" t="s">
        <v>2520</v>
      </c>
      <c r="H2710" s="8">
        <f>H2706+H2707+H2708+H2709</f>
        <v>740</v>
      </c>
      <c r="I2710" s="8">
        <f>I2706+I2707+I2708+I2709</f>
        <v>740</v>
      </c>
    </row>
    <row r="2711" spans="1:9" x14ac:dyDescent="0.3">
      <c r="A2711" s="4" t="s">
        <v>2521</v>
      </c>
    </row>
    <row r="2712" spans="1:9" x14ac:dyDescent="0.3">
      <c r="B2712" s="5" t="s">
        <v>2517</v>
      </c>
      <c r="C2712" s="5" t="s">
        <v>10</v>
      </c>
      <c r="D2712" s="5" t="s">
        <v>2522</v>
      </c>
      <c r="E2712" s="5" t="s">
        <v>2523</v>
      </c>
      <c r="F2712" s="5" t="s">
        <v>831</v>
      </c>
      <c r="G2712" s="5" t="s">
        <v>832</v>
      </c>
      <c r="H2712" s="6">
        <v>25623.7</v>
      </c>
      <c r="I2712" s="5"/>
    </row>
    <row r="2713" spans="1:9" x14ac:dyDescent="0.3">
      <c r="B2713" s="5" t="s">
        <v>2517</v>
      </c>
      <c r="C2713" s="5" t="s">
        <v>10</v>
      </c>
      <c r="D2713" s="5" t="s">
        <v>2522</v>
      </c>
      <c r="E2713" s="5" t="s">
        <v>2523</v>
      </c>
      <c r="F2713" s="5" t="s">
        <v>441</v>
      </c>
      <c r="G2713" s="5" t="s">
        <v>442</v>
      </c>
      <c r="H2713" s="5"/>
      <c r="I2713" s="6">
        <v>25623.7</v>
      </c>
    </row>
    <row r="2714" spans="1:9" x14ac:dyDescent="0.3">
      <c r="A2714" s="7" t="s">
        <v>2524</v>
      </c>
      <c r="H2714" s="8">
        <f>H2712+H2713</f>
        <v>25623.7</v>
      </c>
      <c r="I2714" s="8">
        <f>I2712+I2713</f>
        <v>25623.7</v>
      </c>
    </row>
    <row r="2715" spans="1:9" x14ac:dyDescent="0.3">
      <c r="A2715" s="4" t="s">
        <v>2525</v>
      </c>
    </row>
    <row r="2716" spans="1:9" x14ac:dyDescent="0.3">
      <c r="B2716" s="5" t="s">
        <v>2517</v>
      </c>
      <c r="C2716" s="5" t="s">
        <v>10</v>
      </c>
      <c r="D2716" s="5" t="s">
        <v>2526</v>
      </c>
      <c r="E2716" s="5" t="s">
        <v>2527</v>
      </c>
      <c r="F2716" s="5" t="s">
        <v>64</v>
      </c>
      <c r="G2716" s="5" t="s">
        <v>65</v>
      </c>
      <c r="H2716" s="6">
        <v>500</v>
      </c>
      <c r="I2716" s="5"/>
    </row>
    <row r="2717" spans="1:9" x14ac:dyDescent="0.3">
      <c r="B2717" s="5" t="s">
        <v>2517</v>
      </c>
      <c r="C2717" s="5" t="s">
        <v>10</v>
      </c>
      <c r="D2717" s="5" t="s">
        <v>2526</v>
      </c>
      <c r="E2717" s="5" t="s">
        <v>2527</v>
      </c>
      <c r="F2717" s="5" t="s">
        <v>1643</v>
      </c>
      <c r="G2717" s="5" t="s">
        <v>1644</v>
      </c>
      <c r="H2717" s="5"/>
      <c r="I2717" s="6">
        <v>500</v>
      </c>
    </row>
    <row r="2718" spans="1:9" x14ac:dyDescent="0.3">
      <c r="A2718" s="7" t="s">
        <v>2528</v>
      </c>
      <c r="H2718" s="8">
        <f>H2716+H2717</f>
        <v>500</v>
      </c>
      <c r="I2718" s="8">
        <f>I2716+I2717</f>
        <v>500</v>
      </c>
    </row>
    <row r="2719" spans="1:9" x14ac:dyDescent="0.3">
      <c r="A2719" s="4" t="s">
        <v>2529</v>
      </c>
    </row>
    <row r="2720" spans="1:9" x14ac:dyDescent="0.3">
      <c r="B2720" s="5" t="s">
        <v>2517</v>
      </c>
      <c r="C2720" s="5" t="s">
        <v>10</v>
      </c>
      <c r="D2720" s="5" t="s">
        <v>2530</v>
      </c>
      <c r="E2720" s="5" t="s">
        <v>2531</v>
      </c>
      <c r="F2720" s="5" t="s">
        <v>1643</v>
      </c>
      <c r="G2720" s="5" t="s">
        <v>1644</v>
      </c>
      <c r="H2720" s="6">
        <v>15000</v>
      </c>
      <c r="I2720" s="5"/>
    </row>
    <row r="2721" spans="1:9" x14ac:dyDescent="0.3">
      <c r="B2721" s="5" t="s">
        <v>2517</v>
      </c>
      <c r="C2721" s="5" t="s">
        <v>10</v>
      </c>
      <c r="D2721" s="5" t="s">
        <v>2530</v>
      </c>
      <c r="E2721" s="5" t="s">
        <v>2531</v>
      </c>
      <c r="F2721" s="5" t="s">
        <v>13</v>
      </c>
      <c r="G2721" s="5" t="s">
        <v>14</v>
      </c>
      <c r="H2721" s="5"/>
      <c r="I2721" s="6">
        <v>15000</v>
      </c>
    </row>
    <row r="2722" spans="1:9" x14ac:dyDescent="0.3">
      <c r="A2722" s="7" t="s">
        <v>2532</v>
      </c>
      <c r="H2722" s="8">
        <f>H2720+H2721</f>
        <v>15000</v>
      </c>
      <c r="I2722" s="8">
        <f>I2720+I2721</f>
        <v>15000</v>
      </c>
    </row>
    <row r="2723" spans="1:9" x14ac:dyDescent="0.3">
      <c r="A2723" s="4" t="s">
        <v>2533</v>
      </c>
    </row>
    <row r="2724" spans="1:9" x14ac:dyDescent="0.3">
      <c r="B2724" s="5" t="s">
        <v>2517</v>
      </c>
      <c r="C2724" s="5" t="s">
        <v>10</v>
      </c>
      <c r="D2724" s="5" t="s">
        <v>2534</v>
      </c>
      <c r="E2724" s="5" t="s">
        <v>2535</v>
      </c>
      <c r="F2724" s="5" t="s">
        <v>1643</v>
      </c>
      <c r="G2724" s="5" t="s">
        <v>1644</v>
      </c>
      <c r="H2724" s="6">
        <v>28100</v>
      </c>
      <c r="I2724" s="5"/>
    </row>
    <row r="2725" spans="1:9" x14ac:dyDescent="0.3">
      <c r="B2725" s="5" t="s">
        <v>2517</v>
      </c>
      <c r="C2725" s="5" t="s">
        <v>10</v>
      </c>
      <c r="D2725" s="5" t="s">
        <v>2534</v>
      </c>
      <c r="E2725" s="5" t="s">
        <v>2535</v>
      </c>
      <c r="F2725" s="5" t="s">
        <v>13</v>
      </c>
      <c r="G2725" s="5" t="s">
        <v>14</v>
      </c>
      <c r="H2725" s="5"/>
      <c r="I2725" s="6">
        <v>28100</v>
      </c>
    </row>
    <row r="2726" spans="1:9" x14ac:dyDescent="0.3">
      <c r="A2726" s="7" t="s">
        <v>2536</v>
      </c>
      <c r="H2726" s="8">
        <f>H2724+H2725</f>
        <v>28100</v>
      </c>
      <c r="I2726" s="8">
        <f>I2724+I2725</f>
        <v>28100</v>
      </c>
    </row>
    <row r="2727" spans="1:9" x14ac:dyDescent="0.3">
      <c r="A2727" s="4" t="s">
        <v>2537</v>
      </c>
    </row>
    <row r="2728" spans="1:9" x14ac:dyDescent="0.3">
      <c r="B2728" s="5" t="s">
        <v>2517</v>
      </c>
      <c r="C2728" s="5" t="s">
        <v>10</v>
      </c>
      <c r="D2728" s="5" t="s">
        <v>2538</v>
      </c>
      <c r="E2728" s="5" t="s">
        <v>2539</v>
      </c>
      <c r="F2728" s="5" t="s">
        <v>441</v>
      </c>
      <c r="G2728" s="5" t="s">
        <v>442</v>
      </c>
      <c r="H2728" s="6">
        <v>28100</v>
      </c>
      <c r="I2728" s="5"/>
    </row>
    <row r="2729" spans="1:9" x14ac:dyDescent="0.3">
      <c r="B2729" s="5" t="s">
        <v>2517</v>
      </c>
      <c r="C2729" s="5" t="s">
        <v>10</v>
      </c>
      <c r="D2729" s="5" t="s">
        <v>2538</v>
      </c>
      <c r="E2729" s="5" t="s">
        <v>2539</v>
      </c>
      <c r="F2729" s="5" t="s">
        <v>1643</v>
      </c>
      <c r="G2729" s="5" t="s">
        <v>1644</v>
      </c>
      <c r="H2729" s="5"/>
      <c r="I2729" s="6">
        <v>28100</v>
      </c>
    </row>
    <row r="2730" spans="1:9" x14ac:dyDescent="0.3">
      <c r="A2730" s="7" t="s">
        <v>2540</v>
      </c>
      <c r="H2730" s="8">
        <f>H2728+H2729</f>
        <v>28100</v>
      </c>
      <c r="I2730" s="8">
        <f>I2728+I2729</f>
        <v>28100</v>
      </c>
    </row>
    <row r="2731" spans="1:9" x14ac:dyDescent="0.3">
      <c r="A2731" s="4" t="s">
        <v>2541</v>
      </c>
    </row>
    <row r="2732" spans="1:9" x14ac:dyDescent="0.3">
      <c r="B2732" s="5" t="s">
        <v>2517</v>
      </c>
      <c r="C2732" s="5" t="s">
        <v>844</v>
      </c>
      <c r="D2732" s="5" t="s">
        <v>2542</v>
      </c>
      <c r="E2732" s="5" t="s">
        <v>2543</v>
      </c>
      <c r="F2732" s="5" t="s">
        <v>847</v>
      </c>
      <c r="G2732" s="5" t="s">
        <v>848</v>
      </c>
      <c r="H2732" s="6">
        <v>30235.97</v>
      </c>
      <c r="I2732" s="5"/>
    </row>
    <row r="2733" spans="1:9" x14ac:dyDescent="0.3">
      <c r="B2733" s="5" t="s">
        <v>2517</v>
      </c>
      <c r="C2733" s="5" t="s">
        <v>844</v>
      </c>
      <c r="D2733" s="5" t="s">
        <v>2542</v>
      </c>
      <c r="E2733" s="5" t="s">
        <v>2543</v>
      </c>
      <c r="F2733" s="5" t="s">
        <v>831</v>
      </c>
      <c r="G2733" s="5" t="s">
        <v>832</v>
      </c>
      <c r="H2733" s="5"/>
      <c r="I2733" s="6">
        <v>25623.7</v>
      </c>
    </row>
    <row r="2734" spans="1:9" x14ac:dyDescent="0.3">
      <c r="B2734" s="5" t="s">
        <v>2517</v>
      </c>
      <c r="C2734" s="5" t="s">
        <v>844</v>
      </c>
      <c r="D2734" s="5" t="s">
        <v>2542</v>
      </c>
      <c r="E2734" s="5" t="s">
        <v>1993</v>
      </c>
      <c r="F2734" s="5" t="s">
        <v>867</v>
      </c>
      <c r="G2734" s="5" t="s">
        <v>868</v>
      </c>
      <c r="H2734" s="5"/>
      <c r="I2734" s="6">
        <v>4612.2700000000004</v>
      </c>
    </row>
    <row r="2735" spans="1:9" x14ac:dyDescent="0.3">
      <c r="A2735" s="7" t="s">
        <v>2544</v>
      </c>
      <c r="H2735" s="8">
        <f>H2732+H2733+H2734</f>
        <v>30235.97</v>
      </c>
      <c r="I2735" s="8">
        <f>I2732+I2733+I2734</f>
        <v>30235.97</v>
      </c>
    </row>
    <row r="2736" spans="1:9" x14ac:dyDescent="0.3">
      <c r="A2736" s="4" t="s">
        <v>2545</v>
      </c>
    </row>
    <row r="2737" spans="1:9" x14ac:dyDescent="0.3">
      <c r="B2737" s="5" t="s">
        <v>2546</v>
      </c>
      <c r="C2737" s="5" t="s">
        <v>10</v>
      </c>
      <c r="D2737" s="5" t="s">
        <v>2547</v>
      </c>
      <c r="E2737" s="5" t="s">
        <v>2548</v>
      </c>
      <c r="F2737" s="5" t="s">
        <v>61</v>
      </c>
      <c r="G2737" s="5" t="s">
        <v>62</v>
      </c>
      <c r="H2737" s="6">
        <v>300</v>
      </c>
      <c r="I2737" s="5"/>
    </row>
    <row r="2738" spans="1:9" x14ac:dyDescent="0.3">
      <c r="B2738" s="5" t="s">
        <v>2546</v>
      </c>
      <c r="C2738" s="5" t="s">
        <v>10</v>
      </c>
      <c r="D2738" s="5" t="s">
        <v>2547</v>
      </c>
      <c r="E2738" s="5" t="s">
        <v>2548</v>
      </c>
      <c r="F2738" s="5" t="s">
        <v>1643</v>
      </c>
      <c r="G2738" s="5" t="s">
        <v>1644</v>
      </c>
      <c r="H2738" s="5"/>
      <c r="I2738" s="6">
        <v>300</v>
      </c>
    </row>
    <row r="2739" spans="1:9" x14ac:dyDescent="0.3">
      <c r="A2739" s="7" t="s">
        <v>2549</v>
      </c>
      <c r="H2739" s="8">
        <f>H2737+H2738</f>
        <v>300</v>
      </c>
      <c r="I2739" s="8">
        <f>I2737+I2738</f>
        <v>300</v>
      </c>
    </row>
    <row r="2740" spans="1:9" x14ac:dyDescent="0.3">
      <c r="A2740" s="4" t="s">
        <v>2550</v>
      </c>
    </row>
    <row r="2741" spans="1:9" x14ac:dyDescent="0.3">
      <c r="B2741" s="5" t="s">
        <v>2551</v>
      </c>
      <c r="C2741" s="5" t="s">
        <v>10</v>
      </c>
      <c r="D2741" s="5" t="s">
        <v>2552</v>
      </c>
      <c r="E2741" s="5" t="s">
        <v>2553</v>
      </c>
      <c r="F2741" s="5" t="s">
        <v>61</v>
      </c>
      <c r="G2741" s="5" t="s">
        <v>62</v>
      </c>
      <c r="H2741" s="6">
        <v>1280</v>
      </c>
      <c r="I2741" s="5"/>
    </row>
    <row r="2742" spans="1:9" x14ac:dyDescent="0.3">
      <c r="B2742" s="5" t="s">
        <v>2551</v>
      </c>
      <c r="C2742" s="5" t="s">
        <v>10</v>
      </c>
      <c r="D2742" s="5" t="s">
        <v>2552</v>
      </c>
      <c r="E2742" s="5" t="s">
        <v>2553</v>
      </c>
      <c r="F2742" s="5" t="s">
        <v>1643</v>
      </c>
      <c r="G2742" s="5" t="s">
        <v>1644</v>
      </c>
      <c r="H2742" s="5"/>
      <c r="I2742" s="6">
        <v>1280</v>
      </c>
    </row>
    <row r="2743" spans="1:9" x14ac:dyDescent="0.3">
      <c r="A2743" s="7" t="s">
        <v>2554</v>
      </c>
      <c r="H2743" s="8">
        <f>H2741+H2742</f>
        <v>1280</v>
      </c>
      <c r="I2743" s="8">
        <f>I2741+I2742</f>
        <v>1280</v>
      </c>
    </row>
    <row r="2744" spans="1:9" x14ac:dyDescent="0.3">
      <c r="A2744" s="4" t="s">
        <v>2555</v>
      </c>
    </row>
    <row r="2745" spans="1:9" x14ac:dyDescent="0.3">
      <c r="B2745" s="5" t="s">
        <v>2551</v>
      </c>
      <c r="C2745" s="5" t="s">
        <v>10</v>
      </c>
      <c r="D2745" s="5" t="s">
        <v>2556</v>
      </c>
      <c r="E2745" s="5" t="s">
        <v>391</v>
      </c>
      <c r="F2745" s="5" t="s">
        <v>116</v>
      </c>
      <c r="G2745" s="5" t="s">
        <v>117</v>
      </c>
      <c r="H2745" s="6">
        <v>500</v>
      </c>
      <c r="I2745" s="5"/>
    </row>
    <row r="2746" spans="1:9" x14ac:dyDescent="0.3">
      <c r="B2746" s="5" t="s">
        <v>2551</v>
      </c>
      <c r="C2746" s="5" t="s">
        <v>10</v>
      </c>
      <c r="D2746" s="5" t="s">
        <v>2556</v>
      </c>
      <c r="E2746" s="5" t="s">
        <v>391</v>
      </c>
      <c r="F2746" s="5" t="s">
        <v>1643</v>
      </c>
      <c r="G2746" s="5" t="s">
        <v>1644</v>
      </c>
      <c r="H2746" s="5"/>
      <c r="I2746" s="6">
        <v>500</v>
      </c>
    </row>
    <row r="2747" spans="1:9" x14ac:dyDescent="0.3">
      <c r="A2747" s="7" t="s">
        <v>2557</v>
      </c>
      <c r="H2747" s="8">
        <f>H2745+H2746</f>
        <v>500</v>
      </c>
      <c r="I2747" s="8">
        <f>I2745+I2746</f>
        <v>500</v>
      </c>
    </row>
    <row r="2748" spans="1:9" x14ac:dyDescent="0.3">
      <c r="A2748" s="4" t="s">
        <v>2558</v>
      </c>
    </row>
    <row r="2749" spans="1:9" x14ac:dyDescent="0.3">
      <c r="B2749" s="5" t="s">
        <v>2551</v>
      </c>
      <c r="C2749" s="5" t="s">
        <v>10</v>
      </c>
      <c r="D2749" s="5" t="s">
        <v>2559</v>
      </c>
      <c r="E2749" s="5" t="s">
        <v>2560</v>
      </c>
      <c r="F2749" s="5" t="s">
        <v>2561</v>
      </c>
      <c r="G2749" s="5" t="s">
        <v>2562</v>
      </c>
      <c r="H2749" s="6">
        <v>7000</v>
      </c>
      <c r="I2749" s="5"/>
    </row>
    <row r="2750" spans="1:9" x14ac:dyDescent="0.3">
      <c r="B2750" s="5" t="s">
        <v>2551</v>
      </c>
      <c r="C2750" s="5" t="s">
        <v>10</v>
      </c>
      <c r="D2750" s="5" t="s">
        <v>2559</v>
      </c>
      <c r="E2750" s="5" t="s">
        <v>2563</v>
      </c>
      <c r="F2750" s="5" t="s">
        <v>176</v>
      </c>
      <c r="G2750" s="5" t="s">
        <v>177</v>
      </c>
      <c r="H2750" s="6">
        <v>1200</v>
      </c>
      <c r="I2750" s="5"/>
    </row>
    <row r="2751" spans="1:9" ht="21.6" x14ac:dyDescent="0.3">
      <c r="B2751" s="5" t="s">
        <v>2551</v>
      </c>
      <c r="C2751" s="5" t="s">
        <v>10</v>
      </c>
      <c r="D2751" s="5" t="s">
        <v>2559</v>
      </c>
      <c r="E2751" s="5" t="s">
        <v>2564</v>
      </c>
      <c r="F2751" s="5" t="s">
        <v>1643</v>
      </c>
      <c r="G2751" s="5" t="s">
        <v>1644</v>
      </c>
      <c r="H2751" s="5"/>
      <c r="I2751" s="6">
        <v>8200</v>
      </c>
    </row>
    <row r="2752" spans="1:9" x14ac:dyDescent="0.3">
      <c r="A2752" s="7" t="s">
        <v>2565</v>
      </c>
      <c r="H2752" s="8">
        <f>H2749+H2750+H2751</f>
        <v>8200</v>
      </c>
      <c r="I2752" s="8">
        <f>I2749+I2750+I2751</f>
        <v>8200</v>
      </c>
    </row>
    <row r="2753" spans="1:9" x14ac:dyDescent="0.3">
      <c r="A2753" s="4" t="s">
        <v>2566</v>
      </c>
    </row>
    <row r="2754" spans="1:9" x14ac:dyDescent="0.3">
      <c r="B2754" s="5" t="s">
        <v>2567</v>
      </c>
      <c r="C2754" s="5" t="s">
        <v>10</v>
      </c>
      <c r="D2754" s="5" t="s">
        <v>2568</v>
      </c>
      <c r="E2754" s="5" t="s">
        <v>2569</v>
      </c>
      <c r="F2754" s="5" t="s">
        <v>1643</v>
      </c>
      <c r="G2754" s="5" t="s">
        <v>1644</v>
      </c>
      <c r="H2754" s="6">
        <v>50000</v>
      </c>
      <c r="I2754" s="5"/>
    </row>
    <row r="2755" spans="1:9" x14ac:dyDescent="0.3">
      <c r="B2755" s="5" t="s">
        <v>2567</v>
      </c>
      <c r="C2755" s="5" t="s">
        <v>10</v>
      </c>
      <c r="D2755" s="5" t="s">
        <v>2568</v>
      </c>
      <c r="E2755" s="5" t="s">
        <v>2569</v>
      </c>
      <c r="F2755" s="5" t="s">
        <v>13</v>
      </c>
      <c r="G2755" s="5" t="s">
        <v>14</v>
      </c>
      <c r="H2755" s="5"/>
      <c r="I2755" s="6">
        <v>50000</v>
      </c>
    </row>
    <row r="2756" spans="1:9" x14ac:dyDescent="0.3">
      <c r="A2756" s="7" t="s">
        <v>2570</v>
      </c>
      <c r="H2756" s="8">
        <f>H2754+H2755</f>
        <v>50000</v>
      </c>
      <c r="I2756" s="8">
        <f>I2754+I2755</f>
        <v>50000</v>
      </c>
    </row>
    <row r="2757" spans="1:9" x14ac:dyDescent="0.3">
      <c r="A2757" s="4" t="s">
        <v>2571</v>
      </c>
    </row>
    <row r="2758" spans="1:9" x14ac:dyDescent="0.3">
      <c r="B2758" s="5" t="s">
        <v>2567</v>
      </c>
      <c r="C2758" s="5" t="s">
        <v>10</v>
      </c>
      <c r="D2758" s="5" t="s">
        <v>2572</v>
      </c>
      <c r="E2758" s="5" t="s">
        <v>2573</v>
      </c>
      <c r="F2758" s="5" t="s">
        <v>619</v>
      </c>
      <c r="G2758" s="5" t="s">
        <v>620</v>
      </c>
      <c r="H2758" s="6">
        <v>50000</v>
      </c>
      <c r="I2758" s="5"/>
    </row>
    <row r="2759" spans="1:9" x14ac:dyDescent="0.3">
      <c r="B2759" s="5" t="s">
        <v>2567</v>
      </c>
      <c r="C2759" s="5" t="s">
        <v>10</v>
      </c>
      <c r="D2759" s="5" t="s">
        <v>2572</v>
      </c>
      <c r="E2759" s="5" t="s">
        <v>2573</v>
      </c>
      <c r="F2759" s="5" t="s">
        <v>1643</v>
      </c>
      <c r="G2759" s="5" t="s">
        <v>1644</v>
      </c>
      <c r="H2759" s="5"/>
      <c r="I2759" s="6">
        <v>50000</v>
      </c>
    </row>
    <row r="2760" spans="1:9" x14ac:dyDescent="0.3">
      <c r="A2760" s="7" t="s">
        <v>2574</v>
      </c>
      <c r="H2760" s="8">
        <f>H2758+H2759</f>
        <v>50000</v>
      </c>
      <c r="I2760" s="8">
        <f>I2758+I2759</f>
        <v>50000</v>
      </c>
    </row>
    <row r="2761" spans="1:9" x14ac:dyDescent="0.3">
      <c r="A2761" s="4" t="s">
        <v>2575</v>
      </c>
    </row>
    <row r="2762" spans="1:9" x14ac:dyDescent="0.3">
      <c r="B2762" s="5" t="s">
        <v>2567</v>
      </c>
      <c r="C2762" s="5" t="s">
        <v>10</v>
      </c>
      <c r="D2762" s="5" t="s">
        <v>2576</v>
      </c>
      <c r="E2762" s="5" t="s">
        <v>2577</v>
      </c>
      <c r="F2762" s="5" t="s">
        <v>67</v>
      </c>
      <c r="G2762" s="5" t="s">
        <v>68</v>
      </c>
      <c r="H2762" s="6">
        <v>60</v>
      </c>
      <c r="I2762" s="5"/>
    </row>
    <row r="2763" spans="1:9" x14ac:dyDescent="0.3">
      <c r="B2763" s="5" t="s">
        <v>2567</v>
      </c>
      <c r="C2763" s="5" t="s">
        <v>10</v>
      </c>
      <c r="D2763" s="5" t="s">
        <v>2576</v>
      </c>
      <c r="E2763" s="5" t="s">
        <v>2577</v>
      </c>
      <c r="F2763" s="5" t="s">
        <v>1643</v>
      </c>
      <c r="G2763" s="5" t="s">
        <v>1644</v>
      </c>
      <c r="H2763" s="5"/>
      <c r="I2763" s="6">
        <v>60</v>
      </c>
    </row>
    <row r="2764" spans="1:9" x14ac:dyDescent="0.3">
      <c r="A2764" s="7" t="s">
        <v>2578</v>
      </c>
      <c r="H2764" s="8">
        <f>H2762+H2763</f>
        <v>60</v>
      </c>
      <c r="I2764" s="8">
        <f>I2762+I2763</f>
        <v>60</v>
      </c>
    </row>
    <row r="2765" spans="1:9" x14ac:dyDescent="0.3">
      <c r="A2765" s="4" t="s">
        <v>2579</v>
      </c>
    </row>
    <row r="2766" spans="1:9" x14ac:dyDescent="0.3">
      <c r="B2766" s="5" t="s">
        <v>2567</v>
      </c>
      <c r="C2766" s="5" t="s">
        <v>10</v>
      </c>
      <c r="D2766" s="5" t="s">
        <v>2580</v>
      </c>
      <c r="E2766" s="5" t="s">
        <v>2581</v>
      </c>
      <c r="F2766" s="5" t="s">
        <v>67</v>
      </c>
      <c r="G2766" s="5" t="s">
        <v>68</v>
      </c>
      <c r="H2766" s="6">
        <v>80</v>
      </c>
      <c r="I2766" s="5"/>
    </row>
    <row r="2767" spans="1:9" x14ac:dyDescent="0.3">
      <c r="B2767" s="5" t="s">
        <v>2567</v>
      </c>
      <c r="C2767" s="5" t="s">
        <v>10</v>
      </c>
      <c r="D2767" s="5" t="s">
        <v>2580</v>
      </c>
      <c r="E2767" s="5" t="s">
        <v>2581</v>
      </c>
      <c r="F2767" s="5" t="s">
        <v>1643</v>
      </c>
      <c r="G2767" s="5" t="s">
        <v>1644</v>
      </c>
      <c r="H2767" s="5"/>
      <c r="I2767" s="6">
        <v>80</v>
      </c>
    </row>
    <row r="2768" spans="1:9" x14ac:dyDescent="0.3">
      <c r="A2768" s="7" t="s">
        <v>2582</v>
      </c>
      <c r="H2768" s="8">
        <f>H2766+H2767</f>
        <v>80</v>
      </c>
      <c r="I2768" s="8">
        <f>I2766+I2767</f>
        <v>80</v>
      </c>
    </row>
    <row r="2769" spans="1:9" x14ac:dyDescent="0.3">
      <c r="A2769" s="4" t="s">
        <v>2583</v>
      </c>
    </row>
    <row r="2770" spans="1:9" x14ac:dyDescent="0.3">
      <c r="B2770" s="5" t="s">
        <v>2567</v>
      </c>
      <c r="C2770" s="5" t="s">
        <v>10</v>
      </c>
      <c r="D2770" s="5" t="s">
        <v>2584</v>
      </c>
      <c r="E2770" s="5" t="s">
        <v>2498</v>
      </c>
      <c r="F2770" s="5" t="s">
        <v>61</v>
      </c>
      <c r="G2770" s="5" t="s">
        <v>62</v>
      </c>
      <c r="H2770" s="6">
        <v>1050</v>
      </c>
      <c r="I2770" s="5"/>
    </row>
    <row r="2771" spans="1:9" x14ac:dyDescent="0.3">
      <c r="B2771" s="5" t="s">
        <v>2567</v>
      </c>
      <c r="C2771" s="5" t="s">
        <v>10</v>
      </c>
      <c r="D2771" s="5" t="s">
        <v>2584</v>
      </c>
      <c r="E2771" s="5" t="s">
        <v>2498</v>
      </c>
      <c r="F2771" s="5" t="s">
        <v>1643</v>
      </c>
      <c r="G2771" s="5" t="s">
        <v>1644</v>
      </c>
      <c r="H2771" s="5"/>
      <c r="I2771" s="6">
        <v>1050</v>
      </c>
    </row>
    <row r="2772" spans="1:9" x14ac:dyDescent="0.3">
      <c r="A2772" s="7" t="s">
        <v>2585</v>
      </c>
      <c r="H2772" s="8">
        <f>H2770+H2771</f>
        <v>1050</v>
      </c>
      <c r="I2772" s="8">
        <f>I2770+I2771</f>
        <v>1050</v>
      </c>
    </row>
    <row r="2773" spans="1:9" x14ac:dyDescent="0.3">
      <c r="A2773" s="4" t="s">
        <v>2586</v>
      </c>
    </row>
    <row r="2774" spans="1:9" x14ac:dyDescent="0.3">
      <c r="B2774" s="5" t="s">
        <v>2567</v>
      </c>
      <c r="C2774" s="5" t="s">
        <v>10</v>
      </c>
      <c r="D2774" s="5" t="s">
        <v>2587</v>
      </c>
      <c r="E2774" s="5" t="s">
        <v>2588</v>
      </c>
      <c r="F2774" s="5" t="s">
        <v>58</v>
      </c>
      <c r="G2774" s="5" t="s">
        <v>59</v>
      </c>
      <c r="H2774" s="6">
        <v>1000</v>
      </c>
      <c r="I2774" s="5"/>
    </row>
    <row r="2775" spans="1:9" x14ac:dyDescent="0.3">
      <c r="B2775" s="5" t="s">
        <v>2567</v>
      </c>
      <c r="C2775" s="5" t="s">
        <v>10</v>
      </c>
      <c r="D2775" s="5" t="s">
        <v>2587</v>
      </c>
      <c r="E2775" s="5" t="s">
        <v>2588</v>
      </c>
      <c r="F2775" s="5" t="s">
        <v>1643</v>
      </c>
      <c r="G2775" s="5" t="s">
        <v>1644</v>
      </c>
      <c r="H2775" s="5"/>
      <c r="I2775" s="6">
        <v>1000</v>
      </c>
    </row>
    <row r="2776" spans="1:9" x14ac:dyDescent="0.3">
      <c r="A2776" s="7" t="s">
        <v>2589</v>
      </c>
      <c r="H2776" s="8">
        <f>H2774+H2775</f>
        <v>1000</v>
      </c>
      <c r="I2776" s="8">
        <f>I2774+I2775</f>
        <v>1000</v>
      </c>
    </row>
    <row r="2777" spans="1:9" x14ac:dyDescent="0.3">
      <c r="A2777" s="4" t="s">
        <v>2590</v>
      </c>
    </row>
    <row r="2778" spans="1:9" x14ac:dyDescent="0.3">
      <c r="B2778" s="5" t="s">
        <v>2567</v>
      </c>
      <c r="C2778" s="5" t="s">
        <v>10</v>
      </c>
      <c r="D2778" s="5" t="s">
        <v>2591</v>
      </c>
      <c r="E2778" s="5" t="s">
        <v>2592</v>
      </c>
      <c r="F2778" s="5" t="s">
        <v>1495</v>
      </c>
      <c r="G2778" s="5" t="s">
        <v>1496</v>
      </c>
      <c r="H2778" s="6">
        <v>2568.5</v>
      </c>
      <c r="I2778" s="5"/>
    </row>
    <row r="2779" spans="1:9" x14ac:dyDescent="0.3">
      <c r="B2779" s="5" t="s">
        <v>2567</v>
      </c>
      <c r="C2779" s="5" t="s">
        <v>10</v>
      </c>
      <c r="D2779" s="5" t="s">
        <v>2591</v>
      </c>
      <c r="E2779" s="5" t="s">
        <v>2592</v>
      </c>
      <c r="F2779" s="5" t="s">
        <v>26</v>
      </c>
      <c r="G2779" s="5" t="s">
        <v>27</v>
      </c>
      <c r="H2779" s="5"/>
      <c r="I2779" s="6">
        <v>2568.5</v>
      </c>
    </row>
    <row r="2780" spans="1:9" x14ac:dyDescent="0.3">
      <c r="A2780" s="7" t="s">
        <v>2593</v>
      </c>
      <c r="H2780" s="8">
        <f>H2778+H2779</f>
        <v>2568.5</v>
      </c>
      <c r="I2780" s="8">
        <f>I2778+I2779</f>
        <v>2568.5</v>
      </c>
    </row>
    <row r="2781" spans="1:9" x14ac:dyDescent="0.3">
      <c r="A2781" s="4" t="s">
        <v>2594</v>
      </c>
    </row>
    <row r="2782" spans="1:9" x14ac:dyDescent="0.3">
      <c r="B2782" s="5" t="s">
        <v>2567</v>
      </c>
      <c r="C2782" s="5" t="s">
        <v>10</v>
      </c>
      <c r="D2782" s="5" t="s">
        <v>2595</v>
      </c>
      <c r="E2782" s="5" t="s">
        <v>2596</v>
      </c>
      <c r="F2782" s="5" t="s">
        <v>1339</v>
      </c>
      <c r="G2782" s="5" t="s">
        <v>1340</v>
      </c>
      <c r="H2782" s="6">
        <v>13500</v>
      </c>
      <c r="I2782" s="5"/>
    </row>
    <row r="2783" spans="1:9" x14ac:dyDescent="0.3">
      <c r="B2783" s="5" t="s">
        <v>2567</v>
      </c>
      <c r="C2783" s="5" t="s">
        <v>10</v>
      </c>
      <c r="D2783" s="5" t="s">
        <v>2595</v>
      </c>
      <c r="E2783" s="5" t="s">
        <v>2596</v>
      </c>
      <c r="F2783" s="5" t="s">
        <v>1339</v>
      </c>
      <c r="G2783" s="5" t="s">
        <v>1340</v>
      </c>
      <c r="H2783" s="6">
        <v>6000</v>
      </c>
      <c r="I2783" s="5"/>
    </row>
    <row r="2784" spans="1:9" x14ac:dyDescent="0.3">
      <c r="B2784" s="5" t="s">
        <v>2567</v>
      </c>
      <c r="C2784" s="5" t="s">
        <v>10</v>
      </c>
      <c r="D2784" s="5" t="s">
        <v>2595</v>
      </c>
      <c r="E2784" s="5" t="s">
        <v>2596</v>
      </c>
      <c r="F2784" s="5" t="s">
        <v>1339</v>
      </c>
      <c r="G2784" s="5" t="s">
        <v>1340</v>
      </c>
      <c r="H2784" s="6">
        <v>6000</v>
      </c>
      <c r="I2784" s="5"/>
    </row>
    <row r="2785" spans="2:9" x14ac:dyDescent="0.3">
      <c r="B2785" s="5" t="s">
        <v>2567</v>
      </c>
      <c r="C2785" s="5" t="s">
        <v>10</v>
      </c>
      <c r="D2785" s="5" t="s">
        <v>2595</v>
      </c>
      <c r="E2785" s="5" t="s">
        <v>2597</v>
      </c>
      <c r="F2785" s="5" t="s">
        <v>437</v>
      </c>
      <c r="G2785" s="5" t="s">
        <v>438</v>
      </c>
      <c r="H2785" s="6">
        <v>328641</v>
      </c>
      <c r="I2785" s="5"/>
    </row>
    <row r="2786" spans="2:9" x14ac:dyDescent="0.3">
      <c r="B2786" s="5" t="s">
        <v>2567</v>
      </c>
      <c r="C2786" s="5" t="s">
        <v>10</v>
      </c>
      <c r="D2786" s="5" t="s">
        <v>2595</v>
      </c>
      <c r="E2786" s="5" t="s">
        <v>2597</v>
      </c>
      <c r="F2786" s="5" t="s">
        <v>1343</v>
      </c>
      <c r="G2786" s="5" t="s">
        <v>1344</v>
      </c>
      <c r="H2786" s="5"/>
      <c r="I2786" s="6">
        <v>134000</v>
      </c>
    </row>
    <row r="2787" spans="2:9" x14ac:dyDescent="0.3">
      <c r="B2787" s="5" t="s">
        <v>2567</v>
      </c>
      <c r="C2787" s="5" t="s">
        <v>10</v>
      </c>
      <c r="D2787" s="5" t="s">
        <v>2595</v>
      </c>
      <c r="E2787" s="5" t="s">
        <v>2597</v>
      </c>
      <c r="F2787" s="5" t="s">
        <v>441</v>
      </c>
      <c r="G2787" s="5" t="s">
        <v>442</v>
      </c>
      <c r="H2787" s="5"/>
      <c r="I2787" s="6">
        <v>28100</v>
      </c>
    </row>
    <row r="2788" spans="2:9" x14ac:dyDescent="0.3">
      <c r="B2788" s="5" t="s">
        <v>2567</v>
      </c>
      <c r="C2788" s="5" t="s">
        <v>10</v>
      </c>
      <c r="D2788" s="5" t="s">
        <v>2595</v>
      </c>
      <c r="E2788" s="5" t="s">
        <v>2597</v>
      </c>
      <c r="F2788" s="5" t="s">
        <v>443</v>
      </c>
      <c r="G2788" s="5" t="s">
        <v>444</v>
      </c>
      <c r="H2788" s="5"/>
      <c r="I2788" s="6">
        <v>23600</v>
      </c>
    </row>
    <row r="2789" spans="2:9" x14ac:dyDescent="0.3">
      <c r="B2789" s="5" t="s">
        <v>2567</v>
      </c>
      <c r="C2789" s="5" t="s">
        <v>10</v>
      </c>
      <c r="D2789" s="5" t="s">
        <v>2595</v>
      </c>
      <c r="E2789" s="5" t="s">
        <v>2597</v>
      </c>
      <c r="F2789" s="5" t="s">
        <v>445</v>
      </c>
      <c r="G2789" s="5" t="s">
        <v>446</v>
      </c>
      <c r="H2789" s="5"/>
      <c r="I2789" s="6">
        <v>23600</v>
      </c>
    </row>
    <row r="2790" spans="2:9" x14ac:dyDescent="0.3">
      <c r="B2790" s="5" t="s">
        <v>2567</v>
      </c>
      <c r="C2790" s="5" t="s">
        <v>10</v>
      </c>
      <c r="D2790" s="5" t="s">
        <v>2595</v>
      </c>
      <c r="E2790" s="5" t="s">
        <v>2597</v>
      </c>
      <c r="F2790" s="5" t="s">
        <v>549</v>
      </c>
      <c r="G2790" s="5" t="s">
        <v>550</v>
      </c>
      <c r="H2790" s="5"/>
      <c r="I2790" s="6">
        <v>30000</v>
      </c>
    </row>
    <row r="2791" spans="2:9" x14ac:dyDescent="0.3">
      <c r="B2791" s="5" t="s">
        <v>2567</v>
      </c>
      <c r="C2791" s="5" t="s">
        <v>10</v>
      </c>
      <c r="D2791" s="5" t="s">
        <v>2595</v>
      </c>
      <c r="E2791" s="5" t="s">
        <v>2597</v>
      </c>
      <c r="F2791" s="5" t="s">
        <v>449</v>
      </c>
      <c r="G2791" s="5" t="s">
        <v>450</v>
      </c>
      <c r="H2791" s="5"/>
      <c r="I2791" s="6">
        <v>6960</v>
      </c>
    </row>
    <row r="2792" spans="2:9" x14ac:dyDescent="0.3">
      <c r="B2792" s="5" t="s">
        <v>2567</v>
      </c>
      <c r="C2792" s="5" t="s">
        <v>10</v>
      </c>
      <c r="D2792" s="5" t="s">
        <v>2595</v>
      </c>
      <c r="E2792" s="5" t="s">
        <v>2597</v>
      </c>
      <c r="F2792" s="5" t="s">
        <v>453</v>
      </c>
      <c r="G2792" s="5" t="s">
        <v>454</v>
      </c>
      <c r="H2792" s="5"/>
      <c r="I2792" s="6">
        <v>6960</v>
      </c>
    </row>
    <row r="2793" spans="2:9" x14ac:dyDescent="0.3">
      <c r="B2793" s="5" t="s">
        <v>2567</v>
      </c>
      <c r="C2793" s="5" t="s">
        <v>10</v>
      </c>
      <c r="D2793" s="5" t="s">
        <v>2595</v>
      </c>
      <c r="E2793" s="5" t="s">
        <v>2597</v>
      </c>
      <c r="F2793" s="5" t="s">
        <v>451</v>
      </c>
      <c r="G2793" s="5" t="s">
        <v>452</v>
      </c>
      <c r="H2793" s="5"/>
      <c r="I2793" s="6">
        <v>6960</v>
      </c>
    </row>
    <row r="2794" spans="2:9" x14ac:dyDescent="0.3">
      <c r="B2794" s="5" t="s">
        <v>2567</v>
      </c>
      <c r="C2794" s="5" t="s">
        <v>10</v>
      </c>
      <c r="D2794" s="5" t="s">
        <v>2595</v>
      </c>
      <c r="E2794" s="5" t="s">
        <v>2597</v>
      </c>
      <c r="F2794" s="5" t="s">
        <v>547</v>
      </c>
      <c r="G2794" s="5" t="s">
        <v>548</v>
      </c>
      <c r="H2794" s="5"/>
      <c r="I2794" s="6">
        <v>5980</v>
      </c>
    </row>
    <row r="2795" spans="2:9" x14ac:dyDescent="0.3">
      <c r="B2795" s="5" t="s">
        <v>2567</v>
      </c>
      <c r="C2795" s="5" t="s">
        <v>10</v>
      </c>
      <c r="D2795" s="5" t="s">
        <v>2595</v>
      </c>
      <c r="E2795" s="5" t="s">
        <v>2597</v>
      </c>
      <c r="F2795" s="5" t="s">
        <v>1199</v>
      </c>
      <c r="G2795" s="5" t="s">
        <v>1200</v>
      </c>
      <c r="H2795" s="5"/>
      <c r="I2795" s="6">
        <v>6265</v>
      </c>
    </row>
    <row r="2796" spans="2:9" x14ac:dyDescent="0.3">
      <c r="B2796" s="5" t="s">
        <v>2567</v>
      </c>
      <c r="C2796" s="5" t="s">
        <v>10</v>
      </c>
      <c r="D2796" s="5" t="s">
        <v>2595</v>
      </c>
      <c r="E2796" s="5" t="s">
        <v>2597</v>
      </c>
      <c r="F2796" s="5" t="s">
        <v>1196</v>
      </c>
      <c r="G2796" s="5" t="s">
        <v>1197</v>
      </c>
      <c r="H2796" s="5"/>
      <c r="I2796" s="6">
        <v>4597</v>
      </c>
    </row>
    <row r="2797" spans="2:9" x14ac:dyDescent="0.3">
      <c r="B2797" s="5" t="s">
        <v>2567</v>
      </c>
      <c r="C2797" s="5" t="s">
        <v>10</v>
      </c>
      <c r="D2797" s="5" t="s">
        <v>2595</v>
      </c>
      <c r="E2797" s="5" t="s">
        <v>2597</v>
      </c>
      <c r="F2797" s="5" t="s">
        <v>1346</v>
      </c>
      <c r="G2797" s="5" t="s">
        <v>1347</v>
      </c>
      <c r="H2797" s="5"/>
      <c r="I2797" s="6">
        <v>6960</v>
      </c>
    </row>
    <row r="2798" spans="2:9" x14ac:dyDescent="0.3">
      <c r="B2798" s="5" t="s">
        <v>2567</v>
      </c>
      <c r="C2798" s="5" t="s">
        <v>10</v>
      </c>
      <c r="D2798" s="5" t="s">
        <v>2595</v>
      </c>
      <c r="E2798" s="5" t="s">
        <v>2597</v>
      </c>
      <c r="F2798" s="5" t="s">
        <v>1961</v>
      </c>
      <c r="G2798" s="5" t="s">
        <v>1962</v>
      </c>
      <c r="H2798" s="5"/>
      <c r="I2798" s="6">
        <v>6960</v>
      </c>
    </row>
    <row r="2799" spans="2:9" x14ac:dyDescent="0.3">
      <c r="B2799" s="5" t="s">
        <v>2567</v>
      </c>
      <c r="C2799" s="5" t="s">
        <v>10</v>
      </c>
      <c r="D2799" s="5" t="s">
        <v>2595</v>
      </c>
      <c r="E2799" s="5" t="s">
        <v>2597</v>
      </c>
      <c r="F2799" s="5" t="s">
        <v>2598</v>
      </c>
      <c r="G2799" s="5" t="s">
        <v>2599</v>
      </c>
      <c r="H2799" s="5"/>
      <c r="I2799" s="6">
        <v>6487</v>
      </c>
    </row>
    <row r="2800" spans="2:9" x14ac:dyDescent="0.3">
      <c r="B2800" s="5" t="s">
        <v>2567</v>
      </c>
      <c r="C2800" s="5" t="s">
        <v>10</v>
      </c>
      <c r="D2800" s="5" t="s">
        <v>2595</v>
      </c>
      <c r="E2800" s="5" t="s">
        <v>2597</v>
      </c>
      <c r="F2800" s="5" t="s">
        <v>1022</v>
      </c>
      <c r="G2800" s="5" t="s">
        <v>1023</v>
      </c>
      <c r="H2800" s="5"/>
      <c r="I2800" s="6">
        <v>11860</v>
      </c>
    </row>
    <row r="2801" spans="1:9" x14ac:dyDescent="0.3">
      <c r="B2801" s="5" t="s">
        <v>2567</v>
      </c>
      <c r="C2801" s="5" t="s">
        <v>10</v>
      </c>
      <c r="D2801" s="5" t="s">
        <v>2595</v>
      </c>
      <c r="E2801" s="5" t="s">
        <v>2597</v>
      </c>
      <c r="F2801" s="5" t="s">
        <v>2600</v>
      </c>
      <c r="G2801" s="5" t="s">
        <v>2601</v>
      </c>
      <c r="H2801" s="5"/>
      <c r="I2801" s="6">
        <v>5980</v>
      </c>
    </row>
    <row r="2802" spans="1:9" x14ac:dyDescent="0.3">
      <c r="B2802" s="5" t="s">
        <v>2567</v>
      </c>
      <c r="C2802" s="5" t="s">
        <v>10</v>
      </c>
      <c r="D2802" s="5" t="s">
        <v>2595</v>
      </c>
      <c r="E2802" s="5" t="s">
        <v>2597</v>
      </c>
      <c r="F2802" s="5" t="s">
        <v>2602</v>
      </c>
      <c r="G2802" s="5" t="s">
        <v>2603</v>
      </c>
      <c r="H2802" s="5"/>
      <c r="I2802" s="6">
        <v>5980</v>
      </c>
    </row>
    <row r="2803" spans="1:9" x14ac:dyDescent="0.3">
      <c r="B2803" s="5" t="s">
        <v>2567</v>
      </c>
      <c r="C2803" s="5" t="s">
        <v>10</v>
      </c>
      <c r="D2803" s="5" t="s">
        <v>2595</v>
      </c>
      <c r="E2803" s="5" t="s">
        <v>2597</v>
      </c>
      <c r="F2803" s="5" t="s">
        <v>2604</v>
      </c>
      <c r="G2803" s="5" t="s">
        <v>2605</v>
      </c>
      <c r="H2803" s="5"/>
      <c r="I2803" s="6">
        <v>5980</v>
      </c>
    </row>
    <row r="2804" spans="1:9" x14ac:dyDescent="0.3">
      <c r="B2804" s="5" t="s">
        <v>2567</v>
      </c>
      <c r="C2804" s="5" t="s">
        <v>10</v>
      </c>
      <c r="D2804" s="5" t="s">
        <v>2595</v>
      </c>
      <c r="E2804" s="5" t="s">
        <v>2606</v>
      </c>
      <c r="F2804" s="5" t="s">
        <v>457</v>
      </c>
      <c r="G2804" s="5" t="s">
        <v>458</v>
      </c>
      <c r="H2804" s="5"/>
      <c r="I2804" s="6">
        <v>26912</v>
      </c>
    </row>
    <row r="2805" spans="1:9" x14ac:dyDescent="0.3">
      <c r="A2805" s="7" t="s">
        <v>2607</v>
      </c>
      <c r="H2805" s="8">
        <f>H2782+H2783+H2784+H2785+H2786+H2787+H2788+H2789+H2790+H2791+H2792+H2793+H2794+H2795+H2796+H2797+H2798+H2799+H2800+H2801+H2802+H2803+H2804</f>
        <v>354141</v>
      </c>
      <c r="I2805" s="8">
        <f>I2782+I2783+I2784+I2785+I2786+I2787+I2788+I2789+I2790+I2791+I2792+I2793+I2794+I2795+I2796+I2797+I2798+I2799+I2800+I2801+I2802+I2803+I2804</f>
        <v>354141</v>
      </c>
    </row>
    <row r="2806" spans="1:9" x14ac:dyDescent="0.3">
      <c r="A2806" s="4" t="s">
        <v>2608</v>
      </c>
    </row>
    <row r="2807" spans="1:9" x14ac:dyDescent="0.3">
      <c r="B2807" s="5" t="s">
        <v>2567</v>
      </c>
      <c r="C2807" s="5" t="s">
        <v>10</v>
      </c>
      <c r="D2807" s="5" t="s">
        <v>2609</v>
      </c>
      <c r="E2807" s="5" t="s">
        <v>2610</v>
      </c>
      <c r="F2807" s="5" t="s">
        <v>335</v>
      </c>
      <c r="G2807" s="5" t="s">
        <v>336</v>
      </c>
      <c r="H2807" s="6">
        <v>1230</v>
      </c>
      <c r="I2807" s="5"/>
    </row>
    <row r="2808" spans="1:9" x14ac:dyDescent="0.3">
      <c r="B2808" s="5" t="s">
        <v>2567</v>
      </c>
      <c r="C2808" s="5" t="s">
        <v>10</v>
      </c>
      <c r="D2808" s="5" t="s">
        <v>2609</v>
      </c>
      <c r="E2808" s="5" t="s">
        <v>2611</v>
      </c>
      <c r="F2808" s="5" t="s">
        <v>81</v>
      </c>
      <c r="G2808" s="5" t="s">
        <v>82</v>
      </c>
      <c r="H2808" s="6">
        <v>5700</v>
      </c>
      <c r="I2808" s="5"/>
    </row>
    <row r="2809" spans="1:9" x14ac:dyDescent="0.3">
      <c r="B2809" s="5" t="s">
        <v>2567</v>
      </c>
      <c r="C2809" s="5" t="s">
        <v>10</v>
      </c>
      <c r="D2809" s="5" t="s">
        <v>2609</v>
      </c>
      <c r="E2809" s="5" t="s">
        <v>2612</v>
      </c>
      <c r="F2809" s="5" t="s">
        <v>35</v>
      </c>
      <c r="G2809" s="5" t="s">
        <v>36</v>
      </c>
      <c r="H2809" s="6">
        <v>110</v>
      </c>
      <c r="I2809" s="5"/>
    </row>
    <row r="2810" spans="1:9" x14ac:dyDescent="0.3">
      <c r="B2810" s="5" t="s">
        <v>2567</v>
      </c>
      <c r="C2810" s="5" t="s">
        <v>10</v>
      </c>
      <c r="D2810" s="5" t="s">
        <v>2609</v>
      </c>
      <c r="E2810" s="5" t="s">
        <v>2612</v>
      </c>
      <c r="F2810" s="5" t="s">
        <v>35</v>
      </c>
      <c r="G2810" s="5" t="s">
        <v>36</v>
      </c>
      <c r="H2810" s="6">
        <v>2450</v>
      </c>
      <c r="I2810" s="5"/>
    </row>
    <row r="2811" spans="1:9" x14ac:dyDescent="0.3">
      <c r="B2811" s="5" t="s">
        <v>2567</v>
      </c>
      <c r="C2811" s="5" t="s">
        <v>10</v>
      </c>
      <c r="D2811" s="5" t="s">
        <v>2609</v>
      </c>
      <c r="E2811" s="5" t="s">
        <v>2613</v>
      </c>
      <c r="F2811" s="5" t="s">
        <v>256</v>
      </c>
      <c r="G2811" s="5" t="s">
        <v>257</v>
      </c>
      <c r="H2811" s="6">
        <v>300</v>
      </c>
      <c r="I2811" s="5"/>
    </row>
    <row r="2812" spans="1:9" x14ac:dyDescent="0.3">
      <c r="B2812" s="5" t="s">
        <v>2567</v>
      </c>
      <c r="C2812" s="5" t="s">
        <v>10</v>
      </c>
      <c r="D2812" s="5" t="s">
        <v>2609</v>
      </c>
      <c r="E2812" s="5" t="s">
        <v>2614</v>
      </c>
      <c r="F2812" s="5" t="s">
        <v>70</v>
      </c>
      <c r="G2812" s="5" t="s">
        <v>71</v>
      </c>
      <c r="H2812" s="6">
        <v>610</v>
      </c>
      <c r="I2812" s="5"/>
    </row>
    <row r="2813" spans="1:9" x14ac:dyDescent="0.3">
      <c r="B2813" s="5" t="s">
        <v>2567</v>
      </c>
      <c r="C2813" s="5" t="s">
        <v>10</v>
      </c>
      <c r="D2813" s="5" t="s">
        <v>2609</v>
      </c>
      <c r="E2813" s="5" t="s">
        <v>2615</v>
      </c>
      <c r="F2813" s="5" t="s">
        <v>35</v>
      </c>
      <c r="G2813" s="5" t="s">
        <v>36</v>
      </c>
      <c r="H2813" s="6">
        <v>800</v>
      </c>
      <c r="I2813" s="5"/>
    </row>
    <row r="2814" spans="1:9" x14ac:dyDescent="0.3">
      <c r="B2814" s="5" t="s">
        <v>2567</v>
      </c>
      <c r="C2814" s="5" t="s">
        <v>10</v>
      </c>
      <c r="D2814" s="5" t="s">
        <v>2609</v>
      </c>
      <c r="E2814" s="5" t="s">
        <v>2616</v>
      </c>
      <c r="F2814" s="5" t="s">
        <v>61</v>
      </c>
      <c r="G2814" s="5" t="s">
        <v>62</v>
      </c>
      <c r="H2814" s="6">
        <v>3550</v>
      </c>
      <c r="I2814" s="5"/>
    </row>
    <row r="2815" spans="1:9" x14ac:dyDescent="0.3">
      <c r="B2815" s="5" t="s">
        <v>2567</v>
      </c>
      <c r="C2815" s="5" t="s">
        <v>10</v>
      </c>
      <c r="D2815" s="5" t="s">
        <v>2609</v>
      </c>
      <c r="E2815" s="5" t="s">
        <v>2617</v>
      </c>
      <c r="F2815" s="5" t="s">
        <v>70</v>
      </c>
      <c r="G2815" s="5" t="s">
        <v>71</v>
      </c>
      <c r="H2815" s="6">
        <v>270</v>
      </c>
      <c r="I2815" s="5"/>
    </row>
    <row r="2816" spans="1:9" x14ac:dyDescent="0.3">
      <c r="B2816" s="5" t="s">
        <v>2567</v>
      </c>
      <c r="C2816" s="5" t="s">
        <v>10</v>
      </c>
      <c r="D2816" s="5" t="s">
        <v>2609</v>
      </c>
      <c r="E2816" s="5" t="s">
        <v>2618</v>
      </c>
      <c r="F2816" s="5" t="s">
        <v>35</v>
      </c>
      <c r="G2816" s="5" t="s">
        <v>36</v>
      </c>
      <c r="H2816" s="6">
        <v>420</v>
      </c>
      <c r="I2816" s="5"/>
    </row>
    <row r="2817" spans="1:9" x14ac:dyDescent="0.3">
      <c r="B2817" s="5" t="s">
        <v>2567</v>
      </c>
      <c r="C2817" s="5" t="s">
        <v>10</v>
      </c>
      <c r="D2817" s="5" t="s">
        <v>2609</v>
      </c>
      <c r="E2817" s="5" t="s">
        <v>2619</v>
      </c>
      <c r="F2817" s="5" t="s">
        <v>73</v>
      </c>
      <c r="G2817" s="5" t="s">
        <v>74</v>
      </c>
      <c r="H2817" s="6">
        <v>540</v>
      </c>
      <c r="I2817" s="5"/>
    </row>
    <row r="2818" spans="1:9" x14ac:dyDescent="0.3">
      <c r="B2818" s="5" t="s">
        <v>2567</v>
      </c>
      <c r="C2818" s="5" t="s">
        <v>10</v>
      </c>
      <c r="D2818" s="5" t="s">
        <v>2609</v>
      </c>
      <c r="E2818" s="5" t="s">
        <v>2620</v>
      </c>
      <c r="F2818" s="5" t="s">
        <v>64</v>
      </c>
      <c r="G2818" s="5" t="s">
        <v>65</v>
      </c>
      <c r="H2818" s="6">
        <v>100</v>
      </c>
      <c r="I2818" s="5"/>
    </row>
    <row r="2819" spans="1:9" x14ac:dyDescent="0.3">
      <c r="B2819" s="5" t="s">
        <v>2567</v>
      </c>
      <c r="C2819" s="5" t="s">
        <v>10</v>
      </c>
      <c r="D2819" s="5" t="s">
        <v>2609</v>
      </c>
      <c r="E2819" s="5" t="s">
        <v>2621</v>
      </c>
      <c r="F2819" s="5" t="s">
        <v>2500</v>
      </c>
      <c r="G2819" s="5" t="s">
        <v>2501</v>
      </c>
      <c r="H2819" s="6">
        <v>50</v>
      </c>
      <c r="I2819" s="5"/>
    </row>
    <row r="2820" spans="1:9" x14ac:dyDescent="0.3">
      <c r="B2820" s="5" t="s">
        <v>2567</v>
      </c>
      <c r="C2820" s="5" t="s">
        <v>10</v>
      </c>
      <c r="D2820" s="5" t="s">
        <v>2609</v>
      </c>
      <c r="E2820" s="5" t="s">
        <v>2622</v>
      </c>
      <c r="F2820" s="5" t="s">
        <v>61</v>
      </c>
      <c r="G2820" s="5" t="s">
        <v>62</v>
      </c>
      <c r="H2820" s="6">
        <v>1550</v>
      </c>
      <c r="I2820" s="5"/>
    </row>
    <row r="2821" spans="1:9" x14ac:dyDescent="0.3">
      <c r="B2821" s="5" t="s">
        <v>2567</v>
      </c>
      <c r="C2821" s="5" t="s">
        <v>10</v>
      </c>
      <c r="D2821" s="5" t="s">
        <v>2609</v>
      </c>
      <c r="E2821" s="5" t="s">
        <v>2623</v>
      </c>
      <c r="F2821" s="5" t="s">
        <v>70</v>
      </c>
      <c r="G2821" s="5" t="s">
        <v>71</v>
      </c>
      <c r="H2821" s="6">
        <v>230</v>
      </c>
      <c r="I2821" s="5"/>
    </row>
    <row r="2822" spans="1:9" x14ac:dyDescent="0.3">
      <c r="B2822" s="5" t="s">
        <v>2567</v>
      </c>
      <c r="C2822" s="5" t="s">
        <v>10</v>
      </c>
      <c r="D2822" s="5" t="s">
        <v>2609</v>
      </c>
      <c r="E2822" s="5" t="s">
        <v>2624</v>
      </c>
      <c r="F2822" s="5" t="s">
        <v>35</v>
      </c>
      <c r="G2822" s="5" t="s">
        <v>36</v>
      </c>
      <c r="H2822" s="6">
        <v>220</v>
      </c>
      <c r="I2822" s="5"/>
    </row>
    <row r="2823" spans="1:9" x14ac:dyDescent="0.3">
      <c r="B2823" s="5" t="s">
        <v>2567</v>
      </c>
      <c r="C2823" s="5" t="s">
        <v>10</v>
      </c>
      <c r="D2823" s="5" t="s">
        <v>2609</v>
      </c>
      <c r="E2823" s="5" t="s">
        <v>2625</v>
      </c>
      <c r="F2823" s="5" t="s">
        <v>73</v>
      </c>
      <c r="G2823" s="5" t="s">
        <v>74</v>
      </c>
      <c r="H2823" s="6">
        <v>60</v>
      </c>
      <c r="I2823" s="5"/>
    </row>
    <row r="2824" spans="1:9" x14ac:dyDescent="0.3">
      <c r="B2824" s="5" t="s">
        <v>2567</v>
      </c>
      <c r="C2824" s="5" t="s">
        <v>10</v>
      </c>
      <c r="D2824" s="5" t="s">
        <v>2609</v>
      </c>
      <c r="E2824" s="5" t="s">
        <v>2626</v>
      </c>
      <c r="F2824" s="5" t="s">
        <v>218</v>
      </c>
      <c r="G2824" s="5" t="s">
        <v>219</v>
      </c>
      <c r="H2824" s="6">
        <v>2000</v>
      </c>
      <c r="I2824" s="5"/>
    </row>
    <row r="2825" spans="1:9" x14ac:dyDescent="0.3">
      <c r="B2825" s="5" t="s">
        <v>2567</v>
      </c>
      <c r="C2825" s="5" t="s">
        <v>10</v>
      </c>
      <c r="D2825" s="5" t="s">
        <v>2609</v>
      </c>
      <c r="E2825" s="5" t="s">
        <v>2627</v>
      </c>
      <c r="F2825" s="5" t="s">
        <v>1022</v>
      </c>
      <c r="G2825" s="5" t="s">
        <v>1023</v>
      </c>
      <c r="H2825" s="5"/>
      <c r="I2825" s="6">
        <v>20190</v>
      </c>
    </row>
    <row r="2826" spans="1:9" x14ac:dyDescent="0.3">
      <c r="A2826" s="7" t="s">
        <v>2628</v>
      </c>
      <c r="H2826" s="8">
        <f>H2807+H2808+H2809+H2810+H2811+H2812+H2813+H2814+H2815+H2816+H2817+H2818+H2819+H2820+H2821+H2822+H2823+H2824+H2825</f>
        <v>20190</v>
      </c>
      <c r="I2826" s="8">
        <f>I2807+I2808+I2809+I2810+I2811+I2812+I2813+I2814+I2815+I2816+I2817+I2818+I2819+I2820+I2821+I2822+I2823+I2824+I2825</f>
        <v>20190</v>
      </c>
    </row>
    <row r="2827" spans="1:9" x14ac:dyDescent="0.3">
      <c r="A2827" s="4" t="s">
        <v>2629</v>
      </c>
    </row>
    <row r="2828" spans="1:9" x14ac:dyDescent="0.3">
      <c r="B2828" s="5" t="s">
        <v>2567</v>
      </c>
      <c r="C2828" s="5" t="s">
        <v>10</v>
      </c>
      <c r="D2828" s="5" t="s">
        <v>2630</v>
      </c>
      <c r="E2828" s="5" t="s">
        <v>2631</v>
      </c>
      <c r="F2828" s="5" t="s">
        <v>50</v>
      </c>
      <c r="G2828" s="5" t="s">
        <v>51</v>
      </c>
      <c r="H2828" s="6">
        <v>1850</v>
      </c>
      <c r="I2828" s="5"/>
    </row>
    <row r="2829" spans="1:9" x14ac:dyDescent="0.3">
      <c r="B2829" s="5" t="s">
        <v>2567</v>
      </c>
      <c r="C2829" s="5" t="s">
        <v>10</v>
      </c>
      <c r="D2829" s="5" t="s">
        <v>2630</v>
      </c>
      <c r="E2829" s="5" t="s">
        <v>2632</v>
      </c>
      <c r="F2829" s="5" t="s">
        <v>73</v>
      </c>
      <c r="G2829" s="5" t="s">
        <v>74</v>
      </c>
      <c r="H2829" s="6">
        <v>5000</v>
      </c>
      <c r="I2829" s="5"/>
    </row>
    <row r="2830" spans="1:9" x14ac:dyDescent="0.3">
      <c r="B2830" s="5" t="s">
        <v>2567</v>
      </c>
      <c r="C2830" s="5" t="s">
        <v>10</v>
      </c>
      <c r="D2830" s="5" t="s">
        <v>2630</v>
      </c>
      <c r="E2830" s="5" t="s">
        <v>2633</v>
      </c>
      <c r="F2830" s="5" t="s">
        <v>45</v>
      </c>
      <c r="G2830" s="5" t="s">
        <v>46</v>
      </c>
      <c r="H2830" s="6">
        <v>3450</v>
      </c>
      <c r="I2830" s="5"/>
    </row>
    <row r="2831" spans="1:9" x14ac:dyDescent="0.3">
      <c r="B2831" s="5" t="s">
        <v>2567</v>
      </c>
      <c r="C2831" s="5" t="s">
        <v>10</v>
      </c>
      <c r="D2831" s="5" t="s">
        <v>2630</v>
      </c>
      <c r="E2831" s="5" t="s">
        <v>2634</v>
      </c>
      <c r="F2831" s="5" t="s">
        <v>45</v>
      </c>
      <c r="G2831" s="5" t="s">
        <v>46</v>
      </c>
      <c r="H2831" s="6">
        <v>4800</v>
      </c>
      <c r="I2831" s="5"/>
    </row>
    <row r="2832" spans="1:9" x14ac:dyDescent="0.3">
      <c r="B2832" s="5" t="s">
        <v>2567</v>
      </c>
      <c r="C2832" s="5" t="s">
        <v>10</v>
      </c>
      <c r="D2832" s="5" t="s">
        <v>2630</v>
      </c>
      <c r="E2832" s="5" t="s">
        <v>2635</v>
      </c>
      <c r="F2832" s="5" t="s">
        <v>50</v>
      </c>
      <c r="G2832" s="5" t="s">
        <v>51</v>
      </c>
      <c r="H2832" s="6">
        <v>1290</v>
      </c>
      <c r="I2832" s="5"/>
    </row>
    <row r="2833" spans="1:9" x14ac:dyDescent="0.3">
      <c r="B2833" s="5" t="s">
        <v>2567</v>
      </c>
      <c r="C2833" s="5" t="s">
        <v>10</v>
      </c>
      <c r="D2833" s="5" t="s">
        <v>2630</v>
      </c>
      <c r="E2833" s="5" t="s">
        <v>2636</v>
      </c>
      <c r="F2833" s="5" t="s">
        <v>45</v>
      </c>
      <c r="G2833" s="5" t="s">
        <v>46</v>
      </c>
      <c r="H2833" s="6">
        <v>6600</v>
      </c>
      <c r="I2833" s="5"/>
    </row>
    <row r="2834" spans="1:9" x14ac:dyDescent="0.3">
      <c r="B2834" s="5" t="s">
        <v>2567</v>
      </c>
      <c r="C2834" s="5" t="s">
        <v>10</v>
      </c>
      <c r="D2834" s="5" t="s">
        <v>2630</v>
      </c>
      <c r="E2834" s="5" t="s">
        <v>276</v>
      </c>
      <c r="F2834" s="5" t="s">
        <v>35</v>
      </c>
      <c r="G2834" s="5" t="s">
        <v>36</v>
      </c>
      <c r="H2834" s="6">
        <v>2320</v>
      </c>
      <c r="I2834" s="5"/>
    </row>
    <row r="2835" spans="1:9" x14ac:dyDescent="0.3">
      <c r="B2835" s="5" t="s">
        <v>2567</v>
      </c>
      <c r="C2835" s="5" t="s">
        <v>10</v>
      </c>
      <c r="D2835" s="5" t="s">
        <v>2630</v>
      </c>
      <c r="E2835" s="5" t="s">
        <v>2637</v>
      </c>
      <c r="F2835" s="5" t="s">
        <v>256</v>
      </c>
      <c r="G2835" s="5" t="s">
        <v>257</v>
      </c>
      <c r="H2835" s="6">
        <v>320</v>
      </c>
      <c r="I2835" s="5"/>
    </row>
    <row r="2836" spans="1:9" x14ac:dyDescent="0.3">
      <c r="B2836" s="5" t="s">
        <v>2567</v>
      </c>
      <c r="C2836" s="5" t="s">
        <v>10</v>
      </c>
      <c r="D2836" s="5" t="s">
        <v>2630</v>
      </c>
      <c r="E2836" s="5" t="s">
        <v>2638</v>
      </c>
      <c r="F2836" s="5" t="s">
        <v>50</v>
      </c>
      <c r="G2836" s="5" t="s">
        <v>51</v>
      </c>
      <c r="H2836" s="6">
        <v>720</v>
      </c>
      <c r="I2836" s="5"/>
    </row>
    <row r="2837" spans="1:9" x14ac:dyDescent="0.3">
      <c r="B2837" s="5" t="s">
        <v>2567</v>
      </c>
      <c r="C2837" s="5" t="s">
        <v>10</v>
      </c>
      <c r="D2837" s="5" t="s">
        <v>2630</v>
      </c>
      <c r="E2837" s="5" t="s">
        <v>2639</v>
      </c>
      <c r="F2837" s="5" t="s">
        <v>166</v>
      </c>
      <c r="G2837" s="5" t="s">
        <v>167</v>
      </c>
      <c r="H2837" s="6">
        <v>500</v>
      </c>
      <c r="I2837" s="5"/>
    </row>
    <row r="2838" spans="1:9" x14ac:dyDescent="0.3">
      <c r="B2838" s="5" t="s">
        <v>2567</v>
      </c>
      <c r="C2838" s="5" t="s">
        <v>10</v>
      </c>
      <c r="D2838" s="5" t="s">
        <v>2630</v>
      </c>
      <c r="E2838" s="5" t="s">
        <v>2640</v>
      </c>
      <c r="F2838" s="5" t="s">
        <v>2641</v>
      </c>
      <c r="G2838" s="5" t="s">
        <v>2642</v>
      </c>
      <c r="H2838" s="6">
        <v>3654</v>
      </c>
      <c r="I2838" s="5"/>
    </row>
    <row r="2839" spans="1:9" x14ac:dyDescent="0.3">
      <c r="B2839" s="5" t="s">
        <v>2567</v>
      </c>
      <c r="C2839" s="5" t="s">
        <v>10</v>
      </c>
      <c r="D2839" s="5" t="s">
        <v>2630</v>
      </c>
      <c r="E2839" s="5" t="s">
        <v>2643</v>
      </c>
      <c r="F2839" s="5" t="s">
        <v>50</v>
      </c>
      <c r="G2839" s="5" t="s">
        <v>51</v>
      </c>
      <c r="H2839" s="6">
        <v>1420</v>
      </c>
      <c r="I2839" s="5"/>
    </row>
    <row r="2840" spans="1:9" x14ac:dyDescent="0.3">
      <c r="B2840" s="5" t="s">
        <v>2567</v>
      </c>
      <c r="C2840" s="5" t="s">
        <v>10</v>
      </c>
      <c r="D2840" s="5" t="s">
        <v>2630</v>
      </c>
      <c r="E2840" s="5" t="s">
        <v>2644</v>
      </c>
      <c r="F2840" s="5" t="s">
        <v>50</v>
      </c>
      <c r="G2840" s="5" t="s">
        <v>51</v>
      </c>
      <c r="H2840" s="6">
        <v>96</v>
      </c>
      <c r="I2840" s="5"/>
    </row>
    <row r="2841" spans="1:9" x14ac:dyDescent="0.3">
      <c r="B2841" s="5" t="s">
        <v>2567</v>
      </c>
      <c r="C2841" s="5" t="s">
        <v>10</v>
      </c>
      <c r="D2841" s="5" t="s">
        <v>2630</v>
      </c>
      <c r="E2841" s="5" t="s">
        <v>2645</v>
      </c>
      <c r="F2841" s="5" t="s">
        <v>35</v>
      </c>
      <c r="G2841" s="5" t="s">
        <v>36</v>
      </c>
      <c r="H2841" s="6">
        <v>150</v>
      </c>
      <c r="I2841" s="5"/>
    </row>
    <row r="2842" spans="1:9" x14ac:dyDescent="0.3">
      <c r="B2842" s="5" t="s">
        <v>2567</v>
      </c>
      <c r="C2842" s="5" t="s">
        <v>10</v>
      </c>
      <c r="D2842" s="5" t="s">
        <v>2630</v>
      </c>
      <c r="E2842" s="5" t="s">
        <v>2646</v>
      </c>
      <c r="F2842" s="5" t="s">
        <v>23</v>
      </c>
      <c r="G2842" s="5" t="s">
        <v>24</v>
      </c>
      <c r="H2842" s="6">
        <v>3000</v>
      </c>
      <c r="I2842" s="5"/>
    </row>
    <row r="2843" spans="1:9" x14ac:dyDescent="0.3">
      <c r="B2843" s="5" t="s">
        <v>2567</v>
      </c>
      <c r="C2843" s="5" t="s">
        <v>10</v>
      </c>
      <c r="D2843" s="5" t="s">
        <v>2630</v>
      </c>
      <c r="E2843" s="5" t="s">
        <v>2647</v>
      </c>
      <c r="F2843" s="5" t="s">
        <v>26</v>
      </c>
      <c r="G2843" s="5" t="s">
        <v>27</v>
      </c>
      <c r="H2843" s="6">
        <v>9000</v>
      </c>
      <c r="I2843" s="5"/>
    </row>
    <row r="2844" spans="1:9" x14ac:dyDescent="0.3">
      <c r="B2844" s="5" t="s">
        <v>2567</v>
      </c>
      <c r="C2844" s="5" t="s">
        <v>10</v>
      </c>
      <c r="D2844" s="5" t="s">
        <v>2630</v>
      </c>
      <c r="E2844" s="5" t="s">
        <v>2648</v>
      </c>
      <c r="F2844" s="5" t="s">
        <v>61</v>
      </c>
      <c r="G2844" s="5" t="s">
        <v>62</v>
      </c>
      <c r="H2844" s="6">
        <v>3350</v>
      </c>
      <c r="I2844" s="5"/>
    </row>
    <row r="2845" spans="1:9" x14ac:dyDescent="0.3">
      <c r="B2845" s="5" t="s">
        <v>2567</v>
      </c>
      <c r="C2845" s="5" t="s">
        <v>10</v>
      </c>
      <c r="D2845" s="5" t="s">
        <v>2630</v>
      </c>
      <c r="E2845" s="5" t="s">
        <v>2649</v>
      </c>
      <c r="F2845" s="5" t="s">
        <v>975</v>
      </c>
      <c r="G2845" s="5" t="s">
        <v>976</v>
      </c>
      <c r="H2845" s="6">
        <v>1700</v>
      </c>
      <c r="I2845" s="5"/>
    </row>
    <row r="2846" spans="1:9" x14ac:dyDescent="0.3">
      <c r="B2846" s="5" t="s">
        <v>2567</v>
      </c>
      <c r="C2846" s="5" t="s">
        <v>10</v>
      </c>
      <c r="D2846" s="5" t="s">
        <v>2630</v>
      </c>
      <c r="E2846" s="5" t="s">
        <v>2620</v>
      </c>
      <c r="F2846" s="5" t="s">
        <v>64</v>
      </c>
      <c r="G2846" s="5" t="s">
        <v>65</v>
      </c>
      <c r="H2846" s="6">
        <v>200</v>
      </c>
      <c r="I2846" s="5"/>
    </row>
    <row r="2847" spans="1:9" x14ac:dyDescent="0.3">
      <c r="B2847" s="5" t="s">
        <v>2567</v>
      </c>
      <c r="C2847" s="5" t="s">
        <v>10</v>
      </c>
      <c r="D2847" s="5" t="s">
        <v>2630</v>
      </c>
      <c r="E2847" s="5" t="s">
        <v>2650</v>
      </c>
      <c r="F2847" s="5" t="s">
        <v>1022</v>
      </c>
      <c r="G2847" s="5" t="s">
        <v>1023</v>
      </c>
      <c r="H2847" s="5"/>
      <c r="I2847" s="6">
        <v>49420</v>
      </c>
    </row>
    <row r="2848" spans="1:9" x14ac:dyDescent="0.3">
      <c r="A2848" s="7" t="s">
        <v>2651</v>
      </c>
      <c r="H2848" s="8">
        <f>H2828+H2829+H2830+H2831+H2832+H2833+H2834+H2835+H2836+H2837+H2838+H2839+H2840+H2841+H2842+H2843+H2844+H2845+H2846+H2847</f>
        <v>49420</v>
      </c>
      <c r="I2848" s="8">
        <f>I2828+I2829+I2830+I2831+I2832+I2833+I2834+I2835+I2836+I2837+I2838+I2839+I2840+I2841+I2842+I2843+I2844+I2845+I2846+I2847</f>
        <v>49420</v>
      </c>
    </row>
    <row r="2849" spans="1:9" x14ac:dyDescent="0.3">
      <c r="A2849" s="4" t="s">
        <v>2652</v>
      </c>
    </row>
    <row r="2850" spans="1:9" x14ac:dyDescent="0.3">
      <c r="B2850" s="5" t="s">
        <v>2567</v>
      </c>
      <c r="C2850" s="5" t="s">
        <v>10</v>
      </c>
      <c r="D2850" s="5" t="s">
        <v>2653</v>
      </c>
      <c r="E2850" s="5" t="s">
        <v>2654</v>
      </c>
      <c r="F2850" s="5" t="s">
        <v>425</v>
      </c>
      <c r="G2850" s="5" t="s">
        <v>426</v>
      </c>
      <c r="H2850" s="6">
        <v>21594.97</v>
      </c>
      <c r="I2850" s="5"/>
    </row>
    <row r="2851" spans="1:9" x14ac:dyDescent="0.3">
      <c r="B2851" s="5" t="s">
        <v>2567</v>
      </c>
      <c r="C2851" s="5" t="s">
        <v>10</v>
      </c>
      <c r="D2851" s="5" t="s">
        <v>2653</v>
      </c>
      <c r="E2851" s="5" t="s">
        <v>2654</v>
      </c>
      <c r="F2851" s="5" t="s">
        <v>431</v>
      </c>
      <c r="G2851" s="5" t="s">
        <v>432</v>
      </c>
      <c r="H2851" s="5"/>
      <c r="I2851" s="6">
        <v>3764.1</v>
      </c>
    </row>
    <row r="2852" spans="1:9" x14ac:dyDescent="0.3">
      <c r="B2852" s="5" t="s">
        <v>2567</v>
      </c>
      <c r="C2852" s="5" t="s">
        <v>10</v>
      </c>
      <c r="D2852" s="5" t="s">
        <v>2653</v>
      </c>
      <c r="E2852" s="5" t="s">
        <v>2654</v>
      </c>
      <c r="F2852" s="5" t="s">
        <v>427</v>
      </c>
      <c r="G2852" s="5" t="s">
        <v>428</v>
      </c>
      <c r="H2852" s="5"/>
      <c r="I2852" s="6">
        <v>4399.17</v>
      </c>
    </row>
    <row r="2853" spans="1:9" x14ac:dyDescent="0.3">
      <c r="B2853" s="5" t="s">
        <v>2567</v>
      </c>
      <c r="C2853" s="5" t="s">
        <v>10</v>
      </c>
      <c r="D2853" s="5" t="s">
        <v>2653</v>
      </c>
      <c r="E2853" s="5" t="s">
        <v>2654</v>
      </c>
      <c r="F2853" s="5" t="s">
        <v>429</v>
      </c>
      <c r="G2853" s="5" t="s">
        <v>430</v>
      </c>
      <c r="H2853" s="5"/>
      <c r="I2853" s="6">
        <v>11327.89</v>
      </c>
    </row>
    <row r="2854" spans="1:9" x14ac:dyDescent="0.3">
      <c r="B2854" s="5" t="s">
        <v>2567</v>
      </c>
      <c r="C2854" s="5" t="s">
        <v>10</v>
      </c>
      <c r="D2854" s="5" t="s">
        <v>2653</v>
      </c>
      <c r="E2854" s="5" t="s">
        <v>2654</v>
      </c>
      <c r="F2854" s="5" t="s">
        <v>2655</v>
      </c>
      <c r="G2854" s="5" t="s">
        <v>2656</v>
      </c>
      <c r="H2854" s="5"/>
      <c r="I2854" s="6">
        <v>2103.81</v>
      </c>
    </row>
    <row r="2855" spans="1:9" x14ac:dyDescent="0.3">
      <c r="A2855" s="7" t="s">
        <v>2657</v>
      </c>
      <c r="H2855" s="8">
        <f>H2850+H2851+H2852+H2853+H2854</f>
        <v>21594.97</v>
      </c>
      <c r="I2855" s="8">
        <f>I2850+I2851+I2852+I2853+I2854</f>
        <v>21594.97</v>
      </c>
    </row>
    <row r="2856" spans="1:9" x14ac:dyDescent="0.3">
      <c r="A2856" s="4" t="s">
        <v>2658</v>
      </c>
    </row>
    <row r="2857" spans="1:9" x14ac:dyDescent="0.3">
      <c r="B2857" s="5" t="s">
        <v>2567</v>
      </c>
      <c r="C2857" s="5" t="s">
        <v>10</v>
      </c>
      <c r="D2857" s="5" t="s">
        <v>2659</v>
      </c>
      <c r="E2857" s="5" t="s">
        <v>2660</v>
      </c>
      <c r="F2857" s="5" t="s">
        <v>1604</v>
      </c>
      <c r="G2857" s="5" t="s">
        <v>1605</v>
      </c>
      <c r="H2857" s="6">
        <v>2470.41</v>
      </c>
      <c r="I2857" s="5"/>
    </row>
    <row r="2858" spans="1:9" x14ac:dyDescent="0.3">
      <c r="B2858" s="5" t="s">
        <v>2567</v>
      </c>
      <c r="C2858" s="5" t="s">
        <v>10</v>
      </c>
      <c r="D2858" s="5" t="s">
        <v>2659</v>
      </c>
      <c r="E2858" s="5" t="s">
        <v>2661</v>
      </c>
      <c r="F2858" s="5" t="s">
        <v>1604</v>
      </c>
      <c r="G2858" s="5" t="s">
        <v>1605</v>
      </c>
      <c r="H2858" s="6">
        <v>758.71</v>
      </c>
      <c r="I2858" s="5"/>
    </row>
    <row r="2859" spans="1:9" x14ac:dyDescent="0.3">
      <c r="B2859" s="5" t="s">
        <v>2567</v>
      </c>
      <c r="C2859" s="5" t="s">
        <v>10</v>
      </c>
      <c r="D2859" s="5" t="s">
        <v>2659</v>
      </c>
      <c r="E2859" s="5" t="s">
        <v>2662</v>
      </c>
      <c r="F2859" s="5" t="s">
        <v>1606</v>
      </c>
      <c r="G2859" s="5" t="s">
        <v>1607</v>
      </c>
      <c r="H2859" s="5"/>
      <c r="I2859" s="6">
        <v>3229.12</v>
      </c>
    </row>
    <row r="2860" spans="1:9" x14ac:dyDescent="0.3">
      <c r="A2860" s="7" t="s">
        <v>2663</v>
      </c>
      <c r="H2860" s="8">
        <f>H2857+H2858+H2859</f>
        <v>3229.12</v>
      </c>
      <c r="I2860" s="8">
        <f>I2857+I2858+I2859</f>
        <v>3229.12</v>
      </c>
    </row>
    <row r="2861" spans="1:9" x14ac:dyDescent="0.3">
      <c r="A2861" s="4" t="s">
        <v>2664</v>
      </c>
    </row>
    <row r="2862" spans="1:9" x14ac:dyDescent="0.3">
      <c r="B2862" s="5" t="s">
        <v>2567</v>
      </c>
      <c r="C2862" s="5" t="s">
        <v>10</v>
      </c>
      <c r="D2862" s="5" t="s">
        <v>2665</v>
      </c>
      <c r="E2862" s="5" t="s">
        <v>2666</v>
      </c>
      <c r="F2862" s="5" t="s">
        <v>1763</v>
      </c>
      <c r="G2862" s="5" t="s">
        <v>1764</v>
      </c>
      <c r="H2862" s="6">
        <v>1042.2</v>
      </c>
      <c r="I2862" s="5"/>
    </row>
    <row r="2863" spans="1:9" x14ac:dyDescent="0.3">
      <c r="B2863" s="5" t="s">
        <v>2567</v>
      </c>
      <c r="C2863" s="5" t="s">
        <v>10</v>
      </c>
      <c r="D2863" s="5" t="s">
        <v>2665</v>
      </c>
      <c r="E2863" s="5" t="s">
        <v>2666</v>
      </c>
      <c r="F2863" s="5" t="s">
        <v>649</v>
      </c>
      <c r="G2863" s="5" t="s">
        <v>650</v>
      </c>
      <c r="H2863" s="5"/>
      <c r="I2863" s="6">
        <v>686.31</v>
      </c>
    </row>
    <row r="2864" spans="1:9" x14ac:dyDescent="0.3">
      <c r="B2864" s="5" t="s">
        <v>2567</v>
      </c>
      <c r="C2864" s="5" t="s">
        <v>10</v>
      </c>
      <c r="D2864" s="5" t="s">
        <v>2665</v>
      </c>
      <c r="E2864" s="5" t="s">
        <v>2666</v>
      </c>
      <c r="F2864" s="5" t="s">
        <v>1799</v>
      </c>
      <c r="G2864" s="5" t="s">
        <v>1800</v>
      </c>
      <c r="H2864" s="5"/>
      <c r="I2864" s="6">
        <v>205.89</v>
      </c>
    </row>
    <row r="2865" spans="1:9" x14ac:dyDescent="0.3">
      <c r="B2865" s="5" t="s">
        <v>2567</v>
      </c>
      <c r="C2865" s="5" t="s">
        <v>10</v>
      </c>
      <c r="D2865" s="5" t="s">
        <v>2665</v>
      </c>
      <c r="E2865" s="5" t="s">
        <v>2666</v>
      </c>
      <c r="F2865" s="5" t="s">
        <v>1793</v>
      </c>
      <c r="G2865" s="5" t="s">
        <v>1794</v>
      </c>
      <c r="H2865" s="5"/>
      <c r="I2865" s="6">
        <v>150</v>
      </c>
    </row>
    <row r="2866" spans="1:9" x14ac:dyDescent="0.3">
      <c r="A2866" s="7" t="s">
        <v>2667</v>
      </c>
      <c r="H2866" s="8">
        <f>H2862+H2863+H2864+H2865</f>
        <v>1042.2</v>
      </c>
      <c r="I2866" s="8">
        <f>I2862+I2863+I2864+I2865</f>
        <v>1042.1999999999998</v>
      </c>
    </row>
    <row r="2867" spans="1:9" x14ac:dyDescent="0.3">
      <c r="A2867" s="4" t="s">
        <v>2668</v>
      </c>
    </row>
    <row r="2868" spans="1:9" x14ac:dyDescent="0.3">
      <c r="B2868" s="5" t="s">
        <v>2669</v>
      </c>
      <c r="C2868" s="5" t="s">
        <v>10</v>
      </c>
      <c r="D2868" s="5" t="s">
        <v>2670</v>
      </c>
      <c r="E2868" s="5" t="s">
        <v>125</v>
      </c>
      <c r="F2868" s="5" t="s">
        <v>61</v>
      </c>
      <c r="G2868" s="5" t="s">
        <v>62</v>
      </c>
      <c r="H2868" s="6">
        <v>520</v>
      </c>
      <c r="I2868" s="5"/>
    </row>
    <row r="2869" spans="1:9" x14ac:dyDescent="0.3">
      <c r="B2869" s="5" t="s">
        <v>2669</v>
      </c>
      <c r="C2869" s="5" t="s">
        <v>10</v>
      </c>
      <c r="D2869" s="5" t="s">
        <v>2670</v>
      </c>
      <c r="E2869" s="5" t="s">
        <v>125</v>
      </c>
      <c r="F2869" s="5" t="s">
        <v>1643</v>
      </c>
      <c r="G2869" s="5" t="s">
        <v>1644</v>
      </c>
      <c r="H2869" s="5"/>
      <c r="I2869" s="6">
        <v>520</v>
      </c>
    </row>
    <row r="2870" spans="1:9" x14ac:dyDescent="0.3">
      <c r="A2870" s="7" t="s">
        <v>2671</v>
      </c>
      <c r="H2870" s="8">
        <f>H2868+H2869</f>
        <v>520</v>
      </c>
      <c r="I2870" s="8">
        <f>I2868+I2869</f>
        <v>520</v>
      </c>
    </row>
    <row r="2871" spans="1:9" x14ac:dyDescent="0.3">
      <c r="A2871" s="4" t="s">
        <v>2672</v>
      </c>
    </row>
    <row r="2872" spans="1:9" x14ac:dyDescent="0.3">
      <c r="B2872" s="5" t="s">
        <v>2669</v>
      </c>
      <c r="C2872" s="5" t="s">
        <v>10</v>
      </c>
      <c r="D2872" s="5" t="s">
        <v>2673</v>
      </c>
      <c r="E2872" s="5" t="s">
        <v>2674</v>
      </c>
      <c r="F2872" s="5" t="s">
        <v>113</v>
      </c>
      <c r="G2872" s="5" t="s">
        <v>114</v>
      </c>
      <c r="H2872" s="6">
        <v>500</v>
      </c>
      <c r="I2872" s="5"/>
    </row>
    <row r="2873" spans="1:9" x14ac:dyDescent="0.3">
      <c r="B2873" s="5" t="s">
        <v>2669</v>
      </c>
      <c r="C2873" s="5" t="s">
        <v>10</v>
      </c>
      <c r="D2873" s="5" t="s">
        <v>2673</v>
      </c>
      <c r="E2873" s="5" t="s">
        <v>2674</v>
      </c>
      <c r="F2873" s="5" t="s">
        <v>1643</v>
      </c>
      <c r="G2873" s="5" t="s">
        <v>1644</v>
      </c>
      <c r="H2873" s="5"/>
      <c r="I2873" s="6">
        <v>500</v>
      </c>
    </row>
    <row r="2874" spans="1:9" x14ac:dyDescent="0.3">
      <c r="A2874" s="7" t="s">
        <v>2675</v>
      </c>
      <c r="H2874" s="8">
        <f>H2872+H2873</f>
        <v>500</v>
      </c>
      <c r="I2874" s="8">
        <f>I2872+I2873</f>
        <v>500</v>
      </c>
    </row>
    <row r="2875" spans="1:9" x14ac:dyDescent="0.3">
      <c r="A2875" s="4" t="s">
        <v>2676</v>
      </c>
    </row>
    <row r="2876" spans="1:9" x14ac:dyDescent="0.3">
      <c r="B2876" s="5" t="s">
        <v>2677</v>
      </c>
      <c r="C2876" s="5" t="s">
        <v>10</v>
      </c>
      <c r="D2876" s="5" t="s">
        <v>2678</v>
      </c>
      <c r="E2876" s="5" t="s">
        <v>125</v>
      </c>
      <c r="F2876" s="5" t="s">
        <v>61</v>
      </c>
      <c r="G2876" s="5" t="s">
        <v>62</v>
      </c>
      <c r="H2876" s="6">
        <v>390</v>
      </c>
      <c r="I2876" s="5"/>
    </row>
    <row r="2877" spans="1:9" x14ac:dyDescent="0.3">
      <c r="B2877" s="5" t="s">
        <v>2677</v>
      </c>
      <c r="C2877" s="5" t="s">
        <v>10</v>
      </c>
      <c r="D2877" s="5" t="s">
        <v>2678</v>
      </c>
      <c r="E2877" s="5" t="s">
        <v>125</v>
      </c>
      <c r="F2877" s="5" t="s">
        <v>1643</v>
      </c>
      <c r="G2877" s="5" t="s">
        <v>1644</v>
      </c>
      <c r="H2877" s="5"/>
      <c r="I2877" s="6">
        <v>390</v>
      </c>
    </row>
    <row r="2878" spans="1:9" x14ac:dyDescent="0.3">
      <c r="A2878" s="7" t="s">
        <v>2679</v>
      </c>
      <c r="H2878" s="8">
        <f>H2876+H2877</f>
        <v>390</v>
      </c>
      <c r="I2878" s="8">
        <f>I2876+I2877</f>
        <v>390</v>
      </c>
    </row>
    <row r="2879" spans="1:9" x14ac:dyDescent="0.3">
      <c r="A2879" s="4" t="s">
        <v>2680</v>
      </c>
    </row>
    <row r="2880" spans="1:9" x14ac:dyDescent="0.3">
      <c r="B2880" s="5" t="s">
        <v>2677</v>
      </c>
      <c r="C2880" s="5" t="s">
        <v>10</v>
      </c>
      <c r="D2880" s="5" t="s">
        <v>2681</v>
      </c>
      <c r="E2880" s="5" t="s">
        <v>2682</v>
      </c>
      <c r="F2880" s="5" t="s">
        <v>359</v>
      </c>
      <c r="G2880" s="5" t="s">
        <v>360</v>
      </c>
      <c r="H2880" s="6">
        <v>920</v>
      </c>
      <c r="I2880" s="5"/>
    </row>
    <row r="2881" spans="1:9" x14ac:dyDescent="0.3">
      <c r="B2881" s="5" t="s">
        <v>2677</v>
      </c>
      <c r="C2881" s="5" t="s">
        <v>10</v>
      </c>
      <c r="D2881" s="5" t="s">
        <v>2681</v>
      </c>
      <c r="E2881" s="5" t="s">
        <v>2682</v>
      </c>
      <c r="F2881" s="5" t="s">
        <v>1643</v>
      </c>
      <c r="G2881" s="5" t="s">
        <v>1644</v>
      </c>
      <c r="H2881" s="5"/>
      <c r="I2881" s="6">
        <v>920</v>
      </c>
    </row>
    <row r="2882" spans="1:9" x14ac:dyDescent="0.3">
      <c r="A2882" s="7" t="s">
        <v>2683</v>
      </c>
      <c r="H2882" s="8">
        <f>H2880+H2881</f>
        <v>920</v>
      </c>
      <c r="I2882" s="8">
        <f>I2880+I2881</f>
        <v>920</v>
      </c>
    </row>
    <row r="2883" spans="1:9" x14ac:dyDescent="0.3">
      <c r="A2883" s="4" t="s">
        <v>2684</v>
      </c>
    </row>
    <row r="2884" spans="1:9" x14ac:dyDescent="0.3">
      <c r="B2884" s="5" t="s">
        <v>2685</v>
      </c>
      <c r="C2884" s="5" t="s">
        <v>10</v>
      </c>
      <c r="D2884" s="5" t="s">
        <v>2686</v>
      </c>
      <c r="E2884" s="5" t="s">
        <v>125</v>
      </c>
      <c r="F2884" s="5" t="s">
        <v>61</v>
      </c>
      <c r="G2884" s="5" t="s">
        <v>62</v>
      </c>
      <c r="H2884" s="6">
        <v>300</v>
      </c>
      <c r="I2884" s="5"/>
    </row>
    <row r="2885" spans="1:9" x14ac:dyDescent="0.3">
      <c r="B2885" s="5" t="s">
        <v>2685</v>
      </c>
      <c r="C2885" s="5" t="s">
        <v>10</v>
      </c>
      <c r="D2885" s="5" t="s">
        <v>2686</v>
      </c>
      <c r="E2885" s="5" t="s">
        <v>125</v>
      </c>
      <c r="F2885" s="5" t="s">
        <v>1643</v>
      </c>
      <c r="G2885" s="5" t="s">
        <v>1644</v>
      </c>
      <c r="H2885" s="5"/>
      <c r="I2885" s="6">
        <v>300</v>
      </c>
    </row>
    <row r="2886" spans="1:9" x14ac:dyDescent="0.3">
      <c r="A2886" s="7" t="s">
        <v>2687</v>
      </c>
      <c r="H2886" s="8">
        <f>H2884+H2885</f>
        <v>300</v>
      </c>
      <c r="I2886" s="8">
        <f>I2884+I2885</f>
        <v>300</v>
      </c>
    </row>
    <row r="2887" spans="1:9" x14ac:dyDescent="0.3">
      <c r="A2887" s="4" t="s">
        <v>2688</v>
      </c>
    </row>
    <row r="2888" spans="1:9" x14ac:dyDescent="0.3">
      <c r="B2888" s="5" t="s">
        <v>2685</v>
      </c>
      <c r="C2888" s="5" t="s">
        <v>10</v>
      </c>
      <c r="D2888" s="5" t="s">
        <v>2689</v>
      </c>
      <c r="E2888" s="5" t="s">
        <v>2690</v>
      </c>
      <c r="F2888" s="5" t="s">
        <v>1643</v>
      </c>
      <c r="G2888" s="5" t="s">
        <v>1644</v>
      </c>
      <c r="H2888" s="6">
        <v>15000</v>
      </c>
      <c r="I2888" s="5"/>
    </row>
    <row r="2889" spans="1:9" x14ac:dyDescent="0.3">
      <c r="B2889" s="5" t="s">
        <v>2685</v>
      </c>
      <c r="C2889" s="5" t="s">
        <v>10</v>
      </c>
      <c r="D2889" s="5" t="s">
        <v>2689</v>
      </c>
      <c r="E2889" s="5" t="s">
        <v>2690</v>
      </c>
      <c r="F2889" s="5" t="s">
        <v>13</v>
      </c>
      <c r="G2889" s="5" t="s">
        <v>14</v>
      </c>
      <c r="H2889" s="5"/>
      <c r="I2889" s="6">
        <v>15000</v>
      </c>
    </row>
    <row r="2890" spans="1:9" x14ac:dyDescent="0.3">
      <c r="A2890" s="7" t="s">
        <v>2691</v>
      </c>
      <c r="H2890" s="8">
        <f>H2888+H2889</f>
        <v>15000</v>
      </c>
      <c r="I2890" s="8">
        <f>I2888+I2889</f>
        <v>15000</v>
      </c>
    </row>
    <row r="2891" spans="1:9" x14ac:dyDescent="0.3">
      <c r="A2891" s="4" t="s">
        <v>2692</v>
      </c>
    </row>
    <row r="2892" spans="1:9" x14ac:dyDescent="0.3">
      <c r="B2892" s="5" t="s">
        <v>2685</v>
      </c>
      <c r="C2892" s="5" t="s">
        <v>10</v>
      </c>
      <c r="D2892" s="5" t="s">
        <v>2693</v>
      </c>
      <c r="E2892" s="5" t="s">
        <v>2694</v>
      </c>
      <c r="F2892" s="5" t="s">
        <v>441</v>
      </c>
      <c r="G2892" s="5" t="s">
        <v>442</v>
      </c>
      <c r="H2892" s="6">
        <v>15000</v>
      </c>
      <c r="I2892" s="5"/>
    </row>
    <row r="2893" spans="1:9" x14ac:dyDescent="0.3">
      <c r="B2893" s="5" t="s">
        <v>2685</v>
      </c>
      <c r="C2893" s="5" t="s">
        <v>10</v>
      </c>
      <c r="D2893" s="5" t="s">
        <v>2693</v>
      </c>
      <c r="E2893" s="5" t="s">
        <v>2694</v>
      </c>
      <c r="F2893" s="5" t="s">
        <v>1643</v>
      </c>
      <c r="G2893" s="5" t="s">
        <v>1644</v>
      </c>
      <c r="H2893" s="5"/>
      <c r="I2893" s="6">
        <v>15000</v>
      </c>
    </row>
    <row r="2894" spans="1:9" x14ac:dyDescent="0.3">
      <c r="A2894" s="7" t="s">
        <v>2695</v>
      </c>
      <c r="H2894" s="8">
        <f>H2892+H2893</f>
        <v>15000</v>
      </c>
      <c r="I2894" s="8">
        <f>I2892+I2893</f>
        <v>15000</v>
      </c>
    </row>
    <row r="2895" spans="1:9" x14ac:dyDescent="0.3">
      <c r="A2895" s="4" t="s">
        <v>2696</v>
      </c>
    </row>
    <row r="2896" spans="1:9" x14ac:dyDescent="0.3">
      <c r="B2896" s="5" t="s">
        <v>2697</v>
      </c>
      <c r="C2896" s="5" t="s">
        <v>10</v>
      </c>
      <c r="D2896" s="5" t="s">
        <v>2698</v>
      </c>
      <c r="E2896" s="5" t="s">
        <v>2699</v>
      </c>
      <c r="F2896" s="5" t="s">
        <v>61</v>
      </c>
      <c r="G2896" s="5" t="s">
        <v>62</v>
      </c>
      <c r="H2896" s="6">
        <v>300</v>
      </c>
      <c r="I2896" s="5"/>
    </row>
    <row r="2897" spans="1:9" x14ac:dyDescent="0.3">
      <c r="B2897" s="5" t="s">
        <v>2697</v>
      </c>
      <c r="C2897" s="5" t="s">
        <v>10</v>
      </c>
      <c r="D2897" s="5" t="s">
        <v>2698</v>
      </c>
      <c r="E2897" s="5" t="s">
        <v>2699</v>
      </c>
      <c r="F2897" s="5" t="s">
        <v>1643</v>
      </c>
      <c r="G2897" s="5" t="s">
        <v>1644</v>
      </c>
      <c r="H2897" s="5"/>
      <c r="I2897" s="6">
        <v>300</v>
      </c>
    </row>
    <row r="2898" spans="1:9" x14ac:dyDescent="0.3">
      <c r="A2898" s="7" t="s">
        <v>2700</v>
      </c>
      <c r="H2898" s="8">
        <f>H2896+H2897</f>
        <v>300</v>
      </c>
      <c r="I2898" s="8">
        <f>I2896+I2897</f>
        <v>300</v>
      </c>
    </row>
    <row r="2899" spans="1:9" x14ac:dyDescent="0.3">
      <c r="A2899" s="4" t="s">
        <v>2701</v>
      </c>
    </row>
    <row r="2900" spans="1:9" x14ac:dyDescent="0.3">
      <c r="B2900" s="5" t="s">
        <v>2702</v>
      </c>
      <c r="C2900" s="5" t="s">
        <v>10</v>
      </c>
      <c r="D2900" s="5" t="s">
        <v>2703</v>
      </c>
      <c r="E2900" s="5" t="s">
        <v>2704</v>
      </c>
      <c r="F2900" s="5" t="s">
        <v>61</v>
      </c>
      <c r="G2900" s="5" t="s">
        <v>62</v>
      </c>
      <c r="H2900" s="6">
        <v>360</v>
      </c>
      <c r="I2900" s="5"/>
    </row>
    <row r="2901" spans="1:9" x14ac:dyDescent="0.3">
      <c r="B2901" s="5" t="s">
        <v>2702</v>
      </c>
      <c r="C2901" s="5" t="s">
        <v>10</v>
      </c>
      <c r="D2901" s="5" t="s">
        <v>2703</v>
      </c>
      <c r="E2901" s="5" t="s">
        <v>2704</v>
      </c>
      <c r="F2901" s="5" t="s">
        <v>1643</v>
      </c>
      <c r="G2901" s="5" t="s">
        <v>1644</v>
      </c>
      <c r="H2901" s="5"/>
      <c r="I2901" s="6">
        <v>360</v>
      </c>
    </row>
    <row r="2902" spans="1:9" x14ac:dyDescent="0.3">
      <c r="A2902" s="7" t="s">
        <v>2705</v>
      </c>
      <c r="H2902" s="8">
        <f>H2900+H2901</f>
        <v>360</v>
      </c>
      <c r="I2902" s="8">
        <f>I2900+I2901</f>
        <v>360</v>
      </c>
    </row>
    <row r="2903" spans="1:9" x14ac:dyDescent="0.3">
      <c r="A2903" s="4" t="s">
        <v>2706</v>
      </c>
    </row>
    <row r="2904" spans="1:9" x14ac:dyDescent="0.3">
      <c r="B2904" s="5" t="s">
        <v>2702</v>
      </c>
      <c r="C2904" s="5" t="s">
        <v>10</v>
      </c>
      <c r="D2904" s="5" t="s">
        <v>2707</v>
      </c>
      <c r="E2904" s="5" t="s">
        <v>230</v>
      </c>
      <c r="F2904" s="5" t="s">
        <v>61</v>
      </c>
      <c r="G2904" s="5" t="s">
        <v>62</v>
      </c>
      <c r="H2904" s="6">
        <v>410</v>
      </c>
      <c r="I2904" s="5"/>
    </row>
    <row r="2905" spans="1:9" x14ac:dyDescent="0.3">
      <c r="B2905" s="5" t="s">
        <v>2702</v>
      </c>
      <c r="C2905" s="5" t="s">
        <v>10</v>
      </c>
      <c r="D2905" s="5" t="s">
        <v>2707</v>
      </c>
      <c r="E2905" s="5" t="s">
        <v>230</v>
      </c>
      <c r="F2905" s="5" t="s">
        <v>1643</v>
      </c>
      <c r="G2905" s="5" t="s">
        <v>1644</v>
      </c>
      <c r="H2905" s="5"/>
      <c r="I2905" s="6">
        <v>410</v>
      </c>
    </row>
    <row r="2906" spans="1:9" x14ac:dyDescent="0.3">
      <c r="A2906" s="7" t="s">
        <v>2708</v>
      </c>
      <c r="H2906" s="8">
        <f>H2904+H2905</f>
        <v>410</v>
      </c>
      <c r="I2906" s="8">
        <f>I2904+I2905</f>
        <v>410</v>
      </c>
    </row>
    <row r="2907" spans="1:9" x14ac:dyDescent="0.3">
      <c r="A2907" s="4" t="s">
        <v>2709</v>
      </c>
    </row>
    <row r="2908" spans="1:9" x14ac:dyDescent="0.3">
      <c r="B2908" s="5" t="s">
        <v>2710</v>
      </c>
      <c r="C2908" s="5" t="s">
        <v>10</v>
      </c>
      <c r="D2908" s="5" t="s">
        <v>2711</v>
      </c>
      <c r="E2908" s="5" t="s">
        <v>230</v>
      </c>
      <c r="F2908" s="5" t="s">
        <v>61</v>
      </c>
      <c r="G2908" s="5" t="s">
        <v>62</v>
      </c>
      <c r="H2908" s="6">
        <v>270</v>
      </c>
      <c r="I2908" s="5"/>
    </row>
    <row r="2909" spans="1:9" x14ac:dyDescent="0.3">
      <c r="B2909" s="5" t="s">
        <v>2710</v>
      </c>
      <c r="C2909" s="5" t="s">
        <v>10</v>
      </c>
      <c r="D2909" s="5" t="s">
        <v>2711</v>
      </c>
      <c r="E2909" s="5" t="s">
        <v>230</v>
      </c>
      <c r="F2909" s="5" t="s">
        <v>1643</v>
      </c>
      <c r="G2909" s="5" t="s">
        <v>1644</v>
      </c>
      <c r="H2909" s="5"/>
      <c r="I2909" s="6">
        <v>270</v>
      </c>
    </row>
    <row r="2910" spans="1:9" x14ac:dyDescent="0.3">
      <c r="A2910" s="7" t="s">
        <v>2712</v>
      </c>
      <c r="H2910" s="8">
        <f>H2908+H2909</f>
        <v>270</v>
      </c>
      <c r="I2910" s="8">
        <f>I2908+I2909</f>
        <v>270</v>
      </c>
    </row>
    <row r="2911" spans="1:9" x14ac:dyDescent="0.3">
      <c r="A2911" s="4" t="s">
        <v>2713</v>
      </c>
    </row>
    <row r="2912" spans="1:9" x14ac:dyDescent="0.3">
      <c r="B2912" s="5" t="s">
        <v>2710</v>
      </c>
      <c r="C2912" s="5" t="s">
        <v>10</v>
      </c>
      <c r="D2912" s="5" t="s">
        <v>2714</v>
      </c>
      <c r="E2912" s="5" t="s">
        <v>2715</v>
      </c>
      <c r="F2912" s="5" t="s">
        <v>1643</v>
      </c>
      <c r="G2912" s="5" t="s">
        <v>1644</v>
      </c>
      <c r="H2912" s="6">
        <v>25150</v>
      </c>
      <c r="I2912" s="5"/>
    </row>
    <row r="2913" spans="1:9" x14ac:dyDescent="0.3">
      <c r="B2913" s="5" t="s">
        <v>2710</v>
      </c>
      <c r="C2913" s="5" t="s">
        <v>10</v>
      </c>
      <c r="D2913" s="5" t="s">
        <v>2714</v>
      </c>
      <c r="E2913" s="5" t="s">
        <v>2715</v>
      </c>
      <c r="F2913" s="5" t="s">
        <v>13</v>
      </c>
      <c r="G2913" s="5" t="s">
        <v>14</v>
      </c>
      <c r="H2913" s="5"/>
      <c r="I2913" s="6">
        <v>25150</v>
      </c>
    </row>
    <row r="2914" spans="1:9" x14ac:dyDescent="0.3">
      <c r="A2914" s="7" t="s">
        <v>2716</v>
      </c>
      <c r="H2914" s="8">
        <f>H2912+H2913</f>
        <v>25150</v>
      </c>
      <c r="I2914" s="8">
        <f>I2912+I2913</f>
        <v>25150</v>
      </c>
    </row>
    <row r="2915" spans="1:9" x14ac:dyDescent="0.3">
      <c r="A2915" s="4" t="s">
        <v>2717</v>
      </c>
    </row>
    <row r="2916" spans="1:9" x14ac:dyDescent="0.3">
      <c r="B2916" s="5" t="s">
        <v>2710</v>
      </c>
      <c r="C2916" s="5" t="s">
        <v>10</v>
      </c>
      <c r="D2916" s="5" t="s">
        <v>2718</v>
      </c>
      <c r="E2916" s="5" t="s">
        <v>2719</v>
      </c>
      <c r="F2916" s="5" t="s">
        <v>441</v>
      </c>
      <c r="G2916" s="5" t="s">
        <v>442</v>
      </c>
      <c r="H2916" s="6">
        <v>25150</v>
      </c>
      <c r="I2916" s="5"/>
    </row>
    <row r="2917" spans="1:9" x14ac:dyDescent="0.3">
      <c r="B2917" s="5" t="s">
        <v>2710</v>
      </c>
      <c r="C2917" s="5" t="s">
        <v>10</v>
      </c>
      <c r="D2917" s="5" t="s">
        <v>2718</v>
      </c>
      <c r="E2917" s="5" t="s">
        <v>2719</v>
      </c>
      <c r="F2917" s="5" t="s">
        <v>1643</v>
      </c>
      <c r="G2917" s="5" t="s">
        <v>1644</v>
      </c>
      <c r="H2917" s="5"/>
      <c r="I2917" s="6">
        <v>25150</v>
      </c>
    </row>
    <row r="2918" spans="1:9" x14ac:dyDescent="0.3">
      <c r="A2918" s="7" t="s">
        <v>2720</v>
      </c>
      <c r="H2918" s="8">
        <f>H2916+H2917</f>
        <v>25150</v>
      </c>
      <c r="I2918" s="8">
        <f>I2916+I2917</f>
        <v>25150</v>
      </c>
    </row>
    <row r="2919" spans="1:9" x14ac:dyDescent="0.3">
      <c r="A2919" s="4" t="s">
        <v>2721</v>
      </c>
    </row>
    <row r="2920" spans="1:9" x14ac:dyDescent="0.3">
      <c r="B2920" s="5" t="s">
        <v>2722</v>
      </c>
      <c r="C2920" s="5" t="s">
        <v>10</v>
      </c>
      <c r="D2920" s="5" t="s">
        <v>2723</v>
      </c>
      <c r="E2920" s="5" t="s">
        <v>230</v>
      </c>
      <c r="F2920" s="5" t="s">
        <v>61</v>
      </c>
      <c r="G2920" s="5" t="s">
        <v>62</v>
      </c>
      <c r="H2920" s="6">
        <v>180</v>
      </c>
      <c r="I2920" s="5"/>
    </row>
    <row r="2921" spans="1:9" x14ac:dyDescent="0.3">
      <c r="B2921" s="5" t="s">
        <v>2722</v>
      </c>
      <c r="C2921" s="5" t="s">
        <v>10</v>
      </c>
      <c r="D2921" s="5" t="s">
        <v>2723</v>
      </c>
      <c r="E2921" s="5" t="s">
        <v>230</v>
      </c>
      <c r="F2921" s="5" t="s">
        <v>1643</v>
      </c>
      <c r="G2921" s="5" t="s">
        <v>1644</v>
      </c>
      <c r="H2921" s="5"/>
      <c r="I2921" s="6">
        <v>180</v>
      </c>
    </row>
    <row r="2922" spans="1:9" x14ac:dyDescent="0.3">
      <c r="B2922" s="5" t="s">
        <v>2722</v>
      </c>
      <c r="C2922" s="5" t="s">
        <v>10</v>
      </c>
      <c r="D2922" s="5" t="s">
        <v>2723</v>
      </c>
      <c r="E2922" s="5" t="s">
        <v>2724</v>
      </c>
      <c r="F2922" s="5" t="s">
        <v>67</v>
      </c>
      <c r="G2922" s="5" t="s">
        <v>68</v>
      </c>
      <c r="H2922" s="6">
        <v>50</v>
      </c>
      <c r="I2922" s="5"/>
    </row>
    <row r="2923" spans="1:9" x14ac:dyDescent="0.3">
      <c r="B2923" s="5" t="s">
        <v>2722</v>
      </c>
      <c r="C2923" s="5" t="s">
        <v>10</v>
      </c>
      <c r="D2923" s="5" t="s">
        <v>2723</v>
      </c>
      <c r="E2923" s="5" t="s">
        <v>2724</v>
      </c>
      <c r="F2923" s="5" t="s">
        <v>1643</v>
      </c>
      <c r="G2923" s="5" t="s">
        <v>1644</v>
      </c>
      <c r="H2923" s="5"/>
      <c r="I2923" s="6">
        <v>50</v>
      </c>
    </row>
    <row r="2924" spans="1:9" x14ac:dyDescent="0.3">
      <c r="A2924" s="7" t="s">
        <v>2725</v>
      </c>
      <c r="H2924" s="8">
        <f>H2920+H2921+H2922+H2923</f>
        <v>230</v>
      </c>
      <c r="I2924" s="8">
        <f>I2920+I2921+I2922+I2923</f>
        <v>230</v>
      </c>
    </row>
    <row r="2925" spans="1:9" x14ac:dyDescent="0.3">
      <c r="A2925" s="4" t="s">
        <v>2726</v>
      </c>
    </row>
    <row r="2926" spans="1:9" x14ac:dyDescent="0.3">
      <c r="B2926" s="5" t="s">
        <v>2722</v>
      </c>
      <c r="C2926" s="5" t="s">
        <v>10</v>
      </c>
      <c r="D2926" s="5" t="s">
        <v>2727</v>
      </c>
      <c r="E2926" s="5" t="s">
        <v>2728</v>
      </c>
      <c r="F2926" s="5" t="s">
        <v>867</v>
      </c>
      <c r="G2926" s="5" t="s">
        <v>868</v>
      </c>
      <c r="H2926" s="6">
        <v>318.81</v>
      </c>
      <c r="I2926" s="5"/>
    </row>
    <row r="2927" spans="1:9" x14ac:dyDescent="0.3">
      <c r="B2927" s="5" t="s">
        <v>2722</v>
      </c>
      <c r="C2927" s="5" t="s">
        <v>10</v>
      </c>
      <c r="D2927" s="5" t="s">
        <v>2727</v>
      </c>
      <c r="E2927" s="5" t="s">
        <v>2728</v>
      </c>
      <c r="F2927" s="5" t="s">
        <v>2729</v>
      </c>
      <c r="G2927" s="5" t="s">
        <v>2730</v>
      </c>
      <c r="H2927" s="5"/>
      <c r="I2927" s="6">
        <v>318.81</v>
      </c>
    </row>
    <row r="2928" spans="1:9" x14ac:dyDescent="0.3">
      <c r="A2928" s="7" t="s">
        <v>2731</v>
      </c>
      <c r="H2928" s="8">
        <f>H2926+H2927</f>
        <v>318.81</v>
      </c>
      <c r="I2928" s="8">
        <f>I2926+I2927</f>
        <v>318.81</v>
      </c>
    </row>
    <row r="2929" spans="1:9" x14ac:dyDescent="0.3">
      <c r="A2929" s="4" t="s">
        <v>2732</v>
      </c>
    </row>
    <row r="2930" spans="1:9" x14ac:dyDescent="0.3">
      <c r="B2930" s="5" t="s">
        <v>2722</v>
      </c>
      <c r="C2930" s="5" t="s">
        <v>10</v>
      </c>
      <c r="D2930" s="5" t="s">
        <v>2733</v>
      </c>
      <c r="E2930" s="5" t="s">
        <v>2734</v>
      </c>
      <c r="F2930" s="5" t="s">
        <v>1643</v>
      </c>
      <c r="G2930" s="5" t="s">
        <v>1644</v>
      </c>
      <c r="H2930" s="6">
        <v>131830</v>
      </c>
      <c r="I2930" s="5"/>
    </row>
    <row r="2931" spans="1:9" x14ac:dyDescent="0.3">
      <c r="B2931" s="5" t="s">
        <v>2722</v>
      </c>
      <c r="C2931" s="5" t="s">
        <v>10</v>
      </c>
      <c r="D2931" s="5" t="s">
        <v>2733</v>
      </c>
      <c r="E2931" s="5" t="s">
        <v>2734</v>
      </c>
      <c r="F2931" s="5" t="s">
        <v>13</v>
      </c>
      <c r="G2931" s="5" t="s">
        <v>14</v>
      </c>
      <c r="H2931" s="5"/>
      <c r="I2931" s="6">
        <v>131830</v>
      </c>
    </row>
    <row r="2932" spans="1:9" x14ac:dyDescent="0.3">
      <c r="A2932" s="7" t="s">
        <v>2735</v>
      </c>
      <c r="H2932" s="8">
        <f>H2930+H2931</f>
        <v>131830</v>
      </c>
      <c r="I2932" s="8">
        <f>I2930+I2931</f>
        <v>131830</v>
      </c>
    </row>
    <row r="2933" spans="1:9" x14ac:dyDescent="0.3">
      <c r="A2933" s="4" t="s">
        <v>2736</v>
      </c>
    </row>
    <row r="2934" spans="1:9" x14ac:dyDescent="0.3">
      <c r="B2934" s="5" t="s">
        <v>2722</v>
      </c>
      <c r="C2934" s="5" t="s">
        <v>10</v>
      </c>
      <c r="D2934" s="5" t="s">
        <v>2737</v>
      </c>
      <c r="E2934" s="5" t="s">
        <v>2738</v>
      </c>
      <c r="F2934" s="5" t="s">
        <v>67</v>
      </c>
      <c r="G2934" s="5" t="s">
        <v>68</v>
      </c>
      <c r="H2934" s="6">
        <v>160</v>
      </c>
      <c r="I2934" s="5"/>
    </row>
    <row r="2935" spans="1:9" x14ac:dyDescent="0.3">
      <c r="B2935" s="5" t="s">
        <v>2722</v>
      </c>
      <c r="C2935" s="5" t="s">
        <v>10</v>
      </c>
      <c r="D2935" s="5" t="s">
        <v>2737</v>
      </c>
      <c r="E2935" s="5" t="s">
        <v>2738</v>
      </c>
      <c r="F2935" s="5" t="s">
        <v>1643</v>
      </c>
      <c r="G2935" s="5" t="s">
        <v>1644</v>
      </c>
      <c r="H2935" s="5"/>
      <c r="I2935" s="6">
        <v>160</v>
      </c>
    </row>
    <row r="2936" spans="1:9" x14ac:dyDescent="0.3">
      <c r="A2936" s="7" t="s">
        <v>2739</v>
      </c>
      <c r="H2936" s="8">
        <f>H2934+H2935</f>
        <v>160</v>
      </c>
      <c r="I2936" s="8">
        <f>I2934+I2935</f>
        <v>160</v>
      </c>
    </row>
    <row r="2937" spans="1:9" x14ac:dyDescent="0.3">
      <c r="A2937" s="4" t="s">
        <v>2740</v>
      </c>
    </row>
    <row r="2938" spans="1:9" x14ac:dyDescent="0.3">
      <c r="B2938" s="5" t="s">
        <v>2722</v>
      </c>
      <c r="C2938" s="5" t="s">
        <v>10</v>
      </c>
      <c r="D2938" s="5" t="s">
        <v>2741</v>
      </c>
      <c r="E2938" s="5" t="s">
        <v>2742</v>
      </c>
      <c r="F2938" s="5" t="s">
        <v>443</v>
      </c>
      <c r="G2938" s="5" t="s">
        <v>444</v>
      </c>
      <c r="H2938" s="6">
        <v>23600</v>
      </c>
      <c r="I2938" s="5"/>
    </row>
    <row r="2939" spans="1:9" x14ac:dyDescent="0.3">
      <c r="B2939" s="5" t="s">
        <v>2722</v>
      </c>
      <c r="C2939" s="5" t="s">
        <v>10</v>
      </c>
      <c r="D2939" s="5" t="s">
        <v>2741</v>
      </c>
      <c r="E2939" s="5" t="s">
        <v>2742</v>
      </c>
      <c r="F2939" s="5" t="s">
        <v>445</v>
      </c>
      <c r="G2939" s="5" t="s">
        <v>446</v>
      </c>
      <c r="H2939" s="6">
        <v>23600</v>
      </c>
      <c r="I2939" s="5"/>
    </row>
    <row r="2940" spans="1:9" x14ac:dyDescent="0.3">
      <c r="B2940" s="5" t="s">
        <v>2722</v>
      </c>
      <c r="C2940" s="5" t="s">
        <v>10</v>
      </c>
      <c r="D2940" s="5" t="s">
        <v>2741</v>
      </c>
      <c r="E2940" s="5" t="s">
        <v>2742</v>
      </c>
      <c r="F2940" s="5" t="s">
        <v>549</v>
      </c>
      <c r="G2940" s="5" t="s">
        <v>550</v>
      </c>
      <c r="H2940" s="6">
        <v>26500</v>
      </c>
      <c r="I2940" s="5"/>
    </row>
    <row r="2941" spans="1:9" x14ac:dyDescent="0.3">
      <c r="B2941" s="5" t="s">
        <v>2722</v>
      </c>
      <c r="C2941" s="5" t="s">
        <v>10</v>
      </c>
      <c r="D2941" s="5" t="s">
        <v>2741</v>
      </c>
      <c r="E2941" s="5" t="s">
        <v>2742</v>
      </c>
      <c r="F2941" s="5" t="s">
        <v>449</v>
      </c>
      <c r="G2941" s="5" t="s">
        <v>450</v>
      </c>
      <c r="H2941" s="6">
        <v>6960</v>
      </c>
      <c r="I2941" s="5"/>
    </row>
    <row r="2942" spans="1:9" x14ac:dyDescent="0.3">
      <c r="B2942" s="5" t="s">
        <v>2722</v>
      </c>
      <c r="C2942" s="5" t="s">
        <v>10</v>
      </c>
      <c r="D2942" s="5" t="s">
        <v>2741</v>
      </c>
      <c r="E2942" s="5" t="s">
        <v>2742</v>
      </c>
      <c r="F2942" s="5" t="s">
        <v>453</v>
      </c>
      <c r="G2942" s="5" t="s">
        <v>454</v>
      </c>
      <c r="H2942" s="6">
        <v>6960</v>
      </c>
      <c r="I2942" s="5"/>
    </row>
    <row r="2943" spans="1:9" x14ac:dyDescent="0.3">
      <c r="B2943" s="5" t="s">
        <v>2722</v>
      </c>
      <c r="C2943" s="5" t="s">
        <v>10</v>
      </c>
      <c r="D2943" s="5" t="s">
        <v>2741</v>
      </c>
      <c r="E2943" s="5" t="s">
        <v>2742</v>
      </c>
      <c r="F2943" s="5" t="s">
        <v>451</v>
      </c>
      <c r="G2943" s="5" t="s">
        <v>452</v>
      </c>
      <c r="H2943" s="6">
        <v>6960</v>
      </c>
      <c r="I2943" s="5"/>
    </row>
    <row r="2944" spans="1:9" x14ac:dyDescent="0.3">
      <c r="B2944" s="5" t="s">
        <v>2722</v>
      </c>
      <c r="C2944" s="5" t="s">
        <v>10</v>
      </c>
      <c r="D2944" s="5" t="s">
        <v>2741</v>
      </c>
      <c r="E2944" s="5" t="s">
        <v>2742</v>
      </c>
      <c r="F2944" s="5" t="s">
        <v>1199</v>
      </c>
      <c r="G2944" s="5" t="s">
        <v>1200</v>
      </c>
      <c r="H2944" s="6">
        <v>6265</v>
      </c>
      <c r="I2944" s="5"/>
    </row>
    <row r="2945" spans="1:9" x14ac:dyDescent="0.3">
      <c r="B2945" s="5" t="s">
        <v>2722</v>
      </c>
      <c r="C2945" s="5" t="s">
        <v>10</v>
      </c>
      <c r="D2945" s="5" t="s">
        <v>2741</v>
      </c>
      <c r="E2945" s="5" t="s">
        <v>2742</v>
      </c>
      <c r="F2945" s="5" t="s">
        <v>1196</v>
      </c>
      <c r="G2945" s="5" t="s">
        <v>1197</v>
      </c>
      <c r="H2945" s="6">
        <v>4597</v>
      </c>
      <c r="I2945" s="5"/>
    </row>
    <row r="2946" spans="1:9" x14ac:dyDescent="0.3">
      <c r="B2946" s="5" t="s">
        <v>2722</v>
      </c>
      <c r="C2946" s="5" t="s">
        <v>10</v>
      </c>
      <c r="D2946" s="5" t="s">
        <v>2741</v>
      </c>
      <c r="E2946" s="5" t="s">
        <v>2742</v>
      </c>
      <c r="F2946" s="5" t="s">
        <v>1346</v>
      </c>
      <c r="G2946" s="5" t="s">
        <v>1347</v>
      </c>
      <c r="H2946" s="6">
        <v>6960</v>
      </c>
      <c r="I2946" s="5"/>
    </row>
    <row r="2947" spans="1:9" x14ac:dyDescent="0.3">
      <c r="B2947" s="5" t="s">
        <v>2722</v>
      </c>
      <c r="C2947" s="5" t="s">
        <v>10</v>
      </c>
      <c r="D2947" s="5" t="s">
        <v>2741</v>
      </c>
      <c r="E2947" s="5" t="s">
        <v>2742</v>
      </c>
      <c r="F2947" s="5" t="s">
        <v>1961</v>
      </c>
      <c r="G2947" s="5" t="s">
        <v>1962</v>
      </c>
      <c r="H2947" s="6">
        <v>6960</v>
      </c>
      <c r="I2947" s="5"/>
    </row>
    <row r="2948" spans="1:9" x14ac:dyDescent="0.3">
      <c r="B2948" s="5" t="s">
        <v>2722</v>
      </c>
      <c r="C2948" s="5" t="s">
        <v>10</v>
      </c>
      <c r="D2948" s="5" t="s">
        <v>2741</v>
      </c>
      <c r="E2948" s="5" t="s">
        <v>2742</v>
      </c>
      <c r="F2948" s="5" t="s">
        <v>2598</v>
      </c>
      <c r="G2948" s="5" t="s">
        <v>2599</v>
      </c>
      <c r="H2948" s="6">
        <v>6487</v>
      </c>
      <c r="I2948" s="5"/>
    </row>
    <row r="2949" spans="1:9" x14ac:dyDescent="0.3">
      <c r="B2949" s="5" t="s">
        <v>2722</v>
      </c>
      <c r="C2949" s="5" t="s">
        <v>10</v>
      </c>
      <c r="D2949" s="5" t="s">
        <v>2741</v>
      </c>
      <c r="E2949" s="5" t="s">
        <v>2742</v>
      </c>
      <c r="F2949" s="5" t="s">
        <v>1643</v>
      </c>
      <c r="G2949" s="5" t="s">
        <v>1644</v>
      </c>
      <c r="H2949" s="5"/>
      <c r="I2949" s="6">
        <v>125849</v>
      </c>
    </row>
    <row r="2950" spans="1:9" x14ac:dyDescent="0.3">
      <c r="A2950" s="7" t="s">
        <v>2743</v>
      </c>
      <c r="H2950" s="8">
        <f>H2938+H2939+H2940+H2941+H2942+H2943+H2944+H2945+H2946+H2947+H2948+H2949</f>
        <v>125849</v>
      </c>
      <c r="I2950" s="8">
        <f>I2938+I2939+I2940+I2941+I2942+I2943+I2944+I2945+I2946+I2947+I2948+I2949</f>
        <v>125849</v>
      </c>
    </row>
    <row r="2951" spans="1:9" x14ac:dyDescent="0.3">
      <c r="A2951" s="4" t="s">
        <v>2744</v>
      </c>
    </row>
    <row r="2952" spans="1:9" x14ac:dyDescent="0.3">
      <c r="B2952" s="5" t="s">
        <v>2722</v>
      </c>
      <c r="C2952" s="5" t="s">
        <v>2745</v>
      </c>
      <c r="D2952" s="5" t="s">
        <v>2746</v>
      </c>
      <c r="E2952" s="5" t="s">
        <v>2747</v>
      </c>
      <c r="F2952" s="5" t="s">
        <v>2748</v>
      </c>
      <c r="G2952" s="5" t="s">
        <v>2749</v>
      </c>
      <c r="H2952" s="6">
        <v>2090</v>
      </c>
      <c r="I2952" s="5"/>
    </row>
    <row r="2953" spans="1:9" x14ac:dyDescent="0.3">
      <c r="B2953" s="5" t="s">
        <v>2722</v>
      </c>
      <c r="C2953" s="5" t="s">
        <v>2745</v>
      </c>
      <c r="D2953" s="5" t="s">
        <v>2746</v>
      </c>
      <c r="E2953" s="5" t="s">
        <v>2750</v>
      </c>
      <c r="F2953" s="5" t="s">
        <v>847</v>
      </c>
      <c r="G2953" s="5" t="s">
        <v>848</v>
      </c>
      <c r="H2953" s="5"/>
      <c r="I2953" s="6">
        <v>2090</v>
      </c>
    </row>
    <row r="2954" spans="1:9" x14ac:dyDescent="0.3">
      <c r="A2954" s="7" t="s">
        <v>2751</v>
      </c>
      <c r="H2954" s="8">
        <f>H2952+H2953</f>
        <v>2090</v>
      </c>
      <c r="I2954" s="8">
        <f>I2952+I2953</f>
        <v>2090</v>
      </c>
    </row>
    <row r="2955" spans="1:9" x14ac:dyDescent="0.3">
      <c r="A2955" s="4" t="s">
        <v>2752</v>
      </c>
    </row>
    <row r="2956" spans="1:9" x14ac:dyDescent="0.3">
      <c r="B2956" s="5" t="s">
        <v>2753</v>
      </c>
      <c r="C2956" s="5" t="s">
        <v>10</v>
      </c>
      <c r="D2956" s="5" t="s">
        <v>2754</v>
      </c>
      <c r="E2956" s="5" t="s">
        <v>2755</v>
      </c>
      <c r="F2956" s="5" t="s">
        <v>61</v>
      </c>
      <c r="G2956" s="5" t="s">
        <v>62</v>
      </c>
      <c r="H2956" s="6">
        <v>260</v>
      </c>
      <c r="I2956" s="5"/>
    </row>
    <row r="2957" spans="1:9" x14ac:dyDescent="0.3">
      <c r="B2957" s="5" t="s">
        <v>2753</v>
      </c>
      <c r="C2957" s="5" t="s">
        <v>10</v>
      </c>
      <c r="D2957" s="5" t="s">
        <v>2754</v>
      </c>
      <c r="E2957" s="5" t="s">
        <v>2755</v>
      </c>
      <c r="F2957" s="5" t="s">
        <v>1643</v>
      </c>
      <c r="G2957" s="5" t="s">
        <v>1644</v>
      </c>
      <c r="H2957" s="5"/>
      <c r="I2957" s="6">
        <v>260</v>
      </c>
    </row>
    <row r="2958" spans="1:9" x14ac:dyDescent="0.3">
      <c r="B2958" s="5" t="s">
        <v>2753</v>
      </c>
      <c r="C2958" s="5" t="s">
        <v>10</v>
      </c>
      <c r="D2958" s="5" t="s">
        <v>2754</v>
      </c>
      <c r="E2958" s="5" t="s">
        <v>2756</v>
      </c>
      <c r="F2958" s="5" t="s">
        <v>867</v>
      </c>
      <c r="G2958" s="5" t="s">
        <v>868</v>
      </c>
      <c r="H2958" s="6">
        <v>497.29</v>
      </c>
      <c r="I2958" s="5"/>
    </row>
    <row r="2959" spans="1:9" x14ac:dyDescent="0.3">
      <c r="B2959" s="5" t="s">
        <v>2753</v>
      </c>
      <c r="C2959" s="5" t="s">
        <v>10</v>
      </c>
      <c r="D2959" s="5" t="s">
        <v>2754</v>
      </c>
      <c r="E2959" s="5" t="s">
        <v>2756</v>
      </c>
      <c r="F2959" s="5" t="s">
        <v>2729</v>
      </c>
      <c r="G2959" s="5" t="s">
        <v>2730</v>
      </c>
      <c r="H2959" s="5"/>
      <c r="I2959" s="6">
        <v>497.29</v>
      </c>
    </row>
    <row r="2960" spans="1:9" x14ac:dyDescent="0.3">
      <c r="A2960" s="7" t="s">
        <v>2757</v>
      </c>
      <c r="H2960" s="8">
        <f>H2956+H2957+H2958+H2959</f>
        <v>757.29</v>
      </c>
      <c r="I2960" s="8">
        <f>I2956+I2957+I2958+I2959</f>
        <v>757.29</v>
      </c>
    </row>
    <row r="2961" spans="1:9" x14ac:dyDescent="0.3">
      <c r="A2961" s="4" t="s">
        <v>2758</v>
      </c>
    </row>
    <row r="2962" spans="1:9" x14ac:dyDescent="0.3">
      <c r="B2962" s="5" t="s">
        <v>2753</v>
      </c>
      <c r="C2962" s="5" t="s">
        <v>2745</v>
      </c>
      <c r="D2962" s="5" t="s">
        <v>2759</v>
      </c>
      <c r="E2962" s="5" t="s">
        <v>2747</v>
      </c>
      <c r="F2962" s="5" t="s">
        <v>2748</v>
      </c>
      <c r="G2962" s="5" t="s">
        <v>2749</v>
      </c>
      <c r="H2962" s="6">
        <v>3260</v>
      </c>
      <c r="I2962" s="5"/>
    </row>
    <row r="2963" spans="1:9" x14ac:dyDescent="0.3">
      <c r="B2963" s="5" t="s">
        <v>2753</v>
      </c>
      <c r="C2963" s="5" t="s">
        <v>2745</v>
      </c>
      <c r="D2963" s="5" t="s">
        <v>2759</v>
      </c>
      <c r="E2963" s="5" t="s">
        <v>2750</v>
      </c>
      <c r="F2963" s="5" t="s">
        <v>847</v>
      </c>
      <c r="G2963" s="5" t="s">
        <v>848</v>
      </c>
      <c r="H2963" s="5"/>
      <c r="I2963" s="6">
        <v>3260</v>
      </c>
    </row>
    <row r="2964" spans="1:9" x14ac:dyDescent="0.3">
      <c r="A2964" s="7" t="s">
        <v>2760</v>
      </c>
      <c r="H2964" s="8">
        <f>H2962+H2963</f>
        <v>3260</v>
      </c>
      <c r="I2964" s="8">
        <f>I2962+I2963</f>
        <v>3260</v>
      </c>
    </row>
    <row r="2965" spans="1:9" x14ac:dyDescent="0.3">
      <c r="A2965" s="4" t="s">
        <v>2761</v>
      </c>
    </row>
    <row r="2966" spans="1:9" x14ac:dyDescent="0.3">
      <c r="B2966" s="5" t="s">
        <v>2762</v>
      </c>
      <c r="C2966" s="5" t="s">
        <v>10</v>
      </c>
      <c r="D2966" s="5" t="s">
        <v>2763</v>
      </c>
      <c r="E2966" s="5" t="s">
        <v>2755</v>
      </c>
      <c r="F2966" s="5" t="s">
        <v>61</v>
      </c>
      <c r="G2966" s="5" t="s">
        <v>62</v>
      </c>
      <c r="H2966" s="6">
        <v>260</v>
      </c>
      <c r="I2966" s="5"/>
    </row>
    <row r="2967" spans="1:9" x14ac:dyDescent="0.3">
      <c r="B2967" s="5" t="s">
        <v>2762</v>
      </c>
      <c r="C2967" s="5" t="s">
        <v>10</v>
      </c>
      <c r="D2967" s="5" t="s">
        <v>2763</v>
      </c>
      <c r="E2967" s="5" t="s">
        <v>2755</v>
      </c>
      <c r="F2967" s="5" t="s">
        <v>1643</v>
      </c>
      <c r="G2967" s="5" t="s">
        <v>1644</v>
      </c>
      <c r="H2967" s="5"/>
      <c r="I2967" s="6">
        <v>260</v>
      </c>
    </row>
    <row r="2968" spans="1:9" x14ac:dyDescent="0.3">
      <c r="A2968" s="7" t="s">
        <v>2764</v>
      </c>
      <c r="H2968" s="8">
        <f>H2966+H2967</f>
        <v>260</v>
      </c>
      <c r="I2968" s="8">
        <f>I2966+I2967</f>
        <v>260</v>
      </c>
    </row>
    <row r="2969" spans="1:9" x14ac:dyDescent="0.3">
      <c r="A2969" s="4" t="s">
        <v>2765</v>
      </c>
    </row>
    <row r="2970" spans="1:9" x14ac:dyDescent="0.3">
      <c r="B2970" s="5" t="s">
        <v>2766</v>
      </c>
      <c r="C2970" s="5" t="s">
        <v>10</v>
      </c>
      <c r="D2970" s="5" t="s">
        <v>2767</v>
      </c>
      <c r="E2970" s="5" t="s">
        <v>2768</v>
      </c>
      <c r="F2970" s="5" t="s">
        <v>166</v>
      </c>
      <c r="G2970" s="5" t="s">
        <v>167</v>
      </c>
      <c r="H2970" s="6">
        <v>1900</v>
      </c>
      <c r="I2970" s="5"/>
    </row>
    <row r="2971" spans="1:9" x14ac:dyDescent="0.3">
      <c r="B2971" s="5" t="s">
        <v>2766</v>
      </c>
      <c r="C2971" s="5" t="s">
        <v>10</v>
      </c>
      <c r="D2971" s="5" t="s">
        <v>2767</v>
      </c>
      <c r="E2971" s="5" t="s">
        <v>2769</v>
      </c>
      <c r="F2971" s="5" t="s">
        <v>67</v>
      </c>
      <c r="G2971" s="5" t="s">
        <v>68</v>
      </c>
      <c r="H2971" s="6">
        <v>50</v>
      </c>
      <c r="I2971" s="5"/>
    </row>
    <row r="2972" spans="1:9" x14ac:dyDescent="0.3">
      <c r="B2972" s="5" t="s">
        <v>2766</v>
      </c>
      <c r="C2972" s="5" t="s">
        <v>10</v>
      </c>
      <c r="D2972" s="5" t="s">
        <v>2767</v>
      </c>
      <c r="E2972" s="5" t="s">
        <v>2770</v>
      </c>
      <c r="F2972" s="5" t="s">
        <v>1643</v>
      </c>
      <c r="G2972" s="5" t="s">
        <v>1644</v>
      </c>
      <c r="H2972" s="5"/>
      <c r="I2972" s="6">
        <v>1950</v>
      </c>
    </row>
    <row r="2973" spans="1:9" x14ac:dyDescent="0.3">
      <c r="A2973" s="7" t="s">
        <v>2771</v>
      </c>
      <c r="H2973" s="8">
        <f>H2970+H2971+H2972</f>
        <v>1950</v>
      </c>
      <c r="I2973" s="8">
        <f>I2970+I2971+I2972</f>
        <v>1950</v>
      </c>
    </row>
    <row r="2974" spans="1:9" x14ac:dyDescent="0.3">
      <c r="A2974" s="4" t="s">
        <v>2772</v>
      </c>
    </row>
    <row r="2975" spans="1:9" x14ac:dyDescent="0.3">
      <c r="B2975" s="5" t="s">
        <v>2766</v>
      </c>
      <c r="C2975" s="5" t="s">
        <v>10</v>
      </c>
      <c r="D2975" s="5" t="s">
        <v>2773</v>
      </c>
      <c r="E2975" s="5" t="s">
        <v>2755</v>
      </c>
      <c r="F2975" s="5" t="s">
        <v>61</v>
      </c>
      <c r="G2975" s="5" t="s">
        <v>62</v>
      </c>
      <c r="H2975" s="6">
        <v>410</v>
      </c>
      <c r="I2975" s="5"/>
    </row>
    <row r="2976" spans="1:9" x14ac:dyDescent="0.3">
      <c r="B2976" s="5" t="s">
        <v>2766</v>
      </c>
      <c r="C2976" s="5" t="s">
        <v>10</v>
      </c>
      <c r="D2976" s="5" t="s">
        <v>2773</v>
      </c>
      <c r="E2976" s="5" t="s">
        <v>2755</v>
      </c>
      <c r="F2976" s="5" t="s">
        <v>1643</v>
      </c>
      <c r="G2976" s="5" t="s">
        <v>1644</v>
      </c>
      <c r="H2976" s="5"/>
      <c r="I2976" s="6">
        <v>410</v>
      </c>
    </row>
    <row r="2977" spans="1:9" x14ac:dyDescent="0.3">
      <c r="A2977" s="7" t="s">
        <v>2774</v>
      </c>
      <c r="H2977" s="8">
        <f>H2975+H2976</f>
        <v>410</v>
      </c>
      <c r="I2977" s="8">
        <f>I2975+I2976</f>
        <v>410</v>
      </c>
    </row>
    <row r="2978" spans="1:9" x14ac:dyDescent="0.3">
      <c r="A2978" s="4" t="s">
        <v>2775</v>
      </c>
    </row>
    <row r="2979" spans="1:9" x14ac:dyDescent="0.3">
      <c r="B2979" s="5" t="s">
        <v>2766</v>
      </c>
      <c r="C2979" s="5" t="s">
        <v>10</v>
      </c>
      <c r="D2979" s="5" t="s">
        <v>2776</v>
      </c>
      <c r="E2979" s="5" t="s">
        <v>2777</v>
      </c>
      <c r="F2979" s="5" t="s">
        <v>113</v>
      </c>
      <c r="G2979" s="5" t="s">
        <v>114</v>
      </c>
      <c r="H2979" s="6">
        <v>500</v>
      </c>
      <c r="I2979" s="5"/>
    </row>
    <row r="2980" spans="1:9" x14ac:dyDescent="0.3">
      <c r="B2980" s="5" t="s">
        <v>2766</v>
      </c>
      <c r="C2980" s="5" t="s">
        <v>10</v>
      </c>
      <c r="D2980" s="5" t="s">
        <v>2776</v>
      </c>
      <c r="E2980" s="5" t="s">
        <v>2777</v>
      </c>
      <c r="F2980" s="5" t="s">
        <v>1643</v>
      </c>
      <c r="G2980" s="5" t="s">
        <v>1644</v>
      </c>
      <c r="H2980" s="5"/>
      <c r="I2980" s="6">
        <v>500</v>
      </c>
    </row>
    <row r="2981" spans="1:9" x14ac:dyDescent="0.3">
      <c r="A2981" s="7" t="s">
        <v>2778</v>
      </c>
      <c r="H2981" s="8">
        <f>H2979+H2980</f>
        <v>500</v>
      </c>
      <c r="I2981" s="8">
        <f>I2979+I2980</f>
        <v>500</v>
      </c>
    </row>
    <row r="2982" spans="1:9" x14ac:dyDescent="0.3">
      <c r="A2982" s="4" t="s">
        <v>2779</v>
      </c>
    </row>
    <row r="2983" spans="1:9" x14ac:dyDescent="0.3">
      <c r="B2983" s="5" t="s">
        <v>2780</v>
      </c>
      <c r="C2983" s="5" t="s">
        <v>10</v>
      </c>
      <c r="D2983" s="5" t="s">
        <v>2781</v>
      </c>
      <c r="E2983" s="5" t="s">
        <v>2755</v>
      </c>
      <c r="F2983" s="5" t="s">
        <v>61</v>
      </c>
      <c r="G2983" s="5" t="s">
        <v>62</v>
      </c>
      <c r="H2983" s="6">
        <v>1040</v>
      </c>
      <c r="I2983" s="5"/>
    </row>
    <row r="2984" spans="1:9" x14ac:dyDescent="0.3">
      <c r="B2984" s="5" t="s">
        <v>2780</v>
      </c>
      <c r="C2984" s="5" t="s">
        <v>10</v>
      </c>
      <c r="D2984" s="5" t="s">
        <v>2781</v>
      </c>
      <c r="E2984" s="5" t="s">
        <v>2755</v>
      </c>
      <c r="F2984" s="5" t="s">
        <v>1643</v>
      </c>
      <c r="G2984" s="5" t="s">
        <v>1644</v>
      </c>
      <c r="H2984" s="5"/>
      <c r="I2984" s="6">
        <v>1040</v>
      </c>
    </row>
    <row r="2985" spans="1:9" x14ac:dyDescent="0.3">
      <c r="A2985" s="7" t="s">
        <v>2782</v>
      </c>
      <c r="H2985" s="8">
        <f>H2983+H2984</f>
        <v>1040</v>
      </c>
      <c r="I2985" s="8">
        <f>I2983+I2984</f>
        <v>1040</v>
      </c>
    </row>
    <row r="2986" spans="1:9" x14ac:dyDescent="0.3">
      <c r="A2986" s="4" t="s">
        <v>2783</v>
      </c>
    </row>
    <row r="2987" spans="1:9" x14ac:dyDescent="0.3">
      <c r="B2987" s="5" t="s">
        <v>2784</v>
      </c>
      <c r="C2987" s="5" t="s">
        <v>10</v>
      </c>
      <c r="D2987" s="5" t="s">
        <v>2785</v>
      </c>
      <c r="E2987" s="5" t="s">
        <v>2755</v>
      </c>
      <c r="F2987" s="5" t="s">
        <v>61</v>
      </c>
      <c r="G2987" s="5" t="s">
        <v>62</v>
      </c>
      <c r="H2987" s="6">
        <v>570</v>
      </c>
      <c r="I2987" s="5"/>
    </row>
    <row r="2988" spans="1:9" x14ac:dyDescent="0.3">
      <c r="B2988" s="5" t="s">
        <v>2784</v>
      </c>
      <c r="C2988" s="5" t="s">
        <v>10</v>
      </c>
      <c r="D2988" s="5" t="s">
        <v>2785</v>
      </c>
      <c r="E2988" s="5" t="s">
        <v>2755</v>
      </c>
      <c r="F2988" s="5" t="s">
        <v>1643</v>
      </c>
      <c r="G2988" s="5" t="s">
        <v>1644</v>
      </c>
      <c r="H2988" s="5"/>
      <c r="I2988" s="6">
        <v>570</v>
      </c>
    </row>
    <row r="2989" spans="1:9" x14ac:dyDescent="0.3">
      <c r="A2989" s="7" t="s">
        <v>2786</v>
      </c>
      <c r="H2989" s="8">
        <f>H2987+H2988</f>
        <v>570</v>
      </c>
      <c r="I2989" s="8">
        <f>I2987+I2988</f>
        <v>570</v>
      </c>
    </row>
    <row r="2990" spans="1:9" x14ac:dyDescent="0.3">
      <c r="A2990" s="4" t="s">
        <v>2787</v>
      </c>
    </row>
    <row r="2991" spans="1:9" x14ac:dyDescent="0.3">
      <c r="B2991" s="5" t="s">
        <v>2788</v>
      </c>
      <c r="C2991" s="5" t="s">
        <v>10</v>
      </c>
      <c r="D2991" s="5" t="s">
        <v>2789</v>
      </c>
      <c r="E2991" s="5" t="s">
        <v>2790</v>
      </c>
      <c r="F2991" s="5" t="s">
        <v>67</v>
      </c>
      <c r="G2991" s="5" t="s">
        <v>68</v>
      </c>
      <c r="H2991" s="6">
        <v>100</v>
      </c>
      <c r="I2991" s="5"/>
    </row>
    <row r="2992" spans="1:9" x14ac:dyDescent="0.3">
      <c r="B2992" s="5" t="s">
        <v>2788</v>
      </c>
      <c r="C2992" s="5" t="s">
        <v>10</v>
      </c>
      <c r="D2992" s="5" t="s">
        <v>2789</v>
      </c>
      <c r="E2992" s="5" t="s">
        <v>2790</v>
      </c>
      <c r="F2992" s="5" t="s">
        <v>1643</v>
      </c>
      <c r="G2992" s="5" t="s">
        <v>1644</v>
      </c>
      <c r="H2992" s="5"/>
      <c r="I2992" s="6">
        <v>100</v>
      </c>
    </row>
    <row r="2993" spans="1:9" x14ac:dyDescent="0.3">
      <c r="A2993" s="7" t="s">
        <v>2791</v>
      </c>
      <c r="H2993" s="8">
        <f>H2991+H2992</f>
        <v>100</v>
      </c>
      <c r="I2993" s="8">
        <f>I2991+I2992</f>
        <v>100</v>
      </c>
    </row>
    <row r="2994" spans="1:9" x14ac:dyDescent="0.3">
      <c r="A2994" s="4" t="s">
        <v>2792</v>
      </c>
    </row>
    <row r="2995" spans="1:9" x14ac:dyDescent="0.3">
      <c r="B2995" s="5" t="s">
        <v>2788</v>
      </c>
      <c r="C2995" s="5" t="s">
        <v>10</v>
      </c>
      <c r="D2995" s="5" t="s">
        <v>2793</v>
      </c>
      <c r="E2995" s="5" t="s">
        <v>2794</v>
      </c>
      <c r="F2995" s="5" t="s">
        <v>61</v>
      </c>
      <c r="G2995" s="5" t="s">
        <v>62</v>
      </c>
      <c r="H2995" s="6">
        <v>1080</v>
      </c>
      <c r="I2995" s="5"/>
    </row>
    <row r="2996" spans="1:9" x14ac:dyDescent="0.3">
      <c r="B2996" s="5" t="s">
        <v>2788</v>
      </c>
      <c r="C2996" s="5" t="s">
        <v>10</v>
      </c>
      <c r="D2996" s="5" t="s">
        <v>2793</v>
      </c>
      <c r="E2996" s="5" t="s">
        <v>2794</v>
      </c>
      <c r="F2996" s="5" t="s">
        <v>129</v>
      </c>
      <c r="G2996" s="5" t="s">
        <v>130</v>
      </c>
      <c r="H2996" s="6">
        <v>100</v>
      </c>
      <c r="I2996" s="5"/>
    </row>
    <row r="2997" spans="1:9" x14ac:dyDescent="0.3">
      <c r="B2997" s="5" t="s">
        <v>2788</v>
      </c>
      <c r="C2997" s="5" t="s">
        <v>10</v>
      </c>
      <c r="D2997" s="5" t="s">
        <v>2793</v>
      </c>
      <c r="E2997" s="5" t="s">
        <v>2794</v>
      </c>
      <c r="F2997" s="5" t="s">
        <v>1643</v>
      </c>
      <c r="G2997" s="5" t="s">
        <v>1644</v>
      </c>
      <c r="H2997" s="5"/>
      <c r="I2997" s="6">
        <v>1180</v>
      </c>
    </row>
    <row r="2998" spans="1:9" x14ac:dyDescent="0.3">
      <c r="A2998" s="7" t="s">
        <v>2795</v>
      </c>
      <c r="H2998" s="8">
        <f>H2995+H2996+H2997</f>
        <v>1180</v>
      </c>
      <c r="I2998" s="8">
        <f>I2995+I2996+I2997</f>
        <v>1180</v>
      </c>
    </row>
    <row r="2999" spans="1:9" x14ac:dyDescent="0.3">
      <c r="A2999" s="4" t="s">
        <v>2796</v>
      </c>
    </row>
    <row r="3000" spans="1:9" x14ac:dyDescent="0.3">
      <c r="B3000" s="5" t="s">
        <v>2797</v>
      </c>
      <c r="C3000" s="5" t="s">
        <v>10</v>
      </c>
      <c r="D3000" s="5" t="s">
        <v>2798</v>
      </c>
      <c r="E3000" s="5" t="s">
        <v>2799</v>
      </c>
      <c r="F3000" s="5" t="s">
        <v>61</v>
      </c>
      <c r="G3000" s="5" t="s">
        <v>62</v>
      </c>
      <c r="H3000" s="6">
        <v>1400</v>
      </c>
      <c r="I3000" s="5"/>
    </row>
    <row r="3001" spans="1:9" x14ac:dyDescent="0.3">
      <c r="B3001" s="5" t="s">
        <v>2797</v>
      </c>
      <c r="C3001" s="5" t="s">
        <v>10</v>
      </c>
      <c r="D3001" s="5" t="s">
        <v>2798</v>
      </c>
      <c r="E3001" s="5" t="s">
        <v>2800</v>
      </c>
      <c r="F3001" s="5" t="s">
        <v>67</v>
      </c>
      <c r="G3001" s="5" t="s">
        <v>68</v>
      </c>
      <c r="H3001" s="6">
        <v>1400</v>
      </c>
      <c r="I3001" s="5"/>
    </row>
    <row r="3002" spans="1:9" x14ac:dyDescent="0.3">
      <c r="B3002" s="5" t="s">
        <v>2797</v>
      </c>
      <c r="C3002" s="5" t="s">
        <v>10</v>
      </c>
      <c r="D3002" s="5" t="s">
        <v>2798</v>
      </c>
      <c r="E3002" s="5" t="s">
        <v>2801</v>
      </c>
      <c r="F3002" s="5" t="s">
        <v>61</v>
      </c>
      <c r="G3002" s="5" t="s">
        <v>62</v>
      </c>
      <c r="H3002" s="6">
        <v>800</v>
      </c>
      <c r="I3002" s="5"/>
    </row>
    <row r="3003" spans="1:9" x14ac:dyDescent="0.3">
      <c r="B3003" s="5" t="s">
        <v>2797</v>
      </c>
      <c r="C3003" s="5" t="s">
        <v>10</v>
      </c>
      <c r="D3003" s="5" t="s">
        <v>2798</v>
      </c>
      <c r="E3003" s="5" t="s">
        <v>2802</v>
      </c>
      <c r="F3003" s="5" t="s">
        <v>61</v>
      </c>
      <c r="G3003" s="5" t="s">
        <v>62</v>
      </c>
      <c r="H3003" s="6">
        <v>250</v>
      </c>
      <c r="I3003" s="5"/>
    </row>
    <row r="3004" spans="1:9" x14ac:dyDescent="0.3">
      <c r="B3004" s="5" t="s">
        <v>2797</v>
      </c>
      <c r="C3004" s="5" t="s">
        <v>10</v>
      </c>
      <c r="D3004" s="5" t="s">
        <v>2798</v>
      </c>
      <c r="E3004" s="5" t="s">
        <v>2803</v>
      </c>
      <c r="F3004" s="5" t="s">
        <v>35</v>
      </c>
      <c r="G3004" s="5" t="s">
        <v>36</v>
      </c>
      <c r="H3004" s="6">
        <v>561</v>
      </c>
      <c r="I3004" s="5"/>
    </row>
    <row r="3005" spans="1:9" x14ac:dyDescent="0.3">
      <c r="B3005" s="5" t="s">
        <v>2797</v>
      </c>
      <c r="C3005" s="5" t="s">
        <v>10</v>
      </c>
      <c r="D3005" s="5" t="s">
        <v>2798</v>
      </c>
      <c r="E3005" s="5" t="s">
        <v>2803</v>
      </c>
      <c r="F3005" s="5" t="s">
        <v>35</v>
      </c>
      <c r="G3005" s="5" t="s">
        <v>36</v>
      </c>
      <c r="H3005" s="6">
        <v>252</v>
      </c>
      <c r="I3005" s="5"/>
    </row>
    <row r="3006" spans="1:9" x14ac:dyDescent="0.3">
      <c r="B3006" s="5" t="s">
        <v>2797</v>
      </c>
      <c r="C3006" s="5" t="s">
        <v>10</v>
      </c>
      <c r="D3006" s="5" t="s">
        <v>2798</v>
      </c>
      <c r="E3006" s="5" t="s">
        <v>2804</v>
      </c>
      <c r="F3006" s="5" t="s">
        <v>61</v>
      </c>
      <c r="G3006" s="5" t="s">
        <v>62</v>
      </c>
      <c r="H3006" s="6">
        <v>1000</v>
      </c>
      <c r="I3006" s="5"/>
    </row>
    <row r="3007" spans="1:9" x14ac:dyDescent="0.3">
      <c r="B3007" s="5" t="s">
        <v>2797</v>
      </c>
      <c r="C3007" s="5" t="s">
        <v>10</v>
      </c>
      <c r="D3007" s="5" t="s">
        <v>2798</v>
      </c>
      <c r="E3007" s="5" t="s">
        <v>2805</v>
      </c>
      <c r="F3007" s="5" t="s">
        <v>35</v>
      </c>
      <c r="G3007" s="5" t="s">
        <v>36</v>
      </c>
      <c r="H3007" s="6">
        <v>530</v>
      </c>
      <c r="I3007" s="5"/>
    </row>
    <row r="3008" spans="1:9" x14ac:dyDescent="0.3">
      <c r="B3008" s="5" t="s">
        <v>2797</v>
      </c>
      <c r="C3008" s="5" t="s">
        <v>10</v>
      </c>
      <c r="D3008" s="5" t="s">
        <v>2798</v>
      </c>
      <c r="E3008" s="5" t="s">
        <v>533</v>
      </c>
      <c r="F3008" s="5" t="s">
        <v>61</v>
      </c>
      <c r="G3008" s="5" t="s">
        <v>62</v>
      </c>
      <c r="H3008" s="6">
        <v>2000</v>
      </c>
      <c r="I3008" s="5"/>
    </row>
    <row r="3009" spans="1:9" x14ac:dyDescent="0.3">
      <c r="B3009" s="5" t="s">
        <v>2797</v>
      </c>
      <c r="C3009" s="5" t="s">
        <v>10</v>
      </c>
      <c r="D3009" s="5" t="s">
        <v>2798</v>
      </c>
      <c r="E3009" s="5" t="s">
        <v>2806</v>
      </c>
      <c r="F3009" s="5" t="s">
        <v>35</v>
      </c>
      <c r="G3009" s="5" t="s">
        <v>36</v>
      </c>
      <c r="H3009" s="6">
        <v>200</v>
      </c>
      <c r="I3009" s="5"/>
    </row>
    <row r="3010" spans="1:9" x14ac:dyDescent="0.3">
      <c r="B3010" s="5" t="s">
        <v>2797</v>
      </c>
      <c r="C3010" s="5" t="s">
        <v>10</v>
      </c>
      <c r="D3010" s="5" t="s">
        <v>2798</v>
      </c>
      <c r="E3010" s="5" t="s">
        <v>2807</v>
      </c>
      <c r="F3010" s="5" t="s">
        <v>421</v>
      </c>
      <c r="G3010" s="5" t="s">
        <v>422</v>
      </c>
      <c r="H3010" s="6">
        <v>2834</v>
      </c>
      <c r="I3010" s="5"/>
    </row>
    <row r="3011" spans="1:9" x14ac:dyDescent="0.3">
      <c r="B3011" s="5" t="s">
        <v>2797</v>
      </c>
      <c r="C3011" s="5" t="s">
        <v>10</v>
      </c>
      <c r="D3011" s="5" t="s">
        <v>2798</v>
      </c>
      <c r="E3011" s="5" t="s">
        <v>2808</v>
      </c>
      <c r="F3011" s="5" t="s">
        <v>1643</v>
      </c>
      <c r="G3011" s="5" t="s">
        <v>1644</v>
      </c>
      <c r="H3011" s="5"/>
      <c r="I3011" s="6">
        <v>1227</v>
      </c>
    </row>
    <row r="3012" spans="1:9" x14ac:dyDescent="0.3">
      <c r="B3012" s="5" t="s">
        <v>2797</v>
      </c>
      <c r="C3012" s="5" t="s">
        <v>10</v>
      </c>
      <c r="D3012" s="5" t="s">
        <v>2798</v>
      </c>
      <c r="E3012" s="5" t="s">
        <v>2809</v>
      </c>
      <c r="F3012" s="5" t="s">
        <v>1022</v>
      </c>
      <c r="G3012" s="5" t="s">
        <v>1023</v>
      </c>
      <c r="H3012" s="5"/>
      <c r="I3012" s="6">
        <v>10000</v>
      </c>
    </row>
    <row r="3013" spans="1:9" x14ac:dyDescent="0.3">
      <c r="A3013" s="7" t="s">
        <v>2810</v>
      </c>
      <c r="H3013" s="8">
        <f>H3000+H3001+H3002+H3003+H3004+H3005+H3006+H3007+H3008+H3009+H3010+H3011+H3012</f>
        <v>11227</v>
      </c>
      <c r="I3013" s="8">
        <f>I3000+I3001+I3002+I3003+I3004+I3005+I3006+I3007+I3008+I3009+I3010+I3011+I3012</f>
        <v>11227</v>
      </c>
    </row>
    <row r="3014" spans="1:9" x14ac:dyDescent="0.3">
      <c r="A3014" s="4" t="s">
        <v>2811</v>
      </c>
    </row>
    <row r="3015" spans="1:9" x14ac:dyDescent="0.3">
      <c r="B3015" s="5" t="s">
        <v>2797</v>
      </c>
      <c r="C3015" s="5" t="s">
        <v>10</v>
      </c>
      <c r="D3015" s="5" t="s">
        <v>2812</v>
      </c>
      <c r="E3015" s="5" t="s">
        <v>2813</v>
      </c>
      <c r="F3015" s="5" t="s">
        <v>61</v>
      </c>
      <c r="G3015" s="5" t="s">
        <v>62</v>
      </c>
      <c r="H3015" s="6">
        <v>1240</v>
      </c>
      <c r="I3015" s="5"/>
    </row>
    <row r="3016" spans="1:9" x14ac:dyDescent="0.3">
      <c r="B3016" s="5" t="s">
        <v>2797</v>
      </c>
      <c r="C3016" s="5" t="s">
        <v>10</v>
      </c>
      <c r="D3016" s="5" t="s">
        <v>2812</v>
      </c>
      <c r="E3016" s="5" t="s">
        <v>2814</v>
      </c>
      <c r="F3016" s="5" t="s">
        <v>35</v>
      </c>
      <c r="G3016" s="5" t="s">
        <v>36</v>
      </c>
      <c r="H3016" s="6">
        <v>130</v>
      </c>
      <c r="I3016" s="5"/>
    </row>
    <row r="3017" spans="1:9" x14ac:dyDescent="0.3">
      <c r="B3017" s="5" t="s">
        <v>2797</v>
      </c>
      <c r="C3017" s="5" t="s">
        <v>10</v>
      </c>
      <c r="D3017" s="5" t="s">
        <v>2812</v>
      </c>
      <c r="E3017" s="5" t="s">
        <v>590</v>
      </c>
      <c r="F3017" s="5" t="s">
        <v>61</v>
      </c>
      <c r="G3017" s="5" t="s">
        <v>62</v>
      </c>
      <c r="H3017" s="6">
        <v>3460</v>
      </c>
      <c r="I3017" s="5"/>
    </row>
    <row r="3018" spans="1:9" x14ac:dyDescent="0.3">
      <c r="B3018" s="5" t="s">
        <v>2797</v>
      </c>
      <c r="C3018" s="5" t="s">
        <v>10</v>
      </c>
      <c r="D3018" s="5" t="s">
        <v>2812</v>
      </c>
      <c r="E3018" s="5" t="s">
        <v>2814</v>
      </c>
      <c r="F3018" s="5" t="s">
        <v>35</v>
      </c>
      <c r="G3018" s="5" t="s">
        <v>36</v>
      </c>
      <c r="H3018" s="6">
        <v>150</v>
      </c>
      <c r="I3018" s="5"/>
    </row>
    <row r="3019" spans="1:9" x14ac:dyDescent="0.3">
      <c r="B3019" s="5" t="s">
        <v>2797</v>
      </c>
      <c r="C3019" s="5" t="s">
        <v>10</v>
      </c>
      <c r="D3019" s="5" t="s">
        <v>2812</v>
      </c>
      <c r="E3019" s="5" t="s">
        <v>2612</v>
      </c>
      <c r="F3019" s="5" t="s">
        <v>35</v>
      </c>
      <c r="G3019" s="5" t="s">
        <v>36</v>
      </c>
      <c r="H3019" s="6">
        <v>1500</v>
      </c>
      <c r="I3019" s="5"/>
    </row>
    <row r="3020" spans="1:9" x14ac:dyDescent="0.3">
      <c r="B3020" s="5" t="s">
        <v>2797</v>
      </c>
      <c r="C3020" s="5" t="s">
        <v>10</v>
      </c>
      <c r="D3020" s="5" t="s">
        <v>2812</v>
      </c>
      <c r="E3020" s="5" t="s">
        <v>2814</v>
      </c>
      <c r="F3020" s="5" t="s">
        <v>35</v>
      </c>
      <c r="G3020" s="5" t="s">
        <v>36</v>
      </c>
      <c r="H3020" s="6">
        <v>150</v>
      </c>
      <c r="I3020" s="5"/>
    </row>
    <row r="3021" spans="1:9" x14ac:dyDescent="0.3">
      <c r="B3021" s="5" t="s">
        <v>2797</v>
      </c>
      <c r="C3021" s="5" t="s">
        <v>10</v>
      </c>
      <c r="D3021" s="5" t="s">
        <v>2812</v>
      </c>
      <c r="E3021" s="5" t="s">
        <v>822</v>
      </c>
      <c r="F3021" s="5" t="s">
        <v>61</v>
      </c>
      <c r="G3021" s="5" t="s">
        <v>62</v>
      </c>
      <c r="H3021" s="6">
        <v>2820</v>
      </c>
      <c r="I3021" s="5"/>
    </row>
    <row r="3022" spans="1:9" x14ac:dyDescent="0.3">
      <c r="B3022" s="5" t="s">
        <v>2797</v>
      </c>
      <c r="C3022" s="5" t="s">
        <v>10</v>
      </c>
      <c r="D3022" s="5" t="s">
        <v>2812</v>
      </c>
      <c r="E3022" s="5" t="s">
        <v>2815</v>
      </c>
      <c r="F3022" s="5" t="s">
        <v>70</v>
      </c>
      <c r="G3022" s="5" t="s">
        <v>71</v>
      </c>
      <c r="H3022" s="6">
        <v>330</v>
      </c>
      <c r="I3022" s="5"/>
    </row>
    <row r="3023" spans="1:9" x14ac:dyDescent="0.3">
      <c r="B3023" s="5" t="s">
        <v>2797</v>
      </c>
      <c r="C3023" s="5" t="s">
        <v>10</v>
      </c>
      <c r="D3023" s="5" t="s">
        <v>2812</v>
      </c>
      <c r="E3023" s="5" t="s">
        <v>2816</v>
      </c>
      <c r="F3023" s="5" t="s">
        <v>35</v>
      </c>
      <c r="G3023" s="5" t="s">
        <v>36</v>
      </c>
      <c r="H3023" s="6">
        <v>130</v>
      </c>
      <c r="I3023" s="5"/>
    </row>
    <row r="3024" spans="1:9" x14ac:dyDescent="0.3">
      <c r="B3024" s="5" t="s">
        <v>2797</v>
      </c>
      <c r="C3024" s="5" t="s">
        <v>10</v>
      </c>
      <c r="D3024" s="5" t="s">
        <v>2812</v>
      </c>
      <c r="E3024" s="5" t="s">
        <v>2817</v>
      </c>
      <c r="F3024" s="5" t="s">
        <v>335</v>
      </c>
      <c r="G3024" s="5" t="s">
        <v>336</v>
      </c>
      <c r="H3024" s="6">
        <v>670</v>
      </c>
      <c r="I3024" s="5"/>
    </row>
    <row r="3025" spans="1:9" x14ac:dyDescent="0.3">
      <c r="B3025" s="5" t="s">
        <v>2797</v>
      </c>
      <c r="C3025" s="5" t="s">
        <v>10</v>
      </c>
      <c r="D3025" s="5" t="s">
        <v>2812</v>
      </c>
      <c r="E3025" s="5" t="s">
        <v>559</v>
      </c>
      <c r="F3025" s="5" t="s">
        <v>113</v>
      </c>
      <c r="G3025" s="5" t="s">
        <v>114</v>
      </c>
      <c r="H3025" s="6">
        <v>120</v>
      </c>
      <c r="I3025" s="5"/>
    </row>
    <row r="3026" spans="1:9" x14ac:dyDescent="0.3">
      <c r="B3026" s="5" t="s">
        <v>2797</v>
      </c>
      <c r="C3026" s="5" t="s">
        <v>10</v>
      </c>
      <c r="D3026" s="5" t="s">
        <v>2812</v>
      </c>
      <c r="E3026" s="5" t="s">
        <v>2818</v>
      </c>
      <c r="F3026" s="5" t="s">
        <v>50</v>
      </c>
      <c r="G3026" s="5" t="s">
        <v>51</v>
      </c>
      <c r="H3026" s="6">
        <v>350</v>
      </c>
      <c r="I3026" s="5"/>
    </row>
    <row r="3027" spans="1:9" x14ac:dyDescent="0.3">
      <c r="B3027" s="5" t="s">
        <v>2797</v>
      </c>
      <c r="C3027" s="5" t="s">
        <v>10</v>
      </c>
      <c r="D3027" s="5" t="s">
        <v>2812</v>
      </c>
      <c r="E3027" s="5" t="s">
        <v>2819</v>
      </c>
      <c r="F3027" s="5" t="s">
        <v>35</v>
      </c>
      <c r="G3027" s="5" t="s">
        <v>36</v>
      </c>
      <c r="H3027" s="6">
        <v>450</v>
      </c>
      <c r="I3027" s="5"/>
    </row>
    <row r="3028" spans="1:9" x14ac:dyDescent="0.3">
      <c r="B3028" s="5" t="s">
        <v>2797</v>
      </c>
      <c r="C3028" s="5" t="s">
        <v>10</v>
      </c>
      <c r="D3028" s="5" t="s">
        <v>2812</v>
      </c>
      <c r="E3028" s="5" t="s">
        <v>2820</v>
      </c>
      <c r="F3028" s="5" t="s">
        <v>1643</v>
      </c>
      <c r="G3028" s="5" t="s">
        <v>1644</v>
      </c>
      <c r="H3028" s="5"/>
      <c r="I3028" s="6">
        <v>1500</v>
      </c>
    </row>
    <row r="3029" spans="1:9" x14ac:dyDescent="0.3">
      <c r="B3029" s="5" t="s">
        <v>2797</v>
      </c>
      <c r="C3029" s="5" t="s">
        <v>10</v>
      </c>
      <c r="D3029" s="5" t="s">
        <v>2812</v>
      </c>
      <c r="E3029" s="5" t="s">
        <v>2821</v>
      </c>
      <c r="F3029" s="5" t="s">
        <v>1022</v>
      </c>
      <c r="G3029" s="5" t="s">
        <v>1023</v>
      </c>
      <c r="H3029" s="5"/>
      <c r="I3029" s="6">
        <v>10000</v>
      </c>
    </row>
    <row r="3030" spans="1:9" x14ac:dyDescent="0.3">
      <c r="A3030" s="7" t="s">
        <v>2822</v>
      </c>
      <c r="H3030" s="8">
        <f>H3015+H3016+H3017+H3018+H3019+H3020+H3021+H3022+H3023+H3024+H3025+H3026+H3027+H3028+H3029</f>
        <v>11500</v>
      </c>
      <c r="I3030" s="8">
        <f>I3015+I3016+I3017+I3018+I3019+I3020+I3021+I3022+I3023+I3024+I3025+I3026+I3027+I3028+I3029</f>
        <v>11500</v>
      </c>
    </row>
    <row r="3031" spans="1:9" x14ac:dyDescent="0.3">
      <c r="A3031" s="4" t="s">
        <v>2823</v>
      </c>
    </row>
    <row r="3032" spans="1:9" x14ac:dyDescent="0.3">
      <c r="B3032" s="5" t="s">
        <v>2797</v>
      </c>
      <c r="C3032" s="5" t="s">
        <v>10</v>
      </c>
      <c r="D3032" s="5" t="s">
        <v>2824</v>
      </c>
      <c r="E3032" s="5" t="s">
        <v>2825</v>
      </c>
      <c r="F3032" s="5" t="s">
        <v>67</v>
      </c>
      <c r="G3032" s="5" t="s">
        <v>68</v>
      </c>
      <c r="H3032" s="6">
        <v>50</v>
      </c>
      <c r="I3032" s="5"/>
    </row>
    <row r="3033" spans="1:9" x14ac:dyDescent="0.3">
      <c r="B3033" s="5" t="s">
        <v>2797</v>
      </c>
      <c r="C3033" s="5" t="s">
        <v>10</v>
      </c>
      <c r="D3033" s="5" t="s">
        <v>2824</v>
      </c>
      <c r="E3033" s="5" t="s">
        <v>2825</v>
      </c>
      <c r="F3033" s="5" t="s">
        <v>1643</v>
      </c>
      <c r="G3033" s="5" t="s">
        <v>1644</v>
      </c>
      <c r="H3033" s="5"/>
      <c r="I3033" s="6">
        <v>50</v>
      </c>
    </row>
    <row r="3034" spans="1:9" x14ac:dyDescent="0.3">
      <c r="A3034" s="7" t="s">
        <v>2826</v>
      </c>
      <c r="H3034" s="8">
        <f>H3032+H3033</f>
        <v>50</v>
      </c>
      <c r="I3034" s="8">
        <f>I3032+I3033</f>
        <v>50</v>
      </c>
    </row>
    <row r="3035" spans="1:9" x14ac:dyDescent="0.3">
      <c r="A3035" s="4" t="s">
        <v>2827</v>
      </c>
    </row>
    <row r="3036" spans="1:9" x14ac:dyDescent="0.3">
      <c r="B3036" s="5" t="s">
        <v>2797</v>
      </c>
      <c r="C3036" s="5" t="s">
        <v>10</v>
      </c>
      <c r="D3036" s="5" t="s">
        <v>2828</v>
      </c>
      <c r="E3036" s="5" t="s">
        <v>1052</v>
      </c>
      <c r="F3036" s="5" t="s">
        <v>61</v>
      </c>
      <c r="G3036" s="5" t="s">
        <v>62</v>
      </c>
      <c r="H3036" s="6">
        <v>360</v>
      </c>
      <c r="I3036" s="5"/>
    </row>
    <row r="3037" spans="1:9" x14ac:dyDescent="0.3">
      <c r="B3037" s="5" t="s">
        <v>2797</v>
      </c>
      <c r="C3037" s="5" t="s">
        <v>10</v>
      </c>
      <c r="D3037" s="5" t="s">
        <v>2828</v>
      </c>
      <c r="E3037" s="5" t="s">
        <v>1324</v>
      </c>
      <c r="F3037" s="5" t="s">
        <v>64</v>
      </c>
      <c r="G3037" s="5" t="s">
        <v>65</v>
      </c>
      <c r="H3037" s="6">
        <v>100</v>
      </c>
      <c r="I3037" s="5"/>
    </row>
    <row r="3038" spans="1:9" x14ac:dyDescent="0.3">
      <c r="B3038" s="5" t="s">
        <v>2797</v>
      </c>
      <c r="C3038" s="5" t="s">
        <v>10</v>
      </c>
      <c r="D3038" s="5" t="s">
        <v>2828</v>
      </c>
      <c r="E3038" s="5" t="s">
        <v>2829</v>
      </c>
      <c r="F3038" s="5" t="s">
        <v>1643</v>
      </c>
      <c r="G3038" s="5" t="s">
        <v>1644</v>
      </c>
      <c r="H3038" s="5"/>
      <c r="I3038" s="6">
        <v>460</v>
      </c>
    </row>
    <row r="3039" spans="1:9" x14ac:dyDescent="0.3">
      <c r="A3039" s="7" t="s">
        <v>2830</v>
      </c>
      <c r="H3039" s="8">
        <f>H3036+H3037+H3038</f>
        <v>460</v>
      </c>
      <c r="I3039" s="8">
        <f>I3036+I3037+I3038</f>
        <v>460</v>
      </c>
    </row>
    <row r="3040" spans="1:9" x14ac:dyDescent="0.3">
      <c r="A3040" s="4" t="s">
        <v>2831</v>
      </c>
    </row>
    <row r="3041" spans="1:9" x14ac:dyDescent="0.3">
      <c r="B3041" s="5" t="s">
        <v>2832</v>
      </c>
      <c r="C3041" s="5" t="s">
        <v>10</v>
      </c>
      <c r="D3041" s="5" t="s">
        <v>2833</v>
      </c>
      <c r="E3041" s="5" t="s">
        <v>2834</v>
      </c>
      <c r="F3041" s="5" t="s">
        <v>1643</v>
      </c>
      <c r="G3041" s="5" t="s">
        <v>1644</v>
      </c>
      <c r="H3041" s="6">
        <v>9000</v>
      </c>
      <c r="I3041" s="5"/>
    </row>
    <row r="3042" spans="1:9" x14ac:dyDescent="0.3">
      <c r="B3042" s="5" t="s">
        <v>2832</v>
      </c>
      <c r="C3042" s="5" t="s">
        <v>10</v>
      </c>
      <c r="D3042" s="5" t="s">
        <v>2833</v>
      </c>
      <c r="E3042" s="5" t="s">
        <v>2834</v>
      </c>
      <c r="F3042" s="5" t="s">
        <v>13</v>
      </c>
      <c r="G3042" s="5" t="s">
        <v>14</v>
      </c>
      <c r="H3042" s="5"/>
      <c r="I3042" s="6">
        <v>9000</v>
      </c>
    </row>
    <row r="3043" spans="1:9" x14ac:dyDescent="0.3">
      <c r="A3043" s="7" t="s">
        <v>2835</v>
      </c>
      <c r="H3043" s="8">
        <f>H3041+H3042</f>
        <v>9000</v>
      </c>
      <c r="I3043" s="8">
        <f>I3041+I3042</f>
        <v>9000</v>
      </c>
    </row>
    <row r="3044" spans="1:9" x14ac:dyDescent="0.3">
      <c r="A3044" s="4" t="s">
        <v>2836</v>
      </c>
    </row>
    <row r="3045" spans="1:9" x14ac:dyDescent="0.3">
      <c r="B3045" s="5" t="s">
        <v>2832</v>
      </c>
      <c r="C3045" s="5" t="s">
        <v>10</v>
      </c>
      <c r="D3045" s="5" t="s">
        <v>2837</v>
      </c>
      <c r="E3045" s="5" t="s">
        <v>2838</v>
      </c>
      <c r="F3045" s="5" t="s">
        <v>1643</v>
      </c>
      <c r="G3045" s="5" t="s">
        <v>1644</v>
      </c>
      <c r="H3045" s="6">
        <v>16000</v>
      </c>
      <c r="I3045" s="5"/>
    </row>
    <row r="3046" spans="1:9" x14ac:dyDescent="0.3">
      <c r="B3046" s="5" t="s">
        <v>2832</v>
      </c>
      <c r="C3046" s="5" t="s">
        <v>10</v>
      </c>
      <c r="D3046" s="5" t="s">
        <v>2837</v>
      </c>
      <c r="E3046" s="5" t="s">
        <v>2838</v>
      </c>
      <c r="F3046" s="5" t="s">
        <v>13</v>
      </c>
      <c r="G3046" s="5" t="s">
        <v>14</v>
      </c>
      <c r="H3046" s="5"/>
      <c r="I3046" s="6">
        <v>16000</v>
      </c>
    </row>
    <row r="3047" spans="1:9" x14ac:dyDescent="0.3">
      <c r="A3047" s="7" t="s">
        <v>2839</v>
      </c>
      <c r="H3047" s="8">
        <f>H3045+H3046</f>
        <v>16000</v>
      </c>
      <c r="I3047" s="8">
        <f>I3045+I3046</f>
        <v>16000</v>
      </c>
    </row>
    <row r="3048" spans="1:9" x14ac:dyDescent="0.3">
      <c r="A3048" s="4" t="s">
        <v>2840</v>
      </c>
    </row>
    <row r="3049" spans="1:9" x14ac:dyDescent="0.3">
      <c r="B3049" s="5" t="s">
        <v>2832</v>
      </c>
      <c r="C3049" s="5" t="s">
        <v>10</v>
      </c>
      <c r="D3049" s="5" t="s">
        <v>2841</v>
      </c>
      <c r="E3049" s="5" t="s">
        <v>2842</v>
      </c>
      <c r="F3049" s="5" t="s">
        <v>61</v>
      </c>
      <c r="G3049" s="5" t="s">
        <v>62</v>
      </c>
      <c r="H3049" s="6">
        <v>9000</v>
      </c>
      <c r="I3049" s="5"/>
    </row>
    <row r="3050" spans="1:9" x14ac:dyDescent="0.3">
      <c r="B3050" s="5" t="s">
        <v>2832</v>
      </c>
      <c r="C3050" s="5" t="s">
        <v>10</v>
      </c>
      <c r="D3050" s="5" t="s">
        <v>2841</v>
      </c>
      <c r="E3050" s="5" t="s">
        <v>2842</v>
      </c>
      <c r="F3050" s="5" t="s">
        <v>1643</v>
      </c>
      <c r="G3050" s="5" t="s">
        <v>1644</v>
      </c>
      <c r="H3050" s="5"/>
      <c r="I3050" s="6">
        <v>9000</v>
      </c>
    </row>
    <row r="3051" spans="1:9" x14ac:dyDescent="0.3">
      <c r="A3051" s="7" t="s">
        <v>2843</v>
      </c>
      <c r="H3051" s="8">
        <f>H3049+H3050</f>
        <v>9000</v>
      </c>
      <c r="I3051" s="8">
        <f>I3049+I3050</f>
        <v>9000</v>
      </c>
    </row>
    <row r="3052" spans="1:9" x14ac:dyDescent="0.3">
      <c r="A3052" s="4" t="s">
        <v>2844</v>
      </c>
    </row>
    <row r="3053" spans="1:9" x14ac:dyDescent="0.3">
      <c r="B3053" s="5" t="s">
        <v>2832</v>
      </c>
      <c r="C3053" s="5" t="s">
        <v>10</v>
      </c>
      <c r="D3053" s="5" t="s">
        <v>2845</v>
      </c>
      <c r="E3053" s="5" t="s">
        <v>2846</v>
      </c>
      <c r="F3053" s="5" t="s">
        <v>67</v>
      </c>
      <c r="G3053" s="5" t="s">
        <v>68</v>
      </c>
      <c r="H3053" s="6">
        <v>150</v>
      </c>
      <c r="I3053" s="5"/>
    </row>
    <row r="3054" spans="1:9" x14ac:dyDescent="0.3">
      <c r="B3054" s="5" t="s">
        <v>2832</v>
      </c>
      <c r="C3054" s="5" t="s">
        <v>10</v>
      </c>
      <c r="D3054" s="5" t="s">
        <v>2845</v>
      </c>
      <c r="E3054" s="5" t="s">
        <v>2846</v>
      </c>
      <c r="F3054" s="5" t="s">
        <v>1643</v>
      </c>
      <c r="G3054" s="5" t="s">
        <v>1644</v>
      </c>
      <c r="H3054" s="5"/>
      <c r="I3054" s="6">
        <v>150</v>
      </c>
    </row>
    <row r="3055" spans="1:9" x14ac:dyDescent="0.3">
      <c r="A3055" s="7" t="s">
        <v>2847</v>
      </c>
      <c r="H3055" s="8">
        <f>H3053+H3054</f>
        <v>150</v>
      </c>
      <c r="I3055" s="8">
        <f>I3053+I3054</f>
        <v>150</v>
      </c>
    </row>
    <row r="3056" spans="1:9" x14ac:dyDescent="0.3">
      <c r="A3056" s="4" t="s">
        <v>2848</v>
      </c>
    </row>
    <row r="3057" spans="1:9" x14ac:dyDescent="0.3">
      <c r="B3057" s="5" t="s">
        <v>2832</v>
      </c>
      <c r="C3057" s="5" t="s">
        <v>10</v>
      </c>
      <c r="D3057" s="5" t="s">
        <v>2849</v>
      </c>
      <c r="E3057" s="5" t="s">
        <v>2850</v>
      </c>
      <c r="F3057" s="5" t="s">
        <v>67</v>
      </c>
      <c r="G3057" s="5" t="s">
        <v>68</v>
      </c>
      <c r="H3057" s="6">
        <v>1500</v>
      </c>
      <c r="I3057" s="5"/>
    </row>
    <row r="3058" spans="1:9" x14ac:dyDescent="0.3">
      <c r="B3058" s="5" t="s">
        <v>2832</v>
      </c>
      <c r="C3058" s="5" t="s">
        <v>10</v>
      </c>
      <c r="D3058" s="5" t="s">
        <v>2849</v>
      </c>
      <c r="E3058" s="5" t="s">
        <v>2850</v>
      </c>
      <c r="F3058" s="5" t="s">
        <v>1643</v>
      </c>
      <c r="G3058" s="5" t="s">
        <v>1644</v>
      </c>
      <c r="H3058" s="5"/>
      <c r="I3058" s="6">
        <v>1500</v>
      </c>
    </row>
    <row r="3059" spans="1:9" x14ac:dyDescent="0.3">
      <c r="A3059" s="7" t="s">
        <v>2851</v>
      </c>
      <c r="H3059" s="8">
        <f>H3057+H3058</f>
        <v>1500</v>
      </c>
      <c r="I3059" s="8">
        <f>I3057+I3058</f>
        <v>1500</v>
      </c>
    </row>
    <row r="3060" spans="1:9" x14ac:dyDescent="0.3">
      <c r="A3060" s="4" t="s">
        <v>2852</v>
      </c>
    </row>
    <row r="3061" spans="1:9" x14ac:dyDescent="0.3">
      <c r="B3061" s="5" t="s">
        <v>2832</v>
      </c>
      <c r="C3061" s="5" t="s">
        <v>10</v>
      </c>
      <c r="D3061" s="5" t="s">
        <v>2853</v>
      </c>
      <c r="E3061" s="5" t="s">
        <v>2854</v>
      </c>
      <c r="F3061" s="5" t="s">
        <v>67</v>
      </c>
      <c r="G3061" s="5" t="s">
        <v>68</v>
      </c>
      <c r="H3061" s="6">
        <v>1500</v>
      </c>
      <c r="I3061" s="5"/>
    </row>
    <row r="3062" spans="1:9" x14ac:dyDescent="0.3">
      <c r="B3062" s="5" t="s">
        <v>2832</v>
      </c>
      <c r="C3062" s="5" t="s">
        <v>10</v>
      </c>
      <c r="D3062" s="5" t="s">
        <v>2853</v>
      </c>
      <c r="E3062" s="5" t="s">
        <v>2854</v>
      </c>
      <c r="F3062" s="5" t="s">
        <v>1643</v>
      </c>
      <c r="G3062" s="5" t="s">
        <v>1644</v>
      </c>
      <c r="H3062" s="5"/>
      <c r="I3062" s="6">
        <v>1500</v>
      </c>
    </row>
    <row r="3063" spans="1:9" x14ac:dyDescent="0.3">
      <c r="A3063" s="7" t="s">
        <v>2855</v>
      </c>
      <c r="H3063" s="8">
        <f>H3061+H3062</f>
        <v>1500</v>
      </c>
      <c r="I3063" s="8">
        <f>I3061+I3062</f>
        <v>1500</v>
      </c>
    </row>
    <row r="3064" spans="1:9" x14ac:dyDescent="0.3">
      <c r="A3064" s="4" t="s">
        <v>2856</v>
      </c>
    </row>
    <row r="3065" spans="1:9" x14ac:dyDescent="0.3">
      <c r="B3065" s="5" t="s">
        <v>2857</v>
      </c>
      <c r="C3065" s="5" t="s">
        <v>10</v>
      </c>
      <c r="D3065" s="5" t="s">
        <v>2858</v>
      </c>
      <c r="E3065" s="5" t="s">
        <v>2498</v>
      </c>
      <c r="F3065" s="5" t="s">
        <v>61</v>
      </c>
      <c r="G3065" s="5" t="s">
        <v>62</v>
      </c>
      <c r="H3065" s="6">
        <v>300</v>
      </c>
      <c r="I3065" s="5"/>
    </row>
    <row r="3066" spans="1:9" x14ac:dyDescent="0.3">
      <c r="B3066" s="5" t="s">
        <v>2857</v>
      </c>
      <c r="C3066" s="5" t="s">
        <v>10</v>
      </c>
      <c r="D3066" s="5" t="s">
        <v>2858</v>
      </c>
      <c r="E3066" s="5" t="s">
        <v>2498</v>
      </c>
      <c r="F3066" s="5" t="s">
        <v>1643</v>
      </c>
      <c r="G3066" s="5" t="s">
        <v>1644</v>
      </c>
      <c r="H3066" s="5"/>
      <c r="I3066" s="6">
        <v>300</v>
      </c>
    </row>
    <row r="3067" spans="1:9" x14ac:dyDescent="0.3">
      <c r="A3067" s="7" t="s">
        <v>2859</v>
      </c>
      <c r="H3067" s="8">
        <f>H3065+H3066</f>
        <v>300</v>
      </c>
      <c r="I3067" s="8">
        <f>I3065+I3066</f>
        <v>300</v>
      </c>
    </row>
    <row r="3068" spans="1:9" x14ac:dyDescent="0.3">
      <c r="A3068" s="4" t="s">
        <v>2860</v>
      </c>
    </row>
    <row r="3069" spans="1:9" x14ac:dyDescent="0.3">
      <c r="B3069" s="5" t="s">
        <v>2861</v>
      </c>
      <c r="C3069" s="5" t="s">
        <v>10</v>
      </c>
      <c r="D3069" s="5" t="s">
        <v>2862</v>
      </c>
      <c r="E3069" s="5" t="s">
        <v>2863</v>
      </c>
      <c r="F3069" s="5" t="s">
        <v>1643</v>
      </c>
      <c r="G3069" s="5" t="s">
        <v>1644</v>
      </c>
      <c r="H3069" s="6">
        <v>125350</v>
      </c>
      <c r="I3069" s="5"/>
    </row>
    <row r="3070" spans="1:9" x14ac:dyDescent="0.3">
      <c r="B3070" s="5" t="s">
        <v>2861</v>
      </c>
      <c r="C3070" s="5" t="s">
        <v>10</v>
      </c>
      <c r="D3070" s="5" t="s">
        <v>2862</v>
      </c>
      <c r="E3070" s="5" t="s">
        <v>2863</v>
      </c>
      <c r="F3070" s="5" t="s">
        <v>13</v>
      </c>
      <c r="G3070" s="5" t="s">
        <v>14</v>
      </c>
      <c r="H3070" s="5"/>
      <c r="I3070" s="6">
        <v>125350</v>
      </c>
    </row>
    <row r="3071" spans="1:9" x14ac:dyDescent="0.3">
      <c r="A3071" s="7" t="s">
        <v>2864</v>
      </c>
      <c r="H3071" s="8">
        <f>H3069+H3070</f>
        <v>125350</v>
      </c>
      <c r="I3071" s="8">
        <f>I3069+I3070</f>
        <v>125350</v>
      </c>
    </row>
    <row r="3072" spans="1:9" x14ac:dyDescent="0.3">
      <c r="A3072" s="4" t="s">
        <v>2865</v>
      </c>
    </row>
    <row r="3073" spans="1:9" x14ac:dyDescent="0.3">
      <c r="B3073" s="5" t="s">
        <v>2861</v>
      </c>
      <c r="C3073" s="5" t="s">
        <v>10</v>
      </c>
      <c r="D3073" s="5" t="s">
        <v>2866</v>
      </c>
      <c r="E3073" s="5" t="s">
        <v>2867</v>
      </c>
      <c r="F3073" s="5" t="s">
        <v>2602</v>
      </c>
      <c r="G3073" s="5" t="s">
        <v>2603</v>
      </c>
      <c r="H3073" s="6">
        <v>125000</v>
      </c>
      <c r="I3073" s="5"/>
    </row>
    <row r="3074" spans="1:9" x14ac:dyDescent="0.3">
      <c r="B3074" s="5" t="s">
        <v>2861</v>
      </c>
      <c r="C3074" s="5" t="s">
        <v>10</v>
      </c>
      <c r="D3074" s="5" t="s">
        <v>2866</v>
      </c>
      <c r="E3074" s="5" t="s">
        <v>2868</v>
      </c>
      <c r="F3074" s="5" t="s">
        <v>1936</v>
      </c>
      <c r="G3074" s="5" t="s">
        <v>1937</v>
      </c>
      <c r="H3074" s="6">
        <v>350</v>
      </c>
      <c r="I3074" s="5"/>
    </row>
    <row r="3075" spans="1:9" x14ac:dyDescent="0.3">
      <c r="B3075" s="5" t="s">
        <v>2861</v>
      </c>
      <c r="C3075" s="5" t="s">
        <v>10</v>
      </c>
      <c r="D3075" s="5" t="s">
        <v>2866</v>
      </c>
      <c r="E3075" s="5" t="s">
        <v>2869</v>
      </c>
      <c r="F3075" s="5" t="s">
        <v>1643</v>
      </c>
      <c r="G3075" s="5" t="s">
        <v>1644</v>
      </c>
      <c r="H3075" s="5"/>
      <c r="I3075" s="6">
        <v>125350</v>
      </c>
    </row>
    <row r="3076" spans="1:9" x14ac:dyDescent="0.3">
      <c r="A3076" s="7" t="s">
        <v>2870</v>
      </c>
      <c r="H3076" s="8">
        <f>H3073+H3074+H3075</f>
        <v>125350</v>
      </c>
      <c r="I3076" s="8">
        <f>I3073+I3074+I3075</f>
        <v>125350</v>
      </c>
    </row>
    <row r="3077" spans="1:9" x14ac:dyDescent="0.3">
      <c r="A3077" s="4" t="s">
        <v>2871</v>
      </c>
    </row>
    <row r="3078" spans="1:9" x14ac:dyDescent="0.3">
      <c r="B3078" s="5" t="s">
        <v>2861</v>
      </c>
      <c r="C3078" s="5" t="s">
        <v>10</v>
      </c>
      <c r="D3078" s="5" t="s">
        <v>2872</v>
      </c>
      <c r="E3078" s="5" t="s">
        <v>2498</v>
      </c>
      <c r="F3078" s="5" t="s">
        <v>61</v>
      </c>
      <c r="G3078" s="5" t="s">
        <v>62</v>
      </c>
      <c r="H3078" s="6">
        <v>480</v>
      </c>
      <c r="I3078" s="5"/>
    </row>
    <row r="3079" spans="1:9" x14ac:dyDescent="0.3">
      <c r="B3079" s="5" t="s">
        <v>2861</v>
      </c>
      <c r="C3079" s="5" t="s">
        <v>10</v>
      </c>
      <c r="D3079" s="5" t="s">
        <v>2872</v>
      </c>
      <c r="E3079" s="5" t="s">
        <v>2498</v>
      </c>
      <c r="F3079" s="5" t="s">
        <v>1643</v>
      </c>
      <c r="G3079" s="5" t="s">
        <v>1644</v>
      </c>
      <c r="H3079" s="5"/>
      <c r="I3079" s="6">
        <v>480</v>
      </c>
    </row>
    <row r="3080" spans="1:9" x14ac:dyDescent="0.3">
      <c r="A3080" s="7" t="s">
        <v>2873</v>
      </c>
      <c r="H3080" s="8">
        <f>H3078+H3079</f>
        <v>480</v>
      </c>
      <c r="I3080" s="8">
        <f>I3078+I3079</f>
        <v>480</v>
      </c>
    </row>
    <row r="3081" spans="1:9" x14ac:dyDescent="0.3">
      <c r="A3081" s="4" t="s">
        <v>2874</v>
      </c>
    </row>
    <row r="3082" spans="1:9" x14ac:dyDescent="0.3">
      <c r="B3082" s="5" t="s">
        <v>2861</v>
      </c>
      <c r="C3082" s="5" t="s">
        <v>10</v>
      </c>
      <c r="D3082" s="5" t="s">
        <v>2875</v>
      </c>
      <c r="E3082" s="5" t="s">
        <v>2876</v>
      </c>
      <c r="F3082" s="5" t="s">
        <v>67</v>
      </c>
      <c r="G3082" s="5" t="s">
        <v>68</v>
      </c>
      <c r="H3082" s="6">
        <v>40</v>
      </c>
      <c r="I3082" s="5"/>
    </row>
    <row r="3083" spans="1:9" x14ac:dyDescent="0.3">
      <c r="B3083" s="5" t="s">
        <v>2861</v>
      </c>
      <c r="C3083" s="5" t="s">
        <v>10</v>
      </c>
      <c r="D3083" s="5" t="s">
        <v>2875</v>
      </c>
      <c r="E3083" s="5" t="s">
        <v>2876</v>
      </c>
      <c r="F3083" s="5" t="s">
        <v>1643</v>
      </c>
      <c r="G3083" s="5" t="s">
        <v>1644</v>
      </c>
      <c r="H3083" s="5"/>
      <c r="I3083" s="6">
        <v>40</v>
      </c>
    </row>
    <row r="3084" spans="1:9" x14ac:dyDescent="0.3">
      <c r="A3084" s="7" t="s">
        <v>2877</v>
      </c>
      <c r="H3084" s="8">
        <f>H3082+H3083</f>
        <v>40</v>
      </c>
      <c r="I3084" s="8">
        <f>I3082+I3083</f>
        <v>40</v>
      </c>
    </row>
    <row r="3085" spans="1:9" x14ac:dyDescent="0.3">
      <c r="A3085" s="4" t="s">
        <v>2878</v>
      </c>
    </row>
    <row r="3086" spans="1:9" x14ac:dyDescent="0.3">
      <c r="B3086" s="5" t="s">
        <v>2879</v>
      </c>
      <c r="C3086" s="5" t="s">
        <v>2745</v>
      </c>
      <c r="D3086" s="5" t="s">
        <v>2880</v>
      </c>
      <c r="E3086" s="5" t="s">
        <v>2747</v>
      </c>
      <c r="F3086" s="5" t="s">
        <v>2748</v>
      </c>
      <c r="G3086" s="5" t="s">
        <v>2749</v>
      </c>
      <c r="H3086" s="6">
        <v>12476</v>
      </c>
      <c r="I3086" s="5"/>
    </row>
    <row r="3087" spans="1:9" x14ac:dyDescent="0.3">
      <c r="B3087" s="5" t="s">
        <v>2879</v>
      </c>
      <c r="C3087" s="5" t="s">
        <v>2745</v>
      </c>
      <c r="D3087" s="5" t="s">
        <v>2880</v>
      </c>
      <c r="E3087" s="5" t="s">
        <v>2750</v>
      </c>
      <c r="F3087" s="5" t="s">
        <v>847</v>
      </c>
      <c r="G3087" s="5" t="s">
        <v>848</v>
      </c>
      <c r="H3087" s="5"/>
      <c r="I3087" s="6">
        <v>12476</v>
      </c>
    </row>
    <row r="3088" spans="1:9" x14ac:dyDescent="0.3">
      <c r="A3088" s="7" t="s">
        <v>2881</v>
      </c>
      <c r="H3088" s="8">
        <f>H3086+H3087</f>
        <v>12476</v>
      </c>
      <c r="I3088" s="8">
        <f>I3086+I3087</f>
        <v>12476</v>
      </c>
    </row>
    <row r="3089" spans="1:9" x14ac:dyDescent="0.3">
      <c r="A3089" s="4" t="s">
        <v>2882</v>
      </c>
    </row>
    <row r="3090" spans="1:9" x14ac:dyDescent="0.3">
      <c r="B3090" s="5" t="s">
        <v>2879</v>
      </c>
      <c r="C3090" s="5" t="s">
        <v>2745</v>
      </c>
      <c r="D3090" s="5" t="s">
        <v>2883</v>
      </c>
      <c r="E3090" s="5" t="s">
        <v>2747</v>
      </c>
      <c r="F3090" s="5" t="s">
        <v>2748</v>
      </c>
      <c r="G3090" s="5" t="s">
        <v>2749</v>
      </c>
      <c r="H3090" s="6">
        <v>12476</v>
      </c>
      <c r="I3090" s="5"/>
    </row>
    <row r="3091" spans="1:9" x14ac:dyDescent="0.3">
      <c r="B3091" s="5" t="s">
        <v>2879</v>
      </c>
      <c r="C3091" s="5" t="s">
        <v>2745</v>
      </c>
      <c r="D3091" s="5" t="s">
        <v>2883</v>
      </c>
      <c r="E3091" s="5" t="s">
        <v>2750</v>
      </c>
      <c r="F3091" s="5" t="s">
        <v>847</v>
      </c>
      <c r="G3091" s="5" t="s">
        <v>848</v>
      </c>
      <c r="H3091" s="5"/>
      <c r="I3091" s="6">
        <v>12476</v>
      </c>
    </row>
    <row r="3092" spans="1:9" x14ac:dyDescent="0.3">
      <c r="A3092" s="7" t="s">
        <v>2884</v>
      </c>
      <c r="H3092" s="8">
        <f>H3090+H3091</f>
        <v>12476</v>
      </c>
      <c r="I3092" s="8">
        <f>I3090+I3091</f>
        <v>12476</v>
      </c>
    </row>
    <row r="3093" spans="1:9" x14ac:dyDescent="0.3">
      <c r="A3093" s="4" t="s">
        <v>2885</v>
      </c>
    </row>
    <row r="3094" spans="1:9" x14ac:dyDescent="0.3">
      <c r="B3094" s="5" t="s">
        <v>2879</v>
      </c>
      <c r="C3094" s="5" t="s">
        <v>2745</v>
      </c>
      <c r="D3094" s="5" t="s">
        <v>2886</v>
      </c>
      <c r="E3094" s="5" t="s">
        <v>2747</v>
      </c>
      <c r="F3094" s="5" t="s">
        <v>2748</v>
      </c>
      <c r="G3094" s="5" t="s">
        <v>2749</v>
      </c>
      <c r="H3094" s="6">
        <v>13206</v>
      </c>
      <c r="I3094" s="5"/>
    </row>
    <row r="3095" spans="1:9" x14ac:dyDescent="0.3">
      <c r="B3095" s="5" t="s">
        <v>2879</v>
      </c>
      <c r="C3095" s="5" t="s">
        <v>2745</v>
      </c>
      <c r="D3095" s="5" t="s">
        <v>2886</v>
      </c>
      <c r="E3095" s="5" t="s">
        <v>2750</v>
      </c>
      <c r="F3095" s="5" t="s">
        <v>847</v>
      </c>
      <c r="G3095" s="5" t="s">
        <v>848</v>
      </c>
      <c r="H3095" s="5"/>
      <c r="I3095" s="6">
        <v>13206</v>
      </c>
    </row>
    <row r="3096" spans="1:9" x14ac:dyDescent="0.3">
      <c r="A3096" s="7" t="s">
        <v>2887</v>
      </c>
      <c r="H3096" s="8">
        <f>H3094+H3095</f>
        <v>13206</v>
      </c>
      <c r="I3096" s="8">
        <f>I3094+I3095</f>
        <v>13206</v>
      </c>
    </row>
    <row r="3097" spans="1:9" x14ac:dyDescent="0.3">
      <c r="A3097" s="4" t="s">
        <v>2888</v>
      </c>
    </row>
    <row r="3098" spans="1:9" x14ac:dyDescent="0.3">
      <c r="B3098" s="5" t="s">
        <v>2879</v>
      </c>
      <c r="C3098" s="5" t="s">
        <v>2745</v>
      </c>
      <c r="D3098" s="5" t="s">
        <v>2889</v>
      </c>
      <c r="E3098" s="5" t="s">
        <v>2747</v>
      </c>
      <c r="F3098" s="5" t="s">
        <v>2748</v>
      </c>
      <c r="G3098" s="5" t="s">
        <v>2749</v>
      </c>
      <c r="H3098" s="6">
        <v>12476</v>
      </c>
      <c r="I3098" s="5"/>
    </row>
    <row r="3099" spans="1:9" x14ac:dyDescent="0.3">
      <c r="B3099" s="5" t="s">
        <v>2879</v>
      </c>
      <c r="C3099" s="5" t="s">
        <v>2745</v>
      </c>
      <c r="D3099" s="5" t="s">
        <v>2889</v>
      </c>
      <c r="E3099" s="5" t="s">
        <v>2750</v>
      </c>
      <c r="F3099" s="5" t="s">
        <v>847</v>
      </c>
      <c r="G3099" s="5" t="s">
        <v>848</v>
      </c>
      <c r="H3099" s="5"/>
      <c r="I3099" s="6">
        <v>12476</v>
      </c>
    </row>
    <row r="3100" spans="1:9" x14ac:dyDescent="0.3">
      <c r="A3100" s="7" t="s">
        <v>2890</v>
      </c>
      <c r="H3100" s="8">
        <f>H3098+H3099</f>
        <v>12476</v>
      </c>
      <c r="I3100" s="8">
        <f>I3098+I3099</f>
        <v>12476</v>
      </c>
    </row>
    <row r="3101" spans="1:9" x14ac:dyDescent="0.3">
      <c r="A3101" s="4" t="s">
        <v>2891</v>
      </c>
    </row>
    <row r="3102" spans="1:9" x14ac:dyDescent="0.3">
      <c r="B3102" s="5" t="s">
        <v>2879</v>
      </c>
      <c r="C3102" s="5" t="s">
        <v>10</v>
      </c>
      <c r="D3102" s="5" t="s">
        <v>2892</v>
      </c>
      <c r="E3102" s="5" t="s">
        <v>2893</v>
      </c>
      <c r="F3102" s="5" t="s">
        <v>50</v>
      </c>
      <c r="G3102" s="5" t="s">
        <v>51</v>
      </c>
      <c r="H3102" s="6">
        <v>120</v>
      </c>
      <c r="I3102" s="5"/>
    </row>
    <row r="3103" spans="1:9" x14ac:dyDescent="0.3">
      <c r="B3103" s="5" t="s">
        <v>2879</v>
      </c>
      <c r="C3103" s="5" t="s">
        <v>10</v>
      </c>
      <c r="D3103" s="5" t="s">
        <v>2892</v>
      </c>
      <c r="E3103" s="5" t="s">
        <v>2893</v>
      </c>
      <c r="F3103" s="5" t="s">
        <v>1643</v>
      </c>
      <c r="G3103" s="5" t="s">
        <v>1644</v>
      </c>
      <c r="H3103" s="5"/>
      <c r="I3103" s="6">
        <v>120</v>
      </c>
    </row>
    <row r="3104" spans="1:9" x14ac:dyDescent="0.3">
      <c r="A3104" s="7" t="s">
        <v>2894</v>
      </c>
      <c r="H3104" s="8">
        <f>H3102+H3103</f>
        <v>120</v>
      </c>
      <c r="I3104" s="8">
        <f>I3102+I3103</f>
        <v>120</v>
      </c>
    </row>
    <row r="3105" spans="1:9" x14ac:dyDescent="0.3">
      <c r="A3105" s="4" t="s">
        <v>2895</v>
      </c>
    </row>
    <row r="3106" spans="1:9" x14ac:dyDescent="0.3">
      <c r="B3106" s="5" t="s">
        <v>2879</v>
      </c>
      <c r="C3106" s="5" t="s">
        <v>10</v>
      </c>
      <c r="D3106" s="5" t="s">
        <v>2896</v>
      </c>
      <c r="E3106" s="5" t="s">
        <v>2897</v>
      </c>
      <c r="F3106" s="5" t="s">
        <v>421</v>
      </c>
      <c r="G3106" s="5" t="s">
        <v>422</v>
      </c>
      <c r="H3106" s="6">
        <v>5770</v>
      </c>
      <c r="I3106" s="5"/>
    </row>
    <row r="3107" spans="1:9" x14ac:dyDescent="0.3">
      <c r="B3107" s="5" t="s">
        <v>2879</v>
      </c>
      <c r="C3107" s="5" t="s">
        <v>10</v>
      </c>
      <c r="D3107" s="5" t="s">
        <v>2896</v>
      </c>
      <c r="E3107" s="5" t="s">
        <v>2897</v>
      </c>
      <c r="F3107" s="5" t="s">
        <v>1643</v>
      </c>
      <c r="G3107" s="5" t="s">
        <v>1644</v>
      </c>
      <c r="H3107" s="5"/>
      <c r="I3107" s="6">
        <v>5770</v>
      </c>
    </row>
    <row r="3108" spans="1:9" x14ac:dyDescent="0.3">
      <c r="B3108" s="5" t="s">
        <v>2879</v>
      </c>
      <c r="C3108" s="5" t="s">
        <v>10</v>
      </c>
      <c r="D3108" s="5" t="s">
        <v>2896</v>
      </c>
      <c r="E3108" s="5" t="s">
        <v>2898</v>
      </c>
      <c r="F3108" s="5" t="s">
        <v>61</v>
      </c>
      <c r="G3108" s="5" t="s">
        <v>62</v>
      </c>
      <c r="H3108" s="6">
        <v>585</v>
      </c>
      <c r="I3108" s="5"/>
    </row>
    <row r="3109" spans="1:9" x14ac:dyDescent="0.3">
      <c r="B3109" s="5" t="s">
        <v>2879</v>
      </c>
      <c r="C3109" s="5" t="s">
        <v>10</v>
      </c>
      <c r="D3109" s="5" t="s">
        <v>2896</v>
      </c>
      <c r="E3109" s="5" t="s">
        <v>2898</v>
      </c>
      <c r="F3109" s="5" t="s">
        <v>1643</v>
      </c>
      <c r="G3109" s="5" t="s">
        <v>1644</v>
      </c>
      <c r="H3109" s="5"/>
      <c r="I3109" s="6">
        <v>585</v>
      </c>
    </row>
    <row r="3110" spans="1:9" x14ac:dyDescent="0.3">
      <c r="A3110" s="7" t="s">
        <v>2899</v>
      </c>
      <c r="H3110" s="8">
        <f>H3106+H3107+H3108+H3109</f>
        <v>6355</v>
      </c>
      <c r="I3110" s="8">
        <f>I3106+I3107+I3108+I3109</f>
        <v>6355</v>
      </c>
    </row>
    <row r="3111" spans="1:9" x14ac:dyDescent="0.3">
      <c r="A3111" s="4" t="s">
        <v>2900</v>
      </c>
    </row>
    <row r="3112" spans="1:9" x14ac:dyDescent="0.3">
      <c r="B3112" s="5" t="s">
        <v>2879</v>
      </c>
      <c r="C3112" s="5" t="s">
        <v>10</v>
      </c>
      <c r="D3112" s="5" t="s">
        <v>2901</v>
      </c>
      <c r="E3112" s="5" t="s">
        <v>2902</v>
      </c>
      <c r="F3112" s="5" t="s">
        <v>23</v>
      </c>
      <c r="G3112" s="5" t="s">
        <v>24</v>
      </c>
      <c r="H3112" s="6">
        <v>33000</v>
      </c>
      <c r="I3112" s="5"/>
    </row>
    <row r="3113" spans="1:9" x14ac:dyDescent="0.3">
      <c r="B3113" s="5" t="s">
        <v>2879</v>
      </c>
      <c r="C3113" s="5" t="s">
        <v>10</v>
      </c>
      <c r="D3113" s="5" t="s">
        <v>2901</v>
      </c>
      <c r="E3113" s="5" t="s">
        <v>2903</v>
      </c>
      <c r="F3113" s="5" t="s">
        <v>29</v>
      </c>
      <c r="G3113" s="5" t="s">
        <v>30</v>
      </c>
      <c r="H3113" s="5"/>
      <c r="I3113" s="6">
        <v>3000</v>
      </c>
    </row>
    <row r="3114" spans="1:9" x14ac:dyDescent="0.3">
      <c r="B3114" s="5" t="s">
        <v>2879</v>
      </c>
      <c r="C3114" s="5" t="s">
        <v>10</v>
      </c>
      <c r="D3114" s="5" t="s">
        <v>2901</v>
      </c>
      <c r="E3114" s="5" t="s">
        <v>2902</v>
      </c>
      <c r="F3114" s="5" t="s">
        <v>26</v>
      </c>
      <c r="G3114" s="5" t="s">
        <v>27</v>
      </c>
      <c r="H3114" s="5"/>
      <c r="I3114" s="6">
        <v>30000</v>
      </c>
    </row>
    <row r="3115" spans="1:9" x14ac:dyDescent="0.3">
      <c r="A3115" s="7" t="s">
        <v>2904</v>
      </c>
      <c r="H3115" s="8">
        <f>H3112+H3113+H3114</f>
        <v>33000</v>
      </c>
      <c r="I3115" s="8">
        <f>I3112+I3113+I3114</f>
        <v>33000</v>
      </c>
    </row>
    <row r="3116" spans="1:9" x14ac:dyDescent="0.3">
      <c r="A3116" s="4" t="s">
        <v>2905</v>
      </c>
    </row>
    <row r="3117" spans="1:9" x14ac:dyDescent="0.3">
      <c r="B3117" s="5" t="s">
        <v>2879</v>
      </c>
      <c r="C3117" s="5" t="s">
        <v>10</v>
      </c>
      <c r="D3117" s="5" t="s">
        <v>2906</v>
      </c>
      <c r="E3117" s="5" t="s">
        <v>2907</v>
      </c>
      <c r="F3117" s="5" t="s">
        <v>831</v>
      </c>
      <c r="G3117" s="5" t="s">
        <v>832</v>
      </c>
      <c r="H3117" s="6">
        <v>20000</v>
      </c>
      <c r="I3117" s="5"/>
    </row>
    <row r="3118" spans="1:9" x14ac:dyDescent="0.3">
      <c r="B3118" s="5" t="s">
        <v>2879</v>
      </c>
      <c r="C3118" s="5" t="s">
        <v>10</v>
      </c>
      <c r="D3118" s="5" t="s">
        <v>2906</v>
      </c>
      <c r="E3118" s="5" t="s">
        <v>2908</v>
      </c>
      <c r="F3118" s="5" t="s">
        <v>831</v>
      </c>
      <c r="G3118" s="5" t="s">
        <v>832</v>
      </c>
      <c r="H3118" s="6">
        <v>16020</v>
      </c>
      <c r="I3118" s="5"/>
    </row>
    <row r="3119" spans="1:9" x14ac:dyDescent="0.3">
      <c r="B3119" s="5" t="s">
        <v>2879</v>
      </c>
      <c r="C3119" s="5" t="s">
        <v>10</v>
      </c>
      <c r="D3119" s="5" t="s">
        <v>2906</v>
      </c>
      <c r="E3119" s="5" t="s">
        <v>2909</v>
      </c>
      <c r="F3119" s="5" t="s">
        <v>831</v>
      </c>
      <c r="G3119" s="5" t="s">
        <v>832</v>
      </c>
      <c r="H3119" s="6">
        <v>15000</v>
      </c>
      <c r="I3119" s="5"/>
    </row>
    <row r="3120" spans="1:9" x14ac:dyDescent="0.3">
      <c r="B3120" s="5" t="s">
        <v>2879</v>
      </c>
      <c r="C3120" s="5" t="s">
        <v>10</v>
      </c>
      <c r="D3120" s="5" t="s">
        <v>2906</v>
      </c>
      <c r="E3120" s="5" t="s">
        <v>2910</v>
      </c>
      <c r="F3120" s="5" t="s">
        <v>831</v>
      </c>
      <c r="G3120" s="5" t="s">
        <v>832</v>
      </c>
      <c r="H3120" s="6">
        <v>20463</v>
      </c>
      <c r="I3120" s="5"/>
    </row>
    <row r="3121" spans="1:9" x14ac:dyDescent="0.3">
      <c r="B3121" s="5" t="s">
        <v>2879</v>
      </c>
      <c r="C3121" s="5" t="s">
        <v>10</v>
      </c>
      <c r="D3121" s="5" t="s">
        <v>2906</v>
      </c>
      <c r="E3121" s="5" t="s">
        <v>2911</v>
      </c>
      <c r="F3121" s="5" t="s">
        <v>831</v>
      </c>
      <c r="G3121" s="5" t="s">
        <v>832</v>
      </c>
      <c r="H3121" s="6">
        <v>16000</v>
      </c>
      <c r="I3121" s="5"/>
    </row>
    <row r="3122" spans="1:9" x14ac:dyDescent="0.3">
      <c r="B3122" s="5" t="s">
        <v>2879</v>
      </c>
      <c r="C3122" s="5" t="s">
        <v>10</v>
      </c>
      <c r="D3122" s="5" t="s">
        <v>2906</v>
      </c>
      <c r="E3122" s="5" t="s">
        <v>2912</v>
      </c>
      <c r="F3122" s="5" t="s">
        <v>831</v>
      </c>
      <c r="G3122" s="5" t="s">
        <v>832</v>
      </c>
      <c r="H3122" s="6">
        <v>12000</v>
      </c>
      <c r="I3122" s="5"/>
    </row>
    <row r="3123" spans="1:9" x14ac:dyDescent="0.3">
      <c r="B3123" s="5" t="s">
        <v>2879</v>
      </c>
      <c r="C3123" s="5" t="s">
        <v>10</v>
      </c>
      <c r="D3123" s="5" t="s">
        <v>2906</v>
      </c>
      <c r="E3123" s="5" t="s">
        <v>2913</v>
      </c>
      <c r="F3123" s="5" t="s">
        <v>831</v>
      </c>
      <c r="G3123" s="5" t="s">
        <v>832</v>
      </c>
      <c r="H3123" s="6">
        <v>15000</v>
      </c>
      <c r="I3123" s="5"/>
    </row>
    <row r="3124" spans="1:9" x14ac:dyDescent="0.3">
      <c r="B3124" s="5" t="s">
        <v>2879</v>
      </c>
      <c r="C3124" s="5" t="s">
        <v>10</v>
      </c>
      <c r="D3124" s="5" t="s">
        <v>2906</v>
      </c>
      <c r="E3124" s="5" t="s">
        <v>2914</v>
      </c>
      <c r="F3124" s="5" t="s">
        <v>2602</v>
      </c>
      <c r="G3124" s="5" t="s">
        <v>2603</v>
      </c>
      <c r="H3124" s="5"/>
      <c r="I3124" s="6">
        <v>114483</v>
      </c>
    </row>
    <row r="3125" spans="1:9" x14ac:dyDescent="0.3">
      <c r="B3125" s="5" t="s">
        <v>2879</v>
      </c>
      <c r="C3125" s="5" t="s">
        <v>10</v>
      </c>
      <c r="D3125" s="5" t="s">
        <v>2906</v>
      </c>
      <c r="E3125" s="5" t="s">
        <v>2915</v>
      </c>
      <c r="F3125" s="5" t="s">
        <v>831</v>
      </c>
      <c r="G3125" s="5" t="s">
        <v>832</v>
      </c>
      <c r="H3125" s="6">
        <v>692650</v>
      </c>
      <c r="I3125" s="5"/>
    </row>
    <row r="3126" spans="1:9" x14ac:dyDescent="0.3">
      <c r="B3126" s="5" t="s">
        <v>2879</v>
      </c>
      <c r="C3126" s="5" t="s">
        <v>10</v>
      </c>
      <c r="D3126" s="5" t="s">
        <v>2906</v>
      </c>
      <c r="E3126" s="5" t="s">
        <v>2916</v>
      </c>
      <c r="F3126" s="5" t="s">
        <v>831</v>
      </c>
      <c r="G3126" s="5" t="s">
        <v>832</v>
      </c>
      <c r="H3126" s="6">
        <v>310000</v>
      </c>
      <c r="I3126" s="5"/>
    </row>
    <row r="3127" spans="1:9" x14ac:dyDescent="0.3">
      <c r="B3127" s="5" t="s">
        <v>2879</v>
      </c>
      <c r="C3127" s="5" t="s">
        <v>10</v>
      </c>
      <c r="D3127" s="5" t="s">
        <v>2906</v>
      </c>
      <c r="E3127" s="5" t="s">
        <v>2917</v>
      </c>
      <c r="F3127" s="5" t="s">
        <v>13</v>
      </c>
      <c r="G3127" s="5" t="s">
        <v>14</v>
      </c>
      <c r="H3127" s="5"/>
      <c r="I3127" s="6">
        <v>1002650</v>
      </c>
    </row>
    <row r="3128" spans="1:9" x14ac:dyDescent="0.3">
      <c r="A3128" s="7" t="s">
        <v>2918</v>
      </c>
      <c r="H3128" s="8">
        <f>H3117+H3118+H3119+H3120+H3121+H3122+H3123+H3124+H3125+H3126+H3127</f>
        <v>1117133</v>
      </c>
      <c r="I3128" s="8">
        <f>I3117+I3118+I3119+I3120+I3121+I3122+I3123+I3124+I3125+I3126+I3127</f>
        <v>1117133</v>
      </c>
    </row>
    <row r="3129" spans="1:9" x14ac:dyDescent="0.3">
      <c r="A3129" s="4" t="s">
        <v>2919</v>
      </c>
    </row>
    <row r="3130" spans="1:9" ht="21.6" x14ac:dyDescent="0.3">
      <c r="B3130" s="5" t="s">
        <v>2879</v>
      </c>
      <c r="C3130" s="5" t="s">
        <v>844</v>
      </c>
      <c r="D3130" s="5" t="s">
        <v>2920</v>
      </c>
      <c r="E3130" s="5" t="s">
        <v>2921</v>
      </c>
      <c r="F3130" s="5" t="s">
        <v>847</v>
      </c>
      <c r="G3130" s="5" t="s">
        <v>848</v>
      </c>
      <c r="H3130" s="6">
        <v>23600</v>
      </c>
      <c r="I3130" s="5"/>
    </row>
    <row r="3131" spans="1:9" x14ac:dyDescent="0.3">
      <c r="B3131" s="5" t="s">
        <v>2879</v>
      </c>
      <c r="C3131" s="5" t="s">
        <v>844</v>
      </c>
      <c r="D3131" s="5" t="s">
        <v>2920</v>
      </c>
      <c r="E3131" s="5" t="s">
        <v>2922</v>
      </c>
      <c r="F3131" s="5" t="s">
        <v>831</v>
      </c>
      <c r="G3131" s="5" t="s">
        <v>832</v>
      </c>
      <c r="H3131" s="5"/>
      <c r="I3131" s="6">
        <v>20000</v>
      </c>
    </row>
    <row r="3132" spans="1:9" ht="21.6" x14ac:dyDescent="0.3">
      <c r="B3132" s="5" t="s">
        <v>2879</v>
      </c>
      <c r="C3132" s="5" t="s">
        <v>844</v>
      </c>
      <c r="D3132" s="5" t="s">
        <v>2920</v>
      </c>
      <c r="E3132" s="5" t="s">
        <v>2921</v>
      </c>
      <c r="F3132" s="5" t="s">
        <v>867</v>
      </c>
      <c r="G3132" s="5" t="s">
        <v>868</v>
      </c>
      <c r="H3132" s="5"/>
      <c r="I3132" s="6">
        <v>3600</v>
      </c>
    </row>
    <row r="3133" spans="1:9" x14ac:dyDescent="0.3">
      <c r="A3133" s="7" t="s">
        <v>2923</v>
      </c>
      <c r="H3133" s="8">
        <f>H3130+H3131+H3132</f>
        <v>23600</v>
      </c>
      <c r="I3133" s="8">
        <f>I3130+I3131+I3132</f>
        <v>23600</v>
      </c>
    </row>
    <row r="3134" spans="1:9" x14ac:dyDescent="0.3">
      <c r="A3134" s="4" t="s">
        <v>2924</v>
      </c>
    </row>
    <row r="3135" spans="1:9" x14ac:dyDescent="0.3">
      <c r="B3135" s="5" t="s">
        <v>2879</v>
      </c>
      <c r="C3135" s="5" t="s">
        <v>844</v>
      </c>
      <c r="D3135" s="5" t="s">
        <v>2925</v>
      </c>
      <c r="E3135" s="5" t="s">
        <v>2926</v>
      </c>
      <c r="F3135" s="5" t="s">
        <v>847</v>
      </c>
      <c r="G3135" s="5" t="s">
        <v>848</v>
      </c>
      <c r="H3135" s="6">
        <v>18904</v>
      </c>
      <c r="I3135" s="5"/>
    </row>
    <row r="3136" spans="1:9" x14ac:dyDescent="0.3">
      <c r="B3136" s="5" t="s">
        <v>2879</v>
      </c>
      <c r="C3136" s="5" t="s">
        <v>844</v>
      </c>
      <c r="D3136" s="5" t="s">
        <v>2925</v>
      </c>
      <c r="E3136" s="5" t="s">
        <v>2927</v>
      </c>
      <c r="F3136" s="5" t="s">
        <v>831</v>
      </c>
      <c r="G3136" s="5" t="s">
        <v>832</v>
      </c>
      <c r="H3136" s="5"/>
      <c r="I3136" s="6">
        <v>16020</v>
      </c>
    </row>
    <row r="3137" spans="1:9" x14ac:dyDescent="0.3">
      <c r="B3137" s="5" t="s">
        <v>2879</v>
      </c>
      <c r="C3137" s="5" t="s">
        <v>844</v>
      </c>
      <c r="D3137" s="5" t="s">
        <v>2925</v>
      </c>
      <c r="E3137" s="5" t="s">
        <v>2926</v>
      </c>
      <c r="F3137" s="5" t="s">
        <v>867</v>
      </c>
      <c r="G3137" s="5" t="s">
        <v>868</v>
      </c>
      <c r="H3137" s="5"/>
      <c r="I3137" s="6">
        <v>2884</v>
      </c>
    </row>
    <row r="3138" spans="1:9" x14ac:dyDescent="0.3">
      <c r="A3138" s="7" t="s">
        <v>2928</v>
      </c>
      <c r="H3138" s="8">
        <f>H3135+H3136+H3137</f>
        <v>18904</v>
      </c>
      <c r="I3138" s="8">
        <f>I3135+I3136+I3137</f>
        <v>18904</v>
      </c>
    </row>
    <row r="3139" spans="1:9" x14ac:dyDescent="0.3">
      <c r="A3139" s="4" t="s">
        <v>2929</v>
      </c>
    </row>
    <row r="3140" spans="1:9" x14ac:dyDescent="0.3">
      <c r="B3140" s="5" t="s">
        <v>2879</v>
      </c>
      <c r="C3140" s="5" t="s">
        <v>844</v>
      </c>
      <c r="D3140" s="5" t="s">
        <v>2930</v>
      </c>
      <c r="E3140" s="5" t="s">
        <v>2931</v>
      </c>
      <c r="F3140" s="5" t="s">
        <v>847</v>
      </c>
      <c r="G3140" s="5" t="s">
        <v>848</v>
      </c>
      <c r="H3140" s="6">
        <v>17700</v>
      </c>
      <c r="I3140" s="5"/>
    </row>
    <row r="3141" spans="1:9" x14ac:dyDescent="0.3">
      <c r="B3141" s="5" t="s">
        <v>2879</v>
      </c>
      <c r="C3141" s="5" t="s">
        <v>844</v>
      </c>
      <c r="D3141" s="5" t="s">
        <v>2930</v>
      </c>
      <c r="E3141" s="5" t="s">
        <v>2932</v>
      </c>
      <c r="F3141" s="5" t="s">
        <v>831</v>
      </c>
      <c r="G3141" s="5" t="s">
        <v>832</v>
      </c>
      <c r="H3141" s="5"/>
      <c r="I3141" s="6">
        <v>15000</v>
      </c>
    </row>
    <row r="3142" spans="1:9" x14ac:dyDescent="0.3">
      <c r="B3142" s="5" t="s">
        <v>2879</v>
      </c>
      <c r="C3142" s="5" t="s">
        <v>844</v>
      </c>
      <c r="D3142" s="5" t="s">
        <v>2930</v>
      </c>
      <c r="E3142" s="5" t="s">
        <v>2931</v>
      </c>
      <c r="F3142" s="5" t="s">
        <v>867</v>
      </c>
      <c r="G3142" s="5" t="s">
        <v>868</v>
      </c>
      <c r="H3142" s="5"/>
      <c r="I3142" s="6">
        <v>2700</v>
      </c>
    </row>
    <row r="3143" spans="1:9" x14ac:dyDescent="0.3">
      <c r="A3143" s="7" t="s">
        <v>2933</v>
      </c>
      <c r="H3143" s="8">
        <f>H3140+H3141+H3142</f>
        <v>17700</v>
      </c>
      <c r="I3143" s="8">
        <f>I3140+I3141+I3142</f>
        <v>17700</v>
      </c>
    </row>
    <row r="3144" spans="1:9" x14ac:dyDescent="0.3">
      <c r="A3144" s="4" t="s">
        <v>2934</v>
      </c>
    </row>
    <row r="3145" spans="1:9" x14ac:dyDescent="0.3">
      <c r="B3145" s="5" t="s">
        <v>2879</v>
      </c>
      <c r="C3145" s="5" t="s">
        <v>844</v>
      </c>
      <c r="D3145" s="5" t="s">
        <v>2935</v>
      </c>
      <c r="E3145" s="5" t="s">
        <v>2936</v>
      </c>
      <c r="F3145" s="5" t="s">
        <v>847</v>
      </c>
      <c r="G3145" s="5" t="s">
        <v>848</v>
      </c>
      <c r="H3145" s="6">
        <v>24146</v>
      </c>
      <c r="I3145" s="5"/>
    </row>
    <row r="3146" spans="1:9" x14ac:dyDescent="0.3">
      <c r="B3146" s="5" t="s">
        <v>2879</v>
      </c>
      <c r="C3146" s="5" t="s">
        <v>844</v>
      </c>
      <c r="D3146" s="5" t="s">
        <v>2935</v>
      </c>
      <c r="E3146" s="5" t="s">
        <v>2932</v>
      </c>
      <c r="F3146" s="5" t="s">
        <v>831</v>
      </c>
      <c r="G3146" s="5" t="s">
        <v>832</v>
      </c>
      <c r="H3146" s="5"/>
      <c r="I3146" s="6">
        <v>20463</v>
      </c>
    </row>
    <row r="3147" spans="1:9" x14ac:dyDescent="0.3">
      <c r="B3147" s="5" t="s">
        <v>2879</v>
      </c>
      <c r="C3147" s="5" t="s">
        <v>844</v>
      </c>
      <c r="D3147" s="5" t="s">
        <v>2935</v>
      </c>
      <c r="E3147" s="5" t="s">
        <v>2936</v>
      </c>
      <c r="F3147" s="5" t="s">
        <v>867</v>
      </c>
      <c r="G3147" s="5" t="s">
        <v>868</v>
      </c>
      <c r="H3147" s="5"/>
      <c r="I3147" s="6">
        <v>3683</v>
      </c>
    </row>
    <row r="3148" spans="1:9" x14ac:dyDescent="0.3">
      <c r="A3148" s="7" t="s">
        <v>2937</v>
      </c>
      <c r="H3148" s="8">
        <f>H3145+H3146+H3147</f>
        <v>24146</v>
      </c>
      <c r="I3148" s="8">
        <f>I3145+I3146+I3147</f>
        <v>24146</v>
      </c>
    </row>
    <row r="3149" spans="1:9" x14ac:dyDescent="0.3">
      <c r="A3149" s="4" t="s">
        <v>2938</v>
      </c>
    </row>
    <row r="3150" spans="1:9" x14ac:dyDescent="0.3">
      <c r="B3150" s="5" t="s">
        <v>2879</v>
      </c>
      <c r="C3150" s="5" t="s">
        <v>844</v>
      </c>
      <c r="D3150" s="5" t="s">
        <v>2939</v>
      </c>
      <c r="E3150" s="5" t="s">
        <v>2940</v>
      </c>
      <c r="F3150" s="5" t="s">
        <v>847</v>
      </c>
      <c r="G3150" s="5" t="s">
        <v>848</v>
      </c>
      <c r="H3150" s="6">
        <v>14160</v>
      </c>
      <c r="I3150" s="5"/>
    </row>
    <row r="3151" spans="1:9" x14ac:dyDescent="0.3">
      <c r="B3151" s="5" t="s">
        <v>2879</v>
      </c>
      <c r="C3151" s="5" t="s">
        <v>844</v>
      </c>
      <c r="D3151" s="5" t="s">
        <v>2939</v>
      </c>
      <c r="E3151" s="5" t="s">
        <v>2941</v>
      </c>
      <c r="F3151" s="5" t="s">
        <v>831</v>
      </c>
      <c r="G3151" s="5" t="s">
        <v>832</v>
      </c>
      <c r="H3151" s="5"/>
      <c r="I3151" s="6">
        <v>12000</v>
      </c>
    </row>
    <row r="3152" spans="1:9" x14ac:dyDescent="0.3">
      <c r="B3152" s="5" t="s">
        <v>2879</v>
      </c>
      <c r="C3152" s="5" t="s">
        <v>844</v>
      </c>
      <c r="D3152" s="5" t="s">
        <v>2939</v>
      </c>
      <c r="E3152" s="5" t="s">
        <v>2940</v>
      </c>
      <c r="F3152" s="5" t="s">
        <v>867</v>
      </c>
      <c r="G3152" s="5" t="s">
        <v>868</v>
      </c>
      <c r="H3152" s="5"/>
      <c r="I3152" s="6">
        <v>2160</v>
      </c>
    </row>
    <row r="3153" spans="1:9" x14ac:dyDescent="0.3">
      <c r="A3153" s="7" t="s">
        <v>2942</v>
      </c>
      <c r="H3153" s="8">
        <f>H3150+H3151+H3152</f>
        <v>14160</v>
      </c>
      <c r="I3153" s="8">
        <f>I3150+I3151+I3152</f>
        <v>14160</v>
      </c>
    </row>
    <row r="3154" spans="1:9" x14ac:dyDescent="0.3">
      <c r="A3154" s="4" t="s">
        <v>2943</v>
      </c>
    </row>
    <row r="3155" spans="1:9" x14ac:dyDescent="0.3">
      <c r="B3155" s="5" t="s">
        <v>2879</v>
      </c>
      <c r="C3155" s="5" t="s">
        <v>844</v>
      </c>
      <c r="D3155" s="5" t="s">
        <v>2944</v>
      </c>
      <c r="E3155" s="5" t="s">
        <v>2945</v>
      </c>
      <c r="F3155" s="5" t="s">
        <v>847</v>
      </c>
      <c r="G3155" s="5" t="s">
        <v>848</v>
      </c>
      <c r="H3155" s="6">
        <v>17700</v>
      </c>
      <c r="I3155" s="5"/>
    </row>
    <row r="3156" spans="1:9" x14ac:dyDescent="0.3">
      <c r="B3156" s="5" t="s">
        <v>2879</v>
      </c>
      <c r="C3156" s="5" t="s">
        <v>844</v>
      </c>
      <c r="D3156" s="5" t="s">
        <v>2944</v>
      </c>
      <c r="E3156" s="5" t="s">
        <v>2946</v>
      </c>
      <c r="F3156" s="5" t="s">
        <v>831</v>
      </c>
      <c r="G3156" s="5" t="s">
        <v>832</v>
      </c>
      <c r="H3156" s="5"/>
      <c r="I3156" s="6">
        <v>15000</v>
      </c>
    </row>
    <row r="3157" spans="1:9" x14ac:dyDescent="0.3">
      <c r="B3157" s="5" t="s">
        <v>2879</v>
      </c>
      <c r="C3157" s="5" t="s">
        <v>844</v>
      </c>
      <c r="D3157" s="5" t="s">
        <v>2944</v>
      </c>
      <c r="E3157" s="5" t="s">
        <v>2945</v>
      </c>
      <c r="F3157" s="5" t="s">
        <v>867</v>
      </c>
      <c r="G3157" s="5" t="s">
        <v>868</v>
      </c>
      <c r="H3157" s="5"/>
      <c r="I3157" s="6">
        <v>2700</v>
      </c>
    </row>
    <row r="3158" spans="1:9" x14ac:dyDescent="0.3">
      <c r="A3158" s="7" t="s">
        <v>2947</v>
      </c>
      <c r="H3158" s="8">
        <f>H3155+H3156+H3157</f>
        <v>17700</v>
      </c>
      <c r="I3158" s="8">
        <f>I3155+I3156+I3157</f>
        <v>17700</v>
      </c>
    </row>
    <row r="3159" spans="1:9" x14ac:dyDescent="0.3">
      <c r="A3159" s="4" t="s">
        <v>2948</v>
      </c>
    </row>
    <row r="3160" spans="1:9" x14ac:dyDescent="0.3">
      <c r="B3160" s="5" t="s">
        <v>2879</v>
      </c>
      <c r="C3160" s="5" t="s">
        <v>844</v>
      </c>
      <c r="D3160" s="5" t="s">
        <v>2949</v>
      </c>
      <c r="E3160" s="5" t="s">
        <v>2950</v>
      </c>
      <c r="F3160" s="5" t="s">
        <v>847</v>
      </c>
      <c r="G3160" s="5" t="s">
        <v>848</v>
      </c>
      <c r="H3160" s="6">
        <v>817327</v>
      </c>
      <c r="I3160" s="5"/>
    </row>
    <row r="3161" spans="1:9" x14ac:dyDescent="0.3">
      <c r="B3161" s="5" t="s">
        <v>2879</v>
      </c>
      <c r="C3161" s="5" t="s">
        <v>844</v>
      </c>
      <c r="D3161" s="5" t="s">
        <v>2949</v>
      </c>
      <c r="E3161" s="5" t="s">
        <v>2950</v>
      </c>
      <c r="F3161" s="5" t="s">
        <v>831</v>
      </c>
      <c r="G3161" s="5" t="s">
        <v>832</v>
      </c>
      <c r="H3161" s="5"/>
      <c r="I3161" s="6">
        <v>692650</v>
      </c>
    </row>
    <row r="3162" spans="1:9" x14ac:dyDescent="0.3">
      <c r="B3162" s="5" t="s">
        <v>2879</v>
      </c>
      <c r="C3162" s="5" t="s">
        <v>844</v>
      </c>
      <c r="D3162" s="5" t="s">
        <v>2949</v>
      </c>
      <c r="E3162" s="5" t="s">
        <v>2950</v>
      </c>
      <c r="F3162" s="5" t="s">
        <v>867</v>
      </c>
      <c r="G3162" s="5" t="s">
        <v>868</v>
      </c>
      <c r="H3162" s="5"/>
      <c r="I3162" s="6">
        <v>124677</v>
      </c>
    </row>
    <row r="3163" spans="1:9" x14ac:dyDescent="0.3">
      <c r="A3163" s="7" t="s">
        <v>2951</v>
      </c>
      <c r="H3163" s="8">
        <f>H3160+H3161+H3162</f>
        <v>817327</v>
      </c>
      <c r="I3163" s="8">
        <f>I3160+I3161+I3162</f>
        <v>817327</v>
      </c>
    </row>
    <row r="3164" spans="1:9" x14ac:dyDescent="0.3">
      <c r="A3164" s="4" t="s">
        <v>2952</v>
      </c>
    </row>
    <row r="3165" spans="1:9" x14ac:dyDescent="0.3">
      <c r="B3165" s="5" t="s">
        <v>2879</v>
      </c>
      <c r="C3165" s="5" t="s">
        <v>844</v>
      </c>
      <c r="D3165" s="5" t="s">
        <v>2953</v>
      </c>
      <c r="E3165" s="5" t="s">
        <v>2954</v>
      </c>
      <c r="F3165" s="5" t="s">
        <v>847</v>
      </c>
      <c r="G3165" s="5" t="s">
        <v>848</v>
      </c>
      <c r="H3165" s="6">
        <v>365800</v>
      </c>
      <c r="I3165" s="5"/>
    </row>
    <row r="3166" spans="1:9" x14ac:dyDescent="0.3">
      <c r="B3166" s="5" t="s">
        <v>2879</v>
      </c>
      <c r="C3166" s="5" t="s">
        <v>844</v>
      </c>
      <c r="D3166" s="5" t="s">
        <v>2953</v>
      </c>
      <c r="E3166" s="5" t="s">
        <v>2955</v>
      </c>
      <c r="F3166" s="5" t="s">
        <v>831</v>
      </c>
      <c r="G3166" s="5" t="s">
        <v>832</v>
      </c>
      <c r="H3166" s="5"/>
      <c r="I3166" s="6">
        <v>310000</v>
      </c>
    </row>
    <row r="3167" spans="1:9" x14ac:dyDescent="0.3">
      <c r="B3167" s="5" t="s">
        <v>2879</v>
      </c>
      <c r="C3167" s="5" t="s">
        <v>844</v>
      </c>
      <c r="D3167" s="5" t="s">
        <v>2953</v>
      </c>
      <c r="E3167" s="5" t="s">
        <v>2954</v>
      </c>
      <c r="F3167" s="5" t="s">
        <v>867</v>
      </c>
      <c r="G3167" s="5" t="s">
        <v>868</v>
      </c>
      <c r="H3167" s="5"/>
      <c r="I3167" s="6">
        <v>55800</v>
      </c>
    </row>
    <row r="3168" spans="1:9" x14ac:dyDescent="0.3">
      <c r="A3168" s="7" t="s">
        <v>2956</v>
      </c>
      <c r="H3168" s="8">
        <f>H3165+H3166+H3167</f>
        <v>365800</v>
      </c>
      <c r="I3168" s="8">
        <f>I3165+I3166+I3167</f>
        <v>365800</v>
      </c>
    </row>
    <row r="3169" spans="1:9" x14ac:dyDescent="0.3">
      <c r="A3169" s="4" t="s">
        <v>2957</v>
      </c>
    </row>
    <row r="3170" spans="1:9" x14ac:dyDescent="0.3">
      <c r="B3170" s="5" t="s">
        <v>2958</v>
      </c>
      <c r="C3170" s="5" t="s">
        <v>10</v>
      </c>
      <c r="D3170" s="5" t="s">
        <v>2959</v>
      </c>
      <c r="E3170" s="5" t="s">
        <v>2960</v>
      </c>
      <c r="F3170" s="5" t="s">
        <v>2961</v>
      </c>
      <c r="G3170" s="5" t="s">
        <v>2962</v>
      </c>
      <c r="H3170" s="6">
        <v>200</v>
      </c>
      <c r="I3170" s="5"/>
    </row>
    <row r="3171" spans="1:9" x14ac:dyDescent="0.3">
      <c r="B3171" s="5" t="s">
        <v>2958</v>
      </c>
      <c r="C3171" s="5" t="s">
        <v>10</v>
      </c>
      <c r="D3171" s="5" t="s">
        <v>2959</v>
      </c>
      <c r="E3171" s="5" t="s">
        <v>2963</v>
      </c>
      <c r="F3171" s="5" t="s">
        <v>67</v>
      </c>
      <c r="G3171" s="5" t="s">
        <v>68</v>
      </c>
      <c r="H3171" s="6">
        <v>150</v>
      </c>
      <c r="I3171" s="5"/>
    </row>
    <row r="3172" spans="1:9" x14ac:dyDescent="0.3">
      <c r="B3172" s="5" t="s">
        <v>2958</v>
      </c>
      <c r="C3172" s="5" t="s">
        <v>10</v>
      </c>
      <c r="D3172" s="5" t="s">
        <v>2959</v>
      </c>
      <c r="E3172" s="5" t="s">
        <v>2963</v>
      </c>
      <c r="F3172" s="5" t="s">
        <v>1643</v>
      </c>
      <c r="G3172" s="5" t="s">
        <v>1644</v>
      </c>
      <c r="H3172" s="5"/>
      <c r="I3172" s="6">
        <v>350</v>
      </c>
    </row>
    <row r="3173" spans="1:9" x14ac:dyDescent="0.3">
      <c r="A3173" s="7" t="s">
        <v>2964</v>
      </c>
      <c r="H3173" s="8">
        <f>H3170+H3171+H3172</f>
        <v>350</v>
      </c>
      <c r="I3173" s="8">
        <f>I3170+I3171+I3172</f>
        <v>350</v>
      </c>
    </row>
    <row r="3174" spans="1:9" x14ac:dyDescent="0.3">
      <c r="A3174" s="4" t="s">
        <v>2965</v>
      </c>
    </row>
    <row r="3175" spans="1:9" x14ac:dyDescent="0.3">
      <c r="B3175" s="5" t="s">
        <v>2958</v>
      </c>
      <c r="C3175" s="5" t="s">
        <v>10</v>
      </c>
      <c r="D3175" s="5" t="s">
        <v>2966</v>
      </c>
      <c r="E3175" s="5" t="s">
        <v>2967</v>
      </c>
      <c r="F3175" s="5" t="s">
        <v>831</v>
      </c>
      <c r="G3175" s="5" t="s">
        <v>832</v>
      </c>
      <c r="H3175" s="6">
        <v>350000</v>
      </c>
      <c r="I3175" s="5"/>
    </row>
    <row r="3176" spans="1:9" x14ac:dyDescent="0.3">
      <c r="B3176" s="5" t="s">
        <v>2958</v>
      </c>
      <c r="C3176" s="5" t="s">
        <v>10</v>
      </c>
      <c r="D3176" s="5" t="s">
        <v>2966</v>
      </c>
      <c r="E3176" s="5" t="s">
        <v>2968</v>
      </c>
      <c r="F3176" s="5" t="s">
        <v>831</v>
      </c>
      <c r="G3176" s="5" t="s">
        <v>832</v>
      </c>
      <c r="H3176" s="6">
        <v>59980</v>
      </c>
      <c r="I3176" s="5"/>
    </row>
    <row r="3177" spans="1:9" x14ac:dyDescent="0.3">
      <c r="B3177" s="5" t="s">
        <v>2958</v>
      </c>
      <c r="C3177" s="5" t="s">
        <v>10</v>
      </c>
      <c r="D3177" s="5" t="s">
        <v>2966</v>
      </c>
      <c r="E3177" s="5" t="s">
        <v>2969</v>
      </c>
      <c r="F3177" s="5" t="s">
        <v>831</v>
      </c>
      <c r="G3177" s="5" t="s">
        <v>832</v>
      </c>
      <c r="H3177" s="6">
        <v>649000</v>
      </c>
      <c r="I3177" s="5"/>
    </row>
    <row r="3178" spans="1:9" x14ac:dyDescent="0.3">
      <c r="B3178" s="5" t="s">
        <v>2958</v>
      </c>
      <c r="C3178" s="5" t="s">
        <v>10</v>
      </c>
      <c r="D3178" s="5" t="s">
        <v>2966</v>
      </c>
      <c r="E3178" s="5" t="s">
        <v>2970</v>
      </c>
      <c r="F3178" s="5" t="s">
        <v>831</v>
      </c>
      <c r="G3178" s="5" t="s">
        <v>832</v>
      </c>
      <c r="H3178" s="6">
        <v>103005</v>
      </c>
      <c r="I3178" s="5"/>
    </row>
    <row r="3179" spans="1:9" x14ac:dyDescent="0.3">
      <c r="B3179" s="5" t="s">
        <v>2958</v>
      </c>
      <c r="C3179" s="5" t="s">
        <v>10</v>
      </c>
      <c r="D3179" s="5" t="s">
        <v>2966</v>
      </c>
      <c r="E3179" s="5" t="s">
        <v>2971</v>
      </c>
      <c r="F3179" s="5" t="s">
        <v>831</v>
      </c>
      <c r="G3179" s="5" t="s">
        <v>832</v>
      </c>
      <c r="H3179" s="6">
        <v>100000</v>
      </c>
      <c r="I3179" s="5"/>
    </row>
    <row r="3180" spans="1:9" x14ac:dyDescent="0.3">
      <c r="B3180" s="5" t="s">
        <v>2958</v>
      </c>
      <c r="C3180" s="5" t="s">
        <v>10</v>
      </c>
      <c r="D3180" s="5" t="s">
        <v>2966</v>
      </c>
      <c r="E3180" s="5" t="s">
        <v>2972</v>
      </c>
      <c r="F3180" s="5" t="s">
        <v>831</v>
      </c>
      <c r="G3180" s="5" t="s">
        <v>832</v>
      </c>
      <c r="H3180" s="6">
        <v>50000</v>
      </c>
      <c r="I3180" s="5"/>
    </row>
    <row r="3181" spans="1:9" x14ac:dyDescent="0.3">
      <c r="B3181" s="5" t="s">
        <v>2958</v>
      </c>
      <c r="C3181" s="5" t="s">
        <v>10</v>
      </c>
      <c r="D3181" s="5" t="s">
        <v>2966</v>
      </c>
      <c r="E3181" s="5" t="s">
        <v>2973</v>
      </c>
      <c r="F3181" s="5" t="s">
        <v>831</v>
      </c>
      <c r="G3181" s="5" t="s">
        <v>832</v>
      </c>
      <c r="H3181" s="6">
        <v>100030</v>
      </c>
      <c r="I3181" s="5"/>
    </row>
    <row r="3182" spans="1:9" x14ac:dyDescent="0.3">
      <c r="B3182" s="5" t="s">
        <v>2958</v>
      </c>
      <c r="C3182" s="5" t="s">
        <v>10</v>
      </c>
      <c r="D3182" s="5" t="s">
        <v>2966</v>
      </c>
      <c r="E3182" s="5" t="s">
        <v>2974</v>
      </c>
      <c r="F3182" s="5" t="s">
        <v>831</v>
      </c>
      <c r="G3182" s="5" t="s">
        <v>832</v>
      </c>
      <c r="H3182" s="6">
        <v>99290</v>
      </c>
      <c r="I3182" s="5"/>
    </row>
    <row r="3183" spans="1:9" x14ac:dyDescent="0.3">
      <c r="B3183" s="5" t="s">
        <v>2958</v>
      </c>
      <c r="C3183" s="5" t="s">
        <v>10</v>
      </c>
      <c r="D3183" s="5" t="s">
        <v>2966</v>
      </c>
      <c r="E3183" s="5" t="s">
        <v>2975</v>
      </c>
      <c r="F3183" s="5" t="s">
        <v>13</v>
      </c>
      <c r="G3183" s="5" t="s">
        <v>14</v>
      </c>
      <c r="H3183" s="5"/>
      <c r="I3183" s="6">
        <v>1511305</v>
      </c>
    </row>
    <row r="3184" spans="1:9" x14ac:dyDescent="0.3">
      <c r="B3184" s="5" t="s">
        <v>2958</v>
      </c>
      <c r="C3184" s="5" t="s">
        <v>10</v>
      </c>
      <c r="D3184" s="5" t="s">
        <v>2966</v>
      </c>
      <c r="E3184" s="5" t="s">
        <v>2750</v>
      </c>
      <c r="F3184" s="5" t="s">
        <v>2750</v>
      </c>
      <c r="G3184" s="5" t="s">
        <v>2750</v>
      </c>
      <c r="H3184" s="5"/>
      <c r="I3184" s="5"/>
    </row>
    <row r="3185" spans="1:9" x14ac:dyDescent="0.3">
      <c r="A3185" s="7" t="s">
        <v>2976</v>
      </c>
      <c r="H3185" s="8">
        <f>H3175+H3176+H3177+H3178+H3179+H3180+H3181+H3182+H3183+H3184</f>
        <v>1511305</v>
      </c>
      <c r="I3185" s="8">
        <f>I3175+I3176+I3177+I3178+I3179+I3180+I3181+I3182+I3183+I3184</f>
        <v>1511305</v>
      </c>
    </row>
    <row r="3186" spans="1:9" x14ac:dyDescent="0.3">
      <c r="A3186" s="4" t="s">
        <v>2977</v>
      </c>
    </row>
    <row r="3187" spans="1:9" ht="21.6" x14ac:dyDescent="0.3">
      <c r="B3187" s="5" t="s">
        <v>2958</v>
      </c>
      <c r="C3187" s="5" t="s">
        <v>844</v>
      </c>
      <c r="D3187" s="5" t="s">
        <v>2978</v>
      </c>
      <c r="E3187" s="5" t="s">
        <v>2979</v>
      </c>
      <c r="F3187" s="5" t="s">
        <v>847</v>
      </c>
      <c r="G3187" s="5" t="s">
        <v>848</v>
      </c>
      <c r="H3187" s="6">
        <v>18880</v>
      </c>
      <c r="I3187" s="5"/>
    </row>
    <row r="3188" spans="1:9" ht="21.6" x14ac:dyDescent="0.3">
      <c r="B3188" s="5" t="s">
        <v>2958</v>
      </c>
      <c r="C3188" s="5" t="s">
        <v>844</v>
      </c>
      <c r="D3188" s="5" t="s">
        <v>2978</v>
      </c>
      <c r="E3188" s="5" t="s">
        <v>2979</v>
      </c>
      <c r="F3188" s="5" t="s">
        <v>831</v>
      </c>
      <c r="G3188" s="5" t="s">
        <v>832</v>
      </c>
      <c r="H3188" s="5"/>
      <c r="I3188" s="6">
        <v>16000</v>
      </c>
    </row>
    <row r="3189" spans="1:9" ht="21.6" x14ac:dyDescent="0.3">
      <c r="B3189" s="5" t="s">
        <v>2958</v>
      </c>
      <c r="C3189" s="5" t="s">
        <v>844</v>
      </c>
      <c r="D3189" s="5" t="s">
        <v>2978</v>
      </c>
      <c r="E3189" s="5" t="s">
        <v>2979</v>
      </c>
      <c r="F3189" s="5" t="s">
        <v>867</v>
      </c>
      <c r="G3189" s="5" t="s">
        <v>868</v>
      </c>
      <c r="H3189" s="5"/>
      <c r="I3189" s="6">
        <v>2880</v>
      </c>
    </row>
    <row r="3190" spans="1:9" x14ac:dyDescent="0.3">
      <c r="A3190" s="7" t="s">
        <v>2980</v>
      </c>
      <c r="H3190" s="8">
        <f>H3187+H3188+H3189</f>
        <v>18880</v>
      </c>
      <c r="I3190" s="8">
        <f>I3187+I3188+I3189</f>
        <v>18880</v>
      </c>
    </row>
    <row r="3191" spans="1:9" x14ac:dyDescent="0.3">
      <c r="A3191" s="4" t="s">
        <v>2981</v>
      </c>
    </row>
    <row r="3192" spans="1:9" x14ac:dyDescent="0.3">
      <c r="B3192" s="5" t="s">
        <v>2958</v>
      </c>
      <c r="C3192" s="5" t="s">
        <v>844</v>
      </c>
      <c r="D3192" s="5" t="s">
        <v>2982</v>
      </c>
      <c r="E3192" s="5" t="s">
        <v>2750</v>
      </c>
      <c r="F3192" s="5" t="s">
        <v>847</v>
      </c>
      <c r="G3192" s="5" t="s">
        <v>848</v>
      </c>
      <c r="H3192" s="6">
        <v>413000</v>
      </c>
      <c r="I3192" s="5"/>
    </row>
    <row r="3193" spans="1:9" x14ac:dyDescent="0.3">
      <c r="B3193" s="5" t="s">
        <v>2958</v>
      </c>
      <c r="C3193" s="5" t="s">
        <v>844</v>
      </c>
      <c r="D3193" s="5" t="s">
        <v>2982</v>
      </c>
      <c r="E3193" s="5" t="s">
        <v>2983</v>
      </c>
      <c r="F3193" s="5" t="s">
        <v>831</v>
      </c>
      <c r="G3193" s="5" t="s">
        <v>832</v>
      </c>
      <c r="H3193" s="5"/>
      <c r="I3193" s="6">
        <v>350000</v>
      </c>
    </row>
    <row r="3194" spans="1:9" x14ac:dyDescent="0.3">
      <c r="B3194" s="5" t="s">
        <v>2958</v>
      </c>
      <c r="C3194" s="5" t="s">
        <v>844</v>
      </c>
      <c r="D3194" s="5" t="s">
        <v>2982</v>
      </c>
      <c r="E3194" s="5" t="s">
        <v>2983</v>
      </c>
      <c r="F3194" s="5" t="s">
        <v>867</v>
      </c>
      <c r="G3194" s="5" t="s">
        <v>868</v>
      </c>
      <c r="H3194" s="5"/>
      <c r="I3194" s="6">
        <v>63000</v>
      </c>
    </row>
    <row r="3195" spans="1:9" x14ac:dyDescent="0.3">
      <c r="A3195" s="7" t="s">
        <v>2984</v>
      </c>
      <c r="H3195" s="8">
        <f>H3192+H3193+H3194</f>
        <v>413000</v>
      </c>
      <c r="I3195" s="8">
        <f>I3192+I3193+I3194</f>
        <v>413000</v>
      </c>
    </row>
    <row r="3196" spans="1:9" x14ac:dyDescent="0.3">
      <c r="A3196" s="4" t="s">
        <v>2985</v>
      </c>
    </row>
    <row r="3197" spans="1:9" x14ac:dyDescent="0.3">
      <c r="B3197" s="5" t="s">
        <v>2958</v>
      </c>
      <c r="C3197" s="5" t="s">
        <v>844</v>
      </c>
      <c r="D3197" s="5" t="s">
        <v>2986</v>
      </c>
      <c r="E3197" s="5" t="s">
        <v>2750</v>
      </c>
      <c r="F3197" s="5" t="s">
        <v>847</v>
      </c>
      <c r="G3197" s="5" t="s">
        <v>848</v>
      </c>
      <c r="H3197" s="6">
        <v>70776.399999999994</v>
      </c>
      <c r="I3197" s="5"/>
    </row>
    <row r="3198" spans="1:9" x14ac:dyDescent="0.3">
      <c r="B3198" s="5" t="s">
        <v>2958</v>
      </c>
      <c r="C3198" s="5" t="s">
        <v>844</v>
      </c>
      <c r="D3198" s="5" t="s">
        <v>2986</v>
      </c>
      <c r="E3198" s="5" t="s">
        <v>2987</v>
      </c>
      <c r="F3198" s="5" t="s">
        <v>831</v>
      </c>
      <c r="G3198" s="5" t="s">
        <v>832</v>
      </c>
      <c r="H3198" s="5"/>
      <c r="I3198" s="6">
        <v>59980</v>
      </c>
    </row>
    <row r="3199" spans="1:9" x14ac:dyDescent="0.3">
      <c r="B3199" s="5" t="s">
        <v>2958</v>
      </c>
      <c r="C3199" s="5" t="s">
        <v>844</v>
      </c>
      <c r="D3199" s="5" t="s">
        <v>2986</v>
      </c>
      <c r="E3199" s="5" t="s">
        <v>1993</v>
      </c>
      <c r="F3199" s="5" t="s">
        <v>867</v>
      </c>
      <c r="G3199" s="5" t="s">
        <v>868</v>
      </c>
      <c r="H3199" s="5"/>
      <c r="I3199" s="6">
        <v>10796.4</v>
      </c>
    </row>
    <row r="3200" spans="1:9" x14ac:dyDescent="0.3">
      <c r="A3200" s="7" t="s">
        <v>2988</v>
      </c>
      <c r="H3200" s="8">
        <f>H3197+H3198+H3199</f>
        <v>70776.399999999994</v>
      </c>
      <c r="I3200" s="8">
        <f>I3197+I3198+I3199</f>
        <v>70776.399999999994</v>
      </c>
    </row>
    <row r="3201" spans="1:9" x14ac:dyDescent="0.3">
      <c r="A3201" s="4" t="s">
        <v>2989</v>
      </c>
    </row>
    <row r="3202" spans="1:9" x14ac:dyDescent="0.3">
      <c r="B3202" s="5" t="s">
        <v>2990</v>
      </c>
      <c r="C3202" s="5" t="s">
        <v>10</v>
      </c>
      <c r="D3202" s="5" t="s">
        <v>2991</v>
      </c>
      <c r="E3202" s="5" t="s">
        <v>2992</v>
      </c>
      <c r="F3202" s="5" t="s">
        <v>1643</v>
      </c>
      <c r="G3202" s="5" t="s">
        <v>1644</v>
      </c>
      <c r="H3202" s="6">
        <v>14100</v>
      </c>
      <c r="I3202" s="5"/>
    </row>
    <row r="3203" spans="1:9" x14ac:dyDescent="0.3">
      <c r="B3203" s="5" t="s">
        <v>2990</v>
      </c>
      <c r="C3203" s="5" t="s">
        <v>10</v>
      </c>
      <c r="D3203" s="5" t="s">
        <v>2991</v>
      </c>
      <c r="E3203" s="5" t="s">
        <v>2992</v>
      </c>
      <c r="F3203" s="5" t="s">
        <v>13</v>
      </c>
      <c r="G3203" s="5" t="s">
        <v>14</v>
      </c>
      <c r="H3203" s="5"/>
      <c r="I3203" s="6">
        <v>14100</v>
      </c>
    </row>
    <row r="3204" spans="1:9" x14ac:dyDescent="0.3">
      <c r="B3204" s="5" t="s">
        <v>2990</v>
      </c>
      <c r="C3204" s="5" t="s">
        <v>10</v>
      </c>
      <c r="D3204" s="5" t="s">
        <v>2991</v>
      </c>
      <c r="E3204" s="5" t="s">
        <v>2993</v>
      </c>
      <c r="F3204" s="5" t="s">
        <v>1022</v>
      </c>
      <c r="G3204" s="5" t="s">
        <v>1023</v>
      </c>
      <c r="H3204" s="6">
        <v>14000</v>
      </c>
      <c r="I3204" s="5"/>
    </row>
    <row r="3205" spans="1:9" x14ac:dyDescent="0.3">
      <c r="B3205" s="5" t="s">
        <v>2990</v>
      </c>
      <c r="C3205" s="5" t="s">
        <v>10</v>
      </c>
      <c r="D3205" s="5" t="s">
        <v>2991</v>
      </c>
      <c r="E3205" s="5" t="s">
        <v>2994</v>
      </c>
      <c r="F3205" s="5" t="s">
        <v>2368</v>
      </c>
      <c r="G3205" s="5" t="s">
        <v>2369</v>
      </c>
      <c r="H3205" s="6">
        <v>100</v>
      </c>
      <c r="I3205" s="5"/>
    </row>
    <row r="3206" spans="1:9" ht="21.6" x14ac:dyDescent="0.3">
      <c r="B3206" s="5" t="s">
        <v>2990</v>
      </c>
      <c r="C3206" s="5" t="s">
        <v>10</v>
      </c>
      <c r="D3206" s="5" t="s">
        <v>2991</v>
      </c>
      <c r="E3206" s="5" t="s">
        <v>2995</v>
      </c>
      <c r="F3206" s="5" t="s">
        <v>1643</v>
      </c>
      <c r="G3206" s="5" t="s">
        <v>1644</v>
      </c>
      <c r="H3206" s="5"/>
      <c r="I3206" s="6">
        <v>14100</v>
      </c>
    </row>
    <row r="3207" spans="1:9" x14ac:dyDescent="0.3">
      <c r="A3207" s="7" t="s">
        <v>2996</v>
      </c>
      <c r="H3207" s="8">
        <f>H3202+H3203+H3204+H3205+H3206</f>
        <v>28200</v>
      </c>
      <c r="I3207" s="8">
        <f>I3202+I3203+I3204+I3205+I3206</f>
        <v>28200</v>
      </c>
    </row>
    <row r="3208" spans="1:9" x14ac:dyDescent="0.3">
      <c r="A3208" s="4" t="s">
        <v>2997</v>
      </c>
    </row>
    <row r="3209" spans="1:9" x14ac:dyDescent="0.3">
      <c r="B3209" s="5" t="s">
        <v>2990</v>
      </c>
      <c r="C3209" s="5" t="s">
        <v>10</v>
      </c>
      <c r="D3209" s="5" t="s">
        <v>2998</v>
      </c>
      <c r="E3209" s="5" t="s">
        <v>2999</v>
      </c>
      <c r="F3209" s="5" t="s">
        <v>67</v>
      </c>
      <c r="G3209" s="5" t="s">
        <v>68</v>
      </c>
      <c r="H3209" s="6">
        <v>170</v>
      </c>
      <c r="I3209" s="5"/>
    </row>
    <row r="3210" spans="1:9" x14ac:dyDescent="0.3">
      <c r="B3210" s="5" t="s">
        <v>2990</v>
      </c>
      <c r="C3210" s="5" t="s">
        <v>10</v>
      </c>
      <c r="D3210" s="5" t="s">
        <v>2998</v>
      </c>
      <c r="E3210" s="5" t="s">
        <v>2999</v>
      </c>
      <c r="F3210" s="5" t="s">
        <v>1643</v>
      </c>
      <c r="G3210" s="5" t="s">
        <v>1644</v>
      </c>
      <c r="H3210" s="5"/>
      <c r="I3210" s="6">
        <v>170</v>
      </c>
    </row>
    <row r="3211" spans="1:9" x14ac:dyDescent="0.3">
      <c r="A3211" s="7" t="s">
        <v>3000</v>
      </c>
      <c r="H3211" s="8">
        <f>H3209+H3210</f>
        <v>170</v>
      </c>
      <c r="I3211" s="8">
        <f>I3209+I3210</f>
        <v>170</v>
      </c>
    </row>
    <row r="3212" spans="1:9" x14ac:dyDescent="0.3">
      <c r="A3212" s="4" t="s">
        <v>3001</v>
      </c>
    </row>
    <row r="3213" spans="1:9" x14ac:dyDescent="0.3">
      <c r="B3213" s="5" t="s">
        <v>2990</v>
      </c>
      <c r="C3213" s="5" t="s">
        <v>10</v>
      </c>
      <c r="D3213" s="5" t="s">
        <v>3002</v>
      </c>
      <c r="E3213" s="5" t="s">
        <v>3003</v>
      </c>
      <c r="F3213" s="5" t="s">
        <v>67</v>
      </c>
      <c r="G3213" s="5" t="s">
        <v>68</v>
      </c>
      <c r="H3213" s="6">
        <v>200</v>
      </c>
      <c r="I3213" s="5"/>
    </row>
    <row r="3214" spans="1:9" x14ac:dyDescent="0.3">
      <c r="B3214" s="5" t="s">
        <v>2990</v>
      </c>
      <c r="C3214" s="5" t="s">
        <v>10</v>
      </c>
      <c r="D3214" s="5" t="s">
        <v>3002</v>
      </c>
      <c r="E3214" s="5" t="s">
        <v>3003</v>
      </c>
      <c r="F3214" s="5" t="s">
        <v>1643</v>
      </c>
      <c r="G3214" s="5" t="s">
        <v>1644</v>
      </c>
      <c r="H3214" s="5"/>
      <c r="I3214" s="6">
        <v>200</v>
      </c>
    </row>
    <row r="3215" spans="1:9" x14ac:dyDescent="0.3">
      <c r="A3215" s="7" t="s">
        <v>3004</v>
      </c>
      <c r="H3215" s="8">
        <f>H3213+H3214</f>
        <v>200</v>
      </c>
      <c r="I3215" s="8">
        <f>I3213+I3214</f>
        <v>200</v>
      </c>
    </row>
    <row r="3216" spans="1:9" x14ac:dyDescent="0.3">
      <c r="A3216" s="4" t="s">
        <v>3005</v>
      </c>
    </row>
    <row r="3217" spans="1:9" x14ac:dyDescent="0.3">
      <c r="B3217" s="5" t="s">
        <v>2990</v>
      </c>
      <c r="C3217" s="5" t="s">
        <v>10</v>
      </c>
      <c r="D3217" s="5" t="s">
        <v>3006</v>
      </c>
      <c r="E3217" s="5" t="s">
        <v>3007</v>
      </c>
      <c r="F3217" s="5" t="s">
        <v>50</v>
      </c>
      <c r="G3217" s="5" t="s">
        <v>51</v>
      </c>
      <c r="H3217" s="6">
        <v>350</v>
      </c>
      <c r="I3217" s="5"/>
    </row>
    <row r="3218" spans="1:9" x14ac:dyDescent="0.3">
      <c r="B3218" s="5" t="s">
        <v>2990</v>
      </c>
      <c r="C3218" s="5" t="s">
        <v>10</v>
      </c>
      <c r="D3218" s="5" t="s">
        <v>3006</v>
      </c>
      <c r="E3218" s="5" t="s">
        <v>3007</v>
      </c>
      <c r="F3218" s="5" t="s">
        <v>1643</v>
      </c>
      <c r="G3218" s="5" t="s">
        <v>1644</v>
      </c>
      <c r="H3218" s="5"/>
      <c r="I3218" s="6">
        <v>350</v>
      </c>
    </row>
    <row r="3219" spans="1:9" x14ac:dyDescent="0.3">
      <c r="A3219" s="7" t="s">
        <v>3008</v>
      </c>
      <c r="H3219" s="8">
        <f>H3217+H3218</f>
        <v>350</v>
      </c>
      <c r="I3219" s="8">
        <f>I3217+I3218</f>
        <v>350</v>
      </c>
    </row>
    <row r="3220" spans="1:9" x14ac:dyDescent="0.3">
      <c r="A3220" s="4" t="s">
        <v>3009</v>
      </c>
    </row>
    <row r="3221" spans="1:9" x14ac:dyDescent="0.3">
      <c r="B3221" s="5" t="s">
        <v>2990</v>
      </c>
      <c r="C3221" s="5" t="s">
        <v>10</v>
      </c>
      <c r="D3221" s="5" t="s">
        <v>3010</v>
      </c>
      <c r="E3221" s="5" t="s">
        <v>3011</v>
      </c>
      <c r="F3221" s="5" t="s">
        <v>67</v>
      </c>
      <c r="G3221" s="5" t="s">
        <v>68</v>
      </c>
      <c r="H3221" s="6">
        <v>150</v>
      </c>
      <c r="I3221" s="5"/>
    </row>
    <row r="3222" spans="1:9" x14ac:dyDescent="0.3">
      <c r="B3222" s="5" t="s">
        <v>2990</v>
      </c>
      <c r="C3222" s="5" t="s">
        <v>10</v>
      </c>
      <c r="D3222" s="5" t="s">
        <v>3010</v>
      </c>
      <c r="E3222" s="5" t="s">
        <v>3011</v>
      </c>
      <c r="F3222" s="5" t="s">
        <v>1643</v>
      </c>
      <c r="G3222" s="5" t="s">
        <v>1644</v>
      </c>
      <c r="H3222" s="5"/>
      <c r="I3222" s="6">
        <v>150</v>
      </c>
    </row>
    <row r="3223" spans="1:9" x14ac:dyDescent="0.3">
      <c r="A3223" s="7" t="s">
        <v>3012</v>
      </c>
      <c r="H3223" s="8">
        <f>H3221+H3222</f>
        <v>150</v>
      </c>
      <c r="I3223" s="8">
        <f>I3221+I3222</f>
        <v>150</v>
      </c>
    </row>
    <row r="3224" spans="1:9" x14ac:dyDescent="0.3">
      <c r="A3224" s="4" t="s">
        <v>3013</v>
      </c>
    </row>
    <row r="3225" spans="1:9" x14ac:dyDescent="0.3">
      <c r="B3225" s="5" t="s">
        <v>2990</v>
      </c>
      <c r="C3225" s="5" t="s">
        <v>10</v>
      </c>
      <c r="D3225" s="5" t="s">
        <v>3014</v>
      </c>
      <c r="E3225" s="5" t="s">
        <v>3015</v>
      </c>
      <c r="F3225" s="5" t="s">
        <v>50</v>
      </c>
      <c r="G3225" s="5" t="s">
        <v>51</v>
      </c>
      <c r="H3225" s="6">
        <v>1050</v>
      </c>
      <c r="I3225" s="5"/>
    </row>
    <row r="3226" spans="1:9" x14ac:dyDescent="0.3">
      <c r="B3226" s="5" t="s">
        <v>2990</v>
      </c>
      <c r="C3226" s="5" t="s">
        <v>10</v>
      </c>
      <c r="D3226" s="5" t="s">
        <v>3014</v>
      </c>
      <c r="E3226" s="5" t="s">
        <v>3015</v>
      </c>
      <c r="F3226" s="5" t="s">
        <v>1643</v>
      </c>
      <c r="G3226" s="5" t="s">
        <v>1644</v>
      </c>
      <c r="H3226" s="5"/>
      <c r="I3226" s="6">
        <v>1050</v>
      </c>
    </row>
    <row r="3227" spans="1:9" x14ac:dyDescent="0.3">
      <c r="A3227" s="7" t="s">
        <v>3016</v>
      </c>
      <c r="H3227" s="8">
        <f>H3225+H3226</f>
        <v>1050</v>
      </c>
      <c r="I3227" s="8">
        <f>I3225+I3226</f>
        <v>1050</v>
      </c>
    </row>
    <row r="3228" spans="1:9" x14ac:dyDescent="0.3">
      <c r="A3228" s="4" t="s">
        <v>3017</v>
      </c>
    </row>
    <row r="3229" spans="1:9" x14ac:dyDescent="0.3">
      <c r="B3229" s="5" t="s">
        <v>2990</v>
      </c>
      <c r="C3229" s="5" t="s">
        <v>10</v>
      </c>
      <c r="D3229" s="5" t="s">
        <v>3018</v>
      </c>
      <c r="E3229" s="5" t="s">
        <v>3019</v>
      </c>
      <c r="F3229" s="5" t="s">
        <v>50</v>
      </c>
      <c r="G3229" s="5" t="s">
        <v>51</v>
      </c>
      <c r="H3229" s="6">
        <v>300</v>
      </c>
      <c r="I3229" s="5"/>
    </row>
    <row r="3230" spans="1:9" x14ac:dyDescent="0.3">
      <c r="B3230" s="5" t="s">
        <v>2990</v>
      </c>
      <c r="C3230" s="5" t="s">
        <v>10</v>
      </c>
      <c r="D3230" s="5" t="s">
        <v>3018</v>
      </c>
      <c r="E3230" s="5" t="s">
        <v>3019</v>
      </c>
      <c r="F3230" s="5" t="s">
        <v>1643</v>
      </c>
      <c r="G3230" s="5" t="s">
        <v>1644</v>
      </c>
      <c r="H3230" s="5"/>
      <c r="I3230" s="6">
        <v>300</v>
      </c>
    </row>
    <row r="3231" spans="1:9" x14ac:dyDescent="0.3">
      <c r="A3231" s="7" t="s">
        <v>3020</v>
      </c>
      <c r="H3231" s="8">
        <f>H3229+H3230</f>
        <v>300</v>
      </c>
      <c r="I3231" s="8">
        <f>I3229+I3230</f>
        <v>300</v>
      </c>
    </row>
    <row r="3232" spans="1:9" x14ac:dyDescent="0.3">
      <c r="A3232" s="4" t="s">
        <v>3021</v>
      </c>
    </row>
    <row r="3233" spans="1:9" x14ac:dyDescent="0.3">
      <c r="B3233" s="5" t="s">
        <v>2990</v>
      </c>
      <c r="C3233" s="5" t="s">
        <v>10</v>
      </c>
      <c r="D3233" s="5" t="s">
        <v>3022</v>
      </c>
      <c r="E3233" s="5" t="s">
        <v>3023</v>
      </c>
      <c r="F3233" s="5" t="s">
        <v>547</v>
      </c>
      <c r="G3233" s="5" t="s">
        <v>548</v>
      </c>
      <c r="H3233" s="6">
        <v>5980</v>
      </c>
      <c r="I3233" s="5"/>
    </row>
    <row r="3234" spans="1:9" x14ac:dyDescent="0.3">
      <c r="B3234" s="5" t="s">
        <v>2990</v>
      </c>
      <c r="C3234" s="5" t="s">
        <v>10</v>
      </c>
      <c r="D3234" s="5" t="s">
        <v>3022</v>
      </c>
      <c r="E3234" s="5" t="s">
        <v>3023</v>
      </c>
      <c r="F3234" s="5" t="s">
        <v>1643</v>
      </c>
      <c r="G3234" s="5" t="s">
        <v>1644</v>
      </c>
      <c r="H3234" s="5"/>
      <c r="I3234" s="6">
        <v>5980</v>
      </c>
    </row>
    <row r="3235" spans="1:9" x14ac:dyDescent="0.3">
      <c r="A3235" s="7" t="s">
        <v>3024</v>
      </c>
      <c r="H3235" s="8">
        <f>H3233+H3234</f>
        <v>5980</v>
      </c>
      <c r="I3235" s="8">
        <f>I3233+I3234</f>
        <v>5980</v>
      </c>
    </row>
    <row r="3236" spans="1:9" x14ac:dyDescent="0.3">
      <c r="A3236" s="4" t="s">
        <v>3025</v>
      </c>
    </row>
    <row r="3237" spans="1:9" x14ac:dyDescent="0.3">
      <c r="B3237" s="5" t="s">
        <v>2990</v>
      </c>
      <c r="C3237" s="5" t="s">
        <v>10</v>
      </c>
      <c r="D3237" s="5" t="s">
        <v>3026</v>
      </c>
      <c r="E3237" s="5" t="s">
        <v>3027</v>
      </c>
      <c r="F3237" s="5" t="s">
        <v>61</v>
      </c>
      <c r="G3237" s="5" t="s">
        <v>62</v>
      </c>
      <c r="H3237" s="6">
        <v>290</v>
      </c>
      <c r="I3237" s="5"/>
    </row>
    <row r="3238" spans="1:9" x14ac:dyDescent="0.3">
      <c r="B3238" s="5" t="s">
        <v>2990</v>
      </c>
      <c r="C3238" s="5" t="s">
        <v>10</v>
      </c>
      <c r="D3238" s="5" t="s">
        <v>3026</v>
      </c>
      <c r="E3238" s="5" t="s">
        <v>3027</v>
      </c>
      <c r="F3238" s="5" t="s">
        <v>1643</v>
      </c>
      <c r="G3238" s="5" t="s">
        <v>1644</v>
      </c>
      <c r="H3238" s="5"/>
      <c r="I3238" s="6">
        <v>290</v>
      </c>
    </row>
    <row r="3239" spans="1:9" x14ac:dyDescent="0.3">
      <c r="A3239" s="7" t="s">
        <v>3028</v>
      </c>
      <c r="H3239" s="8">
        <f>H3237+H3238</f>
        <v>290</v>
      </c>
      <c r="I3239" s="8">
        <f>I3237+I3238</f>
        <v>290</v>
      </c>
    </row>
    <row r="3240" spans="1:9" x14ac:dyDescent="0.3">
      <c r="A3240" s="4" t="s">
        <v>3029</v>
      </c>
    </row>
    <row r="3241" spans="1:9" x14ac:dyDescent="0.3">
      <c r="B3241" s="5" t="s">
        <v>2990</v>
      </c>
      <c r="C3241" s="5" t="s">
        <v>10</v>
      </c>
      <c r="D3241" s="5" t="s">
        <v>3030</v>
      </c>
      <c r="E3241" s="5" t="s">
        <v>1052</v>
      </c>
      <c r="F3241" s="5" t="s">
        <v>61</v>
      </c>
      <c r="G3241" s="5" t="s">
        <v>62</v>
      </c>
      <c r="H3241" s="6">
        <v>150</v>
      </c>
      <c r="I3241" s="5"/>
    </row>
    <row r="3242" spans="1:9" x14ac:dyDescent="0.3">
      <c r="B3242" s="5" t="s">
        <v>2990</v>
      </c>
      <c r="C3242" s="5" t="s">
        <v>10</v>
      </c>
      <c r="D3242" s="5" t="s">
        <v>3030</v>
      </c>
      <c r="E3242" s="5" t="s">
        <v>3031</v>
      </c>
      <c r="F3242" s="5" t="s">
        <v>50</v>
      </c>
      <c r="G3242" s="5" t="s">
        <v>51</v>
      </c>
      <c r="H3242" s="6">
        <v>50</v>
      </c>
      <c r="I3242" s="5"/>
    </row>
    <row r="3243" spans="1:9" x14ac:dyDescent="0.3">
      <c r="B3243" s="5" t="s">
        <v>2990</v>
      </c>
      <c r="C3243" s="5" t="s">
        <v>10</v>
      </c>
      <c r="D3243" s="5" t="s">
        <v>3030</v>
      </c>
      <c r="E3243" s="5" t="s">
        <v>3032</v>
      </c>
      <c r="F3243" s="5" t="s">
        <v>1643</v>
      </c>
      <c r="G3243" s="5" t="s">
        <v>1644</v>
      </c>
      <c r="H3243" s="5"/>
      <c r="I3243" s="6">
        <v>200</v>
      </c>
    </row>
    <row r="3244" spans="1:9" x14ac:dyDescent="0.3">
      <c r="A3244" s="7" t="s">
        <v>3033</v>
      </c>
      <c r="H3244" s="8">
        <f>H3241+H3242+H3243</f>
        <v>200</v>
      </c>
      <c r="I3244" s="8">
        <f>I3241+I3242+I3243</f>
        <v>200</v>
      </c>
    </row>
    <row r="3245" spans="1:9" x14ac:dyDescent="0.3">
      <c r="A3245" s="4" t="s">
        <v>3034</v>
      </c>
    </row>
    <row r="3246" spans="1:9" x14ac:dyDescent="0.3">
      <c r="B3246" s="5" t="s">
        <v>2990</v>
      </c>
      <c r="C3246" s="5" t="s">
        <v>844</v>
      </c>
      <c r="D3246" s="5" t="s">
        <v>3035</v>
      </c>
      <c r="E3246" s="5" t="s">
        <v>2750</v>
      </c>
      <c r="F3246" s="5" t="s">
        <v>847</v>
      </c>
      <c r="G3246" s="5" t="s">
        <v>848</v>
      </c>
      <c r="H3246" s="6">
        <v>765820</v>
      </c>
      <c r="I3246" s="5"/>
    </row>
    <row r="3247" spans="1:9" x14ac:dyDescent="0.3">
      <c r="B3247" s="5" t="s">
        <v>2990</v>
      </c>
      <c r="C3247" s="5" t="s">
        <v>844</v>
      </c>
      <c r="D3247" s="5" t="s">
        <v>3035</v>
      </c>
      <c r="E3247" s="5" t="s">
        <v>2987</v>
      </c>
      <c r="F3247" s="5" t="s">
        <v>831</v>
      </c>
      <c r="G3247" s="5" t="s">
        <v>832</v>
      </c>
      <c r="H3247" s="5"/>
      <c r="I3247" s="6">
        <v>649000</v>
      </c>
    </row>
    <row r="3248" spans="1:9" x14ac:dyDescent="0.3">
      <c r="B3248" s="5" t="s">
        <v>2990</v>
      </c>
      <c r="C3248" s="5" t="s">
        <v>844</v>
      </c>
      <c r="D3248" s="5" t="s">
        <v>3035</v>
      </c>
      <c r="E3248" s="5" t="s">
        <v>1993</v>
      </c>
      <c r="F3248" s="5" t="s">
        <v>867</v>
      </c>
      <c r="G3248" s="5" t="s">
        <v>868</v>
      </c>
      <c r="H3248" s="5"/>
      <c r="I3248" s="6">
        <v>116820</v>
      </c>
    </row>
    <row r="3249" spans="1:9" x14ac:dyDescent="0.3">
      <c r="A3249" s="7" t="s">
        <v>3036</v>
      </c>
      <c r="H3249" s="8">
        <f>H3246+H3247+H3248</f>
        <v>765820</v>
      </c>
      <c r="I3249" s="8">
        <f>I3246+I3247+I3248</f>
        <v>765820</v>
      </c>
    </row>
    <row r="3250" spans="1:9" x14ac:dyDescent="0.3">
      <c r="A3250" s="4" t="s">
        <v>3037</v>
      </c>
    </row>
    <row r="3251" spans="1:9" x14ac:dyDescent="0.3">
      <c r="B3251" s="5" t="s">
        <v>2990</v>
      </c>
      <c r="C3251" s="5" t="s">
        <v>844</v>
      </c>
      <c r="D3251" s="5" t="s">
        <v>3038</v>
      </c>
      <c r="E3251" s="5" t="s">
        <v>2750</v>
      </c>
      <c r="F3251" s="5" t="s">
        <v>847</v>
      </c>
      <c r="G3251" s="5" t="s">
        <v>848</v>
      </c>
      <c r="H3251" s="6">
        <v>121546</v>
      </c>
      <c r="I3251" s="5"/>
    </row>
    <row r="3252" spans="1:9" x14ac:dyDescent="0.3">
      <c r="B3252" s="5" t="s">
        <v>2990</v>
      </c>
      <c r="C3252" s="5" t="s">
        <v>844</v>
      </c>
      <c r="D3252" s="5" t="s">
        <v>3038</v>
      </c>
      <c r="E3252" s="5" t="s">
        <v>2987</v>
      </c>
      <c r="F3252" s="5" t="s">
        <v>831</v>
      </c>
      <c r="G3252" s="5" t="s">
        <v>832</v>
      </c>
      <c r="H3252" s="5"/>
      <c r="I3252" s="6">
        <v>103005</v>
      </c>
    </row>
    <row r="3253" spans="1:9" x14ac:dyDescent="0.3">
      <c r="B3253" s="5" t="s">
        <v>2990</v>
      </c>
      <c r="C3253" s="5" t="s">
        <v>844</v>
      </c>
      <c r="D3253" s="5" t="s">
        <v>3038</v>
      </c>
      <c r="E3253" s="5" t="s">
        <v>1993</v>
      </c>
      <c r="F3253" s="5" t="s">
        <v>867</v>
      </c>
      <c r="G3253" s="5" t="s">
        <v>868</v>
      </c>
      <c r="H3253" s="5"/>
      <c r="I3253" s="6">
        <v>18541</v>
      </c>
    </row>
    <row r="3254" spans="1:9" x14ac:dyDescent="0.3">
      <c r="A3254" s="7" t="s">
        <v>3039</v>
      </c>
      <c r="H3254" s="8">
        <f>H3251+H3252+H3253</f>
        <v>121546</v>
      </c>
      <c r="I3254" s="8">
        <f>I3251+I3252+I3253</f>
        <v>121546</v>
      </c>
    </row>
    <row r="3255" spans="1:9" x14ac:dyDescent="0.3">
      <c r="A3255" s="4" t="s">
        <v>3040</v>
      </c>
    </row>
    <row r="3256" spans="1:9" x14ac:dyDescent="0.3">
      <c r="B3256" s="5" t="s">
        <v>2990</v>
      </c>
      <c r="C3256" s="5" t="s">
        <v>844</v>
      </c>
      <c r="D3256" s="5" t="s">
        <v>3041</v>
      </c>
      <c r="E3256" s="5" t="s">
        <v>2750</v>
      </c>
      <c r="F3256" s="5" t="s">
        <v>847</v>
      </c>
      <c r="G3256" s="5" t="s">
        <v>848</v>
      </c>
      <c r="H3256" s="6">
        <v>118000</v>
      </c>
      <c r="I3256" s="5"/>
    </row>
    <row r="3257" spans="1:9" x14ac:dyDescent="0.3">
      <c r="B3257" s="5" t="s">
        <v>2990</v>
      </c>
      <c r="C3257" s="5" t="s">
        <v>844</v>
      </c>
      <c r="D3257" s="5" t="s">
        <v>3041</v>
      </c>
      <c r="E3257" s="5" t="s">
        <v>2987</v>
      </c>
      <c r="F3257" s="5" t="s">
        <v>831</v>
      </c>
      <c r="G3257" s="5" t="s">
        <v>832</v>
      </c>
      <c r="H3257" s="5"/>
      <c r="I3257" s="6">
        <v>100000</v>
      </c>
    </row>
    <row r="3258" spans="1:9" x14ac:dyDescent="0.3">
      <c r="B3258" s="5" t="s">
        <v>2990</v>
      </c>
      <c r="C3258" s="5" t="s">
        <v>844</v>
      </c>
      <c r="D3258" s="5" t="s">
        <v>3041</v>
      </c>
      <c r="E3258" s="5" t="s">
        <v>1993</v>
      </c>
      <c r="F3258" s="5" t="s">
        <v>867</v>
      </c>
      <c r="G3258" s="5" t="s">
        <v>868</v>
      </c>
      <c r="H3258" s="5"/>
      <c r="I3258" s="6">
        <v>18000</v>
      </c>
    </row>
    <row r="3259" spans="1:9" x14ac:dyDescent="0.3">
      <c r="A3259" s="7" t="s">
        <v>3042</v>
      </c>
      <c r="H3259" s="8">
        <f>H3256+H3257+H3258</f>
        <v>118000</v>
      </c>
      <c r="I3259" s="8">
        <f>I3256+I3257+I3258</f>
        <v>118000</v>
      </c>
    </row>
    <row r="3260" spans="1:9" x14ac:dyDescent="0.3">
      <c r="A3260" s="4" t="s">
        <v>3043</v>
      </c>
    </row>
    <row r="3261" spans="1:9" x14ac:dyDescent="0.3">
      <c r="B3261" s="5" t="s">
        <v>2990</v>
      </c>
      <c r="C3261" s="5" t="s">
        <v>844</v>
      </c>
      <c r="D3261" s="5" t="s">
        <v>3044</v>
      </c>
      <c r="E3261" s="5" t="s">
        <v>2750</v>
      </c>
      <c r="F3261" s="5" t="s">
        <v>847</v>
      </c>
      <c r="G3261" s="5" t="s">
        <v>848</v>
      </c>
      <c r="H3261" s="6">
        <v>59000</v>
      </c>
      <c r="I3261" s="5"/>
    </row>
    <row r="3262" spans="1:9" x14ac:dyDescent="0.3">
      <c r="B3262" s="5" t="s">
        <v>2990</v>
      </c>
      <c r="C3262" s="5" t="s">
        <v>844</v>
      </c>
      <c r="D3262" s="5" t="s">
        <v>3044</v>
      </c>
      <c r="E3262" s="5" t="s">
        <v>2987</v>
      </c>
      <c r="F3262" s="5" t="s">
        <v>831</v>
      </c>
      <c r="G3262" s="5" t="s">
        <v>832</v>
      </c>
      <c r="H3262" s="5"/>
      <c r="I3262" s="6">
        <v>50000</v>
      </c>
    </row>
    <row r="3263" spans="1:9" x14ac:dyDescent="0.3">
      <c r="B3263" s="5" t="s">
        <v>2990</v>
      </c>
      <c r="C3263" s="5" t="s">
        <v>844</v>
      </c>
      <c r="D3263" s="5" t="s">
        <v>3044</v>
      </c>
      <c r="E3263" s="5" t="s">
        <v>1993</v>
      </c>
      <c r="F3263" s="5" t="s">
        <v>867</v>
      </c>
      <c r="G3263" s="5" t="s">
        <v>868</v>
      </c>
      <c r="H3263" s="5"/>
      <c r="I3263" s="6">
        <v>9000</v>
      </c>
    </row>
    <row r="3264" spans="1:9" x14ac:dyDescent="0.3">
      <c r="A3264" s="7" t="s">
        <v>3045</v>
      </c>
      <c r="H3264" s="8">
        <f>H3261+H3262+H3263</f>
        <v>59000</v>
      </c>
      <c r="I3264" s="8">
        <f>I3261+I3262+I3263</f>
        <v>59000</v>
      </c>
    </row>
    <row r="3265" spans="1:9" x14ac:dyDescent="0.3">
      <c r="A3265" s="4" t="s">
        <v>3046</v>
      </c>
    </row>
    <row r="3266" spans="1:9" x14ac:dyDescent="0.3">
      <c r="B3266" s="5" t="s">
        <v>2990</v>
      </c>
      <c r="C3266" s="5" t="s">
        <v>844</v>
      </c>
      <c r="D3266" s="5" t="s">
        <v>3047</v>
      </c>
      <c r="E3266" s="5" t="s">
        <v>2750</v>
      </c>
      <c r="F3266" s="5" t="s">
        <v>847</v>
      </c>
      <c r="G3266" s="5" t="s">
        <v>848</v>
      </c>
      <c r="H3266" s="6">
        <v>118035</v>
      </c>
      <c r="I3266" s="5"/>
    </row>
    <row r="3267" spans="1:9" x14ac:dyDescent="0.3">
      <c r="B3267" s="5" t="s">
        <v>2990</v>
      </c>
      <c r="C3267" s="5" t="s">
        <v>844</v>
      </c>
      <c r="D3267" s="5" t="s">
        <v>3047</v>
      </c>
      <c r="E3267" s="5" t="s">
        <v>2987</v>
      </c>
      <c r="F3267" s="5" t="s">
        <v>831</v>
      </c>
      <c r="G3267" s="5" t="s">
        <v>832</v>
      </c>
      <c r="H3267" s="5"/>
      <c r="I3267" s="6">
        <v>100030</v>
      </c>
    </row>
    <row r="3268" spans="1:9" x14ac:dyDescent="0.3">
      <c r="B3268" s="5" t="s">
        <v>2990</v>
      </c>
      <c r="C3268" s="5" t="s">
        <v>844</v>
      </c>
      <c r="D3268" s="5" t="s">
        <v>3047</v>
      </c>
      <c r="E3268" s="5" t="s">
        <v>1993</v>
      </c>
      <c r="F3268" s="5" t="s">
        <v>867</v>
      </c>
      <c r="G3268" s="5" t="s">
        <v>868</v>
      </c>
      <c r="H3268" s="5"/>
      <c r="I3268" s="6">
        <v>18005</v>
      </c>
    </row>
    <row r="3269" spans="1:9" x14ac:dyDescent="0.3">
      <c r="A3269" s="7" t="s">
        <v>3048</v>
      </c>
      <c r="H3269" s="8">
        <f>H3266+H3267+H3268</f>
        <v>118035</v>
      </c>
      <c r="I3269" s="8">
        <f>I3266+I3267+I3268</f>
        <v>118035</v>
      </c>
    </row>
    <row r="3270" spans="1:9" x14ac:dyDescent="0.3">
      <c r="A3270" s="4" t="s">
        <v>3049</v>
      </c>
    </row>
    <row r="3271" spans="1:9" x14ac:dyDescent="0.3">
      <c r="B3271" s="5" t="s">
        <v>2990</v>
      </c>
      <c r="C3271" s="5" t="s">
        <v>844</v>
      </c>
      <c r="D3271" s="5" t="s">
        <v>3050</v>
      </c>
      <c r="E3271" s="5" t="s">
        <v>2750</v>
      </c>
      <c r="F3271" s="5" t="s">
        <v>847</v>
      </c>
      <c r="G3271" s="5" t="s">
        <v>848</v>
      </c>
      <c r="H3271" s="6">
        <v>117162</v>
      </c>
      <c r="I3271" s="5"/>
    </row>
    <row r="3272" spans="1:9" x14ac:dyDescent="0.3">
      <c r="B3272" s="5" t="s">
        <v>2990</v>
      </c>
      <c r="C3272" s="5" t="s">
        <v>844</v>
      </c>
      <c r="D3272" s="5" t="s">
        <v>3050</v>
      </c>
      <c r="E3272" s="5" t="s">
        <v>2987</v>
      </c>
      <c r="F3272" s="5" t="s">
        <v>831</v>
      </c>
      <c r="G3272" s="5" t="s">
        <v>832</v>
      </c>
      <c r="H3272" s="5"/>
      <c r="I3272" s="6">
        <v>99290</v>
      </c>
    </row>
    <row r="3273" spans="1:9" x14ac:dyDescent="0.3">
      <c r="B3273" s="5" t="s">
        <v>2990</v>
      </c>
      <c r="C3273" s="5" t="s">
        <v>844</v>
      </c>
      <c r="D3273" s="5" t="s">
        <v>3050</v>
      </c>
      <c r="E3273" s="5" t="s">
        <v>1993</v>
      </c>
      <c r="F3273" s="5" t="s">
        <v>867</v>
      </c>
      <c r="G3273" s="5" t="s">
        <v>868</v>
      </c>
      <c r="H3273" s="5"/>
      <c r="I3273" s="6">
        <v>17872</v>
      </c>
    </row>
    <row r="3274" spans="1:9" x14ac:dyDescent="0.3">
      <c r="A3274" s="7" t="s">
        <v>3051</v>
      </c>
      <c r="H3274" s="8">
        <f>H3271+H3272+H3273</f>
        <v>117162</v>
      </c>
      <c r="I3274" s="8">
        <f>I3271+I3272+I3273</f>
        <v>117162</v>
      </c>
    </row>
    <row r="3275" spans="1:9" x14ac:dyDescent="0.3">
      <c r="A3275" s="4" t="s">
        <v>3052</v>
      </c>
    </row>
    <row r="3276" spans="1:9" x14ac:dyDescent="0.3">
      <c r="B3276" s="5" t="s">
        <v>3053</v>
      </c>
      <c r="C3276" s="5" t="s">
        <v>10</v>
      </c>
      <c r="D3276" s="5" t="s">
        <v>3054</v>
      </c>
      <c r="E3276" s="5" t="s">
        <v>3055</v>
      </c>
      <c r="F3276" s="5" t="s">
        <v>61</v>
      </c>
      <c r="G3276" s="5" t="s">
        <v>62</v>
      </c>
      <c r="H3276" s="6">
        <v>320</v>
      </c>
      <c r="I3276" s="5"/>
    </row>
    <row r="3277" spans="1:9" x14ac:dyDescent="0.3">
      <c r="B3277" s="5" t="s">
        <v>3053</v>
      </c>
      <c r="C3277" s="5" t="s">
        <v>10</v>
      </c>
      <c r="D3277" s="5" t="s">
        <v>3054</v>
      </c>
      <c r="E3277" s="5" t="s">
        <v>3055</v>
      </c>
      <c r="F3277" s="5" t="s">
        <v>1643</v>
      </c>
      <c r="G3277" s="5" t="s">
        <v>1644</v>
      </c>
      <c r="H3277" s="5"/>
      <c r="I3277" s="6">
        <v>320</v>
      </c>
    </row>
    <row r="3278" spans="1:9" x14ac:dyDescent="0.3">
      <c r="A3278" s="7" t="s">
        <v>3056</v>
      </c>
      <c r="H3278" s="8">
        <f>H3276+H3277</f>
        <v>320</v>
      </c>
      <c r="I3278" s="8">
        <f>I3276+I3277</f>
        <v>320</v>
      </c>
    </row>
    <row r="3279" spans="1:9" x14ac:dyDescent="0.3">
      <c r="A3279" s="4" t="s">
        <v>3057</v>
      </c>
    </row>
    <row r="3280" spans="1:9" x14ac:dyDescent="0.3">
      <c r="B3280" s="5" t="s">
        <v>3053</v>
      </c>
      <c r="C3280" s="5" t="s">
        <v>10</v>
      </c>
      <c r="D3280" s="5" t="s">
        <v>3058</v>
      </c>
      <c r="E3280" s="5" t="s">
        <v>3059</v>
      </c>
      <c r="F3280" s="5" t="s">
        <v>1643</v>
      </c>
      <c r="G3280" s="5" t="s">
        <v>1644</v>
      </c>
      <c r="H3280" s="6">
        <v>51000</v>
      </c>
      <c r="I3280" s="5"/>
    </row>
    <row r="3281" spans="1:9" x14ac:dyDescent="0.3">
      <c r="B3281" s="5" t="s">
        <v>3053</v>
      </c>
      <c r="C3281" s="5" t="s">
        <v>10</v>
      </c>
      <c r="D3281" s="5" t="s">
        <v>3058</v>
      </c>
      <c r="E3281" s="5" t="s">
        <v>3059</v>
      </c>
      <c r="F3281" s="5" t="s">
        <v>13</v>
      </c>
      <c r="G3281" s="5" t="s">
        <v>14</v>
      </c>
      <c r="H3281" s="5"/>
      <c r="I3281" s="6">
        <v>51000</v>
      </c>
    </row>
    <row r="3282" spans="1:9" x14ac:dyDescent="0.3">
      <c r="A3282" s="7" t="s">
        <v>3060</v>
      </c>
      <c r="H3282" s="8">
        <f>H3280+H3281</f>
        <v>51000</v>
      </c>
      <c r="I3282" s="8">
        <f>I3280+I3281</f>
        <v>51000</v>
      </c>
    </row>
    <row r="3283" spans="1:9" x14ac:dyDescent="0.3">
      <c r="A3283" s="4" t="s">
        <v>3061</v>
      </c>
    </row>
    <row r="3284" spans="1:9" x14ac:dyDescent="0.3">
      <c r="B3284" s="5" t="s">
        <v>3053</v>
      </c>
      <c r="C3284" s="5" t="s">
        <v>10</v>
      </c>
      <c r="D3284" s="5" t="s">
        <v>3062</v>
      </c>
      <c r="E3284" s="5" t="s">
        <v>2846</v>
      </c>
      <c r="F3284" s="5" t="s">
        <v>67</v>
      </c>
      <c r="G3284" s="5" t="s">
        <v>68</v>
      </c>
      <c r="H3284" s="6">
        <v>20</v>
      </c>
      <c r="I3284" s="5"/>
    </row>
    <row r="3285" spans="1:9" x14ac:dyDescent="0.3">
      <c r="B3285" s="5" t="s">
        <v>3053</v>
      </c>
      <c r="C3285" s="5" t="s">
        <v>10</v>
      </c>
      <c r="D3285" s="5" t="s">
        <v>3062</v>
      </c>
      <c r="E3285" s="5" t="s">
        <v>2846</v>
      </c>
      <c r="F3285" s="5" t="s">
        <v>1643</v>
      </c>
      <c r="G3285" s="5" t="s">
        <v>1644</v>
      </c>
      <c r="H3285" s="5"/>
      <c r="I3285" s="6">
        <v>20</v>
      </c>
    </row>
    <row r="3286" spans="1:9" x14ac:dyDescent="0.3">
      <c r="A3286" s="7" t="s">
        <v>3063</v>
      </c>
      <c r="H3286" s="8">
        <f>H3284+H3285</f>
        <v>20</v>
      </c>
      <c r="I3286" s="8">
        <f>I3284+I3285</f>
        <v>20</v>
      </c>
    </row>
    <row r="3287" spans="1:9" x14ac:dyDescent="0.3">
      <c r="A3287" s="4" t="s">
        <v>3064</v>
      </c>
    </row>
    <row r="3288" spans="1:9" x14ac:dyDescent="0.3">
      <c r="B3288" s="5" t="s">
        <v>3065</v>
      </c>
      <c r="C3288" s="5" t="s">
        <v>10</v>
      </c>
      <c r="D3288" s="5" t="s">
        <v>3066</v>
      </c>
      <c r="E3288" s="5" t="s">
        <v>3067</v>
      </c>
      <c r="F3288" s="5" t="s">
        <v>831</v>
      </c>
      <c r="G3288" s="5" t="s">
        <v>832</v>
      </c>
      <c r="H3288" s="6">
        <v>26535</v>
      </c>
      <c r="I3288" s="5"/>
    </row>
    <row r="3289" spans="1:9" x14ac:dyDescent="0.3">
      <c r="B3289" s="5" t="s">
        <v>3065</v>
      </c>
      <c r="C3289" s="5" t="s">
        <v>10</v>
      </c>
      <c r="D3289" s="5" t="s">
        <v>3066</v>
      </c>
      <c r="E3289" s="5" t="s">
        <v>3067</v>
      </c>
      <c r="F3289" s="5" t="s">
        <v>1643</v>
      </c>
      <c r="G3289" s="5" t="s">
        <v>1644</v>
      </c>
      <c r="H3289" s="5"/>
      <c r="I3289" s="6">
        <v>26535</v>
      </c>
    </row>
    <row r="3290" spans="1:9" x14ac:dyDescent="0.3">
      <c r="A3290" s="7" t="s">
        <v>3068</v>
      </c>
      <c r="H3290" s="8">
        <f>H3288+H3289</f>
        <v>26535</v>
      </c>
      <c r="I3290" s="8">
        <f>I3288+I3289</f>
        <v>26535</v>
      </c>
    </row>
    <row r="3291" spans="1:9" x14ac:dyDescent="0.3">
      <c r="A3291" s="4" t="s">
        <v>3069</v>
      </c>
    </row>
    <row r="3292" spans="1:9" x14ac:dyDescent="0.3">
      <c r="B3292" s="5" t="s">
        <v>3065</v>
      </c>
      <c r="C3292" s="5" t="s">
        <v>844</v>
      </c>
      <c r="D3292" s="5" t="s">
        <v>3070</v>
      </c>
      <c r="E3292" s="5" t="s">
        <v>2750</v>
      </c>
      <c r="F3292" s="5" t="s">
        <v>847</v>
      </c>
      <c r="G3292" s="5" t="s">
        <v>848</v>
      </c>
      <c r="H3292" s="6">
        <v>31311</v>
      </c>
      <c r="I3292" s="5"/>
    </row>
    <row r="3293" spans="1:9" x14ac:dyDescent="0.3">
      <c r="B3293" s="5" t="s">
        <v>3065</v>
      </c>
      <c r="C3293" s="5" t="s">
        <v>844</v>
      </c>
      <c r="D3293" s="5" t="s">
        <v>3070</v>
      </c>
      <c r="E3293" s="5" t="s">
        <v>2987</v>
      </c>
      <c r="F3293" s="5" t="s">
        <v>831</v>
      </c>
      <c r="G3293" s="5" t="s">
        <v>832</v>
      </c>
      <c r="H3293" s="5"/>
      <c r="I3293" s="6">
        <v>26535</v>
      </c>
    </row>
    <row r="3294" spans="1:9" x14ac:dyDescent="0.3">
      <c r="B3294" s="5" t="s">
        <v>3065</v>
      </c>
      <c r="C3294" s="5" t="s">
        <v>844</v>
      </c>
      <c r="D3294" s="5" t="s">
        <v>3070</v>
      </c>
      <c r="E3294" s="5" t="s">
        <v>1993</v>
      </c>
      <c r="F3294" s="5" t="s">
        <v>867</v>
      </c>
      <c r="G3294" s="5" t="s">
        <v>868</v>
      </c>
      <c r="H3294" s="5"/>
      <c r="I3294" s="6">
        <v>4776</v>
      </c>
    </row>
    <row r="3295" spans="1:9" x14ac:dyDescent="0.3">
      <c r="A3295" s="7" t="s">
        <v>3071</v>
      </c>
      <c r="H3295" s="8">
        <f>H3292+H3293+H3294</f>
        <v>31311</v>
      </c>
      <c r="I3295" s="8">
        <f>I3292+I3293+I3294</f>
        <v>31311</v>
      </c>
    </row>
    <row r="3296" spans="1:9" x14ac:dyDescent="0.3">
      <c r="A3296" s="4" t="s">
        <v>3072</v>
      </c>
    </row>
    <row r="3297" spans="1:9" ht="21.6" x14ac:dyDescent="0.3">
      <c r="B3297" s="5" t="s">
        <v>3065</v>
      </c>
      <c r="C3297" s="5" t="s">
        <v>10</v>
      </c>
      <c r="D3297" s="5" t="s">
        <v>3073</v>
      </c>
      <c r="E3297" s="5" t="s">
        <v>3074</v>
      </c>
      <c r="F3297" s="5" t="s">
        <v>1643</v>
      </c>
      <c r="G3297" s="5" t="s">
        <v>1644</v>
      </c>
      <c r="H3297" s="6">
        <v>5100</v>
      </c>
      <c r="I3297" s="5"/>
    </row>
    <row r="3298" spans="1:9" ht="21.6" x14ac:dyDescent="0.3">
      <c r="B3298" s="5" t="s">
        <v>3065</v>
      </c>
      <c r="C3298" s="5" t="s">
        <v>10</v>
      </c>
      <c r="D3298" s="5" t="s">
        <v>3073</v>
      </c>
      <c r="E3298" s="5" t="s">
        <v>3074</v>
      </c>
      <c r="F3298" s="5" t="s">
        <v>13</v>
      </c>
      <c r="G3298" s="5" t="s">
        <v>14</v>
      </c>
      <c r="H3298" s="5"/>
      <c r="I3298" s="6">
        <v>5100</v>
      </c>
    </row>
    <row r="3299" spans="1:9" x14ac:dyDescent="0.3">
      <c r="A3299" s="7" t="s">
        <v>3075</v>
      </c>
      <c r="H3299" s="8">
        <f>H3297+H3298</f>
        <v>5100</v>
      </c>
      <c r="I3299" s="8">
        <f>I3297+I3298</f>
        <v>5100</v>
      </c>
    </row>
    <row r="3300" spans="1:9" x14ac:dyDescent="0.3">
      <c r="A3300" s="4" t="s">
        <v>3076</v>
      </c>
    </row>
    <row r="3301" spans="1:9" ht="21.6" x14ac:dyDescent="0.3">
      <c r="B3301" s="5" t="s">
        <v>3065</v>
      </c>
      <c r="C3301" s="5" t="s">
        <v>10</v>
      </c>
      <c r="D3301" s="5" t="s">
        <v>3077</v>
      </c>
      <c r="E3301" s="5" t="s">
        <v>3078</v>
      </c>
      <c r="F3301" s="5" t="s">
        <v>1022</v>
      </c>
      <c r="G3301" s="5" t="s">
        <v>1023</v>
      </c>
      <c r="H3301" s="6">
        <v>5000</v>
      </c>
      <c r="I3301" s="5"/>
    </row>
    <row r="3302" spans="1:9" x14ac:dyDescent="0.3">
      <c r="B3302" s="5" t="s">
        <v>3065</v>
      </c>
      <c r="C3302" s="5" t="s">
        <v>10</v>
      </c>
      <c r="D3302" s="5" t="s">
        <v>3077</v>
      </c>
      <c r="E3302" s="5" t="s">
        <v>2489</v>
      </c>
      <c r="F3302" s="5" t="s">
        <v>2368</v>
      </c>
      <c r="G3302" s="5" t="s">
        <v>2369</v>
      </c>
      <c r="H3302" s="6">
        <v>100</v>
      </c>
      <c r="I3302" s="5"/>
    </row>
    <row r="3303" spans="1:9" ht="21.6" x14ac:dyDescent="0.3">
      <c r="B3303" s="5" t="s">
        <v>3065</v>
      </c>
      <c r="C3303" s="5" t="s">
        <v>10</v>
      </c>
      <c r="D3303" s="5" t="s">
        <v>3077</v>
      </c>
      <c r="E3303" s="5" t="s">
        <v>3078</v>
      </c>
      <c r="F3303" s="5" t="s">
        <v>1643</v>
      </c>
      <c r="G3303" s="5" t="s">
        <v>1644</v>
      </c>
      <c r="H3303" s="5"/>
      <c r="I3303" s="6">
        <v>5100</v>
      </c>
    </row>
    <row r="3304" spans="1:9" x14ac:dyDescent="0.3">
      <c r="A3304" s="7" t="s">
        <v>3079</v>
      </c>
      <c r="H3304" s="8">
        <f>H3301+H3302+H3303</f>
        <v>5100</v>
      </c>
      <c r="I3304" s="8">
        <f>I3301+I3302+I3303</f>
        <v>5100</v>
      </c>
    </row>
    <row r="3305" spans="1:9" x14ac:dyDescent="0.3">
      <c r="A3305" s="4" t="s">
        <v>3080</v>
      </c>
    </row>
    <row r="3306" spans="1:9" x14ac:dyDescent="0.3">
      <c r="B3306" s="5" t="s">
        <v>3081</v>
      </c>
      <c r="C3306" s="5" t="s">
        <v>10</v>
      </c>
      <c r="D3306" s="5" t="s">
        <v>3082</v>
      </c>
      <c r="E3306" s="5" t="s">
        <v>3083</v>
      </c>
      <c r="F3306" s="5" t="s">
        <v>1643</v>
      </c>
      <c r="G3306" s="5" t="s">
        <v>1644</v>
      </c>
      <c r="H3306" s="6">
        <v>134000</v>
      </c>
      <c r="I3306" s="5"/>
    </row>
    <row r="3307" spans="1:9" x14ac:dyDescent="0.3">
      <c r="B3307" s="5" t="s">
        <v>3081</v>
      </c>
      <c r="C3307" s="5" t="s">
        <v>10</v>
      </c>
      <c r="D3307" s="5" t="s">
        <v>3082</v>
      </c>
      <c r="E3307" s="5" t="s">
        <v>3083</v>
      </c>
      <c r="F3307" s="5" t="s">
        <v>13</v>
      </c>
      <c r="G3307" s="5" t="s">
        <v>14</v>
      </c>
      <c r="H3307" s="5"/>
      <c r="I3307" s="6">
        <v>134000</v>
      </c>
    </row>
    <row r="3308" spans="1:9" x14ac:dyDescent="0.3">
      <c r="A3308" s="7" t="s">
        <v>3084</v>
      </c>
      <c r="H3308" s="8">
        <f>H3306+H3307</f>
        <v>134000</v>
      </c>
      <c r="I3308" s="8">
        <f>I3306+I3307</f>
        <v>134000</v>
      </c>
    </row>
    <row r="3309" spans="1:9" x14ac:dyDescent="0.3">
      <c r="A3309" s="4" t="s">
        <v>3085</v>
      </c>
    </row>
    <row r="3310" spans="1:9" x14ac:dyDescent="0.3">
      <c r="B3310" s="5" t="s">
        <v>3081</v>
      </c>
      <c r="C3310" s="5" t="s">
        <v>10</v>
      </c>
      <c r="D3310" s="5" t="s">
        <v>3086</v>
      </c>
      <c r="E3310" s="5" t="s">
        <v>3087</v>
      </c>
      <c r="F3310" s="5" t="s">
        <v>1343</v>
      </c>
      <c r="G3310" s="5" t="s">
        <v>1344</v>
      </c>
      <c r="H3310" s="6">
        <v>134000</v>
      </c>
      <c r="I3310" s="5"/>
    </row>
    <row r="3311" spans="1:9" x14ac:dyDescent="0.3">
      <c r="B3311" s="5" t="s">
        <v>3081</v>
      </c>
      <c r="C3311" s="5" t="s">
        <v>10</v>
      </c>
      <c r="D3311" s="5" t="s">
        <v>3086</v>
      </c>
      <c r="E3311" s="5" t="s">
        <v>3087</v>
      </c>
      <c r="F3311" s="5" t="s">
        <v>1643</v>
      </c>
      <c r="G3311" s="5" t="s">
        <v>1644</v>
      </c>
      <c r="H3311" s="5"/>
      <c r="I3311" s="6">
        <v>134000</v>
      </c>
    </row>
    <row r="3312" spans="1:9" x14ac:dyDescent="0.3">
      <c r="A3312" s="7" t="s">
        <v>3088</v>
      </c>
      <c r="H3312" s="8">
        <f>H3310+H3311</f>
        <v>134000</v>
      </c>
      <c r="I3312" s="8">
        <f>I3310+I3311</f>
        <v>134000</v>
      </c>
    </row>
    <row r="3313" spans="1:9" x14ac:dyDescent="0.3">
      <c r="A3313" s="4" t="s">
        <v>3089</v>
      </c>
    </row>
    <row r="3314" spans="1:9" x14ac:dyDescent="0.3">
      <c r="B3314" s="5" t="s">
        <v>3081</v>
      </c>
      <c r="C3314" s="5" t="s">
        <v>10</v>
      </c>
      <c r="D3314" s="5" t="s">
        <v>3090</v>
      </c>
      <c r="E3314" s="5" t="s">
        <v>3091</v>
      </c>
      <c r="F3314" s="5" t="s">
        <v>1643</v>
      </c>
      <c r="G3314" s="5" t="s">
        <v>1644</v>
      </c>
      <c r="H3314" s="6">
        <v>75000</v>
      </c>
      <c r="I3314" s="5"/>
    </row>
    <row r="3315" spans="1:9" x14ac:dyDescent="0.3">
      <c r="B3315" s="5" t="s">
        <v>3081</v>
      </c>
      <c r="C3315" s="5" t="s">
        <v>10</v>
      </c>
      <c r="D3315" s="5" t="s">
        <v>3090</v>
      </c>
      <c r="E3315" s="5" t="s">
        <v>3091</v>
      </c>
      <c r="F3315" s="5" t="s">
        <v>13</v>
      </c>
      <c r="G3315" s="5" t="s">
        <v>14</v>
      </c>
      <c r="H3315" s="5"/>
      <c r="I3315" s="6">
        <v>75000</v>
      </c>
    </row>
    <row r="3316" spans="1:9" x14ac:dyDescent="0.3">
      <c r="A3316" s="7" t="s">
        <v>3092</v>
      </c>
      <c r="H3316" s="8">
        <f>H3314+H3315</f>
        <v>75000</v>
      </c>
      <c r="I3316" s="8">
        <f>I3314+I3315</f>
        <v>75000</v>
      </c>
    </row>
    <row r="3317" spans="1:9" x14ac:dyDescent="0.3">
      <c r="A3317" s="4" t="s">
        <v>3093</v>
      </c>
    </row>
    <row r="3318" spans="1:9" x14ac:dyDescent="0.3">
      <c r="B3318" s="5" t="s">
        <v>3081</v>
      </c>
      <c r="C3318" s="5" t="s">
        <v>10</v>
      </c>
      <c r="D3318" s="5" t="s">
        <v>3094</v>
      </c>
      <c r="E3318" s="5" t="s">
        <v>3095</v>
      </c>
      <c r="F3318" s="5" t="s">
        <v>831</v>
      </c>
      <c r="G3318" s="5" t="s">
        <v>832</v>
      </c>
      <c r="H3318" s="6">
        <v>72200</v>
      </c>
      <c r="I3318" s="5"/>
    </row>
    <row r="3319" spans="1:9" x14ac:dyDescent="0.3">
      <c r="B3319" s="5" t="s">
        <v>3081</v>
      </c>
      <c r="C3319" s="5" t="s">
        <v>10</v>
      </c>
      <c r="D3319" s="5" t="s">
        <v>3094</v>
      </c>
      <c r="E3319" s="5" t="s">
        <v>3095</v>
      </c>
      <c r="F3319" s="5" t="s">
        <v>1643</v>
      </c>
      <c r="G3319" s="5" t="s">
        <v>1644</v>
      </c>
      <c r="H3319" s="5"/>
      <c r="I3319" s="6">
        <v>72200</v>
      </c>
    </row>
    <row r="3320" spans="1:9" x14ac:dyDescent="0.3">
      <c r="A3320" s="7" t="s">
        <v>3096</v>
      </c>
      <c r="H3320" s="8">
        <f>H3318+H3319</f>
        <v>72200</v>
      </c>
      <c r="I3320" s="8">
        <f>I3318+I3319</f>
        <v>72200</v>
      </c>
    </row>
    <row r="3321" spans="1:9" x14ac:dyDescent="0.3">
      <c r="A3321" s="4" t="s">
        <v>3097</v>
      </c>
    </row>
    <row r="3322" spans="1:9" x14ac:dyDescent="0.3">
      <c r="B3322" s="5" t="s">
        <v>3081</v>
      </c>
      <c r="C3322" s="5" t="s">
        <v>844</v>
      </c>
      <c r="D3322" s="5" t="s">
        <v>3098</v>
      </c>
      <c r="E3322" s="5" t="s">
        <v>2750</v>
      </c>
      <c r="F3322" s="5" t="s">
        <v>847</v>
      </c>
      <c r="G3322" s="5" t="s">
        <v>848</v>
      </c>
      <c r="H3322" s="6">
        <v>85196</v>
      </c>
      <c r="I3322" s="5"/>
    </row>
    <row r="3323" spans="1:9" x14ac:dyDescent="0.3">
      <c r="B3323" s="5" t="s">
        <v>3081</v>
      </c>
      <c r="C3323" s="5" t="s">
        <v>844</v>
      </c>
      <c r="D3323" s="5" t="s">
        <v>3098</v>
      </c>
      <c r="E3323" s="5" t="s">
        <v>2987</v>
      </c>
      <c r="F3323" s="5" t="s">
        <v>831</v>
      </c>
      <c r="G3323" s="5" t="s">
        <v>832</v>
      </c>
      <c r="H3323" s="5"/>
      <c r="I3323" s="6">
        <v>72200</v>
      </c>
    </row>
    <row r="3324" spans="1:9" x14ac:dyDescent="0.3">
      <c r="B3324" s="5" t="s">
        <v>3081</v>
      </c>
      <c r="C3324" s="5" t="s">
        <v>844</v>
      </c>
      <c r="D3324" s="5" t="s">
        <v>3098</v>
      </c>
      <c r="E3324" s="5" t="s">
        <v>1993</v>
      </c>
      <c r="F3324" s="5" t="s">
        <v>867</v>
      </c>
      <c r="G3324" s="5" t="s">
        <v>868</v>
      </c>
      <c r="H3324" s="5"/>
      <c r="I3324" s="6">
        <v>12996</v>
      </c>
    </row>
    <row r="3325" spans="1:9" x14ac:dyDescent="0.3">
      <c r="A3325" s="7" t="s">
        <v>3099</v>
      </c>
      <c r="H3325" s="8">
        <f>H3322+H3323+H3324</f>
        <v>85196</v>
      </c>
      <c r="I3325" s="8">
        <f>I3322+I3323+I3324</f>
        <v>85196</v>
      </c>
    </row>
    <row r="3326" spans="1:9" x14ac:dyDescent="0.3">
      <c r="A3326" s="4" t="s">
        <v>3100</v>
      </c>
    </row>
    <row r="3327" spans="1:9" x14ac:dyDescent="0.3">
      <c r="B3327" s="5" t="s">
        <v>3081</v>
      </c>
      <c r="C3327" s="5" t="s">
        <v>10</v>
      </c>
      <c r="D3327" s="5" t="s">
        <v>3101</v>
      </c>
      <c r="E3327" s="5" t="s">
        <v>3102</v>
      </c>
      <c r="F3327" s="5" t="s">
        <v>129</v>
      </c>
      <c r="G3327" s="5" t="s">
        <v>130</v>
      </c>
      <c r="H3327" s="6">
        <v>540</v>
      </c>
      <c r="I3327" s="5"/>
    </row>
    <row r="3328" spans="1:9" x14ac:dyDescent="0.3">
      <c r="B3328" s="5" t="s">
        <v>3081</v>
      </c>
      <c r="C3328" s="5" t="s">
        <v>10</v>
      </c>
      <c r="D3328" s="5" t="s">
        <v>3101</v>
      </c>
      <c r="E3328" s="5" t="s">
        <v>3102</v>
      </c>
      <c r="F3328" s="5" t="s">
        <v>1643</v>
      </c>
      <c r="G3328" s="5" t="s">
        <v>1644</v>
      </c>
      <c r="H3328" s="5"/>
      <c r="I3328" s="6">
        <v>540</v>
      </c>
    </row>
    <row r="3329" spans="1:9" x14ac:dyDescent="0.3">
      <c r="A3329" s="7" t="s">
        <v>3103</v>
      </c>
      <c r="H3329" s="8">
        <f>H3327+H3328</f>
        <v>540</v>
      </c>
      <c r="I3329" s="8">
        <f>I3327+I3328</f>
        <v>540</v>
      </c>
    </row>
    <row r="3330" spans="1:9" x14ac:dyDescent="0.3">
      <c r="A3330" s="4" t="s">
        <v>3104</v>
      </c>
    </row>
    <row r="3331" spans="1:9" x14ac:dyDescent="0.3">
      <c r="B3331" s="5" t="s">
        <v>3081</v>
      </c>
      <c r="C3331" s="5" t="s">
        <v>10</v>
      </c>
      <c r="D3331" s="5" t="s">
        <v>3105</v>
      </c>
      <c r="E3331" s="5" t="s">
        <v>3106</v>
      </c>
      <c r="F3331" s="5" t="s">
        <v>113</v>
      </c>
      <c r="G3331" s="5" t="s">
        <v>114</v>
      </c>
      <c r="H3331" s="6">
        <v>500</v>
      </c>
      <c r="I3331" s="5"/>
    </row>
    <row r="3332" spans="1:9" x14ac:dyDescent="0.3">
      <c r="B3332" s="5" t="s">
        <v>3081</v>
      </c>
      <c r="C3332" s="5" t="s">
        <v>10</v>
      </c>
      <c r="D3332" s="5" t="s">
        <v>3105</v>
      </c>
      <c r="E3332" s="5" t="s">
        <v>3106</v>
      </c>
      <c r="F3332" s="5" t="s">
        <v>1643</v>
      </c>
      <c r="G3332" s="5" t="s">
        <v>1644</v>
      </c>
      <c r="H3332" s="5"/>
      <c r="I3332" s="6">
        <v>500</v>
      </c>
    </row>
    <row r="3333" spans="1:9" x14ac:dyDescent="0.3">
      <c r="A3333" s="7" t="s">
        <v>3107</v>
      </c>
      <c r="H3333" s="8">
        <f>H3331+H3332</f>
        <v>500</v>
      </c>
      <c r="I3333" s="8">
        <f>I3331+I3332</f>
        <v>500</v>
      </c>
    </row>
    <row r="3334" spans="1:9" x14ac:dyDescent="0.3">
      <c r="A3334" s="4" t="s">
        <v>3108</v>
      </c>
    </row>
    <row r="3335" spans="1:9" x14ac:dyDescent="0.3">
      <c r="B3335" s="5" t="s">
        <v>3081</v>
      </c>
      <c r="C3335" s="5" t="s">
        <v>10</v>
      </c>
      <c r="D3335" s="5" t="s">
        <v>3109</v>
      </c>
      <c r="E3335" s="5" t="s">
        <v>3110</v>
      </c>
      <c r="F3335" s="5" t="s">
        <v>61</v>
      </c>
      <c r="G3335" s="5" t="s">
        <v>62</v>
      </c>
      <c r="H3335" s="6">
        <v>300</v>
      </c>
      <c r="I3335" s="5"/>
    </row>
    <row r="3336" spans="1:9" x14ac:dyDescent="0.3">
      <c r="B3336" s="5" t="s">
        <v>3081</v>
      </c>
      <c r="C3336" s="5" t="s">
        <v>10</v>
      </c>
      <c r="D3336" s="5" t="s">
        <v>3109</v>
      </c>
      <c r="E3336" s="5" t="s">
        <v>3110</v>
      </c>
      <c r="F3336" s="5" t="s">
        <v>1643</v>
      </c>
      <c r="G3336" s="5" t="s">
        <v>1644</v>
      </c>
      <c r="H3336" s="5"/>
      <c r="I3336" s="6">
        <v>300</v>
      </c>
    </row>
    <row r="3337" spans="1:9" x14ac:dyDescent="0.3">
      <c r="A3337" s="7" t="s">
        <v>3111</v>
      </c>
      <c r="H3337" s="8">
        <f>H3335+H3336</f>
        <v>300</v>
      </c>
      <c r="I3337" s="8">
        <f>I3335+I3336</f>
        <v>300</v>
      </c>
    </row>
    <row r="3338" spans="1:9" x14ac:dyDescent="0.3">
      <c r="A3338" s="4" t="s">
        <v>3112</v>
      </c>
    </row>
    <row r="3339" spans="1:9" x14ac:dyDescent="0.3">
      <c r="B3339" s="5" t="s">
        <v>3081</v>
      </c>
      <c r="C3339" s="5" t="s">
        <v>10</v>
      </c>
      <c r="D3339" s="5" t="s">
        <v>3113</v>
      </c>
      <c r="E3339" s="5" t="s">
        <v>3114</v>
      </c>
      <c r="F3339" s="5" t="s">
        <v>67</v>
      </c>
      <c r="G3339" s="5" t="s">
        <v>68</v>
      </c>
      <c r="H3339" s="6">
        <v>150</v>
      </c>
      <c r="I3339" s="5"/>
    </row>
    <row r="3340" spans="1:9" x14ac:dyDescent="0.3">
      <c r="B3340" s="5" t="s">
        <v>3081</v>
      </c>
      <c r="C3340" s="5" t="s">
        <v>10</v>
      </c>
      <c r="D3340" s="5" t="s">
        <v>3113</v>
      </c>
      <c r="E3340" s="5" t="s">
        <v>3114</v>
      </c>
      <c r="F3340" s="5" t="s">
        <v>3115</v>
      </c>
      <c r="G3340" s="5" t="s">
        <v>3116</v>
      </c>
      <c r="H3340" s="6">
        <v>200</v>
      </c>
      <c r="I3340" s="5"/>
    </row>
    <row r="3341" spans="1:9" x14ac:dyDescent="0.3">
      <c r="B3341" s="5" t="s">
        <v>3081</v>
      </c>
      <c r="C3341" s="5" t="s">
        <v>10</v>
      </c>
      <c r="D3341" s="5" t="s">
        <v>3113</v>
      </c>
      <c r="E3341" s="5" t="s">
        <v>3114</v>
      </c>
      <c r="F3341" s="5" t="s">
        <v>1643</v>
      </c>
      <c r="G3341" s="5" t="s">
        <v>1644</v>
      </c>
      <c r="H3341" s="5"/>
      <c r="I3341" s="6">
        <v>350</v>
      </c>
    </row>
    <row r="3342" spans="1:9" x14ac:dyDescent="0.3">
      <c r="A3342" s="7" t="s">
        <v>3117</v>
      </c>
      <c r="H3342" s="8">
        <f>H3339+H3340+H3341</f>
        <v>350</v>
      </c>
      <c r="I3342" s="8">
        <f>I3339+I3340+I3341</f>
        <v>350</v>
      </c>
    </row>
    <row r="3343" spans="1:9" x14ac:dyDescent="0.3">
      <c r="A3343" s="4" t="s">
        <v>3118</v>
      </c>
    </row>
    <row r="3344" spans="1:9" x14ac:dyDescent="0.3">
      <c r="B3344" s="5" t="s">
        <v>3081</v>
      </c>
      <c r="C3344" s="5" t="s">
        <v>10</v>
      </c>
      <c r="D3344" s="5" t="s">
        <v>3119</v>
      </c>
      <c r="E3344" s="5" t="s">
        <v>624</v>
      </c>
      <c r="F3344" s="5" t="s">
        <v>61</v>
      </c>
      <c r="G3344" s="5" t="s">
        <v>62</v>
      </c>
      <c r="H3344" s="6">
        <v>130</v>
      </c>
      <c r="I3344" s="5"/>
    </row>
    <row r="3345" spans="1:9" x14ac:dyDescent="0.3">
      <c r="B3345" s="5" t="s">
        <v>3081</v>
      </c>
      <c r="C3345" s="5" t="s">
        <v>10</v>
      </c>
      <c r="D3345" s="5" t="s">
        <v>3119</v>
      </c>
      <c r="E3345" s="5" t="s">
        <v>624</v>
      </c>
      <c r="F3345" s="5" t="s">
        <v>1643</v>
      </c>
      <c r="G3345" s="5" t="s">
        <v>1644</v>
      </c>
      <c r="H3345" s="5"/>
      <c r="I3345" s="6">
        <v>130</v>
      </c>
    </row>
    <row r="3346" spans="1:9" x14ac:dyDescent="0.3">
      <c r="A3346" s="7" t="s">
        <v>3120</v>
      </c>
      <c r="H3346" s="8">
        <f>H3344+H3345</f>
        <v>130</v>
      </c>
      <c r="I3346" s="8">
        <f>I3344+I3345</f>
        <v>130</v>
      </c>
    </row>
    <row r="3347" spans="1:9" x14ac:dyDescent="0.3">
      <c r="A3347" s="4" t="s">
        <v>3121</v>
      </c>
    </row>
    <row r="3348" spans="1:9" x14ac:dyDescent="0.3">
      <c r="B3348" s="5" t="s">
        <v>3081</v>
      </c>
      <c r="C3348" s="5" t="s">
        <v>10</v>
      </c>
      <c r="D3348" s="5" t="s">
        <v>3122</v>
      </c>
      <c r="E3348" s="5" t="s">
        <v>3123</v>
      </c>
      <c r="F3348" s="5" t="s">
        <v>1643</v>
      </c>
      <c r="G3348" s="5" t="s">
        <v>1644</v>
      </c>
      <c r="H3348" s="6">
        <v>60000</v>
      </c>
      <c r="I3348" s="5"/>
    </row>
    <row r="3349" spans="1:9" x14ac:dyDescent="0.3">
      <c r="B3349" s="5" t="s">
        <v>3081</v>
      </c>
      <c r="C3349" s="5" t="s">
        <v>10</v>
      </c>
      <c r="D3349" s="5" t="s">
        <v>3122</v>
      </c>
      <c r="E3349" s="5" t="s">
        <v>3123</v>
      </c>
      <c r="F3349" s="5" t="s">
        <v>13</v>
      </c>
      <c r="G3349" s="5" t="s">
        <v>14</v>
      </c>
      <c r="H3349" s="5"/>
      <c r="I3349" s="6">
        <v>60000</v>
      </c>
    </row>
    <row r="3350" spans="1:9" x14ac:dyDescent="0.3">
      <c r="A3350" s="7" t="s">
        <v>3124</v>
      </c>
      <c r="H3350" s="8">
        <f>H3348+H3349</f>
        <v>60000</v>
      </c>
      <c r="I3350" s="8">
        <f>I3348+I3349</f>
        <v>60000</v>
      </c>
    </row>
    <row r="3351" spans="1:9" x14ac:dyDescent="0.3">
      <c r="A3351" s="4" t="s">
        <v>3125</v>
      </c>
    </row>
    <row r="3352" spans="1:9" x14ac:dyDescent="0.3">
      <c r="B3352" s="5" t="s">
        <v>3126</v>
      </c>
      <c r="C3352" s="5" t="s">
        <v>10</v>
      </c>
      <c r="D3352" s="5" t="s">
        <v>3127</v>
      </c>
      <c r="E3352" s="5" t="s">
        <v>3128</v>
      </c>
      <c r="F3352" s="5" t="s">
        <v>26</v>
      </c>
      <c r="G3352" s="5" t="s">
        <v>27</v>
      </c>
      <c r="H3352" s="6">
        <v>60000</v>
      </c>
      <c r="I3352" s="5"/>
    </row>
    <row r="3353" spans="1:9" x14ac:dyDescent="0.3">
      <c r="B3353" s="5" t="s">
        <v>3126</v>
      </c>
      <c r="C3353" s="5" t="s">
        <v>10</v>
      </c>
      <c r="D3353" s="5" t="s">
        <v>3127</v>
      </c>
      <c r="E3353" s="5" t="s">
        <v>3128</v>
      </c>
      <c r="F3353" s="5" t="s">
        <v>1643</v>
      </c>
      <c r="G3353" s="5" t="s">
        <v>1644</v>
      </c>
      <c r="H3353" s="5"/>
      <c r="I3353" s="6">
        <v>60000</v>
      </c>
    </row>
    <row r="3354" spans="1:9" x14ac:dyDescent="0.3">
      <c r="A3354" s="7" t="s">
        <v>3129</v>
      </c>
      <c r="H3354" s="8">
        <f>H3352+H3353</f>
        <v>60000</v>
      </c>
      <c r="I3354" s="8">
        <f>I3352+I3353</f>
        <v>60000</v>
      </c>
    </row>
    <row r="3355" spans="1:9" x14ac:dyDescent="0.3">
      <c r="A3355" s="4" t="s">
        <v>3130</v>
      </c>
    </row>
    <row r="3356" spans="1:9" x14ac:dyDescent="0.3">
      <c r="B3356" s="5" t="s">
        <v>3126</v>
      </c>
      <c r="C3356" s="5" t="s">
        <v>10</v>
      </c>
      <c r="D3356" s="5" t="s">
        <v>3131</v>
      </c>
      <c r="E3356" s="5" t="s">
        <v>624</v>
      </c>
      <c r="F3356" s="5" t="s">
        <v>61</v>
      </c>
      <c r="G3356" s="5" t="s">
        <v>62</v>
      </c>
      <c r="H3356" s="6">
        <v>1040</v>
      </c>
      <c r="I3356" s="5"/>
    </row>
    <row r="3357" spans="1:9" x14ac:dyDescent="0.3">
      <c r="B3357" s="5" t="s">
        <v>3126</v>
      </c>
      <c r="C3357" s="5" t="s">
        <v>10</v>
      </c>
      <c r="D3357" s="5" t="s">
        <v>3131</v>
      </c>
      <c r="E3357" s="5" t="s">
        <v>624</v>
      </c>
      <c r="F3357" s="5" t="s">
        <v>1643</v>
      </c>
      <c r="G3357" s="5" t="s">
        <v>1644</v>
      </c>
      <c r="H3357" s="5"/>
      <c r="I3357" s="6">
        <v>1040</v>
      </c>
    </row>
    <row r="3358" spans="1:9" x14ac:dyDescent="0.3">
      <c r="A3358" s="7" t="s">
        <v>3132</v>
      </c>
      <c r="H3358" s="8">
        <f>H3356+H3357</f>
        <v>1040</v>
      </c>
      <c r="I3358" s="8">
        <f>I3356+I3357</f>
        <v>1040</v>
      </c>
    </row>
    <row r="3359" spans="1:9" x14ac:dyDescent="0.3">
      <c r="A3359" s="4" t="s">
        <v>3133</v>
      </c>
    </row>
    <row r="3360" spans="1:9" x14ac:dyDescent="0.3">
      <c r="B3360" s="5" t="s">
        <v>3126</v>
      </c>
      <c r="C3360" s="5" t="s">
        <v>10</v>
      </c>
      <c r="D3360" s="5" t="s">
        <v>3134</v>
      </c>
      <c r="E3360" s="5" t="s">
        <v>3135</v>
      </c>
      <c r="F3360" s="5" t="s">
        <v>867</v>
      </c>
      <c r="G3360" s="5" t="s">
        <v>868</v>
      </c>
      <c r="H3360" s="6">
        <v>384.41</v>
      </c>
      <c r="I3360" s="5"/>
    </row>
    <row r="3361" spans="1:9" x14ac:dyDescent="0.3">
      <c r="B3361" s="5" t="s">
        <v>3126</v>
      </c>
      <c r="C3361" s="5" t="s">
        <v>10</v>
      </c>
      <c r="D3361" s="5" t="s">
        <v>3134</v>
      </c>
      <c r="E3361" s="5" t="s">
        <v>3135</v>
      </c>
      <c r="F3361" s="5" t="s">
        <v>2729</v>
      </c>
      <c r="G3361" s="5" t="s">
        <v>2730</v>
      </c>
      <c r="H3361" s="5"/>
      <c r="I3361" s="6">
        <v>384.41</v>
      </c>
    </row>
    <row r="3362" spans="1:9" x14ac:dyDescent="0.3">
      <c r="A3362" s="7" t="s">
        <v>3136</v>
      </c>
      <c r="H3362" s="8">
        <f>H3360+H3361</f>
        <v>384.41</v>
      </c>
      <c r="I3362" s="8">
        <f>I3360+I3361</f>
        <v>384.41</v>
      </c>
    </row>
    <row r="3363" spans="1:9" x14ac:dyDescent="0.3">
      <c r="A3363" s="4" t="s">
        <v>3137</v>
      </c>
    </row>
    <row r="3364" spans="1:9" x14ac:dyDescent="0.3">
      <c r="B3364" s="5" t="s">
        <v>3126</v>
      </c>
      <c r="C3364" s="5" t="s">
        <v>2745</v>
      </c>
      <c r="D3364" s="5" t="s">
        <v>3138</v>
      </c>
      <c r="E3364" s="5" t="s">
        <v>2750</v>
      </c>
      <c r="F3364" s="5" t="s">
        <v>2748</v>
      </c>
      <c r="G3364" s="5" t="s">
        <v>2749</v>
      </c>
      <c r="H3364" s="6">
        <v>2520</v>
      </c>
      <c r="I3364" s="5"/>
    </row>
    <row r="3365" spans="1:9" x14ac:dyDescent="0.3">
      <c r="B3365" s="5" t="s">
        <v>3126</v>
      </c>
      <c r="C3365" s="5" t="s">
        <v>2745</v>
      </c>
      <c r="D3365" s="5" t="s">
        <v>3138</v>
      </c>
      <c r="E3365" s="5" t="s">
        <v>2750</v>
      </c>
      <c r="F3365" s="5" t="s">
        <v>847</v>
      </c>
      <c r="G3365" s="5" t="s">
        <v>848</v>
      </c>
      <c r="H3365" s="5"/>
      <c r="I3365" s="6">
        <v>2520</v>
      </c>
    </row>
    <row r="3366" spans="1:9" x14ac:dyDescent="0.3">
      <c r="A3366" s="7" t="s">
        <v>3139</v>
      </c>
      <c r="H3366" s="8">
        <f>H3364+H3365</f>
        <v>2520</v>
      </c>
      <c r="I3366" s="8">
        <f>I3364+I3365</f>
        <v>2520</v>
      </c>
    </row>
    <row r="3367" spans="1:9" x14ac:dyDescent="0.3">
      <c r="A3367" s="4" t="s">
        <v>3140</v>
      </c>
    </row>
    <row r="3368" spans="1:9" x14ac:dyDescent="0.3">
      <c r="B3368" s="5" t="s">
        <v>3141</v>
      </c>
      <c r="C3368" s="5" t="s">
        <v>10</v>
      </c>
      <c r="D3368" s="5" t="s">
        <v>3142</v>
      </c>
      <c r="E3368" s="5" t="s">
        <v>3143</v>
      </c>
      <c r="F3368" s="5" t="s">
        <v>67</v>
      </c>
      <c r="G3368" s="5" t="s">
        <v>68</v>
      </c>
      <c r="H3368" s="6">
        <v>150</v>
      </c>
      <c r="I3368" s="5"/>
    </row>
    <row r="3369" spans="1:9" x14ac:dyDescent="0.3">
      <c r="B3369" s="5" t="s">
        <v>3141</v>
      </c>
      <c r="C3369" s="5" t="s">
        <v>10</v>
      </c>
      <c r="D3369" s="5" t="s">
        <v>3142</v>
      </c>
      <c r="E3369" s="5" t="s">
        <v>3143</v>
      </c>
      <c r="F3369" s="5" t="s">
        <v>3115</v>
      </c>
      <c r="G3369" s="5" t="s">
        <v>3116</v>
      </c>
      <c r="H3369" s="6">
        <v>200</v>
      </c>
      <c r="I3369" s="5"/>
    </row>
    <row r="3370" spans="1:9" x14ac:dyDescent="0.3">
      <c r="B3370" s="5" t="s">
        <v>3141</v>
      </c>
      <c r="C3370" s="5" t="s">
        <v>10</v>
      </c>
      <c r="D3370" s="5" t="s">
        <v>3142</v>
      </c>
      <c r="E3370" s="5" t="s">
        <v>3143</v>
      </c>
      <c r="F3370" s="5" t="s">
        <v>1643</v>
      </c>
      <c r="G3370" s="5" t="s">
        <v>1644</v>
      </c>
      <c r="H3370" s="5"/>
      <c r="I3370" s="6">
        <v>350</v>
      </c>
    </row>
    <row r="3371" spans="1:9" x14ac:dyDescent="0.3">
      <c r="B3371" s="5" t="s">
        <v>3141</v>
      </c>
      <c r="C3371" s="5" t="s">
        <v>10</v>
      </c>
      <c r="D3371" s="5" t="s">
        <v>3142</v>
      </c>
      <c r="E3371" s="5" t="s">
        <v>1577</v>
      </c>
      <c r="F3371" s="5" t="s">
        <v>61</v>
      </c>
      <c r="G3371" s="5" t="s">
        <v>62</v>
      </c>
      <c r="H3371" s="6">
        <v>490</v>
      </c>
      <c r="I3371" s="5"/>
    </row>
    <row r="3372" spans="1:9" x14ac:dyDescent="0.3">
      <c r="B3372" s="5" t="s">
        <v>3141</v>
      </c>
      <c r="C3372" s="5" t="s">
        <v>10</v>
      </c>
      <c r="D3372" s="5" t="s">
        <v>3142</v>
      </c>
      <c r="E3372" s="5" t="s">
        <v>3144</v>
      </c>
      <c r="F3372" s="5" t="s">
        <v>2500</v>
      </c>
      <c r="G3372" s="5" t="s">
        <v>2501</v>
      </c>
      <c r="H3372" s="6">
        <v>100</v>
      </c>
      <c r="I3372" s="5"/>
    </row>
    <row r="3373" spans="1:9" x14ac:dyDescent="0.3">
      <c r="B3373" s="5" t="s">
        <v>3141</v>
      </c>
      <c r="C3373" s="5" t="s">
        <v>10</v>
      </c>
      <c r="D3373" s="5" t="s">
        <v>3142</v>
      </c>
      <c r="E3373" s="5" t="s">
        <v>3144</v>
      </c>
      <c r="F3373" s="5" t="s">
        <v>1643</v>
      </c>
      <c r="G3373" s="5" t="s">
        <v>1644</v>
      </c>
      <c r="H3373" s="5"/>
      <c r="I3373" s="6">
        <v>590</v>
      </c>
    </row>
    <row r="3374" spans="1:9" x14ac:dyDescent="0.3">
      <c r="B3374" s="5" t="s">
        <v>3141</v>
      </c>
      <c r="C3374" s="5" t="s">
        <v>10</v>
      </c>
      <c r="D3374" s="5" t="s">
        <v>3142</v>
      </c>
      <c r="E3374" s="5" t="s">
        <v>3145</v>
      </c>
      <c r="F3374" s="5" t="s">
        <v>218</v>
      </c>
      <c r="G3374" s="5" t="s">
        <v>219</v>
      </c>
      <c r="H3374" s="6">
        <v>500</v>
      </c>
      <c r="I3374" s="5"/>
    </row>
    <row r="3375" spans="1:9" x14ac:dyDescent="0.3">
      <c r="B3375" s="5" t="s">
        <v>3141</v>
      </c>
      <c r="C3375" s="5" t="s">
        <v>10</v>
      </c>
      <c r="D3375" s="5" t="s">
        <v>3142</v>
      </c>
      <c r="E3375" s="5" t="s">
        <v>3145</v>
      </c>
      <c r="F3375" s="5" t="s">
        <v>1643</v>
      </c>
      <c r="G3375" s="5" t="s">
        <v>1644</v>
      </c>
      <c r="H3375" s="5"/>
      <c r="I3375" s="6">
        <v>500</v>
      </c>
    </row>
    <row r="3376" spans="1:9" x14ac:dyDescent="0.3">
      <c r="A3376" s="7" t="s">
        <v>3146</v>
      </c>
      <c r="H3376" s="8">
        <f>H3368+H3369+H3370+H3371+H3372+H3373+H3374+H3375</f>
        <v>1440</v>
      </c>
      <c r="I3376" s="8">
        <f>I3368+I3369+I3370+I3371+I3372+I3373+I3374+I3375</f>
        <v>1440</v>
      </c>
    </row>
    <row r="3377" spans="1:9" x14ac:dyDescent="0.3">
      <c r="A3377" s="4" t="s">
        <v>3147</v>
      </c>
    </row>
    <row r="3378" spans="1:9" x14ac:dyDescent="0.3">
      <c r="B3378" s="5" t="s">
        <v>3141</v>
      </c>
      <c r="C3378" s="5" t="s">
        <v>10</v>
      </c>
      <c r="D3378" s="5" t="s">
        <v>3148</v>
      </c>
      <c r="E3378" s="5" t="s">
        <v>3149</v>
      </c>
      <c r="F3378" s="5" t="s">
        <v>867</v>
      </c>
      <c r="G3378" s="5" t="s">
        <v>868</v>
      </c>
      <c r="H3378" s="6">
        <v>2088</v>
      </c>
      <c r="I3378" s="5"/>
    </row>
    <row r="3379" spans="1:9" x14ac:dyDescent="0.3">
      <c r="B3379" s="5" t="s">
        <v>3141</v>
      </c>
      <c r="C3379" s="5" t="s">
        <v>10</v>
      </c>
      <c r="D3379" s="5" t="s">
        <v>3148</v>
      </c>
      <c r="E3379" s="5" t="s">
        <v>3149</v>
      </c>
      <c r="F3379" s="5" t="s">
        <v>2729</v>
      </c>
      <c r="G3379" s="5" t="s">
        <v>2730</v>
      </c>
      <c r="H3379" s="5"/>
      <c r="I3379" s="6">
        <v>2088</v>
      </c>
    </row>
    <row r="3380" spans="1:9" x14ac:dyDescent="0.3">
      <c r="A3380" s="7" t="s">
        <v>3150</v>
      </c>
      <c r="H3380" s="8">
        <f>H3378+H3379</f>
        <v>2088</v>
      </c>
      <c r="I3380" s="8">
        <f>I3378+I3379</f>
        <v>2088</v>
      </c>
    </row>
    <row r="3381" spans="1:9" x14ac:dyDescent="0.3">
      <c r="A3381" s="4" t="s">
        <v>3151</v>
      </c>
    </row>
    <row r="3382" spans="1:9" x14ac:dyDescent="0.3">
      <c r="B3382" s="5" t="s">
        <v>3141</v>
      </c>
      <c r="C3382" s="5" t="s">
        <v>10</v>
      </c>
      <c r="D3382" s="5" t="s">
        <v>3152</v>
      </c>
      <c r="E3382" s="5" t="s">
        <v>3153</v>
      </c>
      <c r="F3382" s="5" t="s">
        <v>1643</v>
      </c>
      <c r="G3382" s="5" t="s">
        <v>1644</v>
      </c>
      <c r="H3382" s="6">
        <v>325704</v>
      </c>
      <c r="I3382" s="5"/>
    </row>
    <row r="3383" spans="1:9" x14ac:dyDescent="0.3">
      <c r="B3383" s="5" t="s">
        <v>3141</v>
      </c>
      <c r="C3383" s="5" t="s">
        <v>10</v>
      </c>
      <c r="D3383" s="5" t="s">
        <v>3152</v>
      </c>
      <c r="E3383" s="5" t="s">
        <v>3153</v>
      </c>
      <c r="F3383" s="5" t="s">
        <v>13</v>
      </c>
      <c r="G3383" s="5" t="s">
        <v>14</v>
      </c>
      <c r="H3383" s="5"/>
      <c r="I3383" s="6">
        <v>325704</v>
      </c>
    </row>
    <row r="3384" spans="1:9" x14ac:dyDescent="0.3">
      <c r="A3384" s="7" t="s">
        <v>3154</v>
      </c>
      <c r="H3384" s="8">
        <f>H3382+H3383</f>
        <v>325704</v>
      </c>
      <c r="I3384" s="8">
        <f>I3382+I3383</f>
        <v>325704</v>
      </c>
    </row>
    <row r="3385" spans="1:9" x14ac:dyDescent="0.3">
      <c r="A3385" s="4" t="s">
        <v>3155</v>
      </c>
    </row>
    <row r="3386" spans="1:9" x14ac:dyDescent="0.3">
      <c r="B3386" s="5" t="s">
        <v>3141</v>
      </c>
      <c r="C3386" s="5" t="s">
        <v>10</v>
      </c>
      <c r="D3386" s="5" t="s">
        <v>3156</v>
      </c>
      <c r="E3386" s="5" t="s">
        <v>3153</v>
      </c>
      <c r="F3386" s="5" t="s">
        <v>2199</v>
      </c>
      <c r="G3386" s="5" t="s">
        <v>2200</v>
      </c>
      <c r="H3386" s="6">
        <v>352457.45</v>
      </c>
      <c r="I3386" s="5"/>
    </row>
    <row r="3387" spans="1:9" x14ac:dyDescent="0.3">
      <c r="B3387" s="5" t="s">
        <v>3141</v>
      </c>
      <c r="C3387" s="5" t="s">
        <v>10</v>
      </c>
      <c r="D3387" s="5" t="s">
        <v>3156</v>
      </c>
      <c r="E3387" s="5" t="s">
        <v>3153</v>
      </c>
      <c r="F3387" s="5" t="s">
        <v>1643</v>
      </c>
      <c r="G3387" s="5" t="s">
        <v>1644</v>
      </c>
      <c r="H3387" s="5"/>
      <c r="I3387" s="6">
        <v>325704</v>
      </c>
    </row>
    <row r="3388" spans="1:9" x14ac:dyDescent="0.3">
      <c r="B3388" s="5" t="s">
        <v>3141</v>
      </c>
      <c r="C3388" s="5" t="s">
        <v>10</v>
      </c>
      <c r="D3388" s="5" t="s">
        <v>3156</v>
      </c>
      <c r="E3388" s="5" t="s">
        <v>3157</v>
      </c>
      <c r="F3388" s="5" t="s">
        <v>3158</v>
      </c>
      <c r="G3388" s="5" t="s">
        <v>3159</v>
      </c>
      <c r="H3388" s="5"/>
      <c r="I3388" s="6">
        <v>18792</v>
      </c>
    </row>
    <row r="3389" spans="1:9" x14ac:dyDescent="0.3">
      <c r="B3389" s="5" t="s">
        <v>3141</v>
      </c>
      <c r="C3389" s="5" t="s">
        <v>10</v>
      </c>
      <c r="D3389" s="5" t="s">
        <v>3156</v>
      </c>
      <c r="E3389" s="5" t="s">
        <v>3160</v>
      </c>
      <c r="F3389" s="5" t="s">
        <v>3161</v>
      </c>
      <c r="G3389" s="5" t="s">
        <v>3162</v>
      </c>
      <c r="H3389" s="5"/>
      <c r="I3389" s="6">
        <v>7961.45</v>
      </c>
    </row>
    <row r="3390" spans="1:9" x14ac:dyDescent="0.3">
      <c r="A3390" s="7" t="s">
        <v>3163</v>
      </c>
      <c r="H3390" s="8">
        <f>H3386+H3387+H3388+H3389</f>
        <v>352457.45</v>
      </c>
      <c r="I3390" s="8">
        <f>I3386+I3387+I3388+I3389</f>
        <v>352457.45</v>
      </c>
    </row>
    <row r="3391" spans="1:9" x14ac:dyDescent="0.3">
      <c r="A3391" s="4" t="s">
        <v>3164</v>
      </c>
    </row>
    <row r="3392" spans="1:9" x14ac:dyDescent="0.3">
      <c r="B3392" s="5" t="s">
        <v>3141</v>
      </c>
      <c r="C3392" s="5" t="s">
        <v>2745</v>
      </c>
      <c r="D3392" s="5" t="s">
        <v>3165</v>
      </c>
      <c r="E3392" s="5" t="s">
        <v>3166</v>
      </c>
      <c r="F3392" s="5" t="s">
        <v>2748</v>
      </c>
      <c r="G3392" s="5" t="s">
        <v>2749</v>
      </c>
      <c r="H3392" s="6">
        <v>13688</v>
      </c>
      <c r="I3392" s="5"/>
    </row>
    <row r="3393" spans="1:9" x14ac:dyDescent="0.3">
      <c r="B3393" s="5" t="s">
        <v>3141</v>
      </c>
      <c r="C3393" s="5" t="s">
        <v>2745</v>
      </c>
      <c r="D3393" s="5" t="s">
        <v>3165</v>
      </c>
      <c r="E3393" s="5" t="s">
        <v>2750</v>
      </c>
      <c r="F3393" s="5" t="s">
        <v>847</v>
      </c>
      <c r="G3393" s="5" t="s">
        <v>848</v>
      </c>
      <c r="H3393" s="5"/>
      <c r="I3393" s="6">
        <v>13688</v>
      </c>
    </row>
    <row r="3394" spans="1:9" x14ac:dyDescent="0.3">
      <c r="A3394" s="7" t="s">
        <v>3167</v>
      </c>
      <c r="H3394" s="8">
        <f>H3392+H3393</f>
        <v>13688</v>
      </c>
      <c r="I3394" s="8">
        <f>I3392+I3393</f>
        <v>13688</v>
      </c>
    </row>
    <row r="3395" spans="1:9" x14ac:dyDescent="0.3">
      <c r="A3395" s="4" t="s">
        <v>3168</v>
      </c>
    </row>
    <row r="3396" spans="1:9" x14ac:dyDescent="0.3">
      <c r="B3396" s="5" t="s">
        <v>3169</v>
      </c>
      <c r="C3396" s="5" t="s">
        <v>10</v>
      </c>
      <c r="D3396" s="5" t="s">
        <v>3170</v>
      </c>
      <c r="E3396" s="5" t="s">
        <v>3171</v>
      </c>
      <c r="F3396" s="5" t="s">
        <v>61</v>
      </c>
      <c r="G3396" s="5" t="s">
        <v>62</v>
      </c>
      <c r="H3396" s="6">
        <v>200</v>
      </c>
      <c r="I3396" s="5"/>
    </row>
    <row r="3397" spans="1:9" x14ac:dyDescent="0.3">
      <c r="B3397" s="5" t="s">
        <v>3169</v>
      </c>
      <c r="C3397" s="5" t="s">
        <v>10</v>
      </c>
      <c r="D3397" s="5" t="s">
        <v>3170</v>
      </c>
      <c r="E3397" s="5" t="s">
        <v>3171</v>
      </c>
      <c r="F3397" s="5" t="s">
        <v>1643</v>
      </c>
      <c r="G3397" s="5" t="s">
        <v>1644</v>
      </c>
      <c r="H3397" s="5"/>
      <c r="I3397" s="6">
        <v>200</v>
      </c>
    </row>
    <row r="3398" spans="1:9" x14ac:dyDescent="0.3">
      <c r="A3398" s="7" t="s">
        <v>3172</v>
      </c>
      <c r="H3398" s="8">
        <f>H3396+H3397</f>
        <v>200</v>
      </c>
      <c r="I3398" s="8">
        <f>I3396+I3397</f>
        <v>200</v>
      </c>
    </row>
    <row r="3399" spans="1:9" x14ac:dyDescent="0.3">
      <c r="A3399" s="4" t="s">
        <v>3173</v>
      </c>
    </row>
    <row r="3400" spans="1:9" x14ac:dyDescent="0.3">
      <c r="B3400" s="5" t="s">
        <v>3169</v>
      </c>
      <c r="C3400" s="5" t="s">
        <v>10</v>
      </c>
      <c r="D3400" s="5" t="s">
        <v>3174</v>
      </c>
      <c r="E3400" s="5" t="s">
        <v>3175</v>
      </c>
      <c r="F3400" s="5" t="s">
        <v>425</v>
      </c>
      <c r="G3400" s="5" t="s">
        <v>426</v>
      </c>
      <c r="H3400" s="6">
        <v>21594.97</v>
      </c>
      <c r="I3400" s="5"/>
    </row>
    <row r="3401" spans="1:9" x14ac:dyDescent="0.3">
      <c r="B3401" s="5" t="s">
        <v>3169</v>
      </c>
      <c r="C3401" s="5" t="s">
        <v>10</v>
      </c>
      <c r="D3401" s="5" t="s">
        <v>3174</v>
      </c>
      <c r="E3401" s="5" t="s">
        <v>3175</v>
      </c>
      <c r="F3401" s="5" t="s">
        <v>431</v>
      </c>
      <c r="G3401" s="5" t="s">
        <v>432</v>
      </c>
      <c r="H3401" s="5"/>
      <c r="I3401" s="6">
        <v>3764.1</v>
      </c>
    </row>
    <row r="3402" spans="1:9" x14ac:dyDescent="0.3">
      <c r="B3402" s="5" t="s">
        <v>3169</v>
      </c>
      <c r="C3402" s="5" t="s">
        <v>10</v>
      </c>
      <c r="D3402" s="5" t="s">
        <v>3174</v>
      </c>
      <c r="E3402" s="5" t="s">
        <v>3175</v>
      </c>
      <c r="F3402" s="5" t="s">
        <v>427</v>
      </c>
      <c r="G3402" s="5" t="s">
        <v>428</v>
      </c>
      <c r="H3402" s="5"/>
      <c r="I3402" s="6">
        <v>4399.17</v>
      </c>
    </row>
    <row r="3403" spans="1:9" x14ac:dyDescent="0.3">
      <c r="B3403" s="5" t="s">
        <v>3169</v>
      </c>
      <c r="C3403" s="5" t="s">
        <v>10</v>
      </c>
      <c r="D3403" s="5" t="s">
        <v>3174</v>
      </c>
      <c r="E3403" s="5" t="s">
        <v>3175</v>
      </c>
      <c r="F3403" s="5" t="s">
        <v>429</v>
      </c>
      <c r="G3403" s="5" t="s">
        <v>430</v>
      </c>
      <c r="H3403" s="5"/>
      <c r="I3403" s="6">
        <v>11327.89</v>
      </c>
    </row>
    <row r="3404" spans="1:9" x14ac:dyDescent="0.3">
      <c r="B3404" s="5" t="s">
        <v>3169</v>
      </c>
      <c r="C3404" s="5" t="s">
        <v>10</v>
      </c>
      <c r="D3404" s="5" t="s">
        <v>3174</v>
      </c>
      <c r="E3404" s="5" t="s">
        <v>3175</v>
      </c>
      <c r="F3404" s="5" t="s">
        <v>2655</v>
      </c>
      <c r="G3404" s="5" t="s">
        <v>2656</v>
      </c>
      <c r="H3404" s="5"/>
      <c r="I3404" s="6">
        <v>2103.81</v>
      </c>
    </row>
    <row r="3405" spans="1:9" x14ac:dyDescent="0.3">
      <c r="A3405" s="7" t="s">
        <v>3176</v>
      </c>
      <c r="H3405" s="8">
        <f>H3400+H3401+H3402+H3403+H3404</f>
        <v>21594.97</v>
      </c>
      <c r="I3405" s="8">
        <f>I3400+I3401+I3402+I3403+I3404</f>
        <v>21594.97</v>
      </c>
    </row>
    <row r="3406" spans="1:9" x14ac:dyDescent="0.3">
      <c r="A3406" s="4" t="s">
        <v>3177</v>
      </c>
    </row>
    <row r="3407" spans="1:9" x14ac:dyDescent="0.3">
      <c r="B3407" s="5" t="s">
        <v>3169</v>
      </c>
      <c r="C3407" s="5" t="s">
        <v>10</v>
      </c>
      <c r="D3407" s="5" t="s">
        <v>3178</v>
      </c>
      <c r="E3407" s="5" t="s">
        <v>3179</v>
      </c>
      <c r="F3407" s="5" t="s">
        <v>23</v>
      </c>
      <c r="G3407" s="5" t="s">
        <v>24</v>
      </c>
      <c r="H3407" s="6">
        <v>3000</v>
      </c>
      <c r="I3407" s="5"/>
    </row>
    <row r="3408" spans="1:9" x14ac:dyDescent="0.3">
      <c r="B3408" s="5" t="s">
        <v>3169</v>
      </c>
      <c r="C3408" s="5" t="s">
        <v>10</v>
      </c>
      <c r="D3408" s="5" t="s">
        <v>3178</v>
      </c>
      <c r="E3408" s="5" t="s">
        <v>3179</v>
      </c>
      <c r="F3408" s="5" t="s">
        <v>26</v>
      </c>
      <c r="G3408" s="5" t="s">
        <v>27</v>
      </c>
      <c r="H3408" s="5"/>
      <c r="I3408" s="6">
        <v>3000</v>
      </c>
    </row>
    <row r="3409" spans="1:9" x14ac:dyDescent="0.3">
      <c r="A3409" s="7" t="s">
        <v>3180</v>
      </c>
      <c r="H3409" s="8">
        <f>H3407+H3408</f>
        <v>3000</v>
      </c>
      <c r="I3409" s="8">
        <f>I3407+I3408</f>
        <v>3000</v>
      </c>
    </row>
    <row r="3410" spans="1:9" x14ac:dyDescent="0.3">
      <c r="A3410" s="4" t="s">
        <v>3181</v>
      </c>
    </row>
    <row r="3411" spans="1:9" x14ac:dyDescent="0.3">
      <c r="B3411" s="5" t="s">
        <v>3169</v>
      </c>
      <c r="C3411" s="5" t="s">
        <v>10</v>
      </c>
      <c r="D3411" s="5" t="s">
        <v>3182</v>
      </c>
      <c r="E3411" s="5" t="s">
        <v>3183</v>
      </c>
      <c r="F3411" s="5" t="s">
        <v>1604</v>
      </c>
      <c r="G3411" s="5" t="s">
        <v>1605</v>
      </c>
      <c r="H3411" s="6">
        <v>1974.7</v>
      </c>
      <c r="I3411" s="5"/>
    </row>
    <row r="3412" spans="1:9" x14ac:dyDescent="0.3">
      <c r="B3412" s="5" t="s">
        <v>3169</v>
      </c>
      <c r="C3412" s="5" t="s">
        <v>10</v>
      </c>
      <c r="D3412" s="5" t="s">
        <v>3182</v>
      </c>
      <c r="E3412" s="5" t="s">
        <v>3184</v>
      </c>
      <c r="F3412" s="5" t="s">
        <v>1604</v>
      </c>
      <c r="G3412" s="5" t="s">
        <v>1605</v>
      </c>
      <c r="H3412" s="6">
        <v>32515.759999999998</v>
      </c>
      <c r="I3412" s="5"/>
    </row>
    <row r="3413" spans="1:9" x14ac:dyDescent="0.3">
      <c r="B3413" s="5" t="s">
        <v>3169</v>
      </c>
      <c r="C3413" s="5" t="s">
        <v>10</v>
      </c>
      <c r="D3413" s="5" t="s">
        <v>3182</v>
      </c>
      <c r="E3413" s="5" t="s">
        <v>3185</v>
      </c>
      <c r="F3413" s="5" t="s">
        <v>1604</v>
      </c>
      <c r="G3413" s="5" t="s">
        <v>1605</v>
      </c>
      <c r="H3413" s="6">
        <v>20053</v>
      </c>
      <c r="I3413" s="5"/>
    </row>
    <row r="3414" spans="1:9" x14ac:dyDescent="0.3">
      <c r="B3414" s="5" t="s">
        <v>3169</v>
      </c>
      <c r="C3414" s="5" t="s">
        <v>10</v>
      </c>
      <c r="D3414" s="5" t="s">
        <v>3182</v>
      </c>
      <c r="E3414" s="5" t="s">
        <v>3186</v>
      </c>
      <c r="F3414" s="5" t="s">
        <v>1606</v>
      </c>
      <c r="G3414" s="5" t="s">
        <v>1607</v>
      </c>
      <c r="H3414" s="5"/>
      <c r="I3414" s="6">
        <v>54543.46</v>
      </c>
    </row>
    <row r="3415" spans="1:9" x14ac:dyDescent="0.3">
      <c r="A3415" s="7" t="s">
        <v>3187</v>
      </c>
      <c r="H3415" s="8">
        <f>H3411+H3412+H3413+H3414</f>
        <v>54543.46</v>
      </c>
      <c r="I3415" s="8">
        <f>I3411+I3412+I3413+I3414</f>
        <v>54543.46</v>
      </c>
    </row>
    <row r="3416" spans="1:9" x14ac:dyDescent="0.3">
      <c r="A3416" s="4" t="s">
        <v>3188</v>
      </c>
    </row>
    <row r="3417" spans="1:9" x14ac:dyDescent="0.3">
      <c r="B3417" s="5" t="s">
        <v>3169</v>
      </c>
      <c r="C3417" s="5" t="s">
        <v>10</v>
      </c>
      <c r="D3417" s="5" t="s">
        <v>3189</v>
      </c>
      <c r="E3417" s="5" t="s">
        <v>3190</v>
      </c>
      <c r="F3417" s="5" t="s">
        <v>1339</v>
      </c>
      <c r="G3417" s="5" t="s">
        <v>1340</v>
      </c>
      <c r="H3417" s="6">
        <v>13000</v>
      </c>
      <c r="I3417" s="5"/>
    </row>
    <row r="3418" spans="1:9" x14ac:dyDescent="0.3">
      <c r="B3418" s="5" t="s">
        <v>3169</v>
      </c>
      <c r="C3418" s="5" t="s">
        <v>10</v>
      </c>
      <c r="D3418" s="5" t="s">
        <v>3189</v>
      </c>
      <c r="E3418" s="5" t="s">
        <v>3191</v>
      </c>
      <c r="F3418" s="5" t="s">
        <v>1339</v>
      </c>
      <c r="G3418" s="5" t="s">
        <v>1340</v>
      </c>
      <c r="H3418" s="6">
        <v>6000</v>
      </c>
      <c r="I3418" s="5"/>
    </row>
    <row r="3419" spans="1:9" x14ac:dyDescent="0.3">
      <c r="B3419" s="5" t="s">
        <v>3169</v>
      </c>
      <c r="C3419" s="5" t="s">
        <v>10</v>
      </c>
      <c r="D3419" s="5" t="s">
        <v>3189</v>
      </c>
      <c r="E3419" s="5" t="s">
        <v>3192</v>
      </c>
      <c r="F3419" s="5" t="s">
        <v>1339</v>
      </c>
      <c r="G3419" s="5" t="s">
        <v>1340</v>
      </c>
      <c r="H3419" s="6">
        <v>6000</v>
      </c>
      <c r="I3419" s="5"/>
    </row>
    <row r="3420" spans="1:9" x14ac:dyDescent="0.3">
      <c r="B3420" s="5" t="s">
        <v>3169</v>
      </c>
      <c r="C3420" s="5" t="s">
        <v>10</v>
      </c>
      <c r="D3420" s="5" t="s">
        <v>3189</v>
      </c>
      <c r="E3420" s="5" t="s">
        <v>3193</v>
      </c>
      <c r="F3420" s="5" t="s">
        <v>437</v>
      </c>
      <c r="G3420" s="5" t="s">
        <v>438</v>
      </c>
      <c r="H3420" s="6">
        <v>321838</v>
      </c>
      <c r="I3420" s="5"/>
    </row>
    <row r="3421" spans="1:9" x14ac:dyDescent="0.3">
      <c r="B3421" s="5" t="s">
        <v>3169</v>
      </c>
      <c r="C3421" s="5" t="s">
        <v>10</v>
      </c>
      <c r="D3421" s="5" t="s">
        <v>3189</v>
      </c>
      <c r="E3421" s="5" t="s">
        <v>3193</v>
      </c>
      <c r="F3421" s="5" t="s">
        <v>1343</v>
      </c>
      <c r="G3421" s="5" t="s">
        <v>1344</v>
      </c>
      <c r="H3421" s="5"/>
      <c r="I3421" s="6">
        <v>134000</v>
      </c>
    </row>
    <row r="3422" spans="1:9" x14ac:dyDescent="0.3">
      <c r="B3422" s="5" t="s">
        <v>3169</v>
      </c>
      <c r="C3422" s="5" t="s">
        <v>10</v>
      </c>
      <c r="D3422" s="5" t="s">
        <v>3189</v>
      </c>
      <c r="E3422" s="5" t="s">
        <v>3193</v>
      </c>
      <c r="F3422" s="5" t="s">
        <v>441</v>
      </c>
      <c r="G3422" s="5" t="s">
        <v>442</v>
      </c>
      <c r="H3422" s="5"/>
      <c r="I3422" s="6">
        <v>28100</v>
      </c>
    </row>
    <row r="3423" spans="1:9" x14ac:dyDescent="0.3">
      <c r="B3423" s="5" t="s">
        <v>3169</v>
      </c>
      <c r="C3423" s="5" t="s">
        <v>10</v>
      </c>
      <c r="D3423" s="5" t="s">
        <v>3189</v>
      </c>
      <c r="E3423" s="5" t="s">
        <v>3193</v>
      </c>
      <c r="F3423" s="5" t="s">
        <v>443</v>
      </c>
      <c r="G3423" s="5" t="s">
        <v>444</v>
      </c>
      <c r="H3423" s="5"/>
      <c r="I3423" s="6">
        <v>23600</v>
      </c>
    </row>
    <row r="3424" spans="1:9" x14ac:dyDescent="0.3">
      <c r="B3424" s="5" t="s">
        <v>3169</v>
      </c>
      <c r="C3424" s="5" t="s">
        <v>10</v>
      </c>
      <c r="D3424" s="5" t="s">
        <v>3189</v>
      </c>
      <c r="E3424" s="5" t="s">
        <v>3193</v>
      </c>
      <c r="F3424" s="5" t="s">
        <v>445</v>
      </c>
      <c r="G3424" s="5" t="s">
        <v>446</v>
      </c>
      <c r="H3424" s="5"/>
      <c r="I3424" s="6">
        <v>23600</v>
      </c>
    </row>
    <row r="3425" spans="1:9" x14ac:dyDescent="0.3">
      <c r="B3425" s="5" t="s">
        <v>3169</v>
      </c>
      <c r="C3425" s="5" t="s">
        <v>10</v>
      </c>
      <c r="D3425" s="5" t="s">
        <v>3189</v>
      </c>
      <c r="E3425" s="5" t="s">
        <v>3193</v>
      </c>
      <c r="F3425" s="5" t="s">
        <v>549</v>
      </c>
      <c r="G3425" s="5" t="s">
        <v>550</v>
      </c>
      <c r="H3425" s="5"/>
      <c r="I3425" s="6">
        <v>30000</v>
      </c>
    </row>
    <row r="3426" spans="1:9" x14ac:dyDescent="0.3">
      <c r="B3426" s="5" t="s">
        <v>3169</v>
      </c>
      <c r="C3426" s="5" t="s">
        <v>10</v>
      </c>
      <c r="D3426" s="5" t="s">
        <v>3189</v>
      </c>
      <c r="E3426" s="5" t="s">
        <v>3193</v>
      </c>
      <c r="F3426" s="5" t="s">
        <v>449</v>
      </c>
      <c r="G3426" s="5" t="s">
        <v>450</v>
      </c>
      <c r="H3426" s="5"/>
      <c r="I3426" s="6">
        <v>6960</v>
      </c>
    </row>
    <row r="3427" spans="1:9" x14ac:dyDescent="0.3">
      <c r="B3427" s="5" t="s">
        <v>3169</v>
      </c>
      <c r="C3427" s="5" t="s">
        <v>10</v>
      </c>
      <c r="D3427" s="5" t="s">
        <v>3189</v>
      </c>
      <c r="E3427" s="5" t="s">
        <v>3193</v>
      </c>
      <c r="F3427" s="5" t="s">
        <v>453</v>
      </c>
      <c r="G3427" s="5" t="s">
        <v>454</v>
      </c>
      <c r="H3427" s="5"/>
      <c r="I3427" s="6">
        <v>6960</v>
      </c>
    </row>
    <row r="3428" spans="1:9" x14ac:dyDescent="0.3">
      <c r="B3428" s="5" t="s">
        <v>3169</v>
      </c>
      <c r="C3428" s="5" t="s">
        <v>10</v>
      </c>
      <c r="D3428" s="5" t="s">
        <v>3189</v>
      </c>
      <c r="E3428" s="5" t="s">
        <v>3193</v>
      </c>
      <c r="F3428" s="5" t="s">
        <v>451</v>
      </c>
      <c r="G3428" s="5" t="s">
        <v>452</v>
      </c>
      <c r="H3428" s="5"/>
      <c r="I3428" s="6">
        <v>6960</v>
      </c>
    </row>
    <row r="3429" spans="1:9" x14ac:dyDescent="0.3">
      <c r="B3429" s="5" t="s">
        <v>3169</v>
      </c>
      <c r="C3429" s="5" t="s">
        <v>10</v>
      </c>
      <c r="D3429" s="5" t="s">
        <v>3189</v>
      </c>
      <c r="E3429" s="5" t="s">
        <v>3193</v>
      </c>
      <c r="F3429" s="5" t="s">
        <v>547</v>
      </c>
      <c r="G3429" s="5" t="s">
        <v>548</v>
      </c>
      <c r="H3429" s="5"/>
      <c r="I3429" s="6">
        <v>5980</v>
      </c>
    </row>
    <row r="3430" spans="1:9" x14ac:dyDescent="0.3">
      <c r="B3430" s="5" t="s">
        <v>3169</v>
      </c>
      <c r="C3430" s="5" t="s">
        <v>10</v>
      </c>
      <c r="D3430" s="5" t="s">
        <v>3189</v>
      </c>
      <c r="E3430" s="5" t="s">
        <v>3193</v>
      </c>
      <c r="F3430" s="5" t="s">
        <v>1346</v>
      </c>
      <c r="G3430" s="5" t="s">
        <v>1347</v>
      </c>
      <c r="H3430" s="5"/>
      <c r="I3430" s="6">
        <v>6960</v>
      </c>
    </row>
    <row r="3431" spans="1:9" x14ac:dyDescent="0.3">
      <c r="B3431" s="5" t="s">
        <v>3169</v>
      </c>
      <c r="C3431" s="5" t="s">
        <v>10</v>
      </c>
      <c r="D3431" s="5" t="s">
        <v>3189</v>
      </c>
      <c r="E3431" s="5" t="s">
        <v>3193</v>
      </c>
      <c r="F3431" s="5" t="s">
        <v>1961</v>
      </c>
      <c r="G3431" s="5" t="s">
        <v>1962</v>
      </c>
      <c r="H3431" s="5"/>
      <c r="I3431" s="6">
        <v>6960</v>
      </c>
    </row>
    <row r="3432" spans="1:9" x14ac:dyDescent="0.3">
      <c r="B3432" s="5" t="s">
        <v>3169</v>
      </c>
      <c r="C3432" s="5" t="s">
        <v>10</v>
      </c>
      <c r="D3432" s="5" t="s">
        <v>3189</v>
      </c>
      <c r="E3432" s="5" t="s">
        <v>3193</v>
      </c>
      <c r="F3432" s="5" t="s">
        <v>2598</v>
      </c>
      <c r="G3432" s="5" t="s">
        <v>2599</v>
      </c>
      <c r="H3432" s="5"/>
      <c r="I3432" s="6">
        <v>10000</v>
      </c>
    </row>
    <row r="3433" spans="1:9" x14ac:dyDescent="0.3">
      <c r="B3433" s="5" t="s">
        <v>3169</v>
      </c>
      <c r="C3433" s="5" t="s">
        <v>10</v>
      </c>
      <c r="D3433" s="5" t="s">
        <v>3189</v>
      </c>
      <c r="E3433" s="5" t="s">
        <v>3193</v>
      </c>
      <c r="F3433" s="5" t="s">
        <v>1022</v>
      </c>
      <c r="G3433" s="5" t="s">
        <v>1023</v>
      </c>
      <c r="H3433" s="5"/>
      <c r="I3433" s="6">
        <v>11860</v>
      </c>
    </row>
    <row r="3434" spans="1:9" x14ac:dyDescent="0.3">
      <c r="B3434" s="5" t="s">
        <v>3169</v>
      </c>
      <c r="C3434" s="5" t="s">
        <v>10</v>
      </c>
      <c r="D3434" s="5" t="s">
        <v>3189</v>
      </c>
      <c r="E3434" s="5" t="s">
        <v>3193</v>
      </c>
      <c r="F3434" s="5" t="s">
        <v>2600</v>
      </c>
      <c r="G3434" s="5" t="s">
        <v>2601</v>
      </c>
      <c r="H3434" s="5"/>
      <c r="I3434" s="6">
        <v>5980</v>
      </c>
    </row>
    <row r="3435" spans="1:9" x14ac:dyDescent="0.3">
      <c r="B3435" s="5" t="s">
        <v>3169</v>
      </c>
      <c r="C3435" s="5" t="s">
        <v>10</v>
      </c>
      <c r="D3435" s="5" t="s">
        <v>3189</v>
      </c>
      <c r="E3435" s="5" t="s">
        <v>3193</v>
      </c>
      <c r="F3435" s="5" t="s">
        <v>2602</v>
      </c>
      <c r="G3435" s="5" t="s">
        <v>2603</v>
      </c>
      <c r="H3435" s="5"/>
      <c r="I3435" s="6">
        <v>5980</v>
      </c>
    </row>
    <row r="3436" spans="1:9" x14ac:dyDescent="0.3">
      <c r="B3436" s="5" t="s">
        <v>3169</v>
      </c>
      <c r="C3436" s="5" t="s">
        <v>10</v>
      </c>
      <c r="D3436" s="5" t="s">
        <v>3189</v>
      </c>
      <c r="E3436" s="5" t="s">
        <v>3193</v>
      </c>
      <c r="F3436" s="5" t="s">
        <v>2604</v>
      </c>
      <c r="G3436" s="5" t="s">
        <v>2605</v>
      </c>
      <c r="H3436" s="5"/>
      <c r="I3436" s="6">
        <v>5980</v>
      </c>
    </row>
    <row r="3437" spans="1:9" x14ac:dyDescent="0.3">
      <c r="B3437" s="5" t="s">
        <v>3169</v>
      </c>
      <c r="C3437" s="5" t="s">
        <v>10</v>
      </c>
      <c r="D3437" s="5" t="s">
        <v>3189</v>
      </c>
      <c r="E3437" s="5" t="s">
        <v>3193</v>
      </c>
      <c r="F3437" s="5" t="s">
        <v>457</v>
      </c>
      <c r="G3437" s="5" t="s">
        <v>458</v>
      </c>
      <c r="H3437" s="5"/>
      <c r="I3437" s="6">
        <v>26958</v>
      </c>
    </row>
    <row r="3438" spans="1:9" x14ac:dyDescent="0.3">
      <c r="A3438" s="7" t="s">
        <v>3194</v>
      </c>
      <c r="H3438" s="8">
        <f>H3417+H3418+H3419+H3420+H3421+H3422+H3423+H3424+H3425+H3426+H3427+H3428+H3429+H3430+H3431+H3432+H3433+H3434+H3435+H3436+H3437</f>
        <v>346838</v>
      </c>
      <c r="I3438" s="8">
        <f>I3417+I3418+I3419+I3420+I3421+I3422+I3423+I3424+I3425+I3426+I3427+I3428+I3429+I3430+I3431+I3432+I3433+I3434+I3435+I3436+I3437</f>
        <v>346838</v>
      </c>
    </row>
    <row r="3439" spans="1:9" x14ac:dyDescent="0.3">
      <c r="A3439" s="4" t="s">
        <v>3195</v>
      </c>
    </row>
    <row r="3440" spans="1:9" x14ac:dyDescent="0.3">
      <c r="B3440" s="5" t="s">
        <v>3169</v>
      </c>
      <c r="C3440" s="5" t="s">
        <v>10</v>
      </c>
      <c r="D3440" s="5" t="s">
        <v>3196</v>
      </c>
      <c r="E3440" s="5" t="s">
        <v>3197</v>
      </c>
      <c r="F3440" s="5" t="s">
        <v>1763</v>
      </c>
      <c r="G3440" s="5" t="s">
        <v>1764</v>
      </c>
      <c r="H3440" s="6">
        <v>1372.48</v>
      </c>
      <c r="I3440" s="5"/>
    </row>
    <row r="3441" spans="1:9" x14ac:dyDescent="0.3">
      <c r="B3441" s="5" t="s">
        <v>3169</v>
      </c>
      <c r="C3441" s="5" t="s">
        <v>10</v>
      </c>
      <c r="D3441" s="5" t="s">
        <v>3196</v>
      </c>
      <c r="E3441" s="5" t="s">
        <v>3197</v>
      </c>
      <c r="F3441" s="5" t="s">
        <v>649</v>
      </c>
      <c r="G3441" s="5" t="s">
        <v>650</v>
      </c>
      <c r="H3441" s="5"/>
      <c r="I3441" s="6">
        <v>671.14</v>
      </c>
    </row>
    <row r="3442" spans="1:9" x14ac:dyDescent="0.3">
      <c r="B3442" s="5" t="s">
        <v>3169</v>
      </c>
      <c r="C3442" s="5" t="s">
        <v>10</v>
      </c>
      <c r="D3442" s="5" t="s">
        <v>3196</v>
      </c>
      <c r="E3442" s="5" t="s">
        <v>3197</v>
      </c>
      <c r="F3442" s="5" t="s">
        <v>1799</v>
      </c>
      <c r="G3442" s="5" t="s">
        <v>1800</v>
      </c>
      <c r="H3442" s="5"/>
      <c r="I3442" s="6">
        <v>201.34</v>
      </c>
    </row>
    <row r="3443" spans="1:9" x14ac:dyDescent="0.3">
      <c r="B3443" s="5" t="s">
        <v>3169</v>
      </c>
      <c r="C3443" s="5" t="s">
        <v>10</v>
      </c>
      <c r="D3443" s="5" t="s">
        <v>3196</v>
      </c>
      <c r="E3443" s="5" t="s">
        <v>3197</v>
      </c>
      <c r="F3443" s="5" t="s">
        <v>1793</v>
      </c>
      <c r="G3443" s="5" t="s">
        <v>1794</v>
      </c>
      <c r="H3443" s="5"/>
      <c r="I3443" s="6">
        <v>150</v>
      </c>
    </row>
    <row r="3444" spans="1:9" x14ac:dyDescent="0.3">
      <c r="B3444" s="5" t="s">
        <v>3169</v>
      </c>
      <c r="C3444" s="5" t="s">
        <v>10</v>
      </c>
      <c r="D3444" s="5" t="s">
        <v>3196</v>
      </c>
      <c r="E3444" s="5" t="s">
        <v>3197</v>
      </c>
      <c r="F3444" s="5" t="s">
        <v>2748</v>
      </c>
      <c r="G3444" s="5" t="s">
        <v>2749</v>
      </c>
      <c r="H3444" s="5"/>
      <c r="I3444" s="6">
        <v>350</v>
      </c>
    </row>
    <row r="3445" spans="1:9" x14ac:dyDescent="0.3">
      <c r="A3445" s="7" t="s">
        <v>3198</v>
      </c>
      <c r="H3445" s="8">
        <f>H3440+H3441+H3442+H3443+H3444</f>
        <v>1372.48</v>
      </c>
      <c r="I3445" s="8">
        <f>I3440+I3441+I3442+I3443+I3444</f>
        <v>1372.48</v>
      </c>
    </row>
    <row r="3446" spans="1:9" x14ac:dyDescent="0.3">
      <c r="A3446" s="4" t="s">
        <v>3199</v>
      </c>
    </row>
    <row r="3447" spans="1:9" x14ac:dyDescent="0.3">
      <c r="B3447" s="5" t="s">
        <v>3200</v>
      </c>
      <c r="C3447" s="5" t="s">
        <v>10</v>
      </c>
      <c r="D3447" s="5" t="s">
        <v>3201</v>
      </c>
      <c r="E3447" s="5" t="s">
        <v>3202</v>
      </c>
      <c r="F3447" s="5" t="s">
        <v>1643</v>
      </c>
      <c r="G3447" s="5" t="s">
        <v>1644</v>
      </c>
      <c r="H3447" s="6">
        <v>6150</v>
      </c>
      <c r="I3447" s="5"/>
    </row>
    <row r="3448" spans="1:9" x14ac:dyDescent="0.3">
      <c r="B3448" s="5" t="s">
        <v>3200</v>
      </c>
      <c r="C3448" s="5" t="s">
        <v>10</v>
      </c>
      <c r="D3448" s="5" t="s">
        <v>3201</v>
      </c>
      <c r="E3448" s="5" t="s">
        <v>3202</v>
      </c>
      <c r="F3448" s="5" t="s">
        <v>13</v>
      </c>
      <c r="G3448" s="5" t="s">
        <v>14</v>
      </c>
      <c r="H3448" s="5"/>
      <c r="I3448" s="6">
        <v>6150</v>
      </c>
    </row>
    <row r="3449" spans="1:9" x14ac:dyDescent="0.3">
      <c r="A3449" s="7" t="s">
        <v>3203</v>
      </c>
      <c r="H3449" s="8">
        <f>H3447+H3448</f>
        <v>6150</v>
      </c>
      <c r="I3449" s="8">
        <f>I3447+I3448</f>
        <v>6150</v>
      </c>
    </row>
    <row r="3450" spans="1:9" x14ac:dyDescent="0.3">
      <c r="A3450" s="4" t="s">
        <v>3204</v>
      </c>
    </row>
    <row r="3451" spans="1:9" x14ac:dyDescent="0.3">
      <c r="B3451" s="5" t="s">
        <v>3200</v>
      </c>
      <c r="C3451" s="5" t="s">
        <v>10</v>
      </c>
      <c r="D3451" s="5" t="s">
        <v>3205</v>
      </c>
      <c r="E3451" s="5" t="s">
        <v>3206</v>
      </c>
      <c r="F3451" s="5" t="s">
        <v>1022</v>
      </c>
      <c r="G3451" s="5" t="s">
        <v>1023</v>
      </c>
      <c r="H3451" s="6">
        <v>6000</v>
      </c>
      <c r="I3451" s="5"/>
    </row>
    <row r="3452" spans="1:9" x14ac:dyDescent="0.3">
      <c r="B3452" s="5" t="s">
        <v>3200</v>
      </c>
      <c r="C3452" s="5" t="s">
        <v>10</v>
      </c>
      <c r="D3452" s="5" t="s">
        <v>3205</v>
      </c>
      <c r="E3452" s="5" t="s">
        <v>3207</v>
      </c>
      <c r="F3452" s="5" t="s">
        <v>2368</v>
      </c>
      <c r="G3452" s="5" t="s">
        <v>2369</v>
      </c>
      <c r="H3452" s="6">
        <v>150</v>
      </c>
      <c r="I3452" s="5"/>
    </row>
    <row r="3453" spans="1:9" x14ac:dyDescent="0.3">
      <c r="B3453" s="5" t="s">
        <v>3200</v>
      </c>
      <c r="C3453" s="5" t="s">
        <v>10</v>
      </c>
      <c r="D3453" s="5" t="s">
        <v>3205</v>
      </c>
      <c r="E3453" s="5" t="s">
        <v>3208</v>
      </c>
      <c r="F3453" s="5" t="s">
        <v>1643</v>
      </c>
      <c r="G3453" s="5" t="s">
        <v>1644</v>
      </c>
      <c r="H3453" s="5"/>
      <c r="I3453" s="6">
        <v>6150</v>
      </c>
    </row>
    <row r="3454" spans="1:9" x14ac:dyDescent="0.3">
      <c r="A3454" s="7" t="s">
        <v>3209</v>
      </c>
      <c r="H3454" s="8">
        <f>H3451+H3452+H3453</f>
        <v>6150</v>
      </c>
      <c r="I3454" s="8">
        <f>I3451+I3452+I3453</f>
        <v>6150</v>
      </c>
    </row>
    <row r="3455" spans="1:9" x14ac:dyDescent="0.3">
      <c r="A3455" s="4" t="s">
        <v>3210</v>
      </c>
    </row>
    <row r="3456" spans="1:9" x14ac:dyDescent="0.3">
      <c r="B3456" s="5" t="s">
        <v>3200</v>
      </c>
      <c r="C3456" s="5" t="s">
        <v>10</v>
      </c>
      <c r="D3456" s="5" t="s">
        <v>3211</v>
      </c>
      <c r="E3456" s="5" t="s">
        <v>3212</v>
      </c>
      <c r="F3456" s="5" t="s">
        <v>1643</v>
      </c>
      <c r="G3456" s="5" t="s">
        <v>1644</v>
      </c>
      <c r="H3456" s="6">
        <v>12000</v>
      </c>
      <c r="I3456" s="5"/>
    </row>
    <row r="3457" spans="1:9" x14ac:dyDescent="0.3">
      <c r="B3457" s="5" t="s">
        <v>3200</v>
      </c>
      <c r="C3457" s="5" t="s">
        <v>10</v>
      </c>
      <c r="D3457" s="5" t="s">
        <v>3211</v>
      </c>
      <c r="E3457" s="5" t="s">
        <v>3212</v>
      </c>
      <c r="F3457" s="5" t="s">
        <v>13</v>
      </c>
      <c r="G3457" s="5" t="s">
        <v>14</v>
      </c>
      <c r="H3457" s="5"/>
      <c r="I3457" s="6">
        <v>12000</v>
      </c>
    </row>
    <row r="3458" spans="1:9" x14ac:dyDescent="0.3">
      <c r="A3458" s="7" t="s">
        <v>3213</v>
      </c>
      <c r="H3458" s="8">
        <f>H3456+H3457</f>
        <v>12000</v>
      </c>
      <c r="I3458" s="8">
        <f>I3456+I3457</f>
        <v>12000</v>
      </c>
    </row>
    <row r="3459" spans="1:9" x14ac:dyDescent="0.3">
      <c r="A3459" s="4" t="s">
        <v>3214</v>
      </c>
    </row>
    <row r="3460" spans="1:9" x14ac:dyDescent="0.3">
      <c r="B3460" s="5" t="s">
        <v>3200</v>
      </c>
      <c r="C3460" s="5" t="s">
        <v>10</v>
      </c>
      <c r="D3460" s="5" t="s">
        <v>3215</v>
      </c>
      <c r="E3460" s="5" t="s">
        <v>3216</v>
      </c>
      <c r="F3460" s="5" t="s">
        <v>61</v>
      </c>
      <c r="G3460" s="5" t="s">
        <v>62</v>
      </c>
      <c r="H3460" s="6">
        <v>500</v>
      </c>
      <c r="I3460" s="5"/>
    </row>
    <row r="3461" spans="1:9" x14ac:dyDescent="0.3">
      <c r="B3461" s="5" t="s">
        <v>3200</v>
      </c>
      <c r="C3461" s="5" t="s">
        <v>10</v>
      </c>
      <c r="D3461" s="5" t="s">
        <v>3215</v>
      </c>
      <c r="E3461" s="5" t="s">
        <v>3216</v>
      </c>
      <c r="F3461" s="5" t="s">
        <v>64</v>
      </c>
      <c r="G3461" s="5" t="s">
        <v>65</v>
      </c>
      <c r="H3461" s="6">
        <v>190</v>
      </c>
      <c r="I3461" s="5"/>
    </row>
    <row r="3462" spans="1:9" x14ac:dyDescent="0.3">
      <c r="B3462" s="5" t="s">
        <v>3200</v>
      </c>
      <c r="C3462" s="5" t="s">
        <v>10</v>
      </c>
      <c r="D3462" s="5" t="s">
        <v>3215</v>
      </c>
      <c r="E3462" s="5" t="s">
        <v>3216</v>
      </c>
      <c r="F3462" s="5" t="s">
        <v>50</v>
      </c>
      <c r="G3462" s="5" t="s">
        <v>51</v>
      </c>
      <c r="H3462" s="6">
        <v>20</v>
      </c>
      <c r="I3462" s="5"/>
    </row>
    <row r="3463" spans="1:9" x14ac:dyDescent="0.3">
      <c r="B3463" s="5" t="s">
        <v>3200</v>
      </c>
      <c r="C3463" s="5" t="s">
        <v>10</v>
      </c>
      <c r="D3463" s="5" t="s">
        <v>3215</v>
      </c>
      <c r="E3463" s="5" t="s">
        <v>3216</v>
      </c>
      <c r="F3463" s="5" t="s">
        <v>1643</v>
      </c>
      <c r="G3463" s="5" t="s">
        <v>1644</v>
      </c>
      <c r="H3463" s="5"/>
      <c r="I3463" s="6">
        <v>710</v>
      </c>
    </row>
    <row r="3464" spans="1:9" x14ac:dyDescent="0.3">
      <c r="A3464" s="7" t="s">
        <v>3217</v>
      </c>
      <c r="H3464" s="8">
        <f>H3460+H3461+H3462+H3463</f>
        <v>710</v>
      </c>
      <c r="I3464" s="8">
        <f>I3460+I3461+I3462+I3463</f>
        <v>710</v>
      </c>
    </row>
    <row r="3465" spans="1:9" x14ac:dyDescent="0.3">
      <c r="A3465" s="4" t="s">
        <v>3218</v>
      </c>
    </row>
    <row r="3466" spans="1:9" x14ac:dyDescent="0.3">
      <c r="B3466" s="5" t="s">
        <v>3200</v>
      </c>
      <c r="C3466" s="5" t="s">
        <v>10</v>
      </c>
      <c r="D3466" s="5" t="s">
        <v>3219</v>
      </c>
      <c r="E3466" s="5" t="s">
        <v>3220</v>
      </c>
      <c r="F3466" s="5" t="s">
        <v>67</v>
      </c>
      <c r="G3466" s="5" t="s">
        <v>68</v>
      </c>
      <c r="H3466" s="6">
        <v>130</v>
      </c>
      <c r="I3466" s="5"/>
    </row>
    <row r="3467" spans="1:9" x14ac:dyDescent="0.3">
      <c r="B3467" s="5" t="s">
        <v>3200</v>
      </c>
      <c r="C3467" s="5" t="s">
        <v>10</v>
      </c>
      <c r="D3467" s="5" t="s">
        <v>3219</v>
      </c>
      <c r="E3467" s="5" t="s">
        <v>3220</v>
      </c>
      <c r="F3467" s="5" t="s">
        <v>1643</v>
      </c>
      <c r="G3467" s="5" t="s">
        <v>1644</v>
      </c>
      <c r="H3467" s="5"/>
      <c r="I3467" s="6">
        <v>130</v>
      </c>
    </row>
    <row r="3468" spans="1:9" x14ac:dyDescent="0.3">
      <c r="A3468" s="7" t="s">
        <v>3221</v>
      </c>
      <c r="H3468" s="8">
        <f>H3466+H3467</f>
        <v>130</v>
      </c>
      <c r="I3468" s="8">
        <f>I3466+I3467</f>
        <v>130</v>
      </c>
    </row>
    <row r="3469" spans="1:9" x14ac:dyDescent="0.3">
      <c r="A3469" s="4" t="s">
        <v>3222</v>
      </c>
    </row>
    <row r="3470" spans="1:9" x14ac:dyDescent="0.3">
      <c r="B3470" s="5" t="s">
        <v>3223</v>
      </c>
      <c r="C3470" s="5" t="s">
        <v>2745</v>
      </c>
      <c r="D3470" s="5" t="s">
        <v>2750</v>
      </c>
      <c r="E3470" s="5" t="s">
        <v>2750</v>
      </c>
      <c r="F3470" s="5" t="s">
        <v>2748</v>
      </c>
      <c r="G3470" s="5" t="s">
        <v>2749</v>
      </c>
      <c r="H3470" s="6">
        <v>1210</v>
      </c>
      <c r="I3470" s="5"/>
    </row>
    <row r="3471" spans="1:9" x14ac:dyDescent="0.3">
      <c r="B3471" s="5" t="s">
        <v>3223</v>
      </c>
      <c r="C3471" s="5" t="s">
        <v>2745</v>
      </c>
      <c r="D3471" s="5" t="s">
        <v>2750</v>
      </c>
      <c r="E3471" s="5" t="s">
        <v>2750</v>
      </c>
      <c r="F3471" s="5" t="s">
        <v>847</v>
      </c>
      <c r="G3471" s="5" t="s">
        <v>848</v>
      </c>
      <c r="H3471" s="5"/>
      <c r="I3471" s="6">
        <v>1210</v>
      </c>
    </row>
    <row r="3472" spans="1:9" x14ac:dyDescent="0.3">
      <c r="A3472" s="7" t="s">
        <v>3224</v>
      </c>
      <c r="H3472" s="8">
        <f>H3470+H3471</f>
        <v>1210</v>
      </c>
      <c r="I3472" s="8">
        <f>I3470+I3471</f>
        <v>1210</v>
      </c>
    </row>
    <row r="3473" spans="1:9" x14ac:dyDescent="0.3">
      <c r="A3473" s="4" t="s">
        <v>3225</v>
      </c>
    </row>
    <row r="3474" spans="1:9" x14ac:dyDescent="0.3">
      <c r="B3474" s="5" t="s">
        <v>3223</v>
      </c>
      <c r="C3474" s="5" t="s">
        <v>10</v>
      </c>
      <c r="D3474" s="5" t="s">
        <v>3226</v>
      </c>
      <c r="E3474" s="5" t="s">
        <v>3227</v>
      </c>
      <c r="F3474" s="5" t="s">
        <v>867</v>
      </c>
      <c r="G3474" s="5" t="s">
        <v>868</v>
      </c>
      <c r="H3474" s="6">
        <v>217.8</v>
      </c>
      <c r="I3474" s="5"/>
    </row>
    <row r="3475" spans="1:9" x14ac:dyDescent="0.3">
      <c r="B3475" s="5" t="s">
        <v>3223</v>
      </c>
      <c r="C3475" s="5" t="s">
        <v>10</v>
      </c>
      <c r="D3475" s="5" t="s">
        <v>3226</v>
      </c>
      <c r="E3475" s="5" t="s">
        <v>3227</v>
      </c>
      <c r="F3475" s="5" t="s">
        <v>2729</v>
      </c>
      <c r="G3475" s="5" t="s">
        <v>2730</v>
      </c>
      <c r="H3475" s="5"/>
      <c r="I3475" s="6">
        <v>217.8</v>
      </c>
    </row>
    <row r="3476" spans="1:9" x14ac:dyDescent="0.3">
      <c r="A3476" s="7" t="s">
        <v>3228</v>
      </c>
      <c r="H3476" s="8">
        <f>H3474+H3475</f>
        <v>217.8</v>
      </c>
      <c r="I3476" s="8">
        <f>I3474+I3475</f>
        <v>217.8</v>
      </c>
    </row>
    <row r="3477" spans="1:9" x14ac:dyDescent="0.3">
      <c r="A3477" s="4" t="s">
        <v>3229</v>
      </c>
    </row>
    <row r="3478" spans="1:9" x14ac:dyDescent="0.3">
      <c r="B3478" s="5" t="s">
        <v>3223</v>
      </c>
      <c r="C3478" s="5" t="s">
        <v>10</v>
      </c>
      <c r="D3478" s="5" t="s">
        <v>3230</v>
      </c>
      <c r="E3478" s="5" t="s">
        <v>3231</v>
      </c>
      <c r="F3478" s="5" t="s">
        <v>176</v>
      </c>
      <c r="G3478" s="5" t="s">
        <v>177</v>
      </c>
      <c r="H3478" s="6">
        <v>6000</v>
      </c>
      <c r="I3478" s="5"/>
    </row>
    <row r="3479" spans="1:9" x14ac:dyDescent="0.3">
      <c r="B3479" s="5" t="s">
        <v>3223</v>
      </c>
      <c r="C3479" s="5" t="s">
        <v>10</v>
      </c>
      <c r="D3479" s="5" t="s">
        <v>3230</v>
      </c>
      <c r="E3479" s="5" t="s">
        <v>3231</v>
      </c>
      <c r="F3479" s="5" t="s">
        <v>1643</v>
      </c>
      <c r="G3479" s="5" t="s">
        <v>1644</v>
      </c>
      <c r="H3479" s="5"/>
      <c r="I3479" s="6">
        <v>6000</v>
      </c>
    </row>
    <row r="3480" spans="1:9" x14ac:dyDescent="0.3">
      <c r="B3480" s="5" t="s">
        <v>3223</v>
      </c>
      <c r="C3480" s="5" t="s">
        <v>10</v>
      </c>
      <c r="D3480" s="5" t="s">
        <v>3230</v>
      </c>
      <c r="E3480" s="5" t="s">
        <v>2079</v>
      </c>
      <c r="F3480" s="5" t="s">
        <v>61</v>
      </c>
      <c r="G3480" s="5" t="s">
        <v>62</v>
      </c>
      <c r="H3480" s="6">
        <v>420</v>
      </c>
      <c r="I3480" s="5"/>
    </row>
    <row r="3481" spans="1:9" x14ac:dyDescent="0.3">
      <c r="B3481" s="5" t="s">
        <v>3223</v>
      </c>
      <c r="C3481" s="5" t="s">
        <v>10</v>
      </c>
      <c r="D3481" s="5" t="s">
        <v>3230</v>
      </c>
      <c r="E3481" s="5" t="s">
        <v>2079</v>
      </c>
      <c r="F3481" s="5" t="s">
        <v>1643</v>
      </c>
      <c r="G3481" s="5" t="s">
        <v>1644</v>
      </c>
      <c r="H3481" s="5"/>
      <c r="I3481" s="6">
        <v>420</v>
      </c>
    </row>
    <row r="3482" spans="1:9" x14ac:dyDescent="0.3">
      <c r="A3482" s="7" t="s">
        <v>3232</v>
      </c>
      <c r="H3482" s="8">
        <f>H3478+H3479+H3480+H3481</f>
        <v>6420</v>
      </c>
      <c r="I3482" s="8">
        <f>I3478+I3479+I3480+I3481</f>
        <v>6420</v>
      </c>
    </row>
    <row r="3483" spans="1:9" x14ac:dyDescent="0.3">
      <c r="A3483" s="4" t="s">
        <v>3233</v>
      </c>
    </row>
    <row r="3484" spans="1:9" x14ac:dyDescent="0.3">
      <c r="B3484" s="5" t="s">
        <v>3223</v>
      </c>
      <c r="C3484" s="5" t="s">
        <v>10</v>
      </c>
      <c r="D3484" s="5" t="s">
        <v>3234</v>
      </c>
      <c r="E3484" s="5" t="s">
        <v>3235</v>
      </c>
      <c r="F3484" s="5" t="s">
        <v>2961</v>
      </c>
      <c r="G3484" s="5" t="s">
        <v>2962</v>
      </c>
      <c r="H3484" s="6">
        <v>290</v>
      </c>
      <c r="I3484" s="5"/>
    </row>
    <row r="3485" spans="1:9" x14ac:dyDescent="0.3">
      <c r="B3485" s="5" t="s">
        <v>3223</v>
      </c>
      <c r="C3485" s="5" t="s">
        <v>10</v>
      </c>
      <c r="D3485" s="5" t="s">
        <v>3234</v>
      </c>
      <c r="E3485" s="5" t="s">
        <v>3235</v>
      </c>
      <c r="F3485" s="5" t="s">
        <v>1643</v>
      </c>
      <c r="G3485" s="5" t="s">
        <v>1644</v>
      </c>
      <c r="H3485" s="5"/>
      <c r="I3485" s="6">
        <v>290</v>
      </c>
    </row>
    <row r="3486" spans="1:9" x14ac:dyDescent="0.3">
      <c r="A3486" s="7" t="s">
        <v>3236</v>
      </c>
      <c r="H3486" s="8">
        <f>H3484+H3485</f>
        <v>290</v>
      </c>
      <c r="I3486" s="8">
        <f>I3484+I3485</f>
        <v>290</v>
      </c>
    </row>
    <row r="3487" spans="1:9" x14ac:dyDescent="0.3">
      <c r="A3487" s="4" t="s">
        <v>3237</v>
      </c>
    </row>
    <row r="3488" spans="1:9" x14ac:dyDescent="0.3">
      <c r="B3488" s="5" t="s">
        <v>3238</v>
      </c>
      <c r="C3488" s="5" t="s">
        <v>10</v>
      </c>
      <c r="D3488" s="5" t="s">
        <v>3239</v>
      </c>
      <c r="E3488" s="5" t="s">
        <v>1506</v>
      </c>
      <c r="F3488" s="5" t="s">
        <v>61</v>
      </c>
      <c r="G3488" s="5" t="s">
        <v>62</v>
      </c>
      <c r="H3488" s="6">
        <v>420</v>
      </c>
      <c r="I3488" s="5"/>
    </row>
    <row r="3489" spans="1:9" x14ac:dyDescent="0.3">
      <c r="B3489" s="5" t="s">
        <v>3238</v>
      </c>
      <c r="C3489" s="5" t="s">
        <v>10</v>
      </c>
      <c r="D3489" s="5" t="s">
        <v>3239</v>
      </c>
      <c r="E3489" s="5" t="s">
        <v>1506</v>
      </c>
      <c r="F3489" s="5" t="s">
        <v>1643</v>
      </c>
      <c r="G3489" s="5" t="s">
        <v>1644</v>
      </c>
      <c r="H3489" s="5"/>
      <c r="I3489" s="6">
        <v>420</v>
      </c>
    </row>
    <row r="3490" spans="1:9" x14ac:dyDescent="0.3">
      <c r="A3490" s="7" t="s">
        <v>3240</v>
      </c>
      <c r="H3490" s="8">
        <f>H3488+H3489</f>
        <v>420</v>
      </c>
      <c r="I3490" s="8">
        <f>I3488+I3489</f>
        <v>420</v>
      </c>
    </row>
    <row r="3491" spans="1:9" x14ac:dyDescent="0.3">
      <c r="A3491" s="4" t="s">
        <v>3241</v>
      </c>
    </row>
    <row r="3492" spans="1:9" x14ac:dyDescent="0.3">
      <c r="B3492" s="5" t="s">
        <v>3238</v>
      </c>
      <c r="C3492" s="5" t="s">
        <v>10</v>
      </c>
      <c r="D3492" s="5" t="s">
        <v>3242</v>
      </c>
      <c r="E3492" s="5" t="s">
        <v>3243</v>
      </c>
      <c r="F3492" s="5" t="s">
        <v>61</v>
      </c>
      <c r="G3492" s="5" t="s">
        <v>62</v>
      </c>
      <c r="H3492" s="6">
        <v>120</v>
      </c>
      <c r="I3492" s="5"/>
    </row>
    <row r="3493" spans="1:9" x14ac:dyDescent="0.3">
      <c r="B3493" s="5" t="s">
        <v>3238</v>
      </c>
      <c r="C3493" s="5" t="s">
        <v>10</v>
      </c>
      <c r="D3493" s="5" t="s">
        <v>3242</v>
      </c>
      <c r="E3493" s="5" t="s">
        <v>3243</v>
      </c>
      <c r="F3493" s="5" t="s">
        <v>61</v>
      </c>
      <c r="G3493" s="5" t="s">
        <v>62</v>
      </c>
      <c r="H3493" s="6">
        <v>120</v>
      </c>
      <c r="I3493" s="5"/>
    </row>
    <row r="3494" spans="1:9" x14ac:dyDescent="0.3">
      <c r="B3494" s="5" t="s">
        <v>3238</v>
      </c>
      <c r="C3494" s="5" t="s">
        <v>10</v>
      </c>
      <c r="D3494" s="5" t="s">
        <v>3242</v>
      </c>
      <c r="E3494" s="5" t="s">
        <v>3243</v>
      </c>
      <c r="F3494" s="5" t="s">
        <v>1643</v>
      </c>
      <c r="G3494" s="5" t="s">
        <v>1644</v>
      </c>
      <c r="H3494" s="5"/>
      <c r="I3494" s="6">
        <v>240</v>
      </c>
    </row>
    <row r="3495" spans="1:9" x14ac:dyDescent="0.3">
      <c r="A3495" s="7" t="s">
        <v>3244</v>
      </c>
      <c r="H3495" s="8">
        <f>H3492+H3493+H3494</f>
        <v>240</v>
      </c>
      <c r="I3495" s="8">
        <f>I3492+I3493+I3494</f>
        <v>240</v>
      </c>
    </row>
    <row r="3496" spans="1:9" x14ac:dyDescent="0.3">
      <c r="A3496" s="4" t="s">
        <v>3245</v>
      </c>
    </row>
    <row r="3497" spans="1:9" x14ac:dyDescent="0.3">
      <c r="B3497" s="5" t="s">
        <v>3238</v>
      </c>
      <c r="C3497" s="5" t="s">
        <v>10</v>
      </c>
      <c r="D3497" s="5" t="s">
        <v>3246</v>
      </c>
      <c r="E3497" s="5" t="s">
        <v>3247</v>
      </c>
      <c r="F3497" s="5" t="s">
        <v>67</v>
      </c>
      <c r="G3497" s="5" t="s">
        <v>68</v>
      </c>
      <c r="H3497" s="6">
        <v>40</v>
      </c>
      <c r="I3497" s="5"/>
    </row>
    <row r="3498" spans="1:9" x14ac:dyDescent="0.3">
      <c r="B3498" s="5" t="s">
        <v>3238</v>
      </c>
      <c r="C3498" s="5" t="s">
        <v>10</v>
      </c>
      <c r="D3498" s="5" t="s">
        <v>3246</v>
      </c>
      <c r="E3498" s="5" t="s">
        <v>3247</v>
      </c>
      <c r="F3498" s="5" t="s">
        <v>1643</v>
      </c>
      <c r="G3498" s="5" t="s">
        <v>1644</v>
      </c>
      <c r="H3498" s="5"/>
      <c r="I3498" s="6">
        <v>40</v>
      </c>
    </row>
    <row r="3499" spans="1:9" x14ac:dyDescent="0.3">
      <c r="A3499" s="7" t="s">
        <v>3248</v>
      </c>
      <c r="H3499" s="8">
        <f>H3497+H3498</f>
        <v>40</v>
      </c>
      <c r="I3499" s="8">
        <f>I3497+I3498</f>
        <v>40</v>
      </c>
    </row>
    <row r="3500" spans="1:9" x14ac:dyDescent="0.3">
      <c r="A3500" s="4" t="s">
        <v>3249</v>
      </c>
    </row>
    <row r="3501" spans="1:9" x14ac:dyDescent="0.3">
      <c r="B3501" s="5" t="s">
        <v>3250</v>
      </c>
      <c r="C3501" s="5" t="s">
        <v>10</v>
      </c>
      <c r="D3501" s="5" t="s">
        <v>3251</v>
      </c>
      <c r="E3501" s="5" t="s">
        <v>3252</v>
      </c>
      <c r="F3501" s="5" t="s">
        <v>61</v>
      </c>
      <c r="G3501" s="5" t="s">
        <v>62</v>
      </c>
      <c r="H3501" s="6">
        <v>590</v>
      </c>
      <c r="I3501" s="5"/>
    </row>
    <row r="3502" spans="1:9" x14ac:dyDescent="0.3">
      <c r="B3502" s="5" t="s">
        <v>3250</v>
      </c>
      <c r="C3502" s="5" t="s">
        <v>10</v>
      </c>
      <c r="D3502" s="5" t="s">
        <v>3251</v>
      </c>
      <c r="E3502" s="5" t="s">
        <v>3252</v>
      </c>
      <c r="F3502" s="5" t="s">
        <v>64</v>
      </c>
      <c r="G3502" s="5" t="s">
        <v>65</v>
      </c>
      <c r="H3502" s="6">
        <v>100</v>
      </c>
      <c r="I3502" s="5"/>
    </row>
    <row r="3503" spans="1:9" x14ac:dyDescent="0.3">
      <c r="B3503" s="5" t="s">
        <v>3250</v>
      </c>
      <c r="C3503" s="5" t="s">
        <v>10</v>
      </c>
      <c r="D3503" s="5" t="s">
        <v>3251</v>
      </c>
      <c r="E3503" s="5" t="s">
        <v>3252</v>
      </c>
      <c r="F3503" s="5" t="s">
        <v>70</v>
      </c>
      <c r="G3503" s="5" t="s">
        <v>71</v>
      </c>
      <c r="H3503" s="6">
        <v>150</v>
      </c>
      <c r="I3503" s="5"/>
    </row>
    <row r="3504" spans="1:9" x14ac:dyDescent="0.3">
      <c r="B3504" s="5" t="s">
        <v>3250</v>
      </c>
      <c r="C3504" s="5" t="s">
        <v>10</v>
      </c>
      <c r="D3504" s="5" t="s">
        <v>3251</v>
      </c>
      <c r="E3504" s="5" t="s">
        <v>3252</v>
      </c>
      <c r="F3504" s="5" t="s">
        <v>1643</v>
      </c>
      <c r="G3504" s="5" t="s">
        <v>1644</v>
      </c>
      <c r="H3504" s="5"/>
      <c r="I3504" s="6">
        <v>840</v>
      </c>
    </row>
    <row r="3505" spans="1:9" x14ac:dyDescent="0.3">
      <c r="A3505" s="7" t="s">
        <v>3253</v>
      </c>
      <c r="H3505" s="8">
        <f>H3501+H3502+H3503+H3504</f>
        <v>840</v>
      </c>
      <c r="I3505" s="8">
        <f>I3501+I3502+I3503+I3504</f>
        <v>840</v>
      </c>
    </row>
    <row r="3506" spans="1:9" x14ac:dyDescent="0.3">
      <c r="A3506" s="4" t="s">
        <v>3254</v>
      </c>
    </row>
    <row r="3507" spans="1:9" x14ac:dyDescent="0.3">
      <c r="B3507" s="5" t="s">
        <v>3250</v>
      </c>
      <c r="C3507" s="5" t="s">
        <v>10</v>
      </c>
      <c r="D3507" s="5" t="s">
        <v>3255</v>
      </c>
      <c r="E3507" s="5" t="s">
        <v>3256</v>
      </c>
      <c r="F3507" s="5" t="s">
        <v>35</v>
      </c>
      <c r="G3507" s="5" t="s">
        <v>36</v>
      </c>
      <c r="H3507" s="6">
        <v>240</v>
      </c>
      <c r="I3507" s="5"/>
    </row>
    <row r="3508" spans="1:9" x14ac:dyDescent="0.3">
      <c r="B3508" s="5" t="s">
        <v>3250</v>
      </c>
      <c r="C3508" s="5" t="s">
        <v>10</v>
      </c>
      <c r="D3508" s="5" t="s">
        <v>3255</v>
      </c>
      <c r="E3508" s="5" t="s">
        <v>3256</v>
      </c>
      <c r="F3508" s="5" t="s">
        <v>1643</v>
      </c>
      <c r="G3508" s="5" t="s">
        <v>1644</v>
      </c>
      <c r="H3508" s="5"/>
      <c r="I3508" s="6">
        <v>240</v>
      </c>
    </row>
    <row r="3509" spans="1:9" x14ac:dyDescent="0.3">
      <c r="A3509" s="7" t="s">
        <v>3257</v>
      </c>
      <c r="H3509" s="8">
        <f>H3507+H3508</f>
        <v>240</v>
      </c>
      <c r="I3509" s="8">
        <f>I3507+I3508</f>
        <v>240</v>
      </c>
    </row>
    <row r="3510" spans="1:9" x14ac:dyDescent="0.3">
      <c r="A3510" s="4" t="s">
        <v>3258</v>
      </c>
    </row>
    <row r="3511" spans="1:9" x14ac:dyDescent="0.3">
      <c r="B3511" s="5" t="s">
        <v>3250</v>
      </c>
      <c r="C3511" s="5" t="s">
        <v>10</v>
      </c>
      <c r="D3511" s="5" t="s">
        <v>3259</v>
      </c>
      <c r="E3511" s="5" t="s">
        <v>3260</v>
      </c>
      <c r="F3511" s="5" t="s">
        <v>129</v>
      </c>
      <c r="G3511" s="5" t="s">
        <v>130</v>
      </c>
      <c r="H3511" s="6">
        <v>440</v>
      </c>
      <c r="I3511" s="5"/>
    </row>
    <row r="3512" spans="1:9" x14ac:dyDescent="0.3">
      <c r="B3512" s="5" t="s">
        <v>3250</v>
      </c>
      <c r="C3512" s="5" t="s">
        <v>10</v>
      </c>
      <c r="D3512" s="5" t="s">
        <v>3259</v>
      </c>
      <c r="E3512" s="5" t="s">
        <v>3260</v>
      </c>
      <c r="F3512" s="5" t="s">
        <v>1643</v>
      </c>
      <c r="G3512" s="5" t="s">
        <v>1644</v>
      </c>
      <c r="H3512" s="5"/>
      <c r="I3512" s="6">
        <v>440</v>
      </c>
    </row>
    <row r="3513" spans="1:9" x14ac:dyDescent="0.3">
      <c r="A3513" s="7" t="s">
        <v>3261</v>
      </c>
      <c r="H3513" s="8">
        <f>H3511+H3512</f>
        <v>440</v>
      </c>
      <c r="I3513" s="8">
        <f>I3511+I3512</f>
        <v>440</v>
      </c>
    </row>
    <row r="3514" spans="1:9" x14ac:dyDescent="0.3">
      <c r="A3514" s="4" t="s">
        <v>3262</v>
      </c>
    </row>
    <row r="3515" spans="1:9" x14ac:dyDescent="0.3">
      <c r="B3515" s="5" t="s">
        <v>3263</v>
      </c>
      <c r="C3515" s="5" t="s">
        <v>10</v>
      </c>
      <c r="D3515" s="5" t="s">
        <v>3264</v>
      </c>
      <c r="E3515" s="5" t="s">
        <v>3265</v>
      </c>
      <c r="F3515" s="5" t="s">
        <v>1961</v>
      </c>
      <c r="G3515" s="5" t="s">
        <v>1962</v>
      </c>
      <c r="H3515" s="6">
        <v>6960</v>
      </c>
      <c r="I3515" s="5"/>
    </row>
    <row r="3516" spans="1:9" x14ac:dyDescent="0.3">
      <c r="B3516" s="5" t="s">
        <v>3263</v>
      </c>
      <c r="C3516" s="5" t="s">
        <v>10</v>
      </c>
      <c r="D3516" s="5" t="s">
        <v>3264</v>
      </c>
      <c r="E3516" s="5" t="s">
        <v>3266</v>
      </c>
      <c r="F3516" s="5" t="s">
        <v>451</v>
      </c>
      <c r="G3516" s="5" t="s">
        <v>452</v>
      </c>
      <c r="H3516" s="6">
        <v>6960</v>
      </c>
      <c r="I3516" s="5"/>
    </row>
    <row r="3517" spans="1:9" x14ac:dyDescent="0.3">
      <c r="B3517" s="5" t="s">
        <v>3263</v>
      </c>
      <c r="C3517" s="5" t="s">
        <v>10</v>
      </c>
      <c r="D3517" s="5" t="s">
        <v>3264</v>
      </c>
      <c r="E3517" s="5" t="s">
        <v>3267</v>
      </c>
      <c r="F3517" s="5" t="s">
        <v>449</v>
      </c>
      <c r="G3517" s="5" t="s">
        <v>450</v>
      </c>
      <c r="H3517" s="6">
        <v>6960</v>
      </c>
      <c r="I3517" s="5"/>
    </row>
    <row r="3518" spans="1:9" x14ac:dyDescent="0.3">
      <c r="B3518" s="5" t="s">
        <v>3263</v>
      </c>
      <c r="C3518" s="5" t="s">
        <v>10</v>
      </c>
      <c r="D3518" s="5" t="s">
        <v>3264</v>
      </c>
      <c r="E3518" s="5" t="s">
        <v>3268</v>
      </c>
      <c r="F3518" s="5" t="s">
        <v>1643</v>
      </c>
      <c r="G3518" s="5" t="s">
        <v>1644</v>
      </c>
      <c r="H3518" s="5"/>
      <c r="I3518" s="6">
        <v>20880</v>
      </c>
    </row>
    <row r="3519" spans="1:9" x14ac:dyDescent="0.3">
      <c r="A3519" s="7" t="s">
        <v>3269</v>
      </c>
      <c r="H3519" s="8">
        <f>H3515+H3516+H3517+H3518</f>
        <v>20880</v>
      </c>
      <c r="I3519" s="8">
        <f>I3515+I3516+I3517+I3518</f>
        <v>20880</v>
      </c>
    </row>
    <row r="3520" spans="1:9" x14ac:dyDescent="0.3">
      <c r="A3520" s="4" t="s">
        <v>3270</v>
      </c>
    </row>
    <row r="3521" spans="1:9" x14ac:dyDescent="0.3">
      <c r="B3521" s="5" t="s">
        <v>3263</v>
      </c>
      <c r="C3521" s="5" t="s">
        <v>10</v>
      </c>
      <c r="D3521" s="5" t="s">
        <v>3271</v>
      </c>
      <c r="E3521" s="5" t="s">
        <v>3272</v>
      </c>
      <c r="F3521" s="5" t="s">
        <v>1643</v>
      </c>
      <c r="G3521" s="5" t="s">
        <v>1644</v>
      </c>
      <c r="H3521" s="6">
        <v>14340</v>
      </c>
      <c r="I3521" s="5"/>
    </row>
    <row r="3522" spans="1:9" x14ac:dyDescent="0.3">
      <c r="B3522" s="5" t="s">
        <v>3263</v>
      </c>
      <c r="C3522" s="5" t="s">
        <v>10</v>
      </c>
      <c r="D3522" s="5" t="s">
        <v>3271</v>
      </c>
      <c r="E3522" s="5" t="s">
        <v>3272</v>
      </c>
      <c r="F3522" s="5" t="s">
        <v>13</v>
      </c>
      <c r="G3522" s="5" t="s">
        <v>14</v>
      </c>
      <c r="H3522" s="5"/>
      <c r="I3522" s="6">
        <v>14340</v>
      </c>
    </row>
    <row r="3523" spans="1:9" x14ac:dyDescent="0.3">
      <c r="A3523" s="7" t="s">
        <v>3273</v>
      </c>
      <c r="H3523" s="8">
        <f>H3521+H3522</f>
        <v>14340</v>
      </c>
      <c r="I3523" s="8">
        <f>I3521+I3522</f>
        <v>14340</v>
      </c>
    </row>
    <row r="3524" spans="1:9" x14ac:dyDescent="0.3">
      <c r="A3524" s="4" t="s">
        <v>3274</v>
      </c>
    </row>
    <row r="3525" spans="1:9" ht="21.6" x14ac:dyDescent="0.3">
      <c r="B3525" s="5" t="s">
        <v>3263</v>
      </c>
      <c r="C3525" s="5" t="s">
        <v>10</v>
      </c>
      <c r="D3525" s="5" t="s">
        <v>3275</v>
      </c>
      <c r="E3525" s="5" t="s">
        <v>3276</v>
      </c>
      <c r="F3525" s="5" t="s">
        <v>1022</v>
      </c>
      <c r="G3525" s="5" t="s">
        <v>1023</v>
      </c>
      <c r="H3525" s="6">
        <v>10890</v>
      </c>
      <c r="I3525" s="5"/>
    </row>
    <row r="3526" spans="1:9" x14ac:dyDescent="0.3">
      <c r="B3526" s="5" t="s">
        <v>3263</v>
      </c>
      <c r="C3526" s="5" t="s">
        <v>10</v>
      </c>
      <c r="D3526" s="5" t="s">
        <v>3275</v>
      </c>
      <c r="E3526" s="5" t="s">
        <v>3277</v>
      </c>
      <c r="F3526" s="5" t="s">
        <v>67</v>
      </c>
      <c r="G3526" s="5" t="s">
        <v>68</v>
      </c>
      <c r="H3526" s="6">
        <v>1450</v>
      </c>
      <c r="I3526" s="5"/>
    </row>
    <row r="3527" spans="1:9" x14ac:dyDescent="0.3">
      <c r="B3527" s="5" t="s">
        <v>3263</v>
      </c>
      <c r="C3527" s="5" t="s">
        <v>10</v>
      </c>
      <c r="D3527" s="5" t="s">
        <v>3275</v>
      </c>
      <c r="E3527" s="5" t="s">
        <v>3278</v>
      </c>
      <c r="F3527" s="5" t="s">
        <v>67</v>
      </c>
      <c r="G3527" s="5" t="s">
        <v>68</v>
      </c>
      <c r="H3527" s="6">
        <v>1900</v>
      </c>
      <c r="I3527" s="5"/>
    </row>
    <row r="3528" spans="1:9" x14ac:dyDescent="0.3">
      <c r="B3528" s="5" t="s">
        <v>3263</v>
      </c>
      <c r="C3528" s="5" t="s">
        <v>10</v>
      </c>
      <c r="D3528" s="5" t="s">
        <v>3275</v>
      </c>
      <c r="E3528" s="5" t="s">
        <v>3279</v>
      </c>
      <c r="F3528" s="5" t="s">
        <v>2368</v>
      </c>
      <c r="G3528" s="5" t="s">
        <v>2369</v>
      </c>
      <c r="H3528" s="6">
        <v>100</v>
      </c>
      <c r="I3528" s="5"/>
    </row>
    <row r="3529" spans="1:9" ht="21.6" x14ac:dyDescent="0.3">
      <c r="B3529" s="5" t="s">
        <v>3263</v>
      </c>
      <c r="C3529" s="5" t="s">
        <v>10</v>
      </c>
      <c r="D3529" s="5" t="s">
        <v>3275</v>
      </c>
      <c r="E3529" s="5" t="s">
        <v>3280</v>
      </c>
      <c r="F3529" s="5" t="s">
        <v>1643</v>
      </c>
      <c r="G3529" s="5" t="s">
        <v>1644</v>
      </c>
      <c r="H3529" s="5"/>
      <c r="I3529" s="6">
        <v>14340</v>
      </c>
    </row>
    <row r="3530" spans="1:9" x14ac:dyDescent="0.3">
      <c r="A3530" s="7" t="s">
        <v>3281</v>
      </c>
      <c r="H3530" s="8">
        <f>H3525+H3526+H3527+H3528+H3529</f>
        <v>14340</v>
      </c>
      <c r="I3530" s="8">
        <f>I3525+I3526+I3527+I3528+I3529</f>
        <v>14340</v>
      </c>
    </row>
    <row r="3531" spans="1:9" x14ac:dyDescent="0.3">
      <c r="A3531" s="4" t="s">
        <v>3282</v>
      </c>
    </row>
    <row r="3532" spans="1:9" x14ac:dyDescent="0.3">
      <c r="B3532" s="5" t="s">
        <v>3283</v>
      </c>
      <c r="C3532" s="5" t="s">
        <v>10</v>
      </c>
      <c r="D3532" s="5" t="s">
        <v>3284</v>
      </c>
      <c r="E3532" s="5" t="s">
        <v>3285</v>
      </c>
      <c r="F3532" s="5" t="s">
        <v>67</v>
      </c>
      <c r="G3532" s="5" t="s">
        <v>68</v>
      </c>
      <c r="H3532" s="6">
        <v>1700</v>
      </c>
      <c r="I3532" s="5"/>
    </row>
    <row r="3533" spans="1:9" x14ac:dyDescent="0.3">
      <c r="B3533" s="5" t="s">
        <v>3283</v>
      </c>
      <c r="C3533" s="5" t="s">
        <v>10</v>
      </c>
      <c r="D3533" s="5" t="s">
        <v>3284</v>
      </c>
      <c r="E3533" s="5" t="s">
        <v>3285</v>
      </c>
      <c r="F3533" s="5" t="s">
        <v>1643</v>
      </c>
      <c r="G3533" s="5" t="s">
        <v>1644</v>
      </c>
      <c r="H3533" s="5"/>
      <c r="I3533" s="6">
        <v>1700</v>
      </c>
    </row>
    <row r="3534" spans="1:9" x14ac:dyDescent="0.3">
      <c r="A3534" s="7" t="s">
        <v>3286</v>
      </c>
      <c r="H3534" s="8">
        <f>H3532+H3533</f>
        <v>1700</v>
      </c>
      <c r="I3534" s="8">
        <f>I3532+I3533</f>
        <v>1700</v>
      </c>
    </row>
    <row r="3535" spans="1:9" x14ac:dyDescent="0.3">
      <c r="A3535" s="4" t="s">
        <v>3287</v>
      </c>
    </row>
    <row r="3536" spans="1:9" x14ac:dyDescent="0.3">
      <c r="B3536" s="5" t="s">
        <v>3283</v>
      </c>
      <c r="C3536" s="5" t="s">
        <v>10</v>
      </c>
      <c r="D3536" s="5" t="s">
        <v>3288</v>
      </c>
      <c r="E3536" s="5" t="s">
        <v>3289</v>
      </c>
      <c r="F3536" s="5" t="s">
        <v>67</v>
      </c>
      <c r="G3536" s="5" t="s">
        <v>68</v>
      </c>
      <c r="H3536" s="6">
        <v>100</v>
      </c>
      <c r="I3536" s="5"/>
    </row>
    <row r="3537" spans="1:9" x14ac:dyDescent="0.3">
      <c r="B3537" s="5" t="s">
        <v>3283</v>
      </c>
      <c r="C3537" s="5" t="s">
        <v>10</v>
      </c>
      <c r="D3537" s="5" t="s">
        <v>3288</v>
      </c>
      <c r="E3537" s="5" t="s">
        <v>3289</v>
      </c>
      <c r="F3537" s="5" t="s">
        <v>1643</v>
      </c>
      <c r="G3537" s="5" t="s">
        <v>1644</v>
      </c>
      <c r="H3537" s="5"/>
      <c r="I3537" s="6">
        <v>100</v>
      </c>
    </row>
    <row r="3538" spans="1:9" x14ac:dyDescent="0.3">
      <c r="A3538" s="7" t="s">
        <v>3290</v>
      </c>
      <c r="H3538" s="8">
        <f>H3536+H3537</f>
        <v>100</v>
      </c>
      <c r="I3538" s="8">
        <f>I3536+I3537</f>
        <v>100</v>
      </c>
    </row>
    <row r="3539" spans="1:9" x14ac:dyDescent="0.3">
      <c r="A3539" s="4" t="s">
        <v>3291</v>
      </c>
    </row>
    <row r="3540" spans="1:9" x14ac:dyDescent="0.3">
      <c r="B3540" s="5" t="s">
        <v>3283</v>
      </c>
      <c r="C3540" s="5" t="s">
        <v>10</v>
      </c>
      <c r="D3540" s="5" t="s">
        <v>3292</v>
      </c>
      <c r="E3540" s="5" t="s">
        <v>1052</v>
      </c>
      <c r="F3540" s="5" t="s">
        <v>61</v>
      </c>
      <c r="G3540" s="5" t="s">
        <v>62</v>
      </c>
      <c r="H3540" s="6">
        <v>145</v>
      </c>
      <c r="I3540" s="5"/>
    </row>
    <row r="3541" spans="1:9" x14ac:dyDescent="0.3">
      <c r="B3541" s="5" t="s">
        <v>3283</v>
      </c>
      <c r="C3541" s="5" t="s">
        <v>10</v>
      </c>
      <c r="D3541" s="5" t="s">
        <v>3292</v>
      </c>
      <c r="E3541" s="5" t="s">
        <v>1052</v>
      </c>
      <c r="F3541" s="5" t="s">
        <v>1643</v>
      </c>
      <c r="G3541" s="5" t="s">
        <v>1644</v>
      </c>
      <c r="H3541" s="5"/>
      <c r="I3541" s="6">
        <v>145</v>
      </c>
    </row>
    <row r="3542" spans="1:9" x14ac:dyDescent="0.3">
      <c r="A3542" s="7" t="s">
        <v>3293</v>
      </c>
      <c r="H3542" s="8">
        <f>H3540+H3541</f>
        <v>145</v>
      </c>
      <c r="I3542" s="8">
        <f>I3540+I3541</f>
        <v>145</v>
      </c>
    </row>
    <row r="3543" spans="1:9" x14ac:dyDescent="0.3">
      <c r="A3543" s="4" t="s">
        <v>3294</v>
      </c>
    </row>
    <row r="3544" spans="1:9" x14ac:dyDescent="0.3">
      <c r="B3544" s="5" t="s">
        <v>3283</v>
      </c>
      <c r="C3544" s="5" t="s">
        <v>10</v>
      </c>
      <c r="D3544" s="5" t="s">
        <v>3295</v>
      </c>
      <c r="E3544" s="5" t="s">
        <v>3296</v>
      </c>
      <c r="F3544" s="5" t="s">
        <v>113</v>
      </c>
      <c r="G3544" s="5" t="s">
        <v>114</v>
      </c>
      <c r="H3544" s="6">
        <v>500</v>
      </c>
      <c r="I3544" s="5"/>
    </row>
    <row r="3545" spans="1:9" x14ac:dyDescent="0.3">
      <c r="B3545" s="5" t="s">
        <v>3283</v>
      </c>
      <c r="C3545" s="5" t="s">
        <v>10</v>
      </c>
      <c r="D3545" s="5" t="s">
        <v>3295</v>
      </c>
      <c r="E3545" s="5" t="s">
        <v>3296</v>
      </c>
      <c r="F3545" s="5" t="s">
        <v>1643</v>
      </c>
      <c r="G3545" s="5" t="s">
        <v>1644</v>
      </c>
      <c r="H3545" s="5"/>
      <c r="I3545" s="6">
        <v>500</v>
      </c>
    </row>
    <row r="3546" spans="1:9" x14ac:dyDescent="0.3">
      <c r="A3546" s="7" t="s">
        <v>3297</v>
      </c>
      <c r="H3546" s="8">
        <f>H3544+H3545</f>
        <v>500</v>
      </c>
      <c r="I3546" s="8">
        <f>I3544+I3545</f>
        <v>500</v>
      </c>
    </row>
    <row r="3547" spans="1:9" x14ac:dyDescent="0.3">
      <c r="A3547" s="4" t="s">
        <v>3298</v>
      </c>
    </row>
    <row r="3548" spans="1:9" x14ac:dyDescent="0.3">
      <c r="B3548" s="5" t="s">
        <v>3283</v>
      </c>
      <c r="C3548" s="5" t="s">
        <v>10</v>
      </c>
      <c r="D3548" s="5" t="s">
        <v>3299</v>
      </c>
      <c r="E3548" s="5" t="s">
        <v>3296</v>
      </c>
      <c r="F3548" s="5" t="s">
        <v>61</v>
      </c>
      <c r="G3548" s="5" t="s">
        <v>62</v>
      </c>
      <c r="H3548" s="6">
        <v>290</v>
      </c>
      <c r="I3548" s="5"/>
    </row>
    <row r="3549" spans="1:9" x14ac:dyDescent="0.3">
      <c r="B3549" s="5" t="s">
        <v>3283</v>
      </c>
      <c r="C3549" s="5" t="s">
        <v>10</v>
      </c>
      <c r="D3549" s="5" t="s">
        <v>3299</v>
      </c>
      <c r="E3549" s="5" t="s">
        <v>3296</v>
      </c>
      <c r="F3549" s="5" t="s">
        <v>1643</v>
      </c>
      <c r="G3549" s="5" t="s">
        <v>1644</v>
      </c>
      <c r="H3549" s="5"/>
      <c r="I3549" s="6">
        <v>290</v>
      </c>
    </row>
    <row r="3550" spans="1:9" x14ac:dyDescent="0.3">
      <c r="A3550" s="7" t="s">
        <v>3300</v>
      </c>
      <c r="H3550" s="8">
        <f>H3548+H3549</f>
        <v>290</v>
      </c>
      <c r="I3550" s="8">
        <f>I3548+I3549</f>
        <v>290</v>
      </c>
    </row>
    <row r="3551" spans="1:9" x14ac:dyDescent="0.3">
      <c r="A3551" s="4" t="s">
        <v>3301</v>
      </c>
    </row>
    <row r="3552" spans="1:9" x14ac:dyDescent="0.3">
      <c r="B3552" s="5" t="s">
        <v>3283</v>
      </c>
      <c r="C3552" s="5" t="s">
        <v>10</v>
      </c>
      <c r="D3552" s="5" t="s">
        <v>3302</v>
      </c>
      <c r="E3552" s="5" t="s">
        <v>3303</v>
      </c>
      <c r="F3552" s="5" t="s">
        <v>61</v>
      </c>
      <c r="G3552" s="5" t="s">
        <v>62</v>
      </c>
      <c r="H3552" s="6">
        <v>320</v>
      </c>
      <c r="I3552" s="5"/>
    </row>
    <row r="3553" spans="1:9" x14ac:dyDescent="0.3">
      <c r="B3553" s="5" t="s">
        <v>3283</v>
      </c>
      <c r="C3553" s="5" t="s">
        <v>10</v>
      </c>
      <c r="D3553" s="5" t="s">
        <v>3302</v>
      </c>
      <c r="E3553" s="5" t="s">
        <v>3303</v>
      </c>
      <c r="F3553" s="5" t="s">
        <v>1643</v>
      </c>
      <c r="G3553" s="5" t="s">
        <v>1644</v>
      </c>
      <c r="H3553" s="5"/>
      <c r="I3553" s="6">
        <v>320</v>
      </c>
    </row>
    <row r="3554" spans="1:9" x14ac:dyDescent="0.3">
      <c r="A3554" s="7" t="s">
        <v>3304</v>
      </c>
      <c r="H3554" s="8">
        <f>H3552+H3553</f>
        <v>320</v>
      </c>
      <c r="I3554" s="8">
        <f>I3552+I3553</f>
        <v>320</v>
      </c>
    </row>
    <row r="3555" spans="1:9" x14ac:dyDescent="0.3">
      <c r="A3555" s="4" t="s">
        <v>3305</v>
      </c>
    </row>
    <row r="3556" spans="1:9" x14ac:dyDescent="0.3">
      <c r="B3556" s="5" t="s">
        <v>3283</v>
      </c>
      <c r="C3556" s="5" t="s">
        <v>10</v>
      </c>
      <c r="D3556" s="5" t="s">
        <v>3306</v>
      </c>
      <c r="E3556" s="5" t="s">
        <v>3307</v>
      </c>
      <c r="F3556" s="5" t="s">
        <v>1643</v>
      </c>
      <c r="G3556" s="5" t="s">
        <v>1644</v>
      </c>
      <c r="H3556" s="6">
        <v>255780</v>
      </c>
      <c r="I3556" s="5"/>
    </row>
    <row r="3557" spans="1:9" x14ac:dyDescent="0.3">
      <c r="B3557" s="5" t="s">
        <v>3283</v>
      </c>
      <c r="C3557" s="5" t="s">
        <v>10</v>
      </c>
      <c r="D3557" s="5" t="s">
        <v>3306</v>
      </c>
      <c r="E3557" s="5" t="s">
        <v>3307</v>
      </c>
      <c r="F3557" s="5" t="s">
        <v>13</v>
      </c>
      <c r="G3557" s="5" t="s">
        <v>14</v>
      </c>
      <c r="H3557" s="5"/>
      <c r="I3557" s="6">
        <v>255780</v>
      </c>
    </row>
    <row r="3558" spans="1:9" x14ac:dyDescent="0.3">
      <c r="A3558" s="7" t="s">
        <v>3308</v>
      </c>
      <c r="H3558" s="8">
        <f>H3556+H3557</f>
        <v>255780</v>
      </c>
      <c r="I3558" s="8">
        <f>I3556+I3557</f>
        <v>255780</v>
      </c>
    </row>
    <row r="3559" spans="1:9" x14ac:dyDescent="0.3">
      <c r="A3559" s="4" t="s">
        <v>3309</v>
      </c>
    </row>
    <row r="3560" spans="1:9" x14ac:dyDescent="0.3">
      <c r="B3560" s="5" t="s">
        <v>3283</v>
      </c>
      <c r="C3560" s="5" t="s">
        <v>10</v>
      </c>
      <c r="D3560" s="5" t="s">
        <v>3310</v>
      </c>
      <c r="E3560" s="5" t="s">
        <v>3311</v>
      </c>
      <c r="F3560" s="5" t="s">
        <v>1343</v>
      </c>
      <c r="G3560" s="5" t="s">
        <v>1344</v>
      </c>
      <c r="H3560" s="6">
        <v>134000</v>
      </c>
      <c r="I3560" s="5"/>
    </row>
    <row r="3561" spans="1:9" x14ac:dyDescent="0.3">
      <c r="B3561" s="5" t="s">
        <v>3283</v>
      </c>
      <c r="C3561" s="5" t="s">
        <v>10</v>
      </c>
      <c r="D3561" s="5" t="s">
        <v>3310</v>
      </c>
      <c r="E3561" s="5" t="s">
        <v>3311</v>
      </c>
      <c r="F3561" s="5" t="s">
        <v>443</v>
      </c>
      <c r="G3561" s="5" t="s">
        <v>444</v>
      </c>
      <c r="H3561" s="6">
        <v>23600</v>
      </c>
      <c r="I3561" s="5"/>
    </row>
    <row r="3562" spans="1:9" x14ac:dyDescent="0.3">
      <c r="B3562" s="5" t="s">
        <v>3283</v>
      </c>
      <c r="C3562" s="5" t="s">
        <v>10</v>
      </c>
      <c r="D3562" s="5" t="s">
        <v>3310</v>
      </c>
      <c r="E3562" s="5" t="s">
        <v>3311</v>
      </c>
      <c r="F3562" s="5" t="s">
        <v>445</v>
      </c>
      <c r="G3562" s="5" t="s">
        <v>446</v>
      </c>
      <c r="H3562" s="6">
        <v>23600</v>
      </c>
      <c r="I3562" s="5"/>
    </row>
    <row r="3563" spans="1:9" x14ac:dyDescent="0.3">
      <c r="B3563" s="5" t="s">
        <v>3283</v>
      </c>
      <c r="C3563" s="5" t="s">
        <v>10</v>
      </c>
      <c r="D3563" s="5" t="s">
        <v>3310</v>
      </c>
      <c r="E3563" s="5" t="s">
        <v>3311</v>
      </c>
      <c r="F3563" s="5" t="s">
        <v>453</v>
      </c>
      <c r="G3563" s="5" t="s">
        <v>454</v>
      </c>
      <c r="H3563" s="6">
        <v>6960</v>
      </c>
      <c r="I3563" s="5"/>
    </row>
    <row r="3564" spans="1:9" x14ac:dyDescent="0.3">
      <c r="B3564" s="5" t="s">
        <v>3283</v>
      </c>
      <c r="C3564" s="5" t="s">
        <v>10</v>
      </c>
      <c r="D3564" s="5" t="s">
        <v>3310</v>
      </c>
      <c r="E3564" s="5" t="s">
        <v>3311</v>
      </c>
      <c r="F3564" s="5" t="s">
        <v>547</v>
      </c>
      <c r="G3564" s="5" t="s">
        <v>548</v>
      </c>
      <c r="H3564" s="6">
        <v>5980</v>
      </c>
      <c r="I3564" s="5"/>
    </row>
    <row r="3565" spans="1:9" x14ac:dyDescent="0.3">
      <c r="B3565" s="5" t="s">
        <v>3283</v>
      </c>
      <c r="C3565" s="5" t="s">
        <v>10</v>
      </c>
      <c r="D3565" s="5" t="s">
        <v>3310</v>
      </c>
      <c r="E3565" s="5" t="s">
        <v>3311</v>
      </c>
      <c r="F3565" s="5" t="s">
        <v>2598</v>
      </c>
      <c r="G3565" s="5" t="s">
        <v>2599</v>
      </c>
      <c r="H3565" s="6">
        <v>10000</v>
      </c>
      <c r="I3565" s="5"/>
    </row>
    <row r="3566" spans="1:9" x14ac:dyDescent="0.3">
      <c r="B3566" s="5" t="s">
        <v>3283</v>
      </c>
      <c r="C3566" s="5" t="s">
        <v>10</v>
      </c>
      <c r="D3566" s="5" t="s">
        <v>3310</v>
      </c>
      <c r="E3566" s="5" t="s">
        <v>3311</v>
      </c>
      <c r="F3566" s="5" t="s">
        <v>1346</v>
      </c>
      <c r="G3566" s="5" t="s">
        <v>1347</v>
      </c>
      <c r="H3566" s="6">
        <v>6960</v>
      </c>
      <c r="I3566" s="5"/>
    </row>
    <row r="3567" spans="1:9" x14ac:dyDescent="0.3">
      <c r="B3567" s="5" t="s">
        <v>3283</v>
      </c>
      <c r="C3567" s="5" t="s">
        <v>10</v>
      </c>
      <c r="D3567" s="5" t="s">
        <v>3310</v>
      </c>
      <c r="E3567" s="5" t="s">
        <v>3311</v>
      </c>
      <c r="F3567" s="5" t="s">
        <v>1643</v>
      </c>
      <c r="G3567" s="5" t="s">
        <v>1644</v>
      </c>
      <c r="H3567" s="5"/>
      <c r="I3567" s="6">
        <v>211100</v>
      </c>
    </row>
    <row r="3568" spans="1:9" x14ac:dyDescent="0.3">
      <c r="A3568" s="7" t="s">
        <v>3312</v>
      </c>
      <c r="H3568" s="8">
        <f>H3560+H3561+H3562+H3563+H3564+H3565+H3566+H3567</f>
        <v>211100</v>
      </c>
      <c r="I3568" s="8">
        <f>I3560+I3561+I3562+I3563+I3564+I3565+I3566+I3567</f>
        <v>211100</v>
      </c>
    </row>
    <row r="3569" spans="1:9" x14ac:dyDescent="0.3">
      <c r="A3569" s="4" t="s">
        <v>3313</v>
      </c>
    </row>
    <row r="3570" spans="1:9" x14ac:dyDescent="0.3">
      <c r="B3570" s="5" t="s">
        <v>3314</v>
      </c>
      <c r="C3570" s="5" t="s">
        <v>2745</v>
      </c>
      <c r="D3570" s="5" t="s">
        <v>2750</v>
      </c>
      <c r="E3570" s="5" t="s">
        <v>3315</v>
      </c>
      <c r="F3570" s="5" t="s">
        <v>2748</v>
      </c>
      <c r="G3570" s="5" t="s">
        <v>2749</v>
      </c>
      <c r="H3570" s="6">
        <v>12476</v>
      </c>
      <c r="I3570" s="5"/>
    </row>
    <row r="3571" spans="1:9" x14ac:dyDescent="0.3">
      <c r="B3571" s="5" t="s">
        <v>3314</v>
      </c>
      <c r="C3571" s="5" t="s">
        <v>2745</v>
      </c>
      <c r="D3571" s="5" t="s">
        <v>2750</v>
      </c>
      <c r="E3571" s="5" t="s">
        <v>2750</v>
      </c>
      <c r="F3571" s="5" t="s">
        <v>847</v>
      </c>
      <c r="G3571" s="5" t="s">
        <v>848</v>
      </c>
      <c r="H3571" s="5"/>
      <c r="I3571" s="6">
        <v>12476</v>
      </c>
    </row>
    <row r="3572" spans="1:9" x14ac:dyDescent="0.3">
      <c r="A3572" s="7" t="s">
        <v>3316</v>
      </c>
      <c r="H3572" s="8">
        <f>H3570+H3571</f>
        <v>12476</v>
      </c>
      <c r="I3572" s="8">
        <f>I3570+I3571</f>
        <v>12476</v>
      </c>
    </row>
    <row r="3573" spans="1:9" x14ac:dyDescent="0.3">
      <c r="A3573" s="4" t="s">
        <v>3317</v>
      </c>
    </row>
    <row r="3574" spans="1:9" x14ac:dyDescent="0.3">
      <c r="B3574" s="5" t="s">
        <v>3314</v>
      </c>
      <c r="C3574" s="5" t="s">
        <v>2745</v>
      </c>
      <c r="D3574" s="5" t="s">
        <v>2750</v>
      </c>
      <c r="E3574" s="5" t="s">
        <v>3318</v>
      </c>
      <c r="F3574" s="5" t="s">
        <v>2748</v>
      </c>
      <c r="G3574" s="5" t="s">
        <v>2749</v>
      </c>
      <c r="H3574" s="6">
        <v>12476</v>
      </c>
      <c r="I3574" s="5"/>
    </row>
    <row r="3575" spans="1:9" x14ac:dyDescent="0.3">
      <c r="B3575" s="5" t="s">
        <v>3314</v>
      </c>
      <c r="C3575" s="5" t="s">
        <v>2745</v>
      </c>
      <c r="D3575" s="5" t="s">
        <v>2750</v>
      </c>
      <c r="E3575" s="5" t="s">
        <v>2750</v>
      </c>
      <c r="F3575" s="5" t="s">
        <v>847</v>
      </c>
      <c r="G3575" s="5" t="s">
        <v>848</v>
      </c>
      <c r="H3575" s="5"/>
      <c r="I3575" s="6">
        <v>12476</v>
      </c>
    </row>
    <row r="3576" spans="1:9" x14ac:dyDescent="0.3">
      <c r="A3576" s="7" t="s">
        <v>3319</v>
      </c>
      <c r="H3576" s="8">
        <f>H3574+H3575</f>
        <v>12476</v>
      </c>
      <c r="I3576" s="8">
        <f>I3574+I3575</f>
        <v>12476</v>
      </c>
    </row>
    <row r="3577" spans="1:9" x14ac:dyDescent="0.3">
      <c r="A3577" s="4" t="s">
        <v>3320</v>
      </c>
    </row>
    <row r="3578" spans="1:9" x14ac:dyDescent="0.3">
      <c r="B3578" s="5" t="s">
        <v>3314</v>
      </c>
      <c r="C3578" s="5" t="s">
        <v>2745</v>
      </c>
      <c r="D3578" s="5" t="s">
        <v>2750</v>
      </c>
      <c r="E3578" s="5" t="s">
        <v>3318</v>
      </c>
      <c r="F3578" s="5" t="s">
        <v>2748</v>
      </c>
      <c r="G3578" s="5" t="s">
        <v>2749</v>
      </c>
      <c r="H3578" s="6">
        <v>13206</v>
      </c>
      <c r="I3578" s="5"/>
    </row>
    <row r="3579" spans="1:9" x14ac:dyDescent="0.3">
      <c r="B3579" s="5" t="s">
        <v>3314</v>
      </c>
      <c r="C3579" s="5" t="s">
        <v>2745</v>
      </c>
      <c r="D3579" s="5" t="s">
        <v>2750</v>
      </c>
      <c r="E3579" s="5" t="s">
        <v>2750</v>
      </c>
      <c r="F3579" s="5" t="s">
        <v>847</v>
      </c>
      <c r="G3579" s="5" t="s">
        <v>848</v>
      </c>
      <c r="H3579" s="5"/>
      <c r="I3579" s="6">
        <v>13206</v>
      </c>
    </row>
    <row r="3580" spans="1:9" x14ac:dyDescent="0.3">
      <c r="A3580" s="7" t="s">
        <v>3321</v>
      </c>
      <c r="H3580" s="8">
        <f>H3578+H3579</f>
        <v>13206</v>
      </c>
      <c r="I3580" s="8">
        <f>I3578+I3579</f>
        <v>13206</v>
      </c>
    </row>
    <row r="3581" spans="1:9" x14ac:dyDescent="0.3">
      <c r="A3581" s="4" t="s">
        <v>3322</v>
      </c>
    </row>
    <row r="3582" spans="1:9" x14ac:dyDescent="0.3">
      <c r="B3582" s="5" t="s">
        <v>3314</v>
      </c>
      <c r="C3582" s="5" t="s">
        <v>2745</v>
      </c>
      <c r="D3582" s="5" t="s">
        <v>2750</v>
      </c>
      <c r="E3582" s="5" t="s">
        <v>2750</v>
      </c>
      <c r="F3582" s="5" t="s">
        <v>2748</v>
      </c>
      <c r="G3582" s="5" t="s">
        <v>2749</v>
      </c>
      <c r="H3582" s="6">
        <v>12476</v>
      </c>
      <c r="I3582" s="5"/>
    </row>
    <row r="3583" spans="1:9" x14ac:dyDescent="0.3">
      <c r="B3583" s="5" t="s">
        <v>3314</v>
      </c>
      <c r="C3583" s="5" t="s">
        <v>2745</v>
      </c>
      <c r="D3583" s="5" t="s">
        <v>2750</v>
      </c>
      <c r="E3583" s="5" t="s">
        <v>2750</v>
      </c>
      <c r="F3583" s="5" t="s">
        <v>847</v>
      </c>
      <c r="G3583" s="5" t="s">
        <v>848</v>
      </c>
      <c r="H3583" s="5"/>
      <c r="I3583" s="6">
        <v>12476</v>
      </c>
    </row>
    <row r="3584" spans="1:9" x14ac:dyDescent="0.3">
      <c r="A3584" s="7" t="s">
        <v>3323</v>
      </c>
      <c r="H3584" s="8">
        <f>H3582+H3583</f>
        <v>12476</v>
      </c>
      <c r="I3584" s="8">
        <f>I3582+I3583</f>
        <v>12476</v>
      </c>
    </row>
    <row r="3585" spans="1:9" x14ac:dyDescent="0.3">
      <c r="A3585" s="4" t="s">
        <v>3324</v>
      </c>
    </row>
    <row r="3586" spans="1:9" x14ac:dyDescent="0.3">
      <c r="B3586" s="5" t="s">
        <v>3314</v>
      </c>
      <c r="C3586" s="5" t="s">
        <v>2745</v>
      </c>
      <c r="D3586" s="5" t="s">
        <v>2750</v>
      </c>
      <c r="E3586" s="5" t="s">
        <v>3325</v>
      </c>
      <c r="F3586" s="5" t="s">
        <v>2748</v>
      </c>
      <c r="G3586" s="5" t="s">
        <v>2749</v>
      </c>
      <c r="H3586" s="6">
        <v>17938</v>
      </c>
      <c r="I3586" s="5"/>
    </row>
    <row r="3587" spans="1:9" x14ac:dyDescent="0.3">
      <c r="B3587" s="5" t="s">
        <v>3314</v>
      </c>
      <c r="C3587" s="5" t="s">
        <v>2745</v>
      </c>
      <c r="D3587" s="5" t="s">
        <v>2750</v>
      </c>
      <c r="E3587" s="5" t="s">
        <v>2750</v>
      </c>
      <c r="F3587" s="5" t="s">
        <v>847</v>
      </c>
      <c r="G3587" s="5" t="s">
        <v>848</v>
      </c>
      <c r="H3587" s="5"/>
      <c r="I3587" s="6">
        <v>17938</v>
      </c>
    </row>
    <row r="3588" spans="1:9" x14ac:dyDescent="0.3">
      <c r="A3588" s="7" t="s">
        <v>3326</v>
      </c>
      <c r="H3588" s="8">
        <f>H3586+H3587</f>
        <v>17938</v>
      </c>
      <c r="I3588" s="8">
        <f>I3586+I3587</f>
        <v>17938</v>
      </c>
    </row>
    <row r="3589" spans="1:9" x14ac:dyDescent="0.3">
      <c r="A3589" s="4" t="s">
        <v>3327</v>
      </c>
    </row>
    <row r="3590" spans="1:9" x14ac:dyDescent="0.3">
      <c r="B3590" s="5" t="s">
        <v>3314</v>
      </c>
      <c r="C3590" s="5" t="s">
        <v>2745</v>
      </c>
      <c r="D3590" s="5" t="s">
        <v>2750</v>
      </c>
      <c r="E3590" s="5" t="s">
        <v>2750</v>
      </c>
      <c r="F3590" s="5" t="s">
        <v>2748</v>
      </c>
      <c r="G3590" s="5" t="s">
        <v>2749</v>
      </c>
      <c r="H3590" s="6">
        <v>2080</v>
      </c>
      <c r="I3590" s="5"/>
    </row>
    <row r="3591" spans="1:9" x14ac:dyDescent="0.3">
      <c r="B3591" s="5" t="s">
        <v>3314</v>
      </c>
      <c r="C3591" s="5" t="s">
        <v>2745</v>
      </c>
      <c r="D3591" s="5" t="s">
        <v>2750</v>
      </c>
      <c r="E3591" s="5" t="s">
        <v>2750</v>
      </c>
      <c r="F3591" s="5" t="s">
        <v>847</v>
      </c>
      <c r="G3591" s="5" t="s">
        <v>848</v>
      </c>
      <c r="H3591" s="5"/>
      <c r="I3591" s="6">
        <v>2080</v>
      </c>
    </row>
    <row r="3592" spans="1:9" x14ac:dyDescent="0.3">
      <c r="A3592" s="7" t="s">
        <v>3328</v>
      </c>
      <c r="H3592" s="8">
        <f>H3590+H3591</f>
        <v>2080</v>
      </c>
      <c r="I3592" s="8">
        <f>I3590+I3591</f>
        <v>2080</v>
      </c>
    </row>
    <row r="3593" spans="1:9" x14ac:dyDescent="0.3">
      <c r="A3593" s="4" t="s">
        <v>3329</v>
      </c>
    </row>
    <row r="3594" spans="1:9" x14ac:dyDescent="0.3">
      <c r="B3594" s="5" t="s">
        <v>3314</v>
      </c>
      <c r="C3594" s="5" t="s">
        <v>10</v>
      </c>
      <c r="D3594" s="5" t="s">
        <v>3330</v>
      </c>
      <c r="E3594" s="5" t="s">
        <v>2750</v>
      </c>
      <c r="F3594" s="5" t="s">
        <v>35</v>
      </c>
      <c r="G3594" s="5" t="s">
        <v>36</v>
      </c>
      <c r="H3594" s="6">
        <v>220</v>
      </c>
      <c r="I3594" s="5"/>
    </row>
    <row r="3595" spans="1:9" x14ac:dyDescent="0.3">
      <c r="B3595" s="5" t="s">
        <v>3314</v>
      </c>
      <c r="C3595" s="5" t="s">
        <v>10</v>
      </c>
      <c r="D3595" s="5" t="s">
        <v>3330</v>
      </c>
      <c r="E3595" s="5" t="s">
        <v>3256</v>
      </c>
      <c r="F3595" s="5" t="s">
        <v>1643</v>
      </c>
      <c r="G3595" s="5" t="s">
        <v>1644</v>
      </c>
      <c r="H3595" s="5"/>
      <c r="I3595" s="6">
        <v>220</v>
      </c>
    </row>
    <row r="3596" spans="1:9" x14ac:dyDescent="0.3">
      <c r="A3596" s="7" t="s">
        <v>3331</v>
      </c>
      <c r="H3596" s="8">
        <f>H3594+H3595</f>
        <v>220</v>
      </c>
      <c r="I3596" s="8">
        <f>I3594+I3595</f>
        <v>220</v>
      </c>
    </row>
    <row r="3597" spans="1:9" x14ac:dyDescent="0.3">
      <c r="A3597" s="4" t="s">
        <v>3332</v>
      </c>
    </row>
    <row r="3598" spans="1:9" x14ac:dyDescent="0.3">
      <c r="B3598" s="5" t="s">
        <v>3314</v>
      </c>
      <c r="C3598" s="5" t="s">
        <v>10</v>
      </c>
      <c r="D3598" s="5" t="s">
        <v>3333</v>
      </c>
      <c r="E3598" s="5" t="s">
        <v>3334</v>
      </c>
      <c r="F3598" s="5" t="s">
        <v>1643</v>
      </c>
      <c r="G3598" s="5" t="s">
        <v>1644</v>
      </c>
      <c r="H3598" s="6">
        <v>71600</v>
      </c>
      <c r="I3598" s="5"/>
    </row>
    <row r="3599" spans="1:9" x14ac:dyDescent="0.3">
      <c r="B3599" s="5" t="s">
        <v>3314</v>
      </c>
      <c r="C3599" s="5" t="s">
        <v>10</v>
      </c>
      <c r="D3599" s="5" t="s">
        <v>3333</v>
      </c>
      <c r="E3599" s="5" t="s">
        <v>3334</v>
      </c>
      <c r="F3599" s="5" t="s">
        <v>13</v>
      </c>
      <c r="G3599" s="5" t="s">
        <v>14</v>
      </c>
      <c r="H3599" s="5"/>
      <c r="I3599" s="6">
        <v>71600</v>
      </c>
    </row>
    <row r="3600" spans="1:9" x14ac:dyDescent="0.3">
      <c r="A3600" s="7" t="s">
        <v>3335</v>
      </c>
      <c r="H3600" s="8">
        <f>H3598+H3599</f>
        <v>71600</v>
      </c>
      <c r="I3600" s="8">
        <f>I3598+I3599</f>
        <v>71600</v>
      </c>
    </row>
    <row r="3601" spans="1:9" x14ac:dyDescent="0.3">
      <c r="A3601" s="4" t="s">
        <v>3336</v>
      </c>
    </row>
    <row r="3602" spans="1:9" x14ac:dyDescent="0.3">
      <c r="B3602" s="5" t="s">
        <v>3314</v>
      </c>
      <c r="C3602" s="5" t="s">
        <v>10</v>
      </c>
      <c r="D3602" s="5" t="s">
        <v>3337</v>
      </c>
      <c r="E3602" s="5" t="s">
        <v>3338</v>
      </c>
      <c r="F3602" s="5" t="s">
        <v>1022</v>
      </c>
      <c r="G3602" s="5" t="s">
        <v>1023</v>
      </c>
      <c r="H3602" s="6">
        <v>23720</v>
      </c>
      <c r="I3602" s="5"/>
    </row>
    <row r="3603" spans="1:9" x14ac:dyDescent="0.3">
      <c r="B3603" s="5" t="s">
        <v>3314</v>
      </c>
      <c r="C3603" s="5" t="s">
        <v>10</v>
      </c>
      <c r="D3603" s="5" t="s">
        <v>3337</v>
      </c>
      <c r="E3603" s="5" t="s">
        <v>3339</v>
      </c>
      <c r="F3603" s="5" t="s">
        <v>2600</v>
      </c>
      <c r="G3603" s="5" t="s">
        <v>2601</v>
      </c>
      <c r="H3603" s="6">
        <v>11960</v>
      </c>
      <c r="I3603" s="5"/>
    </row>
    <row r="3604" spans="1:9" x14ac:dyDescent="0.3">
      <c r="B3604" s="5" t="s">
        <v>3314</v>
      </c>
      <c r="C3604" s="5" t="s">
        <v>10</v>
      </c>
      <c r="D3604" s="5" t="s">
        <v>3337</v>
      </c>
      <c r="E3604" s="5" t="s">
        <v>3340</v>
      </c>
      <c r="F3604" s="5" t="s">
        <v>2602</v>
      </c>
      <c r="G3604" s="5" t="s">
        <v>2603</v>
      </c>
      <c r="H3604" s="6">
        <v>11960</v>
      </c>
      <c r="I3604" s="5"/>
    </row>
    <row r="3605" spans="1:9" x14ac:dyDescent="0.3">
      <c r="B3605" s="5" t="s">
        <v>3314</v>
      </c>
      <c r="C3605" s="5" t="s">
        <v>10</v>
      </c>
      <c r="D3605" s="5" t="s">
        <v>3337</v>
      </c>
      <c r="E3605" s="5" t="s">
        <v>3341</v>
      </c>
      <c r="F3605" s="5" t="s">
        <v>2604</v>
      </c>
      <c r="G3605" s="5" t="s">
        <v>2605</v>
      </c>
      <c r="H3605" s="6">
        <v>11960</v>
      </c>
      <c r="I3605" s="5"/>
    </row>
    <row r="3606" spans="1:9" x14ac:dyDescent="0.3">
      <c r="B3606" s="5" t="s">
        <v>3314</v>
      </c>
      <c r="C3606" s="5" t="s">
        <v>10</v>
      </c>
      <c r="D3606" s="5" t="s">
        <v>3337</v>
      </c>
      <c r="E3606" s="5" t="s">
        <v>3342</v>
      </c>
      <c r="F3606" s="5" t="s">
        <v>61</v>
      </c>
      <c r="G3606" s="5" t="s">
        <v>62</v>
      </c>
      <c r="H3606" s="6">
        <v>6000</v>
      </c>
      <c r="I3606" s="5"/>
    </row>
    <row r="3607" spans="1:9" x14ac:dyDescent="0.3">
      <c r="B3607" s="5" t="s">
        <v>3314</v>
      </c>
      <c r="C3607" s="5" t="s">
        <v>10</v>
      </c>
      <c r="D3607" s="5" t="s">
        <v>3337</v>
      </c>
      <c r="E3607" s="5" t="s">
        <v>3343</v>
      </c>
      <c r="F3607" s="5" t="s">
        <v>61</v>
      </c>
      <c r="G3607" s="5" t="s">
        <v>62</v>
      </c>
      <c r="H3607" s="6">
        <v>6000</v>
      </c>
      <c r="I3607" s="5"/>
    </row>
    <row r="3608" spans="1:9" x14ac:dyDescent="0.3">
      <c r="B3608" s="5" t="s">
        <v>3314</v>
      </c>
      <c r="C3608" s="5" t="s">
        <v>10</v>
      </c>
      <c r="D3608" s="5" t="s">
        <v>3337</v>
      </c>
      <c r="E3608" s="5" t="s">
        <v>3344</v>
      </c>
      <c r="F3608" s="5" t="s">
        <v>1643</v>
      </c>
      <c r="G3608" s="5" t="s">
        <v>1644</v>
      </c>
      <c r="H3608" s="5"/>
      <c r="I3608" s="6">
        <v>71600</v>
      </c>
    </row>
    <row r="3609" spans="1:9" x14ac:dyDescent="0.3">
      <c r="A3609" s="7" t="s">
        <v>3345</v>
      </c>
      <c r="H3609" s="8">
        <f>H3602+H3603+H3604+H3605+H3606+H3607+H3608</f>
        <v>71600</v>
      </c>
      <c r="I3609" s="8">
        <f>I3602+I3603+I3604+I3605+I3606+I3607+I3608</f>
        <v>71600</v>
      </c>
    </row>
    <row r="3610" spans="1:9" x14ac:dyDescent="0.3">
      <c r="A3610" s="4" t="s">
        <v>3346</v>
      </c>
    </row>
    <row r="3611" spans="1:9" x14ac:dyDescent="0.3">
      <c r="B3611" s="5" t="s">
        <v>3314</v>
      </c>
      <c r="C3611" s="5" t="s">
        <v>10</v>
      </c>
      <c r="D3611" s="5" t="s">
        <v>3347</v>
      </c>
      <c r="E3611" s="5" t="s">
        <v>3348</v>
      </c>
      <c r="F3611" s="5" t="s">
        <v>549</v>
      </c>
      <c r="G3611" s="5" t="s">
        <v>550</v>
      </c>
      <c r="H3611" s="6">
        <v>30000</v>
      </c>
      <c r="I3611" s="5"/>
    </row>
    <row r="3612" spans="1:9" x14ac:dyDescent="0.3">
      <c r="B3612" s="5" t="s">
        <v>3314</v>
      </c>
      <c r="C3612" s="5" t="s">
        <v>10</v>
      </c>
      <c r="D3612" s="5" t="s">
        <v>3347</v>
      </c>
      <c r="E3612" s="5" t="s">
        <v>3348</v>
      </c>
      <c r="F3612" s="5" t="s">
        <v>1643</v>
      </c>
      <c r="G3612" s="5" t="s">
        <v>1644</v>
      </c>
      <c r="H3612" s="5"/>
      <c r="I3612" s="6">
        <v>30000</v>
      </c>
    </row>
    <row r="3613" spans="1:9" x14ac:dyDescent="0.3">
      <c r="A3613" s="7" t="s">
        <v>3349</v>
      </c>
      <c r="H3613" s="8">
        <f>H3611+H3612</f>
        <v>30000</v>
      </c>
      <c r="I3613" s="8">
        <f>I3611+I3612</f>
        <v>30000</v>
      </c>
    </row>
    <row r="3614" spans="1:9" x14ac:dyDescent="0.3">
      <c r="A3614" s="4" t="s">
        <v>3350</v>
      </c>
    </row>
    <row r="3615" spans="1:9" x14ac:dyDescent="0.3">
      <c r="B3615" s="5" t="s">
        <v>3314</v>
      </c>
      <c r="C3615" s="5" t="s">
        <v>10</v>
      </c>
      <c r="D3615" s="5" t="s">
        <v>3351</v>
      </c>
      <c r="E3615" s="5" t="s">
        <v>3352</v>
      </c>
      <c r="F3615" s="5" t="s">
        <v>867</v>
      </c>
      <c r="G3615" s="5" t="s">
        <v>868</v>
      </c>
      <c r="H3615" s="6">
        <v>1614</v>
      </c>
      <c r="I3615" s="5"/>
    </row>
    <row r="3616" spans="1:9" x14ac:dyDescent="0.3">
      <c r="B3616" s="5" t="s">
        <v>3314</v>
      </c>
      <c r="C3616" s="5" t="s">
        <v>10</v>
      </c>
      <c r="D3616" s="5" t="s">
        <v>3351</v>
      </c>
      <c r="E3616" s="5" t="s">
        <v>3352</v>
      </c>
      <c r="F3616" s="5" t="s">
        <v>2729</v>
      </c>
      <c r="G3616" s="5" t="s">
        <v>2730</v>
      </c>
      <c r="H3616" s="5"/>
      <c r="I3616" s="6">
        <v>1614</v>
      </c>
    </row>
    <row r="3617" spans="1:9" x14ac:dyDescent="0.3">
      <c r="B3617" s="5" t="s">
        <v>3314</v>
      </c>
      <c r="C3617" s="5" t="s">
        <v>10</v>
      </c>
      <c r="D3617" s="5" t="s">
        <v>3351</v>
      </c>
      <c r="E3617" s="5" t="s">
        <v>3353</v>
      </c>
      <c r="F3617" s="5" t="s">
        <v>867</v>
      </c>
      <c r="G3617" s="5" t="s">
        <v>868</v>
      </c>
      <c r="H3617" s="6">
        <v>374</v>
      </c>
      <c r="I3617" s="5"/>
    </row>
    <row r="3618" spans="1:9" x14ac:dyDescent="0.3">
      <c r="B3618" s="5" t="s">
        <v>3314</v>
      </c>
      <c r="C3618" s="5" t="s">
        <v>10</v>
      </c>
      <c r="D3618" s="5" t="s">
        <v>3351</v>
      </c>
      <c r="E3618" s="5" t="s">
        <v>3353</v>
      </c>
      <c r="F3618" s="5" t="s">
        <v>2729</v>
      </c>
      <c r="G3618" s="5" t="s">
        <v>2730</v>
      </c>
      <c r="H3618" s="5"/>
      <c r="I3618" s="6">
        <v>374</v>
      </c>
    </row>
    <row r="3619" spans="1:9" x14ac:dyDescent="0.3">
      <c r="A3619" s="7" t="s">
        <v>3354</v>
      </c>
      <c r="H3619" s="8">
        <f>H3615+H3616+H3617+H3618</f>
        <v>1988</v>
      </c>
      <c r="I3619" s="8">
        <f>I3615+I3616+I3617+I3618</f>
        <v>1988</v>
      </c>
    </row>
    <row r="3620" spans="1:9" x14ac:dyDescent="0.3">
      <c r="A3620" s="4" t="s">
        <v>3355</v>
      </c>
    </row>
    <row r="3621" spans="1:9" x14ac:dyDescent="0.3">
      <c r="B3621" s="5" t="s">
        <v>3314</v>
      </c>
      <c r="C3621" s="5" t="s">
        <v>10</v>
      </c>
      <c r="D3621" s="5" t="s">
        <v>3356</v>
      </c>
      <c r="E3621" s="5" t="s">
        <v>2612</v>
      </c>
      <c r="F3621" s="5" t="s">
        <v>35</v>
      </c>
      <c r="G3621" s="5" t="s">
        <v>36</v>
      </c>
      <c r="H3621" s="6">
        <v>1750</v>
      </c>
      <c r="I3621" s="5"/>
    </row>
    <row r="3622" spans="1:9" x14ac:dyDescent="0.3">
      <c r="B3622" s="5" t="s">
        <v>3314</v>
      </c>
      <c r="C3622" s="5" t="s">
        <v>10</v>
      </c>
      <c r="D3622" s="5" t="s">
        <v>3356</v>
      </c>
      <c r="E3622" s="5" t="s">
        <v>2612</v>
      </c>
      <c r="F3622" s="5" t="s">
        <v>1643</v>
      </c>
      <c r="G3622" s="5" t="s">
        <v>1644</v>
      </c>
      <c r="H3622" s="5"/>
      <c r="I3622" s="6">
        <v>1750</v>
      </c>
    </row>
    <row r="3623" spans="1:9" x14ac:dyDescent="0.3">
      <c r="B3623" s="5" t="s">
        <v>3314</v>
      </c>
      <c r="C3623" s="5" t="s">
        <v>10</v>
      </c>
      <c r="D3623" s="5" t="s">
        <v>3356</v>
      </c>
      <c r="E3623" s="5" t="s">
        <v>3357</v>
      </c>
      <c r="F3623" s="5" t="s">
        <v>2500</v>
      </c>
      <c r="G3623" s="5" t="s">
        <v>2501</v>
      </c>
      <c r="H3623" s="6">
        <v>100</v>
      </c>
      <c r="I3623" s="5"/>
    </row>
    <row r="3624" spans="1:9" x14ac:dyDescent="0.3">
      <c r="B3624" s="5" t="s">
        <v>3314</v>
      </c>
      <c r="C3624" s="5" t="s">
        <v>10</v>
      </c>
      <c r="D3624" s="5" t="s">
        <v>3356</v>
      </c>
      <c r="E3624" s="5" t="s">
        <v>3357</v>
      </c>
      <c r="F3624" s="5" t="s">
        <v>1643</v>
      </c>
      <c r="G3624" s="5" t="s">
        <v>1644</v>
      </c>
      <c r="H3624" s="5"/>
      <c r="I3624" s="6">
        <v>100</v>
      </c>
    </row>
    <row r="3625" spans="1:9" x14ac:dyDescent="0.3">
      <c r="A3625" s="7" t="s">
        <v>3358</v>
      </c>
      <c r="H3625" s="8">
        <f>H3621+H3622+H3623+H3624</f>
        <v>1850</v>
      </c>
      <c r="I3625" s="8">
        <f>I3621+I3622+I3623+I3624</f>
        <v>1850</v>
      </c>
    </row>
    <row r="3626" spans="1:9" x14ac:dyDescent="0.3">
      <c r="A3626" s="4" t="s">
        <v>3359</v>
      </c>
    </row>
    <row r="3627" spans="1:9" x14ac:dyDescent="0.3">
      <c r="B3627" s="5" t="s">
        <v>3314</v>
      </c>
      <c r="C3627" s="5" t="s">
        <v>10</v>
      </c>
      <c r="D3627" s="5" t="s">
        <v>3360</v>
      </c>
      <c r="E3627" s="5" t="s">
        <v>3361</v>
      </c>
      <c r="F3627" s="5" t="s">
        <v>50</v>
      </c>
      <c r="G3627" s="5" t="s">
        <v>51</v>
      </c>
      <c r="H3627" s="6">
        <v>300</v>
      </c>
      <c r="I3627" s="5"/>
    </row>
    <row r="3628" spans="1:9" x14ac:dyDescent="0.3">
      <c r="B3628" s="5" t="s">
        <v>3314</v>
      </c>
      <c r="C3628" s="5" t="s">
        <v>10</v>
      </c>
      <c r="D3628" s="5" t="s">
        <v>3360</v>
      </c>
      <c r="E3628" s="5" t="s">
        <v>3361</v>
      </c>
      <c r="F3628" s="5" t="s">
        <v>1643</v>
      </c>
      <c r="G3628" s="5" t="s">
        <v>1644</v>
      </c>
      <c r="H3628" s="5"/>
      <c r="I3628" s="6">
        <v>300</v>
      </c>
    </row>
    <row r="3629" spans="1:9" x14ac:dyDescent="0.3">
      <c r="A3629" s="7" t="s">
        <v>3362</v>
      </c>
      <c r="H3629" s="8">
        <f>H3627+H3628</f>
        <v>300</v>
      </c>
      <c r="I3629" s="8">
        <f>I3627+I3628</f>
        <v>300</v>
      </c>
    </row>
    <row r="3630" spans="1:9" x14ac:dyDescent="0.3">
      <c r="A3630" s="4" t="s">
        <v>3363</v>
      </c>
    </row>
    <row r="3631" spans="1:9" x14ac:dyDescent="0.3">
      <c r="B3631" s="5" t="s">
        <v>3314</v>
      </c>
      <c r="C3631" s="5" t="s">
        <v>10</v>
      </c>
      <c r="D3631" s="5" t="s">
        <v>3364</v>
      </c>
      <c r="E3631" s="5" t="s">
        <v>3365</v>
      </c>
      <c r="F3631" s="5" t="s">
        <v>67</v>
      </c>
      <c r="G3631" s="5" t="s">
        <v>68</v>
      </c>
      <c r="H3631" s="6">
        <v>370</v>
      </c>
      <c r="I3631" s="5"/>
    </row>
    <row r="3632" spans="1:9" x14ac:dyDescent="0.3">
      <c r="B3632" s="5" t="s">
        <v>3314</v>
      </c>
      <c r="C3632" s="5" t="s">
        <v>10</v>
      </c>
      <c r="D3632" s="5" t="s">
        <v>3364</v>
      </c>
      <c r="E3632" s="5" t="s">
        <v>3365</v>
      </c>
      <c r="F3632" s="5" t="s">
        <v>1643</v>
      </c>
      <c r="G3632" s="5" t="s">
        <v>1644</v>
      </c>
      <c r="H3632" s="5"/>
      <c r="I3632" s="6">
        <v>370</v>
      </c>
    </row>
    <row r="3633" spans="1:9" x14ac:dyDescent="0.3">
      <c r="A3633" s="7" t="s">
        <v>3366</v>
      </c>
      <c r="H3633" s="8">
        <f>H3631+H3632</f>
        <v>370</v>
      </c>
      <c r="I3633" s="8">
        <f>I3631+I3632</f>
        <v>370</v>
      </c>
    </row>
    <row r="3634" spans="1:9" x14ac:dyDescent="0.3">
      <c r="A3634" s="4" t="s">
        <v>3367</v>
      </c>
    </row>
    <row r="3635" spans="1:9" x14ac:dyDescent="0.3">
      <c r="B3635" s="5" t="s">
        <v>3314</v>
      </c>
      <c r="C3635" s="5" t="s">
        <v>10</v>
      </c>
      <c r="D3635" s="5" t="s">
        <v>3368</v>
      </c>
      <c r="E3635" s="5" t="s">
        <v>3369</v>
      </c>
      <c r="F3635" s="5" t="s">
        <v>1643</v>
      </c>
      <c r="G3635" s="5" t="s">
        <v>1644</v>
      </c>
      <c r="H3635" s="6">
        <v>6608</v>
      </c>
      <c r="I3635" s="5"/>
    </row>
    <row r="3636" spans="1:9" x14ac:dyDescent="0.3">
      <c r="B3636" s="5" t="s">
        <v>3314</v>
      </c>
      <c r="C3636" s="5" t="s">
        <v>10</v>
      </c>
      <c r="D3636" s="5" t="s">
        <v>3368</v>
      </c>
      <c r="E3636" s="5" t="s">
        <v>3369</v>
      </c>
      <c r="F3636" s="5" t="s">
        <v>13</v>
      </c>
      <c r="G3636" s="5" t="s">
        <v>14</v>
      </c>
      <c r="H3636" s="5"/>
      <c r="I3636" s="6">
        <v>6608</v>
      </c>
    </row>
    <row r="3637" spans="1:9" x14ac:dyDescent="0.3">
      <c r="A3637" s="7" t="s">
        <v>3370</v>
      </c>
      <c r="H3637" s="8">
        <f>H3635+H3636</f>
        <v>6608</v>
      </c>
      <c r="I3637" s="8">
        <f>I3635+I3636</f>
        <v>6608</v>
      </c>
    </row>
    <row r="3638" spans="1:9" x14ac:dyDescent="0.3">
      <c r="A3638" s="4" t="s">
        <v>3371</v>
      </c>
    </row>
    <row r="3639" spans="1:9" x14ac:dyDescent="0.3">
      <c r="B3639" s="5" t="s">
        <v>3314</v>
      </c>
      <c r="C3639" s="5" t="s">
        <v>10</v>
      </c>
      <c r="D3639" s="5" t="s">
        <v>3372</v>
      </c>
      <c r="E3639" s="5" t="s">
        <v>3373</v>
      </c>
      <c r="F3639" s="5" t="s">
        <v>61</v>
      </c>
      <c r="G3639" s="5" t="s">
        <v>62</v>
      </c>
      <c r="H3639" s="6">
        <v>4530</v>
      </c>
      <c r="I3639" s="5"/>
    </row>
    <row r="3640" spans="1:9" x14ac:dyDescent="0.3">
      <c r="B3640" s="5" t="s">
        <v>3314</v>
      </c>
      <c r="C3640" s="5" t="s">
        <v>10</v>
      </c>
      <c r="D3640" s="5" t="s">
        <v>3372</v>
      </c>
      <c r="E3640" s="5" t="s">
        <v>3373</v>
      </c>
      <c r="F3640" s="5" t="s">
        <v>1643</v>
      </c>
      <c r="G3640" s="5" t="s">
        <v>1644</v>
      </c>
      <c r="H3640" s="5"/>
      <c r="I3640" s="6">
        <v>4530</v>
      </c>
    </row>
    <row r="3641" spans="1:9" x14ac:dyDescent="0.3">
      <c r="A3641" s="7" t="s">
        <v>3374</v>
      </c>
      <c r="H3641" s="8">
        <f>H3639+H3640</f>
        <v>4530</v>
      </c>
      <c r="I3641" s="8">
        <f>I3639+I3640</f>
        <v>4530</v>
      </c>
    </row>
    <row r="3642" spans="1:9" x14ac:dyDescent="0.3">
      <c r="A3642" s="4" t="s">
        <v>3375</v>
      </c>
    </row>
    <row r="3643" spans="1:9" x14ac:dyDescent="0.3">
      <c r="B3643" s="5" t="s">
        <v>3314</v>
      </c>
      <c r="C3643" s="5" t="s">
        <v>10</v>
      </c>
      <c r="D3643" s="5" t="s">
        <v>3376</v>
      </c>
      <c r="E3643" s="5" t="s">
        <v>3377</v>
      </c>
      <c r="F3643" s="5" t="s">
        <v>359</v>
      </c>
      <c r="G3643" s="5" t="s">
        <v>360</v>
      </c>
      <c r="H3643" s="6">
        <v>2310</v>
      </c>
      <c r="I3643" s="5"/>
    </row>
    <row r="3644" spans="1:9" x14ac:dyDescent="0.3">
      <c r="B3644" s="5" t="s">
        <v>3314</v>
      </c>
      <c r="C3644" s="5" t="s">
        <v>10</v>
      </c>
      <c r="D3644" s="5" t="s">
        <v>3376</v>
      </c>
      <c r="E3644" s="5" t="s">
        <v>3377</v>
      </c>
      <c r="F3644" s="5" t="s">
        <v>1643</v>
      </c>
      <c r="G3644" s="5" t="s">
        <v>1644</v>
      </c>
      <c r="H3644" s="5"/>
      <c r="I3644" s="6">
        <v>2310</v>
      </c>
    </row>
    <row r="3645" spans="1:9" x14ac:dyDescent="0.3">
      <c r="A3645" s="7" t="s">
        <v>3378</v>
      </c>
      <c r="H3645" s="8">
        <f>H3643+H3644</f>
        <v>2310</v>
      </c>
      <c r="I3645" s="8">
        <f>I3643+I3644</f>
        <v>2310</v>
      </c>
    </row>
    <row r="3646" spans="1:9" x14ac:dyDescent="0.3">
      <c r="A3646" s="4" t="s">
        <v>3379</v>
      </c>
    </row>
    <row r="3647" spans="1:9" x14ac:dyDescent="0.3">
      <c r="B3647" s="5" t="s">
        <v>3314</v>
      </c>
      <c r="C3647" s="5" t="s">
        <v>10</v>
      </c>
      <c r="D3647" s="5" t="s">
        <v>3380</v>
      </c>
      <c r="E3647" s="5" t="s">
        <v>2846</v>
      </c>
      <c r="F3647" s="5" t="s">
        <v>67</v>
      </c>
      <c r="G3647" s="5" t="s">
        <v>68</v>
      </c>
      <c r="H3647" s="6">
        <v>50</v>
      </c>
      <c r="I3647" s="5"/>
    </row>
    <row r="3648" spans="1:9" x14ac:dyDescent="0.3">
      <c r="B3648" s="5" t="s">
        <v>3314</v>
      </c>
      <c r="C3648" s="5" t="s">
        <v>10</v>
      </c>
      <c r="D3648" s="5" t="s">
        <v>3380</v>
      </c>
      <c r="E3648" s="5" t="s">
        <v>2846</v>
      </c>
      <c r="F3648" s="5" t="s">
        <v>1643</v>
      </c>
      <c r="G3648" s="5" t="s">
        <v>1644</v>
      </c>
      <c r="H3648" s="5"/>
      <c r="I3648" s="6">
        <v>50</v>
      </c>
    </row>
    <row r="3649" spans="1:9" x14ac:dyDescent="0.3">
      <c r="A3649" s="7" t="s">
        <v>3381</v>
      </c>
      <c r="H3649" s="8">
        <f>H3647+H3648</f>
        <v>50</v>
      </c>
      <c r="I3649" s="8">
        <f>I3647+I3648</f>
        <v>50</v>
      </c>
    </row>
    <row r="3650" spans="1:9" x14ac:dyDescent="0.3">
      <c r="A3650" s="4" t="s">
        <v>3382</v>
      </c>
    </row>
    <row r="3651" spans="1:9" x14ac:dyDescent="0.3">
      <c r="B3651" s="5" t="s">
        <v>3383</v>
      </c>
      <c r="C3651" s="5" t="s">
        <v>10</v>
      </c>
      <c r="D3651" s="5" t="s">
        <v>3384</v>
      </c>
      <c r="E3651" s="5" t="s">
        <v>2079</v>
      </c>
      <c r="F3651" s="5" t="s">
        <v>61</v>
      </c>
      <c r="G3651" s="5" t="s">
        <v>62</v>
      </c>
      <c r="H3651" s="6">
        <v>300</v>
      </c>
      <c r="I3651" s="5"/>
    </row>
    <row r="3652" spans="1:9" x14ac:dyDescent="0.3">
      <c r="B3652" s="5" t="s">
        <v>3383</v>
      </c>
      <c r="C3652" s="5" t="s">
        <v>10</v>
      </c>
      <c r="D3652" s="5" t="s">
        <v>3384</v>
      </c>
      <c r="E3652" s="5" t="s">
        <v>2079</v>
      </c>
      <c r="F3652" s="5" t="s">
        <v>1643</v>
      </c>
      <c r="G3652" s="5" t="s">
        <v>1644</v>
      </c>
      <c r="H3652" s="5"/>
      <c r="I3652" s="6">
        <v>300</v>
      </c>
    </row>
    <row r="3653" spans="1:9" x14ac:dyDescent="0.3">
      <c r="A3653" s="7" t="s">
        <v>3385</v>
      </c>
      <c r="H3653" s="8">
        <f>H3651+H3652</f>
        <v>300</v>
      </c>
      <c r="I3653" s="8">
        <f>I3651+I3652</f>
        <v>300</v>
      </c>
    </row>
    <row r="3654" spans="1:9" x14ac:dyDescent="0.3">
      <c r="A3654" s="4" t="s">
        <v>3386</v>
      </c>
    </row>
    <row r="3655" spans="1:9" x14ac:dyDescent="0.3">
      <c r="B3655" s="5" t="s">
        <v>3387</v>
      </c>
      <c r="C3655" s="5" t="s">
        <v>10</v>
      </c>
      <c r="D3655" s="5" t="s">
        <v>3388</v>
      </c>
      <c r="E3655" s="5" t="s">
        <v>2498</v>
      </c>
      <c r="F3655" s="5" t="s">
        <v>61</v>
      </c>
      <c r="G3655" s="5" t="s">
        <v>62</v>
      </c>
      <c r="H3655" s="6">
        <v>170</v>
      </c>
      <c r="I3655" s="5"/>
    </row>
    <row r="3656" spans="1:9" x14ac:dyDescent="0.3">
      <c r="B3656" s="5" t="s">
        <v>3387</v>
      </c>
      <c r="C3656" s="5" t="s">
        <v>10</v>
      </c>
      <c r="D3656" s="5" t="s">
        <v>3388</v>
      </c>
      <c r="E3656" s="5" t="s">
        <v>2498</v>
      </c>
      <c r="F3656" s="5" t="s">
        <v>1643</v>
      </c>
      <c r="G3656" s="5" t="s">
        <v>1644</v>
      </c>
      <c r="H3656" s="5"/>
      <c r="I3656" s="6">
        <v>170</v>
      </c>
    </row>
    <row r="3657" spans="1:9" x14ac:dyDescent="0.3">
      <c r="A3657" s="7" t="s">
        <v>3389</v>
      </c>
      <c r="H3657" s="8">
        <f>H3655+H3656</f>
        <v>170</v>
      </c>
      <c r="I3657" s="8">
        <f>I3655+I3656</f>
        <v>170</v>
      </c>
    </row>
    <row r="3658" spans="1:9" x14ac:dyDescent="0.3">
      <c r="A3658" s="4" t="s">
        <v>3390</v>
      </c>
    </row>
    <row r="3659" spans="1:9" x14ac:dyDescent="0.3">
      <c r="B3659" s="5" t="s">
        <v>3387</v>
      </c>
      <c r="C3659" s="5" t="s">
        <v>10</v>
      </c>
      <c r="D3659" s="5" t="s">
        <v>3391</v>
      </c>
      <c r="E3659" s="5" t="s">
        <v>3392</v>
      </c>
      <c r="F3659" s="5" t="s">
        <v>2500</v>
      </c>
      <c r="G3659" s="5" t="s">
        <v>2501</v>
      </c>
      <c r="H3659" s="6">
        <v>100</v>
      </c>
      <c r="I3659" s="5"/>
    </row>
    <row r="3660" spans="1:9" x14ac:dyDescent="0.3">
      <c r="B3660" s="5" t="s">
        <v>3387</v>
      </c>
      <c r="C3660" s="5" t="s">
        <v>10</v>
      </c>
      <c r="D3660" s="5" t="s">
        <v>3391</v>
      </c>
      <c r="E3660" s="5" t="s">
        <v>3392</v>
      </c>
      <c r="F3660" s="5" t="s">
        <v>1643</v>
      </c>
      <c r="G3660" s="5" t="s">
        <v>1644</v>
      </c>
      <c r="H3660" s="5"/>
      <c r="I3660" s="6">
        <v>100</v>
      </c>
    </row>
    <row r="3661" spans="1:9" x14ac:dyDescent="0.3">
      <c r="A3661" s="7" t="s">
        <v>3393</v>
      </c>
      <c r="H3661" s="8">
        <f>H3659+H3660</f>
        <v>100</v>
      </c>
      <c r="I3661" s="8">
        <f>I3659+I3660</f>
        <v>100</v>
      </c>
    </row>
    <row r="3662" spans="1:9" x14ac:dyDescent="0.3">
      <c r="A3662" s="4" t="s">
        <v>3394</v>
      </c>
    </row>
    <row r="3663" spans="1:9" x14ac:dyDescent="0.3">
      <c r="B3663" s="5" t="s">
        <v>3395</v>
      </c>
      <c r="C3663" s="5" t="s">
        <v>10</v>
      </c>
      <c r="D3663" s="5" t="s">
        <v>3396</v>
      </c>
      <c r="E3663" s="5" t="s">
        <v>3397</v>
      </c>
      <c r="F3663" s="5" t="s">
        <v>1730</v>
      </c>
      <c r="G3663" s="5" t="s">
        <v>1731</v>
      </c>
      <c r="H3663" s="6">
        <v>6608</v>
      </c>
      <c r="I3663" s="5"/>
    </row>
    <row r="3664" spans="1:9" x14ac:dyDescent="0.3">
      <c r="B3664" s="5" t="s">
        <v>3395</v>
      </c>
      <c r="C3664" s="5" t="s">
        <v>10</v>
      </c>
      <c r="D3664" s="5" t="s">
        <v>3396</v>
      </c>
      <c r="E3664" s="5" t="s">
        <v>3397</v>
      </c>
      <c r="F3664" s="5" t="s">
        <v>1643</v>
      </c>
      <c r="G3664" s="5" t="s">
        <v>1644</v>
      </c>
      <c r="H3664" s="5"/>
      <c r="I3664" s="6">
        <v>6608</v>
      </c>
    </row>
    <row r="3665" spans="1:9" x14ac:dyDescent="0.3">
      <c r="A3665" s="7" t="s">
        <v>3398</v>
      </c>
      <c r="H3665" s="8">
        <f>H3663+H3664</f>
        <v>6608</v>
      </c>
      <c r="I3665" s="8">
        <f>I3663+I3664</f>
        <v>6608</v>
      </c>
    </row>
    <row r="3666" spans="1:9" x14ac:dyDescent="0.3">
      <c r="A3666" s="4" t="s">
        <v>3399</v>
      </c>
    </row>
    <row r="3667" spans="1:9" x14ac:dyDescent="0.3">
      <c r="B3667" s="5" t="s">
        <v>3395</v>
      </c>
      <c r="C3667" s="5" t="s">
        <v>10</v>
      </c>
      <c r="D3667" s="5" t="s">
        <v>3400</v>
      </c>
      <c r="E3667" s="5" t="s">
        <v>2498</v>
      </c>
      <c r="F3667" s="5" t="s">
        <v>61</v>
      </c>
      <c r="G3667" s="5" t="s">
        <v>62</v>
      </c>
      <c r="H3667" s="6">
        <v>870</v>
      </c>
      <c r="I3667" s="5"/>
    </row>
    <row r="3668" spans="1:9" x14ac:dyDescent="0.3">
      <c r="B3668" s="5" t="s">
        <v>3395</v>
      </c>
      <c r="C3668" s="5" t="s">
        <v>10</v>
      </c>
      <c r="D3668" s="5" t="s">
        <v>3400</v>
      </c>
      <c r="E3668" s="5" t="s">
        <v>3401</v>
      </c>
      <c r="F3668" s="5" t="s">
        <v>70</v>
      </c>
      <c r="G3668" s="5" t="s">
        <v>71</v>
      </c>
      <c r="H3668" s="6">
        <v>640</v>
      </c>
      <c r="I3668" s="5"/>
    </row>
    <row r="3669" spans="1:9" x14ac:dyDescent="0.3">
      <c r="B3669" s="5" t="s">
        <v>3395</v>
      </c>
      <c r="C3669" s="5" t="s">
        <v>10</v>
      </c>
      <c r="D3669" s="5" t="s">
        <v>3400</v>
      </c>
      <c r="E3669" s="5" t="s">
        <v>3402</v>
      </c>
      <c r="F3669" s="5" t="s">
        <v>1643</v>
      </c>
      <c r="G3669" s="5" t="s">
        <v>1644</v>
      </c>
      <c r="H3669" s="5"/>
      <c r="I3669" s="6">
        <v>1510</v>
      </c>
    </row>
    <row r="3670" spans="1:9" x14ac:dyDescent="0.3">
      <c r="A3670" s="7" t="s">
        <v>3403</v>
      </c>
      <c r="H3670" s="8">
        <f>H3667+H3668+H3669</f>
        <v>1510</v>
      </c>
      <c r="I3670" s="8">
        <f>I3667+I3668+I3669</f>
        <v>1510</v>
      </c>
    </row>
    <row r="3671" spans="1:9" x14ac:dyDescent="0.3">
      <c r="A3671" s="4" t="s">
        <v>3404</v>
      </c>
    </row>
    <row r="3672" spans="1:9" x14ac:dyDescent="0.3">
      <c r="B3672" s="5" t="s">
        <v>3405</v>
      </c>
      <c r="C3672" s="5" t="s">
        <v>10</v>
      </c>
      <c r="D3672" s="5" t="s">
        <v>3406</v>
      </c>
      <c r="E3672" s="5" t="s">
        <v>1052</v>
      </c>
      <c r="F3672" s="5" t="s">
        <v>61</v>
      </c>
      <c r="G3672" s="5" t="s">
        <v>62</v>
      </c>
      <c r="H3672" s="6">
        <v>180</v>
      </c>
      <c r="I3672" s="5"/>
    </row>
    <row r="3673" spans="1:9" x14ac:dyDescent="0.3">
      <c r="B3673" s="5" t="s">
        <v>3405</v>
      </c>
      <c r="C3673" s="5" t="s">
        <v>10</v>
      </c>
      <c r="D3673" s="5" t="s">
        <v>3406</v>
      </c>
      <c r="E3673" s="5" t="s">
        <v>1052</v>
      </c>
      <c r="F3673" s="5" t="s">
        <v>1643</v>
      </c>
      <c r="G3673" s="5" t="s">
        <v>1644</v>
      </c>
      <c r="H3673" s="5"/>
      <c r="I3673" s="6">
        <v>180</v>
      </c>
    </row>
    <row r="3674" spans="1:9" x14ac:dyDescent="0.3">
      <c r="A3674" s="7" t="s">
        <v>3407</v>
      </c>
      <c r="H3674" s="8">
        <f>H3672+H3673</f>
        <v>180</v>
      </c>
      <c r="I3674" s="8">
        <f>I3672+I3673</f>
        <v>180</v>
      </c>
    </row>
    <row r="3675" spans="1:9" x14ac:dyDescent="0.3">
      <c r="A3675" s="4" t="s">
        <v>3408</v>
      </c>
    </row>
    <row r="3676" spans="1:9" x14ac:dyDescent="0.3">
      <c r="B3676" s="5" t="s">
        <v>3405</v>
      </c>
      <c r="C3676" s="5" t="s">
        <v>10</v>
      </c>
      <c r="D3676" s="5" t="s">
        <v>3409</v>
      </c>
      <c r="E3676" s="5" t="s">
        <v>3410</v>
      </c>
      <c r="F3676" s="5" t="s">
        <v>35</v>
      </c>
      <c r="G3676" s="5" t="s">
        <v>36</v>
      </c>
      <c r="H3676" s="6">
        <v>3010</v>
      </c>
      <c r="I3676" s="5"/>
    </row>
    <row r="3677" spans="1:9" x14ac:dyDescent="0.3">
      <c r="B3677" s="5" t="s">
        <v>3405</v>
      </c>
      <c r="C3677" s="5" t="s">
        <v>10</v>
      </c>
      <c r="D3677" s="5" t="s">
        <v>3409</v>
      </c>
      <c r="E3677" s="5" t="s">
        <v>3410</v>
      </c>
      <c r="F3677" s="5" t="s">
        <v>1643</v>
      </c>
      <c r="G3677" s="5" t="s">
        <v>1644</v>
      </c>
      <c r="H3677" s="5"/>
      <c r="I3677" s="6">
        <v>3010</v>
      </c>
    </row>
    <row r="3678" spans="1:9" x14ac:dyDescent="0.3">
      <c r="A3678" s="7" t="s">
        <v>3411</v>
      </c>
      <c r="H3678" s="8">
        <f>H3676+H3677</f>
        <v>3010</v>
      </c>
      <c r="I3678" s="8">
        <f>I3676+I3677</f>
        <v>3010</v>
      </c>
    </row>
    <row r="3679" spans="1:9" x14ac:dyDescent="0.3">
      <c r="A3679" s="4" t="s">
        <v>3412</v>
      </c>
    </row>
    <row r="3680" spans="1:9" x14ac:dyDescent="0.3">
      <c r="B3680" s="5" t="s">
        <v>3405</v>
      </c>
      <c r="C3680" s="5" t="s">
        <v>10</v>
      </c>
      <c r="D3680" s="5" t="s">
        <v>3413</v>
      </c>
      <c r="E3680" s="5" t="s">
        <v>3414</v>
      </c>
      <c r="F3680" s="5" t="s">
        <v>67</v>
      </c>
      <c r="G3680" s="5" t="s">
        <v>68</v>
      </c>
      <c r="H3680" s="6">
        <v>100</v>
      </c>
      <c r="I3680" s="5"/>
    </row>
    <row r="3681" spans="1:9" x14ac:dyDescent="0.3">
      <c r="B3681" s="5" t="s">
        <v>3405</v>
      </c>
      <c r="C3681" s="5" t="s">
        <v>10</v>
      </c>
      <c r="D3681" s="5" t="s">
        <v>3413</v>
      </c>
      <c r="E3681" s="5" t="s">
        <v>3414</v>
      </c>
      <c r="F3681" s="5" t="s">
        <v>1643</v>
      </c>
      <c r="G3681" s="5" t="s">
        <v>1644</v>
      </c>
      <c r="H3681" s="5"/>
      <c r="I3681" s="6">
        <v>100</v>
      </c>
    </row>
    <row r="3682" spans="1:9" x14ac:dyDescent="0.3">
      <c r="A3682" s="7" t="s">
        <v>3415</v>
      </c>
      <c r="H3682" s="8">
        <f>H3680+H3681</f>
        <v>100</v>
      </c>
      <c r="I3682" s="8">
        <f>I3680+I3681</f>
        <v>100</v>
      </c>
    </row>
    <row r="3683" spans="1:9" x14ac:dyDescent="0.3">
      <c r="A3683" s="4" t="s">
        <v>3416</v>
      </c>
    </row>
    <row r="3684" spans="1:9" x14ac:dyDescent="0.3">
      <c r="B3684" s="5" t="s">
        <v>3405</v>
      </c>
      <c r="C3684" s="5" t="s">
        <v>10</v>
      </c>
      <c r="D3684" s="5" t="s">
        <v>3417</v>
      </c>
      <c r="E3684" s="5" t="s">
        <v>1597</v>
      </c>
      <c r="F3684" s="5" t="s">
        <v>61</v>
      </c>
      <c r="G3684" s="5" t="s">
        <v>62</v>
      </c>
      <c r="H3684" s="6">
        <v>380</v>
      </c>
      <c r="I3684" s="5"/>
    </row>
    <row r="3685" spans="1:9" x14ac:dyDescent="0.3">
      <c r="B3685" s="5" t="s">
        <v>3405</v>
      </c>
      <c r="C3685" s="5" t="s">
        <v>10</v>
      </c>
      <c r="D3685" s="5" t="s">
        <v>3417</v>
      </c>
      <c r="E3685" s="5" t="s">
        <v>1597</v>
      </c>
      <c r="F3685" s="5" t="s">
        <v>1643</v>
      </c>
      <c r="G3685" s="5" t="s">
        <v>1644</v>
      </c>
      <c r="H3685" s="5"/>
      <c r="I3685" s="6">
        <v>380</v>
      </c>
    </row>
    <row r="3686" spans="1:9" x14ac:dyDescent="0.3">
      <c r="A3686" s="7" t="s">
        <v>3418</v>
      </c>
      <c r="H3686" s="8">
        <f>H3684+H3685</f>
        <v>380</v>
      </c>
      <c r="I3686" s="8">
        <f>I3684+I3685</f>
        <v>380</v>
      </c>
    </row>
    <row r="3687" spans="1:9" x14ac:dyDescent="0.3">
      <c r="A3687" s="4" t="s">
        <v>3419</v>
      </c>
    </row>
    <row r="3688" spans="1:9" x14ac:dyDescent="0.3">
      <c r="B3688" s="5" t="s">
        <v>3405</v>
      </c>
      <c r="C3688" s="5" t="s">
        <v>10</v>
      </c>
      <c r="D3688" s="5" t="s">
        <v>3420</v>
      </c>
      <c r="E3688" s="5" t="s">
        <v>3414</v>
      </c>
      <c r="F3688" s="5" t="s">
        <v>67</v>
      </c>
      <c r="G3688" s="5" t="s">
        <v>68</v>
      </c>
      <c r="H3688" s="6">
        <v>80</v>
      </c>
      <c r="I3688" s="5"/>
    </row>
    <row r="3689" spans="1:9" x14ac:dyDescent="0.3">
      <c r="B3689" s="5" t="s">
        <v>3405</v>
      </c>
      <c r="C3689" s="5" t="s">
        <v>10</v>
      </c>
      <c r="D3689" s="5" t="s">
        <v>3420</v>
      </c>
      <c r="E3689" s="5" t="s">
        <v>3414</v>
      </c>
      <c r="F3689" s="5" t="s">
        <v>1643</v>
      </c>
      <c r="G3689" s="5" t="s">
        <v>1644</v>
      </c>
      <c r="H3689" s="5"/>
      <c r="I3689" s="6">
        <v>80</v>
      </c>
    </row>
    <row r="3690" spans="1:9" x14ac:dyDescent="0.3">
      <c r="A3690" s="7" t="s">
        <v>3421</v>
      </c>
      <c r="H3690" s="8">
        <f>H3688+H3689</f>
        <v>80</v>
      </c>
      <c r="I3690" s="8">
        <f>I3688+I3689</f>
        <v>80</v>
      </c>
    </row>
    <row r="3691" spans="1:9" x14ac:dyDescent="0.3">
      <c r="A3691" s="4" t="s">
        <v>3422</v>
      </c>
    </row>
    <row r="3692" spans="1:9" x14ac:dyDescent="0.3">
      <c r="B3692" s="5" t="s">
        <v>3423</v>
      </c>
      <c r="C3692" s="5" t="s">
        <v>10</v>
      </c>
      <c r="D3692" s="5" t="s">
        <v>3424</v>
      </c>
      <c r="E3692" s="5" t="s">
        <v>3425</v>
      </c>
      <c r="F3692" s="5" t="s">
        <v>218</v>
      </c>
      <c r="G3692" s="5" t="s">
        <v>219</v>
      </c>
      <c r="H3692" s="6">
        <v>8560</v>
      </c>
      <c r="I3692" s="5"/>
    </row>
    <row r="3693" spans="1:9" x14ac:dyDescent="0.3">
      <c r="B3693" s="5" t="s">
        <v>3423</v>
      </c>
      <c r="C3693" s="5" t="s">
        <v>10</v>
      </c>
      <c r="D3693" s="5" t="s">
        <v>3424</v>
      </c>
      <c r="E3693" s="5" t="s">
        <v>3426</v>
      </c>
      <c r="F3693" s="5" t="s">
        <v>61</v>
      </c>
      <c r="G3693" s="5" t="s">
        <v>62</v>
      </c>
      <c r="H3693" s="6">
        <v>1740</v>
      </c>
      <c r="I3693" s="5"/>
    </row>
    <row r="3694" spans="1:9" x14ac:dyDescent="0.3">
      <c r="B3694" s="5" t="s">
        <v>3423</v>
      </c>
      <c r="C3694" s="5" t="s">
        <v>10</v>
      </c>
      <c r="D3694" s="5" t="s">
        <v>3424</v>
      </c>
      <c r="E3694" s="5" t="s">
        <v>3427</v>
      </c>
      <c r="F3694" s="5" t="s">
        <v>1643</v>
      </c>
      <c r="G3694" s="5" t="s">
        <v>1644</v>
      </c>
      <c r="H3694" s="6">
        <v>217</v>
      </c>
      <c r="I3694" s="5"/>
    </row>
    <row r="3695" spans="1:9" ht="21.6" x14ac:dyDescent="0.3">
      <c r="B3695" s="5" t="s">
        <v>3423</v>
      </c>
      <c r="C3695" s="5" t="s">
        <v>10</v>
      </c>
      <c r="D3695" s="5" t="s">
        <v>3424</v>
      </c>
      <c r="E3695" s="5" t="s">
        <v>3428</v>
      </c>
      <c r="F3695" s="5" t="s">
        <v>2602</v>
      </c>
      <c r="G3695" s="5" t="s">
        <v>2603</v>
      </c>
      <c r="H3695" s="5"/>
      <c r="I3695" s="6">
        <v>10517</v>
      </c>
    </row>
    <row r="3696" spans="1:9" x14ac:dyDescent="0.3">
      <c r="A3696" s="7" t="s">
        <v>3429</v>
      </c>
      <c r="H3696" s="8">
        <f>H3692+H3693+H3694+H3695</f>
        <v>10517</v>
      </c>
      <c r="I3696" s="8">
        <f>I3692+I3693+I3694+I3695</f>
        <v>10517</v>
      </c>
    </row>
    <row r="3697" spans="1:9" x14ac:dyDescent="0.3">
      <c r="A3697" s="4" t="s">
        <v>3430</v>
      </c>
    </row>
    <row r="3698" spans="1:9" x14ac:dyDescent="0.3">
      <c r="B3698" s="5" t="s">
        <v>3431</v>
      </c>
      <c r="C3698" s="5" t="s">
        <v>10</v>
      </c>
      <c r="D3698" s="5" t="s">
        <v>3432</v>
      </c>
      <c r="E3698" s="5" t="s">
        <v>624</v>
      </c>
      <c r="F3698" s="5" t="s">
        <v>61</v>
      </c>
      <c r="G3698" s="5" t="s">
        <v>62</v>
      </c>
      <c r="H3698" s="6">
        <v>200</v>
      </c>
      <c r="I3698" s="5"/>
    </row>
    <row r="3699" spans="1:9" x14ac:dyDescent="0.3">
      <c r="B3699" s="5" t="s">
        <v>3431</v>
      </c>
      <c r="C3699" s="5" t="s">
        <v>10</v>
      </c>
      <c r="D3699" s="5" t="s">
        <v>3432</v>
      </c>
      <c r="E3699" s="5" t="s">
        <v>3433</v>
      </c>
      <c r="F3699" s="5" t="s">
        <v>64</v>
      </c>
      <c r="G3699" s="5" t="s">
        <v>65</v>
      </c>
      <c r="H3699" s="6">
        <v>360</v>
      </c>
      <c r="I3699" s="5"/>
    </row>
    <row r="3700" spans="1:9" x14ac:dyDescent="0.3">
      <c r="B3700" s="5" t="s">
        <v>3431</v>
      </c>
      <c r="C3700" s="5" t="s">
        <v>10</v>
      </c>
      <c r="D3700" s="5" t="s">
        <v>3432</v>
      </c>
      <c r="E3700" s="5" t="s">
        <v>3434</v>
      </c>
      <c r="F3700" s="5" t="s">
        <v>1643</v>
      </c>
      <c r="G3700" s="5" t="s">
        <v>1644</v>
      </c>
      <c r="H3700" s="5"/>
      <c r="I3700" s="6">
        <v>560</v>
      </c>
    </row>
    <row r="3701" spans="1:9" x14ac:dyDescent="0.3">
      <c r="A3701" s="7" t="s">
        <v>3435</v>
      </c>
      <c r="H3701" s="8">
        <f>H3698+H3699+H3700</f>
        <v>560</v>
      </c>
      <c r="I3701" s="8">
        <f>I3698+I3699+I3700</f>
        <v>560</v>
      </c>
    </row>
    <row r="3702" spans="1:9" x14ac:dyDescent="0.3">
      <c r="A3702" s="4" t="s">
        <v>3436</v>
      </c>
    </row>
    <row r="3703" spans="1:9" x14ac:dyDescent="0.3">
      <c r="B3703" s="5" t="s">
        <v>3431</v>
      </c>
      <c r="C3703" s="5" t="s">
        <v>10</v>
      </c>
      <c r="D3703" s="5" t="s">
        <v>3437</v>
      </c>
      <c r="E3703" s="5" t="s">
        <v>3438</v>
      </c>
      <c r="F3703" s="5" t="s">
        <v>67</v>
      </c>
      <c r="G3703" s="5" t="s">
        <v>68</v>
      </c>
      <c r="H3703" s="6">
        <v>110</v>
      </c>
      <c r="I3703" s="5"/>
    </row>
    <row r="3704" spans="1:9" x14ac:dyDescent="0.3">
      <c r="B3704" s="5" t="s">
        <v>3431</v>
      </c>
      <c r="C3704" s="5" t="s">
        <v>10</v>
      </c>
      <c r="D3704" s="5" t="s">
        <v>3437</v>
      </c>
      <c r="E3704" s="5" t="s">
        <v>3438</v>
      </c>
      <c r="F3704" s="5" t="s">
        <v>1643</v>
      </c>
      <c r="G3704" s="5" t="s">
        <v>1644</v>
      </c>
      <c r="H3704" s="5"/>
      <c r="I3704" s="6">
        <v>110</v>
      </c>
    </row>
    <row r="3705" spans="1:9" x14ac:dyDescent="0.3">
      <c r="A3705" s="7" t="s">
        <v>3439</v>
      </c>
      <c r="H3705" s="8">
        <f>H3703+H3704</f>
        <v>110</v>
      </c>
      <c r="I3705" s="8">
        <f>I3703+I3704</f>
        <v>110</v>
      </c>
    </row>
    <row r="3706" spans="1:9" x14ac:dyDescent="0.3">
      <c r="A3706" s="4" t="s">
        <v>3440</v>
      </c>
    </row>
    <row r="3707" spans="1:9" x14ac:dyDescent="0.3">
      <c r="B3707" s="5" t="s">
        <v>3431</v>
      </c>
      <c r="C3707" s="5" t="s">
        <v>10</v>
      </c>
      <c r="D3707" s="5" t="s">
        <v>3441</v>
      </c>
      <c r="E3707" s="5" t="s">
        <v>3442</v>
      </c>
      <c r="F3707" s="5" t="s">
        <v>67</v>
      </c>
      <c r="G3707" s="5" t="s">
        <v>68</v>
      </c>
      <c r="H3707" s="6">
        <v>180</v>
      </c>
      <c r="I3707" s="5"/>
    </row>
    <row r="3708" spans="1:9" x14ac:dyDescent="0.3">
      <c r="B3708" s="5" t="s">
        <v>3431</v>
      </c>
      <c r="C3708" s="5" t="s">
        <v>10</v>
      </c>
      <c r="D3708" s="5" t="s">
        <v>3441</v>
      </c>
      <c r="E3708" s="5" t="s">
        <v>3442</v>
      </c>
      <c r="F3708" s="5" t="s">
        <v>1643</v>
      </c>
      <c r="G3708" s="5" t="s">
        <v>1644</v>
      </c>
      <c r="H3708" s="5"/>
      <c r="I3708" s="6">
        <v>180</v>
      </c>
    </row>
    <row r="3709" spans="1:9" x14ac:dyDescent="0.3">
      <c r="A3709" s="7" t="s">
        <v>3443</v>
      </c>
      <c r="H3709" s="8">
        <f>H3707+H3708</f>
        <v>180</v>
      </c>
      <c r="I3709" s="8">
        <f>I3707+I3708</f>
        <v>180</v>
      </c>
    </row>
    <row r="3710" spans="1:9" x14ac:dyDescent="0.3">
      <c r="A3710" s="4" t="s">
        <v>3444</v>
      </c>
    </row>
    <row r="3711" spans="1:9" x14ac:dyDescent="0.3">
      <c r="B3711" s="5" t="s">
        <v>3431</v>
      </c>
      <c r="C3711" s="5" t="s">
        <v>10</v>
      </c>
      <c r="D3711" s="5" t="s">
        <v>3445</v>
      </c>
      <c r="E3711" s="5" t="s">
        <v>3446</v>
      </c>
      <c r="F3711" s="5" t="s">
        <v>67</v>
      </c>
      <c r="G3711" s="5" t="s">
        <v>68</v>
      </c>
      <c r="H3711" s="6">
        <v>150</v>
      </c>
      <c r="I3711" s="5"/>
    </row>
    <row r="3712" spans="1:9" x14ac:dyDescent="0.3">
      <c r="B3712" s="5" t="s">
        <v>3431</v>
      </c>
      <c r="C3712" s="5" t="s">
        <v>10</v>
      </c>
      <c r="D3712" s="5" t="s">
        <v>3445</v>
      </c>
      <c r="E3712" s="5" t="s">
        <v>3446</v>
      </c>
      <c r="F3712" s="5" t="s">
        <v>1643</v>
      </c>
      <c r="G3712" s="5" t="s">
        <v>1644</v>
      </c>
      <c r="H3712" s="5"/>
      <c r="I3712" s="6">
        <v>150</v>
      </c>
    </row>
    <row r="3713" spans="1:9" x14ac:dyDescent="0.3">
      <c r="A3713" s="7" t="s">
        <v>3447</v>
      </c>
      <c r="H3713" s="8">
        <f>H3711+H3712</f>
        <v>150</v>
      </c>
      <c r="I3713" s="8">
        <f>I3711+I3712</f>
        <v>150</v>
      </c>
    </row>
    <row r="3714" spans="1:9" x14ac:dyDescent="0.3">
      <c r="A3714" s="4" t="s">
        <v>3448</v>
      </c>
    </row>
    <row r="3715" spans="1:9" x14ac:dyDescent="0.3">
      <c r="B3715" s="5" t="s">
        <v>3449</v>
      </c>
      <c r="C3715" s="5" t="s">
        <v>10</v>
      </c>
      <c r="D3715" s="5" t="s">
        <v>3450</v>
      </c>
      <c r="E3715" s="5" t="s">
        <v>3451</v>
      </c>
      <c r="F3715" s="5" t="s">
        <v>87</v>
      </c>
      <c r="G3715" s="5" t="s">
        <v>88</v>
      </c>
      <c r="H3715" s="6">
        <v>2000</v>
      </c>
      <c r="I3715" s="5"/>
    </row>
    <row r="3716" spans="1:9" x14ac:dyDescent="0.3">
      <c r="B3716" s="5" t="s">
        <v>3449</v>
      </c>
      <c r="C3716" s="5" t="s">
        <v>10</v>
      </c>
      <c r="D3716" s="5" t="s">
        <v>3450</v>
      </c>
      <c r="E3716" s="5" t="s">
        <v>3451</v>
      </c>
      <c r="F3716" s="5" t="s">
        <v>1643</v>
      </c>
      <c r="G3716" s="5" t="s">
        <v>1644</v>
      </c>
      <c r="H3716" s="5"/>
      <c r="I3716" s="6">
        <v>2000</v>
      </c>
    </row>
    <row r="3717" spans="1:9" x14ac:dyDescent="0.3">
      <c r="A3717" s="7" t="s">
        <v>3452</v>
      </c>
      <c r="H3717" s="8">
        <f>H3715+H3716</f>
        <v>2000</v>
      </c>
      <c r="I3717" s="8">
        <f>I3715+I3716</f>
        <v>2000</v>
      </c>
    </row>
    <row r="3718" spans="1:9" x14ac:dyDescent="0.3">
      <c r="A3718" s="4" t="s">
        <v>3453</v>
      </c>
    </row>
    <row r="3719" spans="1:9" x14ac:dyDescent="0.3">
      <c r="B3719" s="5" t="s">
        <v>3449</v>
      </c>
      <c r="C3719" s="5" t="s">
        <v>10</v>
      </c>
      <c r="D3719" s="5" t="s">
        <v>3454</v>
      </c>
      <c r="E3719" s="5" t="s">
        <v>3455</v>
      </c>
      <c r="F3719" s="5" t="s">
        <v>1643</v>
      </c>
      <c r="G3719" s="5" t="s">
        <v>1644</v>
      </c>
      <c r="H3719" s="6">
        <v>20000</v>
      </c>
      <c r="I3719" s="5"/>
    </row>
    <row r="3720" spans="1:9" x14ac:dyDescent="0.3">
      <c r="B3720" s="5" t="s">
        <v>3449</v>
      </c>
      <c r="C3720" s="5" t="s">
        <v>10</v>
      </c>
      <c r="D3720" s="5" t="s">
        <v>3454</v>
      </c>
      <c r="E3720" s="5" t="s">
        <v>3455</v>
      </c>
      <c r="F3720" s="5" t="s">
        <v>13</v>
      </c>
      <c r="G3720" s="5" t="s">
        <v>14</v>
      </c>
      <c r="H3720" s="5"/>
      <c r="I3720" s="6">
        <v>20000</v>
      </c>
    </row>
    <row r="3721" spans="1:9" x14ac:dyDescent="0.3">
      <c r="A3721" s="7" t="s">
        <v>3456</v>
      </c>
      <c r="H3721" s="8">
        <f>H3719+H3720</f>
        <v>20000</v>
      </c>
      <c r="I3721" s="8">
        <f>I3719+I3720</f>
        <v>20000</v>
      </c>
    </row>
    <row r="3722" spans="1:9" x14ac:dyDescent="0.3">
      <c r="A3722" s="4" t="s">
        <v>3457</v>
      </c>
    </row>
    <row r="3723" spans="1:9" x14ac:dyDescent="0.3">
      <c r="B3723" s="5" t="s">
        <v>3449</v>
      </c>
      <c r="C3723" s="5" t="s">
        <v>10</v>
      </c>
      <c r="D3723" s="5" t="s">
        <v>3458</v>
      </c>
      <c r="E3723" s="5" t="s">
        <v>3459</v>
      </c>
      <c r="F3723" s="5" t="s">
        <v>359</v>
      </c>
      <c r="G3723" s="5" t="s">
        <v>360</v>
      </c>
      <c r="H3723" s="6">
        <v>140</v>
      </c>
      <c r="I3723" s="5"/>
    </row>
    <row r="3724" spans="1:9" x14ac:dyDescent="0.3">
      <c r="B3724" s="5" t="s">
        <v>3449</v>
      </c>
      <c r="C3724" s="5" t="s">
        <v>10</v>
      </c>
      <c r="D3724" s="5" t="s">
        <v>3458</v>
      </c>
      <c r="E3724" s="5" t="s">
        <v>3459</v>
      </c>
      <c r="F3724" s="5" t="s">
        <v>1643</v>
      </c>
      <c r="G3724" s="5" t="s">
        <v>1644</v>
      </c>
      <c r="H3724" s="5"/>
      <c r="I3724" s="6">
        <v>140</v>
      </c>
    </row>
    <row r="3725" spans="1:9" x14ac:dyDescent="0.3">
      <c r="A3725" s="7" t="s">
        <v>3460</v>
      </c>
      <c r="H3725" s="8">
        <f>H3723+H3724</f>
        <v>140</v>
      </c>
      <c r="I3725" s="8">
        <f>I3723+I3724</f>
        <v>140</v>
      </c>
    </row>
    <row r="3726" spans="1:9" x14ac:dyDescent="0.3">
      <c r="A3726" s="4" t="s">
        <v>3461</v>
      </c>
    </row>
    <row r="3727" spans="1:9" x14ac:dyDescent="0.3">
      <c r="B3727" s="5" t="s">
        <v>3462</v>
      </c>
      <c r="C3727" s="5" t="s">
        <v>10</v>
      </c>
      <c r="D3727" s="5" t="s">
        <v>3463</v>
      </c>
      <c r="E3727" s="5" t="s">
        <v>624</v>
      </c>
      <c r="F3727" s="5" t="s">
        <v>61</v>
      </c>
      <c r="G3727" s="5" t="s">
        <v>62</v>
      </c>
      <c r="H3727" s="6">
        <v>300</v>
      </c>
      <c r="I3727" s="5"/>
    </row>
    <row r="3728" spans="1:9" x14ac:dyDescent="0.3">
      <c r="B3728" s="5" t="s">
        <v>3462</v>
      </c>
      <c r="C3728" s="5" t="s">
        <v>10</v>
      </c>
      <c r="D3728" s="5" t="s">
        <v>3463</v>
      </c>
      <c r="E3728" s="5" t="s">
        <v>624</v>
      </c>
      <c r="F3728" s="5" t="s">
        <v>1643</v>
      </c>
      <c r="G3728" s="5" t="s">
        <v>1644</v>
      </c>
      <c r="H3728" s="5"/>
      <c r="I3728" s="6">
        <v>300</v>
      </c>
    </row>
    <row r="3729" spans="1:9" x14ac:dyDescent="0.3">
      <c r="A3729" s="7" t="s">
        <v>3464</v>
      </c>
      <c r="H3729" s="8">
        <f>H3727+H3728</f>
        <v>300</v>
      </c>
      <c r="I3729" s="8">
        <f>I3727+I3728</f>
        <v>300</v>
      </c>
    </row>
    <row r="3730" spans="1:9" x14ac:dyDescent="0.3">
      <c r="A3730" s="4" t="s">
        <v>3465</v>
      </c>
    </row>
    <row r="3731" spans="1:9" x14ac:dyDescent="0.3">
      <c r="B3731" s="5" t="s">
        <v>3466</v>
      </c>
      <c r="C3731" s="5" t="s">
        <v>10</v>
      </c>
      <c r="D3731" s="5" t="s">
        <v>3467</v>
      </c>
      <c r="E3731" s="5" t="s">
        <v>3468</v>
      </c>
      <c r="F3731" s="5" t="s">
        <v>67</v>
      </c>
      <c r="G3731" s="5" t="s">
        <v>68</v>
      </c>
      <c r="H3731" s="6">
        <v>80</v>
      </c>
      <c r="I3731" s="5"/>
    </row>
    <row r="3732" spans="1:9" x14ac:dyDescent="0.3">
      <c r="B3732" s="5" t="s">
        <v>3466</v>
      </c>
      <c r="C3732" s="5" t="s">
        <v>10</v>
      </c>
      <c r="D3732" s="5" t="s">
        <v>3467</v>
      </c>
      <c r="E3732" s="5" t="s">
        <v>3468</v>
      </c>
      <c r="F3732" s="5" t="s">
        <v>1643</v>
      </c>
      <c r="G3732" s="5" t="s">
        <v>1644</v>
      </c>
      <c r="H3732" s="5"/>
      <c r="I3732" s="6">
        <v>80</v>
      </c>
    </row>
    <row r="3733" spans="1:9" x14ac:dyDescent="0.3">
      <c r="A3733" s="7" t="s">
        <v>3469</v>
      </c>
      <c r="H3733" s="8">
        <f>H3731+H3732</f>
        <v>80</v>
      </c>
      <c r="I3733" s="8">
        <f>I3731+I3732</f>
        <v>80</v>
      </c>
    </row>
    <row r="3734" spans="1:9" x14ac:dyDescent="0.3">
      <c r="A3734" s="4" t="s">
        <v>3470</v>
      </c>
    </row>
    <row r="3735" spans="1:9" x14ac:dyDescent="0.3">
      <c r="B3735" s="5" t="s">
        <v>3466</v>
      </c>
      <c r="C3735" s="5" t="s">
        <v>10</v>
      </c>
      <c r="D3735" s="5" t="s">
        <v>3471</v>
      </c>
      <c r="E3735" s="5" t="s">
        <v>624</v>
      </c>
      <c r="F3735" s="5" t="s">
        <v>61</v>
      </c>
      <c r="G3735" s="5" t="s">
        <v>62</v>
      </c>
      <c r="H3735" s="6">
        <v>195</v>
      </c>
      <c r="I3735" s="5"/>
    </row>
    <row r="3736" spans="1:9" x14ac:dyDescent="0.3">
      <c r="B3736" s="5" t="s">
        <v>3466</v>
      </c>
      <c r="C3736" s="5" t="s">
        <v>10</v>
      </c>
      <c r="D3736" s="5" t="s">
        <v>3471</v>
      </c>
      <c r="E3736" s="5" t="s">
        <v>624</v>
      </c>
      <c r="F3736" s="5" t="s">
        <v>1643</v>
      </c>
      <c r="G3736" s="5" t="s">
        <v>1644</v>
      </c>
      <c r="H3736" s="5"/>
      <c r="I3736" s="6">
        <v>195</v>
      </c>
    </row>
    <row r="3737" spans="1:9" x14ac:dyDescent="0.3">
      <c r="A3737" s="7" t="s">
        <v>3472</v>
      </c>
      <c r="H3737" s="8">
        <f>H3735+H3736</f>
        <v>195</v>
      </c>
      <c r="I3737" s="8">
        <f>I3735+I3736</f>
        <v>195</v>
      </c>
    </row>
    <row r="3738" spans="1:9" x14ac:dyDescent="0.3">
      <c r="A3738" s="4" t="s">
        <v>3473</v>
      </c>
    </row>
    <row r="3739" spans="1:9" x14ac:dyDescent="0.3">
      <c r="B3739" s="5" t="s">
        <v>3466</v>
      </c>
      <c r="C3739" s="5" t="s">
        <v>10</v>
      </c>
      <c r="D3739" s="5" t="s">
        <v>3474</v>
      </c>
      <c r="E3739" s="5" t="s">
        <v>3475</v>
      </c>
      <c r="F3739" s="5" t="s">
        <v>1643</v>
      </c>
      <c r="G3739" s="5" t="s">
        <v>1644</v>
      </c>
      <c r="H3739" s="6">
        <v>3150</v>
      </c>
      <c r="I3739" s="5"/>
    </row>
    <row r="3740" spans="1:9" x14ac:dyDescent="0.3">
      <c r="B3740" s="5" t="s">
        <v>3466</v>
      </c>
      <c r="C3740" s="5" t="s">
        <v>10</v>
      </c>
      <c r="D3740" s="5" t="s">
        <v>3474</v>
      </c>
      <c r="E3740" s="5" t="s">
        <v>3475</v>
      </c>
      <c r="F3740" s="5" t="s">
        <v>13</v>
      </c>
      <c r="G3740" s="5" t="s">
        <v>14</v>
      </c>
      <c r="H3740" s="5"/>
      <c r="I3740" s="6">
        <v>3150</v>
      </c>
    </row>
    <row r="3741" spans="1:9" x14ac:dyDescent="0.3">
      <c r="A3741" s="7" t="s">
        <v>3476</v>
      </c>
      <c r="H3741" s="8">
        <f>H3739+H3740</f>
        <v>3150</v>
      </c>
      <c r="I3741" s="8">
        <f>I3739+I3740</f>
        <v>3150</v>
      </c>
    </row>
    <row r="3742" spans="1:9" x14ac:dyDescent="0.3">
      <c r="A3742" s="4" t="s">
        <v>3477</v>
      </c>
    </row>
    <row r="3743" spans="1:9" x14ac:dyDescent="0.3">
      <c r="B3743" s="5" t="s">
        <v>3466</v>
      </c>
      <c r="C3743" s="5" t="s">
        <v>10</v>
      </c>
      <c r="D3743" s="5" t="s">
        <v>3478</v>
      </c>
      <c r="E3743" s="5" t="s">
        <v>3479</v>
      </c>
      <c r="F3743" s="5" t="s">
        <v>1022</v>
      </c>
      <c r="G3743" s="5" t="s">
        <v>1023</v>
      </c>
      <c r="H3743" s="6">
        <v>3000</v>
      </c>
      <c r="I3743" s="5"/>
    </row>
    <row r="3744" spans="1:9" x14ac:dyDescent="0.3">
      <c r="B3744" s="5" t="s">
        <v>3466</v>
      </c>
      <c r="C3744" s="5" t="s">
        <v>10</v>
      </c>
      <c r="D3744" s="5" t="s">
        <v>3478</v>
      </c>
      <c r="E3744" s="5" t="s">
        <v>3480</v>
      </c>
      <c r="F3744" s="5" t="s">
        <v>1936</v>
      </c>
      <c r="G3744" s="5" t="s">
        <v>1937</v>
      </c>
      <c r="H3744" s="6">
        <v>150</v>
      </c>
      <c r="I3744" s="5"/>
    </row>
    <row r="3745" spans="1:9" x14ac:dyDescent="0.3">
      <c r="B3745" s="5" t="s">
        <v>3466</v>
      </c>
      <c r="C3745" s="5" t="s">
        <v>10</v>
      </c>
      <c r="D3745" s="5" t="s">
        <v>3478</v>
      </c>
      <c r="E3745" s="5" t="s">
        <v>3479</v>
      </c>
      <c r="F3745" s="5" t="s">
        <v>1643</v>
      </c>
      <c r="G3745" s="5" t="s">
        <v>1644</v>
      </c>
      <c r="H3745" s="5"/>
      <c r="I3745" s="6">
        <v>3150</v>
      </c>
    </row>
    <row r="3746" spans="1:9" x14ac:dyDescent="0.3">
      <c r="A3746" s="7" t="s">
        <v>3481</v>
      </c>
      <c r="H3746" s="8">
        <f>H3743+H3744+H3745</f>
        <v>3150</v>
      </c>
      <c r="I3746" s="8">
        <f>I3743+I3744+I3745</f>
        <v>3150</v>
      </c>
    </row>
    <row r="3747" spans="1:9" x14ac:dyDescent="0.3">
      <c r="A3747" s="4" t="s">
        <v>3482</v>
      </c>
    </row>
    <row r="3748" spans="1:9" x14ac:dyDescent="0.3">
      <c r="B3748" s="5" t="s">
        <v>3483</v>
      </c>
      <c r="C3748" s="5" t="s">
        <v>10</v>
      </c>
      <c r="D3748" s="5" t="s">
        <v>3484</v>
      </c>
      <c r="E3748" s="5" t="s">
        <v>3485</v>
      </c>
      <c r="F3748" s="5" t="s">
        <v>61</v>
      </c>
      <c r="G3748" s="5" t="s">
        <v>62</v>
      </c>
      <c r="H3748" s="6">
        <v>685</v>
      </c>
      <c r="I3748" s="5"/>
    </row>
    <row r="3749" spans="1:9" x14ac:dyDescent="0.3">
      <c r="B3749" s="5" t="s">
        <v>3483</v>
      </c>
      <c r="C3749" s="5" t="s">
        <v>10</v>
      </c>
      <c r="D3749" s="5" t="s">
        <v>3484</v>
      </c>
      <c r="E3749" s="5" t="s">
        <v>3486</v>
      </c>
      <c r="F3749" s="5" t="s">
        <v>64</v>
      </c>
      <c r="G3749" s="5" t="s">
        <v>65</v>
      </c>
      <c r="H3749" s="6">
        <v>30</v>
      </c>
      <c r="I3749" s="5"/>
    </row>
    <row r="3750" spans="1:9" x14ac:dyDescent="0.3">
      <c r="B3750" s="5" t="s">
        <v>3483</v>
      </c>
      <c r="C3750" s="5" t="s">
        <v>10</v>
      </c>
      <c r="D3750" s="5" t="s">
        <v>3484</v>
      </c>
      <c r="E3750" s="5" t="s">
        <v>3487</v>
      </c>
      <c r="F3750" s="5" t="s">
        <v>1643</v>
      </c>
      <c r="G3750" s="5" t="s">
        <v>1644</v>
      </c>
      <c r="H3750" s="5"/>
      <c r="I3750" s="6">
        <v>715</v>
      </c>
    </row>
    <row r="3751" spans="1:9" x14ac:dyDescent="0.3">
      <c r="A3751" s="7" t="s">
        <v>3488</v>
      </c>
      <c r="H3751" s="8">
        <f>H3748+H3749+H3750</f>
        <v>715</v>
      </c>
      <c r="I3751" s="8">
        <f>I3748+I3749+I3750</f>
        <v>715</v>
      </c>
    </row>
    <row r="3752" spans="1:9" x14ac:dyDescent="0.3">
      <c r="A3752" s="4" t="s">
        <v>3489</v>
      </c>
    </row>
    <row r="3753" spans="1:9" x14ac:dyDescent="0.3">
      <c r="B3753" s="5" t="s">
        <v>3483</v>
      </c>
      <c r="C3753" s="5" t="s">
        <v>10</v>
      </c>
      <c r="D3753" s="5" t="s">
        <v>3490</v>
      </c>
      <c r="E3753" s="5" t="s">
        <v>3491</v>
      </c>
      <c r="F3753" s="5" t="s">
        <v>50</v>
      </c>
      <c r="G3753" s="5" t="s">
        <v>51</v>
      </c>
      <c r="H3753" s="6">
        <v>400</v>
      </c>
      <c r="I3753" s="5"/>
    </row>
    <row r="3754" spans="1:9" x14ac:dyDescent="0.3">
      <c r="B3754" s="5" t="s">
        <v>3483</v>
      </c>
      <c r="C3754" s="5" t="s">
        <v>10</v>
      </c>
      <c r="D3754" s="5" t="s">
        <v>3490</v>
      </c>
      <c r="E3754" s="5" t="s">
        <v>3491</v>
      </c>
      <c r="F3754" s="5" t="s">
        <v>1643</v>
      </c>
      <c r="G3754" s="5" t="s">
        <v>1644</v>
      </c>
      <c r="H3754" s="5"/>
      <c r="I3754" s="6">
        <v>400</v>
      </c>
    </row>
    <row r="3755" spans="1:9" x14ac:dyDescent="0.3">
      <c r="A3755" s="7" t="s">
        <v>3492</v>
      </c>
      <c r="H3755" s="8">
        <f>H3753+H3754</f>
        <v>400</v>
      </c>
      <c r="I3755" s="8">
        <f>I3753+I3754</f>
        <v>400</v>
      </c>
    </row>
    <row r="3756" spans="1:9" x14ac:dyDescent="0.3">
      <c r="A3756" s="4" t="s">
        <v>3493</v>
      </c>
    </row>
    <row r="3757" spans="1:9" x14ac:dyDescent="0.3">
      <c r="B3757" s="5" t="s">
        <v>3483</v>
      </c>
      <c r="C3757" s="5" t="s">
        <v>10</v>
      </c>
      <c r="D3757" s="5" t="s">
        <v>3494</v>
      </c>
      <c r="E3757" s="5" t="s">
        <v>1881</v>
      </c>
      <c r="F3757" s="5" t="s">
        <v>129</v>
      </c>
      <c r="G3757" s="5" t="s">
        <v>130</v>
      </c>
      <c r="H3757" s="6">
        <v>560</v>
      </c>
      <c r="I3757" s="5"/>
    </row>
    <row r="3758" spans="1:9" x14ac:dyDescent="0.3">
      <c r="B3758" s="5" t="s">
        <v>3483</v>
      </c>
      <c r="C3758" s="5" t="s">
        <v>10</v>
      </c>
      <c r="D3758" s="5" t="s">
        <v>3494</v>
      </c>
      <c r="E3758" s="5" t="s">
        <v>1881</v>
      </c>
      <c r="F3758" s="5" t="s">
        <v>1643</v>
      </c>
      <c r="G3758" s="5" t="s">
        <v>1644</v>
      </c>
      <c r="H3758" s="5"/>
      <c r="I3758" s="6">
        <v>560</v>
      </c>
    </row>
    <row r="3759" spans="1:9" x14ac:dyDescent="0.3">
      <c r="A3759" s="7" t="s">
        <v>3495</v>
      </c>
      <c r="H3759" s="8">
        <f>H3757+H3758</f>
        <v>560</v>
      </c>
      <c r="I3759" s="8">
        <f>I3757+I3758</f>
        <v>560</v>
      </c>
    </row>
    <row r="3760" spans="1:9" x14ac:dyDescent="0.3">
      <c r="A3760" s="4" t="s">
        <v>3496</v>
      </c>
    </row>
    <row r="3761" spans="1:9" x14ac:dyDescent="0.3">
      <c r="B3761" s="5" t="s">
        <v>3497</v>
      </c>
      <c r="C3761" s="5" t="s">
        <v>2745</v>
      </c>
      <c r="D3761" s="5" t="s">
        <v>2750</v>
      </c>
      <c r="E3761" s="5" t="s">
        <v>2750</v>
      </c>
      <c r="F3761" s="5" t="s">
        <v>2748</v>
      </c>
      <c r="G3761" s="5" t="s">
        <v>2749</v>
      </c>
      <c r="H3761" s="6">
        <v>1480</v>
      </c>
      <c r="I3761" s="5"/>
    </row>
    <row r="3762" spans="1:9" x14ac:dyDescent="0.3">
      <c r="B3762" s="5" t="s">
        <v>3497</v>
      </c>
      <c r="C3762" s="5" t="s">
        <v>2745</v>
      </c>
      <c r="D3762" s="5" t="s">
        <v>2750</v>
      </c>
      <c r="E3762" s="5" t="s">
        <v>2750</v>
      </c>
      <c r="F3762" s="5" t="s">
        <v>847</v>
      </c>
      <c r="G3762" s="5" t="s">
        <v>848</v>
      </c>
      <c r="H3762" s="5"/>
      <c r="I3762" s="6">
        <v>1480</v>
      </c>
    </row>
    <row r="3763" spans="1:9" x14ac:dyDescent="0.3">
      <c r="A3763" s="7" t="s">
        <v>3498</v>
      </c>
      <c r="H3763" s="8">
        <f>H3761+H3762</f>
        <v>1480</v>
      </c>
      <c r="I3763" s="8">
        <f>I3761+I3762</f>
        <v>1480</v>
      </c>
    </row>
    <row r="3764" spans="1:9" x14ac:dyDescent="0.3">
      <c r="A3764" s="4" t="s">
        <v>3499</v>
      </c>
    </row>
    <row r="3765" spans="1:9" x14ac:dyDescent="0.3">
      <c r="B3765" s="5" t="s">
        <v>3497</v>
      </c>
      <c r="C3765" s="5" t="s">
        <v>2745</v>
      </c>
      <c r="D3765" s="5" t="s">
        <v>2750</v>
      </c>
      <c r="E3765" s="5" t="s">
        <v>2750</v>
      </c>
      <c r="F3765" s="5" t="s">
        <v>2748</v>
      </c>
      <c r="G3765" s="5" t="s">
        <v>2749</v>
      </c>
      <c r="H3765" s="6">
        <v>1480</v>
      </c>
      <c r="I3765" s="5"/>
    </row>
    <row r="3766" spans="1:9" x14ac:dyDescent="0.3">
      <c r="B3766" s="5" t="s">
        <v>3497</v>
      </c>
      <c r="C3766" s="5" t="s">
        <v>2745</v>
      </c>
      <c r="D3766" s="5" t="s">
        <v>2750</v>
      </c>
      <c r="E3766" s="5" t="s">
        <v>2750</v>
      </c>
      <c r="F3766" s="5" t="s">
        <v>847</v>
      </c>
      <c r="G3766" s="5" t="s">
        <v>848</v>
      </c>
      <c r="H3766" s="5"/>
      <c r="I3766" s="6">
        <v>1480</v>
      </c>
    </row>
    <row r="3767" spans="1:9" x14ac:dyDescent="0.3">
      <c r="A3767" s="7" t="s">
        <v>3500</v>
      </c>
      <c r="H3767" s="8">
        <f>H3765+H3766</f>
        <v>1480</v>
      </c>
      <c r="I3767" s="8">
        <f>I3765+I3766</f>
        <v>1480</v>
      </c>
    </row>
    <row r="3768" spans="1:9" x14ac:dyDescent="0.3">
      <c r="A3768" s="4" t="s">
        <v>3501</v>
      </c>
    </row>
    <row r="3769" spans="1:9" x14ac:dyDescent="0.3">
      <c r="B3769" s="5" t="s">
        <v>3497</v>
      </c>
      <c r="C3769" s="5" t="s">
        <v>2745</v>
      </c>
      <c r="D3769" s="5" t="s">
        <v>2750</v>
      </c>
      <c r="E3769" s="5" t="s">
        <v>2750</v>
      </c>
      <c r="F3769" s="5" t="s">
        <v>2748</v>
      </c>
      <c r="G3769" s="5" t="s">
        <v>2749</v>
      </c>
      <c r="H3769" s="6">
        <v>1580</v>
      </c>
      <c r="I3769" s="5"/>
    </row>
    <row r="3770" spans="1:9" x14ac:dyDescent="0.3">
      <c r="B3770" s="5" t="s">
        <v>3497</v>
      </c>
      <c r="C3770" s="5" t="s">
        <v>2745</v>
      </c>
      <c r="D3770" s="5" t="s">
        <v>2750</v>
      </c>
      <c r="E3770" s="5" t="s">
        <v>2750</v>
      </c>
      <c r="F3770" s="5" t="s">
        <v>847</v>
      </c>
      <c r="G3770" s="5" t="s">
        <v>848</v>
      </c>
      <c r="H3770" s="5"/>
      <c r="I3770" s="6">
        <v>1580</v>
      </c>
    </row>
    <row r="3771" spans="1:9" x14ac:dyDescent="0.3">
      <c r="A3771" s="7" t="s">
        <v>3502</v>
      </c>
      <c r="H3771" s="8">
        <f>H3769+H3770</f>
        <v>1580</v>
      </c>
      <c r="I3771" s="8">
        <f>I3769+I3770</f>
        <v>1580</v>
      </c>
    </row>
    <row r="3772" spans="1:9" x14ac:dyDescent="0.3">
      <c r="A3772" s="4" t="s">
        <v>3503</v>
      </c>
    </row>
    <row r="3773" spans="1:9" x14ac:dyDescent="0.3">
      <c r="B3773" s="5" t="s">
        <v>3497</v>
      </c>
      <c r="C3773" s="5" t="s">
        <v>2745</v>
      </c>
      <c r="D3773" s="5" t="s">
        <v>2750</v>
      </c>
      <c r="E3773" s="5" t="s">
        <v>2750</v>
      </c>
      <c r="F3773" s="5" t="s">
        <v>2748</v>
      </c>
      <c r="G3773" s="5" t="s">
        <v>2749</v>
      </c>
      <c r="H3773" s="6">
        <v>2070</v>
      </c>
      <c r="I3773" s="5"/>
    </row>
    <row r="3774" spans="1:9" x14ac:dyDescent="0.3">
      <c r="B3774" s="5" t="s">
        <v>3497</v>
      </c>
      <c r="C3774" s="5" t="s">
        <v>2745</v>
      </c>
      <c r="D3774" s="5" t="s">
        <v>2750</v>
      </c>
      <c r="E3774" s="5" t="s">
        <v>2750</v>
      </c>
      <c r="F3774" s="5" t="s">
        <v>847</v>
      </c>
      <c r="G3774" s="5" t="s">
        <v>848</v>
      </c>
      <c r="H3774" s="5"/>
      <c r="I3774" s="6">
        <v>2070</v>
      </c>
    </row>
    <row r="3775" spans="1:9" x14ac:dyDescent="0.3">
      <c r="A3775" s="7" t="s">
        <v>3504</v>
      </c>
      <c r="H3775" s="8">
        <f>H3773+H3774</f>
        <v>2070</v>
      </c>
      <c r="I3775" s="8">
        <f>I3773+I3774</f>
        <v>2070</v>
      </c>
    </row>
    <row r="3776" spans="1:9" x14ac:dyDescent="0.3">
      <c r="A3776" s="4" t="s">
        <v>3505</v>
      </c>
    </row>
    <row r="3777" spans="1:9" x14ac:dyDescent="0.3">
      <c r="B3777" s="5" t="s">
        <v>3497</v>
      </c>
      <c r="C3777" s="5" t="s">
        <v>2745</v>
      </c>
      <c r="D3777" s="5" t="s">
        <v>2750</v>
      </c>
      <c r="E3777" s="5" t="s">
        <v>2750</v>
      </c>
      <c r="F3777" s="5" t="s">
        <v>2748</v>
      </c>
      <c r="G3777" s="5" t="s">
        <v>2749</v>
      </c>
      <c r="H3777" s="6">
        <v>7000</v>
      </c>
      <c r="I3777" s="5"/>
    </row>
    <row r="3778" spans="1:9" x14ac:dyDescent="0.3">
      <c r="B3778" s="5" t="s">
        <v>3497</v>
      </c>
      <c r="C3778" s="5" t="s">
        <v>2745</v>
      </c>
      <c r="D3778" s="5" t="s">
        <v>2750</v>
      </c>
      <c r="E3778" s="5" t="s">
        <v>2750</v>
      </c>
      <c r="F3778" s="5" t="s">
        <v>847</v>
      </c>
      <c r="G3778" s="5" t="s">
        <v>848</v>
      </c>
      <c r="H3778" s="5"/>
      <c r="I3778" s="6">
        <v>7000</v>
      </c>
    </row>
    <row r="3779" spans="1:9" x14ac:dyDescent="0.3">
      <c r="A3779" s="7" t="s">
        <v>3506</v>
      </c>
      <c r="H3779" s="8">
        <f>H3777+H3778</f>
        <v>7000</v>
      </c>
      <c r="I3779" s="8">
        <f>I3777+I3778</f>
        <v>7000</v>
      </c>
    </row>
    <row r="3780" spans="1:9" x14ac:dyDescent="0.3">
      <c r="A3780" s="4" t="s">
        <v>3507</v>
      </c>
    </row>
    <row r="3781" spans="1:9" x14ac:dyDescent="0.3">
      <c r="B3781" s="5" t="s">
        <v>3497</v>
      </c>
      <c r="C3781" s="5" t="s">
        <v>10</v>
      </c>
      <c r="D3781" s="5" t="s">
        <v>3508</v>
      </c>
      <c r="E3781" s="5" t="s">
        <v>3509</v>
      </c>
      <c r="F3781" s="5" t="s">
        <v>867</v>
      </c>
      <c r="G3781" s="5" t="s">
        <v>868</v>
      </c>
      <c r="H3781" s="6">
        <v>266.39999999999998</v>
      </c>
      <c r="I3781" s="5"/>
    </row>
    <row r="3782" spans="1:9" x14ac:dyDescent="0.3">
      <c r="B3782" s="5" t="s">
        <v>3497</v>
      </c>
      <c r="C3782" s="5" t="s">
        <v>10</v>
      </c>
      <c r="D3782" s="5" t="s">
        <v>3508</v>
      </c>
      <c r="E3782" s="5" t="s">
        <v>3509</v>
      </c>
      <c r="F3782" s="5" t="s">
        <v>2729</v>
      </c>
      <c r="G3782" s="5" t="s">
        <v>2730</v>
      </c>
      <c r="H3782" s="5"/>
      <c r="I3782" s="6">
        <v>266.39999999999998</v>
      </c>
    </row>
    <row r="3783" spans="1:9" x14ac:dyDescent="0.3">
      <c r="B3783" s="5" t="s">
        <v>3497</v>
      </c>
      <c r="C3783" s="5" t="s">
        <v>10</v>
      </c>
      <c r="D3783" s="5" t="s">
        <v>3508</v>
      </c>
      <c r="E3783" s="5" t="s">
        <v>3510</v>
      </c>
      <c r="F3783" s="5" t="s">
        <v>867</v>
      </c>
      <c r="G3783" s="5" t="s">
        <v>868</v>
      </c>
      <c r="H3783" s="6">
        <v>266.39999999999998</v>
      </c>
      <c r="I3783" s="5"/>
    </row>
    <row r="3784" spans="1:9" x14ac:dyDescent="0.3">
      <c r="B3784" s="5" t="s">
        <v>3497</v>
      </c>
      <c r="C3784" s="5" t="s">
        <v>10</v>
      </c>
      <c r="D3784" s="5" t="s">
        <v>3508</v>
      </c>
      <c r="E3784" s="5" t="s">
        <v>3510</v>
      </c>
      <c r="F3784" s="5" t="s">
        <v>2729</v>
      </c>
      <c r="G3784" s="5" t="s">
        <v>2730</v>
      </c>
      <c r="H3784" s="5"/>
      <c r="I3784" s="6">
        <v>266.39999999999998</v>
      </c>
    </row>
    <row r="3785" spans="1:9" x14ac:dyDescent="0.3">
      <c r="B3785" s="5" t="s">
        <v>3497</v>
      </c>
      <c r="C3785" s="5" t="s">
        <v>10</v>
      </c>
      <c r="D3785" s="5" t="s">
        <v>3508</v>
      </c>
      <c r="E3785" s="5" t="s">
        <v>3511</v>
      </c>
      <c r="F3785" s="5" t="s">
        <v>867</v>
      </c>
      <c r="G3785" s="5" t="s">
        <v>868</v>
      </c>
      <c r="H3785" s="6">
        <v>284.39999999999998</v>
      </c>
      <c r="I3785" s="5"/>
    </row>
    <row r="3786" spans="1:9" x14ac:dyDescent="0.3">
      <c r="B3786" s="5" t="s">
        <v>3497</v>
      </c>
      <c r="C3786" s="5" t="s">
        <v>10</v>
      </c>
      <c r="D3786" s="5" t="s">
        <v>3508</v>
      </c>
      <c r="E3786" s="5" t="s">
        <v>3511</v>
      </c>
      <c r="F3786" s="5" t="s">
        <v>2729</v>
      </c>
      <c r="G3786" s="5" t="s">
        <v>2730</v>
      </c>
      <c r="H3786" s="5"/>
      <c r="I3786" s="6">
        <v>284.39999999999998</v>
      </c>
    </row>
    <row r="3787" spans="1:9" x14ac:dyDescent="0.3">
      <c r="B3787" s="5" t="s">
        <v>3497</v>
      </c>
      <c r="C3787" s="5" t="s">
        <v>10</v>
      </c>
      <c r="D3787" s="5" t="s">
        <v>3508</v>
      </c>
      <c r="E3787" s="5" t="s">
        <v>3512</v>
      </c>
      <c r="F3787" s="5" t="s">
        <v>867</v>
      </c>
      <c r="G3787" s="5" t="s">
        <v>868</v>
      </c>
      <c r="H3787" s="6">
        <v>372.6</v>
      </c>
      <c r="I3787" s="5"/>
    </row>
    <row r="3788" spans="1:9" x14ac:dyDescent="0.3">
      <c r="B3788" s="5" t="s">
        <v>3497</v>
      </c>
      <c r="C3788" s="5" t="s">
        <v>10</v>
      </c>
      <c r="D3788" s="5" t="s">
        <v>3508</v>
      </c>
      <c r="E3788" s="5" t="s">
        <v>3512</v>
      </c>
      <c r="F3788" s="5" t="s">
        <v>2729</v>
      </c>
      <c r="G3788" s="5" t="s">
        <v>2730</v>
      </c>
      <c r="H3788" s="5"/>
      <c r="I3788" s="6">
        <v>372.6</v>
      </c>
    </row>
    <row r="3789" spans="1:9" x14ac:dyDescent="0.3">
      <c r="B3789" s="5" t="s">
        <v>3497</v>
      </c>
      <c r="C3789" s="5" t="s">
        <v>10</v>
      </c>
      <c r="D3789" s="5" t="s">
        <v>3508</v>
      </c>
      <c r="E3789" s="5" t="s">
        <v>3513</v>
      </c>
      <c r="F3789" s="5" t="s">
        <v>867</v>
      </c>
      <c r="G3789" s="5" t="s">
        <v>868</v>
      </c>
      <c r="H3789" s="6">
        <v>1260</v>
      </c>
      <c r="I3789" s="5"/>
    </row>
    <row r="3790" spans="1:9" x14ac:dyDescent="0.3">
      <c r="B3790" s="5" t="s">
        <v>3497</v>
      </c>
      <c r="C3790" s="5" t="s">
        <v>10</v>
      </c>
      <c r="D3790" s="5" t="s">
        <v>3508</v>
      </c>
      <c r="E3790" s="5" t="s">
        <v>3513</v>
      </c>
      <c r="F3790" s="5" t="s">
        <v>2729</v>
      </c>
      <c r="G3790" s="5" t="s">
        <v>2730</v>
      </c>
      <c r="H3790" s="5"/>
      <c r="I3790" s="6">
        <v>1260</v>
      </c>
    </row>
    <row r="3791" spans="1:9" x14ac:dyDescent="0.3">
      <c r="A3791" s="7" t="s">
        <v>3514</v>
      </c>
      <c r="H3791" s="8">
        <f>H3781+H3782+H3783+H3784+H3785+H3786+H3787+H3788+H3789+H3790</f>
        <v>2449.8000000000002</v>
      </c>
      <c r="I3791" s="8">
        <f>I3781+I3782+I3783+I3784+I3785+I3786+I3787+I3788+I3789+I3790</f>
        <v>2449.8000000000002</v>
      </c>
    </row>
    <row r="3792" spans="1:9" x14ac:dyDescent="0.3">
      <c r="A3792" s="4" t="s">
        <v>3515</v>
      </c>
    </row>
    <row r="3793" spans="1:9" x14ac:dyDescent="0.3">
      <c r="B3793" s="5" t="s">
        <v>3497</v>
      </c>
      <c r="C3793" s="5" t="s">
        <v>10</v>
      </c>
      <c r="D3793" s="5" t="s">
        <v>3516</v>
      </c>
      <c r="E3793" s="5" t="s">
        <v>3517</v>
      </c>
      <c r="F3793" s="5" t="s">
        <v>61</v>
      </c>
      <c r="G3793" s="5" t="s">
        <v>62</v>
      </c>
      <c r="H3793" s="6">
        <v>1530</v>
      </c>
      <c r="I3793" s="5"/>
    </row>
    <row r="3794" spans="1:9" x14ac:dyDescent="0.3">
      <c r="B3794" s="5" t="s">
        <v>3497</v>
      </c>
      <c r="C3794" s="5" t="s">
        <v>10</v>
      </c>
      <c r="D3794" s="5" t="s">
        <v>3516</v>
      </c>
      <c r="E3794" s="5" t="s">
        <v>3518</v>
      </c>
      <c r="F3794" s="5" t="s">
        <v>64</v>
      </c>
      <c r="G3794" s="5" t="s">
        <v>65</v>
      </c>
      <c r="H3794" s="6">
        <v>180</v>
      </c>
      <c r="I3794" s="5"/>
    </row>
    <row r="3795" spans="1:9" x14ac:dyDescent="0.3">
      <c r="B3795" s="5" t="s">
        <v>3497</v>
      </c>
      <c r="C3795" s="5" t="s">
        <v>10</v>
      </c>
      <c r="D3795" s="5" t="s">
        <v>3516</v>
      </c>
      <c r="E3795" s="5" t="s">
        <v>3519</v>
      </c>
      <c r="F3795" s="5" t="s">
        <v>1643</v>
      </c>
      <c r="G3795" s="5" t="s">
        <v>1644</v>
      </c>
      <c r="H3795" s="5"/>
      <c r="I3795" s="6">
        <v>1710</v>
      </c>
    </row>
    <row r="3796" spans="1:9" x14ac:dyDescent="0.3">
      <c r="A3796" s="7" t="s">
        <v>3520</v>
      </c>
      <c r="H3796" s="8">
        <f>H3793+H3794+H3795</f>
        <v>1710</v>
      </c>
      <c r="I3796" s="8">
        <f>I3793+I3794+I3795</f>
        <v>1710</v>
      </c>
    </row>
    <row r="3797" spans="1:9" x14ac:dyDescent="0.3">
      <c r="A3797" s="4" t="s">
        <v>3521</v>
      </c>
    </row>
    <row r="3798" spans="1:9" x14ac:dyDescent="0.3">
      <c r="B3798" s="5" t="s">
        <v>3497</v>
      </c>
      <c r="C3798" s="5" t="s">
        <v>10</v>
      </c>
      <c r="D3798" s="5" t="s">
        <v>3522</v>
      </c>
      <c r="E3798" s="5" t="s">
        <v>3523</v>
      </c>
      <c r="F3798" s="5" t="s">
        <v>113</v>
      </c>
      <c r="G3798" s="5" t="s">
        <v>114</v>
      </c>
      <c r="H3798" s="6">
        <v>500</v>
      </c>
      <c r="I3798" s="5"/>
    </row>
    <row r="3799" spans="1:9" x14ac:dyDescent="0.3">
      <c r="B3799" s="5" t="s">
        <v>3497</v>
      </c>
      <c r="C3799" s="5" t="s">
        <v>10</v>
      </c>
      <c r="D3799" s="5" t="s">
        <v>3522</v>
      </c>
      <c r="E3799" s="5" t="s">
        <v>3523</v>
      </c>
      <c r="F3799" s="5" t="s">
        <v>1643</v>
      </c>
      <c r="G3799" s="5" t="s">
        <v>1644</v>
      </c>
      <c r="H3799" s="5"/>
      <c r="I3799" s="6">
        <v>500</v>
      </c>
    </row>
    <row r="3800" spans="1:9" x14ac:dyDescent="0.3">
      <c r="A3800" s="7" t="s">
        <v>3524</v>
      </c>
      <c r="H3800" s="8">
        <f>H3798+H3799</f>
        <v>500</v>
      </c>
      <c r="I3800" s="8">
        <f>I3798+I3799</f>
        <v>500</v>
      </c>
    </row>
    <row r="3801" spans="1:9" x14ac:dyDescent="0.3">
      <c r="A3801" s="4" t="s">
        <v>3525</v>
      </c>
    </row>
    <row r="3802" spans="1:9" x14ac:dyDescent="0.3">
      <c r="B3802" s="5" t="s">
        <v>3497</v>
      </c>
      <c r="C3802" s="5" t="s">
        <v>10</v>
      </c>
      <c r="D3802" s="5" t="s">
        <v>3526</v>
      </c>
      <c r="E3802" s="5" t="s">
        <v>3527</v>
      </c>
      <c r="F3802" s="5" t="s">
        <v>359</v>
      </c>
      <c r="G3802" s="5" t="s">
        <v>360</v>
      </c>
      <c r="H3802" s="6">
        <v>600</v>
      </c>
      <c r="I3802" s="5"/>
    </row>
    <row r="3803" spans="1:9" x14ac:dyDescent="0.3">
      <c r="B3803" s="5" t="s">
        <v>3497</v>
      </c>
      <c r="C3803" s="5" t="s">
        <v>10</v>
      </c>
      <c r="D3803" s="5" t="s">
        <v>3526</v>
      </c>
      <c r="E3803" s="5" t="s">
        <v>3527</v>
      </c>
      <c r="F3803" s="5" t="s">
        <v>1643</v>
      </c>
      <c r="G3803" s="5" t="s">
        <v>1644</v>
      </c>
      <c r="H3803" s="5"/>
      <c r="I3803" s="6">
        <v>600</v>
      </c>
    </row>
    <row r="3804" spans="1:9" x14ac:dyDescent="0.3">
      <c r="A3804" s="7" t="s">
        <v>3528</v>
      </c>
      <c r="H3804" s="8">
        <f>H3802+H3803</f>
        <v>600</v>
      </c>
      <c r="I3804" s="8">
        <f>I3802+I3803</f>
        <v>600</v>
      </c>
    </row>
    <row r="3805" spans="1:9" x14ac:dyDescent="0.3">
      <c r="A3805" s="4" t="s">
        <v>3529</v>
      </c>
    </row>
    <row r="3806" spans="1:9" x14ac:dyDescent="0.3">
      <c r="B3806" s="5" t="s">
        <v>3497</v>
      </c>
      <c r="C3806" s="5" t="s">
        <v>10</v>
      </c>
      <c r="D3806" s="5" t="s">
        <v>3530</v>
      </c>
      <c r="E3806" s="5" t="s">
        <v>3531</v>
      </c>
      <c r="F3806" s="5" t="s">
        <v>61</v>
      </c>
      <c r="G3806" s="5" t="s">
        <v>62</v>
      </c>
      <c r="H3806" s="6">
        <v>640</v>
      </c>
      <c r="I3806" s="5"/>
    </row>
    <row r="3807" spans="1:9" x14ac:dyDescent="0.3">
      <c r="B3807" s="5" t="s">
        <v>3497</v>
      </c>
      <c r="C3807" s="5" t="s">
        <v>10</v>
      </c>
      <c r="D3807" s="5" t="s">
        <v>3530</v>
      </c>
      <c r="E3807" s="5" t="s">
        <v>3531</v>
      </c>
      <c r="F3807" s="5" t="s">
        <v>129</v>
      </c>
      <c r="G3807" s="5" t="s">
        <v>130</v>
      </c>
      <c r="H3807" s="6">
        <v>90</v>
      </c>
      <c r="I3807" s="5"/>
    </row>
    <row r="3808" spans="1:9" x14ac:dyDescent="0.3">
      <c r="B3808" s="5" t="s">
        <v>3497</v>
      </c>
      <c r="C3808" s="5" t="s">
        <v>10</v>
      </c>
      <c r="D3808" s="5" t="s">
        <v>3530</v>
      </c>
      <c r="E3808" s="5" t="s">
        <v>3531</v>
      </c>
      <c r="F3808" s="5" t="s">
        <v>1643</v>
      </c>
      <c r="G3808" s="5" t="s">
        <v>1644</v>
      </c>
      <c r="H3808" s="5"/>
      <c r="I3808" s="6">
        <v>730</v>
      </c>
    </row>
    <row r="3809" spans="1:9" x14ac:dyDescent="0.3">
      <c r="A3809" s="7" t="s">
        <v>3532</v>
      </c>
      <c r="H3809" s="8">
        <f>H3806+H3807+H3808</f>
        <v>730</v>
      </c>
      <c r="I3809" s="8">
        <f>I3806+I3807+I3808</f>
        <v>730</v>
      </c>
    </row>
    <row r="3810" spans="1:9" x14ac:dyDescent="0.3">
      <c r="A3810" s="4" t="s">
        <v>3533</v>
      </c>
    </row>
    <row r="3811" spans="1:9" x14ac:dyDescent="0.3">
      <c r="B3811" s="5" t="s">
        <v>3534</v>
      </c>
      <c r="C3811" s="5" t="s">
        <v>2745</v>
      </c>
      <c r="D3811" s="5" t="s">
        <v>2750</v>
      </c>
      <c r="E3811" s="5" t="s">
        <v>2750</v>
      </c>
      <c r="F3811" s="5" t="s">
        <v>2748</v>
      </c>
      <c r="G3811" s="5" t="s">
        <v>2749</v>
      </c>
      <c r="H3811" s="6">
        <v>1180</v>
      </c>
      <c r="I3811" s="5"/>
    </row>
    <row r="3812" spans="1:9" x14ac:dyDescent="0.3">
      <c r="B3812" s="5" t="s">
        <v>3534</v>
      </c>
      <c r="C3812" s="5" t="s">
        <v>2745</v>
      </c>
      <c r="D3812" s="5" t="s">
        <v>2750</v>
      </c>
      <c r="E3812" s="5" t="s">
        <v>2750</v>
      </c>
      <c r="F3812" s="5" t="s">
        <v>847</v>
      </c>
      <c r="G3812" s="5" t="s">
        <v>848</v>
      </c>
      <c r="H3812" s="5"/>
      <c r="I3812" s="6">
        <v>1180</v>
      </c>
    </row>
    <row r="3813" spans="1:9" x14ac:dyDescent="0.3">
      <c r="A3813" s="7" t="s">
        <v>3535</v>
      </c>
      <c r="H3813" s="8">
        <f>H3811+H3812</f>
        <v>1180</v>
      </c>
      <c r="I3813" s="8">
        <f>I3811+I3812</f>
        <v>1180</v>
      </c>
    </row>
    <row r="3814" spans="1:9" x14ac:dyDescent="0.3">
      <c r="A3814" s="4" t="s">
        <v>3536</v>
      </c>
    </row>
    <row r="3815" spans="1:9" x14ac:dyDescent="0.3">
      <c r="B3815" s="5" t="s">
        <v>3534</v>
      </c>
      <c r="C3815" s="5" t="s">
        <v>2745</v>
      </c>
      <c r="D3815" s="5" t="s">
        <v>2750</v>
      </c>
      <c r="E3815" s="5" t="s">
        <v>2750</v>
      </c>
      <c r="F3815" s="5" t="s">
        <v>2748</v>
      </c>
      <c r="G3815" s="5" t="s">
        <v>2749</v>
      </c>
      <c r="H3815" s="6">
        <v>1980</v>
      </c>
      <c r="I3815" s="5"/>
    </row>
    <row r="3816" spans="1:9" x14ac:dyDescent="0.3">
      <c r="B3816" s="5" t="s">
        <v>3534</v>
      </c>
      <c r="C3816" s="5" t="s">
        <v>2745</v>
      </c>
      <c r="D3816" s="5" t="s">
        <v>2750</v>
      </c>
      <c r="E3816" s="5" t="s">
        <v>2750</v>
      </c>
      <c r="F3816" s="5" t="s">
        <v>847</v>
      </c>
      <c r="G3816" s="5" t="s">
        <v>848</v>
      </c>
      <c r="H3816" s="5"/>
      <c r="I3816" s="6">
        <v>1980</v>
      </c>
    </row>
    <row r="3817" spans="1:9" x14ac:dyDescent="0.3">
      <c r="A3817" s="7" t="s">
        <v>3537</v>
      </c>
      <c r="H3817" s="8">
        <f>H3815+H3816</f>
        <v>1980</v>
      </c>
      <c r="I3817" s="8">
        <f>I3815+I3816</f>
        <v>1980</v>
      </c>
    </row>
    <row r="3818" spans="1:9" x14ac:dyDescent="0.3">
      <c r="A3818" s="4" t="s">
        <v>3538</v>
      </c>
    </row>
    <row r="3819" spans="1:9" x14ac:dyDescent="0.3">
      <c r="B3819" s="5" t="s">
        <v>3534</v>
      </c>
      <c r="C3819" s="5" t="s">
        <v>2745</v>
      </c>
      <c r="D3819" s="5" t="s">
        <v>2750</v>
      </c>
      <c r="E3819" s="5" t="s">
        <v>3539</v>
      </c>
      <c r="F3819" s="5" t="s">
        <v>2748</v>
      </c>
      <c r="G3819" s="5" t="s">
        <v>2749</v>
      </c>
      <c r="H3819" s="6">
        <v>7000</v>
      </c>
      <c r="I3819" s="5"/>
    </row>
    <row r="3820" spans="1:9" x14ac:dyDescent="0.3">
      <c r="B3820" s="5" t="s">
        <v>3534</v>
      </c>
      <c r="C3820" s="5" t="s">
        <v>2745</v>
      </c>
      <c r="D3820" s="5" t="s">
        <v>2750</v>
      </c>
      <c r="E3820" s="5" t="s">
        <v>2750</v>
      </c>
      <c r="F3820" s="5" t="s">
        <v>847</v>
      </c>
      <c r="G3820" s="5" t="s">
        <v>848</v>
      </c>
      <c r="H3820" s="5"/>
      <c r="I3820" s="6">
        <v>7000</v>
      </c>
    </row>
    <row r="3821" spans="1:9" x14ac:dyDescent="0.3">
      <c r="A3821" s="7" t="s">
        <v>3540</v>
      </c>
      <c r="H3821" s="8">
        <f>H3819+H3820</f>
        <v>7000</v>
      </c>
      <c r="I3821" s="8">
        <f>I3819+I3820</f>
        <v>7000</v>
      </c>
    </row>
    <row r="3822" spans="1:9" x14ac:dyDescent="0.3">
      <c r="A3822" s="4" t="s">
        <v>3541</v>
      </c>
    </row>
    <row r="3823" spans="1:9" x14ac:dyDescent="0.3">
      <c r="B3823" s="5" t="s">
        <v>3534</v>
      </c>
      <c r="C3823" s="5" t="s">
        <v>10</v>
      </c>
      <c r="D3823" s="5" t="s">
        <v>3542</v>
      </c>
      <c r="E3823" s="5" t="s">
        <v>3543</v>
      </c>
      <c r="F3823" s="5" t="s">
        <v>867</v>
      </c>
      <c r="G3823" s="5" t="s">
        <v>868</v>
      </c>
      <c r="H3823" s="6">
        <v>212.4</v>
      </c>
      <c r="I3823" s="5"/>
    </row>
    <row r="3824" spans="1:9" x14ac:dyDescent="0.3">
      <c r="B3824" s="5" t="s">
        <v>3534</v>
      </c>
      <c r="C3824" s="5" t="s">
        <v>10</v>
      </c>
      <c r="D3824" s="5" t="s">
        <v>3542</v>
      </c>
      <c r="E3824" s="5" t="s">
        <v>3543</v>
      </c>
      <c r="F3824" s="5" t="s">
        <v>2729</v>
      </c>
      <c r="G3824" s="5" t="s">
        <v>2730</v>
      </c>
      <c r="H3824" s="5"/>
      <c r="I3824" s="6">
        <v>212.4</v>
      </c>
    </row>
    <row r="3825" spans="1:9" x14ac:dyDescent="0.3">
      <c r="B3825" s="5" t="s">
        <v>3534</v>
      </c>
      <c r="C3825" s="5" t="s">
        <v>10</v>
      </c>
      <c r="D3825" s="5" t="s">
        <v>3542</v>
      </c>
      <c r="E3825" s="5" t="s">
        <v>3544</v>
      </c>
      <c r="F3825" s="5" t="s">
        <v>867</v>
      </c>
      <c r="G3825" s="5" t="s">
        <v>868</v>
      </c>
      <c r="H3825" s="6">
        <v>356.4</v>
      </c>
      <c r="I3825" s="5"/>
    </row>
    <row r="3826" spans="1:9" x14ac:dyDescent="0.3">
      <c r="B3826" s="5" t="s">
        <v>3534</v>
      </c>
      <c r="C3826" s="5" t="s">
        <v>10</v>
      </c>
      <c r="D3826" s="5" t="s">
        <v>3542</v>
      </c>
      <c r="E3826" s="5" t="s">
        <v>3544</v>
      </c>
      <c r="F3826" s="5" t="s">
        <v>2729</v>
      </c>
      <c r="G3826" s="5" t="s">
        <v>2730</v>
      </c>
      <c r="H3826" s="5"/>
      <c r="I3826" s="6">
        <v>356.4</v>
      </c>
    </row>
    <row r="3827" spans="1:9" x14ac:dyDescent="0.3">
      <c r="B3827" s="5" t="s">
        <v>3534</v>
      </c>
      <c r="C3827" s="5" t="s">
        <v>10</v>
      </c>
      <c r="D3827" s="5" t="s">
        <v>3542</v>
      </c>
      <c r="E3827" s="5" t="s">
        <v>3545</v>
      </c>
      <c r="F3827" s="5" t="s">
        <v>867</v>
      </c>
      <c r="G3827" s="5" t="s">
        <v>868</v>
      </c>
      <c r="H3827" s="6">
        <v>1260</v>
      </c>
      <c r="I3827" s="5"/>
    </row>
    <row r="3828" spans="1:9" x14ac:dyDescent="0.3">
      <c r="B3828" s="5" t="s">
        <v>3534</v>
      </c>
      <c r="C3828" s="5" t="s">
        <v>10</v>
      </c>
      <c r="D3828" s="5" t="s">
        <v>3542</v>
      </c>
      <c r="E3828" s="5" t="s">
        <v>3545</v>
      </c>
      <c r="F3828" s="5" t="s">
        <v>2729</v>
      </c>
      <c r="G3828" s="5" t="s">
        <v>2730</v>
      </c>
      <c r="H3828" s="5"/>
      <c r="I3828" s="6">
        <v>1260</v>
      </c>
    </row>
    <row r="3829" spans="1:9" x14ac:dyDescent="0.3">
      <c r="A3829" s="7" t="s">
        <v>3546</v>
      </c>
      <c r="H3829" s="8">
        <f>H3823+H3824+H3825+H3826+H3827+H3828</f>
        <v>1828.8</v>
      </c>
      <c r="I3829" s="8">
        <f>I3823+I3824+I3825+I3826+I3827+I3828</f>
        <v>1828.8</v>
      </c>
    </row>
    <row r="3830" spans="1:9" x14ac:dyDescent="0.3">
      <c r="A3830" s="4" t="s">
        <v>3547</v>
      </c>
    </row>
    <row r="3831" spans="1:9" x14ac:dyDescent="0.3">
      <c r="B3831" s="5" t="s">
        <v>3534</v>
      </c>
      <c r="C3831" s="5" t="s">
        <v>10</v>
      </c>
      <c r="D3831" s="5" t="s">
        <v>3548</v>
      </c>
      <c r="E3831" s="5" t="s">
        <v>3549</v>
      </c>
      <c r="F3831" s="5" t="s">
        <v>1643</v>
      </c>
      <c r="G3831" s="5" t="s">
        <v>1644</v>
      </c>
      <c r="H3831" s="6">
        <v>9620</v>
      </c>
      <c r="I3831" s="5"/>
    </row>
    <row r="3832" spans="1:9" x14ac:dyDescent="0.3">
      <c r="B3832" s="5" t="s">
        <v>3534</v>
      </c>
      <c r="C3832" s="5" t="s">
        <v>10</v>
      </c>
      <c r="D3832" s="5" t="s">
        <v>3548</v>
      </c>
      <c r="E3832" s="5" t="s">
        <v>3549</v>
      </c>
      <c r="F3832" s="5" t="s">
        <v>13</v>
      </c>
      <c r="G3832" s="5" t="s">
        <v>14</v>
      </c>
      <c r="H3832" s="5"/>
      <c r="I3832" s="6">
        <v>9620</v>
      </c>
    </row>
    <row r="3833" spans="1:9" x14ac:dyDescent="0.3">
      <c r="A3833" s="7" t="s">
        <v>3550</v>
      </c>
      <c r="H3833" s="8">
        <f>H3831+H3832</f>
        <v>9620</v>
      </c>
      <c r="I3833" s="8">
        <f>I3831+I3832</f>
        <v>9620</v>
      </c>
    </row>
    <row r="3834" spans="1:9" x14ac:dyDescent="0.3">
      <c r="A3834" s="4" t="s">
        <v>3551</v>
      </c>
    </row>
    <row r="3835" spans="1:9" x14ac:dyDescent="0.3">
      <c r="B3835" s="5" t="s">
        <v>3534</v>
      </c>
      <c r="C3835" s="5" t="s">
        <v>10</v>
      </c>
      <c r="D3835" s="5" t="s">
        <v>3552</v>
      </c>
      <c r="E3835" s="5" t="s">
        <v>3553</v>
      </c>
      <c r="F3835" s="5" t="s">
        <v>1643</v>
      </c>
      <c r="G3835" s="5" t="s">
        <v>1644</v>
      </c>
      <c r="H3835" s="6">
        <v>28100</v>
      </c>
      <c r="I3835" s="5"/>
    </row>
    <row r="3836" spans="1:9" x14ac:dyDescent="0.3">
      <c r="B3836" s="5" t="s">
        <v>3534</v>
      </c>
      <c r="C3836" s="5" t="s">
        <v>10</v>
      </c>
      <c r="D3836" s="5" t="s">
        <v>3552</v>
      </c>
      <c r="E3836" s="5" t="s">
        <v>3553</v>
      </c>
      <c r="F3836" s="5" t="s">
        <v>13</v>
      </c>
      <c r="G3836" s="5" t="s">
        <v>14</v>
      </c>
      <c r="H3836" s="5"/>
      <c r="I3836" s="6">
        <v>28100</v>
      </c>
    </row>
    <row r="3837" spans="1:9" x14ac:dyDescent="0.3">
      <c r="A3837" s="7" t="s">
        <v>3554</v>
      </c>
      <c r="H3837" s="8">
        <f>H3835+H3836</f>
        <v>28100</v>
      </c>
      <c r="I3837" s="8">
        <f>I3835+I3836</f>
        <v>28100</v>
      </c>
    </row>
    <row r="3838" spans="1:9" x14ac:dyDescent="0.3">
      <c r="A3838" s="4" t="s">
        <v>3555</v>
      </c>
    </row>
    <row r="3839" spans="1:9" x14ac:dyDescent="0.3">
      <c r="B3839" s="5" t="s">
        <v>3534</v>
      </c>
      <c r="C3839" s="5" t="s">
        <v>10</v>
      </c>
      <c r="D3839" s="5" t="s">
        <v>3556</v>
      </c>
      <c r="E3839" s="5" t="s">
        <v>3557</v>
      </c>
      <c r="F3839" s="5" t="s">
        <v>441</v>
      </c>
      <c r="G3839" s="5" t="s">
        <v>442</v>
      </c>
      <c r="H3839" s="6">
        <v>9620</v>
      </c>
      <c r="I3839" s="5"/>
    </row>
    <row r="3840" spans="1:9" x14ac:dyDescent="0.3">
      <c r="B3840" s="5" t="s">
        <v>3534</v>
      </c>
      <c r="C3840" s="5" t="s">
        <v>10</v>
      </c>
      <c r="D3840" s="5" t="s">
        <v>3556</v>
      </c>
      <c r="E3840" s="5" t="s">
        <v>3557</v>
      </c>
      <c r="F3840" s="5" t="s">
        <v>1643</v>
      </c>
      <c r="G3840" s="5" t="s">
        <v>1644</v>
      </c>
      <c r="H3840" s="5"/>
      <c r="I3840" s="6">
        <v>9620</v>
      </c>
    </row>
    <row r="3841" spans="1:9" x14ac:dyDescent="0.3">
      <c r="A3841" s="7" t="s">
        <v>3558</v>
      </c>
      <c r="H3841" s="8">
        <f>H3839+H3840</f>
        <v>9620</v>
      </c>
      <c r="I3841" s="8">
        <f>I3839+I3840</f>
        <v>9620</v>
      </c>
    </row>
    <row r="3842" spans="1:9" x14ac:dyDescent="0.3">
      <c r="A3842" s="4" t="s">
        <v>3559</v>
      </c>
    </row>
    <row r="3843" spans="1:9" x14ac:dyDescent="0.3">
      <c r="B3843" s="5" t="s">
        <v>3534</v>
      </c>
      <c r="C3843" s="5" t="s">
        <v>10</v>
      </c>
      <c r="D3843" s="5" t="s">
        <v>3560</v>
      </c>
      <c r="E3843" s="5" t="s">
        <v>3561</v>
      </c>
      <c r="F3843" s="5" t="s">
        <v>441</v>
      </c>
      <c r="G3843" s="5" t="s">
        <v>442</v>
      </c>
      <c r="H3843" s="6">
        <v>28100</v>
      </c>
      <c r="I3843" s="5"/>
    </row>
    <row r="3844" spans="1:9" x14ac:dyDescent="0.3">
      <c r="B3844" s="5" t="s">
        <v>3534</v>
      </c>
      <c r="C3844" s="5" t="s">
        <v>10</v>
      </c>
      <c r="D3844" s="5" t="s">
        <v>3560</v>
      </c>
      <c r="E3844" s="5" t="s">
        <v>3561</v>
      </c>
      <c r="F3844" s="5" t="s">
        <v>1643</v>
      </c>
      <c r="G3844" s="5" t="s">
        <v>1644</v>
      </c>
      <c r="H3844" s="5"/>
      <c r="I3844" s="6">
        <v>28100</v>
      </c>
    </row>
    <row r="3845" spans="1:9" x14ac:dyDescent="0.3">
      <c r="A3845" s="7" t="s">
        <v>3562</v>
      </c>
      <c r="H3845" s="8">
        <f>H3843+H3844</f>
        <v>28100</v>
      </c>
      <c r="I3845" s="8">
        <f>I3843+I3844</f>
        <v>28100</v>
      </c>
    </row>
    <row r="3846" spans="1:9" x14ac:dyDescent="0.3">
      <c r="A3846" s="4" t="s">
        <v>3563</v>
      </c>
    </row>
    <row r="3847" spans="1:9" x14ac:dyDescent="0.3">
      <c r="B3847" s="5" t="s">
        <v>3534</v>
      </c>
      <c r="C3847" s="5" t="s">
        <v>10</v>
      </c>
      <c r="D3847" s="5" t="s">
        <v>3564</v>
      </c>
      <c r="E3847" s="5" t="s">
        <v>3565</v>
      </c>
      <c r="F3847" s="5" t="s">
        <v>67</v>
      </c>
      <c r="G3847" s="5" t="s">
        <v>68</v>
      </c>
      <c r="H3847" s="6">
        <v>150</v>
      </c>
      <c r="I3847" s="5"/>
    </row>
    <row r="3848" spans="1:9" x14ac:dyDescent="0.3">
      <c r="B3848" s="5" t="s">
        <v>3534</v>
      </c>
      <c r="C3848" s="5" t="s">
        <v>10</v>
      </c>
      <c r="D3848" s="5" t="s">
        <v>3564</v>
      </c>
      <c r="E3848" s="5" t="s">
        <v>3565</v>
      </c>
      <c r="F3848" s="5" t="s">
        <v>1643</v>
      </c>
      <c r="G3848" s="5" t="s">
        <v>1644</v>
      </c>
      <c r="H3848" s="5"/>
      <c r="I3848" s="6">
        <v>150</v>
      </c>
    </row>
    <row r="3849" spans="1:9" x14ac:dyDescent="0.3">
      <c r="A3849" s="7" t="s">
        <v>3566</v>
      </c>
      <c r="H3849" s="8">
        <f>H3847+H3848</f>
        <v>150</v>
      </c>
      <c r="I3849" s="8">
        <f>I3847+I3848</f>
        <v>150</v>
      </c>
    </row>
    <row r="3850" spans="1:9" x14ac:dyDescent="0.3">
      <c r="A3850" s="4" t="s">
        <v>3567</v>
      </c>
    </row>
    <row r="3851" spans="1:9" x14ac:dyDescent="0.3">
      <c r="B3851" s="5" t="s">
        <v>3534</v>
      </c>
      <c r="C3851" s="5" t="s">
        <v>10</v>
      </c>
      <c r="D3851" s="5" t="s">
        <v>3568</v>
      </c>
      <c r="E3851" s="5" t="s">
        <v>1052</v>
      </c>
      <c r="F3851" s="5" t="s">
        <v>61</v>
      </c>
      <c r="G3851" s="5" t="s">
        <v>62</v>
      </c>
      <c r="H3851" s="6">
        <v>130</v>
      </c>
      <c r="I3851" s="5"/>
    </row>
    <row r="3852" spans="1:9" x14ac:dyDescent="0.3">
      <c r="B3852" s="5" t="s">
        <v>3534</v>
      </c>
      <c r="C3852" s="5" t="s">
        <v>10</v>
      </c>
      <c r="D3852" s="5" t="s">
        <v>3568</v>
      </c>
      <c r="E3852" s="5" t="s">
        <v>1052</v>
      </c>
      <c r="F3852" s="5" t="s">
        <v>1643</v>
      </c>
      <c r="G3852" s="5" t="s">
        <v>1644</v>
      </c>
      <c r="H3852" s="5"/>
      <c r="I3852" s="6">
        <v>130</v>
      </c>
    </row>
    <row r="3853" spans="1:9" x14ac:dyDescent="0.3">
      <c r="A3853" s="7" t="s">
        <v>3569</v>
      </c>
      <c r="H3853" s="8">
        <f>H3851+H3852</f>
        <v>130</v>
      </c>
      <c r="I3853" s="8">
        <f>I3851+I3852</f>
        <v>130</v>
      </c>
    </row>
    <row r="3854" spans="1:9" x14ac:dyDescent="0.3">
      <c r="A3854" s="4" t="s">
        <v>3570</v>
      </c>
    </row>
    <row r="3855" spans="1:9" x14ac:dyDescent="0.3">
      <c r="B3855" s="5" t="s">
        <v>3534</v>
      </c>
      <c r="C3855" s="5" t="s">
        <v>844</v>
      </c>
      <c r="D3855" s="5" t="s">
        <v>3571</v>
      </c>
      <c r="E3855" s="5" t="s">
        <v>3572</v>
      </c>
      <c r="F3855" s="5" t="s">
        <v>847</v>
      </c>
      <c r="G3855" s="5" t="s">
        <v>848</v>
      </c>
      <c r="H3855" s="6">
        <v>41300</v>
      </c>
      <c r="I3855" s="5"/>
    </row>
    <row r="3856" spans="1:9" x14ac:dyDescent="0.3">
      <c r="B3856" s="5" t="s">
        <v>3534</v>
      </c>
      <c r="C3856" s="5" t="s">
        <v>844</v>
      </c>
      <c r="D3856" s="5" t="s">
        <v>3571</v>
      </c>
      <c r="E3856" s="5" t="s">
        <v>3572</v>
      </c>
      <c r="F3856" s="5" t="s">
        <v>831</v>
      </c>
      <c r="G3856" s="5" t="s">
        <v>832</v>
      </c>
      <c r="H3856" s="5"/>
      <c r="I3856" s="6">
        <v>35000</v>
      </c>
    </row>
    <row r="3857" spans="1:9" x14ac:dyDescent="0.3">
      <c r="B3857" s="5" t="s">
        <v>3534</v>
      </c>
      <c r="C3857" s="5" t="s">
        <v>844</v>
      </c>
      <c r="D3857" s="5" t="s">
        <v>3571</v>
      </c>
      <c r="E3857" s="5" t="s">
        <v>3572</v>
      </c>
      <c r="F3857" s="5" t="s">
        <v>867</v>
      </c>
      <c r="G3857" s="5" t="s">
        <v>868</v>
      </c>
      <c r="H3857" s="5"/>
      <c r="I3857" s="6">
        <v>6300</v>
      </c>
    </row>
    <row r="3858" spans="1:9" x14ac:dyDescent="0.3">
      <c r="A3858" s="7" t="s">
        <v>3573</v>
      </c>
      <c r="H3858" s="8">
        <f>H3855+H3856+H3857</f>
        <v>41300</v>
      </c>
      <c r="I3858" s="8">
        <f>I3855+I3856+I3857</f>
        <v>41300</v>
      </c>
    </row>
    <row r="3859" spans="1:9" x14ac:dyDescent="0.3">
      <c r="A3859" s="4" t="s">
        <v>3574</v>
      </c>
    </row>
    <row r="3860" spans="1:9" x14ac:dyDescent="0.3">
      <c r="B3860" s="5" t="s">
        <v>3534</v>
      </c>
      <c r="C3860" s="5" t="s">
        <v>844</v>
      </c>
      <c r="D3860" s="5" t="s">
        <v>3575</v>
      </c>
      <c r="E3860" s="5" t="s">
        <v>3576</v>
      </c>
      <c r="F3860" s="5" t="s">
        <v>847</v>
      </c>
      <c r="G3860" s="5" t="s">
        <v>848</v>
      </c>
      <c r="H3860" s="6">
        <v>29500</v>
      </c>
      <c r="I3860" s="5"/>
    </row>
    <row r="3861" spans="1:9" x14ac:dyDescent="0.3">
      <c r="B3861" s="5" t="s">
        <v>3534</v>
      </c>
      <c r="C3861" s="5" t="s">
        <v>844</v>
      </c>
      <c r="D3861" s="5" t="s">
        <v>3575</v>
      </c>
      <c r="E3861" s="5" t="s">
        <v>3576</v>
      </c>
      <c r="F3861" s="5" t="s">
        <v>831</v>
      </c>
      <c r="G3861" s="5" t="s">
        <v>832</v>
      </c>
      <c r="H3861" s="5"/>
      <c r="I3861" s="6">
        <v>25000</v>
      </c>
    </row>
    <row r="3862" spans="1:9" x14ac:dyDescent="0.3">
      <c r="B3862" s="5" t="s">
        <v>3534</v>
      </c>
      <c r="C3862" s="5" t="s">
        <v>844</v>
      </c>
      <c r="D3862" s="5" t="s">
        <v>3575</v>
      </c>
      <c r="E3862" s="5" t="s">
        <v>3576</v>
      </c>
      <c r="F3862" s="5" t="s">
        <v>867</v>
      </c>
      <c r="G3862" s="5" t="s">
        <v>868</v>
      </c>
      <c r="H3862" s="5"/>
      <c r="I3862" s="6">
        <v>4500</v>
      </c>
    </row>
    <row r="3863" spans="1:9" x14ac:dyDescent="0.3">
      <c r="A3863" s="7" t="s">
        <v>3577</v>
      </c>
      <c r="H3863" s="8">
        <f>H3860+H3861+H3862</f>
        <v>29500</v>
      </c>
      <c r="I3863" s="8">
        <f>I3860+I3861+I3862</f>
        <v>29500</v>
      </c>
    </row>
    <row r="3864" spans="1:9" x14ac:dyDescent="0.3">
      <c r="A3864" s="4" t="s">
        <v>3578</v>
      </c>
    </row>
    <row r="3865" spans="1:9" x14ac:dyDescent="0.3">
      <c r="B3865" s="5" t="s">
        <v>3534</v>
      </c>
      <c r="C3865" s="5" t="s">
        <v>844</v>
      </c>
      <c r="D3865" s="5" t="s">
        <v>3579</v>
      </c>
      <c r="E3865" s="5" t="s">
        <v>2750</v>
      </c>
      <c r="F3865" s="5" t="s">
        <v>847</v>
      </c>
      <c r="G3865" s="5" t="s">
        <v>848</v>
      </c>
      <c r="H3865" s="6">
        <v>35400</v>
      </c>
      <c r="I3865" s="5"/>
    </row>
    <row r="3866" spans="1:9" x14ac:dyDescent="0.3">
      <c r="B3866" s="5" t="s">
        <v>3534</v>
      </c>
      <c r="C3866" s="5" t="s">
        <v>844</v>
      </c>
      <c r="D3866" s="5" t="s">
        <v>3579</v>
      </c>
      <c r="E3866" s="5" t="s">
        <v>3580</v>
      </c>
      <c r="F3866" s="5" t="s">
        <v>831</v>
      </c>
      <c r="G3866" s="5" t="s">
        <v>832</v>
      </c>
      <c r="H3866" s="5"/>
      <c r="I3866" s="6">
        <v>30000</v>
      </c>
    </row>
    <row r="3867" spans="1:9" x14ac:dyDescent="0.3">
      <c r="B3867" s="5" t="s">
        <v>3534</v>
      </c>
      <c r="C3867" s="5" t="s">
        <v>844</v>
      </c>
      <c r="D3867" s="5" t="s">
        <v>3579</v>
      </c>
      <c r="E3867" s="5" t="s">
        <v>3580</v>
      </c>
      <c r="F3867" s="5" t="s">
        <v>867</v>
      </c>
      <c r="G3867" s="5" t="s">
        <v>868</v>
      </c>
      <c r="H3867" s="5"/>
      <c r="I3867" s="6">
        <v>5400</v>
      </c>
    </row>
    <row r="3868" spans="1:9" x14ac:dyDescent="0.3">
      <c r="A3868" s="7" t="s">
        <v>3581</v>
      </c>
      <c r="H3868" s="8">
        <f>H3865+H3866+H3867</f>
        <v>35400</v>
      </c>
      <c r="I3868" s="8">
        <f>I3865+I3866+I3867</f>
        <v>35400</v>
      </c>
    </row>
    <row r="3869" spans="1:9" x14ac:dyDescent="0.3">
      <c r="A3869" s="4" t="s">
        <v>3582</v>
      </c>
    </row>
    <row r="3870" spans="1:9" x14ac:dyDescent="0.3">
      <c r="B3870" s="5" t="s">
        <v>3583</v>
      </c>
      <c r="C3870" s="5" t="s">
        <v>10</v>
      </c>
      <c r="D3870" s="5" t="s">
        <v>3584</v>
      </c>
      <c r="E3870" s="5" t="s">
        <v>1052</v>
      </c>
      <c r="F3870" s="5" t="s">
        <v>61</v>
      </c>
      <c r="G3870" s="5" t="s">
        <v>62</v>
      </c>
      <c r="H3870" s="6">
        <v>175</v>
      </c>
      <c r="I3870" s="5"/>
    </row>
    <row r="3871" spans="1:9" x14ac:dyDescent="0.3">
      <c r="B3871" s="5" t="s">
        <v>3583</v>
      </c>
      <c r="C3871" s="5" t="s">
        <v>10</v>
      </c>
      <c r="D3871" s="5" t="s">
        <v>3584</v>
      </c>
      <c r="E3871" s="5" t="s">
        <v>3585</v>
      </c>
      <c r="F3871" s="5" t="s">
        <v>64</v>
      </c>
      <c r="G3871" s="5" t="s">
        <v>65</v>
      </c>
      <c r="H3871" s="6">
        <v>100</v>
      </c>
      <c r="I3871" s="5"/>
    </row>
    <row r="3872" spans="1:9" x14ac:dyDescent="0.3">
      <c r="B3872" s="5" t="s">
        <v>3583</v>
      </c>
      <c r="C3872" s="5" t="s">
        <v>10</v>
      </c>
      <c r="D3872" s="5" t="s">
        <v>3584</v>
      </c>
      <c r="E3872" s="5" t="s">
        <v>3586</v>
      </c>
      <c r="F3872" s="5" t="s">
        <v>1643</v>
      </c>
      <c r="G3872" s="5" t="s">
        <v>1644</v>
      </c>
      <c r="H3872" s="5"/>
      <c r="I3872" s="6">
        <v>275</v>
      </c>
    </row>
    <row r="3873" spans="1:9" x14ac:dyDescent="0.3">
      <c r="A3873" s="7" t="s">
        <v>3587</v>
      </c>
      <c r="H3873" s="8">
        <f>H3870+H3871+H3872</f>
        <v>275</v>
      </c>
      <c r="I3873" s="8">
        <f>I3870+I3871+I3872</f>
        <v>275</v>
      </c>
    </row>
    <row r="3874" spans="1:9" x14ac:dyDescent="0.3">
      <c r="A3874" s="4" t="s">
        <v>3588</v>
      </c>
    </row>
    <row r="3875" spans="1:9" x14ac:dyDescent="0.3">
      <c r="B3875" s="5" t="s">
        <v>3583</v>
      </c>
      <c r="C3875" s="5" t="s">
        <v>10</v>
      </c>
      <c r="D3875" s="5" t="s">
        <v>3589</v>
      </c>
      <c r="E3875" s="5" t="s">
        <v>3590</v>
      </c>
      <c r="F3875" s="5" t="s">
        <v>50</v>
      </c>
      <c r="G3875" s="5" t="s">
        <v>51</v>
      </c>
      <c r="H3875" s="6">
        <v>500</v>
      </c>
      <c r="I3875" s="5"/>
    </row>
    <row r="3876" spans="1:9" x14ac:dyDescent="0.3">
      <c r="B3876" s="5" t="s">
        <v>3583</v>
      </c>
      <c r="C3876" s="5" t="s">
        <v>10</v>
      </c>
      <c r="D3876" s="5" t="s">
        <v>3589</v>
      </c>
      <c r="E3876" s="5" t="s">
        <v>3590</v>
      </c>
      <c r="F3876" s="5" t="s">
        <v>1643</v>
      </c>
      <c r="G3876" s="5" t="s">
        <v>1644</v>
      </c>
      <c r="H3876" s="5"/>
      <c r="I3876" s="6">
        <v>500</v>
      </c>
    </row>
    <row r="3877" spans="1:9" x14ac:dyDescent="0.3">
      <c r="A3877" s="7" t="s">
        <v>3591</v>
      </c>
      <c r="H3877" s="8">
        <f>H3875+H3876</f>
        <v>500</v>
      </c>
      <c r="I3877" s="8">
        <f>I3875+I3876</f>
        <v>500</v>
      </c>
    </row>
    <row r="3878" spans="1:9" x14ac:dyDescent="0.3">
      <c r="A3878" s="4" t="s">
        <v>3592</v>
      </c>
    </row>
    <row r="3879" spans="1:9" x14ac:dyDescent="0.3">
      <c r="B3879" s="5" t="s">
        <v>3583</v>
      </c>
      <c r="C3879" s="5" t="s">
        <v>10</v>
      </c>
      <c r="D3879" s="5" t="s">
        <v>3593</v>
      </c>
      <c r="E3879" s="5" t="s">
        <v>3594</v>
      </c>
      <c r="F3879" s="5" t="s">
        <v>67</v>
      </c>
      <c r="G3879" s="5" t="s">
        <v>68</v>
      </c>
      <c r="H3879" s="6">
        <v>50</v>
      </c>
      <c r="I3879" s="5"/>
    </row>
    <row r="3880" spans="1:9" x14ac:dyDescent="0.3">
      <c r="B3880" s="5" t="s">
        <v>3583</v>
      </c>
      <c r="C3880" s="5" t="s">
        <v>10</v>
      </c>
      <c r="D3880" s="5" t="s">
        <v>3593</v>
      </c>
      <c r="E3880" s="5" t="s">
        <v>3594</v>
      </c>
      <c r="F3880" s="5" t="s">
        <v>1643</v>
      </c>
      <c r="G3880" s="5" t="s">
        <v>1644</v>
      </c>
      <c r="H3880" s="5"/>
      <c r="I3880" s="6">
        <v>50</v>
      </c>
    </row>
    <row r="3881" spans="1:9" x14ac:dyDescent="0.3">
      <c r="A3881" s="7" t="s">
        <v>3595</v>
      </c>
      <c r="H3881" s="8">
        <f>H3879+H3880</f>
        <v>50</v>
      </c>
      <c r="I3881" s="8">
        <f>I3879+I3880</f>
        <v>50</v>
      </c>
    </row>
    <row r="3882" spans="1:9" x14ac:dyDescent="0.3">
      <c r="A3882" s="4" t="s">
        <v>3596</v>
      </c>
    </row>
    <row r="3883" spans="1:9" x14ac:dyDescent="0.3">
      <c r="B3883" s="5" t="s">
        <v>3597</v>
      </c>
      <c r="C3883" s="5" t="s">
        <v>10</v>
      </c>
      <c r="D3883" s="5" t="s">
        <v>3598</v>
      </c>
      <c r="E3883" s="5" t="s">
        <v>3599</v>
      </c>
      <c r="F3883" s="5" t="s">
        <v>67</v>
      </c>
      <c r="G3883" s="5" t="s">
        <v>68</v>
      </c>
      <c r="H3883" s="6">
        <v>140</v>
      </c>
      <c r="I3883" s="5"/>
    </row>
    <row r="3884" spans="1:9" x14ac:dyDescent="0.3">
      <c r="B3884" s="5" t="s">
        <v>3597</v>
      </c>
      <c r="C3884" s="5" t="s">
        <v>10</v>
      </c>
      <c r="D3884" s="5" t="s">
        <v>3598</v>
      </c>
      <c r="E3884" s="5" t="s">
        <v>3600</v>
      </c>
      <c r="F3884" s="5" t="s">
        <v>1643</v>
      </c>
      <c r="G3884" s="5" t="s">
        <v>1644</v>
      </c>
      <c r="H3884" s="5"/>
      <c r="I3884" s="6">
        <v>140</v>
      </c>
    </row>
    <row r="3885" spans="1:9" x14ac:dyDescent="0.3">
      <c r="A3885" s="7" t="s">
        <v>3601</v>
      </c>
      <c r="H3885" s="8">
        <f>H3883+H3884</f>
        <v>140</v>
      </c>
      <c r="I3885" s="8">
        <f>I3883+I3884</f>
        <v>140</v>
      </c>
    </row>
    <row r="3886" spans="1:9" x14ac:dyDescent="0.3">
      <c r="A3886" s="4" t="s">
        <v>3602</v>
      </c>
    </row>
    <row r="3887" spans="1:9" x14ac:dyDescent="0.3">
      <c r="B3887" s="5" t="s">
        <v>3603</v>
      </c>
      <c r="C3887" s="5" t="s">
        <v>10</v>
      </c>
      <c r="D3887" s="5" t="s">
        <v>3604</v>
      </c>
      <c r="E3887" s="5" t="s">
        <v>3605</v>
      </c>
      <c r="F3887" s="5" t="s">
        <v>61</v>
      </c>
      <c r="G3887" s="5" t="s">
        <v>62</v>
      </c>
      <c r="H3887" s="6">
        <v>330</v>
      </c>
      <c r="I3887" s="5"/>
    </row>
    <row r="3888" spans="1:9" x14ac:dyDescent="0.3">
      <c r="B3888" s="5" t="s">
        <v>3603</v>
      </c>
      <c r="C3888" s="5" t="s">
        <v>10</v>
      </c>
      <c r="D3888" s="5" t="s">
        <v>3604</v>
      </c>
      <c r="E3888" s="5" t="s">
        <v>3605</v>
      </c>
      <c r="F3888" s="5" t="s">
        <v>1643</v>
      </c>
      <c r="G3888" s="5" t="s">
        <v>1644</v>
      </c>
      <c r="H3888" s="5"/>
      <c r="I3888" s="6">
        <v>330</v>
      </c>
    </row>
    <row r="3889" spans="1:9" x14ac:dyDescent="0.3">
      <c r="A3889" s="7" t="s">
        <v>3606</v>
      </c>
      <c r="H3889" s="8">
        <f>H3887+H3888</f>
        <v>330</v>
      </c>
      <c r="I3889" s="8">
        <f>I3887+I3888</f>
        <v>330</v>
      </c>
    </row>
    <row r="3890" spans="1:9" x14ac:dyDescent="0.3">
      <c r="A3890" s="4" t="s">
        <v>3607</v>
      </c>
    </row>
    <row r="3891" spans="1:9" x14ac:dyDescent="0.3">
      <c r="B3891" s="5" t="s">
        <v>3603</v>
      </c>
      <c r="C3891" s="5" t="s">
        <v>10</v>
      </c>
      <c r="D3891" s="5" t="s">
        <v>3608</v>
      </c>
      <c r="E3891" s="5" t="s">
        <v>3609</v>
      </c>
      <c r="F3891" s="5" t="s">
        <v>23</v>
      </c>
      <c r="G3891" s="5" t="s">
        <v>24</v>
      </c>
      <c r="H3891" s="6">
        <v>33000</v>
      </c>
      <c r="I3891" s="5"/>
    </row>
    <row r="3892" spans="1:9" x14ac:dyDescent="0.3">
      <c r="B3892" s="5" t="s">
        <v>3603</v>
      </c>
      <c r="C3892" s="5" t="s">
        <v>10</v>
      </c>
      <c r="D3892" s="5" t="s">
        <v>3608</v>
      </c>
      <c r="E3892" s="5" t="s">
        <v>3609</v>
      </c>
      <c r="F3892" s="5" t="s">
        <v>29</v>
      </c>
      <c r="G3892" s="5" t="s">
        <v>30</v>
      </c>
      <c r="H3892" s="5"/>
      <c r="I3892" s="6">
        <v>3000</v>
      </c>
    </row>
    <row r="3893" spans="1:9" x14ac:dyDescent="0.3">
      <c r="B3893" s="5" t="s">
        <v>3603</v>
      </c>
      <c r="C3893" s="5" t="s">
        <v>10</v>
      </c>
      <c r="D3893" s="5" t="s">
        <v>3608</v>
      </c>
      <c r="E3893" s="5" t="s">
        <v>3609</v>
      </c>
      <c r="F3893" s="5" t="s">
        <v>26</v>
      </c>
      <c r="G3893" s="5" t="s">
        <v>27</v>
      </c>
      <c r="H3893" s="5"/>
      <c r="I3893" s="6">
        <v>30000</v>
      </c>
    </row>
    <row r="3894" spans="1:9" x14ac:dyDescent="0.3">
      <c r="B3894" s="5" t="s">
        <v>3603</v>
      </c>
      <c r="C3894" s="5" t="s">
        <v>10</v>
      </c>
      <c r="D3894" s="5" t="s">
        <v>3608</v>
      </c>
      <c r="E3894" s="5" t="s">
        <v>3610</v>
      </c>
      <c r="F3894" s="5" t="s">
        <v>23</v>
      </c>
      <c r="G3894" s="5" t="s">
        <v>24</v>
      </c>
      <c r="H3894" s="6">
        <v>3000</v>
      </c>
      <c r="I3894" s="5"/>
    </row>
    <row r="3895" spans="1:9" x14ac:dyDescent="0.3">
      <c r="B3895" s="5" t="s">
        <v>3603</v>
      </c>
      <c r="C3895" s="5" t="s">
        <v>10</v>
      </c>
      <c r="D3895" s="5" t="s">
        <v>3608</v>
      </c>
      <c r="E3895" s="5" t="s">
        <v>3610</v>
      </c>
      <c r="F3895" s="5" t="s">
        <v>26</v>
      </c>
      <c r="G3895" s="5" t="s">
        <v>27</v>
      </c>
      <c r="H3895" s="5"/>
      <c r="I3895" s="6">
        <v>3000</v>
      </c>
    </row>
    <row r="3896" spans="1:9" x14ac:dyDescent="0.3">
      <c r="A3896" s="7" t="s">
        <v>3611</v>
      </c>
      <c r="H3896" s="8">
        <f>H3891+H3892+H3893+H3894+H3895</f>
        <v>36000</v>
      </c>
      <c r="I3896" s="8">
        <f>I3891+I3892+I3893+I3894+I3895</f>
        <v>36000</v>
      </c>
    </row>
    <row r="3897" spans="1:9" x14ac:dyDescent="0.3">
      <c r="A3897" s="4" t="s">
        <v>3612</v>
      </c>
    </row>
    <row r="3898" spans="1:9" x14ac:dyDescent="0.3">
      <c r="B3898" s="5" t="s">
        <v>3613</v>
      </c>
      <c r="C3898" s="5" t="s">
        <v>2745</v>
      </c>
      <c r="D3898" s="5" t="s">
        <v>2750</v>
      </c>
      <c r="E3898" s="5" t="s">
        <v>3614</v>
      </c>
      <c r="F3898" s="5" t="s">
        <v>2748</v>
      </c>
      <c r="G3898" s="5" t="s">
        <v>2749</v>
      </c>
      <c r="H3898" s="6">
        <v>1580</v>
      </c>
      <c r="I3898" s="5"/>
    </row>
    <row r="3899" spans="1:9" x14ac:dyDescent="0.3">
      <c r="B3899" s="5" t="s">
        <v>3613</v>
      </c>
      <c r="C3899" s="5" t="s">
        <v>2745</v>
      </c>
      <c r="D3899" s="5" t="s">
        <v>2750</v>
      </c>
      <c r="E3899" s="5" t="s">
        <v>2750</v>
      </c>
      <c r="F3899" s="5" t="s">
        <v>847</v>
      </c>
      <c r="G3899" s="5" t="s">
        <v>848</v>
      </c>
      <c r="H3899" s="5"/>
      <c r="I3899" s="6">
        <v>1580</v>
      </c>
    </row>
    <row r="3900" spans="1:9" x14ac:dyDescent="0.3">
      <c r="A3900" s="7" t="s">
        <v>3615</v>
      </c>
      <c r="H3900" s="8">
        <f>H3898+H3899</f>
        <v>1580</v>
      </c>
      <c r="I3900" s="8">
        <f>I3898+I3899</f>
        <v>1580</v>
      </c>
    </row>
    <row r="3901" spans="1:9" x14ac:dyDescent="0.3">
      <c r="A3901" s="4" t="s">
        <v>3616</v>
      </c>
    </row>
    <row r="3902" spans="1:9" x14ac:dyDescent="0.3">
      <c r="B3902" s="5" t="s">
        <v>3613</v>
      </c>
      <c r="C3902" s="5" t="s">
        <v>10</v>
      </c>
      <c r="D3902" s="5" t="s">
        <v>3617</v>
      </c>
      <c r="E3902" s="5" t="s">
        <v>3618</v>
      </c>
      <c r="F3902" s="5" t="s">
        <v>1643</v>
      </c>
      <c r="G3902" s="5" t="s">
        <v>1644</v>
      </c>
      <c r="H3902" s="6">
        <v>150000</v>
      </c>
      <c r="I3902" s="5"/>
    </row>
    <row r="3903" spans="1:9" x14ac:dyDescent="0.3">
      <c r="B3903" s="5" t="s">
        <v>3613</v>
      </c>
      <c r="C3903" s="5" t="s">
        <v>10</v>
      </c>
      <c r="D3903" s="5" t="s">
        <v>3617</v>
      </c>
      <c r="E3903" s="5" t="s">
        <v>3618</v>
      </c>
      <c r="F3903" s="5" t="s">
        <v>2748</v>
      </c>
      <c r="G3903" s="5" t="s">
        <v>2749</v>
      </c>
      <c r="H3903" s="5"/>
      <c r="I3903" s="6">
        <v>150000</v>
      </c>
    </row>
    <row r="3904" spans="1:9" x14ac:dyDescent="0.3">
      <c r="B3904" s="5" t="s">
        <v>3613</v>
      </c>
      <c r="C3904" s="5" t="s">
        <v>10</v>
      </c>
      <c r="D3904" s="5" t="s">
        <v>3617</v>
      </c>
      <c r="E3904" s="5" t="s">
        <v>3619</v>
      </c>
      <c r="F3904" s="5" t="s">
        <v>1763</v>
      </c>
      <c r="G3904" s="5" t="s">
        <v>1764</v>
      </c>
      <c r="H3904" s="6">
        <v>900</v>
      </c>
      <c r="I3904" s="5"/>
    </row>
    <row r="3905" spans="1:9" x14ac:dyDescent="0.3">
      <c r="B3905" s="5" t="s">
        <v>3613</v>
      </c>
      <c r="C3905" s="5" t="s">
        <v>10</v>
      </c>
      <c r="D3905" s="5" t="s">
        <v>3617</v>
      </c>
      <c r="E3905" s="5" t="s">
        <v>3619</v>
      </c>
      <c r="F3905" s="5" t="s">
        <v>2748</v>
      </c>
      <c r="G3905" s="5" t="s">
        <v>2749</v>
      </c>
      <c r="H3905" s="5"/>
      <c r="I3905" s="6">
        <v>900</v>
      </c>
    </row>
    <row r="3906" spans="1:9" x14ac:dyDescent="0.3">
      <c r="A3906" s="7" t="s">
        <v>3620</v>
      </c>
      <c r="H3906" s="8">
        <f>H3902+H3903+H3904+H3905</f>
        <v>150900</v>
      </c>
      <c r="I3906" s="8">
        <f>I3902+I3903+I3904+I3905</f>
        <v>150900</v>
      </c>
    </row>
    <row r="3907" spans="1:9" x14ac:dyDescent="0.3">
      <c r="A3907" s="4" t="s">
        <v>3621</v>
      </c>
    </row>
    <row r="3908" spans="1:9" ht="21.6" x14ac:dyDescent="0.3">
      <c r="B3908" s="5" t="s">
        <v>3613</v>
      </c>
      <c r="C3908" s="5" t="s">
        <v>10</v>
      </c>
      <c r="D3908" s="5" t="s">
        <v>3622</v>
      </c>
      <c r="E3908" s="5" t="s">
        <v>3623</v>
      </c>
      <c r="F3908" s="5" t="s">
        <v>2602</v>
      </c>
      <c r="G3908" s="5" t="s">
        <v>2603</v>
      </c>
      <c r="H3908" s="6">
        <v>90000</v>
      </c>
      <c r="I3908" s="5"/>
    </row>
    <row r="3909" spans="1:9" x14ac:dyDescent="0.3">
      <c r="B3909" s="5" t="s">
        <v>3613</v>
      </c>
      <c r="C3909" s="5" t="s">
        <v>10</v>
      </c>
      <c r="D3909" s="5" t="s">
        <v>3622</v>
      </c>
      <c r="E3909" s="5" t="s">
        <v>3624</v>
      </c>
      <c r="F3909" s="5" t="s">
        <v>1936</v>
      </c>
      <c r="G3909" s="5" t="s">
        <v>1937</v>
      </c>
      <c r="H3909" s="6">
        <v>400</v>
      </c>
      <c r="I3909" s="5"/>
    </row>
    <row r="3910" spans="1:9" ht="21.6" x14ac:dyDescent="0.3">
      <c r="B3910" s="5" t="s">
        <v>3613</v>
      </c>
      <c r="C3910" s="5" t="s">
        <v>10</v>
      </c>
      <c r="D3910" s="5" t="s">
        <v>3622</v>
      </c>
      <c r="E3910" s="5" t="s">
        <v>3623</v>
      </c>
      <c r="F3910" s="5" t="s">
        <v>1643</v>
      </c>
      <c r="G3910" s="5" t="s">
        <v>1644</v>
      </c>
      <c r="H3910" s="5"/>
      <c r="I3910" s="6">
        <v>90400</v>
      </c>
    </row>
    <row r="3911" spans="1:9" x14ac:dyDescent="0.3">
      <c r="B3911" s="5" t="s">
        <v>3613</v>
      </c>
      <c r="C3911" s="5" t="s">
        <v>10</v>
      </c>
      <c r="D3911" s="5" t="s">
        <v>3622</v>
      </c>
      <c r="E3911" s="5" t="s">
        <v>3625</v>
      </c>
      <c r="F3911" s="5" t="s">
        <v>831</v>
      </c>
      <c r="G3911" s="5" t="s">
        <v>832</v>
      </c>
      <c r="H3911" s="6">
        <v>35000</v>
      </c>
      <c r="I3911" s="5"/>
    </row>
    <row r="3912" spans="1:9" x14ac:dyDescent="0.3">
      <c r="B3912" s="5" t="s">
        <v>3613</v>
      </c>
      <c r="C3912" s="5" t="s">
        <v>10</v>
      </c>
      <c r="D3912" s="5" t="s">
        <v>3622</v>
      </c>
      <c r="E3912" s="5" t="s">
        <v>3626</v>
      </c>
      <c r="F3912" s="5" t="s">
        <v>831</v>
      </c>
      <c r="G3912" s="5" t="s">
        <v>832</v>
      </c>
      <c r="H3912" s="6">
        <v>25000</v>
      </c>
      <c r="I3912" s="5"/>
    </row>
    <row r="3913" spans="1:9" x14ac:dyDescent="0.3">
      <c r="B3913" s="5" t="s">
        <v>3613</v>
      </c>
      <c r="C3913" s="5" t="s">
        <v>10</v>
      </c>
      <c r="D3913" s="5" t="s">
        <v>3622</v>
      </c>
      <c r="E3913" s="5" t="s">
        <v>3627</v>
      </c>
      <c r="F3913" s="5" t="s">
        <v>831</v>
      </c>
      <c r="G3913" s="5" t="s">
        <v>832</v>
      </c>
      <c r="H3913" s="6">
        <v>30000</v>
      </c>
      <c r="I3913" s="5"/>
    </row>
    <row r="3914" spans="1:9" x14ac:dyDescent="0.3">
      <c r="B3914" s="5" t="s">
        <v>3613</v>
      </c>
      <c r="C3914" s="5" t="s">
        <v>10</v>
      </c>
      <c r="D3914" s="5" t="s">
        <v>3622</v>
      </c>
      <c r="E3914" s="5" t="s">
        <v>3628</v>
      </c>
      <c r="F3914" s="5" t="s">
        <v>2602</v>
      </c>
      <c r="G3914" s="5" t="s">
        <v>2603</v>
      </c>
      <c r="H3914" s="5"/>
      <c r="I3914" s="6">
        <v>90000</v>
      </c>
    </row>
    <row r="3915" spans="1:9" x14ac:dyDescent="0.3">
      <c r="A3915" s="7" t="s">
        <v>3629</v>
      </c>
      <c r="H3915" s="8">
        <f>H3908+H3909+H3910+H3911+H3912+H3913+H3914</f>
        <v>180400</v>
      </c>
      <c r="I3915" s="8">
        <f>I3908+I3909+I3910+I3911+I3912+I3913+I3914</f>
        <v>180400</v>
      </c>
    </row>
    <row r="3916" spans="1:9" x14ac:dyDescent="0.3">
      <c r="A3916" s="4" t="s">
        <v>3630</v>
      </c>
    </row>
    <row r="3917" spans="1:9" x14ac:dyDescent="0.3">
      <c r="B3917" s="5" t="s">
        <v>3613</v>
      </c>
      <c r="C3917" s="5" t="s">
        <v>10</v>
      </c>
      <c r="D3917" s="5" t="s">
        <v>3631</v>
      </c>
      <c r="E3917" s="5" t="s">
        <v>3632</v>
      </c>
      <c r="F3917" s="5" t="s">
        <v>867</v>
      </c>
      <c r="G3917" s="5" t="s">
        <v>868</v>
      </c>
      <c r="H3917" s="6">
        <v>284</v>
      </c>
      <c r="I3917" s="5"/>
    </row>
    <row r="3918" spans="1:9" x14ac:dyDescent="0.3">
      <c r="B3918" s="5" t="s">
        <v>3613</v>
      </c>
      <c r="C3918" s="5" t="s">
        <v>10</v>
      </c>
      <c r="D3918" s="5" t="s">
        <v>3631</v>
      </c>
      <c r="E3918" s="5" t="s">
        <v>3632</v>
      </c>
      <c r="F3918" s="5" t="s">
        <v>2729</v>
      </c>
      <c r="G3918" s="5" t="s">
        <v>2730</v>
      </c>
      <c r="H3918" s="5"/>
      <c r="I3918" s="6">
        <v>284</v>
      </c>
    </row>
    <row r="3919" spans="1:9" x14ac:dyDescent="0.3">
      <c r="B3919" s="5" t="s">
        <v>3613</v>
      </c>
      <c r="C3919" s="5" t="s">
        <v>10</v>
      </c>
      <c r="D3919" s="5" t="s">
        <v>3631</v>
      </c>
      <c r="E3919" s="5" t="s">
        <v>2750</v>
      </c>
      <c r="F3919" s="5" t="s">
        <v>2750</v>
      </c>
      <c r="G3919" s="5" t="s">
        <v>2750</v>
      </c>
      <c r="H3919" s="5"/>
      <c r="I3919" s="5"/>
    </row>
    <row r="3920" spans="1:9" x14ac:dyDescent="0.3">
      <c r="A3920" s="7" t="s">
        <v>3633</v>
      </c>
      <c r="H3920" s="8">
        <f>H3917+H3918+H3919</f>
        <v>284</v>
      </c>
      <c r="I3920" s="8">
        <f>I3917+I3918+I3919</f>
        <v>284</v>
      </c>
    </row>
    <row r="3921" spans="1:9" x14ac:dyDescent="0.3">
      <c r="A3921" s="4" t="s">
        <v>3634</v>
      </c>
    </row>
    <row r="3922" spans="1:9" x14ac:dyDescent="0.3">
      <c r="B3922" s="5" t="s">
        <v>3613</v>
      </c>
      <c r="C3922" s="5" t="s">
        <v>10</v>
      </c>
      <c r="D3922" s="5" t="s">
        <v>3635</v>
      </c>
      <c r="E3922" s="5" t="s">
        <v>3636</v>
      </c>
      <c r="F3922" s="5" t="s">
        <v>831</v>
      </c>
      <c r="G3922" s="5" t="s">
        <v>832</v>
      </c>
      <c r="H3922" s="6">
        <v>20000</v>
      </c>
      <c r="I3922" s="5"/>
    </row>
    <row r="3923" spans="1:9" x14ac:dyDescent="0.3">
      <c r="B3923" s="5" t="s">
        <v>3613</v>
      </c>
      <c r="C3923" s="5" t="s">
        <v>10</v>
      </c>
      <c r="D3923" s="5" t="s">
        <v>3635</v>
      </c>
      <c r="E3923" s="5" t="s">
        <v>3637</v>
      </c>
      <c r="F3923" s="5" t="s">
        <v>1643</v>
      </c>
      <c r="G3923" s="5" t="s">
        <v>1644</v>
      </c>
      <c r="H3923" s="5"/>
      <c r="I3923" s="6">
        <v>20000</v>
      </c>
    </row>
    <row r="3924" spans="1:9" x14ac:dyDescent="0.3">
      <c r="B3924" s="5" t="s">
        <v>3613</v>
      </c>
      <c r="C3924" s="5" t="s">
        <v>10</v>
      </c>
      <c r="D3924" s="5" t="s">
        <v>3635</v>
      </c>
      <c r="E3924" s="5" t="s">
        <v>3638</v>
      </c>
      <c r="F3924" s="5" t="s">
        <v>831</v>
      </c>
      <c r="G3924" s="5" t="s">
        <v>832</v>
      </c>
      <c r="H3924" s="6">
        <v>30000</v>
      </c>
      <c r="I3924" s="5"/>
    </row>
    <row r="3925" spans="1:9" x14ac:dyDescent="0.3">
      <c r="B3925" s="5" t="s">
        <v>3613</v>
      </c>
      <c r="C3925" s="5" t="s">
        <v>10</v>
      </c>
      <c r="D3925" s="5" t="s">
        <v>3635</v>
      </c>
      <c r="E3925" s="5" t="s">
        <v>3638</v>
      </c>
      <c r="F3925" s="5" t="s">
        <v>1643</v>
      </c>
      <c r="G3925" s="5" t="s">
        <v>1644</v>
      </c>
      <c r="H3925" s="5"/>
      <c r="I3925" s="6">
        <v>30000</v>
      </c>
    </row>
    <row r="3926" spans="1:9" x14ac:dyDescent="0.3">
      <c r="A3926" s="7" t="s">
        <v>3639</v>
      </c>
      <c r="H3926" s="8">
        <f>H3922+H3923+H3924+H3925</f>
        <v>50000</v>
      </c>
      <c r="I3926" s="8">
        <f>I3922+I3923+I3924+I3925</f>
        <v>50000</v>
      </c>
    </row>
    <row r="3927" spans="1:9" x14ac:dyDescent="0.3">
      <c r="A3927" s="4" t="s">
        <v>3640</v>
      </c>
    </row>
    <row r="3928" spans="1:9" x14ac:dyDescent="0.3">
      <c r="B3928" s="5" t="s">
        <v>3613</v>
      </c>
      <c r="C3928" s="5" t="s">
        <v>10</v>
      </c>
      <c r="D3928" s="5" t="s">
        <v>3641</v>
      </c>
      <c r="E3928" s="5" t="s">
        <v>3055</v>
      </c>
      <c r="F3928" s="5" t="s">
        <v>61</v>
      </c>
      <c r="G3928" s="5" t="s">
        <v>62</v>
      </c>
      <c r="H3928" s="6">
        <v>460</v>
      </c>
      <c r="I3928" s="5"/>
    </row>
    <row r="3929" spans="1:9" x14ac:dyDescent="0.3">
      <c r="B3929" s="5" t="s">
        <v>3613</v>
      </c>
      <c r="C3929" s="5" t="s">
        <v>10</v>
      </c>
      <c r="D3929" s="5" t="s">
        <v>3641</v>
      </c>
      <c r="E3929" s="5" t="s">
        <v>3055</v>
      </c>
      <c r="F3929" s="5" t="s">
        <v>1643</v>
      </c>
      <c r="G3929" s="5" t="s">
        <v>1644</v>
      </c>
      <c r="H3929" s="5"/>
      <c r="I3929" s="6">
        <v>460</v>
      </c>
    </row>
    <row r="3930" spans="1:9" x14ac:dyDescent="0.3">
      <c r="A3930" s="7" t="s">
        <v>3642</v>
      </c>
      <c r="H3930" s="8">
        <f>H3928+H3929</f>
        <v>460</v>
      </c>
      <c r="I3930" s="8">
        <f>I3928+I3929</f>
        <v>460</v>
      </c>
    </row>
    <row r="3931" spans="1:9" x14ac:dyDescent="0.3">
      <c r="A3931" s="4" t="s">
        <v>3643</v>
      </c>
    </row>
    <row r="3932" spans="1:9" x14ac:dyDescent="0.3">
      <c r="B3932" s="5" t="s">
        <v>3644</v>
      </c>
      <c r="C3932" s="5" t="s">
        <v>2745</v>
      </c>
      <c r="D3932" s="5" t="s">
        <v>2750</v>
      </c>
      <c r="E3932" s="5" t="s">
        <v>3645</v>
      </c>
      <c r="F3932" s="5" t="s">
        <v>2748</v>
      </c>
      <c r="G3932" s="5" t="s">
        <v>2749</v>
      </c>
      <c r="H3932" s="6">
        <v>8103</v>
      </c>
      <c r="I3932" s="5"/>
    </row>
    <row r="3933" spans="1:9" x14ac:dyDescent="0.3">
      <c r="B3933" s="5" t="s">
        <v>3644</v>
      </c>
      <c r="C3933" s="5" t="s">
        <v>2745</v>
      </c>
      <c r="D3933" s="5" t="s">
        <v>2750</v>
      </c>
      <c r="E3933" s="5" t="s">
        <v>2750</v>
      </c>
      <c r="F3933" s="5" t="s">
        <v>847</v>
      </c>
      <c r="G3933" s="5" t="s">
        <v>848</v>
      </c>
      <c r="H3933" s="5"/>
      <c r="I3933" s="6">
        <v>8103</v>
      </c>
    </row>
    <row r="3934" spans="1:9" x14ac:dyDescent="0.3">
      <c r="A3934" s="7" t="s">
        <v>3646</v>
      </c>
      <c r="H3934" s="8">
        <f>H3932+H3933</f>
        <v>8103</v>
      </c>
      <c r="I3934" s="8">
        <f>I3932+I3933</f>
        <v>8103</v>
      </c>
    </row>
    <row r="3935" spans="1:9" x14ac:dyDescent="0.3">
      <c r="A3935" s="4" t="s">
        <v>3647</v>
      </c>
    </row>
    <row r="3936" spans="1:9" x14ac:dyDescent="0.3">
      <c r="B3936" s="5" t="s">
        <v>3644</v>
      </c>
      <c r="C3936" s="5" t="s">
        <v>2745</v>
      </c>
      <c r="D3936" s="5" t="s">
        <v>2750</v>
      </c>
      <c r="E3936" s="5" t="s">
        <v>3645</v>
      </c>
      <c r="F3936" s="5" t="s">
        <v>2748</v>
      </c>
      <c r="G3936" s="5" t="s">
        <v>2749</v>
      </c>
      <c r="H3936" s="6">
        <v>31909</v>
      </c>
      <c r="I3936" s="5"/>
    </row>
    <row r="3937" spans="1:9" x14ac:dyDescent="0.3">
      <c r="B3937" s="5" t="s">
        <v>3644</v>
      </c>
      <c r="C3937" s="5" t="s">
        <v>2745</v>
      </c>
      <c r="D3937" s="5" t="s">
        <v>2750</v>
      </c>
      <c r="E3937" s="5" t="s">
        <v>2750</v>
      </c>
      <c r="F3937" s="5" t="s">
        <v>847</v>
      </c>
      <c r="G3937" s="5" t="s">
        <v>848</v>
      </c>
      <c r="H3937" s="5"/>
      <c r="I3937" s="6">
        <v>31909</v>
      </c>
    </row>
    <row r="3938" spans="1:9" x14ac:dyDescent="0.3">
      <c r="A3938" s="7" t="s">
        <v>3648</v>
      </c>
      <c r="H3938" s="8">
        <f>H3936+H3937</f>
        <v>31909</v>
      </c>
      <c r="I3938" s="8">
        <f>I3936+I3937</f>
        <v>31909</v>
      </c>
    </row>
    <row r="3939" spans="1:9" x14ac:dyDescent="0.3">
      <c r="A3939" s="4" t="s">
        <v>3649</v>
      </c>
    </row>
    <row r="3940" spans="1:9" x14ac:dyDescent="0.3">
      <c r="B3940" s="5" t="s">
        <v>3644</v>
      </c>
      <c r="C3940" s="5" t="s">
        <v>2745</v>
      </c>
      <c r="D3940" s="5" t="s">
        <v>2750</v>
      </c>
      <c r="E3940" s="5" t="s">
        <v>2750</v>
      </c>
      <c r="F3940" s="5" t="s">
        <v>2748</v>
      </c>
      <c r="G3940" s="5" t="s">
        <v>2749</v>
      </c>
      <c r="H3940" s="6">
        <v>19667</v>
      </c>
      <c r="I3940" s="5"/>
    </row>
    <row r="3941" spans="1:9" x14ac:dyDescent="0.3">
      <c r="B3941" s="5" t="s">
        <v>3644</v>
      </c>
      <c r="C3941" s="5" t="s">
        <v>2745</v>
      </c>
      <c r="D3941" s="5" t="s">
        <v>2750</v>
      </c>
      <c r="E3941" s="5" t="s">
        <v>2750</v>
      </c>
      <c r="F3941" s="5" t="s">
        <v>847</v>
      </c>
      <c r="G3941" s="5" t="s">
        <v>848</v>
      </c>
      <c r="H3941" s="5"/>
      <c r="I3941" s="6">
        <v>19667</v>
      </c>
    </row>
    <row r="3942" spans="1:9" x14ac:dyDescent="0.3">
      <c r="A3942" s="7" t="s">
        <v>3650</v>
      </c>
      <c r="H3942" s="8">
        <f>H3940+H3941</f>
        <v>19667</v>
      </c>
      <c r="I3942" s="8">
        <f>I3940+I3941</f>
        <v>19667</v>
      </c>
    </row>
    <row r="3943" spans="1:9" x14ac:dyDescent="0.3">
      <c r="A3943" s="4" t="s">
        <v>3651</v>
      </c>
    </row>
    <row r="3944" spans="1:9" x14ac:dyDescent="0.3">
      <c r="B3944" s="5" t="s">
        <v>3644</v>
      </c>
      <c r="C3944" s="5" t="s">
        <v>844</v>
      </c>
      <c r="D3944" s="5" t="s">
        <v>3652</v>
      </c>
      <c r="E3944" s="5" t="s">
        <v>3653</v>
      </c>
      <c r="F3944" s="5" t="s">
        <v>847</v>
      </c>
      <c r="G3944" s="5" t="s">
        <v>848</v>
      </c>
      <c r="H3944" s="6">
        <v>35400</v>
      </c>
      <c r="I3944" s="5"/>
    </row>
    <row r="3945" spans="1:9" x14ac:dyDescent="0.3">
      <c r="B3945" s="5" t="s">
        <v>3644</v>
      </c>
      <c r="C3945" s="5" t="s">
        <v>844</v>
      </c>
      <c r="D3945" s="5" t="s">
        <v>3652</v>
      </c>
      <c r="E3945" s="5" t="s">
        <v>3653</v>
      </c>
      <c r="F3945" s="5" t="s">
        <v>831</v>
      </c>
      <c r="G3945" s="5" t="s">
        <v>832</v>
      </c>
      <c r="H3945" s="5"/>
      <c r="I3945" s="6">
        <v>30000</v>
      </c>
    </row>
    <row r="3946" spans="1:9" x14ac:dyDescent="0.3">
      <c r="B3946" s="5" t="s">
        <v>3644</v>
      </c>
      <c r="C3946" s="5" t="s">
        <v>844</v>
      </c>
      <c r="D3946" s="5" t="s">
        <v>3652</v>
      </c>
      <c r="E3946" s="5" t="s">
        <v>3653</v>
      </c>
      <c r="F3946" s="5" t="s">
        <v>867</v>
      </c>
      <c r="G3946" s="5" t="s">
        <v>868</v>
      </c>
      <c r="H3946" s="5"/>
      <c r="I3946" s="6">
        <v>5400</v>
      </c>
    </row>
    <row r="3947" spans="1:9" x14ac:dyDescent="0.3">
      <c r="A3947" s="7" t="s">
        <v>3654</v>
      </c>
      <c r="H3947" s="8">
        <f>H3944+H3945+H3946</f>
        <v>35400</v>
      </c>
      <c r="I3947" s="8">
        <f>I3944+I3945+I3946</f>
        <v>35400</v>
      </c>
    </row>
    <row r="3948" spans="1:9" x14ac:dyDescent="0.3">
      <c r="A3948" s="4" t="s">
        <v>3655</v>
      </c>
    </row>
    <row r="3949" spans="1:9" x14ac:dyDescent="0.3">
      <c r="B3949" s="5" t="s">
        <v>3644</v>
      </c>
      <c r="C3949" s="5" t="s">
        <v>844</v>
      </c>
      <c r="D3949" s="5" t="s">
        <v>3656</v>
      </c>
      <c r="E3949" s="5" t="s">
        <v>3657</v>
      </c>
      <c r="F3949" s="5" t="s">
        <v>847</v>
      </c>
      <c r="G3949" s="5" t="s">
        <v>848</v>
      </c>
      <c r="H3949" s="6">
        <v>23600</v>
      </c>
      <c r="I3949" s="5"/>
    </row>
    <row r="3950" spans="1:9" x14ac:dyDescent="0.3">
      <c r="B3950" s="5" t="s">
        <v>3644</v>
      </c>
      <c r="C3950" s="5" t="s">
        <v>844</v>
      </c>
      <c r="D3950" s="5" t="s">
        <v>3656</v>
      </c>
      <c r="E3950" s="5" t="s">
        <v>3657</v>
      </c>
      <c r="F3950" s="5" t="s">
        <v>831</v>
      </c>
      <c r="G3950" s="5" t="s">
        <v>832</v>
      </c>
      <c r="H3950" s="5"/>
      <c r="I3950" s="6">
        <v>20000</v>
      </c>
    </row>
    <row r="3951" spans="1:9" x14ac:dyDescent="0.3">
      <c r="B3951" s="5" t="s">
        <v>3644</v>
      </c>
      <c r="C3951" s="5" t="s">
        <v>844</v>
      </c>
      <c r="D3951" s="5" t="s">
        <v>3656</v>
      </c>
      <c r="E3951" s="5" t="s">
        <v>3657</v>
      </c>
      <c r="F3951" s="5" t="s">
        <v>867</v>
      </c>
      <c r="G3951" s="5" t="s">
        <v>868</v>
      </c>
      <c r="H3951" s="5"/>
      <c r="I3951" s="6">
        <v>3600</v>
      </c>
    </row>
    <row r="3952" spans="1:9" x14ac:dyDescent="0.3">
      <c r="A3952" s="7" t="s">
        <v>3658</v>
      </c>
      <c r="H3952" s="8">
        <f>H3949+H3950+H3951</f>
        <v>23600</v>
      </c>
      <c r="I3952" s="8">
        <f>I3949+I3950+I3951</f>
        <v>23600</v>
      </c>
    </row>
    <row r="3953" spans="1:9" x14ac:dyDescent="0.3">
      <c r="A3953" s="4" t="s">
        <v>3659</v>
      </c>
    </row>
    <row r="3954" spans="1:9" x14ac:dyDescent="0.3">
      <c r="B3954" s="5" t="s">
        <v>3644</v>
      </c>
      <c r="C3954" s="5" t="s">
        <v>10</v>
      </c>
      <c r="D3954" s="5" t="s">
        <v>3660</v>
      </c>
      <c r="E3954" s="5" t="s">
        <v>3661</v>
      </c>
      <c r="F3954" s="5" t="s">
        <v>867</v>
      </c>
      <c r="G3954" s="5" t="s">
        <v>868</v>
      </c>
      <c r="H3954" s="6">
        <v>3540</v>
      </c>
      <c r="I3954" s="5"/>
    </row>
    <row r="3955" spans="1:9" x14ac:dyDescent="0.3">
      <c r="B3955" s="5" t="s">
        <v>3644</v>
      </c>
      <c r="C3955" s="5" t="s">
        <v>10</v>
      </c>
      <c r="D3955" s="5" t="s">
        <v>3660</v>
      </c>
      <c r="E3955" s="5" t="s">
        <v>3661</v>
      </c>
      <c r="F3955" s="5" t="s">
        <v>2729</v>
      </c>
      <c r="G3955" s="5" t="s">
        <v>2730</v>
      </c>
      <c r="H3955" s="5"/>
      <c r="I3955" s="6">
        <v>3540</v>
      </c>
    </row>
    <row r="3956" spans="1:9" x14ac:dyDescent="0.3">
      <c r="B3956" s="5" t="s">
        <v>3644</v>
      </c>
      <c r="C3956" s="5" t="s">
        <v>10</v>
      </c>
      <c r="D3956" s="5" t="s">
        <v>3660</v>
      </c>
      <c r="E3956" s="5" t="s">
        <v>3661</v>
      </c>
      <c r="F3956" s="5" t="s">
        <v>867</v>
      </c>
      <c r="G3956" s="5" t="s">
        <v>868</v>
      </c>
      <c r="H3956" s="6">
        <v>5744</v>
      </c>
      <c r="I3956" s="5"/>
    </row>
    <row r="3957" spans="1:9" x14ac:dyDescent="0.3">
      <c r="B3957" s="5" t="s">
        <v>3644</v>
      </c>
      <c r="C3957" s="5" t="s">
        <v>10</v>
      </c>
      <c r="D3957" s="5" t="s">
        <v>3660</v>
      </c>
      <c r="E3957" s="5" t="s">
        <v>3661</v>
      </c>
      <c r="F3957" s="5" t="s">
        <v>2729</v>
      </c>
      <c r="G3957" s="5" t="s">
        <v>2730</v>
      </c>
      <c r="H3957" s="5"/>
      <c r="I3957" s="6">
        <v>5744</v>
      </c>
    </row>
    <row r="3958" spans="1:9" x14ac:dyDescent="0.3">
      <c r="B3958" s="5" t="s">
        <v>3644</v>
      </c>
      <c r="C3958" s="5" t="s">
        <v>10</v>
      </c>
      <c r="D3958" s="5" t="s">
        <v>3660</v>
      </c>
      <c r="E3958" s="5" t="s">
        <v>3661</v>
      </c>
      <c r="F3958" s="5" t="s">
        <v>867</v>
      </c>
      <c r="G3958" s="5" t="s">
        <v>868</v>
      </c>
      <c r="H3958" s="6">
        <v>1459</v>
      </c>
      <c r="I3958" s="5"/>
    </row>
    <row r="3959" spans="1:9" x14ac:dyDescent="0.3">
      <c r="B3959" s="5" t="s">
        <v>3644</v>
      </c>
      <c r="C3959" s="5" t="s">
        <v>10</v>
      </c>
      <c r="D3959" s="5" t="s">
        <v>3660</v>
      </c>
      <c r="E3959" s="5" t="s">
        <v>3661</v>
      </c>
      <c r="F3959" s="5" t="s">
        <v>2729</v>
      </c>
      <c r="G3959" s="5" t="s">
        <v>2730</v>
      </c>
      <c r="H3959" s="5"/>
      <c r="I3959" s="6">
        <v>1459</v>
      </c>
    </row>
    <row r="3960" spans="1:9" x14ac:dyDescent="0.3">
      <c r="A3960" s="7" t="s">
        <v>3662</v>
      </c>
      <c r="H3960" s="8">
        <f>H3954+H3955+H3956+H3957+H3958+H3959</f>
        <v>10743</v>
      </c>
      <c r="I3960" s="8">
        <f>I3954+I3955+I3956+I3957+I3958+I3959</f>
        <v>10743</v>
      </c>
    </row>
    <row r="3961" spans="1:9" x14ac:dyDescent="0.3">
      <c r="A3961" s="4" t="s">
        <v>3663</v>
      </c>
    </row>
    <row r="3962" spans="1:9" x14ac:dyDescent="0.3">
      <c r="B3962" s="5" t="s">
        <v>3644</v>
      </c>
      <c r="C3962" s="5" t="s">
        <v>10</v>
      </c>
      <c r="D3962" s="5" t="s">
        <v>3664</v>
      </c>
      <c r="E3962" s="5" t="s">
        <v>3665</v>
      </c>
      <c r="F3962" s="5" t="s">
        <v>1643</v>
      </c>
      <c r="G3962" s="5" t="s">
        <v>1644</v>
      </c>
      <c r="H3962" s="6">
        <v>500</v>
      </c>
      <c r="I3962" s="5"/>
    </row>
    <row r="3963" spans="1:9" x14ac:dyDescent="0.3">
      <c r="B3963" s="5" t="s">
        <v>3644</v>
      </c>
      <c r="C3963" s="5" t="s">
        <v>10</v>
      </c>
      <c r="D3963" s="5" t="s">
        <v>3664</v>
      </c>
      <c r="E3963" s="5" t="s">
        <v>3665</v>
      </c>
      <c r="F3963" s="5" t="s">
        <v>13</v>
      </c>
      <c r="G3963" s="5" t="s">
        <v>14</v>
      </c>
      <c r="H3963" s="5"/>
      <c r="I3963" s="6">
        <v>500</v>
      </c>
    </row>
    <row r="3964" spans="1:9" x14ac:dyDescent="0.3">
      <c r="B3964" s="5" t="s">
        <v>3644</v>
      </c>
      <c r="C3964" s="5" t="s">
        <v>10</v>
      </c>
      <c r="D3964" s="5" t="s">
        <v>3664</v>
      </c>
      <c r="E3964" s="5" t="s">
        <v>3666</v>
      </c>
      <c r="F3964" s="5" t="s">
        <v>1936</v>
      </c>
      <c r="G3964" s="5" t="s">
        <v>1937</v>
      </c>
      <c r="H3964" s="6">
        <v>500</v>
      </c>
      <c r="I3964" s="5"/>
    </row>
    <row r="3965" spans="1:9" x14ac:dyDescent="0.3">
      <c r="B3965" s="5" t="s">
        <v>3644</v>
      </c>
      <c r="C3965" s="5" t="s">
        <v>10</v>
      </c>
      <c r="D3965" s="5" t="s">
        <v>3664</v>
      </c>
      <c r="E3965" s="5" t="s">
        <v>3666</v>
      </c>
      <c r="F3965" s="5" t="s">
        <v>1643</v>
      </c>
      <c r="G3965" s="5" t="s">
        <v>1644</v>
      </c>
      <c r="H3965" s="5"/>
      <c r="I3965" s="6">
        <v>500</v>
      </c>
    </row>
    <row r="3966" spans="1:9" x14ac:dyDescent="0.3">
      <c r="B3966" s="5" t="s">
        <v>3644</v>
      </c>
      <c r="C3966" s="5" t="s">
        <v>10</v>
      </c>
      <c r="D3966" s="5" t="s">
        <v>3664</v>
      </c>
      <c r="E3966" s="5" t="s">
        <v>2750</v>
      </c>
      <c r="F3966" s="5" t="s">
        <v>2750</v>
      </c>
      <c r="G3966" s="5" t="s">
        <v>2750</v>
      </c>
      <c r="H3966" s="5"/>
      <c r="I3966" s="5"/>
    </row>
    <row r="3967" spans="1:9" x14ac:dyDescent="0.3">
      <c r="A3967" s="7" t="s">
        <v>3667</v>
      </c>
      <c r="H3967" s="8">
        <f>H3962+H3963+H3964+H3965+H3966</f>
        <v>1000</v>
      </c>
      <c r="I3967" s="8">
        <f>I3962+I3963+I3964+I3965+I3966</f>
        <v>1000</v>
      </c>
    </row>
    <row r="3968" spans="1:9" x14ac:dyDescent="0.3">
      <c r="A3968" s="4" t="s">
        <v>3668</v>
      </c>
    </row>
    <row r="3969" spans="1:9" x14ac:dyDescent="0.3">
      <c r="B3969" s="5" t="s">
        <v>3644</v>
      </c>
      <c r="C3969" s="5" t="s">
        <v>10</v>
      </c>
      <c r="D3969" s="5" t="s">
        <v>3669</v>
      </c>
      <c r="E3969" s="5" t="s">
        <v>3670</v>
      </c>
      <c r="F3969" s="5" t="s">
        <v>67</v>
      </c>
      <c r="G3969" s="5" t="s">
        <v>68</v>
      </c>
      <c r="H3969" s="6">
        <v>270</v>
      </c>
      <c r="I3969" s="5"/>
    </row>
    <row r="3970" spans="1:9" x14ac:dyDescent="0.3">
      <c r="B3970" s="5" t="s">
        <v>3644</v>
      </c>
      <c r="C3970" s="5" t="s">
        <v>10</v>
      </c>
      <c r="D3970" s="5" t="s">
        <v>3669</v>
      </c>
      <c r="E3970" s="5" t="s">
        <v>3670</v>
      </c>
      <c r="F3970" s="5" t="s">
        <v>1643</v>
      </c>
      <c r="G3970" s="5" t="s">
        <v>1644</v>
      </c>
      <c r="H3970" s="5"/>
      <c r="I3970" s="6">
        <v>270</v>
      </c>
    </row>
    <row r="3971" spans="1:9" x14ac:dyDescent="0.3">
      <c r="A3971" s="7" t="s">
        <v>3671</v>
      </c>
      <c r="H3971" s="8">
        <f>H3969+H3970</f>
        <v>270</v>
      </c>
      <c r="I3971" s="8">
        <f>I3969+I3970</f>
        <v>270</v>
      </c>
    </row>
    <row r="3972" spans="1:9" x14ac:dyDescent="0.3">
      <c r="A3972" s="4" t="s">
        <v>3672</v>
      </c>
    </row>
    <row r="3973" spans="1:9" x14ac:dyDescent="0.3">
      <c r="B3973" s="5" t="s">
        <v>3644</v>
      </c>
      <c r="C3973" s="5" t="s">
        <v>10</v>
      </c>
      <c r="D3973" s="5" t="s">
        <v>3673</v>
      </c>
      <c r="E3973" s="5" t="s">
        <v>3517</v>
      </c>
      <c r="F3973" s="5" t="s">
        <v>61</v>
      </c>
      <c r="G3973" s="5" t="s">
        <v>62</v>
      </c>
      <c r="H3973" s="6">
        <v>940</v>
      </c>
      <c r="I3973" s="5"/>
    </row>
    <row r="3974" spans="1:9" x14ac:dyDescent="0.3">
      <c r="B3974" s="5" t="s">
        <v>3644</v>
      </c>
      <c r="C3974" s="5" t="s">
        <v>10</v>
      </c>
      <c r="D3974" s="5" t="s">
        <v>3673</v>
      </c>
      <c r="E3974" s="5" t="s">
        <v>3517</v>
      </c>
      <c r="F3974" s="5" t="s">
        <v>1643</v>
      </c>
      <c r="G3974" s="5" t="s">
        <v>1644</v>
      </c>
      <c r="H3974" s="5"/>
      <c r="I3974" s="6">
        <v>940</v>
      </c>
    </row>
    <row r="3975" spans="1:9" x14ac:dyDescent="0.3">
      <c r="A3975" s="7" t="s">
        <v>3674</v>
      </c>
      <c r="H3975" s="8">
        <f>H3973+H3974</f>
        <v>940</v>
      </c>
      <c r="I3975" s="8">
        <f>I3973+I3974</f>
        <v>940</v>
      </c>
    </row>
    <row r="3976" spans="1:9" x14ac:dyDescent="0.3">
      <c r="A3976" s="4" t="s">
        <v>3675</v>
      </c>
    </row>
    <row r="3977" spans="1:9" x14ac:dyDescent="0.3">
      <c r="B3977" s="5" t="s">
        <v>3644</v>
      </c>
      <c r="C3977" s="5" t="s">
        <v>10</v>
      </c>
      <c r="D3977" s="5" t="s">
        <v>3676</v>
      </c>
      <c r="E3977" s="5" t="s">
        <v>3677</v>
      </c>
      <c r="F3977" s="5" t="s">
        <v>67</v>
      </c>
      <c r="G3977" s="5" t="s">
        <v>68</v>
      </c>
      <c r="H3977" s="6">
        <v>40</v>
      </c>
      <c r="I3977" s="5"/>
    </row>
    <row r="3978" spans="1:9" x14ac:dyDescent="0.3">
      <c r="B3978" s="5" t="s">
        <v>3644</v>
      </c>
      <c r="C3978" s="5" t="s">
        <v>10</v>
      </c>
      <c r="D3978" s="5" t="s">
        <v>3676</v>
      </c>
      <c r="E3978" s="5" t="s">
        <v>3677</v>
      </c>
      <c r="F3978" s="5" t="s">
        <v>3115</v>
      </c>
      <c r="G3978" s="5" t="s">
        <v>3116</v>
      </c>
      <c r="H3978" s="6">
        <v>200</v>
      </c>
      <c r="I3978" s="5"/>
    </row>
    <row r="3979" spans="1:9" x14ac:dyDescent="0.3">
      <c r="B3979" s="5" t="s">
        <v>3644</v>
      </c>
      <c r="C3979" s="5" t="s">
        <v>10</v>
      </c>
      <c r="D3979" s="5" t="s">
        <v>3676</v>
      </c>
      <c r="E3979" s="5" t="s">
        <v>3677</v>
      </c>
      <c r="F3979" s="5" t="s">
        <v>1643</v>
      </c>
      <c r="G3979" s="5" t="s">
        <v>1644</v>
      </c>
      <c r="H3979" s="5"/>
      <c r="I3979" s="6">
        <v>240</v>
      </c>
    </row>
    <row r="3980" spans="1:9" x14ac:dyDescent="0.3">
      <c r="A3980" s="7" t="s">
        <v>3678</v>
      </c>
      <c r="H3980" s="8">
        <f>H3977+H3978+H3979</f>
        <v>240</v>
      </c>
      <c r="I3980" s="8">
        <f>I3977+I3978+I3979</f>
        <v>240</v>
      </c>
    </row>
    <row r="3981" spans="1:9" x14ac:dyDescent="0.3">
      <c r="A3981" s="4" t="s">
        <v>3679</v>
      </c>
    </row>
    <row r="3982" spans="1:9" x14ac:dyDescent="0.3">
      <c r="B3982" s="5" t="s">
        <v>3644</v>
      </c>
      <c r="C3982" s="5" t="s">
        <v>10</v>
      </c>
      <c r="D3982" s="5" t="s">
        <v>3680</v>
      </c>
      <c r="E3982" s="5" t="s">
        <v>3681</v>
      </c>
      <c r="F3982" s="5" t="s">
        <v>67</v>
      </c>
      <c r="G3982" s="5" t="s">
        <v>68</v>
      </c>
      <c r="H3982" s="6">
        <v>150</v>
      </c>
      <c r="I3982" s="5"/>
    </row>
    <row r="3983" spans="1:9" x14ac:dyDescent="0.3">
      <c r="B3983" s="5" t="s">
        <v>3644</v>
      </c>
      <c r="C3983" s="5" t="s">
        <v>10</v>
      </c>
      <c r="D3983" s="5" t="s">
        <v>3680</v>
      </c>
      <c r="E3983" s="5" t="s">
        <v>3681</v>
      </c>
      <c r="F3983" s="5" t="s">
        <v>1643</v>
      </c>
      <c r="G3983" s="5" t="s">
        <v>1644</v>
      </c>
      <c r="H3983" s="5"/>
      <c r="I3983" s="6">
        <v>150</v>
      </c>
    </row>
    <row r="3984" spans="1:9" x14ac:dyDescent="0.3">
      <c r="A3984" s="7" t="s">
        <v>3682</v>
      </c>
      <c r="H3984" s="8">
        <f>H3982+H3983</f>
        <v>150</v>
      </c>
      <c r="I3984" s="8">
        <f>I3982+I3983</f>
        <v>150</v>
      </c>
    </row>
    <row r="3985" spans="1:9" x14ac:dyDescent="0.3">
      <c r="A3985" s="4" t="s">
        <v>3683</v>
      </c>
    </row>
    <row r="3986" spans="1:9" x14ac:dyDescent="0.3">
      <c r="B3986" s="5" t="s">
        <v>3684</v>
      </c>
      <c r="C3986" s="5" t="s">
        <v>10</v>
      </c>
      <c r="D3986" s="5" t="s">
        <v>3685</v>
      </c>
      <c r="E3986" s="5" t="s">
        <v>1597</v>
      </c>
      <c r="F3986" s="5" t="s">
        <v>61</v>
      </c>
      <c r="G3986" s="5" t="s">
        <v>62</v>
      </c>
      <c r="H3986" s="6">
        <v>230</v>
      </c>
      <c r="I3986" s="5"/>
    </row>
    <row r="3987" spans="1:9" x14ac:dyDescent="0.3">
      <c r="B3987" s="5" t="s">
        <v>3684</v>
      </c>
      <c r="C3987" s="5" t="s">
        <v>10</v>
      </c>
      <c r="D3987" s="5" t="s">
        <v>3685</v>
      </c>
      <c r="E3987" s="5" t="s">
        <v>1597</v>
      </c>
      <c r="F3987" s="5" t="s">
        <v>1643</v>
      </c>
      <c r="G3987" s="5" t="s">
        <v>1644</v>
      </c>
      <c r="H3987" s="5"/>
      <c r="I3987" s="6">
        <v>230</v>
      </c>
    </row>
    <row r="3988" spans="1:9" x14ac:dyDescent="0.3">
      <c r="A3988" s="7" t="s">
        <v>3686</v>
      </c>
      <c r="H3988" s="8">
        <f>H3986+H3987</f>
        <v>230</v>
      </c>
      <c r="I3988" s="8">
        <f>I3986+I3987</f>
        <v>230</v>
      </c>
    </row>
    <row r="3989" spans="1:9" x14ac:dyDescent="0.3">
      <c r="A3989" s="4" t="s">
        <v>3687</v>
      </c>
    </row>
    <row r="3990" spans="1:9" x14ac:dyDescent="0.3">
      <c r="B3990" s="5" t="s">
        <v>3684</v>
      </c>
      <c r="C3990" s="5" t="s">
        <v>2745</v>
      </c>
      <c r="D3990" s="5" t="s">
        <v>2750</v>
      </c>
      <c r="E3990" s="5" t="s">
        <v>3688</v>
      </c>
      <c r="F3990" s="5" t="s">
        <v>2748</v>
      </c>
      <c r="G3990" s="5" t="s">
        <v>2749</v>
      </c>
      <c r="H3990" s="6">
        <v>2520</v>
      </c>
      <c r="I3990" s="5"/>
    </row>
    <row r="3991" spans="1:9" x14ac:dyDescent="0.3">
      <c r="B3991" s="5" t="s">
        <v>3684</v>
      </c>
      <c r="C3991" s="5" t="s">
        <v>2745</v>
      </c>
      <c r="D3991" s="5" t="s">
        <v>2750</v>
      </c>
      <c r="E3991" s="5" t="s">
        <v>2750</v>
      </c>
      <c r="F3991" s="5" t="s">
        <v>847</v>
      </c>
      <c r="G3991" s="5" t="s">
        <v>848</v>
      </c>
      <c r="H3991" s="5"/>
      <c r="I3991" s="6">
        <v>2520</v>
      </c>
    </row>
    <row r="3992" spans="1:9" x14ac:dyDescent="0.3">
      <c r="A3992" s="7" t="s">
        <v>3689</v>
      </c>
      <c r="H3992" s="8">
        <f>H3990+H3991</f>
        <v>2520</v>
      </c>
      <c r="I3992" s="8">
        <f>I3990+I3991</f>
        <v>2520</v>
      </c>
    </row>
    <row r="3993" spans="1:9" x14ac:dyDescent="0.3">
      <c r="A3993" s="4" t="s">
        <v>3690</v>
      </c>
    </row>
    <row r="3994" spans="1:9" x14ac:dyDescent="0.3">
      <c r="B3994" s="5" t="s">
        <v>3684</v>
      </c>
      <c r="C3994" s="5" t="s">
        <v>10</v>
      </c>
      <c r="D3994" s="5" t="s">
        <v>3691</v>
      </c>
      <c r="E3994" s="5" t="s">
        <v>3692</v>
      </c>
      <c r="F3994" s="5" t="s">
        <v>867</v>
      </c>
      <c r="G3994" s="5" t="s">
        <v>868</v>
      </c>
      <c r="H3994" s="6">
        <v>453.6</v>
      </c>
      <c r="I3994" s="5"/>
    </row>
    <row r="3995" spans="1:9" x14ac:dyDescent="0.3">
      <c r="B3995" s="5" t="s">
        <v>3684</v>
      </c>
      <c r="C3995" s="5" t="s">
        <v>10</v>
      </c>
      <c r="D3995" s="5" t="s">
        <v>3691</v>
      </c>
      <c r="E3995" s="5" t="s">
        <v>3692</v>
      </c>
      <c r="F3995" s="5" t="s">
        <v>2729</v>
      </c>
      <c r="G3995" s="5" t="s">
        <v>2730</v>
      </c>
      <c r="H3995" s="5"/>
      <c r="I3995" s="6">
        <v>453.6</v>
      </c>
    </row>
    <row r="3996" spans="1:9" x14ac:dyDescent="0.3">
      <c r="A3996" s="7" t="s">
        <v>3693</v>
      </c>
      <c r="H3996" s="8">
        <f>H3994+H3995</f>
        <v>453.6</v>
      </c>
      <c r="I3996" s="8">
        <f>I3994+I3995</f>
        <v>453.6</v>
      </c>
    </row>
    <row r="3997" spans="1:9" x14ac:dyDescent="0.3">
      <c r="A3997" s="4" t="s">
        <v>3694</v>
      </c>
    </row>
    <row r="3998" spans="1:9" x14ac:dyDescent="0.3">
      <c r="B3998" s="5" t="s">
        <v>3695</v>
      </c>
      <c r="C3998" s="5" t="s">
        <v>2745</v>
      </c>
      <c r="D3998" s="5" t="s">
        <v>2750</v>
      </c>
      <c r="E3998" s="5" t="s">
        <v>2750</v>
      </c>
      <c r="F3998" s="5" t="s">
        <v>2748</v>
      </c>
      <c r="G3998" s="5" t="s">
        <v>2749</v>
      </c>
      <c r="H3998" s="6">
        <v>7811</v>
      </c>
      <c r="I3998" s="5"/>
    </row>
    <row r="3999" spans="1:9" x14ac:dyDescent="0.3">
      <c r="B3999" s="5" t="s">
        <v>3695</v>
      </c>
      <c r="C3999" s="5" t="s">
        <v>2745</v>
      </c>
      <c r="D3999" s="5" t="s">
        <v>2750</v>
      </c>
      <c r="E3999" s="5" t="s">
        <v>2750</v>
      </c>
      <c r="F3999" s="5" t="s">
        <v>847</v>
      </c>
      <c r="G3999" s="5" t="s">
        <v>848</v>
      </c>
      <c r="H3999" s="5"/>
      <c r="I3999" s="6">
        <v>7811</v>
      </c>
    </row>
    <row r="4000" spans="1:9" x14ac:dyDescent="0.3">
      <c r="A4000" s="7" t="s">
        <v>3696</v>
      </c>
      <c r="H4000" s="8">
        <f>H3998+H3999</f>
        <v>7811</v>
      </c>
      <c r="I4000" s="8">
        <f>I3998+I3999</f>
        <v>7811</v>
      </c>
    </row>
    <row r="4001" spans="1:9" x14ac:dyDescent="0.3">
      <c r="A4001" s="4" t="s">
        <v>3697</v>
      </c>
    </row>
    <row r="4002" spans="1:9" x14ac:dyDescent="0.3">
      <c r="B4002" s="5" t="s">
        <v>3695</v>
      </c>
      <c r="C4002" s="5" t="s">
        <v>2745</v>
      </c>
      <c r="D4002" s="5" t="s">
        <v>2750</v>
      </c>
      <c r="E4002" s="5" t="s">
        <v>2750</v>
      </c>
      <c r="F4002" s="5" t="s">
        <v>2748</v>
      </c>
      <c r="G4002" s="5" t="s">
        <v>2749</v>
      </c>
      <c r="H4002" s="6">
        <v>7869</v>
      </c>
      <c r="I4002" s="5"/>
    </row>
    <row r="4003" spans="1:9" x14ac:dyDescent="0.3">
      <c r="B4003" s="5" t="s">
        <v>3695</v>
      </c>
      <c r="C4003" s="5" t="s">
        <v>2745</v>
      </c>
      <c r="D4003" s="5" t="s">
        <v>2750</v>
      </c>
      <c r="E4003" s="5" t="s">
        <v>2750</v>
      </c>
      <c r="F4003" s="5" t="s">
        <v>847</v>
      </c>
      <c r="G4003" s="5" t="s">
        <v>848</v>
      </c>
      <c r="H4003" s="5"/>
      <c r="I4003" s="6">
        <v>7869</v>
      </c>
    </row>
    <row r="4004" spans="1:9" x14ac:dyDescent="0.3">
      <c r="A4004" s="7" t="s">
        <v>3698</v>
      </c>
      <c r="H4004" s="8">
        <f>H4002+H4003</f>
        <v>7869</v>
      </c>
      <c r="I4004" s="8">
        <f>I4002+I4003</f>
        <v>7869</v>
      </c>
    </row>
    <row r="4005" spans="1:9" x14ac:dyDescent="0.3">
      <c r="A4005" s="4" t="s">
        <v>3699</v>
      </c>
    </row>
    <row r="4006" spans="1:9" x14ac:dyDescent="0.3">
      <c r="B4006" s="5" t="s">
        <v>3695</v>
      </c>
      <c r="C4006" s="5" t="s">
        <v>10</v>
      </c>
      <c r="D4006" s="5" t="s">
        <v>3700</v>
      </c>
      <c r="E4006" s="5" t="s">
        <v>3701</v>
      </c>
      <c r="F4006" s="5" t="s">
        <v>61</v>
      </c>
      <c r="G4006" s="5" t="s">
        <v>62</v>
      </c>
      <c r="H4006" s="6">
        <v>290</v>
      </c>
      <c r="I4006" s="5"/>
    </row>
    <row r="4007" spans="1:9" x14ac:dyDescent="0.3">
      <c r="B4007" s="5" t="s">
        <v>3695</v>
      </c>
      <c r="C4007" s="5" t="s">
        <v>10</v>
      </c>
      <c r="D4007" s="5" t="s">
        <v>3700</v>
      </c>
      <c r="E4007" s="5" t="s">
        <v>3701</v>
      </c>
      <c r="F4007" s="5" t="s">
        <v>1643</v>
      </c>
      <c r="G4007" s="5" t="s">
        <v>1644</v>
      </c>
      <c r="H4007" s="5"/>
      <c r="I4007" s="6">
        <v>290</v>
      </c>
    </row>
    <row r="4008" spans="1:9" x14ac:dyDescent="0.3">
      <c r="A4008" s="7" t="s">
        <v>3702</v>
      </c>
      <c r="H4008" s="8">
        <f>H4006+H4007</f>
        <v>290</v>
      </c>
      <c r="I4008" s="8">
        <f>I4006+I4007</f>
        <v>290</v>
      </c>
    </row>
    <row r="4009" spans="1:9" x14ac:dyDescent="0.3">
      <c r="A4009" s="4" t="s">
        <v>3703</v>
      </c>
    </row>
    <row r="4010" spans="1:9" x14ac:dyDescent="0.3">
      <c r="B4010" s="5" t="s">
        <v>3695</v>
      </c>
      <c r="C4010" s="5" t="s">
        <v>10</v>
      </c>
      <c r="D4010" s="5" t="s">
        <v>3704</v>
      </c>
      <c r="E4010" s="5" t="s">
        <v>3705</v>
      </c>
      <c r="F4010" s="5" t="s">
        <v>67</v>
      </c>
      <c r="G4010" s="5" t="s">
        <v>68</v>
      </c>
      <c r="H4010" s="6">
        <v>50</v>
      </c>
      <c r="I4010" s="5"/>
    </row>
    <row r="4011" spans="1:9" x14ac:dyDescent="0.3">
      <c r="B4011" s="5" t="s">
        <v>3695</v>
      </c>
      <c r="C4011" s="5" t="s">
        <v>10</v>
      </c>
      <c r="D4011" s="5" t="s">
        <v>3704</v>
      </c>
      <c r="E4011" s="5" t="s">
        <v>3705</v>
      </c>
      <c r="F4011" s="5" t="s">
        <v>1643</v>
      </c>
      <c r="G4011" s="5" t="s">
        <v>1644</v>
      </c>
      <c r="H4011" s="5"/>
      <c r="I4011" s="6">
        <v>50</v>
      </c>
    </row>
    <row r="4012" spans="1:9" x14ac:dyDescent="0.3">
      <c r="A4012" s="7" t="s">
        <v>3706</v>
      </c>
      <c r="H4012" s="8">
        <f>H4010+H4011</f>
        <v>50</v>
      </c>
      <c r="I4012" s="8">
        <f>I4010+I4011</f>
        <v>50</v>
      </c>
    </row>
    <row r="4013" spans="1:9" x14ac:dyDescent="0.3">
      <c r="A4013" s="4" t="s">
        <v>3707</v>
      </c>
    </row>
    <row r="4014" spans="1:9" x14ac:dyDescent="0.3">
      <c r="B4014" s="5" t="s">
        <v>3695</v>
      </c>
      <c r="C4014" s="5" t="s">
        <v>10</v>
      </c>
      <c r="D4014" s="5" t="s">
        <v>3708</v>
      </c>
      <c r="E4014" s="5" t="s">
        <v>3709</v>
      </c>
      <c r="F4014" s="5" t="s">
        <v>867</v>
      </c>
      <c r="G4014" s="5" t="s">
        <v>868</v>
      </c>
      <c r="H4014" s="6">
        <v>1416</v>
      </c>
      <c r="I4014" s="5"/>
    </row>
    <row r="4015" spans="1:9" x14ac:dyDescent="0.3">
      <c r="B4015" s="5" t="s">
        <v>3695</v>
      </c>
      <c r="C4015" s="5" t="s">
        <v>10</v>
      </c>
      <c r="D4015" s="5" t="s">
        <v>3708</v>
      </c>
      <c r="E4015" s="5" t="s">
        <v>3709</v>
      </c>
      <c r="F4015" s="5" t="s">
        <v>2729</v>
      </c>
      <c r="G4015" s="5" t="s">
        <v>2730</v>
      </c>
      <c r="H4015" s="5"/>
      <c r="I4015" s="6">
        <v>1416</v>
      </c>
    </row>
    <row r="4016" spans="1:9" x14ac:dyDescent="0.3">
      <c r="B4016" s="5" t="s">
        <v>3695</v>
      </c>
      <c r="C4016" s="5" t="s">
        <v>10</v>
      </c>
      <c r="D4016" s="5" t="s">
        <v>3708</v>
      </c>
      <c r="E4016" s="5" t="s">
        <v>3710</v>
      </c>
      <c r="F4016" s="5" t="s">
        <v>867</v>
      </c>
      <c r="G4016" s="5" t="s">
        <v>868</v>
      </c>
      <c r="H4016" s="6">
        <v>1406</v>
      </c>
      <c r="I4016" s="5"/>
    </row>
    <row r="4017" spans="1:9" x14ac:dyDescent="0.3">
      <c r="B4017" s="5" t="s">
        <v>3695</v>
      </c>
      <c r="C4017" s="5" t="s">
        <v>10</v>
      </c>
      <c r="D4017" s="5" t="s">
        <v>3708</v>
      </c>
      <c r="E4017" s="5" t="s">
        <v>3710</v>
      </c>
      <c r="F4017" s="5" t="s">
        <v>2729</v>
      </c>
      <c r="G4017" s="5" t="s">
        <v>2730</v>
      </c>
      <c r="H4017" s="5"/>
      <c r="I4017" s="6">
        <v>1406</v>
      </c>
    </row>
    <row r="4018" spans="1:9" x14ac:dyDescent="0.3">
      <c r="A4018" s="7" t="s">
        <v>3711</v>
      </c>
      <c r="H4018" s="8">
        <f>H4014+H4015+H4016+H4017</f>
        <v>2822</v>
      </c>
      <c r="I4018" s="8">
        <f>I4014+I4015+I4016+I4017</f>
        <v>2822</v>
      </c>
    </row>
    <row r="4019" spans="1:9" x14ac:dyDescent="0.3">
      <c r="A4019" s="4" t="s">
        <v>3712</v>
      </c>
    </row>
    <row r="4020" spans="1:9" x14ac:dyDescent="0.3">
      <c r="B4020" s="5" t="s">
        <v>3713</v>
      </c>
      <c r="C4020" s="5" t="s">
        <v>10</v>
      </c>
      <c r="D4020" s="5" t="s">
        <v>3714</v>
      </c>
      <c r="E4020" s="5" t="s">
        <v>3715</v>
      </c>
      <c r="F4020" s="5" t="s">
        <v>61</v>
      </c>
      <c r="G4020" s="5" t="s">
        <v>62</v>
      </c>
      <c r="H4020" s="6">
        <v>410</v>
      </c>
      <c r="I4020" s="5"/>
    </row>
    <row r="4021" spans="1:9" x14ac:dyDescent="0.3">
      <c r="B4021" s="5" t="s">
        <v>3713</v>
      </c>
      <c r="C4021" s="5" t="s">
        <v>10</v>
      </c>
      <c r="D4021" s="5" t="s">
        <v>3714</v>
      </c>
      <c r="E4021" s="5" t="s">
        <v>3715</v>
      </c>
      <c r="F4021" s="5" t="s">
        <v>1643</v>
      </c>
      <c r="G4021" s="5" t="s">
        <v>1644</v>
      </c>
      <c r="H4021" s="5"/>
      <c r="I4021" s="6">
        <v>410</v>
      </c>
    </row>
    <row r="4022" spans="1:9" x14ac:dyDescent="0.3">
      <c r="A4022" s="7" t="s">
        <v>3716</v>
      </c>
      <c r="H4022" s="8">
        <f>H4020+H4021</f>
        <v>410</v>
      </c>
      <c r="I4022" s="8">
        <f>I4020+I4021</f>
        <v>410</v>
      </c>
    </row>
    <row r="4023" spans="1:9" x14ac:dyDescent="0.3">
      <c r="A4023" s="4" t="s">
        <v>3717</v>
      </c>
    </row>
    <row r="4024" spans="1:9" x14ac:dyDescent="0.3">
      <c r="B4024" s="5" t="s">
        <v>3718</v>
      </c>
      <c r="C4024" s="5" t="s">
        <v>10</v>
      </c>
      <c r="D4024" s="5" t="s">
        <v>3719</v>
      </c>
      <c r="E4024" s="5" t="s">
        <v>3715</v>
      </c>
      <c r="F4024" s="5" t="s">
        <v>61</v>
      </c>
      <c r="G4024" s="5" t="s">
        <v>62</v>
      </c>
      <c r="H4024" s="6">
        <v>320</v>
      </c>
      <c r="I4024" s="5"/>
    </row>
    <row r="4025" spans="1:9" x14ac:dyDescent="0.3">
      <c r="B4025" s="5" t="s">
        <v>3718</v>
      </c>
      <c r="C4025" s="5" t="s">
        <v>10</v>
      </c>
      <c r="D4025" s="5" t="s">
        <v>3719</v>
      </c>
      <c r="E4025" s="5" t="s">
        <v>3715</v>
      </c>
      <c r="F4025" s="5" t="s">
        <v>1643</v>
      </c>
      <c r="G4025" s="5" t="s">
        <v>1644</v>
      </c>
      <c r="H4025" s="5"/>
      <c r="I4025" s="6">
        <v>320</v>
      </c>
    </row>
    <row r="4026" spans="1:9" x14ac:dyDescent="0.3">
      <c r="A4026" s="7" t="s">
        <v>3720</v>
      </c>
      <c r="H4026" s="8">
        <f>H4024+H4025</f>
        <v>320</v>
      </c>
      <c r="I4026" s="8">
        <f>I4024+I4025</f>
        <v>320</v>
      </c>
    </row>
    <row r="4027" spans="1:9" x14ac:dyDescent="0.3">
      <c r="A4027" s="4" t="s">
        <v>3721</v>
      </c>
    </row>
    <row r="4028" spans="1:9" x14ac:dyDescent="0.3">
      <c r="B4028" s="5" t="s">
        <v>3718</v>
      </c>
      <c r="C4028" s="5" t="s">
        <v>10</v>
      </c>
      <c r="D4028" s="5" t="s">
        <v>3722</v>
      </c>
      <c r="E4028" s="5" t="s">
        <v>3723</v>
      </c>
      <c r="F4028" s="5" t="s">
        <v>1763</v>
      </c>
      <c r="G4028" s="5" t="s">
        <v>1764</v>
      </c>
      <c r="H4028" s="6">
        <v>1368.53</v>
      </c>
      <c r="I4028" s="5"/>
    </row>
    <row r="4029" spans="1:9" x14ac:dyDescent="0.3">
      <c r="B4029" s="5" t="s">
        <v>3718</v>
      </c>
      <c r="C4029" s="5" t="s">
        <v>10</v>
      </c>
      <c r="D4029" s="5" t="s">
        <v>3722</v>
      </c>
      <c r="E4029" s="5" t="s">
        <v>3723</v>
      </c>
      <c r="F4029" s="5" t="s">
        <v>649</v>
      </c>
      <c r="G4029" s="5" t="s">
        <v>650</v>
      </c>
      <c r="H4029" s="5"/>
      <c r="I4029" s="6">
        <v>668.1</v>
      </c>
    </row>
    <row r="4030" spans="1:9" x14ac:dyDescent="0.3">
      <c r="B4030" s="5" t="s">
        <v>3718</v>
      </c>
      <c r="C4030" s="5" t="s">
        <v>10</v>
      </c>
      <c r="D4030" s="5" t="s">
        <v>3722</v>
      </c>
      <c r="E4030" s="5" t="s">
        <v>3723</v>
      </c>
      <c r="F4030" s="5" t="s">
        <v>1799</v>
      </c>
      <c r="G4030" s="5" t="s">
        <v>1800</v>
      </c>
      <c r="H4030" s="5"/>
      <c r="I4030" s="6">
        <v>200.43</v>
      </c>
    </row>
    <row r="4031" spans="1:9" x14ac:dyDescent="0.3">
      <c r="B4031" s="5" t="s">
        <v>3718</v>
      </c>
      <c r="C4031" s="5" t="s">
        <v>10</v>
      </c>
      <c r="D4031" s="5" t="s">
        <v>3722</v>
      </c>
      <c r="E4031" s="5" t="s">
        <v>3723</v>
      </c>
      <c r="F4031" s="5" t="s">
        <v>1793</v>
      </c>
      <c r="G4031" s="5" t="s">
        <v>1794</v>
      </c>
      <c r="H4031" s="5"/>
      <c r="I4031" s="6">
        <v>150</v>
      </c>
    </row>
    <row r="4032" spans="1:9" x14ac:dyDescent="0.3">
      <c r="B4032" s="5" t="s">
        <v>3718</v>
      </c>
      <c r="C4032" s="5" t="s">
        <v>10</v>
      </c>
      <c r="D4032" s="5" t="s">
        <v>3722</v>
      </c>
      <c r="E4032" s="5" t="s">
        <v>3723</v>
      </c>
      <c r="F4032" s="5" t="s">
        <v>2748</v>
      </c>
      <c r="G4032" s="5" t="s">
        <v>2749</v>
      </c>
      <c r="H4032" s="5"/>
      <c r="I4032" s="6">
        <v>350</v>
      </c>
    </row>
    <row r="4033" spans="1:9" x14ac:dyDescent="0.3">
      <c r="A4033" s="7" t="s">
        <v>3724</v>
      </c>
      <c r="H4033" s="8">
        <f>H4028+H4029+H4030+H4031+H4032</f>
        <v>1368.53</v>
      </c>
      <c r="I4033" s="8">
        <f>I4028+I4029+I4030+I4031+I4032</f>
        <v>1368.53</v>
      </c>
    </row>
    <row r="4034" spans="1:9" x14ac:dyDescent="0.3">
      <c r="A4034" s="4" t="s">
        <v>3725</v>
      </c>
    </row>
    <row r="4035" spans="1:9" x14ac:dyDescent="0.3">
      <c r="B4035" s="5" t="s">
        <v>3718</v>
      </c>
      <c r="C4035" s="5" t="s">
        <v>10</v>
      </c>
      <c r="D4035" s="5" t="s">
        <v>3726</v>
      </c>
      <c r="E4035" s="5" t="s">
        <v>3727</v>
      </c>
      <c r="F4035" s="5" t="s">
        <v>1604</v>
      </c>
      <c r="G4035" s="5" t="s">
        <v>1605</v>
      </c>
      <c r="H4035" s="6">
        <v>2800</v>
      </c>
      <c r="I4035" s="5"/>
    </row>
    <row r="4036" spans="1:9" x14ac:dyDescent="0.3">
      <c r="B4036" s="5" t="s">
        <v>3718</v>
      </c>
      <c r="C4036" s="5" t="s">
        <v>10</v>
      </c>
      <c r="D4036" s="5" t="s">
        <v>3726</v>
      </c>
      <c r="E4036" s="5" t="s">
        <v>3727</v>
      </c>
      <c r="F4036" s="5" t="s">
        <v>1606</v>
      </c>
      <c r="G4036" s="5" t="s">
        <v>1607</v>
      </c>
      <c r="H4036" s="5"/>
      <c r="I4036" s="6">
        <v>2800</v>
      </c>
    </row>
    <row r="4037" spans="1:9" x14ac:dyDescent="0.3">
      <c r="A4037" s="7" t="s">
        <v>3728</v>
      </c>
      <c r="H4037" s="8">
        <f>H4035+H4036</f>
        <v>2800</v>
      </c>
      <c r="I4037" s="8">
        <f>I4035+I4036</f>
        <v>2800</v>
      </c>
    </row>
    <row r="4038" spans="1:9" x14ac:dyDescent="0.3">
      <c r="A4038" s="4" t="s">
        <v>3729</v>
      </c>
    </row>
    <row r="4039" spans="1:9" x14ac:dyDescent="0.3">
      <c r="B4039" s="5" t="s">
        <v>3718</v>
      </c>
      <c r="C4039" s="5" t="s">
        <v>10</v>
      </c>
      <c r="D4039" s="5" t="s">
        <v>3730</v>
      </c>
      <c r="E4039" s="5" t="s">
        <v>3731</v>
      </c>
      <c r="F4039" s="5" t="s">
        <v>1339</v>
      </c>
      <c r="G4039" s="5" t="s">
        <v>1340</v>
      </c>
      <c r="H4039" s="6">
        <v>13000</v>
      </c>
      <c r="I4039" s="5"/>
    </row>
    <row r="4040" spans="1:9" x14ac:dyDescent="0.3">
      <c r="B4040" s="5" t="s">
        <v>3718</v>
      </c>
      <c r="C4040" s="5" t="s">
        <v>10</v>
      </c>
      <c r="D4040" s="5" t="s">
        <v>3730</v>
      </c>
      <c r="E4040" s="5" t="s">
        <v>3732</v>
      </c>
      <c r="F4040" s="5" t="s">
        <v>1339</v>
      </c>
      <c r="G4040" s="5" t="s">
        <v>1340</v>
      </c>
      <c r="H4040" s="6">
        <v>6000</v>
      </c>
      <c r="I4040" s="5"/>
    </row>
    <row r="4041" spans="1:9" x14ac:dyDescent="0.3">
      <c r="B4041" s="5" t="s">
        <v>3718</v>
      </c>
      <c r="C4041" s="5" t="s">
        <v>10</v>
      </c>
      <c r="D4041" s="5" t="s">
        <v>3730</v>
      </c>
      <c r="E4041" s="5" t="s">
        <v>3733</v>
      </c>
      <c r="F4041" s="5" t="s">
        <v>1339</v>
      </c>
      <c r="G4041" s="5" t="s">
        <v>1340</v>
      </c>
      <c r="H4041" s="6">
        <v>6000</v>
      </c>
      <c r="I4041" s="5"/>
    </row>
    <row r="4042" spans="1:9" x14ac:dyDescent="0.3">
      <c r="B4042" s="5" t="s">
        <v>3718</v>
      </c>
      <c r="C4042" s="5" t="s">
        <v>10</v>
      </c>
      <c r="D4042" s="5" t="s">
        <v>3730</v>
      </c>
      <c r="E4042" s="5" t="s">
        <v>3734</v>
      </c>
      <c r="F4042" s="5" t="s">
        <v>437</v>
      </c>
      <c r="G4042" s="5" t="s">
        <v>438</v>
      </c>
      <c r="H4042" s="6">
        <v>321838</v>
      </c>
      <c r="I4042" s="5"/>
    </row>
    <row r="4043" spans="1:9" x14ac:dyDescent="0.3">
      <c r="B4043" s="5" t="s">
        <v>3718</v>
      </c>
      <c r="C4043" s="5" t="s">
        <v>10</v>
      </c>
      <c r="D4043" s="5" t="s">
        <v>3730</v>
      </c>
      <c r="E4043" s="5" t="s">
        <v>3734</v>
      </c>
      <c r="F4043" s="5" t="s">
        <v>1343</v>
      </c>
      <c r="G4043" s="5" t="s">
        <v>1344</v>
      </c>
      <c r="H4043" s="5"/>
      <c r="I4043" s="6">
        <v>134000</v>
      </c>
    </row>
    <row r="4044" spans="1:9" x14ac:dyDescent="0.3">
      <c r="B4044" s="5" t="s">
        <v>3718</v>
      </c>
      <c r="C4044" s="5" t="s">
        <v>10</v>
      </c>
      <c r="D4044" s="5" t="s">
        <v>3730</v>
      </c>
      <c r="E4044" s="5" t="s">
        <v>3734</v>
      </c>
      <c r="F4044" s="5" t="s">
        <v>441</v>
      </c>
      <c r="G4044" s="5" t="s">
        <v>442</v>
      </c>
      <c r="H4044" s="5"/>
      <c r="I4044" s="6">
        <v>28100</v>
      </c>
    </row>
    <row r="4045" spans="1:9" x14ac:dyDescent="0.3">
      <c r="B4045" s="5" t="s">
        <v>3718</v>
      </c>
      <c r="C4045" s="5" t="s">
        <v>10</v>
      </c>
      <c r="D4045" s="5" t="s">
        <v>3730</v>
      </c>
      <c r="E4045" s="5" t="s">
        <v>3734</v>
      </c>
      <c r="F4045" s="5" t="s">
        <v>443</v>
      </c>
      <c r="G4045" s="5" t="s">
        <v>444</v>
      </c>
      <c r="H4045" s="5"/>
      <c r="I4045" s="6">
        <v>23600</v>
      </c>
    </row>
    <row r="4046" spans="1:9" x14ac:dyDescent="0.3">
      <c r="B4046" s="5" t="s">
        <v>3718</v>
      </c>
      <c r="C4046" s="5" t="s">
        <v>10</v>
      </c>
      <c r="D4046" s="5" t="s">
        <v>3730</v>
      </c>
      <c r="E4046" s="5" t="s">
        <v>3734</v>
      </c>
      <c r="F4046" s="5" t="s">
        <v>445</v>
      </c>
      <c r="G4046" s="5" t="s">
        <v>446</v>
      </c>
      <c r="H4046" s="5"/>
      <c r="I4046" s="6">
        <v>23600</v>
      </c>
    </row>
    <row r="4047" spans="1:9" x14ac:dyDescent="0.3">
      <c r="B4047" s="5" t="s">
        <v>3718</v>
      </c>
      <c r="C4047" s="5" t="s">
        <v>10</v>
      </c>
      <c r="D4047" s="5" t="s">
        <v>3730</v>
      </c>
      <c r="E4047" s="5" t="s">
        <v>3734</v>
      </c>
      <c r="F4047" s="5" t="s">
        <v>549</v>
      </c>
      <c r="G4047" s="5" t="s">
        <v>550</v>
      </c>
      <c r="H4047" s="5"/>
      <c r="I4047" s="6">
        <v>30000</v>
      </c>
    </row>
    <row r="4048" spans="1:9" x14ac:dyDescent="0.3">
      <c r="B4048" s="5" t="s">
        <v>3718</v>
      </c>
      <c r="C4048" s="5" t="s">
        <v>10</v>
      </c>
      <c r="D4048" s="5" t="s">
        <v>3730</v>
      </c>
      <c r="E4048" s="5" t="s">
        <v>3734</v>
      </c>
      <c r="F4048" s="5" t="s">
        <v>449</v>
      </c>
      <c r="G4048" s="5" t="s">
        <v>450</v>
      </c>
      <c r="H4048" s="5"/>
      <c r="I4048" s="6">
        <v>6960</v>
      </c>
    </row>
    <row r="4049" spans="2:9" x14ac:dyDescent="0.3">
      <c r="B4049" s="5" t="s">
        <v>3718</v>
      </c>
      <c r="C4049" s="5" t="s">
        <v>10</v>
      </c>
      <c r="D4049" s="5" t="s">
        <v>3730</v>
      </c>
      <c r="E4049" s="5" t="s">
        <v>3734</v>
      </c>
      <c r="F4049" s="5" t="s">
        <v>453</v>
      </c>
      <c r="G4049" s="5" t="s">
        <v>454</v>
      </c>
      <c r="H4049" s="5"/>
      <c r="I4049" s="6">
        <v>6960</v>
      </c>
    </row>
    <row r="4050" spans="2:9" x14ac:dyDescent="0.3">
      <c r="B4050" s="5" t="s">
        <v>3718</v>
      </c>
      <c r="C4050" s="5" t="s">
        <v>10</v>
      </c>
      <c r="D4050" s="5" t="s">
        <v>3730</v>
      </c>
      <c r="E4050" s="5" t="s">
        <v>3734</v>
      </c>
      <c r="F4050" s="5" t="s">
        <v>451</v>
      </c>
      <c r="G4050" s="5" t="s">
        <v>452</v>
      </c>
      <c r="H4050" s="5"/>
      <c r="I4050" s="6">
        <v>6960</v>
      </c>
    </row>
    <row r="4051" spans="2:9" x14ac:dyDescent="0.3">
      <c r="B4051" s="5" t="s">
        <v>3718</v>
      </c>
      <c r="C4051" s="5" t="s">
        <v>10</v>
      </c>
      <c r="D4051" s="5" t="s">
        <v>3730</v>
      </c>
      <c r="E4051" s="5" t="s">
        <v>3734</v>
      </c>
      <c r="F4051" s="5" t="s">
        <v>547</v>
      </c>
      <c r="G4051" s="5" t="s">
        <v>548</v>
      </c>
      <c r="H4051" s="5"/>
      <c r="I4051" s="6">
        <v>5980</v>
      </c>
    </row>
    <row r="4052" spans="2:9" x14ac:dyDescent="0.3">
      <c r="B4052" s="5" t="s">
        <v>3718</v>
      </c>
      <c r="C4052" s="5" t="s">
        <v>10</v>
      </c>
      <c r="D4052" s="5" t="s">
        <v>3730</v>
      </c>
      <c r="E4052" s="5" t="s">
        <v>3734</v>
      </c>
      <c r="F4052" s="5" t="s">
        <v>1346</v>
      </c>
      <c r="G4052" s="5" t="s">
        <v>1347</v>
      </c>
      <c r="H4052" s="5"/>
      <c r="I4052" s="6">
        <v>6960</v>
      </c>
    </row>
    <row r="4053" spans="2:9" x14ac:dyDescent="0.3">
      <c r="B4053" s="5" t="s">
        <v>3718</v>
      </c>
      <c r="C4053" s="5" t="s">
        <v>10</v>
      </c>
      <c r="D4053" s="5" t="s">
        <v>3730</v>
      </c>
      <c r="E4053" s="5" t="s">
        <v>3734</v>
      </c>
      <c r="F4053" s="5" t="s">
        <v>1961</v>
      </c>
      <c r="G4053" s="5" t="s">
        <v>1962</v>
      </c>
      <c r="H4053" s="5"/>
      <c r="I4053" s="6">
        <v>6960</v>
      </c>
    </row>
    <row r="4054" spans="2:9" x14ac:dyDescent="0.3">
      <c r="B4054" s="5" t="s">
        <v>3718</v>
      </c>
      <c r="C4054" s="5" t="s">
        <v>10</v>
      </c>
      <c r="D4054" s="5" t="s">
        <v>3730</v>
      </c>
      <c r="E4054" s="5" t="s">
        <v>3734</v>
      </c>
      <c r="F4054" s="5" t="s">
        <v>2598</v>
      </c>
      <c r="G4054" s="5" t="s">
        <v>2599</v>
      </c>
      <c r="H4054" s="5"/>
      <c r="I4054" s="6">
        <v>10000</v>
      </c>
    </row>
    <row r="4055" spans="2:9" x14ac:dyDescent="0.3">
      <c r="B4055" s="5" t="s">
        <v>3718</v>
      </c>
      <c r="C4055" s="5" t="s">
        <v>10</v>
      </c>
      <c r="D4055" s="5" t="s">
        <v>3730</v>
      </c>
      <c r="E4055" s="5" t="s">
        <v>3734</v>
      </c>
      <c r="F4055" s="5" t="s">
        <v>1022</v>
      </c>
      <c r="G4055" s="5" t="s">
        <v>1023</v>
      </c>
      <c r="H4055" s="5"/>
      <c r="I4055" s="6">
        <v>11860</v>
      </c>
    </row>
    <row r="4056" spans="2:9" x14ac:dyDescent="0.3">
      <c r="B4056" s="5" t="s">
        <v>3718</v>
      </c>
      <c r="C4056" s="5" t="s">
        <v>10</v>
      </c>
      <c r="D4056" s="5" t="s">
        <v>3730</v>
      </c>
      <c r="E4056" s="5" t="s">
        <v>3734</v>
      </c>
      <c r="F4056" s="5" t="s">
        <v>2600</v>
      </c>
      <c r="G4056" s="5" t="s">
        <v>2601</v>
      </c>
      <c r="H4056" s="5"/>
      <c r="I4056" s="6">
        <v>3000</v>
      </c>
    </row>
    <row r="4057" spans="2:9" x14ac:dyDescent="0.3">
      <c r="B4057" s="5" t="s">
        <v>3718</v>
      </c>
      <c r="C4057" s="5" t="s">
        <v>10</v>
      </c>
      <c r="D4057" s="5" t="s">
        <v>3730</v>
      </c>
      <c r="E4057" s="5" t="s">
        <v>3734</v>
      </c>
      <c r="F4057" s="5" t="s">
        <v>3735</v>
      </c>
      <c r="G4057" s="5" t="s">
        <v>3736</v>
      </c>
      <c r="H4057" s="5"/>
      <c r="I4057" s="6">
        <v>3000</v>
      </c>
    </row>
    <row r="4058" spans="2:9" x14ac:dyDescent="0.3">
      <c r="B4058" s="5" t="s">
        <v>3718</v>
      </c>
      <c r="C4058" s="5" t="s">
        <v>10</v>
      </c>
      <c r="D4058" s="5" t="s">
        <v>3730</v>
      </c>
      <c r="E4058" s="5" t="s">
        <v>3734</v>
      </c>
      <c r="F4058" s="5" t="s">
        <v>2602</v>
      </c>
      <c r="G4058" s="5" t="s">
        <v>2603</v>
      </c>
      <c r="H4058" s="5"/>
      <c r="I4058" s="6">
        <v>5980</v>
      </c>
    </row>
    <row r="4059" spans="2:9" x14ac:dyDescent="0.3">
      <c r="B4059" s="5" t="s">
        <v>3718</v>
      </c>
      <c r="C4059" s="5" t="s">
        <v>10</v>
      </c>
      <c r="D4059" s="5" t="s">
        <v>3730</v>
      </c>
      <c r="E4059" s="5" t="s">
        <v>3734</v>
      </c>
      <c r="F4059" s="5" t="s">
        <v>2604</v>
      </c>
      <c r="G4059" s="5" t="s">
        <v>2605</v>
      </c>
      <c r="H4059" s="5"/>
      <c r="I4059" s="6">
        <v>5980</v>
      </c>
    </row>
    <row r="4060" spans="2:9" x14ac:dyDescent="0.3">
      <c r="B4060" s="5" t="s">
        <v>3718</v>
      </c>
      <c r="C4060" s="5" t="s">
        <v>10</v>
      </c>
      <c r="D4060" s="5" t="s">
        <v>3730</v>
      </c>
      <c r="E4060" s="5" t="s">
        <v>3737</v>
      </c>
      <c r="F4060" s="5" t="s">
        <v>457</v>
      </c>
      <c r="G4060" s="5" t="s">
        <v>458</v>
      </c>
      <c r="H4060" s="5"/>
      <c r="I4060" s="6">
        <v>26938</v>
      </c>
    </row>
    <row r="4061" spans="2:9" x14ac:dyDescent="0.3">
      <c r="B4061" s="5" t="s">
        <v>3718</v>
      </c>
      <c r="C4061" s="5" t="s">
        <v>10</v>
      </c>
      <c r="D4061" s="5" t="s">
        <v>3730</v>
      </c>
      <c r="E4061" s="5" t="s">
        <v>3738</v>
      </c>
      <c r="F4061" s="5" t="s">
        <v>3739</v>
      </c>
      <c r="G4061" s="5" t="s">
        <v>3740</v>
      </c>
      <c r="H4061" s="6">
        <v>75000</v>
      </c>
      <c r="I4061" s="5"/>
    </row>
    <row r="4062" spans="2:9" x14ac:dyDescent="0.3">
      <c r="B4062" s="5" t="s">
        <v>3718</v>
      </c>
      <c r="C4062" s="5" t="s">
        <v>10</v>
      </c>
      <c r="D4062" s="5" t="s">
        <v>3730</v>
      </c>
      <c r="E4062" s="5" t="s">
        <v>3738</v>
      </c>
      <c r="F4062" s="5" t="s">
        <v>655</v>
      </c>
      <c r="G4062" s="5" t="s">
        <v>656</v>
      </c>
      <c r="H4062" s="5"/>
      <c r="I4062" s="6">
        <v>25000</v>
      </c>
    </row>
    <row r="4063" spans="2:9" x14ac:dyDescent="0.3">
      <c r="B4063" s="5" t="s">
        <v>3718</v>
      </c>
      <c r="C4063" s="5" t="s">
        <v>10</v>
      </c>
      <c r="D4063" s="5" t="s">
        <v>3730</v>
      </c>
      <c r="E4063" s="5" t="s">
        <v>3738</v>
      </c>
      <c r="F4063" s="5" t="s">
        <v>657</v>
      </c>
      <c r="G4063" s="5" t="s">
        <v>658</v>
      </c>
      <c r="H4063" s="5"/>
      <c r="I4063" s="6">
        <v>25000</v>
      </c>
    </row>
    <row r="4064" spans="2:9" x14ac:dyDescent="0.3">
      <c r="B4064" s="5" t="s">
        <v>3718</v>
      </c>
      <c r="C4064" s="5" t="s">
        <v>10</v>
      </c>
      <c r="D4064" s="5" t="s">
        <v>3730</v>
      </c>
      <c r="E4064" s="5" t="s">
        <v>3738</v>
      </c>
      <c r="F4064" s="5" t="s">
        <v>659</v>
      </c>
      <c r="G4064" s="5" t="s">
        <v>660</v>
      </c>
      <c r="H4064" s="5"/>
      <c r="I4064" s="6">
        <v>25000</v>
      </c>
    </row>
    <row r="4065" spans="1:9" x14ac:dyDescent="0.3">
      <c r="A4065" s="7" t="s">
        <v>3741</v>
      </c>
      <c r="H4065" s="8">
        <f>H4039+H4040+H4041+H4042+H4043+H4044+H4045+H4046+H4047+H4048+H4049+H4050+H4051+H4052+H4053+H4054+H4055+H4056+H4057+H4058+H4059+H4060+H4061+H4062+H4063+H4064</f>
        <v>421838</v>
      </c>
      <c r="I4065" s="8">
        <f>I4039+I4040+I4041+I4042+I4043+I4044+I4045+I4046+I4047+I4048+I4049+I4050+I4051+I4052+I4053+I4054+I4055+I4056+I4057+I4058+I4059+I4060+I4061+I4062+I4063+I4064</f>
        <v>421838</v>
      </c>
    </row>
    <row r="4066" spans="1:9" x14ac:dyDescent="0.3">
      <c r="A4066" s="4" t="s">
        <v>3742</v>
      </c>
    </row>
    <row r="4067" spans="1:9" x14ac:dyDescent="0.3">
      <c r="B4067" s="5" t="s">
        <v>3718</v>
      </c>
      <c r="C4067" s="5" t="s">
        <v>10</v>
      </c>
      <c r="D4067" s="5" t="s">
        <v>3743</v>
      </c>
      <c r="E4067" s="5" t="s">
        <v>3744</v>
      </c>
      <c r="F4067" s="5" t="s">
        <v>425</v>
      </c>
      <c r="G4067" s="5" t="s">
        <v>426</v>
      </c>
      <c r="H4067" s="6">
        <v>21594.97</v>
      </c>
      <c r="I4067" s="5"/>
    </row>
    <row r="4068" spans="1:9" x14ac:dyDescent="0.3">
      <c r="B4068" s="5" t="s">
        <v>3718</v>
      </c>
      <c r="C4068" s="5" t="s">
        <v>10</v>
      </c>
      <c r="D4068" s="5" t="s">
        <v>3743</v>
      </c>
      <c r="E4068" s="5" t="s">
        <v>3744</v>
      </c>
      <c r="F4068" s="5" t="s">
        <v>431</v>
      </c>
      <c r="G4068" s="5" t="s">
        <v>432</v>
      </c>
      <c r="H4068" s="5"/>
      <c r="I4068" s="6">
        <v>3764.1</v>
      </c>
    </row>
    <row r="4069" spans="1:9" x14ac:dyDescent="0.3">
      <c r="B4069" s="5" t="s">
        <v>3718</v>
      </c>
      <c r="C4069" s="5" t="s">
        <v>10</v>
      </c>
      <c r="D4069" s="5" t="s">
        <v>3743</v>
      </c>
      <c r="E4069" s="5" t="s">
        <v>3744</v>
      </c>
      <c r="F4069" s="5" t="s">
        <v>427</v>
      </c>
      <c r="G4069" s="5" t="s">
        <v>428</v>
      </c>
      <c r="H4069" s="5"/>
      <c r="I4069" s="6">
        <v>4399.17</v>
      </c>
    </row>
    <row r="4070" spans="1:9" x14ac:dyDescent="0.3">
      <c r="B4070" s="5" t="s">
        <v>3718</v>
      </c>
      <c r="C4070" s="5" t="s">
        <v>10</v>
      </c>
      <c r="D4070" s="5" t="s">
        <v>3743</v>
      </c>
      <c r="E4070" s="5" t="s">
        <v>3744</v>
      </c>
      <c r="F4070" s="5" t="s">
        <v>429</v>
      </c>
      <c r="G4070" s="5" t="s">
        <v>430</v>
      </c>
      <c r="H4070" s="5"/>
      <c r="I4070" s="6">
        <v>11327.89</v>
      </c>
    </row>
    <row r="4071" spans="1:9" x14ac:dyDescent="0.3">
      <c r="B4071" s="5" t="s">
        <v>3718</v>
      </c>
      <c r="C4071" s="5" t="s">
        <v>10</v>
      </c>
      <c r="D4071" s="5" t="s">
        <v>3743</v>
      </c>
      <c r="E4071" s="5" t="s">
        <v>3744</v>
      </c>
      <c r="F4071" s="5" t="s">
        <v>2655</v>
      </c>
      <c r="G4071" s="5" t="s">
        <v>2656</v>
      </c>
      <c r="H4071" s="5"/>
      <c r="I4071" s="6">
        <v>2103.81</v>
      </c>
    </row>
    <row r="4072" spans="1:9" x14ac:dyDescent="0.3">
      <c r="A4072" s="7" t="s">
        <v>3745</v>
      </c>
      <c r="H4072" s="8">
        <f>H4067+H4068+H4069+H4070+H4071</f>
        <v>21594.97</v>
      </c>
      <c r="I4072" s="8">
        <f>I4067+I4068+I4069+I4070+I4071</f>
        <v>21594.97</v>
      </c>
    </row>
    <row r="4073" spans="1:9" x14ac:dyDescent="0.3">
      <c r="A4073" s="4" t="s">
        <v>3746</v>
      </c>
    </row>
    <row r="4074" spans="1:9" x14ac:dyDescent="0.3">
      <c r="B4074" s="5" t="s">
        <v>3718</v>
      </c>
      <c r="C4074" s="5" t="s">
        <v>10</v>
      </c>
      <c r="D4074" s="5" t="s">
        <v>3747</v>
      </c>
      <c r="E4074" s="5" t="s">
        <v>3748</v>
      </c>
      <c r="F4074" s="5" t="s">
        <v>1495</v>
      </c>
      <c r="G4074" s="5" t="s">
        <v>1496</v>
      </c>
      <c r="H4074" s="6">
        <v>1712</v>
      </c>
      <c r="I4074" s="5"/>
    </row>
    <row r="4075" spans="1:9" x14ac:dyDescent="0.3">
      <c r="B4075" s="5" t="s">
        <v>3718</v>
      </c>
      <c r="C4075" s="5" t="s">
        <v>10</v>
      </c>
      <c r="D4075" s="5" t="s">
        <v>3747</v>
      </c>
      <c r="E4075" s="5" t="s">
        <v>3748</v>
      </c>
      <c r="F4075" s="5" t="s">
        <v>26</v>
      </c>
      <c r="G4075" s="5" t="s">
        <v>27</v>
      </c>
      <c r="H4075" s="5"/>
      <c r="I4075" s="6">
        <v>1712</v>
      </c>
    </row>
    <row r="4076" spans="1:9" x14ac:dyDescent="0.3">
      <c r="A4076" s="7" t="s">
        <v>3749</v>
      </c>
      <c r="H4076" s="8">
        <f>H4074+H4075</f>
        <v>1712</v>
      </c>
      <c r="I4076" s="8">
        <f>I4074+I4075</f>
        <v>1712</v>
      </c>
    </row>
    <row r="4077" spans="1:9" x14ac:dyDescent="0.3">
      <c r="A4077" s="4" t="s">
        <v>3750</v>
      </c>
    </row>
    <row r="4078" spans="1:9" x14ac:dyDescent="0.3">
      <c r="B4078" s="5" t="s">
        <v>3751</v>
      </c>
      <c r="C4078" s="5" t="s">
        <v>10</v>
      </c>
      <c r="D4078" s="5" t="s">
        <v>3752</v>
      </c>
      <c r="E4078" s="5" t="s">
        <v>533</v>
      </c>
      <c r="F4078" s="5" t="s">
        <v>61</v>
      </c>
      <c r="G4078" s="5" t="s">
        <v>62</v>
      </c>
      <c r="H4078" s="6">
        <v>295</v>
      </c>
      <c r="I4078" s="5"/>
    </row>
    <row r="4079" spans="1:9" x14ac:dyDescent="0.3">
      <c r="B4079" s="5" t="s">
        <v>3751</v>
      </c>
      <c r="C4079" s="5" t="s">
        <v>10</v>
      </c>
      <c r="D4079" s="5" t="s">
        <v>3752</v>
      </c>
      <c r="E4079" s="5" t="s">
        <v>533</v>
      </c>
      <c r="F4079" s="5" t="s">
        <v>1643</v>
      </c>
      <c r="G4079" s="5" t="s">
        <v>1644</v>
      </c>
      <c r="H4079" s="5"/>
      <c r="I4079" s="6">
        <v>295</v>
      </c>
    </row>
    <row r="4080" spans="1:9" x14ac:dyDescent="0.3">
      <c r="A4080" s="7" t="s">
        <v>3753</v>
      </c>
      <c r="H4080" s="8">
        <f>H4078+H4079</f>
        <v>295</v>
      </c>
      <c r="I4080" s="8">
        <f>I4078+I4079</f>
        <v>295</v>
      </c>
    </row>
    <row r="4081" spans="1:9" x14ac:dyDescent="0.3">
      <c r="A4081" s="4" t="s">
        <v>3754</v>
      </c>
    </row>
    <row r="4082" spans="1:9" x14ac:dyDescent="0.3">
      <c r="B4082" s="5" t="s">
        <v>3755</v>
      </c>
      <c r="C4082" s="5" t="s">
        <v>10</v>
      </c>
      <c r="D4082" s="5" t="s">
        <v>3756</v>
      </c>
      <c r="E4082" s="5" t="s">
        <v>3757</v>
      </c>
      <c r="F4082" s="5" t="s">
        <v>61</v>
      </c>
      <c r="G4082" s="5" t="s">
        <v>62</v>
      </c>
      <c r="H4082" s="6">
        <v>340</v>
      </c>
      <c r="I4082" s="5"/>
    </row>
    <row r="4083" spans="1:9" x14ac:dyDescent="0.3">
      <c r="B4083" s="5" t="s">
        <v>3755</v>
      </c>
      <c r="C4083" s="5" t="s">
        <v>10</v>
      </c>
      <c r="D4083" s="5" t="s">
        <v>3756</v>
      </c>
      <c r="E4083" s="5" t="s">
        <v>3757</v>
      </c>
      <c r="F4083" s="5" t="s">
        <v>1643</v>
      </c>
      <c r="G4083" s="5" t="s">
        <v>1644</v>
      </c>
      <c r="H4083" s="5"/>
      <c r="I4083" s="6">
        <v>340</v>
      </c>
    </row>
    <row r="4084" spans="1:9" x14ac:dyDescent="0.3">
      <c r="A4084" s="7" t="s">
        <v>3758</v>
      </c>
      <c r="H4084" s="8">
        <f>H4082+H4083</f>
        <v>340</v>
      </c>
      <c r="I4084" s="8">
        <f>I4082+I4083</f>
        <v>340</v>
      </c>
    </row>
    <row r="4085" spans="1:9" x14ac:dyDescent="0.3">
      <c r="A4085" s="4" t="s">
        <v>3759</v>
      </c>
    </row>
    <row r="4086" spans="1:9" x14ac:dyDescent="0.3">
      <c r="B4086" s="5" t="s">
        <v>3755</v>
      </c>
      <c r="C4086" s="5" t="s">
        <v>10</v>
      </c>
      <c r="D4086" s="5" t="s">
        <v>3760</v>
      </c>
      <c r="E4086" s="5" t="s">
        <v>3761</v>
      </c>
      <c r="F4086" s="5" t="s">
        <v>67</v>
      </c>
      <c r="G4086" s="5" t="s">
        <v>68</v>
      </c>
      <c r="H4086" s="6">
        <v>90</v>
      </c>
      <c r="I4086" s="5"/>
    </row>
    <row r="4087" spans="1:9" x14ac:dyDescent="0.3">
      <c r="B4087" s="5" t="s">
        <v>3755</v>
      </c>
      <c r="C4087" s="5" t="s">
        <v>10</v>
      </c>
      <c r="D4087" s="5" t="s">
        <v>3760</v>
      </c>
      <c r="E4087" s="5" t="s">
        <v>3761</v>
      </c>
      <c r="F4087" s="5" t="s">
        <v>1643</v>
      </c>
      <c r="G4087" s="5" t="s">
        <v>1644</v>
      </c>
      <c r="H4087" s="5"/>
      <c r="I4087" s="6">
        <v>90</v>
      </c>
    </row>
    <row r="4088" spans="1:9" x14ac:dyDescent="0.3">
      <c r="A4088" s="7" t="s">
        <v>3762</v>
      </c>
      <c r="H4088" s="8">
        <f>H4086+H4087</f>
        <v>90</v>
      </c>
      <c r="I4088" s="8">
        <f>I4086+I4087</f>
        <v>90</v>
      </c>
    </row>
    <row r="4089" spans="1:9" x14ac:dyDescent="0.3">
      <c r="A4089" s="4" t="s">
        <v>3763</v>
      </c>
    </row>
    <row r="4090" spans="1:9" x14ac:dyDescent="0.3">
      <c r="B4090" s="5" t="s">
        <v>3755</v>
      </c>
      <c r="C4090" s="5" t="s">
        <v>2745</v>
      </c>
      <c r="D4090" s="5" t="s">
        <v>2750</v>
      </c>
      <c r="E4090" s="5" t="s">
        <v>2750</v>
      </c>
      <c r="F4090" s="5" t="s">
        <v>2748</v>
      </c>
      <c r="G4090" s="5" t="s">
        <v>2749</v>
      </c>
      <c r="H4090" s="6">
        <v>2610</v>
      </c>
      <c r="I4090" s="5"/>
    </row>
    <row r="4091" spans="1:9" x14ac:dyDescent="0.3">
      <c r="B4091" s="5" t="s">
        <v>3755</v>
      </c>
      <c r="C4091" s="5" t="s">
        <v>2745</v>
      </c>
      <c r="D4091" s="5" t="s">
        <v>2750</v>
      </c>
      <c r="E4091" s="5" t="s">
        <v>2750</v>
      </c>
      <c r="F4091" s="5" t="s">
        <v>847</v>
      </c>
      <c r="G4091" s="5" t="s">
        <v>848</v>
      </c>
      <c r="H4091" s="5"/>
      <c r="I4091" s="6">
        <v>2610</v>
      </c>
    </row>
    <row r="4092" spans="1:9" x14ac:dyDescent="0.3">
      <c r="A4092" s="7" t="s">
        <v>3764</v>
      </c>
      <c r="H4092" s="8">
        <f>H4090+H4091</f>
        <v>2610</v>
      </c>
      <c r="I4092" s="8">
        <f>I4090+I4091</f>
        <v>2610</v>
      </c>
    </row>
    <row r="4093" spans="1:9" x14ac:dyDescent="0.3">
      <c r="A4093" s="4" t="s">
        <v>3765</v>
      </c>
    </row>
    <row r="4094" spans="1:9" x14ac:dyDescent="0.3">
      <c r="B4094" s="5" t="s">
        <v>3755</v>
      </c>
      <c r="C4094" s="5" t="s">
        <v>10</v>
      </c>
      <c r="D4094" s="5" t="s">
        <v>3766</v>
      </c>
      <c r="E4094" s="5" t="s">
        <v>3767</v>
      </c>
      <c r="F4094" s="5" t="s">
        <v>867</v>
      </c>
      <c r="G4094" s="5" t="s">
        <v>868</v>
      </c>
      <c r="H4094" s="6">
        <v>470</v>
      </c>
      <c r="I4094" s="5"/>
    </row>
    <row r="4095" spans="1:9" x14ac:dyDescent="0.3">
      <c r="B4095" s="5" t="s">
        <v>3755</v>
      </c>
      <c r="C4095" s="5" t="s">
        <v>10</v>
      </c>
      <c r="D4095" s="5" t="s">
        <v>3766</v>
      </c>
      <c r="E4095" s="5" t="s">
        <v>3767</v>
      </c>
      <c r="F4095" s="5" t="s">
        <v>2729</v>
      </c>
      <c r="G4095" s="5" t="s">
        <v>2730</v>
      </c>
      <c r="H4095" s="5"/>
      <c r="I4095" s="6">
        <v>470</v>
      </c>
    </row>
    <row r="4096" spans="1:9" x14ac:dyDescent="0.3">
      <c r="A4096" s="7" t="s">
        <v>3768</v>
      </c>
      <c r="H4096" s="8">
        <f>H4094+H4095</f>
        <v>470</v>
      </c>
      <c r="I4096" s="8">
        <f>I4094+I4095</f>
        <v>470</v>
      </c>
    </row>
    <row r="4097" spans="1:9" x14ac:dyDescent="0.3">
      <c r="A4097" s="4" t="s">
        <v>3769</v>
      </c>
    </row>
    <row r="4098" spans="1:9" x14ac:dyDescent="0.3">
      <c r="B4098" s="5" t="s">
        <v>3755</v>
      </c>
      <c r="C4098" s="5" t="s">
        <v>10</v>
      </c>
      <c r="D4098" s="5" t="s">
        <v>3770</v>
      </c>
      <c r="E4098" s="5" t="s">
        <v>3296</v>
      </c>
      <c r="F4098" s="5" t="s">
        <v>113</v>
      </c>
      <c r="G4098" s="5" t="s">
        <v>114</v>
      </c>
      <c r="H4098" s="6">
        <v>500</v>
      </c>
      <c r="I4098" s="5"/>
    </row>
    <row r="4099" spans="1:9" x14ac:dyDescent="0.3">
      <c r="B4099" s="5" t="s">
        <v>3755</v>
      </c>
      <c r="C4099" s="5" t="s">
        <v>10</v>
      </c>
      <c r="D4099" s="5" t="s">
        <v>3770</v>
      </c>
      <c r="E4099" s="5" t="s">
        <v>3296</v>
      </c>
      <c r="F4099" s="5" t="s">
        <v>1643</v>
      </c>
      <c r="G4099" s="5" t="s">
        <v>1644</v>
      </c>
      <c r="H4099" s="5"/>
      <c r="I4099" s="6">
        <v>500</v>
      </c>
    </row>
    <row r="4100" spans="1:9" x14ac:dyDescent="0.3">
      <c r="A4100" s="7" t="s">
        <v>3771</v>
      </c>
      <c r="H4100" s="8">
        <f>H4098+H4099</f>
        <v>500</v>
      </c>
      <c r="I4100" s="8">
        <f>I4098+I4099</f>
        <v>500</v>
      </c>
    </row>
    <row r="4101" spans="1:9" x14ac:dyDescent="0.3">
      <c r="A4101" s="4" t="s">
        <v>3772</v>
      </c>
    </row>
    <row r="4102" spans="1:9" x14ac:dyDescent="0.3">
      <c r="B4102" s="5" t="s">
        <v>3755</v>
      </c>
      <c r="C4102" s="5" t="s">
        <v>10</v>
      </c>
      <c r="D4102" s="5" t="s">
        <v>3773</v>
      </c>
      <c r="E4102" s="5" t="s">
        <v>3774</v>
      </c>
      <c r="F4102" s="5" t="s">
        <v>176</v>
      </c>
      <c r="G4102" s="5" t="s">
        <v>177</v>
      </c>
      <c r="H4102" s="6">
        <v>6000</v>
      </c>
      <c r="I4102" s="5"/>
    </row>
    <row r="4103" spans="1:9" x14ac:dyDescent="0.3">
      <c r="B4103" s="5" t="s">
        <v>3755</v>
      </c>
      <c r="C4103" s="5" t="s">
        <v>10</v>
      </c>
      <c r="D4103" s="5" t="s">
        <v>3773</v>
      </c>
      <c r="E4103" s="5" t="s">
        <v>3774</v>
      </c>
      <c r="F4103" s="5" t="s">
        <v>1643</v>
      </c>
      <c r="G4103" s="5" t="s">
        <v>1644</v>
      </c>
      <c r="H4103" s="5"/>
      <c r="I4103" s="6">
        <v>6000</v>
      </c>
    </row>
    <row r="4104" spans="1:9" x14ac:dyDescent="0.3">
      <c r="A4104" s="7" t="s">
        <v>3775</v>
      </c>
      <c r="H4104" s="8">
        <f>H4102+H4103</f>
        <v>6000</v>
      </c>
      <c r="I4104" s="8">
        <f>I4102+I4103</f>
        <v>6000</v>
      </c>
    </row>
    <row r="4105" spans="1:9" x14ac:dyDescent="0.3">
      <c r="A4105" s="4" t="s">
        <v>3776</v>
      </c>
    </row>
    <row r="4106" spans="1:9" x14ac:dyDescent="0.3">
      <c r="B4106" s="5" t="s">
        <v>3755</v>
      </c>
      <c r="C4106" s="5" t="s">
        <v>10</v>
      </c>
      <c r="D4106" s="5" t="s">
        <v>3777</v>
      </c>
      <c r="E4106" s="5" t="s">
        <v>3778</v>
      </c>
      <c r="F4106" s="5" t="s">
        <v>1643</v>
      </c>
      <c r="G4106" s="5" t="s">
        <v>1644</v>
      </c>
      <c r="H4106" s="6">
        <v>15500</v>
      </c>
      <c r="I4106" s="5"/>
    </row>
    <row r="4107" spans="1:9" x14ac:dyDescent="0.3">
      <c r="B4107" s="5" t="s">
        <v>3755</v>
      </c>
      <c r="C4107" s="5" t="s">
        <v>10</v>
      </c>
      <c r="D4107" s="5" t="s">
        <v>3777</v>
      </c>
      <c r="E4107" s="5" t="s">
        <v>3778</v>
      </c>
      <c r="F4107" s="5" t="s">
        <v>13</v>
      </c>
      <c r="G4107" s="5" t="s">
        <v>14</v>
      </c>
      <c r="H4107" s="5"/>
      <c r="I4107" s="6">
        <v>15500</v>
      </c>
    </row>
    <row r="4108" spans="1:9" x14ac:dyDescent="0.3">
      <c r="A4108" s="7" t="s">
        <v>3779</v>
      </c>
      <c r="H4108" s="8">
        <f>H4106+H4107</f>
        <v>15500</v>
      </c>
      <c r="I4108" s="8">
        <f>I4106+I4107</f>
        <v>15500</v>
      </c>
    </row>
    <row r="4109" spans="1:9" x14ac:dyDescent="0.3">
      <c r="A4109" s="4" t="s">
        <v>3780</v>
      </c>
    </row>
    <row r="4110" spans="1:9" x14ac:dyDescent="0.3">
      <c r="B4110" s="5" t="s">
        <v>3781</v>
      </c>
      <c r="C4110" s="5" t="s">
        <v>10</v>
      </c>
      <c r="D4110" s="5" t="s">
        <v>3782</v>
      </c>
      <c r="E4110" s="5" t="s">
        <v>3783</v>
      </c>
      <c r="F4110" s="5" t="s">
        <v>67</v>
      </c>
      <c r="G4110" s="5" t="s">
        <v>68</v>
      </c>
      <c r="H4110" s="6">
        <v>150</v>
      </c>
      <c r="I4110" s="5"/>
    </row>
    <row r="4111" spans="1:9" x14ac:dyDescent="0.3">
      <c r="B4111" s="5" t="s">
        <v>3781</v>
      </c>
      <c r="C4111" s="5" t="s">
        <v>10</v>
      </c>
      <c r="D4111" s="5" t="s">
        <v>3782</v>
      </c>
      <c r="E4111" s="5" t="s">
        <v>3783</v>
      </c>
      <c r="F4111" s="5" t="s">
        <v>1643</v>
      </c>
      <c r="G4111" s="5" t="s">
        <v>1644</v>
      </c>
      <c r="H4111" s="5"/>
      <c r="I4111" s="6">
        <v>150</v>
      </c>
    </row>
    <row r="4112" spans="1:9" x14ac:dyDescent="0.3">
      <c r="A4112" s="7" t="s">
        <v>3784</v>
      </c>
      <c r="H4112" s="8">
        <f>H4110+H4111</f>
        <v>150</v>
      </c>
      <c r="I4112" s="8">
        <f>I4110+I4111</f>
        <v>150</v>
      </c>
    </row>
    <row r="4113" spans="1:9" x14ac:dyDescent="0.3">
      <c r="A4113" s="4" t="s">
        <v>3785</v>
      </c>
    </row>
    <row r="4114" spans="1:9" x14ac:dyDescent="0.3">
      <c r="B4114" s="5" t="s">
        <v>3781</v>
      </c>
      <c r="C4114" s="5" t="s">
        <v>10</v>
      </c>
      <c r="D4114" s="5" t="s">
        <v>3786</v>
      </c>
      <c r="E4114" s="5" t="s">
        <v>3787</v>
      </c>
      <c r="F4114" s="5" t="s">
        <v>145</v>
      </c>
      <c r="G4114" s="5" t="s">
        <v>146</v>
      </c>
      <c r="H4114" s="6">
        <v>900</v>
      </c>
      <c r="I4114" s="5"/>
    </row>
    <row r="4115" spans="1:9" x14ac:dyDescent="0.3">
      <c r="B4115" s="5" t="s">
        <v>3781</v>
      </c>
      <c r="C4115" s="5" t="s">
        <v>10</v>
      </c>
      <c r="D4115" s="5" t="s">
        <v>3786</v>
      </c>
      <c r="E4115" s="5" t="s">
        <v>3787</v>
      </c>
      <c r="F4115" s="5" t="s">
        <v>1643</v>
      </c>
      <c r="G4115" s="5" t="s">
        <v>1644</v>
      </c>
      <c r="H4115" s="5"/>
      <c r="I4115" s="6">
        <v>900</v>
      </c>
    </row>
    <row r="4116" spans="1:9" x14ac:dyDescent="0.3">
      <c r="A4116" s="7" t="s">
        <v>3788</v>
      </c>
      <c r="H4116" s="8">
        <f>H4114+H4115</f>
        <v>900</v>
      </c>
      <c r="I4116" s="8">
        <f>I4114+I4115</f>
        <v>900</v>
      </c>
    </row>
    <row r="4117" spans="1:9" x14ac:dyDescent="0.3">
      <c r="A4117" s="4" t="s">
        <v>3789</v>
      </c>
    </row>
    <row r="4118" spans="1:9" x14ac:dyDescent="0.3">
      <c r="B4118" s="5" t="s">
        <v>3781</v>
      </c>
      <c r="C4118" s="5" t="s">
        <v>10</v>
      </c>
      <c r="D4118" s="5" t="s">
        <v>3790</v>
      </c>
      <c r="E4118" s="5" t="s">
        <v>624</v>
      </c>
      <c r="F4118" s="5" t="s">
        <v>61</v>
      </c>
      <c r="G4118" s="5" t="s">
        <v>62</v>
      </c>
      <c r="H4118" s="6">
        <v>700</v>
      </c>
      <c r="I4118" s="5"/>
    </row>
    <row r="4119" spans="1:9" x14ac:dyDescent="0.3">
      <c r="B4119" s="5" t="s">
        <v>3781</v>
      </c>
      <c r="C4119" s="5" t="s">
        <v>10</v>
      </c>
      <c r="D4119" s="5" t="s">
        <v>3790</v>
      </c>
      <c r="E4119" s="5" t="s">
        <v>624</v>
      </c>
      <c r="F4119" s="5" t="s">
        <v>1643</v>
      </c>
      <c r="G4119" s="5" t="s">
        <v>1644</v>
      </c>
      <c r="H4119" s="5"/>
      <c r="I4119" s="6">
        <v>700</v>
      </c>
    </row>
    <row r="4120" spans="1:9" x14ac:dyDescent="0.3">
      <c r="A4120" s="7" t="s">
        <v>3791</v>
      </c>
      <c r="H4120" s="8">
        <f>H4118+H4119</f>
        <v>700</v>
      </c>
      <c r="I4120" s="8">
        <f>I4118+I4119</f>
        <v>700</v>
      </c>
    </row>
    <row r="4121" spans="1:9" x14ac:dyDescent="0.3">
      <c r="A4121" s="4" t="s">
        <v>3792</v>
      </c>
    </row>
    <row r="4122" spans="1:9" x14ac:dyDescent="0.3">
      <c r="B4122" s="5" t="s">
        <v>3781</v>
      </c>
      <c r="C4122" s="5" t="s">
        <v>10</v>
      </c>
      <c r="D4122" s="5" t="s">
        <v>3793</v>
      </c>
      <c r="E4122" s="5" t="s">
        <v>3794</v>
      </c>
      <c r="F4122" s="5" t="s">
        <v>50</v>
      </c>
      <c r="G4122" s="5" t="s">
        <v>51</v>
      </c>
      <c r="H4122" s="6">
        <v>300</v>
      </c>
      <c r="I4122" s="5"/>
    </row>
    <row r="4123" spans="1:9" x14ac:dyDescent="0.3">
      <c r="B4123" s="5" t="s">
        <v>3781</v>
      </c>
      <c r="C4123" s="5" t="s">
        <v>10</v>
      </c>
      <c r="D4123" s="5" t="s">
        <v>3793</v>
      </c>
      <c r="E4123" s="5" t="s">
        <v>3794</v>
      </c>
      <c r="F4123" s="5" t="s">
        <v>1643</v>
      </c>
      <c r="G4123" s="5" t="s">
        <v>1644</v>
      </c>
      <c r="H4123" s="5"/>
      <c r="I4123" s="6">
        <v>300</v>
      </c>
    </row>
    <row r="4124" spans="1:9" x14ac:dyDescent="0.3">
      <c r="A4124" s="7" t="s">
        <v>3795</v>
      </c>
      <c r="H4124" s="8">
        <f>H4122+H4123</f>
        <v>300</v>
      </c>
      <c r="I4124" s="8">
        <f>I4122+I4123</f>
        <v>300</v>
      </c>
    </row>
    <row r="4125" spans="1:9" x14ac:dyDescent="0.3">
      <c r="A4125" s="4" t="s">
        <v>3796</v>
      </c>
    </row>
    <row r="4126" spans="1:9" x14ac:dyDescent="0.3">
      <c r="B4126" s="5" t="s">
        <v>3797</v>
      </c>
      <c r="C4126" s="5" t="s">
        <v>10</v>
      </c>
      <c r="D4126" s="5" t="s">
        <v>3798</v>
      </c>
      <c r="E4126" s="5" t="s">
        <v>624</v>
      </c>
      <c r="F4126" s="5" t="s">
        <v>61</v>
      </c>
      <c r="G4126" s="5" t="s">
        <v>62</v>
      </c>
      <c r="H4126" s="6">
        <v>350</v>
      </c>
      <c r="I4126" s="5"/>
    </row>
    <row r="4127" spans="1:9" x14ac:dyDescent="0.3">
      <c r="B4127" s="5" t="s">
        <v>3797</v>
      </c>
      <c r="C4127" s="5" t="s">
        <v>10</v>
      </c>
      <c r="D4127" s="5" t="s">
        <v>3798</v>
      </c>
      <c r="E4127" s="5" t="s">
        <v>624</v>
      </c>
      <c r="F4127" s="5" t="s">
        <v>1643</v>
      </c>
      <c r="G4127" s="5" t="s">
        <v>1644</v>
      </c>
      <c r="H4127" s="5"/>
      <c r="I4127" s="6">
        <v>350</v>
      </c>
    </row>
    <row r="4128" spans="1:9" x14ac:dyDescent="0.3">
      <c r="A4128" s="7" t="s">
        <v>3799</v>
      </c>
      <c r="H4128" s="8">
        <f>H4126+H4127</f>
        <v>350</v>
      </c>
      <c r="I4128" s="8">
        <f>I4126+I4127</f>
        <v>350</v>
      </c>
    </row>
    <row r="4129" spans="1:9" x14ac:dyDescent="0.3">
      <c r="A4129" s="4" t="s">
        <v>3800</v>
      </c>
    </row>
    <row r="4130" spans="1:9" x14ac:dyDescent="0.3">
      <c r="B4130" s="5" t="s">
        <v>3797</v>
      </c>
      <c r="C4130" s="5" t="s">
        <v>10</v>
      </c>
      <c r="D4130" s="5" t="s">
        <v>3801</v>
      </c>
      <c r="E4130" s="5" t="s">
        <v>3802</v>
      </c>
      <c r="F4130" s="5" t="s">
        <v>61</v>
      </c>
      <c r="G4130" s="5" t="s">
        <v>62</v>
      </c>
      <c r="H4130" s="6">
        <v>3350</v>
      </c>
      <c r="I4130" s="5"/>
    </row>
    <row r="4131" spans="1:9" x14ac:dyDescent="0.3">
      <c r="B4131" s="5" t="s">
        <v>3797</v>
      </c>
      <c r="C4131" s="5" t="s">
        <v>10</v>
      </c>
      <c r="D4131" s="5" t="s">
        <v>3801</v>
      </c>
      <c r="E4131" s="5" t="s">
        <v>3802</v>
      </c>
      <c r="F4131" s="5" t="s">
        <v>1643</v>
      </c>
      <c r="G4131" s="5" t="s">
        <v>1644</v>
      </c>
      <c r="H4131" s="5"/>
      <c r="I4131" s="6">
        <v>3350</v>
      </c>
    </row>
    <row r="4132" spans="1:9" x14ac:dyDescent="0.3">
      <c r="A4132" s="7" t="s">
        <v>3803</v>
      </c>
      <c r="H4132" s="8">
        <f>H4130+H4131</f>
        <v>3350</v>
      </c>
      <c r="I4132" s="8">
        <f>I4130+I4131</f>
        <v>3350</v>
      </c>
    </row>
    <row r="4133" spans="1:9" x14ac:dyDescent="0.3">
      <c r="A4133" s="4" t="s">
        <v>3804</v>
      </c>
    </row>
    <row r="4134" spans="1:9" x14ac:dyDescent="0.3">
      <c r="B4134" s="5" t="s">
        <v>3805</v>
      </c>
      <c r="C4134" s="5" t="s">
        <v>10</v>
      </c>
      <c r="D4134" s="5" t="s">
        <v>3806</v>
      </c>
      <c r="E4134" s="5" t="s">
        <v>606</v>
      </c>
      <c r="F4134" s="5" t="s">
        <v>61</v>
      </c>
      <c r="G4134" s="5" t="s">
        <v>62</v>
      </c>
      <c r="H4134" s="6">
        <v>450</v>
      </c>
      <c r="I4134" s="5"/>
    </row>
    <row r="4135" spans="1:9" x14ac:dyDescent="0.3">
      <c r="B4135" s="5" t="s">
        <v>3805</v>
      </c>
      <c r="C4135" s="5" t="s">
        <v>10</v>
      </c>
      <c r="D4135" s="5" t="s">
        <v>3806</v>
      </c>
      <c r="E4135" s="5" t="s">
        <v>3807</v>
      </c>
      <c r="F4135" s="5" t="s">
        <v>70</v>
      </c>
      <c r="G4135" s="5" t="s">
        <v>71</v>
      </c>
      <c r="H4135" s="6">
        <v>170</v>
      </c>
      <c r="I4135" s="5"/>
    </row>
    <row r="4136" spans="1:9" x14ac:dyDescent="0.3">
      <c r="B4136" s="5" t="s">
        <v>3805</v>
      </c>
      <c r="C4136" s="5" t="s">
        <v>10</v>
      </c>
      <c r="D4136" s="5" t="s">
        <v>3806</v>
      </c>
      <c r="E4136" s="5" t="s">
        <v>3808</v>
      </c>
      <c r="F4136" s="5" t="s">
        <v>1643</v>
      </c>
      <c r="G4136" s="5" t="s">
        <v>1644</v>
      </c>
      <c r="H4136" s="5"/>
      <c r="I4136" s="6">
        <v>620</v>
      </c>
    </row>
    <row r="4137" spans="1:9" x14ac:dyDescent="0.3">
      <c r="A4137" s="7" t="s">
        <v>3809</v>
      </c>
      <c r="H4137" s="8">
        <f>H4134+H4135+H4136</f>
        <v>620</v>
      </c>
      <c r="I4137" s="8">
        <f>I4134+I4135+I4136</f>
        <v>620</v>
      </c>
    </row>
    <row r="4138" spans="1:9" x14ac:dyDescent="0.3">
      <c r="A4138" s="4" t="s">
        <v>3810</v>
      </c>
    </row>
    <row r="4139" spans="1:9" x14ac:dyDescent="0.3">
      <c r="B4139" s="5" t="s">
        <v>3811</v>
      </c>
      <c r="C4139" s="5" t="s">
        <v>10</v>
      </c>
      <c r="D4139" s="5" t="s">
        <v>3812</v>
      </c>
      <c r="E4139" s="5" t="s">
        <v>624</v>
      </c>
      <c r="F4139" s="5" t="s">
        <v>61</v>
      </c>
      <c r="G4139" s="5" t="s">
        <v>62</v>
      </c>
      <c r="H4139" s="6">
        <v>300</v>
      </c>
      <c r="I4139" s="5"/>
    </row>
    <row r="4140" spans="1:9" x14ac:dyDescent="0.3">
      <c r="B4140" s="5" t="s">
        <v>3811</v>
      </c>
      <c r="C4140" s="5" t="s">
        <v>10</v>
      </c>
      <c r="D4140" s="5" t="s">
        <v>3812</v>
      </c>
      <c r="E4140" s="5" t="s">
        <v>624</v>
      </c>
      <c r="F4140" s="5" t="s">
        <v>1643</v>
      </c>
      <c r="G4140" s="5" t="s">
        <v>1644</v>
      </c>
      <c r="H4140" s="5"/>
      <c r="I4140" s="6">
        <v>300</v>
      </c>
    </row>
    <row r="4141" spans="1:9" x14ac:dyDescent="0.3">
      <c r="A4141" s="7" t="s">
        <v>3813</v>
      </c>
      <c r="H4141" s="8">
        <f>H4139+H4140</f>
        <v>300</v>
      </c>
      <c r="I4141" s="8">
        <f>I4139+I4140</f>
        <v>300</v>
      </c>
    </row>
    <row r="4142" spans="1:9" x14ac:dyDescent="0.3">
      <c r="A4142" s="4" t="s">
        <v>3814</v>
      </c>
    </row>
    <row r="4143" spans="1:9" x14ac:dyDescent="0.3">
      <c r="B4143" s="5" t="s">
        <v>3815</v>
      </c>
      <c r="C4143" s="5" t="s">
        <v>10</v>
      </c>
      <c r="D4143" s="5" t="s">
        <v>3816</v>
      </c>
      <c r="E4143" s="5" t="s">
        <v>624</v>
      </c>
      <c r="F4143" s="5" t="s">
        <v>61</v>
      </c>
      <c r="G4143" s="5" t="s">
        <v>62</v>
      </c>
      <c r="H4143" s="6">
        <v>900</v>
      </c>
      <c r="I4143" s="5"/>
    </row>
    <row r="4144" spans="1:9" x14ac:dyDescent="0.3">
      <c r="B4144" s="5" t="s">
        <v>3815</v>
      </c>
      <c r="C4144" s="5" t="s">
        <v>10</v>
      </c>
      <c r="D4144" s="5" t="s">
        <v>3816</v>
      </c>
      <c r="E4144" s="5" t="s">
        <v>624</v>
      </c>
      <c r="F4144" s="5" t="s">
        <v>1643</v>
      </c>
      <c r="G4144" s="5" t="s">
        <v>1644</v>
      </c>
      <c r="H4144" s="5"/>
      <c r="I4144" s="6">
        <v>900</v>
      </c>
    </row>
    <row r="4145" spans="1:9" x14ac:dyDescent="0.3">
      <c r="A4145" s="7" t="s">
        <v>3817</v>
      </c>
      <c r="H4145" s="8">
        <f>H4143+H4144</f>
        <v>900</v>
      </c>
      <c r="I4145" s="8">
        <f>I4143+I4144</f>
        <v>900</v>
      </c>
    </row>
    <row r="4146" spans="1:9" x14ac:dyDescent="0.3">
      <c r="A4146" s="4" t="s">
        <v>3818</v>
      </c>
    </row>
    <row r="4147" spans="1:9" x14ac:dyDescent="0.3">
      <c r="B4147" s="5" t="s">
        <v>3815</v>
      </c>
      <c r="C4147" s="5" t="s">
        <v>2745</v>
      </c>
      <c r="D4147" s="5" t="s">
        <v>2750</v>
      </c>
      <c r="E4147" s="5" t="s">
        <v>3819</v>
      </c>
      <c r="F4147" s="5" t="s">
        <v>2748</v>
      </c>
      <c r="G4147" s="5" t="s">
        <v>2749</v>
      </c>
      <c r="H4147" s="6">
        <v>1210</v>
      </c>
      <c r="I4147" s="5"/>
    </row>
    <row r="4148" spans="1:9" x14ac:dyDescent="0.3">
      <c r="B4148" s="5" t="s">
        <v>3815</v>
      </c>
      <c r="C4148" s="5" t="s">
        <v>2745</v>
      </c>
      <c r="D4148" s="5" t="s">
        <v>2750</v>
      </c>
      <c r="E4148" s="5" t="s">
        <v>2750</v>
      </c>
      <c r="F4148" s="5" t="s">
        <v>847</v>
      </c>
      <c r="G4148" s="5" t="s">
        <v>848</v>
      </c>
      <c r="H4148" s="5"/>
      <c r="I4148" s="6">
        <v>1210</v>
      </c>
    </row>
    <row r="4149" spans="1:9" x14ac:dyDescent="0.3">
      <c r="A4149" s="7" t="s">
        <v>3820</v>
      </c>
      <c r="H4149" s="8">
        <f>H4147+H4148</f>
        <v>1210</v>
      </c>
      <c r="I4149" s="8">
        <f>I4147+I4148</f>
        <v>1210</v>
      </c>
    </row>
    <row r="4150" spans="1:9" x14ac:dyDescent="0.3">
      <c r="A4150" s="4" t="s">
        <v>3821</v>
      </c>
    </row>
    <row r="4151" spans="1:9" x14ac:dyDescent="0.3">
      <c r="B4151" s="5" t="s">
        <v>3815</v>
      </c>
      <c r="C4151" s="5" t="s">
        <v>10</v>
      </c>
      <c r="D4151" s="5" t="s">
        <v>3822</v>
      </c>
      <c r="E4151" s="5" t="s">
        <v>3823</v>
      </c>
      <c r="F4151" s="5" t="s">
        <v>867</v>
      </c>
      <c r="G4151" s="5" t="s">
        <v>868</v>
      </c>
      <c r="H4151" s="6">
        <v>218</v>
      </c>
      <c r="I4151" s="5"/>
    </row>
    <row r="4152" spans="1:9" x14ac:dyDescent="0.3">
      <c r="B4152" s="5" t="s">
        <v>3815</v>
      </c>
      <c r="C4152" s="5" t="s">
        <v>10</v>
      </c>
      <c r="D4152" s="5" t="s">
        <v>3822</v>
      </c>
      <c r="E4152" s="5" t="s">
        <v>3823</v>
      </c>
      <c r="F4152" s="5" t="s">
        <v>2729</v>
      </c>
      <c r="G4152" s="5" t="s">
        <v>2730</v>
      </c>
      <c r="H4152" s="5"/>
      <c r="I4152" s="6">
        <v>218</v>
      </c>
    </row>
    <row r="4153" spans="1:9" x14ac:dyDescent="0.3">
      <c r="A4153" s="7" t="s">
        <v>3824</v>
      </c>
      <c r="H4153" s="8">
        <f>H4151+H4152</f>
        <v>218</v>
      </c>
      <c r="I4153" s="8">
        <f>I4151+I4152</f>
        <v>218</v>
      </c>
    </row>
    <row r="4154" spans="1:9" x14ac:dyDescent="0.3">
      <c r="A4154" s="4" t="s">
        <v>3825</v>
      </c>
    </row>
    <row r="4155" spans="1:9" x14ac:dyDescent="0.3">
      <c r="B4155" s="5" t="s">
        <v>3826</v>
      </c>
      <c r="C4155" s="5" t="s">
        <v>10</v>
      </c>
      <c r="D4155" s="5" t="s">
        <v>3827</v>
      </c>
      <c r="E4155" s="5" t="s">
        <v>624</v>
      </c>
      <c r="F4155" s="5" t="s">
        <v>61</v>
      </c>
      <c r="G4155" s="5" t="s">
        <v>62</v>
      </c>
      <c r="H4155" s="6">
        <v>730</v>
      </c>
      <c r="I4155" s="5"/>
    </row>
    <row r="4156" spans="1:9" x14ac:dyDescent="0.3">
      <c r="B4156" s="5" t="s">
        <v>3826</v>
      </c>
      <c r="C4156" s="5" t="s">
        <v>10</v>
      </c>
      <c r="D4156" s="5" t="s">
        <v>3827</v>
      </c>
      <c r="E4156" s="5" t="s">
        <v>624</v>
      </c>
      <c r="F4156" s="5" t="s">
        <v>1643</v>
      </c>
      <c r="G4156" s="5" t="s">
        <v>1644</v>
      </c>
      <c r="H4156" s="5"/>
      <c r="I4156" s="6">
        <v>730</v>
      </c>
    </row>
    <row r="4157" spans="1:9" x14ac:dyDescent="0.3">
      <c r="A4157" s="7" t="s">
        <v>3828</v>
      </c>
      <c r="H4157" s="8">
        <f>H4155+H4156</f>
        <v>730</v>
      </c>
      <c r="I4157" s="8">
        <f>I4155+I4156</f>
        <v>730</v>
      </c>
    </row>
    <row r="4158" spans="1:9" x14ac:dyDescent="0.3">
      <c r="A4158" s="4" t="s">
        <v>3829</v>
      </c>
    </row>
    <row r="4159" spans="1:9" x14ac:dyDescent="0.3">
      <c r="B4159" s="5" t="s">
        <v>3826</v>
      </c>
      <c r="C4159" s="5" t="s">
        <v>10</v>
      </c>
      <c r="D4159" s="5" t="s">
        <v>3830</v>
      </c>
      <c r="E4159" s="5" t="s">
        <v>3831</v>
      </c>
      <c r="F4159" s="5" t="s">
        <v>1643</v>
      </c>
      <c r="G4159" s="5" t="s">
        <v>1644</v>
      </c>
      <c r="H4159" s="6">
        <v>122000</v>
      </c>
      <c r="I4159" s="5"/>
    </row>
    <row r="4160" spans="1:9" x14ac:dyDescent="0.3">
      <c r="B4160" s="5" t="s">
        <v>3826</v>
      </c>
      <c r="C4160" s="5" t="s">
        <v>10</v>
      </c>
      <c r="D4160" s="5" t="s">
        <v>3830</v>
      </c>
      <c r="E4160" s="5" t="s">
        <v>3831</v>
      </c>
      <c r="F4160" s="5" t="s">
        <v>13</v>
      </c>
      <c r="G4160" s="5" t="s">
        <v>14</v>
      </c>
      <c r="H4160" s="5"/>
      <c r="I4160" s="6">
        <v>122000</v>
      </c>
    </row>
    <row r="4161" spans="1:9" x14ac:dyDescent="0.3">
      <c r="A4161" s="7" t="s">
        <v>3832</v>
      </c>
      <c r="H4161" s="8">
        <f>H4159+H4160</f>
        <v>122000</v>
      </c>
      <c r="I4161" s="8">
        <f>I4159+I4160</f>
        <v>122000</v>
      </c>
    </row>
    <row r="4162" spans="1:9" x14ac:dyDescent="0.3">
      <c r="A4162" s="4" t="s">
        <v>3833</v>
      </c>
    </row>
    <row r="4163" spans="1:9" x14ac:dyDescent="0.3">
      <c r="B4163" s="5" t="s">
        <v>3826</v>
      </c>
      <c r="C4163" s="5" t="s">
        <v>10</v>
      </c>
      <c r="D4163" s="5" t="s">
        <v>3834</v>
      </c>
      <c r="E4163" s="5" t="s">
        <v>3835</v>
      </c>
      <c r="F4163" s="5" t="s">
        <v>443</v>
      </c>
      <c r="G4163" s="5" t="s">
        <v>444</v>
      </c>
      <c r="H4163" s="6">
        <v>23600</v>
      </c>
      <c r="I4163" s="5"/>
    </row>
    <row r="4164" spans="1:9" x14ac:dyDescent="0.3">
      <c r="B4164" s="5" t="s">
        <v>3826</v>
      </c>
      <c r="C4164" s="5" t="s">
        <v>10</v>
      </c>
      <c r="D4164" s="5" t="s">
        <v>3834</v>
      </c>
      <c r="E4164" s="5" t="s">
        <v>3835</v>
      </c>
      <c r="F4164" s="5" t="s">
        <v>445</v>
      </c>
      <c r="G4164" s="5" t="s">
        <v>446</v>
      </c>
      <c r="H4164" s="6">
        <v>23600</v>
      </c>
      <c r="I4164" s="5"/>
    </row>
    <row r="4165" spans="1:9" x14ac:dyDescent="0.3">
      <c r="B4165" s="5" t="s">
        <v>3826</v>
      </c>
      <c r="C4165" s="5" t="s">
        <v>10</v>
      </c>
      <c r="D4165" s="5" t="s">
        <v>3834</v>
      </c>
      <c r="E4165" s="5" t="s">
        <v>3835</v>
      </c>
      <c r="F4165" s="5" t="s">
        <v>549</v>
      </c>
      <c r="G4165" s="5" t="s">
        <v>550</v>
      </c>
      <c r="H4165" s="6">
        <v>30000</v>
      </c>
      <c r="I4165" s="5"/>
    </row>
    <row r="4166" spans="1:9" x14ac:dyDescent="0.3">
      <c r="B4166" s="5" t="s">
        <v>3826</v>
      </c>
      <c r="C4166" s="5" t="s">
        <v>10</v>
      </c>
      <c r="D4166" s="5" t="s">
        <v>3834</v>
      </c>
      <c r="E4166" s="5" t="s">
        <v>3835</v>
      </c>
      <c r="F4166" s="5" t="s">
        <v>449</v>
      </c>
      <c r="G4166" s="5" t="s">
        <v>450</v>
      </c>
      <c r="H4166" s="6">
        <v>6960</v>
      </c>
      <c r="I4166" s="5"/>
    </row>
    <row r="4167" spans="1:9" x14ac:dyDescent="0.3">
      <c r="B4167" s="5" t="s">
        <v>3826</v>
      </c>
      <c r="C4167" s="5" t="s">
        <v>10</v>
      </c>
      <c r="D4167" s="5" t="s">
        <v>3834</v>
      </c>
      <c r="E4167" s="5" t="s">
        <v>3835</v>
      </c>
      <c r="F4167" s="5" t="s">
        <v>453</v>
      </c>
      <c r="G4167" s="5" t="s">
        <v>454</v>
      </c>
      <c r="H4167" s="6">
        <v>6960</v>
      </c>
      <c r="I4167" s="5"/>
    </row>
    <row r="4168" spans="1:9" x14ac:dyDescent="0.3">
      <c r="B4168" s="5" t="s">
        <v>3826</v>
      </c>
      <c r="C4168" s="5" t="s">
        <v>10</v>
      </c>
      <c r="D4168" s="5" t="s">
        <v>3834</v>
      </c>
      <c r="E4168" s="5" t="s">
        <v>3835</v>
      </c>
      <c r="F4168" s="5" t="s">
        <v>451</v>
      </c>
      <c r="G4168" s="5" t="s">
        <v>452</v>
      </c>
      <c r="H4168" s="6">
        <v>6960</v>
      </c>
      <c r="I4168" s="5"/>
    </row>
    <row r="4169" spans="1:9" x14ac:dyDescent="0.3">
      <c r="B4169" s="5" t="s">
        <v>3826</v>
      </c>
      <c r="C4169" s="5" t="s">
        <v>10</v>
      </c>
      <c r="D4169" s="5" t="s">
        <v>3834</v>
      </c>
      <c r="E4169" s="5" t="s">
        <v>3835</v>
      </c>
      <c r="F4169" s="5" t="s">
        <v>1961</v>
      </c>
      <c r="G4169" s="5" t="s">
        <v>1962</v>
      </c>
      <c r="H4169" s="6">
        <v>6960</v>
      </c>
      <c r="I4169" s="5"/>
    </row>
    <row r="4170" spans="1:9" x14ac:dyDescent="0.3">
      <c r="B4170" s="5" t="s">
        <v>3826</v>
      </c>
      <c r="C4170" s="5" t="s">
        <v>10</v>
      </c>
      <c r="D4170" s="5" t="s">
        <v>3834</v>
      </c>
      <c r="E4170" s="5" t="s">
        <v>3835</v>
      </c>
      <c r="F4170" s="5" t="s">
        <v>2598</v>
      </c>
      <c r="G4170" s="5" t="s">
        <v>2599</v>
      </c>
      <c r="H4170" s="6">
        <v>10000</v>
      </c>
      <c r="I4170" s="5"/>
    </row>
    <row r="4171" spans="1:9" x14ac:dyDescent="0.3">
      <c r="B4171" s="5" t="s">
        <v>3826</v>
      </c>
      <c r="C4171" s="5" t="s">
        <v>10</v>
      </c>
      <c r="D4171" s="5" t="s">
        <v>3834</v>
      </c>
      <c r="E4171" s="5" t="s">
        <v>3835</v>
      </c>
      <c r="F4171" s="5" t="s">
        <v>1346</v>
      </c>
      <c r="G4171" s="5" t="s">
        <v>1347</v>
      </c>
      <c r="H4171" s="6">
        <v>6960</v>
      </c>
      <c r="I4171" s="5"/>
    </row>
    <row r="4172" spans="1:9" x14ac:dyDescent="0.3">
      <c r="B4172" s="5" t="s">
        <v>3826</v>
      </c>
      <c r="C4172" s="5" t="s">
        <v>10</v>
      </c>
      <c r="D4172" s="5" t="s">
        <v>3834</v>
      </c>
      <c r="E4172" s="5" t="s">
        <v>3835</v>
      </c>
      <c r="F4172" s="5" t="s">
        <v>1643</v>
      </c>
      <c r="G4172" s="5" t="s">
        <v>1644</v>
      </c>
      <c r="H4172" s="5"/>
      <c r="I4172" s="6">
        <v>122000</v>
      </c>
    </row>
    <row r="4173" spans="1:9" x14ac:dyDescent="0.3">
      <c r="A4173" s="7" t="s">
        <v>3836</v>
      </c>
      <c r="H4173" s="8">
        <f>H4163+H4164+H4165+H4166+H4167+H4168+H4169+H4170+H4171+H4172</f>
        <v>122000</v>
      </c>
      <c r="I4173" s="8">
        <f>I4163+I4164+I4165+I4166+I4167+I4168+I4169+I4170+I4171+I4172</f>
        <v>122000</v>
      </c>
    </row>
    <row r="4174" spans="1:9" x14ac:dyDescent="0.3">
      <c r="A4174" s="4" t="s">
        <v>3837</v>
      </c>
    </row>
    <row r="4175" spans="1:9" x14ac:dyDescent="0.3">
      <c r="B4175" s="5" t="s">
        <v>3826</v>
      </c>
      <c r="C4175" s="5" t="s">
        <v>2745</v>
      </c>
      <c r="D4175" s="5" t="s">
        <v>2750</v>
      </c>
      <c r="E4175" s="5" t="s">
        <v>2750</v>
      </c>
      <c r="F4175" s="5" t="s">
        <v>2748</v>
      </c>
      <c r="G4175" s="5" t="s">
        <v>2749</v>
      </c>
      <c r="H4175" s="6">
        <v>1050</v>
      </c>
      <c r="I4175" s="5"/>
    </row>
    <row r="4176" spans="1:9" x14ac:dyDescent="0.3">
      <c r="B4176" s="5" t="s">
        <v>3826</v>
      </c>
      <c r="C4176" s="5" t="s">
        <v>2745</v>
      </c>
      <c r="D4176" s="5" t="s">
        <v>2750</v>
      </c>
      <c r="E4176" s="5" t="s">
        <v>2750</v>
      </c>
      <c r="F4176" s="5" t="s">
        <v>847</v>
      </c>
      <c r="G4176" s="5" t="s">
        <v>848</v>
      </c>
      <c r="H4176" s="5"/>
      <c r="I4176" s="6">
        <v>1050</v>
      </c>
    </row>
    <row r="4177" spans="1:9" x14ac:dyDescent="0.3">
      <c r="A4177" s="7" t="s">
        <v>3838</v>
      </c>
      <c r="H4177" s="8">
        <f>H4175+H4176</f>
        <v>1050</v>
      </c>
      <c r="I4177" s="8">
        <f>I4175+I4176</f>
        <v>1050</v>
      </c>
    </row>
    <row r="4178" spans="1:9" x14ac:dyDescent="0.3">
      <c r="A4178" s="4" t="s">
        <v>3839</v>
      </c>
    </row>
    <row r="4179" spans="1:9" x14ac:dyDescent="0.3">
      <c r="B4179" s="5" t="s">
        <v>3826</v>
      </c>
      <c r="C4179" s="5" t="s">
        <v>2745</v>
      </c>
      <c r="D4179" s="5" t="s">
        <v>2750</v>
      </c>
      <c r="E4179" s="5" t="s">
        <v>2750</v>
      </c>
      <c r="F4179" s="5" t="s">
        <v>2748</v>
      </c>
      <c r="G4179" s="5" t="s">
        <v>2749</v>
      </c>
      <c r="H4179" s="6">
        <v>3030</v>
      </c>
      <c r="I4179" s="5"/>
    </row>
    <row r="4180" spans="1:9" x14ac:dyDescent="0.3">
      <c r="B4180" s="5" t="s">
        <v>3826</v>
      </c>
      <c r="C4180" s="5" t="s">
        <v>2745</v>
      </c>
      <c r="D4180" s="5" t="s">
        <v>2750</v>
      </c>
      <c r="E4180" s="5" t="s">
        <v>2750</v>
      </c>
      <c r="F4180" s="5" t="s">
        <v>847</v>
      </c>
      <c r="G4180" s="5" t="s">
        <v>848</v>
      </c>
      <c r="H4180" s="5"/>
      <c r="I4180" s="6">
        <v>3030</v>
      </c>
    </row>
    <row r="4181" spans="1:9" x14ac:dyDescent="0.3">
      <c r="A4181" s="7" t="s">
        <v>3840</v>
      </c>
      <c r="H4181" s="8">
        <f>H4179+H4180</f>
        <v>3030</v>
      </c>
      <c r="I4181" s="8">
        <f>I4179+I4180</f>
        <v>3030</v>
      </c>
    </row>
    <row r="4182" spans="1:9" x14ac:dyDescent="0.3">
      <c r="A4182" s="4" t="s">
        <v>3841</v>
      </c>
    </row>
    <row r="4183" spans="1:9" x14ac:dyDescent="0.3">
      <c r="B4183" s="5" t="s">
        <v>3826</v>
      </c>
      <c r="C4183" s="5" t="s">
        <v>10</v>
      </c>
      <c r="D4183" s="5" t="s">
        <v>3842</v>
      </c>
      <c r="E4183" s="5" t="s">
        <v>3843</v>
      </c>
      <c r="F4183" s="5" t="s">
        <v>867</v>
      </c>
      <c r="G4183" s="5" t="s">
        <v>868</v>
      </c>
      <c r="H4183" s="6">
        <v>198</v>
      </c>
      <c r="I4183" s="5"/>
    </row>
    <row r="4184" spans="1:9" x14ac:dyDescent="0.3">
      <c r="B4184" s="5" t="s">
        <v>3826</v>
      </c>
      <c r="C4184" s="5" t="s">
        <v>10</v>
      </c>
      <c r="D4184" s="5" t="s">
        <v>3842</v>
      </c>
      <c r="E4184" s="5" t="s">
        <v>3843</v>
      </c>
      <c r="F4184" s="5" t="s">
        <v>2729</v>
      </c>
      <c r="G4184" s="5" t="s">
        <v>2730</v>
      </c>
      <c r="H4184" s="5"/>
      <c r="I4184" s="6">
        <v>198</v>
      </c>
    </row>
    <row r="4185" spans="1:9" x14ac:dyDescent="0.3">
      <c r="B4185" s="5" t="s">
        <v>3826</v>
      </c>
      <c r="C4185" s="5" t="s">
        <v>10</v>
      </c>
      <c r="D4185" s="5" t="s">
        <v>3842</v>
      </c>
      <c r="E4185" s="5" t="s">
        <v>3844</v>
      </c>
      <c r="F4185" s="5" t="s">
        <v>867</v>
      </c>
      <c r="G4185" s="5" t="s">
        <v>868</v>
      </c>
      <c r="H4185" s="6">
        <v>545</v>
      </c>
      <c r="I4185" s="5"/>
    </row>
    <row r="4186" spans="1:9" x14ac:dyDescent="0.3">
      <c r="B4186" s="5" t="s">
        <v>3826</v>
      </c>
      <c r="C4186" s="5" t="s">
        <v>10</v>
      </c>
      <c r="D4186" s="5" t="s">
        <v>3842</v>
      </c>
      <c r="E4186" s="5" t="s">
        <v>3844</v>
      </c>
      <c r="F4186" s="5" t="s">
        <v>2729</v>
      </c>
      <c r="G4186" s="5" t="s">
        <v>2730</v>
      </c>
      <c r="H4186" s="5"/>
      <c r="I4186" s="6">
        <v>545</v>
      </c>
    </row>
    <row r="4187" spans="1:9" x14ac:dyDescent="0.3">
      <c r="A4187" s="7" t="s">
        <v>3845</v>
      </c>
      <c r="H4187" s="8">
        <f>H4183+H4184+H4185+H4186</f>
        <v>743</v>
      </c>
      <c r="I4187" s="8">
        <f>I4183+I4184+I4185+I4186</f>
        <v>743</v>
      </c>
    </row>
    <row r="4188" spans="1:9" x14ac:dyDescent="0.3">
      <c r="A4188" s="4" t="s">
        <v>3846</v>
      </c>
    </row>
    <row r="4189" spans="1:9" x14ac:dyDescent="0.3">
      <c r="B4189" s="5" t="s">
        <v>3847</v>
      </c>
      <c r="C4189" s="5" t="s">
        <v>10</v>
      </c>
      <c r="D4189" s="5" t="s">
        <v>3848</v>
      </c>
      <c r="E4189" s="5" t="s">
        <v>3849</v>
      </c>
      <c r="F4189" s="5" t="s">
        <v>1643</v>
      </c>
      <c r="G4189" s="5" t="s">
        <v>1644</v>
      </c>
      <c r="H4189" s="6">
        <v>21010</v>
      </c>
      <c r="I4189" s="5"/>
    </row>
    <row r="4190" spans="1:9" x14ac:dyDescent="0.3">
      <c r="B4190" s="5" t="s">
        <v>3847</v>
      </c>
      <c r="C4190" s="5" t="s">
        <v>10</v>
      </c>
      <c r="D4190" s="5" t="s">
        <v>3848</v>
      </c>
      <c r="E4190" s="5" t="s">
        <v>3849</v>
      </c>
      <c r="F4190" s="5" t="s">
        <v>13</v>
      </c>
      <c r="G4190" s="5" t="s">
        <v>14</v>
      </c>
      <c r="H4190" s="5"/>
      <c r="I4190" s="6">
        <v>21010</v>
      </c>
    </row>
    <row r="4191" spans="1:9" x14ac:dyDescent="0.3">
      <c r="A4191" s="7" t="s">
        <v>3850</v>
      </c>
      <c r="H4191" s="8">
        <f>H4189+H4190</f>
        <v>21010</v>
      </c>
      <c r="I4191" s="8">
        <f>I4189+I4190</f>
        <v>21010</v>
      </c>
    </row>
    <row r="4192" spans="1:9" x14ac:dyDescent="0.3">
      <c r="A4192" s="4" t="s">
        <v>3851</v>
      </c>
    </row>
    <row r="4193" spans="1:9" x14ac:dyDescent="0.3">
      <c r="B4193" s="5" t="s">
        <v>3847</v>
      </c>
      <c r="C4193" s="5" t="s">
        <v>10</v>
      </c>
      <c r="D4193" s="5" t="s">
        <v>3852</v>
      </c>
      <c r="E4193" s="5" t="s">
        <v>3835</v>
      </c>
      <c r="F4193" s="5" t="s">
        <v>1022</v>
      </c>
      <c r="G4193" s="5" t="s">
        <v>1023</v>
      </c>
      <c r="H4193" s="6">
        <v>11860</v>
      </c>
      <c r="I4193" s="5"/>
    </row>
    <row r="4194" spans="1:9" x14ac:dyDescent="0.3">
      <c r="B4194" s="5" t="s">
        <v>3847</v>
      </c>
      <c r="C4194" s="5" t="s">
        <v>10</v>
      </c>
      <c r="D4194" s="5" t="s">
        <v>3852</v>
      </c>
      <c r="E4194" s="5" t="s">
        <v>3835</v>
      </c>
      <c r="F4194" s="5" t="s">
        <v>2600</v>
      </c>
      <c r="G4194" s="5" t="s">
        <v>2601</v>
      </c>
      <c r="H4194" s="6">
        <v>3000</v>
      </c>
      <c r="I4194" s="5"/>
    </row>
    <row r="4195" spans="1:9" x14ac:dyDescent="0.3">
      <c r="B4195" s="5" t="s">
        <v>3847</v>
      </c>
      <c r="C4195" s="5" t="s">
        <v>10</v>
      </c>
      <c r="D4195" s="5" t="s">
        <v>3852</v>
      </c>
      <c r="E4195" s="5" t="s">
        <v>3835</v>
      </c>
      <c r="F4195" s="5" t="s">
        <v>3735</v>
      </c>
      <c r="G4195" s="5" t="s">
        <v>3736</v>
      </c>
      <c r="H4195" s="6">
        <v>3000</v>
      </c>
      <c r="I4195" s="5"/>
    </row>
    <row r="4196" spans="1:9" x14ac:dyDescent="0.3">
      <c r="B4196" s="5" t="s">
        <v>3847</v>
      </c>
      <c r="C4196" s="5" t="s">
        <v>10</v>
      </c>
      <c r="D4196" s="5" t="s">
        <v>3852</v>
      </c>
      <c r="E4196" s="5" t="s">
        <v>3853</v>
      </c>
      <c r="F4196" s="5" t="s">
        <v>61</v>
      </c>
      <c r="G4196" s="5" t="s">
        <v>62</v>
      </c>
      <c r="H4196" s="6">
        <v>3000</v>
      </c>
      <c r="I4196" s="5"/>
    </row>
    <row r="4197" spans="1:9" x14ac:dyDescent="0.3">
      <c r="B4197" s="5" t="s">
        <v>3847</v>
      </c>
      <c r="C4197" s="5" t="s">
        <v>10</v>
      </c>
      <c r="D4197" s="5" t="s">
        <v>3852</v>
      </c>
      <c r="E4197" s="5" t="s">
        <v>3853</v>
      </c>
      <c r="F4197" s="5" t="s">
        <v>2368</v>
      </c>
      <c r="G4197" s="5" t="s">
        <v>2369</v>
      </c>
      <c r="H4197" s="6">
        <v>150</v>
      </c>
      <c r="I4197" s="5"/>
    </row>
    <row r="4198" spans="1:9" x14ac:dyDescent="0.3">
      <c r="B4198" s="5" t="s">
        <v>3847</v>
      </c>
      <c r="C4198" s="5" t="s">
        <v>10</v>
      </c>
      <c r="D4198" s="5" t="s">
        <v>3852</v>
      </c>
      <c r="E4198" s="5" t="s">
        <v>3854</v>
      </c>
      <c r="F4198" s="5" t="s">
        <v>1643</v>
      </c>
      <c r="G4198" s="5" t="s">
        <v>1644</v>
      </c>
      <c r="H4198" s="5"/>
      <c r="I4198" s="6">
        <v>21010</v>
      </c>
    </row>
    <row r="4199" spans="1:9" x14ac:dyDescent="0.3">
      <c r="A4199" s="7" t="s">
        <v>3855</v>
      </c>
      <c r="H4199" s="8">
        <f>H4193+H4194+H4195+H4196+H4197+H4198</f>
        <v>21010</v>
      </c>
      <c r="I4199" s="8">
        <f>I4193+I4194+I4195+I4196+I4197+I4198</f>
        <v>21010</v>
      </c>
    </row>
    <row r="4200" spans="1:9" x14ac:dyDescent="0.3">
      <c r="A4200" s="4" t="s">
        <v>3856</v>
      </c>
    </row>
    <row r="4201" spans="1:9" x14ac:dyDescent="0.3">
      <c r="B4201" s="5" t="s">
        <v>3847</v>
      </c>
      <c r="C4201" s="5" t="s">
        <v>10</v>
      </c>
      <c r="D4201" s="5" t="s">
        <v>3857</v>
      </c>
      <c r="E4201" s="5" t="s">
        <v>3858</v>
      </c>
      <c r="F4201" s="5" t="s">
        <v>1643</v>
      </c>
      <c r="G4201" s="5" t="s">
        <v>1644</v>
      </c>
      <c r="H4201" s="6">
        <v>15110</v>
      </c>
      <c r="I4201" s="5"/>
    </row>
    <row r="4202" spans="1:9" x14ac:dyDescent="0.3">
      <c r="B4202" s="5" t="s">
        <v>3847</v>
      </c>
      <c r="C4202" s="5" t="s">
        <v>10</v>
      </c>
      <c r="D4202" s="5" t="s">
        <v>3857</v>
      </c>
      <c r="E4202" s="5" t="s">
        <v>3858</v>
      </c>
      <c r="F4202" s="5" t="s">
        <v>13</v>
      </c>
      <c r="G4202" s="5" t="s">
        <v>14</v>
      </c>
      <c r="H4202" s="5"/>
      <c r="I4202" s="6">
        <v>15110</v>
      </c>
    </row>
    <row r="4203" spans="1:9" x14ac:dyDescent="0.3">
      <c r="A4203" s="7" t="s">
        <v>3859</v>
      </c>
      <c r="H4203" s="8">
        <f>H4201+H4202</f>
        <v>15110</v>
      </c>
      <c r="I4203" s="8">
        <f>I4201+I4202</f>
        <v>15110</v>
      </c>
    </row>
    <row r="4204" spans="1:9" x14ac:dyDescent="0.3">
      <c r="A4204" s="4" t="s">
        <v>3860</v>
      </c>
    </row>
    <row r="4205" spans="1:9" x14ac:dyDescent="0.3">
      <c r="B4205" s="5" t="s">
        <v>3847</v>
      </c>
      <c r="C4205" s="5" t="s">
        <v>10</v>
      </c>
      <c r="D4205" s="5" t="s">
        <v>3861</v>
      </c>
      <c r="E4205" s="5" t="s">
        <v>3835</v>
      </c>
      <c r="F4205" s="5" t="s">
        <v>2602</v>
      </c>
      <c r="G4205" s="5" t="s">
        <v>2603</v>
      </c>
      <c r="H4205" s="6">
        <v>5980</v>
      </c>
      <c r="I4205" s="5"/>
    </row>
    <row r="4206" spans="1:9" x14ac:dyDescent="0.3">
      <c r="B4206" s="5" t="s">
        <v>3847</v>
      </c>
      <c r="C4206" s="5" t="s">
        <v>10</v>
      </c>
      <c r="D4206" s="5" t="s">
        <v>3861</v>
      </c>
      <c r="E4206" s="5" t="s">
        <v>3835</v>
      </c>
      <c r="F4206" s="5" t="s">
        <v>2604</v>
      </c>
      <c r="G4206" s="5" t="s">
        <v>2605</v>
      </c>
      <c r="H4206" s="6">
        <v>5980</v>
      </c>
      <c r="I4206" s="5"/>
    </row>
    <row r="4207" spans="1:9" x14ac:dyDescent="0.3">
      <c r="B4207" s="5" t="s">
        <v>3847</v>
      </c>
      <c r="C4207" s="5" t="s">
        <v>10</v>
      </c>
      <c r="D4207" s="5" t="s">
        <v>3861</v>
      </c>
      <c r="E4207" s="5" t="s">
        <v>3853</v>
      </c>
      <c r="F4207" s="5" t="s">
        <v>61</v>
      </c>
      <c r="G4207" s="5" t="s">
        <v>62</v>
      </c>
      <c r="H4207" s="6">
        <v>3000</v>
      </c>
      <c r="I4207" s="5"/>
    </row>
    <row r="4208" spans="1:9" x14ac:dyDescent="0.3">
      <c r="B4208" s="5" t="s">
        <v>3847</v>
      </c>
      <c r="C4208" s="5" t="s">
        <v>10</v>
      </c>
      <c r="D4208" s="5" t="s">
        <v>3861</v>
      </c>
      <c r="E4208" s="5" t="s">
        <v>2489</v>
      </c>
      <c r="F4208" s="5" t="s">
        <v>2368</v>
      </c>
      <c r="G4208" s="5" t="s">
        <v>2369</v>
      </c>
      <c r="H4208" s="6">
        <v>150</v>
      </c>
      <c r="I4208" s="5"/>
    </row>
    <row r="4209" spans="1:9" x14ac:dyDescent="0.3">
      <c r="B4209" s="5" t="s">
        <v>3847</v>
      </c>
      <c r="C4209" s="5" t="s">
        <v>10</v>
      </c>
      <c r="D4209" s="5" t="s">
        <v>3861</v>
      </c>
      <c r="E4209" s="5" t="s">
        <v>3854</v>
      </c>
      <c r="F4209" s="5" t="s">
        <v>1643</v>
      </c>
      <c r="G4209" s="5" t="s">
        <v>1644</v>
      </c>
      <c r="H4209" s="5"/>
      <c r="I4209" s="6">
        <v>15110</v>
      </c>
    </row>
    <row r="4210" spans="1:9" x14ac:dyDescent="0.3">
      <c r="A4210" s="7" t="s">
        <v>3862</v>
      </c>
      <c r="H4210" s="8">
        <f>H4205+H4206+H4207+H4208+H4209</f>
        <v>15110</v>
      </c>
      <c r="I4210" s="8">
        <f>I4205+I4206+I4207+I4208+I4209</f>
        <v>15110</v>
      </c>
    </row>
    <row r="4211" spans="1:9" x14ac:dyDescent="0.3">
      <c r="A4211" s="4" t="s">
        <v>3863</v>
      </c>
    </row>
    <row r="4212" spans="1:9" x14ac:dyDescent="0.3">
      <c r="B4212" s="5" t="s">
        <v>3847</v>
      </c>
      <c r="C4212" s="5" t="s">
        <v>10</v>
      </c>
      <c r="D4212" s="5" t="s">
        <v>3864</v>
      </c>
      <c r="E4212" s="5" t="s">
        <v>3865</v>
      </c>
      <c r="F4212" s="5" t="s">
        <v>61</v>
      </c>
      <c r="G4212" s="5" t="s">
        <v>62</v>
      </c>
      <c r="H4212" s="6">
        <v>9510</v>
      </c>
      <c r="I4212" s="5"/>
    </row>
    <row r="4213" spans="1:9" x14ac:dyDescent="0.3">
      <c r="B4213" s="5" t="s">
        <v>3847</v>
      </c>
      <c r="C4213" s="5" t="s">
        <v>10</v>
      </c>
      <c r="D4213" s="5" t="s">
        <v>3864</v>
      </c>
      <c r="E4213" s="5" t="s">
        <v>3865</v>
      </c>
      <c r="F4213" s="5" t="s">
        <v>1643</v>
      </c>
      <c r="G4213" s="5" t="s">
        <v>1644</v>
      </c>
      <c r="H4213" s="5"/>
      <c r="I4213" s="6">
        <v>9510</v>
      </c>
    </row>
    <row r="4214" spans="1:9" x14ac:dyDescent="0.3">
      <c r="A4214" s="7" t="s">
        <v>3866</v>
      </c>
      <c r="H4214" s="8">
        <f>H4212+H4213</f>
        <v>9510</v>
      </c>
      <c r="I4214" s="8">
        <f>I4212+I4213</f>
        <v>9510</v>
      </c>
    </row>
    <row r="4215" spans="1:9" x14ac:dyDescent="0.3">
      <c r="A4215" s="4" t="s">
        <v>3867</v>
      </c>
    </row>
    <row r="4216" spans="1:9" x14ac:dyDescent="0.3">
      <c r="B4216" s="5" t="s">
        <v>3847</v>
      </c>
      <c r="C4216" s="5" t="s">
        <v>10</v>
      </c>
      <c r="D4216" s="5" t="s">
        <v>3868</v>
      </c>
      <c r="E4216" s="5" t="s">
        <v>624</v>
      </c>
      <c r="F4216" s="5" t="s">
        <v>61</v>
      </c>
      <c r="G4216" s="5" t="s">
        <v>62</v>
      </c>
      <c r="H4216" s="6">
        <v>110</v>
      </c>
      <c r="I4216" s="5"/>
    </row>
    <row r="4217" spans="1:9" x14ac:dyDescent="0.3">
      <c r="B4217" s="5" t="s">
        <v>3847</v>
      </c>
      <c r="C4217" s="5" t="s">
        <v>10</v>
      </c>
      <c r="D4217" s="5" t="s">
        <v>3868</v>
      </c>
      <c r="E4217" s="5" t="s">
        <v>624</v>
      </c>
      <c r="F4217" s="5" t="s">
        <v>1643</v>
      </c>
      <c r="G4217" s="5" t="s">
        <v>1644</v>
      </c>
      <c r="H4217" s="5"/>
      <c r="I4217" s="6">
        <v>110</v>
      </c>
    </row>
    <row r="4218" spans="1:9" x14ac:dyDescent="0.3">
      <c r="A4218" s="7" t="s">
        <v>3869</v>
      </c>
      <c r="H4218" s="8">
        <f>H4216+H4217</f>
        <v>110</v>
      </c>
      <c r="I4218" s="8">
        <f>I4216+I4217</f>
        <v>110</v>
      </c>
    </row>
    <row r="4219" spans="1:9" x14ac:dyDescent="0.3">
      <c r="A4219" s="4" t="s">
        <v>3870</v>
      </c>
    </row>
    <row r="4220" spans="1:9" x14ac:dyDescent="0.3">
      <c r="B4220" s="5" t="s">
        <v>3847</v>
      </c>
      <c r="C4220" s="5" t="s">
        <v>10</v>
      </c>
      <c r="D4220" s="5" t="s">
        <v>3871</v>
      </c>
      <c r="E4220" s="5" t="s">
        <v>3106</v>
      </c>
      <c r="F4220" s="5" t="s">
        <v>113</v>
      </c>
      <c r="G4220" s="5" t="s">
        <v>114</v>
      </c>
      <c r="H4220" s="6">
        <v>1030</v>
      </c>
      <c r="I4220" s="5"/>
    </row>
    <row r="4221" spans="1:9" x14ac:dyDescent="0.3">
      <c r="B4221" s="5" t="s">
        <v>3847</v>
      </c>
      <c r="C4221" s="5" t="s">
        <v>10</v>
      </c>
      <c r="D4221" s="5" t="s">
        <v>3871</v>
      </c>
      <c r="E4221" s="5" t="s">
        <v>3106</v>
      </c>
      <c r="F4221" s="5" t="s">
        <v>1643</v>
      </c>
      <c r="G4221" s="5" t="s">
        <v>1644</v>
      </c>
      <c r="H4221" s="5"/>
      <c r="I4221" s="6">
        <v>1030</v>
      </c>
    </row>
    <row r="4222" spans="1:9" x14ac:dyDescent="0.3">
      <c r="A4222" s="7" t="s">
        <v>3872</v>
      </c>
      <c r="H4222" s="8">
        <f>H4220+H4221</f>
        <v>1030</v>
      </c>
      <c r="I4222" s="8">
        <f>I4220+I4221</f>
        <v>1030</v>
      </c>
    </row>
    <row r="4223" spans="1:9" x14ac:dyDescent="0.3">
      <c r="A4223" s="4" t="s">
        <v>3873</v>
      </c>
    </row>
    <row r="4224" spans="1:9" x14ac:dyDescent="0.3">
      <c r="B4224" s="5" t="s">
        <v>3874</v>
      </c>
      <c r="C4224" s="5" t="s">
        <v>10</v>
      </c>
      <c r="D4224" s="5" t="s">
        <v>3875</v>
      </c>
      <c r="E4224" s="5" t="s">
        <v>3876</v>
      </c>
      <c r="F4224" s="5" t="s">
        <v>61</v>
      </c>
      <c r="G4224" s="5" t="s">
        <v>62</v>
      </c>
      <c r="H4224" s="6">
        <v>200</v>
      </c>
      <c r="I4224" s="5"/>
    </row>
    <row r="4225" spans="1:9" x14ac:dyDescent="0.3">
      <c r="B4225" s="5" t="s">
        <v>3874</v>
      </c>
      <c r="C4225" s="5" t="s">
        <v>10</v>
      </c>
      <c r="D4225" s="5" t="s">
        <v>3875</v>
      </c>
      <c r="E4225" s="5" t="s">
        <v>3876</v>
      </c>
      <c r="F4225" s="5" t="s">
        <v>1643</v>
      </c>
      <c r="G4225" s="5" t="s">
        <v>1644</v>
      </c>
      <c r="H4225" s="5"/>
      <c r="I4225" s="6">
        <v>200</v>
      </c>
    </row>
    <row r="4226" spans="1:9" x14ac:dyDescent="0.3">
      <c r="A4226" s="7" t="s">
        <v>3877</v>
      </c>
      <c r="H4226" s="8">
        <f>H4224+H4225</f>
        <v>200</v>
      </c>
      <c r="I4226" s="8">
        <f>I4224+I4225</f>
        <v>200</v>
      </c>
    </row>
    <row r="4227" spans="1:9" x14ac:dyDescent="0.3">
      <c r="A4227" s="4" t="s">
        <v>3878</v>
      </c>
    </row>
    <row r="4228" spans="1:9" x14ac:dyDescent="0.3">
      <c r="B4228" s="5" t="s">
        <v>3879</v>
      </c>
      <c r="C4228" s="5" t="s">
        <v>10</v>
      </c>
      <c r="D4228" s="5" t="s">
        <v>3880</v>
      </c>
      <c r="E4228" s="5" t="s">
        <v>3881</v>
      </c>
      <c r="F4228" s="5" t="s">
        <v>50</v>
      </c>
      <c r="G4228" s="5" t="s">
        <v>51</v>
      </c>
      <c r="H4228" s="6">
        <v>250</v>
      </c>
      <c r="I4228" s="5"/>
    </row>
    <row r="4229" spans="1:9" x14ac:dyDescent="0.3">
      <c r="B4229" s="5" t="s">
        <v>3879</v>
      </c>
      <c r="C4229" s="5" t="s">
        <v>10</v>
      </c>
      <c r="D4229" s="5" t="s">
        <v>3880</v>
      </c>
      <c r="E4229" s="5" t="s">
        <v>3881</v>
      </c>
      <c r="F4229" s="5" t="s">
        <v>1643</v>
      </c>
      <c r="G4229" s="5" t="s">
        <v>1644</v>
      </c>
      <c r="H4229" s="5"/>
      <c r="I4229" s="6">
        <v>250</v>
      </c>
    </row>
    <row r="4230" spans="1:9" x14ac:dyDescent="0.3">
      <c r="A4230" s="7" t="s">
        <v>3882</v>
      </c>
      <c r="H4230" s="8">
        <f>H4228+H4229</f>
        <v>250</v>
      </c>
      <c r="I4230" s="8">
        <f>I4228+I4229</f>
        <v>250</v>
      </c>
    </row>
    <row r="4231" spans="1:9" x14ac:dyDescent="0.3">
      <c r="A4231" s="4" t="s">
        <v>3883</v>
      </c>
    </row>
    <row r="4232" spans="1:9" x14ac:dyDescent="0.3">
      <c r="B4232" s="5" t="s">
        <v>3879</v>
      </c>
      <c r="C4232" s="5" t="s">
        <v>10</v>
      </c>
      <c r="D4232" s="5" t="s">
        <v>3884</v>
      </c>
      <c r="E4232" s="5" t="s">
        <v>3885</v>
      </c>
      <c r="F4232" s="5" t="s">
        <v>50</v>
      </c>
      <c r="G4232" s="5" t="s">
        <v>51</v>
      </c>
      <c r="H4232" s="6">
        <v>500</v>
      </c>
      <c r="I4232" s="5"/>
    </row>
    <row r="4233" spans="1:9" x14ac:dyDescent="0.3">
      <c r="B4233" s="5" t="s">
        <v>3879</v>
      </c>
      <c r="C4233" s="5" t="s">
        <v>10</v>
      </c>
      <c r="D4233" s="5" t="s">
        <v>3884</v>
      </c>
      <c r="E4233" s="5" t="s">
        <v>3885</v>
      </c>
      <c r="F4233" s="5" t="s">
        <v>1643</v>
      </c>
      <c r="G4233" s="5" t="s">
        <v>1644</v>
      </c>
      <c r="H4233" s="5"/>
      <c r="I4233" s="6">
        <v>500</v>
      </c>
    </row>
    <row r="4234" spans="1:9" x14ac:dyDescent="0.3">
      <c r="A4234" s="7" t="s">
        <v>3886</v>
      </c>
      <c r="H4234" s="8">
        <f>H4232+H4233</f>
        <v>500</v>
      </c>
      <c r="I4234" s="8">
        <f>I4232+I4233</f>
        <v>500</v>
      </c>
    </row>
    <row r="4235" spans="1:9" x14ac:dyDescent="0.3">
      <c r="A4235" s="4" t="s">
        <v>3887</v>
      </c>
    </row>
    <row r="4236" spans="1:9" x14ac:dyDescent="0.3">
      <c r="B4236" s="5" t="s">
        <v>3879</v>
      </c>
      <c r="C4236" s="5" t="s">
        <v>10</v>
      </c>
      <c r="D4236" s="5" t="s">
        <v>3888</v>
      </c>
      <c r="E4236" s="5" t="s">
        <v>3889</v>
      </c>
      <c r="F4236" s="5" t="s">
        <v>145</v>
      </c>
      <c r="G4236" s="5" t="s">
        <v>146</v>
      </c>
      <c r="H4236" s="6">
        <v>900</v>
      </c>
      <c r="I4236" s="5"/>
    </row>
    <row r="4237" spans="1:9" x14ac:dyDescent="0.3">
      <c r="B4237" s="5" t="s">
        <v>3879</v>
      </c>
      <c r="C4237" s="5" t="s">
        <v>10</v>
      </c>
      <c r="D4237" s="5" t="s">
        <v>3888</v>
      </c>
      <c r="E4237" s="5" t="s">
        <v>3889</v>
      </c>
      <c r="F4237" s="5" t="s">
        <v>1643</v>
      </c>
      <c r="G4237" s="5" t="s">
        <v>1644</v>
      </c>
      <c r="H4237" s="5"/>
      <c r="I4237" s="6">
        <v>900</v>
      </c>
    </row>
    <row r="4238" spans="1:9" x14ac:dyDescent="0.3">
      <c r="A4238" s="7" t="s">
        <v>3890</v>
      </c>
      <c r="H4238" s="8">
        <f>H4236+H4237</f>
        <v>900</v>
      </c>
      <c r="I4238" s="8">
        <f>I4236+I4237</f>
        <v>900</v>
      </c>
    </row>
    <row r="4239" spans="1:9" x14ac:dyDescent="0.3">
      <c r="A4239" s="4" t="s">
        <v>3891</v>
      </c>
    </row>
    <row r="4240" spans="1:9" x14ac:dyDescent="0.3">
      <c r="B4240" s="5" t="s">
        <v>3879</v>
      </c>
      <c r="C4240" s="5" t="s">
        <v>10</v>
      </c>
      <c r="D4240" s="5" t="s">
        <v>3892</v>
      </c>
      <c r="E4240" s="5" t="s">
        <v>3893</v>
      </c>
      <c r="F4240" s="5" t="s">
        <v>67</v>
      </c>
      <c r="G4240" s="5" t="s">
        <v>68</v>
      </c>
      <c r="H4240" s="6">
        <v>40</v>
      </c>
      <c r="I4240" s="5"/>
    </row>
    <row r="4241" spans="1:9" x14ac:dyDescent="0.3">
      <c r="B4241" s="5" t="s">
        <v>3879</v>
      </c>
      <c r="C4241" s="5" t="s">
        <v>10</v>
      </c>
      <c r="D4241" s="5" t="s">
        <v>3892</v>
      </c>
      <c r="E4241" s="5" t="s">
        <v>3893</v>
      </c>
      <c r="F4241" s="5" t="s">
        <v>1643</v>
      </c>
      <c r="G4241" s="5" t="s">
        <v>1644</v>
      </c>
      <c r="H4241" s="5"/>
      <c r="I4241" s="6">
        <v>40</v>
      </c>
    </row>
    <row r="4242" spans="1:9" x14ac:dyDescent="0.3">
      <c r="A4242" s="7" t="s">
        <v>3894</v>
      </c>
      <c r="H4242" s="8">
        <f>H4240+H4241</f>
        <v>40</v>
      </c>
      <c r="I4242" s="8">
        <f>I4240+I4241</f>
        <v>40</v>
      </c>
    </row>
    <row r="4243" spans="1:9" x14ac:dyDescent="0.3">
      <c r="A4243" s="4" t="s">
        <v>3895</v>
      </c>
    </row>
    <row r="4244" spans="1:9" x14ac:dyDescent="0.3">
      <c r="B4244" s="5" t="s">
        <v>3896</v>
      </c>
      <c r="C4244" s="5" t="s">
        <v>10</v>
      </c>
      <c r="D4244" s="5" t="s">
        <v>3897</v>
      </c>
      <c r="E4244" s="5" t="s">
        <v>3898</v>
      </c>
      <c r="F4244" s="5" t="s">
        <v>3899</v>
      </c>
      <c r="G4244" s="5" t="s">
        <v>3900</v>
      </c>
      <c r="H4244" s="6">
        <v>1400000</v>
      </c>
      <c r="I4244" s="5"/>
    </row>
    <row r="4245" spans="1:9" x14ac:dyDescent="0.3">
      <c r="B4245" s="5" t="s">
        <v>3896</v>
      </c>
      <c r="C4245" s="5" t="s">
        <v>10</v>
      </c>
      <c r="D4245" s="5" t="s">
        <v>3897</v>
      </c>
      <c r="E4245" s="5" t="s">
        <v>3898</v>
      </c>
      <c r="F4245" s="5" t="s">
        <v>3901</v>
      </c>
      <c r="G4245" s="5" t="s">
        <v>3902</v>
      </c>
      <c r="H4245" s="6">
        <v>900000</v>
      </c>
      <c r="I4245" s="5"/>
    </row>
    <row r="4246" spans="1:9" x14ac:dyDescent="0.3">
      <c r="B4246" s="5" t="s">
        <v>3896</v>
      </c>
      <c r="C4246" s="5" t="s">
        <v>10</v>
      </c>
      <c r="D4246" s="5" t="s">
        <v>3897</v>
      </c>
      <c r="E4246" s="5" t="s">
        <v>3898</v>
      </c>
      <c r="F4246" s="5" t="s">
        <v>13</v>
      </c>
      <c r="G4246" s="5" t="s">
        <v>14</v>
      </c>
      <c r="H4246" s="5"/>
      <c r="I4246" s="6">
        <v>2300000</v>
      </c>
    </row>
    <row r="4247" spans="1:9" x14ac:dyDescent="0.3">
      <c r="A4247" s="7" t="s">
        <v>3903</v>
      </c>
      <c r="H4247" s="8">
        <f>H4244+H4245+H4246</f>
        <v>2300000</v>
      </c>
      <c r="I4247" s="8">
        <f>I4244+I4245+I4246</f>
        <v>2300000</v>
      </c>
    </row>
    <row r="4248" spans="1:9" x14ac:dyDescent="0.3">
      <c r="A4248" s="4" t="s">
        <v>3904</v>
      </c>
    </row>
    <row r="4249" spans="1:9" x14ac:dyDescent="0.3">
      <c r="B4249" s="5" t="s">
        <v>3905</v>
      </c>
      <c r="C4249" s="5" t="s">
        <v>10</v>
      </c>
      <c r="D4249" s="5" t="s">
        <v>3906</v>
      </c>
      <c r="E4249" s="5" t="s">
        <v>3898</v>
      </c>
      <c r="F4249" s="5" t="s">
        <v>64</v>
      </c>
      <c r="G4249" s="5" t="s">
        <v>65</v>
      </c>
      <c r="H4249" s="6">
        <v>400</v>
      </c>
      <c r="I4249" s="5"/>
    </row>
    <row r="4250" spans="1:9" x14ac:dyDescent="0.3">
      <c r="B4250" s="5" t="s">
        <v>3905</v>
      </c>
      <c r="C4250" s="5" t="s">
        <v>10</v>
      </c>
      <c r="D4250" s="5" t="s">
        <v>3906</v>
      </c>
      <c r="E4250" s="5" t="s">
        <v>3898</v>
      </c>
      <c r="F4250" s="5" t="s">
        <v>1643</v>
      </c>
      <c r="G4250" s="5" t="s">
        <v>1644</v>
      </c>
      <c r="H4250" s="5"/>
      <c r="I4250" s="6">
        <v>400</v>
      </c>
    </row>
    <row r="4251" spans="1:9" x14ac:dyDescent="0.3">
      <c r="A4251" s="7" t="s">
        <v>3907</v>
      </c>
      <c r="H4251" s="8">
        <f>H4249+H4250</f>
        <v>400</v>
      </c>
      <c r="I4251" s="8">
        <f>I4249+I4250</f>
        <v>400</v>
      </c>
    </row>
    <row r="4252" spans="1:9" x14ac:dyDescent="0.3">
      <c r="A4252" s="4" t="s">
        <v>3908</v>
      </c>
    </row>
    <row r="4253" spans="1:9" x14ac:dyDescent="0.3">
      <c r="B4253" s="5" t="s">
        <v>3905</v>
      </c>
      <c r="C4253" s="5" t="s">
        <v>10</v>
      </c>
      <c r="D4253" s="5" t="s">
        <v>3909</v>
      </c>
      <c r="E4253" s="5" t="s">
        <v>3910</v>
      </c>
      <c r="F4253" s="5" t="s">
        <v>831</v>
      </c>
      <c r="G4253" s="5" t="s">
        <v>832</v>
      </c>
      <c r="H4253" s="6">
        <v>18500</v>
      </c>
      <c r="I4253" s="5"/>
    </row>
    <row r="4254" spans="1:9" x14ac:dyDescent="0.3">
      <c r="B4254" s="5" t="s">
        <v>3905</v>
      </c>
      <c r="C4254" s="5" t="s">
        <v>10</v>
      </c>
      <c r="D4254" s="5" t="s">
        <v>3909</v>
      </c>
      <c r="E4254" s="5" t="s">
        <v>3911</v>
      </c>
      <c r="F4254" s="5" t="s">
        <v>831</v>
      </c>
      <c r="G4254" s="5" t="s">
        <v>832</v>
      </c>
      <c r="H4254" s="6">
        <v>19000</v>
      </c>
      <c r="I4254" s="5"/>
    </row>
    <row r="4255" spans="1:9" x14ac:dyDescent="0.3">
      <c r="B4255" s="5" t="s">
        <v>3905</v>
      </c>
      <c r="C4255" s="5" t="s">
        <v>10</v>
      </c>
      <c r="D4255" s="5" t="s">
        <v>3909</v>
      </c>
      <c r="E4255" s="5" t="s">
        <v>3912</v>
      </c>
      <c r="F4255" s="5" t="s">
        <v>831</v>
      </c>
      <c r="G4255" s="5" t="s">
        <v>832</v>
      </c>
      <c r="H4255" s="6">
        <v>19500</v>
      </c>
      <c r="I4255" s="5"/>
    </row>
    <row r="4256" spans="1:9" x14ac:dyDescent="0.3">
      <c r="B4256" s="5" t="s">
        <v>3905</v>
      </c>
      <c r="C4256" s="5" t="s">
        <v>10</v>
      </c>
      <c r="D4256" s="5" t="s">
        <v>3909</v>
      </c>
      <c r="E4256" s="5" t="s">
        <v>3913</v>
      </c>
      <c r="F4256" s="5" t="s">
        <v>831</v>
      </c>
      <c r="G4256" s="5" t="s">
        <v>832</v>
      </c>
      <c r="H4256" s="6">
        <v>18500</v>
      </c>
      <c r="I4256" s="5"/>
    </row>
    <row r="4257" spans="1:9" x14ac:dyDescent="0.3">
      <c r="B4257" s="5" t="s">
        <v>3905</v>
      </c>
      <c r="C4257" s="5" t="s">
        <v>10</v>
      </c>
      <c r="D4257" s="5" t="s">
        <v>3909</v>
      </c>
      <c r="E4257" s="5" t="s">
        <v>3914</v>
      </c>
      <c r="F4257" s="5" t="s">
        <v>831</v>
      </c>
      <c r="G4257" s="5" t="s">
        <v>832</v>
      </c>
      <c r="H4257" s="6">
        <v>16000</v>
      </c>
      <c r="I4257" s="5"/>
    </row>
    <row r="4258" spans="1:9" x14ac:dyDescent="0.3">
      <c r="B4258" s="5" t="s">
        <v>3905</v>
      </c>
      <c r="C4258" s="5" t="s">
        <v>10</v>
      </c>
      <c r="D4258" s="5" t="s">
        <v>3909</v>
      </c>
      <c r="E4258" s="5" t="s">
        <v>3915</v>
      </c>
      <c r="F4258" s="5" t="s">
        <v>3901</v>
      </c>
      <c r="G4258" s="5" t="s">
        <v>3902</v>
      </c>
      <c r="H4258" s="5"/>
      <c r="I4258" s="6">
        <v>91500</v>
      </c>
    </row>
    <row r="4259" spans="1:9" x14ac:dyDescent="0.3">
      <c r="A4259" s="7" t="s">
        <v>3916</v>
      </c>
      <c r="H4259" s="8">
        <f>H4253+H4254+H4255+H4256+H4257+H4258</f>
        <v>91500</v>
      </c>
      <c r="I4259" s="8">
        <f>I4253+I4254+I4255+I4256+I4257+I4258</f>
        <v>91500</v>
      </c>
    </row>
    <row r="4260" spans="1:9" x14ac:dyDescent="0.3">
      <c r="A4260" s="4" t="s">
        <v>3917</v>
      </c>
    </row>
    <row r="4261" spans="1:9" ht="21.6" x14ac:dyDescent="0.3">
      <c r="B4261" s="5" t="s">
        <v>3905</v>
      </c>
      <c r="C4261" s="5" t="s">
        <v>844</v>
      </c>
      <c r="D4261" s="5" t="s">
        <v>3918</v>
      </c>
      <c r="E4261" s="5" t="s">
        <v>3919</v>
      </c>
      <c r="F4261" s="5" t="s">
        <v>847</v>
      </c>
      <c r="G4261" s="5" t="s">
        <v>848</v>
      </c>
      <c r="H4261" s="6">
        <v>21460</v>
      </c>
      <c r="I4261" s="5"/>
    </row>
    <row r="4262" spans="1:9" ht="21.6" x14ac:dyDescent="0.3">
      <c r="B4262" s="5" t="s">
        <v>3905</v>
      </c>
      <c r="C4262" s="5" t="s">
        <v>844</v>
      </c>
      <c r="D4262" s="5" t="s">
        <v>3918</v>
      </c>
      <c r="E4262" s="5" t="s">
        <v>3919</v>
      </c>
      <c r="F4262" s="5" t="s">
        <v>831</v>
      </c>
      <c r="G4262" s="5" t="s">
        <v>832</v>
      </c>
      <c r="H4262" s="5"/>
      <c r="I4262" s="6">
        <v>18500</v>
      </c>
    </row>
    <row r="4263" spans="1:9" ht="21.6" x14ac:dyDescent="0.3">
      <c r="B4263" s="5" t="s">
        <v>3905</v>
      </c>
      <c r="C4263" s="5" t="s">
        <v>844</v>
      </c>
      <c r="D4263" s="5" t="s">
        <v>3918</v>
      </c>
      <c r="E4263" s="5" t="s">
        <v>3919</v>
      </c>
      <c r="F4263" s="5" t="s">
        <v>867</v>
      </c>
      <c r="G4263" s="5" t="s">
        <v>868</v>
      </c>
      <c r="H4263" s="5"/>
      <c r="I4263" s="6">
        <v>2960</v>
      </c>
    </row>
    <row r="4264" spans="1:9" x14ac:dyDescent="0.3">
      <c r="A4264" s="7" t="s">
        <v>3920</v>
      </c>
      <c r="H4264" s="8">
        <f>H4261+H4262+H4263</f>
        <v>21460</v>
      </c>
      <c r="I4264" s="8">
        <f>I4261+I4262+I4263</f>
        <v>21460</v>
      </c>
    </row>
    <row r="4265" spans="1:9" x14ac:dyDescent="0.3">
      <c r="A4265" s="4" t="s">
        <v>3921</v>
      </c>
    </row>
    <row r="4266" spans="1:9" ht="21.6" x14ac:dyDescent="0.3">
      <c r="B4266" s="5" t="s">
        <v>3905</v>
      </c>
      <c r="C4266" s="5" t="s">
        <v>844</v>
      </c>
      <c r="D4266" s="5" t="s">
        <v>3922</v>
      </c>
      <c r="E4266" s="5" t="s">
        <v>3923</v>
      </c>
      <c r="F4266" s="5" t="s">
        <v>847</v>
      </c>
      <c r="G4266" s="5" t="s">
        <v>848</v>
      </c>
      <c r="H4266" s="6">
        <v>22040</v>
      </c>
      <c r="I4266" s="5"/>
    </row>
    <row r="4267" spans="1:9" ht="21.6" x14ac:dyDescent="0.3">
      <c r="B4267" s="5" t="s">
        <v>3905</v>
      </c>
      <c r="C4267" s="5" t="s">
        <v>844</v>
      </c>
      <c r="D4267" s="5" t="s">
        <v>3922</v>
      </c>
      <c r="E4267" s="5" t="s">
        <v>3923</v>
      </c>
      <c r="F4267" s="5" t="s">
        <v>831</v>
      </c>
      <c r="G4267" s="5" t="s">
        <v>832</v>
      </c>
      <c r="H4267" s="5"/>
      <c r="I4267" s="6">
        <v>19000</v>
      </c>
    </row>
    <row r="4268" spans="1:9" ht="21.6" x14ac:dyDescent="0.3">
      <c r="B4268" s="5" t="s">
        <v>3905</v>
      </c>
      <c r="C4268" s="5" t="s">
        <v>844</v>
      </c>
      <c r="D4268" s="5" t="s">
        <v>3922</v>
      </c>
      <c r="E4268" s="5" t="s">
        <v>3923</v>
      </c>
      <c r="F4268" s="5" t="s">
        <v>867</v>
      </c>
      <c r="G4268" s="5" t="s">
        <v>868</v>
      </c>
      <c r="H4268" s="5"/>
      <c r="I4268" s="6">
        <v>3040</v>
      </c>
    </row>
    <row r="4269" spans="1:9" x14ac:dyDescent="0.3">
      <c r="A4269" s="7" t="s">
        <v>3924</v>
      </c>
      <c r="H4269" s="8">
        <f>H4266+H4267+H4268</f>
        <v>22040</v>
      </c>
      <c r="I4269" s="8">
        <f>I4266+I4267+I4268</f>
        <v>22040</v>
      </c>
    </row>
    <row r="4270" spans="1:9" x14ac:dyDescent="0.3">
      <c r="A4270" s="4" t="s">
        <v>3925</v>
      </c>
    </row>
    <row r="4271" spans="1:9" ht="21.6" x14ac:dyDescent="0.3">
      <c r="B4271" s="5" t="s">
        <v>3905</v>
      </c>
      <c r="C4271" s="5" t="s">
        <v>844</v>
      </c>
      <c r="D4271" s="5" t="s">
        <v>3926</v>
      </c>
      <c r="E4271" s="5" t="s">
        <v>3927</v>
      </c>
      <c r="F4271" s="5" t="s">
        <v>847</v>
      </c>
      <c r="G4271" s="5" t="s">
        <v>848</v>
      </c>
      <c r="H4271" s="6">
        <v>22620</v>
      </c>
      <c r="I4271" s="5"/>
    </row>
    <row r="4272" spans="1:9" ht="21.6" x14ac:dyDescent="0.3">
      <c r="B4272" s="5" t="s">
        <v>3905</v>
      </c>
      <c r="C4272" s="5" t="s">
        <v>844</v>
      </c>
      <c r="D4272" s="5" t="s">
        <v>3926</v>
      </c>
      <c r="E4272" s="5" t="s">
        <v>3927</v>
      </c>
      <c r="F4272" s="5" t="s">
        <v>831</v>
      </c>
      <c r="G4272" s="5" t="s">
        <v>832</v>
      </c>
      <c r="H4272" s="5"/>
      <c r="I4272" s="6">
        <v>19500</v>
      </c>
    </row>
    <row r="4273" spans="1:9" ht="21.6" x14ac:dyDescent="0.3">
      <c r="B4273" s="5" t="s">
        <v>3905</v>
      </c>
      <c r="C4273" s="5" t="s">
        <v>844</v>
      </c>
      <c r="D4273" s="5" t="s">
        <v>3926</v>
      </c>
      <c r="E4273" s="5" t="s">
        <v>3927</v>
      </c>
      <c r="F4273" s="5" t="s">
        <v>867</v>
      </c>
      <c r="G4273" s="5" t="s">
        <v>868</v>
      </c>
      <c r="H4273" s="5"/>
      <c r="I4273" s="6">
        <v>3120</v>
      </c>
    </row>
    <row r="4274" spans="1:9" x14ac:dyDescent="0.3">
      <c r="A4274" s="7" t="s">
        <v>3928</v>
      </c>
      <c r="H4274" s="8">
        <f>H4271+H4272+H4273</f>
        <v>22620</v>
      </c>
      <c r="I4274" s="8">
        <f>I4271+I4272+I4273</f>
        <v>22620</v>
      </c>
    </row>
    <row r="4275" spans="1:9" x14ac:dyDescent="0.3">
      <c r="A4275" s="4" t="s">
        <v>3929</v>
      </c>
    </row>
    <row r="4276" spans="1:9" ht="21.6" x14ac:dyDescent="0.3">
      <c r="B4276" s="5" t="s">
        <v>3905</v>
      </c>
      <c r="C4276" s="5" t="s">
        <v>844</v>
      </c>
      <c r="D4276" s="5" t="s">
        <v>3930</v>
      </c>
      <c r="E4276" s="5" t="s">
        <v>3931</v>
      </c>
      <c r="F4276" s="5" t="s">
        <v>847</v>
      </c>
      <c r="G4276" s="5" t="s">
        <v>848</v>
      </c>
      <c r="H4276" s="6">
        <v>21460</v>
      </c>
      <c r="I4276" s="5"/>
    </row>
    <row r="4277" spans="1:9" ht="21.6" x14ac:dyDescent="0.3">
      <c r="B4277" s="5" t="s">
        <v>3905</v>
      </c>
      <c r="C4277" s="5" t="s">
        <v>844</v>
      </c>
      <c r="D4277" s="5" t="s">
        <v>3930</v>
      </c>
      <c r="E4277" s="5" t="s">
        <v>3931</v>
      </c>
      <c r="F4277" s="5" t="s">
        <v>831</v>
      </c>
      <c r="G4277" s="5" t="s">
        <v>832</v>
      </c>
      <c r="H4277" s="5"/>
      <c r="I4277" s="6">
        <v>18500</v>
      </c>
    </row>
    <row r="4278" spans="1:9" ht="21.6" x14ac:dyDescent="0.3">
      <c r="B4278" s="5" t="s">
        <v>3905</v>
      </c>
      <c r="C4278" s="5" t="s">
        <v>844</v>
      </c>
      <c r="D4278" s="5" t="s">
        <v>3930</v>
      </c>
      <c r="E4278" s="5" t="s">
        <v>3931</v>
      </c>
      <c r="F4278" s="5" t="s">
        <v>867</v>
      </c>
      <c r="G4278" s="5" t="s">
        <v>868</v>
      </c>
      <c r="H4278" s="5"/>
      <c r="I4278" s="6">
        <v>2960</v>
      </c>
    </row>
    <row r="4279" spans="1:9" x14ac:dyDescent="0.3">
      <c r="A4279" s="7" t="s">
        <v>3932</v>
      </c>
      <c r="H4279" s="8">
        <f>H4276+H4277+H4278</f>
        <v>21460</v>
      </c>
      <c r="I4279" s="8">
        <f>I4276+I4277+I4278</f>
        <v>21460</v>
      </c>
    </row>
    <row r="4280" spans="1:9" x14ac:dyDescent="0.3">
      <c r="A4280" s="4" t="s">
        <v>3933</v>
      </c>
    </row>
    <row r="4281" spans="1:9" ht="21.6" x14ac:dyDescent="0.3">
      <c r="B4281" s="5" t="s">
        <v>3905</v>
      </c>
      <c r="C4281" s="5" t="s">
        <v>844</v>
      </c>
      <c r="D4281" s="5" t="s">
        <v>3934</v>
      </c>
      <c r="E4281" s="5" t="s">
        <v>3935</v>
      </c>
      <c r="F4281" s="5" t="s">
        <v>847</v>
      </c>
      <c r="G4281" s="5" t="s">
        <v>848</v>
      </c>
      <c r="H4281" s="6">
        <v>18560</v>
      </c>
      <c r="I4281" s="5"/>
    </row>
    <row r="4282" spans="1:9" ht="21.6" x14ac:dyDescent="0.3">
      <c r="B4282" s="5" t="s">
        <v>3905</v>
      </c>
      <c r="C4282" s="5" t="s">
        <v>844</v>
      </c>
      <c r="D4282" s="5" t="s">
        <v>3934</v>
      </c>
      <c r="E4282" s="5" t="s">
        <v>3935</v>
      </c>
      <c r="F4282" s="5" t="s">
        <v>831</v>
      </c>
      <c r="G4282" s="5" t="s">
        <v>832</v>
      </c>
      <c r="H4282" s="5"/>
      <c r="I4282" s="6">
        <v>16000</v>
      </c>
    </row>
    <row r="4283" spans="1:9" ht="21.6" x14ac:dyDescent="0.3">
      <c r="B4283" s="5" t="s">
        <v>3905</v>
      </c>
      <c r="C4283" s="5" t="s">
        <v>844</v>
      </c>
      <c r="D4283" s="5" t="s">
        <v>3934</v>
      </c>
      <c r="E4283" s="5" t="s">
        <v>3935</v>
      </c>
      <c r="F4283" s="5" t="s">
        <v>867</v>
      </c>
      <c r="G4283" s="5" t="s">
        <v>868</v>
      </c>
      <c r="H4283" s="5"/>
      <c r="I4283" s="6">
        <v>2560</v>
      </c>
    </row>
    <row r="4284" spans="1:9" x14ac:dyDescent="0.3">
      <c r="A4284" s="7" t="s">
        <v>3936</v>
      </c>
      <c r="H4284" s="8">
        <f>H4281+H4282+H4283</f>
        <v>18560</v>
      </c>
      <c r="I4284" s="8">
        <f>I4281+I4282+I4283</f>
        <v>18560</v>
      </c>
    </row>
    <row r="4285" spans="1:9" x14ac:dyDescent="0.3">
      <c r="A4285" s="4" t="s">
        <v>3937</v>
      </c>
    </row>
    <row r="4286" spans="1:9" x14ac:dyDescent="0.3">
      <c r="B4286" s="5" t="s">
        <v>3938</v>
      </c>
      <c r="C4286" s="5" t="s">
        <v>10</v>
      </c>
      <c r="D4286" s="5" t="s">
        <v>3939</v>
      </c>
      <c r="E4286" s="5" t="s">
        <v>3940</v>
      </c>
      <c r="F4286" s="5" t="s">
        <v>1643</v>
      </c>
      <c r="G4286" s="5" t="s">
        <v>1644</v>
      </c>
      <c r="H4286" s="6">
        <v>10350</v>
      </c>
      <c r="I4286" s="5"/>
    </row>
    <row r="4287" spans="1:9" x14ac:dyDescent="0.3">
      <c r="B4287" s="5" t="s">
        <v>3938</v>
      </c>
      <c r="C4287" s="5" t="s">
        <v>10</v>
      </c>
      <c r="D4287" s="5" t="s">
        <v>3939</v>
      </c>
      <c r="E4287" s="5" t="s">
        <v>3940</v>
      </c>
      <c r="F4287" s="5" t="s">
        <v>13</v>
      </c>
      <c r="G4287" s="5" t="s">
        <v>14</v>
      </c>
      <c r="H4287" s="5"/>
      <c r="I4287" s="6">
        <v>10350</v>
      </c>
    </row>
    <row r="4288" spans="1:9" x14ac:dyDescent="0.3">
      <c r="A4288" s="7" t="s">
        <v>3941</v>
      </c>
      <c r="H4288" s="8">
        <f>H4286+H4287</f>
        <v>10350</v>
      </c>
      <c r="I4288" s="8">
        <f>I4286+I4287</f>
        <v>10350</v>
      </c>
    </row>
    <row r="4289" spans="1:9" x14ac:dyDescent="0.3">
      <c r="A4289" s="4" t="s">
        <v>3942</v>
      </c>
    </row>
    <row r="4290" spans="1:9" x14ac:dyDescent="0.3">
      <c r="B4290" s="5" t="s">
        <v>3938</v>
      </c>
      <c r="C4290" s="5" t="s">
        <v>10</v>
      </c>
      <c r="D4290" s="5" t="s">
        <v>3943</v>
      </c>
      <c r="E4290" s="5" t="s">
        <v>1310</v>
      </c>
      <c r="F4290" s="5" t="s">
        <v>1022</v>
      </c>
      <c r="G4290" s="5" t="s">
        <v>1023</v>
      </c>
      <c r="H4290" s="6">
        <v>10350</v>
      </c>
      <c r="I4290" s="5"/>
    </row>
    <row r="4291" spans="1:9" x14ac:dyDescent="0.3">
      <c r="B4291" s="5" t="s">
        <v>3938</v>
      </c>
      <c r="C4291" s="5" t="s">
        <v>10</v>
      </c>
      <c r="D4291" s="5" t="s">
        <v>3943</v>
      </c>
      <c r="E4291" s="5" t="s">
        <v>1310</v>
      </c>
      <c r="F4291" s="5" t="s">
        <v>1643</v>
      </c>
      <c r="G4291" s="5" t="s">
        <v>1644</v>
      </c>
      <c r="H4291" s="5"/>
      <c r="I4291" s="6">
        <v>10350</v>
      </c>
    </row>
    <row r="4292" spans="1:9" x14ac:dyDescent="0.3">
      <c r="B4292" s="5" t="s">
        <v>3938</v>
      </c>
      <c r="C4292" s="5" t="s">
        <v>10</v>
      </c>
      <c r="D4292" s="5" t="s">
        <v>3943</v>
      </c>
      <c r="E4292" s="5" t="s">
        <v>2750</v>
      </c>
      <c r="F4292" s="5" t="s">
        <v>2750</v>
      </c>
      <c r="G4292" s="5" t="s">
        <v>2750</v>
      </c>
      <c r="H4292" s="5"/>
      <c r="I4292" s="5"/>
    </row>
    <row r="4293" spans="1:9" x14ac:dyDescent="0.3">
      <c r="A4293" s="7" t="s">
        <v>3944</v>
      </c>
      <c r="H4293" s="8">
        <f>H4290+H4291+H4292</f>
        <v>10350</v>
      </c>
      <c r="I4293" s="8">
        <f>I4290+I4291+I4292</f>
        <v>10350</v>
      </c>
    </row>
    <row r="4294" spans="1:9" x14ac:dyDescent="0.3">
      <c r="A4294" s="4" t="s">
        <v>3945</v>
      </c>
    </row>
    <row r="4295" spans="1:9" x14ac:dyDescent="0.3">
      <c r="B4295" s="5" t="s">
        <v>3938</v>
      </c>
      <c r="C4295" s="5" t="s">
        <v>10</v>
      </c>
      <c r="D4295" s="5" t="s">
        <v>3946</v>
      </c>
      <c r="E4295" s="5" t="s">
        <v>3947</v>
      </c>
      <c r="F4295" s="5" t="s">
        <v>1643</v>
      </c>
      <c r="G4295" s="5" t="s">
        <v>1644</v>
      </c>
      <c r="H4295" s="6">
        <v>4050</v>
      </c>
      <c r="I4295" s="5"/>
    </row>
    <row r="4296" spans="1:9" x14ac:dyDescent="0.3">
      <c r="B4296" s="5" t="s">
        <v>3938</v>
      </c>
      <c r="C4296" s="5" t="s">
        <v>10</v>
      </c>
      <c r="D4296" s="5" t="s">
        <v>3946</v>
      </c>
      <c r="E4296" s="5" t="s">
        <v>3947</v>
      </c>
      <c r="F4296" s="5" t="s">
        <v>13</v>
      </c>
      <c r="G4296" s="5" t="s">
        <v>14</v>
      </c>
      <c r="H4296" s="5"/>
      <c r="I4296" s="6">
        <v>4050</v>
      </c>
    </row>
    <row r="4297" spans="1:9" x14ac:dyDescent="0.3">
      <c r="B4297" s="5" t="s">
        <v>3938</v>
      </c>
      <c r="C4297" s="5" t="s">
        <v>10</v>
      </c>
      <c r="D4297" s="5" t="s">
        <v>3946</v>
      </c>
      <c r="E4297" s="5" t="s">
        <v>3948</v>
      </c>
      <c r="F4297" s="5" t="s">
        <v>1022</v>
      </c>
      <c r="G4297" s="5" t="s">
        <v>1023</v>
      </c>
      <c r="H4297" s="6">
        <v>4050</v>
      </c>
      <c r="I4297" s="5"/>
    </row>
    <row r="4298" spans="1:9" x14ac:dyDescent="0.3">
      <c r="B4298" s="5" t="s">
        <v>3938</v>
      </c>
      <c r="C4298" s="5" t="s">
        <v>10</v>
      </c>
      <c r="D4298" s="5" t="s">
        <v>3946</v>
      </c>
      <c r="E4298" s="5" t="s">
        <v>3948</v>
      </c>
      <c r="F4298" s="5" t="s">
        <v>1643</v>
      </c>
      <c r="G4298" s="5" t="s">
        <v>1644</v>
      </c>
      <c r="H4298" s="5"/>
      <c r="I4298" s="6">
        <v>4050</v>
      </c>
    </row>
    <row r="4299" spans="1:9" x14ac:dyDescent="0.3">
      <c r="A4299" s="7" t="s">
        <v>3949</v>
      </c>
      <c r="H4299" s="8">
        <f>H4295+H4296+H4297+H4298</f>
        <v>8100</v>
      </c>
      <c r="I4299" s="8">
        <f>I4295+I4296+I4297+I4298</f>
        <v>8100</v>
      </c>
    </row>
    <row r="4300" spans="1:9" x14ac:dyDescent="0.3">
      <c r="A4300" s="4" t="s">
        <v>3950</v>
      </c>
    </row>
    <row r="4301" spans="1:9" x14ac:dyDescent="0.3">
      <c r="B4301" s="5" t="s">
        <v>3938</v>
      </c>
      <c r="C4301" s="5" t="s">
        <v>10</v>
      </c>
      <c r="D4301" s="5" t="s">
        <v>3951</v>
      </c>
      <c r="E4301" s="5" t="s">
        <v>636</v>
      </c>
      <c r="F4301" s="5" t="s">
        <v>61</v>
      </c>
      <c r="G4301" s="5" t="s">
        <v>62</v>
      </c>
      <c r="H4301" s="6">
        <v>450</v>
      </c>
      <c r="I4301" s="5"/>
    </row>
    <row r="4302" spans="1:9" x14ac:dyDescent="0.3">
      <c r="B4302" s="5" t="s">
        <v>3938</v>
      </c>
      <c r="C4302" s="5" t="s">
        <v>10</v>
      </c>
      <c r="D4302" s="5" t="s">
        <v>3951</v>
      </c>
      <c r="E4302" s="5" t="s">
        <v>636</v>
      </c>
      <c r="F4302" s="5" t="s">
        <v>1643</v>
      </c>
      <c r="G4302" s="5" t="s">
        <v>1644</v>
      </c>
      <c r="H4302" s="5"/>
      <c r="I4302" s="6">
        <v>450</v>
      </c>
    </row>
    <row r="4303" spans="1:9" x14ac:dyDescent="0.3">
      <c r="B4303" s="5" t="s">
        <v>3938</v>
      </c>
      <c r="C4303" s="5" t="s">
        <v>10</v>
      </c>
      <c r="D4303" s="5" t="s">
        <v>3951</v>
      </c>
      <c r="E4303" s="5" t="s">
        <v>3952</v>
      </c>
      <c r="F4303" s="5" t="s">
        <v>67</v>
      </c>
      <c r="G4303" s="5" t="s">
        <v>68</v>
      </c>
      <c r="H4303" s="6">
        <v>50</v>
      </c>
      <c r="I4303" s="5"/>
    </row>
    <row r="4304" spans="1:9" x14ac:dyDescent="0.3">
      <c r="B4304" s="5" t="s">
        <v>3938</v>
      </c>
      <c r="C4304" s="5" t="s">
        <v>10</v>
      </c>
      <c r="D4304" s="5" t="s">
        <v>3951</v>
      </c>
      <c r="E4304" s="5" t="s">
        <v>3952</v>
      </c>
      <c r="F4304" s="5" t="s">
        <v>1643</v>
      </c>
      <c r="G4304" s="5" t="s">
        <v>1644</v>
      </c>
      <c r="H4304" s="5"/>
      <c r="I4304" s="6">
        <v>50</v>
      </c>
    </row>
    <row r="4305" spans="1:9" x14ac:dyDescent="0.3">
      <c r="A4305" s="7" t="s">
        <v>3953</v>
      </c>
      <c r="H4305" s="8">
        <f>H4301+H4302+H4303+H4304</f>
        <v>500</v>
      </c>
      <c r="I4305" s="8">
        <f>I4301+I4302+I4303+I4304</f>
        <v>500</v>
      </c>
    </row>
    <row r="4306" spans="1:9" x14ac:dyDescent="0.3">
      <c r="A4306" s="4" t="s">
        <v>3954</v>
      </c>
    </row>
    <row r="4307" spans="1:9" x14ac:dyDescent="0.3">
      <c r="B4307" s="5" t="s">
        <v>3938</v>
      </c>
      <c r="C4307" s="5" t="s">
        <v>10</v>
      </c>
      <c r="D4307" s="5" t="s">
        <v>3955</v>
      </c>
      <c r="E4307" s="5" t="s">
        <v>3956</v>
      </c>
      <c r="F4307" s="5" t="s">
        <v>113</v>
      </c>
      <c r="G4307" s="5" t="s">
        <v>114</v>
      </c>
      <c r="H4307" s="6">
        <v>440</v>
      </c>
      <c r="I4307" s="5"/>
    </row>
    <row r="4308" spans="1:9" x14ac:dyDescent="0.3">
      <c r="B4308" s="5" t="s">
        <v>3938</v>
      </c>
      <c r="C4308" s="5" t="s">
        <v>10</v>
      </c>
      <c r="D4308" s="5" t="s">
        <v>3955</v>
      </c>
      <c r="E4308" s="5" t="s">
        <v>3956</v>
      </c>
      <c r="F4308" s="5" t="s">
        <v>1643</v>
      </c>
      <c r="G4308" s="5" t="s">
        <v>1644</v>
      </c>
      <c r="H4308" s="5"/>
      <c r="I4308" s="6">
        <v>440</v>
      </c>
    </row>
    <row r="4309" spans="1:9" x14ac:dyDescent="0.3">
      <c r="A4309" s="7" t="s">
        <v>3957</v>
      </c>
      <c r="H4309" s="8">
        <f>H4307+H4308</f>
        <v>440</v>
      </c>
      <c r="I4309" s="8">
        <f>I4307+I4308</f>
        <v>440</v>
      </c>
    </row>
    <row r="4310" spans="1:9" x14ac:dyDescent="0.3">
      <c r="A4310" s="4" t="s">
        <v>3958</v>
      </c>
    </row>
    <row r="4311" spans="1:9" x14ac:dyDescent="0.3">
      <c r="B4311" s="5" t="s">
        <v>3959</v>
      </c>
      <c r="C4311" s="5" t="s">
        <v>10</v>
      </c>
      <c r="D4311" s="5" t="s">
        <v>3960</v>
      </c>
      <c r="E4311" s="5" t="s">
        <v>3961</v>
      </c>
      <c r="F4311" s="5" t="s">
        <v>3962</v>
      </c>
      <c r="G4311" s="5" t="s">
        <v>3963</v>
      </c>
      <c r="H4311" s="6">
        <v>9000000</v>
      </c>
      <c r="I4311" s="5"/>
    </row>
    <row r="4312" spans="1:9" x14ac:dyDescent="0.3">
      <c r="B4312" s="5" t="s">
        <v>3959</v>
      </c>
      <c r="C4312" s="5" t="s">
        <v>10</v>
      </c>
      <c r="D4312" s="5" t="s">
        <v>3960</v>
      </c>
      <c r="E4312" s="5" t="s">
        <v>3961</v>
      </c>
      <c r="F4312" s="5" t="s">
        <v>13</v>
      </c>
      <c r="G4312" s="5" t="s">
        <v>14</v>
      </c>
      <c r="H4312" s="5"/>
      <c r="I4312" s="6">
        <v>9000000</v>
      </c>
    </row>
    <row r="4313" spans="1:9" x14ac:dyDescent="0.3">
      <c r="A4313" s="7" t="s">
        <v>3964</v>
      </c>
      <c r="H4313" s="8">
        <f>H4311+H4312</f>
        <v>9000000</v>
      </c>
      <c r="I4313" s="8">
        <f>I4311+I4312</f>
        <v>9000000</v>
      </c>
    </row>
    <row r="4314" spans="1:9" x14ac:dyDescent="0.3">
      <c r="A4314" s="4" t="s">
        <v>3965</v>
      </c>
    </row>
    <row r="4315" spans="1:9" x14ac:dyDescent="0.3">
      <c r="B4315" s="5" t="s">
        <v>3966</v>
      </c>
      <c r="C4315" s="5" t="s">
        <v>10</v>
      </c>
      <c r="D4315" s="5" t="s">
        <v>3967</v>
      </c>
      <c r="E4315" s="5" t="s">
        <v>3968</v>
      </c>
      <c r="F4315" s="5" t="s">
        <v>1643</v>
      </c>
      <c r="G4315" s="5" t="s">
        <v>1644</v>
      </c>
      <c r="H4315" s="6">
        <v>134000</v>
      </c>
      <c r="I4315" s="5"/>
    </row>
    <row r="4316" spans="1:9" x14ac:dyDescent="0.3">
      <c r="B4316" s="5" t="s">
        <v>3966</v>
      </c>
      <c r="C4316" s="5" t="s">
        <v>10</v>
      </c>
      <c r="D4316" s="5" t="s">
        <v>3967</v>
      </c>
      <c r="E4316" s="5" t="s">
        <v>3968</v>
      </c>
      <c r="F4316" s="5" t="s">
        <v>13</v>
      </c>
      <c r="G4316" s="5" t="s">
        <v>14</v>
      </c>
      <c r="H4316" s="5"/>
      <c r="I4316" s="6">
        <v>134000</v>
      </c>
    </row>
    <row r="4317" spans="1:9" x14ac:dyDescent="0.3">
      <c r="A4317" s="7" t="s">
        <v>3969</v>
      </c>
      <c r="H4317" s="8">
        <f>H4315+H4316</f>
        <v>134000</v>
      </c>
      <c r="I4317" s="8">
        <f>I4315+I4316</f>
        <v>134000</v>
      </c>
    </row>
    <row r="4318" spans="1:9" x14ac:dyDescent="0.3">
      <c r="A4318" s="4" t="s">
        <v>3970</v>
      </c>
    </row>
    <row r="4319" spans="1:9" x14ac:dyDescent="0.3">
      <c r="B4319" s="5" t="s">
        <v>3966</v>
      </c>
      <c r="C4319" s="5" t="s">
        <v>10</v>
      </c>
      <c r="D4319" s="5" t="s">
        <v>3971</v>
      </c>
      <c r="E4319" s="5" t="s">
        <v>3972</v>
      </c>
      <c r="F4319" s="5" t="s">
        <v>1343</v>
      </c>
      <c r="G4319" s="5" t="s">
        <v>1344</v>
      </c>
      <c r="H4319" s="6">
        <v>134000</v>
      </c>
      <c r="I4319" s="5"/>
    </row>
    <row r="4320" spans="1:9" x14ac:dyDescent="0.3">
      <c r="B4320" s="5" t="s">
        <v>3966</v>
      </c>
      <c r="C4320" s="5" t="s">
        <v>10</v>
      </c>
      <c r="D4320" s="5" t="s">
        <v>3971</v>
      </c>
      <c r="E4320" s="5" t="s">
        <v>3972</v>
      </c>
      <c r="F4320" s="5" t="s">
        <v>1643</v>
      </c>
      <c r="G4320" s="5" t="s">
        <v>1644</v>
      </c>
      <c r="H4320" s="5"/>
      <c r="I4320" s="6">
        <v>134000</v>
      </c>
    </row>
    <row r="4321" spans="1:9" x14ac:dyDescent="0.3">
      <c r="A4321" s="7" t="s">
        <v>3973</v>
      </c>
      <c r="H4321" s="8">
        <f>H4319+H4320</f>
        <v>134000</v>
      </c>
      <c r="I4321" s="8">
        <f>I4319+I4320</f>
        <v>134000</v>
      </c>
    </row>
    <row r="4322" spans="1:9" x14ac:dyDescent="0.3">
      <c r="A4322" s="4" t="s">
        <v>3974</v>
      </c>
    </row>
    <row r="4323" spans="1:9" x14ac:dyDescent="0.3">
      <c r="B4323" s="5" t="s">
        <v>3966</v>
      </c>
      <c r="C4323" s="5" t="s">
        <v>10</v>
      </c>
      <c r="D4323" s="5" t="s">
        <v>3975</v>
      </c>
      <c r="E4323" s="5" t="s">
        <v>3976</v>
      </c>
      <c r="F4323" s="5" t="s">
        <v>831</v>
      </c>
      <c r="G4323" s="5" t="s">
        <v>832</v>
      </c>
      <c r="H4323" s="6">
        <v>780000</v>
      </c>
      <c r="I4323" s="5"/>
    </row>
    <row r="4324" spans="1:9" x14ac:dyDescent="0.3">
      <c r="B4324" s="5" t="s">
        <v>3966</v>
      </c>
      <c r="C4324" s="5" t="s">
        <v>10</v>
      </c>
      <c r="D4324" s="5" t="s">
        <v>3975</v>
      </c>
      <c r="E4324" s="5" t="s">
        <v>2489</v>
      </c>
      <c r="F4324" s="5" t="s">
        <v>1936</v>
      </c>
      <c r="G4324" s="5" t="s">
        <v>1937</v>
      </c>
      <c r="H4324" s="6">
        <v>3600</v>
      </c>
      <c r="I4324" s="5"/>
    </row>
    <row r="4325" spans="1:9" x14ac:dyDescent="0.3">
      <c r="B4325" s="5" t="s">
        <v>3966</v>
      </c>
      <c r="C4325" s="5" t="s">
        <v>10</v>
      </c>
      <c r="D4325" s="5" t="s">
        <v>3975</v>
      </c>
      <c r="E4325" s="5" t="s">
        <v>3976</v>
      </c>
      <c r="F4325" s="5" t="s">
        <v>3901</v>
      </c>
      <c r="G4325" s="5" t="s">
        <v>3902</v>
      </c>
      <c r="H4325" s="5"/>
      <c r="I4325" s="6">
        <v>783600</v>
      </c>
    </row>
    <row r="4326" spans="1:9" x14ac:dyDescent="0.3">
      <c r="B4326" s="5" t="s">
        <v>3966</v>
      </c>
      <c r="C4326" s="5" t="s">
        <v>10</v>
      </c>
      <c r="D4326" s="5" t="s">
        <v>3975</v>
      </c>
      <c r="E4326" s="5" t="s">
        <v>3977</v>
      </c>
      <c r="F4326" s="5" t="s">
        <v>1643</v>
      </c>
      <c r="G4326" s="5" t="s">
        <v>1644</v>
      </c>
      <c r="H4326" s="6">
        <v>50100</v>
      </c>
      <c r="I4326" s="5"/>
    </row>
    <row r="4327" spans="1:9" x14ac:dyDescent="0.3">
      <c r="B4327" s="5" t="s">
        <v>3966</v>
      </c>
      <c r="C4327" s="5" t="s">
        <v>10</v>
      </c>
      <c r="D4327" s="5" t="s">
        <v>3975</v>
      </c>
      <c r="E4327" s="5" t="s">
        <v>3977</v>
      </c>
      <c r="F4327" s="5" t="s">
        <v>13</v>
      </c>
      <c r="G4327" s="5" t="s">
        <v>14</v>
      </c>
      <c r="H4327" s="5"/>
      <c r="I4327" s="6">
        <v>50100</v>
      </c>
    </row>
    <row r="4328" spans="1:9" x14ac:dyDescent="0.3">
      <c r="B4328" s="5" t="s">
        <v>3966</v>
      </c>
      <c r="C4328" s="5" t="s">
        <v>10</v>
      </c>
      <c r="D4328" s="5" t="s">
        <v>3975</v>
      </c>
      <c r="E4328" s="5" t="s">
        <v>3978</v>
      </c>
      <c r="F4328" s="5" t="s">
        <v>831</v>
      </c>
      <c r="G4328" s="5" t="s">
        <v>832</v>
      </c>
      <c r="H4328" s="6">
        <v>50000</v>
      </c>
      <c r="I4328" s="5"/>
    </row>
    <row r="4329" spans="1:9" x14ac:dyDescent="0.3">
      <c r="B4329" s="5" t="s">
        <v>3966</v>
      </c>
      <c r="C4329" s="5" t="s">
        <v>10</v>
      </c>
      <c r="D4329" s="5" t="s">
        <v>3975</v>
      </c>
      <c r="E4329" s="5" t="s">
        <v>3978</v>
      </c>
      <c r="F4329" s="5" t="s">
        <v>1936</v>
      </c>
      <c r="G4329" s="5" t="s">
        <v>1937</v>
      </c>
      <c r="H4329" s="6">
        <v>100</v>
      </c>
      <c r="I4329" s="5"/>
    </row>
    <row r="4330" spans="1:9" x14ac:dyDescent="0.3">
      <c r="B4330" s="5" t="s">
        <v>3966</v>
      </c>
      <c r="C4330" s="5" t="s">
        <v>10</v>
      </c>
      <c r="D4330" s="5" t="s">
        <v>3975</v>
      </c>
      <c r="E4330" s="5" t="s">
        <v>3978</v>
      </c>
      <c r="F4330" s="5" t="s">
        <v>1643</v>
      </c>
      <c r="G4330" s="5" t="s">
        <v>1644</v>
      </c>
      <c r="H4330" s="5"/>
      <c r="I4330" s="6">
        <v>50100</v>
      </c>
    </row>
    <row r="4331" spans="1:9" x14ac:dyDescent="0.3">
      <c r="A4331" s="7" t="s">
        <v>3979</v>
      </c>
      <c r="H4331" s="8">
        <f>H4323+H4324+H4325+H4326+H4327+H4328+H4329+H4330</f>
        <v>883800</v>
      </c>
      <c r="I4331" s="8">
        <f>I4323+I4324+I4325+I4326+I4327+I4328+I4329+I4330</f>
        <v>883800</v>
      </c>
    </row>
    <row r="4332" spans="1:9" x14ac:dyDescent="0.3">
      <c r="A4332" s="4" t="s">
        <v>3980</v>
      </c>
    </row>
    <row r="4333" spans="1:9" x14ac:dyDescent="0.3">
      <c r="B4333" s="5" t="s">
        <v>3966</v>
      </c>
      <c r="C4333" s="5" t="s">
        <v>844</v>
      </c>
      <c r="D4333" s="5" t="s">
        <v>3981</v>
      </c>
      <c r="E4333" s="5" t="s">
        <v>2750</v>
      </c>
      <c r="F4333" s="5" t="s">
        <v>847</v>
      </c>
      <c r="G4333" s="5" t="s">
        <v>848</v>
      </c>
      <c r="H4333" s="6">
        <v>58000</v>
      </c>
      <c r="I4333" s="5"/>
    </row>
    <row r="4334" spans="1:9" x14ac:dyDescent="0.3">
      <c r="B4334" s="5" t="s">
        <v>3966</v>
      </c>
      <c r="C4334" s="5" t="s">
        <v>844</v>
      </c>
      <c r="D4334" s="5" t="s">
        <v>3981</v>
      </c>
      <c r="E4334" s="5" t="s">
        <v>2987</v>
      </c>
      <c r="F4334" s="5" t="s">
        <v>831</v>
      </c>
      <c r="G4334" s="5" t="s">
        <v>832</v>
      </c>
      <c r="H4334" s="5"/>
      <c r="I4334" s="6">
        <v>50000</v>
      </c>
    </row>
    <row r="4335" spans="1:9" x14ac:dyDescent="0.3">
      <c r="B4335" s="5" t="s">
        <v>3966</v>
      </c>
      <c r="C4335" s="5" t="s">
        <v>844</v>
      </c>
      <c r="D4335" s="5" t="s">
        <v>3981</v>
      </c>
      <c r="E4335" s="5" t="s">
        <v>1993</v>
      </c>
      <c r="F4335" s="5" t="s">
        <v>867</v>
      </c>
      <c r="G4335" s="5" t="s">
        <v>868</v>
      </c>
      <c r="H4335" s="5"/>
      <c r="I4335" s="6">
        <v>8000</v>
      </c>
    </row>
    <row r="4336" spans="1:9" x14ac:dyDescent="0.3">
      <c r="A4336" s="7" t="s">
        <v>3982</v>
      </c>
      <c r="H4336" s="8">
        <f>H4333+H4334+H4335</f>
        <v>58000</v>
      </c>
      <c r="I4336" s="8">
        <f>I4333+I4334+I4335</f>
        <v>58000</v>
      </c>
    </row>
    <row r="4337" spans="1:9" x14ac:dyDescent="0.3">
      <c r="A4337" s="4" t="s">
        <v>3983</v>
      </c>
    </row>
    <row r="4338" spans="1:9" x14ac:dyDescent="0.3">
      <c r="B4338" s="5" t="s">
        <v>3966</v>
      </c>
      <c r="C4338" s="5" t="s">
        <v>844</v>
      </c>
      <c r="D4338" s="5" t="s">
        <v>3984</v>
      </c>
      <c r="E4338" s="5" t="s">
        <v>2750</v>
      </c>
      <c r="F4338" s="5" t="s">
        <v>847</v>
      </c>
      <c r="G4338" s="5" t="s">
        <v>848</v>
      </c>
      <c r="H4338" s="6">
        <v>58000</v>
      </c>
      <c r="I4338" s="5"/>
    </row>
    <row r="4339" spans="1:9" x14ac:dyDescent="0.3">
      <c r="B4339" s="5" t="s">
        <v>3966</v>
      </c>
      <c r="C4339" s="5" t="s">
        <v>844</v>
      </c>
      <c r="D4339" s="5" t="s">
        <v>3984</v>
      </c>
      <c r="E4339" s="5" t="s">
        <v>2987</v>
      </c>
      <c r="F4339" s="5" t="s">
        <v>831</v>
      </c>
      <c r="G4339" s="5" t="s">
        <v>832</v>
      </c>
      <c r="H4339" s="5"/>
      <c r="I4339" s="6">
        <v>50000</v>
      </c>
    </row>
    <row r="4340" spans="1:9" x14ac:dyDescent="0.3">
      <c r="B4340" s="5" t="s">
        <v>3966</v>
      </c>
      <c r="C4340" s="5" t="s">
        <v>844</v>
      </c>
      <c r="D4340" s="5" t="s">
        <v>3984</v>
      </c>
      <c r="E4340" s="5" t="s">
        <v>1993</v>
      </c>
      <c r="F4340" s="5" t="s">
        <v>867</v>
      </c>
      <c r="G4340" s="5" t="s">
        <v>868</v>
      </c>
      <c r="H4340" s="5"/>
      <c r="I4340" s="6">
        <v>8000</v>
      </c>
    </row>
    <row r="4341" spans="1:9" x14ac:dyDescent="0.3">
      <c r="A4341" s="7" t="s">
        <v>3985</v>
      </c>
      <c r="H4341" s="8">
        <f>H4338+H4339+H4340</f>
        <v>58000</v>
      </c>
      <c r="I4341" s="8">
        <f>I4338+I4339+I4340</f>
        <v>58000</v>
      </c>
    </row>
    <row r="4342" spans="1:9" x14ac:dyDescent="0.3">
      <c r="A4342" s="4" t="s">
        <v>3986</v>
      </c>
    </row>
    <row r="4343" spans="1:9" x14ac:dyDescent="0.3">
      <c r="B4343" s="5" t="s">
        <v>3966</v>
      </c>
      <c r="C4343" s="5" t="s">
        <v>844</v>
      </c>
      <c r="D4343" s="5" t="s">
        <v>3987</v>
      </c>
      <c r="E4343" s="5" t="s">
        <v>2750</v>
      </c>
      <c r="F4343" s="5" t="s">
        <v>847</v>
      </c>
      <c r="G4343" s="5" t="s">
        <v>848</v>
      </c>
      <c r="H4343" s="6">
        <v>46400</v>
      </c>
      <c r="I4343" s="5"/>
    </row>
    <row r="4344" spans="1:9" x14ac:dyDescent="0.3">
      <c r="B4344" s="5" t="s">
        <v>3966</v>
      </c>
      <c r="C4344" s="5" t="s">
        <v>844</v>
      </c>
      <c r="D4344" s="5" t="s">
        <v>3987</v>
      </c>
      <c r="E4344" s="5" t="s">
        <v>2987</v>
      </c>
      <c r="F4344" s="5" t="s">
        <v>831</v>
      </c>
      <c r="G4344" s="5" t="s">
        <v>832</v>
      </c>
      <c r="H4344" s="5"/>
      <c r="I4344" s="6">
        <v>40000</v>
      </c>
    </row>
    <row r="4345" spans="1:9" x14ac:dyDescent="0.3">
      <c r="B4345" s="5" t="s">
        <v>3966</v>
      </c>
      <c r="C4345" s="5" t="s">
        <v>844</v>
      </c>
      <c r="D4345" s="5" t="s">
        <v>3987</v>
      </c>
      <c r="E4345" s="5" t="s">
        <v>1993</v>
      </c>
      <c r="F4345" s="5" t="s">
        <v>867</v>
      </c>
      <c r="G4345" s="5" t="s">
        <v>868</v>
      </c>
      <c r="H4345" s="5"/>
      <c r="I4345" s="6">
        <v>6400</v>
      </c>
    </row>
    <row r="4346" spans="1:9" x14ac:dyDescent="0.3">
      <c r="A4346" s="7" t="s">
        <v>3988</v>
      </c>
      <c r="H4346" s="8">
        <f>H4343+H4344+H4345</f>
        <v>46400</v>
      </c>
      <c r="I4346" s="8">
        <f>I4343+I4344+I4345</f>
        <v>46400</v>
      </c>
    </row>
    <row r="4347" spans="1:9" x14ac:dyDescent="0.3">
      <c r="A4347" s="4" t="s">
        <v>3989</v>
      </c>
    </row>
    <row r="4348" spans="1:9" x14ac:dyDescent="0.3">
      <c r="B4348" s="5" t="s">
        <v>3966</v>
      </c>
      <c r="C4348" s="5" t="s">
        <v>844</v>
      </c>
      <c r="D4348" s="5" t="s">
        <v>3990</v>
      </c>
      <c r="E4348" s="5" t="s">
        <v>2750</v>
      </c>
      <c r="F4348" s="5" t="s">
        <v>847</v>
      </c>
      <c r="G4348" s="5" t="s">
        <v>848</v>
      </c>
      <c r="H4348" s="6">
        <v>23200</v>
      </c>
      <c r="I4348" s="5"/>
    </row>
    <row r="4349" spans="1:9" x14ac:dyDescent="0.3">
      <c r="B4349" s="5" t="s">
        <v>3966</v>
      </c>
      <c r="C4349" s="5" t="s">
        <v>844</v>
      </c>
      <c r="D4349" s="5" t="s">
        <v>3990</v>
      </c>
      <c r="E4349" s="5" t="s">
        <v>2987</v>
      </c>
      <c r="F4349" s="5" t="s">
        <v>831</v>
      </c>
      <c r="G4349" s="5" t="s">
        <v>832</v>
      </c>
      <c r="H4349" s="5"/>
      <c r="I4349" s="6">
        <v>20000</v>
      </c>
    </row>
    <row r="4350" spans="1:9" x14ac:dyDescent="0.3">
      <c r="B4350" s="5" t="s">
        <v>3966</v>
      </c>
      <c r="C4350" s="5" t="s">
        <v>844</v>
      </c>
      <c r="D4350" s="5" t="s">
        <v>3990</v>
      </c>
      <c r="E4350" s="5" t="s">
        <v>1993</v>
      </c>
      <c r="F4350" s="5" t="s">
        <v>867</v>
      </c>
      <c r="G4350" s="5" t="s">
        <v>868</v>
      </c>
      <c r="H4350" s="5"/>
      <c r="I4350" s="6">
        <v>3200</v>
      </c>
    </row>
    <row r="4351" spans="1:9" x14ac:dyDescent="0.3">
      <c r="A4351" s="7" t="s">
        <v>3991</v>
      </c>
      <c r="H4351" s="8">
        <f>H4348+H4349+H4350</f>
        <v>23200</v>
      </c>
      <c r="I4351" s="8">
        <f>I4348+I4349+I4350</f>
        <v>23200</v>
      </c>
    </row>
    <row r="4352" spans="1:9" x14ac:dyDescent="0.3">
      <c r="A4352" s="4" t="s">
        <v>3992</v>
      </c>
    </row>
    <row r="4353" spans="1:9" x14ac:dyDescent="0.3">
      <c r="B4353" s="5" t="s">
        <v>3966</v>
      </c>
      <c r="C4353" s="5" t="s">
        <v>844</v>
      </c>
      <c r="D4353" s="5" t="s">
        <v>3993</v>
      </c>
      <c r="E4353" s="5" t="s">
        <v>2750</v>
      </c>
      <c r="F4353" s="5" t="s">
        <v>847</v>
      </c>
      <c r="G4353" s="5" t="s">
        <v>848</v>
      </c>
      <c r="H4353" s="6">
        <v>81200</v>
      </c>
      <c r="I4353" s="5"/>
    </row>
    <row r="4354" spans="1:9" x14ac:dyDescent="0.3">
      <c r="B4354" s="5" t="s">
        <v>3966</v>
      </c>
      <c r="C4354" s="5" t="s">
        <v>844</v>
      </c>
      <c r="D4354" s="5" t="s">
        <v>3993</v>
      </c>
      <c r="E4354" s="5" t="s">
        <v>2987</v>
      </c>
      <c r="F4354" s="5" t="s">
        <v>831</v>
      </c>
      <c r="G4354" s="5" t="s">
        <v>832</v>
      </c>
      <c r="H4354" s="5"/>
      <c r="I4354" s="6">
        <v>70000</v>
      </c>
    </row>
    <row r="4355" spans="1:9" x14ac:dyDescent="0.3">
      <c r="B4355" s="5" t="s">
        <v>3966</v>
      </c>
      <c r="C4355" s="5" t="s">
        <v>844</v>
      </c>
      <c r="D4355" s="5" t="s">
        <v>3993</v>
      </c>
      <c r="E4355" s="5" t="s">
        <v>1993</v>
      </c>
      <c r="F4355" s="5" t="s">
        <v>867</v>
      </c>
      <c r="G4355" s="5" t="s">
        <v>868</v>
      </c>
      <c r="H4355" s="5"/>
      <c r="I4355" s="6">
        <v>11200</v>
      </c>
    </row>
    <row r="4356" spans="1:9" x14ac:dyDescent="0.3">
      <c r="A4356" s="7" t="s">
        <v>3994</v>
      </c>
      <c r="H4356" s="8">
        <f>H4353+H4354+H4355</f>
        <v>81200</v>
      </c>
      <c r="I4356" s="8">
        <f>I4353+I4354+I4355</f>
        <v>81200</v>
      </c>
    </row>
    <row r="4357" spans="1:9" x14ac:dyDescent="0.3">
      <c r="A4357" s="4" t="s">
        <v>3995</v>
      </c>
    </row>
    <row r="4358" spans="1:9" x14ac:dyDescent="0.3">
      <c r="B4358" s="5" t="s">
        <v>3966</v>
      </c>
      <c r="C4358" s="5" t="s">
        <v>844</v>
      </c>
      <c r="D4358" s="5" t="s">
        <v>3996</v>
      </c>
      <c r="E4358" s="5" t="s">
        <v>2750</v>
      </c>
      <c r="F4358" s="5" t="s">
        <v>847</v>
      </c>
      <c r="G4358" s="5" t="s">
        <v>848</v>
      </c>
      <c r="H4358" s="6">
        <v>58000</v>
      </c>
      <c r="I4358" s="5"/>
    </row>
    <row r="4359" spans="1:9" x14ac:dyDescent="0.3">
      <c r="B4359" s="5" t="s">
        <v>3966</v>
      </c>
      <c r="C4359" s="5" t="s">
        <v>844</v>
      </c>
      <c r="D4359" s="5" t="s">
        <v>3996</v>
      </c>
      <c r="E4359" s="5" t="s">
        <v>2987</v>
      </c>
      <c r="F4359" s="5" t="s">
        <v>831</v>
      </c>
      <c r="G4359" s="5" t="s">
        <v>832</v>
      </c>
      <c r="H4359" s="5"/>
      <c r="I4359" s="6">
        <v>50000</v>
      </c>
    </row>
    <row r="4360" spans="1:9" x14ac:dyDescent="0.3">
      <c r="B4360" s="5" t="s">
        <v>3966</v>
      </c>
      <c r="C4360" s="5" t="s">
        <v>844</v>
      </c>
      <c r="D4360" s="5" t="s">
        <v>3996</v>
      </c>
      <c r="E4360" s="5" t="s">
        <v>1993</v>
      </c>
      <c r="F4360" s="5" t="s">
        <v>867</v>
      </c>
      <c r="G4360" s="5" t="s">
        <v>868</v>
      </c>
      <c r="H4360" s="5"/>
      <c r="I4360" s="6">
        <v>8000</v>
      </c>
    </row>
    <row r="4361" spans="1:9" x14ac:dyDescent="0.3">
      <c r="A4361" s="7" t="s">
        <v>3997</v>
      </c>
      <c r="H4361" s="8">
        <f>H4358+H4359+H4360</f>
        <v>58000</v>
      </c>
      <c r="I4361" s="8">
        <f>I4358+I4359+I4360</f>
        <v>58000</v>
      </c>
    </row>
    <row r="4362" spans="1:9" x14ac:dyDescent="0.3">
      <c r="A4362" s="4" t="s">
        <v>3998</v>
      </c>
    </row>
    <row r="4363" spans="1:9" x14ac:dyDescent="0.3">
      <c r="B4363" s="5" t="s">
        <v>3966</v>
      </c>
      <c r="C4363" s="5" t="s">
        <v>844</v>
      </c>
      <c r="D4363" s="5" t="s">
        <v>3999</v>
      </c>
      <c r="E4363" s="5" t="s">
        <v>2750</v>
      </c>
      <c r="F4363" s="5" t="s">
        <v>847</v>
      </c>
      <c r="G4363" s="5" t="s">
        <v>848</v>
      </c>
      <c r="H4363" s="6">
        <v>58000</v>
      </c>
      <c r="I4363" s="5"/>
    </row>
    <row r="4364" spans="1:9" x14ac:dyDescent="0.3">
      <c r="B4364" s="5" t="s">
        <v>3966</v>
      </c>
      <c r="C4364" s="5" t="s">
        <v>844</v>
      </c>
      <c r="D4364" s="5" t="s">
        <v>3999</v>
      </c>
      <c r="E4364" s="5" t="s">
        <v>2987</v>
      </c>
      <c r="F4364" s="5" t="s">
        <v>831</v>
      </c>
      <c r="G4364" s="5" t="s">
        <v>832</v>
      </c>
      <c r="H4364" s="5"/>
      <c r="I4364" s="6">
        <v>50000</v>
      </c>
    </row>
    <row r="4365" spans="1:9" x14ac:dyDescent="0.3">
      <c r="B4365" s="5" t="s">
        <v>3966</v>
      </c>
      <c r="C4365" s="5" t="s">
        <v>844</v>
      </c>
      <c r="D4365" s="5" t="s">
        <v>3999</v>
      </c>
      <c r="E4365" s="5" t="s">
        <v>1993</v>
      </c>
      <c r="F4365" s="5" t="s">
        <v>867</v>
      </c>
      <c r="G4365" s="5" t="s">
        <v>868</v>
      </c>
      <c r="H4365" s="5"/>
      <c r="I4365" s="6">
        <v>8000</v>
      </c>
    </row>
    <row r="4366" spans="1:9" x14ac:dyDescent="0.3">
      <c r="A4366" s="7" t="s">
        <v>4000</v>
      </c>
      <c r="H4366" s="8">
        <f>H4363+H4364+H4365</f>
        <v>58000</v>
      </c>
      <c r="I4366" s="8">
        <f>I4363+I4364+I4365</f>
        <v>58000</v>
      </c>
    </row>
    <row r="4367" spans="1:9" x14ac:dyDescent="0.3">
      <c r="A4367" s="4" t="s">
        <v>4001</v>
      </c>
    </row>
    <row r="4368" spans="1:9" x14ac:dyDescent="0.3">
      <c r="B4368" s="5" t="s">
        <v>3966</v>
      </c>
      <c r="C4368" s="5" t="s">
        <v>844</v>
      </c>
      <c r="D4368" s="5" t="s">
        <v>4002</v>
      </c>
      <c r="E4368" s="5" t="s">
        <v>2750</v>
      </c>
      <c r="F4368" s="5" t="s">
        <v>847</v>
      </c>
      <c r="G4368" s="5" t="s">
        <v>848</v>
      </c>
      <c r="H4368" s="6">
        <v>92800</v>
      </c>
      <c r="I4368" s="5"/>
    </row>
    <row r="4369" spans="1:9" x14ac:dyDescent="0.3">
      <c r="B4369" s="5" t="s">
        <v>3966</v>
      </c>
      <c r="C4369" s="5" t="s">
        <v>844</v>
      </c>
      <c r="D4369" s="5" t="s">
        <v>4002</v>
      </c>
      <c r="E4369" s="5" t="s">
        <v>2987</v>
      </c>
      <c r="F4369" s="5" t="s">
        <v>831</v>
      </c>
      <c r="G4369" s="5" t="s">
        <v>832</v>
      </c>
      <c r="H4369" s="5"/>
      <c r="I4369" s="6">
        <v>80000</v>
      </c>
    </row>
    <row r="4370" spans="1:9" x14ac:dyDescent="0.3">
      <c r="B4370" s="5" t="s">
        <v>3966</v>
      </c>
      <c r="C4370" s="5" t="s">
        <v>844</v>
      </c>
      <c r="D4370" s="5" t="s">
        <v>4002</v>
      </c>
      <c r="E4370" s="5" t="s">
        <v>1993</v>
      </c>
      <c r="F4370" s="5" t="s">
        <v>867</v>
      </c>
      <c r="G4370" s="5" t="s">
        <v>868</v>
      </c>
      <c r="H4370" s="5"/>
      <c r="I4370" s="6">
        <v>12800</v>
      </c>
    </row>
    <row r="4371" spans="1:9" x14ac:dyDescent="0.3">
      <c r="A4371" s="7" t="s">
        <v>4003</v>
      </c>
      <c r="H4371" s="8">
        <f>H4368+H4369+H4370</f>
        <v>92800</v>
      </c>
      <c r="I4371" s="8">
        <f>I4368+I4369+I4370</f>
        <v>92800</v>
      </c>
    </row>
    <row r="4372" spans="1:9" x14ac:dyDescent="0.3">
      <c r="A4372" s="4" t="s">
        <v>4004</v>
      </c>
    </row>
    <row r="4373" spans="1:9" x14ac:dyDescent="0.3">
      <c r="B4373" s="5" t="s">
        <v>3966</v>
      </c>
      <c r="C4373" s="5" t="s">
        <v>844</v>
      </c>
      <c r="D4373" s="5" t="s">
        <v>4005</v>
      </c>
      <c r="E4373" s="5" t="s">
        <v>2750</v>
      </c>
      <c r="F4373" s="5" t="s">
        <v>847</v>
      </c>
      <c r="G4373" s="5" t="s">
        <v>848</v>
      </c>
      <c r="H4373" s="6">
        <v>58000</v>
      </c>
      <c r="I4373" s="5"/>
    </row>
    <row r="4374" spans="1:9" x14ac:dyDescent="0.3">
      <c r="B4374" s="5" t="s">
        <v>3966</v>
      </c>
      <c r="C4374" s="5" t="s">
        <v>844</v>
      </c>
      <c r="D4374" s="5" t="s">
        <v>4005</v>
      </c>
      <c r="E4374" s="5" t="s">
        <v>2987</v>
      </c>
      <c r="F4374" s="5" t="s">
        <v>831</v>
      </c>
      <c r="G4374" s="5" t="s">
        <v>832</v>
      </c>
      <c r="H4374" s="5"/>
      <c r="I4374" s="6">
        <v>50000</v>
      </c>
    </row>
    <row r="4375" spans="1:9" x14ac:dyDescent="0.3">
      <c r="B4375" s="5" t="s">
        <v>3966</v>
      </c>
      <c r="C4375" s="5" t="s">
        <v>844</v>
      </c>
      <c r="D4375" s="5" t="s">
        <v>4005</v>
      </c>
      <c r="E4375" s="5" t="s">
        <v>1993</v>
      </c>
      <c r="F4375" s="5" t="s">
        <v>867</v>
      </c>
      <c r="G4375" s="5" t="s">
        <v>868</v>
      </c>
      <c r="H4375" s="5"/>
      <c r="I4375" s="6">
        <v>8000</v>
      </c>
    </row>
    <row r="4376" spans="1:9" x14ac:dyDescent="0.3">
      <c r="A4376" s="7" t="s">
        <v>4006</v>
      </c>
      <c r="H4376" s="8">
        <f>H4373+H4374+H4375</f>
        <v>58000</v>
      </c>
      <c r="I4376" s="8">
        <f>I4373+I4374+I4375</f>
        <v>58000</v>
      </c>
    </row>
    <row r="4377" spans="1:9" x14ac:dyDescent="0.3">
      <c r="A4377" s="4" t="s">
        <v>4007</v>
      </c>
    </row>
    <row r="4378" spans="1:9" x14ac:dyDescent="0.3">
      <c r="B4378" s="5" t="s">
        <v>3966</v>
      </c>
      <c r="C4378" s="5" t="s">
        <v>844</v>
      </c>
      <c r="D4378" s="5" t="s">
        <v>4008</v>
      </c>
      <c r="E4378" s="5" t="s">
        <v>2750</v>
      </c>
      <c r="F4378" s="5" t="s">
        <v>847</v>
      </c>
      <c r="G4378" s="5" t="s">
        <v>848</v>
      </c>
      <c r="H4378" s="6">
        <v>34800</v>
      </c>
      <c r="I4378" s="5"/>
    </row>
    <row r="4379" spans="1:9" x14ac:dyDescent="0.3">
      <c r="B4379" s="5" t="s">
        <v>3966</v>
      </c>
      <c r="C4379" s="5" t="s">
        <v>844</v>
      </c>
      <c r="D4379" s="5" t="s">
        <v>4008</v>
      </c>
      <c r="E4379" s="5" t="s">
        <v>2987</v>
      </c>
      <c r="F4379" s="5" t="s">
        <v>831</v>
      </c>
      <c r="G4379" s="5" t="s">
        <v>832</v>
      </c>
      <c r="H4379" s="5"/>
      <c r="I4379" s="6">
        <v>30000</v>
      </c>
    </row>
    <row r="4380" spans="1:9" x14ac:dyDescent="0.3">
      <c r="B4380" s="5" t="s">
        <v>3966</v>
      </c>
      <c r="C4380" s="5" t="s">
        <v>844</v>
      </c>
      <c r="D4380" s="5" t="s">
        <v>4008</v>
      </c>
      <c r="E4380" s="5" t="s">
        <v>1993</v>
      </c>
      <c r="F4380" s="5" t="s">
        <v>867</v>
      </c>
      <c r="G4380" s="5" t="s">
        <v>868</v>
      </c>
      <c r="H4380" s="5"/>
      <c r="I4380" s="6">
        <v>4800</v>
      </c>
    </row>
    <row r="4381" spans="1:9" x14ac:dyDescent="0.3">
      <c r="A4381" s="7" t="s">
        <v>4009</v>
      </c>
      <c r="H4381" s="8">
        <f>H4378+H4379+H4380</f>
        <v>34800</v>
      </c>
      <c r="I4381" s="8">
        <f>I4378+I4379+I4380</f>
        <v>34800</v>
      </c>
    </row>
    <row r="4382" spans="1:9" x14ac:dyDescent="0.3">
      <c r="A4382" s="4" t="s">
        <v>4010</v>
      </c>
    </row>
    <row r="4383" spans="1:9" x14ac:dyDescent="0.3">
      <c r="B4383" s="5" t="s">
        <v>3966</v>
      </c>
      <c r="C4383" s="5" t="s">
        <v>844</v>
      </c>
      <c r="D4383" s="5" t="s">
        <v>4011</v>
      </c>
      <c r="E4383" s="5" t="s">
        <v>2750</v>
      </c>
      <c r="F4383" s="5" t="s">
        <v>847</v>
      </c>
      <c r="G4383" s="5" t="s">
        <v>848</v>
      </c>
      <c r="H4383" s="6">
        <v>116000</v>
      </c>
      <c r="I4383" s="5"/>
    </row>
    <row r="4384" spans="1:9" x14ac:dyDescent="0.3">
      <c r="B4384" s="5" t="s">
        <v>3966</v>
      </c>
      <c r="C4384" s="5" t="s">
        <v>844</v>
      </c>
      <c r="D4384" s="5" t="s">
        <v>4011</v>
      </c>
      <c r="E4384" s="5" t="s">
        <v>2987</v>
      </c>
      <c r="F4384" s="5" t="s">
        <v>831</v>
      </c>
      <c r="G4384" s="5" t="s">
        <v>832</v>
      </c>
      <c r="H4384" s="5"/>
      <c r="I4384" s="6">
        <v>100000</v>
      </c>
    </row>
    <row r="4385" spans="1:9" x14ac:dyDescent="0.3">
      <c r="B4385" s="5" t="s">
        <v>3966</v>
      </c>
      <c r="C4385" s="5" t="s">
        <v>844</v>
      </c>
      <c r="D4385" s="5" t="s">
        <v>4011</v>
      </c>
      <c r="E4385" s="5" t="s">
        <v>1993</v>
      </c>
      <c r="F4385" s="5" t="s">
        <v>867</v>
      </c>
      <c r="G4385" s="5" t="s">
        <v>868</v>
      </c>
      <c r="H4385" s="5"/>
      <c r="I4385" s="6">
        <v>16000</v>
      </c>
    </row>
    <row r="4386" spans="1:9" x14ac:dyDescent="0.3">
      <c r="A4386" s="7" t="s">
        <v>4012</v>
      </c>
      <c r="H4386" s="8">
        <f>H4383+H4384+H4385</f>
        <v>116000</v>
      </c>
      <c r="I4386" s="8">
        <f>I4383+I4384+I4385</f>
        <v>116000</v>
      </c>
    </row>
    <row r="4387" spans="1:9" x14ac:dyDescent="0.3">
      <c r="A4387" s="4" t="s">
        <v>4013</v>
      </c>
    </row>
    <row r="4388" spans="1:9" x14ac:dyDescent="0.3">
      <c r="B4388" s="5" t="s">
        <v>3966</v>
      </c>
      <c r="C4388" s="5" t="s">
        <v>844</v>
      </c>
      <c r="D4388" s="5" t="s">
        <v>4014</v>
      </c>
      <c r="E4388" s="5" t="s">
        <v>2750</v>
      </c>
      <c r="F4388" s="5" t="s">
        <v>847</v>
      </c>
      <c r="G4388" s="5" t="s">
        <v>848</v>
      </c>
      <c r="H4388" s="6">
        <v>58000</v>
      </c>
      <c r="I4388" s="5"/>
    </row>
    <row r="4389" spans="1:9" x14ac:dyDescent="0.3">
      <c r="B4389" s="5" t="s">
        <v>3966</v>
      </c>
      <c r="C4389" s="5" t="s">
        <v>844</v>
      </c>
      <c r="D4389" s="5" t="s">
        <v>4014</v>
      </c>
      <c r="E4389" s="5" t="s">
        <v>2987</v>
      </c>
      <c r="F4389" s="5" t="s">
        <v>831</v>
      </c>
      <c r="G4389" s="5" t="s">
        <v>832</v>
      </c>
      <c r="H4389" s="5"/>
      <c r="I4389" s="6">
        <v>50000</v>
      </c>
    </row>
    <row r="4390" spans="1:9" x14ac:dyDescent="0.3">
      <c r="B4390" s="5" t="s">
        <v>3966</v>
      </c>
      <c r="C4390" s="5" t="s">
        <v>844</v>
      </c>
      <c r="D4390" s="5" t="s">
        <v>4014</v>
      </c>
      <c r="E4390" s="5" t="s">
        <v>1993</v>
      </c>
      <c r="F4390" s="5" t="s">
        <v>867</v>
      </c>
      <c r="G4390" s="5" t="s">
        <v>868</v>
      </c>
      <c r="H4390" s="5"/>
      <c r="I4390" s="6">
        <v>8000</v>
      </c>
    </row>
    <row r="4391" spans="1:9" x14ac:dyDescent="0.3">
      <c r="A4391" s="7" t="s">
        <v>4015</v>
      </c>
      <c r="H4391" s="8">
        <f>H4388+H4389+H4390</f>
        <v>58000</v>
      </c>
      <c r="I4391" s="8">
        <f>I4388+I4389+I4390</f>
        <v>58000</v>
      </c>
    </row>
    <row r="4392" spans="1:9" x14ac:dyDescent="0.3">
      <c r="A4392" s="4" t="s">
        <v>4016</v>
      </c>
    </row>
    <row r="4393" spans="1:9" x14ac:dyDescent="0.3">
      <c r="B4393" s="5" t="s">
        <v>3966</v>
      </c>
      <c r="C4393" s="5" t="s">
        <v>844</v>
      </c>
      <c r="D4393" s="5" t="s">
        <v>4017</v>
      </c>
      <c r="E4393" s="5" t="s">
        <v>2750</v>
      </c>
      <c r="F4393" s="5" t="s">
        <v>847</v>
      </c>
      <c r="G4393" s="5" t="s">
        <v>848</v>
      </c>
      <c r="H4393" s="6">
        <v>58000</v>
      </c>
      <c r="I4393" s="5"/>
    </row>
    <row r="4394" spans="1:9" x14ac:dyDescent="0.3">
      <c r="B4394" s="5" t="s">
        <v>3966</v>
      </c>
      <c r="C4394" s="5" t="s">
        <v>844</v>
      </c>
      <c r="D4394" s="5" t="s">
        <v>4017</v>
      </c>
      <c r="E4394" s="5" t="s">
        <v>2987</v>
      </c>
      <c r="F4394" s="5" t="s">
        <v>831</v>
      </c>
      <c r="G4394" s="5" t="s">
        <v>832</v>
      </c>
      <c r="H4394" s="5"/>
      <c r="I4394" s="6">
        <v>50000</v>
      </c>
    </row>
    <row r="4395" spans="1:9" x14ac:dyDescent="0.3">
      <c r="B4395" s="5" t="s">
        <v>3966</v>
      </c>
      <c r="C4395" s="5" t="s">
        <v>844</v>
      </c>
      <c r="D4395" s="5" t="s">
        <v>4017</v>
      </c>
      <c r="E4395" s="5" t="s">
        <v>1993</v>
      </c>
      <c r="F4395" s="5" t="s">
        <v>867</v>
      </c>
      <c r="G4395" s="5" t="s">
        <v>868</v>
      </c>
      <c r="H4395" s="5"/>
      <c r="I4395" s="6">
        <v>8000</v>
      </c>
    </row>
    <row r="4396" spans="1:9" x14ac:dyDescent="0.3">
      <c r="A4396" s="7" t="s">
        <v>4018</v>
      </c>
      <c r="H4396" s="8">
        <f>H4393+H4394+H4395</f>
        <v>58000</v>
      </c>
      <c r="I4396" s="8">
        <f>I4393+I4394+I4395</f>
        <v>58000</v>
      </c>
    </row>
    <row r="4397" spans="1:9" x14ac:dyDescent="0.3">
      <c r="A4397" s="4" t="s">
        <v>4019</v>
      </c>
    </row>
    <row r="4398" spans="1:9" x14ac:dyDescent="0.3">
      <c r="B4398" s="5" t="s">
        <v>3966</v>
      </c>
      <c r="C4398" s="5" t="s">
        <v>844</v>
      </c>
      <c r="D4398" s="5" t="s">
        <v>4020</v>
      </c>
      <c r="E4398" s="5" t="s">
        <v>2750</v>
      </c>
      <c r="F4398" s="5" t="s">
        <v>847</v>
      </c>
      <c r="G4398" s="5" t="s">
        <v>848</v>
      </c>
      <c r="H4398" s="6">
        <v>104400</v>
      </c>
      <c r="I4398" s="5"/>
    </row>
    <row r="4399" spans="1:9" x14ac:dyDescent="0.3">
      <c r="B4399" s="5" t="s">
        <v>3966</v>
      </c>
      <c r="C4399" s="5" t="s">
        <v>844</v>
      </c>
      <c r="D4399" s="5" t="s">
        <v>4020</v>
      </c>
      <c r="E4399" s="5" t="s">
        <v>2987</v>
      </c>
      <c r="F4399" s="5" t="s">
        <v>831</v>
      </c>
      <c r="G4399" s="5" t="s">
        <v>832</v>
      </c>
      <c r="H4399" s="5"/>
      <c r="I4399" s="6">
        <v>90000</v>
      </c>
    </row>
    <row r="4400" spans="1:9" x14ac:dyDescent="0.3">
      <c r="B4400" s="5" t="s">
        <v>3966</v>
      </c>
      <c r="C4400" s="5" t="s">
        <v>844</v>
      </c>
      <c r="D4400" s="5" t="s">
        <v>4020</v>
      </c>
      <c r="E4400" s="5" t="s">
        <v>1993</v>
      </c>
      <c r="F4400" s="5" t="s">
        <v>867</v>
      </c>
      <c r="G4400" s="5" t="s">
        <v>868</v>
      </c>
      <c r="H4400" s="5"/>
      <c r="I4400" s="6">
        <v>14400</v>
      </c>
    </row>
    <row r="4401" spans="1:9" x14ac:dyDescent="0.3">
      <c r="A4401" s="7" t="s">
        <v>4021</v>
      </c>
      <c r="H4401" s="8">
        <f>H4398+H4399+H4400</f>
        <v>104400</v>
      </c>
      <c r="I4401" s="8">
        <f>I4398+I4399+I4400</f>
        <v>104400</v>
      </c>
    </row>
    <row r="4402" spans="1:9" x14ac:dyDescent="0.3">
      <c r="A4402" s="4" t="s">
        <v>4022</v>
      </c>
    </row>
    <row r="4403" spans="1:9" x14ac:dyDescent="0.3">
      <c r="B4403" s="5" t="s">
        <v>3966</v>
      </c>
      <c r="C4403" s="5" t="s">
        <v>844</v>
      </c>
      <c r="D4403" s="5" t="s">
        <v>4023</v>
      </c>
      <c r="E4403" s="5" t="s">
        <v>2750</v>
      </c>
      <c r="F4403" s="5" t="s">
        <v>847</v>
      </c>
      <c r="G4403" s="5" t="s">
        <v>848</v>
      </c>
      <c r="H4403" s="6">
        <v>58000</v>
      </c>
      <c r="I4403" s="5"/>
    </row>
    <row r="4404" spans="1:9" x14ac:dyDescent="0.3">
      <c r="B4404" s="5" t="s">
        <v>3966</v>
      </c>
      <c r="C4404" s="5" t="s">
        <v>844</v>
      </c>
      <c r="D4404" s="5" t="s">
        <v>4023</v>
      </c>
      <c r="E4404" s="5" t="s">
        <v>2987</v>
      </c>
      <c r="F4404" s="5" t="s">
        <v>831</v>
      </c>
      <c r="G4404" s="5" t="s">
        <v>832</v>
      </c>
      <c r="H4404" s="5"/>
      <c r="I4404" s="6">
        <v>50000</v>
      </c>
    </row>
    <row r="4405" spans="1:9" x14ac:dyDescent="0.3">
      <c r="B4405" s="5" t="s">
        <v>3966</v>
      </c>
      <c r="C4405" s="5" t="s">
        <v>844</v>
      </c>
      <c r="D4405" s="5" t="s">
        <v>4023</v>
      </c>
      <c r="E4405" s="5" t="s">
        <v>1993</v>
      </c>
      <c r="F4405" s="5" t="s">
        <v>867</v>
      </c>
      <c r="G4405" s="5" t="s">
        <v>868</v>
      </c>
      <c r="H4405" s="5"/>
      <c r="I4405" s="6">
        <v>8000</v>
      </c>
    </row>
    <row r="4406" spans="1:9" x14ac:dyDescent="0.3">
      <c r="A4406" s="7" t="s">
        <v>4024</v>
      </c>
      <c r="H4406" s="8">
        <f>H4403+H4404+H4405</f>
        <v>58000</v>
      </c>
      <c r="I4406" s="8">
        <f>I4403+I4404+I4405</f>
        <v>58000</v>
      </c>
    </row>
    <row r="4407" spans="1:9" x14ac:dyDescent="0.3">
      <c r="A4407" s="4" t="s">
        <v>4025</v>
      </c>
    </row>
    <row r="4408" spans="1:9" x14ac:dyDescent="0.3">
      <c r="B4408" s="5" t="s">
        <v>3966</v>
      </c>
      <c r="C4408" s="5" t="s">
        <v>10</v>
      </c>
      <c r="D4408" s="5" t="s">
        <v>4026</v>
      </c>
      <c r="E4408" s="5" t="s">
        <v>4027</v>
      </c>
      <c r="F4408" s="5" t="s">
        <v>1643</v>
      </c>
      <c r="G4408" s="5" t="s">
        <v>1644</v>
      </c>
      <c r="H4408" s="6">
        <v>100000</v>
      </c>
      <c r="I4408" s="5"/>
    </row>
    <row r="4409" spans="1:9" x14ac:dyDescent="0.3">
      <c r="B4409" s="5" t="s">
        <v>3966</v>
      </c>
      <c r="C4409" s="5" t="s">
        <v>10</v>
      </c>
      <c r="D4409" s="5" t="s">
        <v>4026</v>
      </c>
      <c r="E4409" s="5" t="s">
        <v>4027</v>
      </c>
      <c r="F4409" s="5" t="s">
        <v>2748</v>
      </c>
      <c r="G4409" s="5" t="s">
        <v>2749</v>
      </c>
      <c r="H4409" s="5"/>
      <c r="I4409" s="6">
        <v>100000</v>
      </c>
    </row>
    <row r="4410" spans="1:9" x14ac:dyDescent="0.3">
      <c r="A4410" s="7" t="s">
        <v>4028</v>
      </c>
      <c r="H4410" s="8">
        <f>H4408+H4409</f>
        <v>100000</v>
      </c>
      <c r="I4410" s="8">
        <f>I4408+I4409</f>
        <v>100000</v>
      </c>
    </row>
    <row r="4411" spans="1:9" x14ac:dyDescent="0.3">
      <c r="A4411" s="4" t="s">
        <v>4029</v>
      </c>
    </row>
    <row r="4412" spans="1:9" x14ac:dyDescent="0.3">
      <c r="B4412" s="5" t="s">
        <v>3966</v>
      </c>
      <c r="C4412" s="5" t="s">
        <v>2745</v>
      </c>
      <c r="D4412" s="5" t="s">
        <v>2750</v>
      </c>
      <c r="E4412" s="5" t="s">
        <v>2750</v>
      </c>
      <c r="F4412" s="5" t="s">
        <v>2748</v>
      </c>
      <c r="G4412" s="5" t="s">
        <v>2749</v>
      </c>
      <c r="H4412" s="6">
        <v>2460</v>
      </c>
      <c r="I4412" s="5"/>
    </row>
    <row r="4413" spans="1:9" x14ac:dyDescent="0.3">
      <c r="B4413" s="5" t="s">
        <v>3966</v>
      </c>
      <c r="C4413" s="5" t="s">
        <v>2745</v>
      </c>
      <c r="D4413" s="5" t="s">
        <v>2750</v>
      </c>
      <c r="E4413" s="5" t="s">
        <v>2750</v>
      </c>
      <c r="F4413" s="5" t="s">
        <v>847</v>
      </c>
      <c r="G4413" s="5" t="s">
        <v>848</v>
      </c>
      <c r="H4413" s="5"/>
      <c r="I4413" s="6">
        <v>2460</v>
      </c>
    </row>
    <row r="4414" spans="1:9" x14ac:dyDescent="0.3">
      <c r="A4414" s="7" t="s">
        <v>4030</v>
      </c>
      <c r="H4414" s="8">
        <f>H4412+H4413</f>
        <v>2460</v>
      </c>
      <c r="I4414" s="8">
        <f>I4412+I4413</f>
        <v>2460</v>
      </c>
    </row>
    <row r="4415" spans="1:9" x14ac:dyDescent="0.3">
      <c r="A4415" s="4" t="s">
        <v>4031</v>
      </c>
    </row>
    <row r="4416" spans="1:9" x14ac:dyDescent="0.3">
      <c r="B4416" s="5" t="s">
        <v>3966</v>
      </c>
      <c r="C4416" s="5" t="s">
        <v>2745</v>
      </c>
      <c r="D4416" s="5" t="s">
        <v>2750</v>
      </c>
      <c r="E4416" s="5" t="s">
        <v>2750</v>
      </c>
      <c r="F4416" s="5" t="s">
        <v>2748</v>
      </c>
      <c r="G4416" s="5" t="s">
        <v>2749</v>
      </c>
      <c r="H4416" s="6">
        <v>1480</v>
      </c>
      <c r="I4416" s="5"/>
    </row>
    <row r="4417" spans="1:9" x14ac:dyDescent="0.3">
      <c r="B4417" s="5" t="s">
        <v>3966</v>
      </c>
      <c r="C4417" s="5" t="s">
        <v>2745</v>
      </c>
      <c r="D4417" s="5" t="s">
        <v>2750</v>
      </c>
      <c r="E4417" s="5" t="s">
        <v>2750</v>
      </c>
      <c r="F4417" s="5" t="s">
        <v>847</v>
      </c>
      <c r="G4417" s="5" t="s">
        <v>848</v>
      </c>
      <c r="H4417" s="5"/>
      <c r="I4417" s="6">
        <v>1480</v>
      </c>
    </row>
    <row r="4418" spans="1:9" x14ac:dyDescent="0.3">
      <c r="A4418" s="7" t="s">
        <v>4032</v>
      </c>
      <c r="H4418" s="8">
        <f>H4416+H4417</f>
        <v>1480</v>
      </c>
      <c r="I4418" s="8">
        <f>I4416+I4417</f>
        <v>1480</v>
      </c>
    </row>
    <row r="4419" spans="1:9" x14ac:dyDescent="0.3">
      <c r="A4419" s="4" t="s">
        <v>4033</v>
      </c>
    </row>
    <row r="4420" spans="1:9" x14ac:dyDescent="0.3">
      <c r="B4420" s="5" t="s">
        <v>3966</v>
      </c>
      <c r="C4420" s="5" t="s">
        <v>2745</v>
      </c>
      <c r="D4420" s="5" t="s">
        <v>2750</v>
      </c>
      <c r="E4420" s="5" t="s">
        <v>2750</v>
      </c>
      <c r="F4420" s="5" t="s">
        <v>2748</v>
      </c>
      <c r="G4420" s="5" t="s">
        <v>2749</v>
      </c>
      <c r="H4420" s="6">
        <v>2000</v>
      </c>
      <c r="I4420" s="5"/>
    </row>
    <row r="4421" spans="1:9" x14ac:dyDescent="0.3">
      <c r="B4421" s="5" t="s">
        <v>3966</v>
      </c>
      <c r="C4421" s="5" t="s">
        <v>2745</v>
      </c>
      <c r="D4421" s="5" t="s">
        <v>2750</v>
      </c>
      <c r="E4421" s="5" t="s">
        <v>2750</v>
      </c>
      <c r="F4421" s="5" t="s">
        <v>847</v>
      </c>
      <c r="G4421" s="5" t="s">
        <v>848</v>
      </c>
      <c r="H4421" s="5"/>
      <c r="I4421" s="6">
        <v>2000</v>
      </c>
    </row>
    <row r="4422" spans="1:9" x14ac:dyDescent="0.3">
      <c r="A4422" s="7" t="s">
        <v>4034</v>
      </c>
      <c r="H4422" s="8">
        <f>H4420+H4421</f>
        <v>2000</v>
      </c>
      <c r="I4422" s="8">
        <f>I4420+I4421</f>
        <v>2000</v>
      </c>
    </row>
    <row r="4423" spans="1:9" x14ac:dyDescent="0.3">
      <c r="A4423" s="4" t="s">
        <v>4035</v>
      </c>
    </row>
    <row r="4424" spans="1:9" x14ac:dyDescent="0.3">
      <c r="B4424" s="5" t="s">
        <v>3966</v>
      </c>
      <c r="C4424" s="5" t="s">
        <v>10</v>
      </c>
      <c r="D4424" s="5" t="s">
        <v>4036</v>
      </c>
      <c r="E4424" s="5" t="s">
        <v>4037</v>
      </c>
      <c r="F4424" s="5" t="s">
        <v>867</v>
      </c>
      <c r="G4424" s="5" t="s">
        <v>868</v>
      </c>
      <c r="H4424" s="6">
        <v>443</v>
      </c>
      <c r="I4424" s="5"/>
    </row>
    <row r="4425" spans="1:9" x14ac:dyDescent="0.3">
      <c r="B4425" s="5" t="s">
        <v>3966</v>
      </c>
      <c r="C4425" s="5" t="s">
        <v>10</v>
      </c>
      <c r="D4425" s="5" t="s">
        <v>4036</v>
      </c>
      <c r="E4425" s="5" t="s">
        <v>4037</v>
      </c>
      <c r="F4425" s="5" t="s">
        <v>2729</v>
      </c>
      <c r="G4425" s="5" t="s">
        <v>2730</v>
      </c>
      <c r="H4425" s="5"/>
      <c r="I4425" s="6">
        <v>443</v>
      </c>
    </row>
    <row r="4426" spans="1:9" x14ac:dyDescent="0.3">
      <c r="B4426" s="5" t="s">
        <v>3966</v>
      </c>
      <c r="C4426" s="5" t="s">
        <v>10</v>
      </c>
      <c r="D4426" s="5" t="s">
        <v>4036</v>
      </c>
      <c r="E4426" s="5" t="s">
        <v>4038</v>
      </c>
      <c r="F4426" s="5" t="s">
        <v>867</v>
      </c>
      <c r="G4426" s="5" t="s">
        <v>868</v>
      </c>
      <c r="H4426" s="6">
        <v>266</v>
      </c>
      <c r="I4426" s="5"/>
    </row>
    <row r="4427" spans="1:9" x14ac:dyDescent="0.3">
      <c r="B4427" s="5" t="s">
        <v>3966</v>
      </c>
      <c r="C4427" s="5" t="s">
        <v>10</v>
      </c>
      <c r="D4427" s="5" t="s">
        <v>4036</v>
      </c>
      <c r="E4427" s="5" t="s">
        <v>4038</v>
      </c>
      <c r="F4427" s="5" t="s">
        <v>2729</v>
      </c>
      <c r="G4427" s="5" t="s">
        <v>2730</v>
      </c>
      <c r="H4427" s="5"/>
      <c r="I4427" s="6">
        <v>266</v>
      </c>
    </row>
    <row r="4428" spans="1:9" x14ac:dyDescent="0.3">
      <c r="B4428" s="5" t="s">
        <v>3966</v>
      </c>
      <c r="C4428" s="5" t="s">
        <v>10</v>
      </c>
      <c r="D4428" s="5" t="s">
        <v>4036</v>
      </c>
      <c r="E4428" s="5" t="s">
        <v>4039</v>
      </c>
      <c r="F4428" s="5" t="s">
        <v>867</v>
      </c>
      <c r="G4428" s="5" t="s">
        <v>868</v>
      </c>
      <c r="H4428" s="6">
        <v>360</v>
      </c>
      <c r="I4428" s="5"/>
    </row>
    <row r="4429" spans="1:9" x14ac:dyDescent="0.3">
      <c r="B4429" s="5" t="s">
        <v>3966</v>
      </c>
      <c r="C4429" s="5" t="s">
        <v>10</v>
      </c>
      <c r="D4429" s="5" t="s">
        <v>4036</v>
      </c>
      <c r="E4429" s="5" t="s">
        <v>4039</v>
      </c>
      <c r="F4429" s="5" t="s">
        <v>2729</v>
      </c>
      <c r="G4429" s="5" t="s">
        <v>2730</v>
      </c>
      <c r="H4429" s="5"/>
      <c r="I4429" s="6">
        <v>360</v>
      </c>
    </row>
    <row r="4430" spans="1:9" x14ac:dyDescent="0.3">
      <c r="A4430" s="7" t="s">
        <v>4040</v>
      </c>
      <c r="H4430" s="8">
        <f>H4424+H4425+H4426+H4427+H4428+H4429</f>
        <v>1069</v>
      </c>
      <c r="I4430" s="8">
        <f>I4424+I4425+I4426+I4427+I4428+I4429</f>
        <v>1069</v>
      </c>
    </row>
    <row r="4431" spans="1:9" x14ac:dyDescent="0.3">
      <c r="A4431" s="4" t="s">
        <v>4041</v>
      </c>
    </row>
    <row r="4432" spans="1:9" x14ac:dyDescent="0.3">
      <c r="B4432" s="5" t="s">
        <v>3966</v>
      </c>
      <c r="C4432" s="5" t="s">
        <v>10</v>
      </c>
      <c r="D4432" s="5" t="s">
        <v>4042</v>
      </c>
      <c r="E4432" s="5" t="s">
        <v>4043</v>
      </c>
      <c r="F4432" s="5" t="s">
        <v>61</v>
      </c>
      <c r="G4432" s="5" t="s">
        <v>62</v>
      </c>
      <c r="H4432" s="6">
        <v>920</v>
      </c>
      <c r="I4432" s="5"/>
    </row>
    <row r="4433" spans="1:9" x14ac:dyDescent="0.3">
      <c r="B4433" s="5" t="s">
        <v>3966</v>
      </c>
      <c r="C4433" s="5" t="s">
        <v>10</v>
      </c>
      <c r="D4433" s="5" t="s">
        <v>4042</v>
      </c>
      <c r="E4433" s="5" t="s">
        <v>4044</v>
      </c>
      <c r="F4433" s="5" t="s">
        <v>50</v>
      </c>
      <c r="G4433" s="5" t="s">
        <v>51</v>
      </c>
      <c r="H4433" s="6">
        <v>20</v>
      </c>
      <c r="I4433" s="5"/>
    </row>
    <row r="4434" spans="1:9" x14ac:dyDescent="0.3">
      <c r="B4434" s="5" t="s">
        <v>3966</v>
      </c>
      <c r="C4434" s="5" t="s">
        <v>10</v>
      </c>
      <c r="D4434" s="5" t="s">
        <v>4042</v>
      </c>
      <c r="E4434" s="5" t="s">
        <v>4044</v>
      </c>
      <c r="F4434" s="5" t="s">
        <v>1643</v>
      </c>
      <c r="G4434" s="5" t="s">
        <v>1644</v>
      </c>
      <c r="H4434" s="5"/>
      <c r="I4434" s="6">
        <v>940</v>
      </c>
    </row>
    <row r="4435" spans="1:9" x14ac:dyDescent="0.3">
      <c r="A4435" s="7" t="s">
        <v>4045</v>
      </c>
      <c r="H4435" s="8">
        <f>H4432+H4433+H4434</f>
        <v>940</v>
      </c>
      <c r="I4435" s="8">
        <f>I4432+I4433+I4434</f>
        <v>940</v>
      </c>
    </row>
    <row r="4436" spans="1:9" x14ac:dyDescent="0.3">
      <c r="A4436" s="4" t="s">
        <v>4046</v>
      </c>
    </row>
    <row r="4437" spans="1:9" x14ac:dyDescent="0.3">
      <c r="B4437" s="5" t="s">
        <v>3966</v>
      </c>
      <c r="C4437" s="5" t="s">
        <v>10</v>
      </c>
      <c r="D4437" s="5" t="s">
        <v>4047</v>
      </c>
      <c r="E4437" s="5" t="s">
        <v>4048</v>
      </c>
      <c r="F4437" s="5" t="s">
        <v>67</v>
      </c>
      <c r="G4437" s="5" t="s">
        <v>68</v>
      </c>
      <c r="H4437" s="6">
        <v>150</v>
      </c>
      <c r="I4437" s="5"/>
    </row>
    <row r="4438" spans="1:9" x14ac:dyDescent="0.3">
      <c r="B4438" s="5" t="s">
        <v>3966</v>
      </c>
      <c r="C4438" s="5" t="s">
        <v>10</v>
      </c>
      <c r="D4438" s="5" t="s">
        <v>4047</v>
      </c>
      <c r="E4438" s="5" t="s">
        <v>4048</v>
      </c>
      <c r="F4438" s="5" t="s">
        <v>1643</v>
      </c>
      <c r="G4438" s="5" t="s">
        <v>1644</v>
      </c>
      <c r="H4438" s="5"/>
      <c r="I4438" s="6">
        <v>150</v>
      </c>
    </row>
    <row r="4439" spans="1:9" x14ac:dyDescent="0.3">
      <c r="A4439" s="7" t="s">
        <v>4049</v>
      </c>
      <c r="H4439" s="8">
        <f>H4437+H4438</f>
        <v>150</v>
      </c>
      <c r="I4439" s="8">
        <f>I4437+I4438</f>
        <v>150</v>
      </c>
    </row>
    <row r="4440" spans="1:9" x14ac:dyDescent="0.3">
      <c r="A4440" s="4" t="s">
        <v>4050</v>
      </c>
    </row>
    <row r="4441" spans="1:9" x14ac:dyDescent="0.3">
      <c r="B4441" s="5" t="s">
        <v>3966</v>
      </c>
      <c r="C4441" s="5" t="s">
        <v>10</v>
      </c>
      <c r="D4441" s="5" t="s">
        <v>4051</v>
      </c>
      <c r="E4441" s="5" t="s">
        <v>4052</v>
      </c>
      <c r="F4441" s="5" t="s">
        <v>67</v>
      </c>
      <c r="G4441" s="5" t="s">
        <v>68</v>
      </c>
      <c r="H4441" s="6">
        <v>210</v>
      </c>
      <c r="I4441" s="5"/>
    </row>
    <row r="4442" spans="1:9" x14ac:dyDescent="0.3">
      <c r="B4442" s="5" t="s">
        <v>3966</v>
      </c>
      <c r="C4442" s="5" t="s">
        <v>10</v>
      </c>
      <c r="D4442" s="5" t="s">
        <v>4051</v>
      </c>
      <c r="E4442" s="5" t="s">
        <v>4052</v>
      </c>
      <c r="F4442" s="5" t="s">
        <v>1643</v>
      </c>
      <c r="G4442" s="5" t="s">
        <v>1644</v>
      </c>
      <c r="H4442" s="5"/>
      <c r="I4442" s="6">
        <v>210</v>
      </c>
    </row>
    <row r="4443" spans="1:9" x14ac:dyDescent="0.3">
      <c r="A4443" s="7" t="s">
        <v>4053</v>
      </c>
      <c r="H4443" s="8">
        <f>H4441+H4442</f>
        <v>210</v>
      </c>
      <c r="I4443" s="8">
        <f>I4441+I4442</f>
        <v>210</v>
      </c>
    </row>
    <row r="4444" spans="1:9" x14ac:dyDescent="0.3">
      <c r="A4444" s="4" t="s">
        <v>4054</v>
      </c>
    </row>
    <row r="4445" spans="1:9" x14ac:dyDescent="0.3">
      <c r="B4445" s="5" t="s">
        <v>4055</v>
      </c>
      <c r="C4445" s="5" t="s">
        <v>2745</v>
      </c>
      <c r="D4445" s="5" t="s">
        <v>2750</v>
      </c>
      <c r="E4445" s="5" t="s">
        <v>2750</v>
      </c>
      <c r="F4445" s="5" t="s">
        <v>2748</v>
      </c>
      <c r="G4445" s="5" t="s">
        <v>2749</v>
      </c>
      <c r="H4445" s="6">
        <v>2950</v>
      </c>
      <c r="I4445" s="5"/>
    </row>
    <row r="4446" spans="1:9" x14ac:dyDescent="0.3">
      <c r="B4446" s="5" t="s">
        <v>4055</v>
      </c>
      <c r="C4446" s="5" t="s">
        <v>2745</v>
      </c>
      <c r="D4446" s="5" t="s">
        <v>2750</v>
      </c>
      <c r="E4446" s="5" t="s">
        <v>2750</v>
      </c>
      <c r="F4446" s="5" t="s">
        <v>847</v>
      </c>
      <c r="G4446" s="5" t="s">
        <v>848</v>
      </c>
      <c r="H4446" s="5"/>
      <c r="I4446" s="6">
        <v>2950</v>
      </c>
    </row>
    <row r="4447" spans="1:9" x14ac:dyDescent="0.3">
      <c r="A4447" s="7" t="s">
        <v>4056</v>
      </c>
      <c r="H4447" s="8">
        <f>H4445+H4446</f>
        <v>2950</v>
      </c>
      <c r="I4447" s="8">
        <f>I4445+I4446</f>
        <v>2950</v>
      </c>
    </row>
    <row r="4448" spans="1:9" x14ac:dyDescent="0.3">
      <c r="A4448" s="4" t="s">
        <v>4057</v>
      </c>
    </row>
    <row r="4449" spans="1:9" x14ac:dyDescent="0.3">
      <c r="B4449" s="5" t="s">
        <v>4055</v>
      </c>
      <c r="C4449" s="5" t="s">
        <v>2745</v>
      </c>
      <c r="D4449" s="5" t="s">
        <v>2750</v>
      </c>
      <c r="E4449" s="5" t="s">
        <v>2750</v>
      </c>
      <c r="F4449" s="5" t="s">
        <v>2748</v>
      </c>
      <c r="G4449" s="5" t="s">
        <v>2749</v>
      </c>
      <c r="H4449" s="6">
        <v>4425</v>
      </c>
      <c r="I4449" s="5"/>
    </row>
    <row r="4450" spans="1:9" x14ac:dyDescent="0.3">
      <c r="B4450" s="5" t="s">
        <v>4055</v>
      </c>
      <c r="C4450" s="5" t="s">
        <v>2745</v>
      </c>
      <c r="D4450" s="5" t="s">
        <v>2750</v>
      </c>
      <c r="E4450" s="5" t="s">
        <v>2750</v>
      </c>
      <c r="F4450" s="5" t="s">
        <v>847</v>
      </c>
      <c r="G4450" s="5" t="s">
        <v>848</v>
      </c>
      <c r="H4450" s="5"/>
      <c r="I4450" s="6">
        <v>4425</v>
      </c>
    </row>
    <row r="4451" spans="1:9" x14ac:dyDescent="0.3">
      <c r="A4451" s="7" t="s">
        <v>4058</v>
      </c>
      <c r="H4451" s="8">
        <f>H4449+H4450</f>
        <v>4425</v>
      </c>
      <c r="I4451" s="8">
        <f>I4449+I4450</f>
        <v>4425</v>
      </c>
    </row>
    <row r="4452" spans="1:9" x14ac:dyDescent="0.3">
      <c r="A4452" s="4" t="s">
        <v>4059</v>
      </c>
    </row>
    <row r="4453" spans="1:9" x14ac:dyDescent="0.3">
      <c r="B4453" s="5" t="s">
        <v>4055</v>
      </c>
      <c r="C4453" s="5" t="s">
        <v>2745</v>
      </c>
      <c r="D4453" s="5" t="s">
        <v>2750</v>
      </c>
      <c r="E4453" s="5" t="s">
        <v>2750</v>
      </c>
      <c r="F4453" s="5" t="s">
        <v>2748</v>
      </c>
      <c r="G4453" s="5" t="s">
        <v>2749</v>
      </c>
      <c r="H4453" s="6">
        <v>3935</v>
      </c>
      <c r="I4453" s="5"/>
    </row>
    <row r="4454" spans="1:9" x14ac:dyDescent="0.3">
      <c r="B4454" s="5" t="s">
        <v>4055</v>
      </c>
      <c r="C4454" s="5" t="s">
        <v>2745</v>
      </c>
      <c r="D4454" s="5" t="s">
        <v>2750</v>
      </c>
      <c r="E4454" s="5" t="s">
        <v>2750</v>
      </c>
      <c r="F4454" s="5" t="s">
        <v>847</v>
      </c>
      <c r="G4454" s="5" t="s">
        <v>848</v>
      </c>
      <c r="H4454" s="5"/>
      <c r="I4454" s="6">
        <v>3935</v>
      </c>
    </row>
    <row r="4455" spans="1:9" x14ac:dyDescent="0.3">
      <c r="A4455" s="7" t="s">
        <v>4060</v>
      </c>
      <c r="H4455" s="8">
        <f>H4453+H4454</f>
        <v>3935</v>
      </c>
      <c r="I4455" s="8">
        <f>I4453+I4454</f>
        <v>3935</v>
      </c>
    </row>
    <row r="4456" spans="1:9" x14ac:dyDescent="0.3">
      <c r="A4456" s="4" t="s">
        <v>4061</v>
      </c>
    </row>
    <row r="4457" spans="1:9" x14ac:dyDescent="0.3">
      <c r="B4457" s="5" t="s">
        <v>4055</v>
      </c>
      <c r="C4457" s="5" t="s">
        <v>10</v>
      </c>
      <c r="D4457" s="5" t="s">
        <v>4062</v>
      </c>
      <c r="E4457" s="5" t="s">
        <v>4063</v>
      </c>
      <c r="F4457" s="5" t="s">
        <v>867</v>
      </c>
      <c r="G4457" s="5" t="s">
        <v>868</v>
      </c>
      <c r="H4457" s="6">
        <v>531</v>
      </c>
      <c r="I4457" s="5"/>
    </row>
    <row r="4458" spans="1:9" x14ac:dyDescent="0.3">
      <c r="B4458" s="5" t="s">
        <v>4055</v>
      </c>
      <c r="C4458" s="5" t="s">
        <v>10</v>
      </c>
      <c r="D4458" s="5" t="s">
        <v>4062</v>
      </c>
      <c r="E4458" s="5" t="s">
        <v>4063</v>
      </c>
      <c r="F4458" s="5" t="s">
        <v>2729</v>
      </c>
      <c r="G4458" s="5" t="s">
        <v>2730</v>
      </c>
      <c r="H4458" s="5"/>
      <c r="I4458" s="6">
        <v>531</v>
      </c>
    </row>
    <row r="4459" spans="1:9" x14ac:dyDescent="0.3">
      <c r="B4459" s="5" t="s">
        <v>4055</v>
      </c>
      <c r="C4459" s="5" t="s">
        <v>10</v>
      </c>
      <c r="D4459" s="5" t="s">
        <v>4062</v>
      </c>
      <c r="E4459" s="5" t="s">
        <v>4064</v>
      </c>
      <c r="F4459" s="5" t="s">
        <v>867</v>
      </c>
      <c r="G4459" s="5" t="s">
        <v>868</v>
      </c>
      <c r="H4459" s="6">
        <v>797</v>
      </c>
      <c r="I4459" s="5"/>
    </row>
    <row r="4460" spans="1:9" x14ac:dyDescent="0.3">
      <c r="B4460" s="5" t="s">
        <v>4055</v>
      </c>
      <c r="C4460" s="5" t="s">
        <v>10</v>
      </c>
      <c r="D4460" s="5" t="s">
        <v>4062</v>
      </c>
      <c r="E4460" s="5" t="s">
        <v>4064</v>
      </c>
      <c r="F4460" s="5" t="s">
        <v>2729</v>
      </c>
      <c r="G4460" s="5" t="s">
        <v>2730</v>
      </c>
      <c r="H4460" s="5"/>
      <c r="I4460" s="6">
        <v>797</v>
      </c>
    </row>
    <row r="4461" spans="1:9" x14ac:dyDescent="0.3">
      <c r="B4461" s="5" t="s">
        <v>4055</v>
      </c>
      <c r="C4461" s="5" t="s">
        <v>10</v>
      </c>
      <c r="D4461" s="5" t="s">
        <v>4062</v>
      </c>
      <c r="E4461" s="5" t="s">
        <v>4065</v>
      </c>
      <c r="F4461" s="5" t="s">
        <v>867</v>
      </c>
      <c r="G4461" s="5" t="s">
        <v>868</v>
      </c>
      <c r="H4461" s="6">
        <v>708</v>
      </c>
      <c r="I4461" s="5"/>
    </row>
    <row r="4462" spans="1:9" x14ac:dyDescent="0.3">
      <c r="B4462" s="5" t="s">
        <v>4055</v>
      </c>
      <c r="C4462" s="5" t="s">
        <v>10</v>
      </c>
      <c r="D4462" s="5" t="s">
        <v>4062</v>
      </c>
      <c r="E4462" s="5" t="s">
        <v>4065</v>
      </c>
      <c r="F4462" s="5" t="s">
        <v>2729</v>
      </c>
      <c r="G4462" s="5" t="s">
        <v>2730</v>
      </c>
      <c r="H4462" s="5"/>
      <c r="I4462" s="6">
        <v>708</v>
      </c>
    </row>
    <row r="4463" spans="1:9" x14ac:dyDescent="0.3">
      <c r="A4463" s="7" t="s">
        <v>4066</v>
      </c>
      <c r="H4463" s="8">
        <f>H4457+H4458+H4459+H4460+H4461+H4462</f>
        <v>2036</v>
      </c>
      <c r="I4463" s="8">
        <f>I4457+I4458+I4459+I4460+I4461+I4462</f>
        <v>2036</v>
      </c>
    </row>
    <row r="4464" spans="1:9" x14ac:dyDescent="0.3">
      <c r="A4464" s="4" t="s">
        <v>4067</v>
      </c>
    </row>
    <row r="4465" spans="1:9" x14ac:dyDescent="0.3">
      <c r="B4465" s="5" t="s">
        <v>4055</v>
      </c>
      <c r="C4465" s="5" t="s">
        <v>10</v>
      </c>
      <c r="D4465" s="5" t="s">
        <v>4068</v>
      </c>
      <c r="E4465" s="5" t="s">
        <v>4069</v>
      </c>
      <c r="F4465" s="5" t="s">
        <v>2500</v>
      </c>
      <c r="G4465" s="5" t="s">
        <v>2501</v>
      </c>
      <c r="H4465" s="6">
        <v>200</v>
      </c>
      <c r="I4465" s="5"/>
    </row>
    <row r="4466" spans="1:9" x14ac:dyDescent="0.3">
      <c r="B4466" s="5" t="s">
        <v>4055</v>
      </c>
      <c r="C4466" s="5" t="s">
        <v>10</v>
      </c>
      <c r="D4466" s="5" t="s">
        <v>4068</v>
      </c>
      <c r="E4466" s="5" t="s">
        <v>4069</v>
      </c>
      <c r="F4466" s="5" t="s">
        <v>1643</v>
      </c>
      <c r="G4466" s="5" t="s">
        <v>1644</v>
      </c>
      <c r="H4466" s="5"/>
      <c r="I4466" s="6">
        <v>200</v>
      </c>
    </row>
    <row r="4467" spans="1:9" x14ac:dyDescent="0.3">
      <c r="A4467" s="7" t="s">
        <v>4070</v>
      </c>
      <c r="H4467" s="8">
        <f>H4465+H4466</f>
        <v>200</v>
      </c>
      <c r="I4467" s="8">
        <f>I4465+I4466</f>
        <v>200</v>
      </c>
    </row>
    <row r="4468" spans="1:9" x14ac:dyDescent="0.3">
      <c r="A4468" s="4" t="s">
        <v>4071</v>
      </c>
    </row>
    <row r="4469" spans="1:9" x14ac:dyDescent="0.3">
      <c r="B4469" s="5" t="s">
        <v>4055</v>
      </c>
      <c r="C4469" s="5" t="s">
        <v>10</v>
      </c>
      <c r="D4469" s="5" t="s">
        <v>4072</v>
      </c>
      <c r="E4469" s="5" t="s">
        <v>4073</v>
      </c>
      <c r="F4469" s="5" t="s">
        <v>13</v>
      </c>
      <c r="G4469" s="5" t="s">
        <v>14</v>
      </c>
      <c r="H4469" s="6">
        <v>1000000</v>
      </c>
      <c r="I4469" s="5"/>
    </row>
    <row r="4470" spans="1:9" x14ac:dyDescent="0.3">
      <c r="B4470" s="5" t="s">
        <v>4055</v>
      </c>
      <c r="C4470" s="5" t="s">
        <v>10</v>
      </c>
      <c r="D4470" s="5" t="s">
        <v>4072</v>
      </c>
      <c r="E4470" s="5" t="s">
        <v>4073</v>
      </c>
      <c r="F4470" s="5" t="s">
        <v>3962</v>
      </c>
      <c r="G4470" s="5" t="s">
        <v>3963</v>
      </c>
      <c r="H4470" s="5"/>
      <c r="I4470" s="6">
        <v>1000000</v>
      </c>
    </row>
    <row r="4471" spans="1:9" x14ac:dyDescent="0.3">
      <c r="A4471" s="7" t="s">
        <v>4074</v>
      </c>
      <c r="H4471" s="8">
        <f>H4469+H4470</f>
        <v>1000000</v>
      </c>
      <c r="I4471" s="8">
        <f>I4469+I4470</f>
        <v>1000000</v>
      </c>
    </row>
    <row r="4472" spans="1:9" x14ac:dyDescent="0.3">
      <c r="A4472" s="4" t="s">
        <v>4075</v>
      </c>
    </row>
    <row r="4473" spans="1:9" x14ac:dyDescent="0.3">
      <c r="B4473" s="5" t="s">
        <v>4076</v>
      </c>
      <c r="C4473" s="5" t="s">
        <v>2745</v>
      </c>
      <c r="D4473" s="5" t="s">
        <v>2750</v>
      </c>
      <c r="E4473" s="5" t="s">
        <v>2750</v>
      </c>
      <c r="F4473" s="5" t="s">
        <v>2748</v>
      </c>
      <c r="G4473" s="5" t="s">
        <v>2749</v>
      </c>
      <c r="H4473" s="6">
        <v>7820</v>
      </c>
      <c r="I4473" s="5"/>
    </row>
    <row r="4474" spans="1:9" x14ac:dyDescent="0.3">
      <c r="B4474" s="5" t="s">
        <v>4076</v>
      </c>
      <c r="C4474" s="5" t="s">
        <v>2745</v>
      </c>
      <c r="D4474" s="5" t="s">
        <v>2750</v>
      </c>
      <c r="E4474" s="5" t="s">
        <v>2750</v>
      </c>
      <c r="F4474" s="5" t="s">
        <v>847</v>
      </c>
      <c r="G4474" s="5" t="s">
        <v>848</v>
      </c>
      <c r="H4474" s="5"/>
      <c r="I4474" s="6">
        <v>7820</v>
      </c>
    </row>
    <row r="4475" spans="1:9" x14ac:dyDescent="0.3">
      <c r="A4475" s="7" t="s">
        <v>4077</v>
      </c>
      <c r="H4475" s="8">
        <f>H4473+H4474</f>
        <v>7820</v>
      </c>
      <c r="I4475" s="8">
        <f>I4473+I4474</f>
        <v>7820</v>
      </c>
    </row>
    <row r="4476" spans="1:9" x14ac:dyDescent="0.3">
      <c r="A4476" s="4" t="s">
        <v>4078</v>
      </c>
    </row>
    <row r="4477" spans="1:9" x14ac:dyDescent="0.3">
      <c r="B4477" s="5" t="s">
        <v>4076</v>
      </c>
      <c r="C4477" s="5" t="s">
        <v>2745</v>
      </c>
      <c r="D4477" s="5" t="s">
        <v>2750</v>
      </c>
      <c r="E4477" s="5" t="s">
        <v>2750</v>
      </c>
      <c r="F4477" s="5" t="s">
        <v>2748</v>
      </c>
      <c r="G4477" s="5" t="s">
        <v>2749</v>
      </c>
      <c r="H4477" s="6">
        <v>7870</v>
      </c>
      <c r="I4477" s="5"/>
    </row>
    <row r="4478" spans="1:9" x14ac:dyDescent="0.3">
      <c r="B4478" s="5" t="s">
        <v>4076</v>
      </c>
      <c r="C4478" s="5" t="s">
        <v>2745</v>
      </c>
      <c r="D4478" s="5" t="s">
        <v>2750</v>
      </c>
      <c r="E4478" s="5" t="s">
        <v>2750</v>
      </c>
      <c r="F4478" s="5" t="s">
        <v>847</v>
      </c>
      <c r="G4478" s="5" t="s">
        <v>848</v>
      </c>
      <c r="H4478" s="5"/>
      <c r="I4478" s="6">
        <v>7870</v>
      </c>
    </row>
    <row r="4479" spans="1:9" x14ac:dyDescent="0.3">
      <c r="A4479" s="7" t="s">
        <v>4079</v>
      </c>
      <c r="H4479" s="8">
        <f>H4477+H4478</f>
        <v>7870</v>
      </c>
      <c r="I4479" s="8">
        <f>I4477+I4478</f>
        <v>7870</v>
      </c>
    </row>
    <row r="4480" spans="1:9" x14ac:dyDescent="0.3">
      <c r="A4480" s="4" t="s">
        <v>4080</v>
      </c>
    </row>
    <row r="4481" spans="1:9" x14ac:dyDescent="0.3">
      <c r="B4481" s="5" t="s">
        <v>4076</v>
      </c>
      <c r="C4481" s="5" t="s">
        <v>2745</v>
      </c>
      <c r="D4481" s="5" t="s">
        <v>2750</v>
      </c>
      <c r="E4481" s="5" t="s">
        <v>2750</v>
      </c>
      <c r="F4481" s="5" t="s">
        <v>2748</v>
      </c>
      <c r="G4481" s="5" t="s">
        <v>2749</v>
      </c>
      <c r="H4481" s="6">
        <v>1580</v>
      </c>
      <c r="I4481" s="5"/>
    </row>
    <row r="4482" spans="1:9" x14ac:dyDescent="0.3">
      <c r="B4482" s="5" t="s">
        <v>4076</v>
      </c>
      <c r="C4482" s="5" t="s">
        <v>2745</v>
      </c>
      <c r="D4482" s="5" t="s">
        <v>2750</v>
      </c>
      <c r="E4482" s="5" t="s">
        <v>2750</v>
      </c>
      <c r="F4482" s="5" t="s">
        <v>847</v>
      </c>
      <c r="G4482" s="5" t="s">
        <v>848</v>
      </c>
      <c r="H4482" s="5"/>
      <c r="I4482" s="6">
        <v>1580</v>
      </c>
    </row>
    <row r="4483" spans="1:9" x14ac:dyDescent="0.3">
      <c r="A4483" s="7" t="s">
        <v>4081</v>
      </c>
      <c r="H4483" s="8">
        <f>H4481+H4482</f>
        <v>1580</v>
      </c>
      <c r="I4483" s="8">
        <f>I4481+I4482</f>
        <v>1580</v>
      </c>
    </row>
    <row r="4484" spans="1:9" x14ac:dyDescent="0.3">
      <c r="A4484" s="4" t="s">
        <v>4082</v>
      </c>
    </row>
    <row r="4485" spans="1:9" x14ac:dyDescent="0.3">
      <c r="B4485" s="5" t="s">
        <v>4076</v>
      </c>
      <c r="C4485" s="5" t="s">
        <v>2745</v>
      </c>
      <c r="D4485" s="5" t="s">
        <v>2750</v>
      </c>
      <c r="E4485" s="5" t="s">
        <v>2750</v>
      </c>
      <c r="F4485" s="5" t="s">
        <v>2748</v>
      </c>
      <c r="G4485" s="5" t="s">
        <v>2749</v>
      </c>
      <c r="H4485" s="6">
        <v>1180</v>
      </c>
      <c r="I4485" s="5"/>
    </row>
    <row r="4486" spans="1:9" x14ac:dyDescent="0.3">
      <c r="B4486" s="5" t="s">
        <v>4076</v>
      </c>
      <c r="C4486" s="5" t="s">
        <v>2745</v>
      </c>
      <c r="D4486" s="5" t="s">
        <v>2750</v>
      </c>
      <c r="E4486" s="5" t="s">
        <v>2750</v>
      </c>
      <c r="F4486" s="5" t="s">
        <v>847</v>
      </c>
      <c r="G4486" s="5" t="s">
        <v>848</v>
      </c>
      <c r="H4486" s="5"/>
      <c r="I4486" s="6">
        <v>1180</v>
      </c>
    </row>
    <row r="4487" spans="1:9" x14ac:dyDescent="0.3">
      <c r="A4487" s="7" t="s">
        <v>4083</v>
      </c>
      <c r="H4487" s="8">
        <f>H4485+H4486</f>
        <v>1180</v>
      </c>
      <c r="I4487" s="8">
        <f>I4485+I4486</f>
        <v>1180</v>
      </c>
    </row>
    <row r="4488" spans="1:9" x14ac:dyDescent="0.3">
      <c r="A4488" s="4" t="s">
        <v>4084</v>
      </c>
    </row>
    <row r="4489" spans="1:9" x14ac:dyDescent="0.3">
      <c r="B4489" s="5" t="s">
        <v>4076</v>
      </c>
      <c r="C4489" s="5" t="s">
        <v>10</v>
      </c>
      <c r="D4489" s="5" t="s">
        <v>4085</v>
      </c>
      <c r="E4489" s="5" t="s">
        <v>4086</v>
      </c>
      <c r="F4489" s="5" t="s">
        <v>867</v>
      </c>
      <c r="G4489" s="5" t="s">
        <v>868</v>
      </c>
      <c r="H4489" s="6">
        <v>1408</v>
      </c>
      <c r="I4489" s="5"/>
    </row>
    <row r="4490" spans="1:9" x14ac:dyDescent="0.3">
      <c r="B4490" s="5" t="s">
        <v>4076</v>
      </c>
      <c r="C4490" s="5" t="s">
        <v>10</v>
      </c>
      <c r="D4490" s="5" t="s">
        <v>4085</v>
      </c>
      <c r="E4490" s="5" t="s">
        <v>4086</v>
      </c>
      <c r="F4490" s="5" t="s">
        <v>2729</v>
      </c>
      <c r="G4490" s="5" t="s">
        <v>2730</v>
      </c>
      <c r="H4490" s="5"/>
      <c r="I4490" s="6">
        <v>1408</v>
      </c>
    </row>
    <row r="4491" spans="1:9" x14ac:dyDescent="0.3">
      <c r="B4491" s="5" t="s">
        <v>4076</v>
      </c>
      <c r="C4491" s="5" t="s">
        <v>10</v>
      </c>
      <c r="D4491" s="5" t="s">
        <v>4085</v>
      </c>
      <c r="E4491" s="5" t="s">
        <v>4087</v>
      </c>
      <c r="F4491" s="5" t="s">
        <v>867</v>
      </c>
      <c r="G4491" s="5" t="s">
        <v>868</v>
      </c>
      <c r="H4491" s="6">
        <v>1417</v>
      </c>
      <c r="I4491" s="5"/>
    </row>
    <row r="4492" spans="1:9" x14ac:dyDescent="0.3">
      <c r="B4492" s="5" t="s">
        <v>4076</v>
      </c>
      <c r="C4492" s="5" t="s">
        <v>10</v>
      </c>
      <c r="D4492" s="5" t="s">
        <v>4085</v>
      </c>
      <c r="E4492" s="5" t="s">
        <v>4087</v>
      </c>
      <c r="F4492" s="5" t="s">
        <v>2729</v>
      </c>
      <c r="G4492" s="5" t="s">
        <v>2730</v>
      </c>
      <c r="H4492" s="5"/>
      <c r="I4492" s="6">
        <v>1417</v>
      </c>
    </row>
    <row r="4493" spans="1:9" x14ac:dyDescent="0.3">
      <c r="B4493" s="5" t="s">
        <v>4076</v>
      </c>
      <c r="C4493" s="5" t="s">
        <v>10</v>
      </c>
      <c r="D4493" s="5" t="s">
        <v>4085</v>
      </c>
      <c r="E4493" s="5" t="s">
        <v>4088</v>
      </c>
      <c r="F4493" s="5" t="s">
        <v>867</v>
      </c>
      <c r="G4493" s="5" t="s">
        <v>868</v>
      </c>
      <c r="H4493" s="6">
        <v>284</v>
      </c>
      <c r="I4493" s="5"/>
    </row>
    <row r="4494" spans="1:9" x14ac:dyDescent="0.3">
      <c r="B4494" s="5" t="s">
        <v>4076</v>
      </c>
      <c r="C4494" s="5" t="s">
        <v>10</v>
      </c>
      <c r="D4494" s="5" t="s">
        <v>4085</v>
      </c>
      <c r="E4494" s="5" t="s">
        <v>4088</v>
      </c>
      <c r="F4494" s="5" t="s">
        <v>2729</v>
      </c>
      <c r="G4494" s="5" t="s">
        <v>2730</v>
      </c>
      <c r="H4494" s="5"/>
      <c r="I4494" s="6">
        <v>284</v>
      </c>
    </row>
    <row r="4495" spans="1:9" x14ac:dyDescent="0.3">
      <c r="B4495" s="5" t="s">
        <v>4076</v>
      </c>
      <c r="C4495" s="5" t="s">
        <v>10</v>
      </c>
      <c r="D4495" s="5" t="s">
        <v>4085</v>
      </c>
      <c r="E4495" s="5" t="s">
        <v>4089</v>
      </c>
      <c r="F4495" s="5" t="s">
        <v>867</v>
      </c>
      <c r="G4495" s="5" t="s">
        <v>868</v>
      </c>
      <c r="H4495" s="6">
        <v>212</v>
      </c>
      <c r="I4495" s="5"/>
    </row>
    <row r="4496" spans="1:9" x14ac:dyDescent="0.3">
      <c r="B4496" s="5" t="s">
        <v>4076</v>
      </c>
      <c r="C4496" s="5" t="s">
        <v>10</v>
      </c>
      <c r="D4496" s="5" t="s">
        <v>4085</v>
      </c>
      <c r="E4496" s="5" t="s">
        <v>4089</v>
      </c>
      <c r="F4496" s="5" t="s">
        <v>2729</v>
      </c>
      <c r="G4496" s="5" t="s">
        <v>2730</v>
      </c>
      <c r="H4496" s="5"/>
      <c r="I4496" s="6">
        <v>212</v>
      </c>
    </row>
    <row r="4497" spans="1:9" x14ac:dyDescent="0.3">
      <c r="A4497" s="7" t="s">
        <v>4090</v>
      </c>
      <c r="H4497" s="8">
        <f>H4489+H4490+H4491+H4492+H4493+H4494+H4495+H4496</f>
        <v>3321</v>
      </c>
      <c r="I4497" s="8">
        <f>I4489+I4490+I4491+I4492+I4493+I4494+I4495+I4496</f>
        <v>3321</v>
      </c>
    </row>
    <row r="4498" spans="1:9" x14ac:dyDescent="0.3">
      <c r="A4498" s="4" t="s">
        <v>4091</v>
      </c>
    </row>
    <row r="4499" spans="1:9" x14ac:dyDescent="0.3">
      <c r="B4499" s="5" t="s">
        <v>4076</v>
      </c>
      <c r="C4499" s="5" t="s">
        <v>10</v>
      </c>
      <c r="D4499" s="5" t="s">
        <v>4092</v>
      </c>
      <c r="E4499" s="5" t="s">
        <v>4093</v>
      </c>
      <c r="F4499" s="5" t="s">
        <v>1643</v>
      </c>
      <c r="G4499" s="5" t="s">
        <v>1644</v>
      </c>
      <c r="H4499" s="6">
        <v>400000</v>
      </c>
      <c r="I4499" s="5"/>
    </row>
    <row r="4500" spans="1:9" x14ac:dyDescent="0.3">
      <c r="B4500" s="5" t="s">
        <v>4076</v>
      </c>
      <c r="C4500" s="5" t="s">
        <v>10</v>
      </c>
      <c r="D4500" s="5" t="s">
        <v>4092</v>
      </c>
      <c r="E4500" s="5" t="s">
        <v>4093</v>
      </c>
      <c r="F4500" s="5" t="s">
        <v>13</v>
      </c>
      <c r="G4500" s="5" t="s">
        <v>14</v>
      </c>
      <c r="H4500" s="5"/>
      <c r="I4500" s="6">
        <v>400000</v>
      </c>
    </row>
    <row r="4501" spans="1:9" x14ac:dyDescent="0.3">
      <c r="A4501" s="7" t="s">
        <v>4094</v>
      </c>
      <c r="H4501" s="8">
        <f>H4499+H4500</f>
        <v>400000</v>
      </c>
      <c r="I4501" s="8">
        <f>I4499+I4500</f>
        <v>400000</v>
      </c>
    </row>
    <row r="4502" spans="1:9" x14ac:dyDescent="0.3">
      <c r="A4502" s="4" t="s">
        <v>4095</v>
      </c>
    </row>
    <row r="4503" spans="1:9" x14ac:dyDescent="0.3">
      <c r="B4503" s="5" t="s">
        <v>4076</v>
      </c>
      <c r="C4503" s="5" t="s">
        <v>10</v>
      </c>
      <c r="D4503" s="5" t="s">
        <v>4096</v>
      </c>
      <c r="E4503" s="5" t="s">
        <v>4097</v>
      </c>
      <c r="F4503" s="5" t="s">
        <v>831</v>
      </c>
      <c r="G4503" s="5" t="s">
        <v>832</v>
      </c>
      <c r="H4503" s="6">
        <v>400000</v>
      </c>
      <c r="I4503" s="5"/>
    </row>
    <row r="4504" spans="1:9" x14ac:dyDescent="0.3">
      <c r="B4504" s="5" t="s">
        <v>4076</v>
      </c>
      <c r="C4504" s="5" t="s">
        <v>10</v>
      </c>
      <c r="D4504" s="5" t="s">
        <v>4096</v>
      </c>
      <c r="E4504" s="5" t="s">
        <v>4097</v>
      </c>
      <c r="F4504" s="5" t="s">
        <v>1643</v>
      </c>
      <c r="G4504" s="5" t="s">
        <v>1644</v>
      </c>
      <c r="H4504" s="5"/>
      <c r="I4504" s="6">
        <v>400000</v>
      </c>
    </row>
    <row r="4505" spans="1:9" x14ac:dyDescent="0.3">
      <c r="A4505" s="7" t="s">
        <v>4098</v>
      </c>
      <c r="H4505" s="8">
        <f>H4503+H4504</f>
        <v>400000</v>
      </c>
      <c r="I4505" s="8">
        <f>I4503+I4504</f>
        <v>400000</v>
      </c>
    </row>
    <row r="4506" spans="1:9" x14ac:dyDescent="0.3">
      <c r="A4506" s="4" t="s">
        <v>4099</v>
      </c>
    </row>
    <row r="4507" spans="1:9" x14ac:dyDescent="0.3">
      <c r="B4507" s="5" t="s">
        <v>4076</v>
      </c>
      <c r="C4507" s="5" t="s">
        <v>10</v>
      </c>
      <c r="D4507" s="5" t="s">
        <v>4100</v>
      </c>
      <c r="E4507" s="5" t="s">
        <v>4101</v>
      </c>
      <c r="F4507" s="5" t="s">
        <v>3899</v>
      </c>
      <c r="G4507" s="5" t="s">
        <v>3900</v>
      </c>
      <c r="H4507" s="6">
        <v>2000000</v>
      </c>
      <c r="I4507" s="5"/>
    </row>
    <row r="4508" spans="1:9" x14ac:dyDescent="0.3">
      <c r="B4508" s="5" t="s">
        <v>4076</v>
      </c>
      <c r="C4508" s="5" t="s">
        <v>10</v>
      </c>
      <c r="D4508" s="5" t="s">
        <v>4100</v>
      </c>
      <c r="E4508" s="5" t="s">
        <v>4101</v>
      </c>
      <c r="F4508" s="5" t="s">
        <v>3962</v>
      </c>
      <c r="G4508" s="5" t="s">
        <v>3963</v>
      </c>
      <c r="H4508" s="5"/>
      <c r="I4508" s="6">
        <v>2000000</v>
      </c>
    </row>
    <row r="4509" spans="1:9" x14ac:dyDescent="0.3">
      <c r="B4509" s="5" t="s">
        <v>4076</v>
      </c>
      <c r="C4509" s="5" t="s">
        <v>10</v>
      </c>
      <c r="D4509" s="5" t="s">
        <v>4100</v>
      </c>
      <c r="E4509" s="5" t="s">
        <v>4102</v>
      </c>
      <c r="F4509" s="5" t="s">
        <v>13</v>
      </c>
      <c r="G4509" s="5" t="s">
        <v>14</v>
      </c>
      <c r="H4509" s="6">
        <v>1400000</v>
      </c>
      <c r="I4509" s="5"/>
    </row>
    <row r="4510" spans="1:9" x14ac:dyDescent="0.3">
      <c r="B4510" s="5" t="s">
        <v>4076</v>
      </c>
      <c r="C4510" s="5" t="s">
        <v>10</v>
      </c>
      <c r="D4510" s="5" t="s">
        <v>4100</v>
      </c>
      <c r="E4510" s="5" t="s">
        <v>4102</v>
      </c>
      <c r="F4510" s="5" t="s">
        <v>3899</v>
      </c>
      <c r="G4510" s="5" t="s">
        <v>3900</v>
      </c>
      <c r="H4510" s="5"/>
      <c r="I4510" s="6">
        <v>1400000</v>
      </c>
    </row>
    <row r="4511" spans="1:9" x14ac:dyDescent="0.3">
      <c r="A4511" s="7" t="s">
        <v>4103</v>
      </c>
      <c r="H4511" s="8">
        <f>H4507+H4508+H4509+H4510</f>
        <v>3400000</v>
      </c>
      <c r="I4511" s="8">
        <f>I4507+I4508+I4509+I4510</f>
        <v>3400000</v>
      </c>
    </row>
    <row r="4512" spans="1:9" x14ac:dyDescent="0.3">
      <c r="A4512" s="4" t="s">
        <v>4104</v>
      </c>
    </row>
    <row r="4513" spans="1:9" x14ac:dyDescent="0.3">
      <c r="B4513" s="5" t="s">
        <v>4076</v>
      </c>
      <c r="C4513" s="5" t="s">
        <v>10</v>
      </c>
      <c r="D4513" s="5" t="s">
        <v>4105</v>
      </c>
      <c r="E4513" s="5" t="s">
        <v>4106</v>
      </c>
      <c r="F4513" s="5" t="s">
        <v>67</v>
      </c>
      <c r="G4513" s="5" t="s">
        <v>68</v>
      </c>
      <c r="H4513" s="6">
        <v>40</v>
      </c>
      <c r="I4513" s="5"/>
    </row>
    <row r="4514" spans="1:9" x14ac:dyDescent="0.3">
      <c r="B4514" s="5" t="s">
        <v>4076</v>
      </c>
      <c r="C4514" s="5" t="s">
        <v>10</v>
      </c>
      <c r="D4514" s="5" t="s">
        <v>4105</v>
      </c>
      <c r="E4514" s="5" t="s">
        <v>4106</v>
      </c>
      <c r="F4514" s="5" t="s">
        <v>1643</v>
      </c>
      <c r="G4514" s="5" t="s">
        <v>1644</v>
      </c>
      <c r="H4514" s="5"/>
      <c r="I4514" s="6">
        <v>40</v>
      </c>
    </row>
    <row r="4515" spans="1:9" x14ac:dyDescent="0.3">
      <c r="B4515" s="5" t="s">
        <v>4076</v>
      </c>
      <c r="C4515" s="5" t="s">
        <v>10</v>
      </c>
      <c r="D4515" s="5" t="s">
        <v>4105</v>
      </c>
      <c r="E4515" s="5" t="s">
        <v>4107</v>
      </c>
      <c r="F4515" s="5" t="s">
        <v>113</v>
      </c>
      <c r="G4515" s="5" t="s">
        <v>114</v>
      </c>
      <c r="H4515" s="6">
        <v>740</v>
      </c>
      <c r="I4515" s="5"/>
    </row>
    <row r="4516" spans="1:9" x14ac:dyDescent="0.3">
      <c r="B4516" s="5" t="s">
        <v>4076</v>
      </c>
      <c r="C4516" s="5" t="s">
        <v>10</v>
      </c>
      <c r="D4516" s="5" t="s">
        <v>4105</v>
      </c>
      <c r="E4516" s="5" t="s">
        <v>4107</v>
      </c>
      <c r="F4516" s="5" t="s">
        <v>1643</v>
      </c>
      <c r="G4516" s="5" t="s">
        <v>1644</v>
      </c>
      <c r="H4516" s="5"/>
      <c r="I4516" s="6">
        <v>740</v>
      </c>
    </row>
    <row r="4517" spans="1:9" x14ac:dyDescent="0.3">
      <c r="A4517" s="7" t="s">
        <v>4108</v>
      </c>
      <c r="H4517" s="8">
        <f>H4513+H4514+H4515+H4516</f>
        <v>780</v>
      </c>
      <c r="I4517" s="8">
        <f>I4513+I4514+I4515+I4516</f>
        <v>780</v>
      </c>
    </row>
    <row r="4518" spans="1:9" x14ac:dyDescent="0.3">
      <c r="A4518" s="4" t="s">
        <v>4109</v>
      </c>
    </row>
    <row r="4519" spans="1:9" x14ac:dyDescent="0.3">
      <c r="B4519" s="5" t="s">
        <v>4076</v>
      </c>
      <c r="C4519" s="5" t="s">
        <v>10</v>
      </c>
      <c r="D4519" s="5" t="s">
        <v>4110</v>
      </c>
      <c r="E4519" s="5" t="s">
        <v>2261</v>
      </c>
      <c r="F4519" s="5" t="s">
        <v>549</v>
      </c>
      <c r="G4519" s="5" t="s">
        <v>550</v>
      </c>
      <c r="H4519" s="6">
        <v>20000</v>
      </c>
      <c r="I4519" s="5"/>
    </row>
    <row r="4520" spans="1:9" x14ac:dyDescent="0.3">
      <c r="B4520" s="5" t="s">
        <v>4076</v>
      </c>
      <c r="C4520" s="5" t="s">
        <v>10</v>
      </c>
      <c r="D4520" s="5" t="s">
        <v>4110</v>
      </c>
      <c r="E4520" s="5" t="s">
        <v>2261</v>
      </c>
      <c r="F4520" s="5" t="s">
        <v>1643</v>
      </c>
      <c r="G4520" s="5" t="s">
        <v>1644</v>
      </c>
      <c r="H4520" s="5"/>
      <c r="I4520" s="6">
        <v>20000</v>
      </c>
    </row>
    <row r="4521" spans="1:9" x14ac:dyDescent="0.3">
      <c r="A4521" s="7" t="s">
        <v>4111</v>
      </c>
      <c r="H4521" s="8">
        <f>H4519+H4520</f>
        <v>20000</v>
      </c>
      <c r="I4521" s="8">
        <f>I4519+I4520</f>
        <v>20000</v>
      </c>
    </row>
    <row r="4522" spans="1:9" x14ac:dyDescent="0.3">
      <c r="A4522" s="4" t="s">
        <v>4112</v>
      </c>
    </row>
    <row r="4523" spans="1:9" x14ac:dyDescent="0.3">
      <c r="B4523" s="5" t="s">
        <v>4076</v>
      </c>
      <c r="C4523" s="5" t="s">
        <v>10</v>
      </c>
      <c r="D4523" s="5" t="s">
        <v>4113</v>
      </c>
      <c r="E4523" s="5" t="s">
        <v>4114</v>
      </c>
      <c r="F4523" s="5" t="s">
        <v>685</v>
      </c>
      <c r="G4523" s="5" t="s">
        <v>686</v>
      </c>
      <c r="H4523" s="6">
        <v>5000</v>
      </c>
      <c r="I4523" s="5"/>
    </row>
    <row r="4524" spans="1:9" x14ac:dyDescent="0.3">
      <c r="B4524" s="5" t="s">
        <v>4076</v>
      </c>
      <c r="C4524" s="5" t="s">
        <v>10</v>
      </c>
      <c r="D4524" s="5" t="s">
        <v>4113</v>
      </c>
      <c r="E4524" s="5" t="s">
        <v>4114</v>
      </c>
      <c r="F4524" s="5" t="s">
        <v>1643</v>
      </c>
      <c r="G4524" s="5" t="s">
        <v>1644</v>
      </c>
      <c r="H4524" s="5"/>
      <c r="I4524" s="6">
        <v>5000</v>
      </c>
    </row>
    <row r="4525" spans="1:9" x14ac:dyDescent="0.3">
      <c r="A4525" s="7" t="s">
        <v>4115</v>
      </c>
      <c r="H4525" s="8">
        <f>H4523+H4524</f>
        <v>5000</v>
      </c>
      <c r="I4525" s="8">
        <f>I4523+I4524</f>
        <v>5000</v>
      </c>
    </row>
    <row r="4526" spans="1:9" x14ac:dyDescent="0.3">
      <c r="A4526" s="4" t="s">
        <v>4116</v>
      </c>
    </row>
    <row r="4527" spans="1:9" x14ac:dyDescent="0.3">
      <c r="B4527" s="5" t="s">
        <v>4076</v>
      </c>
      <c r="C4527" s="5" t="s">
        <v>10</v>
      </c>
      <c r="D4527" s="5" t="s">
        <v>4117</v>
      </c>
      <c r="E4527" s="5" t="s">
        <v>4118</v>
      </c>
      <c r="F4527" s="5" t="s">
        <v>4119</v>
      </c>
      <c r="G4527" s="5" t="s">
        <v>4120</v>
      </c>
      <c r="H4527" s="6">
        <v>3250</v>
      </c>
      <c r="I4527" s="5"/>
    </row>
    <row r="4528" spans="1:9" x14ac:dyDescent="0.3">
      <c r="B4528" s="5" t="s">
        <v>4076</v>
      </c>
      <c r="C4528" s="5" t="s">
        <v>10</v>
      </c>
      <c r="D4528" s="5" t="s">
        <v>4117</v>
      </c>
      <c r="E4528" s="5" t="s">
        <v>4118</v>
      </c>
      <c r="F4528" s="5" t="s">
        <v>1643</v>
      </c>
      <c r="G4528" s="5" t="s">
        <v>1644</v>
      </c>
      <c r="H4528" s="5"/>
      <c r="I4528" s="6">
        <v>3250</v>
      </c>
    </row>
    <row r="4529" spans="1:9" x14ac:dyDescent="0.3">
      <c r="A4529" s="7" t="s">
        <v>4121</v>
      </c>
      <c r="H4529" s="8">
        <f>H4527+H4528</f>
        <v>3250</v>
      </c>
      <c r="I4529" s="8">
        <f>I4527+I4528</f>
        <v>3250</v>
      </c>
    </row>
    <row r="4530" spans="1:9" x14ac:dyDescent="0.3">
      <c r="A4530" s="4" t="s">
        <v>4122</v>
      </c>
    </row>
    <row r="4531" spans="1:9" x14ac:dyDescent="0.3">
      <c r="B4531" s="5" t="s">
        <v>4076</v>
      </c>
      <c r="C4531" s="5" t="s">
        <v>10</v>
      </c>
      <c r="D4531" s="5" t="s">
        <v>4123</v>
      </c>
      <c r="E4531" s="5" t="s">
        <v>4124</v>
      </c>
      <c r="F4531" s="5" t="s">
        <v>67</v>
      </c>
      <c r="G4531" s="5" t="s">
        <v>68</v>
      </c>
      <c r="H4531" s="6">
        <v>100</v>
      </c>
      <c r="I4531" s="5"/>
    </row>
    <row r="4532" spans="1:9" x14ac:dyDescent="0.3">
      <c r="B4532" s="5" t="s">
        <v>4076</v>
      </c>
      <c r="C4532" s="5" t="s">
        <v>10</v>
      </c>
      <c r="D4532" s="5" t="s">
        <v>4123</v>
      </c>
      <c r="E4532" s="5" t="s">
        <v>4124</v>
      </c>
      <c r="F4532" s="5" t="s">
        <v>1643</v>
      </c>
      <c r="G4532" s="5" t="s">
        <v>1644</v>
      </c>
      <c r="H4532" s="5"/>
      <c r="I4532" s="6">
        <v>100</v>
      </c>
    </row>
    <row r="4533" spans="1:9" x14ac:dyDescent="0.3">
      <c r="A4533" s="7" t="s">
        <v>4125</v>
      </c>
      <c r="H4533" s="8">
        <f>H4531+H4532</f>
        <v>100</v>
      </c>
      <c r="I4533" s="8">
        <f>I4531+I4532</f>
        <v>100</v>
      </c>
    </row>
    <row r="4534" spans="1:9" x14ac:dyDescent="0.3">
      <c r="A4534" s="4" t="s">
        <v>4126</v>
      </c>
    </row>
    <row r="4535" spans="1:9" x14ac:dyDescent="0.3">
      <c r="B4535" s="5" t="s">
        <v>4076</v>
      </c>
      <c r="C4535" s="5" t="s">
        <v>10</v>
      </c>
      <c r="D4535" s="5" t="s">
        <v>4127</v>
      </c>
      <c r="E4535" s="5" t="s">
        <v>4128</v>
      </c>
      <c r="F4535" s="5" t="s">
        <v>867</v>
      </c>
      <c r="G4535" s="5" t="s">
        <v>868</v>
      </c>
      <c r="H4535" s="6">
        <v>212</v>
      </c>
      <c r="I4535" s="5"/>
    </row>
    <row r="4536" spans="1:9" x14ac:dyDescent="0.3">
      <c r="B4536" s="5" t="s">
        <v>4076</v>
      </c>
      <c r="C4536" s="5" t="s">
        <v>10</v>
      </c>
      <c r="D4536" s="5" t="s">
        <v>4127</v>
      </c>
      <c r="E4536" s="5" t="s">
        <v>4128</v>
      </c>
      <c r="F4536" s="5" t="s">
        <v>2729</v>
      </c>
      <c r="G4536" s="5" t="s">
        <v>2730</v>
      </c>
      <c r="H4536" s="5"/>
      <c r="I4536" s="6">
        <v>212</v>
      </c>
    </row>
    <row r="4537" spans="1:9" x14ac:dyDescent="0.3">
      <c r="B4537" s="5" t="s">
        <v>4076</v>
      </c>
      <c r="C4537" s="5" t="s">
        <v>10</v>
      </c>
      <c r="D4537" s="5" t="s">
        <v>4127</v>
      </c>
      <c r="E4537" s="5" t="s">
        <v>4129</v>
      </c>
      <c r="F4537" s="5" t="s">
        <v>867</v>
      </c>
      <c r="G4537" s="5" t="s">
        <v>868</v>
      </c>
      <c r="H4537" s="6">
        <v>356</v>
      </c>
      <c r="I4537" s="5"/>
    </row>
    <row r="4538" spans="1:9" x14ac:dyDescent="0.3">
      <c r="B4538" s="5" t="s">
        <v>4076</v>
      </c>
      <c r="C4538" s="5" t="s">
        <v>10</v>
      </c>
      <c r="D4538" s="5" t="s">
        <v>4127</v>
      </c>
      <c r="E4538" s="5" t="s">
        <v>4129</v>
      </c>
      <c r="F4538" s="5" t="s">
        <v>2729</v>
      </c>
      <c r="G4538" s="5" t="s">
        <v>2730</v>
      </c>
      <c r="H4538" s="5"/>
      <c r="I4538" s="6">
        <v>356</v>
      </c>
    </row>
    <row r="4539" spans="1:9" x14ac:dyDescent="0.3">
      <c r="A4539" s="7" t="s">
        <v>4130</v>
      </c>
      <c r="H4539" s="8">
        <f>H4535+H4536+H4537+H4538</f>
        <v>568</v>
      </c>
      <c r="I4539" s="8">
        <f>I4535+I4536+I4537+I4538</f>
        <v>568</v>
      </c>
    </row>
    <row r="4540" spans="1:9" x14ac:dyDescent="0.3">
      <c r="A4540" s="4" t="s">
        <v>4131</v>
      </c>
    </row>
    <row r="4541" spans="1:9" x14ac:dyDescent="0.3">
      <c r="B4541" s="5" t="s">
        <v>4076</v>
      </c>
      <c r="C4541" s="5" t="s">
        <v>10</v>
      </c>
      <c r="D4541" s="5" t="s">
        <v>4132</v>
      </c>
      <c r="E4541" s="5" t="s">
        <v>4133</v>
      </c>
      <c r="F4541" s="5" t="s">
        <v>61</v>
      </c>
      <c r="G4541" s="5" t="s">
        <v>62</v>
      </c>
      <c r="H4541" s="6">
        <v>360</v>
      </c>
      <c r="I4541" s="5"/>
    </row>
    <row r="4542" spans="1:9" x14ac:dyDescent="0.3">
      <c r="B4542" s="5" t="s">
        <v>4076</v>
      </c>
      <c r="C4542" s="5" t="s">
        <v>10</v>
      </c>
      <c r="D4542" s="5" t="s">
        <v>4132</v>
      </c>
      <c r="E4542" s="5" t="s">
        <v>4133</v>
      </c>
      <c r="F4542" s="5" t="s">
        <v>1643</v>
      </c>
      <c r="G4542" s="5" t="s">
        <v>1644</v>
      </c>
      <c r="H4542" s="5"/>
      <c r="I4542" s="6">
        <v>360</v>
      </c>
    </row>
    <row r="4543" spans="1:9" x14ac:dyDescent="0.3">
      <c r="B4543" s="5" t="s">
        <v>4076</v>
      </c>
      <c r="C4543" s="5" t="s">
        <v>10</v>
      </c>
      <c r="D4543" s="5" t="s">
        <v>4132</v>
      </c>
      <c r="E4543" s="5" t="s">
        <v>559</v>
      </c>
      <c r="F4543" s="5" t="s">
        <v>113</v>
      </c>
      <c r="G4543" s="5" t="s">
        <v>114</v>
      </c>
      <c r="H4543" s="6">
        <v>740</v>
      </c>
      <c r="I4543" s="5"/>
    </row>
    <row r="4544" spans="1:9" x14ac:dyDescent="0.3">
      <c r="B4544" s="5" t="s">
        <v>4076</v>
      </c>
      <c r="C4544" s="5" t="s">
        <v>10</v>
      </c>
      <c r="D4544" s="5" t="s">
        <v>4132</v>
      </c>
      <c r="E4544" s="5" t="s">
        <v>559</v>
      </c>
      <c r="F4544" s="5" t="s">
        <v>1643</v>
      </c>
      <c r="G4544" s="5" t="s">
        <v>1644</v>
      </c>
      <c r="H4544" s="5"/>
      <c r="I4544" s="6">
        <v>740</v>
      </c>
    </row>
    <row r="4545" spans="1:9" x14ac:dyDescent="0.3">
      <c r="B4545" s="5" t="s">
        <v>4076</v>
      </c>
      <c r="C4545" s="5" t="s">
        <v>10</v>
      </c>
      <c r="D4545" s="5" t="s">
        <v>4132</v>
      </c>
      <c r="E4545" s="5" t="s">
        <v>4133</v>
      </c>
      <c r="F4545" s="5" t="s">
        <v>61</v>
      </c>
      <c r="G4545" s="5" t="s">
        <v>62</v>
      </c>
      <c r="H4545" s="6">
        <v>450</v>
      </c>
      <c r="I4545" s="5"/>
    </row>
    <row r="4546" spans="1:9" x14ac:dyDescent="0.3">
      <c r="B4546" s="5" t="s">
        <v>4076</v>
      </c>
      <c r="C4546" s="5" t="s">
        <v>10</v>
      </c>
      <c r="D4546" s="5" t="s">
        <v>4132</v>
      </c>
      <c r="E4546" s="5" t="s">
        <v>4133</v>
      </c>
      <c r="F4546" s="5" t="s">
        <v>1643</v>
      </c>
      <c r="G4546" s="5" t="s">
        <v>1644</v>
      </c>
      <c r="H4546" s="5"/>
      <c r="I4546" s="6">
        <v>450</v>
      </c>
    </row>
    <row r="4547" spans="1:9" x14ac:dyDescent="0.3">
      <c r="A4547" s="7" t="s">
        <v>4134</v>
      </c>
      <c r="H4547" s="8">
        <f>H4541+H4542+H4543+H4544+H4545+H4546</f>
        <v>1550</v>
      </c>
      <c r="I4547" s="8">
        <f>I4541+I4542+I4543+I4544+I4545+I4546</f>
        <v>1550</v>
      </c>
    </row>
    <row r="4548" spans="1:9" x14ac:dyDescent="0.3">
      <c r="A4548" s="4" t="s">
        <v>4135</v>
      </c>
    </row>
    <row r="4549" spans="1:9" x14ac:dyDescent="0.3">
      <c r="B4549" s="5" t="s">
        <v>4076</v>
      </c>
      <c r="C4549" s="5" t="s">
        <v>844</v>
      </c>
      <c r="D4549" s="5" t="s">
        <v>4136</v>
      </c>
      <c r="E4549" s="5" t="s">
        <v>2750</v>
      </c>
      <c r="F4549" s="5" t="s">
        <v>847</v>
      </c>
      <c r="G4549" s="5" t="s">
        <v>848</v>
      </c>
      <c r="H4549" s="6">
        <v>464000</v>
      </c>
      <c r="I4549" s="5"/>
    </row>
    <row r="4550" spans="1:9" x14ac:dyDescent="0.3">
      <c r="B4550" s="5" t="s">
        <v>4076</v>
      </c>
      <c r="C4550" s="5" t="s">
        <v>844</v>
      </c>
      <c r="D4550" s="5" t="s">
        <v>4136</v>
      </c>
      <c r="E4550" s="5" t="s">
        <v>2987</v>
      </c>
      <c r="F4550" s="5" t="s">
        <v>831</v>
      </c>
      <c r="G4550" s="5" t="s">
        <v>832</v>
      </c>
      <c r="H4550" s="5"/>
      <c r="I4550" s="6">
        <v>400000</v>
      </c>
    </row>
    <row r="4551" spans="1:9" x14ac:dyDescent="0.3">
      <c r="B4551" s="5" t="s">
        <v>4076</v>
      </c>
      <c r="C4551" s="5" t="s">
        <v>844</v>
      </c>
      <c r="D4551" s="5" t="s">
        <v>4136</v>
      </c>
      <c r="E4551" s="5" t="s">
        <v>1993</v>
      </c>
      <c r="F4551" s="5" t="s">
        <v>867</v>
      </c>
      <c r="G4551" s="5" t="s">
        <v>868</v>
      </c>
      <c r="H4551" s="5"/>
      <c r="I4551" s="6">
        <v>64000</v>
      </c>
    </row>
    <row r="4552" spans="1:9" x14ac:dyDescent="0.3">
      <c r="A4552" s="7" t="s">
        <v>4137</v>
      </c>
      <c r="H4552" s="8">
        <f>H4549+H4550+H4551</f>
        <v>464000</v>
      </c>
      <c r="I4552" s="8">
        <f>I4549+I4550+I4551</f>
        <v>464000</v>
      </c>
    </row>
    <row r="4553" spans="1:9" x14ac:dyDescent="0.3">
      <c r="A4553" s="4" t="s">
        <v>4138</v>
      </c>
    </row>
    <row r="4554" spans="1:9" x14ac:dyDescent="0.3">
      <c r="B4554" s="5" t="s">
        <v>4076</v>
      </c>
      <c r="C4554" s="5" t="s">
        <v>2745</v>
      </c>
      <c r="D4554" s="5" t="s">
        <v>2750</v>
      </c>
      <c r="E4554" s="5" t="s">
        <v>4139</v>
      </c>
      <c r="F4554" s="5" t="s">
        <v>2748</v>
      </c>
      <c r="G4554" s="5" t="s">
        <v>2749</v>
      </c>
      <c r="H4554" s="6">
        <v>1980</v>
      </c>
      <c r="I4554" s="5"/>
    </row>
    <row r="4555" spans="1:9" x14ac:dyDescent="0.3">
      <c r="B4555" s="5" t="s">
        <v>4076</v>
      </c>
      <c r="C4555" s="5" t="s">
        <v>2745</v>
      </c>
      <c r="D4555" s="5" t="s">
        <v>2750</v>
      </c>
      <c r="E4555" s="5" t="s">
        <v>2750</v>
      </c>
      <c r="F4555" s="5" t="s">
        <v>847</v>
      </c>
      <c r="G4555" s="5" t="s">
        <v>848</v>
      </c>
      <c r="H4555" s="5"/>
      <c r="I4555" s="6">
        <v>1980</v>
      </c>
    </row>
    <row r="4556" spans="1:9" x14ac:dyDescent="0.3">
      <c r="A4556" s="7" t="s">
        <v>4140</v>
      </c>
      <c r="H4556" s="8">
        <f>H4554+H4555</f>
        <v>1980</v>
      </c>
      <c r="I4556" s="8">
        <f>I4554+I4555</f>
        <v>1980</v>
      </c>
    </row>
    <row r="4557" spans="1:9" x14ac:dyDescent="0.3">
      <c r="A4557" s="4" t="s">
        <v>4141</v>
      </c>
    </row>
    <row r="4558" spans="1:9" x14ac:dyDescent="0.3">
      <c r="B4558" s="5" t="s">
        <v>4142</v>
      </c>
      <c r="C4558" s="5" t="s">
        <v>10</v>
      </c>
      <c r="D4558" s="5" t="s">
        <v>4143</v>
      </c>
      <c r="E4558" s="5" t="s">
        <v>4144</v>
      </c>
      <c r="F4558" s="5" t="s">
        <v>129</v>
      </c>
      <c r="G4558" s="5" t="s">
        <v>130</v>
      </c>
      <c r="H4558" s="6">
        <v>440</v>
      </c>
      <c r="I4558" s="5"/>
    </row>
    <row r="4559" spans="1:9" x14ac:dyDescent="0.3">
      <c r="B4559" s="5" t="s">
        <v>4142</v>
      </c>
      <c r="C4559" s="5" t="s">
        <v>10</v>
      </c>
      <c r="D4559" s="5" t="s">
        <v>4143</v>
      </c>
      <c r="E4559" s="5" t="s">
        <v>4144</v>
      </c>
      <c r="F4559" s="5" t="s">
        <v>1643</v>
      </c>
      <c r="G4559" s="5" t="s">
        <v>1644</v>
      </c>
      <c r="H4559" s="5"/>
      <c r="I4559" s="6">
        <v>440</v>
      </c>
    </row>
    <row r="4560" spans="1:9" x14ac:dyDescent="0.3">
      <c r="B4560" s="5" t="s">
        <v>4142</v>
      </c>
      <c r="C4560" s="5" t="s">
        <v>10</v>
      </c>
      <c r="D4560" s="5" t="s">
        <v>4143</v>
      </c>
      <c r="E4560" s="5" t="s">
        <v>533</v>
      </c>
      <c r="F4560" s="5" t="s">
        <v>61</v>
      </c>
      <c r="G4560" s="5" t="s">
        <v>62</v>
      </c>
      <c r="H4560" s="6">
        <v>650</v>
      </c>
      <c r="I4560" s="5"/>
    </row>
    <row r="4561" spans="1:9" x14ac:dyDescent="0.3">
      <c r="B4561" s="5" t="s">
        <v>4142</v>
      </c>
      <c r="C4561" s="5" t="s">
        <v>10</v>
      </c>
      <c r="D4561" s="5" t="s">
        <v>4143</v>
      </c>
      <c r="E4561" s="5" t="s">
        <v>533</v>
      </c>
      <c r="F4561" s="5" t="s">
        <v>1643</v>
      </c>
      <c r="G4561" s="5" t="s">
        <v>1644</v>
      </c>
      <c r="H4561" s="5"/>
      <c r="I4561" s="6">
        <v>650</v>
      </c>
    </row>
    <row r="4562" spans="1:9" x14ac:dyDescent="0.3">
      <c r="A4562" s="7" t="s">
        <v>4145</v>
      </c>
      <c r="H4562" s="8">
        <f>H4558+H4559+H4560+H4561</f>
        <v>1090</v>
      </c>
      <c r="I4562" s="8">
        <f>I4558+I4559+I4560+I4561</f>
        <v>1090</v>
      </c>
    </row>
    <row r="4563" spans="1:9" x14ac:dyDescent="0.3">
      <c r="A4563" s="4" t="s">
        <v>4146</v>
      </c>
    </row>
    <row r="4564" spans="1:9" x14ac:dyDescent="0.3">
      <c r="B4564" s="5" t="s">
        <v>4142</v>
      </c>
      <c r="C4564" s="5" t="s">
        <v>10</v>
      </c>
      <c r="D4564" s="5" t="s">
        <v>4147</v>
      </c>
      <c r="E4564" s="5" t="s">
        <v>4148</v>
      </c>
      <c r="F4564" s="5" t="s">
        <v>867</v>
      </c>
      <c r="G4564" s="5" t="s">
        <v>868</v>
      </c>
      <c r="H4564" s="6">
        <v>266</v>
      </c>
      <c r="I4564" s="5"/>
    </row>
    <row r="4565" spans="1:9" x14ac:dyDescent="0.3">
      <c r="B4565" s="5" t="s">
        <v>4142</v>
      </c>
      <c r="C4565" s="5" t="s">
        <v>10</v>
      </c>
      <c r="D4565" s="5" t="s">
        <v>4147</v>
      </c>
      <c r="E4565" s="5" t="s">
        <v>4148</v>
      </c>
      <c r="F4565" s="5" t="s">
        <v>2729</v>
      </c>
      <c r="G4565" s="5" t="s">
        <v>2730</v>
      </c>
      <c r="H4565" s="5"/>
      <c r="I4565" s="6">
        <v>266</v>
      </c>
    </row>
    <row r="4566" spans="1:9" x14ac:dyDescent="0.3">
      <c r="B4566" s="5" t="s">
        <v>4142</v>
      </c>
      <c r="C4566" s="5" t="s">
        <v>10</v>
      </c>
      <c r="D4566" s="5" t="s">
        <v>4147</v>
      </c>
      <c r="E4566" s="5" t="s">
        <v>4149</v>
      </c>
      <c r="F4566" s="5" t="s">
        <v>867</v>
      </c>
      <c r="G4566" s="5" t="s">
        <v>868</v>
      </c>
      <c r="H4566" s="6">
        <v>1417</v>
      </c>
      <c r="I4566" s="5"/>
    </row>
    <row r="4567" spans="1:9" x14ac:dyDescent="0.3">
      <c r="B4567" s="5" t="s">
        <v>4142</v>
      </c>
      <c r="C4567" s="5" t="s">
        <v>10</v>
      </c>
      <c r="D4567" s="5" t="s">
        <v>4147</v>
      </c>
      <c r="E4567" s="5" t="s">
        <v>4149</v>
      </c>
      <c r="F4567" s="5" t="s">
        <v>2729</v>
      </c>
      <c r="G4567" s="5" t="s">
        <v>2730</v>
      </c>
      <c r="H4567" s="5"/>
      <c r="I4567" s="6">
        <v>1417</v>
      </c>
    </row>
    <row r="4568" spans="1:9" x14ac:dyDescent="0.3">
      <c r="A4568" s="7" t="s">
        <v>4150</v>
      </c>
      <c r="H4568" s="8">
        <f>H4564+H4565+H4566+H4567</f>
        <v>1683</v>
      </c>
      <c r="I4568" s="8">
        <f>I4564+I4565+I4566+I4567</f>
        <v>1683</v>
      </c>
    </row>
    <row r="4569" spans="1:9" x14ac:dyDescent="0.3">
      <c r="A4569" s="4" t="s">
        <v>4151</v>
      </c>
    </row>
    <row r="4570" spans="1:9" x14ac:dyDescent="0.3">
      <c r="B4570" s="5" t="s">
        <v>4142</v>
      </c>
      <c r="C4570" s="5" t="s">
        <v>2745</v>
      </c>
      <c r="D4570" s="5" t="s">
        <v>2750</v>
      </c>
      <c r="E4570" s="5" t="s">
        <v>3315</v>
      </c>
      <c r="F4570" s="5" t="s">
        <v>2748</v>
      </c>
      <c r="G4570" s="5" t="s">
        <v>2749</v>
      </c>
      <c r="H4570" s="6">
        <v>1480</v>
      </c>
      <c r="I4570" s="5"/>
    </row>
    <row r="4571" spans="1:9" x14ac:dyDescent="0.3">
      <c r="B4571" s="5" t="s">
        <v>4142</v>
      </c>
      <c r="C4571" s="5" t="s">
        <v>2745</v>
      </c>
      <c r="D4571" s="5" t="s">
        <v>2750</v>
      </c>
      <c r="E4571" s="5" t="s">
        <v>2750</v>
      </c>
      <c r="F4571" s="5" t="s">
        <v>847</v>
      </c>
      <c r="G4571" s="5" t="s">
        <v>848</v>
      </c>
      <c r="H4571" s="5"/>
      <c r="I4571" s="6">
        <v>1480</v>
      </c>
    </row>
    <row r="4572" spans="1:9" x14ac:dyDescent="0.3">
      <c r="A4572" s="7" t="s">
        <v>4152</v>
      </c>
      <c r="H4572" s="8">
        <f>H4570+H4571</f>
        <v>1480</v>
      </c>
      <c r="I4572" s="8">
        <f>I4570+I4571</f>
        <v>1480</v>
      </c>
    </row>
    <row r="4573" spans="1:9" x14ac:dyDescent="0.3">
      <c r="A4573" s="4" t="s">
        <v>4153</v>
      </c>
    </row>
    <row r="4574" spans="1:9" x14ac:dyDescent="0.3">
      <c r="B4574" s="5" t="s">
        <v>4142</v>
      </c>
      <c r="C4574" s="5" t="s">
        <v>2745</v>
      </c>
      <c r="D4574" s="5" t="s">
        <v>2750</v>
      </c>
      <c r="E4574" s="5" t="s">
        <v>2750</v>
      </c>
      <c r="F4574" s="5" t="s">
        <v>2748</v>
      </c>
      <c r="G4574" s="5" t="s">
        <v>2749</v>
      </c>
      <c r="H4574" s="6">
        <v>7870</v>
      </c>
      <c r="I4574" s="5"/>
    </row>
    <row r="4575" spans="1:9" x14ac:dyDescent="0.3">
      <c r="B4575" s="5" t="s">
        <v>4142</v>
      </c>
      <c r="C4575" s="5" t="s">
        <v>2745</v>
      </c>
      <c r="D4575" s="5" t="s">
        <v>2750</v>
      </c>
      <c r="E4575" s="5" t="s">
        <v>2750</v>
      </c>
      <c r="F4575" s="5" t="s">
        <v>847</v>
      </c>
      <c r="G4575" s="5" t="s">
        <v>848</v>
      </c>
      <c r="H4575" s="5"/>
      <c r="I4575" s="6">
        <v>7870</v>
      </c>
    </row>
    <row r="4576" spans="1:9" x14ac:dyDescent="0.3">
      <c r="A4576" s="7" t="s">
        <v>4154</v>
      </c>
      <c r="H4576" s="8">
        <f>H4574+H4575</f>
        <v>7870</v>
      </c>
      <c r="I4576" s="8">
        <f>I4574+I4575</f>
        <v>7870</v>
      </c>
    </row>
    <row r="4577" spans="1:9" x14ac:dyDescent="0.3">
      <c r="A4577" s="4" t="s">
        <v>4155</v>
      </c>
    </row>
    <row r="4578" spans="1:9" x14ac:dyDescent="0.3">
      <c r="B4578" s="5" t="s">
        <v>4156</v>
      </c>
      <c r="C4578" s="5" t="s">
        <v>10</v>
      </c>
      <c r="D4578" s="5" t="s">
        <v>4157</v>
      </c>
      <c r="E4578" s="5" t="s">
        <v>533</v>
      </c>
      <c r="F4578" s="5" t="s">
        <v>61</v>
      </c>
      <c r="G4578" s="5" t="s">
        <v>62</v>
      </c>
      <c r="H4578" s="6">
        <v>150</v>
      </c>
      <c r="I4578" s="5"/>
    </row>
    <row r="4579" spans="1:9" x14ac:dyDescent="0.3">
      <c r="B4579" s="5" t="s">
        <v>4156</v>
      </c>
      <c r="C4579" s="5" t="s">
        <v>10</v>
      </c>
      <c r="D4579" s="5" t="s">
        <v>4157</v>
      </c>
      <c r="E4579" s="5" t="s">
        <v>533</v>
      </c>
      <c r="F4579" s="5" t="s">
        <v>1643</v>
      </c>
      <c r="G4579" s="5" t="s">
        <v>1644</v>
      </c>
      <c r="H4579" s="5"/>
      <c r="I4579" s="6">
        <v>150</v>
      </c>
    </row>
    <row r="4580" spans="1:9" x14ac:dyDescent="0.3">
      <c r="A4580" s="7" t="s">
        <v>4158</v>
      </c>
      <c r="H4580" s="8">
        <f>H4578+H4579</f>
        <v>150</v>
      </c>
      <c r="I4580" s="8">
        <f>I4578+I4579</f>
        <v>150</v>
      </c>
    </row>
    <row r="4581" spans="1:9" x14ac:dyDescent="0.3">
      <c r="A4581" s="4" t="s">
        <v>4159</v>
      </c>
    </row>
    <row r="4582" spans="1:9" x14ac:dyDescent="0.3">
      <c r="B4582" s="5" t="s">
        <v>4156</v>
      </c>
      <c r="C4582" s="5" t="s">
        <v>10</v>
      </c>
      <c r="D4582" s="5" t="s">
        <v>4160</v>
      </c>
      <c r="E4582" s="5" t="s">
        <v>4161</v>
      </c>
      <c r="F4582" s="5" t="s">
        <v>2500</v>
      </c>
      <c r="G4582" s="5" t="s">
        <v>2501</v>
      </c>
      <c r="H4582" s="6">
        <v>100</v>
      </c>
      <c r="I4582" s="5"/>
    </row>
    <row r="4583" spans="1:9" x14ac:dyDescent="0.3">
      <c r="B4583" s="5" t="s">
        <v>4156</v>
      </c>
      <c r="C4583" s="5" t="s">
        <v>10</v>
      </c>
      <c r="D4583" s="5" t="s">
        <v>4160</v>
      </c>
      <c r="E4583" s="5" t="s">
        <v>4161</v>
      </c>
      <c r="F4583" s="5" t="s">
        <v>1643</v>
      </c>
      <c r="G4583" s="5" t="s">
        <v>1644</v>
      </c>
      <c r="H4583" s="5"/>
      <c r="I4583" s="6">
        <v>100</v>
      </c>
    </row>
    <row r="4584" spans="1:9" x14ac:dyDescent="0.3">
      <c r="A4584" s="7" t="s">
        <v>4162</v>
      </c>
      <c r="H4584" s="8">
        <f>H4582+H4583</f>
        <v>100</v>
      </c>
      <c r="I4584" s="8">
        <f>I4582+I4583</f>
        <v>100</v>
      </c>
    </row>
    <row r="4585" spans="1:9" x14ac:dyDescent="0.3">
      <c r="A4585" s="4" t="s">
        <v>4163</v>
      </c>
    </row>
    <row r="4586" spans="1:9" x14ac:dyDescent="0.3">
      <c r="B4586" s="5" t="s">
        <v>4156</v>
      </c>
      <c r="C4586" s="5" t="s">
        <v>10</v>
      </c>
      <c r="D4586" s="5" t="s">
        <v>4164</v>
      </c>
      <c r="E4586" s="5" t="s">
        <v>4165</v>
      </c>
      <c r="F4586" s="5" t="s">
        <v>13</v>
      </c>
      <c r="G4586" s="5" t="s">
        <v>14</v>
      </c>
      <c r="H4586" s="6">
        <v>500000</v>
      </c>
      <c r="I4586" s="5"/>
    </row>
    <row r="4587" spans="1:9" x14ac:dyDescent="0.3">
      <c r="B4587" s="5" t="s">
        <v>4156</v>
      </c>
      <c r="C4587" s="5" t="s">
        <v>10</v>
      </c>
      <c r="D4587" s="5" t="s">
        <v>4164</v>
      </c>
      <c r="E4587" s="5" t="s">
        <v>4165</v>
      </c>
      <c r="F4587" s="5" t="s">
        <v>3962</v>
      </c>
      <c r="G4587" s="5" t="s">
        <v>3963</v>
      </c>
      <c r="H4587" s="5"/>
      <c r="I4587" s="6">
        <v>500000</v>
      </c>
    </row>
    <row r="4588" spans="1:9" x14ac:dyDescent="0.3">
      <c r="A4588" s="7" t="s">
        <v>4166</v>
      </c>
      <c r="H4588" s="8">
        <f>H4586+H4587</f>
        <v>500000</v>
      </c>
      <c r="I4588" s="8">
        <f>I4586+I4587</f>
        <v>500000</v>
      </c>
    </row>
    <row r="4589" spans="1:9" x14ac:dyDescent="0.3">
      <c r="A4589" s="4" t="s">
        <v>4167</v>
      </c>
    </row>
    <row r="4590" spans="1:9" x14ac:dyDescent="0.3">
      <c r="B4590" s="5" t="s">
        <v>4156</v>
      </c>
      <c r="C4590" s="5" t="s">
        <v>10</v>
      </c>
      <c r="D4590" s="5" t="s">
        <v>4168</v>
      </c>
      <c r="E4590" s="5" t="s">
        <v>4073</v>
      </c>
      <c r="F4590" s="5" t="s">
        <v>13</v>
      </c>
      <c r="G4590" s="5" t="s">
        <v>14</v>
      </c>
      <c r="H4590" s="6">
        <v>57320</v>
      </c>
      <c r="I4590" s="5"/>
    </row>
    <row r="4591" spans="1:9" x14ac:dyDescent="0.3">
      <c r="B4591" s="5" t="s">
        <v>4156</v>
      </c>
      <c r="C4591" s="5" t="s">
        <v>10</v>
      </c>
      <c r="D4591" s="5" t="s">
        <v>4168</v>
      </c>
      <c r="E4591" s="5" t="s">
        <v>4073</v>
      </c>
      <c r="F4591" s="5" t="s">
        <v>3962</v>
      </c>
      <c r="G4591" s="5" t="s">
        <v>3963</v>
      </c>
      <c r="H4591" s="5"/>
      <c r="I4591" s="6">
        <v>57320</v>
      </c>
    </row>
    <row r="4592" spans="1:9" x14ac:dyDescent="0.3">
      <c r="A4592" s="7" t="s">
        <v>4169</v>
      </c>
      <c r="H4592" s="8">
        <f>H4590+H4591</f>
        <v>57320</v>
      </c>
      <c r="I4592" s="8">
        <f>I4590+I4591</f>
        <v>57320</v>
      </c>
    </row>
    <row r="4593" spans="1:9" x14ac:dyDescent="0.3">
      <c r="A4593" s="4" t="s">
        <v>4170</v>
      </c>
    </row>
    <row r="4594" spans="1:9" x14ac:dyDescent="0.3">
      <c r="B4594" s="5" t="s">
        <v>4156</v>
      </c>
      <c r="C4594" s="5" t="s">
        <v>10</v>
      </c>
      <c r="D4594" s="5" t="s">
        <v>4171</v>
      </c>
      <c r="E4594" s="5" t="s">
        <v>4172</v>
      </c>
      <c r="F4594" s="5" t="s">
        <v>67</v>
      </c>
      <c r="G4594" s="5" t="s">
        <v>68</v>
      </c>
      <c r="H4594" s="6">
        <v>500</v>
      </c>
      <c r="I4594" s="5"/>
    </row>
    <row r="4595" spans="1:9" x14ac:dyDescent="0.3">
      <c r="B4595" s="5" t="s">
        <v>4156</v>
      </c>
      <c r="C4595" s="5" t="s">
        <v>10</v>
      </c>
      <c r="D4595" s="5" t="s">
        <v>4171</v>
      </c>
      <c r="E4595" s="5" t="s">
        <v>4172</v>
      </c>
      <c r="F4595" s="5" t="s">
        <v>1643</v>
      </c>
      <c r="G4595" s="5" t="s">
        <v>1644</v>
      </c>
      <c r="H4595" s="5"/>
      <c r="I4595" s="6">
        <v>500</v>
      </c>
    </row>
    <row r="4596" spans="1:9" x14ac:dyDescent="0.3">
      <c r="A4596" s="7" t="s">
        <v>4173</v>
      </c>
      <c r="H4596" s="8">
        <f>H4594+H4595</f>
        <v>500</v>
      </c>
      <c r="I4596" s="8">
        <f>I4594+I4595</f>
        <v>500</v>
      </c>
    </row>
    <row r="4597" spans="1:9" x14ac:dyDescent="0.3">
      <c r="A4597" s="4" t="s">
        <v>4174</v>
      </c>
    </row>
    <row r="4598" spans="1:9" x14ac:dyDescent="0.3">
      <c r="B4598" s="5" t="s">
        <v>4156</v>
      </c>
      <c r="C4598" s="5" t="s">
        <v>10</v>
      </c>
      <c r="D4598" s="5" t="s">
        <v>4175</v>
      </c>
      <c r="E4598" s="5" t="s">
        <v>4176</v>
      </c>
      <c r="F4598" s="5" t="s">
        <v>67</v>
      </c>
      <c r="G4598" s="5" t="s">
        <v>68</v>
      </c>
      <c r="H4598" s="6">
        <v>50</v>
      </c>
      <c r="I4598" s="5"/>
    </row>
    <row r="4599" spans="1:9" x14ac:dyDescent="0.3">
      <c r="B4599" s="5" t="s">
        <v>4156</v>
      </c>
      <c r="C4599" s="5" t="s">
        <v>10</v>
      </c>
      <c r="D4599" s="5" t="s">
        <v>4175</v>
      </c>
      <c r="E4599" s="5" t="s">
        <v>4176</v>
      </c>
      <c r="F4599" s="5" t="s">
        <v>1643</v>
      </c>
      <c r="G4599" s="5" t="s">
        <v>1644</v>
      </c>
      <c r="H4599" s="5"/>
      <c r="I4599" s="6">
        <v>50</v>
      </c>
    </row>
    <row r="4600" spans="1:9" x14ac:dyDescent="0.3">
      <c r="B4600" s="5" t="s">
        <v>4156</v>
      </c>
      <c r="C4600" s="5" t="s">
        <v>10</v>
      </c>
      <c r="D4600" s="5" t="s">
        <v>4175</v>
      </c>
      <c r="E4600" s="5" t="s">
        <v>4177</v>
      </c>
      <c r="F4600" s="5" t="s">
        <v>113</v>
      </c>
      <c r="G4600" s="5" t="s">
        <v>114</v>
      </c>
      <c r="H4600" s="6">
        <v>680</v>
      </c>
      <c r="I4600" s="5"/>
    </row>
    <row r="4601" spans="1:9" x14ac:dyDescent="0.3">
      <c r="B4601" s="5" t="s">
        <v>4156</v>
      </c>
      <c r="C4601" s="5" t="s">
        <v>10</v>
      </c>
      <c r="D4601" s="5" t="s">
        <v>4175</v>
      </c>
      <c r="E4601" s="5" t="s">
        <v>4177</v>
      </c>
      <c r="F4601" s="5" t="s">
        <v>1643</v>
      </c>
      <c r="G4601" s="5" t="s">
        <v>1644</v>
      </c>
      <c r="H4601" s="5"/>
      <c r="I4601" s="6">
        <v>680</v>
      </c>
    </row>
    <row r="4602" spans="1:9" x14ac:dyDescent="0.3">
      <c r="A4602" s="7" t="s">
        <v>4178</v>
      </c>
      <c r="H4602" s="8">
        <f>H4598+H4599+H4600+H4601</f>
        <v>730</v>
      </c>
      <c r="I4602" s="8">
        <f>I4598+I4599+I4600+I4601</f>
        <v>730</v>
      </c>
    </row>
    <row r="4603" spans="1:9" x14ac:dyDescent="0.3">
      <c r="A4603" s="4" t="s">
        <v>4179</v>
      </c>
    </row>
    <row r="4604" spans="1:9" x14ac:dyDescent="0.3">
      <c r="B4604" s="5" t="s">
        <v>4180</v>
      </c>
      <c r="C4604" s="5" t="s">
        <v>10</v>
      </c>
      <c r="D4604" s="5" t="s">
        <v>4181</v>
      </c>
      <c r="E4604" s="5" t="s">
        <v>4182</v>
      </c>
      <c r="F4604" s="5" t="s">
        <v>3901</v>
      </c>
      <c r="G4604" s="5" t="s">
        <v>3902</v>
      </c>
      <c r="H4604" s="6">
        <v>4000000</v>
      </c>
      <c r="I4604" s="5"/>
    </row>
    <row r="4605" spans="1:9" x14ac:dyDescent="0.3">
      <c r="B4605" s="5" t="s">
        <v>4180</v>
      </c>
      <c r="C4605" s="5" t="s">
        <v>10</v>
      </c>
      <c r="D4605" s="5" t="s">
        <v>4181</v>
      </c>
      <c r="E4605" s="5" t="s">
        <v>4182</v>
      </c>
      <c r="F4605" s="5" t="s">
        <v>13</v>
      </c>
      <c r="G4605" s="5" t="s">
        <v>14</v>
      </c>
      <c r="H4605" s="5"/>
      <c r="I4605" s="6">
        <v>4000000</v>
      </c>
    </row>
    <row r="4606" spans="1:9" x14ac:dyDescent="0.3">
      <c r="B4606" s="5" t="s">
        <v>4180</v>
      </c>
      <c r="C4606" s="5" t="s">
        <v>10</v>
      </c>
      <c r="D4606" s="5" t="s">
        <v>4181</v>
      </c>
      <c r="E4606" s="5" t="s">
        <v>4183</v>
      </c>
      <c r="F4606" s="5" t="s">
        <v>13</v>
      </c>
      <c r="G4606" s="5" t="s">
        <v>14</v>
      </c>
      <c r="H4606" s="6">
        <v>1400000</v>
      </c>
      <c r="I4606" s="5"/>
    </row>
    <row r="4607" spans="1:9" x14ac:dyDescent="0.3">
      <c r="B4607" s="5" t="s">
        <v>4180</v>
      </c>
      <c r="C4607" s="5" t="s">
        <v>10</v>
      </c>
      <c r="D4607" s="5" t="s">
        <v>4181</v>
      </c>
      <c r="E4607" s="5" t="s">
        <v>4183</v>
      </c>
      <c r="F4607" s="5" t="s">
        <v>3962</v>
      </c>
      <c r="G4607" s="5" t="s">
        <v>3963</v>
      </c>
      <c r="H4607" s="5"/>
      <c r="I4607" s="6">
        <v>1400000</v>
      </c>
    </row>
    <row r="4608" spans="1:9" x14ac:dyDescent="0.3">
      <c r="A4608" s="7" t="s">
        <v>4184</v>
      </c>
      <c r="H4608" s="8">
        <f>H4604+H4605+H4606+H4607</f>
        <v>5400000</v>
      </c>
      <c r="I4608" s="8">
        <f>I4604+I4605+I4606+I4607</f>
        <v>5400000</v>
      </c>
    </row>
    <row r="4609" spans="1:9" x14ac:dyDescent="0.3">
      <c r="A4609" s="4" t="s">
        <v>4185</v>
      </c>
    </row>
    <row r="4610" spans="1:9" x14ac:dyDescent="0.3">
      <c r="B4610" s="5" t="s">
        <v>4180</v>
      </c>
      <c r="C4610" s="5" t="s">
        <v>10</v>
      </c>
      <c r="D4610" s="5" t="s">
        <v>4186</v>
      </c>
      <c r="E4610" s="5" t="s">
        <v>4187</v>
      </c>
      <c r="F4610" s="5" t="s">
        <v>867</v>
      </c>
      <c r="G4610" s="5" t="s">
        <v>868</v>
      </c>
      <c r="H4610" s="6">
        <v>621</v>
      </c>
      <c r="I4610" s="5"/>
    </row>
    <row r="4611" spans="1:9" x14ac:dyDescent="0.3">
      <c r="B4611" s="5" t="s">
        <v>4180</v>
      </c>
      <c r="C4611" s="5" t="s">
        <v>10</v>
      </c>
      <c r="D4611" s="5" t="s">
        <v>4186</v>
      </c>
      <c r="E4611" s="5" t="s">
        <v>4187</v>
      </c>
      <c r="F4611" s="5" t="s">
        <v>2729</v>
      </c>
      <c r="G4611" s="5" t="s">
        <v>2730</v>
      </c>
      <c r="H4611" s="5"/>
      <c r="I4611" s="6">
        <v>621</v>
      </c>
    </row>
    <row r="4612" spans="1:9" x14ac:dyDescent="0.3">
      <c r="B4612" s="5" t="s">
        <v>4180</v>
      </c>
      <c r="C4612" s="5" t="s">
        <v>10</v>
      </c>
      <c r="D4612" s="5" t="s">
        <v>4186</v>
      </c>
      <c r="E4612" s="5" t="s">
        <v>4188</v>
      </c>
      <c r="F4612" s="5" t="s">
        <v>867</v>
      </c>
      <c r="G4612" s="5" t="s">
        <v>868</v>
      </c>
      <c r="H4612" s="6">
        <v>1460</v>
      </c>
      <c r="I4612" s="5"/>
    </row>
    <row r="4613" spans="1:9" x14ac:dyDescent="0.3">
      <c r="B4613" s="5" t="s">
        <v>4180</v>
      </c>
      <c r="C4613" s="5" t="s">
        <v>10</v>
      </c>
      <c r="D4613" s="5" t="s">
        <v>4186</v>
      </c>
      <c r="E4613" s="5" t="s">
        <v>4188</v>
      </c>
      <c r="F4613" s="5" t="s">
        <v>2729</v>
      </c>
      <c r="G4613" s="5" t="s">
        <v>2730</v>
      </c>
      <c r="H4613" s="5"/>
      <c r="I4613" s="6">
        <v>1460</v>
      </c>
    </row>
    <row r="4614" spans="1:9" x14ac:dyDescent="0.3">
      <c r="A4614" s="7" t="s">
        <v>4189</v>
      </c>
      <c r="H4614" s="8">
        <f>H4610+H4611+H4612+H4613</f>
        <v>2081</v>
      </c>
      <c r="I4614" s="8">
        <f>I4610+I4611+I4612+I4613</f>
        <v>2081</v>
      </c>
    </row>
    <row r="4615" spans="1:9" x14ac:dyDescent="0.3">
      <c r="A4615" s="4" t="s">
        <v>4190</v>
      </c>
    </row>
    <row r="4616" spans="1:9" x14ac:dyDescent="0.3">
      <c r="B4616" s="5" t="s">
        <v>4180</v>
      </c>
      <c r="C4616" s="5" t="s">
        <v>10</v>
      </c>
      <c r="D4616" s="5" t="s">
        <v>4191</v>
      </c>
      <c r="E4616" s="5" t="s">
        <v>4192</v>
      </c>
      <c r="F4616" s="5" t="s">
        <v>831</v>
      </c>
      <c r="G4616" s="5" t="s">
        <v>832</v>
      </c>
      <c r="H4616" s="6">
        <v>175000</v>
      </c>
      <c r="I4616" s="5"/>
    </row>
    <row r="4617" spans="1:9" x14ac:dyDescent="0.3">
      <c r="B4617" s="5" t="s">
        <v>4180</v>
      </c>
      <c r="C4617" s="5" t="s">
        <v>10</v>
      </c>
      <c r="D4617" s="5" t="s">
        <v>4191</v>
      </c>
      <c r="E4617" s="5" t="s">
        <v>4193</v>
      </c>
      <c r="F4617" s="5" t="s">
        <v>831</v>
      </c>
      <c r="G4617" s="5" t="s">
        <v>832</v>
      </c>
      <c r="H4617" s="6">
        <v>300000</v>
      </c>
      <c r="I4617" s="5"/>
    </row>
    <row r="4618" spans="1:9" x14ac:dyDescent="0.3">
      <c r="B4618" s="5" t="s">
        <v>4180</v>
      </c>
      <c r="C4618" s="5" t="s">
        <v>10</v>
      </c>
      <c r="D4618" s="5" t="s">
        <v>4191</v>
      </c>
      <c r="E4618" s="5" t="s">
        <v>4194</v>
      </c>
      <c r="F4618" s="5" t="s">
        <v>831</v>
      </c>
      <c r="G4618" s="5" t="s">
        <v>832</v>
      </c>
      <c r="H4618" s="6">
        <v>300000</v>
      </c>
      <c r="I4618" s="5"/>
    </row>
    <row r="4619" spans="1:9" x14ac:dyDescent="0.3">
      <c r="B4619" s="5" t="s">
        <v>4180</v>
      </c>
      <c r="C4619" s="5" t="s">
        <v>10</v>
      </c>
      <c r="D4619" s="5" t="s">
        <v>4191</v>
      </c>
      <c r="E4619" s="5" t="s">
        <v>4195</v>
      </c>
      <c r="F4619" s="5" t="s">
        <v>831</v>
      </c>
      <c r="G4619" s="5" t="s">
        <v>832</v>
      </c>
      <c r="H4619" s="6">
        <v>600000</v>
      </c>
      <c r="I4619" s="5"/>
    </row>
    <row r="4620" spans="1:9" x14ac:dyDescent="0.3">
      <c r="B4620" s="5" t="s">
        <v>4180</v>
      </c>
      <c r="C4620" s="5" t="s">
        <v>10</v>
      </c>
      <c r="D4620" s="5" t="s">
        <v>4191</v>
      </c>
      <c r="E4620" s="5" t="s">
        <v>4196</v>
      </c>
      <c r="F4620" s="5" t="s">
        <v>831</v>
      </c>
      <c r="G4620" s="5" t="s">
        <v>832</v>
      </c>
      <c r="H4620" s="6">
        <v>90000</v>
      </c>
      <c r="I4620" s="5"/>
    </row>
    <row r="4621" spans="1:9" x14ac:dyDescent="0.3">
      <c r="B4621" s="5" t="s">
        <v>4180</v>
      </c>
      <c r="C4621" s="5" t="s">
        <v>10</v>
      </c>
      <c r="D4621" s="5" t="s">
        <v>4191</v>
      </c>
      <c r="E4621" s="5" t="s">
        <v>4197</v>
      </c>
      <c r="F4621" s="5" t="s">
        <v>831</v>
      </c>
      <c r="G4621" s="5" t="s">
        <v>832</v>
      </c>
      <c r="H4621" s="6">
        <v>120000</v>
      </c>
      <c r="I4621" s="5"/>
    </row>
    <row r="4622" spans="1:9" x14ac:dyDescent="0.3">
      <c r="B4622" s="5" t="s">
        <v>4180</v>
      </c>
      <c r="C4622" s="5" t="s">
        <v>10</v>
      </c>
      <c r="D4622" s="5" t="s">
        <v>4191</v>
      </c>
      <c r="E4622" s="5" t="s">
        <v>4198</v>
      </c>
      <c r="F4622" s="5" t="s">
        <v>831</v>
      </c>
      <c r="G4622" s="5" t="s">
        <v>832</v>
      </c>
      <c r="H4622" s="6">
        <v>70000</v>
      </c>
      <c r="I4622" s="5"/>
    </row>
    <row r="4623" spans="1:9" x14ac:dyDescent="0.3">
      <c r="B4623" s="5" t="s">
        <v>4180</v>
      </c>
      <c r="C4623" s="5" t="s">
        <v>10</v>
      </c>
      <c r="D4623" s="5" t="s">
        <v>4191</v>
      </c>
      <c r="E4623" s="5" t="s">
        <v>4199</v>
      </c>
      <c r="F4623" s="5" t="s">
        <v>831</v>
      </c>
      <c r="G4623" s="5" t="s">
        <v>832</v>
      </c>
      <c r="H4623" s="6">
        <v>100000</v>
      </c>
      <c r="I4623" s="5"/>
    </row>
    <row r="4624" spans="1:9" x14ac:dyDescent="0.3">
      <c r="B4624" s="5" t="s">
        <v>4180</v>
      </c>
      <c r="C4624" s="5" t="s">
        <v>10</v>
      </c>
      <c r="D4624" s="5" t="s">
        <v>4191</v>
      </c>
      <c r="E4624" s="5" t="s">
        <v>4200</v>
      </c>
      <c r="F4624" s="5" t="s">
        <v>831</v>
      </c>
      <c r="G4624" s="5" t="s">
        <v>832</v>
      </c>
      <c r="H4624" s="6">
        <v>50000</v>
      </c>
      <c r="I4624" s="5"/>
    </row>
    <row r="4625" spans="1:9" x14ac:dyDescent="0.3">
      <c r="B4625" s="5" t="s">
        <v>4180</v>
      </c>
      <c r="C4625" s="5" t="s">
        <v>10</v>
      </c>
      <c r="D4625" s="5" t="s">
        <v>4191</v>
      </c>
      <c r="E4625" s="5" t="s">
        <v>4201</v>
      </c>
      <c r="F4625" s="5" t="s">
        <v>831</v>
      </c>
      <c r="G4625" s="5" t="s">
        <v>832</v>
      </c>
      <c r="H4625" s="6">
        <v>90000</v>
      </c>
      <c r="I4625" s="5"/>
    </row>
    <row r="4626" spans="1:9" x14ac:dyDescent="0.3">
      <c r="B4626" s="5" t="s">
        <v>4180</v>
      </c>
      <c r="C4626" s="5" t="s">
        <v>10</v>
      </c>
      <c r="D4626" s="5" t="s">
        <v>4191</v>
      </c>
      <c r="E4626" s="5" t="s">
        <v>4202</v>
      </c>
      <c r="F4626" s="5" t="s">
        <v>831</v>
      </c>
      <c r="G4626" s="5" t="s">
        <v>832</v>
      </c>
      <c r="H4626" s="6">
        <v>300000</v>
      </c>
      <c r="I4626" s="5"/>
    </row>
    <row r="4627" spans="1:9" x14ac:dyDescent="0.3">
      <c r="B4627" s="5" t="s">
        <v>4180</v>
      </c>
      <c r="C4627" s="5" t="s">
        <v>10</v>
      </c>
      <c r="D4627" s="5" t="s">
        <v>4191</v>
      </c>
      <c r="E4627" s="5" t="s">
        <v>4203</v>
      </c>
      <c r="F4627" s="5" t="s">
        <v>3901</v>
      </c>
      <c r="G4627" s="5" t="s">
        <v>3902</v>
      </c>
      <c r="H4627" s="5"/>
      <c r="I4627" s="6">
        <v>2195000</v>
      </c>
    </row>
    <row r="4628" spans="1:9" x14ac:dyDescent="0.3">
      <c r="A4628" s="7" t="s">
        <v>4204</v>
      </c>
      <c r="H4628" s="8">
        <f>H4616+H4617+H4618+H4619+H4620+H4621+H4622+H4623+H4624+H4625+H4626+H4627</f>
        <v>2195000</v>
      </c>
      <c r="I4628" s="8">
        <f>I4616+I4617+I4618+I4619+I4620+I4621+I4622+I4623+I4624+I4625+I4626+I4627</f>
        <v>2195000</v>
      </c>
    </row>
    <row r="4629" spans="1:9" x14ac:dyDescent="0.3">
      <c r="A4629" s="4" t="s">
        <v>4205</v>
      </c>
    </row>
    <row r="4630" spans="1:9" x14ac:dyDescent="0.3">
      <c r="B4630" s="5" t="s">
        <v>4180</v>
      </c>
      <c r="C4630" s="5" t="s">
        <v>10</v>
      </c>
      <c r="D4630" s="5" t="s">
        <v>4206</v>
      </c>
      <c r="E4630" s="5" t="s">
        <v>4207</v>
      </c>
      <c r="F4630" s="5" t="s">
        <v>831</v>
      </c>
      <c r="G4630" s="5" t="s">
        <v>832</v>
      </c>
      <c r="H4630" s="6">
        <v>40000</v>
      </c>
      <c r="I4630" s="5"/>
    </row>
    <row r="4631" spans="1:9" x14ac:dyDescent="0.3">
      <c r="B4631" s="5" t="s">
        <v>4180</v>
      </c>
      <c r="C4631" s="5" t="s">
        <v>10</v>
      </c>
      <c r="D4631" s="5" t="s">
        <v>4206</v>
      </c>
      <c r="E4631" s="5" t="s">
        <v>4208</v>
      </c>
      <c r="F4631" s="5" t="s">
        <v>831</v>
      </c>
      <c r="G4631" s="5" t="s">
        <v>832</v>
      </c>
      <c r="H4631" s="6">
        <v>30000</v>
      </c>
      <c r="I4631" s="5"/>
    </row>
    <row r="4632" spans="1:9" x14ac:dyDescent="0.3">
      <c r="B4632" s="5" t="s">
        <v>4180</v>
      </c>
      <c r="C4632" s="5" t="s">
        <v>10</v>
      </c>
      <c r="D4632" s="5" t="s">
        <v>4206</v>
      </c>
      <c r="E4632" s="5" t="s">
        <v>4209</v>
      </c>
      <c r="F4632" s="5" t="s">
        <v>831</v>
      </c>
      <c r="G4632" s="5" t="s">
        <v>832</v>
      </c>
      <c r="H4632" s="6">
        <v>120000</v>
      </c>
      <c r="I4632" s="5"/>
    </row>
    <row r="4633" spans="1:9" x14ac:dyDescent="0.3">
      <c r="B4633" s="5" t="s">
        <v>4180</v>
      </c>
      <c r="C4633" s="5" t="s">
        <v>10</v>
      </c>
      <c r="D4633" s="5" t="s">
        <v>4206</v>
      </c>
      <c r="E4633" s="5" t="s">
        <v>4210</v>
      </c>
      <c r="F4633" s="5" t="s">
        <v>831</v>
      </c>
      <c r="G4633" s="5" t="s">
        <v>832</v>
      </c>
      <c r="H4633" s="6">
        <v>70000</v>
      </c>
      <c r="I4633" s="5"/>
    </row>
    <row r="4634" spans="1:9" x14ac:dyDescent="0.3">
      <c r="B4634" s="5" t="s">
        <v>4180</v>
      </c>
      <c r="C4634" s="5" t="s">
        <v>10</v>
      </c>
      <c r="D4634" s="5" t="s">
        <v>4206</v>
      </c>
      <c r="E4634" s="5" t="s">
        <v>4211</v>
      </c>
      <c r="F4634" s="5" t="s">
        <v>831</v>
      </c>
      <c r="G4634" s="5" t="s">
        <v>832</v>
      </c>
      <c r="H4634" s="6">
        <v>100000</v>
      </c>
      <c r="I4634" s="5"/>
    </row>
    <row r="4635" spans="1:9" x14ac:dyDescent="0.3">
      <c r="B4635" s="5" t="s">
        <v>4180</v>
      </c>
      <c r="C4635" s="5" t="s">
        <v>10</v>
      </c>
      <c r="D4635" s="5" t="s">
        <v>4206</v>
      </c>
      <c r="E4635" s="5" t="s">
        <v>4212</v>
      </c>
      <c r="F4635" s="5" t="s">
        <v>831</v>
      </c>
      <c r="G4635" s="5" t="s">
        <v>832</v>
      </c>
      <c r="H4635" s="6">
        <v>80000</v>
      </c>
      <c r="I4635" s="5"/>
    </row>
    <row r="4636" spans="1:9" x14ac:dyDescent="0.3">
      <c r="B4636" s="5" t="s">
        <v>4180</v>
      </c>
      <c r="C4636" s="5" t="s">
        <v>10</v>
      </c>
      <c r="D4636" s="5" t="s">
        <v>4206</v>
      </c>
      <c r="E4636" s="5" t="s">
        <v>4213</v>
      </c>
      <c r="F4636" s="5" t="s">
        <v>831</v>
      </c>
      <c r="G4636" s="5" t="s">
        <v>832</v>
      </c>
      <c r="H4636" s="6">
        <v>60000</v>
      </c>
      <c r="I4636" s="5"/>
    </row>
    <row r="4637" spans="1:9" x14ac:dyDescent="0.3">
      <c r="B4637" s="5" t="s">
        <v>4180</v>
      </c>
      <c r="C4637" s="5" t="s">
        <v>10</v>
      </c>
      <c r="D4637" s="5" t="s">
        <v>4206</v>
      </c>
      <c r="E4637" s="5" t="s">
        <v>4214</v>
      </c>
      <c r="F4637" s="5" t="s">
        <v>831</v>
      </c>
      <c r="G4637" s="5" t="s">
        <v>832</v>
      </c>
      <c r="H4637" s="6">
        <v>60000</v>
      </c>
      <c r="I4637" s="5"/>
    </row>
    <row r="4638" spans="1:9" x14ac:dyDescent="0.3">
      <c r="B4638" s="5" t="s">
        <v>4180</v>
      </c>
      <c r="C4638" s="5" t="s">
        <v>10</v>
      </c>
      <c r="D4638" s="5" t="s">
        <v>4206</v>
      </c>
      <c r="E4638" s="5" t="s">
        <v>4215</v>
      </c>
      <c r="F4638" s="5" t="s">
        <v>3899</v>
      </c>
      <c r="G4638" s="5" t="s">
        <v>3900</v>
      </c>
      <c r="H4638" s="5"/>
      <c r="I4638" s="6">
        <v>560000</v>
      </c>
    </row>
    <row r="4639" spans="1:9" x14ac:dyDescent="0.3">
      <c r="A4639" s="7" t="s">
        <v>4216</v>
      </c>
      <c r="H4639" s="8">
        <f>H4630+H4631+H4632+H4633+H4634+H4635+H4636+H4637+H4638</f>
        <v>560000</v>
      </c>
      <c r="I4639" s="8">
        <f>I4630+I4631+I4632+I4633+I4634+I4635+I4636+I4637+I4638</f>
        <v>560000</v>
      </c>
    </row>
    <row r="4640" spans="1:9" x14ac:dyDescent="0.3">
      <c r="A4640" s="4" t="s">
        <v>4217</v>
      </c>
    </row>
    <row r="4641" spans="1:9" x14ac:dyDescent="0.3">
      <c r="B4641" s="5" t="s">
        <v>4180</v>
      </c>
      <c r="C4641" s="5" t="s">
        <v>10</v>
      </c>
      <c r="D4641" s="5" t="s">
        <v>4218</v>
      </c>
      <c r="E4641" s="5" t="s">
        <v>4219</v>
      </c>
      <c r="F4641" s="5" t="s">
        <v>256</v>
      </c>
      <c r="G4641" s="5" t="s">
        <v>257</v>
      </c>
      <c r="H4641" s="6">
        <v>220</v>
      </c>
      <c r="I4641" s="5"/>
    </row>
    <row r="4642" spans="1:9" x14ac:dyDescent="0.3">
      <c r="B4642" s="5" t="s">
        <v>4180</v>
      </c>
      <c r="C4642" s="5" t="s">
        <v>10</v>
      </c>
      <c r="D4642" s="5" t="s">
        <v>4218</v>
      </c>
      <c r="E4642" s="5" t="s">
        <v>4219</v>
      </c>
      <c r="F4642" s="5" t="s">
        <v>1643</v>
      </c>
      <c r="G4642" s="5" t="s">
        <v>1644</v>
      </c>
      <c r="H4642" s="5"/>
      <c r="I4642" s="6">
        <v>220</v>
      </c>
    </row>
    <row r="4643" spans="1:9" x14ac:dyDescent="0.3">
      <c r="A4643" s="7" t="s">
        <v>4220</v>
      </c>
      <c r="H4643" s="8">
        <f>H4641+H4642</f>
        <v>220</v>
      </c>
      <c r="I4643" s="8">
        <f>I4641+I4642</f>
        <v>220</v>
      </c>
    </row>
    <row r="4644" spans="1:9" x14ac:dyDescent="0.3">
      <c r="A4644" s="4" t="s">
        <v>4221</v>
      </c>
    </row>
    <row r="4645" spans="1:9" x14ac:dyDescent="0.3">
      <c r="B4645" s="5" t="s">
        <v>4180</v>
      </c>
      <c r="C4645" s="5" t="s">
        <v>10</v>
      </c>
      <c r="D4645" s="5" t="s">
        <v>4222</v>
      </c>
      <c r="E4645" s="5" t="s">
        <v>4223</v>
      </c>
      <c r="F4645" s="5" t="s">
        <v>81</v>
      </c>
      <c r="G4645" s="5" t="s">
        <v>82</v>
      </c>
      <c r="H4645" s="6">
        <v>1650</v>
      </c>
      <c r="I4645" s="5"/>
    </row>
    <row r="4646" spans="1:9" x14ac:dyDescent="0.3">
      <c r="B4646" s="5" t="s">
        <v>4180</v>
      </c>
      <c r="C4646" s="5" t="s">
        <v>10</v>
      </c>
      <c r="D4646" s="5" t="s">
        <v>4222</v>
      </c>
      <c r="E4646" s="5" t="s">
        <v>4223</v>
      </c>
      <c r="F4646" s="5" t="s">
        <v>1643</v>
      </c>
      <c r="G4646" s="5" t="s">
        <v>1644</v>
      </c>
      <c r="H4646" s="5"/>
      <c r="I4646" s="6">
        <v>1650</v>
      </c>
    </row>
    <row r="4647" spans="1:9" x14ac:dyDescent="0.3">
      <c r="A4647" s="7" t="s">
        <v>4224</v>
      </c>
      <c r="H4647" s="8">
        <f>H4645+H4646</f>
        <v>1650</v>
      </c>
      <c r="I4647" s="8">
        <f>I4645+I4646</f>
        <v>1650</v>
      </c>
    </row>
    <row r="4648" spans="1:9" x14ac:dyDescent="0.3">
      <c r="A4648" s="4" t="s">
        <v>4225</v>
      </c>
    </row>
    <row r="4649" spans="1:9" x14ac:dyDescent="0.3">
      <c r="B4649" s="5" t="s">
        <v>4180</v>
      </c>
      <c r="C4649" s="5" t="s">
        <v>10</v>
      </c>
      <c r="D4649" s="5" t="s">
        <v>4226</v>
      </c>
      <c r="E4649" s="5" t="s">
        <v>4227</v>
      </c>
      <c r="F4649" s="5" t="s">
        <v>359</v>
      </c>
      <c r="G4649" s="5" t="s">
        <v>360</v>
      </c>
      <c r="H4649" s="6">
        <v>4630</v>
      </c>
      <c r="I4649" s="5"/>
    </row>
    <row r="4650" spans="1:9" x14ac:dyDescent="0.3">
      <c r="B4650" s="5" t="s">
        <v>4180</v>
      </c>
      <c r="C4650" s="5" t="s">
        <v>10</v>
      </c>
      <c r="D4650" s="5" t="s">
        <v>4226</v>
      </c>
      <c r="E4650" s="5" t="s">
        <v>4227</v>
      </c>
      <c r="F4650" s="5" t="s">
        <v>1643</v>
      </c>
      <c r="G4650" s="5" t="s">
        <v>1644</v>
      </c>
      <c r="H4650" s="5"/>
      <c r="I4650" s="6">
        <v>4630</v>
      </c>
    </row>
    <row r="4651" spans="1:9" x14ac:dyDescent="0.3">
      <c r="A4651" s="7" t="s">
        <v>4228</v>
      </c>
      <c r="H4651" s="8">
        <f>H4649+H4650</f>
        <v>4630</v>
      </c>
      <c r="I4651" s="8">
        <f>I4649+I4650</f>
        <v>4630</v>
      </c>
    </row>
    <row r="4652" spans="1:9" x14ac:dyDescent="0.3">
      <c r="A4652" s="4" t="s">
        <v>4229</v>
      </c>
    </row>
    <row r="4653" spans="1:9" x14ac:dyDescent="0.3">
      <c r="B4653" s="5" t="s">
        <v>4180</v>
      </c>
      <c r="C4653" s="5" t="s">
        <v>2745</v>
      </c>
      <c r="D4653" s="5" t="s">
        <v>2750</v>
      </c>
      <c r="E4653" s="5" t="s">
        <v>2750</v>
      </c>
      <c r="F4653" s="5" t="s">
        <v>2748</v>
      </c>
      <c r="G4653" s="5" t="s">
        <v>2749</v>
      </c>
      <c r="H4653" s="6">
        <v>3450</v>
      </c>
      <c r="I4653" s="5"/>
    </row>
    <row r="4654" spans="1:9" x14ac:dyDescent="0.3">
      <c r="B4654" s="5" t="s">
        <v>4180</v>
      </c>
      <c r="C4654" s="5" t="s">
        <v>2745</v>
      </c>
      <c r="D4654" s="5" t="s">
        <v>2750</v>
      </c>
      <c r="E4654" s="5" t="s">
        <v>2750</v>
      </c>
      <c r="F4654" s="5" t="s">
        <v>847</v>
      </c>
      <c r="G4654" s="5" t="s">
        <v>848</v>
      </c>
      <c r="H4654" s="5"/>
      <c r="I4654" s="6">
        <v>3450</v>
      </c>
    </row>
    <row r="4655" spans="1:9" x14ac:dyDescent="0.3">
      <c r="A4655" s="7" t="s">
        <v>4230</v>
      </c>
      <c r="H4655" s="8">
        <f>H4653+H4654</f>
        <v>3450</v>
      </c>
      <c r="I4655" s="8">
        <f>I4653+I4654</f>
        <v>3450</v>
      </c>
    </row>
    <row r="4656" spans="1:9" x14ac:dyDescent="0.3">
      <c r="A4656" s="4" t="s">
        <v>4231</v>
      </c>
    </row>
    <row r="4657" spans="1:9" x14ac:dyDescent="0.3">
      <c r="B4657" s="5" t="s">
        <v>4180</v>
      </c>
      <c r="C4657" s="5" t="s">
        <v>2745</v>
      </c>
      <c r="D4657" s="5" t="s">
        <v>2750</v>
      </c>
      <c r="E4657" s="5" t="s">
        <v>2750</v>
      </c>
      <c r="F4657" s="5" t="s">
        <v>2748</v>
      </c>
      <c r="G4657" s="5" t="s">
        <v>2749</v>
      </c>
      <c r="H4657" s="6">
        <v>8110</v>
      </c>
      <c r="I4657" s="5"/>
    </row>
    <row r="4658" spans="1:9" x14ac:dyDescent="0.3">
      <c r="B4658" s="5" t="s">
        <v>4180</v>
      </c>
      <c r="C4658" s="5" t="s">
        <v>2745</v>
      </c>
      <c r="D4658" s="5" t="s">
        <v>2750</v>
      </c>
      <c r="E4658" s="5" t="s">
        <v>2750</v>
      </c>
      <c r="F4658" s="5" t="s">
        <v>847</v>
      </c>
      <c r="G4658" s="5" t="s">
        <v>848</v>
      </c>
      <c r="H4658" s="5"/>
      <c r="I4658" s="6">
        <v>8110</v>
      </c>
    </row>
    <row r="4659" spans="1:9" x14ac:dyDescent="0.3">
      <c r="A4659" s="7" t="s">
        <v>4232</v>
      </c>
      <c r="H4659" s="8">
        <f>H4657+H4658</f>
        <v>8110</v>
      </c>
      <c r="I4659" s="8">
        <f>I4657+I4658</f>
        <v>8110</v>
      </c>
    </row>
    <row r="4660" spans="1:9" x14ac:dyDescent="0.3">
      <c r="A4660" s="4" t="s">
        <v>4233</v>
      </c>
    </row>
    <row r="4661" spans="1:9" x14ac:dyDescent="0.3">
      <c r="B4661" s="5" t="s">
        <v>4234</v>
      </c>
      <c r="C4661" s="5" t="s">
        <v>10</v>
      </c>
      <c r="D4661" s="5" t="s">
        <v>4235</v>
      </c>
      <c r="E4661" s="5" t="s">
        <v>4236</v>
      </c>
      <c r="F4661" s="5" t="s">
        <v>67</v>
      </c>
      <c r="G4661" s="5" t="s">
        <v>68</v>
      </c>
      <c r="H4661" s="6">
        <v>1900</v>
      </c>
      <c r="I4661" s="5"/>
    </row>
    <row r="4662" spans="1:9" x14ac:dyDescent="0.3">
      <c r="B4662" s="5" t="s">
        <v>4234</v>
      </c>
      <c r="C4662" s="5" t="s">
        <v>10</v>
      </c>
      <c r="D4662" s="5" t="s">
        <v>4235</v>
      </c>
      <c r="E4662" s="5" t="s">
        <v>4236</v>
      </c>
      <c r="F4662" s="5" t="s">
        <v>1643</v>
      </c>
      <c r="G4662" s="5" t="s">
        <v>1644</v>
      </c>
      <c r="H4662" s="5"/>
      <c r="I4662" s="6">
        <v>1900</v>
      </c>
    </row>
    <row r="4663" spans="1:9" x14ac:dyDescent="0.3">
      <c r="A4663" s="7" t="s">
        <v>4237</v>
      </c>
      <c r="H4663" s="8">
        <f>H4661+H4662</f>
        <v>1900</v>
      </c>
      <c r="I4663" s="8">
        <f>I4661+I4662</f>
        <v>1900</v>
      </c>
    </row>
    <row r="4664" spans="1:9" x14ac:dyDescent="0.3">
      <c r="A4664" s="4" t="s">
        <v>4238</v>
      </c>
    </row>
    <row r="4665" spans="1:9" x14ac:dyDescent="0.3">
      <c r="B4665" s="5" t="s">
        <v>4234</v>
      </c>
      <c r="C4665" s="5" t="s">
        <v>844</v>
      </c>
      <c r="D4665" s="5" t="s">
        <v>4239</v>
      </c>
      <c r="E4665" s="5" t="s">
        <v>2750</v>
      </c>
      <c r="F4665" s="5" t="s">
        <v>847</v>
      </c>
      <c r="G4665" s="5" t="s">
        <v>848</v>
      </c>
      <c r="H4665" s="6">
        <v>203000</v>
      </c>
      <c r="I4665" s="5"/>
    </row>
    <row r="4666" spans="1:9" x14ac:dyDescent="0.3">
      <c r="B4666" s="5" t="s">
        <v>4234</v>
      </c>
      <c r="C4666" s="5" t="s">
        <v>844</v>
      </c>
      <c r="D4666" s="5" t="s">
        <v>4239</v>
      </c>
      <c r="E4666" s="5" t="s">
        <v>2987</v>
      </c>
      <c r="F4666" s="5" t="s">
        <v>831</v>
      </c>
      <c r="G4666" s="5" t="s">
        <v>832</v>
      </c>
      <c r="H4666" s="5"/>
      <c r="I4666" s="6">
        <v>175000</v>
      </c>
    </row>
    <row r="4667" spans="1:9" x14ac:dyDescent="0.3">
      <c r="B4667" s="5" t="s">
        <v>4234</v>
      </c>
      <c r="C4667" s="5" t="s">
        <v>844</v>
      </c>
      <c r="D4667" s="5" t="s">
        <v>4239</v>
      </c>
      <c r="E4667" s="5" t="s">
        <v>1993</v>
      </c>
      <c r="F4667" s="5" t="s">
        <v>867</v>
      </c>
      <c r="G4667" s="5" t="s">
        <v>868</v>
      </c>
      <c r="H4667" s="5"/>
      <c r="I4667" s="6">
        <v>28000</v>
      </c>
    </row>
    <row r="4668" spans="1:9" x14ac:dyDescent="0.3">
      <c r="A4668" s="7" t="s">
        <v>4240</v>
      </c>
      <c r="H4668" s="8">
        <f>H4665+H4666+H4667</f>
        <v>203000</v>
      </c>
      <c r="I4668" s="8">
        <f>I4665+I4666+I4667</f>
        <v>203000</v>
      </c>
    </row>
    <row r="4669" spans="1:9" x14ac:dyDescent="0.3">
      <c r="A4669" s="4" t="s">
        <v>4241</v>
      </c>
    </row>
    <row r="4670" spans="1:9" x14ac:dyDescent="0.3">
      <c r="B4670" s="5" t="s">
        <v>4234</v>
      </c>
      <c r="C4670" s="5" t="s">
        <v>844</v>
      </c>
      <c r="D4670" s="5" t="s">
        <v>4242</v>
      </c>
      <c r="E4670" s="5" t="s">
        <v>2750</v>
      </c>
      <c r="F4670" s="5" t="s">
        <v>847</v>
      </c>
      <c r="G4670" s="5" t="s">
        <v>848</v>
      </c>
      <c r="H4670" s="6">
        <v>348000</v>
      </c>
      <c r="I4670" s="5"/>
    </row>
    <row r="4671" spans="1:9" x14ac:dyDescent="0.3">
      <c r="B4671" s="5" t="s">
        <v>4234</v>
      </c>
      <c r="C4671" s="5" t="s">
        <v>844</v>
      </c>
      <c r="D4671" s="5" t="s">
        <v>4242</v>
      </c>
      <c r="E4671" s="5" t="s">
        <v>2987</v>
      </c>
      <c r="F4671" s="5" t="s">
        <v>831</v>
      </c>
      <c r="G4671" s="5" t="s">
        <v>832</v>
      </c>
      <c r="H4671" s="5"/>
      <c r="I4671" s="6">
        <v>300000</v>
      </c>
    </row>
    <row r="4672" spans="1:9" x14ac:dyDescent="0.3">
      <c r="B4672" s="5" t="s">
        <v>4234</v>
      </c>
      <c r="C4672" s="5" t="s">
        <v>844</v>
      </c>
      <c r="D4672" s="5" t="s">
        <v>4242</v>
      </c>
      <c r="E4672" s="5" t="s">
        <v>1993</v>
      </c>
      <c r="F4672" s="5" t="s">
        <v>867</v>
      </c>
      <c r="G4672" s="5" t="s">
        <v>868</v>
      </c>
      <c r="H4672" s="5"/>
      <c r="I4672" s="6">
        <v>48000</v>
      </c>
    </row>
    <row r="4673" spans="1:9" x14ac:dyDescent="0.3">
      <c r="A4673" s="7" t="s">
        <v>4243</v>
      </c>
      <c r="H4673" s="8">
        <f>H4670+H4671+H4672</f>
        <v>348000</v>
      </c>
      <c r="I4673" s="8">
        <f>I4670+I4671+I4672</f>
        <v>348000</v>
      </c>
    </row>
    <row r="4674" spans="1:9" x14ac:dyDescent="0.3">
      <c r="A4674" s="4" t="s">
        <v>4244</v>
      </c>
    </row>
    <row r="4675" spans="1:9" x14ac:dyDescent="0.3">
      <c r="B4675" s="5" t="s">
        <v>4234</v>
      </c>
      <c r="C4675" s="5" t="s">
        <v>844</v>
      </c>
      <c r="D4675" s="5" t="s">
        <v>4245</v>
      </c>
      <c r="E4675" s="5" t="s">
        <v>2750</v>
      </c>
      <c r="F4675" s="5" t="s">
        <v>847</v>
      </c>
      <c r="G4675" s="5" t="s">
        <v>848</v>
      </c>
      <c r="H4675" s="6">
        <v>348000</v>
      </c>
      <c r="I4675" s="5"/>
    </row>
    <row r="4676" spans="1:9" x14ac:dyDescent="0.3">
      <c r="B4676" s="5" t="s">
        <v>4234</v>
      </c>
      <c r="C4676" s="5" t="s">
        <v>844</v>
      </c>
      <c r="D4676" s="5" t="s">
        <v>4245</v>
      </c>
      <c r="E4676" s="5" t="s">
        <v>2987</v>
      </c>
      <c r="F4676" s="5" t="s">
        <v>831</v>
      </c>
      <c r="G4676" s="5" t="s">
        <v>832</v>
      </c>
      <c r="H4676" s="5"/>
      <c r="I4676" s="6">
        <v>300000</v>
      </c>
    </row>
    <row r="4677" spans="1:9" x14ac:dyDescent="0.3">
      <c r="B4677" s="5" t="s">
        <v>4234</v>
      </c>
      <c r="C4677" s="5" t="s">
        <v>844</v>
      </c>
      <c r="D4677" s="5" t="s">
        <v>4245</v>
      </c>
      <c r="E4677" s="5" t="s">
        <v>1993</v>
      </c>
      <c r="F4677" s="5" t="s">
        <v>867</v>
      </c>
      <c r="G4677" s="5" t="s">
        <v>868</v>
      </c>
      <c r="H4677" s="5"/>
      <c r="I4677" s="6">
        <v>48000</v>
      </c>
    </row>
    <row r="4678" spans="1:9" x14ac:dyDescent="0.3">
      <c r="A4678" s="7" t="s">
        <v>4246</v>
      </c>
      <c r="H4678" s="8">
        <f>H4675+H4676+H4677</f>
        <v>348000</v>
      </c>
      <c r="I4678" s="8">
        <f>I4675+I4676+I4677</f>
        <v>348000</v>
      </c>
    </row>
    <row r="4679" spans="1:9" x14ac:dyDescent="0.3">
      <c r="A4679" s="4" t="s">
        <v>4247</v>
      </c>
    </row>
    <row r="4680" spans="1:9" x14ac:dyDescent="0.3">
      <c r="B4680" s="5" t="s">
        <v>4234</v>
      </c>
      <c r="C4680" s="5" t="s">
        <v>844</v>
      </c>
      <c r="D4680" s="5" t="s">
        <v>4248</v>
      </c>
      <c r="E4680" s="5" t="s">
        <v>2750</v>
      </c>
      <c r="F4680" s="5" t="s">
        <v>847</v>
      </c>
      <c r="G4680" s="5" t="s">
        <v>848</v>
      </c>
      <c r="H4680" s="6">
        <v>696000</v>
      </c>
      <c r="I4680" s="5"/>
    </row>
    <row r="4681" spans="1:9" x14ac:dyDescent="0.3">
      <c r="B4681" s="5" t="s">
        <v>4234</v>
      </c>
      <c r="C4681" s="5" t="s">
        <v>844</v>
      </c>
      <c r="D4681" s="5" t="s">
        <v>4248</v>
      </c>
      <c r="E4681" s="5" t="s">
        <v>2987</v>
      </c>
      <c r="F4681" s="5" t="s">
        <v>831</v>
      </c>
      <c r="G4681" s="5" t="s">
        <v>832</v>
      </c>
      <c r="H4681" s="5"/>
      <c r="I4681" s="6">
        <v>600000</v>
      </c>
    </row>
    <row r="4682" spans="1:9" x14ac:dyDescent="0.3">
      <c r="B4682" s="5" t="s">
        <v>4234</v>
      </c>
      <c r="C4682" s="5" t="s">
        <v>844</v>
      </c>
      <c r="D4682" s="5" t="s">
        <v>4248</v>
      </c>
      <c r="E4682" s="5" t="s">
        <v>1993</v>
      </c>
      <c r="F4682" s="5" t="s">
        <v>867</v>
      </c>
      <c r="G4682" s="5" t="s">
        <v>868</v>
      </c>
      <c r="H4682" s="5"/>
      <c r="I4682" s="6">
        <v>96000</v>
      </c>
    </row>
    <row r="4683" spans="1:9" x14ac:dyDescent="0.3">
      <c r="A4683" s="7" t="s">
        <v>4249</v>
      </c>
      <c r="H4683" s="8">
        <f>H4680+H4681+H4682</f>
        <v>696000</v>
      </c>
      <c r="I4683" s="8">
        <f>I4680+I4681+I4682</f>
        <v>696000</v>
      </c>
    </row>
    <row r="4684" spans="1:9" x14ac:dyDescent="0.3">
      <c r="A4684" s="4" t="s">
        <v>4250</v>
      </c>
    </row>
    <row r="4685" spans="1:9" x14ac:dyDescent="0.3">
      <c r="B4685" s="5" t="s">
        <v>4234</v>
      </c>
      <c r="C4685" s="5" t="s">
        <v>844</v>
      </c>
      <c r="D4685" s="5" t="s">
        <v>4251</v>
      </c>
      <c r="E4685" s="5" t="s">
        <v>2750</v>
      </c>
      <c r="F4685" s="5" t="s">
        <v>847</v>
      </c>
      <c r="G4685" s="5" t="s">
        <v>848</v>
      </c>
      <c r="H4685" s="6">
        <v>104400</v>
      </c>
      <c r="I4685" s="5"/>
    </row>
    <row r="4686" spans="1:9" x14ac:dyDescent="0.3">
      <c r="B4686" s="5" t="s">
        <v>4234</v>
      </c>
      <c r="C4686" s="5" t="s">
        <v>844</v>
      </c>
      <c r="D4686" s="5" t="s">
        <v>4251</v>
      </c>
      <c r="E4686" s="5" t="s">
        <v>2987</v>
      </c>
      <c r="F4686" s="5" t="s">
        <v>831</v>
      </c>
      <c r="G4686" s="5" t="s">
        <v>832</v>
      </c>
      <c r="H4686" s="5"/>
      <c r="I4686" s="6">
        <v>90000</v>
      </c>
    </row>
    <row r="4687" spans="1:9" x14ac:dyDescent="0.3">
      <c r="B4687" s="5" t="s">
        <v>4234</v>
      </c>
      <c r="C4687" s="5" t="s">
        <v>844</v>
      </c>
      <c r="D4687" s="5" t="s">
        <v>4251</v>
      </c>
      <c r="E4687" s="5" t="s">
        <v>1993</v>
      </c>
      <c r="F4687" s="5" t="s">
        <v>867</v>
      </c>
      <c r="G4687" s="5" t="s">
        <v>868</v>
      </c>
      <c r="H4687" s="5"/>
      <c r="I4687" s="6">
        <v>14400</v>
      </c>
    </row>
    <row r="4688" spans="1:9" x14ac:dyDescent="0.3">
      <c r="A4688" s="7" t="s">
        <v>4252</v>
      </c>
      <c r="H4688" s="8">
        <f>H4685+H4686+H4687</f>
        <v>104400</v>
      </c>
      <c r="I4688" s="8">
        <f>I4685+I4686+I4687</f>
        <v>104400</v>
      </c>
    </row>
    <row r="4689" spans="1:9" x14ac:dyDescent="0.3">
      <c r="A4689" s="4" t="s">
        <v>4253</v>
      </c>
    </row>
    <row r="4690" spans="1:9" x14ac:dyDescent="0.3">
      <c r="B4690" s="5" t="s">
        <v>4234</v>
      </c>
      <c r="C4690" s="5" t="s">
        <v>844</v>
      </c>
      <c r="D4690" s="5" t="s">
        <v>4254</v>
      </c>
      <c r="E4690" s="5" t="s">
        <v>2750</v>
      </c>
      <c r="F4690" s="5" t="s">
        <v>847</v>
      </c>
      <c r="G4690" s="5" t="s">
        <v>848</v>
      </c>
      <c r="H4690" s="6">
        <v>139200</v>
      </c>
      <c r="I4690" s="5"/>
    </row>
    <row r="4691" spans="1:9" x14ac:dyDescent="0.3">
      <c r="B4691" s="5" t="s">
        <v>4234</v>
      </c>
      <c r="C4691" s="5" t="s">
        <v>844</v>
      </c>
      <c r="D4691" s="5" t="s">
        <v>4254</v>
      </c>
      <c r="E4691" s="5" t="s">
        <v>2987</v>
      </c>
      <c r="F4691" s="5" t="s">
        <v>831</v>
      </c>
      <c r="G4691" s="5" t="s">
        <v>832</v>
      </c>
      <c r="H4691" s="5"/>
      <c r="I4691" s="6">
        <v>120000</v>
      </c>
    </row>
    <row r="4692" spans="1:9" x14ac:dyDescent="0.3">
      <c r="B4692" s="5" t="s">
        <v>4234</v>
      </c>
      <c r="C4692" s="5" t="s">
        <v>844</v>
      </c>
      <c r="D4692" s="5" t="s">
        <v>4254</v>
      </c>
      <c r="E4692" s="5" t="s">
        <v>1993</v>
      </c>
      <c r="F4692" s="5" t="s">
        <v>867</v>
      </c>
      <c r="G4692" s="5" t="s">
        <v>868</v>
      </c>
      <c r="H4692" s="5"/>
      <c r="I4692" s="6">
        <v>19200</v>
      </c>
    </row>
    <row r="4693" spans="1:9" x14ac:dyDescent="0.3">
      <c r="A4693" s="7" t="s">
        <v>4255</v>
      </c>
      <c r="H4693" s="8">
        <f>H4690+H4691+H4692</f>
        <v>139200</v>
      </c>
      <c r="I4693" s="8">
        <f>I4690+I4691+I4692</f>
        <v>139200</v>
      </c>
    </row>
    <row r="4694" spans="1:9" x14ac:dyDescent="0.3">
      <c r="A4694" s="4" t="s">
        <v>4256</v>
      </c>
    </row>
    <row r="4695" spans="1:9" x14ac:dyDescent="0.3">
      <c r="B4695" s="5" t="s">
        <v>4234</v>
      </c>
      <c r="C4695" s="5" t="s">
        <v>844</v>
      </c>
      <c r="D4695" s="5" t="s">
        <v>4257</v>
      </c>
      <c r="E4695" s="5" t="s">
        <v>2750</v>
      </c>
      <c r="F4695" s="5" t="s">
        <v>847</v>
      </c>
      <c r="G4695" s="5" t="s">
        <v>848</v>
      </c>
      <c r="H4695" s="6">
        <v>81200</v>
      </c>
      <c r="I4695" s="5"/>
    </row>
    <row r="4696" spans="1:9" x14ac:dyDescent="0.3">
      <c r="B4696" s="5" t="s">
        <v>4234</v>
      </c>
      <c r="C4696" s="5" t="s">
        <v>844</v>
      </c>
      <c r="D4696" s="5" t="s">
        <v>4257</v>
      </c>
      <c r="E4696" s="5" t="s">
        <v>2987</v>
      </c>
      <c r="F4696" s="5" t="s">
        <v>831</v>
      </c>
      <c r="G4696" s="5" t="s">
        <v>832</v>
      </c>
      <c r="H4696" s="5"/>
      <c r="I4696" s="6">
        <v>70000</v>
      </c>
    </row>
    <row r="4697" spans="1:9" x14ac:dyDescent="0.3">
      <c r="B4697" s="5" t="s">
        <v>4234</v>
      </c>
      <c r="C4697" s="5" t="s">
        <v>844</v>
      </c>
      <c r="D4697" s="5" t="s">
        <v>4257</v>
      </c>
      <c r="E4697" s="5" t="s">
        <v>1993</v>
      </c>
      <c r="F4697" s="5" t="s">
        <v>867</v>
      </c>
      <c r="G4697" s="5" t="s">
        <v>868</v>
      </c>
      <c r="H4697" s="5"/>
      <c r="I4697" s="6">
        <v>11200</v>
      </c>
    </row>
    <row r="4698" spans="1:9" x14ac:dyDescent="0.3">
      <c r="A4698" s="7" t="s">
        <v>4258</v>
      </c>
      <c r="H4698" s="8">
        <f>H4695+H4696+H4697</f>
        <v>81200</v>
      </c>
      <c r="I4698" s="8">
        <f>I4695+I4696+I4697</f>
        <v>81200</v>
      </c>
    </row>
    <row r="4699" spans="1:9" x14ac:dyDescent="0.3">
      <c r="A4699" s="4" t="s">
        <v>4259</v>
      </c>
    </row>
    <row r="4700" spans="1:9" x14ac:dyDescent="0.3">
      <c r="B4700" s="5" t="s">
        <v>4234</v>
      </c>
      <c r="C4700" s="5" t="s">
        <v>844</v>
      </c>
      <c r="D4700" s="5" t="s">
        <v>4260</v>
      </c>
      <c r="E4700" s="5" t="s">
        <v>2750</v>
      </c>
      <c r="F4700" s="5" t="s">
        <v>847</v>
      </c>
      <c r="G4700" s="5" t="s">
        <v>848</v>
      </c>
      <c r="H4700" s="6">
        <v>116000</v>
      </c>
      <c r="I4700" s="5"/>
    </row>
    <row r="4701" spans="1:9" x14ac:dyDescent="0.3">
      <c r="B4701" s="5" t="s">
        <v>4234</v>
      </c>
      <c r="C4701" s="5" t="s">
        <v>844</v>
      </c>
      <c r="D4701" s="5" t="s">
        <v>4260</v>
      </c>
      <c r="E4701" s="5" t="s">
        <v>2987</v>
      </c>
      <c r="F4701" s="5" t="s">
        <v>831</v>
      </c>
      <c r="G4701" s="5" t="s">
        <v>832</v>
      </c>
      <c r="H4701" s="5"/>
      <c r="I4701" s="6">
        <v>100000</v>
      </c>
    </row>
    <row r="4702" spans="1:9" x14ac:dyDescent="0.3">
      <c r="B4702" s="5" t="s">
        <v>4234</v>
      </c>
      <c r="C4702" s="5" t="s">
        <v>844</v>
      </c>
      <c r="D4702" s="5" t="s">
        <v>4260</v>
      </c>
      <c r="E4702" s="5" t="s">
        <v>1993</v>
      </c>
      <c r="F4702" s="5" t="s">
        <v>867</v>
      </c>
      <c r="G4702" s="5" t="s">
        <v>868</v>
      </c>
      <c r="H4702" s="5"/>
      <c r="I4702" s="6">
        <v>16000</v>
      </c>
    </row>
    <row r="4703" spans="1:9" x14ac:dyDescent="0.3">
      <c r="A4703" s="7" t="s">
        <v>4261</v>
      </c>
      <c r="H4703" s="8">
        <f>H4700+H4701+H4702</f>
        <v>116000</v>
      </c>
      <c r="I4703" s="8">
        <f>I4700+I4701+I4702</f>
        <v>116000</v>
      </c>
    </row>
    <row r="4704" spans="1:9" x14ac:dyDescent="0.3">
      <c r="A4704" s="4" t="s">
        <v>4262</v>
      </c>
    </row>
    <row r="4705" spans="1:9" x14ac:dyDescent="0.3">
      <c r="B4705" s="5" t="s">
        <v>4234</v>
      </c>
      <c r="C4705" s="5" t="s">
        <v>844</v>
      </c>
      <c r="D4705" s="5" t="s">
        <v>4263</v>
      </c>
      <c r="E4705" s="5" t="s">
        <v>2750</v>
      </c>
      <c r="F4705" s="5" t="s">
        <v>847</v>
      </c>
      <c r="G4705" s="5" t="s">
        <v>848</v>
      </c>
      <c r="H4705" s="6">
        <v>58000</v>
      </c>
      <c r="I4705" s="5"/>
    </row>
    <row r="4706" spans="1:9" x14ac:dyDescent="0.3">
      <c r="B4706" s="5" t="s">
        <v>4234</v>
      </c>
      <c r="C4706" s="5" t="s">
        <v>844</v>
      </c>
      <c r="D4706" s="5" t="s">
        <v>4263</v>
      </c>
      <c r="E4706" s="5" t="s">
        <v>2987</v>
      </c>
      <c r="F4706" s="5" t="s">
        <v>831</v>
      </c>
      <c r="G4706" s="5" t="s">
        <v>832</v>
      </c>
      <c r="H4706" s="5"/>
      <c r="I4706" s="6">
        <v>50000</v>
      </c>
    </row>
    <row r="4707" spans="1:9" x14ac:dyDescent="0.3">
      <c r="B4707" s="5" t="s">
        <v>4234</v>
      </c>
      <c r="C4707" s="5" t="s">
        <v>844</v>
      </c>
      <c r="D4707" s="5" t="s">
        <v>4263</v>
      </c>
      <c r="E4707" s="5" t="s">
        <v>1993</v>
      </c>
      <c r="F4707" s="5" t="s">
        <v>867</v>
      </c>
      <c r="G4707" s="5" t="s">
        <v>868</v>
      </c>
      <c r="H4707" s="5"/>
      <c r="I4707" s="6">
        <v>8000</v>
      </c>
    </row>
    <row r="4708" spans="1:9" x14ac:dyDescent="0.3">
      <c r="A4708" s="7" t="s">
        <v>4264</v>
      </c>
      <c r="H4708" s="8">
        <f>H4705+H4706+H4707</f>
        <v>58000</v>
      </c>
      <c r="I4708" s="8">
        <f>I4705+I4706+I4707</f>
        <v>58000</v>
      </c>
    </row>
    <row r="4709" spans="1:9" x14ac:dyDescent="0.3">
      <c r="A4709" s="4" t="s">
        <v>4265</v>
      </c>
    </row>
    <row r="4710" spans="1:9" x14ac:dyDescent="0.3">
      <c r="B4710" s="5" t="s">
        <v>4234</v>
      </c>
      <c r="C4710" s="5" t="s">
        <v>844</v>
      </c>
      <c r="D4710" s="5" t="s">
        <v>4266</v>
      </c>
      <c r="E4710" s="5" t="s">
        <v>2750</v>
      </c>
      <c r="F4710" s="5" t="s">
        <v>847</v>
      </c>
      <c r="G4710" s="5" t="s">
        <v>848</v>
      </c>
      <c r="H4710" s="6">
        <v>104400</v>
      </c>
      <c r="I4710" s="5"/>
    </row>
    <row r="4711" spans="1:9" x14ac:dyDescent="0.3">
      <c r="B4711" s="5" t="s">
        <v>4234</v>
      </c>
      <c r="C4711" s="5" t="s">
        <v>844</v>
      </c>
      <c r="D4711" s="5" t="s">
        <v>4266</v>
      </c>
      <c r="E4711" s="5" t="s">
        <v>2987</v>
      </c>
      <c r="F4711" s="5" t="s">
        <v>831</v>
      </c>
      <c r="G4711" s="5" t="s">
        <v>832</v>
      </c>
      <c r="H4711" s="5"/>
      <c r="I4711" s="6">
        <v>90000</v>
      </c>
    </row>
    <row r="4712" spans="1:9" x14ac:dyDescent="0.3">
      <c r="B4712" s="5" t="s">
        <v>4234</v>
      </c>
      <c r="C4712" s="5" t="s">
        <v>844</v>
      </c>
      <c r="D4712" s="5" t="s">
        <v>4266</v>
      </c>
      <c r="E4712" s="5" t="s">
        <v>1993</v>
      </c>
      <c r="F4712" s="5" t="s">
        <v>867</v>
      </c>
      <c r="G4712" s="5" t="s">
        <v>868</v>
      </c>
      <c r="H4712" s="5"/>
      <c r="I4712" s="6">
        <v>14400</v>
      </c>
    </row>
    <row r="4713" spans="1:9" x14ac:dyDescent="0.3">
      <c r="A4713" s="7" t="s">
        <v>4267</v>
      </c>
      <c r="H4713" s="8">
        <f>H4710+H4711+H4712</f>
        <v>104400</v>
      </c>
      <c r="I4713" s="8">
        <f>I4710+I4711+I4712</f>
        <v>104400</v>
      </c>
    </row>
    <row r="4714" spans="1:9" x14ac:dyDescent="0.3">
      <c r="A4714" s="4" t="s">
        <v>4268</v>
      </c>
    </row>
    <row r="4715" spans="1:9" x14ac:dyDescent="0.3">
      <c r="B4715" s="5" t="s">
        <v>4234</v>
      </c>
      <c r="C4715" s="5" t="s">
        <v>844</v>
      </c>
      <c r="D4715" s="5" t="s">
        <v>4269</v>
      </c>
      <c r="E4715" s="5" t="s">
        <v>2750</v>
      </c>
      <c r="F4715" s="5" t="s">
        <v>847</v>
      </c>
      <c r="G4715" s="5" t="s">
        <v>848</v>
      </c>
      <c r="H4715" s="6">
        <v>348000</v>
      </c>
      <c r="I4715" s="5"/>
    </row>
    <row r="4716" spans="1:9" x14ac:dyDescent="0.3">
      <c r="B4716" s="5" t="s">
        <v>4234</v>
      </c>
      <c r="C4716" s="5" t="s">
        <v>844</v>
      </c>
      <c r="D4716" s="5" t="s">
        <v>4269</v>
      </c>
      <c r="E4716" s="5" t="s">
        <v>2987</v>
      </c>
      <c r="F4716" s="5" t="s">
        <v>831</v>
      </c>
      <c r="G4716" s="5" t="s">
        <v>832</v>
      </c>
      <c r="H4716" s="5"/>
      <c r="I4716" s="6">
        <v>300000</v>
      </c>
    </row>
    <row r="4717" spans="1:9" x14ac:dyDescent="0.3">
      <c r="B4717" s="5" t="s">
        <v>4234</v>
      </c>
      <c r="C4717" s="5" t="s">
        <v>844</v>
      </c>
      <c r="D4717" s="5" t="s">
        <v>4269</v>
      </c>
      <c r="E4717" s="5" t="s">
        <v>1993</v>
      </c>
      <c r="F4717" s="5" t="s">
        <v>867</v>
      </c>
      <c r="G4717" s="5" t="s">
        <v>868</v>
      </c>
      <c r="H4717" s="5"/>
      <c r="I4717" s="6">
        <v>48000</v>
      </c>
    </row>
    <row r="4718" spans="1:9" x14ac:dyDescent="0.3">
      <c r="A4718" s="7" t="s">
        <v>4270</v>
      </c>
      <c r="H4718" s="8">
        <f>H4715+H4716+H4717</f>
        <v>348000</v>
      </c>
      <c r="I4718" s="8">
        <f>I4715+I4716+I4717</f>
        <v>348000</v>
      </c>
    </row>
    <row r="4719" spans="1:9" x14ac:dyDescent="0.3">
      <c r="A4719" s="4" t="s">
        <v>4271</v>
      </c>
    </row>
    <row r="4720" spans="1:9" x14ac:dyDescent="0.3">
      <c r="B4720" s="5" t="s">
        <v>4234</v>
      </c>
      <c r="C4720" s="5" t="s">
        <v>844</v>
      </c>
      <c r="D4720" s="5" t="s">
        <v>4272</v>
      </c>
      <c r="E4720" s="5" t="s">
        <v>2750</v>
      </c>
      <c r="F4720" s="5" t="s">
        <v>847</v>
      </c>
      <c r="G4720" s="5" t="s">
        <v>848</v>
      </c>
      <c r="H4720" s="6">
        <v>46400</v>
      </c>
      <c r="I4720" s="5"/>
    </row>
    <row r="4721" spans="1:9" x14ac:dyDescent="0.3">
      <c r="B4721" s="5" t="s">
        <v>4234</v>
      </c>
      <c r="C4721" s="5" t="s">
        <v>844</v>
      </c>
      <c r="D4721" s="5" t="s">
        <v>4272</v>
      </c>
      <c r="E4721" s="5" t="s">
        <v>2987</v>
      </c>
      <c r="F4721" s="5" t="s">
        <v>831</v>
      </c>
      <c r="G4721" s="5" t="s">
        <v>832</v>
      </c>
      <c r="H4721" s="5"/>
      <c r="I4721" s="6">
        <v>40000</v>
      </c>
    </row>
    <row r="4722" spans="1:9" x14ac:dyDescent="0.3">
      <c r="B4722" s="5" t="s">
        <v>4234</v>
      </c>
      <c r="C4722" s="5" t="s">
        <v>844</v>
      </c>
      <c r="D4722" s="5" t="s">
        <v>4272</v>
      </c>
      <c r="E4722" s="5" t="s">
        <v>1993</v>
      </c>
      <c r="F4722" s="5" t="s">
        <v>867</v>
      </c>
      <c r="G4722" s="5" t="s">
        <v>868</v>
      </c>
      <c r="H4722" s="5"/>
      <c r="I4722" s="6">
        <v>6400</v>
      </c>
    </row>
    <row r="4723" spans="1:9" x14ac:dyDescent="0.3">
      <c r="A4723" s="7" t="s">
        <v>4273</v>
      </c>
      <c r="H4723" s="8">
        <f>H4720+H4721+H4722</f>
        <v>46400</v>
      </c>
      <c r="I4723" s="8">
        <f>I4720+I4721+I4722</f>
        <v>46400</v>
      </c>
    </row>
    <row r="4724" spans="1:9" x14ac:dyDescent="0.3">
      <c r="A4724" s="4" t="s">
        <v>4274</v>
      </c>
    </row>
    <row r="4725" spans="1:9" x14ac:dyDescent="0.3">
      <c r="B4725" s="5" t="s">
        <v>4234</v>
      </c>
      <c r="C4725" s="5" t="s">
        <v>844</v>
      </c>
      <c r="D4725" s="5" t="s">
        <v>4275</v>
      </c>
      <c r="E4725" s="5" t="s">
        <v>2750</v>
      </c>
      <c r="F4725" s="5" t="s">
        <v>847</v>
      </c>
      <c r="G4725" s="5" t="s">
        <v>848</v>
      </c>
      <c r="H4725" s="6">
        <v>34800</v>
      </c>
      <c r="I4725" s="5"/>
    </row>
    <row r="4726" spans="1:9" x14ac:dyDescent="0.3">
      <c r="B4726" s="5" t="s">
        <v>4234</v>
      </c>
      <c r="C4726" s="5" t="s">
        <v>844</v>
      </c>
      <c r="D4726" s="5" t="s">
        <v>4275</v>
      </c>
      <c r="E4726" s="5" t="s">
        <v>2987</v>
      </c>
      <c r="F4726" s="5" t="s">
        <v>831</v>
      </c>
      <c r="G4726" s="5" t="s">
        <v>832</v>
      </c>
      <c r="H4726" s="5"/>
      <c r="I4726" s="6">
        <v>30000</v>
      </c>
    </row>
    <row r="4727" spans="1:9" x14ac:dyDescent="0.3">
      <c r="B4727" s="5" t="s">
        <v>4234</v>
      </c>
      <c r="C4727" s="5" t="s">
        <v>844</v>
      </c>
      <c r="D4727" s="5" t="s">
        <v>4275</v>
      </c>
      <c r="E4727" s="5" t="s">
        <v>1993</v>
      </c>
      <c r="F4727" s="5" t="s">
        <v>867</v>
      </c>
      <c r="G4727" s="5" t="s">
        <v>868</v>
      </c>
      <c r="H4727" s="5"/>
      <c r="I4727" s="6">
        <v>4800</v>
      </c>
    </row>
    <row r="4728" spans="1:9" x14ac:dyDescent="0.3">
      <c r="A4728" s="7" t="s">
        <v>4276</v>
      </c>
      <c r="H4728" s="8">
        <f>H4725+H4726+H4727</f>
        <v>34800</v>
      </c>
      <c r="I4728" s="8">
        <f>I4725+I4726+I4727</f>
        <v>34800</v>
      </c>
    </row>
    <row r="4729" spans="1:9" x14ac:dyDescent="0.3">
      <c r="A4729" s="4" t="s">
        <v>4277</v>
      </c>
    </row>
    <row r="4730" spans="1:9" x14ac:dyDescent="0.3">
      <c r="B4730" s="5" t="s">
        <v>4234</v>
      </c>
      <c r="C4730" s="5" t="s">
        <v>844</v>
      </c>
      <c r="D4730" s="5" t="s">
        <v>4278</v>
      </c>
      <c r="E4730" s="5" t="s">
        <v>2750</v>
      </c>
      <c r="F4730" s="5" t="s">
        <v>847</v>
      </c>
      <c r="G4730" s="5" t="s">
        <v>848</v>
      </c>
      <c r="H4730" s="6">
        <v>139200</v>
      </c>
      <c r="I4730" s="5"/>
    </row>
    <row r="4731" spans="1:9" x14ac:dyDescent="0.3">
      <c r="B4731" s="5" t="s">
        <v>4234</v>
      </c>
      <c r="C4731" s="5" t="s">
        <v>844</v>
      </c>
      <c r="D4731" s="5" t="s">
        <v>4278</v>
      </c>
      <c r="E4731" s="5" t="s">
        <v>2987</v>
      </c>
      <c r="F4731" s="5" t="s">
        <v>831</v>
      </c>
      <c r="G4731" s="5" t="s">
        <v>832</v>
      </c>
      <c r="H4731" s="5"/>
      <c r="I4731" s="6">
        <v>120000</v>
      </c>
    </row>
    <row r="4732" spans="1:9" x14ac:dyDescent="0.3">
      <c r="B4732" s="5" t="s">
        <v>4234</v>
      </c>
      <c r="C4732" s="5" t="s">
        <v>844</v>
      </c>
      <c r="D4732" s="5" t="s">
        <v>4278</v>
      </c>
      <c r="E4732" s="5" t="s">
        <v>1993</v>
      </c>
      <c r="F4732" s="5" t="s">
        <v>867</v>
      </c>
      <c r="G4732" s="5" t="s">
        <v>868</v>
      </c>
      <c r="H4732" s="5"/>
      <c r="I4732" s="6">
        <v>19200</v>
      </c>
    </row>
    <row r="4733" spans="1:9" x14ac:dyDescent="0.3">
      <c r="A4733" s="7" t="s">
        <v>4279</v>
      </c>
      <c r="H4733" s="8">
        <f>H4730+H4731+H4732</f>
        <v>139200</v>
      </c>
      <c r="I4733" s="8">
        <f>I4730+I4731+I4732</f>
        <v>139200</v>
      </c>
    </row>
    <row r="4734" spans="1:9" x14ac:dyDescent="0.3">
      <c r="A4734" s="4" t="s">
        <v>4280</v>
      </c>
    </row>
    <row r="4735" spans="1:9" x14ac:dyDescent="0.3">
      <c r="B4735" s="5" t="s">
        <v>4234</v>
      </c>
      <c r="C4735" s="5" t="s">
        <v>844</v>
      </c>
      <c r="D4735" s="5" t="s">
        <v>4281</v>
      </c>
      <c r="E4735" s="5" t="s">
        <v>2750</v>
      </c>
      <c r="F4735" s="5" t="s">
        <v>847</v>
      </c>
      <c r="G4735" s="5" t="s">
        <v>848</v>
      </c>
      <c r="H4735" s="6">
        <v>81200</v>
      </c>
      <c r="I4735" s="5"/>
    </row>
    <row r="4736" spans="1:9" x14ac:dyDescent="0.3">
      <c r="B4736" s="5" t="s">
        <v>4234</v>
      </c>
      <c r="C4736" s="5" t="s">
        <v>844</v>
      </c>
      <c r="D4736" s="5" t="s">
        <v>4281</v>
      </c>
      <c r="E4736" s="5" t="s">
        <v>2987</v>
      </c>
      <c r="F4736" s="5" t="s">
        <v>831</v>
      </c>
      <c r="G4736" s="5" t="s">
        <v>832</v>
      </c>
      <c r="H4736" s="5"/>
      <c r="I4736" s="6">
        <v>70000</v>
      </c>
    </row>
    <row r="4737" spans="1:9" x14ac:dyDescent="0.3">
      <c r="B4737" s="5" t="s">
        <v>4234</v>
      </c>
      <c r="C4737" s="5" t="s">
        <v>844</v>
      </c>
      <c r="D4737" s="5" t="s">
        <v>4281</v>
      </c>
      <c r="E4737" s="5" t="s">
        <v>1993</v>
      </c>
      <c r="F4737" s="5" t="s">
        <v>867</v>
      </c>
      <c r="G4737" s="5" t="s">
        <v>868</v>
      </c>
      <c r="H4737" s="5"/>
      <c r="I4737" s="6">
        <v>11200</v>
      </c>
    </row>
    <row r="4738" spans="1:9" x14ac:dyDescent="0.3">
      <c r="A4738" s="7" t="s">
        <v>4282</v>
      </c>
      <c r="H4738" s="8">
        <f>H4735+H4736+H4737</f>
        <v>81200</v>
      </c>
      <c r="I4738" s="8">
        <f>I4735+I4736+I4737</f>
        <v>81200</v>
      </c>
    </row>
    <row r="4739" spans="1:9" x14ac:dyDescent="0.3">
      <c r="A4739" s="4" t="s">
        <v>4283</v>
      </c>
    </row>
    <row r="4740" spans="1:9" x14ac:dyDescent="0.3">
      <c r="B4740" s="5" t="s">
        <v>4234</v>
      </c>
      <c r="C4740" s="5" t="s">
        <v>844</v>
      </c>
      <c r="D4740" s="5" t="s">
        <v>4284</v>
      </c>
      <c r="E4740" s="5" t="s">
        <v>2750</v>
      </c>
      <c r="F4740" s="5" t="s">
        <v>847</v>
      </c>
      <c r="G4740" s="5" t="s">
        <v>848</v>
      </c>
      <c r="H4740" s="6">
        <v>116000</v>
      </c>
      <c r="I4740" s="5"/>
    </row>
    <row r="4741" spans="1:9" x14ac:dyDescent="0.3">
      <c r="B4741" s="5" t="s">
        <v>4234</v>
      </c>
      <c r="C4741" s="5" t="s">
        <v>844</v>
      </c>
      <c r="D4741" s="5" t="s">
        <v>4284</v>
      </c>
      <c r="E4741" s="5" t="s">
        <v>2987</v>
      </c>
      <c r="F4741" s="5" t="s">
        <v>831</v>
      </c>
      <c r="G4741" s="5" t="s">
        <v>832</v>
      </c>
      <c r="H4741" s="5"/>
      <c r="I4741" s="6">
        <v>100000</v>
      </c>
    </row>
    <row r="4742" spans="1:9" x14ac:dyDescent="0.3">
      <c r="B4742" s="5" t="s">
        <v>4234</v>
      </c>
      <c r="C4742" s="5" t="s">
        <v>844</v>
      </c>
      <c r="D4742" s="5" t="s">
        <v>4284</v>
      </c>
      <c r="E4742" s="5" t="s">
        <v>1993</v>
      </c>
      <c r="F4742" s="5" t="s">
        <v>867</v>
      </c>
      <c r="G4742" s="5" t="s">
        <v>868</v>
      </c>
      <c r="H4742" s="5"/>
      <c r="I4742" s="6">
        <v>16000</v>
      </c>
    </row>
    <row r="4743" spans="1:9" x14ac:dyDescent="0.3">
      <c r="A4743" s="7" t="s">
        <v>4285</v>
      </c>
      <c r="H4743" s="8">
        <f>H4740+H4741+H4742</f>
        <v>116000</v>
      </c>
      <c r="I4743" s="8">
        <f>I4740+I4741+I4742</f>
        <v>116000</v>
      </c>
    </row>
    <row r="4744" spans="1:9" x14ac:dyDescent="0.3">
      <c r="A4744" s="4" t="s">
        <v>4286</v>
      </c>
    </row>
    <row r="4745" spans="1:9" x14ac:dyDescent="0.3">
      <c r="B4745" s="5" t="s">
        <v>4234</v>
      </c>
      <c r="C4745" s="5" t="s">
        <v>844</v>
      </c>
      <c r="D4745" s="5" t="s">
        <v>4287</v>
      </c>
      <c r="E4745" s="5" t="s">
        <v>2750</v>
      </c>
      <c r="F4745" s="5" t="s">
        <v>847</v>
      </c>
      <c r="G4745" s="5" t="s">
        <v>848</v>
      </c>
      <c r="H4745" s="6">
        <v>92800</v>
      </c>
      <c r="I4745" s="5"/>
    </row>
    <row r="4746" spans="1:9" x14ac:dyDescent="0.3">
      <c r="B4746" s="5" t="s">
        <v>4234</v>
      </c>
      <c r="C4746" s="5" t="s">
        <v>844</v>
      </c>
      <c r="D4746" s="5" t="s">
        <v>4287</v>
      </c>
      <c r="E4746" s="5" t="s">
        <v>2987</v>
      </c>
      <c r="F4746" s="5" t="s">
        <v>831</v>
      </c>
      <c r="G4746" s="5" t="s">
        <v>832</v>
      </c>
      <c r="H4746" s="5"/>
      <c r="I4746" s="6">
        <v>80000</v>
      </c>
    </row>
    <row r="4747" spans="1:9" x14ac:dyDescent="0.3">
      <c r="B4747" s="5" t="s">
        <v>4234</v>
      </c>
      <c r="C4747" s="5" t="s">
        <v>844</v>
      </c>
      <c r="D4747" s="5" t="s">
        <v>4287</v>
      </c>
      <c r="E4747" s="5" t="s">
        <v>1993</v>
      </c>
      <c r="F4747" s="5" t="s">
        <v>867</v>
      </c>
      <c r="G4747" s="5" t="s">
        <v>868</v>
      </c>
      <c r="H4747" s="5"/>
      <c r="I4747" s="6">
        <v>12800</v>
      </c>
    </row>
    <row r="4748" spans="1:9" x14ac:dyDescent="0.3">
      <c r="A4748" s="7" t="s">
        <v>4288</v>
      </c>
      <c r="H4748" s="8">
        <f>H4745+H4746+H4747</f>
        <v>92800</v>
      </c>
      <c r="I4748" s="8">
        <f>I4745+I4746+I4747</f>
        <v>92800</v>
      </c>
    </row>
    <row r="4749" spans="1:9" x14ac:dyDescent="0.3">
      <c r="A4749" s="4" t="s">
        <v>4289</v>
      </c>
    </row>
    <row r="4750" spans="1:9" x14ac:dyDescent="0.3">
      <c r="B4750" s="5" t="s">
        <v>4234</v>
      </c>
      <c r="C4750" s="5" t="s">
        <v>844</v>
      </c>
      <c r="D4750" s="5" t="s">
        <v>4290</v>
      </c>
      <c r="E4750" s="5" t="s">
        <v>2750</v>
      </c>
      <c r="F4750" s="5" t="s">
        <v>847</v>
      </c>
      <c r="G4750" s="5" t="s">
        <v>848</v>
      </c>
      <c r="H4750" s="6">
        <v>69600</v>
      </c>
      <c r="I4750" s="5"/>
    </row>
    <row r="4751" spans="1:9" x14ac:dyDescent="0.3">
      <c r="B4751" s="5" t="s">
        <v>4234</v>
      </c>
      <c r="C4751" s="5" t="s">
        <v>844</v>
      </c>
      <c r="D4751" s="5" t="s">
        <v>4290</v>
      </c>
      <c r="E4751" s="5" t="s">
        <v>2987</v>
      </c>
      <c r="F4751" s="5" t="s">
        <v>831</v>
      </c>
      <c r="G4751" s="5" t="s">
        <v>832</v>
      </c>
      <c r="H4751" s="5"/>
      <c r="I4751" s="6">
        <v>60000</v>
      </c>
    </row>
    <row r="4752" spans="1:9" x14ac:dyDescent="0.3">
      <c r="B4752" s="5" t="s">
        <v>4234</v>
      </c>
      <c r="C4752" s="5" t="s">
        <v>844</v>
      </c>
      <c r="D4752" s="5" t="s">
        <v>4290</v>
      </c>
      <c r="E4752" s="5" t="s">
        <v>1993</v>
      </c>
      <c r="F4752" s="5" t="s">
        <v>867</v>
      </c>
      <c r="G4752" s="5" t="s">
        <v>868</v>
      </c>
      <c r="H4752" s="5"/>
      <c r="I4752" s="6">
        <v>9600</v>
      </c>
    </row>
    <row r="4753" spans="1:9" x14ac:dyDescent="0.3">
      <c r="A4753" s="7" t="s">
        <v>4291</v>
      </c>
      <c r="H4753" s="8">
        <f>H4750+H4751+H4752</f>
        <v>69600</v>
      </c>
      <c r="I4753" s="8">
        <f>I4750+I4751+I4752</f>
        <v>69600</v>
      </c>
    </row>
    <row r="4754" spans="1:9" x14ac:dyDescent="0.3">
      <c r="A4754" s="4" t="s">
        <v>4292</v>
      </c>
    </row>
    <row r="4755" spans="1:9" x14ac:dyDescent="0.3">
      <c r="B4755" s="5" t="s">
        <v>4234</v>
      </c>
      <c r="C4755" s="5" t="s">
        <v>844</v>
      </c>
      <c r="D4755" s="5" t="s">
        <v>4293</v>
      </c>
      <c r="E4755" s="5" t="s">
        <v>2750</v>
      </c>
      <c r="F4755" s="5" t="s">
        <v>847</v>
      </c>
      <c r="G4755" s="5" t="s">
        <v>848</v>
      </c>
      <c r="H4755" s="6">
        <v>69600</v>
      </c>
      <c r="I4755" s="5"/>
    </row>
    <row r="4756" spans="1:9" x14ac:dyDescent="0.3">
      <c r="B4756" s="5" t="s">
        <v>4234</v>
      </c>
      <c r="C4756" s="5" t="s">
        <v>844</v>
      </c>
      <c r="D4756" s="5" t="s">
        <v>4293</v>
      </c>
      <c r="E4756" s="5" t="s">
        <v>2987</v>
      </c>
      <c r="F4756" s="5" t="s">
        <v>831</v>
      </c>
      <c r="G4756" s="5" t="s">
        <v>832</v>
      </c>
      <c r="H4756" s="5"/>
      <c r="I4756" s="6">
        <v>60000</v>
      </c>
    </row>
    <row r="4757" spans="1:9" x14ac:dyDescent="0.3">
      <c r="B4757" s="5" t="s">
        <v>4234</v>
      </c>
      <c r="C4757" s="5" t="s">
        <v>844</v>
      </c>
      <c r="D4757" s="5" t="s">
        <v>4293</v>
      </c>
      <c r="E4757" s="5" t="s">
        <v>1993</v>
      </c>
      <c r="F4757" s="5" t="s">
        <v>867</v>
      </c>
      <c r="G4757" s="5" t="s">
        <v>868</v>
      </c>
      <c r="H4757" s="5"/>
      <c r="I4757" s="6">
        <v>9600</v>
      </c>
    </row>
    <row r="4758" spans="1:9" x14ac:dyDescent="0.3">
      <c r="A4758" s="7" t="s">
        <v>4294</v>
      </c>
      <c r="H4758" s="8">
        <f>H4755+H4756+H4757</f>
        <v>69600</v>
      </c>
      <c r="I4758" s="8">
        <f>I4755+I4756+I4757</f>
        <v>69600</v>
      </c>
    </row>
    <row r="4759" spans="1:9" x14ac:dyDescent="0.3">
      <c r="A4759" s="4" t="s">
        <v>4295</v>
      </c>
    </row>
    <row r="4760" spans="1:9" x14ac:dyDescent="0.3">
      <c r="B4760" s="5" t="s">
        <v>4296</v>
      </c>
      <c r="C4760" s="5" t="s">
        <v>10</v>
      </c>
      <c r="D4760" s="5" t="s">
        <v>4297</v>
      </c>
      <c r="E4760" s="5" t="s">
        <v>533</v>
      </c>
      <c r="F4760" s="5" t="s">
        <v>61</v>
      </c>
      <c r="G4760" s="5" t="s">
        <v>62</v>
      </c>
      <c r="H4760" s="6">
        <v>990</v>
      </c>
      <c r="I4760" s="5"/>
    </row>
    <row r="4761" spans="1:9" x14ac:dyDescent="0.3">
      <c r="B4761" s="5" t="s">
        <v>4296</v>
      </c>
      <c r="C4761" s="5" t="s">
        <v>10</v>
      </c>
      <c r="D4761" s="5" t="s">
        <v>4297</v>
      </c>
      <c r="E4761" s="5" t="s">
        <v>533</v>
      </c>
      <c r="F4761" s="5" t="s">
        <v>1643</v>
      </c>
      <c r="G4761" s="5" t="s">
        <v>1644</v>
      </c>
      <c r="H4761" s="5"/>
      <c r="I4761" s="6">
        <v>990</v>
      </c>
    </row>
    <row r="4762" spans="1:9" x14ac:dyDescent="0.3">
      <c r="A4762" s="7" t="s">
        <v>4298</v>
      </c>
      <c r="H4762" s="8">
        <f>H4760+H4761</f>
        <v>990</v>
      </c>
      <c r="I4762" s="8">
        <f>I4760+I4761</f>
        <v>990</v>
      </c>
    </row>
    <row r="4763" spans="1:9" x14ac:dyDescent="0.3">
      <c r="A4763" s="4" t="s">
        <v>4299</v>
      </c>
    </row>
    <row r="4764" spans="1:9" x14ac:dyDescent="0.3">
      <c r="B4764" s="5" t="s">
        <v>4296</v>
      </c>
      <c r="C4764" s="5" t="s">
        <v>10</v>
      </c>
      <c r="D4764" s="5" t="s">
        <v>4300</v>
      </c>
      <c r="E4764" s="5" t="s">
        <v>3106</v>
      </c>
      <c r="F4764" s="5" t="s">
        <v>113</v>
      </c>
      <c r="G4764" s="5" t="s">
        <v>114</v>
      </c>
      <c r="H4764" s="6">
        <v>935</v>
      </c>
      <c r="I4764" s="5"/>
    </row>
    <row r="4765" spans="1:9" x14ac:dyDescent="0.3">
      <c r="B4765" s="5" t="s">
        <v>4296</v>
      </c>
      <c r="C4765" s="5" t="s">
        <v>10</v>
      </c>
      <c r="D4765" s="5" t="s">
        <v>4300</v>
      </c>
      <c r="E4765" s="5" t="s">
        <v>3106</v>
      </c>
      <c r="F4765" s="5" t="s">
        <v>1643</v>
      </c>
      <c r="G4765" s="5" t="s">
        <v>1644</v>
      </c>
      <c r="H4765" s="5"/>
      <c r="I4765" s="6">
        <v>935</v>
      </c>
    </row>
    <row r="4766" spans="1:9" x14ac:dyDescent="0.3">
      <c r="A4766" s="7" t="s">
        <v>4301</v>
      </c>
      <c r="H4766" s="8">
        <f>H4764+H4765</f>
        <v>935</v>
      </c>
      <c r="I4766" s="8">
        <f>I4764+I4765</f>
        <v>935</v>
      </c>
    </row>
    <row r="4767" spans="1:9" x14ac:dyDescent="0.3">
      <c r="A4767" s="4" t="s">
        <v>4302</v>
      </c>
    </row>
    <row r="4768" spans="1:9" x14ac:dyDescent="0.3">
      <c r="B4768" s="5" t="s">
        <v>4296</v>
      </c>
      <c r="C4768" s="5" t="s">
        <v>10</v>
      </c>
      <c r="D4768" s="5" t="s">
        <v>4303</v>
      </c>
      <c r="E4768" s="5" t="s">
        <v>4304</v>
      </c>
      <c r="F4768" s="5" t="s">
        <v>67</v>
      </c>
      <c r="G4768" s="5" t="s">
        <v>68</v>
      </c>
      <c r="H4768" s="6">
        <v>200</v>
      </c>
      <c r="I4768" s="5"/>
    </row>
    <row r="4769" spans="1:9" x14ac:dyDescent="0.3">
      <c r="B4769" s="5" t="s">
        <v>4296</v>
      </c>
      <c r="C4769" s="5" t="s">
        <v>10</v>
      </c>
      <c r="D4769" s="5" t="s">
        <v>4303</v>
      </c>
      <c r="E4769" s="5" t="s">
        <v>4304</v>
      </c>
      <c r="F4769" s="5" t="s">
        <v>1643</v>
      </c>
      <c r="G4769" s="5" t="s">
        <v>1644</v>
      </c>
      <c r="H4769" s="5"/>
      <c r="I4769" s="6">
        <v>200</v>
      </c>
    </row>
    <row r="4770" spans="1:9" x14ac:dyDescent="0.3">
      <c r="B4770" s="5" t="s">
        <v>4296</v>
      </c>
      <c r="C4770" s="5" t="s">
        <v>10</v>
      </c>
      <c r="D4770" s="5" t="s">
        <v>4303</v>
      </c>
      <c r="E4770" s="5" t="s">
        <v>4305</v>
      </c>
      <c r="F4770" s="5" t="s">
        <v>95</v>
      </c>
      <c r="G4770" s="5" t="s">
        <v>96</v>
      </c>
      <c r="H4770" s="6">
        <v>200</v>
      </c>
      <c r="I4770" s="5"/>
    </row>
    <row r="4771" spans="1:9" x14ac:dyDescent="0.3">
      <c r="B4771" s="5" t="s">
        <v>4296</v>
      </c>
      <c r="C4771" s="5" t="s">
        <v>10</v>
      </c>
      <c r="D4771" s="5" t="s">
        <v>4303</v>
      </c>
      <c r="E4771" s="5" t="s">
        <v>4305</v>
      </c>
      <c r="F4771" s="5" t="s">
        <v>1643</v>
      </c>
      <c r="G4771" s="5" t="s">
        <v>1644</v>
      </c>
      <c r="H4771" s="5"/>
      <c r="I4771" s="6">
        <v>200</v>
      </c>
    </row>
    <row r="4772" spans="1:9" x14ac:dyDescent="0.3">
      <c r="A4772" s="7" t="s">
        <v>4306</v>
      </c>
      <c r="H4772" s="8">
        <f>H4768+H4769+H4770+H4771</f>
        <v>400</v>
      </c>
      <c r="I4772" s="8">
        <f>I4768+I4769+I4770+I4771</f>
        <v>400</v>
      </c>
    </row>
    <row r="4773" spans="1:9" x14ac:dyDescent="0.3">
      <c r="A4773" s="4" t="s">
        <v>4307</v>
      </c>
    </row>
    <row r="4774" spans="1:9" x14ac:dyDescent="0.3">
      <c r="B4774" s="5" t="s">
        <v>4296</v>
      </c>
      <c r="C4774" s="5" t="s">
        <v>10</v>
      </c>
      <c r="D4774" s="5" t="s">
        <v>4308</v>
      </c>
      <c r="E4774" s="5" t="s">
        <v>4309</v>
      </c>
      <c r="F4774" s="5" t="s">
        <v>831</v>
      </c>
      <c r="G4774" s="5" t="s">
        <v>832</v>
      </c>
      <c r="H4774" s="6">
        <v>250000</v>
      </c>
      <c r="I4774" s="5"/>
    </row>
    <row r="4775" spans="1:9" x14ac:dyDescent="0.3">
      <c r="B4775" s="5" t="s">
        <v>4296</v>
      </c>
      <c r="C4775" s="5" t="s">
        <v>10</v>
      </c>
      <c r="D4775" s="5" t="s">
        <v>4308</v>
      </c>
      <c r="E4775" s="5" t="s">
        <v>4310</v>
      </c>
      <c r="F4775" s="5" t="s">
        <v>831</v>
      </c>
      <c r="G4775" s="5" t="s">
        <v>832</v>
      </c>
      <c r="H4775" s="6">
        <v>120000</v>
      </c>
      <c r="I4775" s="5"/>
    </row>
    <row r="4776" spans="1:9" x14ac:dyDescent="0.3">
      <c r="B4776" s="5" t="s">
        <v>4296</v>
      </c>
      <c r="C4776" s="5" t="s">
        <v>10</v>
      </c>
      <c r="D4776" s="5" t="s">
        <v>4308</v>
      </c>
      <c r="E4776" s="5" t="s">
        <v>4311</v>
      </c>
      <c r="F4776" s="5" t="s">
        <v>831</v>
      </c>
      <c r="G4776" s="5" t="s">
        <v>832</v>
      </c>
      <c r="H4776" s="6">
        <v>350000</v>
      </c>
      <c r="I4776" s="5"/>
    </row>
    <row r="4777" spans="1:9" x14ac:dyDescent="0.3">
      <c r="B4777" s="5" t="s">
        <v>4296</v>
      </c>
      <c r="C4777" s="5" t="s">
        <v>10</v>
      </c>
      <c r="D4777" s="5" t="s">
        <v>4308</v>
      </c>
      <c r="E4777" s="5" t="s">
        <v>4312</v>
      </c>
      <c r="F4777" s="5" t="s">
        <v>831</v>
      </c>
      <c r="G4777" s="5" t="s">
        <v>832</v>
      </c>
      <c r="H4777" s="6">
        <v>250000</v>
      </c>
      <c r="I4777" s="5"/>
    </row>
    <row r="4778" spans="1:9" x14ac:dyDescent="0.3">
      <c r="B4778" s="5" t="s">
        <v>4296</v>
      </c>
      <c r="C4778" s="5" t="s">
        <v>10</v>
      </c>
      <c r="D4778" s="5" t="s">
        <v>4308</v>
      </c>
      <c r="E4778" s="5" t="s">
        <v>4313</v>
      </c>
      <c r="F4778" s="5" t="s">
        <v>831</v>
      </c>
      <c r="G4778" s="5" t="s">
        <v>832</v>
      </c>
      <c r="H4778" s="6">
        <v>50000</v>
      </c>
      <c r="I4778" s="5"/>
    </row>
    <row r="4779" spans="1:9" x14ac:dyDescent="0.3">
      <c r="B4779" s="5" t="s">
        <v>4296</v>
      </c>
      <c r="C4779" s="5" t="s">
        <v>10</v>
      </c>
      <c r="D4779" s="5" t="s">
        <v>4308</v>
      </c>
      <c r="E4779" s="5" t="s">
        <v>4314</v>
      </c>
      <c r="F4779" s="5" t="s">
        <v>3901</v>
      </c>
      <c r="G4779" s="5" t="s">
        <v>3902</v>
      </c>
      <c r="H4779" s="5"/>
      <c r="I4779" s="6">
        <v>1020000</v>
      </c>
    </row>
    <row r="4780" spans="1:9" x14ac:dyDescent="0.3">
      <c r="A4780" s="7" t="s">
        <v>4315</v>
      </c>
      <c r="H4780" s="8">
        <f>H4774+H4775+H4776+H4777+H4778+H4779</f>
        <v>1020000</v>
      </c>
      <c r="I4780" s="8">
        <f>I4774+I4775+I4776+I4777+I4778+I4779</f>
        <v>1020000</v>
      </c>
    </row>
    <row r="4781" spans="1:9" x14ac:dyDescent="0.3">
      <c r="A4781" s="4" t="s">
        <v>4316</v>
      </c>
    </row>
    <row r="4782" spans="1:9" x14ac:dyDescent="0.3">
      <c r="B4782" s="5" t="s">
        <v>4296</v>
      </c>
      <c r="C4782" s="5" t="s">
        <v>10</v>
      </c>
      <c r="D4782" s="5" t="s">
        <v>4317</v>
      </c>
      <c r="E4782" s="5" t="s">
        <v>4318</v>
      </c>
      <c r="F4782" s="5" t="s">
        <v>867</v>
      </c>
      <c r="G4782" s="5" t="s">
        <v>868</v>
      </c>
      <c r="H4782" s="6">
        <v>454</v>
      </c>
      <c r="I4782" s="5"/>
    </row>
    <row r="4783" spans="1:9" x14ac:dyDescent="0.3">
      <c r="B4783" s="5" t="s">
        <v>4296</v>
      </c>
      <c r="C4783" s="5" t="s">
        <v>10</v>
      </c>
      <c r="D4783" s="5" t="s">
        <v>4317</v>
      </c>
      <c r="E4783" s="5" t="s">
        <v>4318</v>
      </c>
      <c r="F4783" s="5" t="s">
        <v>2729</v>
      </c>
      <c r="G4783" s="5" t="s">
        <v>2730</v>
      </c>
      <c r="H4783" s="5"/>
      <c r="I4783" s="6">
        <v>454</v>
      </c>
    </row>
    <row r="4784" spans="1:9" x14ac:dyDescent="0.3">
      <c r="A4784" s="7" t="s">
        <v>4319</v>
      </c>
      <c r="H4784" s="8">
        <f>H4782+H4783</f>
        <v>454</v>
      </c>
      <c r="I4784" s="8">
        <f>I4782+I4783</f>
        <v>454</v>
      </c>
    </row>
    <row r="4785" spans="1:9" x14ac:dyDescent="0.3">
      <c r="A4785" s="4" t="s">
        <v>4320</v>
      </c>
    </row>
    <row r="4786" spans="1:9" x14ac:dyDescent="0.3">
      <c r="B4786" s="5" t="s">
        <v>4296</v>
      </c>
      <c r="C4786" s="5" t="s">
        <v>844</v>
      </c>
      <c r="D4786" s="5" t="s">
        <v>4321</v>
      </c>
      <c r="E4786" s="5" t="s">
        <v>2750</v>
      </c>
      <c r="F4786" s="5" t="s">
        <v>847</v>
      </c>
      <c r="G4786" s="5" t="s">
        <v>848</v>
      </c>
      <c r="H4786" s="6">
        <v>290000</v>
      </c>
      <c r="I4786" s="5"/>
    </row>
    <row r="4787" spans="1:9" x14ac:dyDescent="0.3">
      <c r="B4787" s="5" t="s">
        <v>4296</v>
      </c>
      <c r="C4787" s="5" t="s">
        <v>844</v>
      </c>
      <c r="D4787" s="5" t="s">
        <v>4321</v>
      </c>
      <c r="E4787" s="5" t="s">
        <v>2987</v>
      </c>
      <c r="F4787" s="5" t="s">
        <v>831</v>
      </c>
      <c r="G4787" s="5" t="s">
        <v>832</v>
      </c>
      <c r="H4787" s="5"/>
      <c r="I4787" s="6">
        <v>250000</v>
      </c>
    </row>
    <row r="4788" spans="1:9" x14ac:dyDescent="0.3">
      <c r="B4788" s="5" t="s">
        <v>4296</v>
      </c>
      <c r="C4788" s="5" t="s">
        <v>844</v>
      </c>
      <c r="D4788" s="5" t="s">
        <v>4321</v>
      </c>
      <c r="E4788" s="5" t="s">
        <v>1993</v>
      </c>
      <c r="F4788" s="5" t="s">
        <v>867</v>
      </c>
      <c r="G4788" s="5" t="s">
        <v>868</v>
      </c>
      <c r="H4788" s="5"/>
      <c r="I4788" s="6">
        <v>40000</v>
      </c>
    </row>
    <row r="4789" spans="1:9" x14ac:dyDescent="0.3">
      <c r="A4789" s="7" t="s">
        <v>4322</v>
      </c>
      <c r="H4789" s="8">
        <f>H4786+H4787+H4788</f>
        <v>290000</v>
      </c>
      <c r="I4789" s="8">
        <f>I4786+I4787+I4788</f>
        <v>290000</v>
      </c>
    </row>
    <row r="4790" spans="1:9" x14ac:dyDescent="0.3">
      <c r="A4790" s="4" t="s">
        <v>4323</v>
      </c>
    </row>
    <row r="4791" spans="1:9" x14ac:dyDescent="0.3">
      <c r="B4791" s="5" t="s">
        <v>4296</v>
      </c>
      <c r="C4791" s="5" t="s">
        <v>844</v>
      </c>
      <c r="D4791" s="5" t="s">
        <v>4324</v>
      </c>
      <c r="E4791" s="5" t="s">
        <v>2750</v>
      </c>
      <c r="F4791" s="5" t="s">
        <v>847</v>
      </c>
      <c r="G4791" s="5" t="s">
        <v>848</v>
      </c>
      <c r="H4791" s="6">
        <v>139200</v>
      </c>
      <c r="I4791" s="5"/>
    </row>
    <row r="4792" spans="1:9" x14ac:dyDescent="0.3">
      <c r="B4792" s="5" t="s">
        <v>4296</v>
      </c>
      <c r="C4792" s="5" t="s">
        <v>844</v>
      </c>
      <c r="D4792" s="5" t="s">
        <v>4324</v>
      </c>
      <c r="E4792" s="5" t="s">
        <v>2987</v>
      </c>
      <c r="F4792" s="5" t="s">
        <v>831</v>
      </c>
      <c r="G4792" s="5" t="s">
        <v>832</v>
      </c>
      <c r="H4792" s="5"/>
      <c r="I4792" s="6">
        <v>120000</v>
      </c>
    </row>
    <row r="4793" spans="1:9" x14ac:dyDescent="0.3">
      <c r="B4793" s="5" t="s">
        <v>4296</v>
      </c>
      <c r="C4793" s="5" t="s">
        <v>844</v>
      </c>
      <c r="D4793" s="5" t="s">
        <v>4324</v>
      </c>
      <c r="E4793" s="5" t="s">
        <v>1993</v>
      </c>
      <c r="F4793" s="5" t="s">
        <v>867</v>
      </c>
      <c r="G4793" s="5" t="s">
        <v>868</v>
      </c>
      <c r="H4793" s="5"/>
      <c r="I4793" s="6">
        <v>19200</v>
      </c>
    </row>
    <row r="4794" spans="1:9" x14ac:dyDescent="0.3">
      <c r="A4794" s="7" t="s">
        <v>4325</v>
      </c>
      <c r="H4794" s="8">
        <f>H4791+H4792+H4793</f>
        <v>139200</v>
      </c>
      <c r="I4794" s="8">
        <f>I4791+I4792+I4793</f>
        <v>139200</v>
      </c>
    </row>
    <row r="4795" spans="1:9" x14ac:dyDescent="0.3">
      <c r="A4795" s="4" t="s">
        <v>4326</v>
      </c>
    </row>
    <row r="4796" spans="1:9" x14ac:dyDescent="0.3">
      <c r="B4796" s="5" t="s">
        <v>4296</v>
      </c>
      <c r="C4796" s="5" t="s">
        <v>844</v>
      </c>
      <c r="D4796" s="5" t="s">
        <v>4327</v>
      </c>
      <c r="E4796" s="5" t="s">
        <v>2750</v>
      </c>
      <c r="F4796" s="5" t="s">
        <v>847</v>
      </c>
      <c r="G4796" s="5" t="s">
        <v>848</v>
      </c>
      <c r="H4796" s="6">
        <v>406000</v>
      </c>
      <c r="I4796" s="5"/>
    </row>
    <row r="4797" spans="1:9" x14ac:dyDescent="0.3">
      <c r="B4797" s="5" t="s">
        <v>4296</v>
      </c>
      <c r="C4797" s="5" t="s">
        <v>844</v>
      </c>
      <c r="D4797" s="5" t="s">
        <v>4327</v>
      </c>
      <c r="E4797" s="5" t="s">
        <v>2987</v>
      </c>
      <c r="F4797" s="5" t="s">
        <v>831</v>
      </c>
      <c r="G4797" s="5" t="s">
        <v>832</v>
      </c>
      <c r="H4797" s="5"/>
      <c r="I4797" s="6">
        <v>350000</v>
      </c>
    </row>
    <row r="4798" spans="1:9" x14ac:dyDescent="0.3">
      <c r="B4798" s="5" t="s">
        <v>4296</v>
      </c>
      <c r="C4798" s="5" t="s">
        <v>844</v>
      </c>
      <c r="D4798" s="5" t="s">
        <v>4327</v>
      </c>
      <c r="E4798" s="5" t="s">
        <v>1993</v>
      </c>
      <c r="F4798" s="5" t="s">
        <v>867</v>
      </c>
      <c r="G4798" s="5" t="s">
        <v>868</v>
      </c>
      <c r="H4798" s="5"/>
      <c r="I4798" s="6">
        <v>56000</v>
      </c>
    </row>
    <row r="4799" spans="1:9" x14ac:dyDescent="0.3">
      <c r="A4799" s="7" t="s">
        <v>4328</v>
      </c>
      <c r="H4799" s="8">
        <f>H4796+H4797+H4798</f>
        <v>406000</v>
      </c>
      <c r="I4799" s="8">
        <f>I4796+I4797+I4798</f>
        <v>406000</v>
      </c>
    </row>
    <row r="4800" spans="1:9" x14ac:dyDescent="0.3">
      <c r="A4800" s="4" t="s">
        <v>4329</v>
      </c>
    </row>
    <row r="4801" spans="1:9" x14ac:dyDescent="0.3">
      <c r="B4801" s="5" t="s">
        <v>4296</v>
      </c>
      <c r="C4801" s="5" t="s">
        <v>844</v>
      </c>
      <c r="D4801" s="5" t="s">
        <v>4330</v>
      </c>
      <c r="E4801" s="5" t="s">
        <v>2750</v>
      </c>
      <c r="F4801" s="5" t="s">
        <v>847</v>
      </c>
      <c r="G4801" s="5" t="s">
        <v>848</v>
      </c>
      <c r="H4801" s="6">
        <v>290000</v>
      </c>
      <c r="I4801" s="5"/>
    </row>
    <row r="4802" spans="1:9" x14ac:dyDescent="0.3">
      <c r="B4802" s="5" t="s">
        <v>4296</v>
      </c>
      <c r="C4802" s="5" t="s">
        <v>844</v>
      </c>
      <c r="D4802" s="5" t="s">
        <v>4330</v>
      </c>
      <c r="E4802" s="5" t="s">
        <v>2987</v>
      </c>
      <c r="F4802" s="5" t="s">
        <v>831</v>
      </c>
      <c r="G4802" s="5" t="s">
        <v>832</v>
      </c>
      <c r="H4802" s="5"/>
      <c r="I4802" s="6">
        <v>250000</v>
      </c>
    </row>
    <row r="4803" spans="1:9" x14ac:dyDescent="0.3">
      <c r="B4803" s="5" t="s">
        <v>4296</v>
      </c>
      <c r="C4803" s="5" t="s">
        <v>844</v>
      </c>
      <c r="D4803" s="5" t="s">
        <v>4330</v>
      </c>
      <c r="E4803" s="5" t="s">
        <v>1993</v>
      </c>
      <c r="F4803" s="5" t="s">
        <v>867</v>
      </c>
      <c r="G4803" s="5" t="s">
        <v>868</v>
      </c>
      <c r="H4803" s="5"/>
      <c r="I4803" s="6">
        <v>40000</v>
      </c>
    </row>
    <row r="4804" spans="1:9" x14ac:dyDescent="0.3">
      <c r="A4804" s="7" t="s">
        <v>4331</v>
      </c>
      <c r="H4804" s="8">
        <f>H4801+H4802+H4803</f>
        <v>290000</v>
      </c>
      <c r="I4804" s="8">
        <f>I4801+I4802+I4803</f>
        <v>290000</v>
      </c>
    </row>
    <row r="4805" spans="1:9" x14ac:dyDescent="0.3">
      <c r="A4805" s="4" t="s">
        <v>4332</v>
      </c>
    </row>
    <row r="4806" spans="1:9" x14ac:dyDescent="0.3">
      <c r="B4806" s="5" t="s">
        <v>4296</v>
      </c>
      <c r="C4806" s="5" t="s">
        <v>2745</v>
      </c>
      <c r="D4806" s="5" t="s">
        <v>2750</v>
      </c>
      <c r="E4806" s="5" t="s">
        <v>2750</v>
      </c>
      <c r="F4806" s="5" t="s">
        <v>2748</v>
      </c>
      <c r="G4806" s="5" t="s">
        <v>2749</v>
      </c>
      <c r="H4806" s="6">
        <v>2520</v>
      </c>
      <c r="I4806" s="5"/>
    </row>
    <row r="4807" spans="1:9" x14ac:dyDescent="0.3">
      <c r="B4807" s="5" t="s">
        <v>4296</v>
      </c>
      <c r="C4807" s="5" t="s">
        <v>2745</v>
      </c>
      <c r="D4807" s="5" t="s">
        <v>2750</v>
      </c>
      <c r="E4807" s="5" t="s">
        <v>2750</v>
      </c>
      <c r="F4807" s="5" t="s">
        <v>847</v>
      </c>
      <c r="G4807" s="5" t="s">
        <v>848</v>
      </c>
      <c r="H4807" s="5"/>
      <c r="I4807" s="6">
        <v>2520</v>
      </c>
    </row>
    <row r="4808" spans="1:9" x14ac:dyDescent="0.3">
      <c r="A4808" s="7" t="s">
        <v>4333</v>
      </c>
      <c r="H4808" s="8">
        <f>H4806+H4807</f>
        <v>2520</v>
      </c>
      <c r="I4808" s="8">
        <f>I4806+I4807</f>
        <v>2520</v>
      </c>
    </row>
    <row r="4809" spans="1:9" x14ac:dyDescent="0.3">
      <c r="A4809" s="4" t="s">
        <v>4334</v>
      </c>
    </row>
    <row r="4810" spans="1:9" x14ac:dyDescent="0.3">
      <c r="B4810" s="5" t="s">
        <v>4335</v>
      </c>
      <c r="C4810" s="5" t="s">
        <v>10</v>
      </c>
      <c r="D4810" s="5" t="s">
        <v>4336</v>
      </c>
      <c r="E4810" s="5" t="s">
        <v>4337</v>
      </c>
      <c r="F4810" s="5" t="s">
        <v>67</v>
      </c>
      <c r="G4810" s="5" t="s">
        <v>68</v>
      </c>
      <c r="H4810" s="6">
        <v>50</v>
      </c>
      <c r="I4810" s="5"/>
    </row>
    <row r="4811" spans="1:9" x14ac:dyDescent="0.3">
      <c r="B4811" s="5" t="s">
        <v>4335</v>
      </c>
      <c r="C4811" s="5" t="s">
        <v>10</v>
      </c>
      <c r="D4811" s="5" t="s">
        <v>4336</v>
      </c>
      <c r="E4811" s="5" t="s">
        <v>4337</v>
      </c>
      <c r="F4811" s="5" t="s">
        <v>1643</v>
      </c>
      <c r="G4811" s="5" t="s">
        <v>1644</v>
      </c>
      <c r="H4811" s="5"/>
      <c r="I4811" s="6">
        <v>50</v>
      </c>
    </row>
    <row r="4812" spans="1:9" x14ac:dyDescent="0.3">
      <c r="A4812" s="7" t="s">
        <v>4338</v>
      </c>
      <c r="H4812" s="8">
        <f>H4810+H4811</f>
        <v>50</v>
      </c>
      <c r="I4812" s="8">
        <f>I4810+I4811</f>
        <v>50</v>
      </c>
    </row>
    <row r="4813" spans="1:9" x14ac:dyDescent="0.3">
      <c r="A4813" s="4" t="s">
        <v>4339</v>
      </c>
    </row>
    <row r="4814" spans="1:9" x14ac:dyDescent="0.3">
      <c r="B4814" s="5" t="s">
        <v>4335</v>
      </c>
      <c r="C4814" s="5" t="s">
        <v>10</v>
      </c>
      <c r="D4814" s="5" t="s">
        <v>4340</v>
      </c>
      <c r="E4814" s="5" t="s">
        <v>3956</v>
      </c>
      <c r="F4814" s="5" t="s">
        <v>113</v>
      </c>
      <c r="G4814" s="5" t="s">
        <v>114</v>
      </c>
      <c r="H4814" s="6">
        <v>1050</v>
      </c>
      <c r="I4814" s="5"/>
    </row>
    <row r="4815" spans="1:9" x14ac:dyDescent="0.3">
      <c r="B4815" s="5" t="s">
        <v>4335</v>
      </c>
      <c r="C4815" s="5" t="s">
        <v>10</v>
      </c>
      <c r="D4815" s="5" t="s">
        <v>4340</v>
      </c>
      <c r="E4815" s="5" t="s">
        <v>3956</v>
      </c>
      <c r="F4815" s="5" t="s">
        <v>1643</v>
      </c>
      <c r="G4815" s="5" t="s">
        <v>1644</v>
      </c>
      <c r="H4815" s="5"/>
      <c r="I4815" s="6">
        <v>1050</v>
      </c>
    </row>
    <row r="4816" spans="1:9" x14ac:dyDescent="0.3">
      <c r="A4816" s="7" t="s">
        <v>4341</v>
      </c>
      <c r="H4816" s="8">
        <f>H4814+H4815</f>
        <v>1050</v>
      </c>
      <c r="I4816" s="8">
        <f>I4814+I4815</f>
        <v>1050</v>
      </c>
    </row>
    <row r="4817" spans="1:9" x14ac:dyDescent="0.3">
      <c r="A4817" s="4" t="s">
        <v>4342</v>
      </c>
    </row>
    <row r="4818" spans="1:9" x14ac:dyDescent="0.3">
      <c r="B4818" s="5" t="s">
        <v>4335</v>
      </c>
      <c r="C4818" s="5" t="s">
        <v>10</v>
      </c>
      <c r="D4818" s="5" t="s">
        <v>4343</v>
      </c>
      <c r="E4818" s="5" t="s">
        <v>4344</v>
      </c>
      <c r="F4818" s="5" t="s">
        <v>81</v>
      </c>
      <c r="G4818" s="5" t="s">
        <v>82</v>
      </c>
      <c r="H4818" s="6">
        <v>3000</v>
      </c>
      <c r="I4818" s="5"/>
    </row>
    <row r="4819" spans="1:9" x14ac:dyDescent="0.3">
      <c r="B4819" s="5" t="s">
        <v>4335</v>
      </c>
      <c r="C4819" s="5" t="s">
        <v>10</v>
      </c>
      <c r="D4819" s="5" t="s">
        <v>4343</v>
      </c>
      <c r="E4819" s="5" t="s">
        <v>4344</v>
      </c>
      <c r="F4819" s="5" t="s">
        <v>1643</v>
      </c>
      <c r="G4819" s="5" t="s">
        <v>1644</v>
      </c>
      <c r="H4819" s="5"/>
      <c r="I4819" s="6">
        <v>3000</v>
      </c>
    </row>
    <row r="4820" spans="1:9" x14ac:dyDescent="0.3">
      <c r="A4820" s="7" t="s">
        <v>4345</v>
      </c>
      <c r="H4820" s="8">
        <f>H4818+H4819</f>
        <v>3000</v>
      </c>
      <c r="I4820" s="8">
        <f>I4818+I4819</f>
        <v>3000</v>
      </c>
    </row>
    <row r="4821" spans="1:9" x14ac:dyDescent="0.3">
      <c r="A4821" s="4" t="s">
        <v>4346</v>
      </c>
    </row>
    <row r="4822" spans="1:9" x14ac:dyDescent="0.3">
      <c r="B4822" s="5" t="s">
        <v>4335</v>
      </c>
      <c r="C4822" s="5" t="s">
        <v>10</v>
      </c>
      <c r="D4822" s="5" t="s">
        <v>4347</v>
      </c>
      <c r="E4822" s="5" t="s">
        <v>636</v>
      </c>
      <c r="F4822" s="5" t="s">
        <v>61</v>
      </c>
      <c r="G4822" s="5" t="s">
        <v>62</v>
      </c>
      <c r="H4822" s="6">
        <v>490</v>
      </c>
      <c r="I4822" s="5"/>
    </row>
    <row r="4823" spans="1:9" x14ac:dyDescent="0.3">
      <c r="B4823" s="5" t="s">
        <v>4335</v>
      </c>
      <c r="C4823" s="5" t="s">
        <v>10</v>
      </c>
      <c r="D4823" s="5" t="s">
        <v>4347</v>
      </c>
      <c r="E4823" s="5" t="s">
        <v>636</v>
      </c>
      <c r="F4823" s="5" t="s">
        <v>1643</v>
      </c>
      <c r="G4823" s="5" t="s">
        <v>1644</v>
      </c>
      <c r="H4823" s="5"/>
      <c r="I4823" s="6">
        <v>490</v>
      </c>
    </row>
    <row r="4824" spans="1:9" x14ac:dyDescent="0.3">
      <c r="A4824" s="7" t="s">
        <v>4348</v>
      </c>
      <c r="H4824" s="8">
        <f>H4822+H4823</f>
        <v>490</v>
      </c>
      <c r="I4824" s="8">
        <f>I4822+I4823</f>
        <v>490</v>
      </c>
    </row>
    <row r="4825" spans="1:9" x14ac:dyDescent="0.3">
      <c r="A4825" s="4" t="s">
        <v>4349</v>
      </c>
    </row>
    <row r="4826" spans="1:9" x14ac:dyDescent="0.3">
      <c r="B4826" s="5" t="s">
        <v>4335</v>
      </c>
      <c r="C4826" s="5" t="s">
        <v>10</v>
      </c>
      <c r="D4826" s="5" t="s">
        <v>4350</v>
      </c>
      <c r="E4826" s="5" t="s">
        <v>4351</v>
      </c>
      <c r="F4826" s="5" t="s">
        <v>867</v>
      </c>
      <c r="G4826" s="5" t="s">
        <v>868</v>
      </c>
      <c r="H4826" s="6">
        <v>218</v>
      </c>
      <c r="I4826" s="5"/>
    </row>
    <row r="4827" spans="1:9" x14ac:dyDescent="0.3">
      <c r="B4827" s="5" t="s">
        <v>4335</v>
      </c>
      <c r="C4827" s="5" t="s">
        <v>10</v>
      </c>
      <c r="D4827" s="5" t="s">
        <v>4350</v>
      </c>
      <c r="E4827" s="5" t="s">
        <v>4351</v>
      </c>
      <c r="F4827" s="5" t="s">
        <v>2729</v>
      </c>
      <c r="G4827" s="5" t="s">
        <v>2730</v>
      </c>
      <c r="H4827" s="5"/>
      <c r="I4827" s="6">
        <v>218</v>
      </c>
    </row>
    <row r="4828" spans="1:9" x14ac:dyDescent="0.3">
      <c r="A4828" s="7" t="s">
        <v>4352</v>
      </c>
      <c r="H4828" s="8">
        <f>H4826+H4827</f>
        <v>218</v>
      </c>
      <c r="I4828" s="8">
        <f>I4826+I4827</f>
        <v>218</v>
      </c>
    </row>
    <row r="4829" spans="1:9" x14ac:dyDescent="0.3">
      <c r="A4829" s="4" t="s">
        <v>4353</v>
      </c>
    </row>
    <row r="4830" spans="1:9" x14ac:dyDescent="0.3">
      <c r="B4830" s="5" t="s">
        <v>4335</v>
      </c>
      <c r="C4830" s="5" t="s">
        <v>10</v>
      </c>
      <c r="D4830" s="5" t="s">
        <v>4354</v>
      </c>
      <c r="E4830" s="5" t="s">
        <v>4355</v>
      </c>
      <c r="F4830" s="5" t="s">
        <v>1763</v>
      </c>
      <c r="G4830" s="5" t="s">
        <v>1764</v>
      </c>
      <c r="H4830" s="6">
        <v>1364.37</v>
      </c>
      <c r="I4830" s="5"/>
    </row>
    <row r="4831" spans="1:9" x14ac:dyDescent="0.3">
      <c r="B4831" s="5" t="s">
        <v>4335</v>
      </c>
      <c r="C4831" s="5" t="s">
        <v>10</v>
      </c>
      <c r="D4831" s="5" t="s">
        <v>4354</v>
      </c>
      <c r="E4831" s="5" t="s">
        <v>4355</v>
      </c>
      <c r="F4831" s="5" t="s">
        <v>649</v>
      </c>
      <c r="G4831" s="5" t="s">
        <v>650</v>
      </c>
      <c r="H4831" s="5"/>
      <c r="I4831" s="6">
        <v>664.9</v>
      </c>
    </row>
    <row r="4832" spans="1:9" x14ac:dyDescent="0.3">
      <c r="B4832" s="5" t="s">
        <v>4335</v>
      </c>
      <c r="C4832" s="5" t="s">
        <v>10</v>
      </c>
      <c r="D4832" s="5" t="s">
        <v>4354</v>
      </c>
      <c r="E4832" s="5" t="s">
        <v>4355</v>
      </c>
      <c r="F4832" s="5" t="s">
        <v>1799</v>
      </c>
      <c r="G4832" s="5" t="s">
        <v>1800</v>
      </c>
      <c r="H4832" s="5"/>
      <c r="I4832" s="6">
        <v>199.47</v>
      </c>
    </row>
    <row r="4833" spans="1:9" x14ac:dyDescent="0.3">
      <c r="B4833" s="5" t="s">
        <v>4335</v>
      </c>
      <c r="C4833" s="5" t="s">
        <v>10</v>
      </c>
      <c r="D4833" s="5" t="s">
        <v>4354</v>
      </c>
      <c r="E4833" s="5" t="s">
        <v>4355</v>
      </c>
      <c r="F4833" s="5" t="s">
        <v>1793</v>
      </c>
      <c r="G4833" s="5" t="s">
        <v>1794</v>
      </c>
      <c r="H4833" s="5"/>
      <c r="I4833" s="6">
        <v>150</v>
      </c>
    </row>
    <row r="4834" spans="1:9" x14ac:dyDescent="0.3">
      <c r="B4834" s="5" t="s">
        <v>4335</v>
      </c>
      <c r="C4834" s="5" t="s">
        <v>10</v>
      </c>
      <c r="D4834" s="5" t="s">
        <v>4354</v>
      </c>
      <c r="E4834" s="5" t="s">
        <v>4355</v>
      </c>
      <c r="F4834" s="5" t="s">
        <v>2748</v>
      </c>
      <c r="G4834" s="5" t="s">
        <v>2749</v>
      </c>
      <c r="H4834" s="5"/>
      <c r="I4834" s="6">
        <v>350</v>
      </c>
    </row>
    <row r="4835" spans="1:9" x14ac:dyDescent="0.3">
      <c r="A4835" s="7" t="s">
        <v>4356</v>
      </c>
      <c r="H4835" s="8">
        <f>H4830+H4831+H4832+H4833+H4834</f>
        <v>1364.37</v>
      </c>
      <c r="I4835" s="8">
        <f>I4830+I4831+I4832+I4833+I4834</f>
        <v>1364.37</v>
      </c>
    </row>
    <row r="4836" spans="1:9" x14ac:dyDescent="0.3">
      <c r="A4836" s="4" t="s">
        <v>4357</v>
      </c>
    </row>
    <row r="4837" spans="1:9" x14ac:dyDescent="0.3">
      <c r="B4837" s="5" t="s">
        <v>4335</v>
      </c>
      <c r="C4837" s="5" t="s">
        <v>10</v>
      </c>
      <c r="D4837" s="5" t="s">
        <v>4358</v>
      </c>
      <c r="E4837" s="5" t="s">
        <v>4359</v>
      </c>
      <c r="F4837" s="5" t="s">
        <v>1339</v>
      </c>
      <c r="G4837" s="5" t="s">
        <v>1340</v>
      </c>
      <c r="H4837" s="6">
        <v>7000</v>
      </c>
      <c r="I4837" s="5"/>
    </row>
    <row r="4838" spans="1:9" x14ac:dyDescent="0.3">
      <c r="B4838" s="5" t="s">
        <v>4335</v>
      </c>
      <c r="C4838" s="5" t="s">
        <v>10</v>
      </c>
      <c r="D4838" s="5" t="s">
        <v>4358</v>
      </c>
      <c r="E4838" s="5" t="s">
        <v>4360</v>
      </c>
      <c r="F4838" s="5" t="s">
        <v>1339</v>
      </c>
      <c r="G4838" s="5" t="s">
        <v>1340</v>
      </c>
      <c r="H4838" s="6">
        <v>6000</v>
      </c>
      <c r="I4838" s="5"/>
    </row>
    <row r="4839" spans="1:9" x14ac:dyDescent="0.3">
      <c r="B4839" s="5" t="s">
        <v>4335</v>
      </c>
      <c r="C4839" s="5" t="s">
        <v>10</v>
      </c>
      <c r="D4839" s="5" t="s">
        <v>4358</v>
      </c>
      <c r="E4839" s="5" t="s">
        <v>4361</v>
      </c>
      <c r="F4839" s="5" t="s">
        <v>1339</v>
      </c>
      <c r="G4839" s="5" t="s">
        <v>1340</v>
      </c>
      <c r="H4839" s="6">
        <v>6000</v>
      </c>
      <c r="I4839" s="5"/>
    </row>
    <row r="4840" spans="1:9" x14ac:dyDescent="0.3">
      <c r="B4840" s="5" t="s">
        <v>4335</v>
      </c>
      <c r="C4840" s="5" t="s">
        <v>10</v>
      </c>
      <c r="D4840" s="5" t="s">
        <v>4358</v>
      </c>
      <c r="E4840" s="5" t="s">
        <v>4361</v>
      </c>
      <c r="F4840" s="5" t="s">
        <v>437</v>
      </c>
      <c r="G4840" s="5" t="s">
        <v>438</v>
      </c>
      <c r="H4840" s="6">
        <v>12000</v>
      </c>
      <c r="I4840" s="5"/>
    </row>
    <row r="4841" spans="1:9" x14ac:dyDescent="0.3">
      <c r="B4841" s="5" t="s">
        <v>4335</v>
      </c>
      <c r="C4841" s="5" t="s">
        <v>10</v>
      </c>
      <c r="D4841" s="5" t="s">
        <v>4358</v>
      </c>
      <c r="E4841" s="5" t="s">
        <v>4360</v>
      </c>
      <c r="F4841" s="5" t="s">
        <v>437</v>
      </c>
      <c r="G4841" s="5" t="s">
        <v>438</v>
      </c>
      <c r="H4841" s="6">
        <v>6000</v>
      </c>
      <c r="I4841" s="5"/>
    </row>
    <row r="4842" spans="1:9" x14ac:dyDescent="0.3">
      <c r="B4842" s="5" t="s">
        <v>4335</v>
      </c>
      <c r="C4842" s="5" t="s">
        <v>10</v>
      </c>
      <c r="D4842" s="5" t="s">
        <v>4358</v>
      </c>
      <c r="E4842" s="5" t="s">
        <v>4362</v>
      </c>
      <c r="F4842" s="5" t="s">
        <v>437</v>
      </c>
      <c r="G4842" s="5" t="s">
        <v>438</v>
      </c>
      <c r="H4842" s="6">
        <v>283838</v>
      </c>
      <c r="I4842" s="5"/>
    </row>
    <row r="4843" spans="1:9" x14ac:dyDescent="0.3">
      <c r="B4843" s="5" t="s">
        <v>4335</v>
      </c>
      <c r="C4843" s="5" t="s">
        <v>10</v>
      </c>
      <c r="D4843" s="5" t="s">
        <v>4358</v>
      </c>
      <c r="E4843" s="5" t="s">
        <v>4362</v>
      </c>
      <c r="F4843" s="5" t="s">
        <v>1343</v>
      </c>
      <c r="G4843" s="5" t="s">
        <v>1344</v>
      </c>
      <c r="H4843" s="5"/>
      <c r="I4843" s="6">
        <v>134000</v>
      </c>
    </row>
    <row r="4844" spans="1:9" x14ac:dyDescent="0.3">
      <c r="B4844" s="5" t="s">
        <v>4335</v>
      </c>
      <c r="C4844" s="5" t="s">
        <v>10</v>
      </c>
      <c r="D4844" s="5" t="s">
        <v>4358</v>
      </c>
      <c r="E4844" s="5" t="s">
        <v>4362</v>
      </c>
      <c r="F4844" s="5" t="s">
        <v>443</v>
      </c>
      <c r="G4844" s="5" t="s">
        <v>444</v>
      </c>
      <c r="H4844" s="5"/>
      <c r="I4844" s="6">
        <v>23600</v>
      </c>
    </row>
    <row r="4845" spans="1:9" x14ac:dyDescent="0.3">
      <c r="B4845" s="5" t="s">
        <v>4335</v>
      </c>
      <c r="C4845" s="5" t="s">
        <v>10</v>
      </c>
      <c r="D4845" s="5" t="s">
        <v>4358</v>
      </c>
      <c r="E4845" s="5" t="s">
        <v>4362</v>
      </c>
      <c r="F4845" s="5" t="s">
        <v>445</v>
      </c>
      <c r="G4845" s="5" t="s">
        <v>446</v>
      </c>
      <c r="H4845" s="5"/>
      <c r="I4845" s="6">
        <v>23600</v>
      </c>
    </row>
    <row r="4846" spans="1:9" x14ac:dyDescent="0.3">
      <c r="B4846" s="5" t="s">
        <v>4335</v>
      </c>
      <c r="C4846" s="5" t="s">
        <v>10</v>
      </c>
      <c r="D4846" s="5" t="s">
        <v>4358</v>
      </c>
      <c r="E4846" s="5" t="s">
        <v>4362</v>
      </c>
      <c r="F4846" s="5" t="s">
        <v>549</v>
      </c>
      <c r="G4846" s="5" t="s">
        <v>550</v>
      </c>
      <c r="H4846" s="5"/>
      <c r="I4846" s="6">
        <v>30000</v>
      </c>
    </row>
    <row r="4847" spans="1:9" x14ac:dyDescent="0.3">
      <c r="B4847" s="5" t="s">
        <v>4335</v>
      </c>
      <c r="C4847" s="5" t="s">
        <v>10</v>
      </c>
      <c r="D4847" s="5" t="s">
        <v>4358</v>
      </c>
      <c r="E4847" s="5" t="s">
        <v>4362</v>
      </c>
      <c r="F4847" s="5" t="s">
        <v>449</v>
      </c>
      <c r="G4847" s="5" t="s">
        <v>450</v>
      </c>
      <c r="H4847" s="5"/>
      <c r="I4847" s="6">
        <v>6960</v>
      </c>
    </row>
    <row r="4848" spans="1:9" x14ac:dyDescent="0.3">
      <c r="B4848" s="5" t="s">
        <v>4335</v>
      </c>
      <c r="C4848" s="5" t="s">
        <v>10</v>
      </c>
      <c r="D4848" s="5" t="s">
        <v>4358</v>
      </c>
      <c r="E4848" s="5" t="s">
        <v>4362</v>
      </c>
      <c r="F4848" s="5" t="s">
        <v>453</v>
      </c>
      <c r="G4848" s="5" t="s">
        <v>454</v>
      </c>
      <c r="H4848" s="5"/>
      <c r="I4848" s="6">
        <v>6960</v>
      </c>
    </row>
    <row r="4849" spans="1:9" x14ac:dyDescent="0.3">
      <c r="B4849" s="5" t="s">
        <v>4335</v>
      </c>
      <c r="C4849" s="5" t="s">
        <v>10</v>
      </c>
      <c r="D4849" s="5" t="s">
        <v>4358</v>
      </c>
      <c r="E4849" s="5" t="s">
        <v>4362</v>
      </c>
      <c r="F4849" s="5" t="s">
        <v>451</v>
      </c>
      <c r="G4849" s="5" t="s">
        <v>452</v>
      </c>
      <c r="H4849" s="5"/>
      <c r="I4849" s="6">
        <v>6960</v>
      </c>
    </row>
    <row r="4850" spans="1:9" x14ac:dyDescent="0.3">
      <c r="B4850" s="5" t="s">
        <v>4335</v>
      </c>
      <c r="C4850" s="5" t="s">
        <v>10</v>
      </c>
      <c r="D4850" s="5" t="s">
        <v>4358</v>
      </c>
      <c r="E4850" s="5" t="s">
        <v>4362</v>
      </c>
      <c r="F4850" s="5" t="s">
        <v>1346</v>
      </c>
      <c r="G4850" s="5" t="s">
        <v>1347</v>
      </c>
      <c r="H4850" s="5"/>
      <c r="I4850" s="6">
        <v>6960</v>
      </c>
    </row>
    <row r="4851" spans="1:9" x14ac:dyDescent="0.3">
      <c r="B4851" s="5" t="s">
        <v>4335</v>
      </c>
      <c r="C4851" s="5" t="s">
        <v>10</v>
      </c>
      <c r="D4851" s="5" t="s">
        <v>4358</v>
      </c>
      <c r="E4851" s="5" t="s">
        <v>4362</v>
      </c>
      <c r="F4851" s="5" t="s">
        <v>1961</v>
      </c>
      <c r="G4851" s="5" t="s">
        <v>1962</v>
      </c>
      <c r="H4851" s="5"/>
      <c r="I4851" s="6">
        <v>6960</v>
      </c>
    </row>
    <row r="4852" spans="1:9" x14ac:dyDescent="0.3">
      <c r="B4852" s="5" t="s">
        <v>4335</v>
      </c>
      <c r="C4852" s="5" t="s">
        <v>10</v>
      </c>
      <c r="D4852" s="5" t="s">
        <v>4358</v>
      </c>
      <c r="E4852" s="5" t="s">
        <v>4362</v>
      </c>
      <c r="F4852" s="5" t="s">
        <v>2598</v>
      </c>
      <c r="G4852" s="5" t="s">
        <v>2599</v>
      </c>
      <c r="H4852" s="5"/>
      <c r="I4852" s="6">
        <v>10000</v>
      </c>
    </row>
    <row r="4853" spans="1:9" x14ac:dyDescent="0.3">
      <c r="B4853" s="5" t="s">
        <v>4335</v>
      </c>
      <c r="C4853" s="5" t="s">
        <v>10</v>
      </c>
      <c r="D4853" s="5" t="s">
        <v>4358</v>
      </c>
      <c r="E4853" s="5" t="s">
        <v>4362</v>
      </c>
      <c r="F4853" s="5" t="s">
        <v>4363</v>
      </c>
      <c r="G4853" s="5" t="s">
        <v>4364</v>
      </c>
      <c r="H4853" s="5"/>
      <c r="I4853" s="6">
        <v>9900</v>
      </c>
    </row>
    <row r="4854" spans="1:9" x14ac:dyDescent="0.3">
      <c r="B4854" s="5" t="s">
        <v>4335</v>
      </c>
      <c r="C4854" s="5" t="s">
        <v>10</v>
      </c>
      <c r="D4854" s="5" t="s">
        <v>4358</v>
      </c>
      <c r="E4854" s="5" t="s">
        <v>4365</v>
      </c>
      <c r="F4854" s="5" t="s">
        <v>1022</v>
      </c>
      <c r="G4854" s="5" t="s">
        <v>1023</v>
      </c>
      <c r="H4854" s="5"/>
      <c r="I4854" s="6">
        <v>11860</v>
      </c>
    </row>
    <row r="4855" spans="1:9" x14ac:dyDescent="0.3">
      <c r="B4855" s="5" t="s">
        <v>4335</v>
      </c>
      <c r="C4855" s="5" t="s">
        <v>10</v>
      </c>
      <c r="D4855" s="5" t="s">
        <v>4358</v>
      </c>
      <c r="E4855" s="5" t="s">
        <v>4365</v>
      </c>
      <c r="F4855" s="5" t="s">
        <v>2600</v>
      </c>
      <c r="G4855" s="5" t="s">
        <v>2601</v>
      </c>
      <c r="H4855" s="5"/>
      <c r="I4855" s="6">
        <v>3000</v>
      </c>
    </row>
    <row r="4856" spans="1:9" x14ac:dyDescent="0.3">
      <c r="B4856" s="5" t="s">
        <v>4335</v>
      </c>
      <c r="C4856" s="5" t="s">
        <v>10</v>
      </c>
      <c r="D4856" s="5" t="s">
        <v>4358</v>
      </c>
      <c r="E4856" s="5" t="s">
        <v>4365</v>
      </c>
      <c r="F4856" s="5" t="s">
        <v>3735</v>
      </c>
      <c r="G4856" s="5" t="s">
        <v>3736</v>
      </c>
      <c r="H4856" s="5"/>
      <c r="I4856" s="6">
        <v>3000</v>
      </c>
    </row>
    <row r="4857" spans="1:9" x14ac:dyDescent="0.3">
      <c r="B4857" s="5" t="s">
        <v>4335</v>
      </c>
      <c r="C4857" s="5" t="s">
        <v>10</v>
      </c>
      <c r="D4857" s="5" t="s">
        <v>4358</v>
      </c>
      <c r="E4857" s="5" t="s">
        <v>4366</v>
      </c>
      <c r="F4857" s="5" t="s">
        <v>2602</v>
      </c>
      <c r="G4857" s="5" t="s">
        <v>2603</v>
      </c>
      <c r="H4857" s="5"/>
      <c r="I4857" s="6">
        <v>5980</v>
      </c>
    </row>
    <row r="4858" spans="1:9" x14ac:dyDescent="0.3">
      <c r="B4858" s="5" t="s">
        <v>4335</v>
      </c>
      <c r="C4858" s="5" t="s">
        <v>10</v>
      </c>
      <c r="D4858" s="5" t="s">
        <v>4358</v>
      </c>
      <c r="E4858" s="5" t="s">
        <v>4366</v>
      </c>
      <c r="F4858" s="5" t="s">
        <v>2604</v>
      </c>
      <c r="G4858" s="5" t="s">
        <v>2605</v>
      </c>
      <c r="H4858" s="5"/>
      <c r="I4858" s="6">
        <v>5980</v>
      </c>
    </row>
    <row r="4859" spans="1:9" x14ac:dyDescent="0.3">
      <c r="B4859" s="5" t="s">
        <v>4335</v>
      </c>
      <c r="C4859" s="5" t="s">
        <v>10</v>
      </c>
      <c r="D4859" s="5" t="s">
        <v>4358</v>
      </c>
      <c r="E4859" s="5" t="s">
        <v>3737</v>
      </c>
      <c r="F4859" s="5" t="s">
        <v>457</v>
      </c>
      <c r="G4859" s="5" t="s">
        <v>458</v>
      </c>
      <c r="H4859" s="5"/>
      <c r="I4859" s="6">
        <v>25118</v>
      </c>
    </row>
    <row r="4860" spans="1:9" x14ac:dyDescent="0.3">
      <c r="A4860" s="7" t="s">
        <v>4367</v>
      </c>
      <c r="H4860" s="8">
        <f>H4837+H4838+H4839+H4840+H4841+H4842+H4843+H4844+H4845+H4846+H4847+H4848+H4849+H4850+H4851+H4852+H4853+H4854+H4855+H4856+H4857+H4858+H4859</f>
        <v>320838</v>
      </c>
      <c r="I4860" s="8">
        <f>I4837+I4838+I4839+I4840+I4841+I4842+I4843+I4844+I4845+I4846+I4847+I4848+I4849+I4850+I4851+I4852+I4853+I4854+I4855+I4856+I4857+I4858+I4859</f>
        <v>320838</v>
      </c>
    </row>
    <row r="4861" spans="1:9" x14ac:dyDescent="0.3">
      <c r="A4861" s="4" t="s">
        <v>4368</v>
      </c>
    </row>
    <row r="4862" spans="1:9" x14ac:dyDescent="0.3">
      <c r="B4862" s="5" t="s">
        <v>4335</v>
      </c>
      <c r="C4862" s="5" t="s">
        <v>10</v>
      </c>
      <c r="D4862" s="5" t="s">
        <v>4369</v>
      </c>
      <c r="E4862" s="5" t="s">
        <v>4370</v>
      </c>
      <c r="F4862" s="5" t="s">
        <v>23</v>
      </c>
      <c r="G4862" s="5" t="s">
        <v>24</v>
      </c>
      <c r="H4862" s="6">
        <v>33000</v>
      </c>
      <c r="I4862" s="5"/>
    </row>
    <row r="4863" spans="1:9" x14ac:dyDescent="0.3">
      <c r="B4863" s="5" t="s">
        <v>4335</v>
      </c>
      <c r="C4863" s="5" t="s">
        <v>10</v>
      </c>
      <c r="D4863" s="5" t="s">
        <v>4369</v>
      </c>
      <c r="E4863" s="5" t="s">
        <v>4370</v>
      </c>
      <c r="F4863" s="5" t="s">
        <v>29</v>
      </c>
      <c r="G4863" s="5" t="s">
        <v>30</v>
      </c>
      <c r="H4863" s="5"/>
      <c r="I4863" s="6">
        <v>3000</v>
      </c>
    </row>
    <row r="4864" spans="1:9" x14ac:dyDescent="0.3">
      <c r="B4864" s="5" t="s">
        <v>4335</v>
      </c>
      <c r="C4864" s="5" t="s">
        <v>10</v>
      </c>
      <c r="D4864" s="5" t="s">
        <v>4369</v>
      </c>
      <c r="E4864" s="5" t="s">
        <v>4370</v>
      </c>
      <c r="F4864" s="5" t="s">
        <v>26</v>
      </c>
      <c r="G4864" s="5" t="s">
        <v>27</v>
      </c>
      <c r="H4864" s="5"/>
      <c r="I4864" s="6">
        <v>30000</v>
      </c>
    </row>
    <row r="4865" spans="1:9" x14ac:dyDescent="0.3">
      <c r="B4865" s="5" t="s">
        <v>4335</v>
      </c>
      <c r="C4865" s="5" t="s">
        <v>10</v>
      </c>
      <c r="D4865" s="5" t="s">
        <v>4369</v>
      </c>
      <c r="E4865" s="5" t="s">
        <v>4371</v>
      </c>
      <c r="F4865" s="5" t="s">
        <v>23</v>
      </c>
      <c r="G4865" s="5" t="s">
        <v>24</v>
      </c>
      <c r="H4865" s="6">
        <v>3000</v>
      </c>
      <c r="I4865" s="5"/>
    </row>
    <row r="4866" spans="1:9" x14ac:dyDescent="0.3">
      <c r="B4866" s="5" t="s">
        <v>4335</v>
      </c>
      <c r="C4866" s="5" t="s">
        <v>10</v>
      </c>
      <c r="D4866" s="5" t="s">
        <v>4369</v>
      </c>
      <c r="E4866" s="5" t="s">
        <v>4371</v>
      </c>
      <c r="F4866" s="5" t="s">
        <v>26</v>
      </c>
      <c r="G4866" s="5" t="s">
        <v>27</v>
      </c>
      <c r="H4866" s="5"/>
      <c r="I4866" s="6">
        <v>3000</v>
      </c>
    </row>
    <row r="4867" spans="1:9" x14ac:dyDescent="0.3">
      <c r="B4867" s="5" t="s">
        <v>4335</v>
      </c>
      <c r="C4867" s="5" t="s">
        <v>10</v>
      </c>
      <c r="D4867" s="5" t="s">
        <v>4369</v>
      </c>
      <c r="E4867" s="5" t="s">
        <v>4372</v>
      </c>
      <c r="F4867" s="5" t="s">
        <v>1495</v>
      </c>
      <c r="G4867" s="5" t="s">
        <v>1496</v>
      </c>
      <c r="H4867" s="6">
        <v>1712</v>
      </c>
      <c r="I4867" s="5"/>
    </row>
    <row r="4868" spans="1:9" x14ac:dyDescent="0.3">
      <c r="B4868" s="5" t="s">
        <v>4335</v>
      </c>
      <c r="C4868" s="5" t="s">
        <v>10</v>
      </c>
      <c r="D4868" s="5" t="s">
        <v>4369</v>
      </c>
      <c r="E4868" s="5" t="s">
        <v>4372</v>
      </c>
      <c r="F4868" s="5" t="s">
        <v>26</v>
      </c>
      <c r="G4868" s="5" t="s">
        <v>27</v>
      </c>
      <c r="H4868" s="5"/>
      <c r="I4868" s="6">
        <v>1712</v>
      </c>
    </row>
    <row r="4869" spans="1:9" x14ac:dyDescent="0.3">
      <c r="A4869" s="7" t="s">
        <v>4373</v>
      </c>
      <c r="H4869" s="8">
        <f>H4862+H4863+H4864+H4865+H4866+H4867+H4868</f>
        <v>37712</v>
      </c>
      <c r="I4869" s="8">
        <f>I4862+I4863+I4864+I4865+I4866+I4867+I4868</f>
        <v>37712</v>
      </c>
    </row>
    <row r="4870" spans="1:9" x14ac:dyDescent="0.3">
      <c r="A4870" s="4" t="s">
        <v>4374</v>
      </c>
    </row>
    <row r="4871" spans="1:9" x14ac:dyDescent="0.3">
      <c r="B4871" s="5" t="s">
        <v>4335</v>
      </c>
      <c r="C4871" s="5" t="s">
        <v>10</v>
      </c>
      <c r="D4871" s="5" t="s">
        <v>4375</v>
      </c>
      <c r="E4871" s="5" t="s">
        <v>4376</v>
      </c>
      <c r="F4871" s="5" t="s">
        <v>425</v>
      </c>
      <c r="G4871" s="5" t="s">
        <v>426</v>
      </c>
      <c r="H4871" s="6">
        <v>21732.47</v>
      </c>
      <c r="I4871" s="5"/>
    </row>
    <row r="4872" spans="1:9" x14ac:dyDescent="0.3">
      <c r="B4872" s="5" t="s">
        <v>4335</v>
      </c>
      <c r="C4872" s="5" t="s">
        <v>10</v>
      </c>
      <c r="D4872" s="5" t="s">
        <v>4375</v>
      </c>
      <c r="E4872" s="5" t="s">
        <v>4376</v>
      </c>
      <c r="F4872" s="5" t="s">
        <v>431</v>
      </c>
      <c r="G4872" s="5" t="s">
        <v>432</v>
      </c>
      <c r="H4872" s="5"/>
      <c r="I4872" s="6">
        <v>3764.1</v>
      </c>
    </row>
    <row r="4873" spans="1:9" x14ac:dyDescent="0.3">
      <c r="B4873" s="5" t="s">
        <v>4335</v>
      </c>
      <c r="C4873" s="5" t="s">
        <v>10</v>
      </c>
      <c r="D4873" s="5" t="s">
        <v>4375</v>
      </c>
      <c r="E4873" s="5" t="s">
        <v>4376</v>
      </c>
      <c r="F4873" s="5" t="s">
        <v>427</v>
      </c>
      <c r="G4873" s="5" t="s">
        <v>428</v>
      </c>
      <c r="H4873" s="5"/>
      <c r="I4873" s="6">
        <v>4536.67</v>
      </c>
    </row>
    <row r="4874" spans="1:9" x14ac:dyDescent="0.3">
      <c r="B4874" s="5" t="s">
        <v>4335</v>
      </c>
      <c r="C4874" s="5" t="s">
        <v>10</v>
      </c>
      <c r="D4874" s="5" t="s">
        <v>4375</v>
      </c>
      <c r="E4874" s="5" t="s">
        <v>4376</v>
      </c>
      <c r="F4874" s="5" t="s">
        <v>429</v>
      </c>
      <c r="G4874" s="5" t="s">
        <v>430</v>
      </c>
      <c r="H4874" s="5"/>
      <c r="I4874" s="6">
        <v>11327.89</v>
      </c>
    </row>
    <row r="4875" spans="1:9" x14ac:dyDescent="0.3">
      <c r="B4875" s="5" t="s">
        <v>4335</v>
      </c>
      <c r="C4875" s="5" t="s">
        <v>10</v>
      </c>
      <c r="D4875" s="5" t="s">
        <v>4375</v>
      </c>
      <c r="E4875" s="5" t="s">
        <v>4376</v>
      </c>
      <c r="F4875" s="5" t="s">
        <v>2655</v>
      </c>
      <c r="G4875" s="5" t="s">
        <v>2656</v>
      </c>
      <c r="H4875" s="5"/>
      <c r="I4875" s="6">
        <v>2103.81</v>
      </c>
    </row>
    <row r="4876" spans="1:9" x14ac:dyDescent="0.3">
      <c r="A4876" s="7" t="s">
        <v>4377</v>
      </c>
      <c r="H4876" s="8">
        <f>H4871+H4872+H4873+H4874+H4875</f>
        <v>21732.47</v>
      </c>
      <c r="I4876" s="8">
        <f>I4871+I4872+I4873+I4874+I4875</f>
        <v>21732.47</v>
      </c>
    </row>
    <row r="4877" spans="1:9" x14ac:dyDescent="0.3">
      <c r="A4877" s="4" t="s">
        <v>4378</v>
      </c>
    </row>
    <row r="4878" spans="1:9" x14ac:dyDescent="0.3">
      <c r="B4878" s="5" t="s">
        <v>4335</v>
      </c>
      <c r="C4878" s="5" t="s">
        <v>10</v>
      </c>
      <c r="D4878" s="5" t="s">
        <v>4379</v>
      </c>
      <c r="E4878" s="5" t="s">
        <v>4380</v>
      </c>
      <c r="F4878" s="5" t="s">
        <v>1604</v>
      </c>
      <c r="G4878" s="5" t="s">
        <v>1605</v>
      </c>
      <c r="H4878" s="6">
        <v>101930</v>
      </c>
      <c r="I4878" s="5"/>
    </row>
    <row r="4879" spans="1:9" x14ac:dyDescent="0.3">
      <c r="B4879" s="5" t="s">
        <v>4335</v>
      </c>
      <c r="C4879" s="5" t="s">
        <v>10</v>
      </c>
      <c r="D4879" s="5" t="s">
        <v>4379</v>
      </c>
      <c r="E4879" s="5" t="s">
        <v>4380</v>
      </c>
      <c r="F4879" s="5" t="s">
        <v>1606</v>
      </c>
      <c r="G4879" s="5" t="s">
        <v>1607</v>
      </c>
      <c r="H4879" s="5"/>
      <c r="I4879" s="6">
        <v>101930</v>
      </c>
    </row>
    <row r="4880" spans="1:9" x14ac:dyDescent="0.3">
      <c r="A4880" s="7" t="s">
        <v>4381</v>
      </c>
      <c r="H4880" s="8">
        <f>H4878+H4879</f>
        <v>101930</v>
      </c>
      <c r="I4880" s="8">
        <f>I4878+I4879</f>
        <v>101930</v>
      </c>
    </row>
    <row r="4881" spans="1:9" x14ac:dyDescent="0.3">
      <c r="A4881" s="4" t="s">
        <v>4382</v>
      </c>
    </row>
    <row r="4882" spans="1:9" x14ac:dyDescent="0.3">
      <c r="B4882" s="5" t="s">
        <v>4335</v>
      </c>
      <c r="C4882" s="5" t="s">
        <v>844</v>
      </c>
      <c r="D4882" s="5" t="s">
        <v>4383</v>
      </c>
      <c r="E4882" s="5" t="s">
        <v>2750</v>
      </c>
      <c r="F4882" s="5" t="s">
        <v>847</v>
      </c>
      <c r="G4882" s="5" t="s">
        <v>848</v>
      </c>
      <c r="H4882" s="6">
        <v>58000</v>
      </c>
      <c r="I4882" s="5"/>
    </row>
    <row r="4883" spans="1:9" x14ac:dyDescent="0.3">
      <c r="B4883" s="5" t="s">
        <v>4335</v>
      </c>
      <c r="C4883" s="5" t="s">
        <v>844</v>
      </c>
      <c r="D4883" s="5" t="s">
        <v>4383</v>
      </c>
      <c r="E4883" s="5" t="s">
        <v>2987</v>
      </c>
      <c r="F4883" s="5" t="s">
        <v>831</v>
      </c>
      <c r="G4883" s="5" t="s">
        <v>832</v>
      </c>
      <c r="H4883" s="5"/>
      <c r="I4883" s="6">
        <v>50000</v>
      </c>
    </row>
    <row r="4884" spans="1:9" x14ac:dyDescent="0.3">
      <c r="B4884" s="5" t="s">
        <v>4335</v>
      </c>
      <c r="C4884" s="5" t="s">
        <v>844</v>
      </c>
      <c r="D4884" s="5" t="s">
        <v>4383</v>
      </c>
      <c r="E4884" s="5" t="s">
        <v>1993</v>
      </c>
      <c r="F4884" s="5" t="s">
        <v>867</v>
      </c>
      <c r="G4884" s="5" t="s">
        <v>868</v>
      </c>
      <c r="H4884" s="5"/>
      <c r="I4884" s="6">
        <v>8000</v>
      </c>
    </row>
    <row r="4885" spans="1:9" x14ac:dyDescent="0.3">
      <c r="A4885" s="7" t="s">
        <v>4384</v>
      </c>
      <c r="H4885" s="8">
        <f>H4882+H4883+H4884</f>
        <v>58000</v>
      </c>
      <c r="I4885" s="8">
        <f>I4882+I4883+I4884</f>
        <v>58000</v>
      </c>
    </row>
    <row r="4886" spans="1:9" x14ac:dyDescent="0.3">
      <c r="A4886" s="4" t="s">
        <v>4385</v>
      </c>
    </row>
    <row r="4887" spans="1:9" x14ac:dyDescent="0.3">
      <c r="B4887" s="5" t="s">
        <v>4335</v>
      </c>
      <c r="C4887" s="5" t="s">
        <v>2745</v>
      </c>
      <c r="D4887" s="5" t="s">
        <v>2750</v>
      </c>
      <c r="E4887" s="5" t="s">
        <v>2750</v>
      </c>
      <c r="F4887" s="5" t="s">
        <v>2748</v>
      </c>
      <c r="G4887" s="5" t="s">
        <v>2749</v>
      </c>
      <c r="H4887" s="6">
        <v>1210</v>
      </c>
      <c r="I4887" s="5"/>
    </row>
    <row r="4888" spans="1:9" x14ac:dyDescent="0.3">
      <c r="B4888" s="5" t="s">
        <v>4335</v>
      </c>
      <c r="C4888" s="5" t="s">
        <v>2745</v>
      </c>
      <c r="D4888" s="5" t="s">
        <v>2750</v>
      </c>
      <c r="E4888" s="5" t="s">
        <v>2750</v>
      </c>
      <c r="F4888" s="5" t="s">
        <v>847</v>
      </c>
      <c r="G4888" s="5" t="s">
        <v>848</v>
      </c>
      <c r="H4888" s="5"/>
      <c r="I4888" s="6">
        <v>1210</v>
      </c>
    </row>
    <row r="4889" spans="1:9" x14ac:dyDescent="0.3">
      <c r="A4889" s="7" t="s">
        <v>4386</v>
      </c>
      <c r="H4889" s="8">
        <f>H4887+H4888</f>
        <v>1210</v>
      </c>
      <c r="I4889" s="8">
        <f>I4887+I4888</f>
        <v>1210</v>
      </c>
    </row>
    <row r="4890" spans="1:9" x14ac:dyDescent="0.3">
      <c r="A4890" s="4" t="s">
        <v>4387</v>
      </c>
    </row>
    <row r="4891" spans="1:9" x14ac:dyDescent="0.3">
      <c r="B4891" s="5" t="s">
        <v>4388</v>
      </c>
      <c r="C4891" s="5" t="s">
        <v>10</v>
      </c>
      <c r="D4891" s="5" t="s">
        <v>4389</v>
      </c>
      <c r="E4891" s="5" t="s">
        <v>624</v>
      </c>
      <c r="F4891" s="5" t="s">
        <v>61</v>
      </c>
      <c r="G4891" s="5" t="s">
        <v>62</v>
      </c>
      <c r="H4891" s="6">
        <v>160</v>
      </c>
      <c r="I4891" s="5"/>
    </row>
    <row r="4892" spans="1:9" x14ac:dyDescent="0.3">
      <c r="B4892" s="5" t="s">
        <v>4388</v>
      </c>
      <c r="C4892" s="5" t="s">
        <v>10</v>
      </c>
      <c r="D4892" s="5" t="s">
        <v>4389</v>
      </c>
      <c r="E4892" s="5" t="s">
        <v>3517</v>
      </c>
      <c r="F4892" s="5" t="s">
        <v>113</v>
      </c>
      <c r="G4892" s="5" t="s">
        <v>114</v>
      </c>
      <c r="H4892" s="6">
        <v>440</v>
      </c>
      <c r="I4892" s="5"/>
    </row>
    <row r="4893" spans="1:9" x14ac:dyDescent="0.3">
      <c r="B4893" s="5" t="s">
        <v>4388</v>
      </c>
      <c r="C4893" s="5" t="s">
        <v>10</v>
      </c>
      <c r="D4893" s="5" t="s">
        <v>4389</v>
      </c>
      <c r="E4893" s="5" t="s">
        <v>3517</v>
      </c>
      <c r="F4893" s="5" t="s">
        <v>1643</v>
      </c>
      <c r="G4893" s="5" t="s">
        <v>1644</v>
      </c>
      <c r="H4893" s="5"/>
      <c r="I4893" s="6">
        <v>600</v>
      </c>
    </row>
    <row r="4894" spans="1:9" x14ac:dyDescent="0.3">
      <c r="B4894" s="5" t="s">
        <v>4388</v>
      </c>
      <c r="C4894" s="5" t="s">
        <v>10</v>
      </c>
      <c r="D4894" s="5" t="s">
        <v>4389</v>
      </c>
      <c r="E4894" s="5" t="s">
        <v>4390</v>
      </c>
      <c r="F4894" s="5" t="s">
        <v>35</v>
      </c>
      <c r="G4894" s="5" t="s">
        <v>36</v>
      </c>
      <c r="H4894" s="6">
        <v>2000</v>
      </c>
      <c r="I4894" s="5"/>
    </row>
    <row r="4895" spans="1:9" x14ac:dyDescent="0.3">
      <c r="B4895" s="5" t="s">
        <v>4388</v>
      </c>
      <c r="C4895" s="5" t="s">
        <v>10</v>
      </c>
      <c r="D4895" s="5" t="s">
        <v>4389</v>
      </c>
      <c r="E4895" s="5" t="s">
        <v>4391</v>
      </c>
      <c r="F4895" s="5" t="s">
        <v>50</v>
      </c>
      <c r="G4895" s="5" t="s">
        <v>51</v>
      </c>
      <c r="H4895" s="6">
        <v>350</v>
      </c>
      <c r="I4895" s="5"/>
    </row>
    <row r="4896" spans="1:9" x14ac:dyDescent="0.3">
      <c r="B4896" s="5" t="s">
        <v>4388</v>
      </c>
      <c r="C4896" s="5" t="s">
        <v>10</v>
      </c>
      <c r="D4896" s="5" t="s">
        <v>4389</v>
      </c>
      <c r="E4896" s="5" t="s">
        <v>4392</v>
      </c>
      <c r="F4896" s="5" t="s">
        <v>1022</v>
      </c>
      <c r="G4896" s="5" t="s">
        <v>1023</v>
      </c>
      <c r="H4896" s="5"/>
      <c r="I4896" s="6">
        <v>2350</v>
      </c>
    </row>
    <row r="4897" spans="1:9" x14ac:dyDescent="0.3">
      <c r="B4897" s="5" t="s">
        <v>4388</v>
      </c>
      <c r="C4897" s="5" t="s">
        <v>10</v>
      </c>
      <c r="D4897" s="5" t="s">
        <v>4389</v>
      </c>
      <c r="E4897" s="5" t="s">
        <v>4393</v>
      </c>
      <c r="F4897" s="5" t="s">
        <v>421</v>
      </c>
      <c r="G4897" s="5" t="s">
        <v>422</v>
      </c>
      <c r="H4897" s="6">
        <v>10750</v>
      </c>
      <c r="I4897" s="5"/>
    </row>
    <row r="4898" spans="1:9" x14ac:dyDescent="0.3">
      <c r="B4898" s="5" t="s">
        <v>4388</v>
      </c>
      <c r="C4898" s="5" t="s">
        <v>10</v>
      </c>
      <c r="D4898" s="5" t="s">
        <v>4389</v>
      </c>
      <c r="E4898" s="5" t="s">
        <v>4394</v>
      </c>
      <c r="F4898" s="5" t="s">
        <v>35</v>
      </c>
      <c r="G4898" s="5" t="s">
        <v>36</v>
      </c>
      <c r="H4898" s="6">
        <v>3888</v>
      </c>
      <c r="I4898" s="5"/>
    </row>
    <row r="4899" spans="1:9" x14ac:dyDescent="0.3">
      <c r="B4899" s="5" t="s">
        <v>4388</v>
      </c>
      <c r="C4899" s="5" t="s">
        <v>10</v>
      </c>
      <c r="D4899" s="5" t="s">
        <v>4389</v>
      </c>
      <c r="E4899" s="5" t="s">
        <v>4395</v>
      </c>
      <c r="F4899" s="5" t="s">
        <v>1022</v>
      </c>
      <c r="G4899" s="5" t="s">
        <v>1023</v>
      </c>
      <c r="H4899" s="5"/>
      <c r="I4899" s="6">
        <v>14638</v>
      </c>
    </row>
    <row r="4900" spans="1:9" x14ac:dyDescent="0.3">
      <c r="A4900" s="7" t="s">
        <v>4396</v>
      </c>
      <c r="H4900" s="8">
        <f>H4891+H4892+H4893+H4894+H4895+H4896+H4897+H4898+H4899</f>
        <v>17588</v>
      </c>
      <c r="I4900" s="8">
        <f>I4891+I4892+I4893+I4894+I4895+I4896+I4897+I4898+I4899</f>
        <v>17588</v>
      </c>
    </row>
    <row r="4901" spans="1:9" x14ac:dyDescent="0.3">
      <c r="A4901" s="4" t="s">
        <v>4397</v>
      </c>
    </row>
    <row r="4902" spans="1:9" x14ac:dyDescent="0.3">
      <c r="B4902" s="5" t="s">
        <v>4388</v>
      </c>
      <c r="C4902" s="5" t="s">
        <v>10</v>
      </c>
      <c r="D4902" s="5" t="s">
        <v>4398</v>
      </c>
      <c r="E4902" s="5" t="s">
        <v>4399</v>
      </c>
      <c r="F4902" s="5" t="s">
        <v>50</v>
      </c>
      <c r="G4902" s="5" t="s">
        <v>51</v>
      </c>
      <c r="H4902" s="6">
        <v>320</v>
      </c>
      <c r="I4902" s="5"/>
    </row>
    <row r="4903" spans="1:9" x14ac:dyDescent="0.3">
      <c r="B4903" s="5" t="s">
        <v>4388</v>
      </c>
      <c r="C4903" s="5" t="s">
        <v>10</v>
      </c>
      <c r="D4903" s="5" t="s">
        <v>4398</v>
      </c>
      <c r="E4903" s="5" t="s">
        <v>4399</v>
      </c>
      <c r="F4903" s="5" t="s">
        <v>1643</v>
      </c>
      <c r="G4903" s="5" t="s">
        <v>1644</v>
      </c>
      <c r="H4903" s="5"/>
      <c r="I4903" s="6">
        <v>320</v>
      </c>
    </row>
    <row r="4904" spans="1:9" x14ac:dyDescent="0.3">
      <c r="B4904" s="5" t="s">
        <v>4388</v>
      </c>
      <c r="C4904" s="5" t="s">
        <v>10</v>
      </c>
      <c r="D4904" s="5" t="s">
        <v>4398</v>
      </c>
      <c r="E4904" s="5" t="s">
        <v>4400</v>
      </c>
      <c r="F4904" s="5" t="s">
        <v>975</v>
      </c>
      <c r="G4904" s="5" t="s">
        <v>976</v>
      </c>
      <c r="H4904" s="6">
        <v>3400</v>
      </c>
      <c r="I4904" s="5"/>
    </row>
    <row r="4905" spans="1:9" x14ac:dyDescent="0.3">
      <c r="B4905" s="5" t="s">
        <v>4388</v>
      </c>
      <c r="C4905" s="5" t="s">
        <v>10</v>
      </c>
      <c r="D4905" s="5" t="s">
        <v>4398</v>
      </c>
      <c r="E4905" s="5" t="s">
        <v>4400</v>
      </c>
      <c r="F4905" s="5" t="s">
        <v>61</v>
      </c>
      <c r="G4905" s="5" t="s">
        <v>62</v>
      </c>
      <c r="H4905" s="6">
        <v>590</v>
      </c>
      <c r="I4905" s="5"/>
    </row>
    <row r="4906" spans="1:9" x14ac:dyDescent="0.3">
      <c r="B4906" s="5" t="s">
        <v>4388</v>
      </c>
      <c r="C4906" s="5" t="s">
        <v>10</v>
      </c>
      <c r="D4906" s="5" t="s">
        <v>4398</v>
      </c>
      <c r="E4906" s="5" t="s">
        <v>4400</v>
      </c>
      <c r="F4906" s="5" t="s">
        <v>1643</v>
      </c>
      <c r="G4906" s="5" t="s">
        <v>1644</v>
      </c>
      <c r="H4906" s="5"/>
      <c r="I4906" s="6">
        <v>3990</v>
      </c>
    </row>
    <row r="4907" spans="1:9" x14ac:dyDescent="0.3">
      <c r="A4907" s="7" t="s">
        <v>4401</v>
      </c>
      <c r="H4907" s="8">
        <f>H4902+H4903+H4904+H4905+H4906</f>
        <v>4310</v>
      </c>
      <c r="I4907" s="8">
        <f>I4902+I4903+I4904+I4905+I4906</f>
        <v>4310</v>
      </c>
    </row>
    <row r="4908" spans="1:9" x14ac:dyDescent="0.3">
      <c r="A4908" s="4" t="s">
        <v>4402</v>
      </c>
    </row>
    <row r="4909" spans="1:9" x14ac:dyDescent="0.3">
      <c r="B4909" s="5" t="s">
        <v>4388</v>
      </c>
      <c r="C4909" s="5" t="s">
        <v>10</v>
      </c>
      <c r="D4909" s="5" t="s">
        <v>4403</v>
      </c>
      <c r="E4909" s="5" t="s">
        <v>4404</v>
      </c>
      <c r="F4909" s="5" t="s">
        <v>67</v>
      </c>
      <c r="G4909" s="5" t="s">
        <v>68</v>
      </c>
      <c r="H4909" s="6">
        <v>100</v>
      </c>
      <c r="I4909" s="5"/>
    </row>
    <row r="4910" spans="1:9" x14ac:dyDescent="0.3">
      <c r="B4910" s="5" t="s">
        <v>4388</v>
      </c>
      <c r="C4910" s="5" t="s">
        <v>10</v>
      </c>
      <c r="D4910" s="5" t="s">
        <v>4403</v>
      </c>
      <c r="E4910" s="5" t="s">
        <v>4404</v>
      </c>
      <c r="F4910" s="5" t="s">
        <v>1643</v>
      </c>
      <c r="G4910" s="5" t="s">
        <v>1644</v>
      </c>
      <c r="H4910" s="5"/>
      <c r="I4910" s="6">
        <v>100</v>
      </c>
    </row>
    <row r="4911" spans="1:9" x14ac:dyDescent="0.3">
      <c r="B4911" s="5" t="s">
        <v>4388</v>
      </c>
      <c r="C4911" s="5" t="s">
        <v>10</v>
      </c>
      <c r="D4911" s="5" t="s">
        <v>4403</v>
      </c>
      <c r="E4911" s="5" t="s">
        <v>4405</v>
      </c>
      <c r="F4911" s="5" t="s">
        <v>256</v>
      </c>
      <c r="G4911" s="5" t="s">
        <v>257</v>
      </c>
      <c r="H4911" s="6">
        <v>1300</v>
      </c>
      <c r="I4911" s="5"/>
    </row>
    <row r="4912" spans="1:9" x14ac:dyDescent="0.3">
      <c r="B4912" s="5" t="s">
        <v>4388</v>
      </c>
      <c r="C4912" s="5" t="s">
        <v>10</v>
      </c>
      <c r="D4912" s="5" t="s">
        <v>4403</v>
      </c>
      <c r="E4912" s="5" t="s">
        <v>4406</v>
      </c>
      <c r="F4912" s="5" t="s">
        <v>23</v>
      </c>
      <c r="G4912" s="5" t="s">
        <v>24</v>
      </c>
      <c r="H4912" s="6">
        <v>28000</v>
      </c>
      <c r="I4912" s="5"/>
    </row>
    <row r="4913" spans="1:9" x14ac:dyDescent="0.3">
      <c r="B4913" s="5" t="s">
        <v>4388</v>
      </c>
      <c r="C4913" s="5" t="s">
        <v>10</v>
      </c>
      <c r="D4913" s="5" t="s">
        <v>4403</v>
      </c>
      <c r="E4913" s="5" t="s">
        <v>4407</v>
      </c>
      <c r="F4913" s="5" t="s">
        <v>26</v>
      </c>
      <c r="G4913" s="5" t="s">
        <v>27</v>
      </c>
      <c r="H4913" s="6">
        <v>7000</v>
      </c>
      <c r="I4913" s="5"/>
    </row>
    <row r="4914" spans="1:9" x14ac:dyDescent="0.3">
      <c r="B4914" s="5" t="s">
        <v>4388</v>
      </c>
      <c r="C4914" s="5" t="s">
        <v>10</v>
      </c>
      <c r="D4914" s="5" t="s">
        <v>4403</v>
      </c>
      <c r="E4914" s="5" t="s">
        <v>4408</v>
      </c>
      <c r="F4914" s="5" t="s">
        <v>176</v>
      </c>
      <c r="G4914" s="5" t="s">
        <v>177</v>
      </c>
      <c r="H4914" s="6">
        <v>4000</v>
      </c>
      <c r="I4914" s="5"/>
    </row>
    <row r="4915" spans="1:9" x14ac:dyDescent="0.3">
      <c r="B4915" s="5" t="s">
        <v>4388</v>
      </c>
      <c r="C4915" s="5" t="s">
        <v>10</v>
      </c>
      <c r="D4915" s="5" t="s">
        <v>4403</v>
      </c>
      <c r="E4915" s="5" t="s">
        <v>4395</v>
      </c>
      <c r="F4915" s="5" t="s">
        <v>1022</v>
      </c>
      <c r="G4915" s="5" t="s">
        <v>1023</v>
      </c>
      <c r="H4915" s="5"/>
      <c r="I4915" s="6">
        <v>40300</v>
      </c>
    </row>
    <row r="4916" spans="1:9" x14ac:dyDescent="0.3">
      <c r="A4916" s="7" t="s">
        <v>4409</v>
      </c>
      <c r="H4916" s="8">
        <f>H4909+H4910+H4911+H4912+H4913+H4914+H4915</f>
        <v>40400</v>
      </c>
      <c r="I4916" s="8">
        <f>I4909+I4910+I4911+I4912+I4913+I4914+I4915</f>
        <v>40400</v>
      </c>
    </row>
    <row r="4917" spans="1:9" x14ac:dyDescent="0.3">
      <c r="A4917" s="4" t="s">
        <v>4410</v>
      </c>
    </row>
    <row r="4918" spans="1:9" x14ac:dyDescent="0.3">
      <c r="B4918" s="5" t="s">
        <v>4388</v>
      </c>
      <c r="C4918" s="5" t="s">
        <v>10</v>
      </c>
      <c r="D4918" s="5" t="s">
        <v>4411</v>
      </c>
      <c r="E4918" s="5" t="s">
        <v>4412</v>
      </c>
      <c r="F4918" s="5" t="s">
        <v>73</v>
      </c>
      <c r="G4918" s="5" t="s">
        <v>74</v>
      </c>
      <c r="H4918" s="6">
        <v>15000</v>
      </c>
      <c r="I4918" s="5"/>
    </row>
    <row r="4919" spans="1:9" x14ac:dyDescent="0.3">
      <c r="B4919" s="5" t="s">
        <v>4388</v>
      </c>
      <c r="C4919" s="5" t="s">
        <v>10</v>
      </c>
      <c r="D4919" s="5" t="s">
        <v>4411</v>
      </c>
      <c r="E4919" s="5" t="s">
        <v>4412</v>
      </c>
      <c r="F4919" s="5" t="s">
        <v>1643</v>
      </c>
      <c r="G4919" s="5" t="s">
        <v>1644</v>
      </c>
      <c r="H4919" s="5"/>
      <c r="I4919" s="6">
        <v>15000</v>
      </c>
    </row>
    <row r="4920" spans="1:9" x14ac:dyDescent="0.3">
      <c r="B4920" s="5" t="s">
        <v>4388</v>
      </c>
      <c r="C4920" s="5" t="s">
        <v>10</v>
      </c>
      <c r="D4920" s="5" t="s">
        <v>4411</v>
      </c>
      <c r="E4920" s="5" t="s">
        <v>4413</v>
      </c>
      <c r="F4920" s="5" t="s">
        <v>451</v>
      </c>
      <c r="G4920" s="5" t="s">
        <v>452</v>
      </c>
      <c r="H4920" s="6">
        <v>6960</v>
      </c>
      <c r="I4920" s="5"/>
    </row>
    <row r="4921" spans="1:9" x14ac:dyDescent="0.3">
      <c r="B4921" s="5" t="s">
        <v>4388</v>
      </c>
      <c r="C4921" s="5" t="s">
        <v>10</v>
      </c>
      <c r="D4921" s="5" t="s">
        <v>4411</v>
      </c>
      <c r="E4921" s="5" t="s">
        <v>4413</v>
      </c>
      <c r="F4921" s="5" t="s">
        <v>1643</v>
      </c>
      <c r="G4921" s="5" t="s">
        <v>1644</v>
      </c>
      <c r="H4921" s="5"/>
      <c r="I4921" s="6">
        <v>6960</v>
      </c>
    </row>
    <row r="4922" spans="1:9" x14ac:dyDescent="0.3">
      <c r="A4922" s="7" t="s">
        <v>4414</v>
      </c>
      <c r="H4922" s="8">
        <f>H4918+H4919+H4920+H4921</f>
        <v>21960</v>
      </c>
      <c r="I4922" s="8">
        <f>I4918+I4919+I4920+I4921</f>
        <v>21960</v>
      </c>
    </row>
    <row r="4923" spans="1:9" x14ac:dyDescent="0.3">
      <c r="A4923" s="4" t="s">
        <v>4415</v>
      </c>
    </row>
    <row r="4924" spans="1:9" x14ac:dyDescent="0.3">
      <c r="B4924" s="5" t="s">
        <v>4416</v>
      </c>
      <c r="C4924" s="5" t="s">
        <v>10</v>
      </c>
      <c r="D4924" s="5" t="s">
        <v>4417</v>
      </c>
      <c r="E4924" s="5" t="s">
        <v>4418</v>
      </c>
      <c r="F4924" s="5" t="s">
        <v>3899</v>
      </c>
      <c r="G4924" s="5" t="s">
        <v>3900</v>
      </c>
      <c r="H4924" s="6">
        <v>1500000</v>
      </c>
      <c r="I4924" s="5"/>
    </row>
    <row r="4925" spans="1:9" x14ac:dyDescent="0.3">
      <c r="B4925" s="5" t="s">
        <v>4416</v>
      </c>
      <c r="C4925" s="5" t="s">
        <v>10</v>
      </c>
      <c r="D4925" s="5" t="s">
        <v>4417</v>
      </c>
      <c r="E4925" s="5" t="s">
        <v>4418</v>
      </c>
      <c r="F4925" s="5" t="s">
        <v>3962</v>
      </c>
      <c r="G4925" s="5" t="s">
        <v>3963</v>
      </c>
      <c r="H4925" s="5"/>
      <c r="I4925" s="6">
        <v>1500000</v>
      </c>
    </row>
    <row r="4926" spans="1:9" x14ac:dyDescent="0.3">
      <c r="A4926" s="7" t="s">
        <v>4419</v>
      </c>
      <c r="H4926" s="8">
        <f>H4924+H4925</f>
        <v>1500000</v>
      </c>
      <c r="I4926" s="8">
        <f>I4924+I4925</f>
        <v>1500000</v>
      </c>
    </row>
    <row r="4927" spans="1:9" x14ac:dyDescent="0.3">
      <c r="A4927" s="4" t="s">
        <v>4420</v>
      </c>
    </row>
    <row r="4928" spans="1:9" x14ac:dyDescent="0.3">
      <c r="B4928" s="5" t="s">
        <v>4421</v>
      </c>
      <c r="C4928" s="5" t="s">
        <v>10</v>
      </c>
      <c r="D4928" s="5" t="s">
        <v>4422</v>
      </c>
      <c r="E4928" s="5" t="s">
        <v>2777</v>
      </c>
      <c r="F4928" s="5" t="s">
        <v>113</v>
      </c>
      <c r="G4928" s="5" t="s">
        <v>114</v>
      </c>
      <c r="H4928" s="6">
        <v>716</v>
      </c>
      <c r="I4928" s="5"/>
    </row>
    <row r="4929" spans="1:9" x14ac:dyDescent="0.3">
      <c r="B4929" s="5" t="s">
        <v>4421</v>
      </c>
      <c r="C4929" s="5" t="s">
        <v>10</v>
      </c>
      <c r="D4929" s="5" t="s">
        <v>4422</v>
      </c>
      <c r="E4929" s="5" t="s">
        <v>2777</v>
      </c>
      <c r="F4929" s="5" t="s">
        <v>1643</v>
      </c>
      <c r="G4929" s="5" t="s">
        <v>1644</v>
      </c>
      <c r="H4929" s="5"/>
      <c r="I4929" s="6">
        <v>716</v>
      </c>
    </row>
    <row r="4930" spans="1:9" x14ac:dyDescent="0.3">
      <c r="B4930" s="5" t="s">
        <v>4421</v>
      </c>
      <c r="C4930" s="5" t="s">
        <v>10</v>
      </c>
      <c r="D4930" s="5" t="s">
        <v>4422</v>
      </c>
      <c r="E4930" s="5" t="s">
        <v>4423</v>
      </c>
      <c r="F4930" s="5" t="s">
        <v>4424</v>
      </c>
      <c r="G4930" s="5" t="s">
        <v>4425</v>
      </c>
      <c r="H4930" s="6">
        <v>8000</v>
      </c>
      <c r="I4930" s="5"/>
    </row>
    <row r="4931" spans="1:9" x14ac:dyDescent="0.3">
      <c r="B4931" s="5" t="s">
        <v>4421</v>
      </c>
      <c r="C4931" s="5" t="s">
        <v>10</v>
      </c>
      <c r="D4931" s="5" t="s">
        <v>4422</v>
      </c>
      <c r="E4931" s="5" t="s">
        <v>4426</v>
      </c>
      <c r="F4931" s="5" t="s">
        <v>176</v>
      </c>
      <c r="G4931" s="5" t="s">
        <v>177</v>
      </c>
      <c r="H4931" s="6">
        <v>4500</v>
      </c>
      <c r="I4931" s="5"/>
    </row>
    <row r="4932" spans="1:9" x14ac:dyDescent="0.3">
      <c r="B4932" s="5" t="s">
        <v>4421</v>
      </c>
      <c r="C4932" s="5" t="s">
        <v>10</v>
      </c>
      <c r="D4932" s="5" t="s">
        <v>4422</v>
      </c>
      <c r="E4932" s="5" t="s">
        <v>4427</v>
      </c>
      <c r="F4932" s="5" t="s">
        <v>421</v>
      </c>
      <c r="G4932" s="5" t="s">
        <v>422</v>
      </c>
      <c r="H4932" s="6">
        <v>1300</v>
      </c>
      <c r="I4932" s="5"/>
    </row>
    <row r="4933" spans="1:9" x14ac:dyDescent="0.3">
      <c r="B4933" s="5" t="s">
        <v>4421</v>
      </c>
      <c r="C4933" s="5" t="s">
        <v>10</v>
      </c>
      <c r="D4933" s="5" t="s">
        <v>4422</v>
      </c>
      <c r="E4933" s="5" t="s">
        <v>4428</v>
      </c>
      <c r="F4933" s="5" t="s">
        <v>35</v>
      </c>
      <c r="G4933" s="5" t="s">
        <v>36</v>
      </c>
      <c r="H4933" s="6">
        <v>1000</v>
      </c>
      <c r="I4933" s="5"/>
    </row>
    <row r="4934" spans="1:9" x14ac:dyDescent="0.3">
      <c r="B4934" s="5" t="s">
        <v>4421</v>
      </c>
      <c r="C4934" s="5" t="s">
        <v>10</v>
      </c>
      <c r="D4934" s="5" t="s">
        <v>4422</v>
      </c>
      <c r="E4934" s="5" t="s">
        <v>4395</v>
      </c>
      <c r="F4934" s="5" t="s">
        <v>1022</v>
      </c>
      <c r="G4934" s="5" t="s">
        <v>1023</v>
      </c>
      <c r="H4934" s="5"/>
      <c r="I4934" s="6">
        <v>14800</v>
      </c>
    </row>
    <row r="4935" spans="1:9" x14ac:dyDescent="0.3">
      <c r="A4935" s="7" t="s">
        <v>4429</v>
      </c>
      <c r="H4935" s="8">
        <f>H4928+H4929+H4930+H4931+H4932+H4933+H4934</f>
        <v>15516</v>
      </c>
      <c r="I4935" s="8">
        <f>I4928+I4929+I4930+I4931+I4932+I4933+I4934</f>
        <v>15516</v>
      </c>
    </row>
    <row r="4936" spans="1:9" x14ac:dyDescent="0.3">
      <c r="A4936" s="4" t="s">
        <v>4430</v>
      </c>
    </row>
    <row r="4937" spans="1:9" x14ac:dyDescent="0.3">
      <c r="B4937" s="5" t="s">
        <v>4421</v>
      </c>
      <c r="C4937" s="5" t="s">
        <v>10</v>
      </c>
      <c r="D4937" s="5" t="s">
        <v>4431</v>
      </c>
      <c r="E4937" s="5" t="s">
        <v>4432</v>
      </c>
      <c r="F4937" s="5" t="s">
        <v>1643</v>
      </c>
      <c r="G4937" s="5" t="s">
        <v>1644</v>
      </c>
      <c r="H4937" s="6">
        <v>245900</v>
      </c>
      <c r="I4937" s="5"/>
    </row>
    <row r="4938" spans="1:9" x14ac:dyDescent="0.3">
      <c r="B4938" s="5" t="s">
        <v>4421</v>
      </c>
      <c r="C4938" s="5" t="s">
        <v>10</v>
      </c>
      <c r="D4938" s="5" t="s">
        <v>4431</v>
      </c>
      <c r="E4938" s="5" t="s">
        <v>4432</v>
      </c>
      <c r="F4938" s="5" t="s">
        <v>13</v>
      </c>
      <c r="G4938" s="5" t="s">
        <v>14</v>
      </c>
      <c r="H4938" s="5"/>
      <c r="I4938" s="6">
        <v>245900</v>
      </c>
    </row>
    <row r="4939" spans="1:9" x14ac:dyDescent="0.3">
      <c r="A4939" s="7" t="s">
        <v>4433</v>
      </c>
      <c r="H4939" s="8">
        <f>H4937+H4938</f>
        <v>245900</v>
      </c>
      <c r="I4939" s="8">
        <f>I4937+I4938</f>
        <v>245900</v>
      </c>
    </row>
    <row r="4940" spans="1:9" x14ac:dyDescent="0.3">
      <c r="A4940" s="4" t="s">
        <v>4434</v>
      </c>
    </row>
    <row r="4941" spans="1:9" x14ac:dyDescent="0.3">
      <c r="B4941" s="5" t="s">
        <v>4421</v>
      </c>
      <c r="C4941" s="5" t="s">
        <v>10</v>
      </c>
      <c r="D4941" s="5" t="s">
        <v>4435</v>
      </c>
      <c r="E4941" s="5" t="s">
        <v>4436</v>
      </c>
      <c r="F4941" s="5" t="s">
        <v>1343</v>
      </c>
      <c r="G4941" s="5" t="s">
        <v>1344</v>
      </c>
      <c r="H4941" s="6">
        <v>134000</v>
      </c>
      <c r="I4941" s="5"/>
    </row>
    <row r="4942" spans="1:9" x14ac:dyDescent="0.3">
      <c r="B4942" s="5" t="s">
        <v>4421</v>
      </c>
      <c r="C4942" s="5" t="s">
        <v>10</v>
      </c>
      <c r="D4942" s="5" t="s">
        <v>4435</v>
      </c>
      <c r="E4942" s="5" t="s">
        <v>4436</v>
      </c>
      <c r="F4942" s="5" t="s">
        <v>443</v>
      </c>
      <c r="G4942" s="5" t="s">
        <v>444</v>
      </c>
      <c r="H4942" s="6">
        <v>23600</v>
      </c>
      <c r="I4942" s="5"/>
    </row>
    <row r="4943" spans="1:9" x14ac:dyDescent="0.3">
      <c r="B4943" s="5" t="s">
        <v>4421</v>
      </c>
      <c r="C4943" s="5" t="s">
        <v>10</v>
      </c>
      <c r="D4943" s="5" t="s">
        <v>4435</v>
      </c>
      <c r="E4943" s="5" t="s">
        <v>4436</v>
      </c>
      <c r="F4943" s="5" t="s">
        <v>445</v>
      </c>
      <c r="G4943" s="5" t="s">
        <v>446</v>
      </c>
      <c r="H4943" s="6">
        <v>23600</v>
      </c>
      <c r="I4943" s="5"/>
    </row>
    <row r="4944" spans="1:9" x14ac:dyDescent="0.3">
      <c r="B4944" s="5" t="s">
        <v>4421</v>
      </c>
      <c r="C4944" s="5" t="s">
        <v>10</v>
      </c>
      <c r="D4944" s="5" t="s">
        <v>4435</v>
      </c>
      <c r="E4944" s="5" t="s">
        <v>4436</v>
      </c>
      <c r="F4944" s="5" t="s">
        <v>549</v>
      </c>
      <c r="G4944" s="5" t="s">
        <v>550</v>
      </c>
      <c r="H4944" s="6">
        <v>10000</v>
      </c>
      <c r="I4944" s="5"/>
    </row>
    <row r="4945" spans="1:9" x14ac:dyDescent="0.3">
      <c r="B4945" s="5" t="s">
        <v>4421</v>
      </c>
      <c r="C4945" s="5" t="s">
        <v>10</v>
      </c>
      <c r="D4945" s="5" t="s">
        <v>4435</v>
      </c>
      <c r="E4945" s="5" t="s">
        <v>4436</v>
      </c>
      <c r="F4945" s="5" t="s">
        <v>449</v>
      </c>
      <c r="G4945" s="5" t="s">
        <v>450</v>
      </c>
      <c r="H4945" s="6">
        <v>6960</v>
      </c>
      <c r="I4945" s="5"/>
    </row>
    <row r="4946" spans="1:9" x14ac:dyDescent="0.3">
      <c r="B4946" s="5" t="s">
        <v>4421</v>
      </c>
      <c r="C4946" s="5" t="s">
        <v>10</v>
      </c>
      <c r="D4946" s="5" t="s">
        <v>4435</v>
      </c>
      <c r="E4946" s="5" t="s">
        <v>4436</v>
      </c>
      <c r="F4946" s="5" t="s">
        <v>453</v>
      </c>
      <c r="G4946" s="5" t="s">
        <v>454</v>
      </c>
      <c r="H4946" s="6">
        <v>6960</v>
      </c>
      <c r="I4946" s="5"/>
    </row>
    <row r="4947" spans="1:9" x14ac:dyDescent="0.3">
      <c r="B4947" s="5" t="s">
        <v>4421</v>
      </c>
      <c r="C4947" s="5" t="s">
        <v>10</v>
      </c>
      <c r="D4947" s="5" t="s">
        <v>4435</v>
      </c>
      <c r="E4947" s="5" t="s">
        <v>4436</v>
      </c>
      <c r="F4947" s="5" t="s">
        <v>1961</v>
      </c>
      <c r="G4947" s="5" t="s">
        <v>1962</v>
      </c>
      <c r="H4947" s="6">
        <v>6960</v>
      </c>
      <c r="I4947" s="5"/>
    </row>
    <row r="4948" spans="1:9" x14ac:dyDescent="0.3">
      <c r="B4948" s="5" t="s">
        <v>4421</v>
      </c>
      <c r="C4948" s="5" t="s">
        <v>10</v>
      </c>
      <c r="D4948" s="5" t="s">
        <v>4435</v>
      </c>
      <c r="E4948" s="5" t="s">
        <v>4436</v>
      </c>
      <c r="F4948" s="5" t="s">
        <v>1346</v>
      </c>
      <c r="G4948" s="5" t="s">
        <v>1347</v>
      </c>
      <c r="H4948" s="6">
        <v>6960</v>
      </c>
      <c r="I4948" s="5"/>
    </row>
    <row r="4949" spans="1:9" x14ac:dyDescent="0.3">
      <c r="B4949" s="5" t="s">
        <v>4421</v>
      </c>
      <c r="C4949" s="5" t="s">
        <v>10</v>
      </c>
      <c r="D4949" s="5" t="s">
        <v>4435</v>
      </c>
      <c r="E4949" s="5" t="s">
        <v>4436</v>
      </c>
      <c r="F4949" s="5" t="s">
        <v>2598</v>
      </c>
      <c r="G4949" s="5" t="s">
        <v>2599</v>
      </c>
      <c r="H4949" s="6">
        <v>10000</v>
      </c>
      <c r="I4949" s="5"/>
    </row>
    <row r="4950" spans="1:9" x14ac:dyDescent="0.3">
      <c r="B4950" s="5" t="s">
        <v>4421</v>
      </c>
      <c r="C4950" s="5" t="s">
        <v>10</v>
      </c>
      <c r="D4950" s="5" t="s">
        <v>4435</v>
      </c>
      <c r="E4950" s="5" t="s">
        <v>4436</v>
      </c>
      <c r="F4950" s="5" t="s">
        <v>4363</v>
      </c>
      <c r="G4950" s="5" t="s">
        <v>4364</v>
      </c>
      <c r="H4950" s="6">
        <v>9900</v>
      </c>
      <c r="I4950" s="5"/>
    </row>
    <row r="4951" spans="1:9" x14ac:dyDescent="0.3">
      <c r="B4951" s="5" t="s">
        <v>4421</v>
      </c>
      <c r="C4951" s="5" t="s">
        <v>10</v>
      </c>
      <c r="D4951" s="5" t="s">
        <v>4435</v>
      </c>
      <c r="E4951" s="5" t="s">
        <v>4437</v>
      </c>
      <c r="F4951" s="5" t="s">
        <v>547</v>
      </c>
      <c r="G4951" s="5" t="s">
        <v>548</v>
      </c>
      <c r="H4951" s="6">
        <v>5980</v>
      </c>
      <c r="I4951" s="5"/>
    </row>
    <row r="4952" spans="1:9" x14ac:dyDescent="0.3">
      <c r="B4952" s="5" t="s">
        <v>4421</v>
      </c>
      <c r="C4952" s="5" t="s">
        <v>10</v>
      </c>
      <c r="D4952" s="5" t="s">
        <v>4435</v>
      </c>
      <c r="E4952" s="5" t="s">
        <v>4436</v>
      </c>
      <c r="F4952" s="5" t="s">
        <v>1643</v>
      </c>
      <c r="G4952" s="5" t="s">
        <v>1644</v>
      </c>
      <c r="H4952" s="5"/>
      <c r="I4952" s="6">
        <v>244920</v>
      </c>
    </row>
    <row r="4953" spans="1:9" x14ac:dyDescent="0.3">
      <c r="A4953" s="7" t="s">
        <v>4438</v>
      </c>
      <c r="H4953" s="8">
        <f>H4941+H4942+H4943+H4944+H4945+H4946+H4947+H4948+H4949+H4950+H4951+H4952</f>
        <v>244920</v>
      </c>
      <c r="I4953" s="8">
        <f>I4941+I4942+I4943+I4944+I4945+I4946+I4947+I4948+I4949+I4950+I4951+I4952</f>
        <v>244920</v>
      </c>
    </row>
    <row r="4954" spans="1:9" x14ac:dyDescent="0.3">
      <c r="A4954" s="4" t="s">
        <v>4439</v>
      </c>
    </row>
    <row r="4955" spans="1:9" x14ac:dyDescent="0.3">
      <c r="B4955" s="5" t="s">
        <v>4421</v>
      </c>
      <c r="C4955" s="5" t="s">
        <v>2745</v>
      </c>
      <c r="D4955" s="5" t="s">
        <v>2750</v>
      </c>
      <c r="E4955" s="5" t="s">
        <v>2750</v>
      </c>
      <c r="F4955" s="5" t="s">
        <v>2748</v>
      </c>
      <c r="G4955" s="5" t="s">
        <v>2749</v>
      </c>
      <c r="H4955" s="6">
        <v>2360</v>
      </c>
      <c r="I4955" s="5"/>
    </row>
    <row r="4956" spans="1:9" x14ac:dyDescent="0.3">
      <c r="B4956" s="5" t="s">
        <v>4421</v>
      </c>
      <c r="C4956" s="5" t="s">
        <v>2745</v>
      </c>
      <c r="D4956" s="5" t="s">
        <v>2750</v>
      </c>
      <c r="E4956" s="5" t="s">
        <v>2750</v>
      </c>
      <c r="F4956" s="5" t="s">
        <v>847</v>
      </c>
      <c r="G4956" s="5" t="s">
        <v>848</v>
      </c>
      <c r="H4956" s="5"/>
      <c r="I4956" s="6">
        <v>2360</v>
      </c>
    </row>
    <row r="4957" spans="1:9" x14ac:dyDescent="0.3">
      <c r="A4957" s="7" t="s">
        <v>4440</v>
      </c>
      <c r="H4957" s="8">
        <f>H4955+H4956</f>
        <v>2360</v>
      </c>
      <c r="I4957" s="8">
        <f>I4955+I4956</f>
        <v>2360</v>
      </c>
    </row>
    <row r="4958" spans="1:9" x14ac:dyDescent="0.3">
      <c r="A4958" s="4" t="s">
        <v>4441</v>
      </c>
    </row>
    <row r="4959" spans="1:9" x14ac:dyDescent="0.3">
      <c r="B4959" s="5" t="s">
        <v>4442</v>
      </c>
      <c r="C4959" s="5" t="s">
        <v>10</v>
      </c>
      <c r="D4959" s="5" t="s">
        <v>4443</v>
      </c>
      <c r="E4959" s="5" t="s">
        <v>4444</v>
      </c>
      <c r="F4959" s="5" t="s">
        <v>61</v>
      </c>
      <c r="G4959" s="5" t="s">
        <v>62</v>
      </c>
      <c r="H4959" s="6">
        <v>480</v>
      </c>
      <c r="I4959" s="5"/>
    </row>
    <row r="4960" spans="1:9" x14ac:dyDescent="0.3">
      <c r="B4960" s="5" t="s">
        <v>4442</v>
      </c>
      <c r="C4960" s="5" t="s">
        <v>10</v>
      </c>
      <c r="D4960" s="5" t="s">
        <v>4443</v>
      </c>
      <c r="E4960" s="5" t="s">
        <v>4444</v>
      </c>
      <c r="F4960" s="5" t="s">
        <v>1643</v>
      </c>
      <c r="G4960" s="5" t="s">
        <v>1644</v>
      </c>
      <c r="H4960" s="5"/>
      <c r="I4960" s="6">
        <v>480</v>
      </c>
    </row>
    <row r="4961" spans="1:9" x14ac:dyDescent="0.3">
      <c r="A4961" s="7" t="s">
        <v>4445</v>
      </c>
      <c r="H4961" s="8">
        <f>H4959+H4960</f>
        <v>480</v>
      </c>
      <c r="I4961" s="8">
        <f>I4959+I4960</f>
        <v>480</v>
      </c>
    </row>
    <row r="4962" spans="1:9" x14ac:dyDescent="0.3">
      <c r="A4962" s="4" t="s">
        <v>4446</v>
      </c>
    </row>
    <row r="4963" spans="1:9" x14ac:dyDescent="0.3">
      <c r="B4963" s="5" t="s">
        <v>4442</v>
      </c>
      <c r="C4963" s="5" t="s">
        <v>10</v>
      </c>
      <c r="D4963" s="5" t="s">
        <v>4447</v>
      </c>
      <c r="E4963" s="5" t="s">
        <v>4448</v>
      </c>
      <c r="F4963" s="5" t="s">
        <v>1643</v>
      </c>
      <c r="G4963" s="5" t="s">
        <v>1644</v>
      </c>
      <c r="H4963" s="6">
        <v>12160</v>
      </c>
      <c r="I4963" s="5"/>
    </row>
    <row r="4964" spans="1:9" x14ac:dyDescent="0.3">
      <c r="B4964" s="5" t="s">
        <v>4442</v>
      </c>
      <c r="C4964" s="5" t="s">
        <v>10</v>
      </c>
      <c r="D4964" s="5" t="s">
        <v>4447</v>
      </c>
      <c r="E4964" s="5" t="s">
        <v>4448</v>
      </c>
      <c r="F4964" s="5" t="s">
        <v>13</v>
      </c>
      <c r="G4964" s="5" t="s">
        <v>14</v>
      </c>
      <c r="H4964" s="5"/>
      <c r="I4964" s="6">
        <v>12160</v>
      </c>
    </row>
    <row r="4965" spans="1:9" x14ac:dyDescent="0.3">
      <c r="A4965" s="7" t="s">
        <v>4449</v>
      </c>
      <c r="H4965" s="8">
        <f>H4963+H4964</f>
        <v>12160</v>
      </c>
      <c r="I4965" s="8">
        <f>I4963+I4964</f>
        <v>12160</v>
      </c>
    </row>
    <row r="4966" spans="1:9" x14ac:dyDescent="0.3">
      <c r="A4966" s="4" t="s">
        <v>4450</v>
      </c>
    </row>
    <row r="4967" spans="1:9" x14ac:dyDescent="0.3">
      <c r="B4967" s="5" t="s">
        <v>4442</v>
      </c>
      <c r="C4967" s="5" t="s">
        <v>10</v>
      </c>
      <c r="D4967" s="5" t="s">
        <v>4451</v>
      </c>
      <c r="E4967" s="5" t="s">
        <v>4452</v>
      </c>
      <c r="F4967" s="5" t="s">
        <v>2602</v>
      </c>
      <c r="G4967" s="5" t="s">
        <v>2603</v>
      </c>
      <c r="H4967" s="6">
        <v>5980</v>
      </c>
      <c r="I4967" s="5"/>
    </row>
    <row r="4968" spans="1:9" x14ac:dyDescent="0.3">
      <c r="B4968" s="5" t="s">
        <v>4442</v>
      </c>
      <c r="C4968" s="5" t="s">
        <v>10</v>
      </c>
      <c r="D4968" s="5" t="s">
        <v>4451</v>
      </c>
      <c r="E4968" s="5" t="s">
        <v>4452</v>
      </c>
      <c r="F4968" s="5" t="s">
        <v>2604</v>
      </c>
      <c r="G4968" s="5" t="s">
        <v>2605</v>
      </c>
      <c r="H4968" s="6">
        <v>5980</v>
      </c>
      <c r="I4968" s="5"/>
    </row>
    <row r="4969" spans="1:9" x14ac:dyDescent="0.3">
      <c r="B4969" s="5" t="s">
        <v>4442</v>
      </c>
      <c r="C4969" s="5" t="s">
        <v>10</v>
      </c>
      <c r="D4969" s="5" t="s">
        <v>4451</v>
      </c>
      <c r="E4969" s="5" t="s">
        <v>4453</v>
      </c>
      <c r="F4969" s="5" t="s">
        <v>2368</v>
      </c>
      <c r="G4969" s="5" t="s">
        <v>2369</v>
      </c>
      <c r="H4969" s="6">
        <v>200</v>
      </c>
      <c r="I4969" s="5"/>
    </row>
    <row r="4970" spans="1:9" x14ac:dyDescent="0.3">
      <c r="B4970" s="5" t="s">
        <v>4442</v>
      </c>
      <c r="C4970" s="5" t="s">
        <v>10</v>
      </c>
      <c r="D4970" s="5" t="s">
        <v>4451</v>
      </c>
      <c r="E4970" s="5" t="s">
        <v>4453</v>
      </c>
      <c r="F4970" s="5" t="s">
        <v>1643</v>
      </c>
      <c r="G4970" s="5" t="s">
        <v>1644</v>
      </c>
      <c r="H4970" s="5"/>
      <c r="I4970" s="6">
        <v>12160</v>
      </c>
    </row>
    <row r="4971" spans="1:9" x14ac:dyDescent="0.3">
      <c r="A4971" s="7" t="s">
        <v>4454</v>
      </c>
      <c r="H4971" s="8">
        <f>H4967+H4968+H4969+H4970</f>
        <v>12160</v>
      </c>
      <c r="I4971" s="8">
        <f>I4967+I4968+I4969+I4970</f>
        <v>12160</v>
      </c>
    </row>
    <row r="4972" spans="1:9" x14ac:dyDescent="0.3">
      <c r="A4972" s="4" t="s">
        <v>4455</v>
      </c>
    </row>
    <row r="4973" spans="1:9" x14ac:dyDescent="0.3">
      <c r="B4973" s="5" t="s">
        <v>4442</v>
      </c>
      <c r="C4973" s="5" t="s">
        <v>10</v>
      </c>
      <c r="D4973" s="5" t="s">
        <v>4456</v>
      </c>
      <c r="E4973" s="5" t="s">
        <v>4457</v>
      </c>
      <c r="F4973" s="5" t="s">
        <v>1643</v>
      </c>
      <c r="G4973" s="5" t="s">
        <v>1644</v>
      </c>
      <c r="H4973" s="6">
        <v>17860</v>
      </c>
      <c r="I4973" s="5"/>
    </row>
    <row r="4974" spans="1:9" x14ac:dyDescent="0.3">
      <c r="B4974" s="5" t="s">
        <v>4442</v>
      </c>
      <c r="C4974" s="5" t="s">
        <v>10</v>
      </c>
      <c r="D4974" s="5" t="s">
        <v>4456</v>
      </c>
      <c r="E4974" s="5" t="s">
        <v>4457</v>
      </c>
      <c r="F4974" s="5" t="s">
        <v>13</v>
      </c>
      <c r="G4974" s="5" t="s">
        <v>14</v>
      </c>
      <c r="H4974" s="5"/>
      <c r="I4974" s="6">
        <v>17860</v>
      </c>
    </row>
    <row r="4975" spans="1:9" x14ac:dyDescent="0.3">
      <c r="A4975" s="7" t="s">
        <v>4458</v>
      </c>
      <c r="H4975" s="8">
        <f>H4973+H4974</f>
        <v>17860</v>
      </c>
      <c r="I4975" s="8">
        <f>I4973+I4974</f>
        <v>17860</v>
      </c>
    </row>
    <row r="4976" spans="1:9" x14ac:dyDescent="0.3">
      <c r="A4976" s="4" t="s">
        <v>4459</v>
      </c>
    </row>
    <row r="4977" spans="1:9" x14ac:dyDescent="0.3">
      <c r="B4977" s="5" t="s">
        <v>4442</v>
      </c>
      <c r="C4977" s="5" t="s">
        <v>10</v>
      </c>
      <c r="D4977" s="5" t="s">
        <v>4460</v>
      </c>
      <c r="E4977" s="5" t="s">
        <v>4461</v>
      </c>
      <c r="F4977" s="5" t="s">
        <v>1022</v>
      </c>
      <c r="G4977" s="5" t="s">
        <v>1023</v>
      </c>
      <c r="H4977" s="6">
        <v>11860</v>
      </c>
      <c r="I4977" s="5"/>
    </row>
    <row r="4978" spans="1:9" x14ac:dyDescent="0.3">
      <c r="B4978" s="5" t="s">
        <v>4442</v>
      </c>
      <c r="C4978" s="5" t="s">
        <v>10</v>
      </c>
      <c r="D4978" s="5" t="s">
        <v>4460</v>
      </c>
      <c r="E4978" s="5" t="s">
        <v>4461</v>
      </c>
      <c r="F4978" s="5" t="s">
        <v>2600</v>
      </c>
      <c r="G4978" s="5" t="s">
        <v>2601</v>
      </c>
      <c r="H4978" s="6">
        <v>3000</v>
      </c>
      <c r="I4978" s="5"/>
    </row>
    <row r="4979" spans="1:9" x14ac:dyDescent="0.3">
      <c r="B4979" s="5" t="s">
        <v>4442</v>
      </c>
      <c r="C4979" s="5" t="s">
        <v>10</v>
      </c>
      <c r="D4979" s="5" t="s">
        <v>4460</v>
      </c>
      <c r="E4979" s="5" t="s">
        <v>4461</v>
      </c>
      <c r="F4979" s="5" t="s">
        <v>3735</v>
      </c>
      <c r="G4979" s="5" t="s">
        <v>3736</v>
      </c>
      <c r="H4979" s="6">
        <v>3000</v>
      </c>
      <c r="I4979" s="5"/>
    </row>
    <row r="4980" spans="1:9" x14ac:dyDescent="0.3">
      <c r="B4980" s="5" t="s">
        <v>4442</v>
      </c>
      <c r="C4980" s="5" t="s">
        <v>10</v>
      </c>
      <c r="D4980" s="5" t="s">
        <v>4460</v>
      </c>
      <c r="E4980" s="5" t="s">
        <v>4461</v>
      </c>
      <c r="F4980" s="5" t="s">
        <v>1643</v>
      </c>
      <c r="G4980" s="5" t="s">
        <v>1644</v>
      </c>
      <c r="H4980" s="5"/>
      <c r="I4980" s="6">
        <v>17860</v>
      </c>
    </row>
    <row r="4981" spans="1:9" x14ac:dyDescent="0.3">
      <c r="A4981" s="7" t="s">
        <v>4462</v>
      </c>
      <c r="H4981" s="8">
        <f>H4977+H4978+H4979+H4980</f>
        <v>17860</v>
      </c>
      <c r="I4981" s="8">
        <f>I4977+I4978+I4979+I4980</f>
        <v>17860</v>
      </c>
    </row>
    <row r="4982" spans="1:9" x14ac:dyDescent="0.3">
      <c r="A4982" s="4" t="s">
        <v>4463</v>
      </c>
    </row>
    <row r="4983" spans="1:9" x14ac:dyDescent="0.3">
      <c r="B4983" s="5" t="s">
        <v>4464</v>
      </c>
      <c r="C4983" s="5" t="s">
        <v>10</v>
      </c>
      <c r="D4983" s="5" t="s">
        <v>4465</v>
      </c>
      <c r="E4983" s="5" t="s">
        <v>4466</v>
      </c>
      <c r="F4983" s="5" t="s">
        <v>129</v>
      </c>
      <c r="G4983" s="5" t="s">
        <v>130</v>
      </c>
      <c r="H4983" s="6">
        <v>240</v>
      </c>
      <c r="I4983" s="5"/>
    </row>
    <row r="4984" spans="1:9" x14ac:dyDescent="0.3">
      <c r="B4984" s="5" t="s">
        <v>4464</v>
      </c>
      <c r="C4984" s="5" t="s">
        <v>10</v>
      </c>
      <c r="D4984" s="5" t="s">
        <v>4465</v>
      </c>
      <c r="E4984" s="5" t="s">
        <v>4466</v>
      </c>
      <c r="F4984" s="5" t="s">
        <v>1643</v>
      </c>
      <c r="G4984" s="5" t="s">
        <v>1644</v>
      </c>
      <c r="H4984" s="5"/>
      <c r="I4984" s="6">
        <v>240</v>
      </c>
    </row>
    <row r="4985" spans="1:9" x14ac:dyDescent="0.3">
      <c r="B4985" s="5" t="s">
        <v>4464</v>
      </c>
      <c r="C4985" s="5" t="s">
        <v>10</v>
      </c>
      <c r="D4985" s="5" t="s">
        <v>4465</v>
      </c>
      <c r="E4985" s="5" t="s">
        <v>3106</v>
      </c>
      <c r="F4985" s="5" t="s">
        <v>113</v>
      </c>
      <c r="G4985" s="5" t="s">
        <v>114</v>
      </c>
      <c r="H4985" s="6">
        <v>928</v>
      </c>
      <c r="I4985" s="5"/>
    </row>
    <row r="4986" spans="1:9" x14ac:dyDescent="0.3">
      <c r="B4986" s="5" t="s">
        <v>4464</v>
      </c>
      <c r="C4986" s="5" t="s">
        <v>10</v>
      </c>
      <c r="D4986" s="5" t="s">
        <v>4465</v>
      </c>
      <c r="E4986" s="5" t="s">
        <v>3106</v>
      </c>
      <c r="F4986" s="5" t="s">
        <v>1643</v>
      </c>
      <c r="G4986" s="5" t="s">
        <v>1644</v>
      </c>
      <c r="H4986" s="5"/>
      <c r="I4986" s="6">
        <v>928</v>
      </c>
    </row>
    <row r="4987" spans="1:9" x14ac:dyDescent="0.3">
      <c r="A4987" s="7" t="s">
        <v>4467</v>
      </c>
      <c r="H4987" s="8">
        <f>H4983+H4984+H4985+H4986</f>
        <v>1168</v>
      </c>
      <c r="I4987" s="8">
        <f>I4983+I4984+I4985+I4986</f>
        <v>1168</v>
      </c>
    </row>
    <row r="4988" spans="1:9" x14ac:dyDescent="0.3">
      <c r="A4988" s="4" t="s">
        <v>4468</v>
      </c>
    </row>
    <row r="4989" spans="1:9" x14ac:dyDescent="0.3">
      <c r="B4989" s="5" t="s">
        <v>4464</v>
      </c>
      <c r="C4989" s="5" t="s">
        <v>10</v>
      </c>
      <c r="D4989" s="5" t="s">
        <v>4469</v>
      </c>
      <c r="E4989" s="5" t="s">
        <v>4470</v>
      </c>
      <c r="F4989" s="5" t="s">
        <v>3901</v>
      </c>
      <c r="G4989" s="5" t="s">
        <v>3902</v>
      </c>
      <c r="H4989" s="6">
        <v>2500000</v>
      </c>
      <c r="I4989" s="5"/>
    </row>
    <row r="4990" spans="1:9" x14ac:dyDescent="0.3">
      <c r="B4990" s="5" t="s">
        <v>4464</v>
      </c>
      <c r="C4990" s="5" t="s">
        <v>10</v>
      </c>
      <c r="D4990" s="5" t="s">
        <v>4469</v>
      </c>
      <c r="E4990" s="5" t="s">
        <v>4470</v>
      </c>
      <c r="F4990" s="5" t="s">
        <v>3962</v>
      </c>
      <c r="G4990" s="5" t="s">
        <v>3963</v>
      </c>
      <c r="H4990" s="5"/>
      <c r="I4990" s="6">
        <v>2500000</v>
      </c>
    </row>
    <row r="4991" spans="1:9" x14ac:dyDescent="0.3">
      <c r="A4991" s="7" t="s">
        <v>4471</v>
      </c>
      <c r="H4991" s="8">
        <f>H4989+H4990</f>
        <v>2500000</v>
      </c>
      <c r="I4991" s="8">
        <f>I4989+I4990</f>
        <v>2500000</v>
      </c>
    </row>
    <row r="4992" spans="1:9" x14ac:dyDescent="0.3">
      <c r="A4992" s="4" t="s">
        <v>4472</v>
      </c>
    </row>
    <row r="4993" spans="1:9" x14ac:dyDescent="0.3">
      <c r="B4993" s="5" t="s">
        <v>4473</v>
      </c>
      <c r="C4993" s="5" t="s">
        <v>10</v>
      </c>
      <c r="D4993" s="5" t="s">
        <v>4474</v>
      </c>
      <c r="E4993" s="5" t="s">
        <v>4475</v>
      </c>
      <c r="F4993" s="5" t="s">
        <v>81</v>
      </c>
      <c r="G4993" s="5" t="s">
        <v>82</v>
      </c>
      <c r="H4993" s="6">
        <v>7650</v>
      </c>
      <c r="I4993" s="5"/>
    </row>
    <row r="4994" spans="1:9" x14ac:dyDescent="0.3">
      <c r="B4994" s="5" t="s">
        <v>4473</v>
      </c>
      <c r="C4994" s="5" t="s">
        <v>10</v>
      </c>
      <c r="D4994" s="5" t="s">
        <v>4474</v>
      </c>
      <c r="E4994" s="5" t="s">
        <v>4476</v>
      </c>
      <c r="F4994" s="5" t="s">
        <v>67</v>
      </c>
      <c r="G4994" s="5" t="s">
        <v>68</v>
      </c>
      <c r="H4994" s="6">
        <v>170</v>
      </c>
      <c r="I4994" s="5"/>
    </row>
    <row r="4995" spans="1:9" x14ac:dyDescent="0.3">
      <c r="B4995" s="5" t="s">
        <v>4473</v>
      </c>
      <c r="C4995" s="5" t="s">
        <v>10</v>
      </c>
      <c r="D4995" s="5" t="s">
        <v>4474</v>
      </c>
      <c r="E4995" s="5" t="s">
        <v>4475</v>
      </c>
      <c r="F4995" s="5" t="s">
        <v>1643</v>
      </c>
      <c r="G4995" s="5" t="s">
        <v>1644</v>
      </c>
      <c r="H4995" s="5"/>
      <c r="I4995" s="6">
        <v>7820</v>
      </c>
    </row>
    <row r="4996" spans="1:9" x14ac:dyDescent="0.3">
      <c r="A4996" s="7" t="s">
        <v>4477</v>
      </c>
      <c r="H4996" s="8">
        <f>H4993+H4994+H4995</f>
        <v>7820</v>
      </c>
      <c r="I4996" s="8">
        <f>I4993+I4994+I4995</f>
        <v>7820</v>
      </c>
    </row>
    <row r="4997" spans="1:9" x14ac:dyDescent="0.3">
      <c r="A4997" s="4" t="s">
        <v>4478</v>
      </c>
    </row>
    <row r="4998" spans="1:9" x14ac:dyDescent="0.3">
      <c r="B4998" s="5" t="s">
        <v>4473</v>
      </c>
      <c r="C4998" s="5" t="s">
        <v>10</v>
      </c>
      <c r="D4998" s="5" t="s">
        <v>4479</v>
      </c>
      <c r="E4998" s="5" t="s">
        <v>4480</v>
      </c>
      <c r="F4998" s="5" t="s">
        <v>61</v>
      </c>
      <c r="G4998" s="5" t="s">
        <v>62</v>
      </c>
      <c r="H4998" s="6">
        <v>3380</v>
      </c>
      <c r="I4998" s="5"/>
    </row>
    <row r="4999" spans="1:9" x14ac:dyDescent="0.3">
      <c r="B4999" s="5" t="s">
        <v>4473</v>
      </c>
      <c r="C4999" s="5" t="s">
        <v>10</v>
      </c>
      <c r="D4999" s="5" t="s">
        <v>4479</v>
      </c>
      <c r="E4999" s="5" t="s">
        <v>4480</v>
      </c>
      <c r="F4999" s="5" t="s">
        <v>1643</v>
      </c>
      <c r="G4999" s="5" t="s">
        <v>1644</v>
      </c>
      <c r="H4999" s="5"/>
      <c r="I4999" s="6">
        <v>3380</v>
      </c>
    </row>
    <row r="5000" spans="1:9" x14ac:dyDescent="0.3">
      <c r="A5000" s="7" t="s">
        <v>4481</v>
      </c>
      <c r="H5000" s="8">
        <f>H4998+H4999</f>
        <v>3380</v>
      </c>
      <c r="I5000" s="8">
        <f>I4998+I4999</f>
        <v>3380</v>
      </c>
    </row>
    <row r="5001" spans="1:9" x14ac:dyDescent="0.3">
      <c r="A5001" s="4" t="s">
        <v>4482</v>
      </c>
    </row>
    <row r="5002" spans="1:9" x14ac:dyDescent="0.3">
      <c r="B5002" s="5" t="s">
        <v>4473</v>
      </c>
      <c r="C5002" s="5" t="s">
        <v>10</v>
      </c>
      <c r="D5002" s="5" t="s">
        <v>4483</v>
      </c>
      <c r="E5002" s="5" t="s">
        <v>170</v>
      </c>
      <c r="F5002" s="5" t="s">
        <v>61</v>
      </c>
      <c r="G5002" s="5" t="s">
        <v>62</v>
      </c>
      <c r="H5002" s="6">
        <v>570</v>
      </c>
      <c r="I5002" s="5"/>
    </row>
    <row r="5003" spans="1:9" x14ac:dyDescent="0.3">
      <c r="B5003" s="5" t="s">
        <v>4473</v>
      </c>
      <c r="C5003" s="5" t="s">
        <v>10</v>
      </c>
      <c r="D5003" s="5" t="s">
        <v>4483</v>
      </c>
      <c r="E5003" s="5" t="s">
        <v>4484</v>
      </c>
      <c r="F5003" s="5" t="s">
        <v>50</v>
      </c>
      <c r="G5003" s="5" t="s">
        <v>51</v>
      </c>
      <c r="H5003" s="6">
        <v>10</v>
      </c>
      <c r="I5003" s="5"/>
    </row>
    <row r="5004" spans="1:9" x14ac:dyDescent="0.3">
      <c r="B5004" s="5" t="s">
        <v>4473</v>
      </c>
      <c r="C5004" s="5" t="s">
        <v>10</v>
      </c>
      <c r="D5004" s="5" t="s">
        <v>4483</v>
      </c>
      <c r="E5004" s="5" t="s">
        <v>4485</v>
      </c>
      <c r="F5004" s="5" t="s">
        <v>1643</v>
      </c>
      <c r="G5004" s="5" t="s">
        <v>1644</v>
      </c>
      <c r="H5004" s="5"/>
      <c r="I5004" s="6">
        <v>580</v>
      </c>
    </row>
    <row r="5005" spans="1:9" x14ac:dyDescent="0.3">
      <c r="A5005" s="7" t="s">
        <v>4486</v>
      </c>
      <c r="H5005" s="8">
        <f>H5002+H5003+H5004</f>
        <v>580</v>
      </c>
      <c r="I5005" s="8">
        <f>I5002+I5003+I5004</f>
        <v>580</v>
      </c>
    </row>
    <row r="5006" spans="1:9" x14ac:dyDescent="0.3">
      <c r="A5006" s="4" t="s">
        <v>4487</v>
      </c>
    </row>
    <row r="5007" spans="1:9" x14ac:dyDescent="0.3">
      <c r="B5007" s="5" t="s">
        <v>4473</v>
      </c>
      <c r="C5007" s="5" t="s">
        <v>10</v>
      </c>
      <c r="D5007" s="5" t="s">
        <v>4488</v>
      </c>
      <c r="E5007" s="5" t="s">
        <v>3285</v>
      </c>
      <c r="F5007" s="5" t="s">
        <v>67</v>
      </c>
      <c r="G5007" s="5" t="s">
        <v>68</v>
      </c>
      <c r="H5007" s="6">
        <v>1900</v>
      </c>
      <c r="I5007" s="5"/>
    </row>
    <row r="5008" spans="1:9" x14ac:dyDescent="0.3">
      <c r="B5008" s="5" t="s">
        <v>4473</v>
      </c>
      <c r="C5008" s="5" t="s">
        <v>10</v>
      </c>
      <c r="D5008" s="5" t="s">
        <v>4488</v>
      </c>
      <c r="E5008" s="5" t="s">
        <v>3285</v>
      </c>
      <c r="F5008" s="5" t="s">
        <v>1643</v>
      </c>
      <c r="G5008" s="5" t="s">
        <v>1644</v>
      </c>
      <c r="H5008" s="5"/>
      <c r="I5008" s="6">
        <v>1900</v>
      </c>
    </row>
    <row r="5009" spans="1:9" x14ac:dyDescent="0.3">
      <c r="A5009" s="7" t="s">
        <v>4489</v>
      </c>
      <c r="H5009" s="8">
        <f>H5007+H5008</f>
        <v>1900</v>
      </c>
      <c r="I5009" s="8">
        <f>I5007+I5008</f>
        <v>1900</v>
      </c>
    </row>
    <row r="5010" spans="1:9" x14ac:dyDescent="0.3">
      <c r="A5010" s="4" t="s">
        <v>4490</v>
      </c>
    </row>
    <row r="5011" spans="1:9" ht="21.6" x14ac:dyDescent="0.3">
      <c r="B5011" s="5" t="s">
        <v>4473</v>
      </c>
      <c r="C5011" s="5" t="s">
        <v>10</v>
      </c>
      <c r="D5011" s="5" t="s">
        <v>4491</v>
      </c>
      <c r="E5011" s="5" t="s">
        <v>4492</v>
      </c>
      <c r="F5011" s="5" t="s">
        <v>1643</v>
      </c>
      <c r="G5011" s="5" t="s">
        <v>1644</v>
      </c>
      <c r="H5011" s="6">
        <v>37100</v>
      </c>
      <c r="I5011" s="5"/>
    </row>
    <row r="5012" spans="1:9" ht="21.6" x14ac:dyDescent="0.3">
      <c r="B5012" s="5" t="s">
        <v>4473</v>
      </c>
      <c r="C5012" s="5" t="s">
        <v>10</v>
      </c>
      <c r="D5012" s="5" t="s">
        <v>4491</v>
      </c>
      <c r="E5012" s="5" t="s">
        <v>4492</v>
      </c>
      <c r="F5012" s="5" t="s">
        <v>13</v>
      </c>
      <c r="G5012" s="5" t="s">
        <v>14</v>
      </c>
      <c r="H5012" s="5"/>
      <c r="I5012" s="6">
        <v>37100</v>
      </c>
    </row>
    <row r="5013" spans="1:9" x14ac:dyDescent="0.3">
      <c r="B5013" s="5" t="s">
        <v>4473</v>
      </c>
      <c r="C5013" s="5" t="s">
        <v>10</v>
      </c>
      <c r="D5013" s="5" t="s">
        <v>4491</v>
      </c>
      <c r="E5013" s="5" t="s">
        <v>4493</v>
      </c>
      <c r="F5013" s="5" t="s">
        <v>61</v>
      </c>
      <c r="G5013" s="5" t="s">
        <v>62</v>
      </c>
      <c r="H5013" s="6">
        <v>3000</v>
      </c>
      <c r="I5013" s="5"/>
    </row>
    <row r="5014" spans="1:9" ht="21.6" x14ac:dyDescent="0.3">
      <c r="B5014" s="5" t="s">
        <v>4473</v>
      </c>
      <c r="C5014" s="5" t="s">
        <v>10</v>
      </c>
      <c r="D5014" s="5" t="s">
        <v>4491</v>
      </c>
      <c r="E5014" s="5" t="s">
        <v>4494</v>
      </c>
      <c r="F5014" s="5" t="s">
        <v>1022</v>
      </c>
      <c r="G5014" s="5" t="s">
        <v>1023</v>
      </c>
      <c r="H5014" s="6">
        <v>33950</v>
      </c>
      <c r="I5014" s="5"/>
    </row>
    <row r="5015" spans="1:9" x14ac:dyDescent="0.3">
      <c r="B5015" s="5" t="s">
        <v>4473</v>
      </c>
      <c r="C5015" s="5" t="s">
        <v>10</v>
      </c>
      <c r="D5015" s="5" t="s">
        <v>4491</v>
      </c>
      <c r="E5015" s="5" t="s">
        <v>2489</v>
      </c>
      <c r="F5015" s="5" t="s">
        <v>2368</v>
      </c>
      <c r="G5015" s="5" t="s">
        <v>2369</v>
      </c>
      <c r="H5015" s="6">
        <v>150</v>
      </c>
      <c r="I5015" s="5"/>
    </row>
    <row r="5016" spans="1:9" ht="21.6" x14ac:dyDescent="0.3">
      <c r="B5016" s="5" t="s">
        <v>4473</v>
      </c>
      <c r="C5016" s="5" t="s">
        <v>10</v>
      </c>
      <c r="D5016" s="5" t="s">
        <v>4491</v>
      </c>
      <c r="E5016" s="5" t="s">
        <v>4494</v>
      </c>
      <c r="F5016" s="5" t="s">
        <v>1643</v>
      </c>
      <c r="G5016" s="5" t="s">
        <v>1644</v>
      </c>
      <c r="H5016" s="5"/>
      <c r="I5016" s="6">
        <v>37100</v>
      </c>
    </row>
    <row r="5017" spans="1:9" ht="21.6" x14ac:dyDescent="0.3">
      <c r="B5017" s="5" t="s">
        <v>4473</v>
      </c>
      <c r="C5017" s="5" t="s">
        <v>10</v>
      </c>
      <c r="D5017" s="5" t="s">
        <v>4491</v>
      </c>
      <c r="E5017" s="5" t="s">
        <v>4495</v>
      </c>
      <c r="F5017" s="5" t="s">
        <v>1643</v>
      </c>
      <c r="G5017" s="5" t="s">
        <v>1644</v>
      </c>
      <c r="H5017" s="6">
        <v>13900</v>
      </c>
      <c r="I5017" s="5"/>
    </row>
    <row r="5018" spans="1:9" ht="21.6" x14ac:dyDescent="0.3">
      <c r="B5018" s="5" t="s">
        <v>4473</v>
      </c>
      <c r="C5018" s="5" t="s">
        <v>10</v>
      </c>
      <c r="D5018" s="5" t="s">
        <v>4491</v>
      </c>
      <c r="E5018" s="5" t="s">
        <v>4495</v>
      </c>
      <c r="F5018" s="5" t="s">
        <v>13</v>
      </c>
      <c r="G5018" s="5" t="s">
        <v>14</v>
      </c>
      <c r="H5018" s="5"/>
      <c r="I5018" s="6">
        <v>13900</v>
      </c>
    </row>
    <row r="5019" spans="1:9" x14ac:dyDescent="0.3">
      <c r="B5019" s="5" t="s">
        <v>4473</v>
      </c>
      <c r="C5019" s="5" t="s">
        <v>10</v>
      </c>
      <c r="D5019" s="5" t="s">
        <v>4491</v>
      </c>
      <c r="E5019" s="5" t="s">
        <v>4496</v>
      </c>
      <c r="F5019" s="5" t="s">
        <v>61</v>
      </c>
      <c r="G5019" s="5" t="s">
        <v>62</v>
      </c>
      <c r="H5019" s="6">
        <v>3000</v>
      </c>
      <c r="I5019" s="5"/>
    </row>
    <row r="5020" spans="1:9" ht="21.6" x14ac:dyDescent="0.3">
      <c r="B5020" s="5" t="s">
        <v>4473</v>
      </c>
      <c r="C5020" s="5" t="s">
        <v>10</v>
      </c>
      <c r="D5020" s="5" t="s">
        <v>4491</v>
      </c>
      <c r="E5020" s="5" t="s">
        <v>4497</v>
      </c>
      <c r="F5020" s="5" t="s">
        <v>1022</v>
      </c>
      <c r="G5020" s="5" t="s">
        <v>1023</v>
      </c>
      <c r="H5020" s="6">
        <v>10900</v>
      </c>
      <c r="I5020" s="5"/>
    </row>
    <row r="5021" spans="1:9" ht="21.6" x14ac:dyDescent="0.3">
      <c r="B5021" s="5" t="s">
        <v>4473</v>
      </c>
      <c r="C5021" s="5" t="s">
        <v>10</v>
      </c>
      <c r="D5021" s="5" t="s">
        <v>4491</v>
      </c>
      <c r="E5021" s="5" t="s">
        <v>4497</v>
      </c>
      <c r="F5021" s="5" t="s">
        <v>1643</v>
      </c>
      <c r="G5021" s="5" t="s">
        <v>1644</v>
      </c>
      <c r="H5021" s="5"/>
      <c r="I5021" s="6">
        <v>13900</v>
      </c>
    </row>
    <row r="5022" spans="1:9" x14ac:dyDescent="0.3">
      <c r="A5022" s="7" t="s">
        <v>4498</v>
      </c>
      <c r="H5022" s="8">
        <f>H5011+H5012+H5013+H5014+H5015+H5016+H5017+H5018+H5019+H5020+H5021</f>
        <v>102000</v>
      </c>
      <c r="I5022" s="8">
        <f>I5011+I5012+I5013+I5014+I5015+I5016+I5017+I5018+I5019+I5020+I5021</f>
        <v>102000</v>
      </c>
    </row>
    <row r="5023" spans="1:9" x14ac:dyDescent="0.3">
      <c r="A5023" s="4" t="s">
        <v>4499</v>
      </c>
    </row>
    <row r="5024" spans="1:9" x14ac:dyDescent="0.3">
      <c r="B5024" s="5" t="s">
        <v>4500</v>
      </c>
      <c r="C5024" s="5" t="s">
        <v>10</v>
      </c>
      <c r="D5024" s="5" t="s">
        <v>4501</v>
      </c>
      <c r="E5024" s="5" t="s">
        <v>4502</v>
      </c>
      <c r="F5024" s="5" t="s">
        <v>35</v>
      </c>
      <c r="G5024" s="5" t="s">
        <v>36</v>
      </c>
      <c r="H5024" s="6">
        <v>6795</v>
      </c>
      <c r="I5024" s="5"/>
    </row>
    <row r="5025" spans="1:9" x14ac:dyDescent="0.3">
      <c r="B5025" s="5" t="s">
        <v>4500</v>
      </c>
      <c r="C5025" s="5" t="s">
        <v>10</v>
      </c>
      <c r="D5025" s="5" t="s">
        <v>4501</v>
      </c>
      <c r="E5025" s="5" t="s">
        <v>4502</v>
      </c>
      <c r="F5025" s="5" t="s">
        <v>1643</v>
      </c>
      <c r="G5025" s="5" t="s">
        <v>1644</v>
      </c>
      <c r="H5025" s="5"/>
      <c r="I5025" s="6">
        <v>6795</v>
      </c>
    </row>
    <row r="5026" spans="1:9" x14ac:dyDescent="0.3">
      <c r="A5026" s="7" t="s">
        <v>4503</v>
      </c>
      <c r="H5026" s="8">
        <f>H5024+H5025</f>
        <v>6795</v>
      </c>
      <c r="I5026" s="8">
        <f>I5024+I5025</f>
        <v>6795</v>
      </c>
    </row>
    <row r="5027" spans="1:9" x14ac:dyDescent="0.3">
      <c r="A5027" s="4" t="s">
        <v>4504</v>
      </c>
    </row>
    <row r="5028" spans="1:9" x14ac:dyDescent="0.3">
      <c r="B5028" s="5" t="s">
        <v>4500</v>
      </c>
      <c r="C5028" s="5" t="s">
        <v>10</v>
      </c>
      <c r="D5028" s="5" t="s">
        <v>4505</v>
      </c>
      <c r="E5028" s="5" t="s">
        <v>4506</v>
      </c>
      <c r="F5028" s="5" t="s">
        <v>61</v>
      </c>
      <c r="G5028" s="5" t="s">
        <v>62</v>
      </c>
      <c r="H5028" s="6">
        <v>350</v>
      </c>
      <c r="I5028" s="5"/>
    </row>
    <row r="5029" spans="1:9" x14ac:dyDescent="0.3">
      <c r="B5029" s="5" t="s">
        <v>4500</v>
      </c>
      <c r="C5029" s="5" t="s">
        <v>10</v>
      </c>
      <c r="D5029" s="5" t="s">
        <v>4505</v>
      </c>
      <c r="E5029" s="5" t="s">
        <v>4506</v>
      </c>
      <c r="F5029" s="5" t="s">
        <v>67</v>
      </c>
      <c r="G5029" s="5" t="s">
        <v>68</v>
      </c>
      <c r="H5029" s="6">
        <v>50</v>
      </c>
      <c r="I5029" s="5"/>
    </row>
    <row r="5030" spans="1:9" x14ac:dyDescent="0.3">
      <c r="B5030" s="5" t="s">
        <v>4500</v>
      </c>
      <c r="C5030" s="5" t="s">
        <v>10</v>
      </c>
      <c r="D5030" s="5" t="s">
        <v>4505</v>
      </c>
      <c r="E5030" s="5" t="s">
        <v>4506</v>
      </c>
      <c r="F5030" s="5" t="s">
        <v>1643</v>
      </c>
      <c r="G5030" s="5" t="s">
        <v>1644</v>
      </c>
      <c r="H5030" s="5"/>
      <c r="I5030" s="6">
        <v>400</v>
      </c>
    </row>
    <row r="5031" spans="1:9" x14ac:dyDescent="0.3">
      <c r="A5031" s="7" t="s">
        <v>4507</v>
      </c>
      <c r="H5031" s="8">
        <f>H5028+H5029+H5030</f>
        <v>400</v>
      </c>
      <c r="I5031" s="8">
        <f>I5028+I5029+I5030</f>
        <v>400</v>
      </c>
    </row>
    <row r="5032" spans="1:9" x14ac:dyDescent="0.3">
      <c r="A5032" s="4" t="s">
        <v>4508</v>
      </c>
    </row>
    <row r="5033" spans="1:9" x14ac:dyDescent="0.3">
      <c r="B5033" s="5" t="s">
        <v>4500</v>
      </c>
      <c r="C5033" s="5" t="s">
        <v>10</v>
      </c>
      <c r="D5033" s="5" t="s">
        <v>4509</v>
      </c>
      <c r="E5033" s="5" t="s">
        <v>4506</v>
      </c>
      <c r="F5033" s="5" t="s">
        <v>67</v>
      </c>
      <c r="G5033" s="5" t="s">
        <v>68</v>
      </c>
      <c r="H5033" s="6">
        <v>190</v>
      </c>
      <c r="I5033" s="5"/>
    </row>
    <row r="5034" spans="1:9" x14ac:dyDescent="0.3">
      <c r="B5034" s="5" t="s">
        <v>4500</v>
      </c>
      <c r="C5034" s="5" t="s">
        <v>10</v>
      </c>
      <c r="D5034" s="5" t="s">
        <v>4509</v>
      </c>
      <c r="E5034" s="5" t="s">
        <v>4506</v>
      </c>
      <c r="F5034" s="5" t="s">
        <v>1643</v>
      </c>
      <c r="G5034" s="5" t="s">
        <v>1644</v>
      </c>
      <c r="H5034" s="5"/>
      <c r="I5034" s="6">
        <v>190</v>
      </c>
    </row>
    <row r="5035" spans="1:9" x14ac:dyDescent="0.3">
      <c r="A5035" s="7" t="s">
        <v>4510</v>
      </c>
      <c r="H5035" s="8">
        <f>H5033+H5034</f>
        <v>190</v>
      </c>
      <c r="I5035" s="8">
        <f>I5033+I5034</f>
        <v>190</v>
      </c>
    </row>
    <row r="5036" spans="1:9" x14ac:dyDescent="0.3">
      <c r="A5036" s="4" t="s">
        <v>4511</v>
      </c>
    </row>
    <row r="5037" spans="1:9" x14ac:dyDescent="0.3">
      <c r="B5037" s="5" t="s">
        <v>4500</v>
      </c>
      <c r="C5037" s="5" t="s">
        <v>10</v>
      </c>
      <c r="D5037" s="5" t="s">
        <v>4512</v>
      </c>
      <c r="E5037" s="5" t="s">
        <v>4513</v>
      </c>
      <c r="F5037" s="5" t="s">
        <v>61</v>
      </c>
      <c r="G5037" s="5" t="s">
        <v>62</v>
      </c>
      <c r="H5037" s="6">
        <v>240</v>
      </c>
      <c r="I5037" s="5"/>
    </row>
    <row r="5038" spans="1:9" x14ac:dyDescent="0.3">
      <c r="B5038" s="5" t="s">
        <v>4500</v>
      </c>
      <c r="C5038" s="5" t="s">
        <v>10</v>
      </c>
      <c r="D5038" s="5" t="s">
        <v>4512</v>
      </c>
      <c r="E5038" s="5" t="s">
        <v>4513</v>
      </c>
      <c r="F5038" s="5" t="s">
        <v>1643</v>
      </c>
      <c r="G5038" s="5" t="s">
        <v>1644</v>
      </c>
      <c r="H5038" s="5"/>
      <c r="I5038" s="6">
        <v>240</v>
      </c>
    </row>
    <row r="5039" spans="1:9" x14ac:dyDescent="0.3">
      <c r="A5039" s="7" t="s">
        <v>4514</v>
      </c>
      <c r="H5039" s="8">
        <f>H5037+H5038</f>
        <v>240</v>
      </c>
      <c r="I5039" s="8">
        <f>I5037+I5038</f>
        <v>240</v>
      </c>
    </row>
    <row r="5040" spans="1:9" x14ac:dyDescent="0.3">
      <c r="A5040" s="4" t="s">
        <v>4515</v>
      </c>
    </row>
    <row r="5041" spans="1:9" x14ac:dyDescent="0.3">
      <c r="B5041" s="5" t="s">
        <v>4500</v>
      </c>
      <c r="C5041" s="5" t="s">
        <v>10</v>
      </c>
      <c r="D5041" s="5" t="s">
        <v>4516</v>
      </c>
      <c r="E5041" s="5" t="s">
        <v>4517</v>
      </c>
      <c r="F5041" s="5" t="s">
        <v>1643</v>
      </c>
      <c r="G5041" s="5" t="s">
        <v>1644</v>
      </c>
      <c r="H5041" s="6">
        <v>158000</v>
      </c>
      <c r="I5041" s="5"/>
    </row>
    <row r="5042" spans="1:9" x14ac:dyDescent="0.3">
      <c r="B5042" s="5" t="s">
        <v>4500</v>
      </c>
      <c r="C5042" s="5" t="s">
        <v>10</v>
      </c>
      <c r="D5042" s="5" t="s">
        <v>4516</v>
      </c>
      <c r="E5042" s="5" t="s">
        <v>4517</v>
      </c>
      <c r="F5042" s="5" t="s">
        <v>13</v>
      </c>
      <c r="G5042" s="5" t="s">
        <v>14</v>
      </c>
      <c r="H5042" s="5"/>
      <c r="I5042" s="6">
        <v>158000</v>
      </c>
    </row>
    <row r="5043" spans="1:9" x14ac:dyDescent="0.3">
      <c r="A5043" s="7" t="s">
        <v>4518</v>
      </c>
      <c r="H5043" s="8">
        <f>H5041+H5042</f>
        <v>158000</v>
      </c>
      <c r="I5043" s="8">
        <f>I5041+I5042</f>
        <v>158000</v>
      </c>
    </row>
    <row r="5044" spans="1:9" x14ac:dyDescent="0.3">
      <c r="A5044" s="4" t="s">
        <v>4519</v>
      </c>
    </row>
    <row r="5045" spans="1:9" x14ac:dyDescent="0.3">
      <c r="B5045" s="5" t="s">
        <v>4500</v>
      </c>
      <c r="C5045" s="5" t="s">
        <v>10</v>
      </c>
      <c r="D5045" s="5" t="s">
        <v>4520</v>
      </c>
      <c r="E5045" s="5" t="s">
        <v>4521</v>
      </c>
      <c r="F5045" s="5" t="s">
        <v>831</v>
      </c>
      <c r="G5045" s="5" t="s">
        <v>832</v>
      </c>
      <c r="H5045" s="6">
        <v>150986</v>
      </c>
      <c r="I5045" s="5"/>
    </row>
    <row r="5046" spans="1:9" x14ac:dyDescent="0.3">
      <c r="B5046" s="5" t="s">
        <v>4500</v>
      </c>
      <c r="C5046" s="5" t="s">
        <v>10</v>
      </c>
      <c r="D5046" s="5" t="s">
        <v>4520</v>
      </c>
      <c r="E5046" s="5" t="s">
        <v>4521</v>
      </c>
      <c r="F5046" s="5" t="s">
        <v>1643</v>
      </c>
      <c r="G5046" s="5" t="s">
        <v>1644</v>
      </c>
      <c r="H5046" s="5"/>
      <c r="I5046" s="6">
        <v>150986</v>
      </c>
    </row>
    <row r="5047" spans="1:9" x14ac:dyDescent="0.3">
      <c r="B5047" s="5" t="s">
        <v>4500</v>
      </c>
      <c r="C5047" s="5" t="s">
        <v>10</v>
      </c>
      <c r="D5047" s="5" t="s">
        <v>4520</v>
      </c>
      <c r="E5047" s="5" t="s">
        <v>4522</v>
      </c>
      <c r="F5047" s="5" t="s">
        <v>67</v>
      </c>
      <c r="G5047" s="5" t="s">
        <v>68</v>
      </c>
      <c r="H5047" s="6">
        <v>150</v>
      </c>
      <c r="I5047" s="5"/>
    </row>
    <row r="5048" spans="1:9" x14ac:dyDescent="0.3">
      <c r="B5048" s="5" t="s">
        <v>4500</v>
      </c>
      <c r="C5048" s="5" t="s">
        <v>10</v>
      </c>
      <c r="D5048" s="5" t="s">
        <v>4520</v>
      </c>
      <c r="E5048" s="5" t="s">
        <v>4523</v>
      </c>
      <c r="F5048" s="5" t="s">
        <v>975</v>
      </c>
      <c r="G5048" s="5" t="s">
        <v>976</v>
      </c>
      <c r="H5048" s="6">
        <v>1430</v>
      </c>
      <c r="I5048" s="5"/>
    </row>
    <row r="5049" spans="1:9" x14ac:dyDescent="0.3">
      <c r="B5049" s="5" t="s">
        <v>4500</v>
      </c>
      <c r="C5049" s="5" t="s">
        <v>10</v>
      </c>
      <c r="D5049" s="5" t="s">
        <v>4520</v>
      </c>
      <c r="E5049" s="5" t="s">
        <v>4523</v>
      </c>
      <c r="F5049" s="5" t="s">
        <v>1643</v>
      </c>
      <c r="G5049" s="5" t="s">
        <v>1644</v>
      </c>
      <c r="H5049" s="5"/>
      <c r="I5049" s="6">
        <v>1580</v>
      </c>
    </row>
    <row r="5050" spans="1:9" x14ac:dyDescent="0.3">
      <c r="A5050" s="7" t="s">
        <v>4524</v>
      </c>
      <c r="H5050" s="8">
        <f>H5045+H5046+H5047+H5048+H5049</f>
        <v>152566</v>
      </c>
      <c r="I5050" s="8">
        <f>I5045+I5046+I5047+I5048+I5049</f>
        <v>152566</v>
      </c>
    </row>
    <row r="5051" spans="1:9" x14ac:dyDescent="0.3">
      <c r="A5051" s="4" t="s">
        <v>4525</v>
      </c>
    </row>
    <row r="5052" spans="1:9" x14ac:dyDescent="0.3">
      <c r="B5052" s="5" t="s">
        <v>4500</v>
      </c>
      <c r="C5052" s="5" t="s">
        <v>844</v>
      </c>
      <c r="D5052" s="5" t="s">
        <v>4526</v>
      </c>
      <c r="E5052" s="5" t="s">
        <v>2750</v>
      </c>
      <c r="F5052" s="5" t="s">
        <v>847</v>
      </c>
      <c r="G5052" s="5" t="s">
        <v>848</v>
      </c>
      <c r="H5052" s="6">
        <v>175144</v>
      </c>
      <c r="I5052" s="5"/>
    </row>
    <row r="5053" spans="1:9" x14ac:dyDescent="0.3">
      <c r="B5053" s="5" t="s">
        <v>4500</v>
      </c>
      <c r="C5053" s="5" t="s">
        <v>844</v>
      </c>
      <c r="D5053" s="5" t="s">
        <v>4526</v>
      </c>
      <c r="E5053" s="5" t="s">
        <v>2987</v>
      </c>
      <c r="F5053" s="5" t="s">
        <v>831</v>
      </c>
      <c r="G5053" s="5" t="s">
        <v>832</v>
      </c>
      <c r="H5053" s="5"/>
      <c r="I5053" s="6">
        <v>150986</v>
      </c>
    </row>
    <row r="5054" spans="1:9" x14ac:dyDescent="0.3">
      <c r="B5054" s="5" t="s">
        <v>4500</v>
      </c>
      <c r="C5054" s="5" t="s">
        <v>844</v>
      </c>
      <c r="D5054" s="5" t="s">
        <v>4526</v>
      </c>
      <c r="E5054" s="5" t="s">
        <v>1993</v>
      </c>
      <c r="F5054" s="5" t="s">
        <v>867</v>
      </c>
      <c r="G5054" s="5" t="s">
        <v>868</v>
      </c>
      <c r="H5054" s="5"/>
      <c r="I5054" s="6">
        <v>24158</v>
      </c>
    </row>
    <row r="5055" spans="1:9" x14ac:dyDescent="0.3">
      <c r="A5055" s="7" t="s">
        <v>4527</v>
      </c>
      <c r="H5055" s="8">
        <f>H5052+H5053+H5054</f>
        <v>175144</v>
      </c>
      <c r="I5055" s="8">
        <f>I5052+I5053+I5054</f>
        <v>175144</v>
      </c>
    </row>
    <row r="5056" spans="1:9" x14ac:dyDescent="0.3">
      <c r="A5056" s="4" t="s">
        <v>4528</v>
      </c>
    </row>
    <row r="5057" spans="1:9" x14ac:dyDescent="0.3">
      <c r="B5057" s="5" t="s">
        <v>4500</v>
      </c>
      <c r="C5057" s="5" t="s">
        <v>10</v>
      </c>
      <c r="D5057" s="5" t="s">
        <v>4529</v>
      </c>
      <c r="E5057" s="5" t="s">
        <v>4530</v>
      </c>
      <c r="F5057" s="5" t="s">
        <v>67</v>
      </c>
      <c r="G5057" s="5" t="s">
        <v>68</v>
      </c>
      <c r="H5057" s="6">
        <v>200</v>
      </c>
      <c r="I5057" s="5"/>
    </row>
    <row r="5058" spans="1:9" x14ac:dyDescent="0.3">
      <c r="B5058" s="5" t="s">
        <v>4500</v>
      </c>
      <c r="C5058" s="5" t="s">
        <v>10</v>
      </c>
      <c r="D5058" s="5" t="s">
        <v>4529</v>
      </c>
      <c r="E5058" s="5" t="s">
        <v>4530</v>
      </c>
      <c r="F5058" s="5" t="s">
        <v>1643</v>
      </c>
      <c r="G5058" s="5" t="s">
        <v>1644</v>
      </c>
      <c r="H5058" s="5"/>
      <c r="I5058" s="6">
        <v>200</v>
      </c>
    </row>
    <row r="5059" spans="1:9" x14ac:dyDescent="0.3">
      <c r="A5059" s="7" t="s">
        <v>4531</v>
      </c>
      <c r="H5059" s="8">
        <f>H5057+H5058</f>
        <v>200</v>
      </c>
      <c r="I5059" s="8">
        <f>I5057+I5058</f>
        <v>200</v>
      </c>
    </row>
    <row r="5060" spans="1:9" x14ac:dyDescent="0.3">
      <c r="A5060" s="4" t="s">
        <v>4532</v>
      </c>
    </row>
    <row r="5061" spans="1:9" x14ac:dyDescent="0.3">
      <c r="B5061" s="5" t="s">
        <v>4533</v>
      </c>
      <c r="C5061" s="5" t="s">
        <v>10</v>
      </c>
      <c r="D5061" s="5" t="s">
        <v>4534</v>
      </c>
      <c r="E5061" s="5" t="s">
        <v>4535</v>
      </c>
      <c r="F5061" s="5" t="s">
        <v>421</v>
      </c>
      <c r="G5061" s="5" t="s">
        <v>422</v>
      </c>
      <c r="H5061" s="6">
        <v>381</v>
      </c>
      <c r="I5061" s="5"/>
    </row>
    <row r="5062" spans="1:9" x14ac:dyDescent="0.3">
      <c r="B5062" s="5" t="s">
        <v>4533</v>
      </c>
      <c r="C5062" s="5" t="s">
        <v>10</v>
      </c>
      <c r="D5062" s="5" t="s">
        <v>4534</v>
      </c>
      <c r="E5062" s="5" t="s">
        <v>4535</v>
      </c>
      <c r="F5062" s="5" t="s">
        <v>1643</v>
      </c>
      <c r="G5062" s="5" t="s">
        <v>1644</v>
      </c>
      <c r="H5062" s="5"/>
      <c r="I5062" s="6">
        <v>381</v>
      </c>
    </row>
    <row r="5063" spans="1:9" x14ac:dyDescent="0.3">
      <c r="A5063" s="7" t="s">
        <v>4536</v>
      </c>
      <c r="H5063" s="8">
        <f>H5061+H5062</f>
        <v>381</v>
      </c>
      <c r="I5063" s="8">
        <f>I5061+I5062</f>
        <v>381</v>
      </c>
    </row>
    <row r="5064" spans="1:9" x14ac:dyDescent="0.3">
      <c r="A5064" s="4" t="s">
        <v>4537</v>
      </c>
    </row>
    <row r="5065" spans="1:9" x14ac:dyDescent="0.3">
      <c r="B5065" s="5" t="s">
        <v>4533</v>
      </c>
      <c r="C5065" s="5" t="s">
        <v>10</v>
      </c>
      <c r="D5065" s="5" t="s">
        <v>4538</v>
      </c>
      <c r="E5065" s="5" t="s">
        <v>4539</v>
      </c>
      <c r="F5065" s="5" t="s">
        <v>176</v>
      </c>
      <c r="G5065" s="5" t="s">
        <v>177</v>
      </c>
      <c r="H5065" s="6">
        <v>6000</v>
      </c>
      <c r="I5065" s="5"/>
    </row>
    <row r="5066" spans="1:9" x14ac:dyDescent="0.3">
      <c r="B5066" s="5" t="s">
        <v>4533</v>
      </c>
      <c r="C5066" s="5" t="s">
        <v>10</v>
      </c>
      <c r="D5066" s="5" t="s">
        <v>4538</v>
      </c>
      <c r="E5066" s="5" t="s">
        <v>4539</v>
      </c>
      <c r="F5066" s="5" t="s">
        <v>1643</v>
      </c>
      <c r="G5066" s="5" t="s">
        <v>1644</v>
      </c>
      <c r="H5066" s="5"/>
      <c r="I5066" s="6">
        <v>6000</v>
      </c>
    </row>
    <row r="5067" spans="1:9" x14ac:dyDescent="0.3">
      <c r="A5067" s="7" t="s">
        <v>4540</v>
      </c>
      <c r="H5067" s="8">
        <f>H5065+H5066</f>
        <v>6000</v>
      </c>
      <c r="I5067" s="8">
        <f>I5065+I5066</f>
        <v>6000</v>
      </c>
    </row>
    <row r="5068" spans="1:9" x14ac:dyDescent="0.3">
      <c r="A5068" s="4" t="s">
        <v>4541</v>
      </c>
    </row>
    <row r="5069" spans="1:9" x14ac:dyDescent="0.3">
      <c r="B5069" s="5" t="s">
        <v>4533</v>
      </c>
      <c r="C5069" s="5" t="s">
        <v>2745</v>
      </c>
      <c r="D5069" s="5" t="s">
        <v>2750</v>
      </c>
      <c r="E5069" s="5" t="s">
        <v>2750</v>
      </c>
      <c r="F5069" s="5" t="s">
        <v>2748</v>
      </c>
      <c r="G5069" s="5" t="s">
        <v>2749</v>
      </c>
      <c r="H5069" s="6">
        <v>3030</v>
      </c>
      <c r="I5069" s="5"/>
    </row>
    <row r="5070" spans="1:9" x14ac:dyDescent="0.3">
      <c r="B5070" s="5" t="s">
        <v>4533</v>
      </c>
      <c r="C5070" s="5" t="s">
        <v>2745</v>
      </c>
      <c r="D5070" s="5" t="s">
        <v>2750</v>
      </c>
      <c r="E5070" s="5" t="s">
        <v>2750</v>
      </c>
      <c r="F5070" s="5" t="s">
        <v>847</v>
      </c>
      <c r="G5070" s="5" t="s">
        <v>848</v>
      </c>
      <c r="H5070" s="5"/>
      <c r="I5070" s="6">
        <v>3030</v>
      </c>
    </row>
    <row r="5071" spans="1:9" x14ac:dyDescent="0.3">
      <c r="A5071" s="7" t="s">
        <v>4542</v>
      </c>
      <c r="H5071" s="8">
        <f>H5069+H5070</f>
        <v>3030</v>
      </c>
      <c r="I5071" s="8">
        <f>I5069+I5070</f>
        <v>3030</v>
      </c>
    </row>
    <row r="5072" spans="1:9" x14ac:dyDescent="0.3">
      <c r="A5072" s="4" t="s">
        <v>4543</v>
      </c>
    </row>
    <row r="5073" spans="1:9" x14ac:dyDescent="0.3">
      <c r="B5073" s="5" t="s">
        <v>4533</v>
      </c>
      <c r="C5073" s="5" t="s">
        <v>2745</v>
      </c>
      <c r="D5073" s="5" t="s">
        <v>2750</v>
      </c>
      <c r="E5073" s="5" t="s">
        <v>2750</v>
      </c>
      <c r="F5073" s="5" t="s">
        <v>2748</v>
      </c>
      <c r="G5073" s="5" t="s">
        <v>2749</v>
      </c>
      <c r="H5073" s="6">
        <v>1580</v>
      </c>
      <c r="I5073" s="5"/>
    </row>
    <row r="5074" spans="1:9" x14ac:dyDescent="0.3">
      <c r="B5074" s="5" t="s">
        <v>4533</v>
      </c>
      <c r="C5074" s="5" t="s">
        <v>2745</v>
      </c>
      <c r="D5074" s="5" t="s">
        <v>2750</v>
      </c>
      <c r="E5074" s="5" t="s">
        <v>2750</v>
      </c>
      <c r="F5074" s="5" t="s">
        <v>847</v>
      </c>
      <c r="G5074" s="5" t="s">
        <v>848</v>
      </c>
      <c r="H5074" s="5"/>
      <c r="I5074" s="6">
        <v>1580</v>
      </c>
    </row>
    <row r="5075" spans="1:9" x14ac:dyDescent="0.3">
      <c r="A5075" s="7" t="s">
        <v>4544</v>
      </c>
      <c r="H5075" s="8">
        <f>H5073+H5074</f>
        <v>1580</v>
      </c>
      <c r="I5075" s="8">
        <f>I5073+I5074</f>
        <v>1580</v>
      </c>
    </row>
    <row r="5076" spans="1:9" x14ac:dyDescent="0.3">
      <c r="A5076" s="4" t="s">
        <v>4545</v>
      </c>
    </row>
    <row r="5077" spans="1:9" x14ac:dyDescent="0.3">
      <c r="B5077" s="5" t="s">
        <v>4533</v>
      </c>
      <c r="C5077" s="5" t="s">
        <v>2745</v>
      </c>
      <c r="D5077" s="5" t="s">
        <v>2750</v>
      </c>
      <c r="E5077" s="5" t="s">
        <v>2750</v>
      </c>
      <c r="F5077" s="5" t="s">
        <v>2748</v>
      </c>
      <c r="G5077" s="5" t="s">
        <v>2749</v>
      </c>
      <c r="H5077" s="6">
        <v>1580</v>
      </c>
      <c r="I5077" s="5"/>
    </row>
    <row r="5078" spans="1:9" x14ac:dyDescent="0.3">
      <c r="B5078" s="5" t="s">
        <v>4533</v>
      </c>
      <c r="C5078" s="5" t="s">
        <v>2745</v>
      </c>
      <c r="D5078" s="5" t="s">
        <v>2750</v>
      </c>
      <c r="E5078" s="5" t="s">
        <v>2750</v>
      </c>
      <c r="F5078" s="5" t="s">
        <v>847</v>
      </c>
      <c r="G5078" s="5" t="s">
        <v>848</v>
      </c>
      <c r="H5078" s="5"/>
      <c r="I5078" s="6">
        <v>1580</v>
      </c>
    </row>
    <row r="5079" spans="1:9" x14ac:dyDescent="0.3">
      <c r="A5079" s="7" t="s">
        <v>4546</v>
      </c>
      <c r="H5079" s="8">
        <f>H5077+H5078</f>
        <v>1580</v>
      </c>
      <c r="I5079" s="8">
        <f>I5077+I5078</f>
        <v>1580</v>
      </c>
    </row>
    <row r="5080" spans="1:9" x14ac:dyDescent="0.3">
      <c r="A5080" s="4" t="s">
        <v>4547</v>
      </c>
    </row>
    <row r="5081" spans="1:9" x14ac:dyDescent="0.3">
      <c r="B5081" s="5" t="s">
        <v>4548</v>
      </c>
      <c r="C5081" s="5" t="s">
        <v>10</v>
      </c>
      <c r="D5081" s="5" t="s">
        <v>4549</v>
      </c>
      <c r="E5081" s="5" t="s">
        <v>4550</v>
      </c>
      <c r="F5081" s="5" t="s">
        <v>1643</v>
      </c>
      <c r="G5081" s="5" t="s">
        <v>1644</v>
      </c>
      <c r="H5081" s="6">
        <v>60000</v>
      </c>
      <c r="I5081" s="5"/>
    </row>
    <row r="5082" spans="1:9" x14ac:dyDescent="0.3">
      <c r="B5082" s="5" t="s">
        <v>4548</v>
      </c>
      <c r="C5082" s="5" t="s">
        <v>10</v>
      </c>
      <c r="D5082" s="5" t="s">
        <v>4549</v>
      </c>
      <c r="E5082" s="5" t="s">
        <v>4550</v>
      </c>
      <c r="F5082" s="5" t="s">
        <v>2748</v>
      </c>
      <c r="G5082" s="5" t="s">
        <v>2749</v>
      </c>
      <c r="H5082" s="5"/>
      <c r="I5082" s="6">
        <v>60000</v>
      </c>
    </row>
    <row r="5083" spans="1:9" x14ac:dyDescent="0.3">
      <c r="A5083" s="7" t="s">
        <v>4551</v>
      </c>
      <c r="H5083" s="8">
        <f>H5081+H5082</f>
        <v>60000</v>
      </c>
      <c r="I5083" s="8">
        <f>I5081+I5082</f>
        <v>60000</v>
      </c>
    </row>
    <row r="5084" spans="1:9" x14ac:dyDescent="0.3">
      <c r="A5084" s="4" t="s">
        <v>4552</v>
      </c>
    </row>
    <row r="5085" spans="1:9" x14ac:dyDescent="0.3">
      <c r="B5085" s="5" t="s">
        <v>4548</v>
      </c>
      <c r="C5085" s="5" t="s">
        <v>10</v>
      </c>
      <c r="D5085" s="5" t="s">
        <v>4553</v>
      </c>
      <c r="E5085" s="5" t="s">
        <v>4554</v>
      </c>
      <c r="F5085" s="5" t="s">
        <v>113</v>
      </c>
      <c r="G5085" s="5" t="s">
        <v>114</v>
      </c>
      <c r="H5085" s="6">
        <v>1210</v>
      </c>
      <c r="I5085" s="5"/>
    </row>
    <row r="5086" spans="1:9" x14ac:dyDescent="0.3">
      <c r="B5086" s="5" t="s">
        <v>4548</v>
      </c>
      <c r="C5086" s="5" t="s">
        <v>10</v>
      </c>
      <c r="D5086" s="5" t="s">
        <v>4553</v>
      </c>
      <c r="E5086" s="5" t="s">
        <v>4554</v>
      </c>
      <c r="F5086" s="5" t="s">
        <v>1643</v>
      </c>
      <c r="G5086" s="5" t="s">
        <v>1644</v>
      </c>
      <c r="H5086" s="5"/>
      <c r="I5086" s="6">
        <v>1210</v>
      </c>
    </row>
    <row r="5087" spans="1:9" x14ac:dyDescent="0.3">
      <c r="A5087" s="7" t="s">
        <v>4555</v>
      </c>
      <c r="H5087" s="8">
        <f>H5085+H5086</f>
        <v>1210</v>
      </c>
      <c r="I5087" s="8">
        <f>I5085+I5086</f>
        <v>1210</v>
      </c>
    </row>
    <row r="5088" spans="1:9" x14ac:dyDescent="0.3">
      <c r="A5088" s="4" t="s">
        <v>4556</v>
      </c>
    </row>
    <row r="5089" spans="1:9" x14ac:dyDescent="0.3">
      <c r="B5089" s="5" t="s">
        <v>4548</v>
      </c>
      <c r="C5089" s="5" t="s">
        <v>10</v>
      </c>
      <c r="D5089" s="5" t="s">
        <v>4557</v>
      </c>
      <c r="E5089" s="5" t="s">
        <v>4558</v>
      </c>
      <c r="F5089" s="5" t="s">
        <v>256</v>
      </c>
      <c r="G5089" s="5" t="s">
        <v>257</v>
      </c>
      <c r="H5089" s="6">
        <v>360</v>
      </c>
      <c r="I5089" s="5"/>
    </row>
    <row r="5090" spans="1:9" x14ac:dyDescent="0.3">
      <c r="B5090" s="5" t="s">
        <v>4548</v>
      </c>
      <c r="C5090" s="5" t="s">
        <v>10</v>
      </c>
      <c r="D5090" s="5" t="s">
        <v>4557</v>
      </c>
      <c r="E5090" s="5" t="s">
        <v>4558</v>
      </c>
      <c r="F5090" s="5" t="s">
        <v>1643</v>
      </c>
      <c r="G5090" s="5" t="s">
        <v>1644</v>
      </c>
      <c r="H5090" s="5"/>
      <c r="I5090" s="6">
        <v>360</v>
      </c>
    </row>
    <row r="5091" spans="1:9" x14ac:dyDescent="0.3">
      <c r="A5091" s="7" t="s">
        <v>4559</v>
      </c>
      <c r="H5091" s="8">
        <f>H5089+H5090</f>
        <v>360</v>
      </c>
      <c r="I5091" s="8">
        <f>I5089+I5090</f>
        <v>360</v>
      </c>
    </row>
    <row r="5092" spans="1:9" x14ac:dyDescent="0.3">
      <c r="A5092" s="4" t="s">
        <v>4560</v>
      </c>
    </row>
    <row r="5093" spans="1:9" x14ac:dyDescent="0.3">
      <c r="B5093" s="5" t="s">
        <v>4548</v>
      </c>
      <c r="C5093" s="5" t="s">
        <v>10</v>
      </c>
      <c r="D5093" s="5" t="s">
        <v>4561</v>
      </c>
      <c r="E5093" s="5" t="s">
        <v>4562</v>
      </c>
      <c r="F5093" s="5" t="s">
        <v>50</v>
      </c>
      <c r="G5093" s="5" t="s">
        <v>51</v>
      </c>
      <c r="H5093" s="6">
        <v>500</v>
      </c>
      <c r="I5093" s="5"/>
    </row>
    <row r="5094" spans="1:9" x14ac:dyDescent="0.3">
      <c r="B5094" s="5" t="s">
        <v>4548</v>
      </c>
      <c r="C5094" s="5" t="s">
        <v>10</v>
      </c>
      <c r="D5094" s="5" t="s">
        <v>4561</v>
      </c>
      <c r="E5094" s="5" t="s">
        <v>4562</v>
      </c>
      <c r="F5094" s="5" t="s">
        <v>1643</v>
      </c>
      <c r="G5094" s="5" t="s">
        <v>1644</v>
      </c>
      <c r="H5094" s="5"/>
      <c r="I5094" s="6">
        <v>500</v>
      </c>
    </row>
    <row r="5095" spans="1:9" x14ac:dyDescent="0.3">
      <c r="A5095" s="7" t="s">
        <v>4563</v>
      </c>
      <c r="H5095" s="8">
        <f>H5093+H5094</f>
        <v>500</v>
      </c>
      <c r="I5095" s="8">
        <f>I5093+I5094</f>
        <v>500</v>
      </c>
    </row>
    <row r="5096" spans="1:9" x14ac:dyDescent="0.3">
      <c r="A5096" s="4" t="s">
        <v>4564</v>
      </c>
    </row>
    <row r="5097" spans="1:9" x14ac:dyDescent="0.3">
      <c r="B5097" s="5" t="s">
        <v>4548</v>
      </c>
      <c r="C5097" s="5" t="s">
        <v>10</v>
      </c>
      <c r="D5097" s="5" t="s">
        <v>4565</v>
      </c>
      <c r="E5097" s="5" t="s">
        <v>4566</v>
      </c>
      <c r="F5097" s="5" t="s">
        <v>87</v>
      </c>
      <c r="G5097" s="5" t="s">
        <v>88</v>
      </c>
      <c r="H5097" s="6">
        <v>46500</v>
      </c>
      <c r="I5097" s="5"/>
    </row>
    <row r="5098" spans="1:9" x14ac:dyDescent="0.3">
      <c r="B5098" s="5" t="s">
        <v>4548</v>
      </c>
      <c r="C5098" s="5" t="s">
        <v>10</v>
      </c>
      <c r="D5098" s="5" t="s">
        <v>4565</v>
      </c>
      <c r="E5098" s="5" t="s">
        <v>4566</v>
      </c>
      <c r="F5098" s="5" t="s">
        <v>1643</v>
      </c>
      <c r="G5098" s="5" t="s">
        <v>1644</v>
      </c>
      <c r="H5098" s="5"/>
      <c r="I5098" s="6">
        <v>46500</v>
      </c>
    </row>
    <row r="5099" spans="1:9" x14ac:dyDescent="0.3">
      <c r="A5099" s="7" t="s">
        <v>4567</v>
      </c>
      <c r="H5099" s="8">
        <f>H5097+H5098</f>
        <v>46500</v>
      </c>
      <c r="I5099" s="8">
        <f>I5097+I5098</f>
        <v>46500</v>
      </c>
    </row>
    <row r="5100" spans="1:9" x14ac:dyDescent="0.3">
      <c r="A5100" s="4" t="s">
        <v>4568</v>
      </c>
    </row>
    <row r="5101" spans="1:9" x14ac:dyDescent="0.3">
      <c r="B5101" s="5" t="s">
        <v>4548</v>
      </c>
      <c r="C5101" s="5" t="s">
        <v>10</v>
      </c>
      <c r="D5101" s="5" t="s">
        <v>4569</v>
      </c>
      <c r="E5101" s="5" t="s">
        <v>4570</v>
      </c>
      <c r="F5101" s="5" t="s">
        <v>95</v>
      </c>
      <c r="G5101" s="5" t="s">
        <v>96</v>
      </c>
      <c r="H5101" s="6">
        <v>300</v>
      </c>
      <c r="I5101" s="5"/>
    </row>
    <row r="5102" spans="1:9" x14ac:dyDescent="0.3">
      <c r="B5102" s="5" t="s">
        <v>4548</v>
      </c>
      <c r="C5102" s="5" t="s">
        <v>10</v>
      </c>
      <c r="D5102" s="5" t="s">
        <v>4569</v>
      </c>
      <c r="E5102" s="5" t="s">
        <v>4570</v>
      </c>
      <c r="F5102" s="5" t="s">
        <v>1643</v>
      </c>
      <c r="G5102" s="5" t="s">
        <v>1644</v>
      </c>
      <c r="H5102" s="5"/>
      <c r="I5102" s="6">
        <v>300</v>
      </c>
    </row>
    <row r="5103" spans="1:9" x14ac:dyDescent="0.3">
      <c r="A5103" s="7" t="s">
        <v>4571</v>
      </c>
      <c r="H5103" s="8">
        <f>H5101+H5102</f>
        <v>300</v>
      </c>
      <c r="I5103" s="8">
        <f>I5101+I5102</f>
        <v>300</v>
      </c>
    </row>
    <row r="5104" spans="1:9" x14ac:dyDescent="0.3">
      <c r="A5104" s="4" t="s">
        <v>4572</v>
      </c>
    </row>
    <row r="5105" spans="1:9" x14ac:dyDescent="0.3">
      <c r="B5105" s="5" t="s">
        <v>4573</v>
      </c>
      <c r="C5105" s="5" t="s">
        <v>10</v>
      </c>
      <c r="D5105" s="5" t="s">
        <v>4574</v>
      </c>
      <c r="E5105" s="5" t="s">
        <v>4575</v>
      </c>
      <c r="F5105" s="5" t="s">
        <v>35</v>
      </c>
      <c r="G5105" s="5" t="s">
        <v>36</v>
      </c>
      <c r="H5105" s="6">
        <v>300</v>
      </c>
      <c r="I5105" s="5"/>
    </row>
    <row r="5106" spans="1:9" x14ac:dyDescent="0.3">
      <c r="B5106" s="5" t="s">
        <v>4573</v>
      </c>
      <c r="C5106" s="5" t="s">
        <v>10</v>
      </c>
      <c r="D5106" s="5" t="s">
        <v>4574</v>
      </c>
      <c r="E5106" s="5" t="s">
        <v>4575</v>
      </c>
      <c r="F5106" s="5" t="s">
        <v>1643</v>
      </c>
      <c r="G5106" s="5" t="s">
        <v>1644</v>
      </c>
      <c r="H5106" s="5"/>
      <c r="I5106" s="6">
        <v>300</v>
      </c>
    </row>
    <row r="5107" spans="1:9" x14ac:dyDescent="0.3">
      <c r="A5107" s="7" t="s">
        <v>4576</v>
      </c>
      <c r="H5107" s="8">
        <f>H5105+H5106</f>
        <v>300</v>
      </c>
      <c r="I5107" s="8">
        <f>I5105+I5106</f>
        <v>300</v>
      </c>
    </row>
    <row r="5108" spans="1:9" x14ac:dyDescent="0.3">
      <c r="A5108" s="4" t="s">
        <v>4577</v>
      </c>
    </row>
    <row r="5109" spans="1:9" x14ac:dyDescent="0.3">
      <c r="B5109" s="5" t="s">
        <v>4573</v>
      </c>
      <c r="C5109" s="5" t="s">
        <v>10</v>
      </c>
      <c r="D5109" s="5" t="s">
        <v>4578</v>
      </c>
      <c r="E5109" s="5" t="s">
        <v>4579</v>
      </c>
      <c r="F5109" s="5" t="s">
        <v>67</v>
      </c>
      <c r="G5109" s="5" t="s">
        <v>68</v>
      </c>
      <c r="H5109" s="6">
        <v>200</v>
      </c>
      <c r="I5109" s="5"/>
    </row>
    <row r="5110" spans="1:9" x14ac:dyDescent="0.3">
      <c r="B5110" s="5" t="s">
        <v>4573</v>
      </c>
      <c r="C5110" s="5" t="s">
        <v>10</v>
      </c>
      <c r="D5110" s="5" t="s">
        <v>4578</v>
      </c>
      <c r="E5110" s="5" t="s">
        <v>4579</v>
      </c>
      <c r="F5110" s="5" t="s">
        <v>1643</v>
      </c>
      <c r="G5110" s="5" t="s">
        <v>1644</v>
      </c>
      <c r="H5110" s="5"/>
      <c r="I5110" s="6">
        <v>200</v>
      </c>
    </row>
    <row r="5111" spans="1:9" x14ac:dyDescent="0.3">
      <c r="A5111" s="7" t="s">
        <v>4580</v>
      </c>
      <c r="H5111" s="8">
        <f>H5109+H5110</f>
        <v>200</v>
      </c>
      <c r="I5111" s="8">
        <f>I5109+I5110</f>
        <v>200</v>
      </c>
    </row>
    <row r="5112" spans="1:9" x14ac:dyDescent="0.3">
      <c r="A5112" s="4" t="s">
        <v>4581</v>
      </c>
    </row>
    <row r="5113" spans="1:9" x14ac:dyDescent="0.3">
      <c r="B5113" s="5" t="s">
        <v>4573</v>
      </c>
      <c r="C5113" s="5" t="s">
        <v>10</v>
      </c>
      <c r="D5113" s="5" t="s">
        <v>4582</v>
      </c>
      <c r="E5113" s="5" t="s">
        <v>4583</v>
      </c>
      <c r="F5113" s="5" t="s">
        <v>67</v>
      </c>
      <c r="G5113" s="5" t="s">
        <v>68</v>
      </c>
      <c r="H5113" s="6">
        <v>90</v>
      </c>
      <c r="I5113" s="5"/>
    </row>
    <row r="5114" spans="1:9" x14ac:dyDescent="0.3">
      <c r="B5114" s="5" t="s">
        <v>4573</v>
      </c>
      <c r="C5114" s="5" t="s">
        <v>10</v>
      </c>
      <c r="D5114" s="5" t="s">
        <v>4582</v>
      </c>
      <c r="E5114" s="5" t="s">
        <v>4583</v>
      </c>
      <c r="F5114" s="5" t="s">
        <v>1643</v>
      </c>
      <c r="G5114" s="5" t="s">
        <v>1644</v>
      </c>
      <c r="H5114" s="5"/>
      <c r="I5114" s="6">
        <v>90</v>
      </c>
    </row>
    <row r="5115" spans="1:9" x14ac:dyDescent="0.3">
      <c r="A5115" s="7" t="s">
        <v>4584</v>
      </c>
      <c r="H5115" s="8">
        <f>H5113+H5114</f>
        <v>90</v>
      </c>
      <c r="I5115" s="8">
        <f>I5113+I5114</f>
        <v>90</v>
      </c>
    </row>
    <row r="5116" spans="1:9" x14ac:dyDescent="0.3">
      <c r="A5116" s="4" t="s">
        <v>4585</v>
      </c>
    </row>
    <row r="5117" spans="1:9" x14ac:dyDescent="0.3">
      <c r="B5117" s="5" t="s">
        <v>4586</v>
      </c>
      <c r="C5117" s="5" t="s">
        <v>10</v>
      </c>
      <c r="D5117" s="5" t="s">
        <v>4587</v>
      </c>
      <c r="E5117" s="5" t="s">
        <v>4588</v>
      </c>
      <c r="F5117" s="5" t="s">
        <v>359</v>
      </c>
      <c r="G5117" s="5" t="s">
        <v>360</v>
      </c>
      <c r="H5117" s="6">
        <v>1890</v>
      </c>
      <c r="I5117" s="5"/>
    </row>
    <row r="5118" spans="1:9" x14ac:dyDescent="0.3">
      <c r="B5118" s="5" t="s">
        <v>4586</v>
      </c>
      <c r="C5118" s="5" t="s">
        <v>10</v>
      </c>
      <c r="D5118" s="5" t="s">
        <v>4587</v>
      </c>
      <c r="E5118" s="5" t="s">
        <v>4588</v>
      </c>
      <c r="F5118" s="5" t="s">
        <v>1643</v>
      </c>
      <c r="G5118" s="5" t="s">
        <v>1644</v>
      </c>
      <c r="H5118" s="5"/>
      <c r="I5118" s="6">
        <v>1890</v>
      </c>
    </row>
    <row r="5119" spans="1:9" x14ac:dyDescent="0.3">
      <c r="A5119" s="7" t="s">
        <v>4589</v>
      </c>
      <c r="H5119" s="8">
        <f>H5117+H5118</f>
        <v>1890</v>
      </c>
      <c r="I5119" s="8">
        <f>I5117+I5118</f>
        <v>1890</v>
      </c>
    </row>
    <row r="5120" spans="1:9" x14ac:dyDescent="0.3">
      <c r="A5120" s="4" t="s">
        <v>4590</v>
      </c>
    </row>
    <row r="5121" spans="1:9" x14ac:dyDescent="0.3">
      <c r="B5121" s="5" t="s">
        <v>4586</v>
      </c>
      <c r="C5121" s="5" t="s">
        <v>10</v>
      </c>
      <c r="D5121" s="5" t="s">
        <v>4591</v>
      </c>
      <c r="E5121" s="5" t="s">
        <v>4592</v>
      </c>
      <c r="F5121" s="5" t="s">
        <v>113</v>
      </c>
      <c r="G5121" s="5" t="s">
        <v>114</v>
      </c>
      <c r="H5121" s="6">
        <v>750</v>
      </c>
      <c r="I5121" s="5"/>
    </row>
    <row r="5122" spans="1:9" x14ac:dyDescent="0.3">
      <c r="B5122" s="5" t="s">
        <v>4586</v>
      </c>
      <c r="C5122" s="5" t="s">
        <v>10</v>
      </c>
      <c r="D5122" s="5" t="s">
        <v>4591</v>
      </c>
      <c r="E5122" s="5" t="s">
        <v>4592</v>
      </c>
      <c r="F5122" s="5" t="s">
        <v>1643</v>
      </c>
      <c r="G5122" s="5" t="s">
        <v>1644</v>
      </c>
      <c r="H5122" s="5"/>
      <c r="I5122" s="6">
        <v>750</v>
      </c>
    </row>
    <row r="5123" spans="1:9" x14ac:dyDescent="0.3">
      <c r="A5123" s="7" t="s">
        <v>4593</v>
      </c>
      <c r="H5123" s="8">
        <f>H5121+H5122</f>
        <v>750</v>
      </c>
      <c r="I5123" s="8">
        <f>I5121+I5122</f>
        <v>750</v>
      </c>
    </row>
    <row r="5124" spans="1:9" x14ac:dyDescent="0.3">
      <c r="A5124" s="4" t="s">
        <v>4594</v>
      </c>
    </row>
    <row r="5125" spans="1:9" x14ac:dyDescent="0.3">
      <c r="B5125" s="5" t="s">
        <v>4586</v>
      </c>
      <c r="C5125" s="5" t="s">
        <v>10</v>
      </c>
      <c r="D5125" s="5" t="s">
        <v>4595</v>
      </c>
      <c r="E5125" s="5" t="s">
        <v>125</v>
      </c>
      <c r="F5125" s="5" t="s">
        <v>61</v>
      </c>
      <c r="G5125" s="5" t="s">
        <v>62</v>
      </c>
      <c r="H5125" s="6">
        <v>690</v>
      </c>
      <c r="I5125" s="5"/>
    </row>
    <row r="5126" spans="1:9" x14ac:dyDescent="0.3">
      <c r="B5126" s="5" t="s">
        <v>4586</v>
      </c>
      <c r="C5126" s="5" t="s">
        <v>10</v>
      </c>
      <c r="D5126" s="5" t="s">
        <v>4595</v>
      </c>
      <c r="E5126" s="5" t="s">
        <v>125</v>
      </c>
      <c r="F5126" s="5" t="s">
        <v>1643</v>
      </c>
      <c r="G5126" s="5" t="s">
        <v>1644</v>
      </c>
      <c r="H5126" s="5"/>
      <c r="I5126" s="6">
        <v>690</v>
      </c>
    </row>
    <row r="5127" spans="1:9" x14ac:dyDescent="0.3">
      <c r="A5127" s="7" t="s">
        <v>4596</v>
      </c>
      <c r="H5127" s="8">
        <f>H5125+H5126</f>
        <v>690</v>
      </c>
      <c r="I5127" s="8">
        <f>I5125+I5126</f>
        <v>690</v>
      </c>
    </row>
    <row r="5128" spans="1:9" x14ac:dyDescent="0.3">
      <c r="A5128" s="4" t="s">
        <v>4597</v>
      </c>
    </row>
    <row r="5129" spans="1:9" x14ac:dyDescent="0.3">
      <c r="B5129" s="5" t="s">
        <v>4586</v>
      </c>
      <c r="C5129" s="5" t="s">
        <v>10</v>
      </c>
      <c r="D5129" s="5" t="s">
        <v>4598</v>
      </c>
      <c r="E5129" s="5" t="s">
        <v>4599</v>
      </c>
      <c r="F5129" s="5" t="s">
        <v>67</v>
      </c>
      <c r="G5129" s="5" t="s">
        <v>68</v>
      </c>
      <c r="H5129" s="6">
        <v>450</v>
      </c>
      <c r="I5129" s="5"/>
    </row>
    <row r="5130" spans="1:9" x14ac:dyDescent="0.3">
      <c r="B5130" s="5" t="s">
        <v>4586</v>
      </c>
      <c r="C5130" s="5" t="s">
        <v>10</v>
      </c>
      <c r="D5130" s="5" t="s">
        <v>4598</v>
      </c>
      <c r="E5130" s="5" t="s">
        <v>4599</v>
      </c>
      <c r="F5130" s="5" t="s">
        <v>1643</v>
      </c>
      <c r="G5130" s="5" t="s">
        <v>1644</v>
      </c>
      <c r="H5130" s="5"/>
      <c r="I5130" s="6">
        <v>450</v>
      </c>
    </row>
    <row r="5131" spans="1:9" x14ac:dyDescent="0.3">
      <c r="A5131" s="7" t="s">
        <v>4600</v>
      </c>
      <c r="H5131" s="8">
        <f>H5129+H5130</f>
        <v>450</v>
      </c>
      <c r="I5131" s="8">
        <f>I5129+I5130</f>
        <v>450</v>
      </c>
    </row>
    <row r="5132" spans="1:9" x14ac:dyDescent="0.3">
      <c r="A5132" s="4" t="s">
        <v>4601</v>
      </c>
    </row>
    <row r="5133" spans="1:9" x14ac:dyDescent="0.3">
      <c r="B5133" s="5" t="s">
        <v>4602</v>
      </c>
      <c r="C5133" s="5" t="s">
        <v>10</v>
      </c>
      <c r="D5133" s="5" t="s">
        <v>4603</v>
      </c>
      <c r="E5133" s="5" t="s">
        <v>3401</v>
      </c>
      <c r="F5133" s="5" t="s">
        <v>359</v>
      </c>
      <c r="G5133" s="5" t="s">
        <v>360</v>
      </c>
      <c r="H5133" s="6">
        <v>180</v>
      </c>
      <c r="I5133" s="5"/>
    </row>
    <row r="5134" spans="1:9" x14ac:dyDescent="0.3">
      <c r="B5134" s="5" t="s">
        <v>4602</v>
      </c>
      <c r="C5134" s="5" t="s">
        <v>10</v>
      </c>
      <c r="D5134" s="5" t="s">
        <v>4603</v>
      </c>
      <c r="E5134" s="5" t="s">
        <v>3401</v>
      </c>
      <c r="F5134" s="5" t="s">
        <v>1643</v>
      </c>
      <c r="G5134" s="5" t="s">
        <v>1644</v>
      </c>
      <c r="H5134" s="5"/>
      <c r="I5134" s="6">
        <v>180</v>
      </c>
    </row>
    <row r="5135" spans="1:9" x14ac:dyDescent="0.3">
      <c r="A5135" s="7" t="s">
        <v>4604</v>
      </c>
      <c r="H5135" s="8">
        <f>H5133+H5134</f>
        <v>180</v>
      </c>
      <c r="I5135" s="8">
        <f>I5133+I5134</f>
        <v>180</v>
      </c>
    </row>
    <row r="5136" spans="1:9" x14ac:dyDescent="0.3">
      <c r="A5136" s="4" t="s">
        <v>4605</v>
      </c>
    </row>
    <row r="5137" spans="1:9" x14ac:dyDescent="0.3">
      <c r="B5137" s="5" t="s">
        <v>4602</v>
      </c>
      <c r="C5137" s="5" t="s">
        <v>10</v>
      </c>
      <c r="D5137" s="5" t="s">
        <v>4606</v>
      </c>
      <c r="E5137" s="5" t="s">
        <v>4607</v>
      </c>
      <c r="F5137" s="5" t="s">
        <v>61</v>
      </c>
      <c r="G5137" s="5" t="s">
        <v>62</v>
      </c>
      <c r="H5137" s="6">
        <v>420</v>
      </c>
      <c r="I5137" s="5"/>
    </row>
    <row r="5138" spans="1:9" x14ac:dyDescent="0.3">
      <c r="B5138" s="5" t="s">
        <v>4602</v>
      </c>
      <c r="C5138" s="5" t="s">
        <v>10</v>
      </c>
      <c r="D5138" s="5" t="s">
        <v>4606</v>
      </c>
      <c r="E5138" s="5" t="s">
        <v>4607</v>
      </c>
      <c r="F5138" s="5" t="s">
        <v>1643</v>
      </c>
      <c r="G5138" s="5" t="s">
        <v>1644</v>
      </c>
      <c r="H5138" s="5"/>
      <c r="I5138" s="6">
        <v>420</v>
      </c>
    </row>
    <row r="5139" spans="1:9" x14ac:dyDescent="0.3">
      <c r="A5139" s="7" t="s">
        <v>4608</v>
      </c>
      <c r="H5139" s="8">
        <f>H5137+H5138</f>
        <v>420</v>
      </c>
      <c r="I5139" s="8">
        <f>I5137+I5138</f>
        <v>420</v>
      </c>
    </row>
    <row r="5140" spans="1:9" x14ac:dyDescent="0.3">
      <c r="A5140" s="4" t="s">
        <v>4609</v>
      </c>
    </row>
    <row r="5141" spans="1:9" x14ac:dyDescent="0.3">
      <c r="B5141" s="5" t="s">
        <v>4602</v>
      </c>
      <c r="C5141" s="5" t="s">
        <v>10</v>
      </c>
      <c r="D5141" s="5" t="s">
        <v>4610</v>
      </c>
      <c r="E5141" s="5" t="s">
        <v>4611</v>
      </c>
      <c r="F5141" s="5" t="s">
        <v>1643</v>
      </c>
      <c r="G5141" s="5" t="s">
        <v>1644</v>
      </c>
      <c r="H5141" s="6">
        <v>23500</v>
      </c>
      <c r="I5141" s="5"/>
    </row>
    <row r="5142" spans="1:9" x14ac:dyDescent="0.3">
      <c r="B5142" s="5" t="s">
        <v>4602</v>
      </c>
      <c r="C5142" s="5" t="s">
        <v>10</v>
      </c>
      <c r="D5142" s="5" t="s">
        <v>4610</v>
      </c>
      <c r="E5142" s="5" t="s">
        <v>4611</v>
      </c>
      <c r="F5142" s="5" t="s">
        <v>3962</v>
      </c>
      <c r="G5142" s="5" t="s">
        <v>3963</v>
      </c>
      <c r="H5142" s="5"/>
      <c r="I5142" s="6">
        <v>23500</v>
      </c>
    </row>
    <row r="5143" spans="1:9" x14ac:dyDescent="0.3">
      <c r="A5143" s="7" t="s">
        <v>4612</v>
      </c>
      <c r="H5143" s="8">
        <f>H5141+H5142</f>
        <v>23500</v>
      </c>
      <c r="I5143" s="8">
        <f>I5141+I5142</f>
        <v>23500</v>
      </c>
    </row>
    <row r="5144" spans="1:9" x14ac:dyDescent="0.3">
      <c r="A5144" s="4" t="s">
        <v>4613</v>
      </c>
    </row>
    <row r="5145" spans="1:9" x14ac:dyDescent="0.3">
      <c r="B5145" s="5" t="s">
        <v>4602</v>
      </c>
      <c r="C5145" s="5" t="s">
        <v>10</v>
      </c>
      <c r="D5145" s="5" t="s">
        <v>4614</v>
      </c>
      <c r="E5145" s="5" t="s">
        <v>4615</v>
      </c>
      <c r="F5145" s="5" t="s">
        <v>35</v>
      </c>
      <c r="G5145" s="5" t="s">
        <v>36</v>
      </c>
      <c r="H5145" s="6">
        <v>2550</v>
      </c>
      <c r="I5145" s="5"/>
    </row>
    <row r="5146" spans="1:9" x14ac:dyDescent="0.3">
      <c r="B5146" s="5" t="s">
        <v>4602</v>
      </c>
      <c r="C5146" s="5" t="s">
        <v>10</v>
      </c>
      <c r="D5146" s="5" t="s">
        <v>4614</v>
      </c>
      <c r="E5146" s="5" t="s">
        <v>4616</v>
      </c>
      <c r="F5146" s="5" t="s">
        <v>45</v>
      </c>
      <c r="G5146" s="5" t="s">
        <v>46</v>
      </c>
      <c r="H5146" s="6">
        <v>7500</v>
      </c>
      <c r="I5146" s="5"/>
    </row>
    <row r="5147" spans="1:9" x14ac:dyDescent="0.3">
      <c r="B5147" s="5" t="s">
        <v>4602</v>
      </c>
      <c r="C5147" s="5" t="s">
        <v>10</v>
      </c>
      <c r="D5147" s="5" t="s">
        <v>4614</v>
      </c>
      <c r="E5147" s="5" t="s">
        <v>4617</v>
      </c>
      <c r="F5147" s="5" t="s">
        <v>45</v>
      </c>
      <c r="G5147" s="5" t="s">
        <v>46</v>
      </c>
      <c r="H5147" s="6">
        <v>4000</v>
      </c>
      <c r="I5147" s="5"/>
    </row>
    <row r="5148" spans="1:9" x14ac:dyDescent="0.3">
      <c r="B5148" s="5" t="s">
        <v>4602</v>
      </c>
      <c r="C5148" s="5" t="s">
        <v>10</v>
      </c>
      <c r="D5148" s="5" t="s">
        <v>4614</v>
      </c>
      <c r="E5148" s="5" t="s">
        <v>4617</v>
      </c>
      <c r="F5148" s="5" t="s">
        <v>1643</v>
      </c>
      <c r="G5148" s="5" t="s">
        <v>1644</v>
      </c>
      <c r="H5148" s="5"/>
      <c r="I5148" s="6">
        <v>14050</v>
      </c>
    </row>
    <row r="5149" spans="1:9" x14ac:dyDescent="0.3">
      <c r="A5149" s="7" t="s">
        <v>4618</v>
      </c>
      <c r="H5149" s="8">
        <f>H5145+H5146+H5147+H5148</f>
        <v>14050</v>
      </c>
      <c r="I5149" s="8">
        <f>I5145+I5146+I5147+I5148</f>
        <v>14050</v>
      </c>
    </row>
    <row r="5150" spans="1:9" x14ac:dyDescent="0.3">
      <c r="A5150" s="4" t="s">
        <v>4619</v>
      </c>
    </row>
    <row r="5151" spans="1:9" x14ac:dyDescent="0.3">
      <c r="B5151" s="5" t="s">
        <v>4620</v>
      </c>
      <c r="C5151" s="5" t="s">
        <v>10</v>
      </c>
      <c r="D5151" s="5" t="s">
        <v>4621</v>
      </c>
      <c r="E5151" s="5" t="s">
        <v>4622</v>
      </c>
      <c r="F5151" s="5" t="s">
        <v>61</v>
      </c>
      <c r="G5151" s="5" t="s">
        <v>62</v>
      </c>
      <c r="H5151" s="6">
        <v>4120</v>
      </c>
      <c r="I5151" s="5"/>
    </row>
    <row r="5152" spans="1:9" x14ac:dyDescent="0.3">
      <c r="B5152" s="5" t="s">
        <v>4620</v>
      </c>
      <c r="C5152" s="5" t="s">
        <v>10</v>
      </c>
      <c r="D5152" s="5" t="s">
        <v>4621</v>
      </c>
      <c r="E5152" s="5" t="s">
        <v>4622</v>
      </c>
      <c r="F5152" s="5" t="s">
        <v>1643</v>
      </c>
      <c r="G5152" s="5" t="s">
        <v>1644</v>
      </c>
      <c r="H5152" s="5"/>
      <c r="I5152" s="6">
        <v>4120</v>
      </c>
    </row>
    <row r="5153" spans="1:9" x14ac:dyDescent="0.3">
      <c r="A5153" s="7" t="s">
        <v>4623</v>
      </c>
      <c r="H5153" s="8">
        <f>H5151+H5152</f>
        <v>4120</v>
      </c>
      <c r="I5153" s="8">
        <f>I5151+I5152</f>
        <v>4120</v>
      </c>
    </row>
    <row r="5154" spans="1:9" x14ac:dyDescent="0.3">
      <c r="A5154" s="4" t="s">
        <v>4624</v>
      </c>
    </row>
    <row r="5155" spans="1:9" x14ac:dyDescent="0.3">
      <c r="B5155" s="5" t="s">
        <v>4620</v>
      </c>
      <c r="C5155" s="5" t="s">
        <v>10</v>
      </c>
      <c r="D5155" s="5" t="s">
        <v>4625</v>
      </c>
      <c r="E5155" s="5" t="s">
        <v>4626</v>
      </c>
      <c r="F5155" s="5" t="s">
        <v>335</v>
      </c>
      <c r="G5155" s="5" t="s">
        <v>336</v>
      </c>
      <c r="H5155" s="6">
        <v>1610</v>
      </c>
      <c r="I5155" s="5"/>
    </row>
    <row r="5156" spans="1:9" x14ac:dyDescent="0.3">
      <c r="B5156" s="5" t="s">
        <v>4620</v>
      </c>
      <c r="C5156" s="5" t="s">
        <v>10</v>
      </c>
      <c r="D5156" s="5" t="s">
        <v>4625</v>
      </c>
      <c r="E5156" s="5" t="s">
        <v>4627</v>
      </c>
      <c r="F5156" s="5" t="s">
        <v>256</v>
      </c>
      <c r="G5156" s="5" t="s">
        <v>257</v>
      </c>
      <c r="H5156" s="6">
        <v>100</v>
      </c>
      <c r="I5156" s="5"/>
    </row>
    <row r="5157" spans="1:9" x14ac:dyDescent="0.3">
      <c r="B5157" s="5" t="s">
        <v>4620</v>
      </c>
      <c r="C5157" s="5" t="s">
        <v>10</v>
      </c>
      <c r="D5157" s="5" t="s">
        <v>4625</v>
      </c>
      <c r="E5157" s="5" t="s">
        <v>4628</v>
      </c>
      <c r="F5157" s="5" t="s">
        <v>61</v>
      </c>
      <c r="G5157" s="5" t="s">
        <v>62</v>
      </c>
      <c r="H5157" s="6">
        <v>110</v>
      </c>
      <c r="I5157" s="5"/>
    </row>
    <row r="5158" spans="1:9" x14ac:dyDescent="0.3">
      <c r="B5158" s="5" t="s">
        <v>4620</v>
      </c>
      <c r="C5158" s="5" t="s">
        <v>10</v>
      </c>
      <c r="D5158" s="5" t="s">
        <v>4625</v>
      </c>
      <c r="E5158" s="5" t="s">
        <v>4629</v>
      </c>
      <c r="F5158" s="5" t="s">
        <v>113</v>
      </c>
      <c r="G5158" s="5" t="s">
        <v>114</v>
      </c>
      <c r="H5158" s="6">
        <v>460</v>
      </c>
      <c r="I5158" s="5"/>
    </row>
    <row r="5159" spans="1:9" x14ac:dyDescent="0.3">
      <c r="B5159" s="5" t="s">
        <v>4620</v>
      </c>
      <c r="C5159" s="5" t="s">
        <v>10</v>
      </c>
      <c r="D5159" s="5" t="s">
        <v>4625</v>
      </c>
      <c r="E5159" s="5" t="s">
        <v>4630</v>
      </c>
      <c r="F5159" s="5" t="s">
        <v>50</v>
      </c>
      <c r="G5159" s="5" t="s">
        <v>51</v>
      </c>
      <c r="H5159" s="6">
        <v>920</v>
      </c>
      <c r="I5159" s="5"/>
    </row>
    <row r="5160" spans="1:9" x14ac:dyDescent="0.3">
      <c r="B5160" s="5" t="s">
        <v>4620</v>
      </c>
      <c r="C5160" s="5" t="s">
        <v>10</v>
      </c>
      <c r="D5160" s="5" t="s">
        <v>4625</v>
      </c>
      <c r="E5160" s="5" t="s">
        <v>4630</v>
      </c>
      <c r="F5160" s="5" t="s">
        <v>1643</v>
      </c>
      <c r="G5160" s="5" t="s">
        <v>1644</v>
      </c>
      <c r="H5160" s="5"/>
      <c r="I5160" s="6">
        <v>3200</v>
      </c>
    </row>
    <row r="5161" spans="1:9" x14ac:dyDescent="0.3">
      <c r="A5161" s="7" t="s">
        <v>4631</v>
      </c>
      <c r="H5161" s="8">
        <f>H5155+H5156+H5157+H5158+H5159+H5160</f>
        <v>3200</v>
      </c>
      <c r="I5161" s="8">
        <f>I5155+I5156+I5157+I5158+I5159+I5160</f>
        <v>3200</v>
      </c>
    </row>
    <row r="5162" spans="1:9" x14ac:dyDescent="0.3">
      <c r="A5162" s="4" t="s">
        <v>4632</v>
      </c>
    </row>
    <row r="5163" spans="1:9" x14ac:dyDescent="0.3">
      <c r="B5163" s="5" t="s">
        <v>4620</v>
      </c>
      <c r="C5163" s="5" t="s">
        <v>10</v>
      </c>
      <c r="D5163" s="5" t="s">
        <v>4633</v>
      </c>
      <c r="E5163" s="5" t="s">
        <v>4634</v>
      </c>
      <c r="F5163" s="5" t="s">
        <v>1961</v>
      </c>
      <c r="G5163" s="5" t="s">
        <v>1962</v>
      </c>
      <c r="H5163" s="6">
        <v>4000</v>
      </c>
      <c r="I5163" s="5"/>
    </row>
    <row r="5164" spans="1:9" x14ac:dyDescent="0.3">
      <c r="B5164" s="5" t="s">
        <v>4620</v>
      </c>
      <c r="C5164" s="5" t="s">
        <v>10</v>
      </c>
      <c r="D5164" s="5" t="s">
        <v>4633</v>
      </c>
      <c r="E5164" s="5" t="s">
        <v>4634</v>
      </c>
      <c r="F5164" s="5" t="s">
        <v>1643</v>
      </c>
      <c r="G5164" s="5" t="s">
        <v>1644</v>
      </c>
      <c r="H5164" s="5"/>
      <c r="I5164" s="6">
        <v>4000</v>
      </c>
    </row>
    <row r="5165" spans="1:9" x14ac:dyDescent="0.3">
      <c r="A5165" s="7" t="s">
        <v>4635</v>
      </c>
      <c r="H5165" s="8">
        <f>H5163+H5164</f>
        <v>4000</v>
      </c>
      <c r="I5165" s="8">
        <f>I5163+I5164</f>
        <v>4000</v>
      </c>
    </row>
    <row r="5166" spans="1:9" x14ac:dyDescent="0.3">
      <c r="A5166" s="4" t="s">
        <v>4636</v>
      </c>
    </row>
    <row r="5167" spans="1:9" x14ac:dyDescent="0.3">
      <c r="B5167" s="5" t="s">
        <v>4620</v>
      </c>
      <c r="C5167" s="5" t="s">
        <v>2745</v>
      </c>
      <c r="D5167" s="5" t="s">
        <v>2750</v>
      </c>
      <c r="E5167" s="5" t="s">
        <v>2750</v>
      </c>
      <c r="F5167" s="5" t="s">
        <v>2748</v>
      </c>
      <c r="G5167" s="5" t="s">
        <v>2749</v>
      </c>
      <c r="H5167" s="6">
        <v>4500</v>
      </c>
      <c r="I5167" s="5"/>
    </row>
    <row r="5168" spans="1:9" x14ac:dyDescent="0.3">
      <c r="B5168" s="5" t="s">
        <v>4620</v>
      </c>
      <c r="C5168" s="5" t="s">
        <v>2745</v>
      </c>
      <c r="D5168" s="5" t="s">
        <v>2750</v>
      </c>
      <c r="E5168" s="5" t="s">
        <v>2750</v>
      </c>
      <c r="F5168" s="5" t="s">
        <v>847</v>
      </c>
      <c r="G5168" s="5" t="s">
        <v>848</v>
      </c>
      <c r="H5168" s="5"/>
      <c r="I5168" s="6">
        <v>4500</v>
      </c>
    </row>
    <row r="5169" spans="1:9" x14ac:dyDescent="0.3">
      <c r="A5169" s="7" t="s">
        <v>4637</v>
      </c>
      <c r="H5169" s="8">
        <f>H5167+H5168</f>
        <v>4500</v>
      </c>
      <c r="I5169" s="8">
        <f>I5167+I5168</f>
        <v>4500</v>
      </c>
    </row>
    <row r="5170" spans="1:9" x14ac:dyDescent="0.3">
      <c r="A5170" s="4" t="s">
        <v>4638</v>
      </c>
    </row>
    <row r="5171" spans="1:9" x14ac:dyDescent="0.3">
      <c r="B5171" s="5" t="s">
        <v>4620</v>
      </c>
      <c r="C5171" s="5" t="s">
        <v>2745</v>
      </c>
      <c r="D5171" s="5" t="s">
        <v>2750</v>
      </c>
      <c r="E5171" s="5" t="s">
        <v>2750</v>
      </c>
      <c r="F5171" s="5" t="s">
        <v>2748</v>
      </c>
      <c r="G5171" s="5" t="s">
        <v>2749</v>
      </c>
      <c r="H5171" s="6">
        <v>6960</v>
      </c>
      <c r="I5171" s="5"/>
    </row>
    <row r="5172" spans="1:9" x14ac:dyDescent="0.3">
      <c r="B5172" s="5" t="s">
        <v>4620</v>
      </c>
      <c r="C5172" s="5" t="s">
        <v>2745</v>
      </c>
      <c r="D5172" s="5" t="s">
        <v>2750</v>
      </c>
      <c r="E5172" s="5" t="s">
        <v>2750</v>
      </c>
      <c r="F5172" s="5" t="s">
        <v>847</v>
      </c>
      <c r="G5172" s="5" t="s">
        <v>848</v>
      </c>
      <c r="H5172" s="5"/>
      <c r="I5172" s="6">
        <v>6960</v>
      </c>
    </row>
    <row r="5173" spans="1:9" x14ac:dyDescent="0.3">
      <c r="A5173" s="7" t="s">
        <v>4639</v>
      </c>
      <c r="H5173" s="8">
        <f>H5171+H5172</f>
        <v>6960</v>
      </c>
      <c r="I5173" s="8">
        <f>I5171+I5172</f>
        <v>6960</v>
      </c>
    </row>
    <row r="5174" spans="1:9" x14ac:dyDescent="0.3">
      <c r="A5174" s="4" t="s">
        <v>4640</v>
      </c>
    </row>
    <row r="5175" spans="1:9" x14ac:dyDescent="0.3">
      <c r="B5175" s="5" t="s">
        <v>4620</v>
      </c>
      <c r="C5175" s="5" t="s">
        <v>2745</v>
      </c>
      <c r="D5175" s="5" t="s">
        <v>2750</v>
      </c>
      <c r="E5175" s="5" t="s">
        <v>2750</v>
      </c>
      <c r="F5175" s="5" t="s">
        <v>2748</v>
      </c>
      <c r="G5175" s="5" t="s">
        <v>2749</v>
      </c>
      <c r="H5175" s="6">
        <v>4840</v>
      </c>
      <c r="I5175" s="5"/>
    </row>
    <row r="5176" spans="1:9" x14ac:dyDescent="0.3">
      <c r="B5176" s="5" t="s">
        <v>4620</v>
      </c>
      <c r="C5176" s="5" t="s">
        <v>2745</v>
      </c>
      <c r="D5176" s="5" t="s">
        <v>2750</v>
      </c>
      <c r="E5176" s="5" t="s">
        <v>2750</v>
      </c>
      <c r="F5176" s="5" t="s">
        <v>847</v>
      </c>
      <c r="G5176" s="5" t="s">
        <v>848</v>
      </c>
      <c r="H5176" s="5"/>
      <c r="I5176" s="6">
        <v>4840</v>
      </c>
    </row>
    <row r="5177" spans="1:9" x14ac:dyDescent="0.3">
      <c r="A5177" s="7" t="s">
        <v>4641</v>
      </c>
      <c r="H5177" s="8">
        <f>H5175+H5176</f>
        <v>4840</v>
      </c>
      <c r="I5177" s="8">
        <f>I5175+I5176</f>
        <v>4840</v>
      </c>
    </row>
    <row r="5178" spans="1:9" x14ac:dyDescent="0.3">
      <c r="A5178" s="4" t="s">
        <v>4642</v>
      </c>
    </row>
    <row r="5179" spans="1:9" x14ac:dyDescent="0.3">
      <c r="B5179" s="5" t="s">
        <v>4643</v>
      </c>
      <c r="C5179" s="5" t="s">
        <v>10</v>
      </c>
      <c r="D5179" s="5" t="s">
        <v>4644</v>
      </c>
      <c r="E5179" s="5" t="s">
        <v>533</v>
      </c>
      <c r="F5179" s="5" t="s">
        <v>61</v>
      </c>
      <c r="G5179" s="5" t="s">
        <v>62</v>
      </c>
      <c r="H5179" s="6">
        <v>400</v>
      </c>
      <c r="I5179" s="5"/>
    </row>
    <row r="5180" spans="1:9" x14ac:dyDescent="0.3">
      <c r="B5180" s="5" t="s">
        <v>4643</v>
      </c>
      <c r="C5180" s="5" t="s">
        <v>10</v>
      </c>
      <c r="D5180" s="5" t="s">
        <v>4644</v>
      </c>
      <c r="E5180" s="5" t="s">
        <v>4645</v>
      </c>
      <c r="F5180" s="5" t="s">
        <v>35</v>
      </c>
      <c r="G5180" s="5" t="s">
        <v>36</v>
      </c>
      <c r="H5180" s="6">
        <v>1350</v>
      </c>
      <c r="I5180" s="5"/>
    </row>
    <row r="5181" spans="1:9" x14ac:dyDescent="0.3">
      <c r="B5181" s="5" t="s">
        <v>4643</v>
      </c>
      <c r="C5181" s="5" t="s">
        <v>10</v>
      </c>
      <c r="D5181" s="5" t="s">
        <v>4644</v>
      </c>
      <c r="E5181" s="5" t="s">
        <v>4646</v>
      </c>
      <c r="F5181" s="5" t="s">
        <v>1643</v>
      </c>
      <c r="G5181" s="5" t="s">
        <v>1644</v>
      </c>
      <c r="H5181" s="5"/>
      <c r="I5181" s="6">
        <v>1750</v>
      </c>
    </row>
    <row r="5182" spans="1:9" x14ac:dyDescent="0.3">
      <c r="A5182" s="7" t="s">
        <v>4647</v>
      </c>
      <c r="H5182" s="8">
        <f>H5179+H5180+H5181</f>
        <v>1750</v>
      </c>
      <c r="I5182" s="8">
        <f>I5179+I5180+I5181</f>
        <v>1750</v>
      </c>
    </row>
    <row r="5183" spans="1:9" x14ac:dyDescent="0.3">
      <c r="A5183" s="4" t="s">
        <v>4648</v>
      </c>
    </row>
    <row r="5184" spans="1:9" x14ac:dyDescent="0.3">
      <c r="B5184" s="5" t="s">
        <v>4643</v>
      </c>
      <c r="C5184" s="5" t="s">
        <v>10</v>
      </c>
      <c r="D5184" s="5" t="s">
        <v>4649</v>
      </c>
      <c r="E5184" s="5" t="s">
        <v>4650</v>
      </c>
      <c r="F5184" s="5" t="s">
        <v>1643</v>
      </c>
      <c r="G5184" s="5" t="s">
        <v>1644</v>
      </c>
      <c r="H5184" s="6">
        <v>45000</v>
      </c>
      <c r="I5184" s="5"/>
    </row>
    <row r="5185" spans="1:9" x14ac:dyDescent="0.3">
      <c r="B5185" s="5" t="s">
        <v>4643</v>
      </c>
      <c r="C5185" s="5" t="s">
        <v>10</v>
      </c>
      <c r="D5185" s="5" t="s">
        <v>4649</v>
      </c>
      <c r="E5185" s="5" t="s">
        <v>4650</v>
      </c>
      <c r="F5185" s="5" t="s">
        <v>2748</v>
      </c>
      <c r="G5185" s="5" t="s">
        <v>2749</v>
      </c>
      <c r="H5185" s="5"/>
      <c r="I5185" s="6">
        <v>45000</v>
      </c>
    </row>
    <row r="5186" spans="1:9" x14ac:dyDescent="0.3">
      <c r="A5186" s="7" t="s">
        <v>4651</v>
      </c>
      <c r="H5186" s="8">
        <f>H5184+H5185</f>
        <v>45000</v>
      </c>
      <c r="I5186" s="8">
        <f>I5184+I5185</f>
        <v>45000</v>
      </c>
    </row>
    <row r="5187" spans="1:9" x14ac:dyDescent="0.3">
      <c r="A5187" s="4" t="s">
        <v>4652</v>
      </c>
    </row>
    <row r="5188" spans="1:9" x14ac:dyDescent="0.3">
      <c r="B5188" s="5" t="s">
        <v>4643</v>
      </c>
      <c r="C5188" s="5" t="s">
        <v>10</v>
      </c>
      <c r="D5188" s="5" t="s">
        <v>4653</v>
      </c>
      <c r="E5188" s="5" t="s">
        <v>4654</v>
      </c>
      <c r="F5188" s="5" t="s">
        <v>218</v>
      </c>
      <c r="G5188" s="5" t="s">
        <v>219</v>
      </c>
      <c r="H5188" s="6">
        <v>4000</v>
      </c>
      <c r="I5188" s="5"/>
    </row>
    <row r="5189" spans="1:9" x14ac:dyDescent="0.3">
      <c r="B5189" s="5" t="s">
        <v>4643</v>
      </c>
      <c r="C5189" s="5" t="s">
        <v>10</v>
      </c>
      <c r="D5189" s="5" t="s">
        <v>4653</v>
      </c>
      <c r="E5189" s="5" t="s">
        <v>4654</v>
      </c>
      <c r="F5189" s="5" t="s">
        <v>441</v>
      </c>
      <c r="G5189" s="5" t="s">
        <v>442</v>
      </c>
      <c r="H5189" s="5"/>
      <c r="I5189" s="6">
        <v>4000</v>
      </c>
    </row>
    <row r="5190" spans="1:9" x14ac:dyDescent="0.3">
      <c r="A5190" s="7" t="s">
        <v>4655</v>
      </c>
      <c r="H5190" s="8">
        <f>H5188+H5189</f>
        <v>4000</v>
      </c>
      <c r="I5190" s="8">
        <f>I5188+I5189</f>
        <v>4000</v>
      </c>
    </row>
    <row r="5191" spans="1:9" x14ac:dyDescent="0.3">
      <c r="A5191" s="4" t="s">
        <v>4656</v>
      </c>
    </row>
    <row r="5192" spans="1:9" x14ac:dyDescent="0.3">
      <c r="B5192" s="5" t="s">
        <v>4643</v>
      </c>
      <c r="C5192" s="5" t="s">
        <v>10</v>
      </c>
      <c r="D5192" s="5" t="s">
        <v>4657</v>
      </c>
      <c r="E5192" s="5" t="s">
        <v>4658</v>
      </c>
      <c r="F5192" s="5" t="s">
        <v>2500</v>
      </c>
      <c r="G5192" s="5" t="s">
        <v>2501</v>
      </c>
      <c r="H5192" s="6">
        <v>1250</v>
      </c>
      <c r="I5192" s="5"/>
    </row>
    <row r="5193" spans="1:9" x14ac:dyDescent="0.3">
      <c r="B5193" s="5" t="s">
        <v>4643</v>
      </c>
      <c r="C5193" s="5" t="s">
        <v>10</v>
      </c>
      <c r="D5193" s="5" t="s">
        <v>4657</v>
      </c>
      <c r="E5193" s="5" t="s">
        <v>4658</v>
      </c>
      <c r="F5193" s="5" t="s">
        <v>441</v>
      </c>
      <c r="G5193" s="5" t="s">
        <v>442</v>
      </c>
      <c r="H5193" s="5"/>
      <c r="I5193" s="6">
        <v>1250</v>
      </c>
    </row>
    <row r="5194" spans="1:9" x14ac:dyDescent="0.3">
      <c r="A5194" s="7" t="s">
        <v>4659</v>
      </c>
      <c r="H5194" s="8">
        <f>H5192+H5193</f>
        <v>1250</v>
      </c>
      <c r="I5194" s="8">
        <f>I5192+I5193</f>
        <v>1250</v>
      </c>
    </row>
    <row r="5195" spans="1:9" x14ac:dyDescent="0.3">
      <c r="A5195" s="4" t="s">
        <v>4660</v>
      </c>
    </row>
    <row r="5196" spans="1:9" x14ac:dyDescent="0.3">
      <c r="B5196" s="5" t="s">
        <v>4643</v>
      </c>
      <c r="C5196" s="5" t="s">
        <v>10</v>
      </c>
      <c r="D5196" s="5" t="s">
        <v>4661</v>
      </c>
      <c r="E5196" s="5" t="s">
        <v>4662</v>
      </c>
      <c r="F5196" s="5" t="s">
        <v>4663</v>
      </c>
      <c r="G5196" s="5" t="s">
        <v>4664</v>
      </c>
      <c r="H5196" s="6">
        <v>36400</v>
      </c>
      <c r="I5196" s="5"/>
    </row>
    <row r="5197" spans="1:9" x14ac:dyDescent="0.3">
      <c r="B5197" s="5" t="s">
        <v>4643</v>
      </c>
      <c r="C5197" s="5" t="s">
        <v>10</v>
      </c>
      <c r="D5197" s="5" t="s">
        <v>4661</v>
      </c>
      <c r="E5197" s="5" t="s">
        <v>4665</v>
      </c>
      <c r="F5197" s="5" t="s">
        <v>61</v>
      </c>
      <c r="G5197" s="5" t="s">
        <v>62</v>
      </c>
      <c r="H5197" s="6">
        <v>12980</v>
      </c>
      <c r="I5197" s="5"/>
    </row>
    <row r="5198" spans="1:9" x14ac:dyDescent="0.3">
      <c r="B5198" s="5" t="s">
        <v>4643</v>
      </c>
      <c r="C5198" s="5" t="s">
        <v>10</v>
      </c>
      <c r="D5198" s="5" t="s">
        <v>4661</v>
      </c>
      <c r="E5198" s="5" t="s">
        <v>4666</v>
      </c>
      <c r="F5198" s="5" t="s">
        <v>95</v>
      </c>
      <c r="G5198" s="5" t="s">
        <v>96</v>
      </c>
      <c r="H5198" s="6">
        <v>130</v>
      </c>
      <c r="I5198" s="5"/>
    </row>
    <row r="5199" spans="1:9" x14ac:dyDescent="0.3">
      <c r="B5199" s="5" t="s">
        <v>4643</v>
      </c>
      <c r="C5199" s="5" t="s">
        <v>10</v>
      </c>
      <c r="D5199" s="5" t="s">
        <v>4661</v>
      </c>
      <c r="E5199" s="5" t="s">
        <v>4667</v>
      </c>
      <c r="F5199" s="5" t="s">
        <v>35</v>
      </c>
      <c r="G5199" s="5" t="s">
        <v>36</v>
      </c>
      <c r="H5199" s="6">
        <v>3190</v>
      </c>
      <c r="I5199" s="5"/>
    </row>
    <row r="5200" spans="1:9" x14ac:dyDescent="0.3">
      <c r="B5200" s="5" t="s">
        <v>4643</v>
      </c>
      <c r="C5200" s="5" t="s">
        <v>10</v>
      </c>
      <c r="D5200" s="5" t="s">
        <v>4661</v>
      </c>
      <c r="E5200" s="5" t="s">
        <v>4667</v>
      </c>
      <c r="F5200" s="5" t="s">
        <v>441</v>
      </c>
      <c r="G5200" s="5" t="s">
        <v>442</v>
      </c>
      <c r="H5200" s="5"/>
      <c r="I5200" s="6">
        <v>52700</v>
      </c>
    </row>
    <row r="5201" spans="1:9" x14ac:dyDescent="0.3">
      <c r="A5201" s="7" t="s">
        <v>4668</v>
      </c>
      <c r="H5201" s="8">
        <f>H5196+H5197+H5198+H5199+H5200</f>
        <v>52700</v>
      </c>
      <c r="I5201" s="8">
        <f>I5196+I5197+I5198+I5199+I5200</f>
        <v>52700</v>
      </c>
    </row>
    <row r="5202" spans="1:9" x14ac:dyDescent="0.3">
      <c r="A5202" s="4" t="s">
        <v>4669</v>
      </c>
    </row>
    <row r="5203" spans="1:9" x14ac:dyDescent="0.3">
      <c r="B5203" s="5" t="s">
        <v>4643</v>
      </c>
      <c r="C5203" s="5" t="s">
        <v>10</v>
      </c>
      <c r="D5203" s="5" t="s">
        <v>4670</v>
      </c>
      <c r="E5203" s="5" t="s">
        <v>4671</v>
      </c>
      <c r="F5203" s="5" t="s">
        <v>4663</v>
      </c>
      <c r="G5203" s="5" t="s">
        <v>4664</v>
      </c>
      <c r="H5203" s="6">
        <v>8000</v>
      </c>
      <c r="I5203" s="5"/>
    </row>
    <row r="5204" spans="1:9" x14ac:dyDescent="0.3">
      <c r="B5204" s="5" t="s">
        <v>4643</v>
      </c>
      <c r="C5204" s="5" t="s">
        <v>10</v>
      </c>
      <c r="D5204" s="5" t="s">
        <v>4670</v>
      </c>
      <c r="E5204" s="5" t="s">
        <v>4672</v>
      </c>
      <c r="F5204" s="5" t="s">
        <v>61</v>
      </c>
      <c r="G5204" s="5" t="s">
        <v>62</v>
      </c>
      <c r="H5204" s="6">
        <v>840</v>
      </c>
      <c r="I5204" s="5"/>
    </row>
    <row r="5205" spans="1:9" x14ac:dyDescent="0.3">
      <c r="B5205" s="5" t="s">
        <v>4643</v>
      </c>
      <c r="C5205" s="5" t="s">
        <v>10</v>
      </c>
      <c r="D5205" s="5" t="s">
        <v>4670</v>
      </c>
      <c r="E5205" s="5" t="s">
        <v>4673</v>
      </c>
      <c r="F5205" s="5" t="s">
        <v>441</v>
      </c>
      <c r="G5205" s="5" t="s">
        <v>442</v>
      </c>
      <c r="H5205" s="5"/>
      <c r="I5205" s="6">
        <v>8840</v>
      </c>
    </row>
    <row r="5206" spans="1:9" x14ac:dyDescent="0.3">
      <c r="A5206" s="7" t="s">
        <v>4674</v>
      </c>
      <c r="H5206" s="8">
        <f>H5203+H5204+H5205</f>
        <v>8840</v>
      </c>
      <c r="I5206" s="8">
        <f>I5203+I5204+I5205</f>
        <v>8840</v>
      </c>
    </row>
    <row r="5207" spans="1:9" x14ac:dyDescent="0.3">
      <c r="A5207" s="4" t="s">
        <v>4675</v>
      </c>
    </row>
    <row r="5208" spans="1:9" x14ac:dyDescent="0.3">
      <c r="B5208" s="5" t="s">
        <v>4643</v>
      </c>
      <c r="C5208" s="5" t="s">
        <v>10</v>
      </c>
      <c r="D5208" s="5" t="s">
        <v>4676</v>
      </c>
      <c r="E5208" s="5" t="s">
        <v>4677</v>
      </c>
      <c r="F5208" s="5" t="s">
        <v>176</v>
      </c>
      <c r="G5208" s="5" t="s">
        <v>177</v>
      </c>
      <c r="H5208" s="6">
        <v>2000</v>
      </c>
      <c r="I5208" s="5"/>
    </row>
    <row r="5209" spans="1:9" x14ac:dyDescent="0.3">
      <c r="B5209" s="5" t="s">
        <v>4643</v>
      </c>
      <c r="C5209" s="5" t="s">
        <v>10</v>
      </c>
      <c r="D5209" s="5" t="s">
        <v>4676</v>
      </c>
      <c r="E5209" s="5" t="s">
        <v>4678</v>
      </c>
      <c r="F5209" s="5" t="s">
        <v>95</v>
      </c>
      <c r="G5209" s="5" t="s">
        <v>96</v>
      </c>
      <c r="H5209" s="6">
        <v>1280</v>
      </c>
      <c r="I5209" s="5"/>
    </row>
    <row r="5210" spans="1:9" x14ac:dyDescent="0.3">
      <c r="B5210" s="5" t="s">
        <v>4643</v>
      </c>
      <c r="C5210" s="5" t="s">
        <v>10</v>
      </c>
      <c r="D5210" s="5" t="s">
        <v>4676</v>
      </c>
      <c r="E5210" s="5" t="s">
        <v>4679</v>
      </c>
      <c r="F5210" s="5" t="s">
        <v>441</v>
      </c>
      <c r="G5210" s="5" t="s">
        <v>442</v>
      </c>
      <c r="H5210" s="5"/>
      <c r="I5210" s="6">
        <v>3280</v>
      </c>
    </row>
    <row r="5211" spans="1:9" x14ac:dyDescent="0.3">
      <c r="A5211" s="7" t="s">
        <v>4680</v>
      </c>
      <c r="H5211" s="8">
        <f>H5208+H5209+H5210</f>
        <v>3280</v>
      </c>
      <c r="I5211" s="8">
        <f>I5208+I5209+I5210</f>
        <v>3280</v>
      </c>
    </row>
    <row r="5212" spans="1:9" x14ac:dyDescent="0.3">
      <c r="A5212" s="4" t="s">
        <v>4681</v>
      </c>
    </row>
    <row r="5213" spans="1:9" x14ac:dyDescent="0.3">
      <c r="B5213" s="5" t="s">
        <v>4643</v>
      </c>
      <c r="C5213" s="5" t="s">
        <v>10</v>
      </c>
      <c r="D5213" s="5" t="s">
        <v>4682</v>
      </c>
      <c r="E5213" s="5" t="s">
        <v>4683</v>
      </c>
      <c r="F5213" s="5" t="s">
        <v>166</v>
      </c>
      <c r="G5213" s="5" t="s">
        <v>167</v>
      </c>
      <c r="H5213" s="6">
        <v>1735</v>
      </c>
      <c r="I5213" s="5"/>
    </row>
    <row r="5214" spans="1:9" x14ac:dyDescent="0.3">
      <c r="B5214" s="5" t="s">
        <v>4643</v>
      </c>
      <c r="C5214" s="5" t="s">
        <v>10</v>
      </c>
      <c r="D5214" s="5" t="s">
        <v>4682</v>
      </c>
      <c r="E5214" s="5" t="s">
        <v>4684</v>
      </c>
      <c r="F5214" s="5" t="s">
        <v>35</v>
      </c>
      <c r="G5214" s="5" t="s">
        <v>36</v>
      </c>
      <c r="H5214" s="6">
        <v>350</v>
      </c>
      <c r="I5214" s="5"/>
    </row>
    <row r="5215" spans="1:9" x14ac:dyDescent="0.3">
      <c r="B5215" s="5" t="s">
        <v>4643</v>
      </c>
      <c r="C5215" s="5" t="s">
        <v>10</v>
      </c>
      <c r="D5215" s="5" t="s">
        <v>4682</v>
      </c>
      <c r="E5215" s="5" t="s">
        <v>4685</v>
      </c>
      <c r="F5215" s="5" t="s">
        <v>256</v>
      </c>
      <c r="G5215" s="5" t="s">
        <v>257</v>
      </c>
      <c r="H5215" s="6">
        <v>1620</v>
      </c>
      <c r="I5215" s="5"/>
    </row>
    <row r="5216" spans="1:9" x14ac:dyDescent="0.3">
      <c r="B5216" s="5" t="s">
        <v>4643</v>
      </c>
      <c r="C5216" s="5" t="s">
        <v>10</v>
      </c>
      <c r="D5216" s="5" t="s">
        <v>4682</v>
      </c>
      <c r="E5216" s="5" t="s">
        <v>4686</v>
      </c>
      <c r="F5216" s="5" t="s">
        <v>61</v>
      </c>
      <c r="G5216" s="5" t="s">
        <v>62</v>
      </c>
      <c r="H5216" s="6">
        <v>850</v>
      </c>
      <c r="I5216" s="5"/>
    </row>
    <row r="5217" spans="1:9" x14ac:dyDescent="0.3">
      <c r="B5217" s="5" t="s">
        <v>4643</v>
      </c>
      <c r="C5217" s="5" t="s">
        <v>10</v>
      </c>
      <c r="D5217" s="5" t="s">
        <v>4682</v>
      </c>
      <c r="E5217" s="5" t="s">
        <v>4687</v>
      </c>
      <c r="F5217" s="5" t="s">
        <v>4663</v>
      </c>
      <c r="G5217" s="5" t="s">
        <v>4664</v>
      </c>
      <c r="H5217" s="6">
        <v>2000</v>
      </c>
      <c r="I5217" s="5"/>
    </row>
    <row r="5218" spans="1:9" x14ac:dyDescent="0.3">
      <c r="B5218" s="5" t="s">
        <v>4643</v>
      </c>
      <c r="C5218" s="5" t="s">
        <v>10</v>
      </c>
      <c r="D5218" s="5" t="s">
        <v>4682</v>
      </c>
      <c r="E5218" s="5" t="s">
        <v>4688</v>
      </c>
      <c r="F5218" s="5" t="s">
        <v>67</v>
      </c>
      <c r="G5218" s="5" t="s">
        <v>68</v>
      </c>
      <c r="H5218" s="6">
        <v>200</v>
      </c>
      <c r="I5218" s="5"/>
    </row>
    <row r="5219" spans="1:9" x14ac:dyDescent="0.3">
      <c r="B5219" s="5" t="s">
        <v>4643</v>
      </c>
      <c r="C5219" s="5" t="s">
        <v>10</v>
      </c>
      <c r="D5219" s="5" t="s">
        <v>4682</v>
      </c>
      <c r="E5219" s="5" t="s">
        <v>4689</v>
      </c>
      <c r="F5219" s="5" t="s">
        <v>2500</v>
      </c>
      <c r="G5219" s="5" t="s">
        <v>2501</v>
      </c>
      <c r="H5219" s="6">
        <v>500</v>
      </c>
      <c r="I5219" s="5"/>
    </row>
    <row r="5220" spans="1:9" x14ac:dyDescent="0.3">
      <c r="B5220" s="5" t="s">
        <v>4643</v>
      </c>
      <c r="C5220" s="5" t="s">
        <v>10</v>
      </c>
      <c r="D5220" s="5" t="s">
        <v>4682</v>
      </c>
      <c r="E5220" s="5" t="s">
        <v>4690</v>
      </c>
      <c r="F5220" s="5" t="s">
        <v>70</v>
      </c>
      <c r="G5220" s="5" t="s">
        <v>71</v>
      </c>
      <c r="H5220" s="6">
        <v>590</v>
      </c>
      <c r="I5220" s="5"/>
    </row>
    <row r="5221" spans="1:9" x14ac:dyDescent="0.3">
      <c r="B5221" s="5" t="s">
        <v>4643</v>
      </c>
      <c r="C5221" s="5" t="s">
        <v>10</v>
      </c>
      <c r="D5221" s="5" t="s">
        <v>4682</v>
      </c>
      <c r="E5221" s="5" t="s">
        <v>4691</v>
      </c>
      <c r="F5221" s="5" t="s">
        <v>441</v>
      </c>
      <c r="G5221" s="5" t="s">
        <v>442</v>
      </c>
      <c r="H5221" s="5"/>
      <c r="I5221" s="6">
        <v>7845</v>
      </c>
    </row>
    <row r="5222" spans="1:9" x14ac:dyDescent="0.3">
      <c r="A5222" s="7" t="s">
        <v>4692</v>
      </c>
      <c r="H5222" s="8">
        <f>H5213+H5214+H5215+H5216+H5217+H5218+H5219+H5220+H5221</f>
        <v>7845</v>
      </c>
      <c r="I5222" s="8">
        <f>I5213+I5214+I5215+I5216+I5217+I5218+I5219+I5220+I5221</f>
        <v>7845</v>
      </c>
    </row>
    <row r="5223" spans="1:9" x14ac:dyDescent="0.3">
      <c r="A5223" s="4" t="s">
        <v>4693</v>
      </c>
    </row>
    <row r="5224" spans="1:9" x14ac:dyDescent="0.3">
      <c r="B5224" s="5" t="s">
        <v>4643</v>
      </c>
      <c r="C5224" s="5" t="s">
        <v>2745</v>
      </c>
      <c r="D5224" s="5" t="s">
        <v>2750</v>
      </c>
      <c r="E5224" s="5" t="s">
        <v>2750</v>
      </c>
      <c r="F5224" s="5" t="s">
        <v>2748</v>
      </c>
      <c r="G5224" s="5" t="s">
        <v>2749</v>
      </c>
      <c r="H5224" s="6">
        <v>1840</v>
      </c>
      <c r="I5224" s="5"/>
    </row>
    <row r="5225" spans="1:9" x14ac:dyDescent="0.3">
      <c r="B5225" s="5" t="s">
        <v>4643</v>
      </c>
      <c r="C5225" s="5" t="s">
        <v>2745</v>
      </c>
      <c r="D5225" s="5" t="s">
        <v>2750</v>
      </c>
      <c r="E5225" s="5" t="s">
        <v>2750</v>
      </c>
      <c r="F5225" s="5" t="s">
        <v>847</v>
      </c>
      <c r="G5225" s="5" t="s">
        <v>848</v>
      </c>
      <c r="H5225" s="5"/>
      <c r="I5225" s="6">
        <v>1840</v>
      </c>
    </row>
    <row r="5226" spans="1:9" x14ac:dyDescent="0.3">
      <c r="A5226" s="7" t="s">
        <v>4694</v>
      </c>
      <c r="H5226" s="8">
        <f>H5224+H5225</f>
        <v>1840</v>
      </c>
      <c r="I5226" s="8">
        <f>I5224+I5225</f>
        <v>1840</v>
      </c>
    </row>
    <row r="5227" spans="1:9" x14ac:dyDescent="0.3">
      <c r="A5227" s="4" t="s">
        <v>4695</v>
      </c>
    </row>
    <row r="5228" spans="1:9" x14ac:dyDescent="0.3">
      <c r="B5228" s="5" t="s">
        <v>4643</v>
      </c>
      <c r="C5228" s="5" t="s">
        <v>2745</v>
      </c>
      <c r="D5228" s="5" t="s">
        <v>2750</v>
      </c>
      <c r="E5228" s="5" t="s">
        <v>2750</v>
      </c>
      <c r="F5228" s="5" t="s">
        <v>2748</v>
      </c>
      <c r="G5228" s="5" t="s">
        <v>2749</v>
      </c>
      <c r="H5228" s="6">
        <v>1890</v>
      </c>
      <c r="I5228" s="5"/>
    </row>
    <row r="5229" spans="1:9" x14ac:dyDescent="0.3">
      <c r="B5229" s="5" t="s">
        <v>4643</v>
      </c>
      <c r="C5229" s="5" t="s">
        <v>2745</v>
      </c>
      <c r="D5229" s="5" t="s">
        <v>2750</v>
      </c>
      <c r="E5229" s="5" t="s">
        <v>2750</v>
      </c>
      <c r="F5229" s="5" t="s">
        <v>847</v>
      </c>
      <c r="G5229" s="5" t="s">
        <v>848</v>
      </c>
      <c r="H5229" s="5"/>
      <c r="I5229" s="6">
        <v>1890</v>
      </c>
    </row>
    <row r="5230" spans="1:9" x14ac:dyDescent="0.3">
      <c r="A5230" s="7" t="s">
        <v>4696</v>
      </c>
      <c r="H5230" s="8">
        <f>H5228+H5229</f>
        <v>1890</v>
      </c>
      <c r="I5230" s="8">
        <f>I5228+I5229</f>
        <v>1890</v>
      </c>
    </row>
    <row r="5231" spans="1:9" x14ac:dyDescent="0.3">
      <c r="A5231" s="4" t="s">
        <v>4697</v>
      </c>
    </row>
    <row r="5232" spans="1:9" x14ac:dyDescent="0.3">
      <c r="B5232" s="5" t="s">
        <v>4643</v>
      </c>
      <c r="C5232" s="5" t="s">
        <v>2745</v>
      </c>
      <c r="D5232" s="5" t="s">
        <v>2750</v>
      </c>
      <c r="E5232" s="5" t="s">
        <v>2750</v>
      </c>
      <c r="F5232" s="5" t="s">
        <v>2748</v>
      </c>
      <c r="G5232" s="5" t="s">
        <v>2749</v>
      </c>
      <c r="H5232" s="6">
        <v>1550</v>
      </c>
      <c r="I5232" s="5"/>
    </row>
    <row r="5233" spans="1:9" x14ac:dyDescent="0.3">
      <c r="B5233" s="5" t="s">
        <v>4643</v>
      </c>
      <c r="C5233" s="5" t="s">
        <v>2745</v>
      </c>
      <c r="D5233" s="5" t="s">
        <v>2750</v>
      </c>
      <c r="E5233" s="5" t="s">
        <v>2750</v>
      </c>
      <c r="F5233" s="5" t="s">
        <v>847</v>
      </c>
      <c r="G5233" s="5" t="s">
        <v>848</v>
      </c>
      <c r="H5233" s="5"/>
      <c r="I5233" s="6">
        <v>1550</v>
      </c>
    </row>
    <row r="5234" spans="1:9" x14ac:dyDescent="0.3">
      <c r="A5234" s="7" t="s">
        <v>4698</v>
      </c>
      <c r="H5234" s="8">
        <f>H5232+H5233</f>
        <v>1550</v>
      </c>
      <c r="I5234" s="8">
        <f>I5232+I5233</f>
        <v>1550</v>
      </c>
    </row>
    <row r="5235" spans="1:9" x14ac:dyDescent="0.3">
      <c r="A5235" s="4" t="s">
        <v>4699</v>
      </c>
    </row>
    <row r="5236" spans="1:9" x14ac:dyDescent="0.3">
      <c r="B5236" s="5" t="s">
        <v>4643</v>
      </c>
      <c r="C5236" s="5" t="s">
        <v>2745</v>
      </c>
      <c r="D5236" s="5" t="s">
        <v>2750</v>
      </c>
      <c r="E5236" s="5" t="s">
        <v>2750</v>
      </c>
      <c r="F5236" s="5" t="s">
        <v>2748</v>
      </c>
      <c r="G5236" s="5" t="s">
        <v>2749</v>
      </c>
      <c r="H5236" s="6">
        <v>1480</v>
      </c>
      <c r="I5236" s="5"/>
    </row>
    <row r="5237" spans="1:9" x14ac:dyDescent="0.3">
      <c r="B5237" s="5" t="s">
        <v>4643</v>
      </c>
      <c r="C5237" s="5" t="s">
        <v>2745</v>
      </c>
      <c r="D5237" s="5" t="s">
        <v>2750</v>
      </c>
      <c r="E5237" s="5" t="s">
        <v>2750</v>
      </c>
      <c r="F5237" s="5" t="s">
        <v>847</v>
      </c>
      <c r="G5237" s="5" t="s">
        <v>848</v>
      </c>
      <c r="H5237" s="5"/>
      <c r="I5237" s="6">
        <v>1480</v>
      </c>
    </row>
    <row r="5238" spans="1:9" x14ac:dyDescent="0.3">
      <c r="A5238" s="7" t="s">
        <v>4700</v>
      </c>
      <c r="H5238" s="8">
        <f>H5236+H5237</f>
        <v>1480</v>
      </c>
      <c r="I5238" s="8">
        <f>I5236+I5237</f>
        <v>1480</v>
      </c>
    </row>
    <row r="5239" spans="1:9" x14ac:dyDescent="0.3">
      <c r="A5239" s="4" t="s">
        <v>4701</v>
      </c>
    </row>
    <row r="5240" spans="1:9" x14ac:dyDescent="0.3">
      <c r="B5240" s="5" t="s">
        <v>4643</v>
      </c>
      <c r="C5240" s="5" t="s">
        <v>2745</v>
      </c>
      <c r="D5240" s="5" t="s">
        <v>2750</v>
      </c>
      <c r="E5240" s="5" t="s">
        <v>2750</v>
      </c>
      <c r="F5240" s="5" t="s">
        <v>2748</v>
      </c>
      <c r="G5240" s="5" t="s">
        <v>2749</v>
      </c>
      <c r="H5240" s="6">
        <v>1790</v>
      </c>
      <c r="I5240" s="5"/>
    </row>
    <row r="5241" spans="1:9" x14ac:dyDescent="0.3">
      <c r="B5241" s="5" t="s">
        <v>4643</v>
      </c>
      <c r="C5241" s="5" t="s">
        <v>2745</v>
      </c>
      <c r="D5241" s="5" t="s">
        <v>2750</v>
      </c>
      <c r="E5241" s="5" t="s">
        <v>2750</v>
      </c>
      <c r="F5241" s="5" t="s">
        <v>847</v>
      </c>
      <c r="G5241" s="5" t="s">
        <v>848</v>
      </c>
      <c r="H5241" s="5"/>
      <c r="I5241" s="6">
        <v>1790</v>
      </c>
    </row>
    <row r="5242" spans="1:9" x14ac:dyDescent="0.3">
      <c r="A5242" s="7" t="s">
        <v>4702</v>
      </c>
      <c r="H5242" s="8">
        <f>H5240+H5241</f>
        <v>1790</v>
      </c>
      <c r="I5242" s="8">
        <f>I5240+I5241</f>
        <v>1790</v>
      </c>
    </row>
    <row r="5243" spans="1:9" x14ac:dyDescent="0.3">
      <c r="A5243" s="4" t="s">
        <v>4703</v>
      </c>
    </row>
    <row r="5244" spans="1:9" x14ac:dyDescent="0.3">
      <c r="B5244" s="5" t="s">
        <v>4643</v>
      </c>
      <c r="C5244" s="5" t="s">
        <v>10</v>
      </c>
      <c r="D5244" s="5" t="s">
        <v>4704</v>
      </c>
      <c r="E5244" s="5" t="s">
        <v>4705</v>
      </c>
      <c r="F5244" s="5" t="s">
        <v>61</v>
      </c>
      <c r="G5244" s="5" t="s">
        <v>62</v>
      </c>
      <c r="H5244" s="6">
        <v>1000</v>
      </c>
      <c r="I5244" s="5"/>
    </row>
    <row r="5245" spans="1:9" x14ac:dyDescent="0.3">
      <c r="B5245" s="5" t="s">
        <v>4643</v>
      </c>
      <c r="C5245" s="5" t="s">
        <v>10</v>
      </c>
      <c r="D5245" s="5" t="s">
        <v>4704</v>
      </c>
      <c r="E5245" s="5" t="s">
        <v>4705</v>
      </c>
      <c r="F5245" s="5" t="s">
        <v>1643</v>
      </c>
      <c r="G5245" s="5" t="s">
        <v>1644</v>
      </c>
      <c r="H5245" s="5"/>
      <c r="I5245" s="6">
        <v>1000</v>
      </c>
    </row>
    <row r="5246" spans="1:9" x14ac:dyDescent="0.3">
      <c r="A5246" s="7" t="s">
        <v>4706</v>
      </c>
      <c r="H5246" s="8">
        <f>H5244+H5245</f>
        <v>1000</v>
      </c>
      <c r="I5246" s="8">
        <f>I5244+I5245</f>
        <v>1000</v>
      </c>
    </row>
    <row r="5247" spans="1:9" x14ac:dyDescent="0.3">
      <c r="A5247" s="4" t="s">
        <v>4707</v>
      </c>
    </row>
    <row r="5248" spans="1:9" x14ac:dyDescent="0.3">
      <c r="B5248" s="5" t="s">
        <v>4643</v>
      </c>
      <c r="C5248" s="5" t="s">
        <v>10</v>
      </c>
      <c r="D5248" s="5" t="s">
        <v>4708</v>
      </c>
      <c r="E5248" s="5" t="s">
        <v>4709</v>
      </c>
      <c r="F5248" s="5" t="s">
        <v>113</v>
      </c>
      <c r="G5248" s="5" t="s">
        <v>114</v>
      </c>
      <c r="H5248" s="6">
        <v>480</v>
      </c>
      <c r="I5248" s="5"/>
    </row>
    <row r="5249" spans="1:9" x14ac:dyDescent="0.3">
      <c r="B5249" s="5" t="s">
        <v>4643</v>
      </c>
      <c r="C5249" s="5" t="s">
        <v>10</v>
      </c>
      <c r="D5249" s="5" t="s">
        <v>4708</v>
      </c>
      <c r="E5249" s="5" t="s">
        <v>4709</v>
      </c>
      <c r="F5249" s="5" t="s">
        <v>1643</v>
      </c>
      <c r="G5249" s="5" t="s">
        <v>1644</v>
      </c>
      <c r="H5249" s="5"/>
      <c r="I5249" s="6">
        <v>480</v>
      </c>
    </row>
    <row r="5250" spans="1:9" x14ac:dyDescent="0.3">
      <c r="A5250" s="7" t="s">
        <v>4710</v>
      </c>
      <c r="H5250" s="8">
        <f>H5248+H5249</f>
        <v>480</v>
      </c>
      <c r="I5250" s="8">
        <f>I5248+I5249</f>
        <v>480</v>
      </c>
    </row>
    <row r="5251" spans="1:9" x14ac:dyDescent="0.3">
      <c r="A5251" s="4" t="s">
        <v>4711</v>
      </c>
    </row>
    <row r="5252" spans="1:9" x14ac:dyDescent="0.3">
      <c r="B5252" s="5" t="s">
        <v>4643</v>
      </c>
      <c r="C5252" s="5" t="s">
        <v>10</v>
      </c>
      <c r="D5252" s="5" t="s">
        <v>4712</v>
      </c>
      <c r="E5252" s="5" t="s">
        <v>4144</v>
      </c>
      <c r="F5252" s="5" t="s">
        <v>129</v>
      </c>
      <c r="G5252" s="5" t="s">
        <v>130</v>
      </c>
      <c r="H5252" s="6">
        <v>600</v>
      </c>
      <c r="I5252" s="5"/>
    </row>
    <row r="5253" spans="1:9" x14ac:dyDescent="0.3">
      <c r="B5253" s="5" t="s">
        <v>4643</v>
      </c>
      <c r="C5253" s="5" t="s">
        <v>10</v>
      </c>
      <c r="D5253" s="5" t="s">
        <v>4712</v>
      </c>
      <c r="E5253" s="5" t="s">
        <v>4144</v>
      </c>
      <c r="F5253" s="5" t="s">
        <v>1643</v>
      </c>
      <c r="G5253" s="5" t="s">
        <v>1644</v>
      </c>
      <c r="H5253" s="5"/>
      <c r="I5253" s="6">
        <v>600</v>
      </c>
    </row>
    <row r="5254" spans="1:9" x14ac:dyDescent="0.3">
      <c r="A5254" s="7" t="s">
        <v>4713</v>
      </c>
      <c r="H5254" s="8">
        <f>H5252+H5253</f>
        <v>600</v>
      </c>
      <c r="I5254" s="8">
        <f>I5252+I5253</f>
        <v>600</v>
      </c>
    </row>
    <row r="5255" spans="1:9" x14ac:dyDescent="0.3">
      <c r="A5255" s="4" t="s">
        <v>4714</v>
      </c>
    </row>
    <row r="5256" spans="1:9" x14ac:dyDescent="0.3">
      <c r="B5256" s="5" t="s">
        <v>4715</v>
      </c>
      <c r="C5256" s="5" t="s">
        <v>2745</v>
      </c>
      <c r="D5256" s="5" t="s">
        <v>2750</v>
      </c>
      <c r="E5256" s="5" t="s">
        <v>4716</v>
      </c>
      <c r="F5256" s="5" t="s">
        <v>2748</v>
      </c>
      <c r="G5256" s="5" t="s">
        <v>2749</v>
      </c>
      <c r="H5256" s="6">
        <v>32500</v>
      </c>
      <c r="I5256" s="5"/>
    </row>
    <row r="5257" spans="1:9" x14ac:dyDescent="0.3">
      <c r="B5257" s="5" t="s">
        <v>4715</v>
      </c>
      <c r="C5257" s="5" t="s">
        <v>2745</v>
      </c>
      <c r="D5257" s="5" t="s">
        <v>2750</v>
      </c>
      <c r="E5257" s="5" t="s">
        <v>2750</v>
      </c>
      <c r="F5257" s="5" t="s">
        <v>847</v>
      </c>
      <c r="G5257" s="5" t="s">
        <v>848</v>
      </c>
      <c r="H5257" s="5"/>
      <c r="I5257" s="6">
        <v>32500</v>
      </c>
    </row>
    <row r="5258" spans="1:9" x14ac:dyDescent="0.3">
      <c r="A5258" s="7" t="s">
        <v>4717</v>
      </c>
      <c r="H5258" s="8">
        <f>H5256+H5257</f>
        <v>32500</v>
      </c>
      <c r="I5258" s="8">
        <f>I5256+I5257</f>
        <v>32500</v>
      </c>
    </row>
    <row r="5259" spans="1:9" x14ac:dyDescent="0.3">
      <c r="A5259" s="4" t="s">
        <v>4718</v>
      </c>
    </row>
    <row r="5260" spans="1:9" x14ac:dyDescent="0.3">
      <c r="B5260" s="5" t="s">
        <v>4715</v>
      </c>
      <c r="C5260" s="5" t="s">
        <v>2745</v>
      </c>
      <c r="D5260" s="5" t="s">
        <v>2750</v>
      </c>
      <c r="E5260" s="5" t="s">
        <v>2750</v>
      </c>
      <c r="F5260" s="5" t="s">
        <v>2748</v>
      </c>
      <c r="G5260" s="5" t="s">
        <v>2749</v>
      </c>
      <c r="H5260" s="6">
        <v>4840</v>
      </c>
      <c r="I5260" s="5"/>
    </row>
    <row r="5261" spans="1:9" x14ac:dyDescent="0.3">
      <c r="B5261" s="5" t="s">
        <v>4715</v>
      </c>
      <c r="C5261" s="5" t="s">
        <v>2745</v>
      </c>
      <c r="D5261" s="5" t="s">
        <v>2750</v>
      </c>
      <c r="E5261" s="5" t="s">
        <v>2750</v>
      </c>
      <c r="F5261" s="5" t="s">
        <v>847</v>
      </c>
      <c r="G5261" s="5" t="s">
        <v>848</v>
      </c>
      <c r="H5261" s="5"/>
      <c r="I5261" s="6">
        <v>4840</v>
      </c>
    </row>
    <row r="5262" spans="1:9" x14ac:dyDescent="0.3">
      <c r="A5262" s="7" t="s">
        <v>4719</v>
      </c>
      <c r="H5262" s="8">
        <f>H5260+H5261</f>
        <v>4840</v>
      </c>
      <c r="I5262" s="8">
        <f>I5260+I5261</f>
        <v>4840</v>
      </c>
    </row>
    <row r="5263" spans="1:9" x14ac:dyDescent="0.3">
      <c r="A5263" s="4" t="s">
        <v>4720</v>
      </c>
    </row>
    <row r="5264" spans="1:9" x14ac:dyDescent="0.3">
      <c r="B5264" s="5" t="s">
        <v>4715</v>
      </c>
      <c r="C5264" s="5" t="s">
        <v>2745</v>
      </c>
      <c r="D5264" s="5" t="s">
        <v>2750</v>
      </c>
      <c r="E5264" s="5" t="s">
        <v>2750</v>
      </c>
      <c r="F5264" s="5" t="s">
        <v>2748</v>
      </c>
      <c r="G5264" s="5" t="s">
        <v>2749</v>
      </c>
      <c r="H5264" s="6">
        <v>4840</v>
      </c>
      <c r="I5264" s="5"/>
    </row>
    <row r="5265" spans="1:9" x14ac:dyDescent="0.3">
      <c r="B5265" s="5" t="s">
        <v>4715</v>
      </c>
      <c r="C5265" s="5" t="s">
        <v>2745</v>
      </c>
      <c r="D5265" s="5" t="s">
        <v>2750</v>
      </c>
      <c r="E5265" s="5" t="s">
        <v>2750</v>
      </c>
      <c r="F5265" s="5" t="s">
        <v>847</v>
      </c>
      <c r="G5265" s="5" t="s">
        <v>848</v>
      </c>
      <c r="H5265" s="5"/>
      <c r="I5265" s="6">
        <v>4840</v>
      </c>
    </row>
    <row r="5266" spans="1:9" x14ac:dyDescent="0.3">
      <c r="A5266" s="7" t="s">
        <v>4721</v>
      </c>
      <c r="H5266" s="8">
        <f>H5264+H5265</f>
        <v>4840</v>
      </c>
      <c r="I5266" s="8">
        <f>I5264+I5265</f>
        <v>4840</v>
      </c>
    </row>
    <row r="5267" spans="1:9" x14ac:dyDescent="0.3">
      <c r="A5267" s="4" t="s">
        <v>4722</v>
      </c>
    </row>
    <row r="5268" spans="1:9" x14ac:dyDescent="0.3">
      <c r="B5268" s="5" t="s">
        <v>4715</v>
      </c>
      <c r="C5268" s="5" t="s">
        <v>2745</v>
      </c>
      <c r="D5268" s="5" t="s">
        <v>2750</v>
      </c>
      <c r="E5268" s="5" t="s">
        <v>2750</v>
      </c>
      <c r="F5268" s="5" t="s">
        <v>2748</v>
      </c>
      <c r="G5268" s="5" t="s">
        <v>2749</v>
      </c>
      <c r="H5268" s="6">
        <v>7740</v>
      </c>
      <c r="I5268" s="5"/>
    </row>
    <row r="5269" spans="1:9" x14ac:dyDescent="0.3">
      <c r="B5269" s="5" t="s">
        <v>4715</v>
      </c>
      <c r="C5269" s="5" t="s">
        <v>2745</v>
      </c>
      <c r="D5269" s="5" t="s">
        <v>2750</v>
      </c>
      <c r="E5269" s="5" t="s">
        <v>2750</v>
      </c>
      <c r="F5269" s="5" t="s">
        <v>847</v>
      </c>
      <c r="G5269" s="5" t="s">
        <v>848</v>
      </c>
      <c r="H5269" s="5"/>
      <c r="I5269" s="6">
        <v>7740</v>
      </c>
    </row>
    <row r="5270" spans="1:9" x14ac:dyDescent="0.3">
      <c r="A5270" s="7" t="s">
        <v>4723</v>
      </c>
      <c r="H5270" s="8">
        <f>H5268+H5269</f>
        <v>7740</v>
      </c>
      <c r="I5270" s="8">
        <f>I5268+I5269</f>
        <v>7740</v>
      </c>
    </row>
    <row r="5271" spans="1:9" x14ac:dyDescent="0.3">
      <c r="A5271" s="4" t="s">
        <v>4724</v>
      </c>
    </row>
    <row r="5272" spans="1:9" x14ac:dyDescent="0.3">
      <c r="B5272" s="5" t="s">
        <v>4715</v>
      </c>
      <c r="C5272" s="5" t="s">
        <v>2745</v>
      </c>
      <c r="D5272" s="5" t="s">
        <v>2750</v>
      </c>
      <c r="E5272" s="5" t="s">
        <v>2750</v>
      </c>
      <c r="F5272" s="5" t="s">
        <v>2748</v>
      </c>
      <c r="G5272" s="5" t="s">
        <v>2749</v>
      </c>
      <c r="H5272" s="6">
        <v>5000</v>
      </c>
      <c r="I5272" s="5"/>
    </row>
    <row r="5273" spans="1:9" x14ac:dyDescent="0.3">
      <c r="B5273" s="5" t="s">
        <v>4715</v>
      </c>
      <c r="C5273" s="5" t="s">
        <v>2745</v>
      </c>
      <c r="D5273" s="5" t="s">
        <v>2750</v>
      </c>
      <c r="E5273" s="5" t="s">
        <v>2750</v>
      </c>
      <c r="F5273" s="5" t="s">
        <v>847</v>
      </c>
      <c r="G5273" s="5" t="s">
        <v>848</v>
      </c>
      <c r="H5273" s="5"/>
      <c r="I5273" s="6">
        <v>5000</v>
      </c>
    </row>
    <row r="5274" spans="1:9" x14ac:dyDescent="0.3">
      <c r="A5274" s="7" t="s">
        <v>4725</v>
      </c>
      <c r="H5274" s="8">
        <f>H5272+H5273</f>
        <v>5000</v>
      </c>
      <c r="I5274" s="8">
        <f>I5272+I5273</f>
        <v>5000</v>
      </c>
    </row>
    <row r="5275" spans="1:9" x14ac:dyDescent="0.3">
      <c r="A5275" s="4" t="s">
        <v>4726</v>
      </c>
    </row>
    <row r="5276" spans="1:9" x14ac:dyDescent="0.3">
      <c r="B5276" s="5" t="s">
        <v>4715</v>
      </c>
      <c r="C5276" s="5" t="s">
        <v>2745</v>
      </c>
      <c r="D5276" s="5" t="s">
        <v>2750</v>
      </c>
      <c r="E5276" s="5" t="s">
        <v>2750</v>
      </c>
      <c r="F5276" s="5" t="s">
        <v>2748</v>
      </c>
      <c r="G5276" s="5" t="s">
        <v>2749</v>
      </c>
      <c r="H5276" s="6">
        <v>4840</v>
      </c>
      <c r="I5276" s="5"/>
    </row>
    <row r="5277" spans="1:9" x14ac:dyDescent="0.3">
      <c r="B5277" s="5" t="s">
        <v>4715</v>
      </c>
      <c r="C5277" s="5" t="s">
        <v>2745</v>
      </c>
      <c r="D5277" s="5" t="s">
        <v>2750</v>
      </c>
      <c r="E5277" s="5" t="s">
        <v>2750</v>
      </c>
      <c r="F5277" s="5" t="s">
        <v>847</v>
      </c>
      <c r="G5277" s="5" t="s">
        <v>848</v>
      </c>
      <c r="H5277" s="5"/>
      <c r="I5277" s="6">
        <v>4840</v>
      </c>
    </row>
    <row r="5278" spans="1:9" x14ac:dyDescent="0.3">
      <c r="A5278" s="7" t="s">
        <v>4727</v>
      </c>
      <c r="H5278" s="8">
        <f>H5276+H5277</f>
        <v>4840</v>
      </c>
      <c r="I5278" s="8">
        <f>I5276+I5277</f>
        <v>4840</v>
      </c>
    </row>
    <row r="5279" spans="1:9" x14ac:dyDescent="0.3">
      <c r="A5279" s="4" t="s">
        <v>4728</v>
      </c>
    </row>
    <row r="5280" spans="1:9" x14ac:dyDescent="0.3">
      <c r="B5280" s="5" t="s">
        <v>4715</v>
      </c>
      <c r="C5280" s="5" t="s">
        <v>2745</v>
      </c>
      <c r="D5280" s="5" t="s">
        <v>2750</v>
      </c>
      <c r="E5280" s="5" t="s">
        <v>2750</v>
      </c>
      <c r="F5280" s="5" t="s">
        <v>2748</v>
      </c>
      <c r="G5280" s="5" t="s">
        <v>2749</v>
      </c>
      <c r="H5280" s="6">
        <v>1790</v>
      </c>
      <c r="I5280" s="5"/>
    </row>
    <row r="5281" spans="1:9" x14ac:dyDescent="0.3">
      <c r="B5281" s="5" t="s">
        <v>4715</v>
      </c>
      <c r="C5281" s="5" t="s">
        <v>2745</v>
      </c>
      <c r="D5281" s="5" t="s">
        <v>2750</v>
      </c>
      <c r="E5281" s="5" t="s">
        <v>2750</v>
      </c>
      <c r="F5281" s="5" t="s">
        <v>847</v>
      </c>
      <c r="G5281" s="5" t="s">
        <v>848</v>
      </c>
      <c r="H5281" s="5"/>
      <c r="I5281" s="6">
        <v>1790</v>
      </c>
    </row>
    <row r="5282" spans="1:9" x14ac:dyDescent="0.3">
      <c r="A5282" s="7" t="s">
        <v>4729</v>
      </c>
      <c r="H5282" s="8">
        <f>H5280+H5281</f>
        <v>1790</v>
      </c>
      <c r="I5282" s="8">
        <f>I5280+I5281</f>
        <v>1790</v>
      </c>
    </row>
    <row r="5283" spans="1:9" x14ac:dyDescent="0.3">
      <c r="A5283" s="4" t="s">
        <v>4730</v>
      </c>
    </row>
    <row r="5284" spans="1:9" x14ac:dyDescent="0.3">
      <c r="B5284" s="5" t="s">
        <v>4715</v>
      </c>
      <c r="C5284" s="5" t="s">
        <v>2745</v>
      </c>
      <c r="D5284" s="5" t="s">
        <v>2750</v>
      </c>
      <c r="E5284" s="5" t="s">
        <v>2750</v>
      </c>
      <c r="F5284" s="5" t="s">
        <v>2748</v>
      </c>
      <c r="G5284" s="5" t="s">
        <v>2749</v>
      </c>
      <c r="H5284" s="6">
        <v>6190</v>
      </c>
      <c r="I5284" s="5"/>
    </row>
    <row r="5285" spans="1:9" x14ac:dyDescent="0.3">
      <c r="B5285" s="5" t="s">
        <v>4715</v>
      </c>
      <c r="C5285" s="5" t="s">
        <v>2745</v>
      </c>
      <c r="D5285" s="5" t="s">
        <v>2750</v>
      </c>
      <c r="E5285" s="5" t="s">
        <v>2750</v>
      </c>
      <c r="F5285" s="5" t="s">
        <v>847</v>
      </c>
      <c r="G5285" s="5" t="s">
        <v>848</v>
      </c>
      <c r="H5285" s="5"/>
      <c r="I5285" s="6">
        <v>6190</v>
      </c>
    </row>
    <row r="5286" spans="1:9" x14ac:dyDescent="0.3">
      <c r="A5286" s="7" t="s">
        <v>4731</v>
      </c>
      <c r="H5286" s="8">
        <f>H5284+H5285</f>
        <v>6190</v>
      </c>
      <c r="I5286" s="8">
        <f>I5284+I5285</f>
        <v>6190</v>
      </c>
    </row>
    <row r="5287" spans="1:9" x14ac:dyDescent="0.3">
      <c r="A5287" s="4" t="s">
        <v>4732</v>
      </c>
    </row>
    <row r="5288" spans="1:9" x14ac:dyDescent="0.3">
      <c r="B5288" s="5" t="s">
        <v>4715</v>
      </c>
      <c r="C5288" s="5" t="s">
        <v>10</v>
      </c>
      <c r="D5288" s="5" t="s">
        <v>4733</v>
      </c>
      <c r="E5288" s="5" t="s">
        <v>4709</v>
      </c>
      <c r="F5288" s="5" t="s">
        <v>113</v>
      </c>
      <c r="G5288" s="5" t="s">
        <v>114</v>
      </c>
      <c r="H5288" s="6">
        <v>1100</v>
      </c>
      <c r="I5288" s="5"/>
    </row>
    <row r="5289" spans="1:9" x14ac:dyDescent="0.3">
      <c r="B5289" s="5" t="s">
        <v>4715</v>
      </c>
      <c r="C5289" s="5" t="s">
        <v>10</v>
      </c>
      <c r="D5289" s="5" t="s">
        <v>4733</v>
      </c>
      <c r="E5289" s="5" t="s">
        <v>4709</v>
      </c>
      <c r="F5289" s="5" t="s">
        <v>1643</v>
      </c>
      <c r="G5289" s="5" t="s">
        <v>1644</v>
      </c>
      <c r="H5289" s="5"/>
      <c r="I5289" s="6">
        <v>1100</v>
      </c>
    </row>
    <row r="5290" spans="1:9" x14ac:dyDescent="0.3">
      <c r="A5290" s="7" t="s">
        <v>4734</v>
      </c>
      <c r="H5290" s="8">
        <f>H5288+H5289</f>
        <v>1100</v>
      </c>
      <c r="I5290" s="8">
        <f>I5288+I5289</f>
        <v>1100</v>
      </c>
    </row>
    <row r="5291" spans="1:9" x14ac:dyDescent="0.3">
      <c r="A5291" s="4" t="s">
        <v>4735</v>
      </c>
    </row>
    <row r="5292" spans="1:9" x14ac:dyDescent="0.3">
      <c r="B5292" s="5" t="s">
        <v>4736</v>
      </c>
      <c r="C5292" s="5" t="s">
        <v>10</v>
      </c>
      <c r="D5292" s="5" t="s">
        <v>4737</v>
      </c>
      <c r="E5292" s="5" t="s">
        <v>4738</v>
      </c>
      <c r="F5292" s="5" t="s">
        <v>81</v>
      </c>
      <c r="G5292" s="5" t="s">
        <v>82</v>
      </c>
      <c r="H5292" s="6">
        <v>4000</v>
      </c>
      <c r="I5292" s="5"/>
    </row>
    <row r="5293" spans="1:9" x14ac:dyDescent="0.3">
      <c r="B5293" s="5" t="s">
        <v>4736</v>
      </c>
      <c r="C5293" s="5" t="s">
        <v>10</v>
      </c>
      <c r="D5293" s="5" t="s">
        <v>4737</v>
      </c>
      <c r="E5293" s="5" t="s">
        <v>4739</v>
      </c>
      <c r="F5293" s="5" t="s">
        <v>4740</v>
      </c>
      <c r="G5293" s="5" t="s">
        <v>4741</v>
      </c>
      <c r="H5293" s="6">
        <v>900</v>
      </c>
      <c r="I5293" s="5"/>
    </row>
    <row r="5294" spans="1:9" x14ac:dyDescent="0.3">
      <c r="B5294" s="5" t="s">
        <v>4736</v>
      </c>
      <c r="C5294" s="5" t="s">
        <v>10</v>
      </c>
      <c r="D5294" s="5" t="s">
        <v>4737</v>
      </c>
      <c r="E5294" s="5" t="s">
        <v>4742</v>
      </c>
      <c r="F5294" s="5" t="s">
        <v>50</v>
      </c>
      <c r="G5294" s="5" t="s">
        <v>51</v>
      </c>
      <c r="H5294" s="6">
        <v>200</v>
      </c>
      <c r="I5294" s="5"/>
    </row>
    <row r="5295" spans="1:9" x14ac:dyDescent="0.3">
      <c r="B5295" s="5" t="s">
        <v>4736</v>
      </c>
      <c r="C5295" s="5" t="s">
        <v>10</v>
      </c>
      <c r="D5295" s="5" t="s">
        <v>4737</v>
      </c>
      <c r="E5295" s="5" t="s">
        <v>4743</v>
      </c>
      <c r="F5295" s="5" t="s">
        <v>1643</v>
      </c>
      <c r="G5295" s="5" t="s">
        <v>1644</v>
      </c>
      <c r="H5295" s="5"/>
      <c r="I5295" s="6">
        <v>5100</v>
      </c>
    </row>
    <row r="5296" spans="1:9" x14ac:dyDescent="0.3">
      <c r="A5296" s="7" t="s">
        <v>4744</v>
      </c>
      <c r="H5296" s="8">
        <f>H5292+H5293+H5294+H5295</f>
        <v>5100</v>
      </c>
      <c r="I5296" s="8">
        <f>I5292+I5293+I5294+I5295</f>
        <v>5100</v>
      </c>
    </row>
    <row r="5297" spans="1:9" x14ac:dyDescent="0.3">
      <c r="A5297" s="4" t="s">
        <v>4745</v>
      </c>
    </row>
    <row r="5298" spans="1:9" x14ac:dyDescent="0.3">
      <c r="B5298" s="5" t="s">
        <v>4736</v>
      </c>
      <c r="C5298" s="5" t="s">
        <v>10</v>
      </c>
      <c r="D5298" s="5" t="s">
        <v>4746</v>
      </c>
      <c r="E5298" s="5" t="s">
        <v>4747</v>
      </c>
      <c r="F5298" s="5" t="s">
        <v>67</v>
      </c>
      <c r="G5298" s="5" t="s">
        <v>68</v>
      </c>
      <c r="H5298" s="6">
        <v>140</v>
      </c>
      <c r="I5298" s="5"/>
    </row>
    <row r="5299" spans="1:9" x14ac:dyDescent="0.3">
      <c r="B5299" s="5" t="s">
        <v>4736</v>
      </c>
      <c r="C5299" s="5" t="s">
        <v>10</v>
      </c>
      <c r="D5299" s="5" t="s">
        <v>4746</v>
      </c>
      <c r="E5299" s="5" t="s">
        <v>4747</v>
      </c>
      <c r="F5299" s="5" t="s">
        <v>1643</v>
      </c>
      <c r="G5299" s="5" t="s">
        <v>1644</v>
      </c>
      <c r="H5299" s="5"/>
      <c r="I5299" s="6">
        <v>140</v>
      </c>
    </row>
    <row r="5300" spans="1:9" x14ac:dyDescent="0.3">
      <c r="A5300" s="7" t="s">
        <v>4748</v>
      </c>
      <c r="H5300" s="8">
        <f>H5298+H5299</f>
        <v>140</v>
      </c>
      <c r="I5300" s="8">
        <f>I5298+I5299</f>
        <v>140</v>
      </c>
    </row>
    <row r="5301" spans="1:9" x14ac:dyDescent="0.3">
      <c r="A5301" s="4" t="s">
        <v>4749</v>
      </c>
    </row>
    <row r="5302" spans="1:9" x14ac:dyDescent="0.3">
      <c r="B5302" s="5" t="s">
        <v>4736</v>
      </c>
      <c r="C5302" s="5" t="s">
        <v>2745</v>
      </c>
      <c r="D5302" s="5" t="s">
        <v>2750</v>
      </c>
      <c r="E5302" s="5" t="s">
        <v>4750</v>
      </c>
      <c r="F5302" s="5" t="s">
        <v>2748</v>
      </c>
      <c r="G5302" s="5" t="s">
        <v>2749</v>
      </c>
      <c r="H5302" s="6">
        <v>12000</v>
      </c>
      <c r="I5302" s="5"/>
    </row>
    <row r="5303" spans="1:9" x14ac:dyDescent="0.3">
      <c r="B5303" s="5" t="s">
        <v>4736</v>
      </c>
      <c r="C5303" s="5" t="s">
        <v>2745</v>
      </c>
      <c r="D5303" s="5" t="s">
        <v>2750</v>
      </c>
      <c r="E5303" s="5" t="s">
        <v>2750</v>
      </c>
      <c r="F5303" s="5" t="s">
        <v>847</v>
      </c>
      <c r="G5303" s="5" t="s">
        <v>848</v>
      </c>
      <c r="H5303" s="5"/>
      <c r="I5303" s="6">
        <v>12000</v>
      </c>
    </row>
    <row r="5304" spans="1:9" x14ac:dyDescent="0.3">
      <c r="A5304" s="7" t="s">
        <v>4751</v>
      </c>
      <c r="H5304" s="8">
        <f>H5302+H5303</f>
        <v>12000</v>
      </c>
      <c r="I5304" s="8">
        <f>I5302+I5303</f>
        <v>12000</v>
      </c>
    </row>
    <row r="5305" spans="1:9" x14ac:dyDescent="0.3">
      <c r="A5305" s="4" t="s">
        <v>4752</v>
      </c>
    </row>
    <row r="5306" spans="1:9" x14ac:dyDescent="0.3">
      <c r="B5306" s="5" t="s">
        <v>4736</v>
      </c>
      <c r="C5306" s="5" t="s">
        <v>2745</v>
      </c>
      <c r="D5306" s="5" t="s">
        <v>2750</v>
      </c>
      <c r="E5306" s="5" t="s">
        <v>2750</v>
      </c>
      <c r="F5306" s="5" t="s">
        <v>2748</v>
      </c>
      <c r="G5306" s="5" t="s">
        <v>2749</v>
      </c>
      <c r="H5306" s="6">
        <v>3870</v>
      </c>
      <c r="I5306" s="5"/>
    </row>
    <row r="5307" spans="1:9" x14ac:dyDescent="0.3">
      <c r="B5307" s="5" t="s">
        <v>4736</v>
      </c>
      <c r="C5307" s="5" t="s">
        <v>2745</v>
      </c>
      <c r="D5307" s="5" t="s">
        <v>2750</v>
      </c>
      <c r="E5307" s="5" t="s">
        <v>2750</v>
      </c>
      <c r="F5307" s="5" t="s">
        <v>847</v>
      </c>
      <c r="G5307" s="5" t="s">
        <v>848</v>
      </c>
      <c r="H5307" s="5"/>
      <c r="I5307" s="6">
        <v>3870</v>
      </c>
    </row>
    <row r="5308" spans="1:9" x14ac:dyDescent="0.3">
      <c r="A5308" s="7" t="s">
        <v>4753</v>
      </c>
      <c r="H5308" s="8">
        <f>H5306+H5307</f>
        <v>3870</v>
      </c>
      <c r="I5308" s="8">
        <f>I5306+I5307</f>
        <v>3870</v>
      </c>
    </row>
    <row r="5309" spans="1:9" x14ac:dyDescent="0.3">
      <c r="A5309" s="4" t="s">
        <v>4754</v>
      </c>
    </row>
    <row r="5310" spans="1:9" x14ac:dyDescent="0.3">
      <c r="B5310" s="5" t="s">
        <v>4736</v>
      </c>
      <c r="C5310" s="5" t="s">
        <v>2745</v>
      </c>
      <c r="D5310" s="5" t="s">
        <v>2750</v>
      </c>
      <c r="E5310" s="5" t="s">
        <v>2750</v>
      </c>
      <c r="F5310" s="5" t="s">
        <v>2748</v>
      </c>
      <c r="G5310" s="5" t="s">
        <v>2749</v>
      </c>
      <c r="H5310" s="6">
        <v>4840</v>
      </c>
      <c r="I5310" s="5"/>
    </row>
    <row r="5311" spans="1:9" x14ac:dyDescent="0.3">
      <c r="B5311" s="5" t="s">
        <v>4736</v>
      </c>
      <c r="C5311" s="5" t="s">
        <v>2745</v>
      </c>
      <c r="D5311" s="5" t="s">
        <v>2750</v>
      </c>
      <c r="E5311" s="5" t="s">
        <v>2750</v>
      </c>
      <c r="F5311" s="5" t="s">
        <v>847</v>
      </c>
      <c r="G5311" s="5" t="s">
        <v>848</v>
      </c>
      <c r="H5311" s="5"/>
      <c r="I5311" s="6">
        <v>4840</v>
      </c>
    </row>
    <row r="5312" spans="1:9" x14ac:dyDescent="0.3">
      <c r="A5312" s="7" t="s">
        <v>4755</v>
      </c>
      <c r="H5312" s="8">
        <f>H5310+H5311</f>
        <v>4840</v>
      </c>
      <c r="I5312" s="8">
        <f>I5310+I5311</f>
        <v>4840</v>
      </c>
    </row>
    <row r="5313" spans="1:9" x14ac:dyDescent="0.3">
      <c r="A5313" s="4" t="s">
        <v>4756</v>
      </c>
    </row>
    <row r="5314" spans="1:9" x14ac:dyDescent="0.3">
      <c r="B5314" s="5" t="s">
        <v>4736</v>
      </c>
      <c r="C5314" s="5" t="s">
        <v>2745</v>
      </c>
      <c r="D5314" s="5" t="s">
        <v>2750</v>
      </c>
      <c r="E5314" s="5" t="s">
        <v>2750</v>
      </c>
      <c r="F5314" s="5" t="s">
        <v>2748</v>
      </c>
      <c r="G5314" s="5" t="s">
        <v>2749</v>
      </c>
      <c r="H5314" s="6">
        <v>5410</v>
      </c>
      <c r="I5314" s="5"/>
    </row>
    <row r="5315" spans="1:9" x14ac:dyDescent="0.3">
      <c r="B5315" s="5" t="s">
        <v>4736</v>
      </c>
      <c r="C5315" s="5" t="s">
        <v>2745</v>
      </c>
      <c r="D5315" s="5" t="s">
        <v>2750</v>
      </c>
      <c r="E5315" s="5" t="s">
        <v>2750</v>
      </c>
      <c r="F5315" s="5" t="s">
        <v>847</v>
      </c>
      <c r="G5315" s="5" t="s">
        <v>848</v>
      </c>
      <c r="H5315" s="5"/>
      <c r="I5315" s="6">
        <v>5410</v>
      </c>
    </row>
    <row r="5316" spans="1:9" x14ac:dyDescent="0.3">
      <c r="A5316" s="7" t="s">
        <v>4757</v>
      </c>
      <c r="H5316" s="8">
        <f>H5314+H5315</f>
        <v>5410</v>
      </c>
      <c r="I5316" s="8">
        <f>I5314+I5315</f>
        <v>5410</v>
      </c>
    </row>
    <row r="5317" spans="1:9" x14ac:dyDescent="0.3">
      <c r="A5317" s="4" t="s">
        <v>4758</v>
      </c>
    </row>
    <row r="5318" spans="1:9" x14ac:dyDescent="0.3">
      <c r="B5318" s="5" t="s">
        <v>4759</v>
      </c>
      <c r="C5318" s="5" t="s">
        <v>10</v>
      </c>
      <c r="D5318" s="5" t="s">
        <v>4760</v>
      </c>
      <c r="E5318" s="5" t="s">
        <v>4761</v>
      </c>
      <c r="F5318" s="5" t="s">
        <v>113</v>
      </c>
      <c r="G5318" s="5" t="s">
        <v>114</v>
      </c>
      <c r="H5318" s="6">
        <v>1620</v>
      </c>
      <c r="I5318" s="5"/>
    </row>
    <row r="5319" spans="1:9" x14ac:dyDescent="0.3">
      <c r="B5319" s="5" t="s">
        <v>4759</v>
      </c>
      <c r="C5319" s="5" t="s">
        <v>10</v>
      </c>
      <c r="D5319" s="5" t="s">
        <v>4760</v>
      </c>
      <c r="E5319" s="5" t="s">
        <v>4762</v>
      </c>
      <c r="F5319" s="5" t="s">
        <v>50</v>
      </c>
      <c r="G5319" s="5" t="s">
        <v>51</v>
      </c>
      <c r="H5319" s="6">
        <v>100</v>
      </c>
      <c r="I5319" s="5"/>
    </row>
    <row r="5320" spans="1:9" x14ac:dyDescent="0.3">
      <c r="B5320" s="5" t="s">
        <v>4759</v>
      </c>
      <c r="C5320" s="5" t="s">
        <v>10</v>
      </c>
      <c r="D5320" s="5" t="s">
        <v>4760</v>
      </c>
      <c r="E5320" s="5" t="s">
        <v>4763</v>
      </c>
      <c r="F5320" s="5" t="s">
        <v>1643</v>
      </c>
      <c r="G5320" s="5" t="s">
        <v>1644</v>
      </c>
      <c r="H5320" s="5"/>
      <c r="I5320" s="6">
        <v>1720</v>
      </c>
    </row>
    <row r="5321" spans="1:9" x14ac:dyDescent="0.3">
      <c r="A5321" s="7" t="s">
        <v>4764</v>
      </c>
      <c r="H5321" s="8">
        <f>H5318+H5319+H5320</f>
        <v>1720</v>
      </c>
      <c r="I5321" s="8">
        <f>I5318+I5319+I5320</f>
        <v>1720</v>
      </c>
    </row>
    <row r="5322" spans="1:9" x14ac:dyDescent="0.3">
      <c r="A5322" s="4" t="s">
        <v>4765</v>
      </c>
    </row>
    <row r="5323" spans="1:9" x14ac:dyDescent="0.3">
      <c r="B5323" s="5" t="s">
        <v>4759</v>
      </c>
      <c r="C5323" s="5" t="s">
        <v>10</v>
      </c>
      <c r="D5323" s="5" t="s">
        <v>4766</v>
      </c>
      <c r="E5323" s="5" t="s">
        <v>4767</v>
      </c>
      <c r="F5323" s="5" t="s">
        <v>61</v>
      </c>
      <c r="G5323" s="5" t="s">
        <v>62</v>
      </c>
      <c r="H5323" s="6">
        <v>290</v>
      </c>
      <c r="I5323" s="5"/>
    </row>
    <row r="5324" spans="1:9" x14ac:dyDescent="0.3">
      <c r="B5324" s="5" t="s">
        <v>4759</v>
      </c>
      <c r="C5324" s="5" t="s">
        <v>10</v>
      </c>
      <c r="D5324" s="5" t="s">
        <v>4766</v>
      </c>
      <c r="E5324" s="5" t="s">
        <v>4767</v>
      </c>
      <c r="F5324" s="5" t="s">
        <v>1643</v>
      </c>
      <c r="G5324" s="5" t="s">
        <v>1644</v>
      </c>
      <c r="H5324" s="5"/>
      <c r="I5324" s="6">
        <v>290</v>
      </c>
    </row>
    <row r="5325" spans="1:9" x14ac:dyDescent="0.3">
      <c r="A5325" s="7" t="s">
        <v>4768</v>
      </c>
      <c r="H5325" s="8">
        <f>H5323+H5324</f>
        <v>290</v>
      </c>
      <c r="I5325" s="8">
        <f>I5323+I5324</f>
        <v>290</v>
      </c>
    </row>
    <row r="5326" spans="1:9" x14ac:dyDescent="0.3">
      <c r="A5326" s="4" t="s">
        <v>4769</v>
      </c>
    </row>
    <row r="5327" spans="1:9" x14ac:dyDescent="0.3">
      <c r="B5327" s="5" t="s">
        <v>4759</v>
      </c>
      <c r="C5327" s="5" t="s">
        <v>10</v>
      </c>
      <c r="D5327" s="5" t="s">
        <v>4770</v>
      </c>
      <c r="E5327" s="5" t="s">
        <v>4771</v>
      </c>
      <c r="F5327" s="5" t="s">
        <v>81</v>
      </c>
      <c r="G5327" s="5" t="s">
        <v>82</v>
      </c>
      <c r="H5327" s="6">
        <v>6500</v>
      </c>
      <c r="I5327" s="5"/>
    </row>
    <row r="5328" spans="1:9" x14ac:dyDescent="0.3">
      <c r="B5328" s="5" t="s">
        <v>4759</v>
      </c>
      <c r="C5328" s="5" t="s">
        <v>10</v>
      </c>
      <c r="D5328" s="5" t="s">
        <v>4770</v>
      </c>
      <c r="E5328" s="5" t="s">
        <v>4772</v>
      </c>
      <c r="F5328" s="5" t="s">
        <v>113</v>
      </c>
      <c r="G5328" s="5" t="s">
        <v>114</v>
      </c>
      <c r="H5328" s="6">
        <v>900</v>
      </c>
      <c r="I5328" s="5"/>
    </row>
    <row r="5329" spans="1:9" x14ac:dyDescent="0.3">
      <c r="B5329" s="5" t="s">
        <v>4759</v>
      </c>
      <c r="C5329" s="5" t="s">
        <v>10</v>
      </c>
      <c r="D5329" s="5" t="s">
        <v>4770</v>
      </c>
      <c r="E5329" s="5" t="s">
        <v>4773</v>
      </c>
      <c r="F5329" s="5" t="s">
        <v>50</v>
      </c>
      <c r="G5329" s="5" t="s">
        <v>51</v>
      </c>
      <c r="H5329" s="6">
        <v>350</v>
      </c>
      <c r="I5329" s="5"/>
    </row>
    <row r="5330" spans="1:9" x14ac:dyDescent="0.3">
      <c r="B5330" s="5" t="s">
        <v>4759</v>
      </c>
      <c r="C5330" s="5" t="s">
        <v>10</v>
      </c>
      <c r="D5330" s="5" t="s">
        <v>4770</v>
      </c>
      <c r="E5330" s="5" t="s">
        <v>4774</v>
      </c>
      <c r="F5330" s="5" t="s">
        <v>1643</v>
      </c>
      <c r="G5330" s="5" t="s">
        <v>1644</v>
      </c>
      <c r="H5330" s="5"/>
      <c r="I5330" s="6">
        <v>7750</v>
      </c>
    </row>
    <row r="5331" spans="1:9" x14ac:dyDescent="0.3">
      <c r="A5331" s="7" t="s">
        <v>4775</v>
      </c>
      <c r="H5331" s="8">
        <f>H5327+H5328+H5329+H5330</f>
        <v>7750</v>
      </c>
      <c r="I5331" s="8">
        <f>I5327+I5328+I5329+I5330</f>
        <v>7750</v>
      </c>
    </row>
    <row r="5332" spans="1:9" x14ac:dyDescent="0.3">
      <c r="A5332" s="4" t="s">
        <v>4776</v>
      </c>
    </row>
    <row r="5333" spans="1:9" x14ac:dyDescent="0.3">
      <c r="B5333" s="5" t="s">
        <v>4759</v>
      </c>
      <c r="C5333" s="5" t="s">
        <v>2745</v>
      </c>
      <c r="D5333" s="5" t="s">
        <v>2750</v>
      </c>
      <c r="E5333" s="5" t="s">
        <v>2750</v>
      </c>
      <c r="F5333" s="5" t="s">
        <v>2748</v>
      </c>
      <c r="G5333" s="5" t="s">
        <v>2749</v>
      </c>
      <c r="H5333" s="6">
        <v>2180</v>
      </c>
      <c r="I5333" s="5"/>
    </row>
    <row r="5334" spans="1:9" x14ac:dyDescent="0.3">
      <c r="B5334" s="5" t="s">
        <v>4759</v>
      </c>
      <c r="C5334" s="5" t="s">
        <v>2745</v>
      </c>
      <c r="D5334" s="5" t="s">
        <v>2750</v>
      </c>
      <c r="E5334" s="5" t="s">
        <v>2750</v>
      </c>
      <c r="F5334" s="5" t="s">
        <v>847</v>
      </c>
      <c r="G5334" s="5" t="s">
        <v>848</v>
      </c>
      <c r="H5334" s="5"/>
      <c r="I5334" s="6">
        <v>2180</v>
      </c>
    </row>
    <row r="5335" spans="1:9" x14ac:dyDescent="0.3">
      <c r="A5335" s="7" t="s">
        <v>4777</v>
      </c>
      <c r="H5335" s="8">
        <f>H5333+H5334</f>
        <v>2180</v>
      </c>
      <c r="I5335" s="8">
        <f>I5333+I5334</f>
        <v>2180</v>
      </c>
    </row>
    <row r="5336" spans="1:9" x14ac:dyDescent="0.3">
      <c r="A5336" s="4" t="s">
        <v>4778</v>
      </c>
    </row>
    <row r="5337" spans="1:9" x14ac:dyDescent="0.3">
      <c r="B5337" s="5" t="s">
        <v>4759</v>
      </c>
      <c r="C5337" s="5" t="s">
        <v>2745</v>
      </c>
      <c r="D5337" s="5" t="s">
        <v>2750</v>
      </c>
      <c r="E5337" s="5" t="s">
        <v>2750</v>
      </c>
      <c r="F5337" s="5" t="s">
        <v>2748</v>
      </c>
      <c r="G5337" s="5" t="s">
        <v>2749</v>
      </c>
      <c r="H5337" s="6">
        <v>2000</v>
      </c>
      <c r="I5337" s="5"/>
    </row>
    <row r="5338" spans="1:9" x14ac:dyDescent="0.3">
      <c r="B5338" s="5" t="s">
        <v>4759</v>
      </c>
      <c r="C5338" s="5" t="s">
        <v>2745</v>
      </c>
      <c r="D5338" s="5" t="s">
        <v>2750</v>
      </c>
      <c r="E5338" s="5" t="s">
        <v>2750</v>
      </c>
      <c r="F5338" s="5" t="s">
        <v>847</v>
      </c>
      <c r="G5338" s="5" t="s">
        <v>848</v>
      </c>
      <c r="H5338" s="5"/>
      <c r="I5338" s="6">
        <v>2000</v>
      </c>
    </row>
    <row r="5339" spans="1:9" x14ac:dyDescent="0.3">
      <c r="A5339" s="7" t="s">
        <v>4779</v>
      </c>
      <c r="H5339" s="8">
        <f>H5337+H5338</f>
        <v>2000</v>
      </c>
      <c r="I5339" s="8">
        <f>I5337+I5338</f>
        <v>2000</v>
      </c>
    </row>
    <row r="5340" spans="1:9" x14ac:dyDescent="0.3">
      <c r="A5340" s="4" t="s">
        <v>4780</v>
      </c>
    </row>
    <row r="5341" spans="1:9" x14ac:dyDescent="0.3">
      <c r="B5341" s="5" t="s">
        <v>4781</v>
      </c>
      <c r="C5341" s="5" t="s">
        <v>10</v>
      </c>
      <c r="D5341" s="5" t="s">
        <v>4782</v>
      </c>
      <c r="E5341" s="5" t="s">
        <v>4783</v>
      </c>
      <c r="F5341" s="5" t="s">
        <v>1643</v>
      </c>
      <c r="G5341" s="5" t="s">
        <v>1644</v>
      </c>
      <c r="H5341" s="6">
        <v>85000</v>
      </c>
      <c r="I5341" s="5"/>
    </row>
    <row r="5342" spans="1:9" x14ac:dyDescent="0.3">
      <c r="B5342" s="5" t="s">
        <v>4781</v>
      </c>
      <c r="C5342" s="5" t="s">
        <v>10</v>
      </c>
      <c r="D5342" s="5" t="s">
        <v>4782</v>
      </c>
      <c r="E5342" s="5" t="s">
        <v>4783</v>
      </c>
      <c r="F5342" s="5" t="s">
        <v>13</v>
      </c>
      <c r="G5342" s="5" t="s">
        <v>14</v>
      </c>
      <c r="H5342" s="5"/>
      <c r="I5342" s="6">
        <v>85000</v>
      </c>
    </row>
    <row r="5343" spans="1:9" x14ac:dyDescent="0.3">
      <c r="B5343" s="5" t="s">
        <v>4781</v>
      </c>
      <c r="C5343" s="5" t="s">
        <v>10</v>
      </c>
      <c r="D5343" s="5" t="s">
        <v>4782</v>
      </c>
      <c r="E5343" s="5" t="s">
        <v>4784</v>
      </c>
      <c r="F5343" s="5" t="s">
        <v>26</v>
      </c>
      <c r="G5343" s="5" t="s">
        <v>27</v>
      </c>
      <c r="H5343" s="6">
        <v>42500</v>
      </c>
      <c r="I5343" s="5"/>
    </row>
    <row r="5344" spans="1:9" x14ac:dyDescent="0.3">
      <c r="B5344" s="5" t="s">
        <v>4781</v>
      </c>
      <c r="C5344" s="5" t="s">
        <v>10</v>
      </c>
      <c r="D5344" s="5" t="s">
        <v>4782</v>
      </c>
      <c r="E5344" s="5" t="s">
        <v>4785</v>
      </c>
      <c r="F5344" s="5" t="s">
        <v>23</v>
      </c>
      <c r="G5344" s="5" t="s">
        <v>24</v>
      </c>
      <c r="H5344" s="6">
        <v>47222</v>
      </c>
      <c r="I5344" s="5"/>
    </row>
    <row r="5345" spans="1:9" x14ac:dyDescent="0.3">
      <c r="B5345" s="5" t="s">
        <v>4781</v>
      </c>
      <c r="C5345" s="5" t="s">
        <v>10</v>
      </c>
      <c r="D5345" s="5" t="s">
        <v>4782</v>
      </c>
      <c r="E5345" s="5" t="s">
        <v>4786</v>
      </c>
      <c r="F5345" s="5" t="s">
        <v>29</v>
      </c>
      <c r="G5345" s="5" t="s">
        <v>30</v>
      </c>
      <c r="H5345" s="5"/>
      <c r="I5345" s="6">
        <v>4722</v>
      </c>
    </row>
    <row r="5346" spans="1:9" x14ac:dyDescent="0.3">
      <c r="B5346" s="5" t="s">
        <v>4781</v>
      </c>
      <c r="C5346" s="5" t="s">
        <v>10</v>
      </c>
      <c r="D5346" s="5" t="s">
        <v>4782</v>
      </c>
      <c r="E5346" s="5" t="s">
        <v>4787</v>
      </c>
      <c r="F5346" s="5" t="s">
        <v>1643</v>
      </c>
      <c r="G5346" s="5" t="s">
        <v>1644</v>
      </c>
      <c r="H5346" s="5"/>
      <c r="I5346" s="6">
        <v>85000</v>
      </c>
    </row>
    <row r="5347" spans="1:9" x14ac:dyDescent="0.3">
      <c r="A5347" s="7" t="s">
        <v>4788</v>
      </c>
      <c r="H5347" s="8">
        <f>H5341+H5342+H5343+H5344+H5345+H5346</f>
        <v>174722</v>
      </c>
      <c r="I5347" s="8">
        <f>I5341+I5342+I5343+I5344+I5345+I5346</f>
        <v>174722</v>
      </c>
    </row>
    <row r="5348" spans="1:9" x14ac:dyDescent="0.3">
      <c r="A5348" s="4" t="s">
        <v>4789</v>
      </c>
    </row>
    <row r="5349" spans="1:9" x14ac:dyDescent="0.3">
      <c r="B5349" s="5" t="s">
        <v>4781</v>
      </c>
      <c r="C5349" s="5" t="s">
        <v>10</v>
      </c>
      <c r="D5349" s="5" t="s">
        <v>4790</v>
      </c>
      <c r="E5349" s="5" t="s">
        <v>4791</v>
      </c>
      <c r="F5349" s="5" t="s">
        <v>61</v>
      </c>
      <c r="G5349" s="5" t="s">
        <v>62</v>
      </c>
      <c r="H5349" s="6">
        <v>670</v>
      </c>
      <c r="I5349" s="5"/>
    </row>
    <row r="5350" spans="1:9" x14ac:dyDescent="0.3">
      <c r="B5350" s="5" t="s">
        <v>4781</v>
      </c>
      <c r="C5350" s="5" t="s">
        <v>10</v>
      </c>
      <c r="D5350" s="5" t="s">
        <v>4790</v>
      </c>
      <c r="E5350" s="5" t="s">
        <v>4791</v>
      </c>
      <c r="F5350" s="5" t="s">
        <v>1643</v>
      </c>
      <c r="G5350" s="5" t="s">
        <v>1644</v>
      </c>
      <c r="H5350" s="5"/>
      <c r="I5350" s="6">
        <v>670</v>
      </c>
    </row>
    <row r="5351" spans="1:9" x14ac:dyDescent="0.3">
      <c r="A5351" s="7" t="s">
        <v>4792</v>
      </c>
      <c r="H5351" s="8">
        <f>H5349+H5350</f>
        <v>670</v>
      </c>
      <c r="I5351" s="8">
        <f>I5349+I5350</f>
        <v>670</v>
      </c>
    </row>
    <row r="5352" spans="1:9" x14ac:dyDescent="0.3">
      <c r="A5352" s="4" t="s">
        <v>4793</v>
      </c>
    </row>
    <row r="5353" spans="1:9" x14ac:dyDescent="0.3">
      <c r="B5353" s="5" t="s">
        <v>4781</v>
      </c>
      <c r="C5353" s="5" t="s">
        <v>10</v>
      </c>
      <c r="D5353" s="5" t="s">
        <v>4794</v>
      </c>
      <c r="E5353" s="5" t="s">
        <v>4795</v>
      </c>
      <c r="F5353" s="5" t="s">
        <v>113</v>
      </c>
      <c r="G5353" s="5" t="s">
        <v>114</v>
      </c>
      <c r="H5353" s="6">
        <v>490</v>
      </c>
      <c r="I5353" s="5"/>
    </row>
    <row r="5354" spans="1:9" x14ac:dyDescent="0.3">
      <c r="B5354" s="5" t="s">
        <v>4781</v>
      </c>
      <c r="C5354" s="5" t="s">
        <v>10</v>
      </c>
      <c r="D5354" s="5" t="s">
        <v>4794</v>
      </c>
      <c r="E5354" s="5" t="s">
        <v>4795</v>
      </c>
      <c r="F5354" s="5" t="s">
        <v>1643</v>
      </c>
      <c r="G5354" s="5" t="s">
        <v>1644</v>
      </c>
      <c r="H5354" s="5"/>
      <c r="I5354" s="6">
        <v>490</v>
      </c>
    </row>
    <row r="5355" spans="1:9" x14ac:dyDescent="0.3">
      <c r="A5355" s="7" t="s">
        <v>4796</v>
      </c>
      <c r="H5355" s="8">
        <f>H5353+H5354</f>
        <v>490</v>
      </c>
      <c r="I5355" s="8">
        <f>I5353+I5354</f>
        <v>490</v>
      </c>
    </row>
    <row r="5356" spans="1:9" x14ac:dyDescent="0.3">
      <c r="A5356" s="4" t="s">
        <v>4797</v>
      </c>
    </row>
    <row r="5357" spans="1:9" x14ac:dyDescent="0.3">
      <c r="B5357" s="5" t="s">
        <v>4781</v>
      </c>
      <c r="C5357" s="5" t="s">
        <v>10</v>
      </c>
      <c r="D5357" s="5" t="s">
        <v>4798</v>
      </c>
      <c r="E5357" s="5" t="s">
        <v>4799</v>
      </c>
      <c r="F5357" s="5" t="s">
        <v>67</v>
      </c>
      <c r="G5357" s="5" t="s">
        <v>68</v>
      </c>
      <c r="H5357" s="6">
        <v>170</v>
      </c>
      <c r="I5357" s="5"/>
    </row>
    <row r="5358" spans="1:9" x14ac:dyDescent="0.3">
      <c r="B5358" s="5" t="s">
        <v>4781</v>
      </c>
      <c r="C5358" s="5" t="s">
        <v>10</v>
      </c>
      <c r="D5358" s="5" t="s">
        <v>4798</v>
      </c>
      <c r="E5358" s="5" t="s">
        <v>4799</v>
      </c>
      <c r="F5358" s="5" t="s">
        <v>1643</v>
      </c>
      <c r="G5358" s="5" t="s">
        <v>1644</v>
      </c>
      <c r="H5358" s="5"/>
      <c r="I5358" s="6">
        <v>170</v>
      </c>
    </row>
    <row r="5359" spans="1:9" x14ac:dyDescent="0.3">
      <c r="A5359" s="7" t="s">
        <v>4800</v>
      </c>
      <c r="H5359" s="8">
        <f>H5357+H5358</f>
        <v>170</v>
      </c>
      <c r="I5359" s="8">
        <f>I5357+I5358</f>
        <v>170</v>
      </c>
    </row>
    <row r="5360" spans="1:9" x14ac:dyDescent="0.3">
      <c r="A5360" s="4" t="s">
        <v>4801</v>
      </c>
    </row>
    <row r="5361" spans="1:9" x14ac:dyDescent="0.3">
      <c r="B5361" s="5" t="s">
        <v>4781</v>
      </c>
      <c r="C5361" s="5" t="s">
        <v>10</v>
      </c>
      <c r="D5361" s="5" t="s">
        <v>4802</v>
      </c>
      <c r="E5361" s="5" t="s">
        <v>4803</v>
      </c>
      <c r="F5361" s="5" t="s">
        <v>67</v>
      </c>
      <c r="G5361" s="5" t="s">
        <v>68</v>
      </c>
      <c r="H5361" s="6">
        <v>120</v>
      </c>
      <c r="I5361" s="5"/>
    </row>
    <row r="5362" spans="1:9" x14ac:dyDescent="0.3">
      <c r="B5362" s="5" t="s">
        <v>4781</v>
      </c>
      <c r="C5362" s="5" t="s">
        <v>10</v>
      </c>
      <c r="D5362" s="5" t="s">
        <v>4802</v>
      </c>
      <c r="E5362" s="5" t="s">
        <v>4803</v>
      </c>
      <c r="F5362" s="5" t="s">
        <v>1643</v>
      </c>
      <c r="G5362" s="5" t="s">
        <v>1644</v>
      </c>
      <c r="H5362" s="5"/>
      <c r="I5362" s="6">
        <v>120</v>
      </c>
    </row>
    <row r="5363" spans="1:9" x14ac:dyDescent="0.3">
      <c r="A5363" s="7" t="s">
        <v>4804</v>
      </c>
      <c r="H5363" s="8">
        <f>H5361+H5362</f>
        <v>120</v>
      </c>
      <c r="I5363" s="8">
        <f>I5361+I5362</f>
        <v>120</v>
      </c>
    </row>
    <row r="5364" spans="1:9" x14ac:dyDescent="0.3">
      <c r="A5364" s="4" t="s">
        <v>4805</v>
      </c>
    </row>
    <row r="5365" spans="1:9" x14ac:dyDescent="0.3">
      <c r="B5365" s="5" t="s">
        <v>4781</v>
      </c>
      <c r="C5365" s="5" t="s">
        <v>2745</v>
      </c>
      <c r="D5365" s="5" t="s">
        <v>2750</v>
      </c>
      <c r="E5365" s="5" t="s">
        <v>2750</v>
      </c>
      <c r="F5365" s="5" t="s">
        <v>2748</v>
      </c>
      <c r="G5365" s="5" t="s">
        <v>2749</v>
      </c>
      <c r="H5365" s="6">
        <v>4840</v>
      </c>
      <c r="I5365" s="5"/>
    </row>
    <row r="5366" spans="1:9" x14ac:dyDescent="0.3">
      <c r="B5366" s="5" t="s">
        <v>4781</v>
      </c>
      <c r="C5366" s="5" t="s">
        <v>2745</v>
      </c>
      <c r="D5366" s="5" t="s">
        <v>2750</v>
      </c>
      <c r="E5366" s="5" t="s">
        <v>2750</v>
      </c>
      <c r="F5366" s="5" t="s">
        <v>847</v>
      </c>
      <c r="G5366" s="5" t="s">
        <v>848</v>
      </c>
      <c r="H5366" s="5"/>
      <c r="I5366" s="6">
        <v>4840</v>
      </c>
    </row>
    <row r="5367" spans="1:9" x14ac:dyDescent="0.3">
      <c r="A5367" s="7" t="s">
        <v>4806</v>
      </c>
      <c r="H5367" s="8">
        <f>H5365+H5366</f>
        <v>4840</v>
      </c>
      <c r="I5367" s="8">
        <f>I5365+I5366</f>
        <v>4840</v>
      </c>
    </row>
    <row r="5368" spans="1:9" x14ac:dyDescent="0.3">
      <c r="A5368" s="4" t="s">
        <v>4807</v>
      </c>
    </row>
    <row r="5369" spans="1:9" x14ac:dyDescent="0.3">
      <c r="B5369" s="5" t="s">
        <v>4781</v>
      </c>
      <c r="C5369" s="5" t="s">
        <v>2745</v>
      </c>
      <c r="D5369" s="5" t="s">
        <v>2750</v>
      </c>
      <c r="E5369" s="5" t="s">
        <v>2750</v>
      </c>
      <c r="F5369" s="5" t="s">
        <v>2748</v>
      </c>
      <c r="G5369" s="5" t="s">
        <v>2749</v>
      </c>
      <c r="H5369" s="6">
        <v>1180</v>
      </c>
      <c r="I5369" s="5"/>
    </row>
    <row r="5370" spans="1:9" x14ac:dyDescent="0.3">
      <c r="B5370" s="5" t="s">
        <v>4781</v>
      </c>
      <c r="C5370" s="5" t="s">
        <v>2745</v>
      </c>
      <c r="D5370" s="5" t="s">
        <v>2750</v>
      </c>
      <c r="E5370" s="5" t="s">
        <v>2750</v>
      </c>
      <c r="F5370" s="5" t="s">
        <v>847</v>
      </c>
      <c r="G5370" s="5" t="s">
        <v>848</v>
      </c>
      <c r="H5370" s="5"/>
      <c r="I5370" s="6">
        <v>1180</v>
      </c>
    </row>
    <row r="5371" spans="1:9" x14ac:dyDescent="0.3">
      <c r="A5371" s="7" t="s">
        <v>4808</v>
      </c>
      <c r="H5371" s="8">
        <f>H5369+H5370</f>
        <v>1180</v>
      </c>
      <c r="I5371" s="8">
        <f>I5369+I5370</f>
        <v>1180</v>
      </c>
    </row>
    <row r="5372" spans="1:9" x14ac:dyDescent="0.3">
      <c r="A5372" s="4" t="s">
        <v>4809</v>
      </c>
    </row>
    <row r="5373" spans="1:9" x14ac:dyDescent="0.3">
      <c r="B5373" s="5" t="s">
        <v>4781</v>
      </c>
      <c r="C5373" s="5" t="s">
        <v>2745</v>
      </c>
      <c r="D5373" s="5" t="s">
        <v>2750</v>
      </c>
      <c r="E5373" s="5" t="s">
        <v>2750</v>
      </c>
      <c r="F5373" s="5" t="s">
        <v>2748</v>
      </c>
      <c r="G5373" s="5" t="s">
        <v>2749</v>
      </c>
      <c r="H5373" s="6">
        <v>2950</v>
      </c>
      <c r="I5373" s="5"/>
    </row>
    <row r="5374" spans="1:9" x14ac:dyDescent="0.3">
      <c r="B5374" s="5" t="s">
        <v>4781</v>
      </c>
      <c r="C5374" s="5" t="s">
        <v>2745</v>
      </c>
      <c r="D5374" s="5" t="s">
        <v>2750</v>
      </c>
      <c r="E5374" s="5" t="s">
        <v>2750</v>
      </c>
      <c r="F5374" s="5" t="s">
        <v>847</v>
      </c>
      <c r="G5374" s="5" t="s">
        <v>848</v>
      </c>
      <c r="H5374" s="5"/>
      <c r="I5374" s="6">
        <v>2950</v>
      </c>
    </row>
    <row r="5375" spans="1:9" x14ac:dyDescent="0.3">
      <c r="A5375" s="7" t="s">
        <v>4810</v>
      </c>
      <c r="H5375" s="8">
        <f>H5373+H5374</f>
        <v>2950</v>
      </c>
      <c r="I5375" s="8">
        <f>I5373+I5374</f>
        <v>2950</v>
      </c>
    </row>
    <row r="5376" spans="1:9" x14ac:dyDescent="0.3">
      <c r="A5376" s="4" t="s">
        <v>4811</v>
      </c>
    </row>
    <row r="5377" spans="1:9" x14ac:dyDescent="0.3">
      <c r="B5377" s="5" t="s">
        <v>4781</v>
      </c>
      <c r="C5377" s="5" t="s">
        <v>2745</v>
      </c>
      <c r="D5377" s="5" t="s">
        <v>2750</v>
      </c>
      <c r="E5377" s="5" t="s">
        <v>2750</v>
      </c>
      <c r="F5377" s="5" t="s">
        <v>2748</v>
      </c>
      <c r="G5377" s="5" t="s">
        <v>2749</v>
      </c>
      <c r="H5377" s="6">
        <v>1480</v>
      </c>
      <c r="I5377" s="5"/>
    </row>
    <row r="5378" spans="1:9" x14ac:dyDescent="0.3">
      <c r="B5378" s="5" t="s">
        <v>4781</v>
      </c>
      <c r="C5378" s="5" t="s">
        <v>2745</v>
      </c>
      <c r="D5378" s="5" t="s">
        <v>2750</v>
      </c>
      <c r="E5378" s="5" t="s">
        <v>2750</v>
      </c>
      <c r="F5378" s="5" t="s">
        <v>847</v>
      </c>
      <c r="G5378" s="5" t="s">
        <v>848</v>
      </c>
      <c r="H5378" s="5"/>
      <c r="I5378" s="6">
        <v>1480</v>
      </c>
    </row>
    <row r="5379" spans="1:9" x14ac:dyDescent="0.3">
      <c r="A5379" s="7" t="s">
        <v>4812</v>
      </c>
      <c r="H5379" s="8">
        <f>H5377+H5378</f>
        <v>1480</v>
      </c>
      <c r="I5379" s="8">
        <f>I5377+I5378</f>
        <v>1480</v>
      </c>
    </row>
    <row r="5380" spans="1:9" x14ac:dyDescent="0.3">
      <c r="A5380" s="4" t="s">
        <v>4813</v>
      </c>
    </row>
    <row r="5381" spans="1:9" x14ac:dyDescent="0.3">
      <c r="B5381" s="5" t="s">
        <v>4781</v>
      </c>
      <c r="C5381" s="5" t="s">
        <v>2745</v>
      </c>
      <c r="D5381" s="5" t="s">
        <v>2750</v>
      </c>
      <c r="E5381" s="5" t="s">
        <v>2750</v>
      </c>
      <c r="F5381" s="5" t="s">
        <v>2748</v>
      </c>
      <c r="G5381" s="5" t="s">
        <v>2749</v>
      </c>
      <c r="H5381" s="6">
        <v>2460</v>
      </c>
      <c r="I5381" s="5"/>
    </row>
    <row r="5382" spans="1:9" x14ac:dyDescent="0.3">
      <c r="B5382" s="5" t="s">
        <v>4781</v>
      </c>
      <c r="C5382" s="5" t="s">
        <v>2745</v>
      </c>
      <c r="D5382" s="5" t="s">
        <v>2750</v>
      </c>
      <c r="E5382" s="5" t="s">
        <v>2750</v>
      </c>
      <c r="F5382" s="5" t="s">
        <v>847</v>
      </c>
      <c r="G5382" s="5" t="s">
        <v>848</v>
      </c>
      <c r="H5382" s="5"/>
      <c r="I5382" s="6">
        <v>2460</v>
      </c>
    </row>
    <row r="5383" spans="1:9" x14ac:dyDescent="0.3">
      <c r="A5383" s="7" t="s">
        <v>4814</v>
      </c>
      <c r="H5383" s="8">
        <f>H5381+H5382</f>
        <v>2460</v>
      </c>
      <c r="I5383" s="8">
        <f>I5381+I5382</f>
        <v>2460</v>
      </c>
    </row>
    <row r="5384" spans="1:9" x14ac:dyDescent="0.3">
      <c r="A5384" s="4" t="s">
        <v>4815</v>
      </c>
    </row>
    <row r="5385" spans="1:9" x14ac:dyDescent="0.3">
      <c r="B5385" s="5" t="s">
        <v>4816</v>
      </c>
      <c r="C5385" s="5" t="s">
        <v>10</v>
      </c>
      <c r="D5385" s="5" t="s">
        <v>4817</v>
      </c>
      <c r="E5385" s="5" t="s">
        <v>2498</v>
      </c>
      <c r="F5385" s="5" t="s">
        <v>61</v>
      </c>
      <c r="G5385" s="5" t="s">
        <v>62</v>
      </c>
      <c r="H5385" s="6">
        <v>400</v>
      </c>
      <c r="I5385" s="5"/>
    </row>
    <row r="5386" spans="1:9" x14ac:dyDescent="0.3">
      <c r="B5386" s="5" t="s">
        <v>4816</v>
      </c>
      <c r="C5386" s="5" t="s">
        <v>10</v>
      </c>
      <c r="D5386" s="5" t="s">
        <v>4817</v>
      </c>
      <c r="E5386" s="5" t="s">
        <v>1190</v>
      </c>
      <c r="F5386" s="5" t="s">
        <v>64</v>
      </c>
      <c r="G5386" s="5" t="s">
        <v>65</v>
      </c>
      <c r="H5386" s="6">
        <v>30</v>
      </c>
      <c r="I5386" s="5"/>
    </row>
    <row r="5387" spans="1:9" x14ac:dyDescent="0.3">
      <c r="B5387" s="5" t="s">
        <v>4816</v>
      </c>
      <c r="C5387" s="5" t="s">
        <v>10</v>
      </c>
      <c r="D5387" s="5" t="s">
        <v>4817</v>
      </c>
      <c r="E5387" s="5" t="s">
        <v>4818</v>
      </c>
      <c r="F5387" s="5" t="s">
        <v>1643</v>
      </c>
      <c r="G5387" s="5" t="s">
        <v>1644</v>
      </c>
      <c r="H5387" s="5"/>
      <c r="I5387" s="6">
        <v>430</v>
      </c>
    </row>
    <row r="5388" spans="1:9" x14ac:dyDescent="0.3">
      <c r="A5388" s="7" t="s">
        <v>4819</v>
      </c>
      <c r="H5388" s="8">
        <f>H5385+H5386+H5387</f>
        <v>430</v>
      </c>
      <c r="I5388" s="8">
        <f>I5385+I5386+I5387</f>
        <v>430</v>
      </c>
    </row>
    <row r="5389" spans="1:9" x14ac:dyDescent="0.3">
      <c r="A5389" s="4" t="s">
        <v>4820</v>
      </c>
    </row>
    <row r="5390" spans="1:9" x14ac:dyDescent="0.3">
      <c r="B5390" s="5" t="s">
        <v>4816</v>
      </c>
      <c r="C5390" s="5" t="s">
        <v>10</v>
      </c>
      <c r="D5390" s="5" t="s">
        <v>4821</v>
      </c>
      <c r="E5390" s="5" t="s">
        <v>4822</v>
      </c>
      <c r="F5390" s="5" t="s">
        <v>67</v>
      </c>
      <c r="G5390" s="5" t="s">
        <v>68</v>
      </c>
      <c r="H5390" s="6">
        <v>90</v>
      </c>
      <c r="I5390" s="5"/>
    </row>
    <row r="5391" spans="1:9" x14ac:dyDescent="0.3">
      <c r="B5391" s="5" t="s">
        <v>4816</v>
      </c>
      <c r="C5391" s="5" t="s">
        <v>10</v>
      </c>
      <c r="D5391" s="5" t="s">
        <v>4821</v>
      </c>
      <c r="E5391" s="5" t="s">
        <v>4822</v>
      </c>
      <c r="F5391" s="5" t="s">
        <v>1643</v>
      </c>
      <c r="G5391" s="5" t="s">
        <v>1644</v>
      </c>
      <c r="H5391" s="5"/>
      <c r="I5391" s="6">
        <v>90</v>
      </c>
    </row>
    <row r="5392" spans="1:9" x14ac:dyDescent="0.3">
      <c r="A5392" s="7" t="s">
        <v>4823</v>
      </c>
      <c r="H5392" s="8">
        <f>H5390+H5391</f>
        <v>90</v>
      </c>
      <c r="I5392" s="8">
        <f>I5390+I5391</f>
        <v>90</v>
      </c>
    </row>
    <row r="5393" spans="1:9" x14ac:dyDescent="0.3">
      <c r="A5393" s="4" t="s">
        <v>4824</v>
      </c>
    </row>
    <row r="5394" spans="1:9" x14ac:dyDescent="0.3">
      <c r="B5394" s="5" t="s">
        <v>4816</v>
      </c>
      <c r="C5394" s="5" t="s">
        <v>10</v>
      </c>
      <c r="D5394" s="5" t="s">
        <v>4825</v>
      </c>
      <c r="E5394" s="5" t="s">
        <v>4826</v>
      </c>
      <c r="F5394" s="5" t="s">
        <v>445</v>
      </c>
      <c r="G5394" s="5" t="s">
        <v>446</v>
      </c>
      <c r="H5394" s="6">
        <v>10000</v>
      </c>
      <c r="I5394" s="5"/>
    </row>
    <row r="5395" spans="1:9" x14ac:dyDescent="0.3">
      <c r="B5395" s="5" t="s">
        <v>4816</v>
      </c>
      <c r="C5395" s="5" t="s">
        <v>10</v>
      </c>
      <c r="D5395" s="5" t="s">
        <v>4825</v>
      </c>
      <c r="E5395" s="5" t="s">
        <v>4826</v>
      </c>
      <c r="F5395" s="5" t="s">
        <v>1643</v>
      </c>
      <c r="G5395" s="5" t="s">
        <v>1644</v>
      </c>
      <c r="H5395" s="5"/>
      <c r="I5395" s="6">
        <v>10000</v>
      </c>
    </row>
    <row r="5396" spans="1:9" x14ac:dyDescent="0.3">
      <c r="A5396" s="7" t="s">
        <v>4827</v>
      </c>
      <c r="H5396" s="8">
        <f>H5394+H5395</f>
        <v>10000</v>
      </c>
      <c r="I5396" s="8">
        <f>I5394+I5395</f>
        <v>10000</v>
      </c>
    </row>
    <row r="5397" spans="1:9" x14ac:dyDescent="0.3">
      <c r="A5397" s="4" t="s">
        <v>4828</v>
      </c>
    </row>
    <row r="5398" spans="1:9" x14ac:dyDescent="0.3">
      <c r="B5398" s="5" t="s">
        <v>4816</v>
      </c>
      <c r="C5398" s="5" t="s">
        <v>2745</v>
      </c>
      <c r="D5398" s="5" t="s">
        <v>2750</v>
      </c>
      <c r="E5398" s="5" t="s">
        <v>2750</v>
      </c>
      <c r="F5398" s="5" t="s">
        <v>2748</v>
      </c>
      <c r="G5398" s="5" t="s">
        <v>2749</v>
      </c>
      <c r="H5398" s="6">
        <v>4430</v>
      </c>
      <c r="I5398" s="5"/>
    </row>
    <row r="5399" spans="1:9" x14ac:dyDescent="0.3">
      <c r="B5399" s="5" t="s">
        <v>4816</v>
      </c>
      <c r="C5399" s="5" t="s">
        <v>2745</v>
      </c>
      <c r="D5399" s="5" t="s">
        <v>2750</v>
      </c>
      <c r="E5399" s="5" t="s">
        <v>2750</v>
      </c>
      <c r="F5399" s="5" t="s">
        <v>847</v>
      </c>
      <c r="G5399" s="5" t="s">
        <v>848</v>
      </c>
      <c r="H5399" s="5"/>
      <c r="I5399" s="6">
        <v>4430</v>
      </c>
    </row>
    <row r="5400" spans="1:9" x14ac:dyDescent="0.3">
      <c r="A5400" s="7" t="s">
        <v>4829</v>
      </c>
      <c r="H5400" s="8">
        <f>H5398+H5399</f>
        <v>4430</v>
      </c>
      <c r="I5400" s="8">
        <f>I5398+I5399</f>
        <v>4430</v>
      </c>
    </row>
    <row r="5401" spans="1:9" x14ac:dyDescent="0.3">
      <c r="A5401" s="4" t="s">
        <v>4830</v>
      </c>
    </row>
    <row r="5402" spans="1:9" x14ac:dyDescent="0.3">
      <c r="B5402" s="5" t="s">
        <v>4831</v>
      </c>
      <c r="C5402" s="5" t="s">
        <v>10</v>
      </c>
      <c r="D5402" s="5" t="s">
        <v>4832</v>
      </c>
      <c r="E5402" s="5" t="s">
        <v>4833</v>
      </c>
      <c r="F5402" s="5" t="s">
        <v>116</v>
      </c>
      <c r="G5402" s="5" t="s">
        <v>117</v>
      </c>
      <c r="H5402" s="6">
        <v>1000</v>
      </c>
      <c r="I5402" s="5"/>
    </row>
    <row r="5403" spans="1:9" x14ac:dyDescent="0.3">
      <c r="B5403" s="5" t="s">
        <v>4831</v>
      </c>
      <c r="C5403" s="5" t="s">
        <v>10</v>
      </c>
      <c r="D5403" s="5" t="s">
        <v>4832</v>
      </c>
      <c r="E5403" s="5" t="s">
        <v>4834</v>
      </c>
      <c r="F5403" s="5" t="s">
        <v>359</v>
      </c>
      <c r="G5403" s="5" t="s">
        <v>360</v>
      </c>
      <c r="H5403" s="6">
        <v>220</v>
      </c>
      <c r="I5403" s="5"/>
    </row>
    <row r="5404" spans="1:9" x14ac:dyDescent="0.3">
      <c r="B5404" s="5" t="s">
        <v>4831</v>
      </c>
      <c r="C5404" s="5" t="s">
        <v>10</v>
      </c>
      <c r="D5404" s="5" t="s">
        <v>4832</v>
      </c>
      <c r="E5404" s="5" t="s">
        <v>4835</v>
      </c>
      <c r="F5404" s="5" t="s">
        <v>1643</v>
      </c>
      <c r="G5404" s="5" t="s">
        <v>1644</v>
      </c>
      <c r="H5404" s="5"/>
      <c r="I5404" s="6">
        <v>1220</v>
      </c>
    </row>
    <row r="5405" spans="1:9" x14ac:dyDescent="0.3">
      <c r="A5405" s="7" t="s">
        <v>4836</v>
      </c>
      <c r="H5405" s="8">
        <f>H5402+H5403+H5404</f>
        <v>1220</v>
      </c>
      <c r="I5405" s="8">
        <f>I5402+I5403+I5404</f>
        <v>1220</v>
      </c>
    </row>
    <row r="5406" spans="1:9" x14ac:dyDescent="0.3">
      <c r="A5406" s="4" t="s">
        <v>4837</v>
      </c>
    </row>
    <row r="5407" spans="1:9" x14ac:dyDescent="0.3">
      <c r="B5407" s="5" t="s">
        <v>4831</v>
      </c>
      <c r="C5407" s="5" t="s">
        <v>10</v>
      </c>
      <c r="D5407" s="5" t="s">
        <v>4838</v>
      </c>
      <c r="E5407" s="5" t="s">
        <v>4839</v>
      </c>
      <c r="F5407" s="5" t="s">
        <v>67</v>
      </c>
      <c r="G5407" s="5" t="s">
        <v>68</v>
      </c>
      <c r="H5407" s="6">
        <v>140</v>
      </c>
      <c r="I5407" s="5"/>
    </row>
    <row r="5408" spans="1:9" x14ac:dyDescent="0.3">
      <c r="B5408" s="5" t="s">
        <v>4831</v>
      </c>
      <c r="C5408" s="5" t="s">
        <v>10</v>
      </c>
      <c r="D5408" s="5" t="s">
        <v>4838</v>
      </c>
      <c r="E5408" s="5" t="s">
        <v>4839</v>
      </c>
      <c r="F5408" s="5" t="s">
        <v>1643</v>
      </c>
      <c r="G5408" s="5" t="s">
        <v>1644</v>
      </c>
      <c r="H5408" s="5"/>
      <c r="I5408" s="6">
        <v>140</v>
      </c>
    </row>
    <row r="5409" spans="1:9" x14ac:dyDescent="0.3">
      <c r="A5409" s="7" t="s">
        <v>4840</v>
      </c>
      <c r="H5409" s="8">
        <f>H5407+H5408</f>
        <v>140</v>
      </c>
      <c r="I5409" s="8">
        <f>I5407+I5408</f>
        <v>140</v>
      </c>
    </row>
    <row r="5410" spans="1:9" x14ac:dyDescent="0.3">
      <c r="A5410" s="4" t="s">
        <v>4841</v>
      </c>
    </row>
    <row r="5411" spans="1:9" x14ac:dyDescent="0.3">
      <c r="B5411" s="5" t="s">
        <v>4831</v>
      </c>
      <c r="C5411" s="5" t="s">
        <v>10</v>
      </c>
      <c r="D5411" s="5" t="s">
        <v>4842</v>
      </c>
      <c r="E5411" s="5" t="s">
        <v>4843</v>
      </c>
      <c r="F5411" s="5" t="s">
        <v>4844</v>
      </c>
      <c r="G5411" s="5" t="s">
        <v>4845</v>
      </c>
      <c r="H5411" s="6">
        <v>6000000</v>
      </c>
      <c r="I5411" s="5"/>
    </row>
    <row r="5412" spans="1:9" x14ac:dyDescent="0.3">
      <c r="B5412" s="5" t="s">
        <v>4831</v>
      </c>
      <c r="C5412" s="5" t="s">
        <v>10</v>
      </c>
      <c r="D5412" s="5" t="s">
        <v>4842</v>
      </c>
      <c r="E5412" s="5" t="s">
        <v>4843</v>
      </c>
      <c r="F5412" s="5" t="s">
        <v>4846</v>
      </c>
      <c r="G5412" s="5" t="s">
        <v>4847</v>
      </c>
      <c r="H5412" s="5"/>
      <c r="I5412" s="6">
        <v>6000000</v>
      </c>
    </row>
    <row r="5413" spans="1:9" x14ac:dyDescent="0.3">
      <c r="A5413" s="7" t="s">
        <v>4848</v>
      </c>
      <c r="H5413" s="8">
        <f>H5411+H5412</f>
        <v>6000000</v>
      </c>
      <c r="I5413" s="8">
        <f>I5411+I5412</f>
        <v>6000000</v>
      </c>
    </row>
    <row r="5414" spans="1:9" x14ac:dyDescent="0.3">
      <c r="A5414" s="4" t="s">
        <v>4849</v>
      </c>
    </row>
    <row r="5415" spans="1:9" x14ac:dyDescent="0.3">
      <c r="B5415" s="5" t="s">
        <v>4831</v>
      </c>
      <c r="C5415" s="5" t="s">
        <v>10</v>
      </c>
      <c r="D5415" s="5" t="s">
        <v>4850</v>
      </c>
      <c r="E5415" s="5" t="s">
        <v>4851</v>
      </c>
      <c r="F5415" s="5" t="s">
        <v>1763</v>
      </c>
      <c r="G5415" s="5" t="s">
        <v>1764</v>
      </c>
      <c r="H5415" s="6">
        <v>2000</v>
      </c>
      <c r="I5415" s="5"/>
    </row>
    <row r="5416" spans="1:9" x14ac:dyDescent="0.3">
      <c r="B5416" s="5" t="s">
        <v>4831</v>
      </c>
      <c r="C5416" s="5" t="s">
        <v>10</v>
      </c>
      <c r="D5416" s="5" t="s">
        <v>4850</v>
      </c>
      <c r="E5416" s="5" t="s">
        <v>4852</v>
      </c>
      <c r="F5416" s="5" t="s">
        <v>1763</v>
      </c>
      <c r="G5416" s="5" t="s">
        <v>1764</v>
      </c>
      <c r="H5416" s="6">
        <v>900</v>
      </c>
      <c r="I5416" s="5"/>
    </row>
    <row r="5417" spans="1:9" x14ac:dyDescent="0.3">
      <c r="B5417" s="5" t="s">
        <v>4831</v>
      </c>
      <c r="C5417" s="5" t="s">
        <v>10</v>
      </c>
      <c r="D5417" s="5" t="s">
        <v>4850</v>
      </c>
      <c r="E5417" s="5" t="s">
        <v>4852</v>
      </c>
      <c r="F5417" s="5" t="s">
        <v>4844</v>
      </c>
      <c r="G5417" s="5" t="s">
        <v>4845</v>
      </c>
      <c r="H5417" s="5"/>
      <c r="I5417" s="6">
        <v>2900</v>
      </c>
    </row>
    <row r="5418" spans="1:9" x14ac:dyDescent="0.3">
      <c r="A5418" s="7" t="s">
        <v>4853</v>
      </c>
      <c r="H5418" s="8">
        <f>H5415+H5416+H5417</f>
        <v>2900</v>
      </c>
      <c r="I5418" s="8">
        <f>I5415+I5416+I5417</f>
        <v>2900</v>
      </c>
    </row>
    <row r="5419" spans="1:9" x14ac:dyDescent="0.3">
      <c r="A5419" s="4" t="s">
        <v>4854</v>
      </c>
    </row>
    <row r="5420" spans="1:9" x14ac:dyDescent="0.3">
      <c r="B5420" s="5" t="s">
        <v>4831</v>
      </c>
      <c r="C5420" s="5" t="s">
        <v>10</v>
      </c>
      <c r="D5420" s="5" t="s">
        <v>4855</v>
      </c>
      <c r="E5420" s="5" t="s">
        <v>4856</v>
      </c>
      <c r="F5420" s="5" t="s">
        <v>67</v>
      </c>
      <c r="G5420" s="5" t="s">
        <v>68</v>
      </c>
      <c r="H5420" s="6">
        <v>200</v>
      </c>
      <c r="I5420" s="5"/>
    </row>
    <row r="5421" spans="1:9" x14ac:dyDescent="0.3">
      <c r="B5421" s="5" t="s">
        <v>4831</v>
      </c>
      <c r="C5421" s="5" t="s">
        <v>10</v>
      </c>
      <c r="D5421" s="5" t="s">
        <v>4855</v>
      </c>
      <c r="E5421" s="5" t="s">
        <v>4856</v>
      </c>
      <c r="F5421" s="5" t="s">
        <v>1643</v>
      </c>
      <c r="G5421" s="5" t="s">
        <v>1644</v>
      </c>
      <c r="H5421" s="5"/>
      <c r="I5421" s="6">
        <v>200</v>
      </c>
    </row>
    <row r="5422" spans="1:9" x14ac:dyDescent="0.3">
      <c r="A5422" s="7" t="s">
        <v>4857</v>
      </c>
      <c r="H5422" s="8">
        <f>H5420+H5421</f>
        <v>200</v>
      </c>
      <c r="I5422" s="8">
        <f>I5420+I5421</f>
        <v>200</v>
      </c>
    </row>
    <row r="5423" spans="1:9" x14ac:dyDescent="0.3">
      <c r="A5423" s="4" t="s">
        <v>4858</v>
      </c>
    </row>
    <row r="5424" spans="1:9" x14ac:dyDescent="0.3">
      <c r="B5424" s="5" t="s">
        <v>4831</v>
      </c>
      <c r="C5424" s="5" t="s">
        <v>10</v>
      </c>
      <c r="D5424" s="5" t="s">
        <v>4859</v>
      </c>
      <c r="E5424" s="5" t="s">
        <v>4860</v>
      </c>
      <c r="F5424" s="5" t="s">
        <v>67</v>
      </c>
      <c r="G5424" s="5" t="s">
        <v>68</v>
      </c>
      <c r="H5424" s="6">
        <v>40</v>
      </c>
      <c r="I5424" s="5"/>
    </row>
    <row r="5425" spans="1:9" x14ac:dyDescent="0.3">
      <c r="B5425" s="5" t="s">
        <v>4831</v>
      </c>
      <c r="C5425" s="5" t="s">
        <v>10</v>
      </c>
      <c r="D5425" s="5" t="s">
        <v>4859</v>
      </c>
      <c r="E5425" s="5" t="s">
        <v>4860</v>
      </c>
      <c r="F5425" s="5" t="s">
        <v>1643</v>
      </c>
      <c r="G5425" s="5" t="s">
        <v>1644</v>
      </c>
      <c r="H5425" s="5"/>
      <c r="I5425" s="6">
        <v>40</v>
      </c>
    </row>
    <row r="5426" spans="1:9" x14ac:dyDescent="0.3">
      <c r="A5426" s="7" t="s">
        <v>4861</v>
      </c>
      <c r="H5426" s="8">
        <f>H5424+H5425</f>
        <v>40</v>
      </c>
      <c r="I5426" s="8">
        <f>I5424+I5425</f>
        <v>40</v>
      </c>
    </row>
    <row r="5427" spans="1:9" x14ac:dyDescent="0.3">
      <c r="A5427" s="4" t="s">
        <v>4862</v>
      </c>
    </row>
    <row r="5428" spans="1:9" x14ac:dyDescent="0.3">
      <c r="B5428" s="5" t="s">
        <v>4831</v>
      </c>
      <c r="C5428" s="5" t="s">
        <v>10</v>
      </c>
      <c r="D5428" s="5" t="s">
        <v>4863</v>
      </c>
      <c r="E5428" s="5" t="s">
        <v>3517</v>
      </c>
      <c r="F5428" s="5" t="s">
        <v>61</v>
      </c>
      <c r="G5428" s="5" t="s">
        <v>62</v>
      </c>
      <c r="H5428" s="6">
        <v>1370</v>
      </c>
      <c r="I5428" s="5"/>
    </row>
    <row r="5429" spans="1:9" x14ac:dyDescent="0.3">
      <c r="B5429" s="5" t="s">
        <v>4831</v>
      </c>
      <c r="C5429" s="5" t="s">
        <v>10</v>
      </c>
      <c r="D5429" s="5" t="s">
        <v>4863</v>
      </c>
      <c r="E5429" s="5" t="s">
        <v>3517</v>
      </c>
      <c r="F5429" s="5" t="s">
        <v>1643</v>
      </c>
      <c r="G5429" s="5" t="s">
        <v>1644</v>
      </c>
      <c r="H5429" s="5"/>
      <c r="I5429" s="6">
        <v>1370</v>
      </c>
    </row>
    <row r="5430" spans="1:9" x14ac:dyDescent="0.3">
      <c r="A5430" s="7" t="s">
        <v>4864</v>
      </c>
      <c r="H5430" s="8">
        <f>H5428+H5429</f>
        <v>1370</v>
      </c>
      <c r="I5430" s="8">
        <f>I5428+I5429</f>
        <v>1370</v>
      </c>
    </row>
    <row r="5431" spans="1:9" x14ac:dyDescent="0.3">
      <c r="A5431" s="4" t="s">
        <v>4865</v>
      </c>
    </row>
    <row r="5432" spans="1:9" x14ac:dyDescent="0.3">
      <c r="B5432" s="5" t="s">
        <v>4831</v>
      </c>
      <c r="C5432" s="5" t="s">
        <v>2745</v>
      </c>
      <c r="D5432" s="5" t="s">
        <v>2750</v>
      </c>
      <c r="E5432" s="5" t="s">
        <v>2750</v>
      </c>
      <c r="F5432" s="5" t="s">
        <v>2748</v>
      </c>
      <c r="G5432" s="5" t="s">
        <v>2749</v>
      </c>
      <c r="H5432" s="6">
        <v>2520</v>
      </c>
      <c r="I5432" s="5"/>
    </row>
    <row r="5433" spans="1:9" x14ac:dyDescent="0.3">
      <c r="B5433" s="5" t="s">
        <v>4831</v>
      </c>
      <c r="C5433" s="5" t="s">
        <v>2745</v>
      </c>
      <c r="D5433" s="5" t="s">
        <v>2750</v>
      </c>
      <c r="E5433" s="5" t="s">
        <v>2750</v>
      </c>
      <c r="F5433" s="5" t="s">
        <v>847</v>
      </c>
      <c r="G5433" s="5" t="s">
        <v>848</v>
      </c>
      <c r="H5433" s="5"/>
      <c r="I5433" s="6">
        <v>2520</v>
      </c>
    </row>
    <row r="5434" spans="1:9" x14ac:dyDescent="0.3">
      <c r="A5434" s="7" t="s">
        <v>4866</v>
      </c>
      <c r="H5434" s="8">
        <f>H5432+H5433</f>
        <v>2520</v>
      </c>
      <c r="I5434" s="8">
        <f>I5432+I5433</f>
        <v>2520</v>
      </c>
    </row>
    <row r="5435" spans="1:9" x14ac:dyDescent="0.3">
      <c r="A5435" s="4" t="s">
        <v>4867</v>
      </c>
    </row>
    <row r="5436" spans="1:9" x14ac:dyDescent="0.3">
      <c r="B5436" s="5" t="s">
        <v>4831</v>
      </c>
      <c r="C5436" s="5" t="s">
        <v>2745</v>
      </c>
      <c r="D5436" s="5" t="s">
        <v>2750</v>
      </c>
      <c r="E5436" s="5" t="s">
        <v>2750</v>
      </c>
      <c r="F5436" s="5" t="s">
        <v>2748</v>
      </c>
      <c r="G5436" s="5" t="s">
        <v>2749</v>
      </c>
      <c r="H5436" s="6">
        <v>7900</v>
      </c>
      <c r="I5436" s="5"/>
    </row>
    <row r="5437" spans="1:9" x14ac:dyDescent="0.3">
      <c r="B5437" s="5" t="s">
        <v>4831</v>
      </c>
      <c r="C5437" s="5" t="s">
        <v>2745</v>
      </c>
      <c r="D5437" s="5" t="s">
        <v>2750</v>
      </c>
      <c r="E5437" s="5" t="s">
        <v>2750</v>
      </c>
      <c r="F5437" s="5" t="s">
        <v>847</v>
      </c>
      <c r="G5437" s="5" t="s">
        <v>848</v>
      </c>
      <c r="H5437" s="5"/>
      <c r="I5437" s="6">
        <v>7900</v>
      </c>
    </row>
    <row r="5438" spans="1:9" x14ac:dyDescent="0.3">
      <c r="A5438" s="7" t="s">
        <v>4868</v>
      </c>
      <c r="H5438" s="8">
        <f>H5436+H5437</f>
        <v>7900</v>
      </c>
      <c r="I5438" s="8">
        <f>I5436+I5437</f>
        <v>7900</v>
      </c>
    </row>
    <row r="5439" spans="1:9" x14ac:dyDescent="0.3">
      <c r="A5439" s="4" t="s">
        <v>4869</v>
      </c>
    </row>
    <row r="5440" spans="1:9" x14ac:dyDescent="0.3">
      <c r="B5440" s="5" t="s">
        <v>4831</v>
      </c>
      <c r="C5440" s="5" t="s">
        <v>2745</v>
      </c>
      <c r="D5440" s="5" t="s">
        <v>2750</v>
      </c>
      <c r="E5440" s="5" t="s">
        <v>2750</v>
      </c>
      <c r="F5440" s="5" t="s">
        <v>2748</v>
      </c>
      <c r="G5440" s="5" t="s">
        <v>2749</v>
      </c>
      <c r="H5440" s="6">
        <v>3500</v>
      </c>
      <c r="I5440" s="5"/>
    </row>
    <row r="5441" spans="1:9" x14ac:dyDescent="0.3">
      <c r="B5441" s="5" t="s">
        <v>4831</v>
      </c>
      <c r="C5441" s="5" t="s">
        <v>2745</v>
      </c>
      <c r="D5441" s="5" t="s">
        <v>2750</v>
      </c>
      <c r="E5441" s="5" t="s">
        <v>2750</v>
      </c>
      <c r="F5441" s="5" t="s">
        <v>847</v>
      </c>
      <c r="G5441" s="5" t="s">
        <v>848</v>
      </c>
      <c r="H5441" s="5"/>
      <c r="I5441" s="6">
        <v>3500</v>
      </c>
    </row>
    <row r="5442" spans="1:9" x14ac:dyDescent="0.3">
      <c r="A5442" s="7" t="s">
        <v>4870</v>
      </c>
      <c r="H5442" s="8">
        <f>H5440+H5441</f>
        <v>3500</v>
      </c>
      <c r="I5442" s="8">
        <f>I5440+I5441</f>
        <v>3500</v>
      </c>
    </row>
    <row r="5443" spans="1:9" x14ac:dyDescent="0.3">
      <c r="A5443" s="4" t="s">
        <v>4871</v>
      </c>
    </row>
    <row r="5444" spans="1:9" x14ac:dyDescent="0.3">
      <c r="B5444" s="5" t="s">
        <v>4831</v>
      </c>
      <c r="C5444" s="5" t="s">
        <v>2745</v>
      </c>
      <c r="D5444" s="5" t="s">
        <v>2750</v>
      </c>
      <c r="E5444" s="5" t="s">
        <v>2750</v>
      </c>
      <c r="F5444" s="5" t="s">
        <v>2748</v>
      </c>
      <c r="G5444" s="5" t="s">
        <v>2749</v>
      </c>
      <c r="H5444" s="6">
        <v>1980</v>
      </c>
      <c r="I5444" s="5"/>
    </row>
    <row r="5445" spans="1:9" x14ac:dyDescent="0.3">
      <c r="B5445" s="5" t="s">
        <v>4831</v>
      </c>
      <c r="C5445" s="5" t="s">
        <v>2745</v>
      </c>
      <c r="D5445" s="5" t="s">
        <v>2750</v>
      </c>
      <c r="E5445" s="5" t="s">
        <v>2750</v>
      </c>
      <c r="F5445" s="5" t="s">
        <v>847</v>
      </c>
      <c r="G5445" s="5" t="s">
        <v>848</v>
      </c>
      <c r="H5445" s="5"/>
      <c r="I5445" s="6">
        <v>1980</v>
      </c>
    </row>
    <row r="5446" spans="1:9" x14ac:dyDescent="0.3">
      <c r="A5446" s="7" t="s">
        <v>4872</v>
      </c>
      <c r="H5446" s="8">
        <f>H5444+H5445</f>
        <v>1980</v>
      </c>
      <c r="I5446" s="8">
        <f>I5444+I5445</f>
        <v>1980</v>
      </c>
    </row>
    <row r="5447" spans="1:9" x14ac:dyDescent="0.3">
      <c r="A5447" s="4" t="s">
        <v>4873</v>
      </c>
    </row>
    <row r="5448" spans="1:9" x14ac:dyDescent="0.3">
      <c r="B5448" s="5" t="s">
        <v>4874</v>
      </c>
      <c r="C5448" s="5" t="s">
        <v>10</v>
      </c>
      <c r="D5448" s="5" t="s">
        <v>4875</v>
      </c>
      <c r="E5448" s="5" t="s">
        <v>4876</v>
      </c>
      <c r="F5448" s="5" t="s">
        <v>67</v>
      </c>
      <c r="G5448" s="5" t="s">
        <v>68</v>
      </c>
      <c r="H5448" s="6">
        <v>40</v>
      </c>
      <c r="I5448" s="5"/>
    </row>
    <row r="5449" spans="1:9" x14ac:dyDescent="0.3">
      <c r="B5449" s="5" t="s">
        <v>4874</v>
      </c>
      <c r="C5449" s="5" t="s">
        <v>10</v>
      </c>
      <c r="D5449" s="5" t="s">
        <v>4875</v>
      </c>
      <c r="E5449" s="5" t="s">
        <v>4876</v>
      </c>
      <c r="F5449" s="5" t="s">
        <v>1643</v>
      </c>
      <c r="G5449" s="5" t="s">
        <v>1644</v>
      </c>
      <c r="H5449" s="5"/>
      <c r="I5449" s="6">
        <v>40</v>
      </c>
    </row>
    <row r="5450" spans="1:9" x14ac:dyDescent="0.3">
      <c r="A5450" s="7" t="s">
        <v>4877</v>
      </c>
      <c r="H5450" s="8">
        <f>H5448+H5449</f>
        <v>40</v>
      </c>
      <c r="I5450" s="8">
        <f>I5448+I5449</f>
        <v>40</v>
      </c>
    </row>
    <row r="5451" spans="1:9" x14ac:dyDescent="0.3">
      <c r="A5451" s="4" t="s">
        <v>4878</v>
      </c>
    </row>
    <row r="5452" spans="1:9" x14ac:dyDescent="0.3">
      <c r="B5452" s="5" t="s">
        <v>4874</v>
      </c>
      <c r="C5452" s="5" t="s">
        <v>10</v>
      </c>
      <c r="D5452" s="5" t="s">
        <v>4879</v>
      </c>
      <c r="E5452" s="5" t="s">
        <v>1634</v>
      </c>
      <c r="F5452" s="5" t="s">
        <v>116</v>
      </c>
      <c r="G5452" s="5" t="s">
        <v>117</v>
      </c>
      <c r="H5452" s="6">
        <v>1000</v>
      </c>
      <c r="I5452" s="5"/>
    </row>
    <row r="5453" spans="1:9" x14ac:dyDescent="0.3">
      <c r="B5453" s="5" t="s">
        <v>4874</v>
      </c>
      <c r="C5453" s="5" t="s">
        <v>10</v>
      </c>
      <c r="D5453" s="5" t="s">
        <v>4879</v>
      </c>
      <c r="E5453" s="5" t="s">
        <v>4880</v>
      </c>
      <c r="F5453" s="5" t="s">
        <v>61</v>
      </c>
      <c r="G5453" s="5" t="s">
        <v>62</v>
      </c>
      <c r="H5453" s="6">
        <v>3110</v>
      </c>
      <c r="I5453" s="5"/>
    </row>
    <row r="5454" spans="1:9" x14ac:dyDescent="0.3">
      <c r="B5454" s="5" t="s">
        <v>4874</v>
      </c>
      <c r="C5454" s="5" t="s">
        <v>10</v>
      </c>
      <c r="D5454" s="5" t="s">
        <v>4879</v>
      </c>
      <c r="E5454" s="5" t="s">
        <v>4881</v>
      </c>
      <c r="F5454" s="5" t="s">
        <v>113</v>
      </c>
      <c r="G5454" s="5" t="s">
        <v>114</v>
      </c>
      <c r="H5454" s="6">
        <v>1020</v>
      </c>
      <c r="I5454" s="5"/>
    </row>
    <row r="5455" spans="1:9" x14ac:dyDescent="0.3">
      <c r="B5455" s="5" t="s">
        <v>4874</v>
      </c>
      <c r="C5455" s="5" t="s">
        <v>10</v>
      </c>
      <c r="D5455" s="5" t="s">
        <v>4879</v>
      </c>
      <c r="E5455" s="5" t="s">
        <v>4881</v>
      </c>
      <c r="F5455" s="5" t="s">
        <v>1643</v>
      </c>
      <c r="G5455" s="5" t="s">
        <v>1644</v>
      </c>
      <c r="H5455" s="5"/>
      <c r="I5455" s="6">
        <v>5130</v>
      </c>
    </row>
    <row r="5456" spans="1:9" x14ac:dyDescent="0.3">
      <c r="A5456" s="7" t="s">
        <v>4882</v>
      </c>
      <c r="H5456" s="8">
        <f>H5452+H5453+H5454+H5455</f>
        <v>5130</v>
      </c>
      <c r="I5456" s="8">
        <f>I5452+I5453+I5454+I5455</f>
        <v>5130</v>
      </c>
    </row>
    <row r="5457" spans="1:9" x14ac:dyDescent="0.3">
      <c r="A5457" s="4" t="s">
        <v>4883</v>
      </c>
    </row>
    <row r="5458" spans="1:9" x14ac:dyDescent="0.3">
      <c r="B5458" s="5" t="s">
        <v>4874</v>
      </c>
      <c r="C5458" s="5" t="s">
        <v>2745</v>
      </c>
      <c r="D5458" s="5" t="s">
        <v>2750</v>
      </c>
      <c r="E5458" s="5" t="s">
        <v>2750</v>
      </c>
      <c r="F5458" s="5" t="s">
        <v>2748</v>
      </c>
      <c r="G5458" s="5" t="s">
        <v>2749</v>
      </c>
      <c r="H5458" s="6">
        <v>1940</v>
      </c>
      <c r="I5458" s="5"/>
    </row>
    <row r="5459" spans="1:9" x14ac:dyDescent="0.3">
      <c r="B5459" s="5" t="s">
        <v>4874</v>
      </c>
      <c r="C5459" s="5" t="s">
        <v>2745</v>
      </c>
      <c r="D5459" s="5" t="s">
        <v>2750</v>
      </c>
      <c r="E5459" s="5" t="s">
        <v>2750</v>
      </c>
      <c r="F5459" s="5" t="s">
        <v>847</v>
      </c>
      <c r="G5459" s="5" t="s">
        <v>848</v>
      </c>
      <c r="H5459" s="5"/>
      <c r="I5459" s="6">
        <v>1940</v>
      </c>
    </row>
    <row r="5460" spans="1:9" x14ac:dyDescent="0.3">
      <c r="A5460" s="7" t="s">
        <v>4884</v>
      </c>
      <c r="H5460" s="8">
        <f>H5458+H5459</f>
        <v>1940</v>
      </c>
      <c r="I5460" s="8">
        <f>I5458+I5459</f>
        <v>1940</v>
      </c>
    </row>
    <row r="5461" spans="1:9" x14ac:dyDescent="0.3">
      <c r="A5461" s="4" t="s">
        <v>4885</v>
      </c>
    </row>
    <row r="5462" spans="1:9" x14ac:dyDescent="0.3">
      <c r="B5462" s="5" t="s">
        <v>4874</v>
      </c>
      <c r="C5462" s="5" t="s">
        <v>2745</v>
      </c>
      <c r="D5462" s="5" t="s">
        <v>2750</v>
      </c>
      <c r="E5462" s="5" t="s">
        <v>2750</v>
      </c>
      <c r="F5462" s="5" t="s">
        <v>2748</v>
      </c>
      <c r="G5462" s="5" t="s">
        <v>2749</v>
      </c>
      <c r="H5462" s="6">
        <v>3940</v>
      </c>
      <c r="I5462" s="5"/>
    </row>
    <row r="5463" spans="1:9" x14ac:dyDescent="0.3">
      <c r="B5463" s="5" t="s">
        <v>4874</v>
      </c>
      <c r="C5463" s="5" t="s">
        <v>2745</v>
      </c>
      <c r="D5463" s="5" t="s">
        <v>2750</v>
      </c>
      <c r="E5463" s="5" t="s">
        <v>2750</v>
      </c>
      <c r="F5463" s="5" t="s">
        <v>847</v>
      </c>
      <c r="G5463" s="5" t="s">
        <v>848</v>
      </c>
      <c r="H5463" s="5"/>
      <c r="I5463" s="6">
        <v>3940</v>
      </c>
    </row>
    <row r="5464" spans="1:9" x14ac:dyDescent="0.3">
      <c r="A5464" s="7" t="s">
        <v>4886</v>
      </c>
      <c r="H5464" s="8">
        <f>H5462+H5463</f>
        <v>3940</v>
      </c>
      <c r="I5464" s="8">
        <f>I5462+I5463</f>
        <v>3940</v>
      </c>
    </row>
    <row r="5465" spans="1:9" x14ac:dyDescent="0.3">
      <c r="A5465" s="4" t="s">
        <v>4887</v>
      </c>
    </row>
    <row r="5466" spans="1:9" x14ac:dyDescent="0.3">
      <c r="B5466" s="5" t="s">
        <v>4888</v>
      </c>
      <c r="C5466" s="5" t="s">
        <v>10</v>
      </c>
      <c r="D5466" s="5" t="s">
        <v>4889</v>
      </c>
      <c r="E5466" s="5" t="s">
        <v>4554</v>
      </c>
      <c r="F5466" s="5" t="s">
        <v>113</v>
      </c>
      <c r="G5466" s="5" t="s">
        <v>114</v>
      </c>
      <c r="H5466" s="6">
        <v>480</v>
      </c>
      <c r="I5466" s="5"/>
    </row>
    <row r="5467" spans="1:9" x14ac:dyDescent="0.3">
      <c r="B5467" s="5" t="s">
        <v>4888</v>
      </c>
      <c r="C5467" s="5" t="s">
        <v>10</v>
      </c>
      <c r="D5467" s="5" t="s">
        <v>4889</v>
      </c>
      <c r="E5467" s="5" t="s">
        <v>4554</v>
      </c>
      <c r="F5467" s="5" t="s">
        <v>1643</v>
      </c>
      <c r="G5467" s="5" t="s">
        <v>1644</v>
      </c>
      <c r="H5467" s="5"/>
      <c r="I5467" s="6">
        <v>480</v>
      </c>
    </row>
    <row r="5468" spans="1:9" x14ac:dyDescent="0.3">
      <c r="A5468" s="7" t="s">
        <v>4890</v>
      </c>
      <c r="H5468" s="8">
        <f>H5466+H5467</f>
        <v>480</v>
      </c>
      <c r="I5468" s="8">
        <f>I5466+I5467</f>
        <v>480</v>
      </c>
    </row>
    <row r="5469" spans="1:9" x14ac:dyDescent="0.3">
      <c r="A5469" s="4" t="s">
        <v>4891</v>
      </c>
    </row>
    <row r="5470" spans="1:9" x14ac:dyDescent="0.3">
      <c r="B5470" s="5" t="s">
        <v>4888</v>
      </c>
      <c r="C5470" s="5" t="s">
        <v>10</v>
      </c>
      <c r="D5470" s="5" t="s">
        <v>4892</v>
      </c>
      <c r="E5470" s="5" t="s">
        <v>572</v>
      </c>
      <c r="F5470" s="5" t="s">
        <v>61</v>
      </c>
      <c r="G5470" s="5" t="s">
        <v>62</v>
      </c>
      <c r="H5470" s="6">
        <v>110</v>
      </c>
      <c r="I5470" s="5"/>
    </row>
    <row r="5471" spans="1:9" x14ac:dyDescent="0.3">
      <c r="B5471" s="5" t="s">
        <v>4888</v>
      </c>
      <c r="C5471" s="5" t="s">
        <v>10</v>
      </c>
      <c r="D5471" s="5" t="s">
        <v>4892</v>
      </c>
      <c r="E5471" s="5" t="s">
        <v>572</v>
      </c>
      <c r="F5471" s="5" t="s">
        <v>1643</v>
      </c>
      <c r="G5471" s="5" t="s">
        <v>1644</v>
      </c>
      <c r="H5471" s="5"/>
      <c r="I5471" s="6">
        <v>110</v>
      </c>
    </row>
    <row r="5472" spans="1:9" x14ac:dyDescent="0.3">
      <c r="A5472" s="7" t="s">
        <v>4893</v>
      </c>
      <c r="H5472" s="8">
        <f>H5470+H5471</f>
        <v>110</v>
      </c>
      <c r="I5472" s="8">
        <f>I5470+I5471</f>
        <v>110</v>
      </c>
    </row>
    <row r="5473" spans="1:9" x14ac:dyDescent="0.3">
      <c r="A5473" s="4" t="s">
        <v>4894</v>
      </c>
    </row>
    <row r="5474" spans="1:9" x14ac:dyDescent="0.3">
      <c r="B5474" s="5" t="s">
        <v>4895</v>
      </c>
      <c r="C5474" s="5" t="s">
        <v>10</v>
      </c>
      <c r="D5474" s="5" t="s">
        <v>4896</v>
      </c>
      <c r="E5474" s="5" t="s">
        <v>4897</v>
      </c>
      <c r="F5474" s="5" t="s">
        <v>67</v>
      </c>
      <c r="G5474" s="5" t="s">
        <v>68</v>
      </c>
      <c r="H5474" s="6">
        <v>80</v>
      </c>
      <c r="I5474" s="5"/>
    </row>
    <row r="5475" spans="1:9" x14ac:dyDescent="0.3">
      <c r="B5475" s="5" t="s">
        <v>4895</v>
      </c>
      <c r="C5475" s="5" t="s">
        <v>10</v>
      </c>
      <c r="D5475" s="5" t="s">
        <v>4896</v>
      </c>
      <c r="E5475" s="5" t="s">
        <v>4897</v>
      </c>
      <c r="F5475" s="5" t="s">
        <v>1643</v>
      </c>
      <c r="G5475" s="5" t="s">
        <v>1644</v>
      </c>
      <c r="H5475" s="5"/>
      <c r="I5475" s="6">
        <v>80</v>
      </c>
    </row>
    <row r="5476" spans="1:9" x14ac:dyDescent="0.3">
      <c r="A5476" s="7" t="s">
        <v>4898</v>
      </c>
      <c r="H5476" s="8">
        <f>H5474+H5475</f>
        <v>80</v>
      </c>
      <c r="I5476" s="8">
        <f>I5474+I5475</f>
        <v>80</v>
      </c>
    </row>
    <row r="5477" spans="1:9" x14ac:dyDescent="0.3">
      <c r="A5477" s="4" t="s">
        <v>4899</v>
      </c>
    </row>
    <row r="5478" spans="1:9" x14ac:dyDescent="0.3">
      <c r="B5478" s="5" t="s">
        <v>4895</v>
      </c>
      <c r="C5478" s="5" t="s">
        <v>2745</v>
      </c>
      <c r="D5478" s="5" t="s">
        <v>2750</v>
      </c>
      <c r="E5478" s="5" t="s">
        <v>2750</v>
      </c>
      <c r="F5478" s="5" t="s">
        <v>2748</v>
      </c>
      <c r="G5478" s="5" t="s">
        <v>2749</v>
      </c>
      <c r="H5478" s="6">
        <v>1210</v>
      </c>
      <c r="I5478" s="5"/>
    </row>
    <row r="5479" spans="1:9" x14ac:dyDescent="0.3">
      <c r="B5479" s="5" t="s">
        <v>4895</v>
      </c>
      <c r="C5479" s="5" t="s">
        <v>2745</v>
      </c>
      <c r="D5479" s="5" t="s">
        <v>2750</v>
      </c>
      <c r="E5479" s="5" t="s">
        <v>2750</v>
      </c>
      <c r="F5479" s="5" t="s">
        <v>847</v>
      </c>
      <c r="G5479" s="5" t="s">
        <v>848</v>
      </c>
      <c r="H5479" s="5"/>
      <c r="I5479" s="6">
        <v>1210</v>
      </c>
    </row>
    <row r="5480" spans="1:9" x14ac:dyDescent="0.3">
      <c r="A5480" s="7" t="s">
        <v>4900</v>
      </c>
      <c r="H5480" s="8">
        <f>H5478+H5479</f>
        <v>1210</v>
      </c>
      <c r="I5480" s="8">
        <f>I5478+I5479</f>
        <v>1210</v>
      </c>
    </row>
    <row r="5481" spans="1:9" x14ac:dyDescent="0.3">
      <c r="A5481" s="4" t="s">
        <v>4901</v>
      </c>
    </row>
    <row r="5482" spans="1:9" x14ac:dyDescent="0.3">
      <c r="B5482" s="5" t="s">
        <v>4902</v>
      </c>
      <c r="C5482" s="5" t="s">
        <v>10</v>
      </c>
      <c r="D5482" s="5" t="s">
        <v>4903</v>
      </c>
      <c r="E5482" s="5" t="s">
        <v>4904</v>
      </c>
      <c r="F5482" s="5" t="s">
        <v>61</v>
      </c>
      <c r="G5482" s="5" t="s">
        <v>62</v>
      </c>
      <c r="H5482" s="6">
        <v>60</v>
      </c>
      <c r="I5482" s="5"/>
    </row>
    <row r="5483" spans="1:9" x14ac:dyDescent="0.3">
      <c r="B5483" s="5" t="s">
        <v>4902</v>
      </c>
      <c r="C5483" s="5" t="s">
        <v>10</v>
      </c>
      <c r="D5483" s="5" t="s">
        <v>4903</v>
      </c>
      <c r="E5483" s="5" t="s">
        <v>4904</v>
      </c>
      <c r="F5483" s="5" t="s">
        <v>1643</v>
      </c>
      <c r="G5483" s="5" t="s">
        <v>1644</v>
      </c>
      <c r="H5483" s="5"/>
      <c r="I5483" s="6">
        <v>60</v>
      </c>
    </row>
    <row r="5484" spans="1:9" x14ac:dyDescent="0.3">
      <c r="B5484" s="5" t="s">
        <v>4902</v>
      </c>
      <c r="C5484" s="5" t="s">
        <v>10</v>
      </c>
      <c r="D5484" s="5" t="s">
        <v>4903</v>
      </c>
      <c r="E5484" s="5" t="s">
        <v>4905</v>
      </c>
      <c r="F5484" s="5" t="s">
        <v>61</v>
      </c>
      <c r="G5484" s="5" t="s">
        <v>62</v>
      </c>
      <c r="H5484" s="6">
        <v>680</v>
      </c>
      <c r="I5484" s="5"/>
    </row>
    <row r="5485" spans="1:9" x14ac:dyDescent="0.3">
      <c r="B5485" s="5" t="s">
        <v>4902</v>
      </c>
      <c r="C5485" s="5" t="s">
        <v>10</v>
      </c>
      <c r="D5485" s="5" t="s">
        <v>4903</v>
      </c>
      <c r="E5485" s="5" t="s">
        <v>4906</v>
      </c>
      <c r="F5485" s="5" t="s">
        <v>113</v>
      </c>
      <c r="G5485" s="5" t="s">
        <v>114</v>
      </c>
      <c r="H5485" s="6">
        <v>1480</v>
      </c>
      <c r="I5485" s="5"/>
    </row>
    <row r="5486" spans="1:9" x14ac:dyDescent="0.3">
      <c r="B5486" s="5" t="s">
        <v>4902</v>
      </c>
      <c r="C5486" s="5" t="s">
        <v>10</v>
      </c>
      <c r="D5486" s="5" t="s">
        <v>4903</v>
      </c>
      <c r="E5486" s="5" t="s">
        <v>4907</v>
      </c>
      <c r="F5486" s="5" t="s">
        <v>1643</v>
      </c>
      <c r="G5486" s="5" t="s">
        <v>1644</v>
      </c>
      <c r="H5486" s="5"/>
      <c r="I5486" s="6">
        <v>2160</v>
      </c>
    </row>
    <row r="5487" spans="1:9" x14ac:dyDescent="0.3">
      <c r="B5487" s="5" t="s">
        <v>4902</v>
      </c>
      <c r="C5487" s="5" t="s">
        <v>10</v>
      </c>
      <c r="D5487" s="5" t="s">
        <v>4903</v>
      </c>
      <c r="E5487" s="5" t="s">
        <v>4908</v>
      </c>
      <c r="F5487" s="5" t="s">
        <v>67</v>
      </c>
      <c r="G5487" s="5" t="s">
        <v>68</v>
      </c>
      <c r="H5487" s="6">
        <v>140</v>
      </c>
      <c r="I5487" s="5"/>
    </row>
    <row r="5488" spans="1:9" x14ac:dyDescent="0.3">
      <c r="B5488" s="5" t="s">
        <v>4902</v>
      </c>
      <c r="C5488" s="5" t="s">
        <v>10</v>
      </c>
      <c r="D5488" s="5" t="s">
        <v>4903</v>
      </c>
      <c r="E5488" s="5" t="s">
        <v>4908</v>
      </c>
      <c r="F5488" s="5" t="s">
        <v>1643</v>
      </c>
      <c r="G5488" s="5" t="s">
        <v>1644</v>
      </c>
      <c r="H5488" s="5"/>
      <c r="I5488" s="6">
        <v>140</v>
      </c>
    </row>
    <row r="5489" spans="1:9" x14ac:dyDescent="0.3">
      <c r="A5489" s="7" t="s">
        <v>4909</v>
      </c>
      <c r="H5489" s="8">
        <f>H5482+H5483+H5484+H5485+H5486+H5487+H5488</f>
        <v>2360</v>
      </c>
      <c r="I5489" s="8">
        <f>I5482+I5483+I5484+I5485+I5486+I5487+I5488</f>
        <v>2360</v>
      </c>
    </row>
    <row r="5490" spans="1:9" x14ac:dyDescent="0.3">
      <c r="A5490" s="4" t="s">
        <v>4910</v>
      </c>
    </row>
    <row r="5491" spans="1:9" x14ac:dyDescent="0.3">
      <c r="B5491" s="5" t="s">
        <v>4902</v>
      </c>
      <c r="C5491" s="5" t="s">
        <v>10</v>
      </c>
      <c r="D5491" s="5" t="s">
        <v>4911</v>
      </c>
      <c r="E5491" s="5" t="s">
        <v>4912</v>
      </c>
      <c r="F5491" s="5" t="s">
        <v>1643</v>
      </c>
      <c r="G5491" s="5" t="s">
        <v>1644</v>
      </c>
      <c r="H5491" s="6">
        <v>50000</v>
      </c>
      <c r="I5491" s="5"/>
    </row>
    <row r="5492" spans="1:9" x14ac:dyDescent="0.3">
      <c r="B5492" s="5" t="s">
        <v>4902</v>
      </c>
      <c r="C5492" s="5" t="s">
        <v>10</v>
      </c>
      <c r="D5492" s="5" t="s">
        <v>4911</v>
      </c>
      <c r="E5492" s="5" t="s">
        <v>4912</v>
      </c>
      <c r="F5492" s="5" t="s">
        <v>2748</v>
      </c>
      <c r="G5492" s="5" t="s">
        <v>2749</v>
      </c>
      <c r="H5492" s="5"/>
      <c r="I5492" s="6">
        <v>50000</v>
      </c>
    </row>
    <row r="5493" spans="1:9" x14ac:dyDescent="0.3">
      <c r="A5493" s="7" t="s">
        <v>4913</v>
      </c>
      <c r="H5493" s="8">
        <f>H5491+H5492</f>
        <v>50000</v>
      </c>
      <c r="I5493" s="8">
        <f>I5491+I5492</f>
        <v>50000</v>
      </c>
    </row>
    <row r="5494" spans="1:9" x14ac:dyDescent="0.3">
      <c r="A5494" s="4" t="s">
        <v>4914</v>
      </c>
    </row>
    <row r="5495" spans="1:9" x14ac:dyDescent="0.3">
      <c r="B5495" s="5" t="s">
        <v>4902</v>
      </c>
      <c r="C5495" s="5" t="s">
        <v>10</v>
      </c>
      <c r="D5495" s="5" t="s">
        <v>4915</v>
      </c>
      <c r="E5495" s="5" t="s">
        <v>4916</v>
      </c>
      <c r="F5495" s="5" t="s">
        <v>87</v>
      </c>
      <c r="G5495" s="5" t="s">
        <v>88</v>
      </c>
      <c r="H5495" s="6">
        <v>28000</v>
      </c>
      <c r="I5495" s="5"/>
    </row>
    <row r="5496" spans="1:9" x14ac:dyDescent="0.3">
      <c r="B5496" s="5" t="s">
        <v>4902</v>
      </c>
      <c r="C5496" s="5" t="s">
        <v>10</v>
      </c>
      <c r="D5496" s="5" t="s">
        <v>4915</v>
      </c>
      <c r="E5496" s="5" t="s">
        <v>4916</v>
      </c>
      <c r="F5496" s="5" t="s">
        <v>1643</v>
      </c>
      <c r="G5496" s="5" t="s">
        <v>1644</v>
      </c>
      <c r="H5496" s="5"/>
      <c r="I5496" s="6">
        <v>28000</v>
      </c>
    </row>
    <row r="5497" spans="1:9" x14ac:dyDescent="0.3">
      <c r="A5497" s="7" t="s">
        <v>4917</v>
      </c>
      <c r="H5497" s="8">
        <f>H5495+H5496</f>
        <v>28000</v>
      </c>
      <c r="I5497" s="8">
        <f>I5495+I5496</f>
        <v>28000</v>
      </c>
    </row>
    <row r="5498" spans="1:9" x14ac:dyDescent="0.3">
      <c r="A5498" s="4" t="s">
        <v>4918</v>
      </c>
    </row>
    <row r="5499" spans="1:9" x14ac:dyDescent="0.3">
      <c r="B5499" s="5" t="s">
        <v>4902</v>
      </c>
      <c r="C5499" s="5" t="s">
        <v>2745</v>
      </c>
      <c r="D5499" s="5" t="s">
        <v>2750</v>
      </c>
      <c r="E5499" s="5" t="s">
        <v>2750</v>
      </c>
      <c r="F5499" s="5" t="s">
        <v>2748</v>
      </c>
      <c r="G5499" s="5" t="s">
        <v>2749</v>
      </c>
      <c r="H5499" s="6">
        <v>26000</v>
      </c>
      <c r="I5499" s="5"/>
    </row>
    <row r="5500" spans="1:9" x14ac:dyDescent="0.3">
      <c r="B5500" s="5" t="s">
        <v>4902</v>
      </c>
      <c r="C5500" s="5" t="s">
        <v>2745</v>
      </c>
      <c r="D5500" s="5" t="s">
        <v>2750</v>
      </c>
      <c r="E5500" s="5" t="s">
        <v>2750</v>
      </c>
      <c r="F5500" s="5" t="s">
        <v>847</v>
      </c>
      <c r="G5500" s="5" t="s">
        <v>848</v>
      </c>
      <c r="H5500" s="5"/>
      <c r="I5500" s="6">
        <v>26000</v>
      </c>
    </row>
    <row r="5501" spans="1:9" x14ac:dyDescent="0.3">
      <c r="A5501" s="7" t="s">
        <v>4919</v>
      </c>
      <c r="H5501" s="8">
        <f>H5499+H5500</f>
        <v>26000</v>
      </c>
      <c r="I5501" s="8">
        <f>I5499+I5500</f>
        <v>26000</v>
      </c>
    </row>
    <row r="5502" spans="1:9" x14ac:dyDescent="0.3">
      <c r="A5502" s="4" t="s">
        <v>4920</v>
      </c>
    </row>
    <row r="5503" spans="1:9" x14ac:dyDescent="0.3">
      <c r="B5503" s="5" t="s">
        <v>4902</v>
      </c>
      <c r="C5503" s="5" t="s">
        <v>2745</v>
      </c>
      <c r="D5503" s="5" t="s">
        <v>2750</v>
      </c>
      <c r="E5503" s="5" t="s">
        <v>2750</v>
      </c>
      <c r="F5503" s="5" t="s">
        <v>2748</v>
      </c>
      <c r="G5503" s="5" t="s">
        <v>2749</v>
      </c>
      <c r="H5503" s="6">
        <v>5800</v>
      </c>
      <c r="I5503" s="5"/>
    </row>
    <row r="5504" spans="1:9" x14ac:dyDescent="0.3">
      <c r="B5504" s="5" t="s">
        <v>4902</v>
      </c>
      <c r="C5504" s="5" t="s">
        <v>2745</v>
      </c>
      <c r="D5504" s="5" t="s">
        <v>2750</v>
      </c>
      <c r="E5504" s="5" t="s">
        <v>2750</v>
      </c>
      <c r="F5504" s="5" t="s">
        <v>847</v>
      </c>
      <c r="G5504" s="5" t="s">
        <v>848</v>
      </c>
      <c r="H5504" s="5"/>
      <c r="I5504" s="6">
        <v>5800</v>
      </c>
    </row>
    <row r="5505" spans="1:9" x14ac:dyDescent="0.3">
      <c r="A5505" s="7" t="s">
        <v>4921</v>
      </c>
      <c r="H5505" s="8">
        <f>H5503+H5504</f>
        <v>5800</v>
      </c>
      <c r="I5505" s="8">
        <f>I5503+I5504</f>
        <v>5800</v>
      </c>
    </row>
    <row r="5506" spans="1:9" x14ac:dyDescent="0.3">
      <c r="A5506" s="4" t="s">
        <v>4922</v>
      </c>
    </row>
    <row r="5507" spans="1:9" x14ac:dyDescent="0.3">
      <c r="B5507" s="5" t="s">
        <v>4902</v>
      </c>
      <c r="C5507" s="5" t="s">
        <v>2745</v>
      </c>
      <c r="D5507" s="5" t="s">
        <v>2750</v>
      </c>
      <c r="E5507" s="5" t="s">
        <v>2750</v>
      </c>
      <c r="F5507" s="5" t="s">
        <v>2748</v>
      </c>
      <c r="G5507" s="5" t="s">
        <v>2749</v>
      </c>
      <c r="H5507" s="6">
        <v>1680</v>
      </c>
      <c r="I5507" s="5"/>
    </row>
    <row r="5508" spans="1:9" x14ac:dyDescent="0.3">
      <c r="B5508" s="5" t="s">
        <v>4902</v>
      </c>
      <c r="C5508" s="5" t="s">
        <v>2745</v>
      </c>
      <c r="D5508" s="5" t="s">
        <v>2750</v>
      </c>
      <c r="E5508" s="5" t="s">
        <v>2750</v>
      </c>
      <c r="F5508" s="5" t="s">
        <v>847</v>
      </c>
      <c r="G5508" s="5" t="s">
        <v>848</v>
      </c>
      <c r="H5508" s="5"/>
      <c r="I5508" s="6">
        <v>1680</v>
      </c>
    </row>
    <row r="5509" spans="1:9" x14ac:dyDescent="0.3">
      <c r="A5509" s="7" t="s">
        <v>4923</v>
      </c>
      <c r="H5509" s="8">
        <f>H5507+H5508</f>
        <v>1680</v>
      </c>
      <c r="I5509" s="8">
        <f>I5507+I5508</f>
        <v>1680</v>
      </c>
    </row>
    <row r="5510" spans="1:9" x14ac:dyDescent="0.3">
      <c r="A5510" s="4" t="s">
        <v>4924</v>
      </c>
    </row>
    <row r="5511" spans="1:9" x14ac:dyDescent="0.3">
      <c r="B5511" s="5" t="s">
        <v>4902</v>
      </c>
      <c r="C5511" s="5" t="s">
        <v>2745</v>
      </c>
      <c r="D5511" s="5" t="s">
        <v>2750</v>
      </c>
      <c r="E5511" s="5" t="s">
        <v>2750</v>
      </c>
      <c r="F5511" s="5" t="s">
        <v>2748</v>
      </c>
      <c r="G5511" s="5" t="s">
        <v>2749</v>
      </c>
      <c r="H5511" s="6">
        <v>7870</v>
      </c>
      <c r="I5511" s="5"/>
    </row>
    <row r="5512" spans="1:9" x14ac:dyDescent="0.3">
      <c r="B5512" s="5" t="s">
        <v>4902</v>
      </c>
      <c r="C5512" s="5" t="s">
        <v>2745</v>
      </c>
      <c r="D5512" s="5" t="s">
        <v>2750</v>
      </c>
      <c r="E5512" s="5" t="s">
        <v>2750</v>
      </c>
      <c r="F5512" s="5" t="s">
        <v>847</v>
      </c>
      <c r="G5512" s="5" t="s">
        <v>848</v>
      </c>
      <c r="H5512" s="5"/>
      <c r="I5512" s="6">
        <v>7870</v>
      </c>
    </row>
    <row r="5513" spans="1:9" x14ac:dyDescent="0.3">
      <c r="A5513" s="7" t="s">
        <v>4925</v>
      </c>
      <c r="H5513" s="8">
        <f>H5511+H5512</f>
        <v>7870</v>
      </c>
      <c r="I5513" s="8">
        <f>I5511+I5512</f>
        <v>7870</v>
      </c>
    </row>
    <row r="5514" spans="1:9" x14ac:dyDescent="0.3">
      <c r="A5514" s="4" t="s">
        <v>4926</v>
      </c>
    </row>
    <row r="5515" spans="1:9" x14ac:dyDescent="0.3">
      <c r="B5515" s="5" t="s">
        <v>4927</v>
      </c>
      <c r="C5515" s="5" t="s">
        <v>10</v>
      </c>
      <c r="D5515" s="5" t="s">
        <v>4928</v>
      </c>
      <c r="E5515" s="5" t="s">
        <v>170</v>
      </c>
      <c r="F5515" s="5" t="s">
        <v>61</v>
      </c>
      <c r="G5515" s="5" t="s">
        <v>62</v>
      </c>
      <c r="H5515" s="6">
        <v>170</v>
      </c>
      <c r="I5515" s="5"/>
    </row>
    <row r="5516" spans="1:9" x14ac:dyDescent="0.3">
      <c r="B5516" s="5" t="s">
        <v>4927</v>
      </c>
      <c r="C5516" s="5" t="s">
        <v>10</v>
      </c>
      <c r="D5516" s="5" t="s">
        <v>4928</v>
      </c>
      <c r="E5516" s="5" t="s">
        <v>170</v>
      </c>
      <c r="F5516" s="5" t="s">
        <v>1643</v>
      </c>
      <c r="G5516" s="5" t="s">
        <v>1644</v>
      </c>
      <c r="H5516" s="5"/>
      <c r="I5516" s="6">
        <v>170</v>
      </c>
    </row>
    <row r="5517" spans="1:9" x14ac:dyDescent="0.3">
      <c r="A5517" s="7" t="s">
        <v>4929</v>
      </c>
      <c r="H5517" s="8">
        <f>H5515+H5516</f>
        <v>170</v>
      </c>
      <c r="I5517" s="8">
        <f>I5515+I5516</f>
        <v>170</v>
      </c>
    </row>
    <row r="5518" spans="1:9" x14ac:dyDescent="0.3">
      <c r="A5518" s="4" t="s">
        <v>4930</v>
      </c>
    </row>
    <row r="5519" spans="1:9" x14ac:dyDescent="0.3">
      <c r="B5519" s="5" t="s">
        <v>4931</v>
      </c>
      <c r="C5519" s="5" t="s">
        <v>10</v>
      </c>
      <c r="D5519" s="5" t="s">
        <v>4932</v>
      </c>
      <c r="E5519" s="5" t="s">
        <v>4933</v>
      </c>
      <c r="F5519" s="5" t="s">
        <v>67</v>
      </c>
      <c r="G5519" s="5" t="s">
        <v>68</v>
      </c>
      <c r="H5519" s="6">
        <v>700</v>
      </c>
      <c r="I5519" s="5"/>
    </row>
    <row r="5520" spans="1:9" x14ac:dyDescent="0.3">
      <c r="B5520" s="5" t="s">
        <v>4931</v>
      </c>
      <c r="C5520" s="5" t="s">
        <v>10</v>
      </c>
      <c r="D5520" s="5" t="s">
        <v>4932</v>
      </c>
      <c r="E5520" s="5" t="s">
        <v>4933</v>
      </c>
      <c r="F5520" s="5" t="s">
        <v>1643</v>
      </c>
      <c r="G5520" s="5" t="s">
        <v>1644</v>
      </c>
      <c r="H5520" s="5"/>
      <c r="I5520" s="6">
        <v>700</v>
      </c>
    </row>
    <row r="5521" spans="1:9" x14ac:dyDescent="0.3">
      <c r="A5521" s="7" t="s">
        <v>4934</v>
      </c>
      <c r="H5521" s="8">
        <f>H5519+H5520</f>
        <v>700</v>
      </c>
      <c r="I5521" s="8">
        <f>I5519+I5520</f>
        <v>700</v>
      </c>
    </row>
    <row r="5522" spans="1:9" x14ac:dyDescent="0.3">
      <c r="A5522" s="4" t="s">
        <v>4935</v>
      </c>
    </row>
    <row r="5523" spans="1:9" x14ac:dyDescent="0.3">
      <c r="B5523" s="5" t="s">
        <v>4931</v>
      </c>
      <c r="C5523" s="5" t="s">
        <v>10</v>
      </c>
      <c r="D5523" s="5" t="s">
        <v>4936</v>
      </c>
      <c r="E5523" s="5" t="s">
        <v>4937</v>
      </c>
      <c r="F5523" s="5" t="s">
        <v>81</v>
      </c>
      <c r="G5523" s="5" t="s">
        <v>82</v>
      </c>
      <c r="H5523" s="6">
        <v>4000</v>
      </c>
      <c r="I5523" s="5"/>
    </row>
    <row r="5524" spans="1:9" x14ac:dyDescent="0.3">
      <c r="B5524" s="5" t="s">
        <v>4931</v>
      </c>
      <c r="C5524" s="5" t="s">
        <v>10</v>
      </c>
      <c r="D5524" s="5" t="s">
        <v>4936</v>
      </c>
      <c r="E5524" s="5" t="s">
        <v>4938</v>
      </c>
      <c r="F5524" s="5" t="s">
        <v>113</v>
      </c>
      <c r="G5524" s="5" t="s">
        <v>114</v>
      </c>
      <c r="H5524" s="6">
        <v>1480</v>
      </c>
      <c r="I5524" s="5"/>
    </row>
    <row r="5525" spans="1:9" x14ac:dyDescent="0.3">
      <c r="B5525" s="5" t="s">
        <v>4931</v>
      </c>
      <c r="C5525" s="5" t="s">
        <v>10</v>
      </c>
      <c r="D5525" s="5" t="s">
        <v>4936</v>
      </c>
      <c r="E5525" s="5" t="s">
        <v>4939</v>
      </c>
      <c r="F5525" s="5" t="s">
        <v>1643</v>
      </c>
      <c r="G5525" s="5" t="s">
        <v>1644</v>
      </c>
      <c r="H5525" s="5"/>
      <c r="I5525" s="6">
        <v>5480</v>
      </c>
    </row>
    <row r="5526" spans="1:9" x14ac:dyDescent="0.3">
      <c r="A5526" s="7" t="s">
        <v>4940</v>
      </c>
      <c r="H5526" s="8">
        <f>H5523+H5524+H5525</f>
        <v>5480</v>
      </c>
      <c r="I5526" s="8">
        <f>I5523+I5524+I5525</f>
        <v>5480</v>
      </c>
    </row>
    <row r="5527" spans="1:9" x14ac:dyDescent="0.3">
      <c r="A5527" s="4" t="s">
        <v>4941</v>
      </c>
    </row>
    <row r="5528" spans="1:9" x14ac:dyDescent="0.3">
      <c r="B5528" s="5" t="s">
        <v>4931</v>
      </c>
      <c r="C5528" s="5" t="s">
        <v>10</v>
      </c>
      <c r="D5528" s="5" t="s">
        <v>4942</v>
      </c>
      <c r="E5528" s="5" t="s">
        <v>4943</v>
      </c>
      <c r="F5528" s="5" t="s">
        <v>67</v>
      </c>
      <c r="G5528" s="5" t="s">
        <v>68</v>
      </c>
      <c r="H5528" s="6">
        <v>90</v>
      </c>
      <c r="I5528" s="5"/>
    </row>
    <row r="5529" spans="1:9" x14ac:dyDescent="0.3">
      <c r="B5529" s="5" t="s">
        <v>4931</v>
      </c>
      <c r="C5529" s="5" t="s">
        <v>10</v>
      </c>
      <c r="D5529" s="5" t="s">
        <v>4942</v>
      </c>
      <c r="E5529" s="5" t="s">
        <v>4943</v>
      </c>
      <c r="F5529" s="5" t="s">
        <v>1643</v>
      </c>
      <c r="G5529" s="5" t="s">
        <v>1644</v>
      </c>
      <c r="H5529" s="5"/>
      <c r="I5529" s="6">
        <v>90</v>
      </c>
    </row>
    <row r="5530" spans="1:9" x14ac:dyDescent="0.3">
      <c r="B5530" s="5" t="s">
        <v>4931</v>
      </c>
      <c r="C5530" s="5" t="s">
        <v>10</v>
      </c>
      <c r="D5530" s="5" t="s">
        <v>4942</v>
      </c>
      <c r="E5530" s="5" t="s">
        <v>4944</v>
      </c>
      <c r="F5530" s="5" t="s">
        <v>67</v>
      </c>
      <c r="G5530" s="5" t="s">
        <v>68</v>
      </c>
      <c r="H5530" s="6">
        <v>280</v>
      </c>
      <c r="I5530" s="5"/>
    </row>
    <row r="5531" spans="1:9" x14ac:dyDescent="0.3">
      <c r="B5531" s="5" t="s">
        <v>4931</v>
      </c>
      <c r="C5531" s="5" t="s">
        <v>10</v>
      </c>
      <c r="D5531" s="5" t="s">
        <v>4942</v>
      </c>
      <c r="E5531" s="5" t="s">
        <v>4944</v>
      </c>
      <c r="F5531" s="5" t="s">
        <v>1643</v>
      </c>
      <c r="G5531" s="5" t="s">
        <v>1644</v>
      </c>
      <c r="H5531" s="5"/>
      <c r="I5531" s="6">
        <v>280</v>
      </c>
    </row>
    <row r="5532" spans="1:9" x14ac:dyDescent="0.3">
      <c r="A5532" s="7" t="s">
        <v>4945</v>
      </c>
      <c r="H5532" s="8">
        <f>H5528+H5529+H5530+H5531</f>
        <v>370</v>
      </c>
      <c r="I5532" s="8">
        <f>I5528+I5529+I5530+I5531</f>
        <v>370</v>
      </c>
    </row>
    <row r="5533" spans="1:9" x14ac:dyDescent="0.3">
      <c r="A5533" s="4" t="s">
        <v>4946</v>
      </c>
    </row>
    <row r="5534" spans="1:9" x14ac:dyDescent="0.3">
      <c r="B5534" s="5" t="s">
        <v>4931</v>
      </c>
      <c r="C5534" s="5" t="s">
        <v>10</v>
      </c>
      <c r="D5534" s="5" t="s">
        <v>4947</v>
      </c>
      <c r="E5534" s="5" t="s">
        <v>1634</v>
      </c>
      <c r="F5534" s="5" t="s">
        <v>116</v>
      </c>
      <c r="G5534" s="5" t="s">
        <v>117</v>
      </c>
      <c r="H5534" s="6">
        <v>1000</v>
      </c>
      <c r="I5534" s="5"/>
    </row>
    <row r="5535" spans="1:9" x14ac:dyDescent="0.3">
      <c r="B5535" s="5" t="s">
        <v>4931</v>
      </c>
      <c r="C5535" s="5" t="s">
        <v>10</v>
      </c>
      <c r="D5535" s="5" t="s">
        <v>4947</v>
      </c>
      <c r="E5535" s="5" t="s">
        <v>1634</v>
      </c>
      <c r="F5535" s="5" t="s">
        <v>1643</v>
      </c>
      <c r="G5535" s="5" t="s">
        <v>1644</v>
      </c>
      <c r="H5535" s="5"/>
      <c r="I5535" s="6">
        <v>1000</v>
      </c>
    </row>
    <row r="5536" spans="1:9" x14ac:dyDescent="0.3">
      <c r="A5536" s="7" t="s">
        <v>4948</v>
      </c>
      <c r="H5536" s="8">
        <f>H5534+H5535</f>
        <v>1000</v>
      </c>
      <c r="I5536" s="8">
        <f>I5534+I5535</f>
        <v>1000</v>
      </c>
    </row>
    <row r="5537" spans="1:9" x14ac:dyDescent="0.3">
      <c r="A5537" s="4" t="s">
        <v>4949</v>
      </c>
    </row>
    <row r="5538" spans="1:9" x14ac:dyDescent="0.3">
      <c r="B5538" s="5" t="s">
        <v>4950</v>
      </c>
      <c r="C5538" s="5" t="s">
        <v>10</v>
      </c>
      <c r="D5538" s="5" t="s">
        <v>4951</v>
      </c>
      <c r="E5538" s="5" t="s">
        <v>4952</v>
      </c>
      <c r="F5538" s="5" t="s">
        <v>61</v>
      </c>
      <c r="G5538" s="5" t="s">
        <v>62</v>
      </c>
      <c r="H5538" s="6">
        <v>60</v>
      </c>
      <c r="I5538" s="5"/>
    </row>
    <row r="5539" spans="1:9" x14ac:dyDescent="0.3">
      <c r="B5539" s="5" t="s">
        <v>4950</v>
      </c>
      <c r="C5539" s="5" t="s">
        <v>10</v>
      </c>
      <c r="D5539" s="5" t="s">
        <v>4951</v>
      </c>
      <c r="E5539" s="5" t="s">
        <v>4952</v>
      </c>
      <c r="F5539" s="5" t="s">
        <v>1643</v>
      </c>
      <c r="G5539" s="5" t="s">
        <v>1644</v>
      </c>
      <c r="H5539" s="5"/>
      <c r="I5539" s="6">
        <v>60</v>
      </c>
    </row>
    <row r="5540" spans="1:9" x14ac:dyDescent="0.3">
      <c r="A5540" s="7" t="s">
        <v>4953</v>
      </c>
      <c r="H5540" s="8">
        <f>H5538+H5539</f>
        <v>60</v>
      </c>
      <c r="I5540" s="8">
        <f>I5538+I5539</f>
        <v>60</v>
      </c>
    </row>
    <row r="5541" spans="1:9" x14ac:dyDescent="0.3">
      <c r="A5541" s="4" t="s">
        <v>4954</v>
      </c>
    </row>
    <row r="5542" spans="1:9" x14ac:dyDescent="0.3">
      <c r="B5542" s="5" t="s">
        <v>4950</v>
      </c>
      <c r="C5542" s="5" t="s">
        <v>10</v>
      </c>
      <c r="D5542" s="5" t="s">
        <v>4955</v>
      </c>
      <c r="E5542" s="5" t="s">
        <v>4956</v>
      </c>
      <c r="F5542" s="5" t="s">
        <v>116</v>
      </c>
      <c r="G5542" s="5" t="s">
        <v>117</v>
      </c>
      <c r="H5542" s="6">
        <v>1000</v>
      </c>
      <c r="I5542" s="5"/>
    </row>
    <row r="5543" spans="1:9" x14ac:dyDescent="0.3">
      <c r="B5543" s="5" t="s">
        <v>4950</v>
      </c>
      <c r="C5543" s="5" t="s">
        <v>10</v>
      </c>
      <c r="D5543" s="5" t="s">
        <v>4955</v>
      </c>
      <c r="E5543" s="5" t="s">
        <v>4938</v>
      </c>
      <c r="F5543" s="5" t="s">
        <v>113</v>
      </c>
      <c r="G5543" s="5" t="s">
        <v>114</v>
      </c>
      <c r="H5543" s="6">
        <v>460</v>
      </c>
      <c r="I5543" s="5"/>
    </row>
    <row r="5544" spans="1:9" x14ac:dyDescent="0.3">
      <c r="B5544" s="5" t="s">
        <v>4950</v>
      </c>
      <c r="C5544" s="5" t="s">
        <v>10</v>
      </c>
      <c r="D5544" s="5" t="s">
        <v>4955</v>
      </c>
      <c r="E5544" s="5" t="s">
        <v>4957</v>
      </c>
      <c r="F5544" s="5" t="s">
        <v>1643</v>
      </c>
      <c r="G5544" s="5" t="s">
        <v>1644</v>
      </c>
      <c r="H5544" s="5"/>
      <c r="I5544" s="6">
        <v>1460</v>
      </c>
    </row>
    <row r="5545" spans="1:9" x14ac:dyDescent="0.3">
      <c r="A5545" s="7" t="s">
        <v>4958</v>
      </c>
      <c r="H5545" s="8">
        <f>H5542+H5543+H5544</f>
        <v>1460</v>
      </c>
      <c r="I5545" s="8">
        <f>I5542+I5543+I5544</f>
        <v>1460</v>
      </c>
    </row>
    <row r="5546" spans="1:9" x14ac:dyDescent="0.3">
      <c r="A5546" s="4" t="s">
        <v>4959</v>
      </c>
    </row>
    <row r="5547" spans="1:9" x14ac:dyDescent="0.3">
      <c r="B5547" s="5" t="s">
        <v>4950</v>
      </c>
      <c r="C5547" s="5" t="s">
        <v>10</v>
      </c>
      <c r="D5547" s="5" t="s">
        <v>4960</v>
      </c>
      <c r="E5547" s="5" t="s">
        <v>4961</v>
      </c>
      <c r="F5547" s="5" t="s">
        <v>129</v>
      </c>
      <c r="G5547" s="5" t="s">
        <v>130</v>
      </c>
      <c r="H5547" s="6">
        <v>440</v>
      </c>
      <c r="I5547" s="5"/>
    </row>
    <row r="5548" spans="1:9" x14ac:dyDescent="0.3">
      <c r="B5548" s="5" t="s">
        <v>4950</v>
      </c>
      <c r="C5548" s="5" t="s">
        <v>10</v>
      </c>
      <c r="D5548" s="5" t="s">
        <v>4960</v>
      </c>
      <c r="E5548" s="5" t="s">
        <v>4961</v>
      </c>
      <c r="F5548" s="5" t="s">
        <v>1643</v>
      </c>
      <c r="G5548" s="5" t="s">
        <v>1644</v>
      </c>
      <c r="H5548" s="5"/>
      <c r="I5548" s="6">
        <v>440</v>
      </c>
    </row>
    <row r="5549" spans="1:9" x14ac:dyDescent="0.3">
      <c r="A5549" s="7" t="s">
        <v>4962</v>
      </c>
      <c r="H5549" s="8">
        <f>H5547+H5548</f>
        <v>440</v>
      </c>
      <c r="I5549" s="8">
        <f>I5547+I5548</f>
        <v>440</v>
      </c>
    </row>
    <row r="5550" spans="1:9" x14ac:dyDescent="0.3">
      <c r="A5550" s="4" t="s">
        <v>4963</v>
      </c>
    </row>
    <row r="5551" spans="1:9" x14ac:dyDescent="0.3">
      <c r="B5551" s="5" t="s">
        <v>4950</v>
      </c>
      <c r="C5551" s="5" t="s">
        <v>10</v>
      </c>
      <c r="D5551" s="5" t="s">
        <v>4964</v>
      </c>
      <c r="E5551" s="5" t="s">
        <v>1634</v>
      </c>
      <c r="F5551" s="5" t="s">
        <v>116</v>
      </c>
      <c r="G5551" s="5" t="s">
        <v>117</v>
      </c>
      <c r="H5551" s="6">
        <v>1000</v>
      </c>
      <c r="I5551" s="5"/>
    </row>
    <row r="5552" spans="1:9" x14ac:dyDescent="0.3">
      <c r="B5552" s="5" t="s">
        <v>4950</v>
      </c>
      <c r="C5552" s="5" t="s">
        <v>10</v>
      </c>
      <c r="D5552" s="5" t="s">
        <v>4964</v>
      </c>
      <c r="E5552" s="5" t="s">
        <v>4965</v>
      </c>
      <c r="F5552" s="5" t="s">
        <v>61</v>
      </c>
      <c r="G5552" s="5" t="s">
        <v>62</v>
      </c>
      <c r="H5552" s="6">
        <v>180</v>
      </c>
      <c r="I5552" s="5"/>
    </row>
    <row r="5553" spans="1:9" x14ac:dyDescent="0.3">
      <c r="B5553" s="5" t="s">
        <v>4950</v>
      </c>
      <c r="C5553" s="5" t="s">
        <v>10</v>
      </c>
      <c r="D5553" s="5" t="s">
        <v>4964</v>
      </c>
      <c r="E5553" s="5" t="s">
        <v>4966</v>
      </c>
      <c r="F5553" s="5" t="s">
        <v>1643</v>
      </c>
      <c r="G5553" s="5" t="s">
        <v>1644</v>
      </c>
      <c r="H5553" s="5"/>
      <c r="I5553" s="6">
        <v>1180</v>
      </c>
    </row>
    <row r="5554" spans="1:9" x14ac:dyDescent="0.3">
      <c r="A5554" s="7" t="s">
        <v>4967</v>
      </c>
      <c r="H5554" s="8">
        <f>H5551+H5552+H5553</f>
        <v>1180</v>
      </c>
      <c r="I5554" s="8">
        <f>I5551+I5552+I5553</f>
        <v>1180</v>
      </c>
    </row>
    <row r="5555" spans="1:9" x14ac:dyDescent="0.3">
      <c r="A5555" s="4" t="s">
        <v>4968</v>
      </c>
    </row>
    <row r="5556" spans="1:9" x14ac:dyDescent="0.3">
      <c r="B5556" s="5" t="s">
        <v>4950</v>
      </c>
      <c r="C5556" s="5" t="s">
        <v>10</v>
      </c>
      <c r="D5556" s="5" t="s">
        <v>4969</v>
      </c>
      <c r="E5556" s="5" t="s">
        <v>4970</v>
      </c>
      <c r="F5556" s="5" t="s">
        <v>61</v>
      </c>
      <c r="G5556" s="5" t="s">
        <v>62</v>
      </c>
      <c r="H5556" s="6">
        <v>140</v>
      </c>
      <c r="I5556" s="5"/>
    </row>
    <row r="5557" spans="1:9" x14ac:dyDescent="0.3">
      <c r="B5557" s="5" t="s">
        <v>4950</v>
      </c>
      <c r="C5557" s="5" t="s">
        <v>10</v>
      </c>
      <c r="D5557" s="5" t="s">
        <v>4969</v>
      </c>
      <c r="E5557" s="5" t="s">
        <v>4970</v>
      </c>
      <c r="F5557" s="5" t="s">
        <v>1643</v>
      </c>
      <c r="G5557" s="5" t="s">
        <v>1644</v>
      </c>
      <c r="H5557" s="5"/>
      <c r="I5557" s="6">
        <v>140</v>
      </c>
    </row>
    <row r="5558" spans="1:9" x14ac:dyDescent="0.3">
      <c r="A5558" s="7" t="s">
        <v>4971</v>
      </c>
      <c r="H5558" s="8">
        <f>H5556+H5557</f>
        <v>140</v>
      </c>
      <c r="I5558" s="8">
        <f>I5556+I5557</f>
        <v>140</v>
      </c>
    </row>
    <row r="5559" spans="1:9" x14ac:dyDescent="0.3">
      <c r="A5559" s="4" t="s">
        <v>4972</v>
      </c>
    </row>
    <row r="5560" spans="1:9" x14ac:dyDescent="0.3">
      <c r="B5560" s="5" t="s">
        <v>4950</v>
      </c>
      <c r="C5560" s="5" t="s">
        <v>10</v>
      </c>
      <c r="D5560" s="5" t="s">
        <v>4973</v>
      </c>
      <c r="E5560" s="5" t="s">
        <v>4974</v>
      </c>
      <c r="F5560" s="5" t="s">
        <v>61</v>
      </c>
      <c r="G5560" s="5" t="s">
        <v>62</v>
      </c>
      <c r="H5560" s="6">
        <v>215</v>
      </c>
      <c r="I5560" s="5"/>
    </row>
    <row r="5561" spans="1:9" x14ac:dyDescent="0.3">
      <c r="B5561" s="5" t="s">
        <v>4950</v>
      </c>
      <c r="C5561" s="5" t="s">
        <v>10</v>
      </c>
      <c r="D5561" s="5" t="s">
        <v>4973</v>
      </c>
      <c r="E5561" s="5" t="s">
        <v>4974</v>
      </c>
      <c r="F5561" s="5" t="s">
        <v>61</v>
      </c>
      <c r="G5561" s="5" t="s">
        <v>62</v>
      </c>
      <c r="H5561" s="6">
        <v>215</v>
      </c>
      <c r="I5561" s="5"/>
    </row>
    <row r="5562" spans="1:9" x14ac:dyDescent="0.3">
      <c r="B5562" s="5" t="s">
        <v>4950</v>
      </c>
      <c r="C5562" s="5" t="s">
        <v>10</v>
      </c>
      <c r="D5562" s="5" t="s">
        <v>4973</v>
      </c>
      <c r="E5562" s="5" t="s">
        <v>4975</v>
      </c>
      <c r="F5562" s="5" t="s">
        <v>4976</v>
      </c>
      <c r="G5562" s="5" t="s">
        <v>4977</v>
      </c>
      <c r="H5562" s="6">
        <v>3500</v>
      </c>
      <c r="I5562" s="5"/>
    </row>
    <row r="5563" spans="1:9" x14ac:dyDescent="0.3">
      <c r="B5563" s="5" t="s">
        <v>4950</v>
      </c>
      <c r="C5563" s="5" t="s">
        <v>10</v>
      </c>
      <c r="D5563" s="5" t="s">
        <v>4973</v>
      </c>
      <c r="E5563" s="5" t="s">
        <v>4975</v>
      </c>
      <c r="F5563" s="5" t="s">
        <v>4976</v>
      </c>
      <c r="G5563" s="5" t="s">
        <v>4977</v>
      </c>
      <c r="H5563" s="6">
        <v>3500</v>
      </c>
      <c r="I5563" s="5"/>
    </row>
    <row r="5564" spans="1:9" x14ac:dyDescent="0.3">
      <c r="B5564" s="5" t="s">
        <v>4950</v>
      </c>
      <c r="C5564" s="5" t="s">
        <v>10</v>
      </c>
      <c r="D5564" s="5" t="s">
        <v>4973</v>
      </c>
      <c r="E5564" s="5" t="s">
        <v>4978</v>
      </c>
      <c r="F5564" s="5" t="s">
        <v>67</v>
      </c>
      <c r="G5564" s="5" t="s">
        <v>68</v>
      </c>
      <c r="H5564" s="6">
        <v>805</v>
      </c>
      <c r="I5564" s="5"/>
    </row>
    <row r="5565" spans="1:9" x14ac:dyDescent="0.3">
      <c r="B5565" s="5" t="s">
        <v>4950</v>
      </c>
      <c r="C5565" s="5" t="s">
        <v>10</v>
      </c>
      <c r="D5565" s="5" t="s">
        <v>4973</v>
      </c>
      <c r="E5565" s="5" t="s">
        <v>4978</v>
      </c>
      <c r="F5565" s="5" t="s">
        <v>67</v>
      </c>
      <c r="G5565" s="5" t="s">
        <v>68</v>
      </c>
      <c r="H5565" s="6">
        <v>805</v>
      </c>
      <c r="I5565" s="5"/>
    </row>
    <row r="5566" spans="1:9" x14ac:dyDescent="0.3">
      <c r="B5566" s="5" t="s">
        <v>4950</v>
      </c>
      <c r="C5566" s="5" t="s">
        <v>10</v>
      </c>
      <c r="D5566" s="5" t="s">
        <v>4973</v>
      </c>
      <c r="E5566" s="5" t="s">
        <v>4666</v>
      </c>
      <c r="F5566" s="5" t="s">
        <v>95</v>
      </c>
      <c r="G5566" s="5" t="s">
        <v>96</v>
      </c>
      <c r="H5566" s="6">
        <v>150</v>
      </c>
      <c r="I5566" s="5"/>
    </row>
    <row r="5567" spans="1:9" x14ac:dyDescent="0.3">
      <c r="B5567" s="5" t="s">
        <v>4950</v>
      </c>
      <c r="C5567" s="5" t="s">
        <v>10</v>
      </c>
      <c r="D5567" s="5" t="s">
        <v>4973</v>
      </c>
      <c r="E5567" s="5" t="s">
        <v>4979</v>
      </c>
      <c r="F5567" s="5" t="s">
        <v>1643</v>
      </c>
      <c r="G5567" s="5" t="s">
        <v>1644</v>
      </c>
      <c r="H5567" s="6">
        <v>810</v>
      </c>
      <c r="I5567" s="5"/>
    </row>
    <row r="5568" spans="1:9" x14ac:dyDescent="0.3">
      <c r="B5568" s="5" t="s">
        <v>4950</v>
      </c>
      <c r="C5568" s="5" t="s">
        <v>10</v>
      </c>
      <c r="D5568" s="5" t="s">
        <v>4973</v>
      </c>
      <c r="E5568" s="5" t="s">
        <v>4980</v>
      </c>
      <c r="F5568" s="5" t="s">
        <v>445</v>
      </c>
      <c r="G5568" s="5" t="s">
        <v>446</v>
      </c>
      <c r="H5568" s="5"/>
      <c r="I5568" s="6">
        <v>10000</v>
      </c>
    </row>
    <row r="5569" spans="1:9" x14ac:dyDescent="0.3">
      <c r="A5569" s="7" t="s">
        <v>4981</v>
      </c>
      <c r="H5569" s="8">
        <f>H5560+H5561+H5562+H5563+H5564+H5565+H5566+H5567+H5568</f>
        <v>10000</v>
      </c>
      <c r="I5569" s="8">
        <f>I5560+I5561+I5562+I5563+I5564+I5565+I5566+I5567+I5568</f>
        <v>10000</v>
      </c>
    </row>
    <row r="5570" spans="1:9" x14ac:dyDescent="0.3">
      <c r="A5570" s="4" t="s">
        <v>4982</v>
      </c>
    </row>
    <row r="5571" spans="1:9" x14ac:dyDescent="0.3">
      <c r="B5571" s="5" t="s">
        <v>4950</v>
      </c>
      <c r="C5571" s="5" t="s">
        <v>10</v>
      </c>
      <c r="D5571" s="5" t="s">
        <v>4983</v>
      </c>
      <c r="E5571" s="5" t="s">
        <v>4984</v>
      </c>
      <c r="F5571" s="5" t="s">
        <v>1339</v>
      </c>
      <c r="G5571" s="5" t="s">
        <v>1340</v>
      </c>
      <c r="H5571" s="6">
        <v>13005</v>
      </c>
      <c r="I5571" s="5"/>
    </row>
    <row r="5572" spans="1:9" x14ac:dyDescent="0.3">
      <c r="B5572" s="5" t="s">
        <v>4950</v>
      </c>
      <c r="C5572" s="5" t="s">
        <v>10</v>
      </c>
      <c r="D5572" s="5" t="s">
        <v>4983</v>
      </c>
      <c r="E5572" s="5" t="s">
        <v>4985</v>
      </c>
      <c r="F5572" s="5" t="s">
        <v>1339</v>
      </c>
      <c r="G5572" s="5" t="s">
        <v>1340</v>
      </c>
      <c r="H5572" s="6">
        <v>6000</v>
      </c>
      <c r="I5572" s="5"/>
    </row>
    <row r="5573" spans="1:9" x14ac:dyDescent="0.3">
      <c r="B5573" s="5" t="s">
        <v>4950</v>
      </c>
      <c r="C5573" s="5" t="s">
        <v>10</v>
      </c>
      <c r="D5573" s="5" t="s">
        <v>4983</v>
      </c>
      <c r="E5573" s="5" t="s">
        <v>4986</v>
      </c>
      <c r="F5573" s="5" t="s">
        <v>1339</v>
      </c>
      <c r="G5573" s="5" t="s">
        <v>1340</v>
      </c>
      <c r="H5573" s="6">
        <v>6000</v>
      </c>
      <c r="I5573" s="5"/>
    </row>
    <row r="5574" spans="1:9" x14ac:dyDescent="0.3">
      <c r="B5574" s="5" t="s">
        <v>4950</v>
      </c>
      <c r="C5574" s="5" t="s">
        <v>10</v>
      </c>
      <c r="D5574" s="5" t="s">
        <v>4983</v>
      </c>
      <c r="E5574" s="5" t="s">
        <v>4986</v>
      </c>
      <c r="F5574" s="5" t="s">
        <v>437</v>
      </c>
      <c r="G5574" s="5" t="s">
        <v>438</v>
      </c>
      <c r="H5574" s="6">
        <v>23032</v>
      </c>
      <c r="I5574" s="5"/>
    </row>
    <row r="5575" spans="1:9" x14ac:dyDescent="0.3">
      <c r="B5575" s="5" t="s">
        <v>4950</v>
      </c>
      <c r="C5575" s="5" t="s">
        <v>10</v>
      </c>
      <c r="D5575" s="5" t="s">
        <v>4983</v>
      </c>
      <c r="E5575" s="5" t="s">
        <v>4985</v>
      </c>
      <c r="F5575" s="5" t="s">
        <v>437</v>
      </c>
      <c r="G5575" s="5" t="s">
        <v>438</v>
      </c>
      <c r="H5575" s="6">
        <v>6000</v>
      </c>
      <c r="I5575" s="5"/>
    </row>
    <row r="5576" spans="1:9" x14ac:dyDescent="0.3">
      <c r="B5576" s="5" t="s">
        <v>4950</v>
      </c>
      <c r="C5576" s="5" t="s">
        <v>10</v>
      </c>
      <c r="D5576" s="5" t="s">
        <v>4983</v>
      </c>
      <c r="E5576" s="5" t="s">
        <v>4987</v>
      </c>
      <c r="F5576" s="5" t="s">
        <v>437</v>
      </c>
      <c r="G5576" s="5" t="s">
        <v>438</v>
      </c>
      <c r="H5576" s="6">
        <v>333366</v>
      </c>
      <c r="I5576" s="5"/>
    </row>
    <row r="5577" spans="1:9" x14ac:dyDescent="0.3">
      <c r="B5577" s="5" t="s">
        <v>4950</v>
      </c>
      <c r="C5577" s="5" t="s">
        <v>10</v>
      </c>
      <c r="D5577" s="5" t="s">
        <v>4983</v>
      </c>
      <c r="E5577" s="5" t="s">
        <v>4987</v>
      </c>
      <c r="F5577" s="5" t="s">
        <v>1343</v>
      </c>
      <c r="G5577" s="5" t="s">
        <v>1344</v>
      </c>
      <c r="H5577" s="5"/>
      <c r="I5577" s="6">
        <v>118142</v>
      </c>
    </row>
    <row r="5578" spans="1:9" x14ac:dyDescent="0.3">
      <c r="B5578" s="5" t="s">
        <v>4950</v>
      </c>
      <c r="C5578" s="5" t="s">
        <v>10</v>
      </c>
      <c r="D5578" s="5" t="s">
        <v>4983</v>
      </c>
      <c r="E5578" s="5" t="s">
        <v>4987</v>
      </c>
      <c r="F5578" s="5" t="s">
        <v>4988</v>
      </c>
      <c r="G5578" s="5" t="s">
        <v>4989</v>
      </c>
      <c r="H5578" s="5"/>
      <c r="I5578" s="6">
        <v>51906</v>
      </c>
    </row>
    <row r="5579" spans="1:9" x14ac:dyDescent="0.3">
      <c r="B5579" s="5" t="s">
        <v>4950</v>
      </c>
      <c r="C5579" s="5" t="s">
        <v>10</v>
      </c>
      <c r="D5579" s="5" t="s">
        <v>4983</v>
      </c>
      <c r="E5579" s="5" t="s">
        <v>4987</v>
      </c>
      <c r="F5579" s="5" t="s">
        <v>443</v>
      </c>
      <c r="G5579" s="5" t="s">
        <v>444</v>
      </c>
      <c r="H5579" s="5"/>
      <c r="I5579" s="6">
        <v>23600</v>
      </c>
    </row>
    <row r="5580" spans="1:9" x14ac:dyDescent="0.3">
      <c r="B5580" s="5" t="s">
        <v>4950</v>
      </c>
      <c r="C5580" s="5" t="s">
        <v>10</v>
      </c>
      <c r="D5580" s="5" t="s">
        <v>4983</v>
      </c>
      <c r="E5580" s="5" t="s">
        <v>4987</v>
      </c>
      <c r="F5580" s="5" t="s">
        <v>445</v>
      </c>
      <c r="G5580" s="5" t="s">
        <v>446</v>
      </c>
      <c r="H5580" s="5"/>
      <c r="I5580" s="6">
        <v>23600</v>
      </c>
    </row>
    <row r="5581" spans="1:9" x14ac:dyDescent="0.3">
      <c r="B5581" s="5" t="s">
        <v>4950</v>
      </c>
      <c r="C5581" s="5" t="s">
        <v>10</v>
      </c>
      <c r="D5581" s="5" t="s">
        <v>4983</v>
      </c>
      <c r="E5581" s="5" t="s">
        <v>4987</v>
      </c>
      <c r="F5581" s="5" t="s">
        <v>549</v>
      </c>
      <c r="G5581" s="5" t="s">
        <v>550</v>
      </c>
      <c r="H5581" s="5"/>
      <c r="I5581" s="6">
        <v>30000</v>
      </c>
    </row>
    <row r="5582" spans="1:9" x14ac:dyDescent="0.3">
      <c r="B5582" s="5" t="s">
        <v>4950</v>
      </c>
      <c r="C5582" s="5" t="s">
        <v>10</v>
      </c>
      <c r="D5582" s="5" t="s">
        <v>4983</v>
      </c>
      <c r="E5582" s="5" t="s">
        <v>4987</v>
      </c>
      <c r="F5582" s="5" t="s">
        <v>449</v>
      </c>
      <c r="G5582" s="5" t="s">
        <v>450</v>
      </c>
      <c r="H5582" s="5"/>
      <c r="I5582" s="6">
        <v>6960</v>
      </c>
    </row>
    <row r="5583" spans="1:9" x14ac:dyDescent="0.3">
      <c r="B5583" s="5" t="s">
        <v>4950</v>
      </c>
      <c r="C5583" s="5" t="s">
        <v>10</v>
      </c>
      <c r="D5583" s="5" t="s">
        <v>4983</v>
      </c>
      <c r="E5583" s="5" t="s">
        <v>4987</v>
      </c>
      <c r="F5583" s="5" t="s">
        <v>453</v>
      </c>
      <c r="G5583" s="5" t="s">
        <v>454</v>
      </c>
      <c r="H5583" s="5"/>
      <c r="I5583" s="6">
        <v>6960</v>
      </c>
    </row>
    <row r="5584" spans="1:9" x14ac:dyDescent="0.3">
      <c r="B5584" s="5" t="s">
        <v>4950</v>
      </c>
      <c r="C5584" s="5" t="s">
        <v>10</v>
      </c>
      <c r="D5584" s="5" t="s">
        <v>4983</v>
      </c>
      <c r="E5584" s="5" t="s">
        <v>4987</v>
      </c>
      <c r="F5584" s="5" t="s">
        <v>451</v>
      </c>
      <c r="G5584" s="5" t="s">
        <v>452</v>
      </c>
      <c r="H5584" s="5"/>
      <c r="I5584" s="6">
        <v>6960</v>
      </c>
    </row>
    <row r="5585" spans="1:9" x14ac:dyDescent="0.3">
      <c r="B5585" s="5" t="s">
        <v>4950</v>
      </c>
      <c r="C5585" s="5" t="s">
        <v>10</v>
      </c>
      <c r="D5585" s="5" t="s">
        <v>4983</v>
      </c>
      <c r="E5585" s="5" t="s">
        <v>4987</v>
      </c>
      <c r="F5585" s="5" t="s">
        <v>1346</v>
      </c>
      <c r="G5585" s="5" t="s">
        <v>1347</v>
      </c>
      <c r="H5585" s="5"/>
      <c r="I5585" s="6">
        <v>6960</v>
      </c>
    </row>
    <row r="5586" spans="1:9" x14ac:dyDescent="0.3">
      <c r="B5586" s="5" t="s">
        <v>4950</v>
      </c>
      <c r="C5586" s="5" t="s">
        <v>10</v>
      </c>
      <c r="D5586" s="5" t="s">
        <v>4983</v>
      </c>
      <c r="E5586" s="5" t="s">
        <v>4987</v>
      </c>
      <c r="F5586" s="5" t="s">
        <v>1961</v>
      </c>
      <c r="G5586" s="5" t="s">
        <v>1962</v>
      </c>
      <c r="H5586" s="5"/>
      <c r="I5586" s="6">
        <v>6960</v>
      </c>
    </row>
    <row r="5587" spans="1:9" x14ac:dyDescent="0.3">
      <c r="B5587" s="5" t="s">
        <v>4950</v>
      </c>
      <c r="C5587" s="5" t="s">
        <v>10</v>
      </c>
      <c r="D5587" s="5" t="s">
        <v>4983</v>
      </c>
      <c r="E5587" s="5" t="s">
        <v>4987</v>
      </c>
      <c r="F5587" s="5" t="s">
        <v>2598</v>
      </c>
      <c r="G5587" s="5" t="s">
        <v>2599</v>
      </c>
      <c r="H5587" s="5"/>
      <c r="I5587" s="6">
        <v>10000</v>
      </c>
    </row>
    <row r="5588" spans="1:9" x14ac:dyDescent="0.3">
      <c r="B5588" s="5" t="s">
        <v>4950</v>
      </c>
      <c r="C5588" s="5" t="s">
        <v>10</v>
      </c>
      <c r="D5588" s="5" t="s">
        <v>4983</v>
      </c>
      <c r="E5588" s="5" t="s">
        <v>4987</v>
      </c>
      <c r="F5588" s="5" t="s">
        <v>4990</v>
      </c>
      <c r="G5588" s="5" t="s">
        <v>4991</v>
      </c>
      <c r="H5588" s="5"/>
      <c r="I5588" s="6">
        <v>2903</v>
      </c>
    </row>
    <row r="5589" spans="1:9" x14ac:dyDescent="0.3">
      <c r="B5589" s="5" t="s">
        <v>4950</v>
      </c>
      <c r="C5589" s="5" t="s">
        <v>10</v>
      </c>
      <c r="D5589" s="5" t="s">
        <v>4983</v>
      </c>
      <c r="E5589" s="5" t="s">
        <v>4987</v>
      </c>
      <c r="F5589" s="5" t="s">
        <v>4363</v>
      </c>
      <c r="G5589" s="5" t="s">
        <v>4364</v>
      </c>
      <c r="H5589" s="5"/>
      <c r="I5589" s="6">
        <v>9900</v>
      </c>
    </row>
    <row r="5590" spans="1:9" x14ac:dyDescent="0.3">
      <c r="B5590" s="5" t="s">
        <v>4950</v>
      </c>
      <c r="C5590" s="5" t="s">
        <v>10</v>
      </c>
      <c r="D5590" s="5" t="s">
        <v>4983</v>
      </c>
      <c r="E5590" s="5" t="s">
        <v>4987</v>
      </c>
      <c r="F5590" s="5" t="s">
        <v>4992</v>
      </c>
      <c r="G5590" s="5" t="s">
        <v>4993</v>
      </c>
      <c r="H5590" s="5"/>
      <c r="I5590" s="6">
        <v>8920</v>
      </c>
    </row>
    <row r="5591" spans="1:9" x14ac:dyDescent="0.3">
      <c r="B5591" s="5" t="s">
        <v>4950</v>
      </c>
      <c r="C5591" s="5" t="s">
        <v>10</v>
      </c>
      <c r="D5591" s="5" t="s">
        <v>4983</v>
      </c>
      <c r="E5591" s="5" t="s">
        <v>4987</v>
      </c>
      <c r="F5591" s="5" t="s">
        <v>4994</v>
      </c>
      <c r="G5591" s="5" t="s">
        <v>4995</v>
      </c>
      <c r="H5591" s="5"/>
      <c r="I5591" s="6">
        <v>6960</v>
      </c>
    </row>
    <row r="5592" spans="1:9" x14ac:dyDescent="0.3">
      <c r="B5592" s="5" t="s">
        <v>4950</v>
      </c>
      <c r="C5592" s="5" t="s">
        <v>10</v>
      </c>
      <c r="D5592" s="5" t="s">
        <v>4983</v>
      </c>
      <c r="E5592" s="5" t="s">
        <v>4996</v>
      </c>
      <c r="F5592" s="5" t="s">
        <v>1022</v>
      </c>
      <c r="G5592" s="5" t="s">
        <v>1023</v>
      </c>
      <c r="H5592" s="5"/>
      <c r="I5592" s="6">
        <v>11860</v>
      </c>
    </row>
    <row r="5593" spans="1:9" x14ac:dyDescent="0.3">
      <c r="B5593" s="5" t="s">
        <v>4950</v>
      </c>
      <c r="C5593" s="5" t="s">
        <v>10</v>
      </c>
      <c r="D5593" s="5" t="s">
        <v>4983</v>
      </c>
      <c r="E5593" s="5" t="s">
        <v>4996</v>
      </c>
      <c r="F5593" s="5" t="s">
        <v>4997</v>
      </c>
      <c r="G5593" s="5" t="s">
        <v>4998</v>
      </c>
      <c r="H5593" s="5"/>
      <c r="I5593" s="6">
        <v>10912</v>
      </c>
    </row>
    <row r="5594" spans="1:9" x14ac:dyDescent="0.3">
      <c r="B5594" s="5" t="s">
        <v>4950</v>
      </c>
      <c r="C5594" s="5" t="s">
        <v>10</v>
      </c>
      <c r="D5594" s="5" t="s">
        <v>4983</v>
      </c>
      <c r="E5594" s="5" t="s">
        <v>4996</v>
      </c>
      <c r="F5594" s="5" t="s">
        <v>2600</v>
      </c>
      <c r="G5594" s="5" t="s">
        <v>2601</v>
      </c>
      <c r="H5594" s="5"/>
      <c r="I5594" s="6">
        <v>3000</v>
      </c>
    </row>
    <row r="5595" spans="1:9" x14ac:dyDescent="0.3">
      <c r="B5595" s="5" t="s">
        <v>4950</v>
      </c>
      <c r="C5595" s="5" t="s">
        <v>10</v>
      </c>
      <c r="D5595" s="5" t="s">
        <v>4983</v>
      </c>
      <c r="E5595" s="5" t="s">
        <v>4996</v>
      </c>
      <c r="F5595" s="5" t="s">
        <v>3735</v>
      </c>
      <c r="G5595" s="5" t="s">
        <v>3736</v>
      </c>
      <c r="H5595" s="5"/>
      <c r="I5595" s="6">
        <v>3000</v>
      </c>
    </row>
    <row r="5596" spans="1:9" x14ac:dyDescent="0.3">
      <c r="B5596" s="5" t="s">
        <v>4950</v>
      </c>
      <c r="C5596" s="5" t="s">
        <v>10</v>
      </c>
      <c r="D5596" s="5" t="s">
        <v>4983</v>
      </c>
      <c r="E5596" s="5" t="s">
        <v>4999</v>
      </c>
      <c r="F5596" s="5" t="s">
        <v>2602</v>
      </c>
      <c r="G5596" s="5" t="s">
        <v>2603</v>
      </c>
      <c r="H5596" s="5"/>
      <c r="I5596" s="6">
        <v>5980</v>
      </c>
    </row>
    <row r="5597" spans="1:9" x14ac:dyDescent="0.3">
      <c r="B5597" s="5" t="s">
        <v>4950</v>
      </c>
      <c r="C5597" s="5" t="s">
        <v>10</v>
      </c>
      <c r="D5597" s="5" t="s">
        <v>4983</v>
      </c>
      <c r="E5597" s="5" t="s">
        <v>4999</v>
      </c>
      <c r="F5597" s="5" t="s">
        <v>2604</v>
      </c>
      <c r="G5597" s="5" t="s">
        <v>2605</v>
      </c>
      <c r="H5597" s="5"/>
      <c r="I5597" s="6">
        <v>5980</v>
      </c>
    </row>
    <row r="5598" spans="1:9" x14ac:dyDescent="0.3">
      <c r="B5598" s="5" t="s">
        <v>4950</v>
      </c>
      <c r="C5598" s="5" t="s">
        <v>10</v>
      </c>
      <c r="D5598" s="5" t="s">
        <v>4983</v>
      </c>
      <c r="E5598" s="5" t="s">
        <v>5000</v>
      </c>
      <c r="F5598" s="5" t="s">
        <v>457</v>
      </c>
      <c r="G5598" s="5" t="s">
        <v>458</v>
      </c>
      <c r="H5598" s="5"/>
      <c r="I5598" s="6">
        <v>25940</v>
      </c>
    </row>
    <row r="5599" spans="1:9" x14ac:dyDescent="0.3">
      <c r="A5599" s="7" t="s">
        <v>5001</v>
      </c>
      <c r="H5599" s="8">
        <f>H5571+H5572+H5573+H5574+H5575+H5576+H5577+H5578+H5579+H5580+H5581+H5582+H5583+H5584+H5585+H5586+H5587+H5588+H5589+H5590+H5591+H5592+H5593+H5594+H5595+H5596+H5597+H5598</f>
        <v>387403</v>
      </c>
      <c r="I5599" s="8">
        <f>I5571+I5572+I5573+I5574+I5575+I5576+I5577+I5578+I5579+I5580+I5581+I5582+I5583+I5584+I5585+I5586+I5587+I5588+I5589+I5590+I5591+I5592+I5593+I5594+I5595+I5596+I5597+I5598</f>
        <v>387403</v>
      </c>
    </row>
    <row r="5600" spans="1:9" x14ac:dyDescent="0.3">
      <c r="A5600" s="4" t="s">
        <v>5002</v>
      </c>
    </row>
    <row r="5601" spans="1:9" x14ac:dyDescent="0.3">
      <c r="B5601" s="5" t="s">
        <v>4950</v>
      </c>
      <c r="C5601" s="5" t="s">
        <v>10</v>
      </c>
      <c r="D5601" s="5" t="s">
        <v>5003</v>
      </c>
      <c r="E5601" s="5" t="s">
        <v>5004</v>
      </c>
      <c r="F5601" s="5" t="s">
        <v>1763</v>
      </c>
      <c r="G5601" s="5" t="s">
        <v>1764</v>
      </c>
      <c r="H5601" s="6">
        <v>1049.6199999999999</v>
      </c>
      <c r="I5601" s="5"/>
    </row>
    <row r="5602" spans="1:9" x14ac:dyDescent="0.3">
      <c r="B5602" s="5" t="s">
        <v>4950</v>
      </c>
      <c r="C5602" s="5" t="s">
        <v>10</v>
      </c>
      <c r="D5602" s="5" t="s">
        <v>5003</v>
      </c>
      <c r="E5602" s="5" t="s">
        <v>5004</v>
      </c>
      <c r="F5602" s="5" t="s">
        <v>1799</v>
      </c>
      <c r="G5602" s="5" t="s">
        <v>1800</v>
      </c>
      <c r="H5602" s="5"/>
      <c r="I5602" s="6">
        <v>199.62</v>
      </c>
    </row>
    <row r="5603" spans="1:9" x14ac:dyDescent="0.3">
      <c r="B5603" s="5" t="s">
        <v>4950</v>
      </c>
      <c r="C5603" s="5" t="s">
        <v>10</v>
      </c>
      <c r="D5603" s="5" t="s">
        <v>5003</v>
      </c>
      <c r="E5603" s="5" t="s">
        <v>5004</v>
      </c>
      <c r="F5603" s="5" t="s">
        <v>3962</v>
      </c>
      <c r="G5603" s="5" t="s">
        <v>3963</v>
      </c>
      <c r="H5603" s="5"/>
      <c r="I5603" s="6">
        <v>250</v>
      </c>
    </row>
    <row r="5604" spans="1:9" x14ac:dyDescent="0.3">
      <c r="B5604" s="5" t="s">
        <v>4950</v>
      </c>
      <c r="C5604" s="5" t="s">
        <v>10</v>
      </c>
      <c r="D5604" s="5" t="s">
        <v>5003</v>
      </c>
      <c r="E5604" s="5" t="s">
        <v>5004</v>
      </c>
      <c r="F5604" s="5" t="s">
        <v>1793</v>
      </c>
      <c r="G5604" s="5" t="s">
        <v>1794</v>
      </c>
      <c r="H5604" s="5"/>
      <c r="I5604" s="6">
        <v>150</v>
      </c>
    </row>
    <row r="5605" spans="1:9" x14ac:dyDescent="0.3">
      <c r="B5605" s="5" t="s">
        <v>4950</v>
      </c>
      <c r="C5605" s="5" t="s">
        <v>10</v>
      </c>
      <c r="D5605" s="5" t="s">
        <v>5003</v>
      </c>
      <c r="E5605" s="5" t="s">
        <v>5004</v>
      </c>
      <c r="F5605" s="5" t="s">
        <v>2748</v>
      </c>
      <c r="G5605" s="5" t="s">
        <v>2749</v>
      </c>
      <c r="H5605" s="5"/>
      <c r="I5605" s="6">
        <v>350</v>
      </c>
    </row>
    <row r="5606" spans="1:9" x14ac:dyDescent="0.3">
      <c r="B5606" s="5" t="s">
        <v>4950</v>
      </c>
      <c r="C5606" s="5" t="s">
        <v>10</v>
      </c>
      <c r="D5606" s="5" t="s">
        <v>5003</v>
      </c>
      <c r="E5606" s="5" t="s">
        <v>5004</v>
      </c>
      <c r="F5606" s="5" t="s">
        <v>4844</v>
      </c>
      <c r="G5606" s="5" t="s">
        <v>4845</v>
      </c>
      <c r="H5606" s="5"/>
      <c r="I5606" s="6">
        <v>100</v>
      </c>
    </row>
    <row r="5607" spans="1:9" x14ac:dyDescent="0.3">
      <c r="A5607" s="7" t="s">
        <v>5005</v>
      </c>
      <c r="H5607" s="8">
        <f>H5601+H5602+H5603+H5604+H5605+H5606</f>
        <v>1049.6199999999999</v>
      </c>
      <c r="I5607" s="8">
        <f>I5601+I5602+I5603+I5604+I5605+I5606</f>
        <v>1049.6199999999999</v>
      </c>
    </row>
    <row r="5608" spans="1:9" x14ac:dyDescent="0.3">
      <c r="A5608" s="4" t="s">
        <v>5006</v>
      </c>
    </row>
    <row r="5609" spans="1:9" x14ac:dyDescent="0.3">
      <c r="B5609" s="5" t="s">
        <v>4950</v>
      </c>
      <c r="C5609" s="5" t="s">
        <v>10</v>
      </c>
      <c r="D5609" s="5" t="s">
        <v>5007</v>
      </c>
      <c r="E5609" s="5" t="s">
        <v>5008</v>
      </c>
      <c r="F5609" s="5" t="s">
        <v>1604</v>
      </c>
      <c r="G5609" s="5" t="s">
        <v>1605</v>
      </c>
      <c r="H5609" s="6">
        <v>62174.720000000001</v>
      </c>
      <c r="I5609" s="5"/>
    </row>
    <row r="5610" spans="1:9" x14ac:dyDescent="0.3">
      <c r="B5610" s="5" t="s">
        <v>4950</v>
      </c>
      <c r="C5610" s="5" t="s">
        <v>10</v>
      </c>
      <c r="D5610" s="5" t="s">
        <v>5007</v>
      </c>
      <c r="E5610" s="5" t="s">
        <v>5008</v>
      </c>
      <c r="F5610" s="5" t="s">
        <v>1606</v>
      </c>
      <c r="G5610" s="5" t="s">
        <v>1607</v>
      </c>
      <c r="H5610" s="5"/>
      <c r="I5610" s="6">
        <v>62174.720000000001</v>
      </c>
    </row>
    <row r="5611" spans="1:9" x14ac:dyDescent="0.3">
      <c r="A5611" s="7" t="s">
        <v>5009</v>
      </c>
      <c r="H5611" s="8">
        <f>H5609+H5610</f>
        <v>62174.720000000001</v>
      </c>
      <c r="I5611" s="8">
        <f>I5609+I5610</f>
        <v>62174.720000000001</v>
      </c>
    </row>
    <row r="5612" spans="1:9" x14ac:dyDescent="0.3">
      <c r="A5612" s="4" t="s">
        <v>5010</v>
      </c>
    </row>
    <row r="5613" spans="1:9" x14ac:dyDescent="0.3">
      <c r="B5613" s="5" t="s">
        <v>4950</v>
      </c>
      <c r="C5613" s="5" t="s">
        <v>10</v>
      </c>
      <c r="D5613" s="5" t="s">
        <v>5011</v>
      </c>
      <c r="E5613" s="5" t="s">
        <v>5012</v>
      </c>
      <c r="F5613" s="5" t="s">
        <v>425</v>
      </c>
      <c r="G5613" s="5" t="s">
        <v>426</v>
      </c>
      <c r="H5613" s="6">
        <v>24217.84</v>
      </c>
      <c r="I5613" s="5"/>
    </row>
    <row r="5614" spans="1:9" x14ac:dyDescent="0.3">
      <c r="B5614" s="5" t="s">
        <v>4950</v>
      </c>
      <c r="C5614" s="5" t="s">
        <v>10</v>
      </c>
      <c r="D5614" s="5" t="s">
        <v>5011</v>
      </c>
      <c r="E5614" s="5" t="s">
        <v>5012</v>
      </c>
      <c r="F5614" s="5" t="s">
        <v>431</v>
      </c>
      <c r="G5614" s="5" t="s">
        <v>432</v>
      </c>
      <c r="H5614" s="5"/>
      <c r="I5614" s="6">
        <v>5537.85</v>
      </c>
    </row>
    <row r="5615" spans="1:9" x14ac:dyDescent="0.3">
      <c r="B5615" s="5" t="s">
        <v>4950</v>
      </c>
      <c r="C5615" s="5" t="s">
        <v>10</v>
      </c>
      <c r="D5615" s="5" t="s">
        <v>5011</v>
      </c>
      <c r="E5615" s="5" t="s">
        <v>5012</v>
      </c>
      <c r="F5615" s="5" t="s">
        <v>427</v>
      </c>
      <c r="G5615" s="5" t="s">
        <v>428</v>
      </c>
      <c r="H5615" s="5"/>
      <c r="I5615" s="6">
        <v>4967.04</v>
      </c>
    </row>
    <row r="5616" spans="1:9" x14ac:dyDescent="0.3">
      <c r="B5616" s="5" t="s">
        <v>4950</v>
      </c>
      <c r="C5616" s="5" t="s">
        <v>10</v>
      </c>
      <c r="D5616" s="5" t="s">
        <v>5011</v>
      </c>
      <c r="E5616" s="5" t="s">
        <v>5012</v>
      </c>
      <c r="F5616" s="5" t="s">
        <v>429</v>
      </c>
      <c r="G5616" s="5" t="s">
        <v>430</v>
      </c>
      <c r="H5616" s="5"/>
      <c r="I5616" s="6">
        <v>11609.14</v>
      </c>
    </row>
    <row r="5617" spans="1:9" x14ac:dyDescent="0.3">
      <c r="B5617" s="5" t="s">
        <v>4950</v>
      </c>
      <c r="C5617" s="5" t="s">
        <v>10</v>
      </c>
      <c r="D5617" s="5" t="s">
        <v>5011</v>
      </c>
      <c r="E5617" s="5" t="s">
        <v>5012</v>
      </c>
      <c r="F5617" s="5" t="s">
        <v>2655</v>
      </c>
      <c r="G5617" s="5" t="s">
        <v>2656</v>
      </c>
      <c r="H5617" s="5"/>
      <c r="I5617" s="6">
        <v>2103.81</v>
      </c>
    </row>
    <row r="5618" spans="1:9" x14ac:dyDescent="0.3">
      <c r="A5618" s="7" t="s">
        <v>5013</v>
      </c>
      <c r="H5618" s="8">
        <f>H5613+H5614+H5615+H5616+H5617</f>
        <v>24217.84</v>
      </c>
      <c r="I5618" s="8">
        <f>I5613+I5614+I5615+I5616+I5617</f>
        <v>24217.84</v>
      </c>
    </row>
    <row r="5619" spans="1:9" x14ac:dyDescent="0.3">
      <c r="A5619" s="4" t="s">
        <v>5014</v>
      </c>
    </row>
    <row r="5620" spans="1:9" x14ac:dyDescent="0.3">
      <c r="B5620" s="5" t="s">
        <v>4950</v>
      </c>
      <c r="C5620" s="5" t="s">
        <v>10</v>
      </c>
      <c r="D5620" s="5" t="s">
        <v>5015</v>
      </c>
      <c r="E5620" s="5" t="s">
        <v>5016</v>
      </c>
      <c r="F5620" s="5" t="s">
        <v>1763</v>
      </c>
      <c r="G5620" s="5" t="s">
        <v>1764</v>
      </c>
      <c r="H5620" s="6">
        <v>599.62</v>
      </c>
      <c r="I5620" s="5"/>
    </row>
    <row r="5621" spans="1:9" x14ac:dyDescent="0.3">
      <c r="B5621" s="5" t="s">
        <v>4950</v>
      </c>
      <c r="C5621" s="5" t="s">
        <v>10</v>
      </c>
      <c r="D5621" s="5" t="s">
        <v>5015</v>
      </c>
      <c r="E5621" s="5" t="s">
        <v>5016</v>
      </c>
      <c r="F5621" s="5" t="s">
        <v>3962</v>
      </c>
      <c r="G5621" s="5" t="s">
        <v>3963</v>
      </c>
      <c r="H5621" s="5"/>
      <c r="I5621" s="6">
        <v>250</v>
      </c>
    </row>
    <row r="5622" spans="1:9" x14ac:dyDescent="0.3">
      <c r="B5622" s="5" t="s">
        <v>4950</v>
      </c>
      <c r="C5622" s="5" t="s">
        <v>10</v>
      </c>
      <c r="D5622" s="5" t="s">
        <v>5015</v>
      </c>
      <c r="E5622" s="5" t="s">
        <v>5016</v>
      </c>
      <c r="F5622" s="5" t="s">
        <v>1799</v>
      </c>
      <c r="G5622" s="5" t="s">
        <v>1800</v>
      </c>
      <c r="H5622" s="5"/>
      <c r="I5622" s="6">
        <v>199.62</v>
      </c>
    </row>
    <row r="5623" spans="1:9" x14ac:dyDescent="0.3">
      <c r="B5623" s="5" t="s">
        <v>4950</v>
      </c>
      <c r="C5623" s="5" t="s">
        <v>10</v>
      </c>
      <c r="D5623" s="5" t="s">
        <v>5015</v>
      </c>
      <c r="E5623" s="5" t="s">
        <v>5016</v>
      </c>
      <c r="F5623" s="5" t="s">
        <v>1793</v>
      </c>
      <c r="G5623" s="5" t="s">
        <v>1794</v>
      </c>
      <c r="H5623" s="5"/>
      <c r="I5623" s="6">
        <v>150</v>
      </c>
    </row>
    <row r="5624" spans="1:9" x14ac:dyDescent="0.3">
      <c r="A5624" s="7" t="s">
        <v>5017</v>
      </c>
      <c r="H5624" s="8">
        <f>H5620+H5621+H5622+H5623</f>
        <v>599.62</v>
      </c>
      <c r="I5624" s="8">
        <f>I5620+I5621+I5622+I5623</f>
        <v>599.62</v>
      </c>
    </row>
    <row r="5625" spans="1:9" x14ac:dyDescent="0.3">
      <c r="A5625" s="4" t="s">
        <v>5018</v>
      </c>
    </row>
    <row r="5626" spans="1:9" x14ac:dyDescent="0.3">
      <c r="B5626" s="5" t="s">
        <v>4950</v>
      </c>
      <c r="C5626" s="5" t="s">
        <v>10</v>
      </c>
      <c r="D5626" s="5" t="s">
        <v>5019</v>
      </c>
      <c r="E5626" s="5" t="s">
        <v>5020</v>
      </c>
      <c r="F5626" s="5" t="s">
        <v>831</v>
      </c>
      <c r="G5626" s="5" t="s">
        <v>832</v>
      </c>
      <c r="H5626" s="6">
        <v>250000</v>
      </c>
      <c r="I5626" s="5"/>
    </row>
    <row r="5627" spans="1:9" x14ac:dyDescent="0.3">
      <c r="B5627" s="5" t="s">
        <v>4950</v>
      </c>
      <c r="C5627" s="5" t="s">
        <v>10</v>
      </c>
      <c r="D5627" s="5" t="s">
        <v>5019</v>
      </c>
      <c r="E5627" s="5" t="s">
        <v>5021</v>
      </c>
      <c r="F5627" s="5" t="s">
        <v>831</v>
      </c>
      <c r="G5627" s="5" t="s">
        <v>832</v>
      </c>
      <c r="H5627" s="6">
        <v>70000</v>
      </c>
      <c r="I5627" s="5"/>
    </row>
    <row r="5628" spans="1:9" x14ac:dyDescent="0.3">
      <c r="B5628" s="5" t="s">
        <v>4950</v>
      </c>
      <c r="C5628" s="5" t="s">
        <v>10</v>
      </c>
      <c r="D5628" s="5" t="s">
        <v>5019</v>
      </c>
      <c r="E5628" s="5" t="s">
        <v>5022</v>
      </c>
      <c r="F5628" s="5" t="s">
        <v>831</v>
      </c>
      <c r="G5628" s="5" t="s">
        <v>832</v>
      </c>
      <c r="H5628" s="6">
        <v>95000</v>
      </c>
      <c r="I5628" s="5"/>
    </row>
    <row r="5629" spans="1:9" x14ac:dyDescent="0.3">
      <c r="B5629" s="5" t="s">
        <v>4950</v>
      </c>
      <c r="C5629" s="5" t="s">
        <v>10</v>
      </c>
      <c r="D5629" s="5" t="s">
        <v>5019</v>
      </c>
      <c r="E5629" s="5" t="s">
        <v>5023</v>
      </c>
      <c r="F5629" s="5" t="s">
        <v>831</v>
      </c>
      <c r="G5629" s="5" t="s">
        <v>832</v>
      </c>
      <c r="H5629" s="6">
        <v>70000</v>
      </c>
      <c r="I5629" s="5"/>
    </row>
    <row r="5630" spans="1:9" x14ac:dyDescent="0.3">
      <c r="B5630" s="5" t="s">
        <v>4950</v>
      </c>
      <c r="C5630" s="5" t="s">
        <v>10</v>
      </c>
      <c r="D5630" s="5" t="s">
        <v>5019</v>
      </c>
      <c r="E5630" s="5" t="s">
        <v>5023</v>
      </c>
      <c r="F5630" s="5" t="s">
        <v>831</v>
      </c>
      <c r="G5630" s="5" t="s">
        <v>832</v>
      </c>
      <c r="H5630" s="6">
        <v>150000</v>
      </c>
      <c r="I5630" s="5"/>
    </row>
    <row r="5631" spans="1:9" x14ac:dyDescent="0.3">
      <c r="B5631" s="5" t="s">
        <v>4950</v>
      </c>
      <c r="C5631" s="5" t="s">
        <v>10</v>
      </c>
      <c r="D5631" s="5" t="s">
        <v>5019</v>
      </c>
      <c r="E5631" s="5" t="s">
        <v>5024</v>
      </c>
      <c r="F5631" s="5" t="s">
        <v>831</v>
      </c>
      <c r="G5631" s="5" t="s">
        <v>832</v>
      </c>
      <c r="H5631" s="6">
        <v>120000</v>
      </c>
      <c r="I5631" s="5"/>
    </row>
    <row r="5632" spans="1:9" x14ac:dyDescent="0.3">
      <c r="B5632" s="5" t="s">
        <v>4950</v>
      </c>
      <c r="C5632" s="5" t="s">
        <v>10</v>
      </c>
      <c r="D5632" s="5" t="s">
        <v>5019</v>
      </c>
      <c r="E5632" s="5" t="s">
        <v>5025</v>
      </c>
      <c r="F5632" s="5" t="s">
        <v>831</v>
      </c>
      <c r="G5632" s="5" t="s">
        <v>832</v>
      </c>
      <c r="H5632" s="6">
        <v>80000</v>
      </c>
      <c r="I5632" s="5"/>
    </row>
    <row r="5633" spans="1:9" x14ac:dyDescent="0.3">
      <c r="B5633" s="5" t="s">
        <v>4950</v>
      </c>
      <c r="C5633" s="5" t="s">
        <v>10</v>
      </c>
      <c r="D5633" s="5" t="s">
        <v>5019</v>
      </c>
      <c r="E5633" s="5" t="s">
        <v>5026</v>
      </c>
      <c r="F5633" s="5" t="s">
        <v>831</v>
      </c>
      <c r="G5633" s="5" t="s">
        <v>832</v>
      </c>
      <c r="H5633" s="6">
        <v>150000</v>
      </c>
      <c r="I5633" s="5"/>
    </row>
    <row r="5634" spans="1:9" x14ac:dyDescent="0.3">
      <c r="B5634" s="5" t="s">
        <v>4950</v>
      </c>
      <c r="C5634" s="5" t="s">
        <v>10</v>
      </c>
      <c r="D5634" s="5" t="s">
        <v>5019</v>
      </c>
      <c r="E5634" s="5" t="s">
        <v>5027</v>
      </c>
      <c r="F5634" s="5" t="s">
        <v>831</v>
      </c>
      <c r="G5634" s="5" t="s">
        <v>832</v>
      </c>
      <c r="H5634" s="6">
        <v>80000</v>
      </c>
      <c r="I5634" s="5"/>
    </row>
    <row r="5635" spans="1:9" x14ac:dyDescent="0.3">
      <c r="B5635" s="5" t="s">
        <v>4950</v>
      </c>
      <c r="C5635" s="5" t="s">
        <v>10</v>
      </c>
      <c r="D5635" s="5" t="s">
        <v>5019</v>
      </c>
      <c r="E5635" s="5" t="s">
        <v>5028</v>
      </c>
      <c r="F5635" s="5" t="s">
        <v>3899</v>
      </c>
      <c r="G5635" s="5" t="s">
        <v>3900</v>
      </c>
      <c r="H5635" s="5"/>
      <c r="I5635" s="6">
        <v>1065000</v>
      </c>
    </row>
    <row r="5636" spans="1:9" x14ac:dyDescent="0.3">
      <c r="A5636" s="7" t="s">
        <v>5029</v>
      </c>
      <c r="H5636" s="8">
        <f>H5626+H5627+H5628+H5629+H5630+H5631+H5632+H5633+H5634+H5635</f>
        <v>1065000</v>
      </c>
      <c r="I5636" s="8">
        <f>I5626+I5627+I5628+I5629+I5630+I5631+I5632+I5633+I5634+I5635</f>
        <v>1065000</v>
      </c>
    </row>
    <row r="5637" spans="1:9" x14ac:dyDescent="0.3">
      <c r="A5637" s="4" t="s">
        <v>5030</v>
      </c>
    </row>
    <row r="5638" spans="1:9" x14ac:dyDescent="0.3">
      <c r="B5638" s="5" t="s">
        <v>4950</v>
      </c>
      <c r="C5638" s="5" t="s">
        <v>10</v>
      </c>
      <c r="D5638" s="5" t="s">
        <v>5031</v>
      </c>
      <c r="E5638" s="5" t="s">
        <v>5032</v>
      </c>
      <c r="F5638" s="5" t="s">
        <v>831</v>
      </c>
      <c r="G5638" s="5" t="s">
        <v>832</v>
      </c>
      <c r="H5638" s="6">
        <v>200000</v>
      </c>
      <c r="I5638" s="5"/>
    </row>
    <row r="5639" spans="1:9" x14ac:dyDescent="0.3">
      <c r="B5639" s="5" t="s">
        <v>4950</v>
      </c>
      <c r="C5639" s="5" t="s">
        <v>10</v>
      </c>
      <c r="D5639" s="5" t="s">
        <v>5031</v>
      </c>
      <c r="E5639" s="5" t="s">
        <v>5033</v>
      </c>
      <c r="F5639" s="5" t="s">
        <v>831</v>
      </c>
      <c r="G5639" s="5" t="s">
        <v>832</v>
      </c>
      <c r="H5639" s="6">
        <v>200000</v>
      </c>
      <c r="I5639" s="5"/>
    </row>
    <row r="5640" spans="1:9" x14ac:dyDescent="0.3">
      <c r="B5640" s="5" t="s">
        <v>4950</v>
      </c>
      <c r="C5640" s="5" t="s">
        <v>10</v>
      </c>
      <c r="D5640" s="5" t="s">
        <v>5031</v>
      </c>
      <c r="E5640" s="5" t="s">
        <v>5034</v>
      </c>
      <c r="F5640" s="5" t="s">
        <v>831</v>
      </c>
      <c r="G5640" s="5" t="s">
        <v>832</v>
      </c>
      <c r="H5640" s="6">
        <v>50000</v>
      </c>
      <c r="I5640" s="5"/>
    </row>
    <row r="5641" spans="1:9" x14ac:dyDescent="0.3">
      <c r="B5641" s="5" t="s">
        <v>4950</v>
      </c>
      <c r="C5641" s="5" t="s">
        <v>10</v>
      </c>
      <c r="D5641" s="5" t="s">
        <v>5031</v>
      </c>
      <c r="E5641" s="5" t="s">
        <v>5035</v>
      </c>
      <c r="F5641" s="5" t="s">
        <v>831</v>
      </c>
      <c r="G5641" s="5" t="s">
        <v>832</v>
      </c>
      <c r="H5641" s="6">
        <v>70000</v>
      </c>
      <c r="I5641" s="5"/>
    </row>
    <row r="5642" spans="1:9" x14ac:dyDescent="0.3">
      <c r="B5642" s="5" t="s">
        <v>4950</v>
      </c>
      <c r="C5642" s="5" t="s">
        <v>10</v>
      </c>
      <c r="D5642" s="5" t="s">
        <v>5031</v>
      </c>
      <c r="E5642" s="5" t="s">
        <v>5036</v>
      </c>
      <c r="F5642" s="5" t="s">
        <v>831</v>
      </c>
      <c r="G5642" s="5" t="s">
        <v>832</v>
      </c>
      <c r="H5642" s="6">
        <v>90000</v>
      </c>
      <c r="I5642" s="5"/>
    </row>
    <row r="5643" spans="1:9" x14ac:dyDescent="0.3">
      <c r="B5643" s="5" t="s">
        <v>4950</v>
      </c>
      <c r="C5643" s="5" t="s">
        <v>10</v>
      </c>
      <c r="D5643" s="5" t="s">
        <v>5031</v>
      </c>
      <c r="E5643" s="5" t="s">
        <v>5037</v>
      </c>
      <c r="F5643" s="5" t="s">
        <v>831</v>
      </c>
      <c r="G5643" s="5" t="s">
        <v>832</v>
      </c>
      <c r="H5643" s="6">
        <v>170000</v>
      </c>
      <c r="I5643" s="5"/>
    </row>
    <row r="5644" spans="1:9" x14ac:dyDescent="0.3">
      <c r="B5644" s="5" t="s">
        <v>4950</v>
      </c>
      <c r="C5644" s="5" t="s">
        <v>10</v>
      </c>
      <c r="D5644" s="5" t="s">
        <v>5031</v>
      </c>
      <c r="E5644" s="5" t="s">
        <v>5038</v>
      </c>
      <c r="F5644" s="5" t="s">
        <v>831</v>
      </c>
      <c r="G5644" s="5" t="s">
        <v>832</v>
      </c>
      <c r="H5644" s="6">
        <v>300000</v>
      </c>
      <c r="I5644" s="5"/>
    </row>
    <row r="5645" spans="1:9" x14ac:dyDescent="0.3">
      <c r="B5645" s="5" t="s">
        <v>4950</v>
      </c>
      <c r="C5645" s="5" t="s">
        <v>10</v>
      </c>
      <c r="D5645" s="5" t="s">
        <v>5031</v>
      </c>
      <c r="E5645" s="5" t="s">
        <v>5039</v>
      </c>
      <c r="F5645" s="5" t="s">
        <v>831</v>
      </c>
      <c r="G5645" s="5" t="s">
        <v>832</v>
      </c>
      <c r="H5645" s="6">
        <v>50000</v>
      </c>
      <c r="I5645" s="5"/>
    </row>
    <row r="5646" spans="1:9" x14ac:dyDescent="0.3">
      <c r="B5646" s="5" t="s">
        <v>4950</v>
      </c>
      <c r="C5646" s="5" t="s">
        <v>10</v>
      </c>
      <c r="D5646" s="5" t="s">
        <v>5031</v>
      </c>
      <c r="E5646" s="5" t="s">
        <v>5040</v>
      </c>
      <c r="F5646" s="5" t="s">
        <v>831</v>
      </c>
      <c r="G5646" s="5" t="s">
        <v>832</v>
      </c>
      <c r="H5646" s="6">
        <v>190000</v>
      </c>
      <c r="I5646" s="5"/>
    </row>
    <row r="5647" spans="1:9" x14ac:dyDescent="0.3">
      <c r="B5647" s="5" t="s">
        <v>4950</v>
      </c>
      <c r="C5647" s="5" t="s">
        <v>10</v>
      </c>
      <c r="D5647" s="5" t="s">
        <v>5031</v>
      </c>
      <c r="E5647" s="5" t="s">
        <v>5041</v>
      </c>
      <c r="F5647" s="5" t="s">
        <v>831</v>
      </c>
      <c r="G5647" s="5" t="s">
        <v>832</v>
      </c>
      <c r="H5647" s="6">
        <v>100000</v>
      </c>
      <c r="I5647" s="5"/>
    </row>
    <row r="5648" spans="1:9" x14ac:dyDescent="0.3">
      <c r="B5648" s="5" t="s">
        <v>4950</v>
      </c>
      <c r="C5648" s="5" t="s">
        <v>10</v>
      </c>
      <c r="D5648" s="5" t="s">
        <v>5031</v>
      </c>
      <c r="E5648" s="5" t="s">
        <v>5042</v>
      </c>
      <c r="F5648" s="5" t="s">
        <v>831</v>
      </c>
      <c r="G5648" s="5" t="s">
        <v>832</v>
      </c>
      <c r="H5648" s="6">
        <v>250000</v>
      </c>
      <c r="I5648" s="5"/>
    </row>
    <row r="5649" spans="1:9" x14ac:dyDescent="0.3">
      <c r="B5649" s="5" t="s">
        <v>4950</v>
      </c>
      <c r="C5649" s="5" t="s">
        <v>10</v>
      </c>
      <c r="D5649" s="5" t="s">
        <v>5031</v>
      </c>
      <c r="E5649" s="5" t="s">
        <v>5043</v>
      </c>
      <c r="F5649" s="5" t="s">
        <v>3901</v>
      </c>
      <c r="G5649" s="5" t="s">
        <v>3902</v>
      </c>
      <c r="H5649" s="5"/>
      <c r="I5649" s="6">
        <v>1670000</v>
      </c>
    </row>
    <row r="5650" spans="1:9" x14ac:dyDescent="0.3">
      <c r="A5650" s="7" t="s">
        <v>5044</v>
      </c>
      <c r="H5650" s="8">
        <f>H5638+H5639+H5640+H5641+H5642+H5643+H5644+H5645+H5646+H5647+H5648+H5649</f>
        <v>1670000</v>
      </c>
      <c r="I5650" s="8">
        <f>I5638+I5639+I5640+I5641+I5642+I5643+I5644+I5645+I5646+I5647+I5648+I5649</f>
        <v>1670000</v>
      </c>
    </row>
    <row r="5651" spans="1:9" x14ac:dyDescent="0.3">
      <c r="A5651" s="4" t="s">
        <v>5045</v>
      </c>
    </row>
    <row r="5652" spans="1:9" x14ac:dyDescent="0.3">
      <c r="B5652" s="5" t="s">
        <v>4950</v>
      </c>
      <c r="C5652" s="5" t="s">
        <v>10</v>
      </c>
      <c r="D5652" s="5" t="s">
        <v>5046</v>
      </c>
      <c r="E5652" s="5" t="s">
        <v>5047</v>
      </c>
      <c r="F5652" s="5" t="s">
        <v>831</v>
      </c>
      <c r="G5652" s="5" t="s">
        <v>832</v>
      </c>
      <c r="H5652" s="6">
        <v>222750</v>
      </c>
      <c r="I5652" s="5"/>
    </row>
    <row r="5653" spans="1:9" x14ac:dyDescent="0.3">
      <c r="B5653" s="5" t="s">
        <v>4950</v>
      </c>
      <c r="C5653" s="5" t="s">
        <v>10</v>
      </c>
      <c r="D5653" s="5" t="s">
        <v>5046</v>
      </c>
      <c r="E5653" s="5" t="s">
        <v>5047</v>
      </c>
      <c r="F5653" s="5" t="s">
        <v>13</v>
      </c>
      <c r="G5653" s="5" t="s">
        <v>14</v>
      </c>
      <c r="H5653" s="5"/>
      <c r="I5653" s="6">
        <v>222750</v>
      </c>
    </row>
    <row r="5654" spans="1:9" x14ac:dyDescent="0.3">
      <c r="A5654" s="7" t="s">
        <v>5048</v>
      </c>
      <c r="H5654" s="8">
        <f>H5652+H5653</f>
        <v>222750</v>
      </c>
      <c r="I5654" s="8">
        <f>I5652+I5653</f>
        <v>222750</v>
      </c>
    </row>
    <row r="5655" spans="1:9" x14ac:dyDescent="0.3">
      <c r="A5655" s="4" t="s">
        <v>5049</v>
      </c>
    </row>
    <row r="5656" spans="1:9" x14ac:dyDescent="0.3">
      <c r="B5656" s="5" t="s">
        <v>4950</v>
      </c>
      <c r="C5656" s="5" t="s">
        <v>844</v>
      </c>
      <c r="D5656" s="5" t="s">
        <v>5050</v>
      </c>
      <c r="E5656" s="5" t="s">
        <v>2750</v>
      </c>
      <c r="F5656" s="5" t="s">
        <v>847</v>
      </c>
      <c r="G5656" s="5" t="s">
        <v>848</v>
      </c>
      <c r="H5656" s="6">
        <v>290000</v>
      </c>
      <c r="I5656" s="5"/>
    </row>
    <row r="5657" spans="1:9" x14ac:dyDescent="0.3">
      <c r="B5657" s="5" t="s">
        <v>4950</v>
      </c>
      <c r="C5657" s="5" t="s">
        <v>844</v>
      </c>
      <c r="D5657" s="5" t="s">
        <v>5050</v>
      </c>
      <c r="E5657" s="5" t="s">
        <v>2987</v>
      </c>
      <c r="F5657" s="5" t="s">
        <v>831</v>
      </c>
      <c r="G5657" s="5" t="s">
        <v>832</v>
      </c>
      <c r="H5657" s="5"/>
      <c r="I5657" s="6">
        <v>250000</v>
      </c>
    </row>
    <row r="5658" spans="1:9" x14ac:dyDescent="0.3">
      <c r="B5658" s="5" t="s">
        <v>4950</v>
      </c>
      <c r="C5658" s="5" t="s">
        <v>844</v>
      </c>
      <c r="D5658" s="5" t="s">
        <v>5050</v>
      </c>
      <c r="E5658" s="5" t="s">
        <v>1993</v>
      </c>
      <c r="F5658" s="5" t="s">
        <v>867</v>
      </c>
      <c r="G5658" s="5" t="s">
        <v>868</v>
      </c>
      <c r="H5658" s="5"/>
      <c r="I5658" s="6">
        <v>40000</v>
      </c>
    </row>
    <row r="5659" spans="1:9" x14ac:dyDescent="0.3">
      <c r="A5659" s="7" t="s">
        <v>5051</v>
      </c>
      <c r="H5659" s="8">
        <f>H5656+H5657+H5658</f>
        <v>290000</v>
      </c>
      <c r="I5659" s="8">
        <f>I5656+I5657+I5658</f>
        <v>290000</v>
      </c>
    </row>
    <row r="5660" spans="1:9" x14ac:dyDescent="0.3">
      <c r="A5660" s="4" t="s">
        <v>5052</v>
      </c>
    </row>
    <row r="5661" spans="1:9" x14ac:dyDescent="0.3">
      <c r="B5661" s="5" t="s">
        <v>4950</v>
      </c>
      <c r="C5661" s="5" t="s">
        <v>844</v>
      </c>
      <c r="D5661" s="5" t="s">
        <v>5053</v>
      </c>
      <c r="E5661" s="5" t="s">
        <v>2750</v>
      </c>
      <c r="F5661" s="5" t="s">
        <v>847</v>
      </c>
      <c r="G5661" s="5" t="s">
        <v>848</v>
      </c>
      <c r="H5661" s="6">
        <v>81200</v>
      </c>
      <c r="I5661" s="5"/>
    </row>
    <row r="5662" spans="1:9" x14ac:dyDescent="0.3">
      <c r="B5662" s="5" t="s">
        <v>4950</v>
      </c>
      <c r="C5662" s="5" t="s">
        <v>844</v>
      </c>
      <c r="D5662" s="5" t="s">
        <v>5053</v>
      </c>
      <c r="E5662" s="5" t="s">
        <v>2987</v>
      </c>
      <c r="F5662" s="5" t="s">
        <v>831</v>
      </c>
      <c r="G5662" s="5" t="s">
        <v>832</v>
      </c>
      <c r="H5662" s="5"/>
      <c r="I5662" s="6">
        <v>70000</v>
      </c>
    </row>
    <row r="5663" spans="1:9" x14ac:dyDescent="0.3">
      <c r="B5663" s="5" t="s">
        <v>4950</v>
      </c>
      <c r="C5663" s="5" t="s">
        <v>844</v>
      </c>
      <c r="D5663" s="5" t="s">
        <v>5053</v>
      </c>
      <c r="E5663" s="5" t="s">
        <v>1993</v>
      </c>
      <c r="F5663" s="5" t="s">
        <v>867</v>
      </c>
      <c r="G5663" s="5" t="s">
        <v>868</v>
      </c>
      <c r="H5663" s="5"/>
      <c r="I5663" s="6">
        <v>11200</v>
      </c>
    </row>
    <row r="5664" spans="1:9" x14ac:dyDescent="0.3">
      <c r="A5664" s="7" t="s">
        <v>5054</v>
      </c>
      <c r="H5664" s="8">
        <f>H5661+H5662+H5663</f>
        <v>81200</v>
      </c>
      <c r="I5664" s="8">
        <f>I5661+I5662+I5663</f>
        <v>81200</v>
      </c>
    </row>
    <row r="5665" spans="1:9" x14ac:dyDescent="0.3">
      <c r="A5665" s="4" t="s">
        <v>5055</v>
      </c>
    </row>
    <row r="5666" spans="1:9" x14ac:dyDescent="0.3">
      <c r="B5666" s="5" t="s">
        <v>4950</v>
      </c>
      <c r="C5666" s="5" t="s">
        <v>844</v>
      </c>
      <c r="D5666" s="5" t="s">
        <v>5056</v>
      </c>
      <c r="E5666" s="5" t="s">
        <v>2750</v>
      </c>
      <c r="F5666" s="5" t="s">
        <v>847</v>
      </c>
      <c r="G5666" s="5" t="s">
        <v>848</v>
      </c>
      <c r="H5666" s="6">
        <v>110200</v>
      </c>
      <c r="I5666" s="5"/>
    </row>
    <row r="5667" spans="1:9" x14ac:dyDescent="0.3">
      <c r="B5667" s="5" t="s">
        <v>4950</v>
      </c>
      <c r="C5667" s="5" t="s">
        <v>844</v>
      </c>
      <c r="D5667" s="5" t="s">
        <v>5056</v>
      </c>
      <c r="E5667" s="5" t="s">
        <v>2987</v>
      </c>
      <c r="F5667" s="5" t="s">
        <v>831</v>
      </c>
      <c r="G5667" s="5" t="s">
        <v>832</v>
      </c>
      <c r="H5667" s="5"/>
      <c r="I5667" s="6">
        <v>95000</v>
      </c>
    </row>
    <row r="5668" spans="1:9" x14ac:dyDescent="0.3">
      <c r="B5668" s="5" t="s">
        <v>4950</v>
      </c>
      <c r="C5668" s="5" t="s">
        <v>844</v>
      </c>
      <c r="D5668" s="5" t="s">
        <v>5056</v>
      </c>
      <c r="E5668" s="5" t="s">
        <v>1993</v>
      </c>
      <c r="F5668" s="5" t="s">
        <v>867</v>
      </c>
      <c r="G5668" s="5" t="s">
        <v>868</v>
      </c>
      <c r="H5668" s="5"/>
      <c r="I5668" s="6">
        <v>15200</v>
      </c>
    </row>
    <row r="5669" spans="1:9" x14ac:dyDescent="0.3">
      <c r="A5669" s="7" t="s">
        <v>5057</v>
      </c>
      <c r="H5669" s="8">
        <f>H5666+H5667+H5668</f>
        <v>110200</v>
      </c>
      <c r="I5669" s="8">
        <f>I5666+I5667+I5668</f>
        <v>110200</v>
      </c>
    </row>
    <row r="5670" spans="1:9" x14ac:dyDescent="0.3">
      <c r="A5670" s="4" t="s">
        <v>5058</v>
      </c>
    </row>
    <row r="5671" spans="1:9" x14ac:dyDescent="0.3">
      <c r="B5671" s="5" t="s">
        <v>4950</v>
      </c>
      <c r="C5671" s="5" t="s">
        <v>844</v>
      </c>
      <c r="D5671" s="5" t="s">
        <v>5059</v>
      </c>
      <c r="E5671" s="5" t="s">
        <v>2750</v>
      </c>
      <c r="F5671" s="5" t="s">
        <v>847</v>
      </c>
      <c r="G5671" s="5" t="s">
        <v>848</v>
      </c>
      <c r="H5671" s="6">
        <v>81200</v>
      </c>
      <c r="I5671" s="5"/>
    </row>
    <row r="5672" spans="1:9" x14ac:dyDescent="0.3">
      <c r="B5672" s="5" t="s">
        <v>4950</v>
      </c>
      <c r="C5672" s="5" t="s">
        <v>844</v>
      </c>
      <c r="D5672" s="5" t="s">
        <v>5059</v>
      </c>
      <c r="E5672" s="5" t="s">
        <v>2987</v>
      </c>
      <c r="F5672" s="5" t="s">
        <v>831</v>
      </c>
      <c r="G5672" s="5" t="s">
        <v>832</v>
      </c>
      <c r="H5672" s="5"/>
      <c r="I5672" s="6">
        <v>70000</v>
      </c>
    </row>
    <row r="5673" spans="1:9" x14ac:dyDescent="0.3">
      <c r="B5673" s="5" t="s">
        <v>4950</v>
      </c>
      <c r="C5673" s="5" t="s">
        <v>844</v>
      </c>
      <c r="D5673" s="5" t="s">
        <v>5059</v>
      </c>
      <c r="E5673" s="5" t="s">
        <v>1993</v>
      </c>
      <c r="F5673" s="5" t="s">
        <v>867</v>
      </c>
      <c r="G5673" s="5" t="s">
        <v>868</v>
      </c>
      <c r="H5673" s="5"/>
      <c r="I5673" s="6">
        <v>11200</v>
      </c>
    </row>
    <row r="5674" spans="1:9" x14ac:dyDescent="0.3">
      <c r="A5674" s="7" t="s">
        <v>5060</v>
      </c>
      <c r="H5674" s="8">
        <f>H5671+H5672+H5673</f>
        <v>81200</v>
      </c>
      <c r="I5674" s="8">
        <f>I5671+I5672+I5673</f>
        <v>81200</v>
      </c>
    </row>
    <row r="5675" spans="1:9" x14ac:dyDescent="0.3">
      <c r="A5675" s="4" t="s">
        <v>5061</v>
      </c>
    </row>
    <row r="5676" spans="1:9" x14ac:dyDescent="0.3">
      <c r="B5676" s="5" t="s">
        <v>4950</v>
      </c>
      <c r="C5676" s="5" t="s">
        <v>844</v>
      </c>
      <c r="D5676" s="5" t="s">
        <v>5062</v>
      </c>
      <c r="E5676" s="5" t="s">
        <v>2750</v>
      </c>
      <c r="F5676" s="5" t="s">
        <v>847</v>
      </c>
      <c r="G5676" s="5" t="s">
        <v>848</v>
      </c>
      <c r="H5676" s="6">
        <v>174000</v>
      </c>
      <c r="I5676" s="5"/>
    </row>
    <row r="5677" spans="1:9" x14ac:dyDescent="0.3">
      <c r="B5677" s="5" t="s">
        <v>4950</v>
      </c>
      <c r="C5677" s="5" t="s">
        <v>844</v>
      </c>
      <c r="D5677" s="5" t="s">
        <v>5062</v>
      </c>
      <c r="E5677" s="5" t="s">
        <v>2987</v>
      </c>
      <c r="F5677" s="5" t="s">
        <v>831</v>
      </c>
      <c r="G5677" s="5" t="s">
        <v>832</v>
      </c>
      <c r="H5677" s="5"/>
      <c r="I5677" s="6">
        <v>150000</v>
      </c>
    </row>
    <row r="5678" spans="1:9" x14ac:dyDescent="0.3">
      <c r="B5678" s="5" t="s">
        <v>4950</v>
      </c>
      <c r="C5678" s="5" t="s">
        <v>844</v>
      </c>
      <c r="D5678" s="5" t="s">
        <v>5062</v>
      </c>
      <c r="E5678" s="5" t="s">
        <v>1993</v>
      </c>
      <c r="F5678" s="5" t="s">
        <v>867</v>
      </c>
      <c r="G5678" s="5" t="s">
        <v>868</v>
      </c>
      <c r="H5678" s="5"/>
      <c r="I5678" s="6">
        <v>24000</v>
      </c>
    </row>
    <row r="5679" spans="1:9" x14ac:dyDescent="0.3">
      <c r="A5679" s="7" t="s">
        <v>5063</v>
      </c>
      <c r="H5679" s="8">
        <f>H5676+H5677+H5678</f>
        <v>174000</v>
      </c>
      <c r="I5679" s="8">
        <f>I5676+I5677+I5678</f>
        <v>174000</v>
      </c>
    </row>
    <row r="5680" spans="1:9" x14ac:dyDescent="0.3">
      <c r="A5680" s="4" t="s">
        <v>5064</v>
      </c>
    </row>
    <row r="5681" spans="1:9" x14ac:dyDescent="0.3">
      <c r="B5681" s="5" t="s">
        <v>4950</v>
      </c>
      <c r="C5681" s="5" t="s">
        <v>844</v>
      </c>
      <c r="D5681" s="5" t="s">
        <v>5065</v>
      </c>
      <c r="E5681" s="5" t="s">
        <v>2750</v>
      </c>
      <c r="F5681" s="5" t="s">
        <v>847</v>
      </c>
      <c r="G5681" s="5" t="s">
        <v>848</v>
      </c>
      <c r="H5681" s="6">
        <v>139200</v>
      </c>
      <c r="I5681" s="5"/>
    </row>
    <row r="5682" spans="1:9" x14ac:dyDescent="0.3">
      <c r="B5682" s="5" t="s">
        <v>4950</v>
      </c>
      <c r="C5682" s="5" t="s">
        <v>844</v>
      </c>
      <c r="D5682" s="5" t="s">
        <v>5065</v>
      </c>
      <c r="E5682" s="5" t="s">
        <v>2987</v>
      </c>
      <c r="F5682" s="5" t="s">
        <v>831</v>
      </c>
      <c r="G5682" s="5" t="s">
        <v>832</v>
      </c>
      <c r="H5682" s="5"/>
      <c r="I5682" s="6">
        <v>120000</v>
      </c>
    </row>
    <row r="5683" spans="1:9" x14ac:dyDescent="0.3">
      <c r="B5683" s="5" t="s">
        <v>4950</v>
      </c>
      <c r="C5683" s="5" t="s">
        <v>844</v>
      </c>
      <c r="D5683" s="5" t="s">
        <v>5065</v>
      </c>
      <c r="E5683" s="5" t="s">
        <v>1993</v>
      </c>
      <c r="F5683" s="5" t="s">
        <v>867</v>
      </c>
      <c r="G5683" s="5" t="s">
        <v>868</v>
      </c>
      <c r="H5683" s="5"/>
      <c r="I5683" s="6">
        <v>19200</v>
      </c>
    </row>
    <row r="5684" spans="1:9" x14ac:dyDescent="0.3">
      <c r="A5684" s="7" t="s">
        <v>5066</v>
      </c>
      <c r="H5684" s="8">
        <f>H5681+H5682+H5683</f>
        <v>139200</v>
      </c>
      <c r="I5684" s="8">
        <f>I5681+I5682+I5683</f>
        <v>139200</v>
      </c>
    </row>
    <row r="5685" spans="1:9" x14ac:dyDescent="0.3">
      <c r="A5685" s="4" t="s">
        <v>5067</v>
      </c>
    </row>
    <row r="5686" spans="1:9" x14ac:dyDescent="0.3">
      <c r="B5686" s="5" t="s">
        <v>4950</v>
      </c>
      <c r="C5686" s="5" t="s">
        <v>844</v>
      </c>
      <c r="D5686" s="5" t="s">
        <v>5068</v>
      </c>
      <c r="E5686" s="5" t="s">
        <v>2750</v>
      </c>
      <c r="F5686" s="5" t="s">
        <v>847</v>
      </c>
      <c r="G5686" s="5" t="s">
        <v>848</v>
      </c>
      <c r="H5686" s="6">
        <v>92800</v>
      </c>
      <c r="I5686" s="5"/>
    </row>
    <row r="5687" spans="1:9" x14ac:dyDescent="0.3">
      <c r="B5687" s="5" t="s">
        <v>4950</v>
      </c>
      <c r="C5687" s="5" t="s">
        <v>844</v>
      </c>
      <c r="D5687" s="5" t="s">
        <v>5068</v>
      </c>
      <c r="E5687" s="5" t="s">
        <v>2987</v>
      </c>
      <c r="F5687" s="5" t="s">
        <v>831</v>
      </c>
      <c r="G5687" s="5" t="s">
        <v>832</v>
      </c>
      <c r="H5687" s="5"/>
      <c r="I5687" s="6">
        <v>80000</v>
      </c>
    </row>
    <row r="5688" spans="1:9" x14ac:dyDescent="0.3">
      <c r="B5688" s="5" t="s">
        <v>4950</v>
      </c>
      <c r="C5688" s="5" t="s">
        <v>844</v>
      </c>
      <c r="D5688" s="5" t="s">
        <v>5068</v>
      </c>
      <c r="E5688" s="5" t="s">
        <v>1993</v>
      </c>
      <c r="F5688" s="5" t="s">
        <v>867</v>
      </c>
      <c r="G5688" s="5" t="s">
        <v>868</v>
      </c>
      <c r="H5688" s="5"/>
      <c r="I5688" s="6">
        <v>12800</v>
      </c>
    </row>
    <row r="5689" spans="1:9" x14ac:dyDescent="0.3">
      <c r="A5689" s="7" t="s">
        <v>5069</v>
      </c>
      <c r="H5689" s="8">
        <f>H5686+H5687+H5688</f>
        <v>92800</v>
      </c>
      <c r="I5689" s="8">
        <f>I5686+I5687+I5688</f>
        <v>92800</v>
      </c>
    </row>
    <row r="5690" spans="1:9" x14ac:dyDescent="0.3">
      <c r="A5690" s="4" t="s">
        <v>5070</v>
      </c>
    </row>
    <row r="5691" spans="1:9" x14ac:dyDescent="0.3">
      <c r="B5691" s="5" t="s">
        <v>4950</v>
      </c>
      <c r="C5691" s="5" t="s">
        <v>844</v>
      </c>
      <c r="D5691" s="5" t="s">
        <v>5071</v>
      </c>
      <c r="E5691" s="5" t="s">
        <v>2750</v>
      </c>
      <c r="F5691" s="5" t="s">
        <v>847</v>
      </c>
      <c r="G5691" s="5" t="s">
        <v>848</v>
      </c>
      <c r="H5691" s="6">
        <v>174000</v>
      </c>
      <c r="I5691" s="5"/>
    </row>
    <row r="5692" spans="1:9" x14ac:dyDescent="0.3">
      <c r="B5692" s="5" t="s">
        <v>4950</v>
      </c>
      <c r="C5692" s="5" t="s">
        <v>844</v>
      </c>
      <c r="D5692" s="5" t="s">
        <v>5071</v>
      </c>
      <c r="E5692" s="5" t="s">
        <v>2987</v>
      </c>
      <c r="F5692" s="5" t="s">
        <v>831</v>
      </c>
      <c r="G5692" s="5" t="s">
        <v>832</v>
      </c>
      <c r="H5692" s="5"/>
      <c r="I5692" s="6">
        <v>150000</v>
      </c>
    </row>
    <row r="5693" spans="1:9" x14ac:dyDescent="0.3">
      <c r="B5693" s="5" t="s">
        <v>4950</v>
      </c>
      <c r="C5693" s="5" t="s">
        <v>844</v>
      </c>
      <c r="D5693" s="5" t="s">
        <v>5071</v>
      </c>
      <c r="E5693" s="5" t="s">
        <v>1993</v>
      </c>
      <c r="F5693" s="5" t="s">
        <v>867</v>
      </c>
      <c r="G5693" s="5" t="s">
        <v>868</v>
      </c>
      <c r="H5693" s="5"/>
      <c r="I5693" s="6">
        <v>24000</v>
      </c>
    </row>
    <row r="5694" spans="1:9" x14ac:dyDescent="0.3">
      <c r="A5694" s="7" t="s">
        <v>5072</v>
      </c>
      <c r="H5694" s="8">
        <f>H5691+H5692+H5693</f>
        <v>174000</v>
      </c>
      <c r="I5694" s="8">
        <f>I5691+I5692+I5693</f>
        <v>174000</v>
      </c>
    </row>
    <row r="5695" spans="1:9" x14ac:dyDescent="0.3">
      <c r="A5695" s="4" t="s">
        <v>5073</v>
      </c>
    </row>
    <row r="5696" spans="1:9" x14ac:dyDescent="0.3">
      <c r="B5696" s="5" t="s">
        <v>4950</v>
      </c>
      <c r="C5696" s="5" t="s">
        <v>844</v>
      </c>
      <c r="D5696" s="5" t="s">
        <v>5074</v>
      </c>
      <c r="E5696" s="5" t="s">
        <v>2750</v>
      </c>
      <c r="F5696" s="5" t="s">
        <v>847</v>
      </c>
      <c r="G5696" s="5" t="s">
        <v>848</v>
      </c>
      <c r="H5696" s="6">
        <v>232000</v>
      </c>
      <c r="I5696" s="5"/>
    </row>
    <row r="5697" spans="1:9" x14ac:dyDescent="0.3">
      <c r="B5697" s="5" t="s">
        <v>4950</v>
      </c>
      <c r="C5697" s="5" t="s">
        <v>844</v>
      </c>
      <c r="D5697" s="5" t="s">
        <v>5074</v>
      </c>
      <c r="E5697" s="5" t="s">
        <v>2987</v>
      </c>
      <c r="F5697" s="5" t="s">
        <v>831</v>
      </c>
      <c r="G5697" s="5" t="s">
        <v>832</v>
      </c>
      <c r="H5697" s="5"/>
      <c r="I5697" s="6">
        <v>200000</v>
      </c>
    </row>
    <row r="5698" spans="1:9" x14ac:dyDescent="0.3">
      <c r="B5698" s="5" t="s">
        <v>4950</v>
      </c>
      <c r="C5698" s="5" t="s">
        <v>844</v>
      </c>
      <c r="D5698" s="5" t="s">
        <v>5074</v>
      </c>
      <c r="E5698" s="5" t="s">
        <v>1993</v>
      </c>
      <c r="F5698" s="5" t="s">
        <v>867</v>
      </c>
      <c r="G5698" s="5" t="s">
        <v>868</v>
      </c>
      <c r="H5698" s="5"/>
      <c r="I5698" s="6">
        <v>32000</v>
      </c>
    </row>
    <row r="5699" spans="1:9" x14ac:dyDescent="0.3">
      <c r="A5699" s="7" t="s">
        <v>5075</v>
      </c>
      <c r="H5699" s="8">
        <f>H5696+H5697+H5698</f>
        <v>232000</v>
      </c>
      <c r="I5699" s="8">
        <f>I5696+I5697+I5698</f>
        <v>232000</v>
      </c>
    </row>
    <row r="5700" spans="1:9" x14ac:dyDescent="0.3">
      <c r="A5700" s="4" t="s">
        <v>5076</v>
      </c>
    </row>
    <row r="5701" spans="1:9" x14ac:dyDescent="0.3">
      <c r="B5701" s="5" t="s">
        <v>4950</v>
      </c>
      <c r="C5701" s="5" t="s">
        <v>844</v>
      </c>
      <c r="D5701" s="5" t="s">
        <v>5077</v>
      </c>
      <c r="E5701" s="5" t="s">
        <v>2750</v>
      </c>
      <c r="F5701" s="5" t="s">
        <v>847</v>
      </c>
      <c r="G5701" s="5" t="s">
        <v>848</v>
      </c>
      <c r="H5701" s="6">
        <v>58000</v>
      </c>
      <c r="I5701" s="5"/>
    </row>
    <row r="5702" spans="1:9" x14ac:dyDescent="0.3">
      <c r="B5702" s="5" t="s">
        <v>4950</v>
      </c>
      <c r="C5702" s="5" t="s">
        <v>844</v>
      </c>
      <c r="D5702" s="5" t="s">
        <v>5077</v>
      </c>
      <c r="E5702" s="5" t="s">
        <v>2987</v>
      </c>
      <c r="F5702" s="5" t="s">
        <v>831</v>
      </c>
      <c r="G5702" s="5" t="s">
        <v>832</v>
      </c>
      <c r="H5702" s="5"/>
      <c r="I5702" s="6">
        <v>50000</v>
      </c>
    </row>
    <row r="5703" spans="1:9" x14ac:dyDescent="0.3">
      <c r="B5703" s="5" t="s">
        <v>4950</v>
      </c>
      <c r="C5703" s="5" t="s">
        <v>844</v>
      </c>
      <c r="D5703" s="5" t="s">
        <v>5077</v>
      </c>
      <c r="E5703" s="5" t="s">
        <v>1993</v>
      </c>
      <c r="F5703" s="5" t="s">
        <v>867</v>
      </c>
      <c r="G5703" s="5" t="s">
        <v>868</v>
      </c>
      <c r="H5703" s="5"/>
      <c r="I5703" s="6">
        <v>8000</v>
      </c>
    </row>
    <row r="5704" spans="1:9" x14ac:dyDescent="0.3">
      <c r="A5704" s="7" t="s">
        <v>5078</v>
      </c>
      <c r="H5704" s="8">
        <f>H5701+H5702+H5703</f>
        <v>58000</v>
      </c>
      <c r="I5704" s="8">
        <f>I5701+I5702+I5703</f>
        <v>58000</v>
      </c>
    </row>
    <row r="5705" spans="1:9" x14ac:dyDescent="0.3">
      <c r="A5705" s="4" t="s">
        <v>5079</v>
      </c>
    </row>
    <row r="5706" spans="1:9" x14ac:dyDescent="0.3">
      <c r="B5706" s="5" t="s">
        <v>4950</v>
      </c>
      <c r="C5706" s="5" t="s">
        <v>844</v>
      </c>
      <c r="D5706" s="5" t="s">
        <v>5080</v>
      </c>
      <c r="E5706" s="5" t="s">
        <v>2750</v>
      </c>
      <c r="F5706" s="5" t="s">
        <v>847</v>
      </c>
      <c r="G5706" s="5" t="s">
        <v>848</v>
      </c>
      <c r="H5706" s="6">
        <v>81200</v>
      </c>
      <c r="I5706" s="5"/>
    </row>
    <row r="5707" spans="1:9" x14ac:dyDescent="0.3">
      <c r="B5707" s="5" t="s">
        <v>4950</v>
      </c>
      <c r="C5707" s="5" t="s">
        <v>844</v>
      </c>
      <c r="D5707" s="5" t="s">
        <v>5080</v>
      </c>
      <c r="E5707" s="5" t="s">
        <v>2987</v>
      </c>
      <c r="F5707" s="5" t="s">
        <v>831</v>
      </c>
      <c r="G5707" s="5" t="s">
        <v>832</v>
      </c>
      <c r="H5707" s="5"/>
      <c r="I5707" s="6">
        <v>70000</v>
      </c>
    </row>
    <row r="5708" spans="1:9" x14ac:dyDescent="0.3">
      <c r="B5708" s="5" t="s">
        <v>4950</v>
      </c>
      <c r="C5708" s="5" t="s">
        <v>844</v>
      </c>
      <c r="D5708" s="5" t="s">
        <v>5080</v>
      </c>
      <c r="E5708" s="5" t="s">
        <v>1993</v>
      </c>
      <c r="F5708" s="5" t="s">
        <v>867</v>
      </c>
      <c r="G5708" s="5" t="s">
        <v>868</v>
      </c>
      <c r="H5708" s="5"/>
      <c r="I5708" s="6">
        <v>11200</v>
      </c>
    </row>
    <row r="5709" spans="1:9" x14ac:dyDescent="0.3">
      <c r="A5709" s="7" t="s">
        <v>5081</v>
      </c>
      <c r="H5709" s="8">
        <f>H5706+H5707+H5708</f>
        <v>81200</v>
      </c>
      <c r="I5709" s="8">
        <f>I5706+I5707+I5708</f>
        <v>81200</v>
      </c>
    </row>
    <row r="5710" spans="1:9" x14ac:dyDescent="0.3">
      <c r="A5710" s="4" t="s">
        <v>5082</v>
      </c>
    </row>
    <row r="5711" spans="1:9" x14ac:dyDescent="0.3">
      <c r="B5711" s="5" t="s">
        <v>4950</v>
      </c>
      <c r="C5711" s="5" t="s">
        <v>844</v>
      </c>
      <c r="D5711" s="5" t="s">
        <v>5083</v>
      </c>
      <c r="E5711" s="5" t="s">
        <v>2750</v>
      </c>
      <c r="F5711" s="5" t="s">
        <v>847</v>
      </c>
      <c r="G5711" s="5" t="s">
        <v>848</v>
      </c>
      <c r="H5711" s="6">
        <v>104400</v>
      </c>
      <c r="I5711" s="5"/>
    </row>
    <row r="5712" spans="1:9" x14ac:dyDescent="0.3">
      <c r="B5712" s="5" t="s">
        <v>4950</v>
      </c>
      <c r="C5712" s="5" t="s">
        <v>844</v>
      </c>
      <c r="D5712" s="5" t="s">
        <v>5083</v>
      </c>
      <c r="E5712" s="5" t="s">
        <v>2987</v>
      </c>
      <c r="F5712" s="5" t="s">
        <v>831</v>
      </c>
      <c r="G5712" s="5" t="s">
        <v>832</v>
      </c>
      <c r="H5712" s="5"/>
      <c r="I5712" s="6">
        <v>90000</v>
      </c>
    </row>
    <row r="5713" spans="1:9" x14ac:dyDescent="0.3">
      <c r="B5713" s="5" t="s">
        <v>4950</v>
      </c>
      <c r="C5713" s="5" t="s">
        <v>844</v>
      </c>
      <c r="D5713" s="5" t="s">
        <v>5083</v>
      </c>
      <c r="E5713" s="5" t="s">
        <v>1993</v>
      </c>
      <c r="F5713" s="5" t="s">
        <v>867</v>
      </c>
      <c r="G5713" s="5" t="s">
        <v>868</v>
      </c>
      <c r="H5713" s="5"/>
      <c r="I5713" s="6">
        <v>14400</v>
      </c>
    </row>
    <row r="5714" spans="1:9" x14ac:dyDescent="0.3">
      <c r="A5714" s="7" t="s">
        <v>5084</v>
      </c>
      <c r="H5714" s="8">
        <f>H5711+H5712+H5713</f>
        <v>104400</v>
      </c>
      <c r="I5714" s="8">
        <f>I5711+I5712+I5713</f>
        <v>104400</v>
      </c>
    </row>
    <row r="5715" spans="1:9" x14ac:dyDescent="0.3">
      <c r="A5715" s="4" t="s">
        <v>5085</v>
      </c>
    </row>
    <row r="5716" spans="1:9" x14ac:dyDescent="0.3">
      <c r="B5716" s="5" t="s">
        <v>4950</v>
      </c>
      <c r="C5716" s="5" t="s">
        <v>844</v>
      </c>
      <c r="D5716" s="5" t="s">
        <v>5086</v>
      </c>
      <c r="E5716" s="5" t="s">
        <v>2750</v>
      </c>
      <c r="F5716" s="5" t="s">
        <v>847</v>
      </c>
      <c r="G5716" s="5" t="s">
        <v>848</v>
      </c>
      <c r="H5716" s="6">
        <v>197200</v>
      </c>
      <c r="I5716" s="5"/>
    </row>
    <row r="5717" spans="1:9" x14ac:dyDescent="0.3">
      <c r="B5717" s="5" t="s">
        <v>4950</v>
      </c>
      <c r="C5717" s="5" t="s">
        <v>844</v>
      </c>
      <c r="D5717" s="5" t="s">
        <v>5086</v>
      </c>
      <c r="E5717" s="5" t="s">
        <v>2987</v>
      </c>
      <c r="F5717" s="5" t="s">
        <v>831</v>
      </c>
      <c r="G5717" s="5" t="s">
        <v>832</v>
      </c>
      <c r="H5717" s="5"/>
      <c r="I5717" s="6">
        <v>170000</v>
      </c>
    </row>
    <row r="5718" spans="1:9" x14ac:dyDescent="0.3">
      <c r="B5718" s="5" t="s">
        <v>4950</v>
      </c>
      <c r="C5718" s="5" t="s">
        <v>844</v>
      </c>
      <c r="D5718" s="5" t="s">
        <v>5086</v>
      </c>
      <c r="E5718" s="5" t="s">
        <v>1993</v>
      </c>
      <c r="F5718" s="5" t="s">
        <v>867</v>
      </c>
      <c r="G5718" s="5" t="s">
        <v>868</v>
      </c>
      <c r="H5718" s="5"/>
      <c r="I5718" s="6">
        <v>27200</v>
      </c>
    </row>
    <row r="5719" spans="1:9" x14ac:dyDescent="0.3">
      <c r="A5719" s="7" t="s">
        <v>5087</v>
      </c>
      <c r="H5719" s="8">
        <f>H5716+H5717+H5718</f>
        <v>197200</v>
      </c>
      <c r="I5719" s="8">
        <f>I5716+I5717+I5718</f>
        <v>197200</v>
      </c>
    </row>
    <row r="5720" spans="1:9" x14ac:dyDescent="0.3">
      <c r="A5720" s="4" t="s">
        <v>5088</v>
      </c>
    </row>
    <row r="5721" spans="1:9" x14ac:dyDescent="0.3">
      <c r="B5721" s="5" t="s">
        <v>4950</v>
      </c>
      <c r="C5721" s="5" t="s">
        <v>844</v>
      </c>
      <c r="D5721" s="5" t="s">
        <v>5089</v>
      </c>
      <c r="E5721" s="5" t="s">
        <v>2750</v>
      </c>
      <c r="F5721" s="5" t="s">
        <v>847</v>
      </c>
      <c r="G5721" s="5" t="s">
        <v>848</v>
      </c>
      <c r="H5721" s="6">
        <v>348000</v>
      </c>
      <c r="I5721" s="5"/>
    </row>
    <row r="5722" spans="1:9" x14ac:dyDescent="0.3">
      <c r="B5722" s="5" t="s">
        <v>4950</v>
      </c>
      <c r="C5722" s="5" t="s">
        <v>844</v>
      </c>
      <c r="D5722" s="5" t="s">
        <v>5089</v>
      </c>
      <c r="E5722" s="5" t="s">
        <v>2987</v>
      </c>
      <c r="F5722" s="5" t="s">
        <v>831</v>
      </c>
      <c r="G5722" s="5" t="s">
        <v>832</v>
      </c>
      <c r="H5722" s="5"/>
      <c r="I5722" s="6">
        <v>300000</v>
      </c>
    </row>
    <row r="5723" spans="1:9" x14ac:dyDescent="0.3">
      <c r="B5723" s="5" t="s">
        <v>4950</v>
      </c>
      <c r="C5723" s="5" t="s">
        <v>844</v>
      </c>
      <c r="D5723" s="5" t="s">
        <v>5089</v>
      </c>
      <c r="E5723" s="5" t="s">
        <v>1993</v>
      </c>
      <c r="F5723" s="5" t="s">
        <v>867</v>
      </c>
      <c r="G5723" s="5" t="s">
        <v>868</v>
      </c>
      <c r="H5723" s="5"/>
      <c r="I5723" s="6">
        <v>48000</v>
      </c>
    </row>
    <row r="5724" spans="1:9" x14ac:dyDescent="0.3">
      <c r="A5724" s="7" t="s">
        <v>5090</v>
      </c>
      <c r="H5724" s="8">
        <f>H5721+H5722+H5723</f>
        <v>348000</v>
      </c>
      <c r="I5724" s="8">
        <f>I5721+I5722+I5723</f>
        <v>348000</v>
      </c>
    </row>
    <row r="5725" spans="1:9" x14ac:dyDescent="0.3">
      <c r="A5725" s="4" t="s">
        <v>5091</v>
      </c>
    </row>
    <row r="5726" spans="1:9" x14ac:dyDescent="0.3">
      <c r="B5726" s="5" t="s">
        <v>4950</v>
      </c>
      <c r="C5726" s="5" t="s">
        <v>844</v>
      </c>
      <c r="D5726" s="5" t="s">
        <v>5092</v>
      </c>
      <c r="E5726" s="5" t="s">
        <v>2750</v>
      </c>
      <c r="F5726" s="5" t="s">
        <v>847</v>
      </c>
      <c r="G5726" s="5" t="s">
        <v>848</v>
      </c>
      <c r="H5726" s="6">
        <v>58000</v>
      </c>
      <c r="I5726" s="5"/>
    </row>
    <row r="5727" spans="1:9" x14ac:dyDescent="0.3">
      <c r="B5727" s="5" t="s">
        <v>4950</v>
      </c>
      <c r="C5727" s="5" t="s">
        <v>844</v>
      </c>
      <c r="D5727" s="5" t="s">
        <v>5092</v>
      </c>
      <c r="E5727" s="5" t="s">
        <v>2987</v>
      </c>
      <c r="F5727" s="5" t="s">
        <v>831</v>
      </c>
      <c r="G5727" s="5" t="s">
        <v>832</v>
      </c>
      <c r="H5727" s="5"/>
      <c r="I5727" s="6">
        <v>50000</v>
      </c>
    </row>
    <row r="5728" spans="1:9" x14ac:dyDescent="0.3">
      <c r="B5728" s="5" t="s">
        <v>4950</v>
      </c>
      <c r="C5728" s="5" t="s">
        <v>844</v>
      </c>
      <c r="D5728" s="5" t="s">
        <v>5092</v>
      </c>
      <c r="E5728" s="5" t="s">
        <v>1993</v>
      </c>
      <c r="F5728" s="5" t="s">
        <v>867</v>
      </c>
      <c r="G5728" s="5" t="s">
        <v>868</v>
      </c>
      <c r="H5728" s="5"/>
      <c r="I5728" s="6">
        <v>8000</v>
      </c>
    </row>
    <row r="5729" spans="1:9" x14ac:dyDescent="0.3">
      <c r="A5729" s="7" t="s">
        <v>5093</v>
      </c>
      <c r="H5729" s="8">
        <f>H5726+H5727+H5728</f>
        <v>58000</v>
      </c>
      <c r="I5729" s="8">
        <f>I5726+I5727+I5728</f>
        <v>58000</v>
      </c>
    </row>
    <row r="5730" spans="1:9" x14ac:dyDescent="0.3">
      <c r="A5730" s="4" t="s">
        <v>5094</v>
      </c>
    </row>
    <row r="5731" spans="1:9" x14ac:dyDescent="0.3">
      <c r="B5731" s="5" t="s">
        <v>4950</v>
      </c>
      <c r="C5731" s="5" t="s">
        <v>844</v>
      </c>
      <c r="D5731" s="5" t="s">
        <v>5095</v>
      </c>
      <c r="E5731" s="5" t="s">
        <v>2750</v>
      </c>
      <c r="F5731" s="5" t="s">
        <v>847</v>
      </c>
      <c r="G5731" s="5" t="s">
        <v>848</v>
      </c>
      <c r="H5731" s="6">
        <v>258390</v>
      </c>
      <c r="I5731" s="5"/>
    </row>
    <row r="5732" spans="1:9" x14ac:dyDescent="0.3">
      <c r="B5732" s="5" t="s">
        <v>4950</v>
      </c>
      <c r="C5732" s="5" t="s">
        <v>844</v>
      </c>
      <c r="D5732" s="5" t="s">
        <v>5095</v>
      </c>
      <c r="E5732" s="5" t="s">
        <v>2987</v>
      </c>
      <c r="F5732" s="5" t="s">
        <v>831</v>
      </c>
      <c r="G5732" s="5" t="s">
        <v>832</v>
      </c>
      <c r="H5732" s="5"/>
      <c r="I5732" s="6">
        <v>222750</v>
      </c>
    </row>
    <row r="5733" spans="1:9" x14ac:dyDescent="0.3">
      <c r="B5733" s="5" t="s">
        <v>4950</v>
      </c>
      <c r="C5733" s="5" t="s">
        <v>844</v>
      </c>
      <c r="D5733" s="5" t="s">
        <v>5095</v>
      </c>
      <c r="E5733" s="5" t="s">
        <v>1993</v>
      </c>
      <c r="F5733" s="5" t="s">
        <v>867</v>
      </c>
      <c r="G5733" s="5" t="s">
        <v>868</v>
      </c>
      <c r="H5733" s="5"/>
      <c r="I5733" s="6">
        <v>35640</v>
      </c>
    </row>
    <row r="5734" spans="1:9" x14ac:dyDescent="0.3">
      <c r="A5734" s="7" t="s">
        <v>5096</v>
      </c>
      <c r="H5734" s="8">
        <f>H5731+H5732+H5733</f>
        <v>258390</v>
      </c>
      <c r="I5734" s="8">
        <f>I5731+I5732+I5733</f>
        <v>258390</v>
      </c>
    </row>
    <row r="5735" spans="1:9" x14ac:dyDescent="0.3">
      <c r="A5735" s="4" t="s">
        <v>5097</v>
      </c>
    </row>
    <row r="5736" spans="1:9" x14ac:dyDescent="0.3">
      <c r="B5736" s="5" t="s">
        <v>4950</v>
      </c>
      <c r="C5736" s="5" t="s">
        <v>844</v>
      </c>
      <c r="D5736" s="5" t="s">
        <v>5098</v>
      </c>
      <c r="E5736" s="5" t="s">
        <v>2750</v>
      </c>
      <c r="F5736" s="5" t="s">
        <v>847</v>
      </c>
      <c r="G5736" s="5" t="s">
        <v>848</v>
      </c>
      <c r="H5736" s="6">
        <v>220400</v>
      </c>
      <c r="I5736" s="5"/>
    </row>
    <row r="5737" spans="1:9" x14ac:dyDescent="0.3">
      <c r="B5737" s="5" t="s">
        <v>4950</v>
      </c>
      <c r="C5737" s="5" t="s">
        <v>844</v>
      </c>
      <c r="D5737" s="5" t="s">
        <v>5098</v>
      </c>
      <c r="E5737" s="5" t="s">
        <v>2987</v>
      </c>
      <c r="F5737" s="5" t="s">
        <v>831</v>
      </c>
      <c r="G5737" s="5" t="s">
        <v>832</v>
      </c>
      <c r="H5737" s="5"/>
      <c r="I5737" s="6">
        <v>190000</v>
      </c>
    </row>
    <row r="5738" spans="1:9" x14ac:dyDescent="0.3">
      <c r="B5738" s="5" t="s">
        <v>4950</v>
      </c>
      <c r="C5738" s="5" t="s">
        <v>844</v>
      </c>
      <c r="D5738" s="5" t="s">
        <v>5098</v>
      </c>
      <c r="E5738" s="5" t="s">
        <v>1993</v>
      </c>
      <c r="F5738" s="5" t="s">
        <v>867</v>
      </c>
      <c r="G5738" s="5" t="s">
        <v>868</v>
      </c>
      <c r="H5738" s="5"/>
      <c r="I5738" s="6">
        <v>30400</v>
      </c>
    </row>
    <row r="5739" spans="1:9" x14ac:dyDescent="0.3">
      <c r="A5739" s="7" t="s">
        <v>5099</v>
      </c>
      <c r="H5739" s="8">
        <f>H5736+H5737+H5738</f>
        <v>220400</v>
      </c>
      <c r="I5739" s="8">
        <f>I5736+I5737+I5738</f>
        <v>220400</v>
      </c>
    </row>
    <row r="5740" spans="1:9" x14ac:dyDescent="0.3">
      <c r="A5740" s="4" t="s">
        <v>5100</v>
      </c>
    </row>
    <row r="5741" spans="1:9" x14ac:dyDescent="0.3">
      <c r="B5741" s="5" t="s">
        <v>4950</v>
      </c>
      <c r="C5741" s="5" t="s">
        <v>844</v>
      </c>
      <c r="D5741" s="5" t="s">
        <v>5101</v>
      </c>
      <c r="E5741" s="5" t="s">
        <v>2750</v>
      </c>
      <c r="F5741" s="5" t="s">
        <v>847</v>
      </c>
      <c r="G5741" s="5" t="s">
        <v>848</v>
      </c>
      <c r="H5741" s="6">
        <v>116000</v>
      </c>
      <c r="I5741" s="5"/>
    </row>
    <row r="5742" spans="1:9" x14ac:dyDescent="0.3">
      <c r="B5742" s="5" t="s">
        <v>4950</v>
      </c>
      <c r="C5742" s="5" t="s">
        <v>844</v>
      </c>
      <c r="D5742" s="5" t="s">
        <v>5101</v>
      </c>
      <c r="E5742" s="5" t="s">
        <v>2987</v>
      </c>
      <c r="F5742" s="5" t="s">
        <v>831</v>
      </c>
      <c r="G5742" s="5" t="s">
        <v>832</v>
      </c>
      <c r="H5742" s="5"/>
      <c r="I5742" s="6">
        <v>100000</v>
      </c>
    </row>
    <row r="5743" spans="1:9" x14ac:dyDescent="0.3">
      <c r="B5743" s="5" t="s">
        <v>4950</v>
      </c>
      <c r="C5743" s="5" t="s">
        <v>844</v>
      </c>
      <c r="D5743" s="5" t="s">
        <v>5101</v>
      </c>
      <c r="E5743" s="5" t="s">
        <v>1993</v>
      </c>
      <c r="F5743" s="5" t="s">
        <v>867</v>
      </c>
      <c r="G5743" s="5" t="s">
        <v>868</v>
      </c>
      <c r="H5743" s="5"/>
      <c r="I5743" s="6">
        <v>16000</v>
      </c>
    </row>
    <row r="5744" spans="1:9" x14ac:dyDescent="0.3">
      <c r="A5744" s="7" t="s">
        <v>5102</v>
      </c>
      <c r="H5744" s="8">
        <f>H5741+H5742+H5743</f>
        <v>116000</v>
      </c>
      <c r="I5744" s="8">
        <f>I5741+I5742+I5743</f>
        <v>116000</v>
      </c>
    </row>
    <row r="5745" spans="1:9" x14ac:dyDescent="0.3">
      <c r="A5745" s="4" t="s">
        <v>5103</v>
      </c>
    </row>
    <row r="5746" spans="1:9" x14ac:dyDescent="0.3">
      <c r="B5746" s="5" t="s">
        <v>4950</v>
      </c>
      <c r="C5746" s="5" t="s">
        <v>844</v>
      </c>
      <c r="D5746" s="5" t="s">
        <v>5104</v>
      </c>
      <c r="E5746" s="5" t="s">
        <v>2750</v>
      </c>
      <c r="F5746" s="5" t="s">
        <v>847</v>
      </c>
      <c r="G5746" s="5" t="s">
        <v>848</v>
      </c>
      <c r="H5746" s="6">
        <v>92800</v>
      </c>
      <c r="I5746" s="5"/>
    </row>
    <row r="5747" spans="1:9" x14ac:dyDescent="0.3">
      <c r="B5747" s="5" t="s">
        <v>4950</v>
      </c>
      <c r="C5747" s="5" t="s">
        <v>844</v>
      </c>
      <c r="D5747" s="5" t="s">
        <v>5104</v>
      </c>
      <c r="E5747" s="5" t="s">
        <v>2987</v>
      </c>
      <c r="F5747" s="5" t="s">
        <v>831</v>
      </c>
      <c r="G5747" s="5" t="s">
        <v>832</v>
      </c>
      <c r="H5747" s="5"/>
      <c r="I5747" s="6">
        <v>80000</v>
      </c>
    </row>
    <row r="5748" spans="1:9" x14ac:dyDescent="0.3">
      <c r="B5748" s="5" t="s">
        <v>4950</v>
      </c>
      <c r="C5748" s="5" t="s">
        <v>844</v>
      </c>
      <c r="D5748" s="5" t="s">
        <v>5104</v>
      </c>
      <c r="E5748" s="5" t="s">
        <v>1993</v>
      </c>
      <c r="F5748" s="5" t="s">
        <v>867</v>
      </c>
      <c r="G5748" s="5" t="s">
        <v>868</v>
      </c>
      <c r="H5748" s="5"/>
      <c r="I5748" s="6">
        <v>12800</v>
      </c>
    </row>
    <row r="5749" spans="1:9" x14ac:dyDescent="0.3">
      <c r="A5749" s="7" t="s">
        <v>5105</v>
      </c>
      <c r="H5749" s="8">
        <f>H5746+H5747+H5748</f>
        <v>92800</v>
      </c>
      <c r="I5749" s="8">
        <f>I5746+I5747+I5748</f>
        <v>92800</v>
      </c>
    </row>
    <row r="5750" spans="1:9" x14ac:dyDescent="0.3">
      <c r="A5750" s="4" t="s">
        <v>5106</v>
      </c>
    </row>
    <row r="5751" spans="1:9" x14ac:dyDescent="0.3">
      <c r="B5751" s="5" t="s">
        <v>4950</v>
      </c>
      <c r="C5751" s="5" t="s">
        <v>844</v>
      </c>
      <c r="D5751" s="5" t="s">
        <v>5107</v>
      </c>
      <c r="E5751" s="5" t="s">
        <v>2750</v>
      </c>
      <c r="F5751" s="5" t="s">
        <v>847</v>
      </c>
      <c r="G5751" s="5" t="s">
        <v>848</v>
      </c>
      <c r="H5751" s="6">
        <v>290000</v>
      </c>
      <c r="I5751" s="5"/>
    </row>
    <row r="5752" spans="1:9" x14ac:dyDescent="0.3">
      <c r="B5752" s="5" t="s">
        <v>4950</v>
      </c>
      <c r="C5752" s="5" t="s">
        <v>844</v>
      </c>
      <c r="D5752" s="5" t="s">
        <v>5107</v>
      </c>
      <c r="E5752" s="5" t="s">
        <v>2987</v>
      </c>
      <c r="F5752" s="5" t="s">
        <v>831</v>
      </c>
      <c r="G5752" s="5" t="s">
        <v>832</v>
      </c>
      <c r="H5752" s="5"/>
      <c r="I5752" s="6">
        <v>250000</v>
      </c>
    </row>
    <row r="5753" spans="1:9" x14ac:dyDescent="0.3">
      <c r="B5753" s="5" t="s">
        <v>4950</v>
      </c>
      <c r="C5753" s="5" t="s">
        <v>844</v>
      </c>
      <c r="D5753" s="5" t="s">
        <v>5107</v>
      </c>
      <c r="E5753" s="5" t="s">
        <v>1993</v>
      </c>
      <c r="F5753" s="5" t="s">
        <v>867</v>
      </c>
      <c r="G5753" s="5" t="s">
        <v>868</v>
      </c>
      <c r="H5753" s="5"/>
      <c r="I5753" s="6">
        <v>40000</v>
      </c>
    </row>
    <row r="5754" spans="1:9" x14ac:dyDescent="0.3">
      <c r="A5754" s="7" t="s">
        <v>5108</v>
      </c>
      <c r="H5754" s="8">
        <f>H5751+H5752+H5753</f>
        <v>290000</v>
      </c>
      <c r="I5754" s="8">
        <f>I5751+I5752+I5753</f>
        <v>290000</v>
      </c>
    </row>
    <row r="5755" spans="1:9" x14ac:dyDescent="0.3">
      <c r="A5755" s="4" t="s">
        <v>5109</v>
      </c>
    </row>
    <row r="5756" spans="1:9" x14ac:dyDescent="0.3">
      <c r="B5756" s="5" t="s">
        <v>4950</v>
      </c>
      <c r="C5756" s="5" t="s">
        <v>844</v>
      </c>
      <c r="D5756" s="5" t="s">
        <v>5110</v>
      </c>
      <c r="E5756" s="5" t="s">
        <v>2750</v>
      </c>
      <c r="F5756" s="5" t="s">
        <v>847</v>
      </c>
      <c r="G5756" s="5" t="s">
        <v>848</v>
      </c>
      <c r="H5756" s="6">
        <v>232000</v>
      </c>
      <c r="I5756" s="5"/>
    </row>
    <row r="5757" spans="1:9" x14ac:dyDescent="0.3">
      <c r="B5757" s="5" t="s">
        <v>4950</v>
      </c>
      <c r="C5757" s="5" t="s">
        <v>844</v>
      </c>
      <c r="D5757" s="5" t="s">
        <v>5110</v>
      </c>
      <c r="E5757" s="5" t="s">
        <v>2987</v>
      </c>
      <c r="F5757" s="5" t="s">
        <v>831</v>
      </c>
      <c r="G5757" s="5" t="s">
        <v>832</v>
      </c>
      <c r="H5757" s="5"/>
      <c r="I5757" s="6">
        <v>200000</v>
      </c>
    </row>
    <row r="5758" spans="1:9" x14ac:dyDescent="0.3">
      <c r="B5758" s="5" t="s">
        <v>4950</v>
      </c>
      <c r="C5758" s="5" t="s">
        <v>844</v>
      </c>
      <c r="D5758" s="5" t="s">
        <v>5110</v>
      </c>
      <c r="E5758" s="5" t="s">
        <v>1993</v>
      </c>
      <c r="F5758" s="5" t="s">
        <v>867</v>
      </c>
      <c r="G5758" s="5" t="s">
        <v>868</v>
      </c>
      <c r="H5758" s="5"/>
      <c r="I5758" s="6">
        <v>32000</v>
      </c>
    </row>
    <row r="5759" spans="1:9" x14ac:dyDescent="0.3">
      <c r="A5759" s="7" t="s">
        <v>5111</v>
      </c>
      <c r="H5759" s="8">
        <f>H5756+H5757+H5758</f>
        <v>232000</v>
      </c>
      <c r="I5759" s="8">
        <f>I5756+I5757+I5758</f>
        <v>232000</v>
      </c>
    </row>
    <row r="5760" spans="1:9" x14ac:dyDescent="0.3">
      <c r="A5760" s="4" t="s">
        <v>5112</v>
      </c>
    </row>
    <row r="5761" spans="1:9" x14ac:dyDescent="0.3">
      <c r="B5761" s="5" t="s">
        <v>4950</v>
      </c>
      <c r="C5761" s="5" t="s">
        <v>10</v>
      </c>
      <c r="D5761" s="5" t="s">
        <v>5113</v>
      </c>
      <c r="E5761" s="5" t="s">
        <v>5114</v>
      </c>
      <c r="F5761" s="5" t="s">
        <v>1495</v>
      </c>
      <c r="G5761" s="5" t="s">
        <v>1496</v>
      </c>
      <c r="H5761" s="6">
        <v>5000</v>
      </c>
      <c r="I5761" s="5"/>
    </row>
    <row r="5762" spans="1:9" x14ac:dyDescent="0.3">
      <c r="B5762" s="5" t="s">
        <v>4950</v>
      </c>
      <c r="C5762" s="5" t="s">
        <v>10</v>
      </c>
      <c r="D5762" s="5" t="s">
        <v>5113</v>
      </c>
      <c r="E5762" s="5" t="s">
        <v>5114</v>
      </c>
      <c r="F5762" s="5" t="s">
        <v>1643</v>
      </c>
      <c r="G5762" s="5" t="s">
        <v>1644</v>
      </c>
      <c r="H5762" s="5"/>
      <c r="I5762" s="6">
        <v>5000</v>
      </c>
    </row>
    <row r="5763" spans="1:9" x14ac:dyDescent="0.3">
      <c r="B5763" s="5" t="s">
        <v>4950</v>
      </c>
      <c r="C5763" s="5" t="s">
        <v>10</v>
      </c>
      <c r="D5763" s="5" t="s">
        <v>5113</v>
      </c>
      <c r="E5763" s="5" t="s">
        <v>5115</v>
      </c>
      <c r="F5763" s="5" t="s">
        <v>1495</v>
      </c>
      <c r="G5763" s="5" t="s">
        <v>1496</v>
      </c>
      <c r="H5763" s="6">
        <v>1712</v>
      </c>
      <c r="I5763" s="5"/>
    </row>
    <row r="5764" spans="1:9" x14ac:dyDescent="0.3">
      <c r="B5764" s="5" t="s">
        <v>4950</v>
      </c>
      <c r="C5764" s="5" t="s">
        <v>10</v>
      </c>
      <c r="D5764" s="5" t="s">
        <v>5113</v>
      </c>
      <c r="E5764" s="5" t="s">
        <v>5115</v>
      </c>
      <c r="F5764" s="5" t="s">
        <v>26</v>
      </c>
      <c r="G5764" s="5" t="s">
        <v>27</v>
      </c>
      <c r="H5764" s="5"/>
      <c r="I5764" s="6">
        <v>1712</v>
      </c>
    </row>
    <row r="5765" spans="1:9" x14ac:dyDescent="0.3">
      <c r="A5765" s="7" t="s">
        <v>5116</v>
      </c>
      <c r="H5765" s="8">
        <f>H5761+H5762+H5763+H5764</f>
        <v>6712</v>
      </c>
      <c r="I5765" s="8">
        <f>I5761+I5762+I5763+I5764</f>
        <v>6712</v>
      </c>
    </row>
    <row r="5766" spans="1:9" x14ac:dyDescent="0.3">
      <c r="A5766" s="4" t="s">
        <v>5117</v>
      </c>
    </row>
    <row r="5767" spans="1:9" x14ac:dyDescent="0.3">
      <c r="B5767" s="5" t="s">
        <v>4950</v>
      </c>
      <c r="C5767" s="5" t="s">
        <v>10</v>
      </c>
      <c r="D5767" s="5" t="s">
        <v>5118</v>
      </c>
      <c r="E5767" s="5" t="s">
        <v>5119</v>
      </c>
      <c r="F5767" s="5" t="s">
        <v>867</v>
      </c>
      <c r="G5767" s="5" t="s">
        <v>868</v>
      </c>
      <c r="H5767" s="6">
        <v>20687.27</v>
      </c>
      <c r="I5767" s="5"/>
    </row>
    <row r="5768" spans="1:9" x14ac:dyDescent="0.3">
      <c r="B5768" s="5" t="s">
        <v>4950</v>
      </c>
      <c r="C5768" s="5" t="s">
        <v>10</v>
      </c>
      <c r="D5768" s="5" t="s">
        <v>5118</v>
      </c>
      <c r="E5768" s="5" t="s">
        <v>5119</v>
      </c>
      <c r="F5768" s="5" t="s">
        <v>2729</v>
      </c>
      <c r="G5768" s="5" t="s">
        <v>2730</v>
      </c>
      <c r="H5768" s="5"/>
      <c r="I5768" s="6">
        <v>20687.27</v>
      </c>
    </row>
    <row r="5769" spans="1:9" x14ac:dyDescent="0.3">
      <c r="A5769" s="7" t="s">
        <v>5120</v>
      </c>
      <c r="H5769" s="8">
        <f>H5767+H5768</f>
        <v>20687.27</v>
      </c>
      <c r="I5769" s="8">
        <f>I5767+I5768</f>
        <v>20687.27</v>
      </c>
    </row>
    <row r="5770" spans="1:9" x14ac:dyDescent="0.3">
      <c r="A5770" s="4" t="s">
        <v>5121</v>
      </c>
    </row>
    <row r="5771" spans="1:9" x14ac:dyDescent="0.3">
      <c r="B5771" s="5" t="s">
        <v>5122</v>
      </c>
      <c r="C5771" s="5" t="s">
        <v>10</v>
      </c>
      <c r="D5771" s="5" t="s">
        <v>5123</v>
      </c>
      <c r="E5771" s="5" t="s">
        <v>5124</v>
      </c>
      <c r="F5771" s="5" t="s">
        <v>1643</v>
      </c>
      <c r="G5771" s="5" t="s">
        <v>1644</v>
      </c>
      <c r="H5771" s="6">
        <v>172590</v>
      </c>
      <c r="I5771" s="5"/>
    </row>
    <row r="5772" spans="1:9" x14ac:dyDescent="0.3">
      <c r="B5772" s="5" t="s">
        <v>5122</v>
      </c>
      <c r="C5772" s="5" t="s">
        <v>10</v>
      </c>
      <c r="D5772" s="5" t="s">
        <v>5123</v>
      </c>
      <c r="E5772" s="5" t="s">
        <v>5124</v>
      </c>
      <c r="F5772" s="5" t="s">
        <v>13</v>
      </c>
      <c r="G5772" s="5" t="s">
        <v>14</v>
      </c>
      <c r="H5772" s="5"/>
      <c r="I5772" s="6">
        <v>172590</v>
      </c>
    </row>
    <row r="5773" spans="1:9" x14ac:dyDescent="0.3">
      <c r="A5773" s="7" t="s">
        <v>5125</v>
      </c>
      <c r="H5773" s="8">
        <f>H5771+H5772</f>
        <v>172590</v>
      </c>
      <c r="I5773" s="8">
        <f>I5771+I5772</f>
        <v>172590</v>
      </c>
    </row>
    <row r="5774" spans="1:9" x14ac:dyDescent="0.3">
      <c r="A5774" s="4" t="s">
        <v>5126</v>
      </c>
    </row>
    <row r="5775" spans="1:9" x14ac:dyDescent="0.3">
      <c r="B5775" s="5" t="s">
        <v>5122</v>
      </c>
      <c r="C5775" s="5" t="s">
        <v>10</v>
      </c>
      <c r="D5775" s="5" t="s">
        <v>5127</v>
      </c>
      <c r="E5775" s="5" t="s">
        <v>5128</v>
      </c>
      <c r="F5775" s="5" t="s">
        <v>4988</v>
      </c>
      <c r="G5775" s="5" t="s">
        <v>4989</v>
      </c>
      <c r="H5775" s="6">
        <v>51906</v>
      </c>
      <c r="I5775" s="5"/>
    </row>
    <row r="5776" spans="1:9" x14ac:dyDescent="0.3">
      <c r="B5776" s="5" t="s">
        <v>5122</v>
      </c>
      <c r="C5776" s="5" t="s">
        <v>10</v>
      </c>
      <c r="D5776" s="5" t="s">
        <v>5127</v>
      </c>
      <c r="E5776" s="5" t="s">
        <v>5128</v>
      </c>
      <c r="F5776" s="5" t="s">
        <v>443</v>
      </c>
      <c r="G5776" s="5" t="s">
        <v>444</v>
      </c>
      <c r="H5776" s="6">
        <v>23600</v>
      </c>
      <c r="I5776" s="5"/>
    </row>
    <row r="5777" spans="1:9" x14ac:dyDescent="0.3">
      <c r="B5777" s="5" t="s">
        <v>5122</v>
      </c>
      <c r="C5777" s="5" t="s">
        <v>10</v>
      </c>
      <c r="D5777" s="5" t="s">
        <v>5127</v>
      </c>
      <c r="E5777" s="5" t="s">
        <v>5128</v>
      </c>
      <c r="F5777" s="5" t="s">
        <v>445</v>
      </c>
      <c r="G5777" s="5" t="s">
        <v>446</v>
      </c>
      <c r="H5777" s="6">
        <v>23600</v>
      </c>
      <c r="I5777" s="5"/>
    </row>
    <row r="5778" spans="1:9" x14ac:dyDescent="0.3">
      <c r="B5778" s="5" t="s">
        <v>5122</v>
      </c>
      <c r="C5778" s="5" t="s">
        <v>10</v>
      </c>
      <c r="D5778" s="5" t="s">
        <v>5127</v>
      </c>
      <c r="E5778" s="5" t="s">
        <v>5128</v>
      </c>
      <c r="F5778" s="5" t="s">
        <v>449</v>
      </c>
      <c r="G5778" s="5" t="s">
        <v>450</v>
      </c>
      <c r="H5778" s="6">
        <v>6960</v>
      </c>
      <c r="I5778" s="5"/>
    </row>
    <row r="5779" spans="1:9" x14ac:dyDescent="0.3">
      <c r="B5779" s="5" t="s">
        <v>5122</v>
      </c>
      <c r="C5779" s="5" t="s">
        <v>10</v>
      </c>
      <c r="D5779" s="5" t="s">
        <v>5127</v>
      </c>
      <c r="E5779" s="5" t="s">
        <v>5128</v>
      </c>
      <c r="F5779" s="5" t="s">
        <v>453</v>
      </c>
      <c r="G5779" s="5" t="s">
        <v>454</v>
      </c>
      <c r="H5779" s="6">
        <v>6960</v>
      </c>
      <c r="I5779" s="5"/>
    </row>
    <row r="5780" spans="1:9" x14ac:dyDescent="0.3">
      <c r="B5780" s="5" t="s">
        <v>5122</v>
      </c>
      <c r="C5780" s="5" t="s">
        <v>10</v>
      </c>
      <c r="D5780" s="5" t="s">
        <v>5127</v>
      </c>
      <c r="E5780" s="5" t="s">
        <v>5128</v>
      </c>
      <c r="F5780" s="5" t="s">
        <v>451</v>
      </c>
      <c r="G5780" s="5" t="s">
        <v>452</v>
      </c>
      <c r="H5780" s="6">
        <v>6960</v>
      </c>
      <c r="I5780" s="5"/>
    </row>
    <row r="5781" spans="1:9" x14ac:dyDescent="0.3">
      <c r="B5781" s="5" t="s">
        <v>5122</v>
      </c>
      <c r="C5781" s="5" t="s">
        <v>10</v>
      </c>
      <c r="D5781" s="5" t="s">
        <v>5127</v>
      </c>
      <c r="E5781" s="5" t="s">
        <v>5128</v>
      </c>
      <c r="F5781" s="5" t="s">
        <v>1961</v>
      </c>
      <c r="G5781" s="5" t="s">
        <v>1962</v>
      </c>
      <c r="H5781" s="6">
        <v>2960</v>
      </c>
      <c r="I5781" s="5"/>
    </row>
    <row r="5782" spans="1:9" x14ac:dyDescent="0.3">
      <c r="B5782" s="5" t="s">
        <v>5122</v>
      </c>
      <c r="C5782" s="5" t="s">
        <v>10</v>
      </c>
      <c r="D5782" s="5" t="s">
        <v>5127</v>
      </c>
      <c r="E5782" s="5" t="s">
        <v>5128</v>
      </c>
      <c r="F5782" s="5" t="s">
        <v>2598</v>
      </c>
      <c r="G5782" s="5" t="s">
        <v>2599</v>
      </c>
      <c r="H5782" s="6">
        <v>10000</v>
      </c>
      <c r="I5782" s="5"/>
    </row>
    <row r="5783" spans="1:9" x14ac:dyDescent="0.3">
      <c r="B5783" s="5" t="s">
        <v>5122</v>
      </c>
      <c r="C5783" s="5" t="s">
        <v>10</v>
      </c>
      <c r="D5783" s="5" t="s">
        <v>5127</v>
      </c>
      <c r="E5783" s="5" t="s">
        <v>5128</v>
      </c>
      <c r="F5783" s="5" t="s">
        <v>4990</v>
      </c>
      <c r="G5783" s="5" t="s">
        <v>4991</v>
      </c>
      <c r="H5783" s="6">
        <v>2903</v>
      </c>
      <c r="I5783" s="5"/>
    </row>
    <row r="5784" spans="1:9" x14ac:dyDescent="0.3">
      <c r="B5784" s="5" t="s">
        <v>5122</v>
      </c>
      <c r="C5784" s="5" t="s">
        <v>10</v>
      </c>
      <c r="D5784" s="5" t="s">
        <v>5127</v>
      </c>
      <c r="E5784" s="5" t="s">
        <v>5128</v>
      </c>
      <c r="F5784" s="5" t="s">
        <v>4363</v>
      </c>
      <c r="G5784" s="5" t="s">
        <v>4364</v>
      </c>
      <c r="H5784" s="6">
        <v>9900</v>
      </c>
      <c r="I5784" s="5"/>
    </row>
    <row r="5785" spans="1:9" x14ac:dyDescent="0.3">
      <c r="B5785" s="5" t="s">
        <v>5122</v>
      </c>
      <c r="C5785" s="5" t="s">
        <v>10</v>
      </c>
      <c r="D5785" s="5" t="s">
        <v>5127</v>
      </c>
      <c r="E5785" s="5" t="s">
        <v>5128</v>
      </c>
      <c r="F5785" s="5" t="s">
        <v>4992</v>
      </c>
      <c r="G5785" s="5" t="s">
        <v>4993</v>
      </c>
      <c r="H5785" s="6">
        <v>8920</v>
      </c>
      <c r="I5785" s="5"/>
    </row>
    <row r="5786" spans="1:9" x14ac:dyDescent="0.3">
      <c r="B5786" s="5" t="s">
        <v>5122</v>
      </c>
      <c r="C5786" s="5" t="s">
        <v>10</v>
      </c>
      <c r="D5786" s="5" t="s">
        <v>5127</v>
      </c>
      <c r="E5786" s="5" t="s">
        <v>5128</v>
      </c>
      <c r="F5786" s="5" t="s">
        <v>4994</v>
      </c>
      <c r="G5786" s="5" t="s">
        <v>4995</v>
      </c>
      <c r="H5786" s="6">
        <v>6960</v>
      </c>
      <c r="I5786" s="5"/>
    </row>
    <row r="5787" spans="1:9" x14ac:dyDescent="0.3">
      <c r="B5787" s="5" t="s">
        <v>5122</v>
      </c>
      <c r="C5787" s="5" t="s">
        <v>10</v>
      </c>
      <c r="D5787" s="5" t="s">
        <v>5127</v>
      </c>
      <c r="E5787" s="5" t="s">
        <v>5128</v>
      </c>
      <c r="F5787" s="5" t="s">
        <v>1643</v>
      </c>
      <c r="G5787" s="5" t="s">
        <v>1644</v>
      </c>
      <c r="H5787" s="5"/>
      <c r="I5787" s="6">
        <v>161629</v>
      </c>
    </row>
    <row r="5788" spans="1:9" x14ac:dyDescent="0.3">
      <c r="A5788" s="7" t="s">
        <v>5129</v>
      </c>
      <c r="H5788" s="8">
        <f>H5775+H5776+H5777+H5778+H5779+H5780+H5781+H5782+H5783+H5784+H5785+H5786+H5787</f>
        <v>161629</v>
      </c>
      <c r="I5788" s="8">
        <f>I5775+I5776+I5777+I5778+I5779+I5780+I5781+I5782+I5783+I5784+I5785+I5786+I5787</f>
        <v>161629</v>
      </c>
    </row>
    <row r="5789" spans="1:9" x14ac:dyDescent="0.3">
      <c r="A5789" s="4" t="s">
        <v>5130</v>
      </c>
    </row>
    <row r="5790" spans="1:9" x14ac:dyDescent="0.3">
      <c r="B5790" s="5" t="s">
        <v>5122</v>
      </c>
      <c r="C5790" s="5" t="s">
        <v>10</v>
      </c>
      <c r="D5790" s="5" t="s">
        <v>5131</v>
      </c>
      <c r="E5790" s="5" t="s">
        <v>5132</v>
      </c>
      <c r="F5790" s="5" t="s">
        <v>50</v>
      </c>
      <c r="G5790" s="5" t="s">
        <v>51</v>
      </c>
      <c r="H5790" s="6">
        <v>1760</v>
      </c>
      <c r="I5790" s="5"/>
    </row>
    <row r="5791" spans="1:9" x14ac:dyDescent="0.3">
      <c r="B5791" s="5" t="s">
        <v>5122</v>
      </c>
      <c r="C5791" s="5" t="s">
        <v>10</v>
      </c>
      <c r="D5791" s="5" t="s">
        <v>5131</v>
      </c>
      <c r="E5791" s="5" t="s">
        <v>5132</v>
      </c>
      <c r="F5791" s="5" t="s">
        <v>1643</v>
      </c>
      <c r="G5791" s="5" t="s">
        <v>1644</v>
      </c>
      <c r="H5791" s="5"/>
      <c r="I5791" s="6">
        <v>1760</v>
      </c>
    </row>
    <row r="5792" spans="1:9" x14ac:dyDescent="0.3">
      <c r="B5792" s="5" t="s">
        <v>5122</v>
      </c>
      <c r="C5792" s="5" t="s">
        <v>10</v>
      </c>
      <c r="D5792" s="5" t="s">
        <v>5131</v>
      </c>
      <c r="E5792" s="5" t="s">
        <v>5133</v>
      </c>
      <c r="F5792" s="5" t="s">
        <v>3739</v>
      </c>
      <c r="G5792" s="5" t="s">
        <v>3740</v>
      </c>
      <c r="H5792" s="6">
        <v>75000</v>
      </c>
      <c r="I5792" s="5"/>
    </row>
    <row r="5793" spans="1:9" x14ac:dyDescent="0.3">
      <c r="B5793" s="5" t="s">
        <v>5122</v>
      </c>
      <c r="C5793" s="5" t="s">
        <v>10</v>
      </c>
      <c r="D5793" s="5" t="s">
        <v>5131</v>
      </c>
      <c r="E5793" s="5" t="s">
        <v>5133</v>
      </c>
      <c r="F5793" s="5" t="s">
        <v>657</v>
      </c>
      <c r="G5793" s="5" t="s">
        <v>658</v>
      </c>
      <c r="H5793" s="5"/>
      <c r="I5793" s="6">
        <v>25000</v>
      </c>
    </row>
    <row r="5794" spans="1:9" x14ac:dyDescent="0.3">
      <c r="B5794" s="5" t="s">
        <v>5122</v>
      </c>
      <c r="C5794" s="5" t="s">
        <v>10</v>
      </c>
      <c r="D5794" s="5" t="s">
        <v>5131</v>
      </c>
      <c r="E5794" s="5" t="s">
        <v>5133</v>
      </c>
      <c r="F5794" s="5" t="s">
        <v>655</v>
      </c>
      <c r="G5794" s="5" t="s">
        <v>656</v>
      </c>
      <c r="H5794" s="5"/>
      <c r="I5794" s="6">
        <v>25000</v>
      </c>
    </row>
    <row r="5795" spans="1:9" x14ac:dyDescent="0.3">
      <c r="B5795" s="5" t="s">
        <v>5122</v>
      </c>
      <c r="C5795" s="5" t="s">
        <v>10</v>
      </c>
      <c r="D5795" s="5" t="s">
        <v>5131</v>
      </c>
      <c r="E5795" s="5" t="s">
        <v>5133</v>
      </c>
      <c r="F5795" s="5" t="s">
        <v>659</v>
      </c>
      <c r="G5795" s="5" t="s">
        <v>660</v>
      </c>
      <c r="H5795" s="5"/>
      <c r="I5795" s="6">
        <v>25000</v>
      </c>
    </row>
    <row r="5796" spans="1:9" x14ac:dyDescent="0.3">
      <c r="A5796" s="7" t="s">
        <v>5134</v>
      </c>
      <c r="H5796" s="8">
        <f>H5790+H5791+H5792+H5793+H5794+H5795</f>
        <v>76760</v>
      </c>
      <c r="I5796" s="8">
        <f>I5790+I5791+I5792+I5793+I5794+I5795</f>
        <v>76760</v>
      </c>
    </row>
    <row r="5797" spans="1:9" x14ac:dyDescent="0.3">
      <c r="A5797" s="4" t="s">
        <v>5135</v>
      </c>
    </row>
    <row r="5798" spans="1:9" x14ac:dyDescent="0.3">
      <c r="B5798" s="5" t="s">
        <v>5122</v>
      </c>
      <c r="C5798" s="5" t="s">
        <v>10</v>
      </c>
      <c r="D5798" s="5" t="s">
        <v>5136</v>
      </c>
      <c r="E5798" s="5" t="s">
        <v>5137</v>
      </c>
      <c r="F5798" s="5" t="s">
        <v>67</v>
      </c>
      <c r="G5798" s="5" t="s">
        <v>68</v>
      </c>
      <c r="H5798" s="6">
        <v>320</v>
      </c>
      <c r="I5798" s="5"/>
    </row>
    <row r="5799" spans="1:9" x14ac:dyDescent="0.3">
      <c r="B5799" s="5" t="s">
        <v>5122</v>
      </c>
      <c r="C5799" s="5" t="s">
        <v>10</v>
      </c>
      <c r="D5799" s="5" t="s">
        <v>5136</v>
      </c>
      <c r="E5799" s="5" t="s">
        <v>5137</v>
      </c>
      <c r="F5799" s="5" t="s">
        <v>1643</v>
      </c>
      <c r="G5799" s="5" t="s">
        <v>1644</v>
      </c>
      <c r="H5799" s="5"/>
      <c r="I5799" s="6">
        <v>320</v>
      </c>
    </row>
    <row r="5800" spans="1:9" x14ac:dyDescent="0.3">
      <c r="A5800" s="7" t="s">
        <v>5138</v>
      </c>
      <c r="H5800" s="8">
        <f>H5798+H5799</f>
        <v>320</v>
      </c>
      <c r="I5800" s="8">
        <f>I5798+I5799</f>
        <v>320</v>
      </c>
    </row>
    <row r="5801" spans="1:9" x14ac:dyDescent="0.3">
      <c r="A5801" s="4" t="s">
        <v>5139</v>
      </c>
    </row>
    <row r="5802" spans="1:9" x14ac:dyDescent="0.3">
      <c r="B5802" s="5" t="s">
        <v>5122</v>
      </c>
      <c r="C5802" s="5" t="s">
        <v>2745</v>
      </c>
      <c r="D5802" s="5" t="s">
        <v>2750</v>
      </c>
      <c r="E5802" s="5" t="s">
        <v>2750</v>
      </c>
      <c r="F5802" s="5" t="s">
        <v>2748</v>
      </c>
      <c r="G5802" s="5" t="s">
        <v>2749</v>
      </c>
      <c r="H5802" s="6">
        <v>7810</v>
      </c>
      <c r="I5802" s="5"/>
    </row>
    <row r="5803" spans="1:9" x14ac:dyDescent="0.3">
      <c r="B5803" s="5" t="s">
        <v>5122</v>
      </c>
      <c r="C5803" s="5" t="s">
        <v>2745</v>
      </c>
      <c r="D5803" s="5" t="s">
        <v>2750</v>
      </c>
      <c r="E5803" s="5" t="s">
        <v>2750</v>
      </c>
      <c r="F5803" s="5" t="s">
        <v>847</v>
      </c>
      <c r="G5803" s="5" t="s">
        <v>848</v>
      </c>
      <c r="H5803" s="5"/>
      <c r="I5803" s="6">
        <v>7810</v>
      </c>
    </row>
    <row r="5804" spans="1:9" x14ac:dyDescent="0.3">
      <c r="A5804" s="7" t="s">
        <v>5140</v>
      </c>
      <c r="H5804" s="8">
        <f>H5802+H5803</f>
        <v>7810</v>
      </c>
      <c r="I5804" s="8">
        <f>I5802+I5803</f>
        <v>7810</v>
      </c>
    </row>
    <row r="5805" spans="1:9" x14ac:dyDescent="0.3">
      <c r="A5805" s="4" t="s">
        <v>5141</v>
      </c>
    </row>
    <row r="5806" spans="1:9" x14ac:dyDescent="0.3">
      <c r="B5806" s="5" t="s">
        <v>5122</v>
      </c>
      <c r="C5806" s="5" t="s">
        <v>2745</v>
      </c>
      <c r="D5806" s="5" t="s">
        <v>2750</v>
      </c>
      <c r="E5806" s="5" t="s">
        <v>2750</v>
      </c>
      <c r="F5806" s="5" t="s">
        <v>2748</v>
      </c>
      <c r="G5806" s="5" t="s">
        <v>2749</v>
      </c>
      <c r="H5806" s="6">
        <v>13540</v>
      </c>
      <c r="I5806" s="5"/>
    </row>
    <row r="5807" spans="1:9" x14ac:dyDescent="0.3">
      <c r="B5807" s="5" t="s">
        <v>5122</v>
      </c>
      <c r="C5807" s="5" t="s">
        <v>2745</v>
      </c>
      <c r="D5807" s="5" t="s">
        <v>2750</v>
      </c>
      <c r="E5807" s="5" t="s">
        <v>2750</v>
      </c>
      <c r="F5807" s="5" t="s">
        <v>847</v>
      </c>
      <c r="G5807" s="5" t="s">
        <v>848</v>
      </c>
      <c r="H5807" s="5"/>
      <c r="I5807" s="6">
        <v>13540</v>
      </c>
    </row>
    <row r="5808" spans="1:9" x14ac:dyDescent="0.3">
      <c r="A5808" s="7" t="s">
        <v>5142</v>
      </c>
      <c r="H5808" s="8">
        <f>H5806+H5807</f>
        <v>13540</v>
      </c>
      <c r="I5808" s="8">
        <f>I5806+I5807</f>
        <v>13540</v>
      </c>
    </row>
    <row r="5809" spans="1:9" x14ac:dyDescent="0.3">
      <c r="A5809" s="4" t="s">
        <v>5143</v>
      </c>
    </row>
    <row r="5810" spans="1:9" x14ac:dyDescent="0.3">
      <c r="B5810" s="5" t="s">
        <v>5144</v>
      </c>
      <c r="C5810" s="5" t="s">
        <v>10</v>
      </c>
      <c r="D5810" s="5" t="s">
        <v>5145</v>
      </c>
      <c r="E5810" s="5" t="s">
        <v>5146</v>
      </c>
      <c r="F5810" s="5" t="s">
        <v>116</v>
      </c>
      <c r="G5810" s="5" t="s">
        <v>117</v>
      </c>
      <c r="H5810" s="6">
        <v>1000</v>
      </c>
      <c r="I5810" s="5"/>
    </row>
    <row r="5811" spans="1:9" x14ac:dyDescent="0.3">
      <c r="B5811" s="5" t="s">
        <v>5144</v>
      </c>
      <c r="C5811" s="5" t="s">
        <v>10</v>
      </c>
      <c r="D5811" s="5" t="s">
        <v>5145</v>
      </c>
      <c r="E5811" s="5" t="s">
        <v>5147</v>
      </c>
      <c r="F5811" s="5" t="s">
        <v>61</v>
      </c>
      <c r="G5811" s="5" t="s">
        <v>62</v>
      </c>
      <c r="H5811" s="6">
        <v>700</v>
      </c>
      <c r="I5811" s="5"/>
    </row>
    <row r="5812" spans="1:9" x14ac:dyDescent="0.3">
      <c r="B5812" s="5" t="s">
        <v>5144</v>
      </c>
      <c r="C5812" s="5" t="s">
        <v>10</v>
      </c>
      <c r="D5812" s="5" t="s">
        <v>5145</v>
      </c>
      <c r="E5812" s="5" t="s">
        <v>5148</v>
      </c>
      <c r="F5812" s="5" t="s">
        <v>1643</v>
      </c>
      <c r="G5812" s="5" t="s">
        <v>1644</v>
      </c>
      <c r="H5812" s="5"/>
      <c r="I5812" s="6">
        <v>1700</v>
      </c>
    </row>
    <row r="5813" spans="1:9" x14ac:dyDescent="0.3">
      <c r="B5813" s="5" t="s">
        <v>5144</v>
      </c>
      <c r="C5813" s="5" t="s">
        <v>10</v>
      </c>
      <c r="D5813" s="5" t="s">
        <v>5145</v>
      </c>
      <c r="E5813" s="5" t="s">
        <v>5149</v>
      </c>
      <c r="F5813" s="5" t="s">
        <v>335</v>
      </c>
      <c r="G5813" s="5" t="s">
        <v>336</v>
      </c>
      <c r="H5813" s="6">
        <v>2370</v>
      </c>
      <c r="I5813" s="5"/>
    </row>
    <row r="5814" spans="1:9" x14ac:dyDescent="0.3">
      <c r="B5814" s="5" t="s">
        <v>5144</v>
      </c>
      <c r="C5814" s="5" t="s">
        <v>10</v>
      </c>
      <c r="D5814" s="5" t="s">
        <v>5145</v>
      </c>
      <c r="E5814" s="5" t="s">
        <v>5149</v>
      </c>
      <c r="F5814" s="5" t="s">
        <v>1022</v>
      </c>
      <c r="G5814" s="5" t="s">
        <v>1023</v>
      </c>
      <c r="H5814" s="5"/>
      <c r="I5814" s="6">
        <v>2370</v>
      </c>
    </row>
    <row r="5815" spans="1:9" x14ac:dyDescent="0.3">
      <c r="A5815" s="7" t="s">
        <v>5150</v>
      </c>
      <c r="H5815" s="8">
        <f>H5810+H5811+H5812+H5813+H5814</f>
        <v>4070</v>
      </c>
      <c r="I5815" s="8">
        <f>I5810+I5811+I5812+I5813+I5814</f>
        <v>4070</v>
      </c>
    </row>
    <row r="5816" spans="1:9" x14ac:dyDescent="0.3">
      <c r="A5816" s="4" t="s">
        <v>5151</v>
      </c>
    </row>
    <row r="5817" spans="1:9" x14ac:dyDescent="0.3">
      <c r="B5817" s="5" t="s">
        <v>5144</v>
      </c>
      <c r="C5817" s="5" t="s">
        <v>10</v>
      </c>
      <c r="D5817" s="5" t="s">
        <v>5152</v>
      </c>
      <c r="E5817" s="5" t="s">
        <v>5153</v>
      </c>
      <c r="F5817" s="5" t="s">
        <v>50</v>
      </c>
      <c r="G5817" s="5" t="s">
        <v>51</v>
      </c>
      <c r="H5817" s="6">
        <v>20</v>
      </c>
      <c r="I5817" s="5"/>
    </row>
    <row r="5818" spans="1:9" x14ac:dyDescent="0.3">
      <c r="B5818" s="5" t="s">
        <v>5144</v>
      </c>
      <c r="C5818" s="5" t="s">
        <v>10</v>
      </c>
      <c r="D5818" s="5" t="s">
        <v>5152</v>
      </c>
      <c r="E5818" s="5" t="s">
        <v>5154</v>
      </c>
      <c r="F5818" s="5" t="s">
        <v>61</v>
      </c>
      <c r="G5818" s="5" t="s">
        <v>62</v>
      </c>
      <c r="H5818" s="6">
        <v>220</v>
      </c>
      <c r="I5818" s="5"/>
    </row>
    <row r="5819" spans="1:9" x14ac:dyDescent="0.3">
      <c r="B5819" s="5" t="s">
        <v>5144</v>
      </c>
      <c r="C5819" s="5" t="s">
        <v>10</v>
      </c>
      <c r="D5819" s="5" t="s">
        <v>5152</v>
      </c>
      <c r="E5819" s="5" t="s">
        <v>5155</v>
      </c>
      <c r="F5819" s="5" t="s">
        <v>113</v>
      </c>
      <c r="G5819" s="5" t="s">
        <v>114</v>
      </c>
      <c r="H5819" s="6">
        <v>990</v>
      </c>
      <c r="I5819" s="5"/>
    </row>
    <row r="5820" spans="1:9" x14ac:dyDescent="0.3">
      <c r="B5820" s="5" t="s">
        <v>5144</v>
      </c>
      <c r="C5820" s="5" t="s">
        <v>10</v>
      </c>
      <c r="D5820" s="5" t="s">
        <v>5152</v>
      </c>
      <c r="E5820" s="5" t="s">
        <v>5156</v>
      </c>
      <c r="F5820" s="5" t="s">
        <v>1643</v>
      </c>
      <c r="G5820" s="5" t="s">
        <v>1644</v>
      </c>
      <c r="H5820" s="5"/>
      <c r="I5820" s="6">
        <v>1230</v>
      </c>
    </row>
    <row r="5821" spans="1:9" x14ac:dyDescent="0.3">
      <c r="A5821" s="7" t="s">
        <v>5157</v>
      </c>
      <c r="H5821" s="8">
        <f>H5817+H5818+H5819+H5820</f>
        <v>1230</v>
      </c>
      <c r="I5821" s="8">
        <f>I5817+I5818+I5819+I5820</f>
        <v>1230</v>
      </c>
    </row>
    <row r="5822" spans="1:9" x14ac:dyDescent="0.3">
      <c r="A5822" s="4" t="s">
        <v>5158</v>
      </c>
    </row>
    <row r="5823" spans="1:9" x14ac:dyDescent="0.3">
      <c r="B5823" s="5" t="s">
        <v>5144</v>
      </c>
      <c r="C5823" s="5" t="s">
        <v>10</v>
      </c>
      <c r="D5823" s="5" t="s">
        <v>5159</v>
      </c>
      <c r="E5823" s="5" t="s">
        <v>5160</v>
      </c>
      <c r="F5823" s="5" t="s">
        <v>1643</v>
      </c>
      <c r="G5823" s="5" t="s">
        <v>1644</v>
      </c>
      <c r="H5823" s="6">
        <v>150000</v>
      </c>
      <c r="I5823" s="5"/>
    </row>
    <row r="5824" spans="1:9" x14ac:dyDescent="0.3">
      <c r="B5824" s="5" t="s">
        <v>5144</v>
      </c>
      <c r="C5824" s="5" t="s">
        <v>10</v>
      </c>
      <c r="D5824" s="5" t="s">
        <v>5159</v>
      </c>
      <c r="E5824" s="5" t="s">
        <v>5160</v>
      </c>
      <c r="F5824" s="5" t="s">
        <v>13</v>
      </c>
      <c r="G5824" s="5" t="s">
        <v>14</v>
      </c>
      <c r="H5824" s="5"/>
      <c r="I5824" s="6">
        <v>150000</v>
      </c>
    </row>
    <row r="5825" spans="1:9" x14ac:dyDescent="0.3">
      <c r="A5825" s="7" t="s">
        <v>5161</v>
      </c>
      <c r="H5825" s="8">
        <f>H5823+H5824</f>
        <v>150000</v>
      </c>
      <c r="I5825" s="8">
        <f>I5823+I5824</f>
        <v>150000</v>
      </c>
    </row>
    <row r="5826" spans="1:9" x14ac:dyDescent="0.3">
      <c r="A5826" s="4" t="s">
        <v>5162</v>
      </c>
    </row>
    <row r="5827" spans="1:9" x14ac:dyDescent="0.3">
      <c r="B5827" s="5" t="s">
        <v>5144</v>
      </c>
      <c r="C5827" s="5" t="s">
        <v>10</v>
      </c>
      <c r="D5827" s="5" t="s">
        <v>5163</v>
      </c>
      <c r="E5827" s="5" t="s">
        <v>5164</v>
      </c>
      <c r="F5827" s="5" t="s">
        <v>45</v>
      </c>
      <c r="G5827" s="5" t="s">
        <v>46</v>
      </c>
      <c r="H5827" s="6">
        <v>153140</v>
      </c>
      <c r="I5827" s="5"/>
    </row>
    <row r="5828" spans="1:9" x14ac:dyDescent="0.3">
      <c r="B5828" s="5" t="s">
        <v>5144</v>
      </c>
      <c r="C5828" s="5" t="s">
        <v>10</v>
      </c>
      <c r="D5828" s="5" t="s">
        <v>5163</v>
      </c>
      <c r="E5828" s="5" t="s">
        <v>5165</v>
      </c>
      <c r="F5828" s="5" t="s">
        <v>3158</v>
      </c>
      <c r="G5828" s="5" t="s">
        <v>3159</v>
      </c>
      <c r="H5828" s="5"/>
      <c r="I5828" s="6">
        <v>3140</v>
      </c>
    </row>
    <row r="5829" spans="1:9" ht="21.6" x14ac:dyDescent="0.3">
      <c r="B5829" s="5" t="s">
        <v>5144</v>
      </c>
      <c r="C5829" s="5" t="s">
        <v>10</v>
      </c>
      <c r="D5829" s="5" t="s">
        <v>5163</v>
      </c>
      <c r="E5829" s="5" t="s">
        <v>5166</v>
      </c>
      <c r="F5829" s="5" t="s">
        <v>1643</v>
      </c>
      <c r="G5829" s="5" t="s">
        <v>1644</v>
      </c>
      <c r="H5829" s="5"/>
      <c r="I5829" s="6">
        <v>150000</v>
      </c>
    </row>
    <row r="5830" spans="1:9" x14ac:dyDescent="0.3">
      <c r="A5830" s="7" t="s">
        <v>5167</v>
      </c>
      <c r="H5830" s="8">
        <f>H5827+H5828+H5829</f>
        <v>153140</v>
      </c>
      <c r="I5830" s="8">
        <f>I5827+I5828+I5829</f>
        <v>153140</v>
      </c>
    </row>
    <row r="5831" spans="1:9" x14ac:dyDescent="0.3">
      <c r="A5831" s="4" t="s">
        <v>5168</v>
      </c>
    </row>
    <row r="5832" spans="1:9" x14ac:dyDescent="0.3">
      <c r="B5832" s="5" t="s">
        <v>5144</v>
      </c>
      <c r="C5832" s="5" t="s">
        <v>10</v>
      </c>
      <c r="D5832" s="5" t="s">
        <v>5169</v>
      </c>
      <c r="E5832" s="5" t="s">
        <v>5170</v>
      </c>
      <c r="F5832" s="5" t="s">
        <v>113</v>
      </c>
      <c r="G5832" s="5" t="s">
        <v>114</v>
      </c>
      <c r="H5832" s="6">
        <v>470</v>
      </c>
      <c r="I5832" s="5"/>
    </row>
    <row r="5833" spans="1:9" x14ac:dyDescent="0.3">
      <c r="B5833" s="5" t="s">
        <v>5144</v>
      </c>
      <c r="C5833" s="5" t="s">
        <v>10</v>
      </c>
      <c r="D5833" s="5" t="s">
        <v>5169</v>
      </c>
      <c r="E5833" s="5" t="s">
        <v>5170</v>
      </c>
      <c r="F5833" s="5" t="s">
        <v>1643</v>
      </c>
      <c r="G5833" s="5" t="s">
        <v>1644</v>
      </c>
      <c r="H5833" s="5"/>
      <c r="I5833" s="6">
        <v>470</v>
      </c>
    </row>
    <row r="5834" spans="1:9" x14ac:dyDescent="0.3">
      <c r="B5834" s="5" t="s">
        <v>5144</v>
      </c>
      <c r="C5834" s="5" t="s">
        <v>10</v>
      </c>
      <c r="D5834" s="5" t="s">
        <v>5169</v>
      </c>
      <c r="E5834" s="5" t="s">
        <v>5171</v>
      </c>
      <c r="F5834" s="5" t="s">
        <v>2500</v>
      </c>
      <c r="G5834" s="5" t="s">
        <v>2501</v>
      </c>
      <c r="H5834" s="6">
        <v>200</v>
      </c>
      <c r="I5834" s="5"/>
    </row>
    <row r="5835" spans="1:9" x14ac:dyDescent="0.3">
      <c r="B5835" s="5" t="s">
        <v>5144</v>
      </c>
      <c r="C5835" s="5" t="s">
        <v>10</v>
      </c>
      <c r="D5835" s="5" t="s">
        <v>5169</v>
      </c>
      <c r="E5835" s="5" t="s">
        <v>5172</v>
      </c>
      <c r="F5835" s="5" t="s">
        <v>67</v>
      </c>
      <c r="G5835" s="5" t="s">
        <v>68</v>
      </c>
      <c r="H5835" s="6">
        <v>40</v>
      </c>
      <c r="I5835" s="5"/>
    </row>
    <row r="5836" spans="1:9" x14ac:dyDescent="0.3">
      <c r="B5836" s="5" t="s">
        <v>5144</v>
      </c>
      <c r="C5836" s="5" t="s">
        <v>10</v>
      </c>
      <c r="D5836" s="5" t="s">
        <v>5169</v>
      </c>
      <c r="E5836" s="5" t="s">
        <v>5173</v>
      </c>
      <c r="F5836" s="5" t="s">
        <v>1643</v>
      </c>
      <c r="G5836" s="5" t="s">
        <v>1644</v>
      </c>
      <c r="H5836" s="5"/>
      <c r="I5836" s="6">
        <v>240</v>
      </c>
    </row>
    <row r="5837" spans="1:9" x14ac:dyDescent="0.3">
      <c r="A5837" s="7" t="s">
        <v>5174</v>
      </c>
      <c r="H5837" s="8">
        <f>H5832+H5833+H5834+H5835+H5836</f>
        <v>710</v>
      </c>
      <c r="I5837" s="8">
        <f>I5832+I5833+I5834+I5835+I5836</f>
        <v>710</v>
      </c>
    </row>
    <row r="5838" spans="1:9" x14ac:dyDescent="0.3">
      <c r="A5838" s="4" t="s">
        <v>5175</v>
      </c>
    </row>
    <row r="5839" spans="1:9" x14ac:dyDescent="0.3">
      <c r="B5839" s="5" t="s">
        <v>5176</v>
      </c>
      <c r="C5839" s="5" t="s">
        <v>10</v>
      </c>
      <c r="D5839" s="5" t="s">
        <v>5177</v>
      </c>
      <c r="E5839" s="5" t="s">
        <v>5178</v>
      </c>
      <c r="F5839" s="5" t="s">
        <v>1643</v>
      </c>
      <c r="G5839" s="5" t="s">
        <v>1644</v>
      </c>
      <c r="H5839" s="6">
        <v>50000</v>
      </c>
      <c r="I5839" s="5"/>
    </row>
    <row r="5840" spans="1:9" x14ac:dyDescent="0.3">
      <c r="B5840" s="5" t="s">
        <v>5176</v>
      </c>
      <c r="C5840" s="5" t="s">
        <v>10</v>
      </c>
      <c r="D5840" s="5" t="s">
        <v>5177</v>
      </c>
      <c r="E5840" s="5" t="s">
        <v>5178</v>
      </c>
      <c r="F5840" s="5" t="s">
        <v>2748</v>
      </c>
      <c r="G5840" s="5" t="s">
        <v>2749</v>
      </c>
      <c r="H5840" s="5"/>
      <c r="I5840" s="6">
        <v>50000</v>
      </c>
    </row>
    <row r="5841" spans="1:9" x14ac:dyDescent="0.3">
      <c r="A5841" s="7" t="s">
        <v>5179</v>
      </c>
      <c r="H5841" s="8">
        <f>H5839+H5840</f>
        <v>50000</v>
      </c>
      <c r="I5841" s="8">
        <f>I5839+I5840</f>
        <v>50000</v>
      </c>
    </row>
    <row r="5842" spans="1:9" x14ac:dyDescent="0.3">
      <c r="A5842" s="4" t="s">
        <v>5180</v>
      </c>
    </row>
    <row r="5843" spans="1:9" x14ac:dyDescent="0.3">
      <c r="B5843" s="5" t="s">
        <v>5176</v>
      </c>
      <c r="C5843" s="5" t="s">
        <v>10</v>
      </c>
      <c r="D5843" s="5" t="s">
        <v>5181</v>
      </c>
      <c r="E5843" s="5" t="s">
        <v>5182</v>
      </c>
      <c r="F5843" s="5" t="s">
        <v>1346</v>
      </c>
      <c r="G5843" s="5" t="s">
        <v>1347</v>
      </c>
      <c r="H5843" s="6">
        <v>6960</v>
      </c>
      <c r="I5843" s="5"/>
    </row>
    <row r="5844" spans="1:9" x14ac:dyDescent="0.3">
      <c r="B5844" s="5" t="s">
        <v>5176</v>
      </c>
      <c r="C5844" s="5" t="s">
        <v>10</v>
      </c>
      <c r="D5844" s="5" t="s">
        <v>5181</v>
      </c>
      <c r="E5844" s="5" t="s">
        <v>5182</v>
      </c>
      <c r="F5844" s="5" t="s">
        <v>1643</v>
      </c>
      <c r="G5844" s="5" t="s">
        <v>1644</v>
      </c>
      <c r="H5844" s="5"/>
      <c r="I5844" s="6">
        <v>6960</v>
      </c>
    </row>
    <row r="5845" spans="1:9" x14ac:dyDescent="0.3">
      <c r="A5845" s="7" t="s">
        <v>5183</v>
      </c>
      <c r="H5845" s="8">
        <f>H5843+H5844</f>
        <v>6960</v>
      </c>
      <c r="I5845" s="8">
        <f>I5843+I5844</f>
        <v>6960</v>
      </c>
    </row>
    <row r="5846" spans="1:9" x14ac:dyDescent="0.3">
      <c r="A5846" s="4" t="s">
        <v>5184</v>
      </c>
    </row>
    <row r="5847" spans="1:9" x14ac:dyDescent="0.3">
      <c r="B5847" s="5" t="s">
        <v>5176</v>
      </c>
      <c r="C5847" s="5" t="s">
        <v>10</v>
      </c>
      <c r="D5847" s="5" t="s">
        <v>5185</v>
      </c>
      <c r="E5847" s="5" t="s">
        <v>5186</v>
      </c>
      <c r="F5847" s="5" t="s">
        <v>67</v>
      </c>
      <c r="G5847" s="5" t="s">
        <v>68</v>
      </c>
      <c r="H5847" s="6">
        <v>200</v>
      </c>
      <c r="I5847" s="5"/>
    </row>
    <row r="5848" spans="1:9" x14ac:dyDescent="0.3">
      <c r="B5848" s="5" t="s">
        <v>5176</v>
      </c>
      <c r="C5848" s="5" t="s">
        <v>10</v>
      </c>
      <c r="D5848" s="5" t="s">
        <v>5185</v>
      </c>
      <c r="E5848" s="5" t="s">
        <v>5186</v>
      </c>
      <c r="F5848" s="5" t="s">
        <v>1643</v>
      </c>
      <c r="G5848" s="5" t="s">
        <v>1644</v>
      </c>
      <c r="H5848" s="5"/>
      <c r="I5848" s="6">
        <v>200</v>
      </c>
    </row>
    <row r="5849" spans="1:9" x14ac:dyDescent="0.3">
      <c r="A5849" s="7" t="s">
        <v>5187</v>
      </c>
      <c r="H5849" s="8">
        <f>H5847+H5848</f>
        <v>200</v>
      </c>
      <c r="I5849" s="8">
        <f>I5847+I5848</f>
        <v>200</v>
      </c>
    </row>
    <row r="5850" spans="1:9" x14ac:dyDescent="0.3">
      <c r="A5850" s="4" t="s">
        <v>5188</v>
      </c>
    </row>
    <row r="5851" spans="1:9" x14ac:dyDescent="0.3">
      <c r="B5851" s="5" t="s">
        <v>5176</v>
      </c>
      <c r="C5851" s="5" t="s">
        <v>10</v>
      </c>
      <c r="D5851" s="5" t="s">
        <v>5189</v>
      </c>
      <c r="E5851" s="5" t="s">
        <v>5190</v>
      </c>
      <c r="F5851" s="5" t="s">
        <v>1495</v>
      </c>
      <c r="G5851" s="5" t="s">
        <v>1496</v>
      </c>
      <c r="H5851" s="6">
        <v>5000</v>
      </c>
      <c r="I5851" s="5"/>
    </row>
    <row r="5852" spans="1:9" x14ac:dyDescent="0.3">
      <c r="B5852" s="5" t="s">
        <v>5176</v>
      </c>
      <c r="C5852" s="5" t="s">
        <v>10</v>
      </c>
      <c r="D5852" s="5" t="s">
        <v>5189</v>
      </c>
      <c r="E5852" s="5" t="s">
        <v>5190</v>
      </c>
      <c r="F5852" s="5" t="s">
        <v>1643</v>
      </c>
      <c r="G5852" s="5" t="s">
        <v>1644</v>
      </c>
      <c r="H5852" s="5"/>
      <c r="I5852" s="6">
        <v>5000</v>
      </c>
    </row>
    <row r="5853" spans="1:9" x14ac:dyDescent="0.3">
      <c r="A5853" s="7" t="s">
        <v>5191</v>
      </c>
      <c r="H5853" s="8">
        <f>H5851+H5852</f>
        <v>5000</v>
      </c>
      <c r="I5853" s="8">
        <f>I5851+I5852</f>
        <v>5000</v>
      </c>
    </row>
    <row r="5854" spans="1:9" x14ac:dyDescent="0.3">
      <c r="A5854" s="4" t="s">
        <v>5192</v>
      </c>
    </row>
    <row r="5855" spans="1:9" x14ac:dyDescent="0.3">
      <c r="B5855" s="5" t="s">
        <v>5176</v>
      </c>
      <c r="C5855" s="5" t="s">
        <v>10</v>
      </c>
      <c r="D5855" s="5" t="s">
        <v>5193</v>
      </c>
      <c r="E5855" s="5" t="s">
        <v>5194</v>
      </c>
      <c r="F5855" s="5" t="s">
        <v>1643</v>
      </c>
      <c r="G5855" s="5" t="s">
        <v>1644</v>
      </c>
      <c r="H5855" s="6">
        <v>56357</v>
      </c>
      <c r="I5855" s="5"/>
    </row>
    <row r="5856" spans="1:9" x14ac:dyDescent="0.3">
      <c r="B5856" s="5" t="s">
        <v>5176</v>
      </c>
      <c r="C5856" s="5" t="s">
        <v>10</v>
      </c>
      <c r="D5856" s="5" t="s">
        <v>5193</v>
      </c>
      <c r="E5856" s="5" t="s">
        <v>5194</v>
      </c>
      <c r="F5856" s="5" t="s">
        <v>13</v>
      </c>
      <c r="G5856" s="5" t="s">
        <v>14</v>
      </c>
      <c r="H5856" s="5"/>
      <c r="I5856" s="6">
        <v>56357</v>
      </c>
    </row>
    <row r="5857" spans="1:9" x14ac:dyDescent="0.3">
      <c r="A5857" s="7" t="s">
        <v>5195</v>
      </c>
      <c r="H5857" s="8">
        <f>H5855+H5856</f>
        <v>56357</v>
      </c>
      <c r="I5857" s="8">
        <f>I5855+I5856</f>
        <v>56357</v>
      </c>
    </row>
    <row r="5858" spans="1:9" x14ac:dyDescent="0.3">
      <c r="A5858" s="4" t="s">
        <v>5196</v>
      </c>
    </row>
    <row r="5859" spans="1:9" x14ac:dyDescent="0.3">
      <c r="B5859" s="5" t="s">
        <v>5176</v>
      </c>
      <c r="C5859" s="5" t="s">
        <v>10</v>
      </c>
      <c r="D5859" s="5" t="s">
        <v>5197</v>
      </c>
      <c r="E5859" s="5" t="s">
        <v>5198</v>
      </c>
      <c r="F5859" s="5" t="s">
        <v>359</v>
      </c>
      <c r="G5859" s="5" t="s">
        <v>360</v>
      </c>
      <c r="H5859" s="6">
        <v>6510</v>
      </c>
      <c r="I5859" s="5"/>
    </row>
    <row r="5860" spans="1:9" x14ac:dyDescent="0.3">
      <c r="B5860" s="5" t="s">
        <v>5176</v>
      </c>
      <c r="C5860" s="5" t="s">
        <v>10</v>
      </c>
      <c r="D5860" s="5" t="s">
        <v>5197</v>
      </c>
      <c r="E5860" s="5" t="s">
        <v>5199</v>
      </c>
      <c r="F5860" s="5" t="s">
        <v>64</v>
      </c>
      <c r="G5860" s="5" t="s">
        <v>65</v>
      </c>
      <c r="H5860" s="6">
        <v>1000</v>
      </c>
      <c r="I5860" s="5"/>
    </row>
    <row r="5861" spans="1:9" x14ac:dyDescent="0.3">
      <c r="B5861" s="5" t="s">
        <v>5176</v>
      </c>
      <c r="C5861" s="5" t="s">
        <v>10</v>
      </c>
      <c r="D5861" s="5" t="s">
        <v>5197</v>
      </c>
      <c r="E5861" s="5" t="s">
        <v>5200</v>
      </c>
      <c r="F5861" s="5" t="s">
        <v>335</v>
      </c>
      <c r="G5861" s="5" t="s">
        <v>336</v>
      </c>
      <c r="H5861" s="6">
        <v>2830</v>
      </c>
      <c r="I5861" s="5"/>
    </row>
    <row r="5862" spans="1:9" x14ac:dyDescent="0.3">
      <c r="B5862" s="5" t="s">
        <v>5176</v>
      </c>
      <c r="C5862" s="5" t="s">
        <v>10</v>
      </c>
      <c r="D5862" s="5" t="s">
        <v>5197</v>
      </c>
      <c r="E5862" s="5" t="s">
        <v>5201</v>
      </c>
      <c r="F5862" s="5" t="s">
        <v>1643</v>
      </c>
      <c r="G5862" s="5" t="s">
        <v>1644</v>
      </c>
      <c r="H5862" s="5"/>
      <c r="I5862" s="6">
        <v>10340</v>
      </c>
    </row>
    <row r="5863" spans="1:9" x14ac:dyDescent="0.3">
      <c r="A5863" s="7" t="s">
        <v>5202</v>
      </c>
      <c r="H5863" s="8">
        <f>H5859+H5860+H5861+H5862</f>
        <v>10340</v>
      </c>
      <c r="I5863" s="8">
        <f>I5859+I5860+I5861+I5862</f>
        <v>10340</v>
      </c>
    </row>
    <row r="5864" spans="1:9" x14ac:dyDescent="0.3">
      <c r="A5864" s="4" t="s">
        <v>5203</v>
      </c>
    </row>
    <row r="5865" spans="1:9" x14ac:dyDescent="0.3">
      <c r="B5865" s="5" t="s">
        <v>5176</v>
      </c>
      <c r="C5865" s="5" t="s">
        <v>10</v>
      </c>
      <c r="D5865" s="5" t="s">
        <v>5204</v>
      </c>
      <c r="E5865" s="5" t="s">
        <v>5205</v>
      </c>
      <c r="F5865" s="5" t="s">
        <v>166</v>
      </c>
      <c r="G5865" s="5" t="s">
        <v>167</v>
      </c>
      <c r="H5865" s="6">
        <v>13000</v>
      </c>
      <c r="I5865" s="5"/>
    </row>
    <row r="5866" spans="1:9" x14ac:dyDescent="0.3">
      <c r="B5866" s="5" t="s">
        <v>5176</v>
      </c>
      <c r="C5866" s="5" t="s">
        <v>10</v>
      </c>
      <c r="D5866" s="5" t="s">
        <v>5204</v>
      </c>
      <c r="E5866" s="5" t="s">
        <v>5205</v>
      </c>
      <c r="F5866" s="5" t="s">
        <v>1643</v>
      </c>
      <c r="G5866" s="5" t="s">
        <v>1644</v>
      </c>
      <c r="H5866" s="5"/>
      <c r="I5866" s="6">
        <v>13000</v>
      </c>
    </row>
    <row r="5867" spans="1:9" x14ac:dyDescent="0.3">
      <c r="A5867" s="7" t="s">
        <v>5206</v>
      </c>
      <c r="H5867" s="8">
        <f>H5865+H5866</f>
        <v>13000</v>
      </c>
      <c r="I5867" s="8">
        <f>I5865+I5866</f>
        <v>13000</v>
      </c>
    </row>
    <row r="5868" spans="1:9" x14ac:dyDescent="0.3">
      <c r="A5868" s="4" t="s">
        <v>5207</v>
      </c>
    </row>
    <row r="5869" spans="1:9" x14ac:dyDescent="0.3">
      <c r="B5869" s="5" t="s">
        <v>5176</v>
      </c>
      <c r="C5869" s="5" t="s">
        <v>10</v>
      </c>
      <c r="D5869" s="5" t="s">
        <v>5208</v>
      </c>
      <c r="E5869" s="5" t="s">
        <v>5209</v>
      </c>
      <c r="F5869" s="5" t="s">
        <v>67</v>
      </c>
      <c r="G5869" s="5" t="s">
        <v>68</v>
      </c>
      <c r="H5869" s="6">
        <v>2250</v>
      </c>
      <c r="I5869" s="5"/>
    </row>
    <row r="5870" spans="1:9" x14ac:dyDescent="0.3">
      <c r="B5870" s="5" t="s">
        <v>5176</v>
      </c>
      <c r="C5870" s="5" t="s">
        <v>10</v>
      </c>
      <c r="D5870" s="5" t="s">
        <v>5208</v>
      </c>
      <c r="E5870" s="5" t="s">
        <v>5209</v>
      </c>
      <c r="F5870" s="5" t="s">
        <v>1643</v>
      </c>
      <c r="G5870" s="5" t="s">
        <v>1644</v>
      </c>
      <c r="H5870" s="5"/>
      <c r="I5870" s="6">
        <v>2250</v>
      </c>
    </row>
    <row r="5871" spans="1:9" x14ac:dyDescent="0.3">
      <c r="A5871" s="7" t="s">
        <v>5210</v>
      </c>
      <c r="H5871" s="8">
        <f>H5869+H5870</f>
        <v>2250</v>
      </c>
      <c r="I5871" s="8">
        <f>I5869+I5870</f>
        <v>2250</v>
      </c>
    </row>
    <row r="5872" spans="1:9" x14ac:dyDescent="0.3">
      <c r="A5872" s="4" t="s">
        <v>5211</v>
      </c>
    </row>
    <row r="5873" spans="1:9" x14ac:dyDescent="0.3">
      <c r="B5873" s="5" t="s">
        <v>5176</v>
      </c>
      <c r="C5873" s="5" t="s">
        <v>10</v>
      </c>
      <c r="D5873" s="5" t="s">
        <v>5212</v>
      </c>
      <c r="E5873" s="5" t="s">
        <v>5200</v>
      </c>
      <c r="F5873" s="5" t="s">
        <v>335</v>
      </c>
      <c r="G5873" s="5" t="s">
        <v>336</v>
      </c>
      <c r="H5873" s="6">
        <v>15630</v>
      </c>
      <c r="I5873" s="5"/>
    </row>
    <row r="5874" spans="1:9" x14ac:dyDescent="0.3">
      <c r="B5874" s="5" t="s">
        <v>5176</v>
      </c>
      <c r="C5874" s="5" t="s">
        <v>10</v>
      </c>
      <c r="D5874" s="5" t="s">
        <v>5212</v>
      </c>
      <c r="E5874" s="5" t="s">
        <v>5213</v>
      </c>
      <c r="F5874" s="5" t="s">
        <v>61</v>
      </c>
      <c r="G5874" s="5" t="s">
        <v>62</v>
      </c>
      <c r="H5874" s="6">
        <v>10220</v>
      </c>
      <c r="I5874" s="5"/>
    </row>
    <row r="5875" spans="1:9" x14ac:dyDescent="0.3">
      <c r="B5875" s="5" t="s">
        <v>5176</v>
      </c>
      <c r="C5875" s="5" t="s">
        <v>10</v>
      </c>
      <c r="D5875" s="5" t="s">
        <v>5212</v>
      </c>
      <c r="E5875" s="5" t="s">
        <v>5200</v>
      </c>
      <c r="F5875" s="5" t="s">
        <v>1643</v>
      </c>
      <c r="G5875" s="5" t="s">
        <v>1644</v>
      </c>
      <c r="H5875" s="5"/>
      <c r="I5875" s="6">
        <v>25850</v>
      </c>
    </row>
    <row r="5876" spans="1:9" x14ac:dyDescent="0.3">
      <c r="A5876" s="7" t="s">
        <v>5214</v>
      </c>
      <c r="H5876" s="8">
        <f>H5873+H5874+H5875</f>
        <v>25850</v>
      </c>
      <c r="I5876" s="8">
        <f>I5873+I5874+I5875</f>
        <v>25850</v>
      </c>
    </row>
    <row r="5877" spans="1:9" x14ac:dyDescent="0.3">
      <c r="A5877" s="4" t="s">
        <v>5215</v>
      </c>
    </row>
    <row r="5878" spans="1:9" x14ac:dyDescent="0.3">
      <c r="B5878" s="5" t="s">
        <v>5176</v>
      </c>
      <c r="C5878" s="5" t="s">
        <v>10</v>
      </c>
      <c r="D5878" s="5" t="s">
        <v>5216</v>
      </c>
      <c r="E5878" s="5" t="s">
        <v>4906</v>
      </c>
      <c r="F5878" s="5" t="s">
        <v>113</v>
      </c>
      <c r="G5878" s="5" t="s">
        <v>114</v>
      </c>
      <c r="H5878" s="6">
        <v>1007</v>
      </c>
      <c r="I5878" s="5"/>
    </row>
    <row r="5879" spans="1:9" x14ac:dyDescent="0.3">
      <c r="B5879" s="5" t="s">
        <v>5176</v>
      </c>
      <c r="C5879" s="5" t="s">
        <v>10</v>
      </c>
      <c r="D5879" s="5" t="s">
        <v>5216</v>
      </c>
      <c r="E5879" s="5" t="s">
        <v>5217</v>
      </c>
      <c r="F5879" s="5" t="s">
        <v>67</v>
      </c>
      <c r="G5879" s="5" t="s">
        <v>68</v>
      </c>
      <c r="H5879" s="6">
        <v>200</v>
      </c>
      <c r="I5879" s="5"/>
    </row>
    <row r="5880" spans="1:9" x14ac:dyDescent="0.3">
      <c r="B5880" s="5" t="s">
        <v>5176</v>
      </c>
      <c r="C5880" s="5" t="s">
        <v>10</v>
      </c>
      <c r="D5880" s="5" t="s">
        <v>5216</v>
      </c>
      <c r="E5880" s="5" t="s">
        <v>5218</v>
      </c>
      <c r="F5880" s="5" t="s">
        <v>1643</v>
      </c>
      <c r="G5880" s="5" t="s">
        <v>1644</v>
      </c>
      <c r="H5880" s="5"/>
      <c r="I5880" s="6">
        <v>1207</v>
      </c>
    </row>
    <row r="5881" spans="1:9" x14ac:dyDescent="0.3">
      <c r="A5881" s="7" t="s">
        <v>5219</v>
      </c>
      <c r="H5881" s="8">
        <f>H5878+H5879+H5880</f>
        <v>1207</v>
      </c>
      <c r="I5881" s="8">
        <f>I5878+I5879+I5880</f>
        <v>1207</v>
      </c>
    </row>
    <row r="5882" spans="1:9" x14ac:dyDescent="0.3">
      <c r="A5882" s="4" t="s">
        <v>5220</v>
      </c>
    </row>
    <row r="5883" spans="1:9" x14ac:dyDescent="0.3">
      <c r="B5883" s="5" t="s">
        <v>5176</v>
      </c>
      <c r="C5883" s="5" t="s">
        <v>10</v>
      </c>
      <c r="D5883" s="5" t="s">
        <v>5221</v>
      </c>
      <c r="E5883" s="5" t="s">
        <v>5222</v>
      </c>
      <c r="F5883" s="5" t="s">
        <v>50</v>
      </c>
      <c r="G5883" s="5" t="s">
        <v>51</v>
      </c>
      <c r="H5883" s="6">
        <v>3710</v>
      </c>
      <c r="I5883" s="5"/>
    </row>
    <row r="5884" spans="1:9" x14ac:dyDescent="0.3">
      <c r="B5884" s="5" t="s">
        <v>5176</v>
      </c>
      <c r="C5884" s="5" t="s">
        <v>10</v>
      </c>
      <c r="D5884" s="5" t="s">
        <v>5221</v>
      </c>
      <c r="E5884" s="5" t="s">
        <v>5222</v>
      </c>
      <c r="F5884" s="5" t="s">
        <v>1643</v>
      </c>
      <c r="G5884" s="5" t="s">
        <v>1644</v>
      </c>
      <c r="H5884" s="5"/>
      <c r="I5884" s="6">
        <v>3710</v>
      </c>
    </row>
    <row r="5885" spans="1:9" x14ac:dyDescent="0.3">
      <c r="A5885" s="7" t="s">
        <v>5223</v>
      </c>
      <c r="H5885" s="8">
        <f>H5883+H5884</f>
        <v>3710</v>
      </c>
      <c r="I5885" s="8">
        <f>I5883+I5884</f>
        <v>3710</v>
      </c>
    </row>
    <row r="5886" spans="1:9" x14ac:dyDescent="0.3">
      <c r="A5886" s="4" t="s">
        <v>5224</v>
      </c>
    </row>
    <row r="5887" spans="1:9" x14ac:dyDescent="0.3">
      <c r="B5887" s="5" t="s">
        <v>5176</v>
      </c>
      <c r="C5887" s="5" t="s">
        <v>10</v>
      </c>
      <c r="D5887" s="5" t="s">
        <v>5225</v>
      </c>
      <c r="E5887" s="5" t="s">
        <v>5226</v>
      </c>
      <c r="F5887" s="5" t="s">
        <v>113</v>
      </c>
      <c r="G5887" s="5" t="s">
        <v>114</v>
      </c>
      <c r="H5887" s="6">
        <v>1260</v>
      </c>
      <c r="I5887" s="5"/>
    </row>
    <row r="5888" spans="1:9" x14ac:dyDescent="0.3">
      <c r="B5888" s="5" t="s">
        <v>5176</v>
      </c>
      <c r="C5888" s="5" t="s">
        <v>10</v>
      </c>
      <c r="D5888" s="5" t="s">
        <v>5225</v>
      </c>
      <c r="E5888" s="5" t="s">
        <v>5226</v>
      </c>
      <c r="F5888" s="5" t="s">
        <v>1643</v>
      </c>
      <c r="G5888" s="5" t="s">
        <v>1644</v>
      </c>
      <c r="H5888" s="5"/>
      <c r="I5888" s="6">
        <v>1260</v>
      </c>
    </row>
    <row r="5889" spans="1:9" x14ac:dyDescent="0.3">
      <c r="A5889" s="7" t="s">
        <v>5227</v>
      </c>
      <c r="H5889" s="8">
        <f>H5887+H5888</f>
        <v>1260</v>
      </c>
      <c r="I5889" s="8">
        <f>I5887+I5888</f>
        <v>1260</v>
      </c>
    </row>
    <row r="5890" spans="1:9" x14ac:dyDescent="0.3">
      <c r="A5890" s="4" t="s">
        <v>5228</v>
      </c>
    </row>
    <row r="5891" spans="1:9" x14ac:dyDescent="0.3">
      <c r="B5891" s="5" t="s">
        <v>5176</v>
      </c>
      <c r="C5891" s="5" t="s">
        <v>10</v>
      </c>
      <c r="D5891" s="5" t="s">
        <v>5229</v>
      </c>
      <c r="E5891" s="5" t="s">
        <v>5230</v>
      </c>
      <c r="F5891" s="5" t="s">
        <v>67</v>
      </c>
      <c r="G5891" s="5" t="s">
        <v>68</v>
      </c>
      <c r="H5891" s="6">
        <v>80</v>
      </c>
      <c r="I5891" s="5"/>
    </row>
    <row r="5892" spans="1:9" x14ac:dyDescent="0.3">
      <c r="B5892" s="5" t="s">
        <v>5176</v>
      </c>
      <c r="C5892" s="5" t="s">
        <v>10</v>
      </c>
      <c r="D5892" s="5" t="s">
        <v>5229</v>
      </c>
      <c r="E5892" s="5" t="s">
        <v>5230</v>
      </c>
      <c r="F5892" s="5" t="s">
        <v>1643</v>
      </c>
      <c r="G5892" s="5" t="s">
        <v>1644</v>
      </c>
      <c r="H5892" s="5"/>
      <c r="I5892" s="6">
        <v>80</v>
      </c>
    </row>
    <row r="5893" spans="1:9" x14ac:dyDescent="0.3">
      <c r="A5893" s="7" t="s">
        <v>5231</v>
      </c>
      <c r="H5893" s="8">
        <f>H5891+H5892</f>
        <v>80</v>
      </c>
      <c r="I5893" s="8">
        <f>I5891+I5892</f>
        <v>80</v>
      </c>
    </row>
    <row r="5894" spans="1:9" x14ac:dyDescent="0.3">
      <c r="A5894" s="4" t="s">
        <v>5232</v>
      </c>
    </row>
    <row r="5895" spans="1:9" x14ac:dyDescent="0.3">
      <c r="B5895" s="5" t="s">
        <v>5176</v>
      </c>
      <c r="C5895" s="5" t="s">
        <v>10</v>
      </c>
      <c r="D5895" s="5" t="s">
        <v>5233</v>
      </c>
      <c r="E5895" s="5" t="s">
        <v>5234</v>
      </c>
      <c r="F5895" s="5" t="s">
        <v>61</v>
      </c>
      <c r="G5895" s="5" t="s">
        <v>62</v>
      </c>
      <c r="H5895" s="6">
        <v>940</v>
      </c>
      <c r="I5895" s="5"/>
    </row>
    <row r="5896" spans="1:9" x14ac:dyDescent="0.3">
      <c r="B5896" s="5" t="s">
        <v>5176</v>
      </c>
      <c r="C5896" s="5" t="s">
        <v>10</v>
      </c>
      <c r="D5896" s="5" t="s">
        <v>5233</v>
      </c>
      <c r="E5896" s="5" t="s">
        <v>5234</v>
      </c>
      <c r="F5896" s="5" t="s">
        <v>1643</v>
      </c>
      <c r="G5896" s="5" t="s">
        <v>1644</v>
      </c>
      <c r="H5896" s="5"/>
      <c r="I5896" s="6">
        <v>940</v>
      </c>
    </row>
    <row r="5897" spans="1:9" x14ac:dyDescent="0.3">
      <c r="A5897" s="7" t="s">
        <v>5235</v>
      </c>
      <c r="H5897" s="8">
        <f>H5895+H5896</f>
        <v>940</v>
      </c>
      <c r="I5897" s="8">
        <f>I5895+I5896</f>
        <v>940</v>
      </c>
    </row>
    <row r="5898" spans="1:9" x14ac:dyDescent="0.3">
      <c r="A5898" s="4" t="s">
        <v>5236</v>
      </c>
    </row>
    <row r="5899" spans="1:9" x14ac:dyDescent="0.3">
      <c r="B5899" s="5" t="s">
        <v>5237</v>
      </c>
      <c r="C5899" s="5" t="s">
        <v>10</v>
      </c>
      <c r="D5899" s="5" t="s">
        <v>5238</v>
      </c>
      <c r="E5899" s="5" t="s">
        <v>5239</v>
      </c>
      <c r="F5899" s="5" t="s">
        <v>2500</v>
      </c>
      <c r="G5899" s="5" t="s">
        <v>2501</v>
      </c>
      <c r="H5899" s="6">
        <v>500</v>
      </c>
      <c r="I5899" s="5"/>
    </row>
    <row r="5900" spans="1:9" x14ac:dyDescent="0.3">
      <c r="B5900" s="5" t="s">
        <v>5237</v>
      </c>
      <c r="C5900" s="5" t="s">
        <v>10</v>
      </c>
      <c r="D5900" s="5" t="s">
        <v>5238</v>
      </c>
      <c r="E5900" s="5" t="s">
        <v>5239</v>
      </c>
      <c r="F5900" s="5" t="s">
        <v>1643</v>
      </c>
      <c r="G5900" s="5" t="s">
        <v>1644</v>
      </c>
      <c r="H5900" s="5"/>
      <c r="I5900" s="6">
        <v>500</v>
      </c>
    </row>
    <row r="5901" spans="1:9" x14ac:dyDescent="0.3">
      <c r="B5901" s="5" t="s">
        <v>5237</v>
      </c>
      <c r="C5901" s="5" t="s">
        <v>10</v>
      </c>
      <c r="D5901" s="5" t="s">
        <v>5238</v>
      </c>
      <c r="E5901" s="5" t="s">
        <v>5240</v>
      </c>
      <c r="F5901" s="5" t="s">
        <v>359</v>
      </c>
      <c r="G5901" s="5" t="s">
        <v>360</v>
      </c>
      <c r="H5901" s="6">
        <v>1800</v>
      </c>
      <c r="I5901" s="5"/>
    </row>
    <row r="5902" spans="1:9" x14ac:dyDescent="0.3">
      <c r="B5902" s="5" t="s">
        <v>5237</v>
      </c>
      <c r="C5902" s="5" t="s">
        <v>10</v>
      </c>
      <c r="D5902" s="5" t="s">
        <v>5238</v>
      </c>
      <c r="E5902" s="5" t="s">
        <v>5241</v>
      </c>
      <c r="F5902" s="5" t="s">
        <v>64</v>
      </c>
      <c r="G5902" s="5" t="s">
        <v>65</v>
      </c>
      <c r="H5902" s="6">
        <v>1000</v>
      </c>
      <c r="I5902" s="5"/>
    </row>
    <row r="5903" spans="1:9" x14ac:dyDescent="0.3">
      <c r="B5903" s="5" t="s">
        <v>5237</v>
      </c>
      <c r="C5903" s="5" t="s">
        <v>10</v>
      </c>
      <c r="D5903" s="5" t="s">
        <v>5238</v>
      </c>
      <c r="E5903" s="5" t="s">
        <v>5242</v>
      </c>
      <c r="F5903" s="5" t="s">
        <v>359</v>
      </c>
      <c r="G5903" s="5" t="s">
        <v>360</v>
      </c>
      <c r="H5903" s="6">
        <v>480</v>
      </c>
      <c r="I5903" s="5"/>
    </row>
    <row r="5904" spans="1:9" x14ac:dyDescent="0.3">
      <c r="B5904" s="5" t="s">
        <v>5237</v>
      </c>
      <c r="C5904" s="5" t="s">
        <v>10</v>
      </c>
      <c r="D5904" s="5" t="s">
        <v>5238</v>
      </c>
      <c r="E5904" s="5" t="s">
        <v>5243</v>
      </c>
      <c r="F5904" s="5" t="s">
        <v>45</v>
      </c>
      <c r="G5904" s="5" t="s">
        <v>46</v>
      </c>
      <c r="H5904" s="6">
        <v>4500</v>
      </c>
      <c r="I5904" s="5"/>
    </row>
    <row r="5905" spans="1:9" x14ac:dyDescent="0.3">
      <c r="B5905" s="5" t="s">
        <v>5237</v>
      </c>
      <c r="C5905" s="5" t="s">
        <v>10</v>
      </c>
      <c r="D5905" s="5" t="s">
        <v>5238</v>
      </c>
      <c r="E5905" s="5" t="s">
        <v>5244</v>
      </c>
      <c r="F5905" s="5" t="s">
        <v>1022</v>
      </c>
      <c r="G5905" s="5" t="s">
        <v>1023</v>
      </c>
      <c r="H5905" s="5"/>
      <c r="I5905" s="6">
        <v>7780</v>
      </c>
    </row>
    <row r="5906" spans="1:9" x14ac:dyDescent="0.3">
      <c r="A5906" s="7" t="s">
        <v>5245</v>
      </c>
      <c r="H5906" s="8">
        <f>H5899+H5900+H5901+H5902+H5903+H5904+H5905</f>
        <v>8280</v>
      </c>
      <c r="I5906" s="8">
        <f>I5899+I5900+I5901+I5902+I5903+I5904+I5905</f>
        <v>8280</v>
      </c>
    </row>
    <row r="5907" spans="1:9" x14ac:dyDescent="0.3">
      <c r="A5907" s="4" t="s">
        <v>5246</v>
      </c>
    </row>
    <row r="5908" spans="1:9" x14ac:dyDescent="0.3">
      <c r="B5908" s="5" t="s">
        <v>5237</v>
      </c>
      <c r="C5908" s="5" t="s">
        <v>10</v>
      </c>
      <c r="D5908" s="5" t="s">
        <v>5247</v>
      </c>
      <c r="E5908" s="5" t="s">
        <v>5248</v>
      </c>
      <c r="F5908" s="5" t="s">
        <v>67</v>
      </c>
      <c r="G5908" s="5" t="s">
        <v>68</v>
      </c>
      <c r="H5908" s="6">
        <v>80</v>
      </c>
      <c r="I5908" s="5"/>
    </row>
    <row r="5909" spans="1:9" x14ac:dyDescent="0.3">
      <c r="B5909" s="5" t="s">
        <v>5237</v>
      </c>
      <c r="C5909" s="5" t="s">
        <v>10</v>
      </c>
      <c r="D5909" s="5" t="s">
        <v>5247</v>
      </c>
      <c r="E5909" s="5" t="s">
        <v>5248</v>
      </c>
      <c r="F5909" s="5" t="s">
        <v>1643</v>
      </c>
      <c r="G5909" s="5" t="s">
        <v>1644</v>
      </c>
      <c r="H5909" s="5"/>
      <c r="I5909" s="6">
        <v>80</v>
      </c>
    </row>
    <row r="5910" spans="1:9" x14ac:dyDescent="0.3">
      <c r="B5910" s="5" t="s">
        <v>5237</v>
      </c>
      <c r="C5910" s="5" t="s">
        <v>10</v>
      </c>
      <c r="D5910" s="5" t="s">
        <v>5247</v>
      </c>
      <c r="E5910" s="5" t="s">
        <v>5249</v>
      </c>
      <c r="F5910" s="5" t="s">
        <v>359</v>
      </c>
      <c r="G5910" s="5" t="s">
        <v>360</v>
      </c>
      <c r="H5910" s="6">
        <v>1200</v>
      </c>
      <c r="I5910" s="5"/>
    </row>
    <row r="5911" spans="1:9" x14ac:dyDescent="0.3">
      <c r="B5911" s="5" t="s">
        <v>5237</v>
      </c>
      <c r="C5911" s="5" t="s">
        <v>10</v>
      </c>
      <c r="D5911" s="5" t="s">
        <v>5247</v>
      </c>
      <c r="E5911" s="5" t="s">
        <v>5250</v>
      </c>
      <c r="F5911" s="5" t="s">
        <v>61</v>
      </c>
      <c r="G5911" s="5" t="s">
        <v>62</v>
      </c>
      <c r="H5911" s="6">
        <v>1200</v>
      </c>
      <c r="I5911" s="5"/>
    </row>
    <row r="5912" spans="1:9" x14ac:dyDescent="0.3">
      <c r="B5912" s="5" t="s">
        <v>5237</v>
      </c>
      <c r="C5912" s="5" t="s">
        <v>10</v>
      </c>
      <c r="D5912" s="5" t="s">
        <v>5247</v>
      </c>
      <c r="E5912" s="5" t="s">
        <v>5251</v>
      </c>
      <c r="F5912" s="5" t="s">
        <v>1022</v>
      </c>
      <c r="G5912" s="5" t="s">
        <v>1023</v>
      </c>
      <c r="H5912" s="5"/>
      <c r="I5912" s="6">
        <v>2400</v>
      </c>
    </row>
    <row r="5913" spans="1:9" x14ac:dyDescent="0.3">
      <c r="A5913" s="7" t="s">
        <v>5252</v>
      </c>
      <c r="H5913" s="8">
        <f>H5908+H5909+H5910+H5911+H5912</f>
        <v>2480</v>
      </c>
      <c r="I5913" s="8">
        <f>I5908+I5909+I5910+I5911+I5912</f>
        <v>2480</v>
      </c>
    </row>
    <row r="5914" spans="1:9" x14ac:dyDescent="0.3">
      <c r="A5914" s="4" t="s">
        <v>5253</v>
      </c>
    </row>
    <row r="5915" spans="1:9" x14ac:dyDescent="0.3">
      <c r="B5915" s="5" t="s">
        <v>5237</v>
      </c>
      <c r="C5915" s="5" t="s">
        <v>10</v>
      </c>
      <c r="D5915" s="5" t="s">
        <v>5254</v>
      </c>
      <c r="E5915" s="5" t="s">
        <v>5255</v>
      </c>
      <c r="F5915" s="5" t="s">
        <v>61</v>
      </c>
      <c r="G5915" s="5" t="s">
        <v>62</v>
      </c>
      <c r="H5915" s="6">
        <v>4380</v>
      </c>
      <c r="I5915" s="5"/>
    </row>
    <row r="5916" spans="1:9" x14ac:dyDescent="0.3">
      <c r="B5916" s="5" t="s">
        <v>5237</v>
      </c>
      <c r="C5916" s="5" t="s">
        <v>10</v>
      </c>
      <c r="D5916" s="5" t="s">
        <v>5254</v>
      </c>
      <c r="E5916" s="5" t="s">
        <v>5255</v>
      </c>
      <c r="F5916" s="5" t="s">
        <v>1643</v>
      </c>
      <c r="G5916" s="5" t="s">
        <v>1644</v>
      </c>
      <c r="H5916" s="5"/>
      <c r="I5916" s="6">
        <v>4380</v>
      </c>
    </row>
    <row r="5917" spans="1:9" x14ac:dyDescent="0.3">
      <c r="B5917" s="5" t="s">
        <v>5237</v>
      </c>
      <c r="C5917" s="5" t="s">
        <v>10</v>
      </c>
      <c r="D5917" s="5" t="s">
        <v>5254</v>
      </c>
      <c r="E5917" s="5" t="s">
        <v>5256</v>
      </c>
      <c r="F5917" s="5" t="s">
        <v>23</v>
      </c>
      <c r="G5917" s="5" t="s">
        <v>24</v>
      </c>
      <c r="H5917" s="6">
        <v>6000</v>
      </c>
      <c r="I5917" s="5"/>
    </row>
    <row r="5918" spans="1:9" x14ac:dyDescent="0.3">
      <c r="B5918" s="5" t="s">
        <v>5237</v>
      </c>
      <c r="C5918" s="5" t="s">
        <v>10</v>
      </c>
      <c r="D5918" s="5" t="s">
        <v>5254</v>
      </c>
      <c r="E5918" s="5" t="s">
        <v>5257</v>
      </c>
      <c r="F5918" s="5" t="s">
        <v>81</v>
      </c>
      <c r="G5918" s="5" t="s">
        <v>82</v>
      </c>
      <c r="H5918" s="6">
        <v>2500</v>
      </c>
      <c r="I5918" s="5"/>
    </row>
    <row r="5919" spans="1:9" x14ac:dyDescent="0.3">
      <c r="B5919" s="5" t="s">
        <v>5237</v>
      </c>
      <c r="C5919" s="5" t="s">
        <v>10</v>
      </c>
      <c r="D5919" s="5" t="s">
        <v>5254</v>
      </c>
      <c r="E5919" s="5" t="s">
        <v>5258</v>
      </c>
      <c r="F5919" s="5" t="s">
        <v>256</v>
      </c>
      <c r="G5919" s="5" t="s">
        <v>257</v>
      </c>
      <c r="H5919" s="6">
        <v>900</v>
      </c>
      <c r="I5919" s="5"/>
    </row>
    <row r="5920" spans="1:9" x14ac:dyDescent="0.3">
      <c r="B5920" s="5" t="s">
        <v>5237</v>
      </c>
      <c r="C5920" s="5" t="s">
        <v>10</v>
      </c>
      <c r="D5920" s="5" t="s">
        <v>5254</v>
      </c>
      <c r="E5920" s="5" t="s">
        <v>5259</v>
      </c>
      <c r="F5920" s="5" t="s">
        <v>50</v>
      </c>
      <c r="G5920" s="5" t="s">
        <v>51</v>
      </c>
      <c r="H5920" s="6">
        <v>400</v>
      </c>
      <c r="I5920" s="5"/>
    </row>
    <row r="5921" spans="1:9" x14ac:dyDescent="0.3">
      <c r="B5921" s="5" t="s">
        <v>5237</v>
      </c>
      <c r="C5921" s="5" t="s">
        <v>10</v>
      </c>
      <c r="D5921" s="5" t="s">
        <v>5254</v>
      </c>
      <c r="E5921" s="5" t="s">
        <v>4938</v>
      </c>
      <c r="F5921" s="5" t="s">
        <v>113</v>
      </c>
      <c r="G5921" s="5" t="s">
        <v>114</v>
      </c>
      <c r="H5921" s="6">
        <v>390</v>
      </c>
      <c r="I5921" s="5"/>
    </row>
    <row r="5922" spans="1:9" x14ac:dyDescent="0.3">
      <c r="B5922" s="5" t="s">
        <v>5237</v>
      </c>
      <c r="C5922" s="5" t="s">
        <v>10</v>
      </c>
      <c r="D5922" s="5" t="s">
        <v>5254</v>
      </c>
      <c r="E5922" s="5" t="s">
        <v>5260</v>
      </c>
      <c r="F5922" s="5" t="s">
        <v>1022</v>
      </c>
      <c r="G5922" s="5" t="s">
        <v>1023</v>
      </c>
      <c r="H5922" s="5"/>
      <c r="I5922" s="6">
        <v>10190</v>
      </c>
    </row>
    <row r="5923" spans="1:9" x14ac:dyDescent="0.3">
      <c r="A5923" s="7" t="s">
        <v>5261</v>
      </c>
      <c r="H5923" s="8">
        <f>H5915+H5916+H5917+H5918+H5919+H5920+H5921+H5922</f>
        <v>14570</v>
      </c>
      <c r="I5923" s="8">
        <f>I5915+I5916+I5917+I5918+I5919+I5920+I5921+I5922</f>
        <v>14570</v>
      </c>
    </row>
    <row r="5924" spans="1:9" x14ac:dyDescent="0.3">
      <c r="A5924" s="4" t="s">
        <v>5262</v>
      </c>
    </row>
    <row r="5925" spans="1:9" x14ac:dyDescent="0.3">
      <c r="B5925" s="5" t="s">
        <v>5237</v>
      </c>
      <c r="C5925" s="5" t="s">
        <v>10</v>
      </c>
      <c r="D5925" s="5" t="s">
        <v>5263</v>
      </c>
      <c r="E5925" s="5" t="s">
        <v>5264</v>
      </c>
      <c r="F5925" s="5" t="s">
        <v>1643</v>
      </c>
      <c r="G5925" s="5" t="s">
        <v>1644</v>
      </c>
      <c r="H5925" s="6">
        <v>118142</v>
      </c>
      <c r="I5925" s="5"/>
    </row>
    <row r="5926" spans="1:9" x14ac:dyDescent="0.3">
      <c r="B5926" s="5" t="s">
        <v>5237</v>
      </c>
      <c r="C5926" s="5" t="s">
        <v>10</v>
      </c>
      <c r="D5926" s="5" t="s">
        <v>5263</v>
      </c>
      <c r="E5926" s="5" t="s">
        <v>5264</v>
      </c>
      <c r="F5926" s="5" t="s">
        <v>13</v>
      </c>
      <c r="G5926" s="5" t="s">
        <v>14</v>
      </c>
      <c r="H5926" s="5"/>
      <c r="I5926" s="6">
        <v>118142</v>
      </c>
    </row>
    <row r="5927" spans="1:9" x14ac:dyDescent="0.3">
      <c r="A5927" s="7" t="s">
        <v>5265</v>
      </c>
      <c r="H5927" s="8">
        <f>H5925+H5926</f>
        <v>118142</v>
      </c>
      <c r="I5927" s="8">
        <f>I5925+I5926</f>
        <v>118142</v>
      </c>
    </row>
    <row r="5928" spans="1:9" x14ac:dyDescent="0.3">
      <c r="A5928" s="4" t="s">
        <v>5266</v>
      </c>
    </row>
    <row r="5929" spans="1:9" x14ac:dyDescent="0.3">
      <c r="B5929" s="5" t="s">
        <v>5237</v>
      </c>
      <c r="C5929" s="5" t="s">
        <v>10</v>
      </c>
      <c r="D5929" s="5" t="s">
        <v>5267</v>
      </c>
      <c r="E5929" s="5" t="s">
        <v>5268</v>
      </c>
      <c r="F5929" s="5" t="s">
        <v>1343</v>
      </c>
      <c r="G5929" s="5" t="s">
        <v>1344</v>
      </c>
      <c r="H5929" s="6">
        <v>118142</v>
      </c>
      <c r="I5929" s="5"/>
    </row>
    <row r="5930" spans="1:9" x14ac:dyDescent="0.3">
      <c r="B5930" s="5" t="s">
        <v>5237</v>
      </c>
      <c r="C5930" s="5" t="s">
        <v>10</v>
      </c>
      <c r="D5930" s="5" t="s">
        <v>5267</v>
      </c>
      <c r="E5930" s="5" t="s">
        <v>5268</v>
      </c>
      <c r="F5930" s="5" t="s">
        <v>1643</v>
      </c>
      <c r="G5930" s="5" t="s">
        <v>1644</v>
      </c>
      <c r="H5930" s="5"/>
      <c r="I5930" s="6">
        <v>118142</v>
      </c>
    </row>
    <row r="5931" spans="1:9" x14ac:dyDescent="0.3">
      <c r="A5931" s="7" t="s">
        <v>5269</v>
      </c>
      <c r="H5931" s="8">
        <f>H5929+H5930</f>
        <v>118142</v>
      </c>
      <c r="I5931" s="8">
        <f>I5929+I5930</f>
        <v>118142</v>
      </c>
    </row>
    <row r="5932" spans="1:9" x14ac:dyDescent="0.3">
      <c r="A5932" s="4" t="s">
        <v>5270</v>
      </c>
    </row>
    <row r="5933" spans="1:9" x14ac:dyDescent="0.3">
      <c r="B5933" s="5" t="s">
        <v>5271</v>
      </c>
      <c r="C5933" s="5" t="s">
        <v>10</v>
      </c>
      <c r="D5933" s="5" t="s">
        <v>5272</v>
      </c>
      <c r="E5933" s="5" t="s">
        <v>5273</v>
      </c>
      <c r="F5933" s="5" t="s">
        <v>67</v>
      </c>
      <c r="G5933" s="5" t="s">
        <v>68</v>
      </c>
      <c r="H5933" s="6">
        <v>100</v>
      </c>
      <c r="I5933" s="5"/>
    </row>
    <row r="5934" spans="1:9" x14ac:dyDescent="0.3">
      <c r="B5934" s="5" t="s">
        <v>5271</v>
      </c>
      <c r="C5934" s="5" t="s">
        <v>10</v>
      </c>
      <c r="D5934" s="5" t="s">
        <v>5272</v>
      </c>
      <c r="E5934" s="5" t="s">
        <v>5273</v>
      </c>
      <c r="F5934" s="5" t="s">
        <v>1643</v>
      </c>
      <c r="G5934" s="5" t="s">
        <v>1644</v>
      </c>
      <c r="H5934" s="5"/>
      <c r="I5934" s="6">
        <v>100</v>
      </c>
    </row>
    <row r="5935" spans="1:9" x14ac:dyDescent="0.3">
      <c r="B5935" s="5" t="s">
        <v>5271</v>
      </c>
      <c r="C5935" s="5" t="s">
        <v>10</v>
      </c>
      <c r="D5935" s="5" t="s">
        <v>5272</v>
      </c>
      <c r="E5935" s="5" t="s">
        <v>1873</v>
      </c>
      <c r="F5935" s="5" t="s">
        <v>116</v>
      </c>
      <c r="G5935" s="5" t="s">
        <v>117</v>
      </c>
      <c r="H5935" s="6">
        <v>500</v>
      </c>
      <c r="I5935" s="5"/>
    </row>
    <row r="5936" spans="1:9" x14ac:dyDescent="0.3">
      <c r="B5936" s="5" t="s">
        <v>5271</v>
      </c>
      <c r="C5936" s="5" t="s">
        <v>10</v>
      </c>
      <c r="D5936" s="5" t="s">
        <v>5272</v>
      </c>
      <c r="E5936" s="5" t="s">
        <v>1873</v>
      </c>
      <c r="F5936" s="5" t="s">
        <v>1643</v>
      </c>
      <c r="G5936" s="5" t="s">
        <v>1644</v>
      </c>
      <c r="H5936" s="5"/>
      <c r="I5936" s="6">
        <v>500</v>
      </c>
    </row>
    <row r="5937" spans="1:9" x14ac:dyDescent="0.3">
      <c r="A5937" s="7" t="s">
        <v>5274</v>
      </c>
      <c r="H5937" s="8">
        <f>H5933+H5934+H5935+H5936</f>
        <v>600</v>
      </c>
      <c r="I5937" s="8">
        <f>I5933+I5934+I5935+I5936</f>
        <v>600</v>
      </c>
    </row>
    <row r="5938" spans="1:9" x14ac:dyDescent="0.3">
      <c r="A5938" s="4" t="s">
        <v>5275</v>
      </c>
    </row>
    <row r="5939" spans="1:9" x14ac:dyDescent="0.3">
      <c r="B5939" s="5" t="s">
        <v>5271</v>
      </c>
      <c r="C5939" s="5" t="s">
        <v>10</v>
      </c>
      <c r="D5939" s="5" t="s">
        <v>5276</v>
      </c>
      <c r="E5939" s="5" t="s">
        <v>5277</v>
      </c>
      <c r="F5939" s="5" t="s">
        <v>1643</v>
      </c>
      <c r="G5939" s="5" t="s">
        <v>1644</v>
      </c>
      <c r="H5939" s="6">
        <v>31872</v>
      </c>
      <c r="I5939" s="5"/>
    </row>
    <row r="5940" spans="1:9" x14ac:dyDescent="0.3">
      <c r="B5940" s="5" t="s">
        <v>5271</v>
      </c>
      <c r="C5940" s="5" t="s">
        <v>10</v>
      </c>
      <c r="D5940" s="5" t="s">
        <v>5276</v>
      </c>
      <c r="E5940" s="5" t="s">
        <v>5277</v>
      </c>
      <c r="F5940" s="5" t="s">
        <v>13</v>
      </c>
      <c r="G5940" s="5" t="s">
        <v>14</v>
      </c>
      <c r="H5940" s="5"/>
      <c r="I5940" s="6">
        <v>31872</v>
      </c>
    </row>
    <row r="5941" spans="1:9" x14ac:dyDescent="0.3">
      <c r="A5941" s="7" t="s">
        <v>5278</v>
      </c>
      <c r="H5941" s="8">
        <f>H5939+H5940</f>
        <v>31872</v>
      </c>
      <c r="I5941" s="8">
        <f>I5939+I5940</f>
        <v>31872</v>
      </c>
    </row>
    <row r="5942" spans="1:9" x14ac:dyDescent="0.3">
      <c r="A5942" s="4" t="s">
        <v>5279</v>
      </c>
    </row>
    <row r="5943" spans="1:9" x14ac:dyDescent="0.3">
      <c r="B5943" s="5" t="s">
        <v>5271</v>
      </c>
      <c r="C5943" s="5" t="s">
        <v>10</v>
      </c>
      <c r="D5943" s="5" t="s">
        <v>5280</v>
      </c>
      <c r="E5943" s="5" t="s">
        <v>5281</v>
      </c>
      <c r="F5943" s="5" t="s">
        <v>1022</v>
      </c>
      <c r="G5943" s="5" t="s">
        <v>1023</v>
      </c>
      <c r="H5943" s="6">
        <v>11860</v>
      </c>
      <c r="I5943" s="5"/>
    </row>
    <row r="5944" spans="1:9" x14ac:dyDescent="0.3">
      <c r="B5944" s="5" t="s">
        <v>5271</v>
      </c>
      <c r="C5944" s="5" t="s">
        <v>10</v>
      </c>
      <c r="D5944" s="5" t="s">
        <v>5280</v>
      </c>
      <c r="E5944" s="5" t="s">
        <v>5281</v>
      </c>
      <c r="F5944" s="5" t="s">
        <v>4997</v>
      </c>
      <c r="G5944" s="5" t="s">
        <v>4998</v>
      </c>
      <c r="H5944" s="6">
        <v>10912</v>
      </c>
      <c r="I5944" s="5"/>
    </row>
    <row r="5945" spans="1:9" x14ac:dyDescent="0.3">
      <c r="B5945" s="5" t="s">
        <v>5271</v>
      </c>
      <c r="C5945" s="5" t="s">
        <v>10</v>
      </c>
      <c r="D5945" s="5" t="s">
        <v>5280</v>
      </c>
      <c r="E5945" s="5" t="s">
        <v>5281</v>
      </c>
      <c r="F5945" s="5" t="s">
        <v>2600</v>
      </c>
      <c r="G5945" s="5" t="s">
        <v>2601</v>
      </c>
      <c r="H5945" s="6">
        <v>3000</v>
      </c>
      <c r="I5945" s="5"/>
    </row>
    <row r="5946" spans="1:9" x14ac:dyDescent="0.3">
      <c r="B5946" s="5" t="s">
        <v>5271</v>
      </c>
      <c r="C5946" s="5" t="s">
        <v>10</v>
      </c>
      <c r="D5946" s="5" t="s">
        <v>5280</v>
      </c>
      <c r="E5946" s="5" t="s">
        <v>5281</v>
      </c>
      <c r="F5946" s="5" t="s">
        <v>3735</v>
      </c>
      <c r="G5946" s="5" t="s">
        <v>3736</v>
      </c>
      <c r="H5946" s="6">
        <v>3000</v>
      </c>
      <c r="I5946" s="5"/>
    </row>
    <row r="5947" spans="1:9" x14ac:dyDescent="0.3">
      <c r="B5947" s="5" t="s">
        <v>5271</v>
      </c>
      <c r="C5947" s="5" t="s">
        <v>10</v>
      </c>
      <c r="D5947" s="5" t="s">
        <v>5280</v>
      </c>
      <c r="E5947" s="5" t="s">
        <v>5282</v>
      </c>
      <c r="F5947" s="5" t="s">
        <v>61</v>
      </c>
      <c r="G5947" s="5" t="s">
        <v>62</v>
      </c>
      <c r="H5947" s="6">
        <v>3000</v>
      </c>
      <c r="I5947" s="5"/>
    </row>
    <row r="5948" spans="1:9" x14ac:dyDescent="0.3">
      <c r="B5948" s="5" t="s">
        <v>5271</v>
      </c>
      <c r="C5948" s="5" t="s">
        <v>10</v>
      </c>
      <c r="D5948" s="5" t="s">
        <v>5280</v>
      </c>
      <c r="E5948" s="5" t="s">
        <v>5283</v>
      </c>
      <c r="F5948" s="5" t="s">
        <v>2368</v>
      </c>
      <c r="G5948" s="5" t="s">
        <v>2369</v>
      </c>
      <c r="H5948" s="6">
        <v>100</v>
      </c>
      <c r="I5948" s="5"/>
    </row>
    <row r="5949" spans="1:9" x14ac:dyDescent="0.3">
      <c r="B5949" s="5" t="s">
        <v>5271</v>
      </c>
      <c r="C5949" s="5" t="s">
        <v>10</v>
      </c>
      <c r="D5949" s="5" t="s">
        <v>5280</v>
      </c>
      <c r="E5949" s="5" t="s">
        <v>5284</v>
      </c>
      <c r="F5949" s="5" t="s">
        <v>1643</v>
      </c>
      <c r="G5949" s="5" t="s">
        <v>1644</v>
      </c>
      <c r="H5949" s="5"/>
      <c r="I5949" s="6">
        <v>31872</v>
      </c>
    </row>
    <row r="5950" spans="1:9" x14ac:dyDescent="0.3">
      <c r="A5950" s="7" t="s">
        <v>5285</v>
      </c>
      <c r="H5950" s="8">
        <f>H5943+H5944+H5945+H5946+H5947+H5948+H5949</f>
        <v>31872</v>
      </c>
      <c r="I5950" s="8">
        <f>I5943+I5944+I5945+I5946+I5947+I5948+I5949</f>
        <v>31872</v>
      </c>
    </row>
    <row r="5951" spans="1:9" x14ac:dyDescent="0.3">
      <c r="A5951" s="4" t="s">
        <v>5286</v>
      </c>
    </row>
    <row r="5952" spans="1:9" x14ac:dyDescent="0.3">
      <c r="B5952" s="5" t="s">
        <v>5271</v>
      </c>
      <c r="C5952" s="5" t="s">
        <v>10</v>
      </c>
      <c r="D5952" s="5" t="s">
        <v>5287</v>
      </c>
      <c r="E5952" s="5" t="s">
        <v>5288</v>
      </c>
      <c r="F5952" s="5" t="s">
        <v>1643</v>
      </c>
      <c r="G5952" s="5" t="s">
        <v>1644</v>
      </c>
      <c r="H5952" s="6">
        <v>15110</v>
      </c>
      <c r="I5952" s="5"/>
    </row>
    <row r="5953" spans="1:9" x14ac:dyDescent="0.3">
      <c r="B5953" s="5" t="s">
        <v>5271</v>
      </c>
      <c r="C5953" s="5" t="s">
        <v>10</v>
      </c>
      <c r="D5953" s="5" t="s">
        <v>5287</v>
      </c>
      <c r="E5953" s="5" t="s">
        <v>5288</v>
      </c>
      <c r="F5953" s="5" t="s">
        <v>13</v>
      </c>
      <c r="G5953" s="5" t="s">
        <v>14</v>
      </c>
      <c r="H5953" s="5"/>
      <c r="I5953" s="6">
        <v>15110</v>
      </c>
    </row>
    <row r="5954" spans="1:9" x14ac:dyDescent="0.3">
      <c r="A5954" s="7" t="s">
        <v>5289</v>
      </c>
      <c r="H5954" s="8">
        <f>H5952+H5953</f>
        <v>15110</v>
      </c>
      <c r="I5954" s="8">
        <f>I5952+I5953</f>
        <v>15110</v>
      </c>
    </row>
    <row r="5955" spans="1:9" x14ac:dyDescent="0.3">
      <c r="A5955" s="4" t="s">
        <v>5290</v>
      </c>
    </row>
    <row r="5956" spans="1:9" x14ac:dyDescent="0.3">
      <c r="B5956" s="5" t="s">
        <v>5271</v>
      </c>
      <c r="C5956" s="5" t="s">
        <v>10</v>
      </c>
      <c r="D5956" s="5" t="s">
        <v>5291</v>
      </c>
      <c r="E5956" s="5" t="s">
        <v>5292</v>
      </c>
      <c r="F5956" s="5" t="s">
        <v>2602</v>
      </c>
      <c r="G5956" s="5" t="s">
        <v>2603</v>
      </c>
      <c r="H5956" s="6">
        <v>5980</v>
      </c>
      <c r="I5956" s="5"/>
    </row>
    <row r="5957" spans="1:9" x14ac:dyDescent="0.3">
      <c r="B5957" s="5" t="s">
        <v>5271</v>
      </c>
      <c r="C5957" s="5" t="s">
        <v>10</v>
      </c>
      <c r="D5957" s="5" t="s">
        <v>5291</v>
      </c>
      <c r="E5957" s="5" t="s">
        <v>5292</v>
      </c>
      <c r="F5957" s="5" t="s">
        <v>2604</v>
      </c>
      <c r="G5957" s="5" t="s">
        <v>2605</v>
      </c>
      <c r="H5957" s="6">
        <v>5980</v>
      </c>
      <c r="I5957" s="5"/>
    </row>
    <row r="5958" spans="1:9" x14ac:dyDescent="0.3">
      <c r="B5958" s="5" t="s">
        <v>5271</v>
      </c>
      <c r="C5958" s="5" t="s">
        <v>10</v>
      </c>
      <c r="D5958" s="5" t="s">
        <v>5291</v>
      </c>
      <c r="E5958" s="5" t="s">
        <v>5293</v>
      </c>
      <c r="F5958" s="5" t="s">
        <v>61</v>
      </c>
      <c r="G5958" s="5" t="s">
        <v>62</v>
      </c>
      <c r="H5958" s="6">
        <v>3000</v>
      </c>
      <c r="I5958" s="5"/>
    </row>
    <row r="5959" spans="1:9" x14ac:dyDescent="0.3">
      <c r="B5959" s="5" t="s">
        <v>5271</v>
      </c>
      <c r="C5959" s="5" t="s">
        <v>10</v>
      </c>
      <c r="D5959" s="5" t="s">
        <v>5291</v>
      </c>
      <c r="E5959" s="5" t="s">
        <v>5294</v>
      </c>
      <c r="F5959" s="5" t="s">
        <v>2368</v>
      </c>
      <c r="G5959" s="5" t="s">
        <v>2369</v>
      </c>
      <c r="H5959" s="6">
        <v>150</v>
      </c>
      <c r="I5959" s="5"/>
    </row>
    <row r="5960" spans="1:9" x14ac:dyDescent="0.3">
      <c r="B5960" s="5" t="s">
        <v>5271</v>
      </c>
      <c r="C5960" s="5" t="s">
        <v>10</v>
      </c>
      <c r="D5960" s="5" t="s">
        <v>5291</v>
      </c>
      <c r="E5960" s="5" t="s">
        <v>5295</v>
      </c>
      <c r="F5960" s="5" t="s">
        <v>1643</v>
      </c>
      <c r="G5960" s="5" t="s">
        <v>1644</v>
      </c>
      <c r="H5960" s="5"/>
      <c r="I5960" s="6">
        <v>15110</v>
      </c>
    </row>
    <row r="5961" spans="1:9" x14ac:dyDescent="0.3">
      <c r="A5961" s="7" t="s">
        <v>5296</v>
      </c>
      <c r="H5961" s="8">
        <f>H5956+H5957+H5958+H5959+H5960</f>
        <v>15110</v>
      </c>
      <c r="I5961" s="8">
        <f>I5956+I5957+I5958+I5959+I5960</f>
        <v>15110</v>
      </c>
    </row>
    <row r="5962" spans="1:9" x14ac:dyDescent="0.3">
      <c r="A5962" s="4" t="s">
        <v>5297</v>
      </c>
    </row>
    <row r="5963" spans="1:9" x14ac:dyDescent="0.3">
      <c r="B5963" s="5" t="s">
        <v>5271</v>
      </c>
      <c r="C5963" s="5" t="s">
        <v>10</v>
      </c>
      <c r="D5963" s="5" t="s">
        <v>5298</v>
      </c>
      <c r="E5963" s="5" t="s">
        <v>4554</v>
      </c>
      <c r="F5963" s="5" t="s">
        <v>113</v>
      </c>
      <c r="G5963" s="5" t="s">
        <v>114</v>
      </c>
      <c r="H5963" s="6">
        <v>1260</v>
      </c>
      <c r="I5963" s="5"/>
    </row>
    <row r="5964" spans="1:9" x14ac:dyDescent="0.3">
      <c r="B5964" s="5" t="s">
        <v>5271</v>
      </c>
      <c r="C5964" s="5" t="s">
        <v>10</v>
      </c>
      <c r="D5964" s="5" t="s">
        <v>5298</v>
      </c>
      <c r="E5964" s="5" t="s">
        <v>4554</v>
      </c>
      <c r="F5964" s="5" t="s">
        <v>1643</v>
      </c>
      <c r="G5964" s="5" t="s">
        <v>1644</v>
      </c>
      <c r="H5964" s="5"/>
      <c r="I5964" s="6">
        <v>1260</v>
      </c>
    </row>
    <row r="5965" spans="1:9" x14ac:dyDescent="0.3">
      <c r="B5965" s="5" t="s">
        <v>5271</v>
      </c>
      <c r="C5965" s="5" t="s">
        <v>10</v>
      </c>
      <c r="D5965" s="5" t="s">
        <v>5298</v>
      </c>
      <c r="E5965" s="5" t="s">
        <v>5299</v>
      </c>
      <c r="F5965" s="5" t="s">
        <v>61</v>
      </c>
      <c r="G5965" s="5" t="s">
        <v>62</v>
      </c>
      <c r="H5965" s="6">
        <v>5500</v>
      </c>
      <c r="I5965" s="5"/>
    </row>
    <row r="5966" spans="1:9" x14ac:dyDescent="0.3">
      <c r="B5966" s="5" t="s">
        <v>5271</v>
      </c>
      <c r="C5966" s="5" t="s">
        <v>10</v>
      </c>
      <c r="D5966" s="5" t="s">
        <v>5298</v>
      </c>
      <c r="E5966" s="5" t="s">
        <v>5299</v>
      </c>
      <c r="F5966" s="5" t="s">
        <v>1643</v>
      </c>
      <c r="G5966" s="5" t="s">
        <v>1644</v>
      </c>
      <c r="H5966" s="5"/>
      <c r="I5966" s="6">
        <v>5500</v>
      </c>
    </row>
    <row r="5967" spans="1:9" x14ac:dyDescent="0.3">
      <c r="A5967" s="7" t="s">
        <v>5300</v>
      </c>
      <c r="H5967" s="8">
        <f>H5963+H5964+H5965+H5966</f>
        <v>6760</v>
      </c>
      <c r="I5967" s="8">
        <f>I5963+I5964+I5965+I5966</f>
        <v>6760</v>
      </c>
    </row>
    <row r="5968" spans="1:9" x14ac:dyDescent="0.3">
      <c r="A5968" s="4" t="s">
        <v>5301</v>
      </c>
    </row>
    <row r="5969" spans="1:9" x14ac:dyDescent="0.3">
      <c r="B5969" s="5" t="s">
        <v>5271</v>
      </c>
      <c r="C5969" s="5" t="s">
        <v>10</v>
      </c>
      <c r="D5969" s="5" t="s">
        <v>5302</v>
      </c>
      <c r="E5969" s="5" t="s">
        <v>5303</v>
      </c>
      <c r="F5969" s="5" t="s">
        <v>67</v>
      </c>
      <c r="G5969" s="5" t="s">
        <v>68</v>
      </c>
      <c r="H5969" s="6">
        <v>40</v>
      </c>
      <c r="I5969" s="5"/>
    </row>
    <row r="5970" spans="1:9" x14ac:dyDescent="0.3">
      <c r="B5970" s="5" t="s">
        <v>5271</v>
      </c>
      <c r="C5970" s="5" t="s">
        <v>10</v>
      </c>
      <c r="D5970" s="5" t="s">
        <v>5302</v>
      </c>
      <c r="E5970" s="5" t="s">
        <v>5303</v>
      </c>
      <c r="F5970" s="5" t="s">
        <v>1643</v>
      </c>
      <c r="G5970" s="5" t="s">
        <v>1644</v>
      </c>
      <c r="H5970" s="5"/>
      <c r="I5970" s="6">
        <v>40</v>
      </c>
    </row>
    <row r="5971" spans="1:9" x14ac:dyDescent="0.3">
      <c r="A5971" s="7" t="s">
        <v>5304</v>
      </c>
      <c r="H5971" s="8">
        <f>H5969+H5970</f>
        <v>40</v>
      </c>
      <c r="I5971" s="8">
        <f>I5969+I5970</f>
        <v>40</v>
      </c>
    </row>
    <row r="5972" spans="1:9" x14ac:dyDescent="0.3">
      <c r="A5972" s="4" t="s">
        <v>5305</v>
      </c>
    </row>
    <row r="5973" spans="1:9" x14ac:dyDescent="0.3">
      <c r="B5973" s="5" t="s">
        <v>5271</v>
      </c>
      <c r="C5973" s="5" t="s">
        <v>10</v>
      </c>
      <c r="D5973" s="5" t="s">
        <v>5306</v>
      </c>
      <c r="E5973" s="5" t="s">
        <v>5307</v>
      </c>
      <c r="F5973" s="5" t="s">
        <v>35</v>
      </c>
      <c r="G5973" s="5" t="s">
        <v>36</v>
      </c>
      <c r="H5973" s="6">
        <v>2560</v>
      </c>
      <c r="I5973" s="5"/>
    </row>
    <row r="5974" spans="1:9" x14ac:dyDescent="0.3">
      <c r="B5974" s="5" t="s">
        <v>5271</v>
      </c>
      <c r="C5974" s="5" t="s">
        <v>10</v>
      </c>
      <c r="D5974" s="5" t="s">
        <v>5306</v>
      </c>
      <c r="E5974" s="5" t="s">
        <v>5307</v>
      </c>
      <c r="F5974" s="5" t="s">
        <v>1643</v>
      </c>
      <c r="G5974" s="5" t="s">
        <v>1644</v>
      </c>
      <c r="H5974" s="5"/>
      <c r="I5974" s="6">
        <v>2560</v>
      </c>
    </row>
    <row r="5975" spans="1:9" x14ac:dyDescent="0.3">
      <c r="A5975" s="7" t="s">
        <v>5308</v>
      </c>
      <c r="H5975" s="8">
        <f>H5973+H5974</f>
        <v>2560</v>
      </c>
      <c r="I5975" s="8">
        <f>I5973+I5974</f>
        <v>2560</v>
      </c>
    </row>
    <row r="5976" spans="1:9" x14ac:dyDescent="0.3">
      <c r="A5976" s="4" t="s">
        <v>5309</v>
      </c>
    </row>
    <row r="5977" spans="1:9" x14ac:dyDescent="0.3">
      <c r="B5977" s="5" t="s">
        <v>5271</v>
      </c>
      <c r="C5977" s="5" t="s">
        <v>2745</v>
      </c>
      <c r="D5977" s="5" t="s">
        <v>2750</v>
      </c>
      <c r="E5977" s="5" t="s">
        <v>2750</v>
      </c>
      <c r="F5977" s="5" t="s">
        <v>2748</v>
      </c>
      <c r="G5977" s="5" t="s">
        <v>2749</v>
      </c>
      <c r="H5977" s="6">
        <v>2460</v>
      </c>
      <c r="I5977" s="5"/>
    </row>
    <row r="5978" spans="1:9" x14ac:dyDescent="0.3">
      <c r="B5978" s="5" t="s">
        <v>5271</v>
      </c>
      <c r="C5978" s="5" t="s">
        <v>2745</v>
      </c>
      <c r="D5978" s="5" t="s">
        <v>2750</v>
      </c>
      <c r="E5978" s="5" t="s">
        <v>2750</v>
      </c>
      <c r="F5978" s="5" t="s">
        <v>847</v>
      </c>
      <c r="G5978" s="5" t="s">
        <v>848</v>
      </c>
      <c r="H5978" s="5"/>
      <c r="I5978" s="6">
        <v>2460</v>
      </c>
    </row>
    <row r="5979" spans="1:9" x14ac:dyDescent="0.3">
      <c r="A5979" s="7" t="s">
        <v>5310</v>
      </c>
      <c r="H5979" s="8">
        <f>H5977+H5978</f>
        <v>2460</v>
      </c>
      <c r="I5979" s="8">
        <f>I5977+I5978</f>
        <v>2460</v>
      </c>
    </row>
    <row r="5980" spans="1:9" x14ac:dyDescent="0.3">
      <c r="A5980" s="4" t="s">
        <v>5311</v>
      </c>
    </row>
    <row r="5981" spans="1:9" x14ac:dyDescent="0.3">
      <c r="B5981" s="5" t="s">
        <v>5271</v>
      </c>
      <c r="C5981" s="5" t="s">
        <v>2745</v>
      </c>
      <c r="D5981" s="5" t="s">
        <v>2750</v>
      </c>
      <c r="E5981" s="5" t="s">
        <v>2750</v>
      </c>
      <c r="F5981" s="5" t="s">
        <v>2748</v>
      </c>
      <c r="G5981" s="5" t="s">
        <v>2749</v>
      </c>
      <c r="H5981" s="6">
        <v>19350</v>
      </c>
      <c r="I5981" s="5"/>
    </row>
    <row r="5982" spans="1:9" x14ac:dyDescent="0.3">
      <c r="B5982" s="5" t="s">
        <v>5271</v>
      </c>
      <c r="C5982" s="5" t="s">
        <v>2745</v>
      </c>
      <c r="D5982" s="5" t="s">
        <v>2750</v>
      </c>
      <c r="E5982" s="5" t="s">
        <v>2750</v>
      </c>
      <c r="F5982" s="5" t="s">
        <v>847</v>
      </c>
      <c r="G5982" s="5" t="s">
        <v>848</v>
      </c>
      <c r="H5982" s="5"/>
      <c r="I5982" s="6">
        <v>19350</v>
      </c>
    </row>
    <row r="5983" spans="1:9" x14ac:dyDescent="0.3">
      <c r="A5983" s="7" t="s">
        <v>5312</v>
      </c>
      <c r="H5983" s="8">
        <f>H5981+H5982</f>
        <v>19350</v>
      </c>
      <c r="I5983" s="8">
        <f>I5981+I5982</f>
        <v>19350</v>
      </c>
    </row>
    <row r="5984" spans="1:9" x14ac:dyDescent="0.3">
      <c r="A5984" s="4" t="s">
        <v>5313</v>
      </c>
    </row>
    <row r="5985" spans="1:9" x14ac:dyDescent="0.3">
      <c r="B5985" s="5" t="s">
        <v>5271</v>
      </c>
      <c r="C5985" s="5" t="s">
        <v>2745</v>
      </c>
      <c r="D5985" s="5" t="s">
        <v>2750</v>
      </c>
      <c r="E5985" s="5" t="s">
        <v>2750</v>
      </c>
      <c r="F5985" s="5" t="s">
        <v>2748</v>
      </c>
      <c r="G5985" s="5" t="s">
        <v>2749</v>
      </c>
      <c r="H5985" s="6">
        <v>19350</v>
      </c>
      <c r="I5985" s="5"/>
    </row>
    <row r="5986" spans="1:9" x14ac:dyDescent="0.3">
      <c r="B5986" s="5" t="s">
        <v>5271</v>
      </c>
      <c r="C5986" s="5" t="s">
        <v>2745</v>
      </c>
      <c r="D5986" s="5" t="s">
        <v>2750</v>
      </c>
      <c r="E5986" s="5" t="s">
        <v>2750</v>
      </c>
      <c r="F5986" s="5" t="s">
        <v>847</v>
      </c>
      <c r="G5986" s="5" t="s">
        <v>848</v>
      </c>
      <c r="H5986" s="5"/>
      <c r="I5986" s="6">
        <v>19350</v>
      </c>
    </row>
    <row r="5987" spans="1:9" x14ac:dyDescent="0.3">
      <c r="A5987" s="7" t="s">
        <v>5314</v>
      </c>
      <c r="H5987" s="8">
        <f>H5985+H5986</f>
        <v>19350</v>
      </c>
      <c r="I5987" s="8">
        <f>I5985+I5986</f>
        <v>19350</v>
      </c>
    </row>
    <row r="5988" spans="1:9" x14ac:dyDescent="0.3">
      <c r="A5988" s="4" t="s">
        <v>5315</v>
      </c>
    </row>
    <row r="5989" spans="1:9" x14ac:dyDescent="0.3">
      <c r="B5989" s="5" t="s">
        <v>5271</v>
      </c>
      <c r="C5989" s="5" t="s">
        <v>2745</v>
      </c>
      <c r="D5989" s="5" t="s">
        <v>2750</v>
      </c>
      <c r="E5989" s="5" t="s">
        <v>2750</v>
      </c>
      <c r="F5989" s="5" t="s">
        <v>2748</v>
      </c>
      <c r="G5989" s="5" t="s">
        <v>2749</v>
      </c>
      <c r="H5989" s="6">
        <v>34800</v>
      </c>
      <c r="I5989" s="5"/>
    </row>
    <row r="5990" spans="1:9" x14ac:dyDescent="0.3">
      <c r="B5990" s="5" t="s">
        <v>5271</v>
      </c>
      <c r="C5990" s="5" t="s">
        <v>2745</v>
      </c>
      <c r="D5990" s="5" t="s">
        <v>2750</v>
      </c>
      <c r="E5990" s="5" t="s">
        <v>2750</v>
      </c>
      <c r="F5990" s="5" t="s">
        <v>847</v>
      </c>
      <c r="G5990" s="5" t="s">
        <v>848</v>
      </c>
      <c r="H5990" s="5"/>
      <c r="I5990" s="6">
        <v>34800</v>
      </c>
    </row>
    <row r="5991" spans="1:9" x14ac:dyDescent="0.3">
      <c r="A5991" s="7" t="s">
        <v>5316</v>
      </c>
      <c r="H5991" s="8">
        <f>H5989+H5990</f>
        <v>34800</v>
      </c>
      <c r="I5991" s="8">
        <f>I5989+I5990</f>
        <v>34800</v>
      </c>
    </row>
    <row r="5992" spans="1:9" x14ac:dyDescent="0.3">
      <c r="A5992" s="4" t="s">
        <v>5317</v>
      </c>
    </row>
    <row r="5993" spans="1:9" x14ac:dyDescent="0.3">
      <c r="B5993" s="5" t="s">
        <v>5271</v>
      </c>
      <c r="C5993" s="5" t="s">
        <v>2745</v>
      </c>
      <c r="D5993" s="5" t="s">
        <v>2750</v>
      </c>
      <c r="E5993" s="5" t="s">
        <v>2750</v>
      </c>
      <c r="F5993" s="5" t="s">
        <v>2748</v>
      </c>
      <c r="G5993" s="5" t="s">
        <v>2749</v>
      </c>
      <c r="H5993" s="6">
        <v>8700</v>
      </c>
      <c r="I5993" s="5"/>
    </row>
    <row r="5994" spans="1:9" x14ac:dyDescent="0.3">
      <c r="B5994" s="5" t="s">
        <v>5271</v>
      </c>
      <c r="C5994" s="5" t="s">
        <v>2745</v>
      </c>
      <c r="D5994" s="5" t="s">
        <v>2750</v>
      </c>
      <c r="E5994" s="5" t="s">
        <v>2750</v>
      </c>
      <c r="F5994" s="5" t="s">
        <v>847</v>
      </c>
      <c r="G5994" s="5" t="s">
        <v>848</v>
      </c>
      <c r="H5994" s="5"/>
      <c r="I5994" s="6">
        <v>8700</v>
      </c>
    </row>
    <row r="5995" spans="1:9" x14ac:dyDescent="0.3">
      <c r="A5995" s="7" t="s">
        <v>5318</v>
      </c>
      <c r="H5995" s="8">
        <f>H5993+H5994</f>
        <v>8700</v>
      </c>
      <c r="I5995" s="8">
        <f>I5993+I5994</f>
        <v>8700</v>
      </c>
    </row>
    <row r="5996" spans="1:9" x14ac:dyDescent="0.3">
      <c r="A5996" s="4" t="s">
        <v>5319</v>
      </c>
    </row>
    <row r="5997" spans="1:9" x14ac:dyDescent="0.3">
      <c r="B5997" s="5" t="s">
        <v>5271</v>
      </c>
      <c r="C5997" s="5" t="s">
        <v>2745</v>
      </c>
      <c r="D5997" s="5" t="s">
        <v>2750</v>
      </c>
      <c r="E5997" s="5" t="s">
        <v>2750</v>
      </c>
      <c r="F5997" s="5" t="s">
        <v>2748</v>
      </c>
      <c r="G5997" s="5" t="s">
        <v>2749</v>
      </c>
      <c r="H5997" s="6">
        <v>8300</v>
      </c>
      <c r="I5997" s="5"/>
    </row>
    <row r="5998" spans="1:9" x14ac:dyDescent="0.3">
      <c r="B5998" s="5" t="s">
        <v>5271</v>
      </c>
      <c r="C5998" s="5" t="s">
        <v>2745</v>
      </c>
      <c r="D5998" s="5" t="s">
        <v>2750</v>
      </c>
      <c r="E5998" s="5" t="s">
        <v>2750</v>
      </c>
      <c r="F5998" s="5" t="s">
        <v>847</v>
      </c>
      <c r="G5998" s="5" t="s">
        <v>848</v>
      </c>
      <c r="H5998" s="5"/>
      <c r="I5998" s="6">
        <v>8300</v>
      </c>
    </row>
    <row r="5999" spans="1:9" x14ac:dyDescent="0.3">
      <c r="A5999" s="7" t="s">
        <v>5320</v>
      </c>
      <c r="H5999" s="8">
        <f>H5997+H5998</f>
        <v>8300</v>
      </c>
      <c r="I5999" s="8">
        <f>I5997+I5998</f>
        <v>8300</v>
      </c>
    </row>
    <row r="6000" spans="1:9" x14ac:dyDescent="0.3">
      <c r="A6000" s="4" t="s">
        <v>5321</v>
      </c>
    </row>
    <row r="6001" spans="1:9" x14ac:dyDescent="0.3">
      <c r="B6001" s="5" t="s">
        <v>5271</v>
      </c>
      <c r="C6001" s="5" t="s">
        <v>2745</v>
      </c>
      <c r="D6001" s="5" t="s">
        <v>2750</v>
      </c>
      <c r="E6001" s="5" t="s">
        <v>2750</v>
      </c>
      <c r="F6001" s="5" t="s">
        <v>2748</v>
      </c>
      <c r="G6001" s="5" t="s">
        <v>2749</v>
      </c>
      <c r="H6001" s="6">
        <v>4470</v>
      </c>
      <c r="I6001" s="5"/>
    </row>
    <row r="6002" spans="1:9" x14ac:dyDescent="0.3">
      <c r="B6002" s="5" t="s">
        <v>5271</v>
      </c>
      <c r="C6002" s="5" t="s">
        <v>2745</v>
      </c>
      <c r="D6002" s="5" t="s">
        <v>2750</v>
      </c>
      <c r="E6002" s="5" t="s">
        <v>2750</v>
      </c>
      <c r="F6002" s="5" t="s">
        <v>847</v>
      </c>
      <c r="G6002" s="5" t="s">
        <v>848</v>
      </c>
      <c r="H6002" s="5"/>
      <c r="I6002" s="6">
        <v>4470</v>
      </c>
    </row>
    <row r="6003" spans="1:9" x14ac:dyDescent="0.3">
      <c r="A6003" s="7" t="s">
        <v>5322</v>
      </c>
      <c r="H6003" s="8">
        <f>H6001+H6002</f>
        <v>4470</v>
      </c>
      <c r="I6003" s="8">
        <f>I6001+I6002</f>
        <v>4470</v>
      </c>
    </row>
    <row r="6004" spans="1:9" x14ac:dyDescent="0.3">
      <c r="A6004" s="4" t="s">
        <v>5323</v>
      </c>
    </row>
    <row r="6005" spans="1:9" x14ac:dyDescent="0.3">
      <c r="B6005" s="5" t="s">
        <v>5271</v>
      </c>
      <c r="C6005" s="5" t="s">
        <v>2745</v>
      </c>
      <c r="D6005" s="5" t="s">
        <v>2750</v>
      </c>
      <c r="E6005" s="5" t="s">
        <v>2750</v>
      </c>
      <c r="F6005" s="5" t="s">
        <v>2748</v>
      </c>
      <c r="G6005" s="5" t="s">
        <v>2749</v>
      </c>
      <c r="H6005" s="6">
        <v>8040</v>
      </c>
      <c r="I6005" s="5"/>
    </row>
    <row r="6006" spans="1:9" x14ac:dyDescent="0.3">
      <c r="B6006" s="5" t="s">
        <v>5271</v>
      </c>
      <c r="C6006" s="5" t="s">
        <v>2745</v>
      </c>
      <c r="D6006" s="5" t="s">
        <v>2750</v>
      </c>
      <c r="E6006" s="5" t="s">
        <v>2750</v>
      </c>
      <c r="F6006" s="5" t="s">
        <v>847</v>
      </c>
      <c r="G6006" s="5" t="s">
        <v>848</v>
      </c>
      <c r="H6006" s="5"/>
      <c r="I6006" s="6">
        <v>8040</v>
      </c>
    </row>
    <row r="6007" spans="1:9" x14ac:dyDescent="0.3">
      <c r="A6007" s="7" t="s">
        <v>5324</v>
      </c>
      <c r="H6007" s="8">
        <f>H6005+H6006</f>
        <v>8040</v>
      </c>
      <c r="I6007" s="8">
        <f>I6005+I6006</f>
        <v>8040</v>
      </c>
    </row>
    <row r="6008" spans="1:9" x14ac:dyDescent="0.3">
      <c r="A6008" s="4" t="s">
        <v>5325</v>
      </c>
    </row>
    <row r="6009" spans="1:9" x14ac:dyDescent="0.3">
      <c r="B6009" s="5" t="s">
        <v>5271</v>
      </c>
      <c r="C6009" s="5" t="s">
        <v>2745</v>
      </c>
      <c r="D6009" s="5" t="s">
        <v>2750</v>
      </c>
      <c r="E6009" s="5" t="s">
        <v>2750</v>
      </c>
      <c r="F6009" s="5" t="s">
        <v>2748</v>
      </c>
      <c r="G6009" s="5" t="s">
        <v>2749</v>
      </c>
      <c r="H6009" s="6">
        <v>21750</v>
      </c>
      <c r="I6009" s="5"/>
    </row>
    <row r="6010" spans="1:9" x14ac:dyDescent="0.3">
      <c r="B6010" s="5" t="s">
        <v>5271</v>
      </c>
      <c r="C6010" s="5" t="s">
        <v>2745</v>
      </c>
      <c r="D6010" s="5" t="s">
        <v>2750</v>
      </c>
      <c r="E6010" s="5" t="s">
        <v>2750</v>
      </c>
      <c r="F6010" s="5" t="s">
        <v>847</v>
      </c>
      <c r="G6010" s="5" t="s">
        <v>848</v>
      </c>
      <c r="H6010" s="5"/>
      <c r="I6010" s="6">
        <v>21750</v>
      </c>
    </row>
    <row r="6011" spans="1:9" x14ac:dyDescent="0.3">
      <c r="A6011" s="7" t="s">
        <v>5326</v>
      </c>
      <c r="H6011" s="8">
        <f>H6009+H6010</f>
        <v>21750</v>
      </c>
      <c r="I6011" s="8">
        <f>I6009+I6010</f>
        <v>21750</v>
      </c>
    </row>
    <row r="6012" spans="1:9" x14ac:dyDescent="0.3">
      <c r="A6012" s="4" t="s">
        <v>5327</v>
      </c>
    </row>
    <row r="6013" spans="1:9" x14ac:dyDescent="0.3">
      <c r="B6013" s="5" t="s">
        <v>5271</v>
      </c>
      <c r="C6013" s="5" t="s">
        <v>2745</v>
      </c>
      <c r="D6013" s="5" t="s">
        <v>2750</v>
      </c>
      <c r="E6013" s="5" t="s">
        <v>2750</v>
      </c>
      <c r="F6013" s="5" t="s">
        <v>2748</v>
      </c>
      <c r="G6013" s="5" t="s">
        <v>2749</v>
      </c>
      <c r="H6013" s="6">
        <v>19333</v>
      </c>
      <c r="I6013" s="5"/>
    </row>
    <row r="6014" spans="1:9" x14ac:dyDescent="0.3">
      <c r="B6014" s="5" t="s">
        <v>5271</v>
      </c>
      <c r="C6014" s="5" t="s">
        <v>2745</v>
      </c>
      <c r="D6014" s="5" t="s">
        <v>2750</v>
      </c>
      <c r="E6014" s="5" t="s">
        <v>2750</v>
      </c>
      <c r="F6014" s="5" t="s">
        <v>847</v>
      </c>
      <c r="G6014" s="5" t="s">
        <v>848</v>
      </c>
      <c r="H6014" s="5"/>
      <c r="I6014" s="6">
        <v>19333</v>
      </c>
    </row>
    <row r="6015" spans="1:9" x14ac:dyDescent="0.3">
      <c r="A6015" s="7" t="s">
        <v>5328</v>
      </c>
      <c r="H6015" s="8">
        <f>H6013+H6014</f>
        <v>19333</v>
      </c>
      <c r="I6015" s="8">
        <f>I6013+I6014</f>
        <v>19333</v>
      </c>
    </row>
    <row r="6016" spans="1:9" x14ac:dyDescent="0.3">
      <c r="A6016" s="4" t="s">
        <v>5329</v>
      </c>
    </row>
    <row r="6017" spans="1:9" x14ac:dyDescent="0.3">
      <c r="B6017" s="5" t="s">
        <v>5271</v>
      </c>
      <c r="C6017" s="5" t="s">
        <v>2745</v>
      </c>
      <c r="D6017" s="5" t="s">
        <v>2750</v>
      </c>
      <c r="E6017" s="5" t="s">
        <v>2750</v>
      </c>
      <c r="F6017" s="5" t="s">
        <v>2748</v>
      </c>
      <c r="G6017" s="5" t="s">
        <v>2749</v>
      </c>
      <c r="H6017" s="6">
        <v>10750</v>
      </c>
      <c r="I6017" s="5"/>
    </row>
    <row r="6018" spans="1:9" x14ac:dyDescent="0.3">
      <c r="B6018" s="5" t="s">
        <v>5271</v>
      </c>
      <c r="C6018" s="5" t="s">
        <v>2745</v>
      </c>
      <c r="D6018" s="5" t="s">
        <v>2750</v>
      </c>
      <c r="E6018" s="5" t="s">
        <v>2750</v>
      </c>
      <c r="F6018" s="5" t="s">
        <v>847</v>
      </c>
      <c r="G6018" s="5" t="s">
        <v>848</v>
      </c>
      <c r="H6018" s="5"/>
      <c r="I6018" s="6">
        <v>10750</v>
      </c>
    </row>
    <row r="6019" spans="1:9" x14ac:dyDescent="0.3">
      <c r="A6019" s="7" t="s">
        <v>5330</v>
      </c>
      <c r="H6019" s="8">
        <f>H6017+H6018</f>
        <v>10750</v>
      </c>
      <c r="I6019" s="8">
        <f>I6017+I6018</f>
        <v>10750</v>
      </c>
    </row>
    <row r="6020" spans="1:9" x14ac:dyDescent="0.3">
      <c r="A6020" s="4" t="s">
        <v>5331</v>
      </c>
    </row>
    <row r="6021" spans="1:9" x14ac:dyDescent="0.3">
      <c r="B6021" s="5" t="s">
        <v>5271</v>
      </c>
      <c r="C6021" s="5" t="s">
        <v>2745</v>
      </c>
      <c r="D6021" s="5" t="s">
        <v>2750</v>
      </c>
      <c r="E6021" s="5" t="s">
        <v>2750</v>
      </c>
      <c r="F6021" s="5" t="s">
        <v>2748</v>
      </c>
      <c r="G6021" s="5" t="s">
        <v>2749</v>
      </c>
      <c r="H6021" s="6">
        <v>18125</v>
      </c>
      <c r="I6021" s="5"/>
    </row>
    <row r="6022" spans="1:9" x14ac:dyDescent="0.3">
      <c r="B6022" s="5" t="s">
        <v>5271</v>
      </c>
      <c r="C6022" s="5" t="s">
        <v>2745</v>
      </c>
      <c r="D6022" s="5" t="s">
        <v>2750</v>
      </c>
      <c r="E6022" s="5" t="s">
        <v>2750</v>
      </c>
      <c r="F6022" s="5" t="s">
        <v>847</v>
      </c>
      <c r="G6022" s="5" t="s">
        <v>848</v>
      </c>
      <c r="H6022" s="5"/>
      <c r="I6022" s="6">
        <v>18125</v>
      </c>
    </row>
    <row r="6023" spans="1:9" x14ac:dyDescent="0.3">
      <c r="A6023" s="7" t="s">
        <v>5332</v>
      </c>
      <c r="H6023" s="8">
        <f>H6021+H6022</f>
        <v>18125</v>
      </c>
      <c r="I6023" s="8">
        <f>I6021+I6022</f>
        <v>18125</v>
      </c>
    </row>
    <row r="6024" spans="1:9" x14ac:dyDescent="0.3">
      <c r="A6024" s="4" t="s">
        <v>5333</v>
      </c>
    </row>
    <row r="6025" spans="1:9" x14ac:dyDescent="0.3">
      <c r="B6025" s="5" t="s">
        <v>5271</v>
      </c>
      <c r="C6025" s="5" t="s">
        <v>2745</v>
      </c>
      <c r="D6025" s="5" t="s">
        <v>2750</v>
      </c>
      <c r="E6025" s="5" t="s">
        <v>2750</v>
      </c>
      <c r="F6025" s="5" t="s">
        <v>2748</v>
      </c>
      <c r="G6025" s="5" t="s">
        <v>2749</v>
      </c>
      <c r="H6025" s="6">
        <v>27070</v>
      </c>
      <c r="I6025" s="5"/>
    </row>
    <row r="6026" spans="1:9" x14ac:dyDescent="0.3">
      <c r="B6026" s="5" t="s">
        <v>5271</v>
      </c>
      <c r="C6026" s="5" t="s">
        <v>2745</v>
      </c>
      <c r="D6026" s="5" t="s">
        <v>2750</v>
      </c>
      <c r="E6026" s="5" t="s">
        <v>2750</v>
      </c>
      <c r="F6026" s="5" t="s">
        <v>847</v>
      </c>
      <c r="G6026" s="5" t="s">
        <v>848</v>
      </c>
      <c r="H6026" s="5"/>
      <c r="I6026" s="6">
        <v>27070</v>
      </c>
    </row>
    <row r="6027" spans="1:9" x14ac:dyDescent="0.3">
      <c r="A6027" s="7" t="s">
        <v>5334</v>
      </c>
      <c r="H6027" s="8">
        <f>H6025+H6026</f>
        <v>27070</v>
      </c>
      <c r="I6027" s="8">
        <f>I6025+I6026</f>
        <v>27070</v>
      </c>
    </row>
    <row r="6028" spans="1:9" x14ac:dyDescent="0.3">
      <c r="A6028" s="4" t="s">
        <v>5335</v>
      </c>
    </row>
    <row r="6029" spans="1:9" x14ac:dyDescent="0.3">
      <c r="B6029" s="5" t="s">
        <v>5271</v>
      </c>
      <c r="C6029" s="5" t="s">
        <v>2745</v>
      </c>
      <c r="D6029" s="5" t="s">
        <v>2750</v>
      </c>
      <c r="E6029" s="5" t="s">
        <v>2750</v>
      </c>
      <c r="F6029" s="5" t="s">
        <v>2748</v>
      </c>
      <c r="G6029" s="5" t="s">
        <v>2749</v>
      </c>
      <c r="H6029" s="6">
        <v>19670</v>
      </c>
      <c r="I6029" s="5"/>
    </row>
    <row r="6030" spans="1:9" x14ac:dyDescent="0.3">
      <c r="B6030" s="5" t="s">
        <v>5271</v>
      </c>
      <c r="C6030" s="5" t="s">
        <v>2745</v>
      </c>
      <c r="D6030" s="5" t="s">
        <v>2750</v>
      </c>
      <c r="E6030" s="5" t="s">
        <v>2750</v>
      </c>
      <c r="F6030" s="5" t="s">
        <v>847</v>
      </c>
      <c r="G6030" s="5" t="s">
        <v>848</v>
      </c>
      <c r="H6030" s="5"/>
      <c r="I6030" s="6">
        <v>19670</v>
      </c>
    </row>
    <row r="6031" spans="1:9" x14ac:dyDescent="0.3">
      <c r="A6031" s="7" t="s">
        <v>5336</v>
      </c>
      <c r="H6031" s="8">
        <f>H6029+H6030</f>
        <v>19670</v>
      </c>
      <c r="I6031" s="8">
        <f>I6029+I6030</f>
        <v>19670</v>
      </c>
    </row>
    <row r="6032" spans="1:9" x14ac:dyDescent="0.3">
      <c r="A6032" s="4" t="s">
        <v>5337</v>
      </c>
    </row>
    <row r="6033" spans="1:9" x14ac:dyDescent="0.3">
      <c r="B6033" s="5" t="s">
        <v>5271</v>
      </c>
      <c r="C6033" s="5" t="s">
        <v>2745</v>
      </c>
      <c r="D6033" s="5" t="s">
        <v>2750</v>
      </c>
      <c r="E6033" s="5" t="s">
        <v>2750</v>
      </c>
      <c r="F6033" s="5" t="s">
        <v>2748</v>
      </c>
      <c r="G6033" s="5" t="s">
        <v>2749</v>
      </c>
      <c r="H6033" s="6">
        <v>31910</v>
      </c>
      <c r="I6033" s="5"/>
    </row>
    <row r="6034" spans="1:9" x14ac:dyDescent="0.3">
      <c r="B6034" s="5" t="s">
        <v>5271</v>
      </c>
      <c r="C6034" s="5" t="s">
        <v>2745</v>
      </c>
      <c r="D6034" s="5" t="s">
        <v>2750</v>
      </c>
      <c r="E6034" s="5" t="s">
        <v>2750</v>
      </c>
      <c r="F6034" s="5" t="s">
        <v>847</v>
      </c>
      <c r="G6034" s="5" t="s">
        <v>848</v>
      </c>
      <c r="H6034" s="5"/>
      <c r="I6034" s="6">
        <v>31910</v>
      </c>
    </row>
    <row r="6035" spans="1:9" x14ac:dyDescent="0.3">
      <c r="A6035" s="7" t="s">
        <v>5338</v>
      </c>
      <c r="H6035" s="8">
        <f>H6033+H6034</f>
        <v>31910</v>
      </c>
      <c r="I6035" s="8">
        <f>I6033+I6034</f>
        <v>31910</v>
      </c>
    </row>
    <row r="6036" spans="1:9" x14ac:dyDescent="0.3">
      <c r="A6036" s="4" t="s">
        <v>5339</v>
      </c>
    </row>
    <row r="6037" spans="1:9" x14ac:dyDescent="0.3">
      <c r="B6037" s="5" t="s">
        <v>5271</v>
      </c>
      <c r="C6037" s="5" t="s">
        <v>2745</v>
      </c>
      <c r="D6037" s="5" t="s">
        <v>2750</v>
      </c>
      <c r="E6037" s="5" t="s">
        <v>2750</v>
      </c>
      <c r="F6037" s="5" t="s">
        <v>2748</v>
      </c>
      <c r="G6037" s="5" t="s">
        <v>2749</v>
      </c>
      <c r="H6037" s="6">
        <v>3866</v>
      </c>
      <c r="I6037" s="5"/>
    </row>
    <row r="6038" spans="1:9" x14ac:dyDescent="0.3">
      <c r="B6038" s="5" t="s">
        <v>5271</v>
      </c>
      <c r="C6038" s="5" t="s">
        <v>2745</v>
      </c>
      <c r="D6038" s="5" t="s">
        <v>2750</v>
      </c>
      <c r="E6038" s="5" t="s">
        <v>2750</v>
      </c>
      <c r="F6038" s="5" t="s">
        <v>847</v>
      </c>
      <c r="G6038" s="5" t="s">
        <v>848</v>
      </c>
      <c r="H6038" s="5"/>
      <c r="I6038" s="6">
        <v>3866</v>
      </c>
    </row>
    <row r="6039" spans="1:9" x14ac:dyDescent="0.3">
      <c r="A6039" s="7" t="s">
        <v>5340</v>
      </c>
      <c r="H6039" s="8">
        <f>H6037+H6038</f>
        <v>3866</v>
      </c>
      <c r="I6039" s="8">
        <f>I6037+I6038</f>
        <v>3866</v>
      </c>
    </row>
    <row r="6040" spans="1:9" x14ac:dyDescent="0.3">
      <c r="A6040" s="4" t="s">
        <v>5341</v>
      </c>
    </row>
    <row r="6041" spans="1:9" x14ac:dyDescent="0.3">
      <c r="B6041" s="5" t="s">
        <v>5271</v>
      </c>
      <c r="C6041" s="5" t="s">
        <v>2745</v>
      </c>
      <c r="D6041" s="5" t="s">
        <v>2750</v>
      </c>
      <c r="E6041" s="5" t="s">
        <v>2750</v>
      </c>
      <c r="F6041" s="5" t="s">
        <v>2748</v>
      </c>
      <c r="G6041" s="5" t="s">
        <v>2749</v>
      </c>
      <c r="H6041" s="6">
        <v>9280</v>
      </c>
      <c r="I6041" s="5"/>
    </row>
    <row r="6042" spans="1:9" x14ac:dyDescent="0.3">
      <c r="B6042" s="5" t="s">
        <v>5271</v>
      </c>
      <c r="C6042" s="5" t="s">
        <v>2745</v>
      </c>
      <c r="D6042" s="5" t="s">
        <v>2750</v>
      </c>
      <c r="E6042" s="5" t="s">
        <v>2750</v>
      </c>
      <c r="F6042" s="5" t="s">
        <v>847</v>
      </c>
      <c r="G6042" s="5" t="s">
        <v>848</v>
      </c>
      <c r="H6042" s="5"/>
      <c r="I6042" s="6">
        <v>9280</v>
      </c>
    </row>
    <row r="6043" spans="1:9" x14ac:dyDescent="0.3">
      <c r="A6043" s="7" t="s">
        <v>5342</v>
      </c>
      <c r="H6043" s="8">
        <f>H6041+H6042</f>
        <v>9280</v>
      </c>
      <c r="I6043" s="8">
        <f>I6041+I6042</f>
        <v>9280</v>
      </c>
    </row>
    <row r="6044" spans="1:9" x14ac:dyDescent="0.3">
      <c r="A6044" s="4" t="s">
        <v>5343</v>
      </c>
    </row>
    <row r="6045" spans="1:9" x14ac:dyDescent="0.3">
      <c r="B6045" s="5" t="s">
        <v>5271</v>
      </c>
      <c r="C6045" s="5" t="s">
        <v>2745</v>
      </c>
      <c r="D6045" s="5" t="s">
        <v>2750</v>
      </c>
      <c r="E6045" s="5" t="s">
        <v>2750</v>
      </c>
      <c r="F6045" s="5" t="s">
        <v>2748</v>
      </c>
      <c r="G6045" s="5" t="s">
        <v>2749</v>
      </c>
      <c r="H6045" s="6">
        <v>6766</v>
      </c>
      <c r="I6045" s="5"/>
    </row>
    <row r="6046" spans="1:9" x14ac:dyDescent="0.3">
      <c r="B6046" s="5" t="s">
        <v>5271</v>
      </c>
      <c r="C6046" s="5" t="s">
        <v>2745</v>
      </c>
      <c r="D6046" s="5" t="s">
        <v>2750</v>
      </c>
      <c r="E6046" s="5" t="s">
        <v>2750</v>
      </c>
      <c r="F6046" s="5" t="s">
        <v>847</v>
      </c>
      <c r="G6046" s="5" t="s">
        <v>848</v>
      </c>
      <c r="H6046" s="5"/>
      <c r="I6046" s="6">
        <v>6766</v>
      </c>
    </row>
    <row r="6047" spans="1:9" x14ac:dyDescent="0.3">
      <c r="A6047" s="7" t="s">
        <v>5344</v>
      </c>
      <c r="H6047" s="8">
        <f>H6045+H6046</f>
        <v>6766</v>
      </c>
      <c r="I6047" s="8">
        <f>I6045+I6046</f>
        <v>6766</v>
      </c>
    </row>
    <row r="6048" spans="1:9" x14ac:dyDescent="0.3">
      <c r="A6048" s="4" t="s">
        <v>5345</v>
      </c>
    </row>
    <row r="6049" spans="1:9" x14ac:dyDescent="0.3">
      <c r="B6049" s="5" t="s">
        <v>5271</v>
      </c>
      <c r="C6049" s="5" t="s">
        <v>2745</v>
      </c>
      <c r="D6049" s="5" t="s">
        <v>2750</v>
      </c>
      <c r="E6049" s="5" t="s">
        <v>2750</v>
      </c>
      <c r="F6049" s="5" t="s">
        <v>2748</v>
      </c>
      <c r="G6049" s="5" t="s">
        <v>2749</v>
      </c>
      <c r="H6049" s="6">
        <v>8285</v>
      </c>
      <c r="I6049" s="5"/>
    </row>
    <row r="6050" spans="1:9" x14ac:dyDescent="0.3">
      <c r="B6050" s="5" t="s">
        <v>5271</v>
      </c>
      <c r="C6050" s="5" t="s">
        <v>2745</v>
      </c>
      <c r="D6050" s="5" t="s">
        <v>2750</v>
      </c>
      <c r="E6050" s="5" t="s">
        <v>2750</v>
      </c>
      <c r="F6050" s="5" t="s">
        <v>847</v>
      </c>
      <c r="G6050" s="5" t="s">
        <v>848</v>
      </c>
      <c r="H6050" s="5"/>
      <c r="I6050" s="6">
        <v>8285</v>
      </c>
    </row>
    <row r="6051" spans="1:9" x14ac:dyDescent="0.3">
      <c r="A6051" s="7" t="s">
        <v>5346</v>
      </c>
      <c r="H6051" s="8">
        <f>H6049+H6050</f>
        <v>8285</v>
      </c>
      <c r="I6051" s="8">
        <f>I6049+I6050</f>
        <v>8285</v>
      </c>
    </row>
    <row r="6052" spans="1:9" x14ac:dyDescent="0.3">
      <c r="A6052" s="4" t="s">
        <v>5347</v>
      </c>
    </row>
    <row r="6053" spans="1:9" x14ac:dyDescent="0.3">
      <c r="B6053" s="5" t="s">
        <v>5271</v>
      </c>
      <c r="C6053" s="5" t="s">
        <v>2745</v>
      </c>
      <c r="D6053" s="5" t="s">
        <v>2750</v>
      </c>
      <c r="E6053" s="5" t="s">
        <v>2750</v>
      </c>
      <c r="F6053" s="5" t="s">
        <v>2748</v>
      </c>
      <c r="G6053" s="5" t="s">
        <v>2749</v>
      </c>
      <c r="H6053" s="6">
        <v>7733</v>
      </c>
      <c r="I6053" s="5"/>
    </row>
    <row r="6054" spans="1:9" x14ac:dyDescent="0.3">
      <c r="B6054" s="5" t="s">
        <v>5271</v>
      </c>
      <c r="C6054" s="5" t="s">
        <v>2745</v>
      </c>
      <c r="D6054" s="5" t="s">
        <v>2750</v>
      </c>
      <c r="E6054" s="5" t="s">
        <v>2750</v>
      </c>
      <c r="F6054" s="5" t="s">
        <v>847</v>
      </c>
      <c r="G6054" s="5" t="s">
        <v>848</v>
      </c>
      <c r="H6054" s="5"/>
      <c r="I6054" s="6">
        <v>7733</v>
      </c>
    </row>
    <row r="6055" spans="1:9" x14ac:dyDescent="0.3">
      <c r="A6055" s="7" t="s">
        <v>5348</v>
      </c>
      <c r="H6055" s="8">
        <f>H6053+H6054</f>
        <v>7733</v>
      </c>
      <c r="I6055" s="8">
        <f>I6053+I6054</f>
        <v>7733</v>
      </c>
    </row>
    <row r="6056" spans="1:9" x14ac:dyDescent="0.3">
      <c r="A6056" s="4" t="s">
        <v>5349</v>
      </c>
    </row>
    <row r="6057" spans="1:9" x14ac:dyDescent="0.3">
      <c r="B6057" s="5" t="s">
        <v>5271</v>
      </c>
      <c r="C6057" s="5" t="s">
        <v>2745</v>
      </c>
      <c r="D6057" s="5" t="s">
        <v>2750</v>
      </c>
      <c r="E6057" s="5" t="s">
        <v>2750</v>
      </c>
      <c r="F6057" s="5" t="s">
        <v>2748</v>
      </c>
      <c r="G6057" s="5" t="s">
        <v>2749</v>
      </c>
      <c r="H6057" s="6">
        <v>5800</v>
      </c>
      <c r="I6057" s="5"/>
    </row>
    <row r="6058" spans="1:9" x14ac:dyDescent="0.3">
      <c r="B6058" s="5" t="s">
        <v>5271</v>
      </c>
      <c r="C6058" s="5" t="s">
        <v>2745</v>
      </c>
      <c r="D6058" s="5" t="s">
        <v>2750</v>
      </c>
      <c r="E6058" s="5" t="s">
        <v>2750</v>
      </c>
      <c r="F6058" s="5" t="s">
        <v>847</v>
      </c>
      <c r="G6058" s="5" t="s">
        <v>848</v>
      </c>
      <c r="H6058" s="5"/>
      <c r="I6058" s="6">
        <v>5800</v>
      </c>
    </row>
    <row r="6059" spans="1:9" x14ac:dyDescent="0.3">
      <c r="A6059" s="7" t="s">
        <v>5350</v>
      </c>
      <c r="H6059" s="8">
        <f>H6057+H6058</f>
        <v>5800</v>
      </c>
      <c r="I6059" s="8">
        <f>I6057+I6058</f>
        <v>5800</v>
      </c>
    </row>
    <row r="6060" spans="1:9" x14ac:dyDescent="0.3">
      <c r="A6060" s="4" t="s">
        <v>5351</v>
      </c>
    </row>
    <row r="6061" spans="1:9" x14ac:dyDescent="0.3">
      <c r="B6061" s="5" t="s">
        <v>5271</v>
      </c>
      <c r="C6061" s="5" t="s">
        <v>2745</v>
      </c>
      <c r="D6061" s="5" t="s">
        <v>2750</v>
      </c>
      <c r="E6061" s="5" t="s">
        <v>2750</v>
      </c>
      <c r="F6061" s="5" t="s">
        <v>2748</v>
      </c>
      <c r="G6061" s="5" t="s">
        <v>2749</v>
      </c>
      <c r="H6061" s="6">
        <v>4833</v>
      </c>
      <c r="I6061" s="5"/>
    </row>
    <row r="6062" spans="1:9" x14ac:dyDescent="0.3">
      <c r="B6062" s="5" t="s">
        <v>5271</v>
      </c>
      <c r="C6062" s="5" t="s">
        <v>2745</v>
      </c>
      <c r="D6062" s="5" t="s">
        <v>2750</v>
      </c>
      <c r="E6062" s="5" t="s">
        <v>2750</v>
      </c>
      <c r="F6062" s="5" t="s">
        <v>847</v>
      </c>
      <c r="G6062" s="5" t="s">
        <v>848</v>
      </c>
      <c r="H6062" s="5"/>
      <c r="I6062" s="6">
        <v>4833</v>
      </c>
    </row>
    <row r="6063" spans="1:9" x14ac:dyDescent="0.3">
      <c r="A6063" s="7" t="s">
        <v>5352</v>
      </c>
      <c r="H6063" s="8">
        <f>H6061+H6062</f>
        <v>4833</v>
      </c>
      <c r="I6063" s="8">
        <f>I6061+I6062</f>
        <v>4833</v>
      </c>
    </row>
    <row r="6064" spans="1:9" x14ac:dyDescent="0.3">
      <c r="A6064" s="4" t="s">
        <v>5353</v>
      </c>
    </row>
    <row r="6065" spans="1:9" x14ac:dyDescent="0.3">
      <c r="B6065" s="5" t="s">
        <v>5271</v>
      </c>
      <c r="C6065" s="5" t="s">
        <v>2745</v>
      </c>
      <c r="D6065" s="5" t="s">
        <v>2750</v>
      </c>
      <c r="E6065" s="5" t="s">
        <v>2750</v>
      </c>
      <c r="F6065" s="5" t="s">
        <v>2748</v>
      </c>
      <c r="G6065" s="5" t="s">
        <v>2749</v>
      </c>
      <c r="H6065" s="6">
        <v>37427.29</v>
      </c>
      <c r="I6065" s="5"/>
    </row>
    <row r="6066" spans="1:9" x14ac:dyDescent="0.3">
      <c r="B6066" s="5" t="s">
        <v>5271</v>
      </c>
      <c r="C6066" s="5" t="s">
        <v>2745</v>
      </c>
      <c r="D6066" s="5" t="s">
        <v>2750</v>
      </c>
      <c r="E6066" s="5" t="s">
        <v>2750</v>
      </c>
      <c r="F6066" s="5" t="s">
        <v>847</v>
      </c>
      <c r="G6066" s="5" t="s">
        <v>848</v>
      </c>
      <c r="H6066" s="5"/>
      <c r="I6066" s="6">
        <v>37427.29</v>
      </c>
    </row>
    <row r="6067" spans="1:9" x14ac:dyDescent="0.3">
      <c r="A6067" s="7" t="s">
        <v>5354</v>
      </c>
      <c r="H6067" s="8">
        <f>H6065+H6066</f>
        <v>37427.29</v>
      </c>
      <c r="I6067" s="8">
        <f>I6065+I6066</f>
        <v>37427.29</v>
      </c>
    </row>
    <row r="6068" spans="1:9" x14ac:dyDescent="0.3">
      <c r="A6068" s="4" t="s">
        <v>5355</v>
      </c>
    </row>
    <row r="6069" spans="1:9" x14ac:dyDescent="0.3">
      <c r="B6069" s="5" t="s">
        <v>5356</v>
      </c>
      <c r="C6069" s="5" t="s">
        <v>10</v>
      </c>
      <c r="D6069" s="5" t="s">
        <v>5357</v>
      </c>
      <c r="E6069" s="5" t="s">
        <v>2498</v>
      </c>
      <c r="F6069" s="5" t="s">
        <v>61</v>
      </c>
      <c r="G6069" s="5" t="s">
        <v>62</v>
      </c>
      <c r="H6069" s="6">
        <v>450</v>
      </c>
      <c r="I6069" s="5"/>
    </row>
    <row r="6070" spans="1:9" x14ac:dyDescent="0.3">
      <c r="B6070" s="5" t="s">
        <v>5356</v>
      </c>
      <c r="C6070" s="5" t="s">
        <v>10</v>
      </c>
      <c r="D6070" s="5" t="s">
        <v>5357</v>
      </c>
      <c r="E6070" s="5" t="s">
        <v>2498</v>
      </c>
      <c r="F6070" s="5" t="s">
        <v>1643</v>
      </c>
      <c r="G6070" s="5" t="s">
        <v>1644</v>
      </c>
      <c r="H6070" s="5"/>
      <c r="I6070" s="6">
        <v>450</v>
      </c>
    </row>
    <row r="6071" spans="1:9" x14ac:dyDescent="0.3">
      <c r="A6071" s="7" t="s">
        <v>5358</v>
      </c>
      <c r="H6071" s="8">
        <f>H6069+H6070</f>
        <v>450</v>
      </c>
      <c r="I6071" s="8">
        <f>I6069+I6070</f>
        <v>450</v>
      </c>
    </row>
    <row r="6072" spans="1:9" x14ac:dyDescent="0.3">
      <c r="A6072" s="4" t="s">
        <v>5359</v>
      </c>
    </row>
    <row r="6073" spans="1:9" x14ac:dyDescent="0.3">
      <c r="B6073" s="5" t="s">
        <v>5356</v>
      </c>
      <c r="C6073" s="5" t="s">
        <v>10</v>
      </c>
      <c r="D6073" s="5" t="s">
        <v>5360</v>
      </c>
      <c r="E6073" s="5" t="s">
        <v>5361</v>
      </c>
      <c r="F6073" s="5" t="s">
        <v>67</v>
      </c>
      <c r="G6073" s="5" t="s">
        <v>68</v>
      </c>
      <c r="H6073" s="6">
        <v>40</v>
      </c>
      <c r="I6073" s="5"/>
    </row>
    <row r="6074" spans="1:9" x14ac:dyDescent="0.3">
      <c r="B6074" s="5" t="s">
        <v>5356</v>
      </c>
      <c r="C6074" s="5" t="s">
        <v>10</v>
      </c>
      <c r="D6074" s="5" t="s">
        <v>5360</v>
      </c>
      <c r="E6074" s="5" t="s">
        <v>5361</v>
      </c>
      <c r="F6074" s="5" t="s">
        <v>1643</v>
      </c>
      <c r="G6074" s="5" t="s">
        <v>1644</v>
      </c>
      <c r="H6074" s="5"/>
      <c r="I6074" s="6">
        <v>40</v>
      </c>
    </row>
    <row r="6075" spans="1:9" x14ac:dyDescent="0.3">
      <c r="B6075" s="5" t="s">
        <v>5356</v>
      </c>
      <c r="C6075" s="5" t="s">
        <v>10</v>
      </c>
      <c r="D6075" s="5" t="s">
        <v>5360</v>
      </c>
      <c r="E6075" s="5" t="s">
        <v>5362</v>
      </c>
      <c r="F6075" s="5" t="s">
        <v>4976</v>
      </c>
      <c r="G6075" s="5" t="s">
        <v>4977</v>
      </c>
      <c r="H6075" s="6">
        <v>2000</v>
      </c>
      <c r="I6075" s="5"/>
    </row>
    <row r="6076" spans="1:9" ht="21.6" x14ac:dyDescent="0.3">
      <c r="B6076" s="5" t="s">
        <v>5356</v>
      </c>
      <c r="C6076" s="5" t="s">
        <v>10</v>
      </c>
      <c r="D6076" s="5" t="s">
        <v>5360</v>
      </c>
      <c r="E6076" s="5" t="s">
        <v>5363</v>
      </c>
      <c r="F6076" s="5" t="s">
        <v>61</v>
      </c>
      <c r="G6076" s="5" t="s">
        <v>62</v>
      </c>
      <c r="H6076" s="6">
        <v>1000</v>
      </c>
      <c r="I6076" s="5"/>
    </row>
    <row r="6077" spans="1:9" x14ac:dyDescent="0.3">
      <c r="B6077" s="5" t="s">
        <v>5356</v>
      </c>
      <c r="C6077" s="5" t="s">
        <v>10</v>
      </c>
      <c r="D6077" s="5" t="s">
        <v>5360</v>
      </c>
      <c r="E6077" s="5" t="s">
        <v>5364</v>
      </c>
      <c r="F6077" s="5" t="s">
        <v>67</v>
      </c>
      <c r="G6077" s="5" t="s">
        <v>68</v>
      </c>
      <c r="H6077" s="6">
        <v>3000</v>
      </c>
      <c r="I6077" s="5"/>
    </row>
    <row r="6078" spans="1:9" ht="21.6" x14ac:dyDescent="0.3">
      <c r="B6078" s="5" t="s">
        <v>5356</v>
      </c>
      <c r="C6078" s="5" t="s">
        <v>10</v>
      </c>
      <c r="D6078" s="5" t="s">
        <v>5360</v>
      </c>
      <c r="E6078" s="5" t="s">
        <v>5365</v>
      </c>
      <c r="F6078" s="5" t="s">
        <v>1643</v>
      </c>
      <c r="G6078" s="5" t="s">
        <v>1644</v>
      </c>
      <c r="H6078" s="5"/>
      <c r="I6078" s="6">
        <v>6000</v>
      </c>
    </row>
    <row r="6079" spans="1:9" x14ac:dyDescent="0.3">
      <c r="A6079" s="7" t="s">
        <v>5366</v>
      </c>
      <c r="H6079" s="8">
        <f>H6073+H6074+H6075+H6076+H6077+H6078</f>
        <v>6040</v>
      </c>
      <c r="I6079" s="8">
        <f>I6073+I6074+I6075+I6076+I6077+I6078</f>
        <v>6040</v>
      </c>
    </row>
    <row r="6080" spans="1:9" x14ac:dyDescent="0.3">
      <c r="A6080" s="4" t="s">
        <v>5367</v>
      </c>
    </row>
    <row r="6081" spans="1:9" x14ac:dyDescent="0.3">
      <c r="B6081" s="5" t="s">
        <v>5356</v>
      </c>
      <c r="C6081" s="5" t="s">
        <v>10</v>
      </c>
      <c r="D6081" s="5" t="s">
        <v>5368</v>
      </c>
      <c r="E6081" s="5" t="s">
        <v>5369</v>
      </c>
      <c r="F6081" s="5" t="s">
        <v>176</v>
      </c>
      <c r="G6081" s="5" t="s">
        <v>177</v>
      </c>
      <c r="H6081" s="6">
        <v>6000</v>
      </c>
      <c r="I6081" s="5"/>
    </row>
    <row r="6082" spans="1:9" x14ac:dyDescent="0.3">
      <c r="B6082" s="5" t="s">
        <v>5356</v>
      </c>
      <c r="C6082" s="5" t="s">
        <v>10</v>
      </c>
      <c r="D6082" s="5" t="s">
        <v>5368</v>
      </c>
      <c r="E6082" s="5" t="s">
        <v>5369</v>
      </c>
      <c r="F6082" s="5" t="s">
        <v>1643</v>
      </c>
      <c r="G6082" s="5" t="s">
        <v>1644</v>
      </c>
      <c r="H6082" s="5"/>
      <c r="I6082" s="6">
        <v>6000</v>
      </c>
    </row>
    <row r="6083" spans="1:9" x14ac:dyDescent="0.3">
      <c r="A6083" s="7" t="s">
        <v>5370</v>
      </c>
      <c r="H6083" s="8">
        <f>H6081+H6082</f>
        <v>6000</v>
      </c>
      <c r="I6083" s="8">
        <f>I6081+I6082</f>
        <v>6000</v>
      </c>
    </row>
    <row r="6084" spans="1:9" x14ac:dyDescent="0.3">
      <c r="A6084" s="4" t="s">
        <v>5371</v>
      </c>
    </row>
    <row r="6085" spans="1:9" x14ac:dyDescent="0.3">
      <c r="B6085" s="5" t="s">
        <v>5356</v>
      </c>
      <c r="C6085" s="5" t="s">
        <v>10</v>
      </c>
      <c r="D6085" s="5" t="s">
        <v>5372</v>
      </c>
      <c r="E6085" s="5" t="s">
        <v>5373</v>
      </c>
      <c r="F6085" s="5" t="s">
        <v>13</v>
      </c>
      <c r="G6085" s="5" t="s">
        <v>14</v>
      </c>
      <c r="H6085" s="6">
        <v>925753</v>
      </c>
      <c r="I6085" s="5"/>
    </row>
    <row r="6086" spans="1:9" x14ac:dyDescent="0.3">
      <c r="B6086" s="5" t="s">
        <v>5356</v>
      </c>
      <c r="C6086" s="5" t="s">
        <v>10</v>
      </c>
      <c r="D6086" s="5" t="s">
        <v>5372</v>
      </c>
      <c r="E6086" s="5" t="s">
        <v>5373</v>
      </c>
      <c r="F6086" s="5" t="s">
        <v>3899</v>
      </c>
      <c r="G6086" s="5" t="s">
        <v>3900</v>
      </c>
      <c r="H6086" s="5"/>
      <c r="I6086" s="6">
        <v>925753</v>
      </c>
    </row>
    <row r="6087" spans="1:9" x14ac:dyDescent="0.3">
      <c r="B6087" s="5" t="s">
        <v>5356</v>
      </c>
      <c r="C6087" s="5" t="s">
        <v>10</v>
      </c>
      <c r="D6087" s="5" t="s">
        <v>5372</v>
      </c>
      <c r="E6087" s="5" t="s">
        <v>5374</v>
      </c>
      <c r="F6087" s="5" t="s">
        <v>13</v>
      </c>
      <c r="G6087" s="5" t="s">
        <v>14</v>
      </c>
      <c r="H6087" s="6">
        <v>369900</v>
      </c>
      <c r="I6087" s="5"/>
    </row>
    <row r="6088" spans="1:9" x14ac:dyDescent="0.3">
      <c r="B6088" s="5" t="s">
        <v>5356</v>
      </c>
      <c r="C6088" s="5" t="s">
        <v>10</v>
      </c>
      <c r="D6088" s="5" t="s">
        <v>5372</v>
      </c>
      <c r="E6088" s="5" t="s">
        <v>5374</v>
      </c>
      <c r="F6088" s="5" t="s">
        <v>3901</v>
      </c>
      <c r="G6088" s="5" t="s">
        <v>3902</v>
      </c>
      <c r="H6088" s="5"/>
      <c r="I6088" s="6">
        <v>369900</v>
      </c>
    </row>
    <row r="6089" spans="1:9" x14ac:dyDescent="0.3">
      <c r="B6089" s="5" t="s">
        <v>5356</v>
      </c>
      <c r="C6089" s="5" t="s">
        <v>10</v>
      </c>
      <c r="D6089" s="5" t="s">
        <v>5372</v>
      </c>
      <c r="E6089" s="5" t="s">
        <v>5375</v>
      </c>
      <c r="F6089" s="5" t="s">
        <v>831</v>
      </c>
      <c r="G6089" s="5" t="s">
        <v>832</v>
      </c>
      <c r="H6089" s="6">
        <v>100000</v>
      </c>
      <c r="I6089" s="5"/>
    </row>
    <row r="6090" spans="1:9" x14ac:dyDescent="0.3">
      <c r="B6090" s="5" t="s">
        <v>5356</v>
      </c>
      <c r="C6090" s="5" t="s">
        <v>10</v>
      </c>
      <c r="D6090" s="5" t="s">
        <v>5372</v>
      </c>
      <c r="E6090" s="5" t="s">
        <v>5376</v>
      </c>
      <c r="F6090" s="5" t="s">
        <v>831</v>
      </c>
      <c r="G6090" s="5" t="s">
        <v>832</v>
      </c>
      <c r="H6090" s="6">
        <v>100000</v>
      </c>
      <c r="I6090" s="5"/>
    </row>
    <row r="6091" spans="1:9" x14ac:dyDescent="0.3">
      <c r="B6091" s="5" t="s">
        <v>5356</v>
      </c>
      <c r="C6091" s="5" t="s">
        <v>10</v>
      </c>
      <c r="D6091" s="5" t="s">
        <v>5372</v>
      </c>
      <c r="E6091" s="5" t="s">
        <v>5377</v>
      </c>
      <c r="F6091" s="5" t="s">
        <v>831</v>
      </c>
      <c r="G6091" s="5" t="s">
        <v>832</v>
      </c>
      <c r="H6091" s="6">
        <v>70000</v>
      </c>
      <c r="I6091" s="5"/>
    </row>
    <row r="6092" spans="1:9" x14ac:dyDescent="0.3">
      <c r="B6092" s="5" t="s">
        <v>5356</v>
      </c>
      <c r="C6092" s="5" t="s">
        <v>10</v>
      </c>
      <c r="D6092" s="5" t="s">
        <v>5372</v>
      </c>
      <c r="E6092" s="5" t="s">
        <v>5378</v>
      </c>
      <c r="F6092" s="5" t="s">
        <v>831</v>
      </c>
      <c r="G6092" s="5" t="s">
        <v>832</v>
      </c>
      <c r="H6092" s="6">
        <v>1000000</v>
      </c>
      <c r="I6092" s="5"/>
    </row>
    <row r="6093" spans="1:9" x14ac:dyDescent="0.3">
      <c r="B6093" s="5" t="s">
        <v>5356</v>
      </c>
      <c r="C6093" s="5" t="s">
        <v>10</v>
      </c>
      <c r="D6093" s="5" t="s">
        <v>5372</v>
      </c>
      <c r="E6093" s="5" t="s">
        <v>5379</v>
      </c>
      <c r="F6093" s="5" t="s">
        <v>3901</v>
      </c>
      <c r="G6093" s="5" t="s">
        <v>3902</v>
      </c>
      <c r="H6093" s="5"/>
      <c r="I6093" s="6">
        <v>1270000</v>
      </c>
    </row>
    <row r="6094" spans="1:9" x14ac:dyDescent="0.3">
      <c r="A6094" s="7" t="s">
        <v>5380</v>
      </c>
      <c r="H6094" s="8">
        <f>H6085+H6086+H6087+H6088+H6089+H6090+H6091+H6092+H6093</f>
        <v>2565653</v>
      </c>
      <c r="I6094" s="8">
        <f>I6085+I6086+I6087+I6088+I6089+I6090+I6091+I6092+I6093</f>
        <v>2565653</v>
      </c>
    </row>
    <row r="6095" spans="1:9" x14ac:dyDescent="0.3">
      <c r="A6095" s="4" t="s">
        <v>5381</v>
      </c>
    </row>
    <row r="6096" spans="1:9" x14ac:dyDescent="0.3">
      <c r="B6096" s="5" t="s">
        <v>5356</v>
      </c>
      <c r="C6096" s="5" t="s">
        <v>10</v>
      </c>
      <c r="D6096" s="5" t="s">
        <v>5382</v>
      </c>
      <c r="E6096" s="5" t="s">
        <v>5383</v>
      </c>
      <c r="F6096" s="5" t="s">
        <v>831</v>
      </c>
      <c r="G6096" s="5" t="s">
        <v>832</v>
      </c>
      <c r="H6096" s="6">
        <v>350000</v>
      </c>
      <c r="I6096" s="5"/>
    </row>
    <row r="6097" spans="1:9" x14ac:dyDescent="0.3">
      <c r="B6097" s="5" t="s">
        <v>5356</v>
      </c>
      <c r="C6097" s="5" t="s">
        <v>10</v>
      </c>
      <c r="D6097" s="5" t="s">
        <v>5382</v>
      </c>
      <c r="E6097" s="5" t="s">
        <v>5384</v>
      </c>
      <c r="F6097" s="5" t="s">
        <v>831</v>
      </c>
      <c r="G6097" s="5" t="s">
        <v>832</v>
      </c>
      <c r="H6097" s="6">
        <v>90000</v>
      </c>
      <c r="I6097" s="5"/>
    </row>
    <row r="6098" spans="1:9" x14ac:dyDescent="0.3">
      <c r="B6098" s="5" t="s">
        <v>5356</v>
      </c>
      <c r="C6098" s="5" t="s">
        <v>10</v>
      </c>
      <c r="D6098" s="5" t="s">
        <v>5382</v>
      </c>
      <c r="E6098" s="5" t="s">
        <v>5385</v>
      </c>
      <c r="F6098" s="5" t="s">
        <v>831</v>
      </c>
      <c r="G6098" s="5" t="s">
        <v>832</v>
      </c>
      <c r="H6098" s="6">
        <v>70000</v>
      </c>
      <c r="I6098" s="5"/>
    </row>
    <row r="6099" spans="1:9" x14ac:dyDescent="0.3">
      <c r="B6099" s="5" t="s">
        <v>5356</v>
      </c>
      <c r="C6099" s="5" t="s">
        <v>10</v>
      </c>
      <c r="D6099" s="5" t="s">
        <v>5382</v>
      </c>
      <c r="E6099" s="5" t="s">
        <v>5386</v>
      </c>
      <c r="F6099" s="5" t="s">
        <v>3899</v>
      </c>
      <c r="G6099" s="5" t="s">
        <v>3900</v>
      </c>
      <c r="H6099" s="5"/>
      <c r="I6099" s="6">
        <v>510000</v>
      </c>
    </row>
    <row r="6100" spans="1:9" x14ac:dyDescent="0.3">
      <c r="A6100" s="7" t="s">
        <v>5387</v>
      </c>
      <c r="H6100" s="8">
        <f>H6096+H6097+H6098+H6099</f>
        <v>510000</v>
      </c>
      <c r="I6100" s="8">
        <f>I6096+I6097+I6098+I6099</f>
        <v>510000</v>
      </c>
    </row>
    <row r="6101" spans="1:9" x14ac:dyDescent="0.3">
      <c r="A6101" s="4" t="s">
        <v>5388</v>
      </c>
    </row>
    <row r="6102" spans="1:9" x14ac:dyDescent="0.3">
      <c r="B6102" s="5" t="s">
        <v>5356</v>
      </c>
      <c r="C6102" s="5" t="s">
        <v>844</v>
      </c>
      <c r="D6102" s="5" t="s">
        <v>5389</v>
      </c>
      <c r="E6102" s="5" t="s">
        <v>2750</v>
      </c>
      <c r="F6102" s="5" t="s">
        <v>847</v>
      </c>
      <c r="G6102" s="5" t="s">
        <v>848</v>
      </c>
      <c r="H6102" s="6">
        <v>120000</v>
      </c>
      <c r="I6102" s="5"/>
    </row>
    <row r="6103" spans="1:9" x14ac:dyDescent="0.3">
      <c r="B6103" s="5" t="s">
        <v>5356</v>
      </c>
      <c r="C6103" s="5" t="s">
        <v>844</v>
      </c>
      <c r="D6103" s="5" t="s">
        <v>5389</v>
      </c>
      <c r="E6103" s="5" t="s">
        <v>2987</v>
      </c>
      <c r="F6103" s="5" t="s">
        <v>831</v>
      </c>
      <c r="G6103" s="5" t="s">
        <v>832</v>
      </c>
      <c r="H6103" s="5"/>
      <c r="I6103" s="6">
        <v>100000</v>
      </c>
    </row>
    <row r="6104" spans="1:9" x14ac:dyDescent="0.3">
      <c r="B6104" s="5" t="s">
        <v>5356</v>
      </c>
      <c r="C6104" s="5" t="s">
        <v>844</v>
      </c>
      <c r="D6104" s="5" t="s">
        <v>5389</v>
      </c>
      <c r="E6104" s="5" t="s">
        <v>1993</v>
      </c>
      <c r="F6104" s="5" t="s">
        <v>867</v>
      </c>
      <c r="G6104" s="5" t="s">
        <v>868</v>
      </c>
      <c r="H6104" s="5"/>
      <c r="I6104" s="6">
        <v>20000</v>
      </c>
    </row>
    <row r="6105" spans="1:9" x14ac:dyDescent="0.3">
      <c r="A6105" s="7" t="s">
        <v>5390</v>
      </c>
      <c r="H6105" s="8">
        <f>H6102+H6103+H6104</f>
        <v>120000</v>
      </c>
      <c r="I6105" s="8">
        <f>I6102+I6103+I6104</f>
        <v>120000</v>
      </c>
    </row>
    <row r="6106" spans="1:9" x14ac:dyDescent="0.3">
      <c r="A6106" s="4" t="s">
        <v>5391</v>
      </c>
    </row>
    <row r="6107" spans="1:9" x14ac:dyDescent="0.3">
      <c r="B6107" s="5" t="s">
        <v>5356</v>
      </c>
      <c r="C6107" s="5" t="s">
        <v>844</v>
      </c>
      <c r="D6107" s="5" t="s">
        <v>5392</v>
      </c>
      <c r="E6107" s="5" t="s">
        <v>2750</v>
      </c>
      <c r="F6107" s="5" t="s">
        <v>847</v>
      </c>
      <c r="G6107" s="5" t="s">
        <v>848</v>
      </c>
      <c r="H6107" s="6">
        <v>120000</v>
      </c>
      <c r="I6107" s="5"/>
    </row>
    <row r="6108" spans="1:9" x14ac:dyDescent="0.3">
      <c r="B6108" s="5" t="s">
        <v>5356</v>
      </c>
      <c r="C6108" s="5" t="s">
        <v>844</v>
      </c>
      <c r="D6108" s="5" t="s">
        <v>5392</v>
      </c>
      <c r="E6108" s="5" t="s">
        <v>2987</v>
      </c>
      <c r="F6108" s="5" t="s">
        <v>831</v>
      </c>
      <c r="G6108" s="5" t="s">
        <v>832</v>
      </c>
      <c r="H6108" s="5"/>
      <c r="I6108" s="6">
        <v>100000</v>
      </c>
    </row>
    <row r="6109" spans="1:9" x14ac:dyDescent="0.3">
      <c r="B6109" s="5" t="s">
        <v>5356</v>
      </c>
      <c r="C6109" s="5" t="s">
        <v>844</v>
      </c>
      <c r="D6109" s="5" t="s">
        <v>5392</v>
      </c>
      <c r="E6109" s="5" t="s">
        <v>1993</v>
      </c>
      <c r="F6109" s="5" t="s">
        <v>867</v>
      </c>
      <c r="G6109" s="5" t="s">
        <v>868</v>
      </c>
      <c r="H6109" s="5"/>
      <c r="I6109" s="6">
        <v>20000</v>
      </c>
    </row>
    <row r="6110" spans="1:9" x14ac:dyDescent="0.3">
      <c r="A6110" s="7" t="s">
        <v>5393</v>
      </c>
      <c r="H6110" s="8">
        <f>H6107+H6108+H6109</f>
        <v>120000</v>
      </c>
      <c r="I6110" s="8">
        <f>I6107+I6108+I6109</f>
        <v>120000</v>
      </c>
    </row>
    <row r="6111" spans="1:9" x14ac:dyDescent="0.3">
      <c r="A6111" s="4" t="s">
        <v>5394</v>
      </c>
    </row>
    <row r="6112" spans="1:9" x14ac:dyDescent="0.3">
      <c r="B6112" s="5" t="s">
        <v>5356</v>
      </c>
      <c r="C6112" s="5" t="s">
        <v>844</v>
      </c>
      <c r="D6112" s="5" t="s">
        <v>5395</v>
      </c>
      <c r="E6112" s="5" t="s">
        <v>2750</v>
      </c>
      <c r="F6112" s="5" t="s">
        <v>847</v>
      </c>
      <c r="G6112" s="5" t="s">
        <v>848</v>
      </c>
      <c r="H6112" s="6">
        <v>84000</v>
      </c>
      <c r="I6112" s="5"/>
    </row>
    <row r="6113" spans="1:9" x14ac:dyDescent="0.3">
      <c r="B6113" s="5" t="s">
        <v>5356</v>
      </c>
      <c r="C6113" s="5" t="s">
        <v>844</v>
      </c>
      <c r="D6113" s="5" t="s">
        <v>5395</v>
      </c>
      <c r="E6113" s="5" t="s">
        <v>2987</v>
      </c>
      <c r="F6113" s="5" t="s">
        <v>831</v>
      </c>
      <c r="G6113" s="5" t="s">
        <v>832</v>
      </c>
      <c r="H6113" s="5"/>
      <c r="I6113" s="6">
        <v>70000</v>
      </c>
    </row>
    <row r="6114" spans="1:9" x14ac:dyDescent="0.3">
      <c r="B6114" s="5" t="s">
        <v>5356</v>
      </c>
      <c r="C6114" s="5" t="s">
        <v>844</v>
      </c>
      <c r="D6114" s="5" t="s">
        <v>5395</v>
      </c>
      <c r="E6114" s="5" t="s">
        <v>1993</v>
      </c>
      <c r="F6114" s="5" t="s">
        <v>867</v>
      </c>
      <c r="G6114" s="5" t="s">
        <v>868</v>
      </c>
      <c r="H6114" s="5"/>
      <c r="I6114" s="6">
        <v>14000</v>
      </c>
    </row>
    <row r="6115" spans="1:9" x14ac:dyDescent="0.3">
      <c r="A6115" s="7" t="s">
        <v>5396</v>
      </c>
      <c r="H6115" s="8">
        <f>H6112+H6113+H6114</f>
        <v>84000</v>
      </c>
      <c r="I6115" s="8">
        <f>I6112+I6113+I6114</f>
        <v>84000</v>
      </c>
    </row>
    <row r="6116" spans="1:9" x14ac:dyDescent="0.3">
      <c r="A6116" s="4" t="s">
        <v>5397</v>
      </c>
    </row>
    <row r="6117" spans="1:9" x14ac:dyDescent="0.3">
      <c r="B6117" s="5" t="s">
        <v>5356</v>
      </c>
      <c r="C6117" s="5" t="s">
        <v>844</v>
      </c>
      <c r="D6117" s="5" t="s">
        <v>5398</v>
      </c>
      <c r="E6117" s="5" t="s">
        <v>2750</v>
      </c>
      <c r="F6117" s="5" t="s">
        <v>847</v>
      </c>
      <c r="G6117" s="5" t="s">
        <v>848</v>
      </c>
      <c r="H6117" s="6">
        <v>1240000</v>
      </c>
      <c r="I6117" s="5"/>
    </row>
    <row r="6118" spans="1:9" x14ac:dyDescent="0.3">
      <c r="B6118" s="5" t="s">
        <v>5356</v>
      </c>
      <c r="C6118" s="5" t="s">
        <v>844</v>
      </c>
      <c r="D6118" s="5" t="s">
        <v>5398</v>
      </c>
      <c r="E6118" s="5" t="s">
        <v>2987</v>
      </c>
      <c r="F6118" s="5" t="s">
        <v>831</v>
      </c>
      <c r="G6118" s="5" t="s">
        <v>832</v>
      </c>
      <c r="H6118" s="5"/>
      <c r="I6118" s="6">
        <v>1000000</v>
      </c>
    </row>
    <row r="6119" spans="1:9" x14ac:dyDescent="0.3">
      <c r="B6119" s="5" t="s">
        <v>5356</v>
      </c>
      <c r="C6119" s="5" t="s">
        <v>844</v>
      </c>
      <c r="D6119" s="5" t="s">
        <v>5398</v>
      </c>
      <c r="E6119" s="5" t="s">
        <v>1993</v>
      </c>
      <c r="F6119" s="5" t="s">
        <v>867</v>
      </c>
      <c r="G6119" s="5" t="s">
        <v>868</v>
      </c>
      <c r="H6119" s="5"/>
      <c r="I6119" s="6">
        <v>240000</v>
      </c>
    </row>
    <row r="6120" spans="1:9" x14ac:dyDescent="0.3">
      <c r="A6120" s="7" t="s">
        <v>5399</v>
      </c>
      <c r="H6120" s="8">
        <f>H6117+H6118+H6119</f>
        <v>1240000</v>
      </c>
      <c r="I6120" s="8">
        <f>I6117+I6118+I6119</f>
        <v>1240000</v>
      </c>
    </row>
    <row r="6121" spans="1:9" x14ac:dyDescent="0.3">
      <c r="A6121" s="4" t="s">
        <v>5400</v>
      </c>
    </row>
    <row r="6122" spans="1:9" x14ac:dyDescent="0.3">
      <c r="B6122" s="5" t="s">
        <v>5356</v>
      </c>
      <c r="C6122" s="5" t="s">
        <v>844</v>
      </c>
      <c r="D6122" s="5" t="s">
        <v>5401</v>
      </c>
      <c r="E6122" s="5" t="s">
        <v>2750</v>
      </c>
      <c r="F6122" s="5" t="s">
        <v>847</v>
      </c>
      <c r="G6122" s="5" t="s">
        <v>848</v>
      </c>
      <c r="H6122" s="6">
        <v>443333</v>
      </c>
      <c r="I6122" s="5"/>
    </row>
    <row r="6123" spans="1:9" x14ac:dyDescent="0.3">
      <c r="B6123" s="5" t="s">
        <v>5356</v>
      </c>
      <c r="C6123" s="5" t="s">
        <v>844</v>
      </c>
      <c r="D6123" s="5" t="s">
        <v>5401</v>
      </c>
      <c r="E6123" s="5" t="s">
        <v>2987</v>
      </c>
      <c r="F6123" s="5" t="s">
        <v>831</v>
      </c>
      <c r="G6123" s="5" t="s">
        <v>832</v>
      </c>
      <c r="H6123" s="5"/>
      <c r="I6123" s="6">
        <v>350000</v>
      </c>
    </row>
    <row r="6124" spans="1:9" x14ac:dyDescent="0.3">
      <c r="B6124" s="5" t="s">
        <v>5356</v>
      </c>
      <c r="C6124" s="5" t="s">
        <v>844</v>
      </c>
      <c r="D6124" s="5" t="s">
        <v>5401</v>
      </c>
      <c r="E6124" s="5" t="s">
        <v>1993</v>
      </c>
      <c r="F6124" s="5" t="s">
        <v>867</v>
      </c>
      <c r="G6124" s="5" t="s">
        <v>868</v>
      </c>
      <c r="H6124" s="5"/>
      <c r="I6124" s="6">
        <v>93333</v>
      </c>
    </row>
    <row r="6125" spans="1:9" x14ac:dyDescent="0.3">
      <c r="A6125" s="7" t="s">
        <v>5402</v>
      </c>
      <c r="H6125" s="8">
        <f>H6122+H6123+H6124</f>
        <v>443333</v>
      </c>
      <c r="I6125" s="8">
        <f>I6122+I6123+I6124</f>
        <v>443333</v>
      </c>
    </row>
    <row r="6126" spans="1:9" x14ac:dyDescent="0.3">
      <c r="A6126" s="4" t="s">
        <v>5403</v>
      </c>
    </row>
    <row r="6127" spans="1:9" x14ac:dyDescent="0.3">
      <c r="B6127" s="5" t="s">
        <v>5356</v>
      </c>
      <c r="C6127" s="5" t="s">
        <v>844</v>
      </c>
      <c r="D6127" s="5" t="s">
        <v>5404</v>
      </c>
      <c r="E6127" s="5" t="s">
        <v>2750</v>
      </c>
      <c r="F6127" s="5" t="s">
        <v>847</v>
      </c>
      <c r="G6127" s="5" t="s">
        <v>848</v>
      </c>
      <c r="H6127" s="6">
        <v>111600</v>
      </c>
      <c r="I6127" s="5"/>
    </row>
    <row r="6128" spans="1:9" x14ac:dyDescent="0.3">
      <c r="B6128" s="5" t="s">
        <v>5356</v>
      </c>
      <c r="C6128" s="5" t="s">
        <v>844</v>
      </c>
      <c r="D6128" s="5" t="s">
        <v>5404</v>
      </c>
      <c r="E6128" s="5" t="s">
        <v>2987</v>
      </c>
      <c r="F6128" s="5" t="s">
        <v>831</v>
      </c>
      <c r="G6128" s="5" t="s">
        <v>832</v>
      </c>
      <c r="H6128" s="5"/>
      <c r="I6128" s="6">
        <v>90000</v>
      </c>
    </row>
    <row r="6129" spans="1:9" x14ac:dyDescent="0.3">
      <c r="B6129" s="5" t="s">
        <v>5356</v>
      </c>
      <c r="C6129" s="5" t="s">
        <v>844</v>
      </c>
      <c r="D6129" s="5" t="s">
        <v>5404</v>
      </c>
      <c r="E6129" s="5" t="s">
        <v>1993</v>
      </c>
      <c r="F6129" s="5" t="s">
        <v>867</v>
      </c>
      <c r="G6129" s="5" t="s">
        <v>868</v>
      </c>
      <c r="H6129" s="5"/>
      <c r="I6129" s="6">
        <v>21600</v>
      </c>
    </row>
    <row r="6130" spans="1:9" x14ac:dyDescent="0.3">
      <c r="A6130" s="7" t="s">
        <v>5405</v>
      </c>
      <c r="H6130" s="8">
        <f>H6127+H6128+H6129</f>
        <v>111600</v>
      </c>
      <c r="I6130" s="8">
        <f>I6127+I6128+I6129</f>
        <v>111600</v>
      </c>
    </row>
    <row r="6131" spans="1:9" x14ac:dyDescent="0.3">
      <c r="A6131" s="4" t="s">
        <v>5406</v>
      </c>
    </row>
    <row r="6132" spans="1:9" x14ac:dyDescent="0.3">
      <c r="B6132" s="5" t="s">
        <v>5356</v>
      </c>
      <c r="C6132" s="5" t="s">
        <v>844</v>
      </c>
      <c r="D6132" s="5" t="s">
        <v>5407</v>
      </c>
      <c r="E6132" s="5" t="s">
        <v>2750</v>
      </c>
      <c r="F6132" s="5" t="s">
        <v>847</v>
      </c>
      <c r="G6132" s="5" t="s">
        <v>848</v>
      </c>
      <c r="H6132" s="6">
        <v>84933</v>
      </c>
      <c r="I6132" s="5"/>
    </row>
    <row r="6133" spans="1:9" x14ac:dyDescent="0.3">
      <c r="B6133" s="5" t="s">
        <v>5356</v>
      </c>
      <c r="C6133" s="5" t="s">
        <v>844</v>
      </c>
      <c r="D6133" s="5" t="s">
        <v>5407</v>
      </c>
      <c r="E6133" s="5" t="s">
        <v>2987</v>
      </c>
      <c r="F6133" s="5" t="s">
        <v>831</v>
      </c>
      <c r="G6133" s="5" t="s">
        <v>832</v>
      </c>
      <c r="H6133" s="5"/>
      <c r="I6133" s="6">
        <v>70000</v>
      </c>
    </row>
    <row r="6134" spans="1:9" x14ac:dyDescent="0.3">
      <c r="B6134" s="5" t="s">
        <v>5356</v>
      </c>
      <c r="C6134" s="5" t="s">
        <v>844</v>
      </c>
      <c r="D6134" s="5" t="s">
        <v>5407</v>
      </c>
      <c r="E6134" s="5" t="s">
        <v>1993</v>
      </c>
      <c r="F6134" s="5" t="s">
        <v>867</v>
      </c>
      <c r="G6134" s="5" t="s">
        <v>868</v>
      </c>
      <c r="H6134" s="5"/>
      <c r="I6134" s="6">
        <v>14933</v>
      </c>
    </row>
    <row r="6135" spans="1:9" x14ac:dyDescent="0.3">
      <c r="A6135" s="7" t="s">
        <v>5408</v>
      </c>
      <c r="H6135" s="8">
        <f>H6132+H6133+H6134</f>
        <v>84933</v>
      </c>
      <c r="I6135" s="8">
        <f>I6132+I6133+I6134</f>
        <v>84933</v>
      </c>
    </row>
    <row r="6136" spans="1:9" x14ac:dyDescent="0.3">
      <c r="A6136" s="4" t="s">
        <v>5409</v>
      </c>
    </row>
    <row r="6137" spans="1:9" x14ac:dyDescent="0.3">
      <c r="B6137" s="5" t="s">
        <v>5356</v>
      </c>
      <c r="C6137" s="5" t="s">
        <v>2745</v>
      </c>
      <c r="D6137" s="5" t="s">
        <v>2750</v>
      </c>
      <c r="E6137" s="5" t="s">
        <v>2750</v>
      </c>
      <c r="F6137" s="5" t="s">
        <v>2748</v>
      </c>
      <c r="G6137" s="5" t="s">
        <v>2749</v>
      </c>
      <c r="H6137" s="6">
        <v>37427.29</v>
      </c>
      <c r="I6137" s="5"/>
    </row>
    <row r="6138" spans="1:9" x14ac:dyDescent="0.3">
      <c r="B6138" s="5" t="s">
        <v>5356</v>
      </c>
      <c r="C6138" s="5" t="s">
        <v>2745</v>
      </c>
      <c r="D6138" s="5" t="s">
        <v>2750</v>
      </c>
      <c r="E6138" s="5" t="s">
        <v>2750</v>
      </c>
      <c r="F6138" s="5" t="s">
        <v>847</v>
      </c>
      <c r="G6138" s="5" t="s">
        <v>848</v>
      </c>
      <c r="H6138" s="5"/>
      <c r="I6138" s="6">
        <v>37427.29</v>
      </c>
    </row>
    <row r="6139" spans="1:9" x14ac:dyDescent="0.3">
      <c r="A6139" s="7" t="s">
        <v>5410</v>
      </c>
      <c r="H6139" s="8">
        <f>H6137+H6138</f>
        <v>37427.29</v>
      </c>
      <c r="I6139" s="8">
        <f>I6137+I6138</f>
        <v>37427.29</v>
      </c>
    </row>
    <row r="6140" spans="1:9" x14ac:dyDescent="0.3">
      <c r="A6140" s="4" t="s">
        <v>5411</v>
      </c>
    </row>
    <row r="6141" spans="1:9" x14ac:dyDescent="0.3">
      <c r="B6141" s="5" t="s">
        <v>5356</v>
      </c>
      <c r="C6141" s="5" t="s">
        <v>2745</v>
      </c>
      <c r="D6141" s="5" t="s">
        <v>2750</v>
      </c>
      <c r="E6141" s="5" t="s">
        <v>2750</v>
      </c>
      <c r="F6141" s="5" t="s">
        <v>2748</v>
      </c>
      <c r="G6141" s="5" t="s">
        <v>2749</v>
      </c>
      <c r="H6141" s="6">
        <v>39617.65</v>
      </c>
      <c r="I6141" s="5"/>
    </row>
    <row r="6142" spans="1:9" x14ac:dyDescent="0.3">
      <c r="B6142" s="5" t="s">
        <v>5356</v>
      </c>
      <c r="C6142" s="5" t="s">
        <v>2745</v>
      </c>
      <c r="D6142" s="5" t="s">
        <v>2750</v>
      </c>
      <c r="E6142" s="5" t="s">
        <v>2750</v>
      </c>
      <c r="F6142" s="5" t="s">
        <v>847</v>
      </c>
      <c r="G6142" s="5" t="s">
        <v>848</v>
      </c>
      <c r="H6142" s="5"/>
      <c r="I6142" s="6">
        <v>39617.65</v>
      </c>
    </row>
    <row r="6143" spans="1:9" x14ac:dyDescent="0.3">
      <c r="A6143" s="7" t="s">
        <v>5412</v>
      </c>
      <c r="H6143" s="8">
        <f>H6141+H6142</f>
        <v>39617.65</v>
      </c>
      <c r="I6143" s="8">
        <f>I6141+I6142</f>
        <v>39617.65</v>
      </c>
    </row>
    <row r="6144" spans="1:9" x14ac:dyDescent="0.3">
      <c r="A6144" s="4" t="s">
        <v>5413</v>
      </c>
    </row>
    <row r="6145" spans="1:9" x14ac:dyDescent="0.3">
      <c r="B6145" s="5" t="s">
        <v>5356</v>
      </c>
      <c r="C6145" s="5" t="s">
        <v>2745</v>
      </c>
      <c r="D6145" s="5" t="s">
        <v>2750</v>
      </c>
      <c r="E6145" s="5" t="s">
        <v>2750</v>
      </c>
      <c r="F6145" s="5" t="s">
        <v>2748</v>
      </c>
      <c r="G6145" s="5" t="s">
        <v>2749</v>
      </c>
      <c r="H6145" s="6">
        <v>37427.300000000003</v>
      </c>
      <c r="I6145" s="5"/>
    </row>
    <row r="6146" spans="1:9" x14ac:dyDescent="0.3">
      <c r="B6146" s="5" t="s">
        <v>5356</v>
      </c>
      <c r="C6146" s="5" t="s">
        <v>2745</v>
      </c>
      <c r="D6146" s="5" t="s">
        <v>2750</v>
      </c>
      <c r="E6146" s="5" t="s">
        <v>2750</v>
      </c>
      <c r="F6146" s="5" t="s">
        <v>847</v>
      </c>
      <c r="G6146" s="5" t="s">
        <v>848</v>
      </c>
      <c r="H6146" s="5"/>
      <c r="I6146" s="6">
        <v>37427.300000000003</v>
      </c>
    </row>
    <row r="6147" spans="1:9" x14ac:dyDescent="0.3">
      <c r="A6147" s="7" t="s">
        <v>5414</v>
      </c>
      <c r="H6147" s="8">
        <f>H6145+H6146</f>
        <v>37427.300000000003</v>
      </c>
      <c r="I6147" s="8">
        <f>I6145+I6146</f>
        <v>37427.300000000003</v>
      </c>
    </row>
    <row r="6148" spans="1:9" x14ac:dyDescent="0.3">
      <c r="A6148" s="4" t="s">
        <v>5415</v>
      </c>
    </row>
    <row r="6149" spans="1:9" x14ac:dyDescent="0.3">
      <c r="B6149" s="5" t="s">
        <v>5356</v>
      </c>
      <c r="C6149" s="5" t="s">
        <v>2745</v>
      </c>
      <c r="D6149" s="5" t="s">
        <v>2750</v>
      </c>
      <c r="E6149" s="5" t="s">
        <v>2750</v>
      </c>
      <c r="F6149" s="5" t="s">
        <v>2748</v>
      </c>
      <c r="G6149" s="5" t="s">
        <v>2749</v>
      </c>
      <c r="H6149" s="6">
        <v>53814.84</v>
      </c>
      <c r="I6149" s="5"/>
    </row>
    <row r="6150" spans="1:9" x14ac:dyDescent="0.3">
      <c r="B6150" s="5" t="s">
        <v>5356</v>
      </c>
      <c r="C6150" s="5" t="s">
        <v>2745</v>
      </c>
      <c r="D6150" s="5" t="s">
        <v>2750</v>
      </c>
      <c r="E6150" s="5" t="s">
        <v>2750</v>
      </c>
      <c r="F6150" s="5" t="s">
        <v>847</v>
      </c>
      <c r="G6150" s="5" t="s">
        <v>848</v>
      </c>
      <c r="H6150" s="5"/>
      <c r="I6150" s="6">
        <v>53814.84</v>
      </c>
    </row>
    <row r="6151" spans="1:9" x14ac:dyDescent="0.3">
      <c r="A6151" s="7" t="s">
        <v>5416</v>
      </c>
      <c r="H6151" s="8">
        <f>H6149+H6150</f>
        <v>53814.84</v>
      </c>
      <c r="I6151" s="8">
        <f>I6149+I6150</f>
        <v>53814.84</v>
      </c>
    </row>
    <row r="6152" spans="1:9" x14ac:dyDescent="0.3">
      <c r="A6152" s="4" t="s">
        <v>5417</v>
      </c>
    </row>
    <row r="6153" spans="1:9" ht="21.6" x14ac:dyDescent="0.3">
      <c r="B6153" s="5" t="s">
        <v>5418</v>
      </c>
      <c r="C6153" s="5" t="s">
        <v>10</v>
      </c>
      <c r="D6153" s="5" t="s">
        <v>5419</v>
      </c>
      <c r="E6153" s="5" t="s">
        <v>5420</v>
      </c>
      <c r="F6153" s="5" t="s">
        <v>1643</v>
      </c>
      <c r="G6153" s="5" t="s">
        <v>1644</v>
      </c>
      <c r="H6153" s="6">
        <v>10100</v>
      </c>
      <c r="I6153" s="5"/>
    </row>
    <row r="6154" spans="1:9" ht="21.6" x14ac:dyDescent="0.3">
      <c r="B6154" s="5" t="s">
        <v>5418</v>
      </c>
      <c r="C6154" s="5" t="s">
        <v>10</v>
      </c>
      <c r="D6154" s="5" t="s">
        <v>5419</v>
      </c>
      <c r="E6154" s="5" t="s">
        <v>5420</v>
      </c>
      <c r="F6154" s="5" t="s">
        <v>13</v>
      </c>
      <c r="G6154" s="5" t="s">
        <v>14</v>
      </c>
      <c r="H6154" s="5"/>
      <c r="I6154" s="6">
        <v>10100</v>
      </c>
    </row>
    <row r="6155" spans="1:9" x14ac:dyDescent="0.3">
      <c r="A6155" s="7" t="s">
        <v>5421</v>
      </c>
      <c r="H6155" s="8">
        <f>H6153+H6154</f>
        <v>10100</v>
      </c>
      <c r="I6155" s="8">
        <f>I6153+I6154</f>
        <v>10100</v>
      </c>
    </row>
    <row r="6156" spans="1:9" x14ac:dyDescent="0.3">
      <c r="A6156" s="4" t="s">
        <v>5422</v>
      </c>
    </row>
    <row r="6157" spans="1:9" ht="21.6" x14ac:dyDescent="0.3">
      <c r="B6157" s="5" t="s">
        <v>5418</v>
      </c>
      <c r="C6157" s="5" t="s">
        <v>10</v>
      </c>
      <c r="D6157" s="5" t="s">
        <v>5423</v>
      </c>
      <c r="E6157" s="5" t="s">
        <v>5424</v>
      </c>
      <c r="F6157" s="5" t="s">
        <v>3899</v>
      </c>
      <c r="G6157" s="5" t="s">
        <v>3900</v>
      </c>
      <c r="H6157" s="6">
        <v>10000</v>
      </c>
      <c r="I6157" s="5"/>
    </row>
    <row r="6158" spans="1:9" x14ac:dyDescent="0.3">
      <c r="B6158" s="5" t="s">
        <v>5418</v>
      </c>
      <c r="C6158" s="5" t="s">
        <v>10</v>
      </c>
      <c r="D6158" s="5" t="s">
        <v>5423</v>
      </c>
      <c r="E6158" s="5" t="s">
        <v>5425</v>
      </c>
      <c r="F6158" s="5" t="s">
        <v>2368</v>
      </c>
      <c r="G6158" s="5" t="s">
        <v>2369</v>
      </c>
      <c r="H6158" s="6">
        <v>100</v>
      </c>
      <c r="I6158" s="5"/>
    </row>
    <row r="6159" spans="1:9" ht="21.6" x14ac:dyDescent="0.3">
      <c r="B6159" s="5" t="s">
        <v>5418</v>
      </c>
      <c r="C6159" s="5" t="s">
        <v>10</v>
      </c>
      <c r="D6159" s="5" t="s">
        <v>5423</v>
      </c>
      <c r="E6159" s="5" t="s">
        <v>5426</v>
      </c>
      <c r="F6159" s="5" t="s">
        <v>1643</v>
      </c>
      <c r="G6159" s="5" t="s">
        <v>1644</v>
      </c>
      <c r="H6159" s="5"/>
      <c r="I6159" s="6">
        <v>10100</v>
      </c>
    </row>
    <row r="6160" spans="1:9" x14ac:dyDescent="0.3">
      <c r="A6160" s="7" t="s">
        <v>5427</v>
      </c>
      <c r="H6160" s="8">
        <f>H6157+H6158+H6159</f>
        <v>10100</v>
      </c>
      <c r="I6160" s="8">
        <f>I6157+I6158+I6159</f>
        <v>10100</v>
      </c>
    </row>
    <row r="6161" spans="1:9" x14ac:dyDescent="0.3">
      <c r="A6161" s="4" t="s">
        <v>5428</v>
      </c>
    </row>
    <row r="6162" spans="1:9" ht="21.6" x14ac:dyDescent="0.3">
      <c r="B6162" s="5" t="s">
        <v>5418</v>
      </c>
      <c r="C6162" s="5" t="s">
        <v>10</v>
      </c>
      <c r="D6162" s="5" t="s">
        <v>5429</v>
      </c>
      <c r="E6162" s="5" t="s">
        <v>5430</v>
      </c>
      <c r="F6162" s="5" t="s">
        <v>1643</v>
      </c>
      <c r="G6162" s="5" t="s">
        <v>1644</v>
      </c>
      <c r="H6162" s="6">
        <v>10100</v>
      </c>
      <c r="I6162" s="5"/>
    </row>
    <row r="6163" spans="1:9" ht="21.6" x14ac:dyDescent="0.3">
      <c r="B6163" s="5" t="s">
        <v>5418</v>
      </c>
      <c r="C6163" s="5" t="s">
        <v>10</v>
      </c>
      <c r="D6163" s="5" t="s">
        <v>5429</v>
      </c>
      <c r="E6163" s="5" t="s">
        <v>5430</v>
      </c>
      <c r="F6163" s="5" t="s">
        <v>13</v>
      </c>
      <c r="G6163" s="5" t="s">
        <v>14</v>
      </c>
      <c r="H6163" s="5"/>
      <c r="I6163" s="6">
        <v>10100</v>
      </c>
    </row>
    <row r="6164" spans="1:9" x14ac:dyDescent="0.3">
      <c r="A6164" s="7" t="s">
        <v>5431</v>
      </c>
      <c r="H6164" s="8">
        <f>H6162+H6163</f>
        <v>10100</v>
      </c>
      <c r="I6164" s="8">
        <f>I6162+I6163</f>
        <v>10100</v>
      </c>
    </row>
    <row r="6165" spans="1:9" x14ac:dyDescent="0.3">
      <c r="A6165" s="4" t="s">
        <v>5432</v>
      </c>
    </row>
    <row r="6166" spans="1:9" ht="21.6" x14ac:dyDescent="0.3">
      <c r="B6166" s="5" t="s">
        <v>5418</v>
      </c>
      <c r="C6166" s="5" t="s">
        <v>10</v>
      </c>
      <c r="D6166" s="5" t="s">
        <v>5433</v>
      </c>
      <c r="E6166" s="5" t="s">
        <v>5434</v>
      </c>
      <c r="F6166" s="5" t="s">
        <v>3901</v>
      </c>
      <c r="G6166" s="5" t="s">
        <v>3902</v>
      </c>
      <c r="H6166" s="6">
        <v>10000</v>
      </c>
      <c r="I6166" s="5"/>
    </row>
    <row r="6167" spans="1:9" x14ac:dyDescent="0.3">
      <c r="B6167" s="5" t="s">
        <v>5418</v>
      </c>
      <c r="C6167" s="5" t="s">
        <v>10</v>
      </c>
      <c r="D6167" s="5" t="s">
        <v>5433</v>
      </c>
      <c r="E6167" s="5" t="s">
        <v>5425</v>
      </c>
      <c r="F6167" s="5" t="s">
        <v>2368</v>
      </c>
      <c r="G6167" s="5" t="s">
        <v>2369</v>
      </c>
      <c r="H6167" s="6">
        <v>200</v>
      </c>
      <c r="I6167" s="5"/>
    </row>
    <row r="6168" spans="1:9" ht="21.6" x14ac:dyDescent="0.3">
      <c r="B6168" s="5" t="s">
        <v>5418</v>
      </c>
      <c r="C6168" s="5" t="s">
        <v>10</v>
      </c>
      <c r="D6168" s="5" t="s">
        <v>5433</v>
      </c>
      <c r="E6168" s="5" t="s">
        <v>5435</v>
      </c>
      <c r="F6168" s="5" t="s">
        <v>1643</v>
      </c>
      <c r="G6168" s="5" t="s">
        <v>1644</v>
      </c>
      <c r="H6168" s="5"/>
      <c r="I6168" s="6">
        <v>10200</v>
      </c>
    </row>
    <row r="6169" spans="1:9" x14ac:dyDescent="0.3">
      <c r="A6169" s="7" t="s">
        <v>5436</v>
      </c>
      <c r="H6169" s="8">
        <f>H6166+H6167+H6168</f>
        <v>10200</v>
      </c>
      <c r="I6169" s="8">
        <f>I6166+I6167+I6168</f>
        <v>10200</v>
      </c>
    </row>
    <row r="6170" spans="1:9" x14ac:dyDescent="0.3">
      <c r="A6170" s="4" t="s">
        <v>5437</v>
      </c>
    </row>
    <row r="6171" spans="1:9" x14ac:dyDescent="0.3">
      <c r="B6171" s="5" t="s">
        <v>5418</v>
      </c>
      <c r="C6171" s="5" t="s">
        <v>2745</v>
      </c>
      <c r="D6171" s="5" t="s">
        <v>2750</v>
      </c>
      <c r="E6171" s="5" t="s">
        <v>2750</v>
      </c>
      <c r="F6171" s="5" t="s">
        <v>2748</v>
      </c>
      <c r="G6171" s="5" t="s">
        <v>2749</v>
      </c>
      <c r="H6171" s="6">
        <v>2900</v>
      </c>
      <c r="I6171" s="5"/>
    </row>
    <row r="6172" spans="1:9" x14ac:dyDescent="0.3">
      <c r="B6172" s="5" t="s">
        <v>5418</v>
      </c>
      <c r="C6172" s="5" t="s">
        <v>2745</v>
      </c>
      <c r="D6172" s="5" t="s">
        <v>2750</v>
      </c>
      <c r="E6172" s="5" t="s">
        <v>2750</v>
      </c>
      <c r="F6172" s="5" t="s">
        <v>847</v>
      </c>
      <c r="G6172" s="5" t="s">
        <v>848</v>
      </c>
      <c r="H6172" s="5"/>
      <c r="I6172" s="6">
        <v>2900</v>
      </c>
    </row>
    <row r="6173" spans="1:9" x14ac:dyDescent="0.3">
      <c r="A6173" s="7" t="s">
        <v>5438</v>
      </c>
      <c r="H6173" s="8">
        <f>H6171+H6172</f>
        <v>2900</v>
      </c>
      <c r="I6173" s="8">
        <f>I6171+I6172</f>
        <v>2900</v>
      </c>
    </row>
    <row r="6174" spans="1:9" x14ac:dyDescent="0.3">
      <c r="A6174" s="4" t="s">
        <v>5439</v>
      </c>
    </row>
    <row r="6175" spans="1:9" x14ac:dyDescent="0.3">
      <c r="B6175" s="5" t="s">
        <v>5440</v>
      </c>
      <c r="C6175" s="5" t="s">
        <v>10</v>
      </c>
      <c r="D6175" s="5" t="s">
        <v>5441</v>
      </c>
      <c r="E6175" s="5" t="s">
        <v>5442</v>
      </c>
      <c r="F6175" s="5" t="s">
        <v>113</v>
      </c>
      <c r="G6175" s="5" t="s">
        <v>114</v>
      </c>
      <c r="H6175" s="6">
        <v>1720</v>
      </c>
      <c r="I6175" s="5"/>
    </row>
    <row r="6176" spans="1:9" x14ac:dyDescent="0.3">
      <c r="B6176" s="5" t="s">
        <v>5440</v>
      </c>
      <c r="C6176" s="5" t="s">
        <v>10</v>
      </c>
      <c r="D6176" s="5" t="s">
        <v>5441</v>
      </c>
      <c r="E6176" s="5" t="s">
        <v>5442</v>
      </c>
      <c r="F6176" s="5" t="s">
        <v>1643</v>
      </c>
      <c r="G6176" s="5" t="s">
        <v>1644</v>
      </c>
      <c r="H6176" s="5"/>
      <c r="I6176" s="6">
        <v>1720</v>
      </c>
    </row>
    <row r="6177" spans="1:9" x14ac:dyDescent="0.3">
      <c r="B6177" s="5" t="s">
        <v>5440</v>
      </c>
      <c r="C6177" s="5" t="s">
        <v>10</v>
      </c>
      <c r="D6177" s="5" t="s">
        <v>5441</v>
      </c>
      <c r="E6177" s="5" t="s">
        <v>5443</v>
      </c>
      <c r="F6177" s="5" t="s">
        <v>61</v>
      </c>
      <c r="G6177" s="5" t="s">
        <v>62</v>
      </c>
      <c r="H6177" s="6">
        <v>180</v>
      </c>
      <c r="I6177" s="5"/>
    </row>
    <row r="6178" spans="1:9" x14ac:dyDescent="0.3">
      <c r="B6178" s="5" t="s">
        <v>5440</v>
      </c>
      <c r="C6178" s="5" t="s">
        <v>10</v>
      </c>
      <c r="D6178" s="5" t="s">
        <v>5441</v>
      </c>
      <c r="E6178" s="5" t="s">
        <v>5443</v>
      </c>
      <c r="F6178" s="5" t="s">
        <v>1643</v>
      </c>
      <c r="G6178" s="5" t="s">
        <v>1644</v>
      </c>
      <c r="H6178" s="5"/>
      <c r="I6178" s="6">
        <v>180</v>
      </c>
    </row>
    <row r="6179" spans="1:9" x14ac:dyDescent="0.3">
      <c r="A6179" s="7" t="s">
        <v>5444</v>
      </c>
      <c r="H6179" s="8">
        <f>H6175+H6176+H6177+H6178</f>
        <v>1900</v>
      </c>
      <c r="I6179" s="8">
        <f>I6175+I6176+I6177+I6178</f>
        <v>1900</v>
      </c>
    </row>
    <row r="6180" spans="1:9" x14ac:dyDescent="0.3">
      <c r="A6180" s="4" t="s">
        <v>5445</v>
      </c>
    </row>
    <row r="6181" spans="1:9" x14ac:dyDescent="0.3">
      <c r="B6181" s="5" t="s">
        <v>5446</v>
      </c>
      <c r="C6181" s="5" t="s">
        <v>10</v>
      </c>
      <c r="D6181" s="5" t="s">
        <v>5447</v>
      </c>
      <c r="E6181" s="5" t="s">
        <v>5448</v>
      </c>
      <c r="F6181" s="5" t="s">
        <v>50</v>
      </c>
      <c r="G6181" s="5" t="s">
        <v>51</v>
      </c>
      <c r="H6181" s="6">
        <v>700</v>
      </c>
      <c r="I6181" s="5"/>
    </row>
    <row r="6182" spans="1:9" x14ac:dyDescent="0.3">
      <c r="B6182" s="5" t="s">
        <v>5446</v>
      </c>
      <c r="C6182" s="5" t="s">
        <v>10</v>
      </c>
      <c r="D6182" s="5" t="s">
        <v>5447</v>
      </c>
      <c r="E6182" s="5" t="s">
        <v>5448</v>
      </c>
      <c r="F6182" s="5" t="s">
        <v>1643</v>
      </c>
      <c r="G6182" s="5" t="s">
        <v>1644</v>
      </c>
      <c r="H6182" s="5"/>
      <c r="I6182" s="6">
        <v>700</v>
      </c>
    </row>
    <row r="6183" spans="1:9" x14ac:dyDescent="0.3">
      <c r="B6183" s="5" t="s">
        <v>5446</v>
      </c>
      <c r="C6183" s="5" t="s">
        <v>10</v>
      </c>
      <c r="D6183" s="5" t="s">
        <v>5447</v>
      </c>
      <c r="E6183" s="5" t="s">
        <v>5449</v>
      </c>
      <c r="F6183" s="5" t="s">
        <v>67</v>
      </c>
      <c r="G6183" s="5" t="s">
        <v>68</v>
      </c>
      <c r="H6183" s="6">
        <v>2100</v>
      </c>
      <c r="I6183" s="5"/>
    </row>
    <row r="6184" spans="1:9" x14ac:dyDescent="0.3">
      <c r="B6184" s="5" t="s">
        <v>5446</v>
      </c>
      <c r="C6184" s="5" t="s">
        <v>10</v>
      </c>
      <c r="D6184" s="5" t="s">
        <v>5447</v>
      </c>
      <c r="E6184" s="5" t="s">
        <v>5450</v>
      </c>
      <c r="F6184" s="5" t="s">
        <v>1022</v>
      </c>
      <c r="G6184" s="5" t="s">
        <v>1023</v>
      </c>
      <c r="H6184" s="5"/>
      <c r="I6184" s="6">
        <v>2100</v>
      </c>
    </row>
    <row r="6185" spans="1:9" x14ac:dyDescent="0.3">
      <c r="B6185" s="5" t="s">
        <v>5446</v>
      </c>
      <c r="C6185" s="5" t="s">
        <v>10</v>
      </c>
      <c r="D6185" s="5" t="s">
        <v>5447</v>
      </c>
      <c r="E6185" s="5" t="s">
        <v>5451</v>
      </c>
      <c r="F6185" s="5" t="s">
        <v>61</v>
      </c>
      <c r="G6185" s="5" t="s">
        <v>62</v>
      </c>
      <c r="H6185" s="6">
        <v>500</v>
      </c>
      <c r="I6185" s="5"/>
    </row>
    <row r="6186" spans="1:9" x14ac:dyDescent="0.3">
      <c r="B6186" s="5" t="s">
        <v>5446</v>
      </c>
      <c r="C6186" s="5" t="s">
        <v>10</v>
      </c>
      <c r="D6186" s="5" t="s">
        <v>5447</v>
      </c>
      <c r="E6186" s="5" t="s">
        <v>5451</v>
      </c>
      <c r="F6186" s="5" t="s">
        <v>1643</v>
      </c>
      <c r="G6186" s="5" t="s">
        <v>1644</v>
      </c>
      <c r="H6186" s="5"/>
      <c r="I6186" s="6">
        <v>500</v>
      </c>
    </row>
    <row r="6187" spans="1:9" x14ac:dyDescent="0.3">
      <c r="A6187" s="7" t="s">
        <v>5452</v>
      </c>
      <c r="H6187" s="8">
        <f>H6181+H6182+H6183+H6184+H6185+H6186</f>
        <v>3300</v>
      </c>
      <c r="I6187" s="8">
        <f>I6181+I6182+I6183+I6184+I6185+I6186</f>
        <v>3300</v>
      </c>
    </row>
    <row r="6188" spans="1:9" x14ac:dyDescent="0.3">
      <c r="A6188" s="4" t="s">
        <v>5453</v>
      </c>
    </row>
    <row r="6189" spans="1:9" x14ac:dyDescent="0.3">
      <c r="B6189" s="5" t="s">
        <v>5454</v>
      </c>
      <c r="C6189" s="5" t="s">
        <v>10</v>
      </c>
      <c r="D6189" s="5" t="s">
        <v>5455</v>
      </c>
      <c r="E6189" s="5" t="s">
        <v>5456</v>
      </c>
      <c r="F6189" s="5" t="s">
        <v>61</v>
      </c>
      <c r="G6189" s="5" t="s">
        <v>62</v>
      </c>
      <c r="H6189" s="6">
        <v>6220</v>
      </c>
      <c r="I6189" s="5"/>
    </row>
    <row r="6190" spans="1:9" x14ac:dyDescent="0.3">
      <c r="B6190" s="5" t="s">
        <v>5454</v>
      </c>
      <c r="C6190" s="5" t="s">
        <v>10</v>
      </c>
      <c r="D6190" s="5" t="s">
        <v>5455</v>
      </c>
      <c r="E6190" s="5" t="s">
        <v>5456</v>
      </c>
      <c r="F6190" s="5" t="s">
        <v>1643</v>
      </c>
      <c r="G6190" s="5" t="s">
        <v>1644</v>
      </c>
      <c r="H6190" s="5"/>
      <c r="I6190" s="6">
        <v>6220</v>
      </c>
    </row>
    <row r="6191" spans="1:9" x14ac:dyDescent="0.3">
      <c r="A6191" s="7" t="s">
        <v>5457</v>
      </c>
      <c r="H6191" s="8">
        <f>H6189+H6190</f>
        <v>6220</v>
      </c>
      <c r="I6191" s="8">
        <f>I6189+I6190</f>
        <v>6220</v>
      </c>
    </row>
    <row r="6192" spans="1:9" x14ac:dyDescent="0.3">
      <c r="A6192" s="4" t="s">
        <v>5458</v>
      </c>
    </row>
    <row r="6193" spans="1:9" x14ac:dyDescent="0.3">
      <c r="B6193" s="5" t="s">
        <v>5454</v>
      </c>
      <c r="C6193" s="5" t="s">
        <v>10</v>
      </c>
      <c r="D6193" s="5" t="s">
        <v>5459</v>
      </c>
      <c r="E6193" s="5" t="s">
        <v>5460</v>
      </c>
      <c r="F6193" s="5" t="s">
        <v>1643</v>
      </c>
      <c r="G6193" s="5" t="s">
        <v>1644</v>
      </c>
      <c r="H6193" s="6">
        <v>150000</v>
      </c>
      <c r="I6193" s="5"/>
    </row>
    <row r="6194" spans="1:9" x14ac:dyDescent="0.3">
      <c r="B6194" s="5" t="s">
        <v>5454</v>
      </c>
      <c r="C6194" s="5" t="s">
        <v>10</v>
      </c>
      <c r="D6194" s="5" t="s">
        <v>5459</v>
      </c>
      <c r="E6194" s="5" t="s">
        <v>5460</v>
      </c>
      <c r="F6194" s="5" t="s">
        <v>13</v>
      </c>
      <c r="G6194" s="5" t="s">
        <v>14</v>
      </c>
      <c r="H6194" s="5"/>
      <c r="I6194" s="6">
        <v>150000</v>
      </c>
    </row>
    <row r="6195" spans="1:9" x14ac:dyDescent="0.3">
      <c r="B6195" s="5" t="s">
        <v>5454</v>
      </c>
      <c r="C6195" s="5" t="s">
        <v>10</v>
      </c>
      <c r="D6195" s="5" t="s">
        <v>5459</v>
      </c>
      <c r="E6195" s="5" t="s">
        <v>5461</v>
      </c>
      <c r="F6195" s="5" t="s">
        <v>657</v>
      </c>
      <c r="G6195" s="5" t="s">
        <v>658</v>
      </c>
      <c r="H6195" s="6">
        <v>50000</v>
      </c>
      <c r="I6195" s="5"/>
    </row>
    <row r="6196" spans="1:9" x14ac:dyDescent="0.3">
      <c r="B6196" s="5" t="s">
        <v>5454</v>
      </c>
      <c r="C6196" s="5" t="s">
        <v>10</v>
      </c>
      <c r="D6196" s="5" t="s">
        <v>5459</v>
      </c>
      <c r="E6196" s="5" t="s">
        <v>5461</v>
      </c>
      <c r="F6196" s="5" t="s">
        <v>655</v>
      </c>
      <c r="G6196" s="5" t="s">
        <v>656</v>
      </c>
      <c r="H6196" s="6">
        <v>50000</v>
      </c>
      <c r="I6196" s="5"/>
    </row>
    <row r="6197" spans="1:9" x14ac:dyDescent="0.3">
      <c r="B6197" s="5" t="s">
        <v>5454</v>
      </c>
      <c r="C6197" s="5" t="s">
        <v>10</v>
      </c>
      <c r="D6197" s="5" t="s">
        <v>5459</v>
      </c>
      <c r="E6197" s="5" t="s">
        <v>5461</v>
      </c>
      <c r="F6197" s="5" t="s">
        <v>659</v>
      </c>
      <c r="G6197" s="5" t="s">
        <v>660</v>
      </c>
      <c r="H6197" s="6">
        <v>50000</v>
      </c>
      <c r="I6197" s="5"/>
    </row>
    <row r="6198" spans="1:9" x14ac:dyDescent="0.3">
      <c r="B6198" s="5" t="s">
        <v>5454</v>
      </c>
      <c r="C6198" s="5" t="s">
        <v>10</v>
      </c>
      <c r="D6198" s="5" t="s">
        <v>5459</v>
      </c>
      <c r="E6198" s="5" t="s">
        <v>5461</v>
      </c>
      <c r="F6198" s="5" t="s">
        <v>1643</v>
      </c>
      <c r="G6198" s="5" t="s">
        <v>1644</v>
      </c>
      <c r="H6198" s="5"/>
      <c r="I6198" s="6">
        <v>150000</v>
      </c>
    </row>
    <row r="6199" spans="1:9" x14ac:dyDescent="0.3">
      <c r="A6199" s="7" t="s">
        <v>5462</v>
      </c>
      <c r="H6199" s="8">
        <f>H6193+H6194+H6195+H6196+H6197+H6198</f>
        <v>300000</v>
      </c>
      <c r="I6199" s="8">
        <f>I6193+I6194+I6195+I6196+I6197+I6198</f>
        <v>300000</v>
      </c>
    </row>
    <row r="6200" spans="1:9" x14ac:dyDescent="0.3">
      <c r="A6200" s="4" t="s">
        <v>5463</v>
      </c>
    </row>
    <row r="6201" spans="1:9" x14ac:dyDescent="0.3">
      <c r="B6201" s="5" t="s">
        <v>5454</v>
      </c>
      <c r="C6201" s="5" t="s">
        <v>2745</v>
      </c>
      <c r="D6201" s="5" t="s">
        <v>2750</v>
      </c>
      <c r="E6201" s="5" t="s">
        <v>2750</v>
      </c>
      <c r="F6201" s="5" t="s">
        <v>2748</v>
      </c>
      <c r="G6201" s="5" t="s">
        <v>2749</v>
      </c>
      <c r="H6201" s="6">
        <v>3260</v>
      </c>
      <c r="I6201" s="5"/>
    </row>
    <row r="6202" spans="1:9" x14ac:dyDescent="0.3">
      <c r="B6202" s="5" t="s">
        <v>5454</v>
      </c>
      <c r="C6202" s="5" t="s">
        <v>2745</v>
      </c>
      <c r="D6202" s="5" t="s">
        <v>2750</v>
      </c>
      <c r="E6202" s="5" t="s">
        <v>2750</v>
      </c>
      <c r="F6202" s="5" t="s">
        <v>847</v>
      </c>
      <c r="G6202" s="5" t="s">
        <v>848</v>
      </c>
      <c r="H6202" s="5"/>
      <c r="I6202" s="6">
        <v>3260</v>
      </c>
    </row>
    <row r="6203" spans="1:9" x14ac:dyDescent="0.3">
      <c r="A6203" s="7" t="s">
        <v>5464</v>
      </c>
      <c r="H6203" s="8">
        <f>H6201+H6202</f>
        <v>3260</v>
      </c>
      <c r="I6203" s="8">
        <f>I6201+I6202</f>
        <v>3260</v>
      </c>
    </row>
    <row r="6204" spans="1:9" x14ac:dyDescent="0.3">
      <c r="A6204" s="4" t="s">
        <v>5465</v>
      </c>
    </row>
    <row r="6205" spans="1:9" x14ac:dyDescent="0.3">
      <c r="B6205" s="5" t="s">
        <v>5454</v>
      </c>
      <c r="C6205" s="5" t="s">
        <v>2745</v>
      </c>
      <c r="D6205" s="5" t="s">
        <v>2750</v>
      </c>
      <c r="E6205" s="5" t="s">
        <v>2750</v>
      </c>
      <c r="F6205" s="5" t="s">
        <v>2748</v>
      </c>
      <c r="G6205" s="5" t="s">
        <v>2749</v>
      </c>
      <c r="H6205" s="6">
        <v>1650</v>
      </c>
      <c r="I6205" s="5"/>
    </row>
    <row r="6206" spans="1:9" x14ac:dyDescent="0.3">
      <c r="B6206" s="5" t="s">
        <v>5454</v>
      </c>
      <c r="C6206" s="5" t="s">
        <v>2745</v>
      </c>
      <c r="D6206" s="5" t="s">
        <v>2750</v>
      </c>
      <c r="E6206" s="5" t="s">
        <v>2750</v>
      </c>
      <c r="F6206" s="5" t="s">
        <v>847</v>
      </c>
      <c r="G6206" s="5" t="s">
        <v>848</v>
      </c>
      <c r="H6206" s="5"/>
      <c r="I6206" s="6">
        <v>1650</v>
      </c>
    </row>
    <row r="6207" spans="1:9" x14ac:dyDescent="0.3">
      <c r="A6207" s="7" t="s">
        <v>5466</v>
      </c>
      <c r="H6207" s="8">
        <f>H6205+H6206</f>
        <v>1650</v>
      </c>
      <c r="I6207" s="8">
        <f>I6205+I6206</f>
        <v>1650</v>
      </c>
    </row>
    <row r="6208" spans="1:9" x14ac:dyDescent="0.3">
      <c r="A6208" s="4" t="s">
        <v>5467</v>
      </c>
    </row>
    <row r="6209" spans="1:9" x14ac:dyDescent="0.3">
      <c r="B6209" s="5" t="s">
        <v>5454</v>
      </c>
      <c r="C6209" s="5" t="s">
        <v>2745</v>
      </c>
      <c r="D6209" s="5" t="s">
        <v>2750</v>
      </c>
      <c r="E6209" s="5" t="s">
        <v>2750</v>
      </c>
      <c r="F6209" s="5" t="s">
        <v>2748</v>
      </c>
      <c r="G6209" s="5" t="s">
        <v>2749</v>
      </c>
      <c r="H6209" s="6">
        <v>3050</v>
      </c>
      <c r="I6209" s="5"/>
    </row>
    <row r="6210" spans="1:9" x14ac:dyDescent="0.3">
      <c r="B6210" s="5" t="s">
        <v>5454</v>
      </c>
      <c r="C6210" s="5" t="s">
        <v>2745</v>
      </c>
      <c r="D6210" s="5" t="s">
        <v>2750</v>
      </c>
      <c r="E6210" s="5" t="s">
        <v>2750</v>
      </c>
      <c r="F6210" s="5" t="s">
        <v>847</v>
      </c>
      <c r="G6210" s="5" t="s">
        <v>848</v>
      </c>
      <c r="H6210" s="5"/>
      <c r="I6210" s="6">
        <v>3050</v>
      </c>
    </row>
    <row r="6211" spans="1:9" x14ac:dyDescent="0.3">
      <c r="A6211" s="7" t="s">
        <v>5468</v>
      </c>
      <c r="H6211" s="8">
        <f>H6209+H6210</f>
        <v>3050</v>
      </c>
      <c r="I6211" s="8">
        <f>I6209+I6210</f>
        <v>3050</v>
      </c>
    </row>
    <row r="6212" spans="1:9" x14ac:dyDescent="0.3">
      <c r="A6212" s="4" t="s">
        <v>5469</v>
      </c>
    </row>
    <row r="6213" spans="1:9" x14ac:dyDescent="0.3">
      <c r="B6213" s="5" t="s">
        <v>5470</v>
      </c>
      <c r="C6213" s="5" t="s">
        <v>10</v>
      </c>
      <c r="D6213" s="5" t="s">
        <v>5471</v>
      </c>
      <c r="E6213" s="5" t="s">
        <v>4906</v>
      </c>
      <c r="F6213" s="5" t="s">
        <v>113</v>
      </c>
      <c r="G6213" s="5" t="s">
        <v>114</v>
      </c>
      <c r="H6213" s="6">
        <v>1010</v>
      </c>
      <c r="I6213" s="5"/>
    </row>
    <row r="6214" spans="1:9" x14ac:dyDescent="0.3">
      <c r="B6214" s="5" t="s">
        <v>5470</v>
      </c>
      <c r="C6214" s="5" t="s">
        <v>10</v>
      </c>
      <c r="D6214" s="5" t="s">
        <v>5471</v>
      </c>
      <c r="E6214" s="5" t="s">
        <v>4906</v>
      </c>
      <c r="F6214" s="5" t="s">
        <v>1643</v>
      </c>
      <c r="G6214" s="5" t="s">
        <v>1644</v>
      </c>
      <c r="H6214" s="5"/>
      <c r="I6214" s="6">
        <v>1010</v>
      </c>
    </row>
    <row r="6215" spans="1:9" x14ac:dyDescent="0.3">
      <c r="B6215" s="5" t="s">
        <v>5470</v>
      </c>
      <c r="C6215" s="5" t="s">
        <v>10</v>
      </c>
      <c r="D6215" s="5" t="s">
        <v>5471</v>
      </c>
      <c r="E6215" s="5" t="s">
        <v>5472</v>
      </c>
      <c r="F6215" s="5" t="s">
        <v>61</v>
      </c>
      <c r="G6215" s="5" t="s">
        <v>62</v>
      </c>
      <c r="H6215" s="6">
        <v>270</v>
      </c>
      <c r="I6215" s="5"/>
    </row>
    <row r="6216" spans="1:9" x14ac:dyDescent="0.3">
      <c r="B6216" s="5" t="s">
        <v>5470</v>
      </c>
      <c r="C6216" s="5" t="s">
        <v>10</v>
      </c>
      <c r="D6216" s="5" t="s">
        <v>5471</v>
      </c>
      <c r="E6216" s="5" t="s">
        <v>5472</v>
      </c>
      <c r="F6216" s="5" t="s">
        <v>1643</v>
      </c>
      <c r="G6216" s="5" t="s">
        <v>1644</v>
      </c>
      <c r="H6216" s="5"/>
      <c r="I6216" s="6">
        <v>270</v>
      </c>
    </row>
    <row r="6217" spans="1:9" x14ac:dyDescent="0.3">
      <c r="A6217" s="7" t="s">
        <v>5473</v>
      </c>
      <c r="H6217" s="8">
        <f>H6213+H6214+H6215+H6216</f>
        <v>1280</v>
      </c>
      <c r="I6217" s="8">
        <f>I6213+I6214+I6215+I6216</f>
        <v>1280</v>
      </c>
    </row>
    <row r="6218" spans="1:9" x14ac:dyDescent="0.3">
      <c r="A6218" s="4" t="s">
        <v>5474</v>
      </c>
    </row>
    <row r="6219" spans="1:9" x14ac:dyDescent="0.3">
      <c r="B6219" s="5" t="s">
        <v>5470</v>
      </c>
      <c r="C6219" s="5" t="s">
        <v>2745</v>
      </c>
      <c r="D6219" s="5" t="s">
        <v>2750</v>
      </c>
      <c r="E6219" s="5" t="s">
        <v>2750</v>
      </c>
      <c r="F6219" s="5" t="s">
        <v>2748</v>
      </c>
      <c r="G6219" s="5" t="s">
        <v>2749</v>
      </c>
      <c r="H6219" s="6">
        <v>8110</v>
      </c>
      <c r="I6219" s="5"/>
    </row>
    <row r="6220" spans="1:9" x14ac:dyDescent="0.3">
      <c r="B6220" s="5" t="s">
        <v>5470</v>
      </c>
      <c r="C6220" s="5" t="s">
        <v>2745</v>
      </c>
      <c r="D6220" s="5" t="s">
        <v>2750</v>
      </c>
      <c r="E6220" s="5" t="s">
        <v>2750</v>
      </c>
      <c r="F6220" s="5" t="s">
        <v>847</v>
      </c>
      <c r="G6220" s="5" t="s">
        <v>848</v>
      </c>
      <c r="H6220" s="5"/>
      <c r="I6220" s="6">
        <v>8110</v>
      </c>
    </row>
    <row r="6221" spans="1:9" x14ac:dyDescent="0.3">
      <c r="A6221" s="7" t="s">
        <v>5475</v>
      </c>
      <c r="H6221" s="8">
        <f>H6219+H6220</f>
        <v>8110</v>
      </c>
      <c r="I6221" s="8">
        <f>I6219+I6220</f>
        <v>8110</v>
      </c>
    </row>
    <row r="6222" spans="1:9" x14ac:dyDescent="0.3">
      <c r="A6222" s="4" t="s">
        <v>5476</v>
      </c>
    </row>
    <row r="6223" spans="1:9" x14ac:dyDescent="0.3">
      <c r="B6223" s="5" t="s">
        <v>5477</v>
      </c>
      <c r="C6223" s="5" t="s">
        <v>10</v>
      </c>
      <c r="D6223" s="5" t="s">
        <v>5478</v>
      </c>
      <c r="E6223" s="5" t="s">
        <v>5479</v>
      </c>
      <c r="F6223" s="5" t="s">
        <v>67</v>
      </c>
      <c r="G6223" s="5" t="s">
        <v>68</v>
      </c>
      <c r="H6223" s="6">
        <v>1400</v>
      </c>
      <c r="I6223" s="5"/>
    </row>
    <row r="6224" spans="1:9" x14ac:dyDescent="0.3">
      <c r="B6224" s="5" t="s">
        <v>5477</v>
      </c>
      <c r="C6224" s="5" t="s">
        <v>10</v>
      </c>
      <c r="D6224" s="5" t="s">
        <v>5478</v>
      </c>
      <c r="E6224" s="5" t="s">
        <v>5480</v>
      </c>
      <c r="F6224" s="5" t="s">
        <v>1643</v>
      </c>
      <c r="G6224" s="5" t="s">
        <v>1644</v>
      </c>
      <c r="H6224" s="6">
        <v>52</v>
      </c>
      <c r="I6224" s="5"/>
    </row>
    <row r="6225" spans="1:9" x14ac:dyDescent="0.3">
      <c r="B6225" s="5" t="s">
        <v>5477</v>
      </c>
      <c r="C6225" s="5" t="s">
        <v>10</v>
      </c>
      <c r="D6225" s="5" t="s">
        <v>5478</v>
      </c>
      <c r="E6225" s="5" t="s">
        <v>5481</v>
      </c>
      <c r="F6225" s="5" t="s">
        <v>2368</v>
      </c>
      <c r="G6225" s="5" t="s">
        <v>2369</v>
      </c>
      <c r="H6225" s="6">
        <v>150</v>
      </c>
      <c r="I6225" s="5"/>
    </row>
    <row r="6226" spans="1:9" x14ac:dyDescent="0.3">
      <c r="B6226" s="5" t="s">
        <v>5477</v>
      </c>
      <c r="C6226" s="5" t="s">
        <v>10</v>
      </c>
      <c r="D6226" s="5" t="s">
        <v>5478</v>
      </c>
      <c r="E6226" s="5" t="s">
        <v>5482</v>
      </c>
      <c r="F6226" s="5" t="s">
        <v>1022</v>
      </c>
      <c r="G6226" s="5" t="s">
        <v>1023</v>
      </c>
      <c r="H6226" s="5"/>
      <c r="I6226" s="6">
        <v>1602</v>
      </c>
    </row>
    <row r="6227" spans="1:9" x14ac:dyDescent="0.3">
      <c r="A6227" s="7" t="s">
        <v>5483</v>
      </c>
      <c r="H6227" s="8">
        <f>H6223+H6224+H6225+H6226</f>
        <v>1602</v>
      </c>
      <c r="I6227" s="8">
        <f>I6223+I6224+I6225+I6226</f>
        <v>1602</v>
      </c>
    </row>
    <row r="6228" spans="1:9" x14ac:dyDescent="0.3">
      <c r="A6228" s="4" t="s">
        <v>5484</v>
      </c>
    </row>
    <row r="6229" spans="1:9" x14ac:dyDescent="0.3">
      <c r="B6229" s="5" t="s">
        <v>5477</v>
      </c>
      <c r="C6229" s="5" t="s">
        <v>10</v>
      </c>
      <c r="D6229" s="5" t="s">
        <v>5485</v>
      </c>
      <c r="E6229" s="5" t="s">
        <v>5486</v>
      </c>
      <c r="F6229" s="5" t="s">
        <v>61</v>
      </c>
      <c r="G6229" s="5" t="s">
        <v>62</v>
      </c>
      <c r="H6229" s="6">
        <v>4200</v>
      </c>
      <c r="I6229" s="5"/>
    </row>
    <row r="6230" spans="1:9" x14ac:dyDescent="0.3">
      <c r="B6230" s="5" t="s">
        <v>5477</v>
      </c>
      <c r="C6230" s="5" t="s">
        <v>10</v>
      </c>
      <c r="D6230" s="5" t="s">
        <v>5485</v>
      </c>
      <c r="E6230" s="5" t="s">
        <v>5486</v>
      </c>
      <c r="F6230" s="5" t="s">
        <v>1643</v>
      </c>
      <c r="G6230" s="5" t="s">
        <v>1644</v>
      </c>
      <c r="H6230" s="5"/>
      <c r="I6230" s="6">
        <v>4200</v>
      </c>
    </row>
    <row r="6231" spans="1:9" x14ac:dyDescent="0.3">
      <c r="A6231" s="7" t="s">
        <v>5487</v>
      </c>
      <c r="H6231" s="8">
        <f>H6229+H6230</f>
        <v>4200</v>
      </c>
      <c r="I6231" s="8">
        <f>I6229+I6230</f>
        <v>4200</v>
      </c>
    </row>
    <row r="6232" spans="1:9" x14ac:dyDescent="0.3">
      <c r="A6232" s="4" t="s">
        <v>5488</v>
      </c>
    </row>
    <row r="6233" spans="1:9" x14ac:dyDescent="0.3">
      <c r="B6233" s="5" t="s">
        <v>5477</v>
      </c>
      <c r="C6233" s="5" t="s">
        <v>10</v>
      </c>
      <c r="D6233" s="5" t="s">
        <v>5489</v>
      </c>
      <c r="E6233" s="5" t="s">
        <v>5490</v>
      </c>
      <c r="F6233" s="5" t="s">
        <v>67</v>
      </c>
      <c r="G6233" s="5" t="s">
        <v>68</v>
      </c>
      <c r="H6233" s="6">
        <v>2100</v>
      </c>
      <c r="I6233" s="5"/>
    </row>
    <row r="6234" spans="1:9" x14ac:dyDescent="0.3">
      <c r="B6234" s="5" t="s">
        <v>5477</v>
      </c>
      <c r="C6234" s="5" t="s">
        <v>10</v>
      </c>
      <c r="D6234" s="5" t="s">
        <v>5489</v>
      </c>
      <c r="E6234" s="5" t="s">
        <v>5490</v>
      </c>
      <c r="F6234" s="5" t="s">
        <v>1643</v>
      </c>
      <c r="G6234" s="5" t="s">
        <v>1644</v>
      </c>
      <c r="H6234" s="5"/>
      <c r="I6234" s="6">
        <v>2100</v>
      </c>
    </row>
    <row r="6235" spans="1:9" x14ac:dyDescent="0.3">
      <c r="A6235" s="7" t="s">
        <v>5491</v>
      </c>
      <c r="H6235" s="8">
        <f>H6233+H6234</f>
        <v>2100</v>
      </c>
      <c r="I6235" s="8">
        <f>I6233+I6234</f>
        <v>2100</v>
      </c>
    </row>
    <row r="6236" spans="1:9" x14ac:dyDescent="0.3">
      <c r="A6236" s="4" t="s">
        <v>5492</v>
      </c>
    </row>
    <row r="6237" spans="1:9" x14ac:dyDescent="0.3">
      <c r="B6237" s="5" t="s">
        <v>5477</v>
      </c>
      <c r="C6237" s="5" t="s">
        <v>10</v>
      </c>
      <c r="D6237" s="5" t="s">
        <v>5493</v>
      </c>
      <c r="E6237" s="5" t="s">
        <v>5494</v>
      </c>
      <c r="F6237" s="5" t="s">
        <v>67</v>
      </c>
      <c r="G6237" s="5" t="s">
        <v>68</v>
      </c>
      <c r="H6237" s="6">
        <v>2800</v>
      </c>
      <c r="I6237" s="5"/>
    </row>
    <row r="6238" spans="1:9" x14ac:dyDescent="0.3">
      <c r="B6238" s="5" t="s">
        <v>5477</v>
      </c>
      <c r="C6238" s="5" t="s">
        <v>10</v>
      </c>
      <c r="D6238" s="5" t="s">
        <v>5493</v>
      </c>
      <c r="E6238" s="5" t="s">
        <v>5494</v>
      </c>
      <c r="F6238" s="5" t="s">
        <v>1643</v>
      </c>
      <c r="G6238" s="5" t="s">
        <v>1644</v>
      </c>
      <c r="H6238" s="5"/>
      <c r="I6238" s="6">
        <v>2800</v>
      </c>
    </row>
    <row r="6239" spans="1:9" x14ac:dyDescent="0.3">
      <c r="A6239" s="7" t="s">
        <v>5495</v>
      </c>
      <c r="H6239" s="8">
        <f>H6237+H6238</f>
        <v>2800</v>
      </c>
      <c r="I6239" s="8">
        <f>I6237+I6238</f>
        <v>2800</v>
      </c>
    </row>
    <row r="6240" spans="1:9" x14ac:dyDescent="0.3">
      <c r="A6240" s="4" t="s">
        <v>5496</v>
      </c>
    </row>
    <row r="6241" spans="1:9" x14ac:dyDescent="0.3">
      <c r="B6241" s="5" t="s">
        <v>5477</v>
      </c>
      <c r="C6241" s="5" t="s">
        <v>10</v>
      </c>
      <c r="D6241" s="5" t="s">
        <v>5497</v>
      </c>
      <c r="E6241" s="5" t="s">
        <v>5498</v>
      </c>
      <c r="F6241" s="5" t="s">
        <v>113</v>
      </c>
      <c r="G6241" s="5" t="s">
        <v>114</v>
      </c>
      <c r="H6241" s="6">
        <v>1240</v>
      </c>
      <c r="I6241" s="5"/>
    </row>
    <row r="6242" spans="1:9" x14ac:dyDescent="0.3">
      <c r="B6242" s="5" t="s">
        <v>5477</v>
      </c>
      <c r="C6242" s="5" t="s">
        <v>10</v>
      </c>
      <c r="D6242" s="5" t="s">
        <v>5497</v>
      </c>
      <c r="E6242" s="5" t="s">
        <v>5498</v>
      </c>
      <c r="F6242" s="5" t="s">
        <v>1643</v>
      </c>
      <c r="G6242" s="5" t="s">
        <v>1644</v>
      </c>
      <c r="H6242" s="5"/>
      <c r="I6242" s="6">
        <v>1240</v>
      </c>
    </row>
    <row r="6243" spans="1:9" x14ac:dyDescent="0.3">
      <c r="A6243" s="7" t="s">
        <v>5499</v>
      </c>
      <c r="H6243" s="8">
        <f>H6241+H6242</f>
        <v>1240</v>
      </c>
      <c r="I6243" s="8">
        <f>I6241+I6242</f>
        <v>1240</v>
      </c>
    </row>
    <row r="6244" spans="1:9" x14ac:dyDescent="0.3">
      <c r="A6244" s="4" t="s">
        <v>5500</v>
      </c>
    </row>
    <row r="6245" spans="1:9" x14ac:dyDescent="0.3">
      <c r="B6245" s="5" t="s">
        <v>5477</v>
      </c>
      <c r="C6245" s="5" t="s">
        <v>10</v>
      </c>
      <c r="D6245" s="5" t="s">
        <v>5501</v>
      </c>
      <c r="E6245" s="5" t="s">
        <v>5502</v>
      </c>
      <c r="F6245" s="5" t="s">
        <v>61</v>
      </c>
      <c r="G6245" s="5" t="s">
        <v>62</v>
      </c>
      <c r="H6245" s="6">
        <v>500</v>
      </c>
      <c r="I6245" s="5"/>
    </row>
    <row r="6246" spans="1:9" x14ac:dyDescent="0.3">
      <c r="B6246" s="5" t="s">
        <v>5477</v>
      </c>
      <c r="C6246" s="5" t="s">
        <v>10</v>
      </c>
      <c r="D6246" s="5" t="s">
        <v>5501</v>
      </c>
      <c r="E6246" s="5" t="s">
        <v>5502</v>
      </c>
      <c r="F6246" s="5" t="s">
        <v>1643</v>
      </c>
      <c r="G6246" s="5" t="s">
        <v>1644</v>
      </c>
      <c r="H6246" s="5"/>
      <c r="I6246" s="6">
        <v>500</v>
      </c>
    </row>
    <row r="6247" spans="1:9" x14ac:dyDescent="0.3">
      <c r="A6247" s="7" t="s">
        <v>5503</v>
      </c>
      <c r="H6247" s="8">
        <f>H6245+H6246</f>
        <v>500</v>
      </c>
      <c r="I6247" s="8">
        <f>I6245+I6246</f>
        <v>500</v>
      </c>
    </row>
    <row r="6248" spans="1:9" x14ac:dyDescent="0.3">
      <c r="A6248" s="4" t="s">
        <v>5504</v>
      </c>
    </row>
    <row r="6249" spans="1:9" x14ac:dyDescent="0.3">
      <c r="B6249" s="5" t="s">
        <v>5477</v>
      </c>
      <c r="C6249" s="5" t="s">
        <v>10</v>
      </c>
      <c r="D6249" s="5" t="s">
        <v>5505</v>
      </c>
      <c r="E6249" s="5" t="s">
        <v>5506</v>
      </c>
      <c r="F6249" s="5" t="s">
        <v>116</v>
      </c>
      <c r="G6249" s="5" t="s">
        <v>117</v>
      </c>
      <c r="H6249" s="6">
        <v>1000</v>
      </c>
      <c r="I6249" s="5"/>
    </row>
    <row r="6250" spans="1:9" x14ac:dyDescent="0.3">
      <c r="B6250" s="5" t="s">
        <v>5477</v>
      </c>
      <c r="C6250" s="5" t="s">
        <v>10</v>
      </c>
      <c r="D6250" s="5" t="s">
        <v>5505</v>
      </c>
      <c r="E6250" s="5" t="s">
        <v>5506</v>
      </c>
      <c r="F6250" s="5" t="s">
        <v>1643</v>
      </c>
      <c r="G6250" s="5" t="s">
        <v>1644</v>
      </c>
      <c r="H6250" s="5"/>
      <c r="I6250" s="6">
        <v>1000</v>
      </c>
    </row>
    <row r="6251" spans="1:9" x14ac:dyDescent="0.3">
      <c r="A6251" s="7" t="s">
        <v>5507</v>
      </c>
      <c r="H6251" s="8">
        <f>H6249+H6250</f>
        <v>1000</v>
      </c>
      <c r="I6251" s="8">
        <f>I6249+I6250</f>
        <v>1000</v>
      </c>
    </row>
    <row r="6252" spans="1:9" x14ac:dyDescent="0.3">
      <c r="A6252" s="4" t="s">
        <v>5508</v>
      </c>
    </row>
    <row r="6253" spans="1:9" x14ac:dyDescent="0.3">
      <c r="B6253" s="5" t="s">
        <v>5477</v>
      </c>
      <c r="C6253" s="5" t="s">
        <v>10</v>
      </c>
      <c r="D6253" s="5" t="s">
        <v>5509</v>
      </c>
      <c r="E6253" s="5" t="s">
        <v>5510</v>
      </c>
      <c r="F6253" s="5" t="s">
        <v>359</v>
      </c>
      <c r="G6253" s="5" t="s">
        <v>360</v>
      </c>
      <c r="H6253" s="6">
        <v>1280</v>
      </c>
      <c r="I6253" s="5"/>
    </row>
    <row r="6254" spans="1:9" x14ac:dyDescent="0.3">
      <c r="B6254" s="5" t="s">
        <v>5477</v>
      </c>
      <c r="C6254" s="5" t="s">
        <v>10</v>
      </c>
      <c r="D6254" s="5" t="s">
        <v>5509</v>
      </c>
      <c r="E6254" s="5" t="s">
        <v>5510</v>
      </c>
      <c r="F6254" s="5" t="s">
        <v>1643</v>
      </c>
      <c r="G6254" s="5" t="s">
        <v>1644</v>
      </c>
      <c r="H6254" s="5"/>
      <c r="I6254" s="6">
        <v>1280</v>
      </c>
    </row>
    <row r="6255" spans="1:9" x14ac:dyDescent="0.3">
      <c r="A6255" s="7" t="s">
        <v>5511</v>
      </c>
      <c r="H6255" s="8">
        <f>H6253+H6254</f>
        <v>1280</v>
      </c>
      <c r="I6255" s="8">
        <f>I6253+I6254</f>
        <v>1280</v>
      </c>
    </row>
    <row r="6256" spans="1:9" x14ac:dyDescent="0.3">
      <c r="A6256" s="4" t="s">
        <v>5512</v>
      </c>
    </row>
    <row r="6257" spans="1:9" x14ac:dyDescent="0.3">
      <c r="B6257" s="5" t="s">
        <v>5477</v>
      </c>
      <c r="C6257" s="5" t="s">
        <v>2745</v>
      </c>
      <c r="D6257" s="5" t="s">
        <v>2750</v>
      </c>
      <c r="E6257" s="5" t="s">
        <v>2750</v>
      </c>
      <c r="F6257" s="5" t="s">
        <v>2748</v>
      </c>
      <c r="G6257" s="5" t="s">
        <v>2749</v>
      </c>
      <c r="H6257" s="6">
        <v>2200</v>
      </c>
      <c r="I6257" s="5"/>
    </row>
    <row r="6258" spans="1:9" x14ac:dyDescent="0.3">
      <c r="B6258" s="5" t="s">
        <v>5477</v>
      </c>
      <c r="C6258" s="5" t="s">
        <v>2745</v>
      </c>
      <c r="D6258" s="5" t="s">
        <v>2750</v>
      </c>
      <c r="E6258" s="5" t="s">
        <v>2750</v>
      </c>
      <c r="F6258" s="5" t="s">
        <v>847</v>
      </c>
      <c r="G6258" s="5" t="s">
        <v>848</v>
      </c>
      <c r="H6258" s="5"/>
      <c r="I6258" s="6">
        <v>2200</v>
      </c>
    </row>
    <row r="6259" spans="1:9" x14ac:dyDescent="0.3">
      <c r="A6259" s="7" t="s">
        <v>5513</v>
      </c>
      <c r="H6259" s="8">
        <f>H6257+H6258</f>
        <v>2200</v>
      </c>
      <c r="I6259" s="8">
        <f>I6257+I6258</f>
        <v>2200</v>
      </c>
    </row>
    <row r="6260" spans="1:9" x14ac:dyDescent="0.3">
      <c r="A6260" s="4" t="s">
        <v>5514</v>
      </c>
    </row>
    <row r="6261" spans="1:9" x14ac:dyDescent="0.3">
      <c r="B6261" s="5" t="s">
        <v>5515</v>
      </c>
      <c r="C6261" s="5" t="s">
        <v>10</v>
      </c>
      <c r="D6261" s="5" t="s">
        <v>5516</v>
      </c>
      <c r="E6261" s="5" t="s">
        <v>5517</v>
      </c>
      <c r="F6261" s="5" t="s">
        <v>5518</v>
      </c>
      <c r="G6261" s="5" t="s">
        <v>5519</v>
      </c>
      <c r="H6261" s="6">
        <v>439250</v>
      </c>
      <c r="I6261" s="5"/>
    </row>
    <row r="6262" spans="1:9" x14ac:dyDescent="0.3">
      <c r="B6262" s="5" t="s">
        <v>5515</v>
      </c>
      <c r="C6262" s="5" t="s">
        <v>10</v>
      </c>
      <c r="D6262" s="5" t="s">
        <v>5516</v>
      </c>
      <c r="E6262" s="5" t="s">
        <v>5520</v>
      </c>
      <c r="F6262" s="5" t="s">
        <v>1643</v>
      </c>
      <c r="G6262" s="5" t="s">
        <v>1644</v>
      </c>
      <c r="H6262" s="5"/>
      <c r="I6262" s="6">
        <v>3</v>
      </c>
    </row>
    <row r="6263" spans="1:9" x14ac:dyDescent="0.3">
      <c r="B6263" s="5" t="s">
        <v>5515</v>
      </c>
      <c r="C6263" s="5" t="s">
        <v>10</v>
      </c>
      <c r="D6263" s="5" t="s">
        <v>5516</v>
      </c>
      <c r="E6263" s="5" t="s">
        <v>5517</v>
      </c>
      <c r="F6263" s="5" t="s">
        <v>3899</v>
      </c>
      <c r="G6263" s="5" t="s">
        <v>3900</v>
      </c>
      <c r="H6263" s="5"/>
      <c r="I6263" s="6">
        <v>439247</v>
      </c>
    </row>
    <row r="6264" spans="1:9" x14ac:dyDescent="0.3">
      <c r="A6264" s="7" t="s">
        <v>5521</v>
      </c>
      <c r="H6264" s="8">
        <f>H6261+H6262+H6263</f>
        <v>439250</v>
      </c>
      <c r="I6264" s="8">
        <f>I6261+I6262+I6263</f>
        <v>439250</v>
      </c>
    </row>
    <row r="6265" spans="1:9" x14ac:dyDescent="0.3">
      <c r="A6265" s="4" t="s">
        <v>5522</v>
      </c>
    </row>
    <row r="6266" spans="1:9" x14ac:dyDescent="0.3">
      <c r="B6266" s="5" t="s">
        <v>5515</v>
      </c>
      <c r="C6266" s="5" t="s">
        <v>10</v>
      </c>
      <c r="D6266" s="5" t="s">
        <v>5523</v>
      </c>
      <c r="E6266" s="5" t="s">
        <v>5510</v>
      </c>
      <c r="F6266" s="5" t="s">
        <v>359</v>
      </c>
      <c r="G6266" s="5" t="s">
        <v>360</v>
      </c>
      <c r="H6266" s="6">
        <v>300</v>
      </c>
      <c r="I6266" s="5"/>
    </row>
    <row r="6267" spans="1:9" x14ac:dyDescent="0.3">
      <c r="B6267" s="5" t="s">
        <v>5515</v>
      </c>
      <c r="C6267" s="5" t="s">
        <v>10</v>
      </c>
      <c r="D6267" s="5" t="s">
        <v>5523</v>
      </c>
      <c r="E6267" s="5" t="s">
        <v>5510</v>
      </c>
      <c r="F6267" s="5" t="s">
        <v>1643</v>
      </c>
      <c r="G6267" s="5" t="s">
        <v>1644</v>
      </c>
      <c r="H6267" s="5"/>
      <c r="I6267" s="6">
        <v>300</v>
      </c>
    </row>
    <row r="6268" spans="1:9" x14ac:dyDescent="0.3">
      <c r="A6268" s="7" t="s">
        <v>5524</v>
      </c>
      <c r="H6268" s="8">
        <f>H6266+H6267</f>
        <v>300</v>
      </c>
      <c r="I6268" s="8">
        <f>I6266+I6267</f>
        <v>300</v>
      </c>
    </row>
    <row r="6269" spans="1:9" x14ac:dyDescent="0.3">
      <c r="A6269" s="4" t="s">
        <v>5525</v>
      </c>
    </row>
    <row r="6270" spans="1:9" x14ac:dyDescent="0.3">
      <c r="B6270" s="5" t="s">
        <v>5515</v>
      </c>
      <c r="C6270" s="5" t="s">
        <v>10</v>
      </c>
      <c r="D6270" s="5" t="s">
        <v>5526</v>
      </c>
      <c r="E6270" s="5" t="s">
        <v>5506</v>
      </c>
      <c r="F6270" s="5" t="s">
        <v>116</v>
      </c>
      <c r="G6270" s="5" t="s">
        <v>117</v>
      </c>
      <c r="H6270" s="6">
        <v>1000</v>
      </c>
      <c r="I6270" s="5"/>
    </row>
    <row r="6271" spans="1:9" x14ac:dyDescent="0.3">
      <c r="B6271" s="5" t="s">
        <v>5515</v>
      </c>
      <c r="C6271" s="5" t="s">
        <v>10</v>
      </c>
      <c r="D6271" s="5" t="s">
        <v>5526</v>
      </c>
      <c r="E6271" s="5" t="s">
        <v>5506</v>
      </c>
      <c r="F6271" s="5" t="s">
        <v>1643</v>
      </c>
      <c r="G6271" s="5" t="s">
        <v>1644</v>
      </c>
      <c r="H6271" s="5"/>
      <c r="I6271" s="6">
        <v>1000</v>
      </c>
    </row>
    <row r="6272" spans="1:9" x14ac:dyDescent="0.3">
      <c r="A6272" s="7" t="s">
        <v>5527</v>
      </c>
      <c r="H6272" s="8">
        <f>H6270+H6271</f>
        <v>1000</v>
      </c>
      <c r="I6272" s="8">
        <f>I6270+I6271</f>
        <v>1000</v>
      </c>
    </row>
    <row r="6273" spans="1:9" x14ac:dyDescent="0.3">
      <c r="A6273" s="4" t="s">
        <v>5528</v>
      </c>
    </row>
    <row r="6274" spans="1:9" x14ac:dyDescent="0.3">
      <c r="B6274" s="5" t="s">
        <v>5515</v>
      </c>
      <c r="C6274" s="5" t="s">
        <v>2745</v>
      </c>
      <c r="D6274" s="5" t="s">
        <v>2750</v>
      </c>
      <c r="E6274" s="5" t="s">
        <v>2750</v>
      </c>
      <c r="F6274" s="5" t="s">
        <v>2748</v>
      </c>
      <c r="G6274" s="5" t="s">
        <v>2749</v>
      </c>
      <c r="H6274" s="6">
        <v>4840</v>
      </c>
      <c r="I6274" s="5"/>
    </row>
    <row r="6275" spans="1:9" x14ac:dyDescent="0.3">
      <c r="B6275" s="5" t="s">
        <v>5515</v>
      </c>
      <c r="C6275" s="5" t="s">
        <v>2745</v>
      </c>
      <c r="D6275" s="5" t="s">
        <v>2750</v>
      </c>
      <c r="E6275" s="5" t="s">
        <v>2750</v>
      </c>
      <c r="F6275" s="5" t="s">
        <v>847</v>
      </c>
      <c r="G6275" s="5" t="s">
        <v>848</v>
      </c>
      <c r="H6275" s="5"/>
      <c r="I6275" s="6">
        <v>4840</v>
      </c>
    </row>
    <row r="6276" spans="1:9" x14ac:dyDescent="0.3">
      <c r="A6276" s="7" t="s">
        <v>5529</v>
      </c>
      <c r="H6276" s="8">
        <f>H6274+H6275</f>
        <v>4840</v>
      </c>
      <c r="I6276" s="8">
        <f>I6274+I6275</f>
        <v>4840</v>
      </c>
    </row>
    <row r="6277" spans="1:9" x14ac:dyDescent="0.3">
      <c r="A6277" s="4" t="s">
        <v>5530</v>
      </c>
    </row>
    <row r="6278" spans="1:9" x14ac:dyDescent="0.3">
      <c r="B6278" s="5" t="s">
        <v>5515</v>
      </c>
      <c r="C6278" s="5" t="s">
        <v>2745</v>
      </c>
      <c r="D6278" s="5" t="s">
        <v>2750</v>
      </c>
      <c r="E6278" s="5" t="s">
        <v>2750</v>
      </c>
      <c r="F6278" s="5" t="s">
        <v>2748</v>
      </c>
      <c r="G6278" s="5" t="s">
        <v>2749</v>
      </c>
      <c r="H6278" s="6">
        <v>1880</v>
      </c>
      <c r="I6278" s="5"/>
    </row>
    <row r="6279" spans="1:9" x14ac:dyDescent="0.3">
      <c r="B6279" s="5" t="s">
        <v>5515</v>
      </c>
      <c r="C6279" s="5" t="s">
        <v>2745</v>
      </c>
      <c r="D6279" s="5" t="s">
        <v>2750</v>
      </c>
      <c r="E6279" s="5" t="s">
        <v>2750</v>
      </c>
      <c r="F6279" s="5" t="s">
        <v>847</v>
      </c>
      <c r="G6279" s="5" t="s">
        <v>848</v>
      </c>
      <c r="H6279" s="5"/>
      <c r="I6279" s="6">
        <v>1880</v>
      </c>
    </row>
    <row r="6280" spans="1:9" x14ac:dyDescent="0.3">
      <c r="A6280" s="7" t="s">
        <v>5531</v>
      </c>
      <c r="H6280" s="8">
        <f>H6278+H6279</f>
        <v>1880</v>
      </c>
      <c r="I6280" s="8">
        <f>I6278+I6279</f>
        <v>1880</v>
      </c>
    </row>
    <row r="6281" spans="1:9" x14ac:dyDescent="0.3">
      <c r="A6281" s="4" t="s">
        <v>5532</v>
      </c>
    </row>
    <row r="6282" spans="1:9" x14ac:dyDescent="0.3">
      <c r="B6282" s="5" t="s">
        <v>5515</v>
      </c>
      <c r="C6282" s="5" t="s">
        <v>2745</v>
      </c>
      <c r="D6282" s="5" t="s">
        <v>2750</v>
      </c>
      <c r="E6282" s="5" t="s">
        <v>2750</v>
      </c>
      <c r="F6282" s="5" t="s">
        <v>2748</v>
      </c>
      <c r="G6282" s="5" t="s">
        <v>2749</v>
      </c>
      <c r="H6282" s="6">
        <v>4840</v>
      </c>
      <c r="I6282" s="5"/>
    </row>
    <row r="6283" spans="1:9" x14ac:dyDescent="0.3">
      <c r="B6283" s="5" t="s">
        <v>5515</v>
      </c>
      <c r="C6283" s="5" t="s">
        <v>2745</v>
      </c>
      <c r="D6283" s="5" t="s">
        <v>2750</v>
      </c>
      <c r="E6283" s="5" t="s">
        <v>2750</v>
      </c>
      <c r="F6283" s="5" t="s">
        <v>847</v>
      </c>
      <c r="G6283" s="5" t="s">
        <v>848</v>
      </c>
      <c r="H6283" s="5"/>
      <c r="I6283" s="6">
        <v>4840</v>
      </c>
    </row>
    <row r="6284" spans="1:9" x14ac:dyDescent="0.3">
      <c r="A6284" s="7" t="s">
        <v>5533</v>
      </c>
      <c r="H6284" s="8">
        <f>H6282+H6283</f>
        <v>4840</v>
      </c>
      <c r="I6284" s="8">
        <f>I6282+I6283</f>
        <v>4840</v>
      </c>
    </row>
    <row r="6285" spans="1:9" x14ac:dyDescent="0.3">
      <c r="A6285" s="4" t="s">
        <v>5534</v>
      </c>
    </row>
    <row r="6286" spans="1:9" x14ac:dyDescent="0.3">
      <c r="B6286" s="5" t="s">
        <v>5515</v>
      </c>
      <c r="C6286" s="5" t="s">
        <v>2745</v>
      </c>
      <c r="D6286" s="5" t="s">
        <v>2750</v>
      </c>
      <c r="E6286" s="5" t="s">
        <v>2750</v>
      </c>
      <c r="F6286" s="5" t="s">
        <v>2748</v>
      </c>
      <c r="G6286" s="5" t="s">
        <v>2749</v>
      </c>
      <c r="H6286" s="6">
        <v>4833</v>
      </c>
      <c r="I6286" s="5"/>
    </row>
    <row r="6287" spans="1:9" x14ac:dyDescent="0.3">
      <c r="B6287" s="5" t="s">
        <v>5515</v>
      </c>
      <c r="C6287" s="5" t="s">
        <v>2745</v>
      </c>
      <c r="D6287" s="5" t="s">
        <v>2750</v>
      </c>
      <c r="E6287" s="5" t="s">
        <v>2750</v>
      </c>
      <c r="F6287" s="5" t="s">
        <v>847</v>
      </c>
      <c r="G6287" s="5" t="s">
        <v>848</v>
      </c>
      <c r="H6287" s="5"/>
      <c r="I6287" s="6">
        <v>4833</v>
      </c>
    </row>
    <row r="6288" spans="1:9" x14ac:dyDescent="0.3">
      <c r="A6288" s="7" t="s">
        <v>5535</v>
      </c>
      <c r="H6288" s="8">
        <f>H6286+H6287</f>
        <v>4833</v>
      </c>
      <c r="I6288" s="8">
        <f>I6286+I6287</f>
        <v>4833</v>
      </c>
    </row>
    <row r="6289" spans="1:9" x14ac:dyDescent="0.3">
      <c r="A6289" s="4" t="s">
        <v>5536</v>
      </c>
    </row>
    <row r="6290" spans="1:9" x14ac:dyDescent="0.3">
      <c r="B6290" s="5" t="s">
        <v>5515</v>
      </c>
      <c r="C6290" s="5" t="s">
        <v>2745</v>
      </c>
      <c r="D6290" s="5" t="s">
        <v>2750</v>
      </c>
      <c r="E6290" s="5" t="s">
        <v>2750</v>
      </c>
      <c r="F6290" s="5" t="s">
        <v>2748</v>
      </c>
      <c r="G6290" s="5" t="s">
        <v>2749</v>
      </c>
      <c r="H6290" s="6">
        <v>6960</v>
      </c>
      <c r="I6290" s="5"/>
    </row>
    <row r="6291" spans="1:9" x14ac:dyDescent="0.3">
      <c r="B6291" s="5" t="s">
        <v>5515</v>
      </c>
      <c r="C6291" s="5" t="s">
        <v>2745</v>
      </c>
      <c r="D6291" s="5" t="s">
        <v>2750</v>
      </c>
      <c r="E6291" s="5" t="s">
        <v>2750</v>
      </c>
      <c r="F6291" s="5" t="s">
        <v>847</v>
      </c>
      <c r="G6291" s="5" t="s">
        <v>848</v>
      </c>
      <c r="H6291" s="5"/>
      <c r="I6291" s="6">
        <v>6960</v>
      </c>
    </row>
    <row r="6292" spans="1:9" x14ac:dyDescent="0.3">
      <c r="A6292" s="7" t="s">
        <v>5537</v>
      </c>
      <c r="H6292" s="8">
        <f>H6290+H6291</f>
        <v>6960</v>
      </c>
      <c r="I6292" s="8">
        <f>I6290+I6291</f>
        <v>6960</v>
      </c>
    </row>
    <row r="6293" spans="1:9" x14ac:dyDescent="0.3">
      <c r="A6293" s="4" t="s">
        <v>5538</v>
      </c>
    </row>
    <row r="6294" spans="1:9" x14ac:dyDescent="0.3">
      <c r="B6294" s="5" t="s">
        <v>5515</v>
      </c>
      <c r="C6294" s="5" t="s">
        <v>2745</v>
      </c>
      <c r="D6294" s="5" t="s">
        <v>2750</v>
      </c>
      <c r="E6294" s="5" t="s">
        <v>2750</v>
      </c>
      <c r="F6294" s="5" t="s">
        <v>2748</v>
      </c>
      <c r="G6294" s="5" t="s">
        <v>2749</v>
      </c>
      <c r="H6294" s="6">
        <v>6190</v>
      </c>
      <c r="I6294" s="5"/>
    </row>
    <row r="6295" spans="1:9" x14ac:dyDescent="0.3">
      <c r="B6295" s="5" t="s">
        <v>5515</v>
      </c>
      <c r="C6295" s="5" t="s">
        <v>2745</v>
      </c>
      <c r="D6295" s="5" t="s">
        <v>2750</v>
      </c>
      <c r="E6295" s="5" t="s">
        <v>2750</v>
      </c>
      <c r="F6295" s="5" t="s">
        <v>847</v>
      </c>
      <c r="G6295" s="5" t="s">
        <v>848</v>
      </c>
      <c r="H6295" s="5"/>
      <c r="I6295" s="6">
        <v>6190</v>
      </c>
    </row>
    <row r="6296" spans="1:9" x14ac:dyDescent="0.3">
      <c r="A6296" s="7" t="s">
        <v>5539</v>
      </c>
      <c r="H6296" s="8">
        <f>H6294+H6295</f>
        <v>6190</v>
      </c>
      <c r="I6296" s="8">
        <f>I6294+I6295</f>
        <v>6190</v>
      </c>
    </row>
    <row r="6297" spans="1:9" x14ac:dyDescent="0.3">
      <c r="A6297" s="4" t="s">
        <v>5540</v>
      </c>
    </row>
    <row r="6298" spans="1:9" x14ac:dyDescent="0.3">
      <c r="B6298" s="5" t="s">
        <v>5541</v>
      </c>
      <c r="C6298" s="5" t="s">
        <v>10</v>
      </c>
      <c r="D6298" s="5" t="s">
        <v>5542</v>
      </c>
      <c r="E6298" s="5" t="s">
        <v>5543</v>
      </c>
      <c r="F6298" s="5" t="s">
        <v>67</v>
      </c>
      <c r="G6298" s="5" t="s">
        <v>68</v>
      </c>
      <c r="H6298" s="6">
        <v>80</v>
      </c>
      <c r="I6298" s="5"/>
    </row>
    <row r="6299" spans="1:9" x14ac:dyDescent="0.3">
      <c r="B6299" s="5" t="s">
        <v>5541</v>
      </c>
      <c r="C6299" s="5" t="s">
        <v>10</v>
      </c>
      <c r="D6299" s="5" t="s">
        <v>5542</v>
      </c>
      <c r="E6299" s="5" t="s">
        <v>5543</v>
      </c>
      <c r="F6299" s="5" t="s">
        <v>1643</v>
      </c>
      <c r="G6299" s="5" t="s">
        <v>1644</v>
      </c>
      <c r="H6299" s="5"/>
      <c r="I6299" s="6">
        <v>80</v>
      </c>
    </row>
    <row r="6300" spans="1:9" x14ac:dyDescent="0.3">
      <c r="B6300" s="5" t="s">
        <v>5541</v>
      </c>
      <c r="C6300" s="5" t="s">
        <v>10</v>
      </c>
      <c r="D6300" s="5" t="s">
        <v>5542</v>
      </c>
      <c r="E6300" s="5" t="s">
        <v>5544</v>
      </c>
      <c r="F6300" s="5" t="s">
        <v>145</v>
      </c>
      <c r="G6300" s="5" t="s">
        <v>146</v>
      </c>
      <c r="H6300" s="6">
        <v>800</v>
      </c>
      <c r="I6300" s="5"/>
    </row>
    <row r="6301" spans="1:9" x14ac:dyDescent="0.3">
      <c r="B6301" s="5" t="s">
        <v>5541</v>
      </c>
      <c r="C6301" s="5" t="s">
        <v>10</v>
      </c>
      <c r="D6301" s="5" t="s">
        <v>5542</v>
      </c>
      <c r="E6301" s="5" t="s">
        <v>5544</v>
      </c>
      <c r="F6301" s="5" t="s">
        <v>1643</v>
      </c>
      <c r="G6301" s="5" t="s">
        <v>1644</v>
      </c>
      <c r="H6301" s="5"/>
      <c r="I6301" s="6">
        <v>800</v>
      </c>
    </row>
    <row r="6302" spans="1:9" x14ac:dyDescent="0.3">
      <c r="A6302" s="7" t="s">
        <v>5545</v>
      </c>
      <c r="H6302" s="8">
        <f>H6298+H6299+H6300+H6301</f>
        <v>880</v>
      </c>
      <c r="I6302" s="8">
        <f>I6298+I6299+I6300+I6301</f>
        <v>880</v>
      </c>
    </row>
    <row r="6303" spans="1:9" x14ac:dyDescent="0.3">
      <c r="A6303" s="4" t="s">
        <v>5546</v>
      </c>
    </row>
    <row r="6304" spans="1:9" x14ac:dyDescent="0.3">
      <c r="B6304" s="5" t="s">
        <v>5541</v>
      </c>
      <c r="C6304" s="5" t="s">
        <v>10</v>
      </c>
      <c r="D6304" s="5" t="s">
        <v>5547</v>
      </c>
      <c r="E6304" s="5" t="s">
        <v>5548</v>
      </c>
      <c r="F6304" s="5" t="s">
        <v>831</v>
      </c>
      <c r="G6304" s="5" t="s">
        <v>832</v>
      </c>
      <c r="H6304" s="6">
        <v>1500000</v>
      </c>
      <c r="I6304" s="5"/>
    </row>
    <row r="6305" spans="1:9" x14ac:dyDescent="0.3">
      <c r="B6305" s="5" t="s">
        <v>5541</v>
      </c>
      <c r="C6305" s="5" t="s">
        <v>10</v>
      </c>
      <c r="D6305" s="5" t="s">
        <v>5547</v>
      </c>
      <c r="E6305" s="5" t="s">
        <v>5549</v>
      </c>
      <c r="F6305" s="5" t="s">
        <v>831</v>
      </c>
      <c r="G6305" s="5" t="s">
        <v>832</v>
      </c>
      <c r="H6305" s="6">
        <v>1500001</v>
      </c>
      <c r="I6305" s="5"/>
    </row>
    <row r="6306" spans="1:9" x14ac:dyDescent="0.3">
      <c r="B6306" s="5" t="s">
        <v>5541</v>
      </c>
      <c r="C6306" s="5" t="s">
        <v>10</v>
      </c>
      <c r="D6306" s="5" t="s">
        <v>5547</v>
      </c>
      <c r="E6306" s="5" t="s">
        <v>5549</v>
      </c>
      <c r="F6306" s="5" t="s">
        <v>831</v>
      </c>
      <c r="G6306" s="5" t="s">
        <v>832</v>
      </c>
      <c r="H6306" s="6">
        <v>398173</v>
      </c>
      <c r="I6306" s="5"/>
    </row>
    <row r="6307" spans="1:9" x14ac:dyDescent="0.3">
      <c r="B6307" s="5" t="s">
        <v>5541</v>
      </c>
      <c r="C6307" s="5" t="s">
        <v>10</v>
      </c>
      <c r="D6307" s="5" t="s">
        <v>5547</v>
      </c>
      <c r="E6307" s="5" t="s">
        <v>5549</v>
      </c>
      <c r="F6307" s="5" t="s">
        <v>13</v>
      </c>
      <c r="G6307" s="5" t="s">
        <v>14</v>
      </c>
      <c r="H6307" s="5"/>
      <c r="I6307" s="6">
        <v>3398174</v>
      </c>
    </row>
    <row r="6308" spans="1:9" x14ac:dyDescent="0.3">
      <c r="A6308" s="7" t="s">
        <v>5550</v>
      </c>
      <c r="H6308" s="8">
        <f>H6304+H6305+H6306+H6307</f>
        <v>3398174</v>
      </c>
      <c r="I6308" s="8">
        <f>I6304+I6305+I6306+I6307</f>
        <v>3398174</v>
      </c>
    </row>
    <row r="6309" spans="1:9" x14ac:dyDescent="0.3">
      <c r="A6309" s="4" t="s">
        <v>5551</v>
      </c>
    </row>
    <row r="6310" spans="1:9" x14ac:dyDescent="0.3">
      <c r="B6310" s="5" t="s">
        <v>5541</v>
      </c>
      <c r="C6310" s="5" t="s">
        <v>10</v>
      </c>
      <c r="D6310" s="5" t="s">
        <v>5552</v>
      </c>
      <c r="E6310" s="5" t="s">
        <v>5553</v>
      </c>
      <c r="F6310" s="5" t="s">
        <v>61</v>
      </c>
      <c r="G6310" s="5" t="s">
        <v>62</v>
      </c>
      <c r="H6310" s="6">
        <v>160</v>
      </c>
      <c r="I6310" s="5"/>
    </row>
    <row r="6311" spans="1:9" x14ac:dyDescent="0.3">
      <c r="B6311" s="5" t="s">
        <v>5541</v>
      </c>
      <c r="C6311" s="5" t="s">
        <v>10</v>
      </c>
      <c r="D6311" s="5" t="s">
        <v>5552</v>
      </c>
      <c r="E6311" s="5" t="s">
        <v>5553</v>
      </c>
      <c r="F6311" s="5" t="s">
        <v>1643</v>
      </c>
      <c r="G6311" s="5" t="s">
        <v>1644</v>
      </c>
      <c r="H6311" s="5"/>
      <c r="I6311" s="6">
        <v>160</v>
      </c>
    </row>
    <row r="6312" spans="1:9" x14ac:dyDescent="0.3">
      <c r="B6312" s="5" t="s">
        <v>5541</v>
      </c>
      <c r="C6312" s="5" t="s">
        <v>10</v>
      </c>
      <c r="D6312" s="5" t="s">
        <v>5552</v>
      </c>
      <c r="E6312" s="5" t="s">
        <v>5554</v>
      </c>
      <c r="F6312" s="5" t="s">
        <v>1763</v>
      </c>
      <c r="G6312" s="5" t="s">
        <v>1764</v>
      </c>
      <c r="H6312" s="6">
        <v>900</v>
      </c>
      <c r="I6312" s="5"/>
    </row>
    <row r="6313" spans="1:9" x14ac:dyDescent="0.3">
      <c r="B6313" s="5" t="s">
        <v>5541</v>
      </c>
      <c r="C6313" s="5" t="s">
        <v>10</v>
      </c>
      <c r="D6313" s="5" t="s">
        <v>5552</v>
      </c>
      <c r="E6313" s="5" t="s">
        <v>5554</v>
      </c>
      <c r="F6313" s="5" t="s">
        <v>5518</v>
      </c>
      <c r="G6313" s="5" t="s">
        <v>5519</v>
      </c>
      <c r="H6313" s="5"/>
      <c r="I6313" s="6">
        <v>900</v>
      </c>
    </row>
    <row r="6314" spans="1:9" x14ac:dyDescent="0.3">
      <c r="A6314" s="7" t="s">
        <v>5555</v>
      </c>
      <c r="H6314" s="8">
        <f>H6310+H6311+H6312+H6313</f>
        <v>1060</v>
      </c>
      <c r="I6314" s="8">
        <f>I6310+I6311+I6312+I6313</f>
        <v>1060</v>
      </c>
    </row>
    <row r="6315" spans="1:9" x14ac:dyDescent="0.3">
      <c r="A6315" s="4" t="s">
        <v>5556</v>
      </c>
    </row>
    <row r="6316" spans="1:9" x14ac:dyDescent="0.3">
      <c r="B6316" s="5" t="s">
        <v>5541</v>
      </c>
      <c r="C6316" s="5" t="s">
        <v>10</v>
      </c>
      <c r="D6316" s="5" t="s">
        <v>5557</v>
      </c>
      <c r="E6316" s="5" t="s">
        <v>5510</v>
      </c>
      <c r="F6316" s="5" t="s">
        <v>359</v>
      </c>
      <c r="G6316" s="5" t="s">
        <v>360</v>
      </c>
      <c r="H6316" s="6">
        <v>2180</v>
      </c>
      <c r="I6316" s="5"/>
    </row>
    <row r="6317" spans="1:9" x14ac:dyDescent="0.3">
      <c r="B6317" s="5" t="s">
        <v>5541</v>
      </c>
      <c r="C6317" s="5" t="s">
        <v>10</v>
      </c>
      <c r="D6317" s="5" t="s">
        <v>5557</v>
      </c>
      <c r="E6317" s="5" t="s">
        <v>5510</v>
      </c>
      <c r="F6317" s="5" t="s">
        <v>1643</v>
      </c>
      <c r="G6317" s="5" t="s">
        <v>1644</v>
      </c>
      <c r="H6317" s="5"/>
      <c r="I6317" s="6">
        <v>2180</v>
      </c>
    </row>
    <row r="6318" spans="1:9" x14ac:dyDescent="0.3">
      <c r="A6318" s="7" t="s">
        <v>5558</v>
      </c>
      <c r="H6318" s="8">
        <f>H6316+H6317</f>
        <v>2180</v>
      </c>
      <c r="I6318" s="8">
        <f>I6316+I6317</f>
        <v>2180</v>
      </c>
    </row>
    <row r="6319" spans="1:9" x14ac:dyDescent="0.3">
      <c r="A6319" s="4" t="s">
        <v>5559</v>
      </c>
    </row>
    <row r="6320" spans="1:9" x14ac:dyDescent="0.3">
      <c r="B6320" s="5" t="s">
        <v>5541</v>
      </c>
      <c r="C6320" s="5" t="s">
        <v>844</v>
      </c>
      <c r="D6320" s="5" t="s">
        <v>5560</v>
      </c>
      <c r="E6320" s="5" t="s">
        <v>2750</v>
      </c>
      <c r="F6320" s="5" t="s">
        <v>847</v>
      </c>
      <c r="G6320" s="5" t="s">
        <v>848</v>
      </c>
      <c r="H6320" s="6">
        <v>1980000</v>
      </c>
      <c r="I6320" s="5"/>
    </row>
    <row r="6321" spans="1:9" x14ac:dyDescent="0.3">
      <c r="B6321" s="5" t="s">
        <v>5541</v>
      </c>
      <c r="C6321" s="5" t="s">
        <v>844</v>
      </c>
      <c r="D6321" s="5" t="s">
        <v>5560</v>
      </c>
      <c r="E6321" s="5" t="s">
        <v>2987</v>
      </c>
      <c r="F6321" s="5" t="s">
        <v>831</v>
      </c>
      <c r="G6321" s="5" t="s">
        <v>832</v>
      </c>
      <c r="H6321" s="5"/>
      <c r="I6321" s="6">
        <v>1500000</v>
      </c>
    </row>
    <row r="6322" spans="1:9" x14ac:dyDescent="0.3">
      <c r="B6322" s="5" t="s">
        <v>5541</v>
      </c>
      <c r="C6322" s="5" t="s">
        <v>844</v>
      </c>
      <c r="D6322" s="5" t="s">
        <v>5560</v>
      </c>
      <c r="E6322" s="5" t="s">
        <v>1993</v>
      </c>
      <c r="F6322" s="5" t="s">
        <v>867</v>
      </c>
      <c r="G6322" s="5" t="s">
        <v>868</v>
      </c>
      <c r="H6322" s="5"/>
      <c r="I6322" s="6">
        <v>480000</v>
      </c>
    </row>
    <row r="6323" spans="1:9" x14ac:dyDescent="0.3">
      <c r="A6323" s="7" t="s">
        <v>5561</v>
      </c>
      <c r="H6323" s="8">
        <f>H6320+H6321+H6322</f>
        <v>1980000</v>
      </c>
      <c r="I6323" s="8">
        <f>I6320+I6321+I6322</f>
        <v>1980000</v>
      </c>
    </row>
    <row r="6324" spans="1:9" x14ac:dyDescent="0.3">
      <c r="A6324" s="4" t="s">
        <v>5562</v>
      </c>
    </row>
    <row r="6325" spans="1:9" x14ac:dyDescent="0.3">
      <c r="B6325" s="5" t="s">
        <v>5541</v>
      </c>
      <c r="C6325" s="5" t="s">
        <v>844</v>
      </c>
      <c r="D6325" s="5" t="s">
        <v>5563</v>
      </c>
      <c r="E6325" s="5" t="s">
        <v>2750</v>
      </c>
      <c r="F6325" s="5" t="s">
        <v>847</v>
      </c>
      <c r="G6325" s="5" t="s">
        <v>848</v>
      </c>
      <c r="H6325" s="6">
        <v>1980001</v>
      </c>
      <c r="I6325" s="5"/>
    </row>
    <row r="6326" spans="1:9" x14ac:dyDescent="0.3">
      <c r="B6326" s="5" t="s">
        <v>5541</v>
      </c>
      <c r="C6326" s="5" t="s">
        <v>844</v>
      </c>
      <c r="D6326" s="5" t="s">
        <v>5563</v>
      </c>
      <c r="E6326" s="5" t="s">
        <v>2987</v>
      </c>
      <c r="F6326" s="5" t="s">
        <v>831</v>
      </c>
      <c r="G6326" s="5" t="s">
        <v>832</v>
      </c>
      <c r="H6326" s="5"/>
      <c r="I6326" s="6">
        <v>1500001</v>
      </c>
    </row>
    <row r="6327" spans="1:9" x14ac:dyDescent="0.3">
      <c r="B6327" s="5" t="s">
        <v>5541</v>
      </c>
      <c r="C6327" s="5" t="s">
        <v>844</v>
      </c>
      <c r="D6327" s="5" t="s">
        <v>5563</v>
      </c>
      <c r="E6327" s="5" t="s">
        <v>1993</v>
      </c>
      <c r="F6327" s="5" t="s">
        <v>867</v>
      </c>
      <c r="G6327" s="5" t="s">
        <v>868</v>
      </c>
      <c r="H6327" s="5"/>
      <c r="I6327" s="6">
        <v>480000</v>
      </c>
    </row>
    <row r="6328" spans="1:9" x14ac:dyDescent="0.3">
      <c r="A6328" s="7" t="s">
        <v>5564</v>
      </c>
      <c r="H6328" s="8">
        <f>H6325+H6326+H6327</f>
        <v>1980001</v>
      </c>
      <c r="I6328" s="8">
        <f>I6325+I6326+I6327</f>
        <v>1980001</v>
      </c>
    </row>
    <row r="6329" spans="1:9" x14ac:dyDescent="0.3">
      <c r="A6329" s="4" t="s">
        <v>5565</v>
      </c>
    </row>
    <row r="6330" spans="1:9" x14ac:dyDescent="0.3">
      <c r="B6330" s="5" t="s">
        <v>5541</v>
      </c>
      <c r="C6330" s="5" t="s">
        <v>844</v>
      </c>
      <c r="D6330" s="5" t="s">
        <v>5566</v>
      </c>
      <c r="E6330" s="5" t="s">
        <v>2750</v>
      </c>
      <c r="F6330" s="5" t="s">
        <v>847</v>
      </c>
      <c r="G6330" s="5" t="s">
        <v>848</v>
      </c>
      <c r="H6330" s="6">
        <v>525588.36</v>
      </c>
      <c r="I6330" s="5"/>
    </row>
    <row r="6331" spans="1:9" x14ac:dyDescent="0.3">
      <c r="B6331" s="5" t="s">
        <v>5541</v>
      </c>
      <c r="C6331" s="5" t="s">
        <v>844</v>
      </c>
      <c r="D6331" s="5" t="s">
        <v>5566</v>
      </c>
      <c r="E6331" s="5" t="s">
        <v>2987</v>
      </c>
      <c r="F6331" s="5" t="s">
        <v>831</v>
      </c>
      <c r="G6331" s="5" t="s">
        <v>832</v>
      </c>
      <c r="H6331" s="5"/>
      <c r="I6331" s="6">
        <v>398173</v>
      </c>
    </row>
    <row r="6332" spans="1:9" x14ac:dyDescent="0.3">
      <c r="B6332" s="5" t="s">
        <v>5541</v>
      </c>
      <c r="C6332" s="5" t="s">
        <v>844</v>
      </c>
      <c r="D6332" s="5" t="s">
        <v>5566</v>
      </c>
      <c r="E6332" s="5" t="s">
        <v>1993</v>
      </c>
      <c r="F6332" s="5" t="s">
        <v>867</v>
      </c>
      <c r="G6332" s="5" t="s">
        <v>868</v>
      </c>
      <c r="H6332" s="5"/>
      <c r="I6332" s="6">
        <v>127415.36</v>
      </c>
    </row>
    <row r="6333" spans="1:9" x14ac:dyDescent="0.3">
      <c r="A6333" s="7" t="s">
        <v>5567</v>
      </c>
      <c r="H6333" s="8">
        <f>H6330+H6331+H6332</f>
        <v>525588.36</v>
      </c>
      <c r="I6333" s="8">
        <f>I6330+I6331+I6332</f>
        <v>525588.36</v>
      </c>
    </row>
    <row r="6334" spans="1:9" x14ac:dyDescent="0.3">
      <c r="A6334" s="4" t="s">
        <v>5568</v>
      </c>
    </row>
    <row r="6335" spans="1:9" x14ac:dyDescent="0.3">
      <c r="B6335" s="5" t="s">
        <v>5569</v>
      </c>
      <c r="C6335" s="5" t="s">
        <v>10</v>
      </c>
      <c r="D6335" s="5" t="s">
        <v>5570</v>
      </c>
      <c r="E6335" s="5" t="s">
        <v>5571</v>
      </c>
      <c r="F6335" s="5" t="s">
        <v>61</v>
      </c>
      <c r="G6335" s="5" t="s">
        <v>62</v>
      </c>
      <c r="H6335" s="6">
        <v>290</v>
      </c>
      <c r="I6335" s="5"/>
    </row>
    <row r="6336" spans="1:9" x14ac:dyDescent="0.3">
      <c r="B6336" s="5" t="s">
        <v>5569</v>
      </c>
      <c r="C6336" s="5" t="s">
        <v>10</v>
      </c>
      <c r="D6336" s="5" t="s">
        <v>5570</v>
      </c>
      <c r="E6336" s="5" t="s">
        <v>5571</v>
      </c>
      <c r="F6336" s="5" t="s">
        <v>1643</v>
      </c>
      <c r="G6336" s="5" t="s">
        <v>1644</v>
      </c>
      <c r="H6336" s="5"/>
      <c r="I6336" s="6">
        <v>290</v>
      </c>
    </row>
    <row r="6337" spans="1:9" x14ac:dyDescent="0.3">
      <c r="A6337" s="7" t="s">
        <v>5572</v>
      </c>
      <c r="H6337" s="8">
        <f>H6335+H6336</f>
        <v>290</v>
      </c>
      <c r="I6337" s="8">
        <f>I6335+I6336</f>
        <v>290</v>
      </c>
    </row>
    <row r="6338" spans="1:9" x14ac:dyDescent="0.3">
      <c r="A6338" s="4" t="s">
        <v>5573</v>
      </c>
    </row>
    <row r="6339" spans="1:9" x14ac:dyDescent="0.3">
      <c r="B6339" s="5" t="s">
        <v>5569</v>
      </c>
      <c r="C6339" s="5" t="s">
        <v>10</v>
      </c>
      <c r="D6339" s="5" t="s">
        <v>5574</v>
      </c>
      <c r="E6339" s="5" t="s">
        <v>1634</v>
      </c>
      <c r="F6339" s="5" t="s">
        <v>116</v>
      </c>
      <c r="G6339" s="5" t="s">
        <v>117</v>
      </c>
      <c r="H6339" s="6">
        <v>500</v>
      </c>
      <c r="I6339" s="5"/>
    </row>
    <row r="6340" spans="1:9" x14ac:dyDescent="0.3">
      <c r="B6340" s="5" t="s">
        <v>5569</v>
      </c>
      <c r="C6340" s="5" t="s">
        <v>10</v>
      </c>
      <c r="D6340" s="5" t="s">
        <v>5574</v>
      </c>
      <c r="E6340" s="5" t="s">
        <v>1634</v>
      </c>
      <c r="F6340" s="5" t="s">
        <v>1643</v>
      </c>
      <c r="G6340" s="5" t="s">
        <v>1644</v>
      </c>
      <c r="H6340" s="5"/>
      <c r="I6340" s="6">
        <v>500</v>
      </c>
    </row>
    <row r="6341" spans="1:9" x14ac:dyDescent="0.3">
      <c r="A6341" s="7" t="s">
        <v>5575</v>
      </c>
      <c r="H6341" s="8">
        <f>H6339+H6340</f>
        <v>500</v>
      </c>
      <c r="I6341" s="8">
        <f>I6339+I6340</f>
        <v>500</v>
      </c>
    </row>
    <row r="6342" spans="1:9" x14ac:dyDescent="0.3">
      <c r="A6342" s="4" t="s">
        <v>5576</v>
      </c>
    </row>
    <row r="6343" spans="1:9" x14ac:dyDescent="0.3">
      <c r="B6343" s="5" t="s">
        <v>5577</v>
      </c>
      <c r="C6343" s="5" t="s">
        <v>2745</v>
      </c>
      <c r="D6343" s="5" t="s">
        <v>2750</v>
      </c>
      <c r="E6343" s="5" t="s">
        <v>2750</v>
      </c>
      <c r="F6343" s="5" t="s">
        <v>2748</v>
      </c>
      <c r="G6343" s="5" t="s">
        <v>2749</v>
      </c>
      <c r="H6343" s="6">
        <v>1480</v>
      </c>
      <c r="I6343" s="5"/>
    </row>
    <row r="6344" spans="1:9" x14ac:dyDescent="0.3">
      <c r="B6344" s="5" t="s">
        <v>5577</v>
      </c>
      <c r="C6344" s="5" t="s">
        <v>2745</v>
      </c>
      <c r="D6344" s="5" t="s">
        <v>2750</v>
      </c>
      <c r="E6344" s="5" t="s">
        <v>2750</v>
      </c>
      <c r="F6344" s="5" t="s">
        <v>847</v>
      </c>
      <c r="G6344" s="5" t="s">
        <v>848</v>
      </c>
      <c r="H6344" s="5"/>
      <c r="I6344" s="6">
        <v>1480</v>
      </c>
    </row>
    <row r="6345" spans="1:9" x14ac:dyDescent="0.3">
      <c r="A6345" s="7" t="s">
        <v>5578</v>
      </c>
      <c r="H6345" s="8">
        <f>H6343+H6344</f>
        <v>1480</v>
      </c>
      <c r="I6345" s="8">
        <f>I6343+I6344</f>
        <v>1480</v>
      </c>
    </row>
    <row r="6346" spans="1:9" x14ac:dyDescent="0.3">
      <c r="A6346" s="4" t="s">
        <v>5579</v>
      </c>
    </row>
    <row r="6347" spans="1:9" x14ac:dyDescent="0.3">
      <c r="B6347" s="5" t="s">
        <v>5577</v>
      </c>
      <c r="C6347" s="5" t="s">
        <v>2745</v>
      </c>
      <c r="D6347" s="5" t="s">
        <v>2750</v>
      </c>
      <c r="E6347" s="5" t="s">
        <v>2750</v>
      </c>
      <c r="F6347" s="5" t="s">
        <v>2748</v>
      </c>
      <c r="G6347" s="5" t="s">
        <v>2749</v>
      </c>
      <c r="H6347" s="6">
        <v>2180</v>
      </c>
      <c r="I6347" s="5"/>
    </row>
    <row r="6348" spans="1:9" x14ac:dyDescent="0.3">
      <c r="B6348" s="5" t="s">
        <v>5577</v>
      </c>
      <c r="C6348" s="5" t="s">
        <v>2745</v>
      </c>
      <c r="D6348" s="5" t="s">
        <v>2750</v>
      </c>
      <c r="E6348" s="5" t="s">
        <v>2750</v>
      </c>
      <c r="F6348" s="5" t="s">
        <v>847</v>
      </c>
      <c r="G6348" s="5" t="s">
        <v>848</v>
      </c>
      <c r="H6348" s="5"/>
      <c r="I6348" s="6">
        <v>2180</v>
      </c>
    </row>
    <row r="6349" spans="1:9" x14ac:dyDescent="0.3">
      <c r="A6349" s="7" t="s">
        <v>5580</v>
      </c>
      <c r="H6349" s="8">
        <f>H6347+H6348</f>
        <v>2180</v>
      </c>
      <c r="I6349" s="8">
        <f>I6347+I6348</f>
        <v>2180</v>
      </c>
    </row>
    <row r="6350" spans="1:9" x14ac:dyDescent="0.3">
      <c r="A6350" s="4" t="s">
        <v>5581</v>
      </c>
    </row>
    <row r="6351" spans="1:9" x14ac:dyDescent="0.3">
      <c r="B6351" s="5" t="s">
        <v>5577</v>
      </c>
      <c r="C6351" s="5" t="s">
        <v>2745</v>
      </c>
      <c r="D6351" s="5" t="s">
        <v>2750</v>
      </c>
      <c r="E6351" s="5" t="s">
        <v>2750</v>
      </c>
      <c r="F6351" s="5" t="s">
        <v>2748</v>
      </c>
      <c r="G6351" s="5" t="s">
        <v>2749</v>
      </c>
      <c r="H6351" s="6">
        <v>1570</v>
      </c>
      <c r="I6351" s="5"/>
    </row>
    <row r="6352" spans="1:9" x14ac:dyDescent="0.3">
      <c r="B6352" s="5" t="s">
        <v>5577</v>
      </c>
      <c r="C6352" s="5" t="s">
        <v>2745</v>
      </c>
      <c r="D6352" s="5" t="s">
        <v>2750</v>
      </c>
      <c r="E6352" s="5" t="s">
        <v>2750</v>
      </c>
      <c r="F6352" s="5" t="s">
        <v>847</v>
      </c>
      <c r="G6352" s="5" t="s">
        <v>848</v>
      </c>
      <c r="H6352" s="5"/>
      <c r="I6352" s="6">
        <v>1570</v>
      </c>
    </row>
    <row r="6353" spans="1:9" x14ac:dyDescent="0.3">
      <c r="A6353" s="7" t="s">
        <v>5582</v>
      </c>
      <c r="H6353" s="8">
        <f>H6351+H6352</f>
        <v>1570</v>
      </c>
      <c r="I6353" s="8">
        <f>I6351+I6352</f>
        <v>1570</v>
      </c>
    </row>
    <row r="6354" spans="1:9" x14ac:dyDescent="0.3">
      <c r="A6354" s="4" t="s">
        <v>5583</v>
      </c>
    </row>
    <row r="6355" spans="1:9" x14ac:dyDescent="0.3">
      <c r="B6355" s="5" t="s">
        <v>5577</v>
      </c>
      <c r="C6355" s="5" t="s">
        <v>2745</v>
      </c>
      <c r="D6355" s="5" t="s">
        <v>2750</v>
      </c>
      <c r="E6355" s="5" t="s">
        <v>2750</v>
      </c>
      <c r="F6355" s="5" t="s">
        <v>2748</v>
      </c>
      <c r="G6355" s="5" t="s">
        <v>2749</v>
      </c>
      <c r="H6355" s="6">
        <v>1800</v>
      </c>
      <c r="I6355" s="5"/>
    </row>
    <row r="6356" spans="1:9" x14ac:dyDescent="0.3">
      <c r="B6356" s="5" t="s">
        <v>5577</v>
      </c>
      <c r="C6356" s="5" t="s">
        <v>2745</v>
      </c>
      <c r="D6356" s="5" t="s">
        <v>2750</v>
      </c>
      <c r="E6356" s="5" t="s">
        <v>2750</v>
      </c>
      <c r="F6356" s="5" t="s">
        <v>847</v>
      </c>
      <c r="G6356" s="5" t="s">
        <v>848</v>
      </c>
      <c r="H6356" s="5"/>
      <c r="I6356" s="6">
        <v>1800</v>
      </c>
    </row>
    <row r="6357" spans="1:9" x14ac:dyDescent="0.3">
      <c r="A6357" s="7" t="s">
        <v>5584</v>
      </c>
      <c r="H6357" s="8">
        <f>H6355+H6356</f>
        <v>1800</v>
      </c>
      <c r="I6357" s="8">
        <f>I6355+I6356</f>
        <v>1800</v>
      </c>
    </row>
    <row r="6358" spans="1:9" x14ac:dyDescent="0.3">
      <c r="A6358" s="4" t="s">
        <v>5585</v>
      </c>
    </row>
    <row r="6359" spans="1:9" x14ac:dyDescent="0.3">
      <c r="B6359" s="5" t="s">
        <v>5577</v>
      </c>
      <c r="C6359" s="5" t="s">
        <v>2745</v>
      </c>
      <c r="D6359" s="5" t="s">
        <v>2750</v>
      </c>
      <c r="E6359" s="5" t="s">
        <v>2750</v>
      </c>
      <c r="F6359" s="5" t="s">
        <v>2748</v>
      </c>
      <c r="G6359" s="5" t="s">
        <v>2749</v>
      </c>
      <c r="H6359" s="6">
        <v>1480</v>
      </c>
      <c r="I6359" s="5"/>
    </row>
    <row r="6360" spans="1:9" x14ac:dyDescent="0.3">
      <c r="B6360" s="5" t="s">
        <v>5577</v>
      </c>
      <c r="C6360" s="5" t="s">
        <v>2745</v>
      </c>
      <c r="D6360" s="5" t="s">
        <v>2750</v>
      </c>
      <c r="E6360" s="5" t="s">
        <v>2750</v>
      </c>
      <c r="F6360" s="5" t="s">
        <v>847</v>
      </c>
      <c r="G6360" s="5" t="s">
        <v>848</v>
      </c>
      <c r="H6360" s="5"/>
      <c r="I6360" s="6">
        <v>1480</v>
      </c>
    </row>
    <row r="6361" spans="1:9" x14ac:dyDescent="0.3">
      <c r="A6361" s="7" t="s">
        <v>5586</v>
      </c>
      <c r="H6361" s="8">
        <f>H6359+H6360</f>
        <v>1480</v>
      </c>
      <c r="I6361" s="8">
        <f>I6359+I6360</f>
        <v>1480</v>
      </c>
    </row>
    <row r="6362" spans="1:9" x14ac:dyDescent="0.3">
      <c r="A6362" s="4" t="s">
        <v>5587</v>
      </c>
    </row>
    <row r="6363" spans="1:9" x14ac:dyDescent="0.3">
      <c r="B6363" s="5" t="s">
        <v>5588</v>
      </c>
      <c r="C6363" s="5" t="s">
        <v>10</v>
      </c>
      <c r="D6363" s="5" t="s">
        <v>5589</v>
      </c>
      <c r="E6363" s="5" t="s">
        <v>4906</v>
      </c>
      <c r="F6363" s="5" t="s">
        <v>113</v>
      </c>
      <c r="G6363" s="5" t="s">
        <v>114</v>
      </c>
      <c r="H6363" s="6">
        <v>1690</v>
      </c>
      <c r="I6363" s="5"/>
    </row>
    <row r="6364" spans="1:9" x14ac:dyDescent="0.3">
      <c r="B6364" s="5" t="s">
        <v>5588</v>
      </c>
      <c r="C6364" s="5" t="s">
        <v>10</v>
      </c>
      <c r="D6364" s="5" t="s">
        <v>5589</v>
      </c>
      <c r="E6364" s="5" t="s">
        <v>4906</v>
      </c>
      <c r="F6364" s="5" t="s">
        <v>1643</v>
      </c>
      <c r="G6364" s="5" t="s">
        <v>1644</v>
      </c>
      <c r="H6364" s="5"/>
      <c r="I6364" s="6">
        <v>1690</v>
      </c>
    </row>
    <row r="6365" spans="1:9" x14ac:dyDescent="0.3">
      <c r="B6365" s="5" t="s">
        <v>5588</v>
      </c>
      <c r="C6365" s="5" t="s">
        <v>10</v>
      </c>
      <c r="D6365" s="5" t="s">
        <v>5589</v>
      </c>
      <c r="E6365" s="5" t="s">
        <v>5590</v>
      </c>
      <c r="F6365" s="5" t="s">
        <v>359</v>
      </c>
      <c r="G6365" s="5" t="s">
        <v>360</v>
      </c>
      <c r="H6365" s="6">
        <v>1232</v>
      </c>
      <c r="I6365" s="5"/>
    </row>
    <row r="6366" spans="1:9" x14ac:dyDescent="0.3">
      <c r="B6366" s="5" t="s">
        <v>5588</v>
      </c>
      <c r="C6366" s="5" t="s">
        <v>10</v>
      </c>
      <c r="D6366" s="5" t="s">
        <v>5589</v>
      </c>
      <c r="E6366" s="5" t="s">
        <v>5590</v>
      </c>
      <c r="F6366" s="5" t="s">
        <v>1643</v>
      </c>
      <c r="G6366" s="5" t="s">
        <v>1644</v>
      </c>
      <c r="H6366" s="5"/>
      <c r="I6366" s="6">
        <v>1232</v>
      </c>
    </row>
    <row r="6367" spans="1:9" x14ac:dyDescent="0.3">
      <c r="B6367" s="5" t="s">
        <v>5588</v>
      </c>
      <c r="C6367" s="5" t="s">
        <v>10</v>
      </c>
      <c r="D6367" s="5" t="s">
        <v>5589</v>
      </c>
      <c r="E6367" s="5" t="s">
        <v>5591</v>
      </c>
      <c r="F6367" s="5" t="s">
        <v>129</v>
      </c>
      <c r="G6367" s="5" t="s">
        <v>130</v>
      </c>
      <c r="H6367" s="6">
        <v>580</v>
      </c>
      <c r="I6367" s="5"/>
    </row>
    <row r="6368" spans="1:9" x14ac:dyDescent="0.3">
      <c r="B6368" s="5" t="s">
        <v>5588</v>
      </c>
      <c r="C6368" s="5" t="s">
        <v>10</v>
      </c>
      <c r="D6368" s="5" t="s">
        <v>5589</v>
      </c>
      <c r="E6368" s="5" t="s">
        <v>5591</v>
      </c>
      <c r="F6368" s="5" t="s">
        <v>1643</v>
      </c>
      <c r="G6368" s="5" t="s">
        <v>1644</v>
      </c>
      <c r="H6368" s="5"/>
      <c r="I6368" s="6">
        <v>580</v>
      </c>
    </row>
    <row r="6369" spans="1:9" x14ac:dyDescent="0.3">
      <c r="B6369" s="5" t="s">
        <v>5588</v>
      </c>
      <c r="C6369" s="5" t="s">
        <v>10</v>
      </c>
      <c r="D6369" s="5" t="s">
        <v>5589</v>
      </c>
      <c r="E6369" s="5" t="s">
        <v>1634</v>
      </c>
      <c r="F6369" s="5" t="s">
        <v>116</v>
      </c>
      <c r="G6369" s="5" t="s">
        <v>117</v>
      </c>
      <c r="H6369" s="6">
        <v>500</v>
      </c>
      <c r="I6369" s="5"/>
    </row>
    <row r="6370" spans="1:9" x14ac:dyDescent="0.3">
      <c r="B6370" s="5" t="s">
        <v>5588</v>
      </c>
      <c r="C6370" s="5" t="s">
        <v>10</v>
      </c>
      <c r="D6370" s="5" t="s">
        <v>5589</v>
      </c>
      <c r="E6370" s="5" t="s">
        <v>1634</v>
      </c>
      <c r="F6370" s="5" t="s">
        <v>1643</v>
      </c>
      <c r="G6370" s="5" t="s">
        <v>1644</v>
      </c>
      <c r="H6370" s="5"/>
      <c r="I6370" s="6">
        <v>500</v>
      </c>
    </row>
    <row r="6371" spans="1:9" x14ac:dyDescent="0.3">
      <c r="A6371" s="7" t="s">
        <v>5592</v>
      </c>
      <c r="H6371" s="8">
        <f>H6363+H6364+H6365+H6366+H6367+H6368+H6369+H6370</f>
        <v>4002</v>
      </c>
      <c r="I6371" s="8">
        <f>I6363+I6364+I6365+I6366+I6367+I6368+I6369+I6370</f>
        <v>4002</v>
      </c>
    </row>
    <row r="6372" spans="1:9" x14ac:dyDescent="0.3">
      <c r="A6372" s="4" t="s">
        <v>5593</v>
      </c>
    </row>
    <row r="6373" spans="1:9" x14ac:dyDescent="0.3">
      <c r="B6373" s="5" t="s">
        <v>5588</v>
      </c>
      <c r="C6373" s="5" t="s">
        <v>10</v>
      </c>
      <c r="D6373" s="5" t="s">
        <v>5594</v>
      </c>
      <c r="E6373" s="5" t="s">
        <v>4906</v>
      </c>
      <c r="F6373" s="5" t="s">
        <v>113</v>
      </c>
      <c r="G6373" s="5" t="s">
        <v>114</v>
      </c>
      <c r="H6373" s="6">
        <v>230</v>
      </c>
      <c r="I6373" s="5"/>
    </row>
    <row r="6374" spans="1:9" x14ac:dyDescent="0.3">
      <c r="B6374" s="5" t="s">
        <v>5588</v>
      </c>
      <c r="C6374" s="5" t="s">
        <v>10</v>
      </c>
      <c r="D6374" s="5" t="s">
        <v>5594</v>
      </c>
      <c r="E6374" s="5" t="s">
        <v>5595</v>
      </c>
      <c r="F6374" s="5" t="s">
        <v>116</v>
      </c>
      <c r="G6374" s="5" t="s">
        <v>117</v>
      </c>
      <c r="H6374" s="6">
        <v>1000</v>
      </c>
      <c r="I6374" s="5"/>
    </row>
    <row r="6375" spans="1:9" x14ac:dyDescent="0.3">
      <c r="B6375" s="5" t="s">
        <v>5588</v>
      </c>
      <c r="C6375" s="5" t="s">
        <v>10</v>
      </c>
      <c r="D6375" s="5" t="s">
        <v>5594</v>
      </c>
      <c r="E6375" s="5" t="s">
        <v>5596</v>
      </c>
      <c r="F6375" s="5" t="s">
        <v>1643</v>
      </c>
      <c r="G6375" s="5" t="s">
        <v>1644</v>
      </c>
      <c r="H6375" s="5"/>
      <c r="I6375" s="6">
        <v>1230</v>
      </c>
    </row>
    <row r="6376" spans="1:9" x14ac:dyDescent="0.3">
      <c r="A6376" s="7" t="s">
        <v>5597</v>
      </c>
      <c r="H6376" s="8">
        <f>H6373+H6374+H6375</f>
        <v>1230</v>
      </c>
      <c r="I6376" s="8">
        <f>I6373+I6374+I6375</f>
        <v>1230</v>
      </c>
    </row>
    <row r="6377" spans="1:9" x14ac:dyDescent="0.3">
      <c r="A6377" s="4" t="s">
        <v>5598</v>
      </c>
    </row>
    <row r="6378" spans="1:9" x14ac:dyDescent="0.3">
      <c r="B6378" s="5" t="s">
        <v>5588</v>
      </c>
      <c r="C6378" s="5" t="s">
        <v>10</v>
      </c>
      <c r="D6378" s="5" t="s">
        <v>5599</v>
      </c>
      <c r="E6378" s="5" t="s">
        <v>5600</v>
      </c>
      <c r="F6378" s="5" t="s">
        <v>1643</v>
      </c>
      <c r="G6378" s="5" t="s">
        <v>1644</v>
      </c>
      <c r="H6378" s="6">
        <v>100000</v>
      </c>
      <c r="I6378" s="5"/>
    </row>
    <row r="6379" spans="1:9" x14ac:dyDescent="0.3">
      <c r="B6379" s="5" t="s">
        <v>5588</v>
      </c>
      <c r="C6379" s="5" t="s">
        <v>10</v>
      </c>
      <c r="D6379" s="5" t="s">
        <v>5599</v>
      </c>
      <c r="E6379" s="5" t="s">
        <v>5600</v>
      </c>
      <c r="F6379" s="5" t="s">
        <v>5518</v>
      </c>
      <c r="G6379" s="5" t="s">
        <v>5519</v>
      </c>
      <c r="H6379" s="5"/>
      <c r="I6379" s="6">
        <v>100000</v>
      </c>
    </row>
    <row r="6380" spans="1:9" x14ac:dyDescent="0.3">
      <c r="A6380" s="7" t="s">
        <v>5601</v>
      </c>
      <c r="H6380" s="8">
        <f>H6378+H6379</f>
        <v>100000</v>
      </c>
      <c r="I6380" s="8">
        <f>I6378+I6379</f>
        <v>100000</v>
      </c>
    </row>
    <row r="6381" spans="1:9" x14ac:dyDescent="0.3">
      <c r="A6381" s="4" t="s">
        <v>5602</v>
      </c>
    </row>
    <row r="6382" spans="1:9" x14ac:dyDescent="0.3">
      <c r="B6382" s="5" t="s">
        <v>5588</v>
      </c>
      <c r="C6382" s="5" t="s">
        <v>10</v>
      </c>
      <c r="D6382" s="5" t="s">
        <v>5603</v>
      </c>
      <c r="E6382" s="5" t="s">
        <v>5604</v>
      </c>
      <c r="F6382" s="5" t="s">
        <v>619</v>
      </c>
      <c r="G6382" s="5" t="s">
        <v>620</v>
      </c>
      <c r="H6382" s="6">
        <v>17500</v>
      </c>
      <c r="I6382" s="5"/>
    </row>
    <row r="6383" spans="1:9" x14ac:dyDescent="0.3">
      <c r="B6383" s="5" t="s">
        <v>5588</v>
      </c>
      <c r="C6383" s="5" t="s">
        <v>10</v>
      </c>
      <c r="D6383" s="5" t="s">
        <v>5603</v>
      </c>
      <c r="E6383" s="5" t="s">
        <v>5604</v>
      </c>
      <c r="F6383" s="5" t="s">
        <v>1643</v>
      </c>
      <c r="G6383" s="5" t="s">
        <v>1644</v>
      </c>
      <c r="H6383" s="5"/>
      <c r="I6383" s="6">
        <v>17500</v>
      </c>
    </row>
    <row r="6384" spans="1:9" x14ac:dyDescent="0.3">
      <c r="A6384" s="7" t="s">
        <v>5605</v>
      </c>
      <c r="H6384" s="8">
        <f>H6382+H6383</f>
        <v>17500</v>
      </c>
      <c r="I6384" s="8">
        <f>I6382+I6383</f>
        <v>17500</v>
      </c>
    </row>
    <row r="6385" spans="1:9" x14ac:dyDescent="0.3">
      <c r="A6385" s="4" t="s">
        <v>5606</v>
      </c>
    </row>
    <row r="6386" spans="1:9" x14ac:dyDescent="0.3">
      <c r="B6386" s="5" t="s">
        <v>5588</v>
      </c>
      <c r="C6386" s="5" t="s">
        <v>10</v>
      </c>
      <c r="D6386" s="5" t="s">
        <v>5607</v>
      </c>
      <c r="E6386" s="5" t="s">
        <v>5608</v>
      </c>
      <c r="F6386" s="5" t="s">
        <v>61</v>
      </c>
      <c r="G6386" s="5" t="s">
        <v>62</v>
      </c>
      <c r="H6386" s="6">
        <v>600</v>
      </c>
      <c r="I6386" s="5"/>
    </row>
    <row r="6387" spans="1:9" x14ac:dyDescent="0.3">
      <c r="B6387" s="5" t="s">
        <v>5588</v>
      </c>
      <c r="C6387" s="5" t="s">
        <v>10</v>
      </c>
      <c r="D6387" s="5" t="s">
        <v>5607</v>
      </c>
      <c r="E6387" s="5" t="s">
        <v>5608</v>
      </c>
      <c r="F6387" s="5" t="s">
        <v>1643</v>
      </c>
      <c r="G6387" s="5" t="s">
        <v>1644</v>
      </c>
      <c r="H6387" s="5"/>
      <c r="I6387" s="6">
        <v>600</v>
      </c>
    </row>
    <row r="6388" spans="1:9" x14ac:dyDescent="0.3">
      <c r="B6388" s="5" t="s">
        <v>5588</v>
      </c>
      <c r="C6388" s="5" t="s">
        <v>10</v>
      </c>
      <c r="D6388" s="5" t="s">
        <v>5607</v>
      </c>
      <c r="E6388" s="5" t="s">
        <v>5609</v>
      </c>
      <c r="F6388" s="5" t="s">
        <v>50</v>
      </c>
      <c r="G6388" s="5" t="s">
        <v>51</v>
      </c>
      <c r="H6388" s="6">
        <v>130</v>
      </c>
      <c r="I6388" s="5"/>
    </row>
    <row r="6389" spans="1:9" x14ac:dyDescent="0.3">
      <c r="B6389" s="5" t="s">
        <v>5588</v>
      </c>
      <c r="C6389" s="5" t="s">
        <v>10</v>
      </c>
      <c r="D6389" s="5" t="s">
        <v>5607</v>
      </c>
      <c r="E6389" s="5" t="s">
        <v>5609</v>
      </c>
      <c r="F6389" s="5" t="s">
        <v>1643</v>
      </c>
      <c r="G6389" s="5" t="s">
        <v>1644</v>
      </c>
      <c r="H6389" s="5"/>
      <c r="I6389" s="6">
        <v>130</v>
      </c>
    </row>
    <row r="6390" spans="1:9" x14ac:dyDescent="0.3">
      <c r="A6390" s="7" t="s">
        <v>5610</v>
      </c>
      <c r="H6390" s="8">
        <f>H6386+H6387+H6388+H6389</f>
        <v>730</v>
      </c>
      <c r="I6390" s="8">
        <f>I6386+I6387+I6388+I6389</f>
        <v>730</v>
      </c>
    </row>
    <row r="6391" spans="1:9" x14ac:dyDescent="0.3">
      <c r="A6391" s="4" t="s">
        <v>5611</v>
      </c>
    </row>
    <row r="6392" spans="1:9" x14ac:dyDescent="0.3">
      <c r="B6392" s="5" t="s">
        <v>5588</v>
      </c>
      <c r="C6392" s="5" t="s">
        <v>10</v>
      </c>
      <c r="D6392" s="5" t="s">
        <v>5612</v>
      </c>
      <c r="E6392" s="5" t="s">
        <v>5613</v>
      </c>
      <c r="F6392" s="5" t="s">
        <v>61</v>
      </c>
      <c r="G6392" s="5" t="s">
        <v>62</v>
      </c>
      <c r="H6392" s="6">
        <v>160</v>
      </c>
      <c r="I6392" s="5"/>
    </row>
    <row r="6393" spans="1:9" x14ac:dyDescent="0.3">
      <c r="B6393" s="5" t="s">
        <v>5588</v>
      </c>
      <c r="C6393" s="5" t="s">
        <v>10</v>
      </c>
      <c r="D6393" s="5" t="s">
        <v>5612</v>
      </c>
      <c r="E6393" s="5" t="s">
        <v>1634</v>
      </c>
      <c r="F6393" s="5" t="s">
        <v>116</v>
      </c>
      <c r="G6393" s="5" t="s">
        <v>117</v>
      </c>
      <c r="H6393" s="6">
        <v>500</v>
      </c>
      <c r="I6393" s="5"/>
    </row>
    <row r="6394" spans="1:9" x14ac:dyDescent="0.3">
      <c r="B6394" s="5" t="s">
        <v>5588</v>
      </c>
      <c r="C6394" s="5" t="s">
        <v>10</v>
      </c>
      <c r="D6394" s="5" t="s">
        <v>5612</v>
      </c>
      <c r="E6394" s="5" t="s">
        <v>5614</v>
      </c>
      <c r="F6394" s="5" t="s">
        <v>113</v>
      </c>
      <c r="G6394" s="5" t="s">
        <v>114</v>
      </c>
      <c r="H6394" s="6">
        <v>460</v>
      </c>
      <c r="I6394" s="5"/>
    </row>
    <row r="6395" spans="1:9" x14ac:dyDescent="0.3">
      <c r="B6395" s="5" t="s">
        <v>5588</v>
      </c>
      <c r="C6395" s="5" t="s">
        <v>10</v>
      </c>
      <c r="D6395" s="5" t="s">
        <v>5612</v>
      </c>
      <c r="E6395" s="5" t="s">
        <v>5615</v>
      </c>
      <c r="F6395" s="5" t="s">
        <v>1643</v>
      </c>
      <c r="G6395" s="5" t="s">
        <v>1644</v>
      </c>
      <c r="H6395" s="5"/>
      <c r="I6395" s="6">
        <v>1120</v>
      </c>
    </row>
    <row r="6396" spans="1:9" x14ac:dyDescent="0.3">
      <c r="A6396" s="7" t="s">
        <v>5616</v>
      </c>
      <c r="H6396" s="8">
        <f>H6392+H6393+H6394+H6395</f>
        <v>1120</v>
      </c>
      <c r="I6396" s="8">
        <f>I6392+I6393+I6394+I6395</f>
        <v>1120</v>
      </c>
    </row>
    <row r="6397" spans="1:9" x14ac:dyDescent="0.3">
      <c r="A6397" s="4" t="s">
        <v>5617</v>
      </c>
    </row>
    <row r="6398" spans="1:9" x14ac:dyDescent="0.3">
      <c r="B6398" s="5" t="s">
        <v>5588</v>
      </c>
      <c r="C6398" s="5" t="s">
        <v>10</v>
      </c>
      <c r="D6398" s="5" t="s">
        <v>5618</v>
      </c>
      <c r="E6398" s="5" t="s">
        <v>5619</v>
      </c>
      <c r="F6398" s="5" t="s">
        <v>5518</v>
      </c>
      <c r="G6398" s="5" t="s">
        <v>5519</v>
      </c>
      <c r="H6398" s="6">
        <v>3000000</v>
      </c>
      <c r="I6398" s="5"/>
    </row>
    <row r="6399" spans="1:9" x14ac:dyDescent="0.3">
      <c r="B6399" s="5" t="s">
        <v>5588</v>
      </c>
      <c r="C6399" s="5" t="s">
        <v>10</v>
      </c>
      <c r="D6399" s="5" t="s">
        <v>5618</v>
      </c>
      <c r="E6399" s="5" t="s">
        <v>5619</v>
      </c>
      <c r="F6399" s="5" t="s">
        <v>4844</v>
      </c>
      <c r="G6399" s="5" t="s">
        <v>4845</v>
      </c>
      <c r="H6399" s="5"/>
      <c r="I6399" s="6">
        <v>3000000</v>
      </c>
    </row>
    <row r="6400" spans="1:9" x14ac:dyDescent="0.3">
      <c r="A6400" s="7" t="s">
        <v>5620</v>
      </c>
      <c r="H6400" s="8">
        <f>H6398+H6399</f>
        <v>3000000</v>
      </c>
      <c r="I6400" s="8">
        <f>I6398+I6399</f>
        <v>3000000</v>
      </c>
    </row>
    <row r="6401" spans="1:9" x14ac:dyDescent="0.3">
      <c r="A6401" s="4" t="s">
        <v>5621</v>
      </c>
    </row>
    <row r="6402" spans="1:9" ht="21.6" x14ac:dyDescent="0.3">
      <c r="B6402" s="5" t="s">
        <v>5588</v>
      </c>
      <c r="C6402" s="5" t="s">
        <v>10</v>
      </c>
      <c r="D6402" s="5" t="s">
        <v>5622</v>
      </c>
      <c r="E6402" s="5" t="s">
        <v>5623</v>
      </c>
      <c r="F6402" s="5" t="s">
        <v>5624</v>
      </c>
      <c r="G6402" s="5" t="s">
        <v>5625</v>
      </c>
      <c r="H6402" s="6">
        <v>1076100</v>
      </c>
      <c r="I6402" s="5"/>
    </row>
    <row r="6403" spans="1:9" ht="21.6" x14ac:dyDescent="0.3">
      <c r="B6403" s="5" t="s">
        <v>5588</v>
      </c>
      <c r="C6403" s="5" t="s">
        <v>10</v>
      </c>
      <c r="D6403" s="5" t="s">
        <v>5622</v>
      </c>
      <c r="E6403" s="5" t="s">
        <v>5623</v>
      </c>
      <c r="F6403" s="5" t="s">
        <v>5518</v>
      </c>
      <c r="G6403" s="5" t="s">
        <v>5519</v>
      </c>
      <c r="H6403" s="5"/>
      <c r="I6403" s="6">
        <v>1076100</v>
      </c>
    </row>
    <row r="6404" spans="1:9" x14ac:dyDescent="0.3">
      <c r="A6404" s="7" t="s">
        <v>5626</v>
      </c>
      <c r="H6404" s="8">
        <f>H6402+H6403</f>
        <v>1076100</v>
      </c>
      <c r="I6404" s="8">
        <f>I6402+I6403</f>
        <v>1076100</v>
      </c>
    </row>
    <row r="6405" spans="1:9" x14ac:dyDescent="0.3">
      <c r="A6405" s="4" t="s">
        <v>5627</v>
      </c>
    </row>
    <row r="6406" spans="1:9" x14ac:dyDescent="0.3">
      <c r="B6406" s="5" t="s">
        <v>5588</v>
      </c>
      <c r="C6406" s="5" t="s">
        <v>10</v>
      </c>
      <c r="D6406" s="5" t="s">
        <v>5628</v>
      </c>
      <c r="E6406" s="5" t="s">
        <v>5629</v>
      </c>
      <c r="F6406" s="5" t="s">
        <v>5630</v>
      </c>
      <c r="G6406" s="5" t="s">
        <v>5631</v>
      </c>
      <c r="H6406" s="6">
        <v>595000</v>
      </c>
      <c r="I6406" s="5"/>
    </row>
    <row r="6407" spans="1:9" x14ac:dyDescent="0.3">
      <c r="B6407" s="5" t="s">
        <v>5588</v>
      </c>
      <c r="C6407" s="5" t="s">
        <v>10</v>
      </c>
      <c r="D6407" s="5" t="s">
        <v>5628</v>
      </c>
      <c r="E6407" s="5" t="s">
        <v>5629</v>
      </c>
      <c r="F6407" s="5" t="s">
        <v>5518</v>
      </c>
      <c r="G6407" s="5" t="s">
        <v>5519</v>
      </c>
      <c r="H6407" s="5"/>
      <c r="I6407" s="6">
        <v>595000</v>
      </c>
    </row>
    <row r="6408" spans="1:9" x14ac:dyDescent="0.3">
      <c r="A6408" s="7" t="s">
        <v>5632</v>
      </c>
      <c r="H6408" s="8">
        <f>H6406+H6407</f>
        <v>595000</v>
      </c>
      <c r="I6408" s="8">
        <f>I6406+I6407</f>
        <v>595000</v>
      </c>
    </row>
    <row r="6409" spans="1:9" x14ac:dyDescent="0.3">
      <c r="A6409" s="4" t="s">
        <v>5633</v>
      </c>
    </row>
    <row r="6410" spans="1:9" x14ac:dyDescent="0.3">
      <c r="B6410" s="5" t="s">
        <v>5588</v>
      </c>
      <c r="C6410" s="5" t="s">
        <v>2745</v>
      </c>
      <c r="D6410" s="5" t="s">
        <v>2750</v>
      </c>
      <c r="E6410" s="5" t="s">
        <v>2750</v>
      </c>
      <c r="F6410" s="5" t="s">
        <v>2748</v>
      </c>
      <c r="G6410" s="5" t="s">
        <v>2749</v>
      </c>
      <c r="H6410" s="6">
        <v>4840</v>
      </c>
      <c r="I6410" s="5"/>
    </row>
    <row r="6411" spans="1:9" x14ac:dyDescent="0.3">
      <c r="B6411" s="5" t="s">
        <v>5588</v>
      </c>
      <c r="C6411" s="5" t="s">
        <v>2745</v>
      </c>
      <c r="D6411" s="5" t="s">
        <v>2750</v>
      </c>
      <c r="E6411" s="5" t="s">
        <v>2750</v>
      </c>
      <c r="F6411" s="5" t="s">
        <v>847</v>
      </c>
      <c r="G6411" s="5" t="s">
        <v>848</v>
      </c>
      <c r="H6411" s="5"/>
      <c r="I6411" s="6">
        <v>4840</v>
      </c>
    </row>
    <row r="6412" spans="1:9" x14ac:dyDescent="0.3">
      <c r="A6412" s="7" t="s">
        <v>5634</v>
      </c>
      <c r="H6412" s="8">
        <f>H6410+H6411</f>
        <v>4840</v>
      </c>
      <c r="I6412" s="8">
        <f>I6410+I6411</f>
        <v>4840</v>
      </c>
    </row>
    <row r="6413" spans="1:9" x14ac:dyDescent="0.3">
      <c r="A6413" s="4" t="s">
        <v>5635</v>
      </c>
    </row>
    <row r="6414" spans="1:9" x14ac:dyDescent="0.3">
      <c r="B6414" s="5" t="s">
        <v>5588</v>
      </c>
      <c r="C6414" s="5" t="s">
        <v>2745</v>
      </c>
      <c r="D6414" s="5" t="s">
        <v>2750</v>
      </c>
      <c r="E6414" s="5" t="s">
        <v>2750</v>
      </c>
      <c r="F6414" s="5" t="s">
        <v>2748</v>
      </c>
      <c r="G6414" s="5" t="s">
        <v>2749</v>
      </c>
      <c r="H6414" s="6">
        <v>5420</v>
      </c>
      <c r="I6414" s="5"/>
    </row>
    <row r="6415" spans="1:9" x14ac:dyDescent="0.3">
      <c r="B6415" s="5" t="s">
        <v>5588</v>
      </c>
      <c r="C6415" s="5" t="s">
        <v>2745</v>
      </c>
      <c r="D6415" s="5" t="s">
        <v>2750</v>
      </c>
      <c r="E6415" s="5" t="s">
        <v>2750</v>
      </c>
      <c r="F6415" s="5" t="s">
        <v>847</v>
      </c>
      <c r="G6415" s="5" t="s">
        <v>848</v>
      </c>
      <c r="H6415" s="5"/>
      <c r="I6415" s="6">
        <v>5420</v>
      </c>
    </row>
    <row r="6416" spans="1:9" x14ac:dyDescent="0.3">
      <c r="A6416" s="7" t="s">
        <v>5636</v>
      </c>
      <c r="H6416" s="8">
        <f>H6414+H6415</f>
        <v>5420</v>
      </c>
      <c r="I6416" s="8">
        <f>I6414+I6415</f>
        <v>5420</v>
      </c>
    </row>
    <row r="6417" spans="1:9" x14ac:dyDescent="0.3">
      <c r="A6417" s="4" t="s">
        <v>5637</v>
      </c>
    </row>
    <row r="6418" spans="1:9" x14ac:dyDescent="0.3">
      <c r="B6418" s="5" t="s">
        <v>5588</v>
      </c>
      <c r="C6418" s="5" t="s">
        <v>2745</v>
      </c>
      <c r="D6418" s="5" t="s">
        <v>2750</v>
      </c>
      <c r="E6418" s="5" t="s">
        <v>2750</v>
      </c>
      <c r="F6418" s="5" t="s">
        <v>2748</v>
      </c>
      <c r="G6418" s="5" t="s">
        <v>2749</v>
      </c>
      <c r="H6418" s="6">
        <v>1790</v>
      </c>
      <c r="I6418" s="5"/>
    </row>
    <row r="6419" spans="1:9" x14ac:dyDescent="0.3">
      <c r="B6419" s="5" t="s">
        <v>5588</v>
      </c>
      <c r="C6419" s="5" t="s">
        <v>2745</v>
      </c>
      <c r="D6419" s="5" t="s">
        <v>2750</v>
      </c>
      <c r="E6419" s="5" t="s">
        <v>2750</v>
      </c>
      <c r="F6419" s="5" t="s">
        <v>847</v>
      </c>
      <c r="G6419" s="5" t="s">
        <v>848</v>
      </c>
      <c r="H6419" s="5"/>
      <c r="I6419" s="6">
        <v>1790</v>
      </c>
    </row>
    <row r="6420" spans="1:9" x14ac:dyDescent="0.3">
      <c r="A6420" s="7" t="s">
        <v>5638</v>
      </c>
      <c r="H6420" s="8">
        <f>H6418+H6419</f>
        <v>1790</v>
      </c>
      <c r="I6420" s="8">
        <f>I6418+I6419</f>
        <v>1790</v>
      </c>
    </row>
    <row r="6421" spans="1:9" x14ac:dyDescent="0.3">
      <c r="A6421" s="4" t="s">
        <v>5639</v>
      </c>
    </row>
    <row r="6422" spans="1:9" x14ac:dyDescent="0.3">
      <c r="B6422" s="5" t="s">
        <v>5588</v>
      </c>
      <c r="C6422" s="5" t="s">
        <v>2745</v>
      </c>
      <c r="D6422" s="5" t="s">
        <v>2750</v>
      </c>
      <c r="E6422" s="5" t="s">
        <v>2750</v>
      </c>
      <c r="F6422" s="5" t="s">
        <v>2748</v>
      </c>
      <c r="G6422" s="5" t="s">
        <v>2749</v>
      </c>
      <c r="H6422" s="6">
        <v>2360</v>
      </c>
      <c r="I6422" s="5"/>
    </row>
    <row r="6423" spans="1:9" x14ac:dyDescent="0.3">
      <c r="B6423" s="5" t="s">
        <v>5588</v>
      </c>
      <c r="C6423" s="5" t="s">
        <v>2745</v>
      </c>
      <c r="D6423" s="5" t="s">
        <v>2750</v>
      </c>
      <c r="E6423" s="5" t="s">
        <v>2750</v>
      </c>
      <c r="F6423" s="5" t="s">
        <v>847</v>
      </c>
      <c r="G6423" s="5" t="s">
        <v>848</v>
      </c>
      <c r="H6423" s="5"/>
      <c r="I6423" s="6">
        <v>2360</v>
      </c>
    </row>
    <row r="6424" spans="1:9" x14ac:dyDescent="0.3">
      <c r="A6424" s="7" t="s">
        <v>5640</v>
      </c>
      <c r="H6424" s="8">
        <f>H6422+H6423</f>
        <v>2360</v>
      </c>
      <c r="I6424" s="8">
        <f>I6422+I6423</f>
        <v>2360</v>
      </c>
    </row>
    <row r="6425" spans="1:9" x14ac:dyDescent="0.3">
      <c r="A6425" s="4" t="s">
        <v>5641</v>
      </c>
    </row>
    <row r="6426" spans="1:9" x14ac:dyDescent="0.3">
      <c r="B6426" s="5" t="s">
        <v>5588</v>
      </c>
      <c r="C6426" s="5" t="s">
        <v>2745</v>
      </c>
      <c r="D6426" s="5" t="s">
        <v>2750</v>
      </c>
      <c r="E6426" s="5" t="s">
        <v>2750</v>
      </c>
      <c r="F6426" s="5" t="s">
        <v>2748</v>
      </c>
      <c r="G6426" s="5" t="s">
        <v>2749</v>
      </c>
      <c r="H6426" s="6">
        <v>4840</v>
      </c>
      <c r="I6426" s="5"/>
    </row>
    <row r="6427" spans="1:9" x14ac:dyDescent="0.3">
      <c r="B6427" s="5" t="s">
        <v>5588</v>
      </c>
      <c r="C6427" s="5" t="s">
        <v>2745</v>
      </c>
      <c r="D6427" s="5" t="s">
        <v>2750</v>
      </c>
      <c r="E6427" s="5" t="s">
        <v>2750</v>
      </c>
      <c r="F6427" s="5" t="s">
        <v>847</v>
      </c>
      <c r="G6427" s="5" t="s">
        <v>848</v>
      </c>
      <c r="H6427" s="5"/>
      <c r="I6427" s="6">
        <v>4840</v>
      </c>
    </row>
    <row r="6428" spans="1:9" x14ac:dyDescent="0.3">
      <c r="A6428" s="7" t="s">
        <v>5642</v>
      </c>
      <c r="H6428" s="8">
        <f>H6426+H6427</f>
        <v>4840</v>
      </c>
      <c r="I6428" s="8">
        <f>I6426+I6427</f>
        <v>4840</v>
      </c>
    </row>
    <row r="6429" spans="1:9" x14ac:dyDescent="0.3">
      <c r="A6429" s="4" t="s">
        <v>5643</v>
      </c>
    </row>
    <row r="6430" spans="1:9" x14ac:dyDescent="0.3">
      <c r="B6430" s="5" t="s">
        <v>5588</v>
      </c>
      <c r="C6430" s="5" t="s">
        <v>2745</v>
      </c>
      <c r="D6430" s="5" t="s">
        <v>2750</v>
      </c>
      <c r="E6430" s="5" t="s">
        <v>2750</v>
      </c>
      <c r="F6430" s="5" t="s">
        <v>2748</v>
      </c>
      <c r="G6430" s="5" t="s">
        <v>2749</v>
      </c>
      <c r="H6430" s="6">
        <v>2000</v>
      </c>
      <c r="I6430" s="5"/>
    </row>
    <row r="6431" spans="1:9" x14ac:dyDescent="0.3">
      <c r="B6431" s="5" t="s">
        <v>5588</v>
      </c>
      <c r="C6431" s="5" t="s">
        <v>2745</v>
      </c>
      <c r="D6431" s="5" t="s">
        <v>2750</v>
      </c>
      <c r="E6431" s="5" t="s">
        <v>2750</v>
      </c>
      <c r="F6431" s="5" t="s">
        <v>847</v>
      </c>
      <c r="G6431" s="5" t="s">
        <v>848</v>
      </c>
      <c r="H6431" s="5"/>
      <c r="I6431" s="6">
        <v>2000</v>
      </c>
    </row>
    <row r="6432" spans="1:9" x14ac:dyDescent="0.3">
      <c r="A6432" s="7" t="s">
        <v>5644</v>
      </c>
      <c r="H6432" s="8">
        <f>H6430+H6431</f>
        <v>2000</v>
      </c>
      <c r="I6432" s="8">
        <f>I6430+I6431</f>
        <v>2000</v>
      </c>
    </row>
    <row r="6433" spans="1:9" x14ac:dyDescent="0.3">
      <c r="A6433" s="4" t="s">
        <v>5645</v>
      </c>
    </row>
    <row r="6434" spans="1:9" x14ac:dyDescent="0.3">
      <c r="B6434" s="5" t="s">
        <v>5588</v>
      </c>
      <c r="C6434" s="5" t="s">
        <v>2745</v>
      </c>
      <c r="D6434" s="5" t="s">
        <v>2750</v>
      </c>
      <c r="E6434" s="5" t="s">
        <v>2750</v>
      </c>
      <c r="F6434" s="5" t="s">
        <v>2748</v>
      </c>
      <c r="G6434" s="5" t="s">
        <v>2749</v>
      </c>
      <c r="H6434" s="6">
        <v>2460</v>
      </c>
      <c r="I6434" s="5"/>
    </row>
    <row r="6435" spans="1:9" x14ac:dyDescent="0.3">
      <c r="B6435" s="5" t="s">
        <v>5588</v>
      </c>
      <c r="C6435" s="5" t="s">
        <v>2745</v>
      </c>
      <c r="D6435" s="5" t="s">
        <v>2750</v>
      </c>
      <c r="E6435" s="5" t="s">
        <v>2750</v>
      </c>
      <c r="F6435" s="5" t="s">
        <v>847</v>
      </c>
      <c r="G6435" s="5" t="s">
        <v>848</v>
      </c>
      <c r="H6435" s="5"/>
      <c r="I6435" s="6">
        <v>2460</v>
      </c>
    </row>
    <row r="6436" spans="1:9" x14ac:dyDescent="0.3">
      <c r="A6436" s="7" t="s">
        <v>5646</v>
      </c>
      <c r="H6436" s="8">
        <f>H6434+H6435</f>
        <v>2460</v>
      </c>
      <c r="I6436" s="8">
        <f>I6434+I6435</f>
        <v>2460</v>
      </c>
    </row>
    <row r="6437" spans="1:9" x14ac:dyDescent="0.3">
      <c r="A6437" s="4" t="s">
        <v>5647</v>
      </c>
    </row>
    <row r="6438" spans="1:9" x14ac:dyDescent="0.3">
      <c r="B6438" s="5" t="s">
        <v>5648</v>
      </c>
      <c r="C6438" s="5" t="s">
        <v>10</v>
      </c>
      <c r="D6438" s="5" t="s">
        <v>5649</v>
      </c>
      <c r="E6438" s="5" t="s">
        <v>5650</v>
      </c>
      <c r="F6438" s="5" t="s">
        <v>67</v>
      </c>
      <c r="G6438" s="5" t="s">
        <v>68</v>
      </c>
      <c r="H6438" s="6">
        <v>1800</v>
      </c>
      <c r="I6438" s="5"/>
    </row>
    <row r="6439" spans="1:9" x14ac:dyDescent="0.3">
      <c r="B6439" s="5" t="s">
        <v>5648</v>
      </c>
      <c r="C6439" s="5" t="s">
        <v>10</v>
      </c>
      <c r="D6439" s="5" t="s">
        <v>5649</v>
      </c>
      <c r="E6439" s="5" t="s">
        <v>5651</v>
      </c>
      <c r="F6439" s="5" t="s">
        <v>67</v>
      </c>
      <c r="G6439" s="5" t="s">
        <v>68</v>
      </c>
      <c r="H6439" s="6">
        <v>2200</v>
      </c>
      <c r="I6439" s="5"/>
    </row>
    <row r="6440" spans="1:9" x14ac:dyDescent="0.3">
      <c r="B6440" s="5" t="s">
        <v>5648</v>
      </c>
      <c r="C6440" s="5" t="s">
        <v>10</v>
      </c>
      <c r="D6440" s="5" t="s">
        <v>5649</v>
      </c>
      <c r="E6440" s="5" t="s">
        <v>5652</v>
      </c>
      <c r="F6440" s="5" t="s">
        <v>67</v>
      </c>
      <c r="G6440" s="5" t="s">
        <v>68</v>
      </c>
      <c r="H6440" s="6">
        <v>1000</v>
      </c>
      <c r="I6440" s="5"/>
    </row>
    <row r="6441" spans="1:9" x14ac:dyDescent="0.3">
      <c r="B6441" s="5" t="s">
        <v>5648</v>
      </c>
      <c r="C6441" s="5" t="s">
        <v>10</v>
      </c>
      <c r="D6441" s="5" t="s">
        <v>5649</v>
      </c>
      <c r="E6441" s="5" t="s">
        <v>5653</v>
      </c>
      <c r="F6441" s="5" t="s">
        <v>67</v>
      </c>
      <c r="G6441" s="5" t="s">
        <v>68</v>
      </c>
      <c r="H6441" s="6">
        <v>1600</v>
      </c>
      <c r="I6441" s="5"/>
    </row>
    <row r="6442" spans="1:9" x14ac:dyDescent="0.3">
      <c r="B6442" s="5" t="s">
        <v>5648</v>
      </c>
      <c r="C6442" s="5" t="s">
        <v>10</v>
      </c>
      <c r="D6442" s="5" t="s">
        <v>5649</v>
      </c>
      <c r="E6442" s="5" t="s">
        <v>5654</v>
      </c>
      <c r="F6442" s="5" t="s">
        <v>61</v>
      </c>
      <c r="G6442" s="5" t="s">
        <v>62</v>
      </c>
      <c r="H6442" s="6">
        <v>4500</v>
      </c>
      <c r="I6442" s="5"/>
    </row>
    <row r="6443" spans="1:9" x14ac:dyDescent="0.3">
      <c r="B6443" s="5" t="s">
        <v>5648</v>
      </c>
      <c r="C6443" s="5" t="s">
        <v>10</v>
      </c>
      <c r="D6443" s="5" t="s">
        <v>5649</v>
      </c>
      <c r="E6443" s="5" t="s">
        <v>5654</v>
      </c>
      <c r="F6443" s="5" t="s">
        <v>5624</v>
      </c>
      <c r="G6443" s="5" t="s">
        <v>5625</v>
      </c>
      <c r="H6443" s="5"/>
      <c r="I6443" s="6">
        <v>11100</v>
      </c>
    </row>
    <row r="6444" spans="1:9" x14ac:dyDescent="0.3">
      <c r="B6444" s="5" t="s">
        <v>5648</v>
      </c>
      <c r="C6444" s="5" t="s">
        <v>10</v>
      </c>
      <c r="D6444" s="5" t="s">
        <v>5649</v>
      </c>
      <c r="E6444" s="5" t="s">
        <v>5655</v>
      </c>
      <c r="F6444" s="5" t="s">
        <v>831</v>
      </c>
      <c r="G6444" s="5" t="s">
        <v>832</v>
      </c>
      <c r="H6444" s="6">
        <v>500000</v>
      </c>
      <c r="I6444" s="5"/>
    </row>
    <row r="6445" spans="1:9" x14ac:dyDescent="0.3">
      <c r="B6445" s="5" t="s">
        <v>5648</v>
      </c>
      <c r="C6445" s="5" t="s">
        <v>10</v>
      </c>
      <c r="D6445" s="5" t="s">
        <v>5649</v>
      </c>
      <c r="E6445" s="5" t="s">
        <v>5655</v>
      </c>
      <c r="F6445" s="5" t="s">
        <v>831</v>
      </c>
      <c r="G6445" s="5" t="s">
        <v>832</v>
      </c>
      <c r="H6445" s="6">
        <v>560000</v>
      </c>
      <c r="I6445" s="5"/>
    </row>
    <row r="6446" spans="1:9" x14ac:dyDescent="0.3">
      <c r="B6446" s="5" t="s">
        <v>5648</v>
      </c>
      <c r="C6446" s="5" t="s">
        <v>10</v>
      </c>
      <c r="D6446" s="5" t="s">
        <v>5649</v>
      </c>
      <c r="E6446" s="5" t="s">
        <v>5655</v>
      </c>
      <c r="F6446" s="5" t="s">
        <v>5624</v>
      </c>
      <c r="G6446" s="5" t="s">
        <v>5625</v>
      </c>
      <c r="H6446" s="5"/>
      <c r="I6446" s="6">
        <v>1060000</v>
      </c>
    </row>
    <row r="6447" spans="1:9" x14ac:dyDescent="0.3">
      <c r="A6447" s="7" t="s">
        <v>5656</v>
      </c>
      <c r="H6447" s="8">
        <f>H6438+H6439+H6440+H6441+H6442+H6443+H6444+H6445+H6446</f>
        <v>1071100</v>
      </c>
      <c r="I6447" s="8">
        <f>I6438+I6439+I6440+I6441+I6442+I6443+I6444+I6445+I6446</f>
        <v>1071100</v>
      </c>
    </row>
    <row r="6448" spans="1:9" x14ac:dyDescent="0.3">
      <c r="A6448" s="4" t="s">
        <v>5657</v>
      </c>
    </row>
    <row r="6449" spans="1:9" x14ac:dyDescent="0.3">
      <c r="B6449" s="5" t="s">
        <v>5648</v>
      </c>
      <c r="C6449" s="5" t="s">
        <v>2745</v>
      </c>
      <c r="D6449" s="5" t="s">
        <v>2750</v>
      </c>
      <c r="E6449" s="5" t="s">
        <v>2750</v>
      </c>
      <c r="F6449" s="5" t="s">
        <v>2748</v>
      </c>
      <c r="G6449" s="5" t="s">
        <v>2749</v>
      </c>
      <c r="H6449" s="6">
        <v>5800</v>
      </c>
      <c r="I6449" s="5"/>
    </row>
    <row r="6450" spans="1:9" x14ac:dyDescent="0.3">
      <c r="B6450" s="5" t="s">
        <v>5648</v>
      </c>
      <c r="C6450" s="5" t="s">
        <v>2745</v>
      </c>
      <c r="D6450" s="5" t="s">
        <v>2750</v>
      </c>
      <c r="E6450" s="5" t="s">
        <v>2750</v>
      </c>
      <c r="F6450" s="5" t="s">
        <v>847</v>
      </c>
      <c r="G6450" s="5" t="s">
        <v>848</v>
      </c>
      <c r="H6450" s="5"/>
      <c r="I6450" s="6">
        <v>5800</v>
      </c>
    </row>
    <row r="6451" spans="1:9" x14ac:dyDescent="0.3">
      <c r="A6451" s="7" t="s">
        <v>5658</v>
      </c>
      <c r="H6451" s="8">
        <f>H6449+H6450</f>
        <v>5800</v>
      </c>
      <c r="I6451" s="8">
        <f>I6449+I6450</f>
        <v>5800</v>
      </c>
    </row>
    <row r="6452" spans="1:9" x14ac:dyDescent="0.3">
      <c r="A6452" s="4" t="s">
        <v>5659</v>
      </c>
    </row>
    <row r="6453" spans="1:9" x14ac:dyDescent="0.3">
      <c r="B6453" s="5" t="s">
        <v>5648</v>
      </c>
      <c r="C6453" s="5" t="s">
        <v>10</v>
      </c>
      <c r="D6453" s="5" t="s">
        <v>5660</v>
      </c>
      <c r="E6453" s="5" t="s">
        <v>5661</v>
      </c>
      <c r="F6453" s="5" t="s">
        <v>831</v>
      </c>
      <c r="G6453" s="5" t="s">
        <v>832</v>
      </c>
      <c r="H6453" s="6">
        <v>290000</v>
      </c>
      <c r="I6453" s="5"/>
    </row>
    <row r="6454" spans="1:9" x14ac:dyDescent="0.3">
      <c r="B6454" s="5" t="s">
        <v>5648</v>
      </c>
      <c r="C6454" s="5" t="s">
        <v>10</v>
      </c>
      <c r="D6454" s="5" t="s">
        <v>5660</v>
      </c>
      <c r="E6454" s="5" t="s">
        <v>5661</v>
      </c>
      <c r="F6454" s="5" t="s">
        <v>831</v>
      </c>
      <c r="G6454" s="5" t="s">
        <v>832</v>
      </c>
      <c r="H6454" s="6">
        <v>300000</v>
      </c>
      <c r="I6454" s="5"/>
    </row>
    <row r="6455" spans="1:9" x14ac:dyDescent="0.3">
      <c r="B6455" s="5" t="s">
        <v>5648</v>
      </c>
      <c r="C6455" s="5" t="s">
        <v>10</v>
      </c>
      <c r="D6455" s="5" t="s">
        <v>5660</v>
      </c>
      <c r="E6455" s="5" t="s">
        <v>5661</v>
      </c>
      <c r="F6455" s="5" t="s">
        <v>5630</v>
      </c>
      <c r="G6455" s="5" t="s">
        <v>5631</v>
      </c>
      <c r="H6455" s="5"/>
      <c r="I6455" s="6">
        <v>590000</v>
      </c>
    </row>
    <row r="6456" spans="1:9" x14ac:dyDescent="0.3">
      <c r="A6456" s="7" t="s">
        <v>5662</v>
      </c>
      <c r="H6456" s="8">
        <f>H6453+H6454+H6455</f>
        <v>590000</v>
      </c>
      <c r="I6456" s="8">
        <f>I6453+I6454+I6455</f>
        <v>590000</v>
      </c>
    </row>
    <row r="6457" spans="1:9" x14ac:dyDescent="0.3">
      <c r="A6457" s="4" t="s">
        <v>5663</v>
      </c>
    </row>
    <row r="6458" spans="1:9" x14ac:dyDescent="0.3">
      <c r="B6458" s="5" t="s">
        <v>5648</v>
      </c>
      <c r="C6458" s="5" t="s">
        <v>844</v>
      </c>
      <c r="D6458" s="5" t="s">
        <v>5664</v>
      </c>
      <c r="E6458" s="5" t="s">
        <v>2750</v>
      </c>
      <c r="F6458" s="5" t="s">
        <v>847</v>
      </c>
      <c r="G6458" s="5" t="s">
        <v>848</v>
      </c>
      <c r="H6458" s="6">
        <v>260400</v>
      </c>
      <c r="I6458" s="5"/>
    </row>
    <row r="6459" spans="1:9" x14ac:dyDescent="0.3">
      <c r="B6459" s="5" t="s">
        <v>5648</v>
      </c>
      <c r="C6459" s="5" t="s">
        <v>844</v>
      </c>
      <c r="D6459" s="5" t="s">
        <v>5664</v>
      </c>
      <c r="E6459" s="5" t="s">
        <v>2987</v>
      </c>
      <c r="F6459" s="5" t="s">
        <v>831</v>
      </c>
      <c r="G6459" s="5" t="s">
        <v>832</v>
      </c>
      <c r="H6459" s="5"/>
      <c r="I6459" s="6">
        <v>210000</v>
      </c>
    </row>
    <row r="6460" spans="1:9" x14ac:dyDescent="0.3">
      <c r="B6460" s="5" t="s">
        <v>5648</v>
      </c>
      <c r="C6460" s="5" t="s">
        <v>844</v>
      </c>
      <c r="D6460" s="5" t="s">
        <v>5664</v>
      </c>
      <c r="E6460" s="5" t="s">
        <v>1993</v>
      </c>
      <c r="F6460" s="5" t="s">
        <v>867</v>
      </c>
      <c r="G6460" s="5" t="s">
        <v>868</v>
      </c>
      <c r="H6460" s="5"/>
      <c r="I6460" s="6">
        <v>50400</v>
      </c>
    </row>
    <row r="6461" spans="1:9" x14ac:dyDescent="0.3">
      <c r="A6461" s="7" t="s">
        <v>5665</v>
      </c>
      <c r="H6461" s="8">
        <f>H6458+H6459+H6460</f>
        <v>260400</v>
      </c>
      <c r="I6461" s="8">
        <f>I6458+I6459+I6460</f>
        <v>260400</v>
      </c>
    </row>
    <row r="6462" spans="1:9" x14ac:dyDescent="0.3">
      <c r="A6462" s="4" t="s">
        <v>5666</v>
      </c>
    </row>
    <row r="6463" spans="1:9" x14ac:dyDescent="0.3">
      <c r="B6463" s="5" t="s">
        <v>5648</v>
      </c>
      <c r="C6463" s="5" t="s">
        <v>844</v>
      </c>
      <c r="D6463" s="5" t="s">
        <v>5667</v>
      </c>
      <c r="E6463" s="5" t="s">
        <v>2750</v>
      </c>
      <c r="F6463" s="5" t="s">
        <v>847</v>
      </c>
      <c r="G6463" s="5" t="s">
        <v>848</v>
      </c>
      <c r="H6463" s="6">
        <v>348000</v>
      </c>
      <c r="I6463" s="5"/>
    </row>
    <row r="6464" spans="1:9" x14ac:dyDescent="0.3">
      <c r="B6464" s="5" t="s">
        <v>5648</v>
      </c>
      <c r="C6464" s="5" t="s">
        <v>844</v>
      </c>
      <c r="D6464" s="5" t="s">
        <v>5667</v>
      </c>
      <c r="E6464" s="5" t="s">
        <v>2987</v>
      </c>
      <c r="F6464" s="5" t="s">
        <v>831</v>
      </c>
      <c r="G6464" s="5" t="s">
        <v>832</v>
      </c>
      <c r="H6464" s="5"/>
      <c r="I6464" s="6">
        <v>300000</v>
      </c>
    </row>
    <row r="6465" spans="1:9" x14ac:dyDescent="0.3">
      <c r="B6465" s="5" t="s">
        <v>5648</v>
      </c>
      <c r="C6465" s="5" t="s">
        <v>844</v>
      </c>
      <c r="D6465" s="5" t="s">
        <v>5667</v>
      </c>
      <c r="E6465" s="5" t="s">
        <v>1993</v>
      </c>
      <c r="F6465" s="5" t="s">
        <v>867</v>
      </c>
      <c r="G6465" s="5" t="s">
        <v>868</v>
      </c>
      <c r="H6465" s="5"/>
      <c r="I6465" s="6">
        <v>48000</v>
      </c>
    </row>
    <row r="6466" spans="1:9" x14ac:dyDescent="0.3">
      <c r="A6466" s="7" t="s">
        <v>5668</v>
      </c>
      <c r="H6466" s="8">
        <f>H6463+H6464+H6465</f>
        <v>348000</v>
      </c>
      <c r="I6466" s="8">
        <f>I6463+I6464+I6465</f>
        <v>348000</v>
      </c>
    </row>
    <row r="6467" spans="1:9" x14ac:dyDescent="0.3">
      <c r="A6467" s="4" t="s">
        <v>5669</v>
      </c>
    </row>
    <row r="6468" spans="1:9" x14ac:dyDescent="0.3">
      <c r="B6468" s="5" t="s">
        <v>5648</v>
      </c>
      <c r="C6468" s="5" t="s">
        <v>844</v>
      </c>
      <c r="D6468" s="5" t="s">
        <v>5670</v>
      </c>
      <c r="E6468" s="5" t="s">
        <v>2750</v>
      </c>
      <c r="F6468" s="5" t="s">
        <v>847</v>
      </c>
      <c r="G6468" s="5" t="s">
        <v>848</v>
      </c>
      <c r="H6468" s="6">
        <v>120000</v>
      </c>
      <c r="I6468" s="5"/>
    </row>
    <row r="6469" spans="1:9" x14ac:dyDescent="0.3">
      <c r="B6469" s="5" t="s">
        <v>5648</v>
      </c>
      <c r="C6469" s="5" t="s">
        <v>844</v>
      </c>
      <c r="D6469" s="5" t="s">
        <v>5670</v>
      </c>
      <c r="E6469" s="5" t="s">
        <v>2987</v>
      </c>
      <c r="F6469" s="5" t="s">
        <v>831</v>
      </c>
      <c r="G6469" s="5" t="s">
        <v>832</v>
      </c>
      <c r="H6469" s="5"/>
      <c r="I6469" s="6">
        <v>100000</v>
      </c>
    </row>
    <row r="6470" spans="1:9" x14ac:dyDescent="0.3">
      <c r="B6470" s="5" t="s">
        <v>5648</v>
      </c>
      <c r="C6470" s="5" t="s">
        <v>844</v>
      </c>
      <c r="D6470" s="5" t="s">
        <v>5670</v>
      </c>
      <c r="E6470" s="5" t="s">
        <v>1993</v>
      </c>
      <c r="F6470" s="5" t="s">
        <v>867</v>
      </c>
      <c r="G6470" s="5" t="s">
        <v>868</v>
      </c>
      <c r="H6470" s="5"/>
      <c r="I6470" s="6">
        <v>20000</v>
      </c>
    </row>
    <row r="6471" spans="1:9" x14ac:dyDescent="0.3">
      <c r="A6471" s="7" t="s">
        <v>5671</v>
      </c>
      <c r="H6471" s="8">
        <f>H6468+H6469+H6470</f>
        <v>120000</v>
      </c>
      <c r="I6471" s="8">
        <f>I6468+I6469+I6470</f>
        <v>120000</v>
      </c>
    </row>
    <row r="6472" spans="1:9" x14ac:dyDescent="0.3">
      <c r="A6472" s="4" t="s">
        <v>5672</v>
      </c>
    </row>
    <row r="6473" spans="1:9" x14ac:dyDescent="0.3">
      <c r="B6473" s="5" t="s">
        <v>5648</v>
      </c>
      <c r="C6473" s="5" t="s">
        <v>844</v>
      </c>
      <c r="D6473" s="5" t="s">
        <v>5673</v>
      </c>
      <c r="E6473" s="5" t="s">
        <v>2750</v>
      </c>
      <c r="F6473" s="5" t="s">
        <v>847</v>
      </c>
      <c r="G6473" s="5" t="s">
        <v>848</v>
      </c>
      <c r="H6473" s="6">
        <v>120000</v>
      </c>
      <c r="I6473" s="5"/>
    </row>
    <row r="6474" spans="1:9" x14ac:dyDescent="0.3">
      <c r="B6474" s="5" t="s">
        <v>5648</v>
      </c>
      <c r="C6474" s="5" t="s">
        <v>844</v>
      </c>
      <c r="D6474" s="5" t="s">
        <v>5673</v>
      </c>
      <c r="E6474" s="5" t="s">
        <v>2987</v>
      </c>
      <c r="F6474" s="5" t="s">
        <v>831</v>
      </c>
      <c r="G6474" s="5" t="s">
        <v>832</v>
      </c>
      <c r="H6474" s="5"/>
      <c r="I6474" s="6">
        <v>100000</v>
      </c>
    </row>
    <row r="6475" spans="1:9" x14ac:dyDescent="0.3">
      <c r="B6475" s="5" t="s">
        <v>5648</v>
      </c>
      <c r="C6475" s="5" t="s">
        <v>844</v>
      </c>
      <c r="D6475" s="5" t="s">
        <v>5673</v>
      </c>
      <c r="E6475" s="5" t="s">
        <v>1993</v>
      </c>
      <c r="F6475" s="5" t="s">
        <v>867</v>
      </c>
      <c r="G6475" s="5" t="s">
        <v>868</v>
      </c>
      <c r="H6475" s="5"/>
      <c r="I6475" s="6">
        <v>20000</v>
      </c>
    </row>
    <row r="6476" spans="1:9" x14ac:dyDescent="0.3">
      <c r="A6476" s="7" t="s">
        <v>5674</v>
      </c>
      <c r="H6476" s="8">
        <f>H6473+H6474+H6475</f>
        <v>120000</v>
      </c>
      <c r="I6476" s="8">
        <f>I6473+I6474+I6475</f>
        <v>120000</v>
      </c>
    </row>
    <row r="6477" spans="1:9" x14ac:dyDescent="0.3">
      <c r="A6477" s="4" t="s">
        <v>5675</v>
      </c>
    </row>
    <row r="6478" spans="1:9" x14ac:dyDescent="0.3">
      <c r="B6478" s="5" t="s">
        <v>5648</v>
      </c>
      <c r="C6478" s="5" t="s">
        <v>844</v>
      </c>
      <c r="D6478" s="5" t="s">
        <v>5676</v>
      </c>
      <c r="E6478" s="5" t="s">
        <v>2750</v>
      </c>
      <c r="F6478" s="5" t="s">
        <v>847</v>
      </c>
      <c r="G6478" s="5" t="s">
        <v>848</v>
      </c>
      <c r="H6478" s="6">
        <v>58000</v>
      </c>
      <c r="I6478" s="5"/>
    </row>
    <row r="6479" spans="1:9" x14ac:dyDescent="0.3">
      <c r="B6479" s="5" t="s">
        <v>5648</v>
      </c>
      <c r="C6479" s="5" t="s">
        <v>844</v>
      </c>
      <c r="D6479" s="5" t="s">
        <v>5676</v>
      </c>
      <c r="E6479" s="5" t="s">
        <v>2987</v>
      </c>
      <c r="F6479" s="5" t="s">
        <v>831</v>
      </c>
      <c r="G6479" s="5" t="s">
        <v>832</v>
      </c>
      <c r="H6479" s="5"/>
      <c r="I6479" s="6">
        <v>50000</v>
      </c>
    </row>
    <row r="6480" spans="1:9" x14ac:dyDescent="0.3">
      <c r="B6480" s="5" t="s">
        <v>5648</v>
      </c>
      <c r="C6480" s="5" t="s">
        <v>844</v>
      </c>
      <c r="D6480" s="5" t="s">
        <v>5676</v>
      </c>
      <c r="E6480" s="5" t="s">
        <v>1993</v>
      </c>
      <c r="F6480" s="5" t="s">
        <v>867</v>
      </c>
      <c r="G6480" s="5" t="s">
        <v>868</v>
      </c>
      <c r="H6480" s="5"/>
      <c r="I6480" s="6">
        <v>8000</v>
      </c>
    </row>
    <row r="6481" spans="1:9" x14ac:dyDescent="0.3">
      <c r="A6481" s="7" t="s">
        <v>5677</v>
      </c>
      <c r="H6481" s="8">
        <f>H6478+H6479+H6480</f>
        <v>58000</v>
      </c>
      <c r="I6481" s="8">
        <f>I6478+I6479+I6480</f>
        <v>58000</v>
      </c>
    </row>
    <row r="6482" spans="1:9" x14ac:dyDescent="0.3">
      <c r="A6482" s="4" t="s">
        <v>5678</v>
      </c>
    </row>
    <row r="6483" spans="1:9" x14ac:dyDescent="0.3">
      <c r="B6483" s="5" t="s">
        <v>5648</v>
      </c>
      <c r="C6483" s="5" t="s">
        <v>844</v>
      </c>
      <c r="D6483" s="5" t="s">
        <v>5679</v>
      </c>
      <c r="E6483" s="5" t="s">
        <v>2750</v>
      </c>
      <c r="F6483" s="5" t="s">
        <v>847</v>
      </c>
      <c r="G6483" s="5" t="s">
        <v>848</v>
      </c>
      <c r="H6483" s="6">
        <v>116000</v>
      </c>
      <c r="I6483" s="5"/>
    </row>
    <row r="6484" spans="1:9" x14ac:dyDescent="0.3">
      <c r="B6484" s="5" t="s">
        <v>5648</v>
      </c>
      <c r="C6484" s="5" t="s">
        <v>844</v>
      </c>
      <c r="D6484" s="5" t="s">
        <v>5679</v>
      </c>
      <c r="E6484" s="5" t="s">
        <v>2987</v>
      </c>
      <c r="F6484" s="5" t="s">
        <v>831</v>
      </c>
      <c r="G6484" s="5" t="s">
        <v>832</v>
      </c>
      <c r="H6484" s="5"/>
      <c r="I6484" s="6">
        <v>100000</v>
      </c>
    </row>
    <row r="6485" spans="1:9" x14ac:dyDescent="0.3">
      <c r="B6485" s="5" t="s">
        <v>5648</v>
      </c>
      <c r="C6485" s="5" t="s">
        <v>844</v>
      </c>
      <c r="D6485" s="5" t="s">
        <v>5679</v>
      </c>
      <c r="E6485" s="5" t="s">
        <v>1993</v>
      </c>
      <c r="F6485" s="5" t="s">
        <v>867</v>
      </c>
      <c r="G6485" s="5" t="s">
        <v>868</v>
      </c>
      <c r="H6485" s="5"/>
      <c r="I6485" s="6">
        <v>16000</v>
      </c>
    </row>
    <row r="6486" spans="1:9" x14ac:dyDescent="0.3">
      <c r="A6486" s="7" t="s">
        <v>5680</v>
      </c>
      <c r="H6486" s="8">
        <f>H6483+H6484+H6485</f>
        <v>116000</v>
      </c>
      <c r="I6486" s="8">
        <f>I6483+I6484+I6485</f>
        <v>116000</v>
      </c>
    </row>
    <row r="6487" spans="1:9" x14ac:dyDescent="0.3">
      <c r="A6487" s="4" t="s">
        <v>5681</v>
      </c>
    </row>
    <row r="6488" spans="1:9" x14ac:dyDescent="0.3">
      <c r="B6488" s="5" t="s">
        <v>5648</v>
      </c>
      <c r="C6488" s="5" t="s">
        <v>844</v>
      </c>
      <c r="D6488" s="5" t="s">
        <v>5682</v>
      </c>
      <c r="E6488" s="5" t="s">
        <v>2750</v>
      </c>
      <c r="F6488" s="5" t="s">
        <v>847</v>
      </c>
      <c r="G6488" s="5" t="s">
        <v>848</v>
      </c>
      <c r="H6488" s="6">
        <v>120000</v>
      </c>
      <c r="I6488" s="5"/>
    </row>
    <row r="6489" spans="1:9" x14ac:dyDescent="0.3">
      <c r="B6489" s="5" t="s">
        <v>5648</v>
      </c>
      <c r="C6489" s="5" t="s">
        <v>844</v>
      </c>
      <c r="D6489" s="5" t="s">
        <v>5682</v>
      </c>
      <c r="E6489" s="5" t="s">
        <v>2987</v>
      </c>
      <c r="F6489" s="5" t="s">
        <v>831</v>
      </c>
      <c r="G6489" s="5" t="s">
        <v>832</v>
      </c>
      <c r="H6489" s="5"/>
      <c r="I6489" s="6">
        <v>100000</v>
      </c>
    </row>
    <row r="6490" spans="1:9" x14ac:dyDescent="0.3">
      <c r="B6490" s="5" t="s">
        <v>5648</v>
      </c>
      <c r="C6490" s="5" t="s">
        <v>844</v>
      </c>
      <c r="D6490" s="5" t="s">
        <v>5682</v>
      </c>
      <c r="E6490" s="5" t="s">
        <v>1993</v>
      </c>
      <c r="F6490" s="5" t="s">
        <v>867</v>
      </c>
      <c r="G6490" s="5" t="s">
        <v>868</v>
      </c>
      <c r="H6490" s="5"/>
      <c r="I6490" s="6">
        <v>20000</v>
      </c>
    </row>
    <row r="6491" spans="1:9" x14ac:dyDescent="0.3">
      <c r="A6491" s="7" t="s">
        <v>5683</v>
      </c>
      <c r="H6491" s="8">
        <f>H6488+H6489+H6490</f>
        <v>120000</v>
      </c>
      <c r="I6491" s="8">
        <f>I6488+I6489+I6490</f>
        <v>120000</v>
      </c>
    </row>
    <row r="6492" spans="1:9" x14ac:dyDescent="0.3">
      <c r="A6492" s="4" t="s">
        <v>5684</v>
      </c>
    </row>
    <row r="6493" spans="1:9" x14ac:dyDescent="0.3">
      <c r="B6493" s="5" t="s">
        <v>5648</v>
      </c>
      <c r="C6493" s="5" t="s">
        <v>844</v>
      </c>
      <c r="D6493" s="5" t="s">
        <v>5685</v>
      </c>
      <c r="E6493" s="5" t="s">
        <v>2750</v>
      </c>
      <c r="F6493" s="5" t="s">
        <v>847</v>
      </c>
      <c r="G6493" s="5" t="s">
        <v>848</v>
      </c>
      <c r="H6493" s="6">
        <v>116000</v>
      </c>
      <c r="I6493" s="5"/>
    </row>
    <row r="6494" spans="1:9" x14ac:dyDescent="0.3">
      <c r="B6494" s="5" t="s">
        <v>5648</v>
      </c>
      <c r="C6494" s="5" t="s">
        <v>844</v>
      </c>
      <c r="D6494" s="5" t="s">
        <v>5685</v>
      </c>
      <c r="E6494" s="5" t="s">
        <v>2987</v>
      </c>
      <c r="F6494" s="5" t="s">
        <v>831</v>
      </c>
      <c r="G6494" s="5" t="s">
        <v>832</v>
      </c>
      <c r="H6494" s="5"/>
      <c r="I6494" s="6">
        <v>100000</v>
      </c>
    </row>
    <row r="6495" spans="1:9" x14ac:dyDescent="0.3">
      <c r="B6495" s="5" t="s">
        <v>5648</v>
      </c>
      <c r="C6495" s="5" t="s">
        <v>844</v>
      </c>
      <c r="D6495" s="5" t="s">
        <v>5685</v>
      </c>
      <c r="E6495" s="5" t="s">
        <v>1993</v>
      </c>
      <c r="F6495" s="5" t="s">
        <v>867</v>
      </c>
      <c r="G6495" s="5" t="s">
        <v>868</v>
      </c>
      <c r="H6495" s="5"/>
      <c r="I6495" s="6">
        <v>16000</v>
      </c>
    </row>
    <row r="6496" spans="1:9" x14ac:dyDescent="0.3">
      <c r="A6496" s="7" t="s">
        <v>5686</v>
      </c>
      <c r="H6496" s="8">
        <f>H6493+H6494+H6495</f>
        <v>116000</v>
      </c>
      <c r="I6496" s="8">
        <f>I6493+I6494+I6495</f>
        <v>116000</v>
      </c>
    </row>
    <row r="6497" spans="1:9" x14ac:dyDescent="0.3">
      <c r="A6497" s="4" t="s">
        <v>5687</v>
      </c>
    </row>
    <row r="6498" spans="1:9" x14ac:dyDescent="0.3">
      <c r="B6498" s="5" t="s">
        <v>5648</v>
      </c>
      <c r="C6498" s="5" t="s">
        <v>844</v>
      </c>
      <c r="D6498" s="5" t="s">
        <v>5688</v>
      </c>
      <c r="E6498" s="5" t="s">
        <v>2750</v>
      </c>
      <c r="F6498" s="5" t="s">
        <v>847</v>
      </c>
      <c r="G6498" s="5" t="s">
        <v>848</v>
      </c>
      <c r="H6498" s="6">
        <v>372000</v>
      </c>
      <c r="I6498" s="5"/>
    </row>
    <row r="6499" spans="1:9" x14ac:dyDescent="0.3">
      <c r="B6499" s="5" t="s">
        <v>5648</v>
      </c>
      <c r="C6499" s="5" t="s">
        <v>844</v>
      </c>
      <c r="D6499" s="5" t="s">
        <v>5688</v>
      </c>
      <c r="E6499" s="5" t="s">
        <v>2987</v>
      </c>
      <c r="F6499" s="5" t="s">
        <v>831</v>
      </c>
      <c r="G6499" s="5" t="s">
        <v>832</v>
      </c>
      <c r="H6499" s="5"/>
      <c r="I6499" s="6">
        <v>300000</v>
      </c>
    </row>
    <row r="6500" spans="1:9" x14ac:dyDescent="0.3">
      <c r="B6500" s="5" t="s">
        <v>5648</v>
      </c>
      <c r="C6500" s="5" t="s">
        <v>844</v>
      </c>
      <c r="D6500" s="5" t="s">
        <v>5688</v>
      </c>
      <c r="E6500" s="5" t="s">
        <v>1993</v>
      </c>
      <c r="F6500" s="5" t="s">
        <v>867</v>
      </c>
      <c r="G6500" s="5" t="s">
        <v>868</v>
      </c>
      <c r="H6500" s="5"/>
      <c r="I6500" s="6">
        <v>72000</v>
      </c>
    </row>
    <row r="6501" spans="1:9" x14ac:dyDescent="0.3">
      <c r="A6501" s="7" t="s">
        <v>5689</v>
      </c>
      <c r="H6501" s="8">
        <f>H6498+H6499+H6500</f>
        <v>372000</v>
      </c>
      <c r="I6501" s="8">
        <f>I6498+I6499+I6500</f>
        <v>372000</v>
      </c>
    </row>
    <row r="6502" spans="1:9" x14ac:dyDescent="0.3">
      <c r="A6502" s="4" t="s">
        <v>5690</v>
      </c>
    </row>
    <row r="6503" spans="1:9" x14ac:dyDescent="0.3">
      <c r="B6503" s="5" t="s">
        <v>5648</v>
      </c>
      <c r="C6503" s="5" t="s">
        <v>844</v>
      </c>
      <c r="D6503" s="5" t="s">
        <v>5691</v>
      </c>
      <c r="E6503" s="5" t="s">
        <v>2750</v>
      </c>
      <c r="F6503" s="5" t="s">
        <v>847</v>
      </c>
      <c r="G6503" s="5" t="s">
        <v>848</v>
      </c>
      <c r="H6503" s="6">
        <v>46400</v>
      </c>
      <c r="I6503" s="5"/>
    </row>
    <row r="6504" spans="1:9" x14ac:dyDescent="0.3">
      <c r="B6504" s="5" t="s">
        <v>5648</v>
      </c>
      <c r="C6504" s="5" t="s">
        <v>844</v>
      </c>
      <c r="D6504" s="5" t="s">
        <v>5691</v>
      </c>
      <c r="E6504" s="5" t="s">
        <v>2987</v>
      </c>
      <c r="F6504" s="5" t="s">
        <v>831</v>
      </c>
      <c r="G6504" s="5" t="s">
        <v>832</v>
      </c>
      <c r="H6504" s="5"/>
      <c r="I6504" s="6">
        <v>40000</v>
      </c>
    </row>
    <row r="6505" spans="1:9" x14ac:dyDescent="0.3">
      <c r="B6505" s="5" t="s">
        <v>5648</v>
      </c>
      <c r="C6505" s="5" t="s">
        <v>844</v>
      </c>
      <c r="D6505" s="5" t="s">
        <v>5691</v>
      </c>
      <c r="E6505" s="5" t="s">
        <v>1993</v>
      </c>
      <c r="F6505" s="5" t="s">
        <v>867</v>
      </c>
      <c r="G6505" s="5" t="s">
        <v>868</v>
      </c>
      <c r="H6505" s="5"/>
      <c r="I6505" s="6">
        <v>6400</v>
      </c>
    </row>
    <row r="6506" spans="1:9" x14ac:dyDescent="0.3">
      <c r="A6506" s="7" t="s">
        <v>5692</v>
      </c>
      <c r="H6506" s="8">
        <f>H6503+H6504+H6505</f>
        <v>46400</v>
      </c>
      <c r="I6506" s="8">
        <f>I6503+I6504+I6505</f>
        <v>46400</v>
      </c>
    </row>
    <row r="6507" spans="1:9" x14ac:dyDescent="0.3">
      <c r="A6507" s="4" t="s">
        <v>5693</v>
      </c>
    </row>
    <row r="6508" spans="1:9" x14ac:dyDescent="0.3">
      <c r="B6508" s="5" t="s">
        <v>5648</v>
      </c>
      <c r="C6508" s="5" t="s">
        <v>844</v>
      </c>
      <c r="D6508" s="5" t="s">
        <v>5694</v>
      </c>
      <c r="E6508" s="5" t="s">
        <v>2750</v>
      </c>
      <c r="F6508" s="5" t="s">
        <v>847</v>
      </c>
      <c r="G6508" s="5" t="s">
        <v>848</v>
      </c>
      <c r="H6508" s="6">
        <v>116000</v>
      </c>
      <c r="I6508" s="5"/>
    </row>
    <row r="6509" spans="1:9" x14ac:dyDescent="0.3">
      <c r="B6509" s="5" t="s">
        <v>5648</v>
      </c>
      <c r="C6509" s="5" t="s">
        <v>844</v>
      </c>
      <c r="D6509" s="5" t="s">
        <v>5694</v>
      </c>
      <c r="E6509" s="5" t="s">
        <v>2987</v>
      </c>
      <c r="F6509" s="5" t="s">
        <v>831</v>
      </c>
      <c r="G6509" s="5" t="s">
        <v>832</v>
      </c>
      <c r="H6509" s="5"/>
      <c r="I6509" s="6">
        <v>100000</v>
      </c>
    </row>
    <row r="6510" spans="1:9" x14ac:dyDescent="0.3">
      <c r="B6510" s="5" t="s">
        <v>5648</v>
      </c>
      <c r="C6510" s="5" t="s">
        <v>844</v>
      </c>
      <c r="D6510" s="5" t="s">
        <v>5694</v>
      </c>
      <c r="E6510" s="5" t="s">
        <v>1993</v>
      </c>
      <c r="F6510" s="5" t="s">
        <v>867</v>
      </c>
      <c r="G6510" s="5" t="s">
        <v>868</v>
      </c>
      <c r="H6510" s="5"/>
      <c r="I6510" s="6">
        <v>16000</v>
      </c>
    </row>
    <row r="6511" spans="1:9" x14ac:dyDescent="0.3">
      <c r="A6511" s="7" t="s">
        <v>5695</v>
      </c>
      <c r="H6511" s="8">
        <f>H6508+H6509+H6510</f>
        <v>116000</v>
      </c>
      <c r="I6511" s="8">
        <f>I6508+I6509+I6510</f>
        <v>116000</v>
      </c>
    </row>
    <row r="6512" spans="1:9" x14ac:dyDescent="0.3">
      <c r="A6512" s="4" t="s">
        <v>5696</v>
      </c>
    </row>
    <row r="6513" spans="1:9" x14ac:dyDescent="0.3">
      <c r="B6513" s="5" t="s">
        <v>5648</v>
      </c>
      <c r="C6513" s="5" t="s">
        <v>844</v>
      </c>
      <c r="D6513" s="5" t="s">
        <v>5697</v>
      </c>
      <c r="E6513" s="5" t="s">
        <v>2750</v>
      </c>
      <c r="F6513" s="5" t="s">
        <v>847</v>
      </c>
      <c r="G6513" s="5" t="s">
        <v>848</v>
      </c>
      <c r="H6513" s="6">
        <v>58000</v>
      </c>
      <c r="I6513" s="5"/>
    </row>
    <row r="6514" spans="1:9" x14ac:dyDescent="0.3">
      <c r="B6514" s="5" t="s">
        <v>5648</v>
      </c>
      <c r="C6514" s="5" t="s">
        <v>844</v>
      </c>
      <c r="D6514" s="5" t="s">
        <v>5697</v>
      </c>
      <c r="E6514" s="5" t="s">
        <v>2987</v>
      </c>
      <c r="F6514" s="5" t="s">
        <v>831</v>
      </c>
      <c r="G6514" s="5" t="s">
        <v>832</v>
      </c>
      <c r="H6514" s="5"/>
      <c r="I6514" s="6">
        <v>50000</v>
      </c>
    </row>
    <row r="6515" spans="1:9" x14ac:dyDescent="0.3">
      <c r="B6515" s="5" t="s">
        <v>5648</v>
      </c>
      <c r="C6515" s="5" t="s">
        <v>844</v>
      </c>
      <c r="D6515" s="5" t="s">
        <v>5697</v>
      </c>
      <c r="E6515" s="5" t="s">
        <v>1993</v>
      </c>
      <c r="F6515" s="5" t="s">
        <v>867</v>
      </c>
      <c r="G6515" s="5" t="s">
        <v>868</v>
      </c>
      <c r="H6515" s="5"/>
      <c r="I6515" s="6">
        <v>8000</v>
      </c>
    </row>
    <row r="6516" spans="1:9" x14ac:dyDescent="0.3">
      <c r="A6516" s="7" t="s">
        <v>5698</v>
      </c>
      <c r="H6516" s="8">
        <f>H6513+H6514+H6515</f>
        <v>58000</v>
      </c>
      <c r="I6516" s="8">
        <f>I6513+I6514+I6515</f>
        <v>58000</v>
      </c>
    </row>
    <row r="6517" spans="1:9" x14ac:dyDescent="0.3">
      <c r="A6517" s="4" t="s">
        <v>5699</v>
      </c>
    </row>
    <row r="6518" spans="1:9" x14ac:dyDescent="0.3">
      <c r="B6518" s="5" t="s">
        <v>5648</v>
      </c>
      <c r="C6518" s="5" t="s">
        <v>844</v>
      </c>
      <c r="D6518" s="5" t="s">
        <v>5700</v>
      </c>
      <c r="E6518" s="5" t="s">
        <v>2750</v>
      </c>
      <c r="F6518" s="5" t="s">
        <v>847</v>
      </c>
      <c r="G6518" s="5" t="s">
        <v>848</v>
      </c>
      <c r="H6518" s="6">
        <v>124000</v>
      </c>
      <c r="I6518" s="5"/>
    </row>
    <row r="6519" spans="1:9" x14ac:dyDescent="0.3">
      <c r="B6519" s="5" t="s">
        <v>5648</v>
      </c>
      <c r="C6519" s="5" t="s">
        <v>844</v>
      </c>
      <c r="D6519" s="5" t="s">
        <v>5700</v>
      </c>
      <c r="E6519" s="5" t="s">
        <v>2987</v>
      </c>
      <c r="F6519" s="5" t="s">
        <v>831</v>
      </c>
      <c r="G6519" s="5" t="s">
        <v>832</v>
      </c>
      <c r="H6519" s="5"/>
      <c r="I6519" s="6">
        <v>100000</v>
      </c>
    </row>
    <row r="6520" spans="1:9" x14ac:dyDescent="0.3">
      <c r="B6520" s="5" t="s">
        <v>5648</v>
      </c>
      <c r="C6520" s="5" t="s">
        <v>844</v>
      </c>
      <c r="D6520" s="5" t="s">
        <v>5700</v>
      </c>
      <c r="E6520" s="5" t="s">
        <v>1993</v>
      </c>
      <c r="F6520" s="5" t="s">
        <v>867</v>
      </c>
      <c r="G6520" s="5" t="s">
        <v>868</v>
      </c>
      <c r="H6520" s="5"/>
      <c r="I6520" s="6">
        <v>24000</v>
      </c>
    </row>
    <row r="6521" spans="1:9" x14ac:dyDescent="0.3">
      <c r="A6521" s="7" t="s">
        <v>5701</v>
      </c>
      <c r="H6521" s="8">
        <f>H6518+H6519+H6520</f>
        <v>124000</v>
      </c>
      <c r="I6521" s="8">
        <f>I6518+I6519+I6520</f>
        <v>124000</v>
      </c>
    </row>
    <row r="6522" spans="1:9" x14ac:dyDescent="0.3">
      <c r="A6522" s="4" t="s">
        <v>5702</v>
      </c>
    </row>
    <row r="6523" spans="1:9" x14ac:dyDescent="0.3">
      <c r="B6523" s="5" t="s">
        <v>5703</v>
      </c>
      <c r="C6523" s="5" t="s">
        <v>10</v>
      </c>
      <c r="D6523" s="5" t="s">
        <v>5704</v>
      </c>
      <c r="E6523" s="5" t="s">
        <v>572</v>
      </c>
      <c r="F6523" s="5" t="s">
        <v>61</v>
      </c>
      <c r="G6523" s="5" t="s">
        <v>62</v>
      </c>
      <c r="H6523" s="6">
        <v>1090</v>
      </c>
      <c r="I6523" s="5"/>
    </row>
    <row r="6524" spans="1:9" x14ac:dyDescent="0.3">
      <c r="B6524" s="5" t="s">
        <v>5703</v>
      </c>
      <c r="C6524" s="5" t="s">
        <v>10</v>
      </c>
      <c r="D6524" s="5" t="s">
        <v>5704</v>
      </c>
      <c r="E6524" s="5" t="s">
        <v>5614</v>
      </c>
      <c r="F6524" s="5" t="s">
        <v>113</v>
      </c>
      <c r="G6524" s="5" t="s">
        <v>114</v>
      </c>
      <c r="H6524" s="6">
        <v>2210</v>
      </c>
      <c r="I6524" s="5"/>
    </row>
    <row r="6525" spans="1:9" x14ac:dyDescent="0.3">
      <c r="B6525" s="5" t="s">
        <v>5703</v>
      </c>
      <c r="C6525" s="5" t="s">
        <v>10</v>
      </c>
      <c r="D6525" s="5" t="s">
        <v>5704</v>
      </c>
      <c r="E6525" s="5" t="s">
        <v>5705</v>
      </c>
      <c r="F6525" s="5" t="s">
        <v>1643</v>
      </c>
      <c r="G6525" s="5" t="s">
        <v>1644</v>
      </c>
      <c r="H6525" s="5"/>
      <c r="I6525" s="6">
        <v>3300</v>
      </c>
    </row>
    <row r="6526" spans="1:9" x14ac:dyDescent="0.3">
      <c r="B6526" s="5" t="s">
        <v>5703</v>
      </c>
      <c r="C6526" s="5" t="s">
        <v>10</v>
      </c>
      <c r="D6526" s="5" t="s">
        <v>5704</v>
      </c>
      <c r="E6526" s="5" t="s">
        <v>5706</v>
      </c>
      <c r="F6526" s="5" t="s">
        <v>67</v>
      </c>
      <c r="G6526" s="5" t="s">
        <v>68</v>
      </c>
      <c r="H6526" s="6">
        <v>110</v>
      </c>
      <c r="I6526" s="5"/>
    </row>
    <row r="6527" spans="1:9" x14ac:dyDescent="0.3">
      <c r="B6527" s="5" t="s">
        <v>5703</v>
      </c>
      <c r="C6527" s="5" t="s">
        <v>10</v>
      </c>
      <c r="D6527" s="5" t="s">
        <v>5704</v>
      </c>
      <c r="E6527" s="5" t="s">
        <v>5706</v>
      </c>
      <c r="F6527" s="5" t="s">
        <v>1643</v>
      </c>
      <c r="G6527" s="5" t="s">
        <v>1644</v>
      </c>
      <c r="H6527" s="5"/>
      <c r="I6527" s="6">
        <v>110</v>
      </c>
    </row>
    <row r="6528" spans="1:9" x14ac:dyDescent="0.3">
      <c r="A6528" s="7" t="s">
        <v>5707</v>
      </c>
      <c r="H6528" s="8">
        <f>H6523+H6524+H6525+H6526+H6527</f>
        <v>3410</v>
      </c>
      <c r="I6528" s="8">
        <f>I6523+I6524+I6525+I6526+I6527</f>
        <v>3410</v>
      </c>
    </row>
    <row r="6529" spans="1:9" x14ac:dyDescent="0.3">
      <c r="A6529" s="4" t="s">
        <v>5708</v>
      </c>
    </row>
    <row r="6530" spans="1:9" x14ac:dyDescent="0.3">
      <c r="B6530" s="5" t="s">
        <v>5703</v>
      </c>
      <c r="C6530" s="5" t="s">
        <v>10</v>
      </c>
      <c r="D6530" s="5" t="s">
        <v>5709</v>
      </c>
      <c r="E6530" s="5" t="s">
        <v>5710</v>
      </c>
      <c r="F6530" s="5" t="s">
        <v>35</v>
      </c>
      <c r="G6530" s="5" t="s">
        <v>36</v>
      </c>
      <c r="H6530" s="6">
        <v>2180</v>
      </c>
      <c r="I6530" s="5"/>
    </row>
    <row r="6531" spans="1:9" x14ac:dyDescent="0.3">
      <c r="B6531" s="5" t="s">
        <v>5703</v>
      </c>
      <c r="C6531" s="5" t="s">
        <v>10</v>
      </c>
      <c r="D6531" s="5" t="s">
        <v>5709</v>
      </c>
      <c r="E6531" s="5" t="s">
        <v>5710</v>
      </c>
      <c r="F6531" s="5" t="s">
        <v>1643</v>
      </c>
      <c r="G6531" s="5" t="s">
        <v>1644</v>
      </c>
      <c r="H6531" s="5"/>
      <c r="I6531" s="6">
        <v>2180</v>
      </c>
    </row>
    <row r="6532" spans="1:9" x14ac:dyDescent="0.3">
      <c r="A6532" s="7" t="s">
        <v>5711</v>
      </c>
      <c r="H6532" s="8">
        <f>H6530+H6531</f>
        <v>2180</v>
      </c>
      <c r="I6532" s="8">
        <f>I6530+I6531</f>
        <v>2180</v>
      </c>
    </row>
    <row r="6533" spans="1:9" x14ac:dyDescent="0.3">
      <c r="A6533" s="4" t="s">
        <v>5712</v>
      </c>
    </row>
    <row r="6534" spans="1:9" x14ac:dyDescent="0.3">
      <c r="B6534" s="5" t="s">
        <v>5703</v>
      </c>
      <c r="C6534" s="5" t="s">
        <v>2745</v>
      </c>
      <c r="D6534" s="5" t="s">
        <v>2750</v>
      </c>
      <c r="E6534" s="5" t="s">
        <v>2750</v>
      </c>
      <c r="F6534" s="5" t="s">
        <v>2748</v>
      </c>
      <c r="G6534" s="5" t="s">
        <v>2749</v>
      </c>
      <c r="H6534" s="6">
        <v>3870</v>
      </c>
      <c r="I6534" s="5"/>
    </row>
    <row r="6535" spans="1:9" x14ac:dyDescent="0.3">
      <c r="B6535" s="5" t="s">
        <v>5703</v>
      </c>
      <c r="C6535" s="5" t="s">
        <v>2745</v>
      </c>
      <c r="D6535" s="5" t="s">
        <v>2750</v>
      </c>
      <c r="E6535" s="5" t="s">
        <v>2750</v>
      </c>
      <c r="F6535" s="5" t="s">
        <v>847</v>
      </c>
      <c r="G6535" s="5" t="s">
        <v>848</v>
      </c>
      <c r="H6535" s="5"/>
      <c r="I6535" s="6">
        <v>3870</v>
      </c>
    </row>
    <row r="6536" spans="1:9" x14ac:dyDescent="0.3">
      <c r="A6536" s="7" t="s">
        <v>5713</v>
      </c>
      <c r="H6536" s="8">
        <f>H6534+H6535</f>
        <v>3870</v>
      </c>
      <c r="I6536" s="8">
        <f>I6534+I6535</f>
        <v>3870</v>
      </c>
    </row>
    <row r="6537" spans="1:9" x14ac:dyDescent="0.3">
      <c r="A6537" s="4" t="s">
        <v>5714</v>
      </c>
    </row>
    <row r="6538" spans="1:9" x14ac:dyDescent="0.3">
      <c r="B6538" s="5" t="s">
        <v>5703</v>
      </c>
      <c r="C6538" s="5" t="s">
        <v>2745</v>
      </c>
      <c r="D6538" s="5" t="s">
        <v>2750</v>
      </c>
      <c r="E6538" s="5" t="s">
        <v>2750</v>
      </c>
      <c r="F6538" s="5" t="s">
        <v>2748</v>
      </c>
      <c r="G6538" s="5" t="s">
        <v>2749</v>
      </c>
      <c r="H6538" s="6">
        <v>4840</v>
      </c>
      <c r="I6538" s="5"/>
    </row>
    <row r="6539" spans="1:9" x14ac:dyDescent="0.3">
      <c r="B6539" s="5" t="s">
        <v>5703</v>
      </c>
      <c r="C6539" s="5" t="s">
        <v>2745</v>
      </c>
      <c r="D6539" s="5" t="s">
        <v>2750</v>
      </c>
      <c r="E6539" s="5" t="s">
        <v>2750</v>
      </c>
      <c r="F6539" s="5" t="s">
        <v>847</v>
      </c>
      <c r="G6539" s="5" t="s">
        <v>848</v>
      </c>
      <c r="H6539" s="5"/>
      <c r="I6539" s="6">
        <v>4840</v>
      </c>
    </row>
    <row r="6540" spans="1:9" x14ac:dyDescent="0.3">
      <c r="A6540" s="7" t="s">
        <v>5715</v>
      </c>
      <c r="H6540" s="8">
        <f>H6538+H6539</f>
        <v>4840</v>
      </c>
      <c r="I6540" s="8">
        <f>I6538+I6539</f>
        <v>4840</v>
      </c>
    </row>
    <row r="6541" spans="1:9" x14ac:dyDescent="0.3">
      <c r="A6541" s="4" t="s">
        <v>5716</v>
      </c>
    </row>
    <row r="6542" spans="1:9" x14ac:dyDescent="0.3">
      <c r="B6542" s="5" t="s">
        <v>5703</v>
      </c>
      <c r="C6542" s="5" t="s">
        <v>2745</v>
      </c>
      <c r="D6542" s="5" t="s">
        <v>2750</v>
      </c>
      <c r="E6542" s="5" t="s">
        <v>2750</v>
      </c>
      <c r="F6542" s="5" t="s">
        <v>2748</v>
      </c>
      <c r="G6542" s="5" t="s">
        <v>2749</v>
      </c>
      <c r="H6542" s="6">
        <v>7733</v>
      </c>
      <c r="I6542" s="5"/>
    </row>
    <row r="6543" spans="1:9" x14ac:dyDescent="0.3">
      <c r="B6543" s="5" t="s">
        <v>5703</v>
      </c>
      <c r="C6543" s="5" t="s">
        <v>2745</v>
      </c>
      <c r="D6543" s="5" t="s">
        <v>2750</v>
      </c>
      <c r="E6543" s="5" t="s">
        <v>2750</v>
      </c>
      <c r="F6543" s="5" t="s">
        <v>847</v>
      </c>
      <c r="G6543" s="5" t="s">
        <v>848</v>
      </c>
      <c r="H6543" s="5"/>
      <c r="I6543" s="6">
        <v>7733</v>
      </c>
    </row>
    <row r="6544" spans="1:9" x14ac:dyDescent="0.3">
      <c r="A6544" s="7" t="s">
        <v>5717</v>
      </c>
      <c r="H6544" s="8">
        <f>H6542+H6543</f>
        <v>7733</v>
      </c>
      <c r="I6544" s="8">
        <f>I6542+I6543</f>
        <v>7733</v>
      </c>
    </row>
    <row r="6545" spans="1:9" x14ac:dyDescent="0.3">
      <c r="A6545" s="4" t="s">
        <v>5718</v>
      </c>
    </row>
    <row r="6546" spans="1:9" x14ac:dyDescent="0.3">
      <c r="B6546" s="5" t="s">
        <v>5703</v>
      </c>
      <c r="C6546" s="5" t="s">
        <v>2745</v>
      </c>
      <c r="D6546" s="5" t="s">
        <v>2750</v>
      </c>
      <c r="E6546" s="5" t="s">
        <v>2750</v>
      </c>
      <c r="F6546" s="5" t="s">
        <v>2748</v>
      </c>
      <c r="G6546" s="5" t="s">
        <v>2749</v>
      </c>
      <c r="H6546" s="6">
        <v>2000</v>
      </c>
      <c r="I6546" s="5"/>
    </row>
    <row r="6547" spans="1:9" x14ac:dyDescent="0.3">
      <c r="B6547" s="5" t="s">
        <v>5703</v>
      </c>
      <c r="C6547" s="5" t="s">
        <v>2745</v>
      </c>
      <c r="D6547" s="5" t="s">
        <v>2750</v>
      </c>
      <c r="E6547" s="5" t="s">
        <v>2750</v>
      </c>
      <c r="F6547" s="5" t="s">
        <v>847</v>
      </c>
      <c r="G6547" s="5" t="s">
        <v>848</v>
      </c>
      <c r="H6547" s="5"/>
      <c r="I6547" s="6">
        <v>2000</v>
      </c>
    </row>
    <row r="6548" spans="1:9" x14ac:dyDescent="0.3">
      <c r="A6548" s="7" t="s">
        <v>5719</v>
      </c>
      <c r="H6548" s="8">
        <f>H6546+H6547</f>
        <v>2000</v>
      </c>
      <c r="I6548" s="8">
        <f>I6546+I6547</f>
        <v>2000</v>
      </c>
    </row>
    <row r="6549" spans="1:9" x14ac:dyDescent="0.3">
      <c r="A6549" s="4" t="s">
        <v>5720</v>
      </c>
    </row>
    <row r="6550" spans="1:9" x14ac:dyDescent="0.3">
      <c r="B6550" s="5" t="s">
        <v>5721</v>
      </c>
      <c r="C6550" s="5" t="s">
        <v>10</v>
      </c>
      <c r="D6550" s="5" t="s">
        <v>5722</v>
      </c>
      <c r="E6550" s="5" t="s">
        <v>1634</v>
      </c>
      <c r="F6550" s="5" t="s">
        <v>116</v>
      </c>
      <c r="G6550" s="5" t="s">
        <v>117</v>
      </c>
      <c r="H6550" s="6">
        <v>1000</v>
      </c>
      <c r="I6550" s="5"/>
    </row>
    <row r="6551" spans="1:9" x14ac:dyDescent="0.3">
      <c r="B6551" s="5" t="s">
        <v>5721</v>
      </c>
      <c r="C6551" s="5" t="s">
        <v>10</v>
      </c>
      <c r="D6551" s="5" t="s">
        <v>5722</v>
      </c>
      <c r="E6551" s="5" t="s">
        <v>1634</v>
      </c>
      <c r="F6551" s="5" t="s">
        <v>1643</v>
      </c>
      <c r="G6551" s="5" t="s">
        <v>1644</v>
      </c>
      <c r="H6551" s="5"/>
      <c r="I6551" s="6">
        <v>1000</v>
      </c>
    </row>
    <row r="6552" spans="1:9" x14ac:dyDescent="0.3">
      <c r="A6552" s="7" t="s">
        <v>5723</v>
      </c>
      <c r="H6552" s="8">
        <f>H6550+H6551</f>
        <v>1000</v>
      </c>
      <c r="I6552" s="8">
        <f>I6550+I6551</f>
        <v>1000</v>
      </c>
    </row>
    <row r="6553" spans="1:9" x14ac:dyDescent="0.3">
      <c r="A6553" s="4" t="s">
        <v>5724</v>
      </c>
    </row>
    <row r="6554" spans="1:9" x14ac:dyDescent="0.3">
      <c r="B6554" s="5" t="s">
        <v>5721</v>
      </c>
      <c r="C6554" s="5" t="s">
        <v>10</v>
      </c>
      <c r="D6554" s="5" t="s">
        <v>5725</v>
      </c>
      <c r="E6554" s="5" t="s">
        <v>572</v>
      </c>
      <c r="F6554" s="5" t="s">
        <v>61</v>
      </c>
      <c r="G6554" s="5" t="s">
        <v>62</v>
      </c>
      <c r="H6554" s="6">
        <v>500</v>
      </c>
      <c r="I6554" s="5"/>
    </row>
    <row r="6555" spans="1:9" x14ac:dyDescent="0.3">
      <c r="B6555" s="5" t="s">
        <v>5721</v>
      </c>
      <c r="C6555" s="5" t="s">
        <v>10</v>
      </c>
      <c r="D6555" s="5" t="s">
        <v>5725</v>
      </c>
      <c r="E6555" s="5" t="s">
        <v>572</v>
      </c>
      <c r="F6555" s="5" t="s">
        <v>1643</v>
      </c>
      <c r="G6555" s="5" t="s">
        <v>1644</v>
      </c>
      <c r="H6555" s="5"/>
      <c r="I6555" s="6">
        <v>500</v>
      </c>
    </row>
    <row r="6556" spans="1:9" x14ac:dyDescent="0.3">
      <c r="A6556" s="7" t="s">
        <v>5726</v>
      </c>
      <c r="H6556" s="8">
        <f>H6554+H6555</f>
        <v>500</v>
      </c>
      <c r="I6556" s="8">
        <f>I6554+I6555</f>
        <v>500</v>
      </c>
    </row>
    <row r="6557" spans="1:9" x14ac:dyDescent="0.3">
      <c r="A6557" s="4" t="s">
        <v>5727</v>
      </c>
    </row>
    <row r="6558" spans="1:9" x14ac:dyDescent="0.3">
      <c r="B6558" s="5" t="s">
        <v>5721</v>
      </c>
      <c r="C6558" s="5" t="s">
        <v>2745</v>
      </c>
      <c r="D6558" s="5" t="s">
        <v>2750</v>
      </c>
      <c r="E6558" s="5" t="s">
        <v>2750</v>
      </c>
      <c r="F6558" s="5" t="s">
        <v>2748</v>
      </c>
      <c r="G6558" s="5" t="s">
        <v>2749</v>
      </c>
      <c r="H6558" s="6">
        <v>1480</v>
      </c>
      <c r="I6558" s="5"/>
    </row>
    <row r="6559" spans="1:9" x14ac:dyDescent="0.3">
      <c r="B6559" s="5" t="s">
        <v>5721</v>
      </c>
      <c r="C6559" s="5" t="s">
        <v>2745</v>
      </c>
      <c r="D6559" s="5" t="s">
        <v>2750</v>
      </c>
      <c r="E6559" s="5" t="s">
        <v>2750</v>
      </c>
      <c r="F6559" s="5" t="s">
        <v>847</v>
      </c>
      <c r="G6559" s="5" t="s">
        <v>848</v>
      </c>
      <c r="H6559" s="5"/>
      <c r="I6559" s="6">
        <v>1480</v>
      </c>
    </row>
    <row r="6560" spans="1:9" x14ac:dyDescent="0.3">
      <c r="A6560" s="7" t="s">
        <v>5728</v>
      </c>
      <c r="H6560" s="8">
        <f>H6558+H6559</f>
        <v>1480</v>
      </c>
      <c r="I6560" s="8">
        <f>I6558+I6559</f>
        <v>1480</v>
      </c>
    </row>
    <row r="6561" spans="1:9" x14ac:dyDescent="0.3">
      <c r="A6561" s="4" t="s">
        <v>5729</v>
      </c>
    </row>
    <row r="6562" spans="1:9" x14ac:dyDescent="0.3">
      <c r="B6562" s="5" t="s">
        <v>5721</v>
      </c>
      <c r="C6562" s="5" t="s">
        <v>2745</v>
      </c>
      <c r="D6562" s="5" t="s">
        <v>2750</v>
      </c>
      <c r="E6562" s="5" t="s">
        <v>2750</v>
      </c>
      <c r="F6562" s="5" t="s">
        <v>2748</v>
      </c>
      <c r="G6562" s="5" t="s">
        <v>2749</v>
      </c>
      <c r="H6562" s="6">
        <v>4840</v>
      </c>
      <c r="I6562" s="5"/>
    </row>
    <row r="6563" spans="1:9" x14ac:dyDescent="0.3">
      <c r="B6563" s="5" t="s">
        <v>5721</v>
      </c>
      <c r="C6563" s="5" t="s">
        <v>2745</v>
      </c>
      <c r="D6563" s="5" t="s">
        <v>2750</v>
      </c>
      <c r="E6563" s="5" t="s">
        <v>2750</v>
      </c>
      <c r="F6563" s="5" t="s">
        <v>847</v>
      </c>
      <c r="G6563" s="5" t="s">
        <v>848</v>
      </c>
      <c r="H6563" s="5"/>
      <c r="I6563" s="6">
        <v>4840</v>
      </c>
    </row>
    <row r="6564" spans="1:9" x14ac:dyDescent="0.3">
      <c r="A6564" s="7" t="s">
        <v>5730</v>
      </c>
      <c r="H6564" s="8">
        <f>H6562+H6563</f>
        <v>4840</v>
      </c>
      <c r="I6564" s="8">
        <f>I6562+I6563</f>
        <v>4840</v>
      </c>
    </row>
    <row r="6565" spans="1:9" x14ac:dyDescent="0.3">
      <c r="A6565" s="4" t="s">
        <v>5731</v>
      </c>
    </row>
    <row r="6566" spans="1:9" x14ac:dyDescent="0.3">
      <c r="B6566" s="5" t="s">
        <v>5721</v>
      </c>
      <c r="C6566" s="5" t="s">
        <v>2745</v>
      </c>
      <c r="D6566" s="5" t="s">
        <v>2750</v>
      </c>
      <c r="E6566" s="5" t="s">
        <v>2750</v>
      </c>
      <c r="F6566" s="5" t="s">
        <v>2748</v>
      </c>
      <c r="G6566" s="5" t="s">
        <v>2749</v>
      </c>
      <c r="H6566" s="6">
        <v>1180</v>
      </c>
      <c r="I6566" s="5"/>
    </row>
    <row r="6567" spans="1:9" x14ac:dyDescent="0.3">
      <c r="B6567" s="5" t="s">
        <v>5721</v>
      </c>
      <c r="C6567" s="5" t="s">
        <v>2745</v>
      </c>
      <c r="D6567" s="5" t="s">
        <v>2750</v>
      </c>
      <c r="E6567" s="5" t="s">
        <v>2750</v>
      </c>
      <c r="F6567" s="5" t="s">
        <v>847</v>
      </c>
      <c r="G6567" s="5" t="s">
        <v>848</v>
      </c>
      <c r="H6567" s="5"/>
      <c r="I6567" s="6">
        <v>1180</v>
      </c>
    </row>
    <row r="6568" spans="1:9" x14ac:dyDescent="0.3">
      <c r="A6568" s="7" t="s">
        <v>5732</v>
      </c>
      <c r="H6568" s="8">
        <f>H6566+H6567</f>
        <v>1180</v>
      </c>
      <c r="I6568" s="8">
        <f>I6566+I6567</f>
        <v>1180</v>
      </c>
    </row>
    <row r="6569" spans="1:9" x14ac:dyDescent="0.3">
      <c r="A6569" s="4" t="s">
        <v>5733</v>
      </c>
    </row>
    <row r="6570" spans="1:9" x14ac:dyDescent="0.3">
      <c r="B6570" s="5" t="s">
        <v>5734</v>
      </c>
      <c r="C6570" s="5" t="s">
        <v>10</v>
      </c>
      <c r="D6570" s="5" t="s">
        <v>5735</v>
      </c>
      <c r="E6570" s="5" t="s">
        <v>5736</v>
      </c>
      <c r="F6570" s="5" t="s">
        <v>1961</v>
      </c>
      <c r="G6570" s="5" t="s">
        <v>1962</v>
      </c>
      <c r="H6570" s="6">
        <v>6960</v>
      </c>
      <c r="I6570" s="5"/>
    </row>
    <row r="6571" spans="1:9" x14ac:dyDescent="0.3">
      <c r="B6571" s="5" t="s">
        <v>5734</v>
      </c>
      <c r="C6571" s="5" t="s">
        <v>10</v>
      </c>
      <c r="D6571" s="5" t="s">
        <v>5735</v>
      </c>
      <c r="E6571" s="5" t="s">
        <v>5736</v>
      </c>
      <c r="F6571" s="5" t="s">
        <v>1643</v>
      </c>
      <c r="G6571" s="5" t="s">
        <v>1644</v>
      </c>
      <c r="H6571" s="5"/>
      <c r="I6571" s="6">
        <v>6960</v>
      </c>
    </row>
    <row r="6572" spans="1:9" x14ac:dyDescent="0.3">
      <c r="A6572" s="7" t="s">
        <v>5737</v>
      </c>
      <c r="H6572" s="8">
        <f>H6570+H6571</f>
        <v>6960</v>
      </c>
      <c r="I6572" s="8">
        <f>I6570+I6571</f>
        <v>6960</v>
      </c>
    </row>
    <row r="6573" spans="1:9" x14ac:dyDescent="0.3">
      <c r="A6573" s="4" t="s">
        <v>5738</v>
      </c>
    </row>
    <row r="6574" spans="1:9" x14ac:dyDescent="0.3">
      <c r="B6574" s="5" t="s">
        <v>5734</v>
      </c>
      <c r="C6574" s="5" t="s">
        <v>10</v>
      </c>
      <c r="D6574" s="5" t="s">
        <v>5739</v>
      </c>
      <c r="E6574" s="5" t="s">
        <v>1634</v>
      </c>
      <c r="F6574" s="5" t="s">
        <v>116</v>
      </c>
      <c r="G6574" s="5" t="s">
        <v>117</v>
      </c>
      <c r="H6574" s="6">
        <v>1000</v>
      </c>
      <c r="I6574" s="5"/>
    </row>
    <row r="6575" spans="1:9" x14ac:dyDescent="0.3">
      <c r="B6575" s="5" t="s">
        <v>5734</v>
      </c>
      <c r="C6575" s="5" t="s">
        <v>10</v>
      </c>
      <c r="D6575" s="5" t="s">
        <v>5739</v>
      </c>
      <c r="E6575" s="5" t="s">
        <v>1634</v>
      </c>
      <c r="F6575" s="5" t="s">
        <v>1643</v>
      </c>
      <c r="G6575" s="5" t="s">
        <v>1644</v>
      </c>
      <c r="H6575" s="5"/>
      <c r="I6575" s="6">
        <v>1000</v>
      </c>
    </row>
    <row r="6576" spans="1:9" x14ac:dyDescent="0.3">
      <c r="A6576" s="7" t="s">
        <v>5740</v>
      </c>
      <c r="H6576" s="8">
        <f>H6574+H6575</f>
        <v>1000</v>
      </c>
      <c r="I6576" s="8">
        <f>I6574+I6575</f>
        <v>1000</v>
      </c>
    </row>
    <row r="6577" spans="1:9" x14ac:dyDescent="0.3">
      <c r="A6577" s="4" t="s">
        <v>5741</v>
      </c>
    </row>
    <row r="6578" spans="1:9" x14ac:dyDescent="0.3">
      <c r="B6578" s="5" t="s">
        <v>5734</v>
      </c>
      <c r="C6578" s="5" t="s">
        <v>10</v>
      </c>
      <c r="D6578" s="5" t="s">
        <v>5742</v>
      </c>
      <c r="E6578" s="5" t="s">
        <v>170</v>
      </c>
      <c r="F6578" s="5" t="s">
        <v>61</v>
      </c>
      <c r="G6578" s="5" t="s">
        <v>62</v>
      </c>
      <c r="H6578" s="6">
        <v>1300</v>
      </c>
      <c r="I6578" s="5"/>
    </row>
    <row r="6579" spans="1:9" x14ac:dyDescent="0.3">
      <c r="B6579" s="5" t="s">
        <v>5734</v>
      </c>
      <c r="C6579" s="5" t="s">
        <v>10</v>
      </c>
      <c r="D6579" s="5" t="s">
        <v>5742</v>
      </c>
      <c r="E6579" s="5" t="s">
        <v>170</v>
      </c>
      <c r="F6579" s="5" t="s">
        <v>1643</v>
      </c>
      <c r="G6579" s="5" t="s">
        <v>1644</v>
      </c>
      <c r="H6579" s="5"/>
      <c r="I6579" s="6">
        <v>1300</v>
      </c>
    </row>
    <row r="6580" spans="1:9" x14ac:dyDescent="0.3">
      <c r="A6580" s="7" t="s">
        <v>5743</v>
      </c>
      <c r="H6580" s="8">
        <f>H6578+H6579</f>
        <v>1300</v>
      </c>
      <c r="I6580" s="8">
        <f>I6578+I6579</f>
        <v>1300</v>
      </c>
    </row>
    <row r="6581" spans="1:9" x14ac:dyDescent="0.3">
      <c r="A6581" s="4" t="s">
        <v>5744</v>
      </c>
    </row>
    <row r="6582" spans="1:9" x14ac:dyDescent="0.3">
      <c r="B6582" s="5" t="s">
        <v>5734</v>
      </c>
      <c r="C6582" s="5" t="s">
        <v>2745</v>
      </c>
      <c r="D6582" s="5" t="s">
        <v>2750</v>
      </c>
      <c r="E6582" s="5" t="s">
        <v>2750</v>
      </c>
      <c r="F6582" s="5" t="s">
        <v>2748</v>
      </c>
      <c r="G6582" s="5" t="s">
        <v>2749</v>
      </c>
      <c r="H6582" s="6">
        <v>1980</v>
      </c>
      <c r="I6582" s="5"/>
    </row>
    <row r="6583" spans="1:9" x14ac:dyDescent="0.3">
      <c r="B6583" s="5" t="s">
        <v>5734</v>
      </c>
      <c r="C6583" s="5" t="s">
        <v>2745</v>
      </c>
      <c r="D6583" s="5" t="s">
        <v>2750</v>
      </c>
      <c r="E6583" s="5" t="s">
        <v>2750</v>
      </c>
      <c r="F6583" s="5" t="s">
        <v>847</v>
      </c>
      <c r="G6583" s="5" t="s">
        <v>848</v>
      </c>
      <c r="H6583" s="5"/>
      <c r="I6583" s="6">
        <v>1980</v>
      </c>
    </row>
    <row r="6584" spans="1:9" x14ac:dyDescent="0.3">
      <c r="A6584" s="7" t="s">
        <v>5745</v>
      </c>
      <c r="H6584" s="8">
        <f>H6582+H6583</f>
        <v>1980</v>
      </c>
      <c r="I6584" s="8">
        <f>I6582+I6583</f>
        <v>1980</v>
      </c>
    </row>
    <row r="6585" spans="1:9" x14ac:dyDescent="0.3">
      <c r="A6585" s="4" t="s">
        <v>5746</v>
      </c>
    </row>
    <row r="6586" spans="1:9" x14ac:dyDescent="0.3">
      <c r="B6586" s="5" t="s">
        <v>5734</v>
      </c>
      <c r="C6586" s="5" t="s">
        <v>2745</v>
      </c>
      <c r="D6586" s="5" t="s">
        <v>2750</v>
      </c>
      <c r="E6586" s="5" t="s">
        <v>2750</v>
      </c>
      <c r="F6586" s="5" t="s">
        <v>2748</v>
      </c>
      <c r="G6586" s="5" t="s">
        <v>2749</v>
      </c>
      <c r="H6586" s="6">
        <v>4430</v>
      </c>
      <c r="I6586" s="5"/>
    </row>
    <row r="6587" spans="1:9" x14ac:dyDescent="0.3">
      <c r="B6587" s="5" t="s">
        <v>5734</v>
      </c>
      <c r="C6587" s="5" t="s">
        <v>2745</v>
      </c>
      <c r="D6587" s="5" t="s">
        <v>2750</v>
      </c>
      <c r="E6587" s="5" t="s">
        <v>2750</v>
      </c>
      <c r="F6587" s="5" t="s">
        <v>847</v>
      </c>
      <c r="G6587" s="5" t="s">
        <v>848</v>
      </c>
      <c r="H6587" s="5"/>
      <c r="I6587" s="6">
        <v>4430</v>
      </c>
    </row>
    <row r="6588" spans="1:9" x14ac:dyDescent="0.3">
      <c r="A6588" s="7" t="s">
        <v>5747</v>
      </c>
      <c r="H6588" s="8">
        <f>H6586+H6587</f>
        <v>4430</v>
      </c>
      <c r="I6588" s="8">
        <f>I6586+I6587</f>
        <v>4430</v>
      </c>
    </row>
    <row r="6589" spans="1:9" x14ac:dyDescent="0.3">
      <c r="A6589" s="4" t="s">
        <v>5748</v>
      </c>
    </row>
    <row r="6590" spans="1:9" x14ac:dyDescent="0.3">
      <c r="B6590" s="5" t="s">
        <v>5749</v>
      </c>
      <c r="C6590" s="5" t="s">
        <v>10</v>
      </c>
      <c r="D6590" s="5" t="s">
        <v>5750</v>
      </c>
      <c r="E6590" s="5" t="s">
        <v>170</v>
      </c>
      <c r="F6590" s="5" t="s">
        <v>61</v>
      </c>
      <c r="G6590" s="5" t="s">
        <v>62</v>
      </c>
      <c r="H6590" s="6">
        <v>150</v>
      </c>
      <c r="I6590" s="5"/>
    </row>
    <row r="6591" spans="1:9" x14ac:dyDescent="0.3">
      <c r="B6591" s="5" t="s">
        <v>5749</v>
      </c>
      <c r="C6591" s="5" t="s">
        <v>10</v>
      </c>
      <c r="D6591" s="5" t="s">
        <v>5750</v>
      </c>
      <c r="E6591" s="5" t="s">
        <v>170</v>
      </c>
      <c r="F6591" s="5" t="s">
        <v>1643</v>
      </c>
      <c r="G6591" s="5" t="s">
        <v>1644</v>
      </c>
      <c r="H6591" s="5"/>
      <c r="I6591" s="6">
        <v>150</v>
      </c>
    </row>
    <row r="6592" spans="1:9" x14ac:dyDescent="0.3">
      <c r="A6592" s="7" t="s">
        <v>5751</v>
      </c>
      <c r="H6592" s="8">
        <f>H6590+H6591</f>
        <v>150</v>
      </c>
      <c r="I6592" s="8">
        <f>I6590+I6591</f>
        <v>150</v>
      </c>
    </row>
    <row r="6593" spans="1:9" x14ac:dyDescent="0.3">
      <c r="A6593" s="4" t="s">
        <v>5752</v>
      </c>
    </row>
    <row r="6594" spans="1:9" x14ac:dyDescent="0.3">
      <c r="B6594" s="5" t="s">
        <v>5753</v>
      </c>
      <c r="C6594" s="5" t="s">
        <v>10</v>
      </c>
      <c r="D6594" s="5" t="s">
        <v>5754</v>
      </c>
      <c r="E6594" s="5" t="s">
        <v>5755</v>
      </c>
      <c r="F6594" s="5" t="s">
        <v>113</v>
      </c>
      <c r="G6594" s="5" t="s">
        <v>114</v>
      </c>
      <c r="H6594" s="6">
        <v>950</v>
      </c>
      <c r="I6594" s="5"/>
    </row>
    <row r="6595" spans="1:9" x14ac:dyDescent="0.3">
      <c r="B6595" s="5" t="s">
        <v>5753</v>
      </c>
      <c r="C6595" s="5" t="s">
        <v>10</v>
      </c>
      <c r="D6595" s="5" t="s">
        <v>5754</v>
      </c>
      <c r="E6595" s="5" t="s">
        <v>2804</v>
      </c>
      <c r="F6595" s="5" t="s">
        <v>61</v>
      </c>
      <c r="G6595" s="5" t="s">
        <v>62</v>
      </c>
      <c r="H6595" s="6">
        <v>50</v>
      </c>
      <c r="I6595" s="5"/>
    </row>
    <row r="6596" spans="1:9" x14ac:dyDescent="0.3">
      <c r="B6596" s="5" t="s">
        <v>5753</v>
      </c>
      <c r="C6596" s="5" t="s">
        <v>10</v>
      </c>
      <c r="D6596" s="5" t="s">
        <v>5754</v>
      </c>
      <c r="E6596" s="5" t="s">
        <v>5756</v>
      </c>
      <c r="F6596" s="5" t="s">
        <v>145</v>
      </c>
      <c r="G6596" s="5" t="s">
        <v>146</v>
      </c>
      <c r="H6596" s="6">
        <v>500</v>
      </c>
      <c r="I6596" s="5"/>
    </row>
    <row r="6597" spans="1:9" x14ac:dyDescent="0.3">
      <c r="B6597" s="5" t="s">
        <v>5753</v>
      </c>
      <c r="C6597" s="5" t="s">
        <v>10</v>
      </c>
      <c r="D6597" s="5" t="s">
        <v>5754</v>
      </c>
      <c r="E6597" s="5" t="s">
        <v>5757</v>
      </c>
      <c r="F6597" s="5" t="s">
        <v>1643</v>
      </c>
      <c r="G6597" s="5" t="s">
        <v>1644</v>
      </c>
      <c r="H6597" s="5"/>
      <c r="I6597" s="6">
        <v>1500</v>
      </c>
    </row>
    <row r="6598" spans="1:9" x14ac:dyDescent="0.3">
      <c r="A6598" s="7" t="s">
        <v>5758</v>
      </c>
      <c r="H6598" s="8">
        <f>H6594+H6595+H6596+H6597</f>
        <v>1500</v>
      </c>
      <c r="I6598" s="8">
        <f>I6594+I6595+I6596+I6597</f>
        <v>1500</v>
      </c>
    </row>
    <row r="6599" spans="1:9" x14ac:dyDescent="0.3">
      <c r="A6599" s="4" t="s">
        <v>5759</v>
      </c>
    </row>
    <row r="6600" spans="1:9" x14ac:dyDescent="0.3">
      <c r="B6600" s="5" t="s">
        <v>5753</v>
      </c>
      <c r="C6600" s="5" t="s">
        <v>10</v>
      </c>
      <c r="D6600" s="5" t="s">
        <v>5760</v>
      </c>
      <c r="E6600" s="5" t="s">
        <v>5761</v>
      </c>
      <c r="F6600" s="5" t="s">
        <v>45</v>
      </c>
      <c r="G6600" s="5" t="s">
        <v>46</v>
      </c>
      <c r="H6600" s="6">
        <v>2000</v>
      </c>
      <c r="I6600" s="5"/>
    </row>
    <row r="6601" spans="1:9" x14ac:dyDescent="0.3">
      <c r="B6601" s="5" t="s">
        <v>5753</v>
      </c>
      <c r="C6601" s="5" t="s">
        <v>10</v>
      </c>
      <c r="D6601" s="5" t="s">
        <v>5760</v>
      </c>
      <c r="E6601" s="5" t="s">
        <v>5761</v>
      </c>
      <c r="F6601" s="5" t="s">
        <v>1643</v>
      </c>
      <c r="G6601" s="5" t="s">
        <v>1644</v>
      </c>
      <c r="H6601" s="5"/>
      <c r="I6601" s="6">
        <v>2000</v>
      </c>
    </row>
    <row r="6602" spans="1:9" x14ac:dyDescent="0.3">
      <c r="A6602" s="7" t="s">
        <v>5762</v>
      </c>
      <c r="H6602" s="8">
        <f>H6600+H6601</f>
        <v>2000</v>
      </c>
      <c r="I6602" s="8">
        <f>I6600+I6601</f>
        <v>2000</v>
      </c>
    </row>
    <row r="6603" spans="1:9" x14ac:dyDescent="0.3">
      <c r="A6603" s="4" t="s">
        <v>5763</v>
      </c>
    </row>
    <row r="6604" spans="1:9" x14ac:dyDescent="0.3">
      <c r="B6604" s="5" t="s">
        <v>5753</v>
      </c>
      <c r="C6604" s="5" t="s">
        <v>10</v>
      </c>
      <c r="D6604" s="5" t="s">
        <v>5764</v>
      </c>
      <c r="E6604" s="5" t="s">
        <v>170</v>
      </c>
      <c r="F6604" s="5" t="s">
        <v>61</v>
      </c>
      <c r="G6604" s="5" t="s">
        <v>62</v>
      </c>
      <c r="H6604" s="6">
        <v>140</v>
      </c>
      <c r="I6604" s="5"/>
    </row>
    <row r="6605" spans="1:9" x14ac:dyDescent="0.3">
      <c r="B6605" s="5" t="s">
        <v>5753</v>
      </c>
      <c r="C6605" s="5" t="s">
        <v>10</v>
      </c>
      <c r="D6605" s="5" t="s">
        <v>5764</v>
      </c>
      <c r="E6605" s="5" t="s">
        <v>170</v>
      </c>
      <c r="F6605" s="5" t="s">
        <v>1643</v>
      </c>
      <c r="G6605" s="5" t="s">
        <v>1644</v>
      </c>
      <c r="H6605" s="5"/>
      <c r="I6605" s="6">
        <v>140</v>
      </c>
    </row>
    <row r="6606" spans="1:9" x14ac:dyDescent="0.3">
      <c r="A6606" s="7" t="s">
        <v>5765</v>
      </c>
      <c r="H6606" s="8">
        <f>H6604+H6605</f>
        <v>140</v>
      </c>
      <c r="I6606" s="8">
        <f>I6604+I6605</f>
        <v>140</v>
      </c>
    </row>
    <row r="6607" spans="1:9" x14ac:dyDescent="0.3">
      <c r="A6607" s="4" t="s">
        <v>5766</v>
      </c>
    </row>
    <row r="6608" spans="1:9" x14ac:dyDescent="0.3">
      <c r="B6608" s="5" t="s">
        <v>5753</v>
      </c>
      <c r="C6608" s="5" t="s">
        <v>2745</v>
      </c>
      <c r="D6608" s="5" t="s">
        <v>2750</v>
      </c>
      <c r="E6608" s="5" t="s">
        <v>2750</v>
      </c>
      <c r="F6608" s="5" t="s">
        <v>2748</v>
      </c>
      <c r="G6608" s="5" t="s">
        <v>2749</v>
      </c>
      <c r="H6608" s="6">
        <v>7900</v>
      </c>
      <c r="I6608" s="5"/>
    </row>
    <row r="6609" spans="1:9" x14ac:dyDescent="0.3">
      <c r="B6609" s="5" t="s">
        <v>5753</v>
      </c>
      <c r="C6609" s="5" t="s">
        <v>2745</v>
      </c>
      <c r="D6609" s="5" t="s">
        <v>2750</v>
      </c>
      <c r="E6609" s="5" t="s">
        <v>2750</v>
      </c>
      <c r="F6609" s="5" t="s">
        <v>847</v>
      </c>
      <c r="G6609" s="5" t="s">
        <v>848</v>
      </c>
      <c r="H6609" s="5"/>
      <c r="I6609" s="6">
        <v>7900</v>
      </c>
    </row>
    <row r="6610" spans="1:9" x14ac:dyDescent="0.3">
      <c r="A6610" s="7" t="s">
        <v>5767</v>
      </c>
      <c r="H6610" s="8">
        <f>H6608+H6609</f>
        <v>7900</v>
      </c>
      <c r="I6610" s="8">
        <f>I6608+I6609</f>
        <v>7900</v>
      </c>
    </row>
    <row r="6611" spans="1:9" x14ac:dyDescent="0.3">
      <c r="A6611" s="4" t="s">
        <v>5768</v>
      </c>
    </row>
    <row r="6612" spans="1:9" x14ac:dyDescent="0.3">
      <c r="B6612" s="5" t="s">
        <v>5753</v>
      </c>
      <c r="C6612" s="5" t="s">
        <v>2745</v>
      </c>
      <c r="D6612" s="5" t="s">
        <v>2750</v>
      </c>
      <c r="E6612" s="5" t="s">
        <v>2750</v>
      </c>
      <c r="F6612" s="5" t="s">
        <v>2748</v>
      </c>
      <c r="G6612" s="5" t="s">
        <v>2749</v>
      </c>
      <c r="H6612" s="6">
        <v>8000</v>
      </c>
      <c r="I6612" s="5"/>
    </row>
    <row r="6613" spans="1:9" x14ac:dyDescent="0.3">
      <c r="B6613" s="5" t="s">
        <v>5753</v>
      </c>
      <c r="C6613" s="5" t="s">
        <v>2745</v>
      </c>
      <c r="D6613" s="5" t="s">
        <v>2750</v>
      </c>
      <c r="E6613" s="5" t="s">
        <v>2750</v>
      </c>
      <c r="F6613" s="5" t="s">
        <v>847</v>
      </c>
      <c r="G6613" s="5" t="s">
        <v>848</v>
      </c>
      <c r="H6613" s="5"/>
      <c r="I6613" s="6">
        <v>8000</v>
      </c>
    </row>
    <row r="6614" spans="1:9" x14ac:dyDescent="0.3">
      <c r="A6614" s="7" t="s">
        <v>5769</v>
      </c>
      <c r="H6614" s="8">
        <f>H6612+H6613</f>
        <v>8000</v>
      </c>
      <c r="I6614" s="8">
        <f>I6612+I6613</f>
        <v>8000</v>
      </c>
    </row>
    <row r="6615" spans="1:9" x14ac:dyDescent="0.3">
      <c r="A6615" s="4" t="s">
        <v>5770</v>
      </c>
    </row>
    <row r="6616" spans="1:9" x14ac:dyDescent="0.3">
      <c r="B6616" s="5" t="s">
        <v>5753</v>
      </c>
      <c r="C6616" s="5" t="s">
        <v>2745</v>
      </c>
      <c r="D6616" s="5" t="s">
        <v>2750</v>
      </c>
      <c r="E6616" s="5" t="s">
        <v>2750</v>
      </c>
      <c r="F6616" s="5" t="s">
        <v>2748</v>
      </c>
      <c r="G6616" s="5" t="s">
        <v>2749</v>
      </c>
      <c r="H6616" s="6">
        <v>7740</v>
      </c>
      <c r="I6616" s="5"/>
    </row>
    <row r="6617" spans="1:9" x14ac:dyDescent="0.3">
      <c r="B6617" s="5" t="s">
        <v>5753</v>
      </c>
      <c r="C6617" s="5" t="s">
        <v>2745</v>
      </c>
      <c r="D6617" s="5" t="s">
        <v>2750</v>
      </c>
      <c r="E6617" s="5" t="s">
        <v>2750</v>
      </c>
      <c r="F6617" s="5" t="s">
        <v>847</v>
      </c>
      <c r="G6617" s="5" t="s">
        <v>848</v>
      </c>
      <c r="H6617" s="5"/>
      <c r="I6617" s="6">
        <v>7740</v>
      </c>
    </row>
    <row r="6618" spans="1:9" x14ac:dyDescent="0.3">
      <c r="A6618" s="7" t="s">
        <v>5771</v>
      </c>
      <c r="H6618" s="8">
        <f>H6616+H6617</f>
        <v>7740</v>
      </c>
      <c r="I6618" s="8">
        <f>I6616+I6617</f>
        <v>7740</v>
      </c>
    </row>
    <row r="6619" spans="1:9" x14ac:dyDescent="0.3">
      <c r="A6619" s="4" t="s">
        <v>5772</v>
      </c>
    </row>
    <row r="6620" spans="1:9" x14ac:dyDescent="0.3">
      <c r="B6620" s="5" t="s">
        <v>5753</v>
      </c>
      <c r="C6620" s="5" t="s">
        <v>2745</v>
      </c>
      <c r="D6620" s="5" t="s">
        <v>2750</v>
      </c>
      <c r="E6620" s="5" t="s">
        <v>2750</v>
      </c>
      <c r="F6620" s="5" t="s">
        <v>2748</v>
      </c>
      <c r="G6620" s="5" t="s">
        <v>2749</v>
      </c>
      <c r="H6620" s="6">
        <v>2950</v>
      </c>
      <c r="I6620" s="5"/>
    </row>
    <row r="6621" spans="1:9" x14ac:dyDescent="0.3">
      <c r="B6621" s="5" t="s">
        <v>5753</v>
      </c>
      <c r="C6621" s="5" t="s">
        <v>2745</v>
      </c>
      <c r="D6621" s="5" t="s">
        <v>2750</v>
      </c>
      <c r="E6621" s="5" t="s">
        <v>2750</v>
      </c>
      <c r="F6621" s="5" t="s">
        <v>847</v>
      </c>
      <c r="G6621" s="5" t="s">
        <v>848</v>
      </c>
      <c r="H6621" s="5"/>
      <c r="I6621" s="6">
        <v>2950</v>
      </c>
    </row>
    <row r="6622" spans="1:9" x14ac:dyDescent="0.3">
      <c r="A6622" s="7" t="s">
        <v>5773</v>
      </c>
      <c r="H6622" s="8">
        <f>H6620+H6621</f>
        <v>2950</v>
      </c>
      <c r="I6622" s="8">
        <f>I6620+I6621</f>
        <v>2950</v>
      </c>
    </row>
    <row r="6623" spans="1:9" x14ac:dyDescent="0.3">
      <c r="A6623" s="4" t="s">
        <v>5774</v>
      </c>
    </row>
    <row r="6624" spans="1:9" x14ac:dyDescent="0.3">
      <c r="B6624" s="5" t="s">
        <v>5753</v>
      </c>
      <c r="C6624" s="5" t="s">
        <v>2745</v>
      </c>
      <c r="D6624" s="5" t="s">
        <v>2750</v>
      </c>
      <c r="E6624" s="5" t="s">
        <v>2750</v>
      </c>
      <c r="F6624" s="5" t="s">
        <v>2748</v>
      </c>
      <c r="G6624" s="5" t="s">
        <v>2749</v>
      </c>
      <c r="H6624" s="6">
        <v>7400</v>
      </c>
      <c r="I6624" s="5"/>
    </row>
    <row r="6625" spans="1:9" x14ac:dyDescent="0.3">
      <c r="B6625" s="5" t="s">
        <v>5753</v>
      </c>
      <c r="C6625" s="5" t="s">
        <v>2745</v>
      </c>
      <c r="D6625" s="5" t="s">
        <v>2750</v>
      </c>
      <c r="E6625" s="5" t="s">
        <v>2750</v>
      </c>
      <c r="F6625" s="5" t="s">
        <v>847</v>
      </c>
      <c r="G6625" s="5" t="s">
        <v>848</v>
      </c>
      <c r="H6625" s="5"/>
      <c r="I6625" s="6">
        <v>7400</v>
      </c>
    </row>
    <row r="6626" spans="1:9" x14ac:dyDescent="0.3">
      <c r="A6626" s="7" t="s">
        <v>5775</v>
      </c>
      <c r="H6626" s="8">
        <f>H6624+H6625</f>
        <v>7400</v>
      </c>
      <c r="I6626" s="8">
        <f>I6624+I6625</f>
        <v>7400</v>
      </c>
    </row>
    <row r="6627" spans="1:9" x14ac:dyDescent="0.3">
      <c r="A6627" s="4" t="s">
        <v>5776</v>
      </c>
    </row>
    <row r="6628" spans="1:9" x14ac:dyDescent="0.3">
      <c r="B6628" s="5" t="s">
        <v>5753</v>
      </c>
      <c r="C6628" s="5" t="s">
        <v>2745</v>
      </c>
      <c r="D6628" s="5" t="s">
        <v>2750</v>
      </c>
      <c r="E6628" s="5" t="s">
        <v>2750</v>
      </c>
      <c r="F6628" s="5" t="s">
        <v>2748</v>
      </c>
      <c r="G6628" s="5" t="s">
        <v>2749</v>
      </c>
      <c r="H6628" s="6">
        <v>3930</v>
      </c>
      <c r="I6628" s="5"/>
    </row>
    <row r="6629" spans="1:9" x14ac:dyDescent="0.3">
      <c r="B6629" s="5" t="s">
        <v>5753</v>
      </c>
      <c r="C6629" s="5" t="s">
        <v>2745</v>
      </c>
      <c r="D6629" s="5" t="s">
        <v>2750</v>
      </c>
      <c r="E6629" s="5" t="s">
        <v>2750</v>
      </c>
      <c r="F6629" s="5" t="s">
        <v>847</v>
      </c>
      <c r="G6629" s="5" t="s">
        <v>848</v>
      </c>
      <c r="H6629" s="5"/>
      <c r="I6629" s="6">
        <v>3930</v>
      </c>
    </row>
    <row r="6630" spans="1:9" x14ac:dyDescent="0.3">
      <c r="A6630" s="7" t="s">
        <v>5777</v>
      </c>
      <c r="H6630" s="8">
        <f>H6628+H6629</f>
        <v>3930</v>
      </c>
      <c r="I6630" s="8">
        <f>I6628+I6629</f>
        <v>3930</v>
      </c>
    </row>
    <row r="6631" spans="1:9" x14ac:dyDescent="0.3">
      <c r="A6631" s="4" t="s">
        <v>5778</v>
      </c>
    </row>
    <row r="6632" spans="1:9" x14ac:dyDescent="0.3">
      <c r="B6632" s="5" t="s">
        <v>5753</v>
      </c>
      <c r="C6632" s="5" t="s">
        <v>2745</v>
      </c>
      <c r="D6632" s="5" t="s">
        <v>2750</v>
      </c>
      <c r="E6632" s="5" t="s">
        <v>2750</v>
      </c>
      <c r="F6632" s="5" t="s">
        <v>2748</v>
      </c>
      <c r="G6632" s="5" t="s">
        <v>2749</v>
      </c>
      <c r="H6632" s="6">
        <v>8700</v>
      </c>
      <c r="I6632" s="5"/>
    </row>
    <row r="6633" spans="1:9" x14ac:dyDescent="0.3">
      <c r="B6633" s="5" t="s">
        <v>5753</v>
      </c>
      <c r="C6633" s="5" t="s">
        <v>2745</v>
      </c>
      <c r="D6633" s="5" t="s">
        <v>2750</v>
      </c>
      <c r="E6633" s="5" t="s">
        <v>2750</v>
      </c>
      <c r="F6633" s="5" t="s">
        <v>847</v>
      </c>
      <c r="G6633" s="5" t="s">
        <v>848</v>
      </c>
      <c r="H6633" s="5"/>
      <c r="I6633" s="6">
        <v>8700</v>
      </c>
    </row>
    <row r="6634" spans="1:9" x14ac:dyDescent="0.3">
      <c r="A6634" s="7" t="s">
        <v>5779</v>
      </c>
      <c r="H6634" s="8">
        <f>H6632+H6633</f>
        <v>8700</v>
      </c>
      <c r="I6634" s="8">
        <f>I6632+I6633</f>
        <v>8700</v>
      </c>
    </row>
    <row r="6635" spans="1:9" x14ac:dyDescent="0.3">
      <c r="A6635" s="4" t="s">
        <v>5780</v>
      </c>
    </row>
    <row r="6636" spans="1:9" x14ac:dyDescent="0.3">
      <c r="B6636" s="5" t="s">
        <v>5781</v>
      </c>
      <c r="C6636" s="5" t="s">
        <v>10</v>
      </c>
      <c r="D6636" s="5" t="s">
        <v>5782</v>
      </c>
      <c r="E6636" s="5" t="s">
        <v>230</v>
      </c>
      <c r="F6636" s="5" t="s">
        <v>61</v>
      </c>
      <c r="G6636" s="5" t="s">
        <v>62</v>
      </c>
      <c r="H6636" s="6">
        <v>1020</v>
      </c>
      <c r="I6636" s="5"/>
    </row>
    <row r="6637" spans="1:9" x14ac:dyDescent="0.3">
      <c r="B6637" s="5" t="s">
        <v>5781</v>
      </c>
      <c r="C6637" s="5" t="s">
        <v>10</v>
      </c>
      <c r="D6637" s="5" t="s">
        <v>5782</v>
      </c>
      <c r="E6637" s="5" t="s">
        <v>4906</v>
      </c>
      <c r="F6637" s="5" t="s">
        <v>113</v>
      </c>
      <c r="G6637" s="5" t="s">
        <v>114</v>
      </c>
      <c r="H6637" s="6">
        <v>680</v>
      </c>
      <c r="I6637" s="5"/>
    </row>
    <row r="6638" spans="1:9" x14ac:dyDescent="0.3">
      <c r="B6638" s="5" t="s">
        <v>5781</v>
      </c>
      <c r="C6638" s="5" t="s">
        <v>10</v>
      </c>
      <c r="D6638" s="5" t="s">
        <v>5782</v>
      </c>
      <c r="E6638" s="5" t="s">
        <v>5783</v>
      </c>
      <c r="F6638" s="5" t="s">
        <v>2500</v>
      </c>
      <c r="G6638" s="5" t="s">
        <v>2501</v>
      </c>
      <c r="H6638" s="6">
        <v>500</v>
      </c>
      <c r="I6638" s="5"/>
    </row>
    <row r="6639" spans="1:9" x14ac:dyDescent="0.3">
      <c r="B6639" s="5" t="s">
        <v>5781</v>
      </c>
      <c r="C6639" s="5" t="s">
        <v>10</v>
      </c>
      <c r="D6639" s="5" t="s">
        <v>5782</v>
      </c>
      <c r="E6639" s="5" t="s">
        <v>5784</v>
      </c>
      <c r="F6639" s="5" t="s">
        <v>1643</v>
      </c>
      <c r="G6639" s="5" t="s">
        <v>1644</v>
      </c>
      <c r="H6639" s="5"/>
      <c r="I6639" s="6">
        <v>2200</v>
      </c>
    </row>
    <row r="6640" spans="1:9" x14ac:dyDescent="0.3">
      <c r="A6640" s="7" t="s">
        <v>5785</v>
      </c>
      <c r="H6640" s="8">
        <f>H6636+H6637+H6638+H6639</f>
        <v>2200</v>
      </c>
      <c r="I6640" s="8">
        <f>I6636+I6637+I6638+I6639</f>
        <v>2200</v>
      </c>
    </row>
    <row r="6641" spans="1:9" x14ac:dyDescent="0.3">
      <c r="A6641" s="4" t="s">
        <v>5786</v>
      </c>
    </row>
    <row r="6642" spans="1:9" x14ac:dyDescent="0.3">
      <c r="B6642" s="5" t="s">
        <v>5781</v>
      </c>
      <c r="C6642" s="5" t="s">
        <v>2745</v>
      </c>
      <c r="D6642" s="5" t="s">
        <v>2750</v>
      </c>
      <c r="E6642" s="5" t="s">
        <v>2750</v>
      </c>
      <c r="F6642" s="5" t="s">
        <v>2748</v>
      </c>
      <c r="G6642" s="5" t="s">
        <v>2749</v>
      </c>
      <c r="H6642" s="6">
        <v>9280</v>
      </c>
      <c r="I6642" s="5"/>
    </row>
    <row r="6643" spans="1:9" x14ac:dyDescent="0.3">
      <c r="B6643" s="5" t="s">
        <v>5781</v>
      </c>
      <c r="C6643" s="5" t="s">
        <v>2745</v>
      </c>
      <c r="D6643" s="5" t="s">
        <v>2750</v>
      </c>
      <c r="E6643" s="5" t="s">
        <v>2750</v>
      </c>
      <c r="F6643" s="5" t="s">
        <v>847</v>
      </c>
      <c r="G6643" s="5" t="s">
        <v>848</v>
      </c>
      <c r="H6643" s="5"/>
      <c r="I6643" s="6">
        <v>9280</v>
      </c>
    </row>
    <row r="6644" spans="1:9" x14ac:dyDescent="0.3">
      <c r="A6644" s="7" t="s">
        <v>5787</v>
      </c>
      <c r="H6644" s="8">
        <f>H6642+H6643</f>
        <v>9280</v>
      </c>
      <c r="I6644" s="8">
        <f>I6642+I6643</f>
        <v>9280</v>
      </c>
    </row>
    <row r="6645" spans="1:9" x14ac:dyDescent="0.3">
      <c r="A6645" s="4" t="s">
        <v>5788</v>
      </c>
    </row>
    <row r="6646" spans="1:9" x14ac:dyDescent="0.3">
      <c r="B6646" s="5" t="s">
        <v>5781</v>
      </c>
      <c r="C6646" s="5" t="s">
        <v>2745</v>
      </c>
      <c r="D6646" s="5" t="s">
        <v>2750</v>
      </c>
      <c r="E6646" s="5" t="s">
        <v>2750</v>
      </c>
      <c r="F6646" s="5" t="s">
        <v>2748</v>
      </c>
      <c r="G6646" s="5" t="s">
        <v>2749</v>
      </c>
      <c r="H6646" s="6">
        <v>2900</v>
      </c>
      <c r="I6646" s="5"/>
    </row>
    <row r="6647" spans="1:9" x14ac:dyDescent="0.3">
      <c r="B6647" s="5" t="s">
        <v>5781</v>
      </c>
      <c r="C6647" s="5" t="s">
        <v>2745</v>
      </c>
      <c r="D6647" s="5" t="s">
        <v>2750</v>
      </c>
      <c r="E6647" s="5" t="s">
        <v>2750</v>
      </c>
      <c r="F6647" s="5" t="s">
        <v>847</v>
      </c>
      <c r="G6647" s="5" t="s">
        <v>848</v>
      </c>
      <c r="H6647" s="5"/>
      <c r="I6647" s="6">
        <v>2900</v>
      </c>
    </row>
    <row r="6648" spans="1:9" x14ac:dyDescent="0.3">
      <c r="A6648" s="7" t="s">
        <v>5789</v>
      </c>
      <c r="H6648" s="8">
        <f>H6646+H6647</f>
        <v>2900</v>
      </c>
      <c r="I6648" s="8">
        <f>I6646+I6647</f>
        <v>2900</v>
      </c>
    </row>
    <row r="6649" spans="1:9" x14ac:dyDescent="0.3">
      <c r="A6649" s="4" t="s">
        <v>5790</v>
      </c>
    </row>
    <row r="6650" spans="1:9" x14ac:dyDescent="0.3">
      <c r="B6650" s="5" t="s">
        <v>5791</v>
      </c>
      <c r="C6650" s="5" t="s">
        <v>10</v>
      </c>
      <c r="D6650" s="5" t="s">
        <v>5792</v>
      </c>
      <c r="E6650" s="5" t="s">
        <v>1634</v>
      </c>
      <c r="F6650" s="5" t="s">
        <v>116</v>
      </c>
      <c r="G6650" s="5" t="s">
        <v>117</v>
      </c>
      <c r="H6650" s="6">
        <v>500</v>
      </c>
      <c r="I6650" s="5"/>
    </row>
    <row r="6651" spans="1:9" x14ac:dyDescent="0.3">
      <c r="B6651" s="5" t="s">
        <v>5791</v>
      </c>
      <c r="C6651" s="5" t="s">
        <v>10</v>
      </c>
      <c r="D6651" s="5" t="s">
        <v>5792</v>
      </c>
      <c r="E6651" s="5" t="s">
        <v>1634</v>
      </c>
      <c r="F6651" s="5" t="s">
        <v>1643</v>
      </c>
      <c r="G6651" s="5" t="s">
        <v>1644</v>
      </c>
      <c r="H6651" s="5"/>
      <c r="I6651" s="6">
        <v>500</v>
      </c>
    </row>
    <row r="6652" spans="1:9" x14ac:dyDescent="0.3">
      <c r="A6652" s="7" t="s">
        <v>5793</v>
      </c>
      <c r="H6652" s="8">
        <f>H6650+H6651</f>
        <v>500</v>
      </c>
      <c r="I6652" s="8">
        <f>I6650+I6651</f>
        <v>500</v>
      </c>
    </row>
    <row r="6653" spans="1:9" x14ac:dyDescent="0.3">
      <c r="A6653" s="4" t="s">
        <v>5794</v>
      </c>
    </row>
    <row r="6654" spans="1:9" x14ac:dyDescent="0.3">
      <c r="B6654" s="5" t="s">
        <v>5791</v>
      </c>
      <c r="C6654" s="5" t="s">
        <v>2745</v>
      </c>
      <c r="D6654" s="5" t="s">
        <v>2750</v>
      </c>
      <c r="E6654" s="5" t="s">
        <v>2750</v>
      </c>
      <c r="F6654" s="5" t="s">
        <v>2748</v>
      </c>
      <c r="G6654" s="5" t="s">
        <v>2749</v>
      </c>
      <c r="H6654" s="6">
        <v>5410</v>
      </c>
      <c r="I6654" s="5"/>
    </row>
    <row r="6655" spans="1:9" x14ac:dyDescent="0.3">
      <c r="B6655" s="5" t="s">
        <v>5791</v>
      </c>
      <c r="C6655" s="5" t="s">
        <v>2745</v>
      </c>
      <c r="D6655" s="5" t="s">
        <v>2750</v>
      </c>
      <c r="E6655" s="5" t="s">
        <v>2750</v>
      </c>
      <c r="F6655" s="5" t="s">
        <v>847</v>
      </c>
      <c r="G6655" s="5" t="s">
        <v>848</v>
      </c>
      <c r="H6655" s="5"/>
      <c r="I6655" s="6">
        <v>5410</v>
      </c>
    </row>
    <row r="6656" spans="1:9" x14ac:dyDescent="0.3">
      <c r="A6656" s="7" t="s">
        <v>5795</v>
      </c>
      <c r="H6656" s="8">
        <f>H6654+H6655</f>
        <v>5410</v>
      </c>
      <c r="I6656" s="8">
        <f>I6654+I6655</f>
        <v>5410</v>
      </c>
    </row>
    <row r="6657" spans="1:9" x14ac:dyDescent="0.3">
      <c r="A6657" s="4" t="s">
        <v>5796</v>
      </c>
    </row>
    <row r="6658" spans="1:9" x14ac:dyDescent="0.3">
      <c r="B6658" s="5" t="s">
        <v>5791</v>
      </c>
      <c r="C6658" s="5" t="s">
        <v>2745</v>
      </c>
      <c r="D6658" s="5" t="s">
        <v>2750</v>
      </c>
      <c r="E6658" s="5" t="s">
        <v>2750</v>
      </c>
      <c r="F6658" s="5" t="s">
        <v>2748</v>
      </c>
      <c r="G6658" s="5" t="s">
        <v>2749</v>
      </c>
      <c r="H6658" s="6">
        <v>21750</v>
      </c>
      <c r="I6658" s="5"/>
    </row>
    <row r="6659" spans="1:9" x14ac:dyDescent="0.3">
      <c r="B6659" s="5" t="s">
        <v>5791</v>
      </c>
      <c r="C6659" s="5" t="s">
        <v>2745</v>
      </c>
      <c r="D6659" s="5" t="s">
        <v>2750</v>
      </c>
      <c r="E6659" s="5" t="s">
        <v>2750</v>
      </c>
      <c r="F6659" s="5" t="s">
        <v>847</v>
      </c>
      <c r="G6659" s="5" t="s">
        <v>848</v>
      </c>
      <c r="H6659" s="5"/>
      <c r="I6659" s="6">
        <v>21750</v>
      </c>
    </row>
    <row r="6660" spans="1:9" x14ac:dyDescent="0.3">
      <c r="A6660" s="7" t="s">
        <v>5797</v>
      </c>
      <c r="H6660" s="8">
        <f>H6658+H6659</f>
        <v>21750</v>
      </c>
      <c r="I6660" s="8">
        <f>I6658+I6659</f>
        <v>21750</v>
      </c>
    </row>
    <row r="6661" spans="1:9" x14ac:dyDescent="0.3">
      <c r="A6661" s="4" t="s">
        <v>5798</v>
      </c>
    </row>
    <row r="6662" spans="1:9" x14ac:dyDescent="0.3">
      <c r="B6662" s="5" t="s">
        <v>5799</v>
      </c>
      <c r="C6662" s="5" t="s">
        <v>10</v>
      </c>
      <c r="D6662" s="5" t="s">
        <v>5800</v>
      </c>
      <c r="E6662" s="5" t="s">
        <v>5801</v>
      </c>
      <c r="F6662" s="5" t="s">
        <v>61</v>
      </c>
      <c r="G6662" s="5" t="s">
        <v>62</v>
      </c>
      <c r="H6662" s="6">
        <v>350</v>
      </c>
      <c r="I6662" s="5"/>
    </row>
    <row r="6663" spans="1:9" x14ac:dyDescent="0.3">
      <c r="B6663" s="5" t="s">
        <v>5799</v>
      </c>
      <c r="C6663" s="5" t="s">
        <v>10</v>
      </c>
      <c r="D6663" s="5" t="s">
        <v>5800</v>
      </c>
      <c r="E6663" s="5" t="s">
        <v>5801</v>
      </c>
      <c r="F6663" s="5" t="s">
        <v>113</v>
      </c>
      <c r="G6663" s="5" t="s">
        <v>114</v>
      </c>
      <c r="H6663" s="6">
        <v>2320</v>
      </c>
      <c r="I6663" s="5"/>
    </row>
    <row r="6664" spans="1:9" x14ac:dyDescent="0.3">
      <c r="B6664" s="5" t="s">
        <v>5799</v>
      </c>
      <c r="C6664" s="5" t="s">
        <v>10</v>
      </c>
      <c r="D6664" s="5" t="s">
        <v>5800</v>
      </c>
      <c r="E6664" s="5" t="s">
        <v>5801</v>
      </c>
      <c r="F6664" s="5" t="s">
        <v>1643</v>
      </c>
      <c r="G6664" s="5" t="s">
        <v>1644</v>
      </c>
      <c r="H6664" s="5"/>
      <c r="I6664" s="6">
        <v>2670</v>
      </c>
    </row>
    <row r="6665" spans="1:9" x14ac:dyDescent="0.3">
      <c r="A6665" s="7" t="s">
        <v>5802</v>
      </c>
      <c r="H6665" s="8">
        <f>H6662+H6663+H6664</f>
        <v>2670</v>
      </c>
      <c r="I6665" s="8">
        <f>I6662+I6663+I6664</f>
        <v>2670</v>
      </c>
    </row>
    <row r="6666" spans="1:9" x14ac:dyDescent="0.3">
      <c r="A6666" s="4" t="s">
        <v>5803</v>
      </c>
    </row>
    <row r="6667" spans="1:9" x14ac:dyDescent="0.3">
      <c r="B6667" s="5" t="s">
        <v>5799</v>
      </c>
      <c r="C6667" s="5" t="s">
        <v>10</v>
      </c>
      <c r="D6667" s="5" t="s">
        <v>5804</v>
      </c>
      <c r="E6667" s="5" t="s">
        <v>5805</v>
      </c>
      <c r="F6667" s="5" t="s">
        <v>685</v>
      </c>
      <c r="G6667" s="5" t="s">
        <v>686</v>
      </c>
      <c r="H6667" s="6">
        <v>3000</v>
      </c>
      <c r="I6667" s="5"/>
    </row>
    <row r="6668" spans="1:9" x14ac:dyDescent="0.3">
      <c r="B6668" s="5" t="s">
        <v>5799</v>
      </c>
      <c r="C6668" s="5" t="s">
        <v>10</v>
      </c>
      <c r="D6668" s="5" t="s">
        <v>5804</v>
      </c>
      <c r="E6668" s="5" t="s">
        <v>5805</v>
      </c>
      <c r="F6668" s="5" t="s">
        <v>1643</v>
      </c>
      <c r="G6668" s="5" t="s">
        <v>1644</v>
      </c>
      <c r="H6668" s="5"/>
      <c r="I6668" s="6">
        <v>3000</v>
      </c>
    </row>
    <row r="6669" spans="1:9" x14ac:dyDescent="0.3">
      <c r="A6669" s="7" t="s">
        <v>5806</v>
      </c>
      <c r="H6669" s="8">
        <f>H6667+H6668</f>
        <v>3000</v>
      </c>
      <c r="I6669" s="8">
        <f>I6667+I6668</f>
        <v>3000</v>
      </c>
    </row>
    <row r="6670" spans="1:9" x14ac:dyDescent="0.3">
      <c r="A6670" s="4" t="s">
        <v>5807</v>
      </c>
    </row>
    <row r="6671" spans="1:9" x14ac:dyDescent="0.3">
      <c r="B6671" s="5" t="s">
        <v>5799</v>
      </c>
      <c r="C6671" s="5" t="s">
        <v>2745</v>
      </c>
      <c r="D6671" s="5" t="s">
        <v>2750</v>
      </c>
      <c r="E6671" s="5" t="s">
        <v>2750</v>
      </c>
      <c r="F6671" s="5" t="s">
        <v>2748</v>
      </c>
      <c r="G6671" s="5" t="s">
        <v>2749</v>
      </c>
      <c r="H6671" s="6">
        <v>8050</v>
      </c>
      <c r="I6671" s="5"/>
    </row>
    <row r="6672" spans="1:9" x14ac:dyDescent="0.3">
      <c r="B6672" s="5" t="s">
        <v>5799</v>
      </c>
      <c r="C6672" s="5" t="s">
        <v>2745</v>
      </c>
      <c r="D6672" s="5" t="s">
        <v>2750</v>
      </c>
      <c r="E6672" s="5" t="s">
        <v>2750</v>
      </c>
      <c r="F6672" s="5" t="s">
        <v>847</v>
      </c>
      <c r="G6672" s="5" t="s">
        <v>848</v>
      </c>
      <c r="H6672" s="5"/>
      <c r="I6672" s="6">
        <v>8050</v>
      </c>
    </row>
    <row r="6673" spans="1:9" x14ac:dyDescent="0.3">
      <c r="A6673" s="7" t="s">
        <v>5808</v>
      </c>
      <c r="H6673" s="8">
        <f>H6671+H6672</f>
        <v>8050</v>
      </c>
      <c r="I6673" s="8">
        <f>I6671+I6672</f>
        <v>8050</v>
      </c>
    </row>
    <row r="6674" spans="1:9" x14ac:dyDescent="0.3">
      <c r="A6674" s="4" t="s">
        <v>5809</v>
      </c>
    </row>
    <row r="6675" spans="1:9" x14ac:dyDescent="0.3">
      <c r="B6675" s="5" t="s">
        <v>5799</v>
      </c>
      <c r="C6675" s="5" t="s">
        <v>2745</v>
      </c>
      <c r="D6675" s="5" t="s">
        <v>2750</v>
      </c>
      <c r="E6675" s="5" t="s">
        <v>2750</v>
      </c>
      <c r="F6675" s="5" t="s">
        <v>2748</v>
      </c>
      <c r="G6675" s="5" t="s">
        <v>2749</v>
      </c>
      <c r="H6675" s="6">
        <v>1970</v>
      </c>
      <c r="I6675" s="5"/>
    </row>
    <row r="6676" spans="1:9" x14ac:dyDescent="0.3">
      <c r="B6676" s="5" t="s">
        <v>5799</v>
      </c>
      <c r="C6676" s="5" t="s">
        <v>2745</v>
      </c>
      <c r="D6676" s="5" t="s">
        <v>2750</v>
      </c>
      <c r="E6676" s="5" t="s">
        <v>2750</v>
      </c>
      <c r="F6676" s="5" t="s">
        <v>847</v>
      </c>
      <c r="G6676" s="5" t="s">
        <v>848</v>
      </c>
      <c r="H6676" s="5"/>
      <c r="I6676" s="6">
        <v>1970</v>
      </c>
    </row>
    <row r="6677" spans="1:9" x14ac:dyDescent="0.3">
      <c r="A6677" s="7" t="s">
        <v>5810</v>
      </c>
      <c r="H6677" s="8">
        <f>H6675+H6676</f>
        <v>1970</v>
      </c>
      <c r="I6677" s="8">
        <f>I6675+I6676</f>
        <v>1970</v>
      </c>
    </row>
    <row r="6678" spans="1:9" x14ac:dyDescent="0.3">
      <c r="A6678" s="4" t="s">
        <v>5811</v>
      </c>
    </row>
    <row r="6679" spans="1:9" x14ac:dyDescent="0.3">
      <c r="B6679" s="5" t="s">
        <v>5799</v>
      </c>
      <c r="C6679" s="5" t="s">
        <v>2745</v>
      </c>
      <c r="D6679" s="5" t="s">
        <v>2750</v>
      </c>
      <c r="E6679" s="5" t="s">
        <v>2750</v>
      </c>
      <c r="F6679" s="5" t="s">
        <v>2748</v>
      </c>
      <c r="G6679" s="5" t="s">
        <v>2749</v>
      </c>
      <c r="H6679" s="6">
        <v>3450</v>
      </c>
      <c r="I6679" s="5"/>
    </row>
    <row r="6680" spans="1:9" x14ac:dyDescent="0.3">
      <c r="B6680" s="5" t="s">
        <v>5799</v>
      </c>
      <c r="C6680" s="5" t="s">
        <v>2745</v>
      </c>
      <c r="D6680" s="5" t="s">
        <v>2750</v>
      </c>
      <c r="E6680" s="5" t="s">
        <v>2750</v>
      </c>
      <c r="F6680" s="5" t="s">
        <v>847</v>
      </c>
      <c r="G6680" s="5" t="s">
        <v>848</v>
      </c>
      <c r="H6680" s="5"/>
      <c r="I6680" s="6">
        <v>3450</v>
      </c>
    </row>
    <row r="6681" spans="1:9" x14ac:dyDescent="0.3">
      <c r="A6681" s="7" t="s">
        <v>5812</v>
      </c>
      <c r="H6681" s="8">
        <f>H6679+H6680</f>
        <v>3450</v>
      </c>
      <c r="I6681" s="8">
        <f>I6679+I6680</f>
        <v>3450</v>
      </c>
    </row>
    <row r="6682" spans="1:9" x14ac:dyDescent="0.3">
      <c r="A6682" s="4" t="s">
        <v>5813</v>
      </c>
    </row>
    <row r="6683" spans="1:9" x14ac:dyDescent="0.3">
      <c r="B6683" s="5" t="s">
        <v>5799</v>
      </c>
      <c r="C6683" s="5" t="s">
        <v>2745</v>
      </c>
      <c r="D6683" s="5" t="s">
        <v>2750</v>
      </c>
      <c r="E6683" s="5" t="s">
        <v>2750</v>
      </c>
      <c r="F6683" s="5" t="s">
        <v>2748</v>
      </c>
      <c r="G6683" s="5" t="s">
        <v>2749</v>
      </c>
      <c r="H6683" s="6">
        <v>8290</v>
      </c>
      <c r="I6683" s="5"/>
    </row>
    <row r="6684" spans="1:9" x14ac:dyDescent="0.3">
      <c r="B6684" s="5" t="s">
        <v>5799</v>
      </c>
      <c r="C6684" s="5" t="s">
        <v>2745</v>
      </c>
      <c r="D6684" s="5" t="s">
        <v>2750</v>
      </c>
      <c r="E6684" s="5" t="s">
        <v>2750</v>
      </c>
      <c r="F6684" s="5" t="s">
        <v>847</v>
      </c>
      <c r="G6684" s="5" t="s">
        <v>848</v>
      </c>
      <c r="H6684" s="5"/>
      <c r="I6684" s="6">
        <v>8290</v>
      </c>
    </row>
    <row r="6685" spans="1:9" x14ac:dyDescent="0.3">
      <c r="A6685" s="7" t="s">
        <v>5814</v>
      </c>
      <c r="H6685" s="8">
        <f>H6683+H6684</f>
        <v>8290</v>
      </c>
      <c r="I6685" s="8">
        <f>I6683+I6684</f>
        <v>8290</v>
      </c>
    </row>
    <row r="6686" spans="1:9" x14ac:dyDescent="0.3">
      <c r="A6686" s="4" t="s">
        <v>5815</v>
      </c>
    </row>
    <row r="6687" spans="1:9" x14ac:dyDescent="0.3">
      <c r="B6687" s="5" t="s">
        <v>5799</v>
      </c>
      <c r="C6687" s="5" t="s">
        <v>2745</v>
      </c>
      <c r="D6687" s="5" t="s">
        <v>2750</v>
      </c>
      <c r="E6687" s="5" t="s">
        <v>2750</v>
      </c>
      <c r="F6687" s="5" t="s">
        <v>2748</v>
      </c>
      <c r="G6687" s="5" t="s">
        <v>2749</v>
      </c>
      <c r="H6687" s="6">
        <v>2520</v>
      </c>
      <c r="I6687" s="5"/>
    </row>
    <row r="6688" spans="1:9" x14ac:dyDescent="0.3">
      <c r="B6688" s="5" t="s">
        <v>5799</v>
      </c>
      <c r="C6688" s="5" t="s">
        <v>2745</v>
      </c>
      <c r="D6688" s="5" t="s">
        <v>2750</v>
      </c>
      <c r="E6688" s="5" t="s">
        <v>2750</v>
      </c>
      <c r="F6688" s="5" t="s">
        <v>847</v>
      </c>
      <c r="G6688" s="5" t="s">
        <v>848</v>
      </c>
      <c r="H6688" s="5"/>
      <c r="I6688" s="6">
        <v>2520</v>
      </c>
    </row>
    <row r="6689" spans="1:9" x14ac:dyDescent="0.3">
      <c r="A6689" s="7" t="s">
        <v>5816</v>
      </c>
      <c r="H6689" s="8">
        <f>H6687+H6688</f>
        <v>2520</v>
      </c>
      <c r="I6689" s="8">
        <f>I6687+I6688</f>
        <v>2520</v>
      </c>
    </row>
    <row r="6690" spans="1:9" x14ac:dyDescent="0.3">
      <c r="A6690" s="4" t="s">
        <v>5817</v>
      </c>
    </row>
    <row r="6691" spans="1:9" x14ac:dyDescent="0.3">
      <c r="B6691" s="5" t="s">
        <v>5799</v>
      </c>
      <c r="C6691" s="5" t="s">
        <v>2745</v>
      </c>
      <c r="D6691" s="5" t="s">
        <v>2750</v>
      </c>
      <c r="E6691" s="5" t="s">
        <v>2750</v>
      </c>
      <c r="F6691" s="5" t="s">
        <v>2748</v>
      </c>
      <c r="G6691" s="5" t="s">
        <v>2749</v>
      </c>
      <c r="H6691" s="6">
        <v>1210</v>
      </c>
      <c r="I6691" s="5"/>
    </row>
    <row r="6692" spans="1:9" x14ac:dyDescent="0.3">
      <c r="B6692" s="5" t="s">
        <v>5799</v>
      </c>
      <c r="C6692" s="5" t="s">
        <v>2745</v>
      </c>
      <c r="D6692" s="5" t="s">
        <v>2750</v>
      </c>
      <c r="E6692" s="5" t="s">
        <v>2750</v>
      </c>
      <c r="F6692" s="5" t="s">
        <v>847</v>
      </c>
      <c r="G6692" s="5" t="s">
        <v>848</v>
      </c>
      <c r="H6692" s="5"/>
      <c r="I6692" s="6">
        <v>1210</v>
      </c>
    </row>
    <row r="6693" spans="1:9" x14ac:dyDescent="0.3">
      <c r="A6693" s="7" t="s">
        <v>5818</v>
      </c>
      <c r="H6693" s="8">
        <f>H6691+H6692</f>
        <v>1210</v>
      </c>
      <c r="I6693" s="8">
        <f>I6691+I6692</f>
        <v>1210</v>
      </c>
    </row>
    <row r="6694" spans="1:9" x14ac:dyDescent="0.3">
      <c r="A6694" s="4" t="s">
        <v>5819</v>
      </c>
    </row>
    <row r="6695" spans="1:9" x14ac:dyDescent="0.3">
      <c r="B6695" s="5" t="s">
        <v>5799</v>
      </c>
      <c r="C6695" s="5" t="s">
        <v>2745</v>
      </c>
      <c r="D6695" s="5" t="s">
        <v>2750</v>
      </c>
      <c r="E6695" s="5" t="s">
        <v>2750</v>
      </c>
      <c r="F6695" s="5" t="s">
        <v>2748</v>
      </c>
      <c r="G6695" s="5" t="s">
        <v>2749</v>
      </c>
      <c r="H6695" s="6">
        <v>6765</v>
      </c>
      <c r="I6695" s="5"/>
    </row>
    <row r="6696" spans="1:9" x14ac:dyDescent="0.3">
      <c r="B6696" s="5" t="s">
        <v>5799</v>
      </c>
      <c r="C6696" s="5" t="s">
        <v>2745</v>
      </c>
      <c r="D6696" s="5" t="s">
        <v>2750</v>
      </c>
      <c r="E6696" s="5" t="s">
        <v>2750</v>
      </c>
      <c r="F6696" s="5" t="s">
        <v>847</v>
      </c>
      <c r="G6696" s="5" t="s">
        <v>848</v>
      </c>
      <c r="H6696" s="5"/>
      <c r="I6696" s="6">
        <v>6765</v>
      </c>
    </row>
    <row r="6697" spans="1:9" x14ac:dyDescent="0.3">
      <c r="A6697" s="7" t="s">
        <v>5820</v>
      </c>
      <c r="H6697" s="8">
        <f>H6695+H6696</f>
        <v>6765</v>
      </c>
      <c r="I6697" s="8">
        <f>I6695+I6696</f>
        <v>6765</v>
      </c>
    </row>
    <row r="6698" spans="1:9" x14ac:dyDescent="0.3">
      <c r="A6698" s="4" t="s">
        <v>5821</v>
      </c>
    </row>
    <row r="6699" spans="1:9" x14ac:dyDescent="0.3">
      <c r="B6699" s="5" t="s">
        <v>5799</v>
      </c>
      <c r="C6699" s="5" t="s">
        <v>2745</v>
      </c>
      <c r="D6699" s="5" t="s">
        <v>2750</v>
      </c>
      <c r="E6699" s="5" t="s">
        <v>2750</v>
      </c>
      <c r="F6699" s="5" t="s">
        <v>2748</v>
      </c>
      <c r="G6699" s="5" t="s">
        <v>2749</v>
      </c>
      <c r="H6699" s="6">
        <v>1580</v>
      </c>
      <c r="I6699" s="5"/>
    </row>
    <row r="6700" spans="1:9" x14ac:dyDescent="0.3">
      <c r="B6700" s="5" t="s">
        <v>5799</v>
      </c>
      <c r="C6700" s="5" t="s">
        <v>2745</v>
      </c>
      <c r="D6700" s="5" t="s">
        <v>2750</v>
      </c>
      <c r="E6700" s="5" t="s">
        <v>2750</v>
      </c>
      <c r="F6700" s="5" t="s">
        <v>847</v>
      </c>
      <c r="G6700" s="5" t="s">
        <v>848</v>
      </c>
      <c r="H6700" s="5"/>
      <c r="I6700" s="6">
        <v>1580</v>
      </c>
    </row>
    <row r="6701" spans="1:9" x14ac:dyDescent="0.3">
      <c r="A6701" s="7" t="s">
        <v>5822</v>
      </c>
      <c r="H6701" s="8">
        <f>H6699+H6700</f>
        <v>1580</v>
      </c>
      <c r="I6701" s="8">
        <f>I6699+I6700</f>
        <v>1580</v>
      </c>
    </row>
    <row r="6702" spans="1:9" x14ac:dyDescent="0.3">
      <c r="A6702" s="4" t="s">
        <v>5823</v>
      </c>
    </row>
    <row r="6703" spans="1:9" x14ac:dyDescent="0.3">
      <c r="B6703" s="5" t="s">
        <v>5799</v>
      </c>
      <c r="C6703" s="5" t="s">
        <v>2745</v>
      </c>
      <c r="D6703" s="5" t="s">
        <v>2750</v>
      </c>
      <c r="E6703" s="5" t="s">
        <v>2750</v>
      </c>
      <c r="F6703" s="5" t="s">
        <v>2748</v>
      </c>
      <c r="G6703" s="5" t="s">
        <v>2749</v>
      </c>
      <c r="H6703" s="6">
        <v>4833</v>
      </c>
      <c r="I6703" s="5"/>
    </row>
    <row r="6704" spans="1:9" x14ac:dyDescent="0.3">
      <c r="B6704" s="5" t="s">
        <v>5799</v>
      </c>
      <c r="C6704" s="5" t="s">
        <v>2745</v>
      </c>
      <c r="D6704" s="5" t="s">
        <v>2750</v>
      </c>
      <c r="E6704" s="5" t="s">
        <v>2750</v>
      </c>
      <c r="F6704" s="5" t="s">
        <v>847</v>
      </c>
      <c r="G6704" s="5" t="s">
        <v>848</v>
      </c>
      <c r="H6704" s="5"/>
      <c r="I6704" s="6">
        <v>4833</v>
      </c>
    </row>
    <row r="6705" spans="1:9" x14ac:dyDescent="0.3">
      <c r="A6705" s="7" t="s">
        <v>5824</v>
      </c>
      <c r="H6705" s="8">
        <f>H6703+H6704</f>
        <v>4833</v>
      </c>
      <c r="I6705" s="8">
        <f>I6703+I6704</f>
        <v>4833</v>
      </c>
    </row>
    <row r="6706" spans="1:9" x14ac:dyDescent="0.3">
      <c r="A6706" s="4" t="s">
        <v>5825</v>
      </c>
    </row>
    <row r="6707" spans="1:9" x14ac:dyDescent="0.3">
      <c r="B6707" s="5" t="s">
        <v>5799</v>
      </c>
      <c r="C6707" s="5" t="s">
        <v>2745</v>
      </c>
      <c r="D6707" s="5" t="s">
        <v>2750</v>
      </c>
      <c r="E6707" s="5" t="s">
        <v>2750</v>
      </c>
      <c r="F6707" s="5" t="s">
        <v>2748</v>
      </c>
      <c r="G6707" s="5" t="s">
        <v>2749</v>
      </c>
      <c r="H6707" s="6">
        <v>5800</v>
      </c>
      <c r="I6707" s="5"/>
    </row>
    <row r="6708" spans="1:9" x14ac:dyDescent="0.3">
      <c r="B6708" s="5" t="s">
        <v>5799</v>
      </c>
      <c r="C6708" s="5" t="s">
        <v>2745</v>
      </c>
      <c r="D6708" s="5" t="s">
        <v>2750</v>
      </c>
      <c r="E6708" s="5" t="s">
        <v>2750</v>
      </c>
      <c r="F6708" s="5" t="s">
        <v>847</v>
      </c>
      <c r="G6708" s="5" t="s">
        <v>848</v>
      </c>
      <c r="H6708" s="5"/>
      <c r="I6708" s="6">
        <v>5800</v>
      </c>
    </row>
    <row r="6709" spans="1:9" x14ac:dyDescent="0.3">
      <c r="A6709" s="7" t="s">
        <v>5826</v>
      </c>
      <c r="H6709" s="8">
        <f>H6707+H6708</f>
        <v>5800</v>
      </c>
      <c r="I6709" s="8">
        <f>I6707+I6708</f>
        <v>5800</v>
      </c>
    </row>
    <row r="6710" spans="1:9" x14ac:dyDescent="0.3">
      <c r="A6710" s="4" t="s">
        <v>5827</v>
      </c>
    </row>
    <row r="6711" spans="1:9" x14ac:dyDescent="0.3">
      <c r="B6711" s="5" t="s">
        <v>5828</v>
      </c>
      <c r="C6711" s="5" t="s">
        <v>10</v>
      </c>
      <c r="D6711" s="5" t="s">
        <v>5829</v>
      </c>
      <c r="E6711" s="5" t="s">
        <v>5830</v>
      </c>
      <c r="F6711" s="5" t="s">
        <v>1643</v>
      </c>
      <c r="G6711" s="5" t="s">
        <v>1644</v>
      </c>
      <c r="H6711" s="6">
        <v>150000</v>
      </c>
      <c r="I6711" s="5"/>
    </row>
    <row r="6712" spans="1:9" x14ac:dyDescent="0.3">
      <c r="B6712" s="5" t="s">
        <v>5828</v>
      </c>
      <c r="C6712" s="5" t="s">
        <v>10</v>
      </c>
      <c r="D6712" s="5" t="s">
        <v>5829</v>
      </c>
      <c r="E6712" s="5" t="s">
        <v>5830</v>
      </c>
      <c r="F6712" s="5" t="s">
        <v>5518</v>
      </c>
      <c r="G6712" s="5" t="s">
        <v>5519</v>
      </c>
      <c r="H6712" s="5"/>
      <c r="I6712" s="6">
        <v>150000</v>
      </c>
    </row>
    <row r="6713" spans="1:9" x14ac:dyDescent="0.3">
      <c r="A6713" s="7" t="s">
        <v>5831</v>
      </c>
      <c r="H6713" s="8">
        <f>H6711+H6712</f>
        <v>150000</v>
      </c>
      <c r="I6713" s="8">
        <f>I6711+I6712</f>
        <v>150000</v>
      </c>
    </row>
    <row r="6714" spans="1:9" x14ac:dyDescent="0.3">
      <c r="A6714" s="4" t="s">
        <v>5832</v>
      </c>
    </row>
    <row r="6715" spans="1:9" x14ac:dyDescent="0.3">
      <c r="B6715" s="5" t="s">
        <v>5828</v>
      </c>
      <c r="C6715" s="5" t="s">
        <v>10</v>
      </c>
      <c r="D6715" s="5" t="s">
        <v>5833</v>
      </c>
      <c r="E6715" s="5" t="s">
        <v>5834</v>
      </c>
      <c r="F6715" s="5" t="s">
        <v>5624</v>
      </c>
      <c r="G6715" s="5" t="s">
        <v>5625</v>
      </c>
      <c r="H6715" s="6">
        <v>495000</v>
      </c>
      <c r="I6715" s="5"/>
    </row>
    <row r="6716" spans="1:9" x14ac:dyDescent="0.3">
      <c r="B6716" s="5" t="s">
        <v>5828</v>
      </c>
      <c r="C6716" s="5" t="s">
        <v>10</v>
      </c>
      <c r="D6716" s="5" t="s">
        <v>5833</v>
      </c>
      <c r="E6716" s="5" t="s">
        <v>5834</v>
      </c>
      <c r="F6716" s="5" t="s">
        <v>5518</v>
      </c>
      <c r="G6716" s="5" t="s">
        <v>5519</v>
      </c>
      <c r="H6716" s="5"/>
      <c r="I6716" s="6">
        <v>495000</v>
      </c>
    </row>
    <row r="6717" spans="1:9" x14ac:dyDescent="0.3">
      <c r="B6717" s="5" t="s">
        <v>5828</v>
      </c>
      <c r="C6717" s="5" t="s">
        <v>10</v>
      </c>
      <c r="D6717" s="5" t="s">
        <v>5833</v>
      </c>
      <c r="E6717" s="5" t="s">
        <v>5835</v>
      </c>
      <c r="F6717" s="5" t="s">
        <v>5630</v>
      </c>
      <c r="G6717" s="5" t="s">
        <v>5631</v>
      </c>
      <c r="H6717" s="6">
        <v>590000</v>
      </c>
      <c r="I6717" s="5"/>
    </row>
    <row r="6718" spans="1:9" x14ac:dyDescent="0.3">
      <c r="B6718" s="5" t="s">
        <v>5828</v>
      </c>
      <c r="C6718" s="5" t="s">
        <v>10</v>
      </c>
      <c r="D6718" s="5" t="s">
        <v>5833</v>
      </c>
      <c r="E6718" s="5" t="s">
        <v>5835</v>
      </c>
      <c r="F6718" s="5" t="s">
        <v>5518</v>
      </c>
      <c r="G6718" s="5" t="s">
        <v>5519</v>
      </c>
      <c r="H6718" s="5"/>
      <c r="I6718" s="6">
        <v>590000</v>
      </c>
    </row>
    <row r="6719" spans="1:9" ht="21.6" x14ac:dyDescent="0.3">
      <c r="B6719" s="5" t="s">
        <v>5828</v>
      </c>
      <c r="C6719" s="5" t="s">
        <v>10</v>
      </c>
      <c r="D6719" s="5" t="s">
        <v>5833</v>
      </c>
      <c r="E6719" s="5" t="s">
        <v>5836</v>
      </c>
      <c r="F6719" s="5" t="s">
        <v>5518</v>
      </c>
      <c r="G6719" s="5" t="s">
        <v>5519</v>
      </c>
      <c r="H6719" s="6">
        <v>250000</v>
      </c>
      <c r="I6719" s="5"/>
    </row>
    <row r="6720" spans="1:9" ht="21.6" x14ac:dyDescent="0.3">
      <c r="B6720" s="5" t="s">
        <v>5828</v>
      </c>
      <c r="C6720" s="5" t="s">
        <v>10</v>
      </c>
      <c r="D6720" s="5" t="s">
        <v>5833</v>
      </c>
      <c r="E6720" s="5" t="s">
        <v>5836</v>
      </c>
      <c r="F6720" s="5" t="s">
        <v>2748</v>
      </c>
      <c r="G6720" s="5" t="s">
        <v>2749</v>
      </c>
      <c r="H6720" s="5"/>
      <c r="I6720" s="6">
        <v>250000</v>
      </c>
    </row>
    <row r="6721" spans="1:9" x14ac:dyDescent="0.3">
      <c r="A6721" s="7" t="s">
        <v>5837</v>
      </c>
      <c r="H6721" s="8">
        <f>H6715+H6716+H6717+H6718+H6719+H6720</f>
        <v>1335000</v>
      </c>
      <c r="I6721" s="8">
        <f>I6715+I6716+I6717+I6718+I6719+I6720</f>
        <v>1335000</v>
      </c>
    </row>
    <row r="6722" spans="1:9" x14ac:dyDescent="0.3">
      <c r="A6722" s="4" t="s">
        <v>5838</v>
      </c>
    </row>
    <row r="6723" spans="1:9" x14ac:dyDescent="0.3">
      <c r="B6723" s="5" t="s">
        <v>5828</v>
      </c>
      <c r="C6723" s="5" t="s">
        <v>10</v>
      </c>
      <c r="D6723" s="5" t="s">
        <v>5839</v>
      </c>
      <c r="E6723" s="5" t="s">
        <v>170</v>
      </c>
      <c r="F6723" s="5" t="s">
        <v>61</v>
      </c>
      <c r="G6723" s="5" t="s">
        <v>62</v>
      </c>
      <c r="H6723" s="6">
        <v>1070</v>
      </c>
      <c r="I6723" s="5"/>
    </row>
    <row r="6724" spans="1:9" x14ac:dyDescent="0.3">
      <c r="B6724" s="5" t="s">
        <v>5828</v>
      </c>
      <c r="C6724" s="5" t="s">
        <v>10</v>
      </c>
      <c r="D6724" s="5" t="s">
        <v>5839</v>
      </c>
      <c r="E6724" s="5" t="s">
        <v>170</v>
      </c>
      <c r="F6724" s="5" t="s">
        <v>1643</v>
      </c>
      <c r="G6724" s="5" t="s">
        <v>1644</v>
      </c>
      <c r="H6724" s="5"/>
      <c r="I6724" s="6">
        <v>1070</v>
      </c>
    </row>
    <row r="6725" spans="1:9" x14ac:dyDescent="0.3">
      <c r="A6725" s="7" t="s">
        <v>5840</v>
      </c>
      <c r="H6725" s="8">
        <f>H6723+H6724</f>
        <v>1070</v>
      </c>
      <c r="I6725" s="8">
        <f>I6723+I6724</f>
        <v>1070</v>
      </c>
    </row>
    <row r="6726" spans="1:9" x14ac:dyDescent="0.3">
      <c r="A6726" s="4" t="s">
        <v>5841</v>
      </c>
    </row>
    <row r="6727" spans="1:9" x14ac:dyDescent="0.3">
      <c r="B6727" s="5" t="s">
        <v>5828</v>
      </c>
      <c r="C6727" s="5" t="s">
        <v>10</v>
      </c>
      <c r="D6727" s="5" t="s">
        <v>5842</v>
      </c>
      <c r="E6727" s="5" t="s">
        <v>5843</v>
      </c>
      <c r="F6727" s="5" t="s">
        <v>359</v>
      </c>
      <c r="G6727" s="5" t="s">
        <v>360</v>
      </c>
      <c r="H6727" s="6">
        <v>590</v>
      </c>
      <c r="I6727" s="5"/>
    </row>
    <row r="6728" spans="1:9" x14ac:dyDescent="0.3">
      <c r="B6728" s="5" t="s">
        <v>5828</v>
      </c>
      <c r="C6728" s="5" t="s">
        <v>10</v>
      </c>
      <c r="D6728" s="5" t="s">
        <v>5842</v>
      </c>
      <c r="E6728" s="5" t="s">
        <v>5843</v>
      </c>
      <c r="F6728" s="5" t="s">
        <v>1643</v>
      </c>
      <c r="G6728" s="5" t="s">
        <v>1644</v>
      </c>
      <c r="H6728" s="5"/>
      <c r="I6728" s="6">
        <v>590</v>
      </c>
    </row>
    <row r="6729" spans="1:9" x14ac:dyDescent="0.3">
      <c r="A6729" s="7" t="s">
        <v>5844</v>
      </c>
      <c r="H6729" s="8">
        <f>H6727+H6728</f>
        <v>590</v>
      </c>
      <c r="I6729" s="8">
        <f>I6727+I6728</f>
        <v>590</v>
      </c>
    </row>
    <row r="6730" spans="1:9" x14ac:dyDescent="0.3">
      <c r="A6730" s="4" t="s">
        <v>5845</v>
      </c>
    </row>
    <row r="6731" spans="1:9" x14ac:dyDescent="0.3">
      <c r="B6731" s="5" t="s">
        <v>5828</v>
      </c>
      <c r="C6731" s="5" t="s">
        <v>10</v>
      </c>
      <c r="D6731" s="5" t="s">
        <v>5846</v>
      </c>
      <c r="E6731" s="5" t="s">
        <v>5847</v>
      </c>
      <c r="F6731" s="5" t="s">
        <v>67</v>
      </c>
      <c r="G6731" s="5" t="s">
        <v>68</v>
      </c>
      <c r="H6731" s="6">
        <v>820</v>
      </c>
      <c r="I6731" s="5"/>
    </row>
    <row r="6732" spans="1:9" x14ac:dyDescent="0.3">
      <c r="B6732" s="5" t="s">
        <v>5828</v>
      </c>
      <c r="C6732" s="5" t="s">
        <v>10</v>
      </c>
      <c r="D6732" s="5" t="s">
        <v>5846</v>
      </c>
      <c r="E6732" s="5" t="s">
        <v>5847</v>
      </c>
      <c r="F6732" s="5" t="s">
        <v>1643</v>
      </c>
      <c r="G6732" s="5" t="s">
        <v>1644</v>
      </c>
      <c r="H6732" s="5"/>
      <c r="I6732" s="6">
        <v>820</v>
      </c>
    </row>
    <row r="6733" spans="1:9" x14ac:dyDescent="0.3">
      <c r="A6733" s="7" t="s">
        <v>5848</v>
      </c>
      <c r="H6733" s="8">
        <f>H6731+H6732</f>
        <v>820</v>
      </c>
      <c r="I6733" s="8">
        <f>I6731+I6732</f>
        <v>820</v>
      </c>
    </row>
    <row r="6734" spans="1:9" x14ac:dyDescent="0.3">
      <c r="A6734" s="4" t="s">
        <v>5849</v>
      </c>
    </row>
    <row r="6735" spans="1:9" x14ac:dyDescent="0.3">
      <c r="B6735" s="5" t="s">
        <v>5828</v>
      </c>
      <c r="C6735" s="5" t="s">
        <v>2745</v>
      </c>
      <c r="D6735" s="5" t="s">
        <v>2750</v>
      </c>
      <c r="E6735" s="5" t="s">
        <v>2750</v>
      </c>
      <c r="F6735" s="5" t="s">
        <v>2748</v>
      </c>
      <c r="G6735" s="5" t="s">
        <v>2749</v>
      </c>
      <c r="H6735" s="6">
        <v>7500</v>
      </c>
      <c r="I6735" s="5"/>
    </row>
    <row r="6736" spans="1:9" x14ac:dyDescent="0.3">
      <c r="B6736" s="5" t="s">
        <v>5828</v>
      </c>
      <c r="C6736" s="5" t="s">
        <v>2745</v>
      </c>
      <c r="D6736" s="5" t="s">
        <v>2750</v>
      </c>
      <c r="E6736" s="5" t="s">
        <v>2750</v>
      </c>
      <c r="F6736" s="5" t="s">
        <v>847</v>
      </c>
      <c r="G6736" s="5" t="s">
        <v>848</v>
      </c>
      <c r="H6736" s="5"/>
      <c r="I6736" s="6">
        <v>7500</v>
      </c>
    </row>
    <row r="6737" spans="1:9" x14ac:dyDescent="0.3">
      <c r="A6737" s="7" t="s">
        <v>5850</v>
      </c>
      <c r="H6737" s="8">
        <f>H6735+H6736</f>
        <v>7500</v>
      </c>
      <c r="I6737" s="8">
        <f>I6735+I6736</f>
        <v>7500</v>
      </c>
    </row>
    <row r="6738" spans="1:9" x14ac:dyDescent="0.3">
      <c r="A6738" s="4" t="s">
        <v>5851</v>
      </c>
    </row>
    <row r="6739" spans="1:9" x14ac:dyDescent="0.3">
      <c r="B6739" s="5" t="s">
        <v>5828</v>
      </c>
      <c r="C6739" s="5" t="s">
        <v>2745</v>
      </c>
      <c r="D6739" s="5" t="s">
        <v>2750</v>
      </c>
      <c r="E6739" s="5" t="s">
        <v>2750</v>
      </c>
      <c r="F6739" s="5" t="s">
        <v>2748</v>
      </c>
      <c r="G6739" s="5" t="s">
        <v>2749</v>
      </c>
      <c r="H6739" s="6">
        <v>34800</v>
      </c>
      <c r="I6739" s="5"/>
    </row>
    <row r="6740" spans="1:9" x14ac:dyDescent="0.3">
      <c r="B6740" s="5" t="s">
        <v>5828</v>
      </c>
      <c r="C6740" s="5" t="s">
        <v>2745</v>
      </c>
      <c r="D6740" s="5" t="s">
        <v>2750</v>
      </c>
      <c r="E6740" s="5" t="s">
        <v>2750</v>
      </c>
      <c r="F6740" s="5" t="s">
        <v>847</v>
      </c>
      <c r="G6740" s="5" t="s">
        <v>848</v>
      </c>
      <c r="H6740" s="5"/>
      <c r="I6740" s="6">
        <v>34800</v>
      </c>
    </row>
    <row r="6741" spans="1:9" x14ac:dyDescent="0.3">
      <c r="A6741" s="7" t="s">
        <v>5852</v>
      </c>
      <c r="H6741" s="8">
        <f>H6739+H6740</f>
        <v>34800</v>
      </c>
      <c r="I6741" s="8">
        <f>I6739+I6740</f>
        <v>34800</v>
      </c>
    </row>
    <row r="6742" spans="1:9" x14ac:dyDescent="0.3">
      <c r="A6742" s="4" t="s">
        <v>5853</v>
      </c>
    </row>
    <row r="6743" spans="1:9" x14ac:dyDescent="0.3">
      <c r="B6743" s="5" t="s">
        <v>5828</v>
      </c>
      <c r="C6743" s="5" t="s">
        <v>2745</v>
      </c>
      <c r="D6743" s="5" t="s">
        <v>2750</v>
      </c>
      <c r="E6743" s="5" t="s">
        <v>2750</v>
      </c>
      <c r="F6743" s="5" t="s">
        <v>2748</v>
      </c>
      <c r="G6743" s="5" t="s">
        <v>2749</v>
      </c>
      <c r="H6743" s="6">
        <v>6960</v>
      </c>
      <c r="I6743" s="5"/>
    </row>
    <row r="6744" spans="1:9" x14ac:dyDescent="0.3">
      <c r="B6744" s="5" t="s">
        <v>5828</v>
      </c>
      <c r="C6744" s="5" t="s">
        <v>2745</v>
      </c>
      <c r="D6744" s="5" t="s">
        <v>2750</v>
      </c>
      <c r="E6744" s="5" t="s">
        <v>2750</v>
      </c>
      <c r="F6744" s="5" t="s">
        <v>847</v>
      </c>
      <c r="G6744" s="5" t="s">
        <v>848</v>
      </c>
      <c r="H6744" s="5"/>
      <c r="I6744" s="6">
        <v>6960</v>
      </c>
    </row>
    <row r="6745" spans="1:9" x14ac:dyDescent="0.3">
      <c r="A6745" s="7" t="s">
        <v>5854</v>
      </c>
      <c r="H6745" s="8">
        <f>H6743+H6744</f>
        <v>6960</v>
      </c>
      <c r="I6745" s="8">
        <f>I6743+I6744</f>
        <v>6960</v>
      </c>
    </row>
    <row r="6746" spans="1:9" x14ac:dyDescent="0.3">
      <c r="A6746" s="4" t="s">
        <v>5855</v>
      </c>
    </row>
    <row r="6747" spans="1:9" x14ac:dyDescent="0.3">
      <c r="B6747" s="5" t="s">
        <v>5828</v>
      </c>
      <c r="C6747" s="5" t="s">
        <v>2745</v>
      </c>
      <c r="D6747" s="5" t="s">
        <v>2750</v>
      </c>
      <c r="E6747" s="5" t="s">
        <v>2750</v>
      </c>
      <c r="F6747" s="5" t="s">
        <v>2748</v>
      </c>
      <c r="G6747" s="5" t="s">
        <v>2749</v>
      </c>
      <c r="H6747" s="6">
        <v>19330</v>
      </c>
      <c r="I6747" s="5"/>
    </row>
    <row r="6748" spans="1:9" x14ac:dyDescent="0.3">
      <c r="B6748" s="5" t="s">
        <v>5828</v>
      </c>
      <c r="C6748" s="5" t="s">
        <v>2745</v>
      </c>
      <c r="D6748" s="5" t="s">
        <v>2750</v>
      </c>
      <c r="E6748" s="5" t="s">
        <v>2750</v>
      </c>
      <c r="F6748" s="5" t="s">
        <v>847</v>
      </c>
      <c r="G6748" s="5" t="s">
        <v>848</v>
      </c>
      <c r="H6748" s="5"/>
      <c r="I6748" s="6">
        <v>19330</v>
      </c>
    </row>
    <row r="6749" spans="1:9" x14ac:dyDescent="0.3">
      <c r="A6749" s="7" t="s">
        <v>5856</v>
      </c>
      <c r="H6749" s="8">
        <f>H6747+H6748</f>
        <v>19330</v>
      </c>
      <c r="I6749" s="8">
        <f>I6747+I6748</f>
        <v>19330</v>
      </c>
    </row>
    <row r="6750" spans="1:9" x14ac:dyDescent="0.3">
      <c r="A6750" s="4" t="s">
        <v>5857</v>
      </c>
    </row>
    <row r="6751" spans="1:9" x14ac:dyDescent="0.3">
      <c r="B6751" s="5" t="s">
        <v>5828</v>
      </c>
      <c r="C6751" s="5" t="s">
        <v>2745</v>
      </c>
      <c r="D6751" s="5" t="s">
        <v>2750</v>
      </c>
      <c r="E6751" s="5" t="s">
        <v>2750</v>
      </c>
      <c r="F6751" s="5" t="s">
        <v>2748</v>
      </c>
      <c r="G6751" s="5" t="s">
        <v>2749</v>
      </c>
      <c r="H6751" s="6">
        <v>12240</v>
      </c>
      <c r="I6751" s="5"/>
    </row>
    <row r="6752" spans="1:9" x14ac:dyDescent="0.3">
      <c r="B6752" s="5" t="s">
        <v>5828</v>
      </c>
      <c r="C6752" s="5" t="s">
        <v>2745</v>
      </c>
      <c r="D6752" s="5" t="s">
        <v>2750</v>
      </c>
      <c r="E6752" s="5" t="s">
        <v>2750</v>
      </c>
      <c r="F6752" s="5" t="s">
        <v>847</v>
      </c>
      <c r="G6752" s="5" t="s">
        <v>848</v>
      </c>
      <c r="H6752" s="5"/>
      <c r="I6752" s="6">
        <v>12240</v>
      </c>
    </row>
    <row r="6753" spans="1:9" x14ac:dyDescent="0.3">
      <c r="A6753" s="7" t="s">
        <v>5858</v>
      </c>
      <c r="H6753" s="8">
        <f>H6751+H6752</f>
        <v>12240</v>
      </c>
      <c r="I6753" s="8">
        <f>I6751+I6752</f>
        <v>12240</v>
      </c>
    </row>
    <row r="6754" spans="1:9" x14ac:dyDescent="0.3">
      <c r="A6754" s="4" t="s">
        <v>5859</v>
      </c>
    </row>
    <row r="6755" spans="1:9" x14ac:dyDescent="0.3">
      <c r="B6755" s="5" t="s">
        <v>5828</v>
      </c>
      <c r="C6755" s="5" t="s">
        <v>2745</v>
      </c>
      <c r="D6755" s="5" t="s">
        <v>2750</v>
      </c>
      <c r="E6755" s="5" t="s">
        <v>2750</v>
      </c>
      <c r="F6755" s="5" t="s">
        <v>2748</v>
      </c>
      <c r="G6755" s="5" t="s">
        <v>2749</v>
      </c>
      <c r="H6755" s="6">
        <v>4835</v>
      </c>
      <c r="I6755" s="5"/>
    </row>
    <row r="6756" spans="1:9" x14ac:dyDescent="0.3">
      <c r="B6756" s="5" t="s">
        <v>5828</v>
      </c>
      <c r="C6756" s="5" t="s">
        <v>2745</v>
      </c>
      <c r="D6756" s="5" t="s">
        <v>2750</v>
      </c>
      <c r="E6756" s="5" t="s">
        <v>2750</v>
      </c>
      <c r="F6756" s="5" t="s">
        <v>847</v>
      </c>
      <c r="G6756" s="5" t="s">
        <v>848</v>
      </c>
      <c r="H6756" s="5"/>
      <c r="I6756" s="6">
        <v>4835</v>
      </c>
    </row>
    <row r="6757" spans="1:9" x14ac:dyDescent="0.3">
      <c r="A6757" s="7" t="s">
        <v>5860</v>
      </c>
      <c r="H6757" s="8">
        <f>H6755+H6756</f>
        <v>4835</v>
      </c>
      <c r="I6757" s="8">
        <f>I6755+I6756</f>
        <v>4835</v>
      </c>
    </row>
    <row r="6758" spans="1:9" x14ac:dyDescent="0.3">
      <c r="A6758" s="4" t="s">
        <v>5861</v>
      </c>
    </row>
    <row r="6759" spans="1:9" x14ac:dyDescent="0.3">
      <c r="B6759" s="5" t="s">
        <v>5828</v>
      </c>
      <c r="C6759" s="5" t="s">
        <v>2745</v>
      </c>
      <c r="D6759" s="5" t="s">
        <v>2750</v>
      </c>
      <c r="E6759" s="5" t="s">
        <v>2750</v>
      </c>
      <c r="F6759" s="5" t="s">
        <v>2748</v>
      </c>
      <c r="G6759" s="5" t="s">
        <v>2749</v>
      </c>
      <c r="H6759" s="6">
        <v>19335</v>
      </c>
      <c r="I6759" s="5"/>
    </row>
    <row r="6760" spans="1:9" x14ac:dyDescent="0.3">
      <c r="B6760" s="5" t="s">
        <v>5828</v>
      </c>
      <c r="C6760" s="5" t="s">
        <v>2745</v>
      </c>
      <c r="D6760" s="5" t="s">
        <v>2750</v>
      </c>
      <c r="E6760" s="5" t="s">
        <v>2750</v>
      </c>
      <c r="F6760" s="5" t="s">
        <v>847</v>
      </c>
      <c r="G6760" s="5" t="s">
        <v>848</v>
      </c>
      <c r="H6760" s="5"/>
      <c r="I6760" s="6">
        <v>19335</v>
      </c>
    </row>
    <row r="6761" spans="1:9" x14ac:dyDescent="0.3">
      <c r="A6761" s="7" t="s">
        <v>5862</v>
      </c>
      <c r="H6761" s="8">
        <f>H6759+H6760</f>
        <v>19335</v>
      </c>
      <c r="I6761" s="8">
        <f>I6759+I6760</f>
        <v>19335</v>
      </c>
    </row>
    <row r="6762" spans="1:9" x14ac:dyDescent="0.3">
      <c r="A6762" s="4" t="s">
        <v>5863</v>
      </c>
    </row>
    <row r="6763" spans="1:9" x14ac:dyDescent="0.3">
      <c r="B6763" s="5" t="s">
        <v>5828</v>
      </c>
      <c r="C6763" s="5" t="s">
        <v>2745</v>
      </c>
      <c r="D6763" s="5" t="s">
        <v>2750</v>
      </c>
      <c r="E6763" s="5" t="s">
        <v>2750</v>
      </c>
      <c r="F6763" s="5" t="s">
        <v>2748</v>
      </c>
      <c r="G6763" s="5" t="s">
        <v>2749</v>
      </c>
      <c r="H6763" s="6">
        <v>18125</v>
      </c>
      <c r="I6763" s="5"/>
    </row>
    <row r="6764" spans="1:9" x14ac:dyDescent="0.3">
      <c r="B6764" s="5" t="s">
        <v>5828</v>
      </c>
      <c r="C6764" s="5" t="s">
        <v>2745</v>
      </c>
      <c r="D6764" s="5" t="s">
        <v>2750</v>
      </c>
      <c r="E6764" s="5" t="s">
        <v>2750</v>
      </c>
      <c r="F6764" s="5" t="s">
        <v>847</v>
      </c>
      <c r="G6764" s="5" t="s">
        <v>848</v>
      </c>
      <c r="H6764" s="5"/>
      <c r="I6764" s="6">
        <v>18125</v>
      </c>
    </row>
    <row r="6765" spans="1:9" x14ac:dyDescent="0.3">
      <c r="A6765" s="7" t="s">
        <v>5864</v>
      </c>
      <c r="H6765" s="8">
        <f>H6763+H6764</f>
        <v>18125</v>
      </c>
      <c r="I6765" s="8">
        <f>I6763+I6764</f>
        <v>18125</v>
      </c>
    </row>
    <row r="6766" spans="1:9" x14ac:dyDescent="0.3">
      <c r="A6766" s="4" t="s">
        <v>5865</v>
      </c>
    </row>
    <row r="6767" spans="1:9" x14ac:dyDescent="0.3">
      <c r="B6767" s="5" t="s">
        <v>5828</v>
      </c>
      <c r="C6767" s="5" t="s">
        <v>2745</v>
      </c>
      <c r="D6767" s="5" t="s">
        <v>2750</v>
      </c>
      <c r="E6767" s="5" t="s">
        <v>2750</v>
      </c>
      <c r="F6767" s="5" t="s">
        <v>2748</v>
      </c>
      <c r="G6767" s="5" t="s">
        <v>2749</v>
      </c>
      <c r="H6767" s="6">
        <v>19330</v>
      </c>
      <c r="I6767" s="5"/>
    </row>
    <row r="6768" spans="1:9" x14ac:dyDescent="0.3">
      <c r="B6768" s="5" t="s">
        <v>5828</v>
      </c>
      <c r="C6768" s="5" t="s">
        <v>2745</v>
      </c>
      <c r="D6768" s="5" t="s">
        <v>2750</v>
      </c>
      <c r="E6768" s="5" t="s">
        <v>2750</v>
      </c>
      <c r="F6768" s="5" t="s">
        <v>847</v>
      </c>
      <c r="G6768" s="5" t="s">
        <v>848</v>
      </c>
      <c r="H6768" s="5"/>
      <c r="I6768" s="6">
        <v>19330</v>
      </c>
    </row>
    <row r="6769" spans="1:9" x14ac:dyDescent="0.3">
      <c r="A6769" s="7" t="s">
        <v>5866</v>
      </c>
      <c r="H6769" s="8">
        <f>H6767+H6768</f>
        <v>19330</v>
      </c>
      <c r="I6769" s="8">
        <f>I6767+I6768</f>
        <v>19330</v>
      </c>
    </row>
    <row r="6770" spans="1:9" x14ac:dyDescent="0.3">
      <c r="A6770" s="4" t="s">
        <v>5867</v>
      </c>
    </row>
    <row r="6771" spans="1:9" x14ac:dyDescent="0.3">
      <c r="B6771" s="5" t="s">
        <v>5828</v>
      </c>
      <c r="C6771" s="5" t="s">
        <v>2745</v>
      </c>
      <c r="D6771" s="5" t="s">
        <v>2750</v>
      </c>
      <c r="E6771" s="5" t="s">
        <v>2750</v>
      </c>
      <c r="F6771" s="5" t="s">
        <v>2748</v>
      </c>
      <c r="G6771" s="5" t="s">
        <v>2749</v>
      </c>
      <c r="H6771" s="6">
        <v>19330</v>
      </c>
      <c r="I6771" s="5"/>
    </row>
    <row r="6772" spans="1:9" x14ac:dyDescent="0.3">
      <c r="B6772" s="5" t="s">
        <v>5828</v>
      </c>
      <c r="C6772" s="5" t="s">
        <v>2745</v>
      </c>
      <c r="D6772" s="5" t="s">
        <v>2750</v>
      </c>
      <c r="E6772" s="5" t="s">
        <v>2750</v>
      </c>
      <c r="F6772" s="5" t="s">
        <v>847</v>
      </c>
      <c r="G6772" s="5" t="s">
        <v>848</v>
      </c>
      <c r="H6772" s="5"/>
      <c r="I6772" s="6">
        <v>19330</v>
      </c>
    </row>
    <row r="6773" spans="1:9" x14ac:dyDescent="0.3">
      <c r="A6773" s="7" t="s">
        <v>5868</v>
      </c>
      <c r="H6773" s="8">
        <f>H6771+H6772</f>
        <v>19330</v>
      </c>
      <c r="I6773" s="8">
        <f>I6771+I6772</f>
        <v>19330</v>
      </c>
    </row>
    <row r="6774" spans="1:9" x14ac:dyDescent="0.3">
      <c r="A6774" s="4" t="s">
        <v>5869</v>
      </c>
    </row>
    <row r="6775" spans="1:9" x14ac:dyDescent="0.3">
      <c r="B6775" s="5" t="s">
        <v>5828</v>
      </c>
      <c r="C6775" s="5" t="s">
        <v>2745</v>
      </c>
      <c r="D6775" s="5" t="s">
        <v>2750</v>
      </c>
      <c r="E6775" s="5" t="s">
        <v>2750</v>
      </c>
      <c r="F6775" s="5" t="s">
        <v>2748</v>
      </c>
      <c r="G6775" s="5" t="s">
        <v>2749</v>
      </c>
      <c r="H6775" s="6">
        <v>27070</v>
      </c>
      <c r="I6775" s="5"/>
    </row>
    <row r="6776" spans="1:9" x14ac:dyDescent="0.3">
      <c r="B6776" s="5" t="s">
        <v>5828</v>
      </c>
      <c r="C6776" s="5" t="s">
        <v>2745</v>
      </c>
      <c r="D6776" s="5" t="s">
        <v>2750</v>
      </c>
      <c r="E6776" s="5" t="s">
        <v>2750</v>
      </c>
      <c r="F6776" s="5" t="s">
        <v>847</v>
      </c>
      <c r="G6776" s="5" t="s">
        <v>848</v>
      </c>
      <c r="H6776" s="5"/>
      <c r="I6776" s="6">
        <v>27070</v>
      </c>
    </row>
    <row r="6777" spans="1:9" x14ac:dyDescent="0.3">
      <c r="A6777" s="7" t="s">
        <v>5870</v>
      </c>
      <c r="H6777" s="8">
        <f>H6775+H6776</f>
        <v>27070</v>
      </c>
      <c r="I6777" s="8">
        <f>I6775+I6776</f>
        <v>27070</v>
      </c>
    </row>
    <row r="6778" spans="1:9" x14ac:dyDescent="0.3">
      <c r="A6778" s="4" t="s">
        <v>5871</v>
      </c>
    </row>
    <row r="6779" spans="1:9" x14ac:dyDescent="0.3">
      <c r="B6779" s="5" t="s">
        <v>5828</v>
      </c>
      <c r="C6779" s="5" t="s">
        <v>2745</v>
      </c>
      <c r="D6779" s="5" t="s">
        <v>2750</v>
      </c>
      <c r="E6779" s="5" t="s">
        <v>2750</v>
      </c>
      <c r="F6779" s="5" t="s">
        <v>2748</v>
      </c>
      <c r="G6779" s="5" t="s">
        <v>2749</v>
      </c>
      <c r="H6779" s="6">
        <v>7735</v>
      </c>
      <c r="I6779" s="5"/>
    </row>
    <row r="6780" spans="1:9" x14ac:dyDescent="0.3">
      <c r="B6780" s="5" t="s">
        <v>5828</v>
      </c>
      <c r="C6780" s="5" t="s">
        <v>2745</v>
      </c>
      <c r="D6780" s="5" t="s">
        <v>2750</v>
      </c>
      <c r="E6780" s="5" t="s">
        <v>2750</v>
      </c>
      <c r="F6780" s="5" t="s">
        <v>847</v>
      </c>
      <c r="G6780" s="5" t="s">
        <v>848</v>
      </c>
      <c r="H6780" s="5"/>
      <c r="I6780" s="6">
        <v>7735</v>
      </c>
    </row>
    <row r="6781" spans="1:9" x14ac:dyDescent="0.3">
      <c r="A6781" s="7" t="s">
        <v>5872</v>
      </c>
      <c r="H6781" s="8">
        <f>H6779+H6780</f>
        <v>7735</v>
      </c>
      <c r="I6781" s="8">
        <f>I6779+I6780</f>
        <v>7735</v>
      </c>
    </row>
    <row r="6782" spans="1:9" x14ac:dyDescent="0.3">
      <c r="A6782" s="4" t="s">
        <v>5873</v>
      </c>
    </row>
    <row r="6783" spans="1:9" x14ac:dyDescent="0.3">
      <c r="B6783" s="5" t="s">
        <v>5828</v>
      </c>
      <c r="C6783" s="5" t="s">
        <v>2745</v>
      </c>
      <c r="D6783" s="5" t="s">
        <v>2750</v>
      </c>
      <c r="E6783" s="5" t="s">
        <v>2750</v>
      </c>
      <c r="F6783" s="5" t="s">
        <v>2748</v>
      </c>
      <c r="G6783" s="5" t="s">
        <v>2749</v>
      </c>
      <c r="H6783" s="6">
        <v>32230</v>
      </c>
      <c r="I6783" s="5"/>
    </row>
    <row r="6784" spans="1:9" x14ac:dyDescent="0.3">
      <c r="B6784" s="5" t="s">
        <v>5828</v>
      </c>
      <c r="C6784" s="5" t="s">
        <v>2745</v>
      </c>
      <c r="D6784" s="5" t="s">
        <v>2750</v>
      </c>
      <c r="E6784" s="5" t="s">
        <v>2750</v>
      </c>
      <c r="F6784" s="5" t="s">
        <v>847</v>
      </c>
      <c r="G6784" s="5" t="s">
        <v>848</v>
      </c>
      <c r="H6784" s="5"/>
      <c r="I6784" s="6">
        <v>32230</v>
      </c>
    </row>
    <row r="6785" spans="1:9" x14ac:dyDescent="0.3">
      <c r="A6785" s="7" t="s">
        <v>5874</v>
      </c>
      <c r="H6785" s="8">
        <f>H6783+H6784</f>
        <v>32230</v>
      </c>
      <c r="I6785" s="8">
        <f>I6783+I6784</f>
        <v>32230</v>
      </c>
    </row>
    <row r="6786" spans="1:9" x14ac:dyDescent="0.3">
      <c r="A6786" s="4" t="s">
        <v>5875</v>
      </c>
    </row>
    <row r="6787" spans="1:9" x14ac:dyDescent="0.3">
      <c r="B6787" s="5" t="s">
        <v>5828</v>
      </c>
      <c r="C6787" s="5" t="s">
        <v>2745</v>
      </c>
      <c r="D6787" s="5" t="s">
        <v>2750</v>
      </c>
      <c r="E6787" s="5" t="s">
        <v>2750</v>
      </c>
      <c r="F6787" s="5" t="s">
        <v>2748</v>
      </c>
      <c r="G6787" s="5" t="s">
        <v>2749</v>
      </c>
      <c r="H6787" s="6">
        <v>10960</v>
      </c>
      <c r="I6787" s="5"/>
    </row>
    <row r="6788" spans="1:9" x14ac:dyDescent="0.3">
      <c r="B6788" s="5" t="s">
        <v>5828</v>
      </c>
      <c r="C6788" s="5" t="s">
        <v>2745</v>
      </c>
      <c r="D6788" s="5" t="s">
        <v>2750</v>
      </c>
      <c r="E6788" s="5" t="s">
        <v>2750</v>
      </c>
      <c r="F6788" s="5" t="s">
        <v>847</v>
      </c>
      <c r="G6788" s="5" t="s">
        <v>848</v>
      </c>
      <c r="H6788" s="5"/>
      <c r="I6788" s="6">
        <v>10960</v>
      </c>
    </row>
    <row r="6789" spans="1:9" x14ac:dyDescent="0.3">
      <c r="A6789" s="7" t="s">
        <v>5876</v>
      </c>
      <c r="H6789" s="8">
        <f>H6787+H6788</f>
        <v>10960</v>
      </c>
      <c r="I6789" s="8">
        <f>I6787+I6788</f>
        <v>10960</v>
      </c>
    </row>
    <row r="6790" spans="1:9" x14ac:dyDescent="0.3">
      <c r="A6790" s="4" t="s">
        <v>5877</v>
      </c>
    </row>
    <row r="6791" spans="1:9" x14ac:dyDescent="0.3">
      <c r="B6791" s="5" t="s">
        <v>5828</v>
      </c>
      <c r="C6791" s="5" t="s">
        <v>2745</v>
      </c>
      <c r="D6791" s="5" t="s">
        <v>2750</v>
      </c>
      <c r="E6791" s="5" t="s">
        <v>2750</v>
      </c>
      <c r="F6791" s="5" t="s">
        <v>2748</v>
      </c>
      <c r="G6791" s="5" t="s">
        <v>2749</v>
      </c>
      <c r="H6791" s="6">
        <v>16110</v>
      </c>
      <c r="I6791" s="5"/>
    </row>
    <row r="6792" spans="1:9" x14ac:dyDescent="0.3">
      <c r="B6792" s="5" t="s">
        <v>5828</v>
      </c>
      <c r="C6792" s="5" t="s">
        <v>2745</v>
      </c>
      <c r="D6792" s="5" t="s">
        <v>2750</v>
      </c>
      <c r="E6792" s="5" t="s">
        <v>2750</v>
      </c>
      <c r="F6792" s="5" t="s">
        <v>847</v>
      </c>
      <c r="G6792" s="5" t="s">
        <v>848</v>
      </c>
      <c r="H6792" s="5"/>
      <c r="I6792" s="6">
        <v>16110</v>
      </c>
    </row>
    <row r="6793" spans="1:9" x14ac:dyDescent="0.3">
      <c r="A6793" s="7" t="s">
        <v>5878</v>
      </c>
      <c r="H6793" s="8">
        <f>H6791+H6792</f>
        <v>16110</v>
      </c>
      <c r="I6793" s="8">
        <f>I6791+I6792</f>
        <v>16110</v>
      </c>
    </row>
    <row r="6794" spans="1:9" x14ac:dyDescent="0.3">
      <c r="A6794" s="4" t="s">
        <v>5879</v>
      </c>
    </row>
    <row r="6795" spans="1:9" x14ac:dyDescent="0.3">
      <c r="B6795" s="5" t="s">
        <v>5828</v>
      </c>
      <c r="C6795" s="5" t="s">
        <v>2745</v>
      </c>
      <c r="D6795" s="5" t="s">
        <v>2750</v>
      </c>
      <c r="E6795" s="5" t="s">
        <v>2750</v>
      </c>
      <c r="F6795" s="5" t="s">
        <v>2748</v>
      </c>
      <c r="G6795" s="5" t="s">
        <v>2749</v>
      </c>
      <c r="H6795" s="6">
        <v>31910</v>
      </c>
      <c r="I6795" s="5"/>
    </row>
    <row r="6796" spans="1:9" x14ac:dyDescent="0.3">
      <c r="B6796" s="5" t="s">
        <v>5828</v>
      </c>
      <c r="C6796" s="5" t="s">
        <v>2745</v>
      </c>
      <c r="D6796" s="5" t="s">
        <v>2750</v>
      </c>
      <c r="E6796" s="5" t="s">
        <v>2750</v>
      </c>
      <c r="F6796" s="5" t="s">
        <v>847</v>
      </c>
      <c r="G6796" s="5" t="s">
        <v>848</v>
      </c>
      <c r="H6796" s="5"/>
      <c r="I6796" s="6">
        <v>31910</v>
      </c>
    </row>
    <row r="6797" spans="1:9" x14ac:dyDescent="0.3">
      <c r="A6797" s="7" t="s">
        <v>5880</v>
      </c>
      <c r="H6797" s="8">
        <f>H6795+H6796</f>
        <v>31910</v>
      </c>
      <c r="I6797" s="8">
        <f>I6795+I6796</f>
        <v>31910</v>
      </c>
    </row>
    <row r="6798" spans="1:9" x14ac:dyDescent="0.3">
      <c r="A6798" s="4" t="s">
        <v>5881</v>
      </c>
    </row>
    <row r="6799" spans="1:9" x14ac:dyDescent="0.3">
      <c r="B6799" s="5" t="s">
        <v>5828</v>
      </c>
      <c r="C6799" s="5" t="s">
        <v>2745</v>
      </c>
      <c r="D6799" s="5" t="s">
        <v>2750</v>
      </c>
      <c r="E6799" s="5" t="s">
        <v>2750</v>
      </c>
      <c r="F6799" s="5" t="s">
        <v>2748</v>
      </c>
      <c r="G6799" s="5" t="s">
        <v>2749</v>
      </c>
      <c r="H6799" s="6">
        <v>19670</v>
      </c>
      <c r="I6799" s="5"/>
    </row>
    <row r="6800" spans="1:9" x14ac:dyDescent="0.3">
      <c r="B6800" s="5" t="s">
        <v>5828</v>
      </c>
      <c r="C6800" s="5" t="s">
        <v>2745</v>
      </c>
      <c r="D6800" s="5" t="s">
        <v>2750</v>
      </c>
      <c r="E6800" s="5" t="s">
        <v>2750</v>
      </c>
      <c r="F6800" s="5" t="s">
        <v>847</v>
      </c>
      <c r="G6800" s="5" t="s">
        <v>848</v>
      </c>
      <c r="H6800" s="5"/>
      <c r="I6800" s="6">
        <v>19670</v>
      </c>
    </row>
    <row r="6801" spans="1:9" x14ac:dyDescent="0.3">
      <c r="A6801" s="7" t="s">
        <v>5882</v>
      </c>
      <c r="H6801" s="8">
        <f>H6799+H6800</f>
        <v>19670</v>
      </c>
      <c r="I6801" s="8">
        <f>I6799+I6800</f>
        <v>19670</v>
      </c>
    </row>
    <row r="6802" spans="1:9" x14ac:dyDescent="0.3">
      <c r="A6802" s="4" t="s">
        <v>5883</v>
      </c>
    </row>
    <row r="6803" spans="1:9" x14ac:dyDescent="0.3">
      <c r="B6803" s="5" t="s">
        <v>5828</v>
      </c>
      <c r="C6803" s="5" t="s">
        <v>2745</v>
      </c>
      <c r="D6803" s="5" t="s">
        <v>2750</v>
      </c>
      <c r="E6803" s="5" t="s">
        <v>2750</v>
      </c>
      <c r="F6803" s="5" t="s">
        <v>2748</v>
      </c>
      <c r="G6803" s="5" t="s">
        <v>2749</v>
      </c>
      <c r="H6803" s="6">
        <v>8110</v>
      </c>
      <c r="I6803" s="5"/>
    </row>
    <row r="6804" spans="1:9" x14ac:dyDescent="0.3">
      <c r="B6804" s="5" t="s">
        <v>5828</v>
      </c>
      <c r="C6804" s="5" t="s">
        <v>2745</v>
      </c>
      <c r="D6804" s="5" t="s">
        <v>2750</v>
      </c>
      <c r="E6804" s="5" t="s">
        <v>2750</v>
      </c>
      <c r="F6804" s="5" t="s">
        <v>847</v>
      </c>
      <c r="G6804" s="5" t="s">
        <v>848</v>
      </c>
      <c r="H6804" s="5"/>
      <c r="I6804" s="6">
        <v>8110</v>
      </c>
    </row>
    <row r="6805" spans="1:9" x14ac:dyDescent="0.3">
      <c r="A6805" s="7" t="s">
        <v>5884</v>
      </c>
      <c r="H6805" s="8">
        <f>H6803+H6804</f>
        <v>8110</v>
      </c>
      <c r="I6805" s="8">
        <f>I6803+I6804</f>
        <v>8110</v>
      </c>
    </row>
    <row r="6806" spans="1:9" x14ac:dyDescent="0.3">
      <c r="A6806" s="4" t="s">
        <v>5885</v>
      </c>
    </row>
    <row r="6807" spans="1:9" x14ac:dyDescent="0.3">
      <c r="B6807" s="5" t="s">
        <v>5828</v>
      </c>
      <c r="C6807" s="5" t="s">
        <v>2745</v>
      </c>
      <c r="D6807" s="5" t="s">
        <v>2750</v>
      </c>
      <c r="E6807" s="5" t="s">
        <v>2750</v>
      </c>
      <c r="F6807" s="5" t="s">
        <v>2748</v>
      </c>
      <c r="G6807" s="5" t="s">
        <v>2749</v>
      </c>
      <c r="H6807" s="6">
        <v>7733</v>
      </c>
      <c r="I6807" s="5"/>
    </row>
    <row r="6808" spans="1:9" x14ac:dyDescent="0.3">
      <c r="B6808" s="5" t="s">
        <v>5828</v>
      </c>
      <c r="C6808" s="5" t="s">
        <v>2745</v>
      </c>
      <c r="D6808" s="5" t="s">
        <v>2750</v>
      </c>
      <c r="E6808" s="5" t="s">
        <v>2750</v>
      </c>
      <c r="F6808" s="5" t="s">
        <v>847</v>
      </c>
      <c r="G6808" s="5" t="s">
        <v>848</v>
      </c>
      <c r="H6808" s="5"/>
      <c r="I6808" s="6">
        <v>7733</v>
      </c>
    </row>
    <row r="6809" spans="1:9" x14ac:dyDescent="0.3">
      <c r="A6809" s="7" t="s">
        <v>5886</v>
      </c>
      <c r="H6809" s="8">
        <f>H6807+H6808</f>
        <v>7733</v>
      </c>
      <c r="I6809" s="8">
        <f>I6807+I6808</f>
        <v>7733</v>
      </c>
    </row>
    <row r="6810" spans="1:9" x14ac:dyDescent="0.3">
      <c r="A6810" s="4" t="s">
        <v>5887</v>
      </c>
    </row>
    <row r="6811" spans="1:9" x14ac:dyDescent="0.3">
      <c r="B6811" s="5" t="s">
        <v>5828</v>
      </c>
      <c r="C6811" s="5" t="s">
        <v>2745</v>
      </c>
      <c r="D6811" s="5" t="s">
        <v>2750</v>
      </c>
      <c r="E6811" s="5" t="s">
        <v>2750</v>
      </c>
      <c r="F6811" s="5" t="s">
        <v>2748</v>
      </c>
      <c r="G6811" s="5" t="s">
        <v>2749</v>
      </c>
      <c r="H6811" s="6">
        <v>6630</v>
      </c>
      <c r="I6811" s="5"/>
    </row>
    <row r="6812" spans="1:9" x14ac:dyDescent="0.3">
      <c r="B6812" s="5" t="s">
        <v>5828</v>
      </c>
      <c r="C6812" s="5" t="s">
        <v>2745</v>
      </c>
      <c r="D6812" s="5" t="s">
        <v>2750</v>
      </c>
      <c r="E6812" s="5" t="s">
        <v>2750</v>
      </c>
      <c r="F6812" s="5" t="s">
        <v>847</v>
      </c>
      <c r="G6812" s="5" t="s">
        <v>848</v>
      </c>
      <c r="H6812" s="5"/>
      <c r="I6812" s="6">
        <v>6630</v>
      </c>
    </row>
    <row r="6813" spans="1:9" x14ac:dyDescent="0.3">
      <c r="A6813" s="7" t="s">
        <v>5888</v>
      </c>
      <c r="H6813" s="8">
        <f>H6811+H6812</f>
        <v>6630</v>
      </c>
      <c r="I6813" s="8">
        <f>I6811+I6812</f>
        <v>6630</v>
      </c>
    </row>
    <row r="6814" spans="1:9" x14ac:dyDescent="0.3">
      <c r="A6814" s="4" t="s">
        <v>5889</v>
      </c>
    </row>
    <row r="6815" spans="1:9" x14ac:dyDescent="0.3">
      <c r="B6815" s="5" t="s">
        <v>5890</v>
      </c>
      <c r="C6815" s="5" t="s">
        <v>10</v>
      </c>
      <c r="D6815" s="5" t="s">
        <v>5891</v>
      </c>
      <c r="E6815" s="5" t="s">
        <v>5892</v>
      </c>
      <c r="F6815" s="5" t="s">
        <v>831</v>
      </c>
      <c r="G6815" s="5" t="s">
        <v>832</v>
      </c>
      <c r="H6815" s="6">
        <v>40000</v>
      </c>
      <c r="I6815" s="5"/>
    </row>
    <row r="6816" spans="1:9" x14ac:dyDescent="0.3">
      <c r="B6816" s="5" t="s">
        <v>5890</v>
      </c>
      <c r="C6816" s="5" t="s">
        <v>10</v>
      </c>
      <c r="D6816" s="5" t="s">
        <v>5891</v>
      </c>
      <c r="E6816" s="5" t="s">
        <v>5892</v>
      </c>
      <c r="F6816" s="5" t="s">
        <v>5518</v>
      </c>
      <c r="G6816" s="5" t="s">
        <v>5519</v>
      </c>
      <c r="H6816" s="5"/>
      <c r="I6816" s="6">
        <v>40000</v>
      </c>
    </row>
    <row r="6817" spans="1:9" x14ac:dyDescent="0.3">
      <c r="B6817" s="5" t="s">
        <v>5890</v>
      </c>
      <c r="C6817" s="5" t="s">
        <v>10</v>
      </c>
      <c r="D6817" s="5" t="s">
        <v>5891</v>
      </c>
      <c r="E6817" s="5" t="s">
        <v>5893</v>
      </c>
      <c r="F6817" s="5" t="s">
        <v>831</v>
      </c>
      <c r="G6817" s="5" t="s">
        <v>832</v>
      </c>
      <c r="H6817" s="6">
        <v>400000</v>
      </c>
      <c r="I6817" s="5"/>
    </row>
    <row r="6818" spans="1:9" x14ac:dyDescent="0.3">
      <c r="B6818" s="5" t="s">
        <v>5890</v>
      </c>
      <c r="C6818" s="5" t="s">
        <v>10</v>
      </c>
      <c r="D6818" s="5" t="s">
        <v>5891</v>
      </c>
      <c r="E6818" s="5" t="s">
        <v>5894</v>
      </c>
      <c r="F6818" s="5" t="s">
        <v>831</v>
      </c>
      <c r="G6818" s="5" t="s">
        <v>832</v>
      </c>
      <c r="H6818" s="6">
        <v>95000</v>
      </c>
      <c r="I6818" s="5"/>
    </row>
    <row r="6819" spans="1:9" x14ac:dyDescent="0.3">
      <c r="B6819" s="5" t="s">
        <v>5890</v>
      </c>
      <c r="C6819" s="5" t="s">
        <v>10</v>
      </c>
      <c r="D6819" s="5" t="s">
        <v>5891</v>
      </c>
      <c r="E6819" s="5" t="s">
        <v>5895</v>
      </c>
      <c r="F6819" s="5" t="s">
        <v>5624</v>
      </c>
      <c r="G6819" s="5" t="s">
        <v>5625</v>
      </c>
      <c r="H6819" s="5"/>
      <c r="I6819" s="6">
        <v>495000</v>
      </c>
    </row>
    <row r="6820" spans="1:9" x14ac:dyDescent="0.3">
      <c r="A6820" s="7" t="s">
        <v>5896</v>
      </c>
      <c r="H6820" s="8">
        <f>H6815+H6816+H6817+H6818+H6819</f>
        <v>535000</v>
      </c>
      <c r="I6820" s="8">
        <f>I6815+I6816+I6817+I6818+I6819</f>
        <v>535000</v>
      </c>
    </row>
    <row r="6821" spans="1:9" x14ac:dyDescent="0.3">
      <c r="A6821" s="4" t="s">
        <v>5897</v>
      </c>
    </row>
    <row r="6822" spans="1:9" x14ac:dyDescent="0.3">
      <c r="B6822" s="5" t="s">
        <v>5890</v>
      </c>
      <c r="C6822" s="5" t="s">
        <v>2745</v>
      </c>
      <c r="D6822" s="5" t="s">
        <v>2750</v>
      </c>
      <c r="E6822" s="5" t="s">
        <v>2750</v>
      </c>
      <c r="F6822" s="5" t="s">
        <v>2748</v>
      </c>
      <c r="G6822" s="5" t="s">
        <v>2749</v>
      </c>
      <c r="H6822" s="6">
        <v>26000</v>
      </c>
      <c r="I6822" s="5"/>
    </row>
    <row r="6823" spans="1:9" x14ac:dyDescent="0.3">
      <c r="B6823" s="5" t="s">
        <v>5890</v>
      </c>
      <c r="C6823" s="5" t="s">
        <v>2745</v>
      </c>
      <c r="D6823" s="5" t="s">
        <v>2750</v>
      </c>
      <c r="E6823" s="5" t="s">
        <v>2750</v>
      </c>
      <c r="F6823" s="5" t="s">
        <v>847</v>
      </c>
      <c r="G6823" s="5" t="s">
        <v>848</v>
      </c>
      <c r="H6823" s="5"/>
      <c r="I6823" s="6">
        <v>26000</v>
      </c>
    </row>
    <row r="6824" spans="1:9" x14ac:dyDescent="0.3">
      <c r="A6824" s="7" t="s">
        <v>5898</v>
      </c>
      <c r="H6824" s="8">
        <f>H6822+H6823</f>
        <v>26000</v>
      </c>
      <c r="I6824" s="8">
        <f>I6822+I6823</f>
        <v>26000</v>
      </c>
    </row>
    <row r="6825" spans="1:9" x14ac:dyDescent="0.3">
      <c r="A6825" s="4" t="s">
        <v>5899</v>
      </c>
    </row>
    <row r="6826" spans="1:9" x14ac:dyDescent="0.3">
      <c r="B6826" s="5" t="s">
        <v>5890</v>
      </c>
      <c r="C6826" s="5" t="s">
        <v>2745</v>
      </c>
      <c r="D6826" s="5" t="s">
        <v>2750</v>
      </c>
      <c r="E6826" s="5" t="s">
        <v>2750</v>
      </c>
      <c r="F6826" s="5" t="s">
        <v>2748</v>
      </c>
      <c r="G6826" s="5" t="s">
        <v>2749</v>
      </c>
      <c r="H6826" s="6">
        <v>11600</v>
      </c>
      <c r="I6826" s="5"/>
    </row>
    <row r="6827" spans="1:9" x14ac:dyDescent="0.3">
      <c r="B6827" s="5" t="s">
        <v>5890</v>
      </c>
      <c r="C6827" s="5" t="s">
        <v>2745</v>
      </c>
      <c r="D6827" s="5" t="s">
        <v>2750</v>
      </c>
      <c r="E6827" s="5" t="s">
        <v>2750</v>
      </c>
      <c r="F6827" s="5" t="s">
        <v>847</v>
      </c>
      <c r="G6827" s="5" t="s">
        <v>848</v>
      </c>
      <c r="H6827" s="5"/>
      <c r="I6827" s="6">
        <v>11600</v>
      </c>
    </row>
    <row r="6828" spans="1:9" x14ac:dyDescent="0.3">
      <c r="A6828" s="7" t="s">
        <v>5900</v>
      </c>
      <c r="H6828" s="8">
        <f>H6826+H6827</f>
        <v>11600</v>
      </c>
      <c r="I6828" s="8">
        <f>I6826+I6827</f>
        <v>11600</v>
      </c>
    </row>
    <row r="6829" spans="1:9" x14ac:dyDescent="0.3">
      <c r="A6829" s="4" t="s">
        <v>5901</v>
      </c>
    </row>
    <row r="6830" spans="1:9" x14ac:dyDescent="0.3">
      <c r="B6830" s="5" t="s">
        <v>5890</v>
      </c>
      <c r="C6830" s="5" t="s">
        <v>2745</v>
      </c>
      <c r="D6830" s="5" t="s">
        <v>2750</v>
      </c>
      <c r="E6830" s="5" t="s">
        <v>2750</v>
      </c>
      <c r="F6830" s="5" t="s">
        <v>2748</v>
      </c>
      <c r="G6830" s="5" t="s">
        <v>2749</v>
      </c>
      <c r="H6830" s="6">
        <v>4470</v>
      </c>
      <c r="I6830" s="5"/>
    </row>
    <row r="6831" spans="1:9" x14ac:dyDescent="0.3">
      <c r="B6831" s="5" t="s">
        <v>5890</v>
      </c>
      <c r="C6831" s="5" t="s">
        <v>2745</v>
      </c>
      <c r="D6831" s="5" t="s">
        <v>2750</v>
      </c>
      <c r="E6831" s="5" t="s">
        <v>2750</v>
      </c>
      <c r="F6831" s="5" t="s">
        <v>847</v>
      </c>
      <c r="G6831" s="5" t="s">
        <v>848</v>
      </c>
      <c r="H6831" s="5"/>
      <c r="I6831" s="6">
        <v>4470</v>
      </c>
    </row>
    <row r="6832" spans="1:9" x14ac:dyDescent="0.3">
      <c r="A6832" s="7" t="s">
        <v>5902</v>
      </c>
      <c r="H6832" s="8">
        <f>H6830+H6831</f>
        <v>4470</v>
      </c>
      <c r="I6832" s="8">
        <f>I6830+I6831</f>
        <v>4470</v>
      </c>
    </row>
    <row r="6833" spans="1:9" x14ac:dyDescent="0.3">
      <c r="A6833" s="4" t="s">
        <v>5903</v>
      </c>
    </row>
    <row r="6834" spans="1:9" x14ac:dyDescent="0.3">
      <c r="B6834" s="5" t="s">
        <v>5904</v>
      </c>
      <c r="C6834" s="5" t="s">
        <v>10</v>
      </c>
      <c r="D6834" s="5" t="s">
        <v>5905</v>
      </c>
      <c r="E6834" s="5" t="s">
        <v>5906</v>
      </c>
      <c r="F6834" s="5" t="s">
        <v>5624</v>
      </c>
      <c r="G6834" s="5" t="s">
        <v>5625</v>
      </c>
      <c r="H6834" s="6">
        <v>410000</v>
      </c>
      <c r="I6834" s="5"/>
    </row>
    <row r="6835" spans="1:9" x14ac:dyDescent="0.3">
      <c r="B6835" s="5" t="s">
        <v>5904</v>
      </c>
      <c r="C6835" s="5" t="s">
        <v>10</v>
      </c>
      <c r="D6835" s="5" t="s">
        <v>5905</v>
      </c>
      <c r="E6835" s="5" t="s">
        <v>5906</v>
      </c>
      <c r="F6835" s="5" t="s">
        <v>5518</v>
      </c>
      <c r="G6835" s="5" t="s">
        <v>5519</v>
      </c>
      <c r="H6835" s="5"/>
      <c r="I6835" s="6">
        <v>410000</v>
      </c>
    </row>
    <row r="6836" spans="1:9" x14ac:dyDescent="0.3">
      <c r="A6836" s="7" t="s">
        <v>5907</v>
      </c>
      <c r="H6836" s="8">
        <f>H6834+H6835</f>
        <v>410000</v>
      </c>
      <c r="I6836" s="8">
        <f>I6834+I6835</f>
        <v>410000</v>
      </c>
    </row>
    <row r="6837" spans="1:9" x14ac:dyDescent="0.3">
      <c r="A6837" s="4" t="s">
        <v>5908</v>
      </c>
    </row>
    <row r="6838" spans="1:9" x14ac:dyDescent="0.3">
      <c r="B6838" s="5" t="s">
        <v>5904</v>
      </c>
      <c r="C6838" s="5" t="s">
        <v>2745</v>
      </c>
      <c r="D6838" s="5" t="s">
        <v>2750</v>
      </c>
      <c r="E6838" s="5" t="s">
        <v>2750</v>
      </c>
      <c r="F6838" s="5" t="s">
        <v>2748</v>
      </c>
      <c r="G6838" s="5" t="s">
        <v>2749</v>
      </c>
      <c r="H6838" s="6">
        <v>4000</v>
      </c>
      <c r="I6838" s="5"/>
    </row>
    <row r="6839" spans="1:9" x14ac:dyDescent="0.3">
      <c r="B6839" s="5" t="s">
        <v>5904</v>
      </c>
      <c r="C6839" s="5" t="s">
        <v>2745</v>
      </c>
      <c r="D6839" s="5" t="s">
        <v>2750</v>
      </c>
      <c r="E6839" s="5" t="s">
        <v>2750</v>
      </c>
      <c r="F6839" s="5" t="s">
        <v>847</v>
      </c>
      <c r="G6839" s="5" t="s">
        <v>848</v>
      </c>
      <c r="H6839" s="5"/>
      <c r="I6839" s="6">
        <v>4000</v>
      </c>
    </row>
    <row r="6840" spans="1:9" x14ac:dyDescent="0.3">
      <c r="A6840" s="7" t="s">
        <v>5909</v>
      </c>
      <c r="H6840" s="8">
        <f>H6838+H6839</f>
        <v>4000</v>
      </c>
      <c r="I6840" s="8">
        <f>I6838+I6839</f>
        <v>4000</v>
      </c>
    </row>
    <row r="6841" spans="1:9" x14ac:dyDescent="0.3">
      <c r="A6841" s="4" t="s">
        <v>5910</v>
      </c>
    </row>
    <row r="6842" spans="1:9" x14ac:dyDescent="0.3">
      <c r="B6842" s="5" t="s">
        <v>5904</v>
      </c>
      <c r="C6842" s="5" t="s">
        <v>2745</v>
      </c>
      <c r="D6842" s="5" t="s">
        <v>2750</v>
      </c>
      <c r="E6842" s="5" t="s">
        <v>2750</v>
      </c>
      <c r="F6842" s="5" t="s">
        <v>2748</v>
      </c>
      <c r="G6842" s="5" t="s">
        <v>2749</v>
      </c>
      <c r="H6842" s="6">
        <v>7000</v>
      </c>
      <c r="I6842" s="5"/>
    </row>
    <row r="6843" spans="1:9" x14ac:dyDescent="0.3">
      <c r="B6843" s="5" t="s">
        <v>5904</v>
      </c>
      <c r="C6843" s="5" t="s">
        <v>2745</v>
      </c>
      <c r="D6843" s="5" t="s">
        <v>2750</v>
      </c>
      <c r="E6843" s="5" t="s">
        <v>2750</v>
      </c>
      <c r="F6843" s="5" t="s">
        <v>847</v>
      </c>
      <c r="G6843" s="5" t="s">
        <v>848</v>
      </c>
      <c r="H6843" s="5"/>
      <c r="I6843" s="6">
        <v>7000</v>
      </c>
    </row>
    <row r="6844" spans="1:9" x14ac:dyDescent="0.3">
      <c r="A6844" s="7" t="s">
        <v>5911</v>
      </c>
      <c r="H6844" s="8">
        <f>H6842+H6843</f>
        <v>7000</v>
      </c>
      <c r="I6844" s="8">
        <f>I6842+I6843</f>
        <v>7000</v>
      </c>
    </row>
    <row r="6845" spans="1:9" x14ac:dyDescent="0.3">
      <c r="A6845" s="4" t="s">
        <v>5912</v>
      </c>
    </row>
    <row r="6846" spans="1:9" x14ac:dyDescent="0.3">
      <c r="B6846" s="5" t="s">
        <v>5904</v>
      </c>
      <c r="C6846" s="5" t="s">
        <v>2745</v>
      </c>
      <c r="D6846" s="5" t="s">
        <v>2750</v>
      </c>
      <c r="E6846" s="5" t="s">
        <v>2750</v>
      </c>
      <c r="F6846" s="5" t="s">
        <v>2748</v>
      </c>
      <c r="G6846" s="5" t="s">
        <v>2749</v>
      </c>
      <c r="H6846" s="6">
        <v>11600</v>
      </c>
      <c r="I6846" s="5"/>
    </row>
    <row r="6847" spans="1:9" x14ac:dyDescent="0.3">
      <c r="B6847" s="5" t="s">
        <v>5904</v>
      </c>
      <c r="C6847" s="5" t="s">
        <v>2745</v>
      </c>
      <c r="D6847" s="5" t="s">
        <v>2750</v>
      </c>
      <c r="E6847" s="5" t="s">
        <v>2750</v>
      </c>
      <c r="F6847" s="5" t="s">
        <v>847</v>
      </c>
      <c r="G6847" s="5" t="s">
        <v>848</v>
      </c>
      <c r="H6847" s="5"/>
      <c r="I6847" s="6">
        <v>11600</v>
      </c>
    </row>
    <row r="6848" spans="1:9" x14ac:dyDescent="0.3">
      <c r="A6848" s="7" t="s">
        <v>5913</v>
      </c>
      <c r="H6848" s="8">
        <f>H6846+H6847</f>
        <v>11600</v>
      </c>
      <c r="I6848" s="8">
        <f>I6846+I6847</f>
        <v>11600</v>
      </c>
    </row>
    <row r="6849" spans="1:9" x14ac:dyDescent="0.3">
      <c r="A6849" s="4" t="s">
        <v>5914</v>
      </c>
    </row>
    <row r="6850" spans="1:9" x14ac:dyDescent="0.3">
      <c r="B6850" s="5" t="s">
        <v>5904</v>
      </c>
      <c r="C6850" s="5" t="s">
        <v>2745</v>
      </c>
      <c r="D6850" s="5" t="s">
        <v>2750</v>
      </c>
      <c r="E6850" s="5" t="s">
        <v>2750</v>
      </c>
      <c r="F6850" s="5" t="s">
        <v>2748</v>
      </c>
      <c r="G6850" s="5" t="s">
        <v>2749</v>
      </c>
      <c r="H6850" s="6">
        <v>5420</v>
      </c>
      <c r="I6850" s="5"/>
    </row>
    <row r="6851" spans="1:9" x14ac:dyDescent="0.3">
      <c r="B6851" s="5" t="s">
        <v>5904</v>
      </c>
      <c r="C6851" s="5" t="s">
        <v>2745</v>
      </c>
      <c r="D6851" s="5" t="s">
        <v>2750</v>
      </c>
      <c r="E6851" s="5" t="s">
        <v>2750</v>
      </c>
      <c r="F6851" s="5" t="s">
        <v>847</v>
      </c>
      <c r="G6851" s="5" t="s">
        <v>848</v>
      </c>
      <c r="H6851" s="5"/>
      <c r="I6851" s="6">
        <v>5420</v>
      </c>
    </row>
    <row r="6852" spans="1:9" x14ac:dyDescent="0.3">
      <c r="A6852" s="7" t="s">
        <v>5915</v>
      </c>
      <c r="H6852" s="8">
        <f>H6850+H6851</f>
        <v>5420</v>
      </c>
      <c r="I6852" s="8">
        <f>I6850+I6851</f>
        <v>5420</v>
      </c>
    </row>
    <row r="6853" spans="1:9" x14ac:dyDescent="0.3">
      <c r="A6853" s="4" t="s">
        <v>5916</v>
      </c>
    </row>
    <row r="6854" spans="1:9" x14ac:dyDescent="0.3">
      <c r="B6854" s="5" t="s">
        <v>5904</v>
      </c>
      <c r="C6854" s="5" t="s">
        <v>10</v>
      </c>
      <c r="D6854" s="5" t="s">
        <v>5917</v>
      </c>
      <c r="E6854" s="5" t="s">
        <v>5918</v>
      </c>
      <c r="F6854" s="5" t="s">
        <v>1763</v>
      </c>
      <c r="G6854" s="5" t="s">
        <v>1764</v>
      </c>
      <c r="H6854" s="6">
        <v>2255.83</v>
      </c>
      <c r="I6854" s="5"/>
    </row>
    <row r="6855" spans="1:9" x14ac:dyDescent="0.3">
      <c r="B6855" s="5" t="s">
        <v>5904</v>
      </c>
      <c r="C6855" s="5" t="s">
        <v>10</v>
      </c>
      <c r="D6855" s="5" t="s">
        <v>5917</v>
      </c>
      <c r="E6855" s="5" t="s">
        <v>5918</v>
      </c>
      <c r="F6855" s="5" t="s">
        <v>649</v>
      </c>
      <c r="G6855" s="5" t="s">
        <v>650</v>
      </c>
      <c r="H6855" s="5"/>
      <c r="I6855" s="6">
        <v>658.33</v>
      </c>
    </row>
    <row r="6856" spans="1:9" x14ac:dyDescent="0.3">
      <c r="B6856" s="5" t="s">
        <v>5904</v>
      </c>
      <c r="C6856" s="5" t="s">
        <v>10</v>
      </c>
      <c r="D6856" s="5" t="s">
        <v>5917</v>
      </c>
      <c r="E6856" s="5" t="s">
        <v>5918</v>
      </c>
      <c r="F6856" s="5" t="s">
        <v>3962</v>
      </c>
      <c r="G6856" s="5" t="s">
        <v>3963</v>
      </c>
      <c r="H6856" s="5"/>
      <c r="I6856" s="6">
        <v>250</v>
      </c>
    </row>
    <row r="6857" spans="1:9" x14ac:dyDescent="0.3">
      <c r="B6857" s="5" t="s">
        <v>5904</v>
      </c>
      <c r="C6857" s="5" t="s">
        <v>10</v>
      </c>
      <c r="D6857" s="5" t="s">
        <v>5917</v>
      </c>
      <c r="E6857" s="5" t="s">
        <v>5918</v>
      </c>
      <c r="F6857" s="5" t="s">
        <v>1799</v>
      </c>
      <c r="G6857" s="5" t="s">
        <v>1800</v>
      </c>
      <c r="H6857" s="5"/>
      <c r="I6857" s="6">
        <v>197.5</v>
      </c>
    </row>
    <row r="6858" spans="1:9" x14ac:dyDescent="0.3">
      <c r="B6858" s="5" t="s">
        <v>5904</v>
      </c>
      <c r="C6858" s="5" t="s">
        <v>10</v>
      </c>
      <c r="D6858" s="5" t="s">
        <v>5917</v>
      </c>
      <c r="E6858" s="5" t="s">
        <v>5918</v>
      </c>
      <c r="F6858" s="5" t="s">
        <v>1793</v>
      </c>
      <c r="G6858" s="5" t="s">
        <v>1794</v>
      </c>
      <c r="H6858" s="5"/>
      <c r="I6858" s="6">
        <v>150</v>
      </c>
    </row>
    <row r="6859" spans="1:9" x14ac:dyDescent="0.3">
      <c r="B6859" s="5" t="s">
        <v>5904</v>
      </c>
      <c r="C6859" s="5" t="s">
        <v>10</v>
      </c>
      <c r="D6859" s="5" t="s">
        <v>5917</v>
      </c>
      <c r="E6859" s="5" t="s">
        <v>5918</v>
      </c>
      <c r="F6859" s="5" t="s">
        <v>2748</v>
      </c>
      <c r="G6859" s="5" t="s">
        <v>2749</v>
      </c>
      <c r="H6859" s="5"/>
      <c r="I6859" s="6">
        <v>350</v>
      </c>
    </row>
    <row r="6860" spans="1:9" x14ac:dyDescent="0.3">
      <c r="B6860" s="5" t="s">
        <v>5904</v>
      </c>
      <c r="C6860" s="5" t="s">
        <v>10</v>
      </c>
      <c r="D6860" s="5" t="s">
        <v>5917</v>
      </c>
      <c r="E6860" s="5" t="s">
        <v>5918</v>
      </c>
      <c r="F6860" s="5" t="s">
        <v>4844</v>
      </c>
      <c r="G6860" s="5" t="s">
        <v>4845</v>
      </c>
      <c r="H6860" s="5"/>
      <c r="I6860" s="6">
        <v>350</v>
      </c>
    </row>
    <row r="6861" spans="1:9" x14ac:dyDescent="0.3">
      <c r="B6861" s="5" t="s">
        <v>5904</v>
      </c>
      <c r="C6861" s="5" t="s">
        <v>10</v>
      </c>
      <c r="D6861" s="5" t="s">
        <v>5917</v>
      </c>
      <c r="E6861" s="5" t="s">
        <v>5918</v>
      </c>
      <c r="F6861" s="5" t="s">
        <v>5518</v>
      </c>
      <c r="G6861" s="5" t="s">
        <v>5519</v>
      </c>
      <c r="H6861" s="5"/>
      <c r="I6861" s="6">
        <v>100</v>
      </c>
    </row>
    <row r="6862" spans="1:9" x14ac:dyDescent="0.3">
      <c r="B6862" s="5" t="s">
        <v>5904</v>
      </c>
      <c r="C6862" s="5" t="s">
        <v>10</v>
      </c>
      <c r="D6862" s="5" t="s">
        <v>5917</v>
      </c>
      <c r="E6862" s="5" t="s">
        <v>5918</v>
      </c>
      <c r="F6862" s="5" t="s">
        <v>5624</v>
      </c>
      <c r="G6862" s="5" t="s">
        <v>5625</v>
      </c>
      <c r="H6862" s="5"/>
      <c r="I6862" s="6">
        <v>100</v>
      </c>
    </row>
    <row r="6863" spans="1:9" x14ac:dyDescent="0.3">
      <c r="B6863" s="5" t="s">
        <v>5904</v>
      </c>
      <c r="C6863" s="5" t="s">
        <v>10</v>
      </c>
      <c r="D6863" s="5" t="s">
        <v>5917</v>
      </c>
      <c r="E6863" s="5" t="s">
        <v>5918</v>
      </c>
      <c r="F6863" s="5" t="s">
        <v>5630</v>
      </c>
      <c r="G6863" s="5" t="s">
        <v>5631</v>
      </c>
      <c r="H6863" s="5"/>
      <c r="I6863" s="6">
        <v>100</v>
      </c>
    </row>
    <row r="6864" spans="1:9" x14ac:dyDescent="0.3">
      <c r="A6864" s="7" t="s">
        <v>5919</v>
      </c>
      <c r="H6864" s="8">
        <f>H6854+H6855+H6856+H6857+H6858+H6859+H6860+H6861+H6862+H6863</f>
        <v>2255.83</v>
      </c>
      <c r="I6864" s="8">
        <f>I6854+I6855+I6856+I6857+I6858+I6859+I6860+I6861+I6862+I6863</f>
        <v>2255.83</v>
      </c>
    </row>
    <row r="6865" spans="1:9" x14ac:dyDescent="0.3">
      <c r="A6865" s="4" t="s">
        <v>5920</v>
      </c>
    </row>
    <row r="6866" spans="1:9" x14ac:dyDescent="0.3">
      <c r="B6866" s="5" t="s">
        <v>5904</v>
      </c>
      <c r="C6866" s="5" t="s">
        <v>10</v>
      </c>
      <c r="D6866" s="5" t="s">
        <v>5921</v>
      </c>
      <c r="E6866" s="5" t="s">
        <v>5922</v>
      </c>
      <c r="F6866" s="5" t="s">
        <v>831</v>
      </c>
      <c r="G6866" s="5" t="s">
        <v>832</v>
      </c>
      <c r="H6866" s="6">
        <v>90000</v>
      </c>
      <c r="I6866" s="5"/>
    </row>
    <row r="6867" spans="1:9" x14ac:dyDescent="0.3">
      <c r="B6867" s="5" t="s">
        <v>5904</v>
      </c>
      <c r="C6867" s="5" t="s">
        <v>10</v>
      </c>
      <c r="D6867" s="5" t="s">
        <v>5921</v>
      </c>
      <c r="E6867" s="5" t="s">
        <v>5923</v>
      </c>
      <c r="F6867" s="5" t="s">
        <v>831</v>
      </c>
      <c r="G6867" s="5" t="s">
        <v>832</v>
      </c>
      <c r="H6867" s="6">
        <v>100000</v>
      </c>
      <c r="I6867" s="5"/>
    </row>
    <row r="6868" spans="1:9" x14ac:dyDescent="0.3">
      <c r="B6868" s="5" t="s">
        <v>5904</v>
      </c>
      <c r="C6868" s="5" t="s">
        <v>10</v>
      </c>
      <c r="D6868" s="5" t="s">
        <v>5921</v>
      </c>
      <c r="E6868" s="5" t="s">
        <v>5924</v>
      </c>
      <c r="F6868" s="5" t="s">
        <v>831</v>
      </c>
      <c r="G6868" s="5" t="s">
        <v>832</v>
      </c>
      <c r="H6868" s="6">
        <v>70000</v>
      </c>
      <c r="I6868" s="5"/>
    </row>
    <row r="6869" spans="1:9" x14ac:dyDescent="0.3">
      <c r="B6869" s="5" t="s">
        <v>5904</v>
      </c>
      <c r="C6869" s="5" t="s">
        <v>10</v>
      </c>
      <c r="D6869" s="5" t="s">
        <v>5921</v>
      </c>
      <c r="E6869" s="5" t="s">
        <v>5925</v>
      </c>
      <c r="F6869" s="5" t="s">
        <v>831</v>
      </c>
      <c r="G6869" s="5" t="s">
        <v>832</v>
      </c>
      <c r="H6869" s="6">
        <v>120000</v>
      </c>
      <c r="I6869" s="5"/>
    </row>
    <row r="6870" spans="1:9" x14ac:dyDescent="0.3">
      <c r="B6870" s="5" t="s">
        <v>5904</v>
      </c>
      <c r="C6870" s="5" t="s">
        <v>10</v>
      </c>
      <c r="D6870" s="5" t="s">
        <v>5921</v>
      </c>
      <c r="E6870" s="5" t="s">
        <v>5926</v>
      </c>
      <c r="F6870" s="5" t="s">
        <v>3901</v>
      </c>
      <c r="G6870" s="5" t="s">
        <v>3902</v>
      </c>
      <c r="H6870" s="6">
        <v>15000</v>
      </c>
      <c r="I6870" s="5"/>
    </row>
    <row r="6871" spans="1:9" x14ac:dyDescent="0.3">
      <c r="B6871" s="5" t="s">
        <v>5904</v>
      </c>
      <c r="C6871" s="5" t="s">
        <v>10</v>
      </c>
      <c r="D6871" s="5" t="s">
        <v>5921</v>
      </c>
      <c r="E6871" s="5" t="s">
        <v>5927</v>
      </c>
      <c r="F6871" s="5" t="s">
        <v>5624</v>
      </c>
      <c r="G6871" s="5" t="s">
        <v>5625</v>
      </c>
      <c r="H6871" s="5"/>
      <c r="I6871" s="6">
        <v>395000</v>
      </c>
    </row>
    <row r="6872" spans="1:9" x14ac:dyDescent="0.3">
      <c r="A6872" s="7" t="s">
        <v>5928</v>
      </c>
      <c r="H6872" s="8">
        <f>H6866+H6867+H6868+H6869+H6870+H6871</f>
        <v>395000</v>
      </c>
      <c r="I6872" s="8">
        <f>I6866+I6867+I6868+I6869+I6870+I6871</f>
        <v>395000</v>
      </c>
    </row>
    <row r="6873" spans="1:9" x14ac:dyDescent="0.3">
      <c r="B6873" s="8" t="s">
        <v>5929</v>
      </c>
      <c r="H6873" s="8">
        <v>244746819.30000007</v>
      </c>
      <c r="I6873" s="8">
        <v>244746819.30000007</v>
      </c>
    </row>
    <row r="6877" spans="1:9" s="2" customFormat="1" x14ac:dyDescent="0.3">
      <c r="A6877" s="9" t="s">
        <v>5930</v>
      </c>
      <c r="B6877" s="1"/>
      <c r="C6877" s="1"/>
      <c r="D6877" s="1"/>
      <c r="E6877" s="1"/>
      <c r="F6877" s="1"/>
      <c r="G6877" s="1"/>
      <c r="H6877" s="1"/>
    </row>
  </sheetData>
  <mergeCells count="1">
    <mergeCell ref="A6877:H6877"/>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JVEntry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Esmat</dc:creator>
  <cp:lastModifiedBy>Esmat</cp:lastModifiedBy>
  <dcterms:created xsi:type="dcterms:W3CDTF">2026-02-03T10:03:06Z</dcterms:created>
  <dcterms:modified xsi:type="dcterms:W3CDTF">2026-02-03T10:13:46Z</dcterms:modified>
</cp:coreProperties>
</file>