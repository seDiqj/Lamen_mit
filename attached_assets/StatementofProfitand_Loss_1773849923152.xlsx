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t\Documents\"/>
    </mc:Choice>
  </mc:AlternateContent>
  <bookViews>
    <workbookView xWindow="0" yWindow="0" windowWidth="23040" windowHeight="9072"/>
  </bookViews>
  <sheets>
    <sheet name="Statement of Profit or Lo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  <c r="C43" i="1"/>
  <c r="C29" i="1"/>
  <c r="C21" i="1"/>
  <c r="C31" i="1" s="1"/>
  <c r="C45" i="1" s="1"/>
  <c r="C46" i="1" l="1"/>
  <c r="C47" i="1" s="1"/>
  <c r="C55" i="1" s="1"/>
</calcChain>
</file>

<file path=xl/sharedStrings.xml><?xml version="1.0" encoding="utf-8"?>
<sst xmlns="http://schemas.openxmlformats.org/spreadsheetml/2006/main" count="88" uniqueCount="70">
  <si>
    <t>Da Afghanistan Bank</t>
  </si>
  <si>
    <t>Non-Banking Financial Institutions Supervision Directorate General</t>
  </si>
  <si>
    <t>Follow up and Offsite Supervision Section</t>
  </si>
  <si>
    <t>Statement of Profit or Loss and Other Comprehensive Income</t>
  </si>
  <si>
    <t xml:space="preserve">                                                                          MFI Name</t>
  </si>
  <si>
    <t xml:space="preserve">                                                                          License Number</t>
  </si>
  <si>
    <t xml:space="preserve">                                                                          Date/Period</t>
  </si>
  <si>
    <t xml:space="preserve">                                                                          Currency</t>
  </si>
  <si>
    <t>Afghani</t>
  </si>
  <si>
    <t xml:space="preserve">                                                                          Frequency</t>
  </si>
  <si>
    <t>Monthly</t>
  </si>
  <si>
    <t>Line Code</t>
  </si>
  <si>
    <t>Items</t>
  </si>
  <si>
    <t>Amount</t>
  </si>
  <si>
    <t>Source of data</t>
  </si>
  <si>
    <t xml:space="preserve">Revenue </t>
  </si>
  <si>
    <t>Revenue from Murabaha Financing</t>
  </si>
  <si>
    <t>IS</t>
  </si>
  <si>
    <t>To 50300 Murabaha Income (Earned) + 20900 Deferred Murabaha Income</t>
  </si>
  <si>
    <t>Revenue from Mudaraba Financing</t>
  </si>
  <si>
    <t>to 50100 - Mudarabah Profit Income</t>
  </si>
  <si>
    <t>Revenue from Musharaka Financing</t>
  </si>
  <si>
    <t>to 50200 - Musharakah Profit Income</t>
  </si>
  <si>
    <t>Other Revenue</t>
  </si>
  <si>
    <t>no accounts yet</t>
  </si>
  <si>
    <t>Total Revenue</t>
  </si>
  <si>
    <t>Cost of Services/Goods</t>
  </si>
  <si>
    <t>Murabaha Product Cost</t>
  </si>
  <si>
    <t>to 51200-Postage and Shipping, 51300-Hawala Cost CGS, 51400-Commission</t>
  </si>
  <si>
    <t>Fee Expense on Borrowings</t>
  </si>
  <si>
    <t>to closing of 62000-Operating Expenses</t>
  </si>
  <si>
    <t>Provision for ECL (Expected Credit Loss)</t>
  </si>
  <si>
    <t>To 80102 Loan loss provision expense</t>
  </si>
  <si>
    <t>Credit Officer Salaries</t>
  </si>
  <si>
    <t>to 51200 Financing Officer's Salary</t>
  </si>
  <si>
    <t>Other Cost of Services/Goods</t>
  </si>
  <si>
    <t>Total Cost Of Services/Goods</t>
  </si>
  <si>
    <t>Gross Profit</t>
  </si>
  <si>
    <t>Other Income</t>
  </si>
  <si>
    <t xml:space="preserve"> to closing of 40000- Non-Operating Income, 40400-Dividend income, 40500-Discount Received</t>
  </si>
  <si>
    <t>Operating Expenses</t>
  </si>
  <si>
    <t>Other Staff Salaries</t>
  </si>
  <si>
    <t>To 60001 Salaries &amp; wages</t>
  </si>
  <si>
    <t>Depreciation and Amortization</t>
  </si>
  <si>
    <t>to 61900 Depreciation Expense</t>
  </si>
  <si>
    <t>Technology and MIS Maintenance</t>
  </si>
  <si>
    <t>to 70000 Dues and subscriptions, 15300 - Accumalated Amortization</t>
  </si>
  <si>
    <t>Marketing and Outreach</t>
  </si>
  <si>
    <t>to closing of 61600 Promotion &amp; Advertisement</t>
  </si>
  <si>
    <t>Administrative Expenses</t>
  </si>
  <si>
    <t>= Total expenses from income statement minus 80102 Loan loss provision expense minus 60001 Salaries &amp; wages minus  70000 Dues and subscriptions, 15300 - Accumalated Amortization minus 61600 Promotion &amp; Advertisement minus 61504-Legal</t>
  </si>
  <si>
    <t>Legal Expenses</t>
  </si>
  <si>
    <t>to 61504-Legal</t>
  </si>
  <si>
    <t>Other Operating Expenses</t>
  </si>
  <si>
    <t>Total Operating Expenses</t>
  </si>
  <si>
    <t>Profit Before Tax (PBT)</t>
  </si>
  <si>
    <t>Income Tax</t>
  </si>
  <si>
    <t xml:space="preserve">should be 20% of profit before tax </t>
  </si>
  <si>
    <t>Net Profit (PAT)</t>
  </si>
  <si>
    <t>Other Comprehensive Income</t>
  </si>
  <si>
    <t>Revaluation Surplus on Property, Vehicles, and Equipment</t>
  </si>
  <si>
    <t>not used yet</t>
  </si>
  <si>
    <t>Tax on Revaluation Surplus</t>
  </si>
  <si>
    <t>Total Other Comprehensive Income</t>
  </si>
  <si>
    <t>Total Comprehensive Income (Net Profit + OCI Adjustment)</t>
  </si>
  <si>
    <t>Head of Finance</t>
  </si>
  <si>
    <t>Head of Compliance</t>
  </si>
  <si>
    <t>Name</t>
  </si>
  <si>
    <t>Signature and Date</t>
  </si>
  <si>
    <t>Stamp of the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</si>
</sst>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Garamond"/>
      <family val="1"/>
    </font>
    <font>
      <b/>
      <u/>
      <sz val="13"/>
      <color theme="1"/>
      <name val="Garamond"/>
      <family val="1"/>
    </font>
    <font>
      <b/>
      <sz val="12"/>
      <color theme="1"/>
      <name val="Garamond"/>
      <family val="1"/>
    </font>
    <font>
      <b/>
      <u/>
      <sz val="12"/>
      <color theme="1"/>
      <name val="Garamond"/>
      <family val="1"/>
    </font>
    <font>
      <sz val="12"/>
      <color theme="2" tint="-0.499984740745262"/>
      <name val="Garamon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left" vertical="top" indent="1"/>
    </xf>
    <xf numFmtId="0" fontId="5" fillId="0" borderId="1" xfId="0" applyFont="1" applyBorder="1" applyAlignment="1" applyProtection="1">
      <alignment horizontal="left" indent="1"/>
      <protection locked="0"/>
    </xf>
    <xf numFmtId="164" fontId="5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>
      <alignment horizontal="left" indent="1"/>
    </xf>
    <xf numFmtId="0" fontId="5" fillId="0" borderId="0" xfId="0" applyFont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 applyProtection="1">
      <alignment horizontal="right" shrinkToFit="1"/>
      <protection locked="0"/>
    </xf>
    <xf numFmtId="165" fontId="5" fillId="0" borderId="2" xfId="0" applyNumberFormat="1" applyFont="1" applyBorder="1" applyAlignment="1">
      <alignment horizontal="right"/>
    </xf>
    <xf numFmtId="0" fontId="5" fillId="0" borderId="0" xfId="0" applyFont="1"/>
    <xf numFmtId="165" fontId="5" fillId="0" borderId="0" xfId="0" applyNumberFormat="1" applyFont="1"/>
    <xf numFmtId="49" fontId="2" fillId="0" borderId="0" xfId="0" applyNumberFormat="1" applyFont="1"/>
    <xf numFmtId="165" fontId="5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3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>
      <alignment horizontal="left" vertical="top" shrinkToFit="1"/>
    </xf>
    <xf numFmtId="0" fontId="6" fillId="0" borderId="0" xfId="1" applyNumberFormat="1" applyFont="1" applyAlignment="1" applyProtection="1">
      <alignment horizontal="left" vertical="top" shrinkToFit="1"/>
    </xf>
    <xf numFmtId="0" fontId="7" fillId="0" borderId="0" xfId="0" applyFont="1" applyAlignment="1">
      <alignment shrinkToFit="1"/>
    </xf>
    <xf numFmtId="0" fontId="7" fillId="0" borderId="2" xfId="0" applyFont="1" applyBorder="1" applyAlignment="1">
      <alignment horizontal="left" vertical="top" shrinkToFit="1"/>
    </xf>
    <xf numFmtId="0" fontId="7" fillId="0" borderId="0" xfId="0" applyFont="1" applyAlignment="1">
      <alignment horizontal="left" vertical="top" shrinkToFit="1"/>
    </xf>
    <xf numFmtId="0" fontId="7" fillId="0" borderId="3" xfId="0" applyFont="1" applyBorder="1" applyAlignment="1">
      <alignment horizontal="left" vertical="top" shrinkToFit="1"/>
    </xf>
    <xf numFmtId="0" fontId="3" fillId="0" borderId="0" xfId="0" applyFont="1" applyAlignment="1">
      <alignment shrinkToFit="1"/>
    </xf>
    <xf numFmtId="0" fontId="5" fillId="0" borderId="0" xfId="0" applyFont="1" applyAlignment="1">
      <alignment horizontal="center" vertical="center" shrinkToFit="1"/>
    </xf>
    <xf numFmtId="0" fontId="7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workbookViewId="0">
      <selection activeCell="C12" sqref="C12"/>
    </sheetView>
  </sheetViews>
  <sheetFormatPr defaultRowHeight="14.4" x14ac:dyDescent="0.3"/>
  <cols>
    <col min="1" max="1" width="10.88671875" customWidth="1"/>
    <col min="2" max="2" width="61.109375" customWidth="1"/>
    <col min="3" max="3" width="51.109375" customWidth="1"/>
    <col min="4" max="4" width="10.88671875" customWidth="1"/>
    <col min="5" max="5" width="83.33203125" customWidth="1"/>
  </cols>
  <sheetData>
    <row r="1" spans="1:5" ht="15.6" x14ac:dyDescent="0.3">
      <c r="A1" s="1"/>
      <c r="B1" s="1"/>
      <c r="C1" s="1"/>
      <c r="D1" s="1"/>
    </row>
    <row r="2" spans="1:5" ht="15.6" x14ac:dyDescent="0.3">
      <c r="A2" s="1" t="s">
        <v>0</v>
      </c>
      <c r="B2" s="1"/>
      <c r="C2" s="1"/>
      <c r="D2" s="1"/>
    </row>
    <row r="3" spans="1:5" ht="15.6" x14ac:dyDescent="0.3">
      <c r="A3" s="1" t="s">
        <v>1</v>
      </c>
      <c r="B3" s="1"/>
      <c r="C3" s="1"/>
      <c r="D3" s="1"/>
    </row>
    <row r="4" spans="1:5" ht="15.6" x14ac:dyDescent="0.3">
      <c r="A4" s="1" t="s">
        <v>2</v>
      </c>
      <c r="B4" s="1"/>
      <c r="C4" s="1"/>
      <c r="D4" s="1"/>
    </row>
    <row r="5" spans="1:5" ht="15.6" x14ac:dyDescent="0.3">
      <c r="A5" s="2"/>
      <c r="B5" s="2"/>
      <c r="C5" s="2"/>
      <c r="D5" s="2"/>
    </row>
    <row r="6" spans="1:5" ht="17.399999999999999" x14ac:dyDescent="0.35">
      <c r="A6" s="3" t="s">
        <v>3</v>
      </c>
      <c r="B6" s="3"/>
      <c r="C6" s="3"/>
      <c r="D6" s="3"/>
    </row>
    <row r="7" spans="1:5" ht="15.6" x14ac:dyDescent="0.3">
      <c r="A7" s="2"/>
      <c r="B7" s="2"/>
      <c r="C7" s="2"/>
      <c r="D7" s="2"/>
    </row>
    <row r="8" spans="1:5" ht="15.6" x14ac:dyDescent="0.3">
      <c r="A8" s="4"/>
      <c r="B8" s="5" t="s">
        <v>4</v>
      </c>
      <c r="C8" s="6"/>
      <c r="D8" s="2"/>
    </row>
    <row r="9" spans="1:5" ht="15.6" x14ac:dyDescent="0.3">
      <c r="A9" s="4"/>
      <c r="B9" s="5" t="s">
        <v>5</v>
      </c>
      <c r="C9" s="6"/>
      <c r="D9" s="2"/>
    </row>
    <row r="10" spans="1:5" ht="15.6" x14ac:dyDescent="0.3">
      <c r="A10" s="2"/>
      <c r="B10" s="5" t="s">
        <v>6</v>
      </c>
      <c r="C10" s="7"/>
      <c r="D10" s="2"/>
    </row>
    <row r="11" spans="1:5" ht="15.6" x14ac:dyDescent="0.3">
      <c r="A11" s="2"/>
      <c r="B11" s="8" t="s">
        <v>7</v>
      </c>
      <c r="C11" s="8" t="s">
        <v>8</v>
      </c>
      <c r="D11" s="2"/>
    </row>
    <row r="12" spans="1:5" ht="15.6" x14ac:dyDescent="0.3">
      <c r="A12" s="2"/>
      <c r="B12" s="5" t="s">
        <v>9</v>
      </c>
      <c r="C12" s="8" t="s">
        <v>10</v>
      </c>
      <c r="D12" s="2"/>
    </row>
    <row r="13" spans="1:5" ht="15.6" x14ac:dyDescent="0.3">
      <c r="A13" s="2"/>
      <c r="B13" s="2"/>
      <c r="C13" s="2"/>
      <c r="D13" s="2"/>
    </row>
    <row r="14" spans="1:5" ht="15.6" x14ac:dyDescent="0.3">
      <c r="A14" s="9" t="s">
        <v>11</v>
      </c>
      <c r="B14" s="10" t="s">
        <v>12</v>
      </c>
      <c r="C14" s="11" t="s">
        <v>13</v>
      </c>
      <c r="D14" s="2"/>
      <c r="E14" t="s">
        <v>14</v>
      </c>
    </row>
    <row r="15" spans="1:5" ht="15.6" x14ac:dyDescent="0.3">
      <c r="A15" s="2"/>
      <c r="B15" s="2"/>
      <c r="C15" s="2"/>
      <c r="D15" s="2"/>
    </row>
    <row r="16" spans="1:5" ht="15.6" x14ac:dyDescent="0.3">
      <c r="A16" s="9">
        <v>1</v>
      </c>
      <c r="B16" s="10" t="s">
        <v>15</v>
      </c>
      <c r="C16" s="12"/>
      <c r="D16" s="2"/>
    </row>
    <row r="17" spans="1:5" ht="15.6" x14ac:dyDescent="0.3">
      <c r="A17" s="13">
        <v>1.1000000000000001</v>
      </c>
      <c r="B17" s="2" t="s">
        <v>16</v>
      </c>
      <c r="C17" s="14"/>
      <c r="D17" s="2" t="s">
        <v>17</v>
      </c>
      <c r="E17" t="s">
        <v>18</v>
      </c>
    </row>
    <row r="18" spans="1:5" ht="15.6" x14ac:dyDescent="0.3">
      <c r="A18" s="13">
        <v>1.2</v>
      </c>
      <c r="B18" s="2" t="s">
        <v>19</v>
      </c>
      <c r="C18" s="14"/>
      <c r="D18" s="2" t="s">
        <v>17</v>
      </c>
      <c r="E18" t="s">
        <v>20</v>
      </c>
    </row>
    <row r="19" spans="1:5" ht="15.6" x14ac:dyDescent="0.3">
      <c r="A19" s="13">
        <v>1.3</v>
      </c>
      <c r="B19" s="2" t="s">
        <v>21</v>
      </c>
      <c r="C19" s="14"/>
      <c r="D19" s="2" t="s">
        <v>17</v>
      </c>
      <c r="E19" t="s">
        <v>22</v>
      </c>
    </row>
    <row r="20" spans="1:5" ht="15.6" x14ac:dyDescent="0.3">
      <c r="A20" s="13">
        <v>1.4</v>
      </c>
      <c r="B20" s="2" t="s">
        <v>23</v>
      </c>
      <c r="C20" s="14"/>
      <c r="D20" s="2"/>
      <c r="E20" t="s">
        <v>24</v>
      </c>
    </row>
    <row r="21" spans="1:5" ht="15.6" x14ac:dyDescent="0.3">
      <c r="A21" s="9">
        <v>1.5</v>
      </c>
      <c r="B21" s="10" t="s">
        <v>25</v>
      </c>
      <c r="C21" s="15">
        <f>SUM(C17:C20)</f>
        <v>0</v>
      </c>
      <c r="D21" s="2"/>
    </row>
    <row r="22" spans="1:5" ht="15.6" x14ac:dyDescent="0.3">
      <c r="A22" s="2"/>
      <c r="B22" s="2"/>
      <c r="C22" s="2"/>
      <c r="D22" s="2"/>
    </row>
    <row r="23" spans="1:5" ht="15.6" x14ac:dyDescent="0.3">
      <c r="A23" s="9">
        <v>2</v>
      </c>
      <c r="B23" s="10" t="s">
        <v>26</v>
      </c>
      <c r="C23" s="12"/>
      <c r="D23" s="2"/>
    </row>
    <row r="24" spans="1:5" ht="15.6" x14ac:dyDescent="0.3">
      <c r="A24" s="13">
        <v>2.1</v>
      </c>
      <c r="B24" s="2" t="s">
        <v>27</v>
      </c>
      <c r="C24" s="14"/>
      <c r="D24" s="2" t="s">
        <v>17</v>
      </c>
      <c r="E24" t="s">
        <v>28</v>
      </c>
    </row>
    <row r="25" spans="1:5" ht="15.6" x14ac:dyDescent="0.3">
      <c r="A25" s="13">
        <v>2.2000000000000002</v>
      </c>
      <c r="B25" s="2" t="s">
        <v>29</v>
      </c>
      <c r="C25" s="14"/>
      <c r="D25" s="2" t="s">
        <v>17</v>
      </c>
      <c r="E25" t="s">
        <v>30</v>
      </c>
    </row>
    <row r="26" spans="1:5" ht="15.6" x14ac:dyDescent="0.3">
      <c r="A26" s="13">
        <v>2.2999999999999998</v>
      </c>
      <c r="B26" s="2" t="s">
        <v>31</v>
      </c>
      <c r="C26" s="14"/>
      <c r="D26" s="2" t="s">
        <v>17</v>
      </c>
      <c r="E26" t="s">
        <v>32</v>
      </c>
    </row>
    <row r="27" spans="1:5" ht="15.6" x14ac:dyDescent="0.3">
      <c r="A27" s="13">
        <v>2.4</v>
      </c>
      <c r="B27" s="2" t="s">
        <v>33</v>
      </c>
      <c r="C27" s="14"/>
      <c r="D27" s="2" t="s">
        <v>17</v>
      </c>
      <c r="E27" t="s">
        <v>34</v>
      </c>
    </row>
    <row r="28" spans="1:5" ht="15.6" x14ac:dyDescent="0.3">
      <c r="A28" s="13">
        <v>2.5</v>
      </c>
      <c r="B28" s="2" t="s">
        <v>35</v>
      </c>
      <c r="C28" s="14"/>
      <c r="D28" s="2" t="s">
        <v>17</v>
      </c>
      <c r="E28" t="s">
        <v>24</v>
      </c>
    </row>
    <row r="29" spans="1:5" ht="15.6" x14ac:dyDescent="0.3">
      <c r="A29" s="9">
        <v>2.6</v>
      </c>
      <c r="B29" s="10" t="s">
        <v>36</v>
      </c>
      <c r="C29" s="15">
        <f>SUM(C24:C28)</f>
        <v>0</v>
      </c>
      <c r="D29" s="2"/>
    </row>
    <row r="30" spans="1:5" ht="15.6" x14ac:dyDescent="0.3">
      <c r="A30" s="2"/>
      <c r="B30" s="2"/>
      <c r="C30" s="2"/>
      <c r="D30" s="2"/>
    </row>
    <row r="31" spans="1:5" ht="15.6" x14ac:dyDescent="0.3">
      <c r="A31" s="9">
        <v>3</v>
      </c>
      <c r="B31" s="16" t="s">
        <v>37</v>
      </c>
      <c r="C31" s="17">
        <f>C21-C29</f>
        <v>0</v>
      </c>
      <c r="D31" s="2"/>
    </row>
    <row r="32" spans="1:5" ht="15.6" x14ac:dyDescent="0.3">
      <c r="A32" s="2"/>
      <c r="B32" s="2"/>
      <c r="C32" s="2"/>
      <c r="D32" s="2"/>
    </row>
    <row r="33" spans="1:5" ht="15.6" x14ac:dyDescent="0.3">
      <c r="A33" s="13">
        <v>4</v>
      </c>
      <c r="B33" s="2" t="s">
        <v>38</v>
      </c>
      <c r="C33" s="14"/>
      <c r="D33" s="2"/>
      <c r="E33" t="s">
        <v>39</v>
      </c>
    </row>
    <row r="34" spans="1:5" ht="15.6" x14ac:dyDescent="0.3">
      <c r="A34" s="2"/>
      <c r="B34" s="2"/>
      <c r="C34" s="2"/>
      <c r="D34" s="2"/>
    </row>
    <row r="35" spans="1:5" ht="15.6" x14ac:dyDescent="0.3">
      <c r="A35" s="9">
        <v>5</v>
      </c>
      <c r="B35" s="10" t="s">
        <v>40</v>
      </c>
      <c r="C35" s="12"/>
      <c r="D35" s="2"/>
    </row>
    <row r="36" spans="1:5" ht="15.6" x14ac:dyDescent="0.3">
      <c r="A36" s="13">
        <v>5.0999999999999996</v>
      </c>
      <c r="B36" s="2" t="s">
        <v>41</v>
      </c>
      <c r="C36" s="14"/>
      <c r="D36" s="2" t="s">
        <v>17</v>
      </c>
      <c r="E36" t="s">
        <v>42</v>
      </c>
    </row>
    <row r="37" spans="1:5" ht="15.6" x14ac:dyDescent="0.3">
      <c r="A37" s="13">
        <v>5.2</v>
      </c>
      <c r="B37" s="2" t="s">
        <v>43</v>
      </c>
      <c r="C37" s="14"/>
      <c r="D37" s="2" t="s">
        <v>17</v>
      </c>
      <c r="E37" t="s">
        <v>44</v>
      </c>
    </row>
    <row r="38" spans="1:5" ht="15.6" x14ac:dyDescent="0.3">
      <c r="A38" s="13">
        <v>5.3</v>
      </c>
      <c r="B38" s="2" t="s">
        <v>45</v>
      </c>
      <c r="C38" s="14"/>
      <c r="D38" s="2" t="s">
        <v>17</v>
      </c>
      <c r="E38" t="s">
        <v>46</v>
      </c>
    </row>
    <row r="39" spans="1:5" ht="15.6" x14ac:dyDescent="0.3">
      <c r="A39" s="13">
        <v>5.4</v>
      </c>
      <c r="B39" s="2" t="s">
        <v>47</v>
      </c>
      <c r="C39" s="14"/>
      <c r="D39" s="2" t="s">
        <v>17</v>
      </c>
      <c r="E39" t="s">
        <v>48</v>
      </c>
    </row>
    <row r="40" spans="1:5" ht="15.6" x14ac:dyDescent="0.3">
      <c r="A40" s="13">
        <v>5.5</v>
      </c>
      <c r="B40" s="2" t="s">
        <v>49</v>
      </c>
      <c r="C40" s="14"/>
      <c r="D40" s="2" t="s">
        <v>17</v>
      </c>
      <c r="E40" s="18" t="s">
        <v>50</v>
      </c>
    </row>
    <row r="41" spans="1:5" ht="15.6" x14ac:dyDescent="0.3">
      <c r="A41" s="13">
        <v>5.6</v>
      </c>
      <c r="B41" s="2" t="s">
        <v>51</v>
      </c>
      <c r="C41" s="14"/>
      <c r="D41" s="2" t="s">
        <v>17</v>
      </c>
      <c r="E41" t="s">
        <v>52</v>
      </c>
    </row>
    <row r="42" spans="1:5" ht="15.6" x14ac:dyDescent="0.3">
      <c r="A42" s="13">
        <v>5.7</v>
      </c>
      <c r="B42" s="2" t="s">
        <v>53</v>
      </c>
      <c r="C42" s="14"/>
      <c r="D42" s="2"/>
      <c r="E42" t="s">
        <v>24</v>
      </c>
    </row>
    <row r="43" spans="1:5" ht="15.6" x14ac:dyDescent="0.3">
      <c r="A43" s="9">
        <v>5.8</v>
      </c>
      <c r="B43" s="10" t="s">
        <v>54</v>
      </c>
      <c r="C43" s="15">
        <f>SUM(C36:C42)</f>
        <v>0</v>
      </c>
      <c r="D43" s="2"/>
    </row>
    <row r="44" spans="1:5" ht="15.6" x14ac:dyDescent="0.3">
      <c r="A44" s="2"/>
      <c r="B44" s="2"/>
      <c r="C44" s="2"/>
      <c r="D44" s="2"/>
    </row>
    <row r="45" spans="1:5" ht="15.6" x14ac:dyDescent="0.3">
      <c r="A45" s="9">
        <v>6</v>
      </c>
      <c r="B45" s="16" t="s">
        <v>55</v>
      </c>
      <c r="C45" s="19">
        <f>C31+C33-C43</f>
        <v>0</v>
      </c>
      <c r="D45" s="2"/>
    </row>
    <row r="46" spans="1:5" ht="15.6" x14ac:dyDescent="0.3">
      <c r="A46" s="13">
        <v>7</v>
      </c>
      <c r="B46" s="2" t="s">
        <v>56</v>
      </c>
      <c r="C46" s="20">
        <f>C45*20%</f>
        <v>0</v>
      </c>
      <c r="D46" s="2"/>
      <c r="E46" t="s">
        <v>57</v>
      </c>
    </row>
    <row r="47" spans="1:5" ht="15.6" x14ac:dyDescent="0.3">
      <c r="A47" s="9">
        <v>8</v>
      </c>
      <c r="B47" s="16" t="s">
        <v>58</v>
      </c>
      <c r="C47" s="19">
        <f>C45-C46</f>
        <v>0</v>
      </c>
      <c r="D47" s="2"/>
    </row>
    <row r="48" spans="1:5" ht="15.6" x14ac:dyDescent="0.3">
      <c r="A48" s="2"/>
      <c r="B48" s="2"/>
      <c r="C48" s="2"/>
      <c r="D48" s="2"/>
    </row>
    <row r="49" spans="1:5" ht="15.6" x14ac:dyDescent="0.3">
      <c r="A49" s="9">
        <v>9</v>
      </c>
      <c r="B49" s="10" t="s">
        <v>59</v>
      </c>
      <c r="C49" s="12"/>
      <c r="D49" s="2"/>
    </row>
    <row r="50" spans="1:5" ht="15.6" x14ac:dyDescent="0.3">
      <c r="A50" s="13">
        <v>9.1</v>
      </c>
      <c r="B50" s="2" t="s">
        <v>60</v>
      </c>
      <c r="C50" s="21"/>
      <c r="D50" s="2"/>
      <c r="E50" t="s">
        <v>61</v>
      </c>
    </row>
    <row r="51" spans="1:5" ht="15.6" x14ac:dyDescent="0.3">
      <c r="A51" s="13">
        <v>9.1999999999999993</v>
      </c>
      <c r="B51" s="2" t="s">
        <v>62</v>
      </c>
      <c r="C51" s="21"/>
      <c r="D51" s="2"/>
      <c r="E51" t="s">
        <v>61</v>
      </c>
    </row>
    <row r="52" spans="1:5" ht="15.6" x14ac:dyDescent="0.3">
      <c r="A52" s="9">
        <v>9.3000000000000007</v>
      </c>
      <c r="B52" s="10" t="s">
        <v>63</v>
      </c>
      <c r="C52" s="15">
        <f>C50-C51</f>
        <v>0</v>
      </c>
      <c r="D52" s="2"/>
    </row>
    <row r="53" spans="1:5" ht="15.6" x14ac:dyDescent="0.3">
      <c r="A53" s="9"/>
      <c r="B53" s="16"/>
      <c r="C53" s="19"/>
      <c r="D53" s="2"/>
    </row>
    <row r="54" spans="1:5" ht="15.6" x14ac:dyDescent="0.3">
      <c r="A54" s="2"/>
      <c r="B54" s="2"/>
      <c r="C54" s="2"/>
      <c r="D54" s="2"/>
    </row>
    <row r="55" spans="1:5" ht="15.6" x14ac:dyDescent="0.3">
      <c r="A55" s="9">
        <v>10</v>
      </c>
      <c r="B55" s="10" t="s">
        <v>64</v>
      </c>
      <c r="C55" s="15">
        <f>C47+C52</f>
        <v>0</v>
      </c>
      <c r="D55" s="2"/>
    </row>
    <row r="56" spans="1:5" ht="15.6" x14ac:dyDescent="0.3">
      <c r="A56" s="2"/>
      <c r="B56" s="2"/>
      <c r="C56" s="2"/>
      <c r="D56" s="2"/>
    </row>
    <row r="57" spans="1:5" ht="15.6" x14ac:dyDescent="0.3">
      <c r="A57" s="2"/>
      <c r="B57" s="2"/>
      <c r="C57" s="2"/>
      <c r="D57" s="2"/>
    </row>
    <row r="58" spans="1:5" ht="15.6" x14ac:dyDescent="0.3">
      <c r="A58" s="2"/>
      <c r="B58" s="2"/>
      <c r="C58" s="2"/>
      <c r="D58" s="2"/>
    </row>
    <row r="59" spans="1:5" ht="15.6" x14ac:dyDescent="0.3">
      <c r="A59" s="2"/>
      <c r="B59" s="22" t="s">
        <v>65</v>
      </c>
      <c r="C59" s="23" t="s">
        <v>66</v>
      </c>
      <c r="D59" s="23"/>
    </row>
    <row r="60" spans="1:5" ht="15.6" x14ac:dyDescent="0.3">
      <c r="A60" s="2"/>
      <c r="B60" s="24"/>
      <c r="C60" s="24"/>
      <c r="D60" s="2"/>
    </row>
    <row r="61" spans="1:5" ht="15.6" x14ac:dyDescent="0.3">
      <c r="A61" s="2"/>
      <c r="B61" s="25" t="s">
        <v>67</v>
      </c>
      <c r="C61" s="25" t="s">
        <v>67</v>
      </c>
      <c r="D61" s="26"/>
    </row>
    <row r="62" spans="1:5" ht="15.6" x14ac:dyDescent="0.3">
      <c r="A62" s="2"/>
      <c r="B62" s="26" t="s">
        <v>68</v>
      </c>
      <c r="C62" s="27" t="s">
        <v>68</v>
      </c>
      <c r="D62" s="26"/>
    </row>
    <row r="63" spans="1:5" ht="15.6" x14ac:dyDescent="0.3">
      <c r="A63" s="2"/>
      <c r="B63" s="24"/>
      <c r="C63" s="28"/>
      <c r="D63" s="2"/>
    </row>
    <row r="64" spans="1:5" ht="15.6" x14ac:dyDescent="0.3">
      <c r="A64" s="2"/>
      <c r="B64" s="29"/>
      <c r="C64" s="28"/>
      <c r="D64" s="2"/>
    </row>
    <row r="65" spans="1:4" ht="15.6" x14ac:dyDescent="0.3">
      <c r="A65" s="2"/>
      <c r="B65" s="29"/>
      <c r="C65" s="28"/>
      <c r="D65" s="2"/>
    </row>
    <row r="66" spans="1:4" ht="15.6" x14ac:dyDescent="0.3">
      <c r="A66" s="2"/>
      <c r="B66" s="29"/>
      <c r="C66" s="28"/>
      <c r="D66" s="2"/>
    </row>
    <row r="67" spans="1:4" ht="15.6" x14ac:dyDescent="0.3">
      <c r="A67" s="2"/>
      <c r="B67" s="29"/>
      <c r="C67" s="28"/>
      <c r="D67" s="2"/>
    </row>
    <row r="68" spans="1:4" ht="15.6" x14ac:dyDescent="0.3">
      <c r="A68" s="2"/>
      <c r="B68" s="29"/>
      <c r="C68" s="28"/>
      <c r="D68" s="2"/>
    </row>
    <row r="69" spans="1:4" ht="15.6" x14ac:dyDescent="0.3">
      <c r="A69" s="2"/>
      <c r="B69" s="30" t="s">
        <v>69</v>
      </c>
      <c r="C69" s="28"/>
      <c r="D69" s="2"/>
    </row>
  </sheetData>
  <protectedRanges>
    <protectedRange algorithmName="SHA-512" hashValue="HoqCNpl1kxLpeqnQDcbAEVC0qztNB0j+a/WX5iy4OM+wzlDBwjStPPv6IH6/jQbgsNUni9vDkimIeEhhSKi8eg==" saltValue="RpawVOZjZOY0dhrkfGi3Lw==" spinCount="100000" sqref="C8:C10" name="Range1"/>
  </protectedRanges>
  <mergeCells count="5">
    <mergeCell ref="A1:D1"/>
    <mergeCell ref="A2:D2"/>
    <mergeCell ref="A3:D3"/>
    <mergeCell ref="A4:D4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Profit or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Esmat</dc:creator>
  <cp:lastModifiedBy>Esmat</cp:lastModifiedBy>
  <dcterms:created xsi:type="dcterms:W3CDTF">2026-03-18T16:04:25Z</dcterms:created>
  <dcterms:modified xsi:type="dcterms:W3CDTF">2026-03-18T16:05:06Z</dcterms:modified>
</cp:coreProperties>
</file>